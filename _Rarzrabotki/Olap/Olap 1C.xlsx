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5" windowWidth="19110" windowHeight="7290" activeTab="1"/>
  </bookViews>
  <sheets>
    <sheet name="Справочники" sheetId="1" r:id="rId1"/>
    <sheet name="Регистры" sheetId="2" r:id="rId2"/>
    <sheet name="Календарь" sheetId="3" r:id="rId3"/>
    <sheet name="Перечисления" sheetId="4" r:id="rId4"/>
    <sheet name="Кемпинг" sheetId="5" r:id="rId5"/>
    <sheet name="Лист1" sheetId="6" r:id="rId6"/>
  </sheets>
  <calcPr calcId="125725"/>
</workbook>
</file>

<file path=xl/calcChain.xml><?xml version="1.0" encoding="utf-8"?>
<calcChain xmlns="http://schemas.openxmlformats.org/spreadsheetml/2006/main">
  <c r="J31" i="6"/>
  <c r="H31"/>
</calcChain>
</file>

<file path=xl/sharedStrings.xml><?xml version="1.0" encoding="utf-8"?>
<sst xmlns="http://schemas.openxmlformats.org/spreadsheetml/2006/main" count="181" uniqueCount="174">
  <si>
    <t>Номенклатура</t>
  </si>
  <si>
    <t>Наименование</t>
  </si>
  <si>
    <t>Запрос</t>
  </si>
  <si>
    <t>А_Группа</t>
  </si>
  <si>
    <t>А_ПодГруппа</t>
  </si>
  <si>
    <t>А_ТорговаяМарка</t>
  </si>
  <si>
    <t xml:space="preserve">Продажи </t>
  </si>
  <si>
    <t xml:space="preserve">DECLARE @d_start DATETIME DECLARE @d_end   DATETIME SET @d_start='20000101' SET @d_end=  '20300101'    SET LANGUAGE Russian    SELECT  r.date_        ,CAST(YEAR(r.date_) AS VARCHAR(4))          +CASE WHEN DATEPART(ww, r.date_)&lt;10             THEN '.0'             ELSE '.' END+ CAST(DATEPART(ww, r.date_) AS VARCHAR(2))  AS year_week        ,CAST(YEAR(r.date_) AS VARCHAR(4))          +CASE WHEN MONTH(r.date_)&lt;10             THEN '.0'             ELSE '.' END+ CAST(MONTH(r.date_) AS VARCHAR(2))         AS year_month        ,CAST(YEAR(r.date_) AS VARCHAR(4))          +'.'+ CAST(DATEPART(qq, r.date_) AS VARCHAR(1)) +' кв.'     AS year_quarter        ,CAST(YEAR(r.date_) AS VARCHAR(4))          +'.'+ CAST(DATEPART(qq, r.date_) AS VARCHAR(1)) +' quarter' AS year_quarter_en        ,CAST(YEAR(r.date_) AS VARCHAR(4))          +CASE WHEN DATEPART(mm, r.date_)&gt;6             THEN '.2 п\г.'             ELSE '.1 п\г.' END                                       AS year_semester        ,YEAR(r.date_)                                                AS year_       ,CASE WHEN YEAR(r.date_) BETWEEN 2000 AND 2099 THEN 'XXI'             WHEN YEAR(r.date_) BETWEEN 1900 AND 1999 THEN 'XX'             WHEN YEAR(r.date_) BETWEEN 2100 AND 2199 THEN 'XXII'             WHEN YEAR(r.date_) BETWEEN 1800 AND 1899 THEN 'XIX'         END                                                          AS century        ,CASE WHEN DATEPART(mm, r.date_)&gt;6 THEN 2 ELSE 1 END          AS semester        ,DATEPART(qq, r.date_)                                        AS quarter_        ,MONTH(r.date_)                                               AS month_        ,DATENAME(mm, r.date_)                                        AS month_name        ,CASE MONTH(r.date_)           WHEN 1  THEN 'January'           WHEN 2  THEN 'February'           WHEN 3  THEN 'March'           WHEN 4  THEN 'April'           WHEN 5  THEN 'May'           WHEN 6  THEN 'June'           WHEN 7  THEN 'July'           WHEN 8  THEN 'August'           WHEN 9  THEN 'September'           WHEN 10 THEN 'October'           WHEN 11 THEN 'November'           WHEN 12 THEN 'December'         END                                                          AS month_name_en        ,CASE MONTH(r.date_)           WHEN 1  THEN 'Січень'           WHEN 2  THEN 'Лютий'           WHEN 3  THEN 'Березень'           WHEN 4  THEN 'Квітень'           WHEN 5  THEN 'Травень'           WHEN 6  THEN 'Червень'           WHEN 7  THEN 'Липень'           WHEN 8  THEN 'Серпень'           WHEN 9  THEN 'Вересень'           WHEN 10 THEN 'Жовтень'           WHEN 11 THEN 'Листопад'           WHEN 12 THEN 'Грудень'         END                                                          AS month_name_ua        ,CASE MONTH(r.date_)           WHEN 1  THEN 'Студзень'           WHEN 2  THEN 'Люты'           WHEN 3  THEN 'Сакавік'           WHEN 4  THEN 'Красавік'           WHEN 5  THEN 'Травень'           WHEN 6  THEN 'Чэрвень'           WHEN 7  THEN 'Ліпень'           WHEN 8  THEN 'Жнівень'           WHEN 9  THEN 'Верасень'           WHEN 10 THEN 'Кастрычнік'           WHEN 11 THEN 'Лістапад'           WHEN 12 THEN 'Снежань'         END                                                          AS month_name_by        ,CASE MONTH(r.date_)           WHEN 1  THEN 'Янв'           WHEN 2  THEN 'Фев'           WHEN 3  THEN 'Мар'           WHEN 4  THEN 'Апр'           WHEN 5  THEN 'Май'           WHEN 6  THEN 'Июн'           WHEN 7  THEN 'Июл'           WHEN 8  THEN 'Авг'           WHEN 9  THEN 'Сен'           WHEN 10 THEN 'Окт'           WHEN 11 THEN 'Ноя'           WHEN 12 THEN 'Дек'         END                                                          AS month_name_short        ,CASE MONTH(r.date_)           WHEN 1  THEN 'Jan'           WHEN 2  THEN 'Feb'           WHEN 3  THEN 'Mar'           WHEN 4  THEN 'Apr'           WHEN 5  THEN 'May'           WHEN 6  THEN 'Jun'           WHEN 7  THEN 'Jul'           WHEN 8  THEN 'Aug'           WHEN 9  THEN 'Sep'           WHEN 10 THEN 'Oct'           WHEN 11 THEN 'Nov'           WHEN 12 THEN 'Dec'         END                                                          AS month_name_short_en       ,CASE WHEN MONTH(r.date_) IN (9,10,11) THEN 'осень'             WHEN MONTH(r.date_) IN (6,7,8)   THEN 'лето'             WHEN MONTH(r.date_) IN (3,4,5)   THEN 'весна'             WHEN MONTH(r.date_) IN (12,1,2)  THEN 'зима'        END                                                           AS season       ,CASE WHEN MONTH(r.date_) IN (9,10,11) THEN 'autumn'             WHEN MONTH(r.date_) IN (6,7,8)   THEN 'summer'             WHEN MONTH(r.date_) IN (3,4,5)   THEN 'spring'             WHEN MONTH(r.date_) IN (12,1,2)  THEN 'winter'        END                                                           AS season_en       ,CASE WHEN MONTH(r.date_) IN (9,10,11) THEN 'осінь'             WHEN MONTH(r.date_) IN (6,7,8)   THEN 'літо'             WHEN MONTH(r.date_) IN (3,4,5)   THEN 'весна'             WHEN MONTH(r.date_) IN (12,1,2)  THEN 'зима'        END                                                           AS season_ua       ,CASE WHEN MONTH(r.date_) IN (9,10,11) THEN 'восень'             WHEN MONTH(r.date_) IN (6,7,8)   THEN 'лета'             WHEN MONTH(r.date_) IN (3,4,5)   THEN 'вясна'             WHEN MONTH(r.date_) IN (12,1,2)  THEN 'зіма'        END                                                           AS season_by       ,DATEPART(dd, r.date_)                                         AS day_       ,DATEPART(dy, r.date_)                                         AS year_day       ,CONVERT(VARCHAR(10), r.date_, 104)                            AS date_str       ,DATEPART(dw, r.date_)                                         AS week_day           ,DATENAME(dw, r.date_)                                         AS week_day_str       ,CASE DATEPART(dw, r.date_)           WHEN 1  THEN 'Monday'           WHEN 2  THEN 'Tuesday'           WHEN 3  THEN 'Wednesday'           WHEN 4  THEN 'Thursday'           WHEN 5  THEN 'Friday'           WHEN 6  THEN 'Saturday'           WHEN 7  THEN 'Sunday'        END                                                           AS week_day_str_en       ,CASE DATEPART(dw, r.date_)           WHEN 1  THEN 'понеділок'           WHEN 2  THEN 'вівторок'           WHEN 3  THEN 'середа'           WHEN 4  THEN 'четвер'           WHEN 5  THEN 'п’ятниця'           WHEN 6  THEN 'субота'           WHEN 7  THEN 'неділя'        END                                                           AS week_day_str_ua       ,CASE DATEPART(dw, r.date_)           WHEN 1  THEN 'панядзелак'           WHEN 2  THEN 'аўторак'           WHEN 3  THEN 'серада'           WHEN 4  THEN 'чацвер'           WHEN 5  THEN 'пятніца'           WHEN 6  THEN 'субота'           WHEN 7  THEN 'нядзеля'        END                                                           AS week_day_str_by        ,CASE DATEPART(dw, r.date_)           WHEN 1  THEN 'Пн'           WHEN 2  THEN 'Вт'           WHEN 3  THEN 'Ср'           WHEN 4  THEN 'Чт'           WHEN 5  THEN 'Пт'           WHEN 6  THEN 'Сб'           WHEN 7  THEN 'Вс'         END                                                          AS week_day_short       ,CASE DATEPART(dw, r.date_)           WHEN '1' THEN 'Mo'       WHEN '2' THEN 'Tu'       WHEN '3' THEN 'We'       WHEN '4' THEN 'Th'       WHEN '5' THEN 'Fr'       WHEN '6' THEN 'Sa'       WHEN '7' THEN 'Su'        END                                                           AS week_day_short_en       ,DATEPART(ww, r.date_)                                         AS week_       ,CASE WHEN DAY(r.date_)&lt;8                 THEN 1             WHEN DAY(r.date_) BETWEEN 8  AND 14 THEN 2             WHEN DAY(r.date_) BETWEEN 5  AND 21 THEN 3             WHEN DAY(r.date_) BETWEEN 22 AND 28 THEN 4             WHEN DAY(r.date_)&gt;28                THEN 5                             END                                                           AS month_week       ,CASE WHEN DAY(r.date_)&lt;11                 THEN 1             WHEN DAY(r.date_) BETWEEN 11 AND 20  THEN 2             WHEN DAY(r.date_)&gt;20                 THEN 3        END                                                           AS month_decade       ,CASE WHEN DAY(r.date_)=                    DAY(DATEADD(dd, -1, DATEADD(mm, 1,         CAST(YEAR(r.date_) AS VARCHAR(4))            +CASE WHEN MONTH(r.date_)&lt;10 THEN '0' ELSE '' END            +CAST(MONTH(r.date_) AS VARCHAR(2))+'01')))             THEN 'да'             ELSE ''        END                                                           AS month_last_day       ,CASE WHEN DAY(r.date_)=31 AND MONTH(r.date_)=12             THEN 'да'             ELSE ''        END                                                           AS year_last_day       ,DAY(DATEADD(dd, -1, DATEADD(mm, 1,       CAST(YEAR(r.date_) AS VARCHAR(4))      +CASE WHEN MONTH(r.date_)&lt;10 THEN '0' ELSE '' END      +CAST(MONTH(r.date_) AS VARCHAR(2))+'01')))                 AS days_in_month       ,CASE WHEN YEAR(r.date_) IN (1700, 1800, 1900, 2100, 2200, 2300)          THEN 365          ELSE            DATEDIFF(dd, CAST(YEAR(r.date_) AS VARCHAR(4))+'0101',              CAST(YEAR(r.date_) AS VARCHAR(4))+'1231')+1                  END                                                           AS days_in_year       ,CASE WHEN DATEPART(dw, r.date_) IN (6,7) THEN 1 ELSE 0 END    AS weekend       ,CASE WHEN CAST('1804'+SUBSTRING(CONVERT(VARCHAR(10), r.date_, 112),5,4) AS DATE) BETWEEN '18040321' AND '18040420' THEN '01  Овен'             WHEN CAST('1804'+SUBSTRING(CONVERT(VARCHAR(10), r.date_, 112),5,4) AS DATE) BETWEEN '18040421' AND '18040520' THEN '02  Телец'             WHEN CAST('1804'+SUBSTRING(CONVERT(VARCHAR(10), r.date_, 112),5,4) AS DATE) BETWEEN '18040521' AND '18040621' THEN '03  Близнецы'             WHEN CAST('1804'+SUBSTRING(CONVERT(VARCHAR(10), r.date_, 112),5,4) AS DATE) BETWEEN '18040622' AND '18040722' THEN '04  Рак'             WHEN CAST('1804'+SUBSTRING(CONVERT(VARCHAR(10), r.date_, 112),5,4) AS DATE) BETWEEN '18040723' AND '18040823' THEN '05  Лев'             WHEN CAST('1804'+SUBSTRING(CONVERT(VARCHAR(10), r.date_, 112),5,4) AS DATE) BETWEEN '18040824' AND '18040923' THEN '06  Дева'             WHEN CAST('1804'+SUBSTRING(CONVERT(VARCHAR(10), r.date_, 112),5,4) AS DATE) BETWEEN '18040924' AND '18041023' THEN '07  Весы'             WHEN CAST('1804'+SUBSTRING(CONVERT(VARCHAR(10), r.date_, 112),5,4) AS DATE) BETWEEN '18041024' AND '18041122' THEN '08  Скорпион'             WHEN CAST('1804'+SUBSTRING(CONVERT(VARCHAR(10), r.date_, 112),5,4) AS DATE) BETWEEN '18041123' AND '18041221' THEN '09  Стрелец'             WHEN CAST('1804'+SUBSTRING(CONVERT(VARCHAR(10), r.date_, 112),5,4) AS DATE) BETWEEN '18041222' AND '18041231' THEN '10  Козерог'             WHEN CAST('1804'+SUBSTRING(CONVERT(VARCHAR(10), r.date_, 112),5,4) AS DATE) BETWEEN '18040101' AND '18040120' THEN '10  Козерог'             WHEN CAST('1804'+SUBSTRING(CONVERT(VARCHAR(10), r.date_, 112),5,4) AS DATE) BETWEEN '18040121' AND '18040220' THEN '11  Водолей'             WHEN CAST('1804'+SUBSTRING(CONVERT(VARCHAR(10), r.date_, 112),5,4) AS DATE) BETWEEN '18040221' AND '18040320' THEN '12  Рыбы'        END                                                           AS zodiac_sign          ,CASE WHEN CAST('1804'+SUBSTRING(CONVERT(VARCHAR(10), r.date_, 112),5,4) AS DATE) BETWEEN '18040321' AND '18040420' THEN '01  Aries'             WHEN CAST('1804'+SUBSTRING(CONVERT(VARCHAR(10), r.date_, 112),5,4) AS DATE) BETWEEN '18040421' AND '18040520' THEN '02  Taurus'             WHEN CAST('1804'+SUBSTRING(CONVERT(VARCHAR(10), r.date_, 112),5,4) AS DATE) BETWEEN '18040521' AND '18040621' THEN '03  Gemini'             WHEN CAST('1804'+SUBSTRING(CONVERT(VARCHAR(10), r.date_, 112),5,4) AS DATE) BETWEEN '18040622' AND '18040722' THEN '04  Cancer'             WHEN CAST('1804'+SUBSTRING(CONVERT(VARCHAR(10), r.date_, 112),5,4) AS DATE) BETWEEN '18040723' AND '18040823' THEN '05  Leo'             WHEN CAST('1804'+SUBSTRING(CONVERT(VARCHAR(10), r.date_, 112),5,4) AS DATE) BETWEEN '18040824' AND '18040923' THEN '06  Virgo'             WHEN CAST('1804'+SUBSTRING(CONVERT(VARCHAR(10), r.date_, 112),5,4) AS DATE) BETWEEN '18040924' AND '18041023' THEN '07  Libra'             WHEN CAST('1804'+SUBSTRING(CONVERT(VARCHAR(10), r.date_, 112),5,4) AS DATE) BETWEEN '18041024' AND '18041122' THEN '08  Scorpio'             WHEN CAST('1804'+SUBSTRING(CONVERT(VARCHAR(10), r.date_, 112),5,4) AS DATE) BETWEEN '18041123' AND '18041221' THEN '09  Sagittarius'             WHEN CAST('1804'+SUBSTRING(CONVERT(VARCHAR(10), r.date_, 112),5,4) AS DATE) BETWEEN '18041222' AND '18041231' THEN '10  Capricorn'             WHEN CAST('1804'+SUBSTRING(CONVERT(VARCHAR(10), r.date_, 112),5,4) AS DATE) BETWEEN '18040101' AND '18040120' THEN '10  Capricorn'             WHEN CAST('1804'+SUBSTRING(CONVERT(VARCHAR(10), r.date_, 112),5,4) AS DATE) BETWEEN '18040121' AND '18040220' THEN '11  Aquarius'             WHEN CAST('1804'+SUBSTRING(CONVERT(VARCHAR(10), r.date_, 112),5,4) AS DATE) BETWEEN '18040221' AND '18040320' THEN '12  Pisces'        END                                                           AS zodiac_sign_lat       ,CASE WHEN YEAR(r.date_)=1800 THEN '09  Обезьяна'             WHEN YEAR(r.date_)=1801 THEN '10  Петух'             WHEN YEAR(r.date_)=1802 THEN '11  Собака'             WHEN YEAR(r.date_)=1803 THEN '12  Свинья'          ELSE            CASE (YEAR(r.date_)-1804) - ((YEAR(r.date_)-1804)/12)*12+1              WHEN 1  THEN '01  Крыса'              WHEN 2  THEN '02  Бык'              WHEN 3  THEN '03  Тигр'              WHEN 4  THEN '04  Кролик'              WHEN 5  THEN '05  Дракон'              WHEN 6  THEN '06  Змея'              WHEN 7  THEN '07  Лошадь'              WHEN 8  THEN '08  Овца'              WHEN 9  THEN '09  Обезьяна'              WHEN 10 THEN '10  Петух'              WHEN 11 THEN '11  Собака'              WHEN 12 THEN '12  Свинья'            END        END                                                           AS chinese_horoscope       ,CASE WHEN DAY(r.date_)&lt;10 THEN '0' ELSE '' END         +CAST(DAY(r.date_) AS VARCHAR(2))+' '         +CASE MONTH(r.date_)            WHEN 1  THEN 'января'        WHEN 2  THEN 'февраля'        WHEN 3  THEN 'марта'        WHEN 4  THEN 'апреля'        WHEN 5  THEN 'мая'        WHEN 6  THEN 'июня'        WHEN 7  THEN 'июля'        WHEN 8  THEN 'августа'        WHEN 9  THEN 'сентября'        WHEN 10 THEN 'октября'        WHEN 11 THEN 'ноября'        WHEN 12 THEN 'декабря'          END         +' '+CAST(YEAR(r.date_) AS VARCHAR(4))+ 'г.'                 AS date_full_str       ,CASE MONTH(r.date_)          WHEN 1  THEN 'January'          WHEN 2  THEN 'February'          WHEN 3  THEN 'March'          WHEN 4  THEN 'April'          WHEN 5  THEN 'May'          WHEN 6  THEN 'June'          WHEN 7  THEN 'July'          WHEN 8  THEN 'August'          WHEN 9  THEN 'September'          WHEN 10 THEN 'October'          WHEN 11 THEN 'November'          WHEN 12 THEN 'December'        END         +CASE WHEN DAY(r.date_)&lt;10 THEN ' 0' ELSE ' ' END         +CAST(DAY(r.date_) AS VARCHAR(2))         +' '+CAST(YEAR(r.date_) AS VARCHAR(4))                       AS date_full_str_en   FROM (     SELECT DATEADD(day, num, @d_start) AS date_       FROM (         SELECT z*100000+r*10000+a*1000+b*100+c*10+d  num                   FROM (SELECT 0 z UNION SELECT 1 UNION SELECT 2 UNION SELECT 3 UNION SELECT 4                 UNION SELECT 5 UNION SELECT 6 UNION SELECT 7 UNION SELECT 8 UNION SELECT 9) z           CROSS JOIN                (SELECT 0 r UNION SELECT 1 UNION SELECT 2 UNION SELECT 3 UNION SELECT 4             UNION SELECT 5 UNION SELECT 6 UNION SELECT 7 UNION SELECT 8 UNION SELECT 9) r           CROSS JOIN                (SELECT 0 a UNION SELECT 1 UNION SELECT 2 UNION SELECT 3 UNION SELECT 4                 UNION SELECT 5 UNION SELECT 6 UNION SELECT 7 UNION SELECT 8 UNION SELECT 9) a           CROSS JOIN                (SELECT 0 b UNION SELECT 1 UNION SELECT 2 UNION SELECT 3 UNION SELECT 4                     UNION SELECT 5 UNION SELECT 6 UNION SELECT 7 UNION SELECT 8 UNION SELECT 9) b           CROSS JOIN                (SELECT 0 c UNION SELECT 1 UNION SELECT 2 UNION SELECT 3 UNION SELECT 4             UNION SELECT 5 UNION SELECT 6 UNION SELECT 7 UNION SELECT 8 UNION SELECT 9) c           CROSS JOIN                (SELECT 0 d UNION SELECT 1 UNION SELECT 2 UNION SELECT 3 UNION SELECT 4             UNION SELECT 5 UNION SELECT 6 UNION SELECT 7 UNION SELECT 8 UNION SELECT 9) d           ) a       WHERE DATEADD(day, num, @d_start)&lt;=@d_end        ) r   ORDER BY 1 
</t>
  </si>
  <si>
    <t xml:space="preserve">Use work
 SELECT   
 CONVERT(varchar(32),_IDRRef, 2) AS ID_GroupTovara
  ,CONVERT(varchar(32),_ParentIDRRef, 2) AS ID_GroupTovaraParent
 ,CONVERT(varchar(100),_Description, 2) as Description
 FROM dbo._Reference31552
 UNION
 select
      '00000000000000000000000000000000'
   ,'00000000000000000000000000000000'
      ,'пустой'
</t>
  </si>
  <si>
    <t xml:space="preserve">Use work
 SELECT   
 CONVERT(varchar(32),_IDRRef, 2) AS ID_Subgroup
  ,CONVERT(varchar(32),_ParentIDRRef, 2) AS ID_SubgroupParent
 ,CONVERT(varchar(100),_Description, 2) as Description
 FROM dbo._Reference31553
 UNION
 select
      '00000000000000000000000000000000'
   ,'00000000000000000000000000000000'
      ,'пустой'
</t>
  </si>
  <si>
    <t xml:space="preserve">Use work
 SELECT   
 CONVERT(varchar(32),_IDRRef, 2) AS ID_Trademark
  ,CONVERT(varchar(32),_ParentIDRRef, 2) AS ID_TrademarkParent
 ,CONVERT(varchar(100),_Description, 2) as Description
 FROM dbo._Reference31554
 UNION
 select
      '00000000000000000000000000000000'
   ,'00000000000000000000000000000000'
      ,'пустой'
</t>
  </si>
  <si>
    <t xml:space="preserve">Use work
 SELECT   
 CONVERT(varchar(32),_IDRRef, 2) AS ID_Nomenklatura
 ,CONVERT(varchar(32),_ParentIDRRef, 2) AS ID_NomenklaturaParent
 ,CONVERT(varchar(100),_Description, 2) as Description
 ,CONVERT(varchar(11),_Code, 2) as Kod1C
 ,CONVERT(varchar(13),_Fld22162, 2) as Barcode
 ,CONVERT(varchar(150),_Fld2201, 2) as FullName
 ,CONVERT(varchar(25),_Fld2185, 2) as Articul
 ,CONVERT(varchar(32),_Fld32310RRef, 2)  as ID_MainNomenklatura
 ,CONVERT(varchar(2),_Fld30406, 2) as ID_ProducedFactory
 ,CONVERT(varchar(32),_Fld2195RRef, 2) as ID_VidNomenklatura
 ,CONVERT(varchar(32),_Fld31561RRef, 2)  as ID_GroupTovara
 ,CONVERT(varchar(32),_Fld31562RRef, 2) as ID_Subgroup
 ,CONVERT(varchar(32),_Fld31563RRef, 2) as ID_Trademark
 ,CONVERT(varchar(32),_Fld30501RRef, 2) as ID_MainSupplier
 FROM dbo._Reference134
 UNION
 select
      '00000000000000000000000000000000'
      ,NULL
      ,'пустой'
   ,NULL
      ,'пустой'
      ,'пустой'
      ,'пустой'
      ,'00000000000000000000000000000000'
   ,'00000000000000000000000000000000'
      ,'00000000000000000000000000000000'
      ,'00000000000000000000000000000000'
      ,'00000000000000000000000000000000'
      ,'00000000000000000000000000000000'
      ,'00000000000000000000000000000000'
</t>
  </si>
  <si>
    <t>Контрагенты</t>
  </si>
  <si>
    <t xml:space="preserve">Use work
 SELECT   
 CONVERT(varchar(32),_IDRRef, 2) AS ID_Klient
  ,CONVERT(varchar(32),_ParentIDRRef, 2) AS ID_KlientParent
 ,CONVERT(varchar(100),_Description, 2) as Description
 FROM dbo._Reference111
 UNION
 select
      '00000000000000000000000000000000'
   ,'00000000000000000000000000000000'
      ,'пустой'
</t>
  </si>
  <si>
    <t>ДоговорыКонтрагентов</t>
  </si>
  <si>
    <t>Организации</t>
  </si>
  <si>
    <t xml:space="preserve">Use work
 SELECT   
 CONVERT(varchar(32),_IDRRef, 2) AS ID_Organization
 ,CONVERT(varchar(100),_Description, 2) as Description
  ,CONVERT(varchar(2),_Fld32051, 2) as ID_Balance
 FROM dbo._Reference142
 UNION
 select
      '00000000000000000000000000000000'
       ,'пустой'
    ,'00'
</t>
  </si>
  <si>
    <t>Подразделение</t>
  </si>
  <si>
    <t>Склады</t>
  </si>
  <si>
    <t xml:space="preserve">Use work
 SELECT   
 CONVERT(varchar(32),_IDRRef, 2) AS ID_Warehouse
  ,CONVERT(varchar(32),_ParentIDRRef, 2) AS ID_ID_WarehouseParent
 ,CONVERT(varchar(100),_Description, 2) as Description
 ,CONVERT(varchar(32),_IDRRef, 2) AS ID_WarehouseERP
 FROM dbo._Reference179
 UNION
 select
      '00000000000000000000000000000000'
   ,'00000000000000000000000000000000'
      ,'пустой'
   ,'00000000000000000000000000000000'
</t>
  </si>
  <si>
    <t>Пользователи</t>
  </si>
  <si>
    <t>SELECT  CONVERT(varchar(32),_IDRRef, 2) AS _IDRRef
   FROM [work].[dbo].[_Enum585]</t>
  </si>
  <si>
    <t>ВидыДенежныхСредств</t>
  </si>
  <si>
    <t>Виды движений приход/расход</t>
  </si>
  <si>
    <t>SELECT  CONVERT(varchar(32),_IDRRef, 2) AS _IDRRef
   FROM [work].[dbo].[_Enum579]</t>
  </si>
  <si>
    <t xml:space="preserve">Use work
 SELECT   
 CONVERT(varchar(32),_IDRRef, 2) AS ID_Project
  ,CONVERT(varchar(32),_ParentIDRRef, 2) AS ID_ProjectParent
 ,CONVERT(varchar(100),_Description, 2) as Description
 FROM dbo._Reference163
 UNION
 select
      '00000000000000000000000000000000'
   ,'00000000000000000000000000000000'
      ,'пустой'
</t>
  </si>
  <si>
    <t>Проекты</t>
  </si>
  <si>
    <t>Статьи движения денег</t>
  </si>
  <si>
    <t xml:space="preserve">Use Work
SELECT   CONVERT(varchar(32),_IDRRef, 2) AS ID_Cashitems
 ,CONVERT(varchar(32),_ParentIDRRef, 2) AS ID_CashitemsParent
 ,CONVERT(varchar(100),_Description, 2) as Description
FROM dbo._Reference194
UNION
select 
           '00000000000000000000000000000000'
     ,''
     ,'пустой'
</t>
  </si>
  <si>
    <t>USE Work
SELECT 
       CAST(DATEADD(year, -2000, [work].[dbo].[_AccumRg20159].[_Period] ) AS Date) as Period
      ,CONVERT(varchar(32),[work].[dbo].[_AccumRg20159].[_Fld20163RRef], 2) AS ID_Cashitems
      ,CASE  WHEN [work].[dbo].[_Reference111].[_IDRRef] IS NULL THEN '00000000000000000000000000000000' ELSE CONVERT(varchar(32),[work].[dbo].[_Reference111].[_IDRRef], 2) END AS ID_Klient
   ,CASE  WHEN [work].[dbo].[_Reference76].[_IDRRef] IS NULL THEN '00000000000000000000000000000000' ELSE CONVERT(varchar(32),[work].[dbo].[_Reference76].[_IDRRef], 2) END AS ID_Dogovor
   ,CONVERT(varchar(32),[work].[dbo].[_AccumRg20159].[_Fld20161RRef], 2) AS ID_VidDeneg
   ,CONVERT(varchar(32),[work].[dbo].[_AccumRg20159].[_Fld20160_RRRef], 2) AS ID_Account
   ,CONVERT(varchar(32),[work].[dbo].[_AccumRg20159].[_Fld20168RRef], 2) AS ID_Project
   ,CONVERT(varchar(32),[work].[dbo].[_AccumRg20159].[_Fld32331RRef], 2) AS ID_ID_Unit
      ,CONVERT(varchar(32),[work].[dbo].[_AccumRg20159].[_Fld20162RRef], 2) AS ID_PrihRash
   ,CONVERT(varchar(32),[work].[dbo].[_AccumRg20159].[_Fld20171RRef], 2) AS ID_Organization
  ,CONVERT(varchar(100),[work].[dbo].[_AccumRg20159].[_Fld32344], 2) AS Document
,([work].[dbo].[_AccumRg20159].[_Fld20172]) AS Summa
,([work].[dbo].[_AccumRg20159].[_Fld20173]) AS SummaUpr
,([work].[dbo].[_AccumRg20159].[_Fld29891]) AS SummaGrn
FROM  ([work].[dbo].[_AccumRg20159] LEFT JOIN [work].[dbo].[_Reference111] ON [work].[dbo].[_Reference111].[_IDRRef] = [work].[dbo].[_AccumRg20159].[_Fld20165_RRRef])
 LEFT JOIN [work].[dbo].[_Reference76] ON [work].[dbo].[_Reference76].[_IDRRef] = [work].[dbo].[_AccumRg20159].[_Fld20166RRef]
Where  CAST([_Period] AS Date)&gt;=DATEADD(year, 2000, CAST('2018-1-1' AS Date) )</t>
  </si>
  <si>
    <t>Валюты</t>
  </si>
  <si>
    <t>Банковские счета</t>
  </si>
  <si>
    <t>Use work
 SELECT   
 CONVERT(varchar(32),_IDRRef, 2) AS ID_Currency
 ,CONVERT(varchar(100),_Description, 2) as Description
 FROM dbo._Reference31
 UNION
 select
      '00000000000000000000000000000000'
      ,''</t>
  </si>
  <si>
    <t>Use work
 SELECT   
  CONVERT(varchar(32),_IDRRef, 2) AS ID_Account
 ,CONVERT(varchar(100),_Description, 2) as Description
 ,CONVERT(varchar(32),_Fld1806RRef, 2) as ID_Currency
 FROM dbo._Reference92
 UNION
 SELECT   
  CONVERT(varchar(32),_IDRRef, 2) AS ID_Account
 ,CONVERT(varchar(100),_Description, 2) as Description
 ,CONVERT(varchar(32),_Fld1458RRef, 2) as ID_Currency
 FROM dbo._Reference28
 UNION
 select
      '00000000000000000000000000000000'
      ,''
   ,'00000000000000000000000000000000'</t>
  </si>
  <si>
    <t>Use work
 SELECT   
 CONVERT(varchar(32),_IDRRef, 2) AS ID_Fizlico
 ,CONVERT(varchar(100),_Description, 2) as Description
 FROM dbo._Reference236
 UNION
 select
      '00000000000000000000000000000000'
      ,''</t>
  </si>
  <si>
    <t>Физические лица</t>
  </si>
  <si>
    <t xml:space="preserve">Use work
SELECT   CONVERT(varchar(32),_IDRRef, 2) AS ID_Dogovor
        ,CONVERT(varchar(32),[_OwnerIDRRef], 2) as ID_Klient
     ,CONVERT(varchar(100),_Description, 2) as Description
        ,CONVERT(varchar(32),_Fld22367RRef, 2) as ID_Manager
  ,CONVERT(varchar(32),_Fld22354RRef, 2) as ID_Unit 
  ,CONVERT(varchar(32),_Fld1689RRef, 2) as ID_VidDogovora
  ,CONVERT(varchar(32),_Fld1683RRef, 2) as ID_Organization 
  ,CONVERT(varchar(32),_Fld27064RRef, 2) as ID_Formofpayment
FROM dbo._Reference76
UNION
select
      '00000000000000000000000000000000'
      ,'00000000000000000000000000000000'
      ,''
      ,'00000000000000000000000000000000'
         ,'00000000000000000000000000000000'
   ,'00000000000000000000000000000000'
   ,'00000000000000000000000000000000'
   ,'00000000000000000000000000000000'
</t>
  </si>
  <si>
    <t xml:space="preserve">Use work
SELECT  CONVERT(varchar(32),_IDRRef, 2) AS _IDRRef
,CONVERT(varchar(32),_EnumOrder, 2) AS EnumOrder
,CONVERT(varchar(100),_IDRRef, 2) as Description
   FROM [work].[dbo].[_Enum590]
</t>
  </si>
  <si>
    <t>Вид договора</t>
  </si>
  <si>
    <t>Движения денежных средств ВСЕ</t>
  </si>
  <si>
    <t>Движения денежных средств КЕМПИНГ покупатели</t>
  </si>
  <si>
    <t>USE Work
SELECT 
       CAST(DATEADD(year, -2000, [work].[dbo].[_AccumRg20159].[_Period] ) AS Date) as Period
      ,CONVERT(varchar(32),[work].[dbo].[_AccumRg20159].[_Fld20163RRef], 2) AS ID_Cashitems
      ,CASE  WHEN [work].[dbo].[_Reference111].[_IDRRef] IS NULL THEN '00000000000000000000000000000000' ELSE CONVERT(varchar(32),[work].[dbo].[_Reference111].[_IDRRef], 2) END AS ID_Klient
   ,CASE  WHEN [work].[dbo].[_Reference76].[_IDRRef] IS NULL THEN '00000000000000000000000000000000' ELSE CONVERT(varchar(32),[work].[dbo].[_Reference76].[_IDRRef], 2) END AS ID_Dogovor
   ,CONVERT(varchar(32),[work].[dbo].[_AccumRg20159].[_Fld20161RRef], 2) AS ID_VidDeneg
   ,CONVERT(varchar(32),[work].[dbo].[_AccumRg20159].[_Fld20160_RRRef], 2) AS ID_Account
   ,CONVERT(varchar(32),[work].[dbo].[_AccumRg20159].[_Fld20168RRef], 2) AS ID_Project
   ,CONVERT(varchar(32),[work].[dbo].[_AccumRg20159].[_Fld32331RRef], 2) AS ID_ID_Unit
      ,CONVERT(varchar(32),[work].[dbo].[_AccumRg20159].[_Fld20162RRef], 2) AS ID_PrihRash
   ,CONVERT(varchar(32),[work].[dbo].[_AccumRg20159].[_Fld20171RRef], 2) AS ID_Organization
  ,CONVERT(varchar(100),[work].[dbo].[_AccumRg20159].[_Fld32344], 2) AS Document
  ,CONVERT(varchar(32),[work].[dbo].[_Reference76]._Fld1689RRef, 2) AS ID_VidDogovora
,([work].[dbo].[_AccumRg20159].[_Fld20172]) AS Summa
,([work].[dbo].[_AccumRg20159].[_Fld20173]) AS SummaUpr
,([work].[dbo].[_AccumRg20159].[_Fld29891]) AS SummaGrn
FROM  ([work].[dbo].[_AccumRg20159] LEFT JOIN [work].[dbo].[_Reference111] ON [work].[dbo].[_Reference111].[_IDRRef] = [work].[dbo].[_AccumRg20159].[_Fld20165_RRRef])
 LEFT JOIN [work].[dbo].[_Reference76] ON [work].[dbo].[_Reference76].[_IDRRef] = [work].[dbo].[_AccumRg20159].[_Fld20166RRef]
Where  CAST([_Period] AS Date)&gt;=DATEADD(year, 2000, CAST('2019-1-1' AS Date) )
AND     (CONVERT(varchar(32),[work].[dbo].[_AccumRg20159].[_Fld32331RRef], 2) = '8A4B0026B93C55C511E01B40EEB9975F') 
AND (CONVERT(varchar(32),[work].[dbo].[_Reference76]._Fld1689RRef, 2)= 'B925DDF88519246545187BDB56549803')</t>
  </si>
  <si>
    <t>Менеджер</t>
  </si>
  <si>
    <t xml:space="preserve">Use work
 SELECT   
 CONVERT(varchar(32),_IDRRef, 2) AS ID_Manager
  ,CONVERT(varchar(32),_ParentIDRRef, 2) AS ID_ManagerParent
 ,CONVERT(varchar(100),_Description, 2) as Description
 FROM dbo._Reference156
 UNION
 select
      '00000000000000000000000000000000'
   ,'00000000000000000000000000000000'
      ,''
</t>
  </si>
  <si>
    <t>Платежные документы кемпинг</t>
  </si>
  <si>
    <t>Use Olap
SELECT     Document
FROM         CashFlow_Kemping
GROUP BY Document</t>
  </si>
  <si>
    <t>Календарь Кемпинг</t>
  </si>
  <si>
    <t>Use Olap
SELECT     Fizlico.ID_Fizlico, Fizlico.Description
FROM         Manager LEFT OUTER JOIN
                      Fizlico ON Manager.ID_Fizlico = Fizlico.ID_Fizlico RIGHT OUTER JOIN
                      Dogovor ON Manager.ID_Manager = Dogovor.ID_Manager RIGHT OUTER JOIN
                      CashFlow_Kemping ON Dogovor.ID_Dogovor = CashFlow_Kemping.ID_Dogovor
GROUP BY Fizlico.ID_Fizlico, Fizlico.Description
HAVING      (Fizlico.ID_Fizlico &lt;&gt; '00000000000000000000000000000000')
UNION
 select
      '00000000000000000000000000000000'
      ,''</t>
  </si>
  <si>
    <t>План денег КЕМПИНГ</t>
  </si>
  <si>
    <t xml:space="preserve">USE Work
SELECT 
        CAST(DATEADD(year, -2000, [work].[dbo].[_AccumRg21369].[_Period] ) AS Date) as Period
       ,CONVERT(varchar(32),[work].[dbo].[_AccumRg21369].[_Fld21374RRef], 2) AS ID_Cashitems
       ,CONVERT(varchar(32),[work].[dbo].[_AccumRg21369].[_Fld21376_RRRef], 2) AS ID_Klient
       ,CONVERT(varchar(32),[work].[dbo].[_AccumRg21369].[_Fld21370RRef], 2) AS ID_Scenarios
       ,CONVERT(varchar(32),[work].[dbo].[_AccumRg21369].[_Fld21371RRef], 2) AS ID_VidDeneg
    ,CONVERT(varchar(32),[work].[dbo].[_AccumRg21369].[_Fld26447RRef], 2) AS ID_Manager
    ,CONVERT(varchar(32),[work].[dbo].[_AccumRg21369].[_Fld21375RRef], 2) AS ID_Project
    ,CONVERT(varchar(32),[work].[dbo].[_AccumRg21369].[_Fld21373RRef], 2) AS ID_Currency
    ,CONVERT(varchar(32),[work].[dbo].[_AccumRg21369].[_Fld21372RRef], 2) AS ID_PrihRash
    ,CONVERT(varchar(32),[work].[dbo].[_AccumRg21369].[_Fld32379RRef], 2) AS ID_Unit -- Подразделение
    ,CONVERT(varchar(100),[work].[dbo].[_AccumRg21369].[_Fld32387], 2) AS Document
    ,([work].[dbo].[_AccumRg21369].[_Fld30108]) AS SummaGrnZp
    ,([work].[dbo].[_AccumRg21369].[_Fld21380]) AS SummaVal
    ,([work].[dbo].[_AccumRg21369].[_Fld30109]) AS SummaGrn
FROM  [work].[dbo].[_AccumRg21369]
Where  CAST([_Period] AS Date)&gt;=DATEADD(year, 2000, CAST('2019-1-1' AS Date) ) 
--AND [work].[dbo].[_AccumRg21369].[_Fld30108]&gt;0
AND     (CONVERT(varchar(32),[work].[dbo].[_AccumRg21369].[_Fld32379RRef], 2) = '8A4B0026B93C55C511E01B40EEB9975F') -- Подразделение Кемпинг
AND     (CONVERT(varchar(32),[work].[dbo].[_AccumRg21369].[_Fld21372RRef], 2) = 'A2C71D935054BFD444C9F8B3123AB17D') -- Вид движения приход денег
</t>
  </si>
  <si>
    <t>Движения денежных средств Покупатели ВСЕ</t>
  </si>
  <si>
    <t xml:space="preserve">USE Work
SELECT 
       CAST(DATEADD(year, -2000, [work].[dbo].[_AccumRg20159].[_Period] ) AS Date) as Period
      ,CONVERT(varchar(32),[work].[dbo].[_AccumRg20159].[_Fld20163RRef], 2) AS ID_Cashitems
      ,CASE  WHEN [work].[dbo].[_Reference111].[_IDRRef] IS NULL THEN '00000000000000000000000000000000' ELSE CONVERT(varchar(32),[work].[dbo].[_Reference111].[_IDRRef], 2) END AS ID_Klient
   ,CASE  WHEN [work].[dbo].[_Reference76].[_IDRRef] IS NULL THEN '00000000000000000000000000000000' ELSE CONVERT(varchar(32),[work].[dbo].[_Reference76].[_IDRRef], 2) END AS ID_Dogovor
   ,CONVERT(varchar(32),[work].[dbo].[_AccumRg20159].[_Fld20161RRef], 2) AS ID_VidDeneg
   ,CONVERT(varchar(32),[work].[dbo].[_AccumRg20159].[_Fld20160_RRRef], 2) AS ID_Account
   ,CONVERT(varchar(32),[work].[dbo].[_AccumRg20159].[_Fld20168RRef], 2) AS ID_Project
   ,CONVERT(varchar(32),[work].[dbo].[_AccumRg20159].[_Fld32331RRef], 2) AS ID_ID_Unit
      ,CONVERT(varchar(32),[work].[dbo].[_AccumRg20159].[_Fld20162RRef], 2) AS ID_PrihRash
   ,CONVERT(varchar(32),[work].[dbo].[_AccumRg20159].[_Fld20171RRef], 2) AS ID_Organization
  ,CONVERT(varchar(100),[work].[dbo].[_AccumRg20159].[_Fld32344], 2) AS Document
  ,CONVERT(varchar(32),[work].[dbo].[_Reference76]._Fld1689RRef, 2) AS ID_VidDogovora
,([work].[dbo].[_AccumRg20159].[_Fld20172]) AS Summa
,([work].[dbo].[_AccumRg20159].[_Fld20173]) AS SummaUpr
,([work].[dbo].[_AccumRg20159].[_Fld29891]) AS SummaGrn
FROM  ([work].[dbo].[_AccumRg20159] LEFT JOIN [work].[dbo].[_Reference111] ON [work].[dbo].[_Reference111].[_IDRRef] = [work].[dbo].[_AccumRg20159].[_Fld20165_RRRef])
 LEFT JOIN [work].[dbo].[_Reference76] ON [work].[dbo].[_Reference76].[_IDRRef] = [work].[dbo].[_AccumRg20159].[_Fld20166RRef]
Where  CAST([_Period] AS Date)&gt;=DATEADD(year, 2000, CAST('2019-1-1' AS Date) )
AND (CONVERT(varchar(32),[work].[dbo].[_Reference76]._Fld1689RRef, 2)= 'B925DDF88519246545187BDB56549803')
</t>
  </si>
  <si>
    <t>Платежные документы Все Покупатели</t>
  </si>
  <si>
    <t>Use Olap
SELECT     Document
FROM         CashFlowPrihod_All
GROUP BY Document</t>
  </si>
  <si>
    <t>План денег ВСЕ</t>
  </si>
  <si>
    <t>А_Магазины</t>
  </si>
  <si>
    <t>Use work
 SELECT   
 CONVERT(varchar(32),_IDRRef, 2) AS ID_Shop
 ,CONVERT(varchar(100),_Description, 2) as Description
 ,CONVERT(varchar(32),_Fld22098RRef, 2) as ID_City
  ,CONVERT(varchar(32),_OwnerIDRRef, 2) as ID_Klient
  ,CONVERT(varchar(32),_Fld22095RRef, 2) as ID_Region
   ,[_Fld27736] AS Shirota
   ,[_Fld27737] AS Dolgota
 FROM dbo._Reference22086
 UNION
 select
      '00000000000000000000000000000000'
        ,''
   ,'00000000000000000000000000000000'
   ,'00000000000000000000000000000000'
   ,'00000000000000000000000000000000'
   ,0
   ,0</t>
  </si>
  <si>
    <t xml:space="preserve">USE Work
SELECT 
        CAST(DATEADD(year, -2000, [work].[dbo].[_AccumRg21369].[_Period] ) AS Date) as Period
       ,CONVERT(varchar(32),[work].[dbo].[_AccumRg21369].[_Fld21374RRef], 2) AS ID_Cashitems
       ,CONVERT(varchar(32),[work].[dbo].[_AccumRg21369].[_Fld21376_RRRef], 2) AS ID_Klient
       ,CONVERT(varchar(32),[work].[dbo].[_AccumRg21369].[_Fld21370RRef], 2) AS ID_Scenarios
       ,CONVERT(varchar(32),[work].[dbo].[_AccumRg21369].[_Fld21371RRef], 2) AS ID_VidDeneg
    ,CONVERT(varchar(32),[work].[dbo].[_AccumRg21369].[_Fld26447RRef], 2) AS ID_Manager
    ,CONVERT(varchar(32),[work].[dbo].[_AccumRg21369].[_Fld21375RRef], 2) AS ID_Project
    ,CONVERT(varchar(32),[work].[dbo].[_AccumRg21369].[_Fld21373RRef], 2) AS ID_Currency
    ,CONVERT(varchar(32),[work].[dbo].[_AccumRg21369].[_Fld21372RRef], 2) AS ID_PrihRash
    ,CONVERT(varchar(32),[work].[dbo].[_AccumRg21369].[_Fld32379RRef], 2) AS ID_Unit -- Подразделение
    ,CONVERT(varchar(100),[work].[dbo].[_AccumRg21369].[_Fld32387], 2) AS Document
    --,([work].[dbo].[_AccumRg21369].[_Fld30108]) AS SummaGrnZp
    -- ,([work].[dbo].[_AccumRg21369].[_Fld21380]) AS SummaVal
    --,([work].[dbo].[_AccumRg21369].[_Fld30109]) AS SummaGrn
 ,CASE  WHEN (CONVERT(varchar(32),[work].[dbo].[_AccumRg21369].[_Fld21370RRef], 2)= '8F7C2249E3196E6D46305BB508D72A7E') THEN [work].[dbo].[_AccumRg21369].[_Fld30108] ELSE 0 END AS SummaGrnZp
 ,CASE  WHEN (CONVERT(varchar(32),[work].[dbo].[_AccumRg21369].[_Fld21370RRef], 2)= '8F7C2249E3196E6D46305BB508D72A7E') THEN [work].[dbo].[_AccumRg21369].[_Fld21380] ELSE 0 END AS SummaVal
 ,CASE  WHEN (CONVERT(varchar(32),[work].[dbo].[_AccumRg21369].[_Fld21370RRef], 2)= '8F7C2249E3196E6D46305BB508D72A7E') THEN [work].[dbo].[_AccumRg21369].[_Fld30109] ELSE 0 END AS SummaGrn
 ,CASE  WHEN (CONVERT(varchar(32),[work].[dbo].[_AccumRg21369].[_Fld21370RRef], 2)= '84F1A115A439B2DD48D446796313ADE8') THEN [work].[dbo].[_AccumRg21369].[_Fld30108] ELSE 0 END AS SummaGrnZp_Year
    ,CASE  WHEN (CONVERT(varchar(32),[work].[dbo].[_AccumRg21369].[_Fld21370RRef], 2)= '84F1A115A439B2DD48D446796313ADE8') THEN [work].[dbo].[_AccumRg21369].[_Fld21380] ELSE 0 END AS SummaVal_Year
 ,CASE  WHEN (CONVERT(varchar(32),[work].[dbo].[_AccumRg21369].[_Fld21370RRef], 2)= '84F1A115A439B2DD48D446796313ADE8') THEN [work].[dbo].[_AccumRg21369].[_Fld30109] ELSE 0 END AS SummaGrn_Year
FROM  [work].[dbo].[_AccumRg21369]
Where  CAST([_Period] AS Date)&gt;=DATEADD(year, 2000, CAST('2019-1-1' AS Date) ) 
--AND [work].[dbo].[_AccumRg21369].[_Fld30108]&gt;0
AND     (CONVERT(varchar(32),[work].[dbo].[_AccumRg21369].[_Fld21372RRef], 2) = 'A2C71D935054BFD444C9F8B3123AB17D') -- Вид движения приход денег
</t>
  </si>
  <si>
    <t>Менеджер приход все</t>
  </si>
  <si>
    <t>use Olap
SELECT     tzFIO.ID_Fizlico, tzFIO.Description
FROM  (
SELECT     Fizlico.ID_Fizlico, Fizlico.Description
FROM         PlanCashAll LEFT OUTER JOIN
                      Manager ON PlanCashAll.ID_Manager = Manager.ID_Manager LEFT OUTER JOIN
                      Fizlico ON Manager.ID_Fizlico = Fizlico.ID_Fizlico
       GROUP BY Fizlico.ID_Fizlico, Fizlico.Description
HAVING      (Fizlico.ID_Fizlico &lt;&gt; '00000000000000000000000000000000')
UNION
SELECT     Fizlico.ID_Fizlico, Fizlico.Description
FROM         Manager LEFT OUTER JOIN
                      Fizlico ON Manager.ID_Fizlico = Fizlico.ID_Fizlico RIGHT OUTER JOIN
                      Dogovor ON Manager.ID_Manager = Dogovor.ID_Manager RIGHT OUTER JOIN
                      CashFlowPrihod_All ON Dogovor.ID_Dogovor = CashFlowPrihod_All.ID_Dogovor
GROUP BY Fizlico.ID_Fizlico, Fizlico.Description
HAVING      (Fizlico.ID_Fizlico &lt;&gt; '00000000000000000000000000000000')
UNION
 select
      '00000000000000000000000000000000'
   ,'') as tzFIO
    GROUP BY tzFIO.ID_Fizlico, tzFIO.Description</t>
  </si>
  <si>
    <t>А_ВыгрузкаВКубПриходДенег</t>
  </si>
  <si>
    <t>USE Olap
SELECT     PlanFact
FROM         CashFlowPrihodTorg
GROUP BY PlanFact</t>
  </si>
  <si>
    <t>CashFlowPrihodTorg</t>
  </si>
  <si>
    <t>Dimension_CashFlow_Manager</t>
  </si>
  <si>
    <t>USE Olap
SELECT     Manager
FROM         CashFlowPrihodTorg
GROUP BY Manager</t>
  </si>
  <si>
    <t>USE Olap
SELECT     Department
FROM         CashFlowPrihodTorg
GROUP BY Department</t>
  </si>
  <si>
    <t>Dimension_CashFlow_Department</t>
  </si>
  <si>
    <t>f</t>
  </si>
  <si>
    <t>А_КомментарийКПриходуДенег</t>
  </si>
  <si>
    <t xml:space="preserve">USE Work
SELECT 
       CAST(DATEADD(year, -2000, Work.[dbo].[_InfoRg32745].[_Period] ) AS Date) as Period
 ,CONVERT(varchar(150),Work.[dbo].[_InfoRg32745].[_Fld32746], 2) AS Department 
 ,Work.[dbo].[_InfoRg32745].[_Fld32747] AS Comment
FROM  Work.[dbo].[_InfoRg32745]
 Where  CAST([_Period] AS Date)&gt;=DATEADD(year, 2000, CAST('2019-01-1' AS Date) )
</t>
  </si>
  <si>
    <t xml:space="preserve">USE Olap
SELECT     Klient
FROM         CashFlowPrihodTorg
GROUP BY Klient
</t>
  </si>
  <si>
    <t>Dimension_CashFlow_Klient</t>
  </si>
  <si>
    <t xml:space="preserve">USE Olap
SELECT     KanalSbita
FROM         CashFlowPrihodTorg
GROUP BY KanalSbita
</t>
  </si>
  <si>
    <t>Dimension_CashFlow_KanalSbita</t>
  </si>
  <si>
    <t>Область</t>
  </si>
  <si>
    <t>Use work
 SELECT   
 CONVERT(varchar(32),_IDRRef, 2) AS ID_Oblast
   ,CONVERT(varchar(32),_ParentIDRRef, 2) AS ID_OblastParent
 ,CONVERT(varchar(100),_Description, 2) as Description
  ,CONVERT(varchar(100),dbo._Reference22087._Fld32800, 2) as EnglishRegion
 FROM dbo._Reference22087</t>
  </si>
  <si>
    <t xml:space="preserve">
SELECT TOP(30)
 CAST(DATEADD(year, -2000, [work].[dbo].[_AccumRg21515].[_Period] ) AS Date) as Period
 ,CONVERT(varchar(32),[work].[dbo].[_AccumRg21515].[_Fld21516RRef], 2) AS ID_Nomenklatura
 ,CONVERT(varchar(32),[work].[dbo].[_AccumRg21515].[_Fld21524RRef], 2) AS ID_Klient
 ,CONVERT(varchar(32),[work].[dbo].[_AccumRg21515].[_Fld21519RRef], 2) AS ID_Dogovor
 ,CONVERT(varchar(32),[work].[dbo].[_AccumRg21515].[_Fld21523RRef], 2) AS ID_Organization
 ,CONVERT(varchar(32),[work].[dbo].[_AccumRg21515].[_Fld26020RRef], 2) AS ID_Formofpayment -- Форма оплаты нал/безнал
 ,CONVERT(varchar(32),[work].[dbo].[_AccumRg21515].[_Fld21521RRef], 2) AS ID_Unit -- Подразделение
 ,CONVERT(varchar(32),[work].[dbo].[_AccumRg21515].[_Fld32311RRef], 2) AS ID_Shop -- Адрес доставки
 ,CONVERT(varchar(32),[work].[dbo].[_AccumRg21515].[_Fld32314RRef], 2) AS ID_Warehouse
 ,CONVERT(varchar(2),[work].[dbo].[_AccumRg21515].[_Fld32312], 2) AS ID_Documentarysale --Документальная продажа
 ,CONVERT(varchar(2),[work].[dbo].[_AccumRg21515].[_Fld30308], 2) AS ID_Stocksale --Продажа по акции
 ,[work].[dbo].[_AccumRg21515].[_Fld21525] AS Quantity
 ,[work].[dbo].[_AccumRg21515].[_Fld21526] AS SummaUE
 ,[work].[dbo].[_AccumRg21515].[_Fld29863] AS SummaGRN
 ,CASE  WHEN CONVERT(varchar(32),[_AccumRg21515].[_Fld32313], 2)='01' THEN [_AccumRg21515].[_Fld21525] ELSE 0 END AS QuantityOtgruzka
 ,CASE  WHEN CONVERT(varchar(32),[_AccumRg21515].[_Fld32313], 2)='00' THEN [_AccumRg21515].[_Fld21525] ELSE 0 END AS QuantityVozvrat
 ,CASE  WHEN CONVERT(varchar(32),[_AccumRg21515].[_Fld32313], 2)='01' THEN [_AccumRg21515].[_Fld29863] ELSE 0 END AS AmountOtgruzkaGRN
 ,CASE  WHEN CONVERT(varchar(32),[_AccumRg21515].[_Fld32313], 2)='00' THEN [_AccumRg21515].[_Fld29863] ELSE 0 END AS AmountVozvratGRN
 ,CASE  WHEN CONVERT(varchar(32),[_AccumRg21515].[_Fld32313], 2)='01' THEN [_AccumRg21515].[_Fld21526] ELSE 0 END AS AmountOtgruzkaUE
 ,CASE  WHEN CONVERT(varchar(32),[_AccumRg21515].[_Fld32313], 2)='00' THEN [_AccumRg21515].[_Fld21526] ELSE 0 END AS AmountVozvratUE  
  ,CASE  WHEN CONVERT(varchar(32),[_AccumRg21515].[_Fld32313], 2)='01' THEN [_AccumRg21515].[_Fld30306] ELSE 0 END AS AmountOtgruzkaStocksaleGRN  --Стоимость по скидочной цене
  ,CASE  WHEN CONVERT(varchar(32),[_AccumRg21515].[_Fld32313], 2)='01' THEN [_AccumRg21515].[_Fld29889] ELSE 0 END AS AmountOtgruzkawithoutdiscountGRN  --Стоимость без скидок
FROM  [work].[dbo].[_AccumRg21515] 
Where  CAST([work].[dbo].[_AccumRg21515].[_Period] AS Date)&gt;=DATEADD(year, 2000, CAST('2019-1-1' AS Date) )
</t>
  </si>
  <si>
    <t>А_ПланированиеПроизводства</t>
  </si>
  <si>
    <t>Nomenklatura_ZakupkiZapchasti</t>
  </si>
  <si>
    <t>USE olap
SELECT     NomenklaturaCode,Nomenklatura
FROM         PlanFactoryZakupkiZapchasti
GROUP BY NomenklaturaCode, Nomenklatura</t>
  </si>
  <si>
    <t>Postavchik_ZakupkiZapchasti</t>
  </si>
  <si>
    <t>USE olap
SELECT     Postavchik
FROM         PlanFactoryZakupkiZapchasti
GROUP BY Postavchik</t>
  </si>
  <si>
    <t xml:space="preserve">USE Work
SELECT 
        CAST(DATEADD(year, -2000, Work.[dbo].[_InfoRg30487].[_Fld30490] ) AS Date) as Period
       ,CAST(DATEADD(year, -2000, Work.[dbo].[_InfoRg30487].[_Fld33065] ) AS datetime) as PeriodRascheta
    ,CONVERT(varchar(200),Work.[dbo].[_InfoRg30487].[_Fld33063], 2)AS Nomenklatura
    ,CONVERT(varchar(30),Work.[dbo].[_InfoRg30487].[_Fld33066], 2)AS NomenklaturaCode
    ,CONVERT(varchar(200),Work.[dbo].[_InfoRg30487].[_Fld33064], 2)AS Postavchik
    ,CONVERT(varchar(150),Work.[dbo].[_InfoRg30487].[_Fld33067], 2)AS VidZakupki
,(Work.[dbo].[_InfoRg30487].[_Fld30491]) AS Ost_Begin --ОстатокНачало
,(Work.[dbo].[_InfoRg30487].[_Fld30814]) AS Ost_BeginSum --ОстатокНачалоСтоимость
,(Work.[dbo].[_InfoRg30487].[_Fld30492]) AS Potrebnost --Потребность
,(Work.[dbo].[_InfoRg30487].[_Fld30493]) AS Deficit --Дефицит
,(Work.[dbo].[_InfoRg30487].[_Fld30507]) AS DeficitNoZakrit --ДефицитНеЗакрытый
,(Work.[dbo].[_InfoRg30487].[_Fld30494]) AS PrihodPlan --ПоступлениеПлан
,(Work.[dbo].[_InfoRg30487].[_Fld30495]) AS PrihodFact --ПоступлениеФакт
,(Work.[dbo].[_InfoRg30487].[_Fld30496]) AS Ost_Finish --ОстатокКонец
,(Work.[dbo].[_InfoRg30487].[_Fld30497]) AS PrihodPlanSum --ПоступлениеПланСумма
,(Work.[dbo].[_InfoRg30487].[_Fld30498]) AS PlechoPrihod --ПлечоПоступления
,(Work.[dbo].[_InfoRg30487].[_Fld30499]) AS OplataPrihodPlanSum --ОплатаПоступлениеПланСумма
,(Work.[dbo].[_InfoRg30487].[_Fld30508]) AS PotrebnostSum --ПотребностьСумма
,(Work.[dbo].[_InfoRg30487].[_Fld30509]) AS DeficitSum --ДефицитСумма
,(Work.[dbo].[_InfoRg30487].[_Fld30510]) AS DeficitNoZakritSum --ДефицитНеЗакрытыйСумма
,(Work.[dbo].[_InfoRg30487].[_Fld30680]) AS OplataPlanSum --СуммаПлановыхОплат
,(Work.[dbo].[_InfoRg30487].[_Fld30681]) AS OplataFactSum --СуммаФактОплат
FROM  Work.[dbo].[_InfoRg30487]
</t>
  </si>
  <si>
    <t>А_ПланированиеПроизводстваРазмещеноВЗаказахПоставщику</t>
  </si>
  <si>
    <t xml:space="preserve">USE Work
SELECT 
        CAST(DATEADD(year, -2000, Work.[dbo].[_InfoRg33132].[_Fld33133] ) AS datetime) as Period
    ,CONVERT(varchar(200),Work.[dbo].[_InfoRg33132].[_Fld33134], 2)AS Nomenklatura
     ,CONVERT(varchar(30),Work.[dbo].[_InfoRg33132].[_Fld33135], 2)AS NomenklaturaCode
    ,CONVERT(varchar(200),Work.[dbo].[_InfoRg33132].[_Fld33136], 2)AS Production
     ,CONVERT(varchar(30),Work.[dbo].[_InfoRg33132].[_Fld33137], 2)AS ProductionCode
,(Work.[dbo].[_InfoRg33132].[_Fld33138]) AS Potrebnost_Nomenklatura --Потребность
FROM  Work.[dbo].[_InfoRg33132]
</t>
  </si>
  <si>
    <t>А_ПланированиеПроизводстваНоменклатураПродукция</t>
  </si>
  <si>
    <t>А_ПланированиеПроизводстваВыпускПродукции</t>
  </si>
  <si>
    <t xml:space="preserve">USE Work
SELECT 
        CAST(DATEADD(year, -2000, Work.[dbo].[_InfoRg33139].[_Fld33140] ) AS datetime) as Period
        ,CONVERT(varchar(200),Work.[dbo].[_InfoRg33139].[_Fld33141], 2)AS Production
        ,CONVERT(varchar(30),Work.[dbo].[_InfoRg33139].[_Fld33142], 2)AS ProductionCode
,(Work.[dbo].[_InfoRg33139].[_Fld33143]) AS Vipusk --Выпуск
FROM  Work.[dbo].[_InfoRg33139]
</t>
  </si>
  <si>
    <t xml:space="preserve">USE Work
SELECT 
        CAST(DATEADD(year, -2000, Work.[dbo].[_InfoRg33068].[_Fld33070] ) AS Date) as Period
    ,CONVERT(varchar(200),Work.[dbo].[_InfoRg33068].[_Fld33071], 2)AS Nomenklatura
     ,CONVERT(varchar(30),Work.[dbo].[_InfoRg33068].[_Fld33078], 2)AS NomenklaturaCode
    ,CONVERT(varchar(200),Work.[dbo].[_InfoRg33068].[_Fld33072], 2)AS Postavchik
    ,CONVERT(varchar(150),Work.[dbo].[_InfoRg33068].[_Fld33075], 2)AS DocumentZakaz
    ,CONVERT(varchar(150),Work.[dbo].[_InfoRg33068].[_Fld33079], 2)AS VidZakupki
 ,CAST(DATEADD(year, -2000, Work.[dbo].[_InfoRg33068].[_Fld33144] ) AS Date) as DatePrihod
,(Work.[dbo].[_InfoRg33068].[_Fld33076]) AS PrihodPlan_Zakaz --ПоступлениеПлан
,(Work.[dbo].[_InfoRg33068].[_Fld33077]) AS PrihodPlanSum_Zakaz --ПоступлениеПланСумма
FROM  Work.[dbo].[_InfoRg33068]
</t>
  </si>
  <si>
    <t>А_ФактБухПроизводстваНоменклатураПродукция</t>
  </si>
  <si>
    <t>А_ФактБухПроизводстваВыпускПродукции</t>
  </si>
  <si>
    <t>А_ФактБухПродажи</t>
  </si>
  <si>
    <t>А_ФактБухПродажиЦены</t>
  </si>
  <si>
    <t xml:space="preserve">USE Work
SELECT 
        CAST(DATEADD(year, -2000, Work.[dbo].[_InfoRg33157].[_Fld33158] ) AS datetime) as Period
    ,CONVERT(varchar(200),Work.[dbo].[_InfoRg33157].[_Fld33159], 2)AS Production
     ,CONVERT(varchar(30),Work.[dbo].[_InfoRg33157].[_Fld33160], 2)AS ProductionCode
,CONVERT(varchar(200),Work.[dbo].[_InfoRg33157].[_Fld33161], 2)AS Organization
,CONVERT(varchar(200),Work.[dbo].[_InfoRg33157].[_Fld33186], 2)AS Schet
,(Work.[dbo].[_InfoRg33157].[_Fld33162]) AS Quntity_Production 
,(Work.[dbo].[_InfoRg33157].[_Fld33163]) AS Suma_Production 
FROM  Work.[dbo].[_InfoRg33157]
</t>
  </si>
  <si>
    <t xml:space="preserve">USE Work
SELECT 
        CAST(DATEADD(year, -2000, Work.[dbo].[_InfoRg33164].[_Fld33165] ) AS datetime) as Period
    ,CONVERT(varchar(200),Work.[dbo].[_InfoRg33164].[_Fld33167], 2)AS Nomenklatura
     ,CONVERT(varchar(30),Work.[dbo].[_InfoRg33164].[_Fld33168], 2)AS NomenklaturaCode
    ,CONVERT(varchar(200),Work.[dbo].[_InfoRg33164].[_Fld33170], 2)AS Klient
     ,CONVERT(varchar(30),Work.[dbo].[_InfoRg33164].[_Fld33171], 2)AS Document
,CONVERT(varchar(200),Work.[dbo].[_InfoRg33164].[_Fld33172], 2)AS Organization
,CONVERT(varchar(200),Work.[dbo].[_InfoRg33164].[_Fld33169], 2)AS Schet
,(Work.[dbo].[_InfoRg33164].[_Fld33173]) AS Quntity 
,(Work.[dbo].[_InfoRg33164].[_Fld33174]) AS Suma_Sebestoimost
,(Work.[dbo].[_InfoRg33164].[_Fld33176]) AS Suma_BezNDS
,(Work.[dbo].[_InfoRg33164].[_Fld33175]) AS Suma_SNDS
FROM  Work.[dbo].[_InfoRg33164]
</t>
  </si>
  <si>
    <t xml:space="preserve">USE Work
SELECT 
        CAST(DATEADD(year, -2000, Work.[dbo].[_InfoRg33177].[_Fld33178] ) AS datetime) as Period
    ,CONVERT(varchar(200),Work.[dbo].[_InfoRg33177].[_Fld33179], 2)AS Nomenklatura
     ,CONVERT(varchar(30),Work.[dbo].[_InfoRg33177].[_Fld33180], 2)AS NomenklaturaCode
,CONVERT(varchar(200),Work.[dbo].[_InfoRg33177].[_Fld33181], 2)AS Organization
,(Work.[dbo].[_InfoRg33177].[_Fld33182]) AS PiceMin 
,(Work.[dbo].[_InfoRg33177].[_Fld33183]) AS PiceMax
,(Work.[dbo].[_InfoRg33177].[_Fld33184]) AS PiceSredn
FROM  Work.[dbo].[_InfoRg33177]
</t>
  </si>
  <si>
    <t>Buh_Nomenclatura</t>
  </si>
  <si>
    <t>USE Olap
SELECT     Organization
FROM (
SELECT     Organization
FROM         Buh_Sales
Union
SELECT     Organization
FROM         Buh_PriceSales
Union
SELECT     Organization
FROM         BuhFactory_VipuskProduction
Union
SELECT     Organization
FROM         BuhFactory_NomenklaturaProduction
) AS ERT
GROUP BY Organization</t>
  </si>
  <si>
    <t>Buh_Organization</t>
  </si>
  <si>
    <t xml:space="preserve">USE Olap
SELECT     Nomenklatura,NomenklaturaCode
FROM         BuhFactory_NomenklaturaProduction
GROUP BY Nomenklatura,NomenklaturaCode
</t>
  </si>
  <si>
    <t>Buh_Material</t>
  </si>
  <si>
    <t xml:space="preserve">USE Work
SELECT 
        CAST(DATEADD(year, -2000, Work.[dbo].[_InfoRg33146].[_Fld33147] ) AS datetime) as Period
    ,CONVERT(varchar(200),Work.[dbo].[_InfoRg33146].[_Fld33148], 2)AS Nomenklatura
     ,CONVERT(varchar(30),Work.[dbo].[_InfoRg33146].[_Fld33149], 2)AS NomenklaturaCode
    ,CONVERT(varchar(200),Work.[dbo].[_InfoRg33146].[_Fld33150], 2)AS Production
     ,CONVERT(varchar(30),Work.[dbo].[_InfoRg33146].[_Fld33151], 2)AS ProductionCode
,CONVERT(varchar(200),Work.[dbo].[_InfoRg33146].[_Fld33152], 2)AS Article
,CONVERT(varchar(200),Work.[dbo].[_InfoRg33146].[_Fld33153], 2)AS Organization
,CONVERT(varchar(200),Work.[dbo].[_InfoRg33146].[_Fld33154], 2)AS VidZakupki
,CONVERT(varchar(200),Work.[dbo].[_InfoRg33146].[_Fld33185], 2)AS Schet
,(Work.[dbo].[_InfoRg33146].[_Fld33187]) AS VidZakupkiNumber
,(Work.[dbo].[_InfoRg33146].[_Fld33155]) AS Quntity_Nomenklatura 
,(Work.[dbo].[_InfoRg33146].[_Fld33156]) AS Suma_Nomenklatura 
FROM  Work.[dbo].[_InfoRg33146]
</t>
  </si>
  <si>
    <t xml:space="preserve">USE Work
SELECT 
    CONVERT(varchar(200),Work.[dbo].[_InfoRg33188].[_Fld33190], 2)AS Nomenklatura
     ,CONVERT(varchar(30),Work.[dbo].[_InfoRg33188].[_Fld33191], 2)AS NomenklaturaCode
    ,CONVERT(varchar(200),Work.[dbo].[_InfoRg33188].[_Fld33192], 2)AS Progect
     ,CONVERT(varchar(30),Work.[dbo].[_InfoRg33188].[_Fld33193], 2)AS Nomenklatura_Group
,CONVERT(varchar(200),Work.[dbo].[_InfoRg33188].[_Fld33194], 2)AS Nomenklatura_SubGroup
,CONVERT(varchar(200),Work.[dbo].[_InfoRg33188].[_Fld33195], 2)AS Nomenklatura_TradeMark
,CONVERT(varchar(200),Work.[dbo].[_InfoRg33188].[_Fld33196], 2)AS Nomenklatura_Vid
FROM  Work.[dbo].[_InfoRg33188]
</t>
  </si>
  <si>
    <t>А_ФактБухгалтерскиеПродажи</t>
  </si>
  <si>
    <t>BuhBalance_Sales_Nomenklatura</t>
  </si>
  <si>
    <t xml:space="preserve">USE Work
SELECT 
    CONVERT(varchar(200),Work.[dbo].[_InfoRg33197].[_Fld33199], 2)AS Nomenklatura
     ,CONVERT(varchar(30),Work.[dbo].[_InfoRg33197].[_Fld33200], 2)AS NomenklaturaCode
    ,CONVERT(varchar(200),Work.[dbo].[_InfoRg33197].[_Fld33201], 2)AS Progect
     ,CONVERT(varchar(30),Work.[dbo].[_InfoRg33197].[_Fld33202], 2)AS Nomenklatura_Group
,CONVERT(varchar(200),Work.[dbo].[_InfoRg33197].[_Fld33203], 2)AS Nomenklatura_SubGroup
,CONVERT(varchar(200),Work.[dbo].[_InfoRg33197].[_Fld33204], 2)AS Nomenklatura_TradeMark
,CONVERT(varchar(200),Work.[dbo].[_InfoRg33197].[_Fld33207], 2)AS Nomenklatura_Vid
,CONVERT(varchar(200),Work.[dbo].[_InfoRg33197].[_Fld33208], 2)AS Nomenklatura_Postavchik
,CONVERT(varchar(200),Work.[dbo].[_InfoRg33197].[_Fld33205], 2)AS VidZakupki
,(Work.[dbo].[_InfoRg33197].[_Fld33206]) AS VidZakupkiNumber
FROM  Work.[dbo].[_InfoRg33197]
</t>
  </si>
  <si>
    <t>А_ФактУправленческиеПродажи</t>
  </si>
  <si>
    <t>А_ФактУправленческиеПродажиПоПодразделениям</t>
  </si>
  <si>
    <t xml:space="preserve">USE Work
SELECT 
       CAST(DATEADD(year, -2000, Work.[dbo].[_InfoRg33299].[_Period] ) AS Date) as Period
 ,CONVERT(varchar(150),Work.[dbo].[_InfoRg33299].[_Fld33300], 2) AS Department 
 ,Work.[dbo].[_InfoRg33299].[_Fld33301] AS Comment
FROM  Work.[dbo].[_InfoRg33299]
 Where  CAST([_Period] AS Date)&gt;=DATEADD(year, 2000, CAST('2021-01-1' AS Date) )
</t>
  </si>
  <si>
    <t>А_КомментарийКОтгрузкеТовара</t>
  </si>
  <si>
    <t xml:space="preserve">USE Olap
SELECT     Sales_payment
FROM         Upr_Sales
GROUP BY Sales_payment
</t>
  </si>
  <si>
    <t>Sales_payment</t>
  </si>
  <si>
    <t>Sales_channel</t>
  </si>
  <si>
    <t>Manager</t>
  </si>
  <si>
    <t xml:space="preserve">USE Olap
SELECT     Organization
FROM         Upr_Sales
GROUP BY Organization
</t>
  </si>
  <si>
    <t>Organization</t>
  </si>
  <si>
    <t xml:space="preserve">USE Olap
SELECT     VidSales
FROM         Upr_Sales
GROUP BY VidSales
</t>
  </si>
  <si>
    <t>VidSales</t>
  </si>
  <si>
    <t>Klient</t>
  </si>
  <si>
    <t xml:space="preserve">USE Olap
SELECT     Department
FROM (
SELECT     Department
FROM         Upr_Sales
Union
SELECT     Department
FROM         Upr_Sales_Comment
Union
SELECT     Department
FROM         Upr_SalesDepartment
) AS ERT
GROUP BY Department
</t>
  </si>
  <si>
    <t>Department</t>
  </si>
  <si>
    <t>А_УправленческиеОстаткиНоменклатура</t>
  </si>
  <si>
    <t>Upr_stock</t>
  </si>
  <si>
    <t xml:space="preserve">USE Work
SELECT 
   CONVERT(varchar(200),Work.[dbo].[_InfoRg33357].[_Fld33359], 2) AS Nomenklatura
  ,CONVERT(varchar(30), Work.[dbo].[_InfoRg33357].[_Fld33360], 2) AS NomenklaturaCode
  ,CONVERT(varchar(200),Work.[dbo].[_InfoRg33357].[_Fld33361], 2) AS Warehouse
,(Work.[dbo].[_InfoRg33357].[_Fld33363]) AS Quntity_Ostatok 
,(Work.[dbo].[_InfoRg33357].[_Fld33364]) AS Quntity_FreeOstatok
FROM  Work.[dbo].[_InfoRg33357]
</t>
  </si>
  <si>
    <t>А_ВторичныеПродажи</t>
  </si>
  <si>
    <t>Upr_SecondarySales</t>
  </si>
  <si>
    <t>Торговые точки</t>
  </si>
  <si>
    <t>А_УправленческиеОстаткиНоменклатураВторичка</t>
  </si>
  <si>
    <t xml:space="preserve">USE Work
SELECT 
   CONVERT(varchar(200),Work.[dbo].[_InfoRg33365].[_Fld33367], 2) AS Nomenklatura
  ,CONVERT(varchar(30), Work.[dbo].[_InfoRg33365].[_Fld33368], 2) AS NomenklaturaCode
  ,CONVERT(varchar(200),Work.[dbo].[_InfoRg33365].[_Fld33369], 2) AS Klient
  ,CONVERT(varchar(200),Work.[dbo].[_InfoRg33365].[_Fld33370], 2) AS Shop
  ,CONVERT(varchar(200),Work.[dbo].[_InfoRg33365].[_Fld33371], 2) AS Shop_ID
,(Work.[dbo].[_InfoRg33365].[_Fld33374]) AS Quntity_Ostatok 
FROM  Work.[dbo].[_InfoRg33365]
</t>
  </si>
  <si>
    <t>Upr_Secondarystock</t>
  </si>
  <si>
    <t>Upr_Sales_Catalog_Shop</t>
  </si>
  <si>
    <t xml:space="preserve">USE Work
SELECT 
    CONVERT(varchar(200),Work.[dbo].[_InfoRg33318].[_Fld33319], 2)AS Shop
     ,CONVERT(varchar(40),Work.[dbo].[_InfoRg33318].[_Fld33320], 2)AS Shop_ID
    ,CONVERT(varchar(200),Work.[dbo].[_InfoRg33318].[_Fld33321], 2)AS Klient
     ,CONVERT(varchar(200),Work.[dbo].[_InfoRg33318].[_Fld33324], 2)AS Region_Ukr
,CONVERT(varchar(200),Work.[dbo].[_InfoRg33318].[_Fld33325], 2)AS Region_Eng
,CONVERT(varchar(200),Work.[dbo].[_InfoRg33318].[_Fld33326], 2)AS Shop_short
,CONVERT(varchar(200),Work.[dbo].[_InfoRg33318].[_Fld33327], 2)AS City
,CONVERT(varchar(200),Work.[dbo].[_InfoRg33318].[_Fld33334], 2)AS Manager_RegionAppliances
,CONVERT(varchar(200),Work.[dbo].[_InfoRg33318].[_Fld33335], 2)AS Manager_RegionCamping 
,CONVERT(varchar(200),Work.[dbo].[_InfoRg33318].[_Fld33336], 2)AS Supervisor_Appliances 
,CONVERT(varchar(200),Work.[dbo].[_InfoRg33318].[_Fld33337], 2)AS Supervisor_Camping 
,CONVERT(varchar(200),Work.[dbo].[_InfoRg33318].[_Fld33338], 2)AS Manager_Appliances 
,CONVERT(varchar(200),Work.[dbo].[_InfoRg33318].[_Fld33339], 2)AS Manager_Camping 
,Work.[dbo].[_InfoRg33318].[_Fld33378]AS Shirota 
,Work.[dbo].[_InfoRg33318].[_Fld33379]AS Dolgota
,CONVERT(varchar(200),Work.[dbo].[_InfoRg33318].[_Fld33380], 2)AS Region_Ukr_Map
,CONVERT(varchar(200),Work.[dbo].[_InfoRg33318].[_Fld33381], 2)AS Region_Eng_Map
,Work.[dbo].[_InfoRg33318].[_Fld33382] AS Shop_map
FROM  Work.[dbo].[_InfoRg33318]
</t>
  </si>
  <si>
    <t xml:space="preserve">USE Work
SELECT 
        CAST(DATEADD(year, -2000, Work.[dbo].[_InfoRg33385].[_Fld33386] ) AS datetime) as Period
    ,CAST(DATEADD(year, -2000, Work.[dbo].[_InfoRg33385].[_Fld33387] ) AS datetime) as DataDocument
    ,CONVERT(varchar(200),Work.[dbo].[_InfoRg33385].[_Fld33388], 2)AS Nomenklatura
     ,CONVERT(varchar(30),Work.[dbo].[_InfoRg33385].[_Fld33389], 2)AS NomenklaturaCode
    ,CONVERT(varchar(200),Work.[dbo].[_InfoRg33385].[_Fld33391], 2)AS Klient
     ,CONVERT(varchar(200),Work.[dbo].[_InfoRg33385].[_Fld33392], 2)AS Document
  ,CONVERT(varchar(200),Work.[dbo].[_InfoRg33385].[_Fld33390], 2)AS Schet
,CONVERT(varchar(200),Work.[dbo].[_InfoRg33385].[_Fld33393], 2)AS Organization
,(Work.[dbo].[_InfoRg33385].[_Fld33395]) AS Quntity 
,(Work.[dbo].[_InfoRg33385].[_Fld33396]) AS Suma_GTD
,(Work.[dbo].[_InfoRg33385].[_Fld33397]) AS Suma_NDS
,(Work.[dbo].[_InfoRg33385].[_Fld33398]) AS Suma_Poshlina
FROM  Work.[dbo].[_InfoRg33385]
</t>
  </si>
  <si>
    <t>А_ФактБухгалтерскиеЗакупки</t>
  </si>
  <si>
    <t>Buh_Zakupki</t>
  </si>
  <si>
    <t>BuhBalance_Sales</t>
  </si>
  <si>
    <t xml:space="preserve">USE Work
SELECT 
        CAST(DATEADD(year, -2000, Work.[dbo].[_InfoRg33209].[_Fld33210] ) AS datetime) as Period
    ,CAST(DATEADD(year, -2000, Work.[dbo].[_InfoRg33209].[_Fld33211] ) AS datetime) as DataDocument
    ,CONVERT(varchar(200),Work.[dbo].[_InfoRg33209].[_Fld33212], 2)AS Nomenklatura
     ,CONVERT(varchar(30),Work.[dbo].[_InfoRg33209].[_Fld33213], 2)AS NomenklaturaCode
    ,CONVERT(varchar(200),Work.[dbo].[_InfoRg33209].[_Fld33215], 2)AS Klient
     ,CONVERT(varchar(200),Work.[dbo].[_InfoRg33209].[_Fld33216], 2)AS Document
  ,CONVERT(varchar(200),Work.[dbo].[_InfoRg33209].[_Fld33218], 2)AS VidSales
,CONVERT(varchar(200),Work.[dbo].[_InfoRg33209].[_Fld33217], 2)AS Organization
,CONVERT(varchar(200),Work.[dbo].[_InfoRg33209].[_Fld33214], 2)AS Schet
,CONVERT(varchar(200),Work.[dbo].[_InfoRg33209].[_Fld33402], 2)AS Sales_channel
,CONVERT(varchar(200),Work.[dbo].[_InfoRg33209].[_Fld33404], 2)AS Vid_Klient
,(Work.[dbo].[_InfoRg33209].[_Fld33219]) AS Quntity 
,(Work.[dbo].[_InfoRg33209].[_Fld33220]) AS Suma_Sebestoimost
,(Work.[dbo].[_InfoRg33209].[_Fld33222]) AS Suma_BezNDS
,(Work.[dbo].[_InfoRg33209].[_Fld33221]) AS Suma_SNDS
,(Work.[dbo].[_InfoRg33209].[_Fld33405]) AS Suma_SebestoimostGTD
FROM  Work.[dbo].[_InfoRg33209]
</t>
  </si>
  <si>
    <t>А_ОтпускаДляКуба</t>
  </si>
  <si>
    <t xml:space="preserve">USE Work
SELECT 
      CAST(DATEADD(year, -2000, Work.[dbo].[_InfoRg33443].[_Period] ) AS datetime) as Period
     ,CONVERT(varchar(200),Work.[dbo].[_InfoRg33443].[_Fld33444], 2) AS Fizlico
     ,CONVERT(varchar(30), Work.[dbo].[_InfoRg33443].[_Fld33445], 2) AS Position
   ,CONVERT(varchar(200),Work.[dbo].[_InfoRg33443].[_Fld33446], 2) AS Department
  ,CAST(DATEADD(year, -2000, Work.[dbo].[_InfoRg33443].[_Fld33451] ) AS datetime) as PeriodRascheta
  ,CONVERT(varchar(200),Work.[dbo].[_InfoRg33443].[_Fld33452], 2) AS VidDocumenta
   ,CONVERT(varchar(200),Work.[dbo].[_InfoRg33443].[_Fld33453], 2) AS Document
    ,CONVERT(varchar(200),Work.[dbo].[_InfoRg33443].[_Fld33454], 2) AS EtoProdavec
  ,CONVERT(varchar(200),Work.[dbo].[_InfoRg33443].[_Fld33455], 2) AS Klient
   ,CONVERT(varchar(200),Work.[dbo].[_InfoRg33443].[_Fld33456], 2) AS Shop
,(Work.[dbo].[_InfoRg33443].[_Fld33447]) AS Ostatok_Nach 
,(Work.[dbo].[_InfoRg33443].[_Fld33448]) AS Prihod
,(Work.[dbo].[_InfoRg33443].[_Fld33449]) AS Rashod
,(Work.[dbo].[_InfoRg33443].[_Fld33450]) AS Ostatok_Kon 
FROM  Work.[dbo].[_InfoRg33443]
</t>
  </si>
  <si>
    <t xml:space="preserve">USE Work
SELECT 
       CAST(DATEADD(year, -2000, Work.[dbo].[_InfoRg32735].[_Period] ) AS Date) as Period
    ,CONVERT(varchar(32),Work.[dbo].[_InfoRg32735].[_Fld32736], 2) AS PlanFact --Показатель
 ,CONVERT(varchar(150),Work.[dbo].[_InfoRg32735].[_Fld32737], 2) AS Manager
 ,CONVERT(varchar(150),Work.[dbo].[_InfoRg32735].[_Fld32739], 2) AS Department
 ,CONVERT(varchar(150),Work.[dbo].[_InfoRg32735].[_Fld32738], 2) AS Currency
 ,CONVERT(varchar(150),Work.[dbo].[_InfoRg32735].[_Fld32752], 2) AS VidDeneg
      ,CAST(DATEADD(year, -2000, Work.[dbo].[_InfoRg32735].[_Fld33457] ) AS datetime) as DataRasheta
   ,CONVERT(varchar(150),Work.[dbo].[_InfoRg32735].[_Fld32756], 2) AS Klient
   ,CONVERT(varchar(150),Work.[dbo].[_InfoRg32735].[_Fld32757], 2) AS KanalSbita
,Sum(Work.[dbo].[_InfoRg32735].[_Fld32740]) AS Summa_Plan
,Sum(Work.[dbo].[_InfoRg32735].[_Fld32741]) AS Summa_Fact
,Sum(Work.[dbo].[_InfoRg32735].[_Fld32742]) AS Summa
,Sum(Work.[dbo].[_InfoRg32735].[_Fld32743]) AS Summa_Grn
,Sum(Work.[dbo].[_InfoRg32735].[_Fld32744]) AS Summa_PlanYear
,Sum(Work.[dbo].[_InfoRg32735].[_Fld32749]) AS Summa_PlanLastYear
,Sum(Work.[dbo].[_InfoRg32735].[_Fld32750]) AS Summa_PlanLastOperat
,Sum(Work.[dbo].[_InfoRg32735].[_Fld32751]) AS Summa_FactLastYear
,Sum(Work.[dbo].[_InfoRg32735].[_Fld32753]) AS Summa_FactGrn
,Sum(Work.[dbo].[_InfoRg32735].[_Fld32754]) AS Summa_PlanGrn
FROM  Work.[dbo].[_InfoRg32735]
 Where  CAST([_Period] AS Date)&gt;=DATEADD(year, 2000, CAST('2019-01-1' AS Date) )
 GROUP BY CAST(DATEADD(year, -2000, Work.[dbo].[_InfoRg32735].[_Period] ) AS Date)
 ,CONVERT(varchar(32),Work.[dbo].[_InfoRg32735].[_Fld32736], 2)  
 ,CONVERT(varchar(150),Work.[dbo].[_InfoRg32735].[_Fld32737], 2)
 ,CONVERT(varchar(150),Work.[dbo].[_InfoRg32735].[_Fld32739], 2)
 ,CONVERT(varchar(150),Work.[dbo].[_InfoRg32735].[_Fld32738], 2)
 ,CONVERT(varchar(150),Work.[dbo].[_InfoRg32735].[_Fld32752], 2)
 ,CONVERT(varchar(150),Work.[dbo].[_InfoRg32735].[_Fld32756], 2)
 ,CONVERT(varchar(150),Work.[dbo].[_InfoRg32735].[_Fld32757], 2)
  ,CAST(DATEADD(year, -2000, Work.[dbo].[_InfoRg32735].[_Fld33457] ) AS datetime)
</t>
  </si>
  <si>
    <t xml:space="preserve">Use olap
SELECT      Calendar.*,DATEPART(week, date_) - DATEPART(week, DATEADD(month, DATEDIFF(month, 0, date_), 0))+1 as week_month,
 CAST(dateadd(dw,-datepart(dw,date_)+1,date_) AS date)as week_date
FROM         Calendar
WHERE     
                      (year_ = 2019) OR
                      (year_ = 2020)OR
                      (year_ = 2021)OR
                      (year_ = 2022)
</t>
  </si>
  <si>
    <t>А_НачислениеПроцентовНаДебиторскуюЗадолженностьПокупателя</t>
  </si>
  <si>
    <t xml:space="preserve">USE Olap
SELECT     Klient
FROM        ( 
SELECT Klient
FROM  Upr_Sales
Union
SELECT     Klient
FROM         Debitorka
) AS ERT
GROUP BY Klient
</t>
  </si>
  <si>
    <t xml:space="preserve">
USE Olap
SELECT     Sales_channel
FROM        ( 
SELECT Sales_channel
FROM  Upr_Sales
Union
SELECT     Sales_channel
FROM         Debitorka
Union
SELECT     KanalSbita
FROM         Dimension_CashFlow_KanalSbita
) AS ERT
GROUP BY Sales_channel
</t>
  </si>
  <si>
    <t xml:space="preserve">USE Work
SELECT 
      CAST(DATEADD(year, -2000, Work.[dbo].[_InfoRg33258].[_Fld33313] ) AS datetime) as Period
    -- ,CAST(DATEADD(year, -2000, Work.[dbo].[_InfoRg33258].[_Fld33259] ) AS datetime) as DataDocument
     ,CONVERT(varchar(200),Work.[dbo].[_InfoRg33258].[_Fld33260], 2) AS Nomenklatura
     ,CONVERT(varchar(30), Work.[dbo].[_InfoRg33258].[_Fld33261], 2) AS NomenklaturaCode
     ,CONVERT(varchar(200),Work.[dbo].[_InfoRg33258].[_Fld33262], 2) AS Klient
     ,CONVERT(varchar(200),Work.[dbo].[_InfoRg33258].[_Fld33263], 2) AS Document
  ,CONVERT(varchar(200),Work.[dbo].[_InfoRg33258].[_Fld33264], 2) AS Organization
  ,CONVERT(varchar(200),Work.[dbo].[_InfoRg33258].[_Fld33266], 2) AS Manager
  ,CONVERT(varchar(200),Work.[dbo].[_InfoRg33258].[_Fld33267], 2) AS Department
  ,CONVERT(varchar(200),'Сеть', 2)  as Sales_channel
  ,CONVERT(varchar(200),Work.[dbo].[_InfoRg33258].[_Fld33268], 2) AS Shop
  ,CONVERT(varchar(200),Work.[dbo].[_InfoRg33258].[_Fld33269], 2) AS Shop_ID
  ,CONVERT(varchar(200),Work.[dbo].[_InfoRg33258].[_Fld33356], 2) AS NomenklaturaSegment 
   ,CAST(DATEADD(year, -2000, Work.[dbo].[_InfoRg33258].[_Fld33418] ) AS datetime) as PeriodRascheta
,(Work.[dbo].[_InfoRg33258].[_Fld33270]) AS Quntity_Ostatok 
,(Work.[dbo].[_InfoRg33258].[_Fld33271]) AS Suma_Ostatok
,(Work.[dbo].[_InfoRg33258].[_Fld33272]) AS Quntity_Sales
,(Work.[dbo].[_InfoRg33258].[_Fld33273]) AS Suma_Sales 
,(Work.[dbo].[_InfoRg33258].[_Fld33274]) AS Suma_SalesRetail
,(Work.[dbo].[_InfoRg33258].[_Fld33275]) AS Quntity_Plan 
,(Work.[dbo].[_InfoRg33258].[_Fld33276]) AS Suma_Plan
,(Work.[dbo].[_InfoRg33258].[_Fld33333]) AS Suma_PlanSalesRetail
FROM  Work.[dbo].[_InfoRg33258]
</t>
  </si>
  <si>
    <t>А_КадровыйУчетУволенныхВКуб</t>
  </si>
  <si>
    <t>А_КадровыйУчетРаботающихВКуб</t>
  </si>
  <si>
    <t>А_КадровыйУчетПринятыйВКуб</t>
  </si>
  <si>
    <t xml:space="preserve">USE Olap
SELECT     Fizlico
FROM (
SELECT     Fizlico
FROM         Working_Sotrudniki
Union
SELECT     Fizlico
FROM         Uvolen_Sotrudniki
Union
SELECT     Fizlico
FROM         Prinyat_Sotrudniki
) AS ERT
GROUP BY Fizlico
</t>
  </si>
  <si>
    <t>Fizlico Кадровый учет</t>
  </si>
  <si>
    <t xml:space="preserve">USE Olap
SELECT     Department
FROM (
SELECT     Department
FROM         Working_Sotrudniki
Union
SELECT     Department
FROM         Uvolen_Sotrudniki
Union
SELECT     Department
FROM         Prinyat_Sotrudniki
) AS ERT
GROUP BY Department
</t>
  </si>
  <si>
    <t>Working_Fizlico</t>
  </si>
  <si>
    <t>Department Кадровый учет</t>
  </si>
  <si>
    <t>Working_Department</t>
  </si>
  <si>
    <t xml:space="preserve">USE Olap
SELECT     Klient
FROM (
SELECT     Klient
FROM         Working_Sotrudniki
Union
SELECT     Klient
FROM         Uvolen_Sotrudniki
Union
SELECT     Klient
FROM         Prinyat_Sotrudniki
) AS ERT
GROUP BY Klient
</t>
  </si>
  <si>
    <t>Working_Klient</t>
  </si>
  <si>
    <t>Klient Кадровый учет</t>
  </si>
  <si>
    <t>А_ЗарплатаУпрВКуб</t>
  </si>
  <si>
    <t>USE Work
SELECT 
        CAST(DATEADD(year, -2000, Work.[dbo].[_InfoRg33987]._Period ) AS datetime) as Period
    ,CONVERT(varchar(200),Work.[dbo].[_InfoRg33987].[_Fld33988], 2)AS Fizlico
  ,CONVERT(varchar(200),Work.[dbo].[_InfoRg33987].[_Fld33989], 2)AS Position
   ,CONVERT(varchar(200),Work.[dbo].[_InfoRg33987].[_Fld33990], 2)AS Department
    ,CONVERT(varchar(200),Work.[dbo].[_InfoRg33987].[_Fld33991], 2)AS EtoProdavec
     ,CONVERT(varchar(200),Work.[dbo].[_InfoRg33987].[_Fld33992], 2)AS Klient
   ,CONVERT(varchar(200),Work.[dbo].[_InfoRg33987].[_Fld33993], 2)AS Shop
    ,CONVERT(varchar(200),Work.[dbo].[_InfoRg33987].[_Fld33994], 2)AS VidRasheta
    ,CONVERT(varchar(200),Work.[dbo].[_InfoRg33987].[_Fld33999], 2)AS PositionUroven
  ,CONVERT(varchar(200),Work.[dbo].[_InfoRg33987].[_Fld34033], 2)AS FizlicoCode
,(Work.[dbo].[_InfoRg33987].[_Fld33995]) AS Summa_Initial 
,(Work.[dbo].[_InfoRg33987].[_Fld33996]) AS Summa_Prihod 
,(Work.[dbo].[_InfoRg33987].[_Fld33997]) AS Summa_Rashod 
,(Work.[dbo].[_InfoRg33987].[_Fld33998]) AS Summa_Final 
,(Work.[dbo].[_InfoRg33987].[_Fld34000]) AS Quntity_Day 
,(Work.[dbo].[_InfoRg33987].[_Fld34001]) AS Quntity_Clock 
,(Work.[dbo].[_InfoRg33987].[_Fld34002]) AS Quntity_Hospital 
,(Work.[dbo].[_InfoRg33987].[_Fld34003]) AS Quntity_Vacation 
,(Work.[dbo].[_InfoRg33987].[_Fld34004]) AS Quntity_Study 
,(Work.[dbo].[_InfoRg33987].[_Fld34005]) AS Summa_Oklad 
,(Work.[dbo].[_InfoRg33987].[_Fld34006]) AS Summa_Nachisleno
FROM  Work.[dbo].[_InfoRg33987]</t>
  </si>
  <si>
    <t>Working_Sotrudniki</t>
  </si>
  <si>
    <t xml:space="preserve">USE Work
SELECT 
        CAST(DATEADD(year, -2000, Work.[dbo].[_InfoRg33930]._Period ) AS datetime) as Period
    ,CONVERT(varchar(200),Work.[dbo].[_InfoRg33930].[_Fld33931], 2)AS Fizlico
    ,CONVERT(varchar(200),Work.[dbo].[_InfoRg33930].[_Fld34030], 2)AS FizlicoCode
  ,CONVERT(varchar(200),Work.[dbo].[_InfoRg33930].[_Fld33932], 2)AS Position
   ,CONVERT(varchar(200),Work.[dbo].[_InfoRg33930].[_Fld33933], 2)AS Department
    ,CONVERT(varchar(200),Work.[dbo].[_InfoRg33930].[_Fld33934], 2)AS EtoProdavec
     ,CONVERT(varchar(200),Work.[dbo].[_InfoRg33930].[_Fld33935], 2)AS Klient
   ,CONVERT(varchar(200),Work.[dbo].[_InfoRg33930].[_Fld33936], 2)AS Shop
    ,CONVERT(varchar(200),Work.[dbo].[_InfoRg33930].[_Fld33937], 2)AS Pol
     ,CONVERT(varchar(200),Work.[dbo].[_InfoRg33930].[_Fld33938], 2)AS ShkalaVozrasta
      ,CONVERT(varchar(200),Work.[dbo].[_InfoRg33930].[_Fld33939], 2)AS ShkalaStag
  ,CONVERT(varchar(200),Work.[dbo].[_InfoRg33930].[_Fld33940], 2)AS PositionUroven
  , CAST(DATEADD(year, -2000, Work.[dbo].[_InfoRg33930].[_Fld33980] ) AS date) as Date_Priyom
  , CAST(DATEADD(year, -2000, Work.[dbo].[_InfoRg33930].[_Fld33981] ) AS date) as Date_Birthday
,(Work.[dbo].[_InfoRg33930].[_Fld33941]) AS WorkQuntity 
,(Work.[dbo].[_InfoRg33930].[_Fld33945]) AS Vozrast 
,(Work.[dbo].[_InfoRg33930].[_Fld33942]) AS StagYear
FROM  Work.[dbo].[_InfoRg33930]
</t>
  </si>
  <si>
    <t xml:space="preserve">USE Work
SELECT 
        CAST(DATEADD(year, -2000, Work.[dbo].[_InfoRg33962]._Period ) AS datetime) as Period
    ,CONVERT(varchar(200),Work.[dbo].[_InfoRg33962].[_Fld33963], 2)AS Fizlico
    ,CONVERT(varchar(200),Work.[dbo].[_InfoRg33962].[_Fld34032], 2)AS FizlicoCode
  ,CONVERT(varchar(200),Work.[dbo].[_InfoRg33962].[_Fld33964], 2)AS Position
   ,CONVERT(varchar(200),Work.[dbo].[_InfoRg33962].[_Fld33965], 2)AS Department
    ,CONVERT(varchar(200),Work.[dbo].[_InfoRg33962].[_Fld33966], 2)AS EtoProdavec
     ,CONVERT(varchar(200),Work.[dbo].[_InfoRg33962].[_Fld33967], 2)AS Klient
   ,CONVERT(varchar(200),Work.[dbo].[_InfoRg33962].[_Fld33968], 2)AS Shop
    ,CONVERT(varchar(200),Work.[dbo].[_InfoRg33962].[_Fld33969], 2)AS Pol
     ,CONVERT(varchar(200),Work.[dbo].[_InfoRg33962].[_Fld33970], 2)AS ShkalaVozrasta
      ,CONVERT(varchar(200),Work.[dbo].[_InfoRg33962].[_Fld33971], 2)AS ShkalaStag
  ,CONVERT(varchar(200),Work.[dbo].[_InfoRg33962].[_Fld33972], 2)AS PositionUroven
 , CAST(DATEADD(year, -2000, Work.[dbo].[_InfoRg33962].[_Fld33984] ) AS date) as Date_Priyom
  , CAST(DATEADD(year, -2000, Work.[dbo].[_InfoRg33962].[_Fld33985] ) AS date) as Date_Birthday
,(Work.[dbo].[_InfoRg33962].[_Fld33973]) AS Prinyat_Quntity 
,(Work.[dbo].[_InfoRg33962].[_Fld33977]) AS Prinyat_Vozrast 
,(Work.[dbo].[_InfoRg33962].[_Fld33974]) AS Prinyat_StagYear
FROM  Work.[dbo].[_InfoRg33962]
</t>
  </si>
  <si>
    <t>Prinyat_Sotrudniki</t>
  </si>
  <si>
    <t>Uvolen_Sotrudniki</t>
  </si>
  <si>
    <t xml:space="preserve">USE Work
SELECT 
        CAST(DATEADD(year, -2000, Work.[dbo].[_InfoRg33946]._Period ) AS datetime) as Period
    ,CONVERT(varchar(200),Work.[dbo].[_InfoRg33946].[_Fld33947], 2)AS Fizlico
    ,CONVERT(varchar(200),Work.[dbo].[_InfoRg33946].[_Fld34031], 2)AS FizlicoCode
  ,CONVERT(varchar(200),Work.[dbo].[_InfoRg33946].[_Fld33948], 2)AS Position
   ,CONVERT(varchar(200),Work.[dbo].[_InfoRg33946].[_Fld33949], 2)AS Department
    ,CONVERT(varchar(200),Work.[dbo].[_InfoRg33946].[_Fld33950], 2)AS EtoProdavec
     ,CONVERT(varchar(200),Work.[dbo].[_InfoRg33946].[_Fld33951], 2)AS Klient
   ,CONVERT(varchar(200),Work.[dbo].[_InfoRg33946].[_Fld33952], 2)AS Shop
    ,CONVERT(varchar(200),Work.[dbo].[_InfoRg33946].[_Fld33953], 2)AS Pol
     ,CONVERT(varchar(200),Work.[dbo].[_InfoRg33946].[_Fld33954], 2)AS ShkalaVozrasta
      ,CONVERT(varchar(200),Work.[dbo].[_InfoRg33946].[_Fld33955], 2)AS ShkalaStag
  ,CONVERT(varchar(200),Work.[dbo].[_InfoRg33946].[_Fld33956], 2)AS PositionUroven
  , CAST(DATEADD(year, -2000, Work.[dbo].[_InfoRg33946].[_Fld33982] ) AS date) as Date_Priyom
  , CAST(DATEADD(year, -2000, Work.[dbo].[_InfoRg33946].[_Fld33983] ) AS date) as Date_Birthday 
  , CAST(DATEADD(year, -2000, Work.[dbo].[_InfoRg33946].[_Fld33986] ) AS date) as Date_Uvolen 
,(Work.[dbo].[_InfoRg33946].[_Fld33957]) AS Uvolen_Quntity 
,(Work.[dbo].[_InfoRg33946].[_Fld33961]) AS Uvolen_Vozrast 
,(Work.[dbo].[_InfoRg33946].[_Fld33958]) AS Uvolen_StagYear
FROM  Work.[dbo].[_InfoRg33946]
</t>
  </si>
  <si>
    <t>Salary</t>
  </si>
  <si>
    <t>Buh_PlanZakupki_Invoice</t>
  </si>
  <si>
    <t>А_ПлановыеЗакупкиИмпорт</t>
  </si>
  <si>
    <t xml:space="preserve">USE Work
SELECT 
        CAST(DATEADD(year, -2000, Work.[dbo].[_InfoRg34035].[_Fld34036] ) AS datetime) as PeriodZakupki
  ,CAST(DATEADD(year, -2000, Work.[dbo].[_InfoRg34035].[_Fld34037] ) AS date) as DataDocument
    ,CONVERT(varchar(200),Work.[dbo].[_InfoRg34035].[_Fld34038], 2)AS Nomenklatura
     ,CONVERT(varchar(30),Work.[dbo].[_InfoRg34035].[_Fld34039], 2)AS NomenklaturaCode
    ,CONVERT(varchar(200),Work.[dbo].[_InfoRg34035].[_Fld34041], 2)AS KlientPostavchik
     ,CONVERT(varchar(200),Work.[dbo].[_InfoRg34035].[_Fld34042], 2)AS Document
  ,CONVERT(varchar(200),Work.[dbo].[_InfoRg34035].[_Fld34043], 2)AS Currency
,(Work.[dbo].[_InfoRg34035].[_Fld34045]) AS Zakupki_Quntity 
,(Work.[dbo].[_InfoRg34035].[_Fld34046]) AS Summa_Invoice
,(Work.[dbo].[_InfoRg34035].[_Fld34047]) AS Summa_InvoiceGrn
,(Work.[dbo].[_InfoRg34035].[_Fld34049]) AS Kurs
,(Work.[dbo].[_InfoRg34035].[_Fld34058]) AS Price_Invoice
,(Work.[dbo].[_InfoRg34035].[_Fld34050]) AS Price_InvoiceGrn
,(Work.[dbo].[_InfoRg34035].[_Fld34051]) AS Price_Sales
,(Work.[dbo].[_InfoRg34035].[_Fld34055]) AS Price_SalesMin
,(Work.[dbo].[_InfoRg34035].[_Fld34054]) AS Price_SalesMax
,(Work.[dbo].[_InfoRg34035].[_Fld34052]) AS Price_GTD
,(Work.[dbo].[_InfoRg34035].[_Fld34056]) AS Sales_Quntity 
,CONVERT(varchar(200),Work.[dbo].[_InfoRg34035].[_Fld34057], 2)AS Period_Sales
,CONVERT(varchar(200),Work.[dbo].[_InfoRg34035].[_Fld34053], 2)AS DocumentGTD
FROM  Work.[dbo].[_InfoRg34035]
</t>
  </si>
  <si>
    <t xml:space="preserve">USE Olap
SELECT     Manager
FROM        ( 
SELECT Manager
FROM  Upr_Sales
Union
SELECT     Manager
FROM         Debitorka
Union
SELECT Manager
FROM  Upr_SalesDepartment
) AS ERT
GROUP BY Manager
</t>
  </si>
  <si>
    <t xml:space="preserve">USE Work
SELECT 
  CAST(DATEADD(year, -2000, Work.[dbo].[_InfoRg33340].[_Fld33341] ) AS datetime) as Period
  ,CAST(DATEADD(year, -2000, Work.[dbo].[_InfoRg33340].[_Fld33353] ) AS datetime) as PeriodRascheta
  ,CONVERT(varchar(200),Work.[dbo].[_InfoRg33340].[_Fld33342], 2) AS Department
  ,CONVERT(varchar(200),Work.[dbo].[_InfoRg33340].[_Fld34065], 2) AS Manager
,(Work.[dbo].[_InfoRg33340].[_Fld33343]) AS Suma_Sales
,(Work.[dbo].[_InfoRg33340].[_Fld33344]) AS Suma_SalesLastYear
,(Work.[dbo].[_InfoRg33340].[_Fld33345]) AS Suma_Forecast
,(Work.[dbo].[_InfoRg33340].[_Fld33346]) AS Suma_Budget
,(Work.[dbo].[_InfoRg33340].[_Fld33347]) AS Suma_Plan
,(Work.[dbo].[_InfoRg33340].[_Fld34066]) AS Suma_PlanManager
,(Work.[dbo].[_InfoRg33340].[_Fld34067]) AS Suma_ForecastManager
FROM  Work.[dbo].[_InfoRg33340]
</t>
  </si>
  <si>
    <t>WHERE     (Period = CONVERT(DATETIME, '2021-10-01 00:00:00', 102))</t>
  </si>
  <si>
    <t xml:space="preserve">USE Work
SELECT 
 CAST(DATEADD(year, -2000, [work].[dbo].[_AccumRg27757].[_Period] ) AS datetime) as Period
, CONVERT(varchar(200),[work].[dbo].[_AccumRg27757].[_Fld33633], 2)  AS Organization
, CONVERT(varchar(200),[work].[dbo].[_AccumRg27757].[_Fld33634], 2)  AS Klient
, CONVERT(varchar(200),[work].[dbo].[_AccumRg27757].[_Fld33636], 2)  AS Dogovor
, CONVERT(varchar(200),[work].[dbo].[_AccumRg27757].[_Fld33640], 2)  AS Document
, CONVERT(varchar(200),[work].[dbo].[_AccumRg27757].[_Fld33638], 2)  AS Department
, CONVERT(varchar(200),[work].[dbo].[_AccumRg27757].[_Fld33641], 2)  AS Manager
, CONVERT(varchar(200),[work].[dbo].[_AccumRg27757].[_Fld33647], 2)  AS Sales_channel
,([work].[dbo].[_AccumRg27757].[_Fld33642]) AS ProsrochDay
,([work].[dbo].[_AccumRg27757].[_Fld27761]) AS ProsrochSumma
,([work].[dbo].[_AccumRg27757].[_Fld27762]) AS NachislenoSumma
,([work].[dbo].[_AccumRg27757].[_Fld33645]) AS DebitorkaSumma
,([work].[dbo].[_AccumRg27757].[_Fld33643]) AS DebitorkaSumma_Month
,([work].[dbo].[_AccumRg27757].[_Fld28328]) AS ProsrochSumma_Month
,([work].[dbo].[_AccumRg27757].[_Fld33644]) AS ProsrochDay_Month
,([work].[dbo].[_AccumRg27757].[_Fld33781]) AS ProsrochSumma_Day14
,([work].[dbo].[_AccumRg27757].[_Fld33782]) AS ProsrochSumma_Month_Day14
FROM  [work].[dbo].[_AccumRg27757] 
</t>
  </si>
  <si>
    <t xml:space="preserve">USE Work
SELECT 
      CAST(DATEADD(year, -2000, Work.[dbo].[_InfoRg33227].[_Fld33312] ) AS datetime) as Period
     ,CONVERT(varchar(200),Work.[dbo].[_InfoRg33227].[_Fld33229], 2) AS Nomenklatura
     ,CONVERT(varchar(30), Work.[dbo].[_InfoRg33227].[_Fld33230], 2) AS NomenklaturaCode
     ,CONVERT(varchar(200),Work.[dbo].[_InfoRg33227].[_Fld33231], 2) AS Klient
     ,CONVERT(varchar(200),Work.[dbo].[_InfoRg33227].[_Fld33234], 2) AS VidSales
  ,CONVERT(varchar(200),Work.[dbo].[_InfoRg33227].[_Fld33233], 2) AS Organization
  ,CONVERT(varchar(200),Work.[dbo].[_InfoRg33227].[_Fld33236], 2) AS Manager
  ,CONVERT(varchar(200),Work.[dbo].[_InfoRg33227].[_Fld33237], 2) AS Sales_channel
  ,CONVERT(varchar(200),Work.[dbo].[_InfoRg33227].[_Fld33238], 2) AS Department
  ,CONVERT(varchar(200),Work.[dbo].[_InfoRg33227].[_Fld33239], 2) AS Sales_payment
  ,CONVERT(varchar(200),Work.[dbo].[_InfoRg33227].[_Fld33290], 2) AS Shop
  ,CONVERT(varchar(200),Work.[dbo].[_InfoRg33227].[_Fld33291], 2) AS Shop_ID
  ,CONVERT(varchar(200),Work.[dbo].[_InfoRg33227].[_Fld33314], 2) AS Warehouse
,(Work.[dbo].[_InfoRg33227].[_Fld33240]) AS Quntity_Sales 
,(Work.[dbo].[_InfoRg33227].[_Fld33241]) AS Suma_SalesGrn
,(Work.[dbo].[_InfoRg33227].[_Fld33316]) AS Suma_SalesVal
,(Work.[dbo].[_InfoRg33227].[_Fld33242]) AS Quntity_Otgruzka 
,(Work.[dbo].[_InfoRg33227].[_Fld33243]) AS Suma_OtgruzkaGrn
,(Work.[dbo].[_InfoRg33227].[_Fld33244]) AS Quntity_Vozvrat 
,(Work.[dbo].[_InfoRg33227].[_Fld33245]) AS Suma__VozvratGrn
FROM  Work.[dbo].[_InfoRg33227]
</t>
  </si>
</sst>
</file>

<file path=xl/styles.xml><?xml version="1.0" encoding="utf-8"?>
<styleSheet xmlns="http://schemas.openxmlformats.org/spreadsheetml/2006/main">
  <fonts count="3">
    <font>
      <sz val="11"/>
      <color theme="1"/>
      <name val="Calibri"/>
      <family val="2"/>
      <charset val="204"/>
      <scheme val="minor"/>
    </font>
    <font>
      <sz val="11"/>
      <color rgb="FF006100"/>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C6EFCE"/>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2">
    <xf numFmtId="0" fontId="0" fillId="0" borderId="0"/>
    <xf numFmtId="0" fontId="1" fillId="2" borderId="0" applyNumberFormat="0" applyBorder="0" applyAlignment="0" applyProtection="0"/>
  </cellStyleXfs>
  <cellXfs count="18">
    <xf numFmtId="0" fontId="0" fillId="0" borderId="0" xfId="0"/>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3" xfId="0" applyBorder="1"/>
    <xf numFmtId="0" fontId="0" fillId="0" borderId="3" xfId="0" applyBorder="1" applyAlignment="1">
      <alignment wrapText="1"/>
    </xf>
    <xf numFmtId="0" fontId="1" fillId="2" borderId="2" xfId="1" applyBorder="1" applyAlignment="1">
      <alignment vertical="center"/>
    </xf>
    <xf numFmtId="0" fontId="1" fillId="2" borderId="4" xfId="1" applyBorder="1"/>
    <xf numFmtId="0" fontId="1" fillId="2" borderId="1" xfId="1" applyBorder="1" applyAlignment="1">
      <alignment vertical="center"/>
    </xf>
    <xf numFmtId="0" fontId="1" fillId="2" borderId="1" xfId="1" applyBorder="1"/>
    <xf numFmtId="0" fontId="1" fillId="2" borderId="5" xfId="1" applyBorder="1" applyAlignment="1">
      <alignment vertical="center"/>
    </xf>
    <xf numFmtId="0" fontId="1" fillId="2" borderId="6" xfId="1" applyBorder="1"/>
    <xf numFmtId="0" fontId="0" fillId="0" borderId="1" xfId="0" applyBorder="1" applyAlignment="1">
      <alignment vertical="top" wrapText="1"/>
    </xf>
    <xf numFmtId="0" fontId="0" fillId="0" borderId="0" xfId="0" applyFill="1" applyBorder="1"/>
    <xf numFmtId="0" fontId="0" fillId="0" borderId="1" xfId="0" applyFill="1" applyBorder="1"/>
    <xf numFmtId="0" fontId="2" fillId="0" borderId="1" xfId="0" applyFont="1" applyFill="1" applyBorder="1"/>
    <xf numFmtId="0" fontId="0" fillId="0" borderId="0" xfId="0" applyAlignment="1">
      <alignment vertical="top"/>
    </xf>
  </cellXfs>
  <cellStyles count="2">
    <cellStyle name="Обычный" xfId="0" builtinId="0"/>
    <cellStyle name="Хороший" xfId="1" builtinId="26"/>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6:D51"/>
  <sheetViews>
    <sheetView topLeftCell="A45" workbookViewId="0">
      <selection activeCell="C60" sqref="C60"/>
    </sheetView>
  </sheetViews>
  <sheetFormatPr defaultRowHeight="15"/>
  <cols>
    <col min="2" max="2" width="32.42578125" customWidth="1"/>
    <col min="3" max="3" width="64.7109375" customWidth="1"/>
    <col min="4" max="4" width="108.140625" customWidth="1"/>
  </cols>
  <sheetData>
    <row r="6" spans="2:4" ht="15.75" thickBot="1"/>
    <row r="7" spans="2:4" ht="15.75" thickBot="1">
      <c r="C7" s="7" t="s">
        <v>1</v>
      </c>
      <c r="D7" s="8" t="s">
        <v>2</v>
      </c>
    </row>
    <row r="8" spans="2:4" ht="69" customHeight="1">
      <c r="B8">
        <v>1</v>
      </c>
      <c r="C8" s="5" t="s">
        <v>0</v>
      </c>
      <c r="D8" s="6" t="s">
        <v>11</v>
      </c>
    </row>
    <row r="9" spans="2:4" ht="56.25" customHeight="1">
      <c r="B9" s="1">
        <v>2</v>
      </c>
      <c r="C9" s="3" t="s">
        <v>3</v>
      </c>
      <c r="D9" s="4" t="s">
        <v>8</v>
      </c>
    </row>
    <row r="10" spans="2:4" ht="48" customHeight="1">
      <c r="B10" s="1">
        <v>3</v>
      </c>
      <c r="C10" s="3" t="s">
        <v>4</v>
      </c>
      <c r="D10" s="4" t="s">
        <v>9</v>
      </c>
    </row>
    <row r="11" spans="2:4" ht="64.5" customHeight="1">
      <c r="B11" s="1">
        <v>4</v>
      </c>
      <c r="C11" s="3" t="s">
        <v>5</v>
      </c>
      <c r="D11" s="4" t="s">
        <v>10</v>
      </c>
    </row>
    <row r="12" spans="2:4" ht="52.5" customHeight="1">
      <c r="B12" s="1">
        <v>5</v>
      </c>
      <c r="C12" s="3" t="s">
        <v>12</v>
      </c>
      <c r="D12" s="4" t="s">
        <v>13</v>
      </c>
    </row>
    <row r="13" spans="2:4" ht="54.75" customHeight="1">
      <c r="B13" s="1">
        <v>6</v>
      </c>
      <c r="C13" s="3" t="s">
        <v>14</v>
      </c>
      <c r="D13" s="4" t="s">
        <v>36</v>
      </c>
    </row>
    <row r="14" spans="2:4" ht="79.5" customHeight="1">
      <c r="B14" s="1">
        <v>7</v>
      </c>
      <c r="C14" s="3" t="s">
        <v>15</v>
      </c>
      <c r="D14" s="4" t="s">
        <v>16</v>
      </c>
    </row>
    <row r="15" spans="2:4" ht="72" customHeight="1">
      <c r="B15" s="1">
        <v>8</v>
      </c>
      <c r="C15" s="3" t="s">
        <v>17</v>
      </c>
      <c r="D15" s="4" t="s">
        <v>16</v>
      </c>
    </row>
    <row r="16" spans="2:4" ht="68.25" customHeight="1">
      <c r="B16" s="1">
        <v>9</v>
      </c>
      <c r="C16" s="3" t="s">
        <v>18</v>
      </c>
      <c r="D16" s="4" t="s">
        <v>19</v>
      </c>
    </row>
    <row r="17" spans="2:4" ht="72" customHeight="1">
      <c r="B17" s="1">
        <v>10</v>
      </c>
      <c r="C17" s="3" t="s">
        <v>20</v>
      </c>
      <c r="D17" s="4" t="s">
        <v>43</v>
      </c>
    </row>
    <row r="18" spans="2:4" ht="70.5" customHeight="1">
      <c r="B18">
        <v>11</v>
      </c>
      <c r="C18" s="3" t="s">
        <v>26</v>
      </c>
      <c r="D18" s="4" t="s">
        <v>25</v>
      </c>
    </row>
    <row r="19" spans="2:4" ht="79.5" customHeight="1">
      <c r="B19" s="1">
        <v>12</v>
      </c>
      <c r="C19" s="3" t="s">
        <v>27</v>
      </c>
      <c r="D19" s="4" t="s">
        <v>28</v>
      </c>
    </row>
    <row r="20" spans="2:4" ht="49.5" customHeight="1">
      <c r="B20" s="1">
        <v>13</v>
      </c>
      <c r="C20" s="3" t="s">
        <v>30</v>
      </c>
      <c r="D20" s="4" t="s">
        <v>32</v>
      </c>
    </row>
    <row r="21" spans="2:4" ht="51" customHeight="1">
      <c r="B21" s="1">
        <v>14</v>
      </c>
      <c r="C21" s="3" t="s">
        <v>31</v>
      </c>
      <c r="D21" s="4" t="s">
        <v>33</v>
      </c>
    </row>
    <row r="22" spans="2:4" ht="78" customHeight="1">
      <c r="B22" s="1">
        <v>14</v>
      </c>
      <c r="C22" s="3" t="s">
        <v>35</v>
      </c>
      <c r="D22" s="4" t="s">
        <v>34</v>
      </c>
    </row>
    <row r="23" spans="2:4" ht="75">
      <c r="B23">
        <v>15</v>
      </c>
      <c r="C23" s="3" t="s">
        <v>52</v>
      </c>
      <c r="D23" s="4" t="s">
        <v>53</v>
      </c>
    </row>
    <row r="24" spans="2:4" ht="58.5" customHeight="1">
      <c r="B24">
        <v>16</v>
      </c>
      <c r="C24" s="3" t="s">
        <v>55</v>
      </c>
      <c r="D24" s="4" t="s">
        <v>56</v>
      </c>
    </row>
    <row r="25" spans="2:4" ht="60">
      <c r="C25" s="3" t="s">
        <v>62</v>
      </c>
      <c r="D25" s="4" t="s">
        <v>61</v>
      </c>
    </row>
    <row r="26" spans="2:4" ht="60">
      <c r="C26" s="3" t="s">
        <v>63</v>
      </c>
      <c r="D26" s="4" t="s">
        <v>64</v>
      </c>
    </row>
    <row r="27" spans="2:4" ht="60">
      <c r="C27" s="15" t="s">
        <v>66</v>
      </c>
      <c r="D27" s="4" t="s">
        <v>65</v>
      </c>
    </row>
    <row r="28" spans="2:4" ht="75">
      <c r="C28" s="15" t="s">
        <v>71</v>
      </c>
      <c r="D28" s="4" t="s">
        <v>70</v>
      </c>
    </row>
    <row r="29" spans="2:4" ht="75">
      <c r="C29" s="15" t="s">
        <v>73</v>
      </c>
      <c r="D29" s="4" t="s">
        <v>72</v>
      </c>
    </row>
    <row r="30" spans="2:4" ht="120">
      <c r="C30" s="15" t="s">
        <v>74</v>
      </c>
      <c r="D30" s="4" t="s">
        <v>75</v>
      </c>
    </row>
    <row r="31" spans="2:4" ht="60">
      <c r="C31" s="15" t="s">
        <v>78</v>
      </c>
      <c r="D31" s="4" t="s">
        <v>79</v>
      </c>
    </row>
    <row r="32" spans="2:4" ht="60">
      <c r="C32" s="15" t="s">
        <v>80</v>
      </c>
      <c r="D32" s="4" t="s">
        <v>81</v>
      </c>
    </row>
    <row r="33" spans="2:4" ht="72" customHeight="1">
      <c r="C33" s="15" t="s">
        <v>96</v>
      </c>
      <c r="D33" s="4" t="s">
        <v>102</v>
      </c>
    </row>
    <row r="34" spans="2:4" ht="93" customHeight="1">
      <c r="C34" s="15" t="s">
        <v>98</v>
      </c>
      <c r="D34" s="4" t="s">
        <v>97</v>
      </c>
    </row>
    <row r="35" spans="2:4" ht="105">
      <c r="C35" s="15" t="s">
        <v>100</v>
      </c>
      <c r="D35" s="4" t="s">
        <v>99</v>
      </c>
    </row>
    <row r="36" spans="2:4" ht="75.75" customHeight="1">
      <c r="C36" s="16" t="s">
        <v>104</v>
      </c>
      <c r="D36" s="4" t="s">
        <v>105</v>
      </c>
    </row>
    <row r="37" spans="2:4" ht="75">
      <c r="C37" s="15" t="s">
        <v>111</v>
      </c>
      <c r="D37" s="4" t="s">
        <v>110</v>
      </c>
    </row>
    <row r="38" spans="2:4" ht="117.75" customHeight="1">
      <c r="C38" s="15" t="s">
        <v>112</v>
      </c>
      <c r="D38" s="4" t="s">
        <v>143</v>
      </c>
    </row>
    <row r="39" spans="2:4" ht="90" customHeight="1">
      <c r="C39" s="15" t="s">
        <v>113</v>
      </c>
      <c r="D39" s="4" t="s">
        <v>169</v>
      </c>
    </row>
    <row r="40" spans="2:4" ht="75">
      <c r="C40" s="15" t="s">
        <v>115</v>
      </c>
      <c r="D40" s="4" t="s">
        <v>114</v>
      </c>
    </row>
    <row r="41" spans="2:4" ht="75">
      <c r="C41" s="15" t="s">
        <v>117</v>
      </c>
      <c r="D41" s="4" t="s">
        <v>116</v>
      </c>
    </row>
    <row r="42" spans="2:4" ht="89.25" customHeight="1">
      <c r="C42" s="15" t="s">
        <v>118</v>
      </c>
      <c r="D42" s="4" t="s">
        <v>142</v>
      </c>
    </row>
    <row r="43" spans="2:4" ht="87" customHeight="1">
      <c r="C43" s="15" t="s">
        <v>120</v>
      </c>
      <c r="D43" s="4" t="s">
        <v>119</v>
      </c>
    </row>
    <row r="44" spans="2:4" ht="160.5" customHeight="1">
      <c r="B44" s="1" t="s">
        <v>130</v>
      </c>
      <c r="C44" s="15" t="s">
        <v>126</v>
      </c>
      <c r="D44" s="4" t="s">
        <v>131</v>
      </c>
    </row>
    <row r="45" spans="2:4" ht="60.75" customHeight="1">
      <c r="B45" s="1" t="s">
        <v>151</v>
      </c>
      <c r="C45" s="15" t="s">
        <v>149</v>
      </c>
      <c r="D45" s="4" t="s">
        <v>148</v>
      </c>
    </row>
    <row r="46" spans="2:4" ht="60" customHeight="1">
      <c r="B46" s="1" t="s">
        <v>153</v>
      </c>
      <c r="C46" s="15" t="s">
        <v>152</v>
      </c>
      <c r="D46" s="4" t="s">
        <v>150</v>
      </c>
    </row>
    <row r="47" spans="2:4" ht="41.25" customHeight="1">
      <c r="B47" s="1" t="s">
        <v>155</v>
      </c>
      <c r="C47" s="15" t="s">
        <v>156</v>
      </c>
      <c r="D47" s="4" t="s">
        <v>154</v>
      </c>
    </row>
    <row r="48" spans="2:4">
      <c r="C48" s="15"/>
      <c r="D48" s="4"/>
    </row>
    <row r="49" spans="3:4">
      <c r="C49" s="15"/>
      <c r="D49" s="4"/>
    </row>
    <row r="50" spans="3:4">
      <c r="C50" s="15"/>
      <c r="D50" s="4"/>
    </row>
    <row r="51" spans="3:4">
      <c r="C51" s="15"/>
      <c r="D51"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E34"/>
  <sheetViews>
    <sheetView tabSelected="1" topLeftCell="A18" workbookViewId="0">
      <selection activeCell="E21" sqref="E21"/>
    </sheetView>
  </sheetViews>
  <sheetFormatPr defaultRowHeight="15"/>
  <cols>
    <col min="2" max="2" width="9.140625" style="1"/>
    <col min="3" max="3" width="25.42578125" customWidth="1"/>
    <col min="4" max="4" width="60.85546875" customWidth="1"/>
    <col min="5" max="5" width="112" customWidth="1"/>
  </cols>
  <sheetData>
    <row r="3" spans="4:5">
      <c r="D3" s="9" t="s">
        <v>1</v>
      </c>
      <c r="E3" s="10" t="s">
        <v>2</v>
      </c>
    </row>
    <row r="4" spans="4:5" ht="135" customHeight="1">
      <c r="D4" s="3" t="s">
        <v>6</v>
      </c>
      <c r="E4" s="13" t="s">
        <v>76</v>
      </c>
    </row>
    <row r="5" spans="4:5" ht="125.25" customHeight="1">
      <c r="D5" s="3" t="s">
        <v>39</v>
      </c>
      <c r="E5" s="13" t="s">
        <v>29</v>
      </c>
    </row>
    <row r="6" spans="4:5" ht="83.25" customHeight="1">
      <c r="D6" s="3" t="s">
        <v>40</v>
      </c>
      <c r="E6" s="13" t="s">
        <v>41</v>
      </c>
    </row>
    <row r="7" spans="4:5" ht="108" customHeight="1">
      <c r="D7" s="3" t="s">
        <v>48</v>
      </c>
      <c r="E7" s="13" t="s">
        <v>49</v>
      </c>
    </row>
    <row r="8" spans="4:5" ht="101.25" customHeight="1">
      <c r="D8" s="3" t="s">
        <v>50</v>
      </c>
      <c r="E8" s="13" t="s">
        <v>51</v>
      </c>
    </row>
    <row r="9" spans="4:5" ht="123.75" customHeight="1">
      <c r="D9" s="15" t="s">
        <v>54</v>
      </c>
      <c r="E9" s="4" t="s">
        <v>57</v>
      </c>
    </row>
    <row r="10" spans="4:5" ht="165" customHeight="1">
      <c r="D10" s="15" t="s">
        <v>60</v>
      </c>
      <c r="E10" s="4" t="s">
        <v>139</v>
      </c>
    </row>
    <row r="11" spans="4:5" ht="167.25" customHeight="1">
      <c r="D11" s="15" t="s">
        <v>68</v>
      </c>
      <c r="E11" s="4" t="s">
        <v>69</v>
      </c>
    </row>
    <row r="12" spans="4:5" ht="89.25" customHeight="1">
      <c r="D12" s="3" t="s">
        <v>77</v>
      </c>
      <c r="E12" s="13" t="s">
        <v>82</v>
      </c>
    </row>
    <row r="13" spans="4:5" ht="99.75" customHeight="1">
      <c r="D13" s="3" t="s">
        <v>83</v>
      </c>
      <c r="E13" s="13" t="s">
        <v>88</v>
      </c>
    </row>
    <row r="14" spans="4:5" ht="66" customHeight="1">
      <c r="D14" s="3" t="s">
        <v>85</v>
      </c>
      <c r="E14" s="13" t="s">
        <v>84</v>
      </c>
    </row>
    <row r="15" spans="4:5" ht="87" customHeight="1">
      <c r="D15" s="3" t="s">
        <v>86</v>
      </c>
      <c r="E15" s="13" t="s">
        <v>87</v>
      </c>
    </row>
    <row r="16" spans="4:5" ht="79.5" customHeight="1">
      <c r="D16" s="3" t="s">
        <v>89</v>
      </c>
      <c r="E16" s="13" t="s">
        <v>101</v>
      </c>
    </row>
    <row r="17" spans="3:5" ht="87.75" customHeight="1">
      <c r="D17" s="3" t="s">
        <v>90</v>
      </c>
      <c r="E17" s="13" t="s">
        <v>93</v>
      </c>
    </row>
    <row r="18" spans="3:5" ht="118.5" customHeight="1">
      <c r="D18" s="3" t="s">
        <v>91</v>
      </c>
      <c r="E18" s="13" t="s">
        <v>94</v>
      </c>
    </row>
    <row r="19" spans="3:5" ht="118.5" customHeight="1">
      <c r="D19" s="3" t="s">
        <v>92</v>
      </c>
      <c r="E19" s="13" t="s">
        <v>95</v>
      </c>
    </row>
    <row r="20" spans="3:5" ht="87.75" customHeight="1">
      <c r="C20" s="1" t="s">
        <v>135</v>
      </c>
      <c r="D20" s="3" t="s">
        <v>103</v>
      </c>
      <c r="E20" s="4" t="s">
        <v>136</v>
      </c>
    </row>
    <row r="21" spans="3:5" ht="163.5" customHeight="1">
      <c r="D21" s="3" t="s">
        <v>106</v>
      </c>
      <c r="E21" s="4" t="s">
        <v>173</v>
      </c>
    </row>
    <row r="22" spans="3:5" ht="86.25" customHeight="1">
      <c r="D22" s="3" t="s">
        <v>107</v>
      </c>
      <c r="E22" s="4" t="s">
        <v>170</v>
      </c>
    </row>
    <row r="23" spans="3:5" ht="33.75" customHeight="1">
      <c r="D23" s="3" t="s">
        <v>109</v>
      </c>
      <c r="E23" s="4" t="s">
        <v>108</v>
      </c>
    </row>
    <row r="24" spans="3:5" ht="92.25" customHeight="1">
      <c r="C24" t="s">
        <v>122</v>
      </c>
      <c r="D24" s="3" t="s">
        <v>121</v>
      </c>
      <c r="E24" s="4" t="s">
        <v>123</v>
      </c>
    </row>
    <row r="25" spans="3:5" ht="110.25" customHeight="1">
      <c r="C25" s="1" t="s">
        <v>125</v>
      </c>
      <c r="D25" s="3" t="s">
        <v>124</v>
      </c>
      <c r="E25" s="4" t="s">
        <v>144</v>
      </c>
    </row>
    <row r="26" spans="3:5" ht="76.5" customHeight="1">
      <c r="C26" s="1" t="s">
        <v>129</v>
      </c>
      <c r="D26" s="3" t="s">
        <v>127</v>
      </c>
      <c r="E26" s="4" t="s">
        <v>128</v>
      </c>
    </row>
    <row r="27" spans="3:5" ht="87" customHeight="1">
      <c r="C27" s="1" t="s">
        <v>134</v>
      </c>
      <c r="D27" s="3" t="s">
        <v>133</v>
      </c>
      <c r="E27" s="4" t="s">
        <v>132</v>
      </c>
    </row>
    <row r="28" spans="3:5" ht="106.5" customHeight="1">
      <c r="D28" s="3" t="s">
        <v>137</v>
      </c>
      <c r="E28" s="4" t="s">
        <v>138</v>
      </c>
    </row>
    <row r="29" spans="3:5" ht="127.5" customHeight="1">
      <c r="D29" s="3" t="s">
        <v>141</v>
      </c>
      <c r="E29" s="4" t="s">
        <v>172</v>
      </c>
    </row>
    <row r="30" spans="3:5" ht="50.1" customHeight="1">
      <c r="C30" s="1" t="s">
        <v>163</v>
      </c>
      <c r="D30" s="3" t="s">
        <v>145</v>
      </c>
      <c r="E30" s="4" t="s">
        <v>164</v>
      </c>
    </row>
    <row r="31" spans="3:5" ht="53.25" customHeight="1">
      <c r="C31" t="s">
        <v>162</v>
      </c>
      <c r="D31" s="3" t="s">
        <v>147</v>
      </c>
      <c r="E31" s="4" t="s">
        <v>161</v>
      </c>
    </row>
    <row r="32" spans="3:5" ht="93.75" customHeight="1">
      <c r="C32" s="1" t="s">
        <v>159</v>
      </c>
      <c r="D32" s="3" t="s">
        <v>146</v>
      </c>
      <c r="E32" s="4" t="s">
        <v>160</v>
      </c>
    </row>
    <row r="33" spans="3:5" ht="69.75" customHeight="1">
      <c r="C33" s="1" t="s">
        <v>165</v>
      </c>
      <c r="D33" s="3" t="s">
        <v>157</v>
      </c>
      <c r="E33" s="13" t="s">
        <v>158</v>
      </c>
    </row>
    <row r="34" spans="3:5" ht="45.75" customHeight="1">
      <c r="C34" s="1" t="s">
        <v>166</v>
      </c>
      <c r="D34" s="3" t="s">
        <v>167</v>
      </c>
      <c r="E34" s="4"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4"/>
  <sheetViews>
    <sheetView workbookViewId="0">
      <selection activeCell="D4" sqref="D4"/>
    </sheetView>
  </sheetViews>
  <sheetFormatPr defaultRowHeight="15"/>
  <cols>
    <col min="4" max="4" width="68.140625" customWidth="1"/>
  </cols>
  <sheetData>
    <row r="4" spans="4:4" ht="255">
      <c r="D4" s="2"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D4:E8"/>
  <sheetViews>
    <sheetView workbookViewId="0">
      <selection activeCell="D9" sqref="D9"/>
    </sheetView>
  </sheetViews>
  <sheetFormatPr defaultRowHeight="15"/>
  <cols>
    <col min="4" max="4" width="36" customWidth="1"/>
    <col min="5" max="5" width="73.5703125" customWidth="1"/>
  </cols>
  <sheetData>
    <row r="4" spans="4:5" ht="15.75" thickBot="1"/>
    <row r="5" spans="4:5">
      <c r="D5" s="11" t="s">
        <v>1</v>
      </c>
      <c r="E5" s="12" t="s">
        <v>2</v>
      </c>
    </row>
    <row r="6" spans="4:5" ht="30">
      <c r="D6" s="3" t="s">
        <v>22</v>
      </c>
      <c r="E6" s="4" t="s">
        <v>21</v>
      </c>
    </row>
    <row r="7" spans="4:5" ht="30">
      <c r="D7" s="3" t="s">
        <v>23</v>
      </c>
      <c r="E7" s="4" t="s">
        <v>24</v>
      </c>
    </row>
    <row r="8" spans="4:5" ht="90">
      <c r="D8" s="3" t="s">
        <v>38</v>
      </c>
      <c r="E8" s="4" t="s">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D4:F8"/>
  <sheetViews>
    <sheetView topLeftCell="A4" workbookViewId="0">
      <selection activeCell="F5" sqref="F5"/>
    </sheetView>
  </sheetViews>
  <sheetFormatPr defaultRowHeight="15"/>
  <cols>
    <col min="4" max="4" width="55" customWidth="1"/>
    <col min="5" max="5" width="96.85546875" bestFit="1" customWidth="1"/>
    <col min="6" max="6" width="64.5703125" customWidth="1"/>
  </cols>
  <sheetData>
    <row r="4" spans="4:6">
      <c r="D4" s="9" t="s">
        <v>1</v>
      </c>
      <c r="E4" s="10" t="s">
        <v>2</v>
      </c>
    </row>
    <row r="5" spans="4:6" ht="225">
      <c r="D5" s="1" t="s">
        <v>42</v>
      </c>
      <c r="E5" s="2" t="s">
        <v>47</v>
      </c>
    </row>
    <row r="6" spans="4:6" ht="75">
      <c r="D6" s="1" t="s">
        <v>44</v>
      </c>
      <c r="E6" s="2" t="s">
        <v>45</v>
      </c>
    </row>
    <row r="7" spans="4:6" ht="195">
      <c r="D7" s="14" t="s">
        <v>46</v>
      </c>
      <c r="E7" s="2" t="s">
        <v>140</v>
      </c>
      <c r="F7" s="17" t="s">
        <v>171</v>
      </c>
    </row>
    <row r="8" spans="4:6" ht="405">
      <c r="D8" s="14" t="s">
        <v>58</v>
      </c>
      <c r="E8" s="2"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H28:J31"/>
  <sheetViews>
    <sheetView workbookViewId="0">
      <selection activeCell="J31" sqref="J31"/>
    </sheetView>
  </sheetViews>
  <sheetFormatPr defaultRowHeight="15"/>
  <cols>
    <col min="8" max="8" width="22" customWidth="1"/>
    <col min="9" max="9" width="27.28515625" customWidth="1"/>
  </cols>
  <sheetData>
    <row r="28" spans="8:10">
      <c r="I28" s="1" t="s">
        <v>67</v>
      </c>
    </row>
    <row r="29" spans="8:10">
      <c r="H29">
        <v>2840638.42</v>
      </c>
      <c r="I29">
        <v>4191116.25</v>
      </c>
      <c r="J29">
        <v>2750000</v>
      </c>
    </row>
    <row r="31" spans="8:10">
      <c r="H31">
        <f>I29/H29</f>
        <v>1.4754134917319044</v>
      </c>
      <c r="J31">
        <f>I29/J29</f>
        <v>1.5240422727272727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Справочники</vt:lpstr>
      <vt:lpstr>Регистры</vt:lpstr>
      <vt:lpstr>Календарь</vt:lpstr>
      <vt:lpstr>Перечисления</vt:lpstr>
      <vt:lpstr>Кемпинг</vt:lpstr>
      <vt:lpstr>Лист1</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litvinyuk</dc:creator>
  <cp:lastModifiedBy>litvinyuk</cp:lastModifiedBy>
  <dcterms:created xsi:type="dcterms:W3CDTF">2020-05-17T16:18:32Z</dcterms:created>
  <dcterms:modified xsi:type="dcterms:W3CDTF">2022-01-12T10:28:53Z</dcterms:modified>
</cp:coreProperties>
</file>
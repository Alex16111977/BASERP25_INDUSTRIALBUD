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5" windowWidth="23910" windowHeight="9990" activeTab="1"/>
  </bookViews>
  <sheets>
    <sheet name="Справочники" sheetId="1" r:id="rId1"/>
    <sheet name="Регистры" sheetId="2" r:id="rId2"/>
    <sheet name="Календарь" sheetId="3" r:id="rId3"/>
    <sheet name="Перечисления" sheetId="4" r:id="rId4"/>
    <sheet name="Кемпинг" sheetId="5" r:id="rId5"/>
    <sheet name="Планы видов характеристик" sheetId="6" r:id="rId6"/>
    <sheet name="Лист1" sheetId="7" r:id="rId7"/>
  </sheets>
  <calcPr calcId="125725"/>
</workbook>
</file>

<file path=xl/calcChain.xml><?xml version="1.0" encoding="utf-8"?>
<calcChain xmlns="http://schemas.openxmlformats.org/spreadsheetml/2006/main">
  <c r="I30" i="7"/>
</calcChain>
</file>

<file path=xl/sharedStrings.xml><?xml version="1.0" encoding="utf-8"?>
<sst xmlns="http://schemas.openxmlformats.org/spreadsheetml/2006/main" count="88" uniqueCount="80">
  <si>
    <t>Наименование</t>
  </si>
  <si>
    <t>Запрос</t>
  </si>
  <si>
    <t xml:space="preserve">DECLARE @d_start DATETIME DECLARE @d_end   DATETIME SET @d_start='20000101' SET @d_end=  '20300101'    SET LANGUAGE Russian    SELECT  r.date_        ,CAST(YEAR(r.date_) AS VARCHAR(4))          +CASE WHEN DATEPART(ww, r.date_)&lt;10             THEN '.0'             ELSE '.' END+ CAST(DATEPART(ww, r.date_) AS VARCHAR(2))  AS year_week        ,CAST(YEAR(r.date_) AS VARCHAR(4))          +CASE WHEN MONTH(r.date_)&lt;10             THEN '.0'             ELSE '.' END+ CAST(MONTH(r.date_) AS VARCHAR(2))         AS year_month        ,CAST(YEAR(r.date_) AS VARCHAR(4))          +'.'+ CAST(DATEPART(qq, r.date_) AS VARCHAR(1)) +' кв.'     AS year_quarter        ,CAST(YEAR(r.date_) AS VARCHAR(4))          +'.'+ CAST(DATEPART(qq, r.date_) AS VARCHAR(1)) +' quarter' AS year_quarter_en        ,CAST(YEAR(r.date_) AS VARCHAR(4))          +CASE WHEN DATEPART(mm, r.date_)&gt;6             THEN '.2 п\г.'             ELSE '.1 п\г.' END                                       AS year_semester        ,YEAR(r.date_)                                                AS year_       ,CASE WHEN YEAR(r.date_) BETWEEN 2000 AND 2099 THEN 'XXI'             WHEN YEAR(r.date_) BETWEEN 1900 AND 1999 THEN 'XX'             WHEN YEAR(r.date_) BETWEEN 2100 AND 2199 THEN 'XXII'             WHEN YEAR(r.date_) BETWEEN 1800 AND 1899 THEN 'XIX'         END                                                          AS century        ,CASE WHEN DATEPART(mm, r.date_)&gt;6 THEN 2 ELSE 1 END          AS semester        ,DATEPART(qq, r.date_)                                        AS quarter_        ,MONTH(r.date_)                                               AS month_        ,DATENAME(mm, r.date_)                                        AS month_name        ,CASE MONTH(r.date_)           WHEN 1  THEN 'January'           WHEN 2  THEN 'February'           WHEN 3  THEN 'March'           WHEN 4  THEN 'April'           WHEN 5  THEN 'May'           WHEN 6  THEN 'June'           WHEN 7  THEN 'July'           WHEN 8  THEN 'August'           WHEN 9  THEN 'September'           WHEN 10 THEN 'October'           WHEN 11 THEN 'November'           WHEN 12 THEN 'December'         END                                                          AS month_name_en        ,CASE MONTH(r.date_)           WHEN 1  THEN 'Січень'           WHEN 2  THEN 'Лютий'           WHEN 3  THEN 'Березень'           WHEN 4  THEN 'Квітень'           WHEN 5  THEN 'Травень'           WHEN 6  THEN 'Червень'           WHEN 7  THEN 'Липень'           WHEN 8  THEN 'Серпень'           WHEN 9  THEN 'Вересень'           WHEN 10 THEN 'Жовтень'           WHEN 11 THEN 'Листопад'           WHEN 12 THEN 'Грудень'         END                                                          AS month_name_ua        ,CASE MONTH(r.date_)           WHEN 1  THEN 'Студзень'           WHEN 2  THEN 'Люты'           WHEN 3  THEN 'Сакавік'           WHEN 4  THEN 'Красавік'           WHEN 5  THEN 'Травень'           WHEN 6  THEN 'Чэрвень'           WHEN 7  THEN 'Ліпень'           WHEN 8  THEN 'Жнівень'           WHEN 9  THEN 'Верасень'           WHEN 10 THEN 'Кастрычнік'           WHEN 11 THEN 'Лістапад'           WHEN 12 THEN 'Снежань'         END                                                          AS month_name_by        ,CASE MONTH(r.date_)           WHEN 1  THEN 'Янв'           WHEN 2  THEN 'Фев'           WHEN 3  THEN 'Мар'           WHEN 4  THEN 'Апр'           WHEN 5  THEN 'Май'           WHEN 6  THEN 'Июн'           WHEN 7  THEN 'Июл'           WHEN 8  THEN 'Авг'           WHEN 9  THEN 'Сен'           WHEN 10 THEN 'Окт'           WHEN 11 THEN 'Ноя'           WHEN 12 THEN 'Дек'         END                                                          AS month_name_short        ,CASE MONTH(r.date_)           WHEN 1  THEN 'Jan'           WHEN 2  THEN 'Feb'           WHEN 3  THEN 'Mar'           WHEN 4  THEN 'Apr'           WHEN 5  THEN 'May'           WHEN 6  THEN 'Jun'           WHEN 7  THEN 'Jul'           WHEN 8  THEN 'Aug'           WHEN 9  THEN 'Sep'           WHEN 10 THEN 'Oct'           WHEN 11 THEN 'Nov'           WHEN 12 THEN 'Dec'         END                                                          AS month_name_short_en       ,CASE WHEN MONTH(r.date_) IN (9,10,11) THEN 'осень'             WHEN MONTH(r.date_) IN (6,7,8)   THEN 'лето'             WHEN MONTH(r.date_) IN (3,4,5)   THEN 'весна'             WHEN MONTH(r.date_) IN (12,1,2)  THEN 'зима'        END                                                           AS season       ,CASE WHEN MONTH(r.date_) IN (9,10,11) THEN 'autumn'             WHEN MONTH(r.date_) IN (6,7,8)   THEN 'summer'             WHEN MONTH(r.date_) IN (3,4,5)   THEN 'spring'             WHEN MONTH(r.date_) IN (12,1,2)  THEN 'winter'        END                                                           AS season_en       ,CASE WHEN MONTH(r.date_) IN (9,10,11) THEN 'осінь'             WHEN MONTH(r.date_) IN (6,7,8)   THEN 'літо'             WHEN MONTH(r.date_) IN (3,4,5)   THEN 'весна'             WHEN MONTH(r.date_) IN (12,1,2)  THEN 'зима'        END                                                           AS season_ua       ,CASE WHEN MONTH(r.date_) IN (9,10,11) THEN 'восень'             WHEN MONTH(r.date_) IN (6,7,8)   THEN 'лета'             WHEN MONTH(r.date_) IN (3,4,5)   THEN 'вясна'             WHEN MONTH(r.date_) IN (12,1,2)  THEN 'зіма'        END                                                           AS season_by       ,DATEPART(dd, r.date_)                                         AS day_       ,DATEPART(dy, r.date_)                                         AS year_day       ,CONVERT(VARCHAR(10), r.date_, 104)                            AS date_str       ,DATEPART(dw, r.date_)                                         AS week_day           ,DATENAME(dw, r.date_)                                         AS week_day_str       ,CASE DATEPART(dw, r.date_)           WHEN 1  THEN 'Monday'           WHEN 2  THEN 'Tuesday'           WHEN 3  THEN 'Wednesday'           WHEN 4  THEN 'Thursday'           WHEN 5  THEN 'Friday'           WHEN 6  THEN 'Saturday'           WHEN 7  THEN 'Sunday'        END                                                           AS week_day_str_en       ,CASE DATEPART(dw, r.date_)           WHEN 1  THEN 'понеділок'           WHEN 2  THEN 'вівторок'           WHEN 3  THEN 'середа'           WHEN 4  THEN 'четвер'           WHEN 5  THEN 'п’ятниця'           WHEN 6  THEN 'субота'           WHEN 7  THEN 'неділя'        END                                                           AS week_day_str_ua       ,CASE DATEPART(dw, r.date_)           WHEN 1  THEN 'панядзелак'           WHEN 2  THEN 'аўторак'           WHEN 3  THEN 'серада'           WHEN 4  THEN 'чацвер'           WHEN 5  THEN 'пятніца'           WHEN 6  THEN 'субота'           WHEN 7  THEN 'нядзеля'        END                                                           AS week_day_str_by        ,CASE DATEPART(dw, r.date_)           WHEN 1  THEN 'Пн'           WHEN 2  THEN 'Вт'           WHEN 3  THEN 'Ср'           WHEN 4  THEN 'Чт'           WHEN 5  THEN 'Пт'           WHEN 6  THEN 'Сб'           WHEN 7  THEN 'Вс'         END                                                          AS week_day_short       ,CASE DATEPART(dw, r.date_)           WHEN '1' THEN 'Mo'       WHEN '2' THEN 'Tu'       WHEN '3' THEN 'We'       WHEN '4' THEN 'Th'       WHEN '5' THEN 'Fr'       WHEN '6' THEN 'Sa'       WHEN '7' THEN 'Su'        END                                                           AS week_day_short_en       ,DATEPART(ww, r.date_)                                         AS week_       ,CASE WHEN DAY(r.date_)&lt;8                 THEN 1             WHEN DAY(r.date_) BETWEEN 8  AND 14 THEN 2             WHEN DAY(r.date_) BETWEEN 5  AND 21 THEN 3             WHEN DAY(r.date_) BETWEEN 22 AND 28 THEN 4             WHEN DAY(r.date_)&gt;28                THEN 5                             END                                                           AS month_week       ,CASE WHEN DAY(r.date_)&lt;11                 THEN 1             WHEN DAY(r.date_) BETWEEN 11 AND 20  THEN 2             WHEN DAY(r.date_)&gt;20                 THEN 3        END                                                           AS month_decade       ,CASE WHEN DAY(r.date_)=                    DAY(DATEADD(dd, -1, DATEADD(mm, 1,         CAST(YEAR(r.date_) AS VARCHAR(4))            +CASE WHEN MONTH(r.date_)&lt;10 THEN '0' ELSE '' END            +CAST(MONTH(r.date_) AS VARCHAR(2))+'01')))             THEN 'да'             ELSE ''        END                                                           AS month_last_day       ,CASE WHEN DAY(r.date_)=31 AND MONTH(r.date_)=12             THEN 'да'             ELSE ''        END                                                           AS year_last_day       ,DAY(DATEADD(dd, -1, DATEADD(mm, 1,       CAST(YEAR(r.date_) AS VARCHAR(4))      +CASE WHEN MONTH(r.date_)&lt;10 THEN '0' ELSE '' END      +CAST(MONTH(r.date_) AS VARCHAR(2))+'01')))                 AS days_in_month       ,CASE WHEN YEAR(r.date_) IN (1700, 1800, 1900, 2100, 2200, 2300)          THEN 365          ELSE            DATEDIFF(dd, CAST(YEAR(r.date_) AS VARCHAR(4))+'0101',              CAST(YEAR(r.date_) AS VARCHAR(4))+'1231')+1                  END                                                           AS days_in_year       ,CASE WHEN DATEPART(dw, r.date_) IN (6,7) THEN 1 ELSE 0 END    AS weekend       ,CASE WHEN CAST('1804'+SUBSTRING(CONVERT(VARCHAR(10), r.date_, 112),5,4) AS DATE) BETWEEN '18040321' AND '18040420' THEN '01  Овен'             WHEN CAST('1804'+SUBSTRING(CONVERT(VARCHAR(10), r.date_, 112),5,4) AS DATE) BETWEEN '18040421' AND '18040520' THEN '02  Телец'             WHEN CAST('1804'+SUBSTRING(CONVERT(VARCHAR(10), r.date_, 112),5,4) AS DATE) BETWEEN '18040521' AND '18040621' THEN '03  Близнецы'             WHEN CAST('1804'+SUBSTRING(CONVERT(VARCHAR(10), r.date_, 112),5,4) AS DATE) BETWEEN '18040622' AND '18040722' THEN '04  Рак'             WHEN CAST('1804'+SUBSTRING(CONVERT(VARCHAR(10), r.date_, 112),5,4) AS DATE) BETWEEN '18040723' AND '18040823' THEN '05  Лев'             WHEN CAST('1804'+SUBSTRING(CONVERT(VARCHAR(10), r.date_, 112),5,4) AS DATE) BETWEEN '18040824' AND '18040923' THEN '06  Дева'             WHEN CAST('1804'+SUBSTRING(CONVERT(VARCHAR(10), r.date_, 112),5,4) AS DATE) BETWEEN '18040924' AND '18041023' THEN '07  Весы'             WHEN CAST('1804'+SUBSTRING(CONVERT(VARCHAR(10), r.date_, 112),5,4) AS DATE) BETWEEN '18041024' AND '18041122' THEN '08  Скорпион'             WHEN CAST('1804'+SUBSTRING(CONVERT(VARCHAR(10), r.date_, 112),5,4) AS DATE) BETWEEN '18041123' AND '18041221' THEN '09  Стрелец'             WHEN CAST('1804'+SUBSTRING(CONVERT(VARCHAR(10), r.date_, 112),5,4) AS DATE) BETWEEN '18041222' AND '18041231' THEN '10  Козерог'             WHEN CAST('1804'+SUBSTRING(CONVERT(VARCHAR(10), r.date_, 112),5,4) AS DATE) BETWEEN '18040101' AND '18040120' THEN '10  Козерог'             WHEN CAST('1804'+SUBSTRING(CONVERT(VARCHAR(10), r.date_, 112),5,4) AS DATE) BETWEEN '18040121' AND '18040220' THEN '11  Водолей'             WHEN CAST('1804'+SUBSTRING(CONVERT(VARCHAR(10), r.date_, 112),5,4) AS DATE) BETWEEN '18040221' AND '18040320' THEN '12  Рыбы'        END                                                           AS zodiac_sign          ,CASE WHEN CAST('1804'+SUBSTRING(CONVERT(VARCHAR(10), r.date_, 112),5,4) AS DATE) BETWEEN '18040321' AND '18040420' THEN '01  Aries'             WHEN CAST('1804'+SUBSTRING(CONVERT(VARCHAR(10), r.date_, 112),5,4) AS DATE) BETWEEN '18040421' AND '18040520' THEN '02  Taurus'             WHEN CAST('1804'+SUBSTRING(CONVERT(VARCHAR(10), r.date_, 112),5,4) AS DATE) BETWEEN '18040521' AND '18040621' THEN '03  Gemini'             WHEN CAST('1804'+SUBSTRING(CONVERT(VARCHAR(10), r.date_, 112),5,4) AS DATE) BETWEEN '18040622' AND '18040722' THEN '04  Cancer'             WHEN CAST('1804'+SUBSTRING(CONVERT(VARCHAR(10), r.date_, 112),5,4) AS DATE) BETWEEN '18040723' AND '18040823' THEN '05  Leo'             WHEN CAST('1804'+SUBSTRING(CONVERT(VARCHAR(10), r.date_, 112),5,4) AS DATE) BETWEEN '18040824' AND '18040923' THEN '06  Virgo'             WHEN CAST('1804'+SUBSTRING(CONVERT(VARCHAR(10), r.date_, 112),5,4) AS DATE) BETWEEN '18040924' AND '18041023' THEN '07  Libra'             WHEN CAST('1804'+SUBSTRING(CONVERT(VARCHAR(10), r.date_, 112),5,4) AS DATE) BETWEEN '18041024' AND '18041122' THEN '08  Scorpio'             WHEN CAST('1804'+SUBSTRING(CONVERT(VARCHAR(10), r.date_, 112),5,4) AS DATE) BETWEEN '18041123' AND '18041221' THEN '09  Sagittarius'             WHEN CAST('1804'+SUBSTRING(CONVERT(VARCHAR(10), r.date_, 112),5,4) AS DATE) BETWEEN '18041222' AND '18041231' THEN '10  Capricorn'             WHEN CAST('1804'+SUBSTRING(CONVERT(VARCHAR(10), r.date_, 112),5,4) AS DATE) BETWEEN '18040101' AND '18040120' THEN '10  Capricorn'             WHEN CAST('1804'+SUBSTRING(CONVERT(VARCHAR(10), r.date_, 112),5,4) AS DATE) BETWEEN '18040121' AND '18040220' THEN '11  Aquarius'             WHEN CAST('1804'+SUBSTRING(CONVERT(VARCHAR(10), r.date_, 112),5,4) AS DATE) BETWEEN '18040221' AND '18040320' THEN '12  Pisces'        END                                                           AS zodiac_sign_lat       ,CASE WHEN YEAR(r.date_)=1800 THEN '09  Обезьяна'             WHEN YEAR(r.date_)=1801 THEN '10  Петух'             WHEN YEAR(r.date_)=1802 THEN '11  Собака'             WHEN YEAR(r.date_)=1803 THEN '12  Свинья'          ELSE            CASE (YEAR(r.date_)-1804) - ((YEAR(r.date_)-1804)/12)*12+1              WHEN 1  THEN '01  Крыса'              WHEN 2  THEN '02  Бык'              WHEN 3  THEN '03  Тигр'              WHEN 4  THEN '04  Кролик'              WHEN 5  THEN '05  Дракон'              WHEN 6  THEN '06  Змея'              WHEN 7  THEN '07  Лошадь'              WHEN 8  THEN '08  Овца'              WHEN 9  THEN '09  Обезьяна'              WHEN 10 THEN '10  Петух'              WHEN 11 THEN '11  Собака'              WHEN 12 THEN '12  Свинья'            END        END                                                           AS chinese_horoscope       ,CASE WHEN DAY(r.date_)&lt;10 THEN '0' ELSE '' END         +CAST(DAY(r.date_) AS VARCHAR(2))+' '         +CASE MONTH(r.date_)            WHEN 1  THEN 'января'        WHEN 2  THEN 'февраля'        WHEN 3  THEN 'марта'        WHEN 4  THEN 'апреля'        WHEN 5  THEN 'мая'        WHEN 6  THEN 'июня'        WHEN 7  THEN 'июля'        WHEN 8  THEN 'августа'        WHEN 9  THEN 'сентября'        WHEN 10 THEN 'октября'        WHEN 11 THEN 'ноября'        WHEN 12 THEN 'декабря'          END         +' '+CAST(YEAR(r.date_) AS VARCHAR(4))+ 'г.'                 AS date_full_str       ,CASE MONTH(r.date_)          WHEN 1  THEN 'January'          WHEN 2  THEN 'February'          WHEN 3  THEN 'March'          WHEN 4  THEN 'April'          WHEN 5  THEN 'May'          WHEN 6  THEN 'June'          WHEN 7  THEN 'July'          WHEN 8  THEN 'August'          WHEN 9  THEN 'September'          WHEN 10 THEN 'October'          WHEN 11 THEN 'November'          WHEN 12 THEN 'December'        END         +CASE WHEN DAY(r.date_)&lt;10 THEN ' 0' ELSE ' ' END         +CAST(DAY(r.date_) AS VARCHAR(2))         +' '+CAST(YEAR(r.date_) AS VARCHAR(4))                       AS date_full_str_en   FROM (     SELECT DATEADD(day, num, @d_start) AS date_       FROM (         SELECT z*100000+r*10000+a*1000+b*100+c*10+d  num                   FROM (SELECT 0 z UNION SELECT 1 UNION SELECT 2 UNION SELECT 3 UNION SELECT 4                 UNION SELECT 5 UNION SELECT 6 UNION SELECT 7 UNION SELECT 8 UNION SELECT 9) z           CROSS JOIN                (SELECT 0 r UNION SELECT 1 UNION SELECT 2 UNION SELECT 3 UNION SELECT 4             UNION SELECT 5 UNION SELECT 6 UNION SELECT 7 UNION SELECT 8 UNION SELECT 9) r           CROSS JOIN                (SELECT 0 a UNION SELECT 1 UNION SELECT 2 UNION SELECT 3 UNION SELECT 4                 UNION SELECT 5 UNION SELECT 6 UNION SELECT 7 UNION SELECT 8 UNION SELECT 9) a           CROSS JOIN                (SELECT 0 b UNION SELECT 1 UNION SELECT 2 UNION SELECT 3 UNION SELECT 4                     UNION SELECT 5 UNION SELECT 6 UNION SELECT 7 UNION SELECT 8 UNION SELECT 9) b           CROSS JOIN                (SELECT 0 c UNION SELECT 1 UNION SELECT 2 UNION SELECT 3 UNION SELECT 4             UNION SELECT 5 UNION SELECT 6 UNION SELECT 7 UNION SELECT 8 UNION SELECT 9) c           CROSS JOIN                (SELECT 0 d UNION SELECT 1 UNION SELECT 2 UNION SELECT 3 UNION SELECT 4             UNION SELECT 5 UNION SELECT 6 UNION SELECT 7 UNION SELECT 8 UNION SELECT 9) d           ) a       WHERE DATEADD(day, num, @d_start)&lt;=@d_end        ) r   ORDER BY 1 
</t>
  </si>
  <si>
    <t>Менеджер</t>
  </si>
  <si>
    <t>Платежные документы кемпинг</t>
  </si>
  <si>
    <t>Use Olap
SELECT     Document
FROM         CashFlow_Kemping
GROUP BY Document</t>
  </si>
  <si>
    <t>Календарь Кемпинг</t>
  </si>
  <si>
    <t>Use Olap
SELECT     Fizlico.ID_Fizlico, Fizlico.Description
FROM         Manager LEFT OUTER JOIN
                      Fizlico ON Manager.ID_Fizlico = Fizlico.ID_Fizlico RIGHT OUTER JOIN
                      Dogovor ON Manager.ID_Manager = Dogovor.ID_Manager RIGHT OUTER JOIN
                      CashFlow_Kemping ON Dogovor.ID_Dogovor = CashFlow_Kemping.ID_Dogovor
GROUP BY Fizlico.ID_Fizlico, Fizlico.Description
HAVING      (Fizlico.ID_Fizlico &lt;&gt; '00000000000000000000000000000000')
UNION
 select
      '00000000000000000000000000000000'
      ,''</t>
  </si>
  <si>
    <t xml:space="preserve">Use olap
SELECT      Calendar.*,DATEPART(week, date_) - DATEPART(week, DATEADD(month, DATEDIFF(month, 0, date_), 0))+1 as week_month,
dateadd(dw,-datepart(dw,date_)+1,date_) as week_date
FROM         Calendar
WHERE     
                      (year_ = 2019) OR
                      (year_ = 2020)
</t>
  </si>
  <si>
    <t xml:space="preserve">Баланс </t>
  </si>
  <si>
    <t>ВидыСтатейУправленческогоБаланса</t>
  </si>
  <si>
    <t>Use WorkERP
SELECT  CONVERT(varchar(32),_IDRRef, 2) AS _IDRRef
,CONVERT(varchar(32),_EnumOrder, 2) AS EnumOrder
,CONVERT(varchar(100),_IDRRef, 2) as Description
   FROM [WorkERP].[dbo]._Enum952</t>
  </si>
  <si>
    <t>СтатьиАктивовПассивов</t>
  </si>
  <si>
    <t>SELECT     Analytics1
FROM         Balance
GROUP BY Analytics1</t>
  </si>
  <si>
    <t>Analytics1</t>
  </si>
  <si>
    <t>Номенклатура</t>
  </si>
  <si>
    <t>Заказы</t>
  </si>
  <si>
    <t xml:space="preserve">USE WorkERP
SELECT 
       CONVERT(varchar(100),[WorkERP].[dbo].[_InfoRg41583].[_Fld41587], 2) AS ZakazName
FROM  [WorkERP].[dbo].[_InfoRg41583]
GROUP BY CONVERT(varchar(100),[WorkERP].[dbo].[_InfoRg41583].[_Fld41587], 2)
</t>
  </si>
  <si>
    <t>Документ выпуска</t>
  </si>
  <si>
    <t xml:space="preserve">USE WorkERP
SELECT 
       CONVERT(varchar(100),[WorkERP].[dbo].[_InfoRg41583].[_Fld41589], 2) AS DocumetVipusk
FROM  [WorkERP].[dbo].[_InfoRg41583]
GROUP BY CONVERT(varchar(100),[WorkERP].[dbo].[_InfoRg41583].[_Fld41589], 2)
</t>
  </si>
  <si>
    <t>А_ФактическаяСебестоимостьВыпускаДляОЛАП</t>
  </si>
  <si>
    <t xml:space="preserve">Use WorkERP
 SELECT   
 CONVERT(varchar(32),_IDRRef, 2) AS ID_GroupTovara
  ,CONVERT(varchar(32),_ParentIDRRef, 2) AS ID_GroupTovaraParent
 ,CONVERT(varchar(100),_Description, 2) as Description
 FROM dbo._Reference40164
 UNION
 select
      '00000000000000000000000000000000'
   ,'00000000000000000000000000000000'
      ,'пустой'
</t>
  </si>
  <si>
    <t>А_Группа</t>
  </si>
  <si>
    <t xml:space="preserve">Use WorkERP
 SELECT   
 CONVERT(varchar(32),_IDRRef, 2) AS ID_Subgroup
  ,CONVERT(varchar(32),_ParentIDRRef, 2) AS ID_SubgroupParent
 ,CONVERT(varchar(100),_Description, 2) as Description
 FROM dbo._Reference40165
 UNION
 select
      '00000000000000000000000000000000'
   ,'00000000000000000000000000000000'
      ,'пустой'
   </t>
  </si>
  <si>
    <t>А_ПодГруппа</t>
  </si>
  <si>
    <t>А_ТорговаяМарка</t>
  </si>
  <si>
    <t xml:space="preserve">Use WorkERP
 SELECT   
 CONVERT(varchar(32),_IDRRef, 2) AS ID_Trademark
  ,CONVERT(varchar(32),_ParentIDRRef, 2) AS ID_TrademarkParent
 ,CONVERT(varchar(100),_Description, 2) as Description
 FROM dbo._Reference200
 UNION
 select
      '00000000000000000000000000000000'
   ,'00000000000000000000000000000000'
      ,'пустой'
   </t>
  </si>
  <si>
    <t xml:space="preserve">USE WorkERP
SELECT 
       CAST(DATEADD(year, -2000, WorkERP.[dbo].[_InfoRg41626].[_Period] ) AS Date) as Period
      ,CONVERT(varchar(32),WorkERP.[dbo].[_InfoRg41626].[_Fld41627RRef], 2) AS ID_Nomenklatura -- Номенклатура
    ,CONVERT(varchar(32),WorkERP.[dbo].[_InfoRg41626].[_Fld41639RRef], 2) AS ID_DocumentVipusk -- Номенклатура
,(WorkERP.[dbo].[_InfoRg41626].[_Fld41628]) AS Quantity
,(WorkERP.[dbo].[_InfoRg41626].[_Fld41629]) AS SummaGRN
,(WorkERP.[dbo].[_InfoRg41626].[_Fld41649]) AS SummaDollar
FROM  WorkERP.[dbo].[_InfoRg41626] 
Where  CAST([_Period] AS Date)&gt;=DATEADD(year, 2000, CAST('2019-01-1' AS Date) )
</t>
  </si>
  <si>
    <t>Статьи расходов</t>
  </si>
  <si>
    <t>Use WorkERP
 SELECT   
 CONVERT(varchar(32),_IDRRef, 2) AS ID_ArticlesRashod
   ,CONVERT(varchar(32),_ParentIDRRef, 2) AS ID_ArticlesRashodParent
 ,CONVERT(varchar(100),_Description, 2) as Description
  ,CONVERT(varchar(32),_Fld41652RRef, 2) AS ID_ArticlesRashodUpr
 FROM dbo._Chrc1498</t>
  </si>
  <si>
    <t xml:space="preserve">Use WorkERP
 SELECT   
 CONVERT(varchar(32),_IDRRef, 2) AS ID_Nomenklatura
 ,CONVERT(varchar(32),_ParentIDRRef, 2) AS ID_NomenklaturaParent
 ,CONVERT(varchar(100),_Description, 2) as Description
 ,CONVERT(varchar(11),_Code, 2) as Kod1C
 ,CONVERT(varchar(13),_Fld33583, 2) as Barcode
 ,CONVERT(varchar(150),_Fld33532, 2) as FullName
 ,CONVERT(varchar(25),_Fld33504, 2) as Articul
 ,CONVERT(varchar(32),_Fld33513RRef, 2) as ID_VidNomenklatura
 ,CONVERT(varchar(32),_Fld40169RRef, 2)  as ID_GroupTovara
 ,CONVERT(varchar(32),_Fld40170RRef, 2) as ID_Subgroup
 ,CONVERT(varchar(32),_Fld33530RRef, 2) as ID_Trademark
 ,CONVERT(varchar(32),_Fld33537RRef, 2) as ID_MainSupplier
 FROM dbo._Reference228
 </t>
  </si>
  <si>
    <t>USE WorkERP
SELECT 
       CAST(DATEADD(year, -2000, WorkERP.[dbo].[_InfoRg41643].[_Period] ) AS Date) as Period
      ,CONVERT(varchar(32),WorkERP.[dbo].[_InfoRg41643].[_Fld41646RRef], 2) AS ID_ArticlesRashod -- Статья расходов
    ,CONVERT(varchar(32),WorkERP.[dbo].[_InfoRg41643].[_Fld41653RRef], 2) AS ID_ArticlesRashodUpr -- Статья расходов упр
,(WorkERP.[dbo].[_InfoRg41643].[_Fld41647]) AS SummaGRN
,(WorkERP.[dbo].[_InfoRg41643].[_Fld41648]) AS SummaDollar
FROM  WorkERP.[dbo].[_InfoRg41643] 
Where  CAST([_Period] AS Date)&gt;=DATEADD(year, 2000, CAST('2019-01-1' AS Date) )</t>
  </si>
  <si>
    <t>А_ПрочиеРасходыПроизводстваДляОЛАП</t>
  </si>
  <si>
    <t>Use WorkERP
 SELECT   
 CONVERT(varchar(32),_IDRRef, 2) AS ID_ArticlesRashodUpr
   ,CONVERT(varchar(32),_ParentIDRRef, 2) AS ID_ArticlesRashodUprParent
 ,CONVERT(varchar(100),_Description, 2) as Description
 FROM dbo._Reference41651</t>
  </si>
  <si>
    <t>Статьи расходов упр</t>
  </si>
  <si>
    <t>А_АнализБракаВыпускПроизводствоКуб</t>
  </si>
  <si>
    <t>USE WorkERP
SELECT 
       CAST(DATEADD(year, -2000, WorkERP.[dbo].[_InfoRg40766].[_Period] ) AS Date) as Period
    ,CONVERT(varchar(32),WorkERP.[dbo].[_InfoRg40766].[_Fld40768RRef], 2) AS ID_ArticlesAssetPassives --Показатель
 ,CONVERT(varchar(150),WorkERP.[dbo].[_InfoRg40766].[_Fld41702], 2)AS Analytics1
 ,CONVERT(varchar(150),WorkERP.[dbo].[_InfoRg40766].[_Fld41703], 2)AS Analytics2
 ,CONVERT(varchar(150),WorkERP.[dbo].[_InfoRg40766].[_Fld41704], 2)AS Analytics3
 ,CONVERT(varchar(150),WorkERP.[dbo].[_InfoRg40766].[_Fld41705], 2)AS Analytics4
,(WorkERP.[dbo].[_InfoRg40766].[_Fld40770]) AS Quantity
,(WorkERP.[dbo].[_InfoRg40766].[_Fld40771]) AS Summa_Grn
,(WorkERP.[dbo].[_InfoRg40766].[_Fld41710]) AS Summa_Dolar
,(WorkERP.[dbo].[_InfoRg40766].[_Fld41712]) AS Summa_Brak
,(WorkERP.[dbo].[_InfoRg40766].[_Fld41711]) AS Summa_Vipusk
,(WorkERP.[dbo].[_InfoRg40766].[_Fld41713]) AS Summa_OstBrak
FROM  WorkERP.[dbo].[_InfoRg40766] 
Where  CAST([_Period] AS Date)&gt;=DATEADD(year, 2000, CAST('2020-01-1' AS Date) )</t>
  </si>
  <si>
    <t>BF_Analytics1</t>
  </si>
  <si>
    <t>USE olapERP
SELECT     Analytics1
FROM         AnalysisBrakaFactory
GROUP BY Analytics1</t>
  </si>
  <si>
    <t>А_ПоказательОтчета</t>
  </si>
  <si>
    <t>Use WorkERP
 SELECT   
 CONVERT(varchar(32),_IDRRef, 2) AS ID_DefectRate
 ,_Fld41708 AS Sort
 ,CONVERT(varchar(100),_Description, 2) as Description
 FROM dbo._Reference40765</t>
  </si>
  <si>
    <t>USE olapERP
SELECT     Nomenklatura.Description, Nomenklatura.ID_Nomenklatura, Nomenklatura.ID_GroupTovara, Nomenklatura.ID_Subgroup, Nomenklatura.ID_Trademark
FROM         PlanVipuskFactory INNER JOIN
                      Nomenklatura ON PlanVipuskFactory.ID_Nomenklatura = Nomenklatura.ID_Nomenklatura
GROUP BY Nomenklatura.Description, Nomenklatura.ID_Nomenklatura, Nomenklatura.ID_GroupTovara, Nomenklatura.ID_Subgroup, Nomenklatura.ID_Trademark</t>
  </si>
  <si>
    <t>NomenklaturaVipusk</t>
  </si>
  <si>
    <t xml:space="preserve">USE WorkERP
SELECT 
       CAST(DATEADD(year, -2000, WorkERP.[dbo].[_InfoRg40783].[_Period] ) AS Date) as Period
      ,CONVERT(varchar(32),WorkERP.[dbo].[_InfoRg40783].[_Fld40785RRef], 2) AS ID_IndicatorTypes --Тип показателя
    ,CONVERT(varchar(32),WorkERP.[dbo].[_InfoRg40783].[_Fld40786RRef], 2) AS ID_ArticlesAssetPassives --Показатель
 ,CONVERT(varchar(150),WorkERP.[dbo].[_InfoRg40783].[_Fld40847], 2)AS Analytics1
 ,CONVERT(varchar(150),WorkERP.[dbo].[_InfoRg40783].[_Fld40848], 2)AS Analytics2
 ,CONVERT(varchar(150),WorkERP.[dbo].[_InfoRg40783].[_Fld40849], 2)AS Analytics3
 ,CONVERT(varchar(150),WorkERP.[dbo].[_InfoRg40783].[_Fld40850], 2)AS Analytics4
,(WorkERP.[dbo].[_InfoRg40783].[_Fld40791]) AS Summa_Initialbalance
,(WorkERP.[dbo].[_InfoRg40783].[_Fld40792]) AS Summa_Finalbalance
,(WorkERP.[dbo].[_InfoRg40783].[_Fld41716]) AS Summa_InitialbalanceGrn
,(WorkERP.[dbo].[_InfoRg40783].[_Fld41717]) AS Summa_FinalbalanceGrn
,(WorkERP.[dbo].[_InfoRg40783].[_Fld41718]) AS Summa_InitialbalanceUSD
,(WorkERP.[dbo].[_InfoRg40783].[_Fld41719]) AS Summa_FinalbalanceUSD
,(WorkERP.[dbo].[_InfoRg40783].[_Fld41720]) AS Summa_QuarterInitialbalanceGrn
,(WorkERP.[dbo].[_InfoRg40783].[_Fld41721]) AS Summa_QuarterFinalbalanceGrn
,(WorkERP.[dbo].[_InfoRg40783].[_Fld41722]) AS Summa_YearInitialbalanceGrn
,(WorkERP.[dbo].[_InfoRg40783].[_Fld41723]) AS Summa_YearFinalbalanceGrn
,(WorkERP.[dbo].[_InfoRg40783].[_Fld41724]) AS Summa_QuarterInitialbalanceUSD
,(WorkERP.[dbo].[_InfoRg40783].[_Fld41725]) AS Summa_QuarterFinalbalanceUSD
,(WorkERP.[dbo].[_InfoRg40783].[_Fld41726]) AS Summa_YearInitialbalanceUSD
,(WorkERP.[dbo].[_InfoRg40783].[_Fld41727]) AS Summa_YearFinalbalanceUSD
FROM  WorkERP.[dbo].[_InfoRg40783] 
Where  CAST([_Period] AS Date)&gt;=DATEADD(year, 2000, CAST('2019-10-1' AS Date) )
</t>
  </si>
  <si>
    <t>А_ПланированиеПроизводства</t>
  </si>
  <si>
    <t xml:space="preserve">USE Work
SELECT 
       CAST(DATEADD(year, -2000, Work.[dbo].[_InfoRg30487].[_Fld30490] ) AS Date) as Period
    ,CONVERT(varchar(150),Work.[dbo].[_InfoRg30487].[_Fld33063], 2)AS Nomenklatura
    ,CONVERT(varchar(150),Work.[dbo].[_InfoRg30487].[_Fld33066], 2)AS NomenklaturaCode
    ,CONVERT(varchar(150),Work.[dbo].[_InfoRg30487].[_Fld33064], 2)AS Postavchik
,(Work.[dbo].[_InfoRg30487].[_Fld30491]) AS Ost_Begin --ОстатокНачало
,(Work.[dbo].[_InfoRg30487].[_Fld30814]) AS Ost_BeginSum --ОстатокНачалоСтоимость
,(Work.[dbo].[_InfoRg30487].[_Fld30492]) AS Potrebnost --Потребность
,(Work.[dbo].[_InfoRg30487].[_Fld30493]) AS Deficit --Дефицит
,(Work.[dbo].[_InfoRg30487].[_Fld30507]) AS DeficitNoZakrit --ДефицитНеЗакрытый
,(Work.[dbo].[_InfoRg30487].[_Fld30494]) AS PrihodPlan --ПоступлениеПлан
,(Work.[dbo].[_InfoRg30487].[_Fld30495]) AS PrihodFact --ПоступлениеФакт
,(Work.[dbo].[_InfoRg30487].[_Fld30496]) AS Ost_Finish --ОстатокКонец
,(Work.[dbo].[_InfoRg30487].[_Fld30497]) AS PrihodPlanSum --ПоступлениеПланСумма
,(Work.[dbo].[_InfoRg30487].[_Fld30498]) AS PlechoPrihod --ПлечоПоступления
,(Work.[dbo].[_InfoRg30487].[_Fld30499]) AS OplataPrihodPlanSum --ОплатаПоступлениеПланСумма
,(Work.[dbo].[_InfoRg30487].[_Fld30508]) AS PotrebnostSum --ПотребностьСумма
,(Work.[dbo].[_InfoRg30487].[_Fld30509]) AS DeficitSum --ДефицитСумма
,(Work.[dbo].[_InfoRg30487].[_Fld30510]) AS DeficitNoZakritSum --ДефицитНеЗакрытыйСумма
,(Work.[dbo].[_InfoRg30487].[_Fld30680]) AS OplataPlanSum --СуммаПлановыхОплат
,(Work.[dbo].[_InfoRg30487].[_Fld30681]) AS OplataFactSum --СуммаФактОплат
FROM  Work.[dbo].[_InfoRg30487]
</t>
  </si>
  <si>
    <t>А_ФинРезУпр</t>
  </si>
  <si>
    <t>USE olapERP
SELECT     Analytics1
FROM         FinRezUpr
GROUP BY Analytics1</t>
  </si>
  <si>
    <t>FinRez_Analytics1</t>
  </si>
  <si>
    <t>USE olapERP
SELECT     Podrazdelenie
FROM         FinRezUpr
GROUP BY Podrazdelenie</t>
  </si>
  <si>
    <t>FinRez_Podrazdelenie</t>
  </si>
  <si>
    <t>FinRez_DirectionOfActivity</t>
  </si>
  <si>
    <t>USE olapERP
SELECT     DirectionOfActivity
FROM         FinRezUpr
GROUP BY DirectionOfActivity</t>
  </si>
  <si>
    <t>USE olapERP
SELECT     Article
FROM         FinRezUpr
GROUP BY Article</t>
  </si>
  <si>
    <t>FinRez_Article</t>
  </si>
  <si>
    <t>FinRez_Razdel</t>
  </si>
  <si>
    <t>USE olapERP
SELECT     Razdel
FROM         FinRezUpr
GROUP BY Razdel</t>
  </si>
  <si>
    <t>FinRez_SalesChannel</t>
  </si>
  <si>
    <t>USE olapERP
SELECT     SalesChannel
FROM         FinRezUpr
GROUP BY SalesChannel</t>
  </si>
  <si>
    <t>USE olapERP
SELECT     Nomenklatura,NomenklaturaCode
FROM         FinRezUpr
GROUP BY Nomenklatura,NomenklaturaCode</t>
  </si>
  <si>
    <t>FinRez_Nomenklatura</t>
  </si>
  <si>
    <t>FinRez_StandardSection</t>
  </si>
  <si>
    <t>USE olapERP
SELECT     StandardSection
FROM         FinRezUpr
GROUP BY StandardSection</t>
  </si>
  <si>
    <t>FinRez_Klient</t>
  </si>
  <si>
    <t>USE olapERP
SELECT     Klient
FROM         FinRezUpr
GROUP BY Klient</t>
  </si>
  <si>
    <t>А_ПланФактПроизводствоДляОЛАП</t>
  </si>
  <si>
    <t>USE WorkERP
SELECT 
        CAST(DATEADD(year, -2000, [WorkERP].[dbo].[_InfoRg41583]._Period ) AS Date) as Period
       ,CONVERT(varchar(32),[WorkERP].[dbo].[_InfoRg41583].[_Fld41584RRef], 2) AS ID_Nomenklatura
       ,CONVERT(varchar(100),[WorkERP].[dbo].[_InfoRg41583].[_Fld41587], 2) AS ZakazName
    ,CONVERT(varchar(100),[WorkERP].[dbo].[_InfoRg41583].[_Fld41588], 2) AS DocumentZakaz
 ,CONVERT(varchar(100),[WorkERP].[dbo].[_InfoRg41583].[_Fld41589], 2) AS DocumentVipusk
    ,([WorkERP].[dbo].[_InfoRg41583].[_Fld41590]) AS QuantityVipusk
    ,([WorkERP].[dbo].[_InfoRg41583].[_Fld41591]) AS QuantityZakaz
FROM  [WorkERP].[dbo].[_InfoRg41583]</t>
  </si>
  <si>
    <t>А_ПланФактПроизводствоПоСменамДляОЛАП</t>
  </si>
  <si>
    <t xml:space="preserve">USE WorkERP
SELECT 
        CAST(DATEADD(year, -2000, [WorkERP].[dbo].[_InfoRg41874]._Period ) AS Date) as Period
       ,([WorkERP].[dbo].[_InfoRg41874].[_Fld41875]) AS QuantitySmen   
   FROM  [WorkERP].[dbo].[_InfoRg41874]
</t>
  </si>
  <si>
    <t>А_СменВМесяце</t>
  </si>
  <si>
    <t>PlanVipuskFactorySmena</t>
  </si>
  <si>
    <t xml:space="preserve">USE WorkERP
SELECT 
        CAST(DATEADD(year, -2000, [WorkERP].[dbo].[_InfoRg41866]._Period ) AS Date) as Period
       ,CONVERT(varchar(32),[WorkERP].[dbo].[_InfoRg41866].[_Fld41867RRef], 2) AS ID_Nomenklatura
    ,([WorkERP].[dbo].[_InfoRg41866].[_Fld41869]) AS QuantityVipusk
    ,([WorkERP].[dbo].[_InfoRg41866].[_Fld41870]) AS QuantityZakaz
 ,([WorkERP].[dbo].[_InfoRg41866].[_Fld41871]) AS Quantity_NormaSmena
 ,([WorkERP].[dbo].[_InfoRg41866].[_Fld41872]) AS Quantity_SmenVipusk
 ,([WorkERP].[dbo].[_InfoRg41866].[_Fld41873]) AS Quantity_SmenOstatokVipusk
 ,CAST(DATEADD(year, -2000, [WorkERP].[dbo].[_InfoRg41866].[_Fld41876] ) AS datetime) as DataRascheta
 ,([WorkERP].[dbo].[_InfoRg41866].[_Fld41877]) AS Quantity_SmenFact
 ,([WorkERP].[dbo].[_InfoRg41866].[_Fld41878]) AS Quantity_DayFact
 ,([WorkERP].[dbo].[_InfoRg41866].[_Fld41879]) AS Quantity_DayVipusk
 ,([WorkERP].[dbo].[_InfoRg41866].[_Fld41880]) AS Quantity_SmenVipuskDay
FROM  [WorkERP].[dbo].[_InfoRg41866]
</t>
  </si>
  <si>
    <t>FinRezUpr</t>
  </si>
  <si>
    <t>USE WorkERP
SELECT 
        CAST(DATEADD(year, -2000, WorkERP.[dbo].[_InfoRg41746].[_Period] ) AS datetime) as Period
       ,CONVERT(varchar(200),WorkERP.[dbo].[_InfoRg41746].[_Fld41820], 2)AS Nomenklatura
    ,CONVERT(varchar(30),WorkERP.[dbo].[_InfoRg41746].[_Fld41821], 2)AS NomenklaturaCode
    ,CONVERT(varchar(150),WorkERP.[dbo].[_InfoRg41746].[_Fld41748], 2)AS Razdel
    ,CONVERT(varchar(150),WorkERP.[dbo].[_InfoRg41746].[_Fld41758], 2)AS Article -- Статья
 ,CONVERT(varchar(150),WorkERP.[dbo].[_InfoRg41746].[_Fld41843], 2)AS ArticleGroupe -- Статья общая
 ,CONVERT(varchar(150),WorkERP.[dbo].[_InfoRg41746].[_Fld41754], 2)AS Analytics1 -- Аналитика1
 ,CONVERT(varchar(150),WorkERP.[dbo].[_InfoRg41746].[_Fld41755], 2)AS Analytics2 -- Аналитика2
 ,CONVERT(varchar(150),WorkERP.[dbo].[_InfoRg41746].[_Fld41756], 2)AS Analytics3 -- Аналитика3
 ,CONVERT(varchar(150),WorkERP.[dbo].[_InfoRg41746].[_Fld41760], 2)AS Podrazdelenie -- Подразделение
 ,CONVERT(varchar(150),WorkERP.[dbo].[_InfoRg41746].[_Fld41762], 2)AS DirectionOfActivity -- НаправлениеДеятельности
 ,CONVERT(varchar(150),WorkERP.[dbo].[_InfoRg41746].[_Fld41818], 2)AS SalesChannel -- КаналСбыта
 ,CONVERT(varchar(150),WorkERP.[dbo].[_InfoRg41746].[_Fld41832], 2)AS Klient -- Контрагент
 ,CONVERT(varchar(150),WorkERP.[dbo].[_InfoRg41746].[_Fld41837], 2)AS StandardSection -- СтандартныйРаздел
,(WorkERP.[dbo].[_InfoRg41746].[_Fld41763]) AS SummaGrn --СуммаГрн
,(WorkERP.[dbo].[_InfoRg41746].[_Fld41764]) AS SummaDollar --СуммаДоллар
,(WorkERP.[dbo].[_InfoRg41746].[_Fld41765]) AS SummaSalesGrn --СуммаПродажиГрн
,(WorkERP.[dbo].[_InfoRg41746].[_Fld41766]) AS SummaSalesDollar --СуммаПродажиДоллар
,(WorkERP.[dbo].[_InfoRg41746].[_Fld41767]) AS SummaSebestGrn --СуммаСебестоимостьГрн
,(WorkERP.[dbo].[_InfoRg41746].[_Fld41768]) AS SummaSebestDollar --СуммаСебестоимостьДоллар
,(WorkERP.[dbo].[_InfoRg41746].[_Fld41769]) AS SummaCostGrn --СуммаЗатратГрн
,(WorkERP.[dbo].[_InfoRg41746].[_Fld41770]) AS SummaCostDollar --СуммаЗатратДоллар
,(WorkERP.[dbo].[_InfoRg41746].[_Fld41833]) AS SummaDohodGrn --СуммаДоходыГрн
,(WorkERP.[dbo].[_InfoRg41746].[_Fld41834]) AS SummaDohodDollar --СуммаДоходыДоллар
,(WorkERP.[dbo].[_InfoRg41746].[_Fld41835]) AS SummaProfitGrn --СуммаПрибыльУбытокГрн
,(WorkERP.[dbo].[_InfoRg41746].[_Fld41836]) AS SummaProfitDollar --СуммаПрибыльУбытокДоллар
FROM  WorkERP.[dbo].[_InfoRg41746]
Where  CAST([_Period] AS Date)&gt;=DATEADD(year, 2000, CAST('2019-10-1' AS Date) )</t>
  </si>
  <si>
    <t>ArticlesAssetPassives</t>
  </si>
  <si>
    <t xml:space="preserve">Use WorkERP
 SELECT   
 CONVERT(varchar(32),dbo._Chrc1496._IDRRef, 2) AS ID_ArticlesAssetPassives
  ,CONVERT(varchar(32),dbo._Chrc1496._ParentIDRRef, 2) AS ID_ArticlesAssetPassivesParent
 ,CONVERT(varchar(100),dbo._Chrc1496._Description, 2) as Description
 ,CONVERT(varchar(100),ArticlesAssetPassives_1._Description, 2) as DescriptionParent
FROM         dbo._Chrc1496 LEFT OUTER JOIN
                      dbo._Chrc1496 AS ArticlesAssetPassives_1 ON dbo._Chrc1496._ParentIDRRef = ArticlesAssetPassives_1._IDRRef
</t>
  </si>
  <si>
    <t xml:space="preserve">USE WorkERP
SELECT 
      CAST(DATEADD(year, -2000, WorkERP.[dbo].[_InfoRg41900].[_Period] ) AS datetime) as Period
     ,CONVERT(varchar(200),WorkERP.[dbo].[_InfoRg41900].[_Fld41903], 2) AS Nomenklatura
     ,CONVERT(varchar(30), WorkERP.[dbo].[_InfoRg41900].[_Fld41919], 2) AS NomenklaturaID
     ,CONVERT(varchar(200),WorkERP.[dbo].[_InfoRg41900].[_Fld41905], 2) AS Klient
     ,CONVERT(varchar(200),WorkERP.[dbo].[_InfoRg41900].[_Fld41968], 2) AS VidSales
  ,CONVERT(varchar(200),WorkERP.[dbo].[_InfoRg41900].[_Fld41907], 2) AS Organization
  ,CONVERT(varchar(200),WorkERP.[dbo].[_InfoRg41900].[_Fld41910], 2) AS Manager
  ,CONVERT(varchar(200),WorkERP.[dbo].[_InfoRg41900].[_Fld41911], 2) AS Sales_channel
  ,CONVERT(varchar(200),WorkERP.[dbo].[_InfoRg41900].[_Fld41912], 2) AS Department
  ,CONVERT(varchar(200),WorkERP.[dbo].[_InfoRg41900].[_Fld41913], 2) AS Sales_payment
  ,CONVERT(varchar(200),WorkERP.[dbo].[_InfoRg41900].[_Fld41914], 2) AS Shop
  ,CONVERT(varchar(200),WorkERP.[dbo].[_InfoRg41900].[_Fld41915], 2) AS Shop_ID
  ,CONVERT(varchar(200),WorkERP.[dbo].[_InfoRg41900].[_Fld41916], 2) AS Warehouse
,(WorkERP.[dbo].[_InfoRg41900].[_Fld41920]) AS Quntity_Sales 
,(WorkERP.[dbo].[_InfoRg41900].[_Fld41921]) AS Suma_SalesGrn
,(WorkERP.[dbo].[_InfoRg41900].[_Fld41970]) AS Suma_SalesVal
,(WorkERP.[dbo].[_InfoRg41900].[_Fld41922]) AS Quntity_Otgruzka 
,(WorkERP.[dbo].[_InfoRg41900].[_Fld41923]) AS Suma_OtgruzkaGrn
,(WorkERP.[dbo].[_InfoRg41900].[_Fld41924]) AS Quntity_Vozvrat 
,(WorkERP.[dbo].[_InfoRg41900].[_Fld41925]) AS Suma__VozvratGrn
,(WorkERP.[dbo].[_InfoRg41900].[_Fld41972]) AS Suma_ProfitGrn
,(WorkERP.[dbo].[_InfoRg41900].[_Fld41973]) AS Suma_ProfitVal
FROM  WorkERP.[dbo].[_InfoRg41900]
</t>
  </si>
  <si>
    <t>А_ФактУправленческиеПродажи</t>
  </si>
  <si>
    <t>SELECT 
    CONVERT(varchar(200),WorkERP.[dbo].[_InfoRg41927].[_Fld41929], 2)AS Nomenklatura
     ,CONVERT(varchar(30),WorkERP.[dbo].[_InfoRg41927].[_Fld41940], 2)AS NomenklaturaID
    ,CONVERT(varchar(200),WorkERP.[dbo].[_InfoRg41927].[_Fld41931], 2)AS Progect
     ,CONVERT(varchar(30),WorkERP.[dbo].[_InfoRg41927].[_Fld41932], 2)AS Nomenklatura_Group
,CONVERT(varchar(200),WorkERP.[dbo].[_InfoRg41927].[_Fld41933], 2)AS Nomenklatura_SubGroup
,CONVERT(varchar(200),WorkERP.[dbo].[_InfoRg41927].[_Fld41934], 2)AS Nomenklatura_TradeMark
FROM  WorkERP.[dbo].[_InfoRg41927]</t>
  </si>
  <si>
    <t>UprSales_Nomenklatura</t>
  </si>
</sst>
</file>

<file path=xl/styles.xml><?xml version="1.0" encoding="utf-8"?>
<styleSheet xmlns="http://schemas.openxmlformats.org/spreadsheetml/2006/main">
  <fonts count="2">
    <font>
      <sz val="11"/>
      <color theme="1"/>
      <name val="Calibri"/>
      <family val="2"/>
      <charset val="204"/>
      <scheme val="minor"/>
    </font>
    <font>
      <sz val="11"/>
      <color rgb="FF006100"/>
      <name val="Calibri"/>
      <family val="2"/>
      <charset val="204"/>
      <scheme val="minor"/>
    </font>
  </fonts>
  <fills count="3">
    <fill>
      <patternFill patternType="none"/>
    </fill>
    <fill>
      <patternFill patternType="gray125"/>
    </fill>
    <fill>
      <patternFill patternType="solid">
        <fgColor rgb="FFC6EFCE"/>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s>
  <cellStyleXfs count="2">
    <xf numFmtId="0" fontId="0" fillId="0" borderId="0"/>
    <xf numFmtId="0" fontId="1" fillId="2" borderId="0" applyNumberFormat="0" applyBorder="0" applyAlignment="0" applyProtection="0"/>
  </cellStyleXfs>
  <cellXfs count="17">
    <xf numFmtId="0" fontId="0" fillId="0" borderId="0" xfId="0"/>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3" xfId="0" applyBorder="1"/>
    <xf numFmtId="0" fontId="0" fillId="0" borderId="3" xfId="0" applyBorder="1" applyAlignment="1">
      <alignment wrapText="1"/>
    </xf>
    <xf numFmtId="0" fontId="1" fillId="2" borderId="2" xfId="1" applyBorder="1" applyAlignment="1">
      <alignment vertical="center"/>
    </xf>
    <xf numFmtId="0" fontId="1" fillId="2" borderId="4" xfId="1" applyBorder="1"/>
    <xf numFmtId="0" fontId="1" fillId="2" borderId="1" xfId="1" applyBorder="1" applyAlignment="1">
      <alignment vertical="center"/>
    </xf>
    <xf numFmtId="0" fontId="1" fillId="2" borderId="1" xfId="1" applyBorder="1"/>
    <xf numFmtId="0" fontId="1" fillId="2" borderId="5" xfId="1" applyBorder="1" applyAlignment="1">
      <alignment vertical="center"/>
    </xf>
    <xf numFmtId="0" fontId="1" fillId="2" borderId="6" xfId="1" applyBorder="1"/>
    <xf numFmtId="0" fontId="0" fillId="0" borderId="1" xfId="0" applyBorder="1" applyAlignment="1">
      <alignment vertical="top" wrapText="1"/>
    </xf>
    <xf numFmtId="0" fontId="0" fillId="0" borderId="0" xfId="0" applyFill="1" applyBorder="1"/>
    <xf numFmtId="0" fontId="0" fillId="0" borderId="1" xfId="0" applyFill="1" applyBorder="1"/>
    <xf numFmtId="0" fontId="0" fillId="0" borderId="1" xfId="0" applyBorder="1" applyAlignment="1">
      <alignment vertical="center"/>
    </xf>
  </cellXfs>
  <cellStyles count="2">
    <cellStyle name="Обычный" xfId="0" builtinId="0"/>
    <cellStyle name="Хороший" xfId="1" builtinId="26"/>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6:D30"/>
  <sheetViews>
    <sheetView topLeftCell="A28" zoomScale="130" zoomScaleNormal="130" workbookViewId="0">
      <selection activeCell="D30" sqref="D30"/>
    </sheetView>
  </sheetViews>
  <sheetFormatPr defaultRowHeight="15"/>
  <cols>
    <col min="3" max="3" width="64.7109375" customWidth="1"/>
    <col min="4" max="4" width="108.140625" customWidth="1"/>
  </cols>
  <sheetData>
    <row r="6" spans="2:4" ht="15.75" thickBot="1"/>
    <row r="7" spans="2:4" ht="15.75" thickBot="1">
      <c r="C7" s="7" t="s">
        <v>0</v>
      </c>
      <c r="D7" s="8" t="s">
        <v>1</v>
      </c>
    </row>
    <row r="8" spans="2:4" ht="69" customHeight="1">
      <c r="B8">
        <v>1</v>
      </c>
      <c r="C8" s="5" t="s">
        <v>14</v>
      </c>
      <c r="D8" s="6" t="s">
        <v>13</v>
      </c>
    </row>
    <row r="9" spans="2:4" ht="56.25" customHeight="1">
      <c r="B9" s="1">
        <v>2</v>
      </c>
      <c r="C9" s="3" t="s">
        <v>15</v>
      </c>
      <c r="D9" s="4" t="s">
        <v>30</v>
      </c>
    </row>
    <row r="10" spans="2:4" ht="48" customHeight="1">
      <c r="B10" s="1">
        <v>3</v>
      </c>
      <c r="C10" s="3" t="s">
        <v>16</v>
      </c>
      <c r="D10" s="4" t="s">
        <v>17</v>
      </c>
    </row>
    <row r="11" spans="2:4" ht="64.5" customHeight="1">
      <c r="B11" s="1">
        <v>4</v>
      </c>
      <c r="C11" s="3" t="s">
        <v>18</v>
      </c>
      <c r="D11" s="4" t="s">
        <v>19</v>
      </c>
    </row>
    <row r="12" spans="2:4" ht="52.5" customHeight="1">
      <c r="B12" s="1">
        <v>5</v>
      </c>
      <c r="C12" s="3" t="s">
        <v>22</v>
      </c>
      <c r="D12" s="4" t="s">
        <v>21</v>
      </c>
    </row>
    <row r="13" spans="2:4" ht="54.75" customHeight="1">
      <c r="B13" s="1">
        <v>6</v>
      </c>
      <c r="C13" s="3" t="s">
        <v>24</v>
      </c>
      <c r="D13" s="4" t="s">
        <v>23</v>
      </c>
    </row>
    <row r="14" spans="2:4" ht="79.5" customHeight="1">
      <c r="B14" s="1">
        <v>7</v>
      </c>
      <c r="C14" s="3" t="s">
        <v>25</v>
      </c>
      <c r="D14" s="4" t="s">
        <v>26</v>
      </c>
    </row>
    <row r="15" spans="2:4" ht="72" customHeight="1">
      <c r="B15" s="1">
        <v>8</v>
      </c>
      <c r="C15" s="3" t="s">
        <v>28</v>
      </c>
      <c r="D15" s="4" t="s">
        <v>29</v>
      </c>
    </row>
    <row r="16" spans="2:4" ht="68.25" customHeight="1">
      <c r="B16" s="1">
        <v>9</v>
      </c>
      <c r="C16" s="3" t="s">
        <v>34</v>
      </c>
      <c r="D16" s="4" t="s">
        <v>33</v>
      </c>
    </row>
    <row r="17" spans="2:4" ht="72" customHeight="1">
      <c r="B17" s="1">
        <v>10</v>
      </c>
      <c r="C17" s="3" t="s">
        <v>37</v>
      </c>
      <c r="D17" s="4" t="s">
        <v>38</v>
      </c>
    </row>
    <row r="18" spans="2:4" ht="70.5" customHeight="1">
      <c r="B18">
        <v>11</v>
      </c>
      <c r="C18" s="3" t="s">
        <v>39</v>
      </c>
      <c r="D18" s="4" t="s">
        <v>40</v>
      </c>
    </row>
    <row r="19" spans="2:4" ht="79.5" customHeight="1">
      <c r="B19" s="1">
        <v>12</v>
      </c>
      <c r="C19" s="3" t="s">
        <v>42</v>
      </c>
      <c r="D19" s="4" t="s">
        <v>41</v>
      </c>
    </row>
    <row r="20" spans="2:4" ht="49.5" customHeight="1">
      <c r="B20" s="1">
        <v>13</v>
      </c>
      <c r="C20" s="3" t="s">
        <v>48</v>
      </c>
      <c r="D20" s="4" t="s">
        <v>47</v>
      </c>
    </row>
    <row r="21" spans="2:4" ht="51" customHeight="1">
      <c r="B21" s="1">
        <v>14</v>
      </c>
      <c r="C21" s="3" t="s">
        <v>50</v>
      </c>
      <c r="D21" s="4" t="s">
        <v>49</v>
      </c>
    </row>
    <row r="22" spans="2:4" ht="78" customHeight="1">
      <c r="B22" s="1">
        <v>14</v>
      </c>
      <c r="C22" s="3" t="s">
        <v>51</v>
      </c>
      <c r="D22" s="4" t="s">
        <v>52</v>
      </c>
    </row>
    <row r="23" spans="2:4" ht="60">
      <c r="B23">
        <v>15</v>
      </c>
      <c r="C23" s="3" t="s">
        <v>54</v>
      </c>
      <c r="D23" s="4" t="s">
        <v>53</v>
      </c>
    </row>
    <row r="24" spans="2:4" ht="60">
      <c r="B24">
        <v>16</v>
      </c>
      <c r="C24" s="3" t="s">
        <v>55</v>
      </c>
      <c r="D24" s="4" t="s">
        <v>56</v>
      </c>
    </row>
    <row r="25" spans="2:4" ht="60">
      <c r="B25" s="1">
        <v>17</v>
      </c>
      <c r="C25" s="3" t="s">
        <v>57</v>
      </c>
      <c r="D25" s="4" t="s">
        <v>58</v>
      </c>
    </row>
    <row r="26" spans="2:4" ht="60">
      <c r="B26" s="1">
        <v>18</v>
      </c>
      <c r="C26" s="3" t="s">
        <v>60</v>
      </c>
      <c r="D26" s="4" t="s">
        <v>59</v>
      </c>
    </row>
    <row r="27" spans="2:4" ht="60">
      <c r="B27" s="1">
        <v>19</v>
      </c>
      <c r="C27" s="3" t="s">
        <v>61</v>
      </c>
      <c r="D27" s="4" t="s">
        <v>62</v>
      </c>
    </row>
    <row r="28" spans="2:4" ht="60">
      <c r="B28" s="1">
        <v>20</v>
      </c>
      <c r="C28" s="3" t="s">
        <v>63</v>
      </c>
      <c r="D28" s="4" t="s">
        <v>64</v>
      </c>
    </row>
    <row r="30" spans="2:4" ht="144.75" customHeight="1">
      <c r="B30">
        <v>21</v>
      </c>
      <c r="C30" s="1" t="s">
        <v>79</v>
      </c>
      <c r="D30" s="2"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3:D13"/>
  <sheetViews>
    <sheetView tabSelected="1" topLeftCell="C10" workbookViewId="0">
      <selection activeCell="C16" sqref="C16"/>
    </sheetView>
  </sheetViews>
  <sheetFormatPr defaultRowHeight="15"/>
  <cols>
    <col min="2" max="2" width="23.7109375" bestFit="1" customWidth="1"/>
    <col min="3" max="3" width="92.7109375" customWidth="1"/>
    <col min="4" max="4" width="112" customWidth="1"/>
  </cols>
  <sheetData>
    <row r="3" spans="2:4">
      <c r="C3" s="9" t="s">
        <v>0</v>
      </c>
      <c r="D3" s="10" t="s">
        <v>1</v>
      </c>
    </row>
    <row r="4" spans="2:4" ht="135" customHeight="1">
      <c r="C4" s="16" t="s">
        <v>9</v>
      </c>
      <c r="D4" s="13" t="s">
        <v>43</v>
      </c>
    </row>
    <row r="5" spans="2:4" ht="125.25" customHeight="1">
      <c r="C5" s="3" t="s">
        <v>20</v>
      </c>
      <c r="D5" s="13" t="s">
        <v>27</v>
      </c>
    </row>
    <row r="6" spans="2:4" ht="83.25" customHeight="1">
      <c r="C6" s="3" t="s">
        <v>32</v>
      </c>
      <c r="D6" s="13" t="s">
        <v>31</v>
      </c>
    </row>
    <row r="7" spans="2:4" ht="108" customHeight="1">
      <c r="C7" s="3" t="s">
        <v>35</v>
      </c>
      <c r="D7" s="13" t="s">
        <v>36</v>
      </c>
    </row>
    <row r="8" spans="2:4" ht="101.25" customHeight="1">
      <c r="C8" s="3" t="s">
        <v>44</v>
      </c>
      <c r="D8" s="13" t="s">
        <v>45</v>
      </c>
    </row>
    <row r="9" spans="2:4" ht="123.75" customHeight="1">
      <c r="B9" s="1" t="s">
        <v>72</v>
      </c>
      <c r="C9" s="15" t="s">
        <v>46</v>
      </c>
      <c r="D9" s="4" t="s">
        <v>73</v>
      </c>
    </row>
    <row r="10" spans="2:4" ht="180">
      <c r="C10" s="15" t="s">
        <v>65</v>
      </c>
      <c r="D10" s="4" t="s">
        <v>66</v>
      </c>
    </row>
    <row r="11" spans="2:4" ht="96.75" customHeight="1">
      <c r="B11" s="1" t="s">
        <v>70</v>
      </c>
      <c r="C11" s="15" t="s">
        <v>67</v>
      </c>
      <c r="D11" s="4" t="s">
        <v>71</v>
      </c>
    </row>
    <row r="12" spans="2:4" ht="66.75" customHeight="1">
      <c r="C12" s="15" t="s">
        <v>69</v>
      </c>
      <c r="D12" s="4" t="s">
        <v>68</v>
      </c>
    </row>
    <row r="13" spans="2:4" ht="82.5" customHeight="1">
      <c r="C13" s="15" t="s">
        <v>77</v>
      </c>
      <c r="D13" s="4"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4"/>
  <sheetViews>
    <sheetView workbookViewId="0">
      <selection activeCell="D4" sqref="D4"/>
    </sheetView>
  </sheetViews>
  <sheetFormatPr defaultRowHeight="15"/>
  <cols>
    <col min="4" max="4" width="68.140625" customWidth="1"/>
  </cols>
  <sheetData>
    <row r="4" spans="4:4" ht="255">
      <c r="D4" s="2"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D4:E8"/>
  <sheetViews>
    <sheetView workbookViewId="0">
      <selection activeCell="E6" sqref="E6"/>
    </sheetView>
  </sheetViews>
  <sheetFormatPr defaultRowHeight="15"/>
  <cols>
    <col min="4" max="4" width="36" customWidth="1"/>
    <col min="5" max="5" width="73.5703125" customWidth="1"/>
  </cols>
  <sheetData>
    <row r="4" spans="4:5" ht="15.75" thickBot="1"/>
    <row r="5" spans="4:5">
      <c r="D5" s="11" t="s">
        <v>0</v>
      </c>
      <c r="E5" s="12" t="s">
        <v>1</v>
      </c>
    </row>
    <row r="6" spans="4:5" ht="75">
      <c r="D6" s="3" t="s">
        <v>10</v>
      </c>
      <c r="E6" s="4" t="s">
        <v>11</v>
      </c>
    </row>
    <row r="7" spans="4:5">
      <c r="D7" s="3"/>
      <c r="E7" s="4"/>
    </row>
    <row r="8" spans="4:5">
      <c r="D8" s="3"/>
      <c r="E8"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D4:E8"/>
  <sheetViews>
    <sheetView workbookViewId="0">
      <selection activeCell="E7" sqref="E7"/>
    </sheetView>
  </sheetViews>
  <sheetFormatPr defaultRowHeight="15"/>
  <cols>
    <col min="4" max="4" width="55" customWidth="1"/>
    <col min="5" max="5" width="96.85546875" bestFit="1" customWidth="1"/>
  </cols>
  <sheetData>
    <row r="4" spans="4:5">
      <c r="D4" s="9" t="s">
        <v>0</v>
      </c>
      <c r="E4" s="10" t="s">
        <v>1</v>
      </c>
    </row>
    <row r="5" spans="4:5" ht="225">
      <c r="D5" s="1" t="s">
        <v>3</v>
      </c>
      <c r="E5" s="2" t="s">
        <v>7</v>
      </c>
    </row>
    <row r="6" spans="4:5" ht="75">
      <c r="D6" s="1" t="s">
        <v>4</v>
      </c>
      <c r="E6" s="2" t="s">
        <v>5</v>
      </c>
    </row>
    <row r="7" spans="4:5" ht="150">
      <c r="D7" s="14" t="s">
        <v>6</v>
      </c>
      <c r="E7" s="2" t="s">
        <v>8</v>
      </c>
    </row>
    <row r="8" spans="4:5">
      <c r="D8" s="14"/>
      <c r="E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C5:E7"/>
  <sheetViews>
    <sheetView workbookViewId="0">
      <selection activeCell="D7" sqref="D7"/>
    </sheetView>
  </sheetViews>
  <sheetFormatPr defaultRowHeight="15"/>
  <cols>
    <col min="4" max="4" width="42.85546875" customWidth="1"/>
    <col min="5" max="5" width="83.85546875" customWidth="1"/>
  </cols>
  <sheetData>
    <row r="5" spans="3:5" ht="15.75" thickBot="1"/>
    <row r="6" spans="3:5" ht="15.75" thickBot="1">
      <c r="D6" s="7" t="s">
        <v>0</v>
      </c>
      <c r="E6" s="8" t="s">
        <v>1</v>
      </c>
    </row>
    <row r="7" spans="3:5" ht="195">
      <c r="C7" s="1" t="s">
        <v>74</v>
      </c>
      <c r="D7" s="5" t="s">
        <v>12</v>
      </c>
      <c r="E7" s="6" t="s">
        <v>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E30:I30"/>
  <sheetViews>
    <sheetView workbookViewId="0">
      <selection activeCell="E16" sqref="E16"/>
    </sheetView>
  </sheetViews>
  <sheetFormatPr defaultRowHeight="15"/>
  <cols>
    <col min="5" max="5" width="19.5703125" bestFit="1" customWidth="1"/>
  </cols>
  <sheetData>
    <row r="30" spans="5:9">
      <c r="E30">
        <v>-338744.08185654099</v>
      </c>
      <c r="F30">
        <v>-320425.61844261701</v>
      </c>
      <c r="I30">
        <f>F30-E30</f>
        <v>18318.463413923979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Справочники</vt:lpstr>
      <vt:lpstr>Регистры</vt:lpstr>
      <vt:lpstr>Календарь</vt:lpstr>
      <vt:lpstr>Перечисления</vt:lpstr>
      <vt:lpstr>Кемпинг</vt:lpstr>
      <vt:lpstr>Планы видов характеристик</vt:lpstr>
      <vt:lpstr>Лист1</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litvinyuk</dc:creator>
  <cp:lastModifiedBy>litvinyuk</cp:lastModifiedBy>
  <dcterms:created xsi:type="dcterms:W3CDTF">2020-05-17T16:18:32Z</dcterms:created>
  <dcterms:modified xsi:type="dcterms:W3CDTF">2022-01-12T10:28:58Z</dcterms:modified>
</cp:coreProperties>
</file>
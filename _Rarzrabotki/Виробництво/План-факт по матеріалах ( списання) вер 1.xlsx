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fo\Desktop\"/>
    </mc:Choice>
  </mc:AlternateContent>
  <xr:revisionPtr revIDLastSave="0" documentId="8_{BAF2AAB5-9CBC-4EF5-A0D9-3D043EAFDB6C}" xr6:coauthVersionLast="45" xr6:coauthVersionMax="45" xr10:uidLastSave="{00000000-0000-0000-0000-000000000000}"/>
  <bookViews>
    <workbookView xWindow="-120" yWindow="-120" windowWidth="29040" windowHeight="15990" xr2:uid="{F3611FE9-F38D-4305-8EB3-675FCA616A6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6" i="1" l="1"/>
  <c r="P6" i="1"/>
  <c r="I10" i="1"/>
  <c r="I8" i="1"/>
  <c r="I7" i="1"/>
  <c r="I6" i="1" s="1"/>
  <c r="H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cfo</author>
  </authors>
  <commentList>
    <comment ref="H1" authorId="0" shapeId="0" xr:uid="{0EFED5EB-B810-4135-957D-DA95CBF19AD2}">
      <text>
        <r>
          <rPr>
            <b/>
            <sz val="9"/>
            <color indexed="81"/>
            <rFont val="Tahoma"/>
            <charset val="1"/>
          </rPr>
          <t>cfo:</t>
        </r>
        <r>
          <rPr>
            <sz val="9"/>
            <color indexed="81"/>
            <rFont val="Tahoma"/>
            <charset val="1"/>
          </rPr>
          <t xml:space="preserve">
Идет списание ( документ комплектация ) согласно СС
</t>
        </r>
      </text>
    </comment>
    <comment ref="I1" authorId="0" shapeId="0" xr:uid="{6406F0D7-00C9-4022-B47C-C038440DB538}">
      <text>
        <r>
          <rPr>
            <b/>
            <sz val="9"/>
            <color indexed="81"/>
            <rFont val="Tahoma"/>
            <charset val="1"/>
          </rPr>
          <t>cfo:</t>
        </r>
        <r>
          <rPr>
            <sz val="9"/>
            <color indexed="81"/>
            <rFont val="Tahoma"/>
            <charset val="1"/>
          </rPr>
          <t xml:space="preserve">
Остатки для анализа по Доп списанию
</t>
        </r>
      </text>
    </comment>
    <comment ref="K1" authorId="0" shapeId="0" xr:uid="{C5296772-0AA2-47D9-BA3E-C7D0BAC79F9B}">
      <text>
        <r>
          <rPr>
            <b/>
            <sz val="9"/>
            <color indexed="81"/>
            <rFont val="Tahoma"/>
            <charset val="1"/>
          </rPr>
          <t>cfo:</t>
        </r>
        <r>
          <rPr>
            <sz val="9"/>
            <color indexed="81"/>
            <rFont val="Tahoma"/>
            <charset val="1"/>
          </rPr>
          <t xml:space="preserve">
Идет списание ( документ комплектация ) согласно СС
</t>
        </r>
      </text>
    </comment>
    <comment ref="L1" authorId="0" shapeId="0" xr:uid="{2DD2CA07-96EE-4128-A1A2-A064B97CF0F6}">
      <text>
        <r>
          <rPr>
            <b/>
            <sz val="9"/>
            <color indexed="81"/>
            <rFont val="Tahoma"/>
            <charset val="1"/>
          </rPr>
          <t>cfo:</t>
        </r>
        <r>
          <rPr>
            <sz val="9"/>
            <color indexed="81"/>
            <rFont val="Tahoma"/>
            <charset val="1"/>
          </rPr>
          <t xml:space="preserve">
Остатки для анализа по Доп списанию
</t>
        </r>
      </text>
    </comment>
  </commentList>
</comments>
</file>

<file path=xl/sharedStrings.xml><?xml version="1.0" encoding="utf-8"?>
<sst xmlns="http://schemas.openxmlformats.org/spreadsheetml/2006/main" count="27" uniqueCount="27">
  <si>
    <t>Згідно СС</t>
  </si>
  <si>
    <t>Залишок</t>
  </si>
  <si>
    <t>В нормі</t>
  </si>
  <si>
    <t>Понад норму</t>
  </si>
  <si>
    <t>Економія</t>
  </si>
  <si>
    <t>Норма сумма номенкл</t>
  </si>
  <si>
    <t>Сумма остатка</t>
  </si>
  <si>
    <t>Понад норму сумма</t>
  </si>
  <si>
    <t>Економія сума</t>
  </si>
  <si>
    <t>Профіль ПК-20</t>
  </si>
  <si>
    <t>Профнастил ПС-10</t>
  </si>
  <si>
    <t>Профілі сталеві листові ПК-20   0,7 оц</t>
  </si>
  <si>
    <t>м2</t>
  </si>
  <si>
    <t xml:space="preserve">Профнастил 10 </t>
  </si>
  <si>
    <t>Профнастил 20</t>
  </si>
  <si>
    <t>В нормі факт , грн</t>
  </si>
  <si>
    <t>Понад норму, факт  грн</t>
  </si>
  <si>
    <t>Економія, по факту грн</t>
  </si>
  <si>
    <t>Сумма СС</t>
  </si>
  <si>
    <t>Факт списания по Норма + понад Норма</t>
  </si>
  <si>
    <t xml:space="preserve"> ( I6+H6 ) *факт цена </t>
  </si>
  <si>
    <t xml:space="preserve">Один виміру </t>
  </si>
  <si>
    <t>Аналіз залишків (для списання)</t>
  </si>
  <si>
    <t xml:space="preserve">Різниця ( + єкономія, - перерасход) </t>
  </si>
  <si>
    <t>от СС</t>
  </si>
  <si>
    <t>%% віполнения СС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</si>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</sst>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charset val="204"/>
      <scheme val="minor"/>
    </font>
    <font>
      <b/>
      <sz val="18"/>
      <color rgb="FF843C0C"/>
      <name val="Arial"/>
    </font>
    <font>
      <b/>
      <sz val="8"/>
      <name val="Arial"/>
      <family val="2"/>
    </font>
    <font>
      <sz val="10"/>
      <color rgb="FF843C0C"/>
      <name val="Arial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8"/>
      <color rgb="FF843C0C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E699"/>
        <bgColor auto="1"/>
      </patternFill>
    </fill>
    <fill>
      <patternFill patternType="solid">
        <fgColor rgb="FFD2E0F0"/>
        <bgColor auto="1"/>
      </patternFill>
    </fill>
    <fill>
      <patternFill patternType="solid">
        <fgColor rgb="FFE2EFDA"/>
        <bgColor auto="1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/>
      <top style="thin">
        <color rgb="FFE6E6E6"/>
      </top>
      <bottom style="thin">
        <color rgb="FFE6E6E6"/>
      </bottom>
      <diagonal/>
    </border>
    <border>
      <left/>
      <right/>
      <top style="thin">
        <color rgb="FFE6E6E6"/>
      </top>
      <bottom style="thin">
        <color rgb="FFE6E6E6"/>
      </bottom>
      <diagonal/>
    </border>
    <border>
      <left/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left" vertical="top"/>
    </xf>
    <xf numFmtId="0" fontId="0" fillId="0" borderId="0" xfId="0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left" vertical="top" wrapText="1"/>
    </xf>
    <xf numFmtId="164" fontId="6" fillId="2" borderId="2" xfId="0" applyNumberFormat="1" applyFont="1" applyFill="1" applyBorder="1" applyAlignment="1">
      <alignment horizontal="right" vertical="top"/>
    </xf>
    <xf numFmtId="0" fontId="6" fillId="2" borderId="2" xfId="0" applyFont="1" applyFill="1" applyBorder="1" applyAlignment="1">
      <alignment horizontal="right" vertical="top"/>
    </xf>
    <xf numFmtId="4" fontId="6" fillId="2" borderId="2" xfId="0" applyNumberFormat="1" applyFont="1" applyFill="1" applyBorder="1" applyAlignment="1">
      <alignment horizontal="right" vertical="top"/>
    </xf>
    <xf numFmtId="0" fontId="0" fillId="4" borderId="2" xfId="0" applyFill="1" applyBorder="1" applyAlignment="1">
      <alignment horizontal="left" vertical="top" wrapText="1" indent="2"/>
    </xf>
    <xf numFmtId="0" fontId="6" fillId="2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4" fontId="0" fillId="0" borderId="2" xfId="0" applyNumberFormat="1" applyBorder="1" applyAlignment="1">
      <alignment horizontal="righ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EC143-B0F7-4632-AB46-16E8446B4DE8}">
  <dimension ref="A1:Q11"/>
  <sheetViews>
    <sheetView tabSelected="1" workbookViewId="0">
      <selection activeCell="M17" sqref="M17"/>
    </sheetView>
  </sheetViews>
  <sheetFormatPr defaultRowHeight="15" x14ac:dyDescent="0.25"/>
  <cols>
    <col min="1" max="1" width="57.85546875" bestFit="1" customWidth="1"/>
    <col min="4" max="4" width="3.42578125" bestFit="1" customWidth="1"/>
    <col min="5" max="5" width="11.42578125" bestFit="1" customWidth="1"/>
    <col min="9" max="9" width="12.28515625" bestFit="1" customWidth="1"/>
    <col min="10" max="10" width="8.140625" bestFit="1" customWidth="1"/>
    <col min="11" max="11" width="20.7109375" bestFit="1" customWidth="1"/>
    <col min="12" max="12" width="21.28515625" customWidth="1"/>
    <col min="13" max="13" width="18.7109375" bestFit="1" customWidth="1"/>
    <col min="14" max="14" width="19" bestFit="1" customWidth="1"/>
    <col min="15" max="15" width="33.140625" bestFit="1" customWidth="1"/>
    <col min="16" max="16" width="30" bestFit="1" customWidth="1"/>
    <col min="17" max="17" width="16.140625" bestFit="1" customWidth="1"/>
  </cols>
  <sheetData>
    <row r="1" spans="1:17" ht="23.25" x14ac:dyDescent="0.25">
      <c r="A1" s="1" t="s">
        <v>22</v>
      </c>
      <c r="B1" s="1"/>
      <c r="C1" s="2"/>
      <c r="D1" s="2"/>
      <c r="E1" s="3" t="s">
        <v>21</v>
      </c>
      <c r="F1" s="3" t="s">
        <v>1</v>
      </c>
      <c r="G1" s="3" t="s">
        <v>0</v>
      </c>
      <c r="H1" s="3" t="s">
        <v>2</v>
      </c>
      <c r="I1" s="3" t="s">
        <v>3</v>
      </c>
      <c r="J1" s="3" t="s">
        <v>4</v>
      </c>
      <c r="K1" s="3" t="s">
        <v>15</v>
      </c>
      <c r="L1" s="3" t="s">
        <v>16</v>
      </c>
      <c r="M1" s="3" t="s">
        <v>17</v>
      </c>
      <c r="N1" s="3" t="s">
        <v>18</v>
      </c>
      <c r="O1" s="23" t="s">
        <v>19</v>
      </c>
      <c r="P1" s="23" t="s">
        <v>23</v>
      </c>
      <c r="Q1" s="23" t="s">
        <v>25</v>
      </c>
    </row>
    <row r="2" spans="1:17" x14ac:dyDescent="0.25">
      <c r="A2" s="2"/>
      <c r="B2" s="2"/>
      <c r="C2" s="2"/>
      <c r="D2" s="2"/>
      <c r="F2" s="2"/>
      <c r="G2" s="2"/>
      <c r="H2" s="2"/>
      <c r="I2" s="2"/>
      <c r="J2" s="2"/>
      <c r="K2" s="2"/>
      <c r="L2" s="2"/>
      <c r="M2" s="2"/>
      <c r="N2" s="2"/>
      <c r="Q2" t="s">
        <v>26</v>
      </c>
    </row>
    <row r="3" spans="1:17" x14ac:dyDescent="0.25">
      <c r="A3" s="20"/>
      <c r="B3" s="21"/>
      <c r="C3" s="21"/>
      <c r="D3" s="22"/>
      <c r="F3" s="4"/>
      <c r="G3" s="4"/>
      <c r="H3" s="5"/>
      <c r="I3" s="4"/>
      <c r="J3" s="4"/>
      <c r="K3" s="4" t="s">
        <v>5</v>
      </c>
      <c r="L3" s="4" t="s">
        <v>6</v>
      </c>
      <c r="M3" s="4" t="s">
        <v>7</v>
      </c>
      <c r="N3" s="4" t="s">
        <v>8</v>
      </c>
    </row>
    <row r="4" spans="1:17" x14ac:dyDescent="0.25">
      <c r="A4" s="20"/>
      <c r="B4" s="21"/>
      <c r="C4" s="22"/>
      <c r="D4" s="6"/>
      <c r="F4" s="7"/>
      <c r="G4" s="7"/>
      <c r="H4" s="8"/>
      <c r="I4" s="7"/>
      <c r="J4" s="7"/>
      <c r="K4" s="7"/>
      <c r="L4" s="7"/>
      <c r="M4" s="7"/>
      <c r="N4" s="7"/>
    </row>
    <row r="5" spans="1:17" x14ac:dyDescent="0.25">
      <c r="O5" t="s">
        <v>20</v>
      </c>
      <c r="Q5" t="s">
        <v>24</v>
      </c>
    </row>
    <row r="6" spans="1:17" x14ac:dyDescent="0.25">
      <c r="A6" s="9" t="s">
        <v>13</v>
      </c>
      <c r="B6" s="9"/>
      <c r="C6" s="9"/>
      <c r="D6" s="9"/>
      <c r="F6" s="10">
        <v>158.52000000000001</v>
      </c>
      <c r="G6" s="10">
        <v>120</v>
      </c>
      <c r="H6" s="10"/>
      <c r="I6" s="10">
        <f>I7</f>
        <v>38.52000000000001</v>
      </c>
      <c r="J6" s="11"/>
      <c r="K6" s="12"/>
      <c r="L6" s="12"/>
      <c r="M6" s="12"/>
      <c r="N6" s="11">
        <v>900</v>
      </c>
      <c r="O6">
        <v>800</v>
      </c>
      <c r="P6">
        <f>N6-O6</f>
        <v>100</v>
      </c>
      <c r="Q6">
        <f>O6/N6</f>
        <v>0.88888888888888884</v>
      </c>
    </row>
    <row r="7" spans="1:17" ht="15" customHeight="1" x14ac:dyDescent="0.25">
      <c r="A7" s="13" t="s">
        <v>10</v>
      </c>
      <c r="B7" s="13"/>
      <c r="C7" s="13"/>
      <c r="D7" s="14"/>
      <c r="F7" s="10">
        <v>158.52000000000001</v>
      </c>
      <c r="G7" s="10">
        <v>120</v>
      </c>
      <c r="H7" s="10">
        <f>G7</f>
        <v>120</v>
      </c>
      <c r="I7" s="10">
        <f>F7-G7</f>
        <v>38.52000000000001</v>
      </c>
      <c r="J7" s="11"/>
      <c r="K7" s="12"/>
      <c r="L7" s="12"/>
      <c r="M7" s="12"/>
      <c r="N7" s="11"/>
    </row>
    <row r="8" spans="1:17" x14ac:dyDescent="0.25">
      <c r="A8" s="9" t="s">
        <v>14</v>
      </c>
      <c r="B8" s="9"/>
      <c r="C8" s="9"/>
      <c r="D8" s="9"/>
      <c r="F8" s="10">
        <v>107.52500000000001</v>
      </c>
      <c r="G8" s="10">
        <v>90</v>
      </c>
      <c r="H8" s="10"/>
      <c r="I8" s="10">
        <f>F8-G8</f>
        <v>17.525000000000006</v>
      </c>
      <c r="J8" s="11"/>
      <c r="K8" s="12"/>
      <c r="L8" s="12"/>
      <c r="M8" s="12"/>
      <c r="N8" s="11"/>
    </row>
    <row r="9" spans="1:17" x14ac:dyDescent="0.25">
      <c r="A9" s="13" t="s">
        <v>9</v>
      </c>
      <c r="B9" s="13"/>
      <c r="C9" s="13"/>
      <c r="D9" s="14"/>
      <c r="F9" s="10"/>
      <c r="G9" s="10">
        <v>90</v>
      </c>
      <c r="H9" s="10"/>
      <c r="I9" s="10"/>
      <c r="J9" s="11"/>
      <c r="K9" s="12"/>
      <c r="L9" s="12"/>
      <c r="M9" s="12"/>
      <c r="N9" s="11"/>
    </row>
    <row r="10" spans="1:17" x14ac:dyDescent="0.25">
      <c r="A10" s="15" t="s">
        <v>11</v>
      </c>
      <c r="B10" s="15"/>
      <c r="C10" s="15"/>
      <c r="D10" s="16"/>
      <c r="E10" s="16" t="s">
        <v>12</v>
      </c>
      <c r="F10" s="10">
        <v>107.52500000000001</v>
      </c>
      <c r="G10" s="17"/>
      <c r="H10" s="10">
        <v>90</v>
      </c>
      <c r="I10" s="18">
        <f>F10-H10</f>
        <v>17.525000000000006</v>
      </c>
      <c r="J10" s="17"/>
      <c r="K10" s="17">
        <v>50</v>
      </c>
      <c r="L10" s="19">
        <v>100</v>
      </c>
      <c r="M10" s="19">
        <v>0</v>
      </c>
      <c r="N10" s="17"/>
    </row>
    <row r="11" spans="1:17" x14ac:dyDescent="0.25">
      <c r="M11">
        <v>300</v>
      </c>
    </row>
  </sheetData>
  <mergeCells count="15">
    <mergeCell ref="N3:N4"/>
    <mergeCell ref="A4:C4"/>
    <mergeCell ref="A6:D6"/>
    <mergeCell ref="A9:C9"/>
    <mergeCell ref="A10:C10"/>
    <mergeCell ref="A8:D8"/>
    <mergeCell ref="A7:C7"/>
    <mergeCell ref="J3:J4"/>
    <mergeCell ref="K3:K4"/>
    <mergeCell ref="L3:L4"/>
    <mergeCell ref="M3:M4"/>
    <mergeCell ref="A3:D3"/>
    <mergeCell ref="G3:G4"/>
    <mergeCell ref="F3:F4"/>
    <mergeCell ref="I3:I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cfo</dc:creator>
  <cp:lastModifiedBy>cfo</cp:lastModifiedBy>
  <dcterms:created xsi:type="dcterms:W3CDTF">2026-06-29T14:25:18Z</dcterms:created>
  <dcterms:modified xsi:type="dcterms:W3CDTF">2026-06-29T15:04:37Z</dcterms:modified>
</cp:coreProperties>
</file>
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Проект Глобино 2\ВТВ\Списания\2026\06. Червень\22.06.2026\"/>
    </mc:Choice>
  </mc:AlternateContent>
  <xr:revisionPtr revIDLastSave="0" documentId="13_ncr:1_{CE2F8CB0-D014-44F2-BE1F-0F8EFAAD716C}" xr6:coauthVersionLast="45" xr6:coauthVersionMax="47" xr10:uidLastSave="{00000000-0000-0000-0000-000000000000}"/>
  <bookViews>
    <workbookView xWindow="28692" yWindow="-108" windowWidth="29016" windowHeight="15696" firstSheet="1" activeTab="2" xr2:uid="{00000000-000D-0000-FFFF-FFFF00000000}"/>
  </bookViews>
  <sheets>
    <sheet name="АВР №1" sheetId="1" state="hidden" r:id="rId1"/>
    <sheet name="АВР №8" sheetId="2" r:id="rId2"/>
    <sheet name="М29 №58 1.9-КМ" sheetId="3" r:id="rId3"/>
  </sheets>
  <externalReferences>
    <externalReference r:id="rId4"/>
  </externalReferences>
  <definedNames>
    <definedName name="spec_values">[1]BOQ_Шаблон!$A$6:$A$275</definedName>
    <definedName name="_xlnm.Print_Area" localSheetId="0">'АВР №1'!$A$1:$F$39</definedName>
    <definedName name="_xlnm.Print_Area" localSheetId="1">'АВР №8'!$A$1:$F$45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0" i="3" l="1"/>
  <c r="L49" i="3"/>
  <c r="K55" i="3"/>
  <c r="M42" i="3"/>
  <c r="L41" i="3"/>
  <c r="L40" i="3"/>
  <c r="L31" i="3" l="1"/>
  <c r="F29" i="3"/>
  <c r="F30" i="3"/>
  <c r="F31" i="3"/>
  <c r="F32" i="3"/>
  <c r="F33" i="3"/>
  <c r="F34" i="3"/>
  <c r="F35" i="3"/>
  <c r="F36" i="3"/>
  <c r="F37" i="3"/>
  <c r="F38" i="3"/>
  <c r="F39" i="3"/>
  <c r="F42" i="3"/>
  <c r="F43" i="3"/>
  <c r="F28" i="3"/>
  <c r="L48" i="3" l="1"/>
  <c r="L47" i="3"/>
  <c r="O52" i="3"/>
  <c r="N43" i="3"/>
  <c r="O47" i="3" s="1"/>
  <c r="L38" i="3"/>
  <c r="L39" i="3"/>
  <c r="L42" i="3"/>
  <c r="L43" i="3"/>
  <c r="O45" i="3" l="1"/>
  <c r="O44" i="3"/>
  <c r="L37" i="3"/>
  <c r="L36" i="3"/>
  <c r="L35" i="3"/>
  <c r="L34" i="3"/>
  <c r="L30" i="3"/>
  <c r="L29" i="3"/>
  <c r="L28" i="3"/>
  <c r="F44" i="3"/>
  <c r="L33" i="3"/>
  <c r="L32" i="3"/>
  <c r="L27" i="3"/>
  <c r="L44" i="3" l="1"/>
  <c r="L51" i="3"/>
  <c r="F24" i="2"/>
  <c r="F25" i="2"/>
  <c r="F26" i="2"/>
  <c r="F27" i="2"/>
  <c r="F28" i="2"/>
  <c r="F29" i="2"/>
  <c r="F30" i="2"/>
  <c r="F32" i="2"/>
  <c r="F33" i="2"/>
  <c r="F23" i="2"/>
  <c r="F20" i="2"/>
  <c r="F21" i="2"/>
  <c r="F19" i="2" l="1"/>
  <c r="E31" i="2" l="1"/>
  <c r="F31" i="2" s="1"/>
  <c r="F22" i="2" l="1"/>
  <c r="F18" i="2" l="1"/>
  <c r="F17" i="2" l="1"/>
  <c r="F16" i="2" s="1"/>
  <c r="F34" i="2" l="1"/>
  <c r="F35" i="2" l="1"/>
  <c r="F36" i="2" s="1"/>
  <c r="E43" i="2"/>
  <c r="F26" i="1" l="1"/>
  <c r="F25" i="1"/>
  <c r="F37" i="2" l="1"/>
  <c r="F38" i="2" s="1"/>
  <c r="F20" i="1"/>
  <c r="F21" i="1"/>
  <c r="F22" i="1"/>
  <c r="F23" i="1"/>
  <c r="F19" i="1"/>
  <c r="F17" i="1" l="1"/>
  <c r="F28" i="1" s="1"/>
  <c r="E27" i="1"/>
  <c r="F27" i="1" s="1"/>
  <c r="F24" i="1" s="1"/>
  <c r="F29" i="1" s="1"/>
  <c r="F30" i="1" s="1"/>
  <c r="F31" i="1" l="1"/>
  <c r="F32" i="1" s="1"/>
  <c r="E37" i="1"/>
</calcChain>
</file>

<file path=xl/sharedStrings.xml><?xml version="1.0" encoding="utf-8"?>
<sst xmlns="http://schemas.openxmlformats.org/spreadsheetml/2006/main" count="305" uniqueCount="185">
  <si>
    <t>№</t>
  </si>
  <si>
    <t>Найменування видів робіт</t>
  </si>
  <si>
    <t>Обсяги</t>
  </si>
  <si>
    <t>Одинична розцінка або ціна, грн. без ПДВ</t>
  </si>
  <si>
    <t>Всього вартість за об'єм, грн. без ПДВ</t>
  </si>
  <si>
    <t>Всього по розділу:</t>
  </si>
  <si>
    <t>Всього роботи без ПДВ</t>
  </si>
  <si>
    <t>Загальна вартість, грн з ПДВ</t>
  </si>
  <si>
    <t xml:space="preserve">ЗАМОВНИК:
ТОВ «Астарта Агро Протеїн»
</t>
  </si>
  <si>
    <t xml:space="preserve">ПІДРЯДНИК:
ТОВ «ІНДАСТРІАЛБУД»
</t>
  </si>
  <si>
    <t xml:space="preserve">Директор 
_________________________ І.В. Лумпієв
</t>
  </si>
  <si>
    <t xml:space="preserve">Директор
____________________О.В. Воронцов
</t>
  </si>
  <si>
    <r>
      <rPr>
        <b/>
        <sz val="11"/>
        <rFont val="Times New Roman"/>
        <family val="1"/>
        <charset val="204"/>
      </rPr>
      <t>Підприємство, організація</t>
    </r>
    <r>
      <rPr>
        <sz val="11"/>
        <rFont val="Times New Roman"/>
        <family val="1"/>
        <charset val="204"/>
      </rPr>
      <t xml:space="preserve"> – ТОВ «ІНДАСТРІАЛБУД »                                        </t>
    </r>
  </si>
  <si>
    <r>
      <rPr>
        <b/>
        <sz val="11"/>
        <rFont val="Times New Roman"/>
        <family val="1"/>
        <charset val="204"/>
      </rPr>
      <t>Ідентифікаційний код ЄДРПОУ</t>
    </r>
    <r>
      <rPr>
        <sz val="11"/>
        <rFont val="Times New Roman"/>
        <family val="1"/>
        <charset val="204"/>
      </rPr>
      <t xml:space="preserve"> - (40645273 )                                        </t>
    </r>
  </si>
  <si>
    <r>
      <rPr>
        <b/>
        <sz val="11"/>
        <rFont val="Times New Roman"/>
        <family val="1"/>
        <charset val="204"/>
      </rPr>
      <t>Підрядник</t>
    </r>
    <r>
      <rPr>
        <sz val="11"/>
        <rFont val="Times New Roman"/>
        <family val="1"/>
        <charset val="204"/>
      </rPr>
      <t xml:space="preserve"> - ТОВ «ІНДАСТРІАЛБУД»</t>
    </r>
  </si>
  <si>
    <r>
      <rPr>
        <b/>
        <sz val="11"/>
        <rFont val="Times New Roman"/>
        <family val="1"/>
        <charset val="204"/>
      </rPr>
      <t>Підстава:</t>
    </r>
    <r>
      <rPr>
        <sz val="11"/>
        <rFont val="Times New Roman"/>
        <family val="1"/>
        <charset val="204"/>
      </rPr>
      <t xml:space="preserve"> Договірна ціна              </t>
    </r>
  </si>
  <si>
    <r>
      <rPr>
        <b/>
        <sz val="11"/>
        <rFont val="Times New Roman"/>
        <family val="1"/>
        <charset val="204"/>
      </rPr>
      <t xml:space="preserve">Замовник </t>
    </r>
    <r>
      <rPr>
        <sz val="11"/>
        <rFont val="Times New Roman"/>
        <family val="1"/>
        <charset val="204"/>
      </rPr>
      <t xml:space="preserve">- ТОВ «Астарта Агро Протеїн»                                             </t>
    </r>
  </si>
  <si>
    <r>
      <rPr>
        <b/>
        <sz val="11"/>
        <rFont val="Times New Roman"/>
        <family val="1"/>
        <charset val="204"/>
      </rPr>
      <t>Ідентифікаційний код ЄДРПОУ</t>
    </r>
    <r>
      <rPr>
        <sz val="11"/>
        <rFont val="Times New Roman"/>
        <family val="1"/>
        <charset val="204"/>
      </rPr>
      <t xml:space="preserve"> - (44652478 )                                        </t>
    </r>
  </si>
  <si>
    <t>приймання виконаних будівельних робiт</t>
  </si>
  <si>
    <t>Од. вим.</t>
  </si>
  <si>
    <t xml:space="preserve">  "     "                                          2024 року </t>
  </si>
  <si>
    <t>Матеріали</t>
  </si>
  <si>
    <t>ПДВ (20%)</t>
  </si>
  <si>
    <t>Всього матеріали без ПДВ</t>
  </si>
  <si>
    <t>Загальна вартість, грн без ПДВ</t>
  </si>
  <si>
    <r>
      <t xml:space="preserve">Договір </t>
    </r>
    <r>
      <rPr>
        <sz val="11"/>
        <rFont val="Times New Roman"/>
        <family val="1"/>
        <charset val="204"/>
      </rPr>
      <t>№  12/09/2024-ГП від 12 вересня 2024 р.</t>
    </r>
  </si>
  <si>
    <r>
      <rPr>
        <b/>
        <sz val="11"/>
        <rFont val="Times New Roman"/>
        <family val="1"/>
        <charset val="204"/>
      </rPr>
      <t>Найменування будови та її адреса</t>
    </r>
    <r>
      <rPr>
        <sz val="11"/>
        <rFont val="Times New Roman"/>
        <family val="1"/>
        <charset val="204"/>
      </rPr>
      <t xml:space="preserve"> -«Нове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
</t>
    </r>
  </si>
  <si>
    <t>Розділ КБ</t>
  </si>
  <si>
    <r>
      <rPr>
        <b/>
        <sz val="11"/>
        <color theme="1"/>
        <rFont val="Times New Roman"/>
        <family val="1"/>
        <charset val="204"/>
      </rPr>
      <t>Роботи по будівництву:</t>
    </r>
    <r>
      <rPr>
        <sz val="11"/>
        <color theme="1"/>
        <rFont val="Times New Roman"/>
        <family val="1"/>
        <charset val="204"/>
      </rPr>
      <t xml:space="preserve"> Склад соєвого протеїнового концентрату насипом з пунктом фасування та відвантаження до залізничного транспорту поз. 4 по ГП </t>
    </r>
  </si>
  <si>
    <t>4.1</t>
  </si>
  <si>
    <t>м3</t>
  </si>
  <si>
    <t>шт</t>
  </si>
  <si>
    <t>4.1.18</t>
  </si>
  <si>
    <t>Ростверк РМ-3</t>
  </si>
  <si>
    <t>Влаштування залізобетонних конструкцій з бетону С20/25 W6 F75</t>
  </si>
  <si>
    <t>4.1.9</t>
  </si>
  <si>
    <t>Ростверк РМ-1</t>
  </si>
  <si>
    <t>4.1.99</t>
  </si>
  <si>
    <t>за  грудень  2024 року</t>
  </si>
  <si>
    <t>4.1.13</t>
  </si>
  <si>
    <t>4.1.25</t>
  </si>
  <si>
    <t>Бетон С20/25 Р4 (зимовий -5С)</t>
  </si>
  <si>
    <t>Вих. №28/11 від 28.11.2024</t>
  </si>
  <si>
    <t>Акт №6/1.9-КБ</t>
  </si>
  <si>
    <t>4.1.14</t>
  </si>
  <si>
    <t>Ростверк РМ-2</t>
  </si>
  <si>
    <t>4.1.17</t>
  </si>
  <si>
    <t>4.1.85</t>
  </si>
  <si>
    <t>4.1.86</t>
  </si>
  <si>
    <t>Анкерний блок БФБ-1 (8 шт)</t>
  </si>
  <si>
    <t>Анкерний блок БФБ-2 (2 шт)</t>
  </si>
  <si>
    <t>т</t>
  </si>
  <si>
    <t>Вих. №11/11-1 від 11.11.2024</t>
  </si>
  <si>
    <t xml:space="preserve">Директор 
____________________О.В. Воронцов
</t>
  </si>
  <si>
    <t>4.3.1</t>
  </si>
  <si>
    <t>Металоконструкції будівлі</t>
  </si>
  <si>
    <t>4.3.3</t>
  </si>
  <si>
    <t>Монтаж металоконструкцій</t>
  </si>
  <si>
    <t>4.3.2</t>
  </si>
  <si>
    <t>Виготовлення металоконструкцій</t>
  </si>
  <si>
    <t>за                                 2026 року</t>
  </si>
  <si>
    <t xml:space="preserve">  "     "                                          2026 року </t>
  </si>
  <si>
    <t>4.3.5</t>
  </si>
  <si>
    <t>Лист 10 С245  ДСТУ 8540:2015</t>
  </si>
  <si>
    <t>4.3.50</t>
  </si>
  <si>
    <t>Швелер 16П міра L=12000.00мм 1-3 сп/пс 5 категорія</t>
  </si>
  <si>
    <t>4.3.52</t>
  </si>
  <si>
    <t>Лист 8 С245   ДСТУ 8540:2015</t>
  </si>
  <si>
    <t>Труба профільна 40х20х2  С245 ДСТУ 8940:2019</t>
  </si>
  <si>
    <t>Труба профільна 40х40х3  С245 ДСТУ 8940:2019</t>
  </si>
  <si>
    <t xml:space="preserve">Монтаж решіткового настилу </t>
  </si>
  <si>
    <t>Лист 4 С245  ДСТУ 8540:2015</t>
  </si>
  <si>
    <t>4.3.48</t>
  </si>
  <si>
    <t>4.3.53</t>
  </si>
  <si>
    <t>4.3.54</t>
  </si>
  <si>
    <t>4.3.55</t>
  </si>
  <si>
    <t>4.3.56</t>
  </si>
  <si>
    <t>4.3.57</t>
  </si>
  <si>
    <t>4.3.58</t>
  </si>
  <si>
    <t>Швелер 30П міра L=12000.00мм 1-3 сп/пс 5 категорія</t>
  </si>
  <si>
    <t>Лист 20 С245  ДСТУ 8540:2016</t>
  </si>
  <si>
    <t>Настил решітковий  DIN 24537/34x38/30x3/Цинк</t>
  </si>
  <si>
    <t>Акт №58/1.9-КМ</t>
  </si>
  <si>
    <t>4.3.28</t>
  </si>
  <si>
    <t>Площадка сходової клітини СК1</t>
  </si>
  <si>
    <t>4.3.35</t>
  </si>
  <si>
    <t>Укладання з/б перемичок на розчині М150</t>
  </si>
  <si>
    <t>Кутик 75х5 С245 ДСТУ 2251:2018</t>
  </si>
  <si>
    <t>Перемички 5ПБ 30-27</t>
  </si>
  <si>
    <t>Додаток №3
до Наказу №_______ від _________________р.</t>
  </si>
  <si>
    <t>Акт № ІБ00-000524 від 28.11.24</t>
  </si>
  <si>
    <t>Вимога накладна № ІБ00-000657 від 28.11.24</t>
  </si>
  <si>
    <r>
      <t>Форма № М-29</t>
    </r>
    <r>
      <rPr>
        <b/>
        <sz val="18"/>
        <color indexed="12"/>
        <rFont val="Calibri"/>
        <family val="2"/>
        <charset val="204"/>
      </rPr>
      <t>/1</t>
    </r>
  </si>
  <si>
    <t>Списання № ІБ00-000725 від 28.11.24</t>
  </si>
  <si>
    <t>МШП № ІБ00-000402 від 30.11.24</t>
  </si>
  <si>
    <t>"ЗАТВЕРДЖЕНО"</t>
  </si>
  <si>
    <t xml:space="preserve">Директор  ____________________ </t>
  </si>
  <si>
    <t>З В І Т</t>
  </si>
  <si>
    <t>про витрати основних матеріалів у будівництві</t>
  </si>
  <si>
    <t>в співставленні з виробничими нормами</t>
  </si>
  <si>
    <t>«Найменування будови та її адреса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   по Договору підряду №  12/09/2024-ГП від 12 вересня 2024 р.</t>
  </si>
  <si>
    <t>Інформація з АВР</t>
  </si>
  <si>
    <t>Інформація з 1С</t>
  </si>
  <si>
    <t>№ п/п</t>
  </si>
  <si>
    <t>Найменування робіт</t>
  </si>
  <si>
    <t>Кіл-ть</t>
  </si>
  <si>
    <t>Вартість од. вим.</t>
  </si>
  <si>
    <t>Вартість всього вим.</t>
  </si>
  <si>
    <t>Примітка</t>
  </si>
  <si>
    <t>Код</t>
  </si>
  <si>
    <t>Найменування</t>
  </si>
  <si>
    <t>од. вим.</t>
  </si>
  <si>
    <t>Разом вартість матеріалів</t>
  </si>
  <si>
    <t>Інформація з ІВР</t>
  </si>
  <si>
    <t>Разом вартість МШП</t>
  </si>
  <si>
    <t>ВСЬОГО списано</t>
  </si>
  <si>
    <t xml:space="preserve">Опрацював  Бухгалтер ________________________  </t>
  </si>
  <si>
    <t xml:space="preserve">                                             (дата, П.І.Б., підпис)</t>
  </si>
  <si>
    <t>Витрати матеріалів перевірив:</t>
  </si>
  <si>
    <t xml:space="preserve">                                                          (дата, П.І.Б., підпис)</t>
  </si>
  <si>
    <t>Начальник ВТВ _______________________________</t>
  </si>
  <si>
    <t xml:space="preserve">                                   (дата, П.І.Б., підпис)</t>
  </si>
  <si>
    <t>Інженер ВТВ _______________________________</t>
  </si>
  <si>
    <t xml:space="preserve">Начальник будівельного-монтажного комплекса __________________________ </t>
  </si>
  <si>
    <t xml:space="preserve">                                                                                                (дата, П.І.Б., підпис)</t>
  </si>
  <si>
    <t>Матеріально-відповідальна особа, що склала звіт _______________________________________</t>
  </si>
  <si>
    <t xml:space="preserve">                                                                                                                                     (дата, П.І.Б., підпис)</t>
  </si>
  <si>
    <t>00-00018809</t>
  </si>
  <si>
    <t>Перемичка залізобетонна 5ПБ 30-27-п</t>
  </si>
  <si>
    <t>кг</t>
  </si>
  <si>
    <t>спк</t>
  </si>
  <si>
    <t>договор поставки</t>
  </si>
  <si>
    <t>00-00014839</t>
  </si>
  <si>
    <t>Розчинник на основі Уфйт-спірит 4,5 л/3,16 кг</t>
  </si>
  <si>
    <t>00-00011574</t>
  </si>
  <si>
    <t>Грунт-емаль 3 в 1 антикороз RAL7024 25 кг</t>
  </si>
  <si>
    <t>00-00016715</t>
  </si>
  <si>
    <t>Грунтівка "ЕКСПРЕС-911" сіра (відро 25 кг)</t>
  </si>
  <si>
    <t>насосная градирня</t>
  </si>
  <si>
    <t>пач</t>
  </si>
  <si>
    <t xml:space="preserve">До Акт №59/1.9-КМ  Склад соєвого протеїнового концентрату насипом з пунктом фасування та відвантаження до залізничного транспорту поз. 4 по ГП </t>
  </si>
  <si>
    <t>Швелер 10П міра L=12000.00мм 1-3 сп/пс 5 категорія</t>
  </si>
  <si>
    <t>Швелер 160х120х5 ДСТУ 8806:2018</t>
  </si>
  <si>
    <t>Труба профільна 100х100х4  С245 ДСТУ 8940:2019</t>
  </si>
  <si>
    <t>Труба профільна 120х120х4  С245 ДСТУ 8940:2019</t>
  </si>
  <si>
    <t>Болт DIN 933 М12х40 8,8 ЦБ (100)</t>
  </si>
  <si>
    <t>Болт DIN 931 М16х60 8,8 ЦБ (50)</t>
  </si>
  <si>
    <t>Гайка DIN 934 М12 6,0 ЦБ</t>
  </si>
  <si>
    <t>Гайка DIN 934 М16 8,0 ЦБ</t>
  </si>
  <si>
    <t>Шайба плоська DIN 125 М12 140 HV ЦБ</t>
  </si>
  <si>
    <t>Шайба плоська DIN 125 М16 140 HV ЦБ (2500)</t>
  </si>
  <si>
    <t>экономия</t>
  </si>
  <si>
    <t>00-00015101</t>
  </si>
  <si>
    <t>Швелер гнутий 160*100*5 (160 6-S235JR)</t>
  </si>
  <si>
    <t>00000016891</t>
  </si>
  <si>
    <t>Труба 100х100х4 (12,05- 8940:2019 08кп/1-3пс)</t>
  </si>
  <si>
    <t>00000007954</t>
  </si>
  <si>
    <t>Труба профільна 120*120*4 L=12000 мм ст1-3 сп/пс</t>
  </si>
  <si>
    <t>00000014014</t>
  </si>
  <si>
    <t>Болт М12*40 DIN 933 8,8 цб пр</t>
  </si>
  <si>
    <t>00-00020364</t>
  </si>
  <si>
    <t>Болт М16*60  DIN 931 оц. 8.8цб</t>
  </si>
  <si>
    <t>00-00000573</t>
  </si>
  <si>
    <t>Гайка DIN934 M 12</t>
  </si>
  <si>
    <t>00000020376</t>
  </si>
  <si>
    <t>Гайка М16 DIN 934 ЦБ</t>
  </si>
  <si>
    <t xml:space="preserve"> шт</t>
  </si>
  <si>
    <t>00-00013011</t>
  </si>
  <si>
    <t>00-00013012</t>
  </si>
  <si>
    <t>Шайба плоська DIN 125 М16 140 HV ЦБ</t>
  </si>
  <si>
    <t xml:space="preserve">Ваги автомобільні </t>
  </si>
  <si>
    <t>00000013151</t>
  </si>
  <si>
    <t>Розчинник "SOLVENT INDUSTRIAL" (л)</t>
  </si>
  <si>
    <t>л</t>
  </si>
  <si>
    <t>галерея 6.2</t>
  </si>
  <si>
    <t>00-00014058</t>
  </si>
  <si>
    <t>Плівка п/е 3000*150*50</t>
  </si>
  <si>
    <t>рул</t>
  </si>
  <si>
    <t>00000017910</t>
  </si>
  <si>
    <t>Круг відрізний 125*1,6*22</t>
  </si>
  <si>
    <t>00000013648</t>
  </si>
  <si>
    <t>Електрод  АНО-36 ф4  5 кг (пач)</t>
  </si>
  <si>
    <t>00-00007448</t>
  </si>
  <si>
    <t>Кабель КГ 3*25+1*10</t>
  </si>
  <si>
    <t>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</si>
</sst>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\ _₽_-;\-* #,##0.00\ _₽_-;_-* &quot;-&quot;??\ _₽_-;_-@_-"/>
    <numFmt numFmtId="165" formatCode="0.000"/>
    <numFmt numFmtId="166" formatCode="_-* #,##0.00_₴_-;\-* #,##0.00_₴_-;_-* &quot;-&quot;??_₴_-;_-@_-"/>
    <numFmt numFmtId="167" formatCode="_-* #,##0.000\ _₽_-;\-* #,##0.000\ _₽_-;_-* &quot;-&quot;??\ _₽_-;_-@_-"/>
    <numFmt numFmtId="168" formatCode="_-* #,##0.000_₴_-;\-* #,##0.000_₴_-;_-* &quot;-&quot;???_₴_-;_-@_-"/>
    <numFmt numFmtId="169" formatCode="_-* #,##0.000_-;\-* #,##0.000_-;_-* &quot;-&quot;??_-;_-@_-"/>
    <numFmt numFmtId="170" formatCode="_-* #,##0_-;\-* #,##0_-;_-* &quot;-&quot;??_-;_-@_-"/>
    <numFmt numFmtId="171" formatCode="0.0000"/>
    <numFmt numFmtId="172" formatCode="_-* #,##0.000\ _₽_-;\-* #,##0.000\ _₽_-;_-* &quot;-&quot;???\ _₽_-;_-@_-"/>
    <numFmt numFmtId="173" formatCode="00000000000"/>
    <numFmt numFmtId="174" formatCode="_-* #,##0.0000\ _₽_-;\-* #,##0.0000\ _₽_-;_-* &quot;-&quot;????\ _₽_-;_-@_-"/>
    <numFmt numFmtId="175" formatCode="#,##0.00_ ;[Red]\-#,##0.00\ "/>
  </numFmts>
  <fonts count="51" x14ac:knownFonts="1">
    <font>
      <sz val="11"/>
      <color theme="1"/>
      <name val="Calibri"/>
      <family val="2"/>
      <charset val="204"/>
      <scheme val="minor"/>
    </font>
    <font>
      <sz val="10"/>
      <color indexed="8"/>
      <name val="Book Antiqua"/>
      <family val="1"/>
      <charset val="204"/>
    </font>
    <font>
      <b/>
      <sz val="10"/>
      <color indexed="8"/>
      <name val="Book Antiqua"/>
      <family val="1"/>
      <charset val="204"/>
    </font>
    <font>
      <sz val="10"/>
      <color theme="1"/>
      <name val="Book Antiqua"/>
      <family val="1"/>
      <charset val="204"/>
    </font>
    <font>
      <b/>
      <sz val="10"/>
      <color theme="1"/>
      <name val="Book Antiqua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Book Antiqua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Book Antiqua"/>
      <family val="1"/>
      <charset val="204"/>
    </font>
    <font>
      <b/>
      <i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Book Antiqua"/>
      <family val="1"/>
      <charset val="204"/>
    </font>
    <font>
      <sz val="8"/>
      <name val="Calibri"/>
      <family val="2"/>
      <charset val="204"/>
      <scheme val="minor"/>
    </font>
    <font>
      <b/>
      <sz val="9"/>
      <color theme="1"/>
      <name val="Book Antiqua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8"/>
      <color indexed="12"/>
      <name val="Calibri"/>
      <family val="2"/>
      <charset val="204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Arial Cyr"/>
      <charset val="204"/>
    </font>
    <font>
      <b/>
      <sz val="12"/>
      <name val="Arial Cyr"/>
      <charset val="20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0"/>
      <color indexed="8"/>
      <name val="Book Antiqua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sz val="10"/>
      <name val="Book Antiqua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28"/>
      </left>
      <right/>
      <top style="thin">
        <color indexed="28"/>
      </top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7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310">
    <xf numFmtId="0" fontId="0" fillId="0" borderId="0" xfId="0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right" vertical="top" wrapText="1"/>
    </xf>
    <xf numFmtId="0" fontId="3" fillId="0" borderId="0" xfId="0" applyFont="1"/>
    <xf numFmtId="0" fontId="3" fillId="0" borderId="0" xfId="0" applyFont="1" applyAlignment="1">
      <alignment vertical="center"/>
    </xf>
    <xf numFmtId="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/>
    <xf numFmtId="0" fontId="8" fillId="0" borderId="0" xfId="0" applyFont="1"/>
    <xf numFmtId="0" fontId="8" fillId="2" borderId="0" xfId="0" applyFont="1" applyFill="1"/>
    <xf numFmtId="0" fontId="11" fillId="0" borderId="0" xfId="0" applyFont="1" applyAlignment="1">
      <alignment horizontal="center" vertical="top"/>
    </xf>
    <xf numFmtId="49" fontId="12" fillId="0" borderId="0" xfId="0" applyNumberFormat="1" applyFont="1" applyAlignment="1">
      <alignment horizontal="center" vertical="top" wrapText="1"/>
    </xf>
    <xf numFmtId="49" fontId="11" fillId="0" borderId="0" xfId="0" applyNumberFormat="1" applyFont="1" applyAlignment="1">
      <alignment horizontal="center" vertical="top" wrapText="1"/>
    </xf>
    <xf numFmtId="165" fontId="12" fillId="0" borderId="0" xfId="0" applyNumberFormat="1" applyFont="1" applyAlignment="1">
      <alignment horizontal="center" vertical="top" wrapText="1"/>
    </xf>
    <xf numFmtId="49" fontId="12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/>
    <xf numFmtId="0" fontId="13" fillId="0" borderId="0" xfId="0" applyFont="1" applyAlignment="1">
      <alignment wrapText="1"/>
    </xf>
    <xf numFmtId="0" fontId="13" fillId="0" borderId="0" xfId="0" applyFont="1"/>
    <xf numFmtId="2" fontId="13" fillId="0" borderId="0" xfId="0" applyNumberFormat="1" applyFont="1"/>
    <xf numFmtId="4" fontId="13" fillId="0" borderId="0" xfId="0" applyNumberFormat="1" applyFont="1"/>
    <xf numFmtId="0" fontId="10" fillId="2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/>
    </xf>
    <xf numFmtId="2" fontId="10" fillId="2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2" borderId="0" xfId="0" applyFont="1" applyFill="1"/>
    <xf numFmtId="0" fontId="16" fillId="0" borderId="0" xfId="0" applyFont="1"/>
    <xf numFmtId="0" fontId="17" fillId="0" borderId="0" xfId="0" applyFont="1" applyAlignment="1">
      <alignment vertical="center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/>
    </xf>
    <xf numFmtId="0" fontId="9" fillId="0" borderId="0" xfId="0" applyFont="1"/>
    <xf numFmtId="0" fontId="3" fillId="2" borderId="0" xfId="0" applyFont="1" applyFill="1"/>
    <xf numFmtId="4" fontId="13" fillId="2" borderId="4" xfId="0" applyNumberFormat="1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4" fontId="8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4" xfId="0" applyNumberFormat="1" applyFont="1" applyFill="1" applyBorder="1" applyAlignment="1">
      <alignment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4" fontId="9" fillId="2" borderId="4" xfId="0" applyNumberFormat="1" applyFont="1" applyFill="1" applyBorder="1" applyAlignment="1">
      <alignment vertical="center" wrapText="1"/>
    </xf>
    <xf numFmtId="0" fontId="9" fillId="2" borderId="1" xfId="2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4" fontId="9" fillId="2" borderId="4" xfId="1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 wrapText="1"/>
    </xf>
    <xf numFmtId="164" fontId="11" fillId="2" borderId="1" xfId="4" applyFont="1" applyFill="1" applyBorder="1" applyAlignment="1">
      <alignment horizontal="center" vertical="center" wrapText="1"/>
    </xf>
    <xf numFmtId="164" fontId="10" fillId="2" borderId="1" xfId="4" applyFont="1" applyFill="1" applyBorder="1" applyAlignment="1">
      <alignment horizontal="center" vertical="center" wrapText="1"/>
    </xf>
    <xf numFmtId="16" fontId="10" fillId="3" borderId="1" xfId="0" quotePrefix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textRotation="90"/>
    </xf>
    <xf numFmtId="2" fontId="10" fillId="3" borderId="1" xfId="0" applyNumberFormat="1" applyFont="1" applyFill="1" applyBorder="1" applyAlignment="1">
      <alignment horizontal="center" vertical="center" wrapText="1"/>
    </xf>
    <xf numFmtId="164" fontId="10" fillId="3" borderId="4" xfId="4" applyFont="1" applyFill="1" applyBorder="1" applyAlignment="1">
      <alignment horizontal="right" vertical="center" wrapText="1"/>
    </xf>
    <xf numFmtId="164" fontId="12" fillId="3" borderId="1" xfId="4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4" fontId="18" fillId="3" borderId="1" xfId="0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/>
    </xf>
    <xf numFmtId="164" fontId="3" fillId="0" borderId="0" xfId="0" applyNumberFormat="1" applyFont="1"/>
    <xf numFmtId="0" fontId="13" fillId="2" borderId="1" xfId="0" applyFont="1" applyFill="1" applyBorder="1" applyAlignment="1">
      <alignment horizontal="left" vertical="center" wrapText="1"/>
    </xf>
    <xf numFmtId="164" fontId="13" fillId="2" borderId="4" xfId="4" applyFont="1" applyFill="1" applyBorder="1" applyAlignment="1">
      <alignment horizontal="right" vertical="center" wrapText="1"/>
    </xf>
    <xf numFmtId="164" fontId="18" fillId="3" borderId="1" xfId="4" applyFont="1" applyFill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20" fillId="3" borderId="1" xfId="0" quotePrefix="1" applyFont="1" applyFill="1" applyBorder="1" applyAlignment="1">
      <alignment horizontal="center" vertical="center"/>
    </xf>
    <xf numFmtId="166" fontId="3" fillId="0" borderId="0" xfId="0" applyNumberFormat="1" applyFont="1"/>
    <xf numFmtId="166" fontId="3" fillId="2" borderId="0" xfId="0" applyNumberFormat="1" applyFont="1" applyFill="1"/>
    <xf numFmtId="164" fontId="10" fillId="2" borderId="1" xfId="4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67" fontId="8" fillId="2" borderId="1" xfId="4" applyNumberFormat="1" applyFont="1" applyFill="1" applyBorder="1" applyAlignment="1">
      <alignment horizontal="center" vertical="center" wrapText="1"/>
    </xf>
    <xf numFmtId="167" fontId="13" fillId="2" borderId="1" xfId="4" applyNumberFormat="1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4" fontId="3" fillId="0" borderId="0" xfId="4" applyFont="1" applyAlignment="1">
      <alignment vertical="center"/>
    </xf>
    <xf numFmtId="0" fontId="22" fillId="0" borderId="1" xfId="0" quotePrefix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8" fontId="3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6" fontId="25" fillId="0" borderId="0" xfId="5" applyNumberFormat="1" applyFont="1" applyBorder="1" applyAlignment="1">
      <alignment horizontal="center" vertical="center" wrapText="1"/>
    </xf>
    <xf numFmtId="4" fontId="26" fillId="0" borderId="0" xfId="0" applyNumberFormat="1" applyFont="1" applyAlignment="1">
      <alignment vertical="top" wrapText="1"/>
    </xf>
    <xf numFmtId="4" fontId="26" fillId="0" borderId="5" xfId="0" applyNumberFormat="1" applyFont="1" applyBorder="1" applyAlignment="1">
      <alignment horizontal="center" vertical="top" wrapText="1"/>
    </xf>
    <xf numFmtId="0" fontId="27" fillId="0" borderId="0" xfId="0" applyFont="1" applyAlignment="1">
      <alignment vertical="center" wrapText="1"/>
    </xf>
    <xf numFmtId="4" fontId="26" fillId="0" borderId="5" xfId="0" applyNumberFormat="1" applyFont="1" applyBorder="1" applyAlignment="1">
      <alignment horizontal="left" vertical="center" wrapText="1"/>
    </xf>
    <xf numFmtId="4" fontId="26" fillId="0" borderId="5" xfId="0" applyNumberFormat="1" applyFont="1" applyBorder="1" applyAlignment="1">
      <alignment horizontal="center" vertical="center" wrapText="1"/>
    </xf>
    <xf numFmtId="169" fontId="26" fillId="0" borderId="5" xfId="5" applyNumberFormat="1" applyFont="1" applyBorder="1" applyAlignment="1">
      <alignment horizontal="center" vertical="center" wrapText="1"/>
    </xf>
    <xf numFmtId="43" fontId="26" fillId="0" borderId="5" xfId="5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169" fontId="28" fillId="0" borderId="0" xfId="5" applyNumberFormat="1" applyFont="1" applyAlignment="1">
      <alignment horizontal="center" vertical="center"/>
    </xf>
    <xf numFmtId="43" fontId="28" fillId="0" borderId="0" xfId="5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4" fontId="25" fillId="0" borderId="0" xfId="0" applyNumberFormat="1" applyFont="1" applyAlignment="1">
      <alignment horizontal="center" vertical="center" wrapText="1"/>
    </xf>
    <xf numFmtId="169" fontId="25" fillId="0" borderId="0" xfId="5" applyNumberFormat="1" applyFont="1" applyAlignment="1">
      <alignment horizontal="center" vertical="center" wrapText="1"/>
    </xf>
    <xf numFmtId="43" fontId="25" fillId="0" borderId="0" xfId="5" applyFont="1" applyAlignment="1">
      <alignment horizontal="center" vertical="center"/>
    </xf>
    <xf numFmtId="4" fontId="25" fillId="0" borderId="0" xfId="0" applyNumberFormat="1" applyFont="1" applyAlignment="1">
      <alignment vertical="center"/>
    </xf>
    <xf numFmtId="166" fontId="25" fillId="0" borderId="0" xfId="5" applyNumberFormat="1" applyFont="1" applyBorder="1" applyAlignment="1">
      <alignment horizontal="left" vertical="center" wrapText="1"/>
    </xf>
    <xf numFmtId="169" fontId="25" fillId="0" borderId="0" xfId="5" applyNumberFormat="1" applyFont="1" applyBorder="1" applyAlignment="1">
      <alignment horizontal="center" vertical="center" wrapText="1"/>
    </xf>
    <xf numFmtId="43" fontId="25" fillId="0" borderId="0" xfId="5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169" fontId="34" fillId="2" borderId="1" xfId="5" applyNumberFormat="1" applyFont="1" applyFill="1" applyBorder="1" applyAlignment="1">
      <alignment horizontal="center" vertical="center"/>
    </xf>
    <xf numFmtId="43" fontId="34" fillId="2" borderId="1" xfId="5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0" fontId="0" fillId="2" borderId="1" xfId="5" applyNumberFormat="1" applyFont="1" applyFill="1" applyBorder="1" applyAlignment="1">
      <alignment horizontal="center" vertical="center"/>
    </xf>
    <xf numFmtId="16" fontId="4" fillId="3" borderId="1" xfId="0" quotePrefix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71" fontId="4" fillId="3" borderId="1" xfId="0" applyNumberFormat="1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4" fontId="37" fillId="3" borderId="1" xfId="0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left" vertical="center" wrapText="1"/>
    </xf>
    <xf numFmtId="169" fontId="24" fillId="2" borderId="6" xfId="5" applyNumberFormat="1" applyFont="1" applyFill="1" applyBorder="1" applyAlignment="1">
      <alignment horizontal="center" vertical="center"/>
    </xf>
    <xf numFmtId="43" fontId="24" fillId="2" borderId="6" xfId="5" applyFont="1" applyFill="1" applyBorder="1" applyAlignment="1">
      <alignment horizontal="center" vertical="center"/>
    </xf>
    <xf numFmtId="43" fontId="35" fillId="2" borderId="1" xfId="5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1" fontId="8" fillId="0" borderId="1" xfId="0" applyNumberFormat="1" applyFont="1" applyBorder="1" applyAlignment="1">
      <alignment horizontal="center" vertical="center" wrapText="1"/>
    </xf>
    <xf numFmtId="167" fontId="38" fillId="0" borderId="1" xfId="5" applyNumberFormat="1" applyFont="1" applyFill="1" applyBorder="1" applyAlignment="1">
      <alignment horizontal="center" vertical="center" wrapText="1"/>
    </xf>
    <xf numFmtId="4" fontId="39" fillId="2" borderId="1" xfId="5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172" fontId="24" fillId="2" borderId="0" xfId="0" applyNumberFormat="1" applyFont="1" applyFill="1"/>
    <xf numFmtId="0" fontId="24" fillId="2" borderId="0" xfId="0" applyFont="1" applyFill="1"/>
    <xf numFmtId="14" fontId="20" fillId="2" borderId="1" xfId="0" quotePrefix="1" applyNumberFormat="1" applyFont="1" applyFill="1" applyBorder="1" applyAlignment="1">
      <alignment horizontal="center" vertical="center" wrapText="1"/>
    </xf>
    <xf numFmtId="43" fontId="38" fillId="0" borderId="1" xfId="5" applyFont="1" applyBorder="1" applyAlignment="1">
      <alignment horizontal="center" vertical="center" wrapText="1"/>
    </xf>
    <xf numFmtId="169" fontId="13" fillId="2" borderId="1" xfId="5" applyNumberFormat="1" applyFont="1" applyFill="1" applyBorder="1" applyAlignment="1">
      <alignment horizontal="center" vertical="center"/>
    </xf>
    <xf numFmtId="43" fontId="13" fillId="2" borderId="1" xfId="5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72" fontId="19" fillId="2" borderId="0" xfId="0" applyNumberFormat="1" applyFont="1" applyFill="1"/>
    <xf numFmtId="0" fontId="19" fillId="2" borderId="0" xfId="0" applyFont="1" applyFill="1"/>
    <xf numFmtId="43" fontId="11" fillId="2" borderId="1" xfId="5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65" fontId="35" fillId="0" borderId="1" xfId="0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41" fillId="2" borderId="1" xfId="0" applyFont="1" applyFill="1" applyBorder="1" applyAlignment="1">
      <alignment vertical="center" wrapText="1"/>
    </xf>
    <xf numFmtId="0" fontId="13" fillId="7" borderId="1" xfId="0" quotePrefix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center" vertical="center" wrapText="1"/>
    </xf>
    <xf numFmtId="43" fontId="18" fillId="7" borderId="1" xfId="5" applyFont="1" applyFill="1" applyBorder="1" applyAlignment="1">
      <alignment horizontal="center" vertical="center" wrapText="1"/>
    </xf>
    <xf numFmtId="43" fontId="12" fillId="7" borderId="1" xfId="5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169" fontId="13" fillId="7" borderId="1" xfId="5" applyNumberFormat="1" applyFont="1" applyFill="1" applyBorder="1" applyAlignment="1">
      <alignment horizontal="center" vertical="center"/>
    </xf>
    <xf numFmtId="43" fontId="35" fillId="7" borderId="1" xfId="5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16" fontId="3" fillId="2" borderId="1" xfId="0" quotePrefix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7" fontId="3" fillId="2" borderId="1" xfId="5" applyNumberFormat="1" applyFont="1" applyFill="1" applyBorder="1" applyAlignment="1">
      <alignment horizontal="left" vertical="center" wrapText="1"/>
    </xf>
    <xf numFmtId="43" fontId="1" fillId="2" borderId="1" xfId="5" applyFont="1" applyFill="1" applyBorder="1" applyAlignment="1">
      <alignment horizontal="left" vertical="center" wrapText="1"/>
    </xf>
    <xf numFmtId="43" fontId="1" fillId="2" borderId="1" xfId="5" applyFont="1" applyFill="1" applyBorder="1" applyAlignment="1">
      <alignment horizontal="center" vertical="center" wrapText="1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horizontal="right" vertical="top"/>
    </xf>
    <xf numFmtId="0" fontId="23" fillId="2" borderId="1" xfId="0" applyFont="1" applyFill="1" applyBorder="1" applyAlignment="1">
      <alignment horizontal="center" vertical="center"/>
    </xf>
    <xf numFmtId="0" fontId="23" fillId="2" borderId="0" xfId="0" applyFont="1" applyFill="1"/>
    <xf numFmtId="172" fontId="23" fillId="2" borderId="0" xfId="0" applyNumberFormat="1" applyFont="1" applyFill="1"/>
    <xf numFmtId="0" fontId="8" fillId="0" borderId="1" xfId="0" applyFont="1" applyBorder="1" applyAlignment="1">
      <alignment horizontal="center" vertical="center" wrapText="1"/>
    </xf>
    <xf numFmtId="0" fontId="43" fillId="2" borderId="0" xfId="0" applyFont="1" applyFill="1"/>
    <xf numFmtId="0" fontId="8" fillId="0" borderId="1" xfId="0" applyFont="1" applyBorder="1" applyAlignment="1">
      <alignment horizontal="left" vertical="center" wrapText="1"/>
    </xf>
    <xf numFmtId="172" fontId="43" fillId="2" borderId="0" xfId="0" applyNumberFormat="1" applyFont="1" applyFill="1"/>
    <xf numFmtId="0" fontId="13" fillId="2" borderId="1" xfId="0" quotePrefix="1" applyFont="1" applyFill="1" applyBorder="1" applyAlignment="1">
      <alignment horizontal="center" vertical="center" wrapText="1"/>
    </xf>
    <xf numFmtId="43" fontId="13" fillId="2" borderId="1" xfId="5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49" fontId="40" fillId="8" borderId="1" xfId="6" applyNumberFormat="1" applyFont="1" applyFill="1" applyBorder="1" applyAlignment="1">
      <alignment horizontal="center" vertical="center"/>
    </xf>
    <xf numFmtId="49" fontId="40" fillId="8" borderId="1" xfId="0" applyNumberFormat="1" applyFont="1" applyFill="1" applyBorder="1" applyAlignment="1">
      <alignment horizontal="center" vertical="center" wrapText="1"/>
    </xf>
    <xf numFmtId="4" fontId="40" fillId="8" borderId="1" xfId="0" applyNumberFormat="1" applyFont="1" applyFill="1" applyBorder="1" applyAlignment="1">
      <alignment horizontal="center" vertical="center" wrapText="1"/>
    </xf>
    <xf numFmtId="4" fontId="40" fillId="8" borderId="1" xfId="0" applyNumberFormat="1" applyFont="1" applyFill="1" applyBorder="1" applyAlignment="1">
      <alignment horizontal="center" vertical="center"/>
    </xf>
    <xf numFmtId="173" fontId="39" fillId="8" borderId="1" xfId="0" applyNumberFormat="1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center" vertical="center" wrapText="1"/>
    </xf>
    <xf numFmtId="169" fontId="39" fillId="8" borderId="1" xfId="5" applyNumberFormat="1" applyFont="1" applyFill="1" applyBorder="1" applyAlignment="1">
      <alignment horizontal="center" vertical="center" wrapText="1"/>
    </xf>
    <xf numFmtId="43" fontId="39" fillId="8" borderId="1" xfId="5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/>
    </xf>
    <xf numFmtId="168" fontId="0" fillId="0" borderId="0" xfId="0" applyNumberFormat="1"/>
    <xf numFmtId="49" fontId="40" fillId="2" borderId="1" xfId="6" applyNumberFormat="1" applyFont="1" applyFill="1" applyBorder="1" applyAlignment="1">
      <alignment horizontal="center" vertical="center"/>
    </xf>
    <xf numFmtId="173" fontId="35" fillId="2" borderId="1" xfId="0" quotePrefix="1" applyNumberFormat="1" applyFont="1" applyFill="1" applyBorder="1" applyAlignment="1">
      <alignment horizontal="center" vertical="center" wrapText="1"/>
    </xf>
    <xf numFmtId="43" fontId="35" fillId="2" borderId="1" xfId="5" applyFont="1" applyFill="1" applyBorder="1" applyAlignment="1">
      <alignment horizontal="left" vertical="center" wrapText="1"/>
    </xf>
    <xf numFmtId="173" fontId="35" fillId="2" borderId="1" xfId="0" applyNumberFormat="1" applyFont="1" applyFill="1" applyBorder="1" applyAlignment="1">
      <alignment horizontal="center" vertical="center" wrapText="1"/>
    </xf>
    <xf numFmtId="49" fontId="44" fillId="8" borderId="1" xfId="6" applyNumberFormat="1" applyFont="1" applyFill="1" applyBorder="1" applyAlignment="1">
      <alignment horizontal="center" vertical="center"/>
    </xf>
    <xf numFmtId="49" fontId="45" fillId="8" borderId="1" xfId="0" applyNumberFormat="1" applyFont="1" applyFill="1" applyBorder="1" applyAlignment="1">
      <alignment horizontal="left" vertical="center" wrapText="1"/>
    </xf>
    <xf numFmtId="4" fontId="45" fillId="8" borderId="1" xfId="0" applyNumberFormat="1" applyFont="1" applyFill="1" applyBorder="1" applyAlignment="1">
      <alignment horizontal="center" vertical="center" wrapText="1"/>
    </xf>
    <xf numFmtId="4" fontId="45" fillId="8" borderId="1" xfId="0" applyNumberFormat="1" applyFont="1" applyFill="1" applyBorder="1" applyAlignment="1">
      <alignment horizontal="center" vertical="center"/>
    </xf>
    <xf numFmtId="173" fontId="46" fillId="8" borderId="1" xfId="0" applyNumberFormat="1" applyFont="1" applyFill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left" vertical="center" wrapText="1"/>
    </xf>
    <xf numFmtId="0" fontId="46" fillId="8" borderId="1" xfId="0" applyFont="1" applyFill="1" applyBorder="1" applyAlignment="1">
      <alignment horizontal="center" vertical="center" wrapText="1"/>
    </xf>
    <xf numFmtId="169" fontId="46" fillId="8" borderId="1" xfId="5" applyNumberFormat="1" applyFont="1" applyFill="1" applyBorder="1" applyAlignment="1">
      <alignment horizontal="center" vertical="center" wrapText="1"/>
    </xf>
    <xf numFmtId="43" fontId="46" fillId="8" borderId="1" xfId="5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center" vertical="center"/>
    </xf>
    <xf numFmtId="174" fontId="0" fillId="0" borderId="0" xfId="0" applyNumberFormat="1"/>
    <xf numFmtId="49" fontId="44" fillId="10" borderId="1" xfId="6" applyNumberFormat="1" applyFont="1" applyFill="1" applyBorder="1" applyAlignment="1">
      <alignment horizontal="center" vertical="center"/>
    </xf>
    <xf numFmtId="49" fontId="45" fillId="10" borderId="1" xfId="0" applyNumberFormat="1" applyFont="1" applyFill="1" applyBorder="1" applyAlignment="1">
      <alignment horizontal="left" vertical="center" wrapText="1"/>
    </xf>
    <xf numFmtId="4" fontId="45" fillId="10" borderId="1" xfId="0" applyNumberFormat="1" applyFont="1" applyFill="1" applyBorder="1" applyAlignment="1">
      <alignment horizontal="center" vertical="center" wrapText="1"/>
    </xf>
    <xf numFmtId="4" fontId="45" fillId="10" borderId="1" xfId="0" applyNumberFormat="1" applyFont="1" applyFill="1" applyBorder="1" applyAlignment="1">
      <alignment horizontal="center" vertical="center"/>
    </xf>
    <xf numFmtId="173" fontId="46" fillId="10" borderId="1" xfId="0" applyNumberFormat="1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horizontal="center" vertical="center" wrapText="1"/>
    </xf>
    <xf numFmtId="169" fontId="46" fillId="10" borderId="1" xfId="5" applyNumberFormat="1" applyFont="1" applyFill="1" applyBorder="1" applyAlignment="1">
      <alignment horizontal="center" vertical="center" wrapText="1"/>
    </xf>
    <xf numFmtId="43" fontId="46" fillId="10" borderId="1" xfId="5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/>
    </xf>
    <xf numFmtId="169" fontId="48" fillId="0" borderId="0" xfId="5" applyNumberFormat="1" applyFont="1" applyAlignment="1">
      <alignment horizontal="center" vertical="center" wrapText="1"/>
    </xf>
    <xf numFmtId="43" fontId="48" fillId="0" borderId="0" xfId="5" applyFont="1" applyAlignment="1">
      <alignment horizontal="center" vertical="center" wrapText="1"/>
    </xf>
    <xf numFmtId="0" fontId="48" fillId="0" borderId="0" xfId="0" applyFont="1"/>
    <xf numFmtId="169" fontId="30" fillId="0" borderId="0" xfId="5" applyNumberFormat="1" applyFont="1" applyAlignment="1">
      <alignment horizontal="center" vertical="center" wrapText="1"/>
    </xf>
    <xf numFmtId="43" fontId="30" fillId="0" borderId="0" xfId="5" applyFont="1" applyAlignment="1">
      <alignment horizontal="center" vertical="center" wrapText="1"/>
    </xf>
    <xf numFmtId="175" fontId="30" fillId="8" borderId="0" xfId="5" applyNumberFormat="1" applyFont="1" applyFill="1" applyAlignment="1">
      <alignment horizontal="center" vertical="center" wrapText="1"/>
    </xf>
    <xf numFmtId="0" fontId="49" fillId="8" borderId="0" xfId="0" applyFont="1" applyFill="1"/>
    <xf numFmtId="175" fontId="30" fillId="0" borderId="0" xfId="5" applyNumberFormat="1" applyFont="1" applyAlignment="1">
      <alignment horizontal="center" vertical="center" wrapText="1"/>
    </xf>
    <xf numFmtId="169" fontId="30" fillId="0" borderId="0" xfId="5" applyNumberFormat="1" applyFont="1" applyAlignment="1">
      <alignment horizontal="center" vertical="center"/>
    </xf>
    <xf numFmtId="43" fontId="30" fillId="0" borderId="0" xfId="5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9" fontId="0" fillId="0" borderId="0" xfId="5" applyNumberFormat="1" applyFont="1" applyAlignment="1">
      <alignment horizontal="center" vertical="center"/>
    </xf>
    <xf numFmtId="43" fontId="0" fillId="0" borderId="0" xfId="5" applyFont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3" fontId="13" fillId="7" borderId="4" xfId="5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right" vertical="top"/>
    </xf>
    <xf numFmtId="165" fontId="0" fillId="0" borderId="13" xfId="0" applyNumberFormat="1" applyBorder="1" applyAlignment="1">
      <alignment horizontal="right" vertical="center"/>
    </xf>
    <xf numFmtId="0" fontId="42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vertical="center" wrapText="1"/>
    </xf>
    <xf numFmtId="0" fontId="13" fillId="2" borderId="1" xfId="2" applyFont="1" applyFill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69" fontId="0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4" fillId="2" borderId="2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4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49" fontId="40" fillId="9" borderId="8" xfId="6" applyNumberFormat="1" applyFont="1" applyFill="1" applyBorder="1" applyAlignment="1">
      <alignment horizontal="center" vertical="center"/>
    </xf>
    <xf numFmtId="49" fontId="40" fillId="9" borderId="9" xfId="6" applyNumberFormat="1" applyFont="1" applyFill="1" applyBorder="1" applyAlignment="1">
      <alignment horizontal="center" vertical="center"/>
    </xf>
    <xf numFmtId="49" fontId="40" fillId="9" borderId="10" xfId="6" applyNumberFormat="1" applyFont="1" applyFill="1" applyBorder="1" applyAlignment="1">
      <alignment horizontal="center" vertical="center"/>
    </xf>
    <xf numFmtId="49" fontId="40" fillId="9" borderId="11" xfId="6" applyNumberFormat="1" applyFont="1" applyFill="1" applyBorder="1" applyAlignment="1">
      <alignment horizontal="center" vertical="center"/>
    </xf>
    <xf numFmtId="49" fontId="40" fillId="9" borderId="5" xfId="6" applyNumberFormat="1" applyFont="1" applyFill="1" applyBorder="1" applyAlignment="1">
      <alignment horizontal="center" vertical="center"/>
    </xf>
    <xf numFmtId="49" fontId="40" fillId="9" borderId="12" xfId="6" applyNumberFormat="1" applyFont="1" applyFill="1" applyBorder="1" applyAlignment="1">
      <alignment horizontal="center" vertical="center"/>
    </xf>
    <xf numFmtId="173" fontId="39" fillId="6" borderId="1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48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2" fillId="0" borderId="0" xfId="0" applyFont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top" wrapText="1"/>
    </xf>
    <xf numFmtId="0" fontId="33" fillId="6" borderId="1" xfId="0" applyFont="1" applyFill="1" applyBorder="1" applyAlignment="1">
      <alignment horizontal="center" vertical="top" wrapText="1"/>
    </xf>
    <xf numFmtId="0" fontId="48" fillId="0" borderId="9" xfId="0" applyFont="1" applyBorder="1" applyAlignment="1">
      <alignment horizontal="left" vertical="top" wrapText="1"/>
    </xf>
    <xf numFmtId="4" fontId="26" fillId="0" borderId="0" xfId="0" applyNumberFormat="1" applyFont="1" applyAlignment="1">
      <alignment horizontal="center" vertical="top" wrapText="1"/>
    </xf>
    <xf numFmtId="4" fontId="26" fillId="0" borderId="5" xfId="0" applyNumberFormat="1" applyFont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72" fontId="0" fillId="2" borderId="0" xfId="0" applyNumberFormat="1" applyFont="1" applyFill="1"/>
    <xf numFmtId="0" fontId="0" fillId="2" borderId="0" xfId="0" applyFont="1" applyFill="1"/>
    <xf numFmtId="0" fontId="8" fillId="2" borderId="1" xfId="0" quotePrefix="1" applyFont="1" applyFill="1" applyBorder="1" applyAlignment="1">
      <alignment horizontal="center" vertical="center" wrapText="1"/>
    </xf>
    <xf numFmtId="43" fontId="8" fillId="2" borderId="1" xfId="5" applyFont="1" applyFill="1" applyBorder="1" applyAlignment="1">
      <alignment horizontal="center" vertical="center" wrapText="1"/>
    </xf>
    <xf numFmtId="43" fontId="50" fillId="2" borderId="1" xfId="5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16" fontId="50" fillId="2" borderId="1" xfId="0" quotePrefix="1" applyNumberFormat="1" applyFont="1" applyFill="1" applyBorder="1" applyAlignment="1">
      <alignment horizontal="center" vertical="center"/>
    </xf>
    <xf numFmtId="0" fontId="50" fillId="2" borderId="4" xfId="0" applyFont="1" applyFill="1" applyBorder="1" applyAlignment="1">
      <alignment horizontal="left" vertical="center" wrapText="1"/>
    </xf>
    <xf numFmtId="0" fontId="50" fillId="2" borderId="1" xfId="0" applyFont="1" applyFill="1" applyBorder="1" applyAlignment="1">
      <alignment horizontal="center" vertical="center" wrapText="1"/>
    </xf>
    <xf numFmtId="167" fontId="50" fillId="2" borderId="1" xfId="5" applyNumberFormat="1" applyFont="1" applyFill="1" applyBorder="1" applyAlignment="1">
      <alignment horizontal="left" vertical="center" wrapText="1"/>
    </xf>
    <xf numFmtId="43" fontId="50" fillId="2" borderId="1" xfId="5" applyFont="1" applyFill="1" applyBorder="1" applyAlignment="1">
      <alignment horizontal="left" vertical="center" wrapText="1"/>
    </xf>
    <xf numFmtId="172" fontId="42" fillId="2" borderId="0" xfId="0" applyNumberFormat="1" applyFont="1" applyFill="1"/>
    <xf numFmtId="0" fontId="42" fillId="2" borderId="0" xfId="0" applyFont="1" applyFill="1"/>
    <xf numFmtId="0" fontId="0" fillId="0" borderId="6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164" fontId="0" fillId="0" borderId="1" xfId="4" applyFont="1" applyBorder="1" applyAlignment="1">
      <alignment horizontal="center" vertical="center"/>
    </xf>
    <xf numFmtId="164" fontId="0" fillId="0" borderId="0" xfId="4" applyFont="1" applyAlignment="1">
      <alignment horizontal="right" vertical="center"/>
    </xf>
    <xf numFmtId="164" fontId="35" fillId="2" borderId="1" xfId="4" applyFont="1" applyFill="1" applyBorder="1" applyAlignment="1">
      <alignment horizontal="center" vertical="center" wrapText="1"/>
    </xf>
    <xf numFmtId="164" fontId="8" fillId="0" borderId="4" xfId="4" applyFont="1" applyFill="1" applyBorder="1" applyAlignment="1">
      <alignment horizontal="center" vertical="center"/>
    </xf>
    <xf numFmtId="164" fontId="42" fillId="0" borderId="1" xfId="4" applyFont="1" applyBorder="1" applyAlignment="1">
      <alignment horizontal="center" vertical="center"/>
    </xf>
    <xf numFmtId="164" fontId="42" fillId="2" borderId="4" xfId="4" applyFont="1" applyFill="1" applyBorder="1" applyAlignment="1">
      <alignment vertical="center"/>
    </xf>
    <xf numFmtId="164" fontId="41" fillId="2" borderId="1" xfId="4" applyFont="1" applyFill="1" applyBorder="1" applyAlignment="1">
      <alignment horizontal="center" vertical="center" wrapText="1"/>
    </xf>
    <xf numFmtId="164" fontId="8" fillId="0" borderId="1" xfId="4" applyFont="1" applyFill="1" applyBorder="1" applyAlignment="1">
      <alignment horizontal="center" vertical="center"/>
    </xf>
    <xf numFmtId="164" fontId="13" fillId="0" borderId="1" xfId="4" applyFont="1" applyFill="1" applyBorder="1" applyAlignment="1">
      <alignment horizontal="center" vertical="center"/>
    </xf>
    <xf numFmtId="0" fontId="24" fillId="2" borderId="1" xfId="0" applyFont="1" applyFill="1" applyBorder="1"/>
    <xf numFmtId="0" fontId="0" fillId="0" borderId="7" xfId="0" applyBorder="1" applyAlignment="1">
      <alignment vertical="top" wrapText="1"/>
    </xf>
  </cellXfs>
  <cellStyles count="7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5" xfId="3" xr:uid="{00000000-0005-0000-0000-000003000000}"/>
    <cellStyle name="Финансовый" xfId="4" builtinId="3"/>
    <cellStyle name="Финансовый 2" xfId="5" xr:uid="{48E66281-FD19-4CAF-ADA3-FFF3E98F2B24}"/>
    <cellStyle name="Финансовый 3" xfId="6" xr:uid="{2A2E4D10-35E0-4398-B856-47E807C20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37"/>
  <sheetViews>
    <sheetView view="pageBreakPreview" topLeftCell="A7" zoomScale="80" zoomScaleNormal="94" zoomScaleSheetLayoutView="80" workbookViewId="0">
      <selection activeCell="O14" sqref="O14"/>
    </sheetView>
  </sheetViews>
  <sheetFormatPr defaultColWidth="9.109375" defaultRowHeight="13.8" x14ac:dyDescent="0.3"/>
  <cols>
    <col min="1" max="1" width="10" style="10" customWidth="1"/>
    <col min="2" max="2" width="49" style="11" customWidth="1"/>
    <col min="3" max="3" width="9.77734375" style="7" customWidth="1"/>
    <col min="4" max="4" width="14.5546875" style="12" customWidth="1"/>
    <col min="5" max="5" width="28.21875" style="7" customWidth="1"/>
    <col min="6" max="6" width="27.109375" style="9" customWidth="1"/>
    <col min="7" max="16384" width="9.109375" style="7"/>
  </cols>
  <sheetData>
    <row r="1" spans="1:6" x14ac:dyDescent="0.3">
      <c r="A1" s="1"/>
      <c r="B1" s="2"/>
      <c r="C1" s="3"/>
      <c r="D1" s="4"/>
      <c r="E1" s="5"/>
      <c r="F1" s="6"/>
    </row>
    <row r="2" spans="1:6" s="13" customFormat="1" x14ac:dyDescent="0.25">
      <c r="A2" s="13" t="s">
        <v>12</v>
      </c>
      <c r="E2" s="14"/>
    </row>
    <row r="3" spans="1:6" s="13" customFormat="1" x14ac:dyDescent="0.25">
      <c r="A3" s="13" t="s">
        <v>13</v>
      </c>
      <c r="E3" s="14"/>
    </row>
    <row r="4" spans="1:6" s="13" customFormat="1" x14ac:dyDescent="0.25">
      <c r="A4" s="13" t="s">
        <v>16</v>
      </c>
      <c r="E4" s="14"/>
    </row>
    <row r="5" spans="1:6" s="13" customFormat="1" x14ac:dyDescent="0.25">
      <c r="A5" s="13" t="s">
        <v>17</v>
      </c>
      <c r="E5" s="14"/>
    </row>
    <row r="6" spans="1:6" s="13" customFormat="1" x14ac:dyDescent="0.25">
      <c r="A6" s="13" t="s">
        <v>14</v>
      </c>
      <c r="E6" s="14"/>
    </row>
    <row r="7" spans="1:6" s="34" customFormat="1" x14ac:dyDescent="0.25">
      <c r="A7" s="41" t="s">
        <v>25</v>
      </c>
      <c r="B7" s="33"/>
      <c r="E7" s="33"/>
    </row>
    <row r="8" spans="1:6" s="13" customFormat="1" ht="30.6" customHeight="1" x14ac:dyDescent="0.25">
      <c r="A8" s="254" t="s">
        <v>26</v>
      </c>
      <c r="B8" s="254"/>
      <c r="C8" s="254"/>
      <c r="D8" s="254"/>
      <c r="E8" s="254"/>
      <c r="F8" s="254"/>
    </row>
    <row r="9" spans="1:6" s="24" customFormat="1" ht="21.6" customHeight="1" x14ac:dyDescent="0.25">
      <c r="A9" s="255" t="s">
        <v>28</v>
      </c>
      <c r="B9" s="255"/>
      <c r="C9" s="255"/>
      <c r="D9" s="255"/>
      <c r="E9" s="255"/>
      <c r="F9" s="255"/>
    </row>
    <row r="10" spans="1:6" s="13" customFormat="1" x14ac:dyDescent="0.25">
      <c r="A10" s="13" t="s">
        <v>15</v>
      </c>
      <c r="E10" s="14"/>
    </row>
    <row r="11" spans="1:6" x14ac:dyDescent="0.3">
      <c r="A11" s="15"/>
      <c r="B11" s="16"/>
      <c r="C11" s="17"/>
      <c r="D11" s="18"/>
      <c r="E11" s="19"/>
      <c r="F11" s="20"/>
    </row>
    <row r="12" spans="1:6" s="13" customFormat="1" x14ac:dyDescent="0.25">
      <c r="A12" s="256" t="s">
        <v>43</v>
      </c>
      <c r="B12" s="256"/>
      <c r="C12" s="256"/>
      <c r="D12" s="256"/>
      <c r="E12" s="256"/>
      <c r="F12" s="256"/>
    </row>
    <row r="13" spans="1:6" s="13" customFormat="1" x14ac:dyDescent="0.25">
      <c r="A13" s="256" t="s">
        <v>18</v>
      </c>
      <c r="B13" s="256"/>
      <c r="C13" s="256"/>
      <c r="D13" s="256"/>
      <c r="E13" s="256"/>
      <c r="F13" s="256"/>
    </row>
    <row r="14" spans="1:6" s="14" customFormat="1" ht="18" customHeight="1" x14ac:dyDescent="0.25">
      <c r="A14" s="257" t="s">
        <v>38</v>
      </c>
      <c r="B14" s="257"/>
      <c r="C14" s="257"/>
      <c r="D14" s="257"/>
      <c r="E14" s="257"/>
      <c r="F14" s="257"/>
    </row>
    <row r="15" spans="1:6" ht="15.6" customHeight="1" x14ac:dyDescent="0.3">
      <c r="A15" s="21"/>
      <c r="B15" s="21"/>
      <c r="C15" s="21"/>
      <c r="D15" s="21"/>
      <c r="E15" s="21"/>
      <c r="F15" s="21"/>
    </row>
    <row r="16" spans="1:6" s="8" customFormat="1" ht="47.4" x14ac:dyDescent="0.3">
      <c r="A16" s="27" t="s">
        <v>0</v>
      </c>
      <c r="B16" s="29" t="s">
        <v>1</v>
      </c>
      <c r="C16" s="30" t="s">
        <v>19</v>
      </c>
      <c r="D16" s="31" t="s">
        <v>2</v>
      </c>
      <c r="E16" s="29" t="s">
        <v>3</v>
      </c>
      <c r="F16" s="28" t="s">
        <v>4</v>
      </c>
    </row>
    <row r="17" spans="1:7" s="45" customFormat="1" ht="28.2" customHeight="1" x14ac:dyDescent="0.3">
      <c r="A17" s="60" t="s">
        <v>29</v>
      </c>
      <c r="B17" s="61" t="s">
        <v>27</v>
      </c>
      <c r="C17" s="62"/>
      <c r="D17" s="63"/>
      <c r="E17" s="64"/>
      <c r="F17" s="65">
        <f>SUM(F18:F23)</f>
        <v>255997.5</v>
      </c>
    </row>
    <row r="18" spans="1:7" s="45" customFormat="1" x14ac:dyDescent="0.3">
      <c r="A18" s="49" t="s">
        <v>35</v>
      </c>
      <c r="B18" s="50" t="s">
        <v>36</v>
      </c>
      <c r="C18" s="51" t="s">
        <v>31</v>
      </c>
      <c r="D18" s="52"/>
      <c r="E18" s="58"/>
      <c r="F18" s="58"/>
    </row>
    <row r="19" spans="1:7" s="45" customFormat="1" ht="27.6" x14ac:dyDescent="0.3">
      <c r="A19" s="49" t="s">
        <v>39</v>
      </c>
      <c r="B19" s="46" t="s">
        <v>34</v>
      </c>
      <c r="C19" s="47" t="s">
        <v>30</v>
      </c>
      <c r="D19" s="55">
        <v>13.8</v>
      </c>
      <c r="E19" s="58">
        <v>5885</v>
      </c>
      <c r="F19" s="58">
        <f>D19*E19</f>
        <v>81213</v>
      </c>
    </row>
    <row r="20" spans="1:7" s="45" customFormat="1" x14ac:dyDescent="0.3">
      <c r="A20" s="49" t="s">
        <v>44</v>
      </c>
      <c r="B20" s="53" t="s">
        <v>45</v>
      </c>
      <c r="C20" s="47" t="s">
        <v>31</v>
      </c>
      <c r="D20" s="54"/>
      <c r="E20" s="59"/>
      <c r="F20" s="58">
        <f t="shared" ref="F20:F23" si="0">D20*E20</f>
        <v>0</v>
      </c>
    </row>
    <row r="21" spans="1:7" s="45" customFormat="1" ht="26.4" customHeight="1" x14ac:dyDescent="0.3">
      <c r="A21" s="49" t="s">
        <v>46</v>
      </c>
      <c r="B21" s="48" t="s">
        <v>34</v>
      </c>
      <c r="C21" s="47" t="s">
        <v>30</v>
      </c>
      <c r="D21" s="55">
        <v>5.2</v>
      </c>
      <c r="E21" s="58">
        <v>5885</v>
      </c>
      <c r="F21" s="58">
        <f t="shared" si="0"/>
        <v>30602</v>
      </c>
    </row>
    <row r="22" spans="1:7" s="45" customFormat="1" ht="18.600000000000001" customHeight="1" x14ac:dyDescent="0.3">
      <c r="A22" s="49" t="s">
        <v>32</v>
      </c>
      <c r="B22" s="53" t="s">
        <v>33</v>
      </c>
      <c r="C22" s="47" t="s">
        <v>31</v>
      </c>
      <c r="D22" s="54"/>
      <c r="E22" s="59"/>
      <c r="F22" s="58">
        <f t="shared" si="0"/>
        <v>0</v>
      </c>
    </row>
    <row r="23" spans="1:7" s="45" customFormat="1" ht="27.6" x14ac:dyDescent="0.3">
      <c r="A23" s="49" t="s">
        <v>40</v>
      </c>
      <c r="B23" s="46" t="s">
        <v>34</v>
      </c>
      <c r="C23" s="47" t="s">
        <v>30</v>
      </c>
      <c r="D23" s="55">
        <v>24.5</v>
      </c>
      <c r="E23" s="58">
        <v>5885</v>
      </c>
      <c r="F23" s="58">
        <f t="shared" si="0"/>
        <v>144182.5</v>
      </c>
    </row>
    <row r="24" spans="1:7" s="8" customFormat="1" ht="23.4" customHeight="1" x14ac:dyDescent="0.3">
      <c r="A24" s="66"/>
      <c r="B24" s="67" t="s">
        <v>21</v>
      </c>
      <c r="C24" s="68"/>
      <c r="D24" s="69"/>
      <c r="E24" s="70" t="s">
        <v>5</v>
      </c>
      <c r="F24" s="71">
        <f>SUM(F25:F27)</f>
        <v>221849.41699999999</v>
      </c>
    </row>
    <row r="25" spans="1:7" s="35" customFormat="1" ht="19.8" customHeight="1" x14ac:dyDescent="0.3">
      <c r="A25" s="40" t="s">
        <v>47</v>
      </c>
      <c r="B25" s="36" t="s">
        <v>49</v>
      </c>
      <c r="C25" s="37" t="s">
        <v>51</v>
      </c>
      <c r="D25" s="38">
        <v>0.33900000000000002</v>
      </c>
      <c r="E25" s="39">
        <v>117500</v>
      </c>
      <c r="F25" s="44">
        <f>E25*D25</f>
        <v>39832.5</v>
      </c>
      <c r="G25" s="8" t="s">
        <v>52</v>
      </c>
    </row>
    <row r="26" spans="1:7" s="35" customFormat="1" ht="17.399999999999999" customHeight="1" x14ac:dyDescent="0.3">
      <c r="A26" s="40" t="s">
        <v>48</v>
      </c>
      <c r="B26" s="36" t="s">
        <v>50</v>
      </c>
      <c r="C26" s="37" t="s">
        <v>51</v>
      </c>
      <c r="D26" s="38">
        <v>0.1</v>
      </c>
      <c r="E26" s="39">
        <v>117500</v>
      </c>
      <c r="F26" s="44">
        <f t="shared" ref="F26:F27" si="1">E26*D26</f>
        <v>11750</v>
      </c>
      <c r="G26" s="8" t="s">
        <v>52</v>
      </c>
    </row>
    <row r="27" spans="1:7" s="35" customFormat="1" ht="16.8" customHeight="1" x14ac:dyDescent="0.3">
      <c r="A27" s="40" t="s">
        <v>37</v>
      </c>
      <c r="B27" s="36" t="s">
        <v>41</v>
      </c>
      <c r="C27" s="37" t="s">
        <v>30</v>
      </c>
      <c r="D27" s="38">
        <v>44.37</v>
      </c>
      <c r="E27" s="43">
        <f>4604.92/1.2</f>
        <v>3837.4333333333334</v>
      </c>
      <c r="F27" s="44">
        <f t="shared" si="1"/>
        <v>170266.91699999999</v>
      </c>
      <c r="G27" s="8" t="s">
        <v>42</v>
      </c>
    </row>
    <row r="28" spans="1:7" ht="19.2" customHeight="1" x14ac:dyDescent="0.3">
      <c r="A28" s="247" t="s">
        <v>6</v>
      </c>
      <c r="B28" s="248"/>
      <c r="C28" s="248"/>
      <c r="D28" s="248"/>
      <c r="E28" s="249"/>
      <c r="F28" s="56">
        <f>F17</f>
        <v>255997.5</v>
      </c>
    </row>
    <row r="29" spans="1:7" ht="18" customHeight="1" x14ac:dyDescent="0.3">
      <c r="A29" s="57"/>
      <c r="B29" s="248" t="s">
        <v>23</v>
      </c>
      <c r="C29" s="248"/>
      <c r="D29" s="248"/>
      <c r="E29" s="249"/>
      <c r="F29" s="56">
        <f>F24</f>
        <v>221849.41699999999</v>
      </c>
    </row>
    <row r="30" spans="1:7" ht="18.600000000000001" customHeight="1" x14ac:dyDescent="0.3">
      <c r="A30" s="57"/>
      <c r="B30" s="248" t="s">
        <v>24</v>
      </c>
      <c r="C30" s="248"/>
      <c r="D30" s="248"/>
      <c r="E30" s="249"/>
      <c r="F30" s="56">
        <f>F29+F28</f>
        <v>477846.91700000002</v>
      </c>
    </row>
    <row r="31" spans="1:7" ht="17.399999999999999" customHeight="1" x14ac:dyDescent="0.3">
      <c r="A31" s="247" t="s">
        <v>22</v>
      </c>
      <c r="B31" s="248"/>
      <c r="C31" s="248"/>
      <c r="D31" s="248"/>
      <c r="E31" s="249"/>
      <c r="F31" s="56">
        <f>F30*0.2</f>
        <v>95569.383400000006</v>
      </c>
    </row>
    <row r="32" spans="1:7" s="42" customFormat="1" ht="22.2" customHeight="1" x14ac:dyDescent="0.3">
      <c r="A32" s="250" t="s">
        <v>7</v>
      </c>
      <c r="B32" s="250"/>
      <c r="C32" s="250"/>
      <c r="D32" s="250"/>
      <c r="E32" s="250"/>
      <c r="F32" s="56">
        <f>(F30+F31)</f>
        <v>573416.30040000007</v>
      </c>
    </row>
    <row r="33" spans="1:6" ht="14.4" x14ac:dyDescent="0.3">
      <c r="A33" s="22"/>
      <c r="B33" s="23"/>
      <c r="C33" s="24"/>
      <c r="D33" s="25"/>
      <c r="E33" s="24"/>
      <c r="F33" s="26"/>
    </row>
    <row r="34" spans="1:6" ht="34.200000000000003" customHeight="1" x14ac:dyDescent="0.3">
      <c r="A34" s="22"/>
      <c r="B34" s="245" t="s">
        <v>8</v>
      </c>
      <c r="C34" s="246"/>
      <c r="D34" s="246"/>
      <c r="E34" s="251" t="s">
        <v>9</v>
      </c>
      <c r="F34" s="245"/>
    </row>
    <row r="35" spans="1:6" ht="64.5" customHeight="1" x14ac:dyDescent="0.3">
      <c r="A35" s="22"/>
      <c r="B35" s="245" t="s">
        <v>10</v>
      </c>
      <c r="C35" s="246"/>
      <c r="D35" s="246"/>
      <c r="E35" s="252" t="s">
        <v>11</v>
      </c>
      <c r="F35" s="253"/>
    </row>
    <row r="37" spans="1:6" ht="14.4" x14ac:dyDescent="0.3">
      <c r="B37" s="32" t="s">
        <v>20</v>
      </c>
      <c r="E37" s="7" t="str">
        <f>B37</f>
        <v xml:space="preserve">  "     "                                          2024 року </v>
      </c>
    </row>
  </sheetData>
  <mergeCells count="14">
    <mergeCell ref="A8:F8"/>
    <mergeCell ref="A9:F9"/>
    <mergeCell ref="A12:F12"/>
    <mergeCell ref="A13:F13"/>
    <mergeCell ref="A14:F14"/>
    <mergeCell ref="B34:D34"/>
    <mergeCell ref="A28:E28"/>
    <mergeCell ref="A32:E32"/>
    <mergeCell ref="E34:F34"/>
    <mergeCell ref="B35:D35"/>
    <mergeCell ref="E35:F35"/>
    <mergeCell ref="A31:E31"/>
    <mergeCell ref="B29:E29"/>
    <mergeCell ref="B30:E30"/>
  </mergeCells>
  <pageMargins left="0.25" right="0.25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G43"/>
  <sheetViews>
    <sheetView view="pageBreakPreview" topLeftCell="A18" zoomScale="130" zoomScaleNormal="94" zoomScaleSheetLayoutView="130" workbookViewId="0">
      <selection activeCell="E24" sqref="E24"/>
    </sheetView>
  </sheetViews>
  <sheetFormatPr defaultColWidth="9.109375" defaultRowHeight="13.8" x14ac:dyDescent="0.3"/>
  <cols>
    <col min="1" max="1" width="10" style="10" customWidth="1"/>
    <col min="2" max="2" width="49" style="11" customWidth="1"/>
    <col min="3" max="3" width="9.77734375" style="7" customWidth="1"/>
    <col min="4" max="4" width="14.5546875" style="12" customWidth="1"/>
    <col min="5" max="5" width="28.21875" style="7" customWidth="1"/>
    <col min="6" max="6" width="27.109375" style="9" customWidth="1"/>
    <col min="7" max="7" width="20.77734375" style="7" customWidth="1"/>
    <col min="8" max="8" width="19" style="7" customWidth="1"/>
    <col min="9" max="16384" width="9.109375" style="7"/>
  </cols>
  <sheetData>
    <row r="1" spans="1:6" x14ac:dyDescent="0.3">
      <c r="A1" s="1"/>
      <c r="B1" s="2"/>
      <c r="C1" s="3"/>
      <c r="D1" s="4"/>
      <c r="E1" s="5"/>
      <c r="F1" s="6"/>
    </row>
    <row r="2" spans="1:6" s="13" customFormat="1" x14ac:dyDescent="0.25">
      <c r="A2" s="13" t="s">
        <v>12</v>
      </c>
      <c r="E2" s="14"/>
    </row>
    <row r="3" spans="1:6" s="13" customFormat="1" x14ac:dyDescent="0.25">
      <c r="A3" s="13" t="s">
        <v>13</v>
      </c>
      <c r="E3" s="14"/>
    </row>
    <row r="4" spans="1:6" s="13" customFormat="1" x14ac:dyDescent="0.25">
      <c r="A4" s="13" t="s">
        <v>16</v>
      </c>
      <c r="E4" s="14"/>
    </row>
    <row r="5" spans="1:6" s="13" customFormat="1" x14ac:dyDescent="0.25">
      <c r="A5" s="13" t="s">
        <v>17</v>
      </c>
      <c r="E5" s="14"/>
    </row>
    <row r="6" spans="1:6" s="13" customFormat="1" x14ac:dyDescent="0.25">
      <c r="A6" s="13" t="s">
        <v>14</v>
      </c>
      <c r="E6" s="14"/>
    </row>
    <row r="7" spans="1:6" s="34" customFormat="1" x14ac:dyDescent="0.25">
      <c r="A7" s="41" t="s">
        <v>25</v>
      </c>
      <c r="B7" s="33"/>
      <c r="E7" s="33"/>
    </row>
    <row r="8" spans="1:6" s="13" customFormat="1" ht="30.6" customHeight="1" x14ac:dyDescent="0.25">
      <c r="A8" s="254" t="s">
        <v>26</v>
      </c>
      <c r="B8" s="254"/>
      <c r="C8" s="254"/>
      <c r="D8" s="254"/>
      <c r="E8" s="254"/>
      <c r="F8" s="254"/>
    </row>
    <row r="9" spans="1:6" s="24" customFormat="1" ht="21.6" customHeight="1" x14ac:dyDescent="0.25">
      <c r="A9" s="255" t="s">
        <v>28</v>
      </c>
      <c r="B9" s="255"/>
      <c r="C9" s="255"/>
      <c r="D9" s="255"/>
      <c r="E9" s="255"/>
      <c r="F9" s="255"/>
    </row>
    <row r="10" spans="1:6" s="13" customFormat="1" x14ac:dyDescent="0.25">
      <c r="A10" s="13" t="s">
        <v>15</v>
      </c>
      <c r="E10" s="14"/>
    </row>
    <row r="11" spans="1:6" x14ac:dyDescent="0.3">
      <c r="A11" s="15"/>
      <c r="B11" s="16"/>
      <c r="C11" s="17"/>
      <c r="D11" s="18"/>
      <c r="E11" s="19"/>
      <c r="F11" s="20"/>
    </row>
    <row r="12" spans="1:6" s="13" customFormat="1" x14ac:dyDescent="0.25">
      <c r="A12" s="256" t="s">
        <v>82</v>
      </c>
      <c r="B12" s="256"/>
      <c r="C12" s="256"/>
      <c r="D12" s="256"/>
      <c r="E12" s="256"/>
      <c r="F12" s="256"/>
    </row>
    <row r="13" spans="1:6" s="13" customFormat="1" x14ac:dyDescent="0.25">
      <c r="A13" s="256" t="s">
        <v>18</v>
      </c>
      <c r="B13" s="256"/>
      <c r="C13" s="256"/>
      <c r="D13" s="256"/>
      <c r="E13" s="256"/>
      <c r="F13" s="256"/>
    </row>
    <row r="14" spans="1:6" s="14" customFormat="1" ht="18" customHeight="1" x14ac:dyDescent="0.25">
      <c r="A14" s="258" t="s">
        <v>60</v>
      </c>
      <c r="B14" s="258"/>
      <c r="C14" s="258"/>
      <c r="D14" s="258"/>
      <c r="E14" s="258"/>
      <c r="F14" s="258"/>
    </row>
    <row r="15" spans="1:6" s="8" customFormat="1" ht="47.4" x14ac:dyDescent="0.3">
      <c r="A15" s="27" t="s">
        <v>0</v>
      </c>
      <c r="B15" s="29" t="s">
        <v>1</v>
      </c>
      <c r="C15" s="30" t="s">
        <v>19</v>
      </c>
      <c r="D15" s="31" t="s">
        <v>2</v>
      </c>
      <c r="E15" s="29" t="s">
        <v>3</v>
      </c>
      <c r="F15" s="28" t="s">
        <v>4</v>
      </c>
    </row>
    <row r="16" spans="1:6" s="45" customFormat="1" ht="19.8" customHeight="1" x14ac:dyDescent="0.3">
      <c r="A16" s="78" t="s">
        <v>54</v>
      </c>
      <c r="B16" s="61" t="s">
        <v>55</v>
      </c>
      <c r="C16" s="62"/>
      <c r="D16" s="63"/>
      <c r="E16" s="64"/>
      <c r="F16" s="65">
        <f>SUM(F17:F21)</f>
        <v>306618.99477999995</v>
      </c>
    </row>
    <row r="17" spans="1:7" s="45" customFormat="1" ht="21.6" customHeight="1" x14ac:dyDescent="0.3">
      <c r="A17" s="77" t="s">
        <v>58</v>
      </c>
      <c r="B17" s="74" t="s">
        <v>59</v>
      </c>
      <c r="C17" s="37" t="s">
        <v>51</v>
      </c>
      <c r="D17" s="86">
        <v>0.80300000000000005</v>
      </c>
      <c r="E17" s="75">
        <v>26450</v>
      </c>
      <c r="F17" s="58">
        <f t="shared" ref="F17:F21" si="0">E17*D17</f>
        <v>21239.350000000002</v>
      </c>
    </row>
    <row r="18" spans="1:7" s="45" customFormat="1" ht="21.6" customHeight="1" x14ac:dyDescent="0.3">
      <c r="A18" s="77" t="s">
        <v>56</v>
      </c>
      <c r="B18" s="74" t="s">
        <v>57</v>
      </c>
      <c r="C18" s="37" t="s">
        <v>51</v>
      </c>
      <c r="D18" s="86">
        <v>4.8849999999999998</v>
      </c>
      <c r="E18" s="75">
        <v>51837.5</v>
      </c>
      <c r="F18" s="58">
        <f t="shared" si="0"/>
        <v>253226.1875</v>
      </c>
    </row>
    <row r="19" spans="1:7" s="45" customFormat="1" ht="25.8" customHeight="1" x14ac:dyDescent="0.3">
      <c r="A19" s="77" t="s">
        <v>62</v>
      </c>
      <c r="B19" s="74" t="s">
        <v>70</v>
      </c>
      <c r="C19" s="37" t="s">
        <v>51</v>
      </c>
      <c r="D19" s="86">
        <v>1.536</v>
      </c>
      <c r="E19" s="75">
        <v>20145.48</v>
      </c>
      <c r="F19" s="58">
        <f t="shared" si="0"/>
        <v>30943.457279999999</v>
      </c>
    </row>
    <row r="20" spans="1:7" s="45" customFormat="1" ht="25.8" customHeight="1" x14ac:dyDescent="0.3">
      <c r="A20" s="89" t="s">
        <v>83</v>
      </c>
      <c r="B20" s="90" t="s">
        <v>84</v>
      </c>
      <c r="C20" s="37"/>
      <c r="D20" s="86"/>
      <c r="E20" s="75"/>
      <c r="F20" s="58">
        <f t="shared" si="0"/>
        <v>0</v>
      </c>
    </row>
    <row r="21" spans="1:7" s="45" customFormat="1" ht="25.8" customHeight="1" x14ac:dyDescent="0.3">
      <c r="A21" s="77" t="s">
        <v>85</v>
      </c>
      <c r="B21" s="74" t="s">
        <v>86</v>
      </c>
      <c r="C21" s="37" t="s">
        <v>31</v>
      </c>
      <c r="D21" s="86">
        <v>2</v>
      </c>
      <c r="E21" s="75">
        <v>605</v>
      </c>
      <c r="F21" s="58">
        <f t="shared" si="0"/>
        <v>1210</v>
      </c>
    </row>
    <row r="22" spans="1:7" s="8" customFormat="1" ht="23.4" customHeight="1" x14ac:dyDescent="0.3">
      <c r="A22" s="72"/>
      <c r="B22" s="84" t="s">
        <v>21</v>
      </c>
      <c r="C22" s="68"/>
      <c r="D22" s="69"/>
      <c r="E22" s="76" t="s">
        <v>5</v>
      </c>
      <c r="F22" s="65">
        <f>SUM(F23:F33)</f>
        <v>49761.913959999991</v>
      </c>
    </row>
    <row r="23" spans="1:7" s="8" customFormat="1" ht="28.2" customHeight="1" x14ac:dyDescent="0.3">
      <c r="A23" s="82" t="s">
        <v>72</v>
      </c>
      <c r="B23" s="83" t="s">
        <v>65</v>
      </c>
      <c r="C23" s="47" t="s">
        <v>51</v>
      </c>
      <c r="D23" s="85">
        <v>0.10199999999999999</v>
      </c>
      <c r="E23" s="58">
        <v>57755.07</v>
      </c>
      <c r="F23" s="58">
        <f>E23*D23</f>
        <v>5891.0171399999999</v>
      </c>
      <c r="G23" s="91"/>
    </row>
    <row r="24" spans="1:7" s="8" customFormat="1" ht="27" customHeight="1" x14ac:dyDescent="0.3">
      <c r="A24" s="82" t="s">
        <v>64</v>
      </c>
      <c r="B24" s="83" t="s">
        <v>79</v>
      </c>
      <c r="C24" s="47" t="s">
        <v>51</v>
      </c>
      <c r="D24" s="85">
        <v>0.439</v>
      </c>
      <c r="E24" s="58">
        <v>57755.07</v>
      </c>
      <c r="F24" s="58">
        <f t="shared" ref="F24:F33" si="1">E24*D24</f>
        <v>25354.475729999998</v>
      </c>
      <c r="G24" s="91"/>
    </row>
    <row r="25" spans="1:7" s="8" customFormat="1" ht="27" customHeight="1" x14ac:dyDescent="0.3">
      <c r="A25" s="82" t="s">
        <v>77</v>
      </c>
      <c r="B25" s="83" t="s">
        <v>87</v>
      </c>
      <c r="C25" s="47" t="s">
        <v>51</v>
      </c>
      <c r="D25" s="85">
        <v>0.126</v>
      </c>
      <c r="E25" s="58">
        <v>38697.57</v>
      </c>
      <c r="F25" s="58">
        <f t="shared" si="1"/>
        <v>4875.8938200000002</v>
      </c>
      <c r="G25" s="91"/>
    </row>
    <row r="26" spans="1:7" s="8" customFormat="1" ht="23.4" customHeight="1" x14ac:dyDescent="0.3">
      <c r="A26" s="82" t="s">
        <v>66</v>
      </c>
      <c r="B26" s="83" t="s">
        <v>71</v>
      </c>
      <c r="C26" s="47" t="s">
        <v>51</v>
      </c>
      <c r="D26" s="85">
        <v>4.8000000000000001E-2</v>
      </c>
      <c r="E26" s="58">
        <v>38373.82</v>
      </c>
      <c r="F26" s="58">
        <f t="shared" si="1"/>
        <v>1841.94336</v>
      </c>
      <c r="G26" s="91"/>
    </row>
    <row r="27" spans="1:7" s="8" customFormat="1" ht="21" customHeight="1" x14ac:dyDescent="0.3">
      <c r="A27" s="82" t="s">
        <v>73</v>
      </c>
      <c r="B27" s="83" t="s">
        <v>67</v>
      </c>
      <c r="C27" s="47" t="s">
        <v>51</v>
      </c>
      <c r="D27" s="85">
        <v>7.0000000000000001E-3</v>
      </c>
      <c r="E27" s="58">
        <v>38373.82</v>
      </c>
      <c r="F27" s="58">
        <f t="shared" si="1"/>
        <v>268.61673999999999</v>
      </c>
      <c r="G27" s="91"/>
    </row>
    <row r="28" spans="1:7" s="8" customFormat="1" ht="23.4" customHeight="1" x14ac:dyDescent="0.3">
      <c r="A28" s="82" t="s">
        <v>74</v>
      </c>
      <c r="B28" s="83" t="s">
        <v>63</v>
      </c>
      <c r="C28" s="47" t="s">
        <v>51</v>
      </c>
      <c r="D28" s="85">
        <v>2.5999999999999999E-2</v>
      </c>
      <c r="E28" s="58">
        <v>39996.94</v>
      </c>
      <c r="F28" s="58">
        <f t="shared" si="1"/>
        <v>1039.9204400000001</v>
      </c>
      <c r="G28" s="91"/>
    </row>
    <row r="29" spans="1:7" s="8" customFormat="1" ht="23.4" customHeight="1" x14ac:dyDescent="0.3">
      <c r="A29" s="82" t="s">
        <v>75</v>
      </c>
      <c r="B29" s="83" t="s">
        <v>80</v>
      </c>
      <c r="C29" s="47" t="s">
        <v>51</v>
      </c>
      <c r="D29" s="85">
        <v>8.9999999999999993E-3</v>
      </c>
      <c r="E29" s="58">
        <v>39380.07</v>
      </c>
      <c r="F29" s="58">
        <f t="shared" si="1"/>
        <v>354.42062999999996</v>
      </c>
      <c r="G29" s="91"/>
    </row>
    <row r="30" spans="1:7" s="8" customFormat="1" ht="23.4" customHeight="1" x14ac:dyDescent="0.3">
      <c r="A30" s="82" t="s">
        <v>76</v>
      </c>
      <c r="B30" s="83" t="s">
        <v>68</v>
      </c>
      <c r="C30" s="47" t="s">
        <v>51</v>
      </c>
      <c r="D30" s="85">
        <v>1.6E-2</v>
      </c>
      <c r="E30" s="58">
        <v>42608.82</v>
      </c>
      <c r="F30" s="58">
        <f t="shared" si="1"/>
        <v>681.74112000000002</v>
      </c>
      <c r="G30" s="91"/>
    </row>
    <row r="31" spans="1:7" s="8" customFormat="1" ht="23.4" customHeight="1" x14ac:dyDescent="0.3">
      <c r="A31" s="82" t="s">
        <v>77</v>
      </c>
      <c r="B31" s="83" t="s">
        <v>69</v>
      </c>
      <c r="C31" s="47" t="s">
        <v>51</v>
      </c>
      <c r="D31" s="85">
        <v>8.8999999999999996E-2</v>
      </c>
      <c r="E31" s="58">
        <f>E30</f>
        <v>42608.82</v>
      </c>
      <c r="F31" s="58">
        <f t="shared" si="1"/>
        <v>3792.18498</v>
      </c>
      <c r="G31" s="91"/>
    </row>
    <row r="32" spans="1:7" s="8" customFormat="1" ht="23.4" customHeight="1" x14ac:dyDescent="0.3">
      <c r="A32" s="82" t="s">
        <v>78</v>
      </c>
      <c r="B32" s="83" t="s">
        <v>88</v>
      </c>
      <c r="C32" s="47" t="s">
        <v>31</v>
      </c>
      <c r="D32" s="85">
        <v>2</v>
      </c>
      <c r="E32" s="58">
        <v>2830.85</v>
      </c>
      <c r="F32" s="58">
        <f t="shared" si="1"/>
        <v>5661.7</v>
      </c>
      <c r="G32" s="87"/>
    </row>
    <row r="33" spans="1:7" s="8" customFormat="1" ht="23.4" customHeight="1" x14ac:dyDescent="0.3">
      <c r="A33" s="82" t="s">
        <v>78</v>
      </c>
      <c r="B33" s="83" t="s">
        <v>81</v>
      </c>
      <c r="C33" s="47" t="s">
        <v>51</v>
      </c>
      <c r="D33" s="85">
        <v>1.536</v>
      </c>
      <c r="E33" s="58">
        <v>0</v>
      </c>
      <c r="F33" s="58">
        <f t="shared" si="1"/>
        <v>0</v>
      </c>
      <c r="G33" s="88"/>
    </row>
    <row r="34" spans="1:7" ht="19.2" customHeight="1" x14ac:dyDescent="0.3">
      <c r="A34" s="247" t="s">
        <v>6</v>
      </c>
      <c r="B34" s="248"/>
      <c r="C34" s="248"/>
      <c r="D34" s="248"/>
      <c r="E34" s="249"/>
      <c r="F34" s="81">
        <f>F16</f>
        <v>306618.99477999995</v>
      </c>
      <c r="G34" s="73"/>
    </row>
    <row r="35" spans="1:7" ht="18" customHeight="1" x14ac:dyDescent="0.3">
      <c r="A35" s="57"/>
      <c r="B35" s="248" t="s">
        <v>23</v>
      </c>
      <c r="C35" s="248"/>
      <c r="D35" s="248"/>
      <c r="E35" s="249"/>
      <c r="F35" s="81">
        <f>F22</f>
        <v>49761.913959999991</v>
      </c>
      <c r="G35" s="73"/>
    </row>
    <row r="36" spans="1:7" ht="18.600000000000001" customHeight="1" x14ac:dyDescent="0.3">
      <c r="A36" s="57"/>
      <c r="B36" s="248" t="s">
        <v>24</v>
      </c>
      <c r="C36" s="248"/>
      <c r="D36" s="248"/>
      <c r="E36" s="249"/>
      <c r="F36" s="81">
        <f>(F35+F34)-0.01</f>
        <v>356380.89873999992</v>
      </c>
    </row>
    <row r="37" spans="1:7" ht="17.399999999999999" customHeight="1" x14ac:dyDescent="0.3">
      <c r="A37" s="247" t="s">
        <v>22</v>
      </c>
      <c r="B37" s="248"/>
      <c r="C37" s="248"/>
      <c r="D37" s="248"/>
      <c r="E37" s="249"/>
      <c r="F37" s="81">
        <f>F36*0.2</f>
        <v>71276.17974799998</v>
      </c>
      <c r="G37" s="79"/>
    </row>
    <row r="38" spans="1:7" s="42" customFormat="1" ht="22.2" customHeight="1" x14ac:dyDescent="0.3">
      <c r="A38" s="250" t="s">
        <v>7</v>
      </c>
      <c r="B38" s="250"/>
      <c r="C38" s="250"/>
      <c r="D38" s="250"/>
      <c r="E38" s="250"/>
      <c r="F38" s="81">
        <f>(F36+F37)</f>
        <v>427657.07848799991</v>
      </c>
      <c r="G38" s="80"/>
    </row>
    <row r="39" spans="1:7" ht="14.4" x14ac:dyDescent="0.3">
      <c r="A39" s="22"/>
      <c r="B39" s="23"/>
      <c r="C39" s="24"/>
      <c r="D39" s="25"/>
      <c r="E39" s="24"/>
      <c r="F39" s="26"/>
    </row>
    <row r="40" spans="1:7" ht="34.200000000000003" customHeight="1" x14ac:dyDescent="0.3">
      <c r="A40" s="22"/>
      <c r="B40" s="245" t="s">
        <v>8</v>
      </c>
      <c r="C40" s="246"/>
      <c r="D40" s="246"/>
      <c r="E40" s="251" t="s">
        <v>9</v>
      </c>
      <c r="F40" s="245"/>
    </row>
    <row r="41" spans="1:7" ht="64.5" customHeight="1" x14ac:dyDescent="0.3">
      <c r="A41" s="22"/>
      <c r="B41" s="245" t="s">
        <v>10</v>
      </c>
      <c r="C41" s="246"/>
      <c r="D41" s="246"/>
      <c r="E41" s="252" t="s">
        <v>53</v>
      </c>
      <c r="F41" s="253"/>
    </row>
    <row r="43" spans="1:7" ht="14.4" x14ac:dyDescent="0.3">
      <c r="B43" s="32" t="s">
        <v>61</v>
      </c>
      <c r="E43" s="7" t="str">
        <f>B43</f>
        <v xml:space="preserve">  "     "                                          2026 року </v>
      </c>
    </row>
  </sheetData>
  <mergeCells count="14">
    <mergeCell ref="A34:E34"/>
    <mergeCell ref="A8:F8"/>
    <mergeCell ref="A9:F9"/>
    <mergeCell ref="A12:F12"/>
    <mergeCell ref="A13:F13"/>
    <mergeCell ref="A14:F14"/>
    <mergeCell ref="B41:D41"/>
    <mergeCell ref="E41:F41"/>
    <mergeCell ref="B35:E35"/>
    <mergeCell ref="B36:E36"/>
    <mergeCell ref="A37:E37"/>
    <mergeCell ref="A38:E38"/>
    <mergeCell ref="B40:D40"/>
    <mergeCell ref="E40:F40"/>
  </mergeCells>
  <phoneticPr fontId="21" type="noConversion"/>
  <pageMargins left="0.25" right="0.25" top="0.75" bottom="0.75" header="0.3" footer="0.3"/>
  <pageSetup paperSize="9" scale="71" orientation="portrait" r:id="rId1"/>
  <rowBreaks count="1" manualBreakCount="1">
    <brk id="44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4A48-C56F-4BC7-A630-80CE3065D622}">
  <dimension ref="A1:O70"/>
  <sheetViews>
    <sheetView tabSelected="1" topLeftCell="A24" zoomScale="80" zoomScaleNormal="80" workbookViewId="0">
      <selection activeCell="L44" sqref="L44"/>
    </sheetView>
  </sheetViews>
  <sheetFormatPr defaultRowHeight="14.4" x14ac:dyDescent="0.3"/>
  <cols>
    <col min="1" max="1" width="9" style="226" customWidth="1"/>
    <col min="2" max="2" width="59.5546875" customWidth="1"/>
    <col min="3" max="3" width="11.88671875" style="226" customWidth="1"/>
    <col min="4" max="4" width="10.5546875" style="226" customWidth="1"/>
    <col min="5" max="5" width="15.21875" style="226" customWidth="1"/>
    <col min="6" max="6" width="13.88671875" style="226" customWidth="1"/>
    <col min="7" max="7" width="14.6640625" style="227" customWidth="1"/>
    <col min="8" max="8" width="53.33203125" style="228" customWidth="1"/>
    <col min="9" max="9" width="11.6640625" style="227" customWidth="1"/>
    <col min="10" max="10" width="20.6640625" style="229" customWidth="1"/>
    <col min="11" max="11" width="15.44140625" style="230" customWidth="1"/>
    <col min="12" max="12" width="15.88671875" style="230" customWidth="1"/>
    <col min="13" max="13" width="24.109375" customWidth="1"/>
    <col min="14" max="14" width="14.5546875" customWidth="1"/>
    <col min="15" max="15" width="9.21875" bestFit="1" customWidth="1"/>
    <col min="16" max="16" width="12.44140625" bestFit="1" customWidth="1"/>
  </cols>
  <sheetData>
    <row r="1" spans="1:15" ht="15.6" x14ac:dyDescent="0.3">
      <c r="A1" s="92"/>
      <c r="B1" s="93"/>
      <c r="C1" s="92"/>
      <c r="D1" s="94"/>
      <c r="E1" s="94"/>
      <c r="F1" s="94"/>
      <c r="G1" s="94"/>
      <c r="H1" s="276" t="s">
        <v>89</v>
      </c>
      <c r="I1" s="276"/>
      <c r="J1" s="276"/>
      <c r="K1" s="276"/>
      <c r="L1" s="276"/>
      <c r="M1" s="276"/>
      <c r="N1" s="95"/>
      <c r="O1" s="95"/>
    </row>
    <row r="2" spans="1:15" ht="15.6" x14ac:dyDescent="0.3">
      <c r="A2" s="92"/>
      <c r="B2" s="93"/>
      <c r="C2" s="92"/>
      <c r="D2" s="94"/>
      <c r="E2" s="94"/>
      <c r="F2" s="94"/>
      <c r="G2" s="94"/>
      <c r="H2" s="277"/>
      <c r="I2" s="277"/>
      <c r="J2" s="277"/>
      <c r="K2" s="277"/>
      <c r="L2" s="277"/>
      <c r="M2" s="277"/>
      <c r="N2" s="95"/>
      <c r="O2" s="95"/>
    </row>
    <row r="3" spans="1:15" ht="21" x14ac:dyDescent="0.3">
      <c r="A3" s="92"/>
      <c r="B3" s="97" t="s">
        <v>90</v>
      </c>
      <c r="C3" s="92"/>
      <c r="D3" s="94"/>
      <c r="E3" s="94"/>
      <c r="F3" s="94"/>
      <c r="G3" s="94"/>
      <c r="H3" s="98"/>
      <c r="I3" s="99"/>
      <c r="J3" s="100"/>
      <c r="K3" s="101"/>
      <c r="L3" s="101"/>
      <c r="M3" s="96"/>
      <c r="N3" s="95"/>
      <c r="O3" s="95"/>
    </row>
    <row r="4" spans="1:15" ht="42" x14ac:dyDescent="0.45">
      <c r="A4" s="92"/>
      <c r="B4" s="97" t="s">
        <v>91</v>
      </c>
      <c r="C4" s="92"/>
      <c r="D4" s="94"/>
      <c r="E4" s="94"/>
      <c r="F4" s="94"/>
      <c r="G4" s="94"/>
      <c r="H4" s="278" t="s">
        <v>92</v>
      </c>
      <c r="I4" s="278"/>
      <c r="J4" s="278"/>
      <c r="K4" s="278"/>
      <c r="L4" s="278"/>
      <c r="M4" s="278"/>
      <c r="N4" s="95"/>
      <c r="O4" s="95"/>
    </row>
    <row r="5" spans="1:15" ht="23.4" x14ac:dyDescent="0.45">
      <c r="A5" s="92"/>
      <c r="B5" s="97" t="s">
        <v>93</v>
      </c>
      <c r="C5" s="92"/>
      <c r="D5" s="94"/>
      <c r="E5" s="94"/>
      <c r="F5" s="94"/>
      <c r="G5" s="94"/>
      <c r="H5" s="102"/>
      <c r="I5" s="103"/>
      <c r="J5" s="104"/>
      <c r="K5" s="105"/>
      <c r="L5" s="105"/>
      <c r="M5" s="106"/>
      <c r="N5" s="95"/>
      <c r="O5" s="95"/>
    </row>
    <row r="6" spans="1:15" ht="21" x14ac:dyDescent="0.4">
      <c r="A6" s="92"/>
      <c r="B6" s="97" t="s">
        <v>94</v>
      </c>
      <c r="C6" s="92"/>
      <c r="D6" s="94"/>
      <c r="E6" s="94"/>
      <c r="F6" s="94"/>
      <c r="G6" s="94"/>
      <c r="H6" s="279" t="s">
        <v>95</v>
      </c>
      <c r="I6" s="279"/>
      <c r="J6" s="279"/>
      <c r="K6" s="279"/>
      <c r="L6" s="279"/>
      <c r="M6" s="279"/>
      <c r="N6" s="95"/>
      <c r="O6" s="95"/>
    </row>
    <row r="7" spans="1:15" ht="21" x14ac:dyDescent="0.3">
      <c r="A7" s="92"/>
      <c r="B7" s="97"/>
      <c r="C7" s="92"/>
      <c r="D7" s="94"/>
      <c r="E7" s="94"/>
      <c r="F7" s="94"/>
      <c r="G7" s="94"/>
      <c r="H7" s="107"/>
      <c r="I7" s="108"/>
      <c r="J7" s="109"/>
      <c r="K7" s="110"/>
      <c r="L7" s="110"/>
      <c r="M7" s="111"/>
      <c r="N7" s="95"/>
      <c r="O7" s="95"/>
    </row>
    <row r="8" spans="1:15" ht="21" x14ac:dyDescent="0.35">
      <c r="A8" s="92"/>
      <c r="B8" s="97"/>
      <c r="C8" s="92"/>
      <c r="D8" s="94"/>
      <c r="E8" s="94"/>
      <c r="F8" s="94"/>
      <c r="G8" s="94"/>
      <c r="H8" s="280" t="s">
        <v>96</v>
      </c>
      <c r="I8" s="280"/>
      <c r="J8" s="280"/>
      <c r="K8" s="280"/>
      <c r="L8" s="280"/>
      <c r="M8" s="280"/>
      <c r="N8" s="95"/>
      <c r="O8" s="95"/>
    </row>
    <row r="9" spans="1:15" ht="21" x14ac:dyDescent="0.3">
      <c r="A9" s="92"/>
      <c r="B9" s="97"/>
      <c r="C9" s="92"/>
      <c r="D9" s="94"/>
      <c r="E9" s="94"/>
      <c r="F9" s="94"/>
      <c r="G9" s="94"/>
      <c r="H9" s="112"/>
      <c r="I9" s="94"/>
      <c r="J9" s="113"/>
      <c r="K9" s="114"/>
      <c r="L9" s="114"/>
      <c r="N9" s="95"/>
      <c r="O9" s="95"/>
    </row>
    <row r="10" spans="1:15" ht="15.6" x14ac:dyDescent="0.3">
      <c r="A10" s="92"/>
      <c r="B10" s="92"/>
      <c r="C10" s="92"/>
      <c r="D10" s="94"/>
      <c r="E10" s="94"/>
      <c r="F10" s="94"/>
      <c r="G10" s="94"/>
      <c r="H10" s="112"/>
      <c r="I10" s="94"/>
      <c r="J10" s="113"/>
      <c r="K10" s="114"/>
      <c r="L10" s="114"/>
      <c r="N10" s="95"/>
      <c r="O10" s="95"/>
    </row>
    <row r="11" spans="1:15" ht="17.399999999999999" x14ac:dyDescent="0.3">
      <c r="A11" s="271" t="s">
        <v>97</v>
      </c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95"/>
      <c r="O11" s="95"/>
    </row>
    <row r="12" spans="1:15" ht="17.399999999999999" x14ac:dyDescent="0.3">
      <c r="A12" s="271" t="s">
        <v>98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95"/>
      <c r="O12" s="95"/>
    </row>
    <row r="13" spans="1:15" ht="17.399999999999999" x14ac:dyDescent="0.3">
      <c r="A13" s="271" t="s">
        <v>99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95"/>
      <c r="O13" s="95"/>
    </row>
    <row r="14" spans="1:15" ht="33.6" customHeight="1" x14ac:dyDescent="0.3">
      <c r="A14" s="272" t="s">
        <v>100</v>
      </c>
      <c r="B14" s="272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5" ht="22.2" customHeight="1" x14ac:dyDescent="0.3">
      <c r="A15" s="271" t="s">
        <v>140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</row>
    <row r="16" spans="1:15" ht="15.6" x14ac:dyDescent="0.3">
      <c r="A16" s="273" t="s">
        <v>101</v>
      </c>
      <c r="B16" s="273"/>
      <c r="C16" s="273"/>
      <c r="D16" s="273"/>
      <c r="E16" s="273"/>
      <c r="F16" s="273"/>
      <c r="G16" s="274" t="s">
        <v>102</v>
      </c>
      <c r="H16" s="274"/>
      <c r="I16" s="274"/>
      <c r="J16" s="274"/>
      <c r="K16" s="274"/>
      <c r="L16" s="274"/>
      <c r="M16" s="274"/>
    </row>
    <row r="17" spans="1:15" ht="15.6" x14ac:dyDescent="0.3">
      <c r="A17" s="260" t="s">
        <v>103</v>
      </c>
      <c r="B17" s="259" t="s">
        <v>104</v>
      </c>
      <c r="C17" s="260" t="s">
        <v>19</v>
      </c>
      <c r="D17" s="259" t="s">
        <v>105</v>
      </c>
      <c r="E17" s="260" t="s">
        <v>106</v>
      </c>
      <c r="F17" s="260" t="s">
        <v>107</v>
      </c>
      <c r="G17" s="116"/>
      <c r="H17" s="259" t="s">
        <v>21</v>
      </c>
      <c r="I17" s="259"/>
      <c r="J17" s="259"/>
      <c r="K17" s="259"/>
      <c r="L17" s="259"/>
      <c r="M17" s="260" t="s">
        <v>108</v>
      </c>
    </row>
    <row r="18" spans="1:15" ht="31.2" x14ac:dyDescent="0.3">
      <c r="A18" s="260"/>
      <c r="B18" s="259"/>
      <c r="C18" s="260"/>
      <c r="D18" s="259"/>
      <c r="E18" s="260"/>
      <c r="F18" s="260"/>
      <c r="G18" s="116" t="s">
        <v>109</v>
      </c>
      <c r="H18" s="116" t="s">
        <v>110</v>
      </c>
      <c r="I18" s="115" t="s">
        <v>111</v>
      </c>
      <c r="J18" s="117" t="s">
        <v>105</v>
      </c>
      <c r="K18" s="118" t="s">
        <v>106</v>
      </c>
      <c r="L18" s="118" t="s">
        <v>107</v>
      </c>
      <c r="M18" s="260"/>
    </row>
    <row r="19" spans="1:15" ht="15.6" x14ac:dyDescent="0.3">
      <c r="A19" s="119">
        <v>1</v>
      </c>
      <c r="B19" s="119">
        <v>2</v>
      </c>
      <c r="C19" s="119">
        <v>3</v>
      </c>
      <c r="D19" s="119">
        <v>4</v>
      </c>
      <c r="E19" s="119">
        <v>5</v>
      </c>
      <c r="F19" s="119">
        <v>6</v>
      </c>
      <c r="G19" s="120">
        <v>7</v>
      </c>
      <c r="H19" s="120">
        <v>8</v>
      </c>
      <c r="I19" s="120">
        <v>9</v>
      </c>
      <c r="J19" s="121">
        <v>10</v>
      </c>
      <c r="K19" s="121">
        <v>11</v>
      </c>
      <c r="L19" s="121">
        <v>12</v>
      </c>
      <c r="M19" s="120">
        <v>13</v>
      </c>
    </row>
    <row r="20" spans="1:15" ht="15.6" x14ac:dyDescent="0.3">
      <c r="A20" s="122" t="s">
        <v>54</v>
      </c>
      <c r="B20" s="123" t="s">
        <v>55</v>
      </c>
      <c r="C20" s="123"/>
      <c r="D20" s="124"/>
      <c r="E20" s="125"/>
      <c r="F20" s="126"/>
      <c r="G20" s="127"/>
      <c r="H20" s="128"/>
      <c r="I20" s="127"/>
      <c r="J20" s="129"/>
      <c r="K20" s="130"/>
      <c r="L20" s="131"/>
      <c r="M20" s="120"/>
    </row>
    <row r="21" spans="1:15" s="138" customFormat="1" ht="15.6" x14ac:dyDescent="0.3">
      <c r="A21" s="82" t="s">
        <v>58</v>
      </c>
      <c r="B21" s="46" t="s">
        <v>59</v>
      </c>
      <c r="C21" s="132" t="s">
        <v>51</v>
      </c>
      <c r="D21" s="133">
        <v>3.03</v>
      </c>
      <c r="E21" s="134">
        <v>26450</v>
      </c>
      <c r="F21" s="135"/>
      <c r="G21" s="127"/>
      <c r="H21" s="128"/>
      <c r="I21" s="127"/>
      <c r="J21" s="129"/>
      <c r="K21" s="130"/>
      <c r="L21" s="131"/>
      <c r="M21" s="136"/>
      <c r="N21" s="137"/>
    </row>
    <row r="22" spans="1:15" s="145" customFormat="1" ht="15.6" x14ac:dyDescent="0.3">
      <c r="A22" s="139" t="s">
        <v>56</v>
      </c>
      <c r="B22" s="74" t="s">
        <v>57</v>
      </c>
      <c r="C22" s="47" t="s">
        <v>51</v>
      </c>
      <c r="D22" s="38">
        <v>3.03</v>
      </c>
      <c r="E22" s="134">
        <v>51837.5</v>
      </c>
      <c r="F22" s="140"/>
      <c r="G22" s="37"/>
      <c r="H22" s="74"/>
      <c r="I22" s="37"/>
      <c r="J22" s="141"/>
      <c r="K22" s="142"/>
      <c r="L22" s="131"/>
      <c r="M22" s="143"/>
      <c r="N22" s="144"/>
    </row>
    <row r="23" spans="1:15" s="145" customFormat="1" ht="15.6" x14ac:dyDescent="0.3">
      <c r="A23" s="139" t="s">
        <v>62</v>
      </c>
      <c r="B23" s="74" t="s">
        <v>70</v>
      </c>
      <c r="C23" s="47" t="s">
        <v>51</v>
      </c>
      <c r="D23" s="38">
        <v>1.06</v>
      </c>
      <c r="E23" s="134">
        <v>20145.48</v>
      </c>
      <c r="F23" s="140"/>
      <c r="G23" s="37"/>
      <c r="H23" s="74"/>
      <c r="I23" s="37"/>
      <c r="J23" s="141"/>
      <c r="K23" s="142"/>
      <c r="L23" s="131"/>
      <c r="M23" s="143"/>
      <c r="N23" s="144"/>
    </row>
    <row r="24" spans="1:15" s="145" customFormat="1" ht="15.6" x14ac:dyDescent="0.3">
      <c r="A24" s="139" t="s">
        <v>83</v>
      </c>
      <c r="B24" s="74" t="s">
        <v>84</v>
      </c>
      <c r="C24" s="47"/>
      <c r="D24" s="38"/>
      <c r="E24" s="134"/>
      <c r="F24" s="146"/>
      <c r="G24" s="37"/>
      <c r="H24" s="74"/>
      <c r="I24" s="37"/>
      <c r="J24" s="141"/>
      <c r="K24" s="142"/>
      <c r="L24" s="131"/>
      <c r="M24" s="143"/>
      <c r="N24" s="144"/>
    </row>
    <row r="25" spans="1:15" s="282" customFormat="1" ht="15.6" x14ac:dyDescent="0.3">
      <c r="A25" s="149" t="s">
        <v>85</v>
      </c>
      <c r="B25" s="150" t="s">
        <v>86</v>
      </c>
      <c r="C25" s="147" t="s">
        <v>31</v>
      </c>
      <c r="D25" s="148">
        <v>1</v>
      </c>
      <c r="E25" s="134">
        <v>605</v>
      </c>
      <c r="F25" s="146"/>
      <c r="G25" s="37"/>
      <c r="H25" s="74"/>
      <c r="I25" s="37"/>
      <c r="J25" s="141"/>
      <c r="K25" s="142"/>
      <c r="L25" s="131"/>
      <c r="M25" s="238"/>
      <c r="N25" s="281"/>
    </row>
    <row r="26" spans="1:15" s="145" customFormat="1" ht="15.6" x14ac:dyDescent="0.3">
      <c r="A26" s="149"/>
      <c r="B26" s="150"/>
      <c r="C26" s="147"/>
      <c r="D26" s="148"/>
      <c r="E26" s="134"/>
      <c r="F26" s="146"/>
      <c r="G26" s="37"/>
      <c r="H26" s="74"/>
      <c r="I26" s="37"/>
      <c r="J26" s="141"/>
      <c r="K26" s="142"/>
      <c r="L26" s="131"/>
      <c r="M26" s="143"/>
      <c r="N26" s="144"/>
    </row>
    <row r="27" spans="1:15" s="145" customFormat="1" ht="15.6" x14ac:dyDescent="0.3">
      <c r="A27" s="151"/>
      <c r="B27" s="152" t="s">
        <v>21</v>
      </c>
      <c r="C27" s="153"/>
      <c r="D27" s="154"/>
      <c r="E27" s="155"/>
      <c r="F27" s="156"/>
      <c r="G27" s="157"/>
      <c r="H27" s="158"/>
      <c r="I27" s="231"/>
      <c r="J27" s="159"/>
      <c r="K27" s="233"/>
      <c r="L27" s="160">
        <f t="shared" ref="L27" si="0">K27*J27</f>
        <v>0</v>
      </c>
      <c r="M27" s="161"/>
      <c r="N27" s="144"/>
    </row>
    <row r="28" spans="1:15" s="171" customFormat="1" ht="21.6" customHeight="1" x14ac:dyDescent="0.3">
      <c r="A28" s="162" t="s">
        <v>72</v>
      </c>
      <c r="B28" s="163" t="s">
        <v>141</v>
      </c>
      <c r="C28" s="164" t="s">
        <v>51</v>
      </c>
      <c r="D28" s="165">
        <v>1.298</v>
      </c>
      <c r="E28" s="166">
        <v>35586.94</v>
      </c>
      <c r="F28" s="167">
        <f>E28*D28</f>
        <v>46191.848120000002</v>
      </c>
      <c r="G28" s="173"/>
      <c r="H28" s="294"/>
      <c r="I28" s="295"/>
      <c r="J28" s="234"/>
      <c r="K28" s="236"/>
      <c r="L28" s="131">
        <f t="shared" ref="L28:L43" si="1">J28*K28</f>
        <v>0</v>
      </c>
      <c r="M28" s="286" t="s">
        <v>151</v>
      </c>
      <c r="O28" s="172"/>
    </row>
    <row r="29" spans="1:15" s="174" customFormat="1" ht="21.6" customHeight="1" x14ac:dyDescent="0.3">
      <c r="A29" s="237" t="s">
        <v>64</v>
      </c>
      <c r="B29" s="237" t="s">
        <v>142</v>
      </c>
      <c r="C29" s="164" t="s">
        <v>51</v>
      </c>
      <c r="D29" s="165">
        <v>4.7E-2</v>
      </c>
      <c r="E29" s="166">
        <v>43095.02</v>
      </c>
      <c r="F29" s="167">
        <f t="shared" ref="F29:F43" si="2">E29*D29</f>
        <v>2025.4659399999998</v>
      </c>
      <c r="G29" s="173" t="s">
        <v>152</v>
      </c>
      <c r="H29" s="296" t="s">
        <v>153</v>
      </c>
      <c r="I29" s="297" t="s">
        <v>51</v>
      </c>
      <c r="J29" s="299">
        <v>4.7E-2</v>
      </c>
      <c r="K29" s="300">
        <v>36939.841549295779</v>
      </c>
      <c r="L29" s="301">
        <f>J29*K29</f>
        <v>1736.1725528169015</v>
      </c>
      <c r="M29" s="170"/>
      <c r="N29" s="144"/>
    </row>
    <row r="30" spans="1:15" s="174" customFormat="1" ht="29.4" customHeight="1" x14ac:dyDescent="0.3">
      <c r="A30" s="237" t="s">
        <v>77</v>
      </c>
      <c r="B30" s="237" t="s">
        <v>143</v>
      </c>
      <c r="C30" s="164" t="s">
        <v>51</v>
      </c>
      <c r="D30" s="165">
        <v>1.359</v>
      </c>
      <c r="E30" s="166">
        <v>43575.69</v>
      </c>
      <c r="F30" s="167">
        <f t="shared" si="2"/>
        <v>59219.362710000001</v>
      </c>
      <c r="G30" s="173" t="s">
        <v>154</v>
      </c>
      <c r="H30" s="175" t="s">
        <v>155</v>
      </c>
      <c r="I30" s="232" t="s">
        <v>51</v>
      </c>
      <c r="J30" s="299">
        <v>1.359</v>
      </c>
      <c r="K30" s="302">
        <v>41165.992206235016</v>
      </c>
      <c r="L30" s="301">
        <f t="shared" ref="L30:L31" si="3">J30*K30</f>
        <v>55944.583408273385</v>
      </c>
      <c r="M30" s="170"/>
      <c r="N30" s="176"/>
    </row>
    <row r="31" spans="1:15" s="293" customFormat="1" ht="21.6" customHeight="1" x14ac:dyDescent="0.3">
      <c r="A31" s="283" t="s">
        <v>66</v>
      </c>
      <c r="B31" s="46" t="s">
        <v>144</v>
      </c>
      <c r="C31" s="132" t="s">
        <v>51</v>
      </c>
      <c r="D31" s="52">
        <v>0.53800000000000003</v>
      </c>
      <c r="E31" s="284">
        <v>43575.69</v>
      </c>
      <c r="F31" s="285">
        <f t="shared" si="2"/>
        <v>23443.721220000003</v>
      </c>
      <c r="G31" s="237" t="s">
        <v>156</v>
      </c>
      <c r="H31" s="237" t="s">
        <v>157</v>
      </c>
      <c r="I31" s="298" t="s">
        <v>51</v>
      </c>
      <c r="J31" s="303">
        <v>0.54</v>
      </c>
      <c r="K31" s="304">
        <v>28500</v>
      </c>
      <c r="L31" s="301">
        <f t="shared" si="3"/>
        <v>15390.000000000002</v>
      </c>
      <c r="M31" s="286"/>
      <c r="N31" s="292"/>
    </row>
    <row r="32" spans="1:15" s="174" customFormat="1" ht="21.6" customHeight="1" x14ac:dyDescent="0.3">
      <c r="A32" s="287" t="s">
        <v>73</v>
      </c>
      <c r="B32" s="288" t="s">
        <v>145</v>
      </c>
      <c r="C32" s="289" t="s">
        <v>31</v>
      </c>
      <c r="D32" s="290">
        <v>6.02</v>
      </c>
      <c r="E32" s="291">
        <v>490.6</v>
      </c>
      <c r="F32" s="285">
        <f t="shared" si="2"/>
        <v>2953.4119999999998</v>
      </c>
      <c r="G32" s="173" t="s">
        <v>158</v>
      </c>
      <c r="H32" s="175" t="s">
        <v>159</v>
      </c>
      <c r="I32" s="232" t="s">
        <v>31</v>
      </c>
      <c r="J32" s="303">
        <v>602</v>
      </c>
      <c r="K32" s="302">
        <v>4.46</v>
      </c>
      <c r="L32" s="305">
        <f>J32*K32</f>
        <v>2684.92</v>
      </c>
      <c r="M32" s="286" t="s">
        <v>170</v>
      </c>
      <c r="N32" s="176"/>
    </row>
    <row r="33" spans="1:15" s="174" customFormat="1" ht="21.6" customHeight="1" x14ac:dyDescent="0.3">
      <c r="A33" s="283" t="s">
        <v>74</v>
      </c>
      <c r="B33" s="46" t="s">
        <v>146</v>
      </c>
      <c r="C33" s="132" t="s">
        <v>31</v>
      </c>
      <c r="D33" s="52">
        <v>3.24</v>
      </c>
      <c r="E33" s="284">
        <v>1386</v>
      </c>
      <c r="F33" s="285">
        <f t="shared" si="2"/>
        <v>4490.6400000000003</v>
      </c>
      <c r="G33" s="179" t="s">
        <v>160</v>
      </c>
      <c r="H33" s="175" t="s">
        <v>161</v>
      </c>
      <c r="I33" s="173" t="s">
        <v>31</v>
      </c>
      <c r="J33" s="303">
        <v>324</v>
      </c>
      <c r="K33" s="306">
        <v>12.6</v>
      </c>
      <c r="L33" s="305">
        <f t="shared" si="1"/>
        <v>4082.4</v>
      </c>
      <c r="M33" s="286" t="s">
        <v>170</v>
      </c>
      <c r="N33" s="176"/>
    </row>
    <row r="34" spans="1:15" s="174" customFormat="1" ht="21.6" customHeight="1" x14ac:dyDescent="0.3">
      <c r="A34" s="283" t="s">
        <v>75</v>
      </c>
      <c r="B34" s="46" t="s">
        <v>147</v>
      </c>
      <c r="C34" s="132" t="s">
        <v>31</v>
      </c>
      <c r="D34" s="52">
        <v>12.04</v>
      </c>
      <c r="E34" s="284">
        <v>169.4</v>
      </c>
      <c r="F34" s="285">
        <f t="shared" si="2"/>
        <v>2039.576</v>
      </c>
      <c r="G34" s="179" t="s">
        <v>162</v>
      </c>
      <c r="H34" s="175" t="s">
        <v>163</v>
      </c>
      <c r="I34" s="173" t="s">
        <v>31</v>
      </c>
      <c r="J34" s="303">
        <v>1204</v>
      </c>
      <c r="K34" s="306">
        <v>1.54</v>
      </c>
      <c r="L34" s="305">
        <f t="shared" si="1"/>
        <v>1854.16</v>
      </c>
      <c r="M34" s="286" t="s">
        <v>170</v>
      </c>
      <c r="N34" s="176"/>
    </row>
    <row r="35" spans="1:15" s="174" customFormat="1" ht="21.6" customHeight="1" x14ac:dyDescent="0.3">
      <c r="A35" s="177" t="s">
        <v>76</v>
      </c>
      <c r="B35" s="46" t="s">
        <v>148</v>
      </c>
      <c r="C35" s="132" t="s">
        <v>31</v>
      </c>
      <c r="D35" s="55">
        <v>6.48</v>
      </c>
      <c r="E35" s="178">
        <v>352</v>
      </c>
      <c r="F35" s="167">
        <f t="shared" si="2"/>
        <v>2280.96</v>
      </c>
      <c r="G35" s="173" t="s">
        <v>164</v>
      </c>
      <c r="H35" s="175" t="s">
        <v>165</v>
      </c>
      <c r="I35" s="173" t="s">
        <v>166</v>
      </c>
      <c r="J35" s="303">
        <v>648</v>
      </c>
      <c r="K35" s="306">
        <v>3.1999999999999997</v>
      </c>
      <c r="L35" s="301">
        <f t="shared" si="1"/>
        <v>2073.6</v>
      </c>
      <c r="M35" s="286" t="s">
        <v>170</v>
      </c>
      <c r="N35" s="176"/>
    </row>
    <row r="36" spans="1:15" s="174" customFormat="1" ht="21.6" customHeight="1" x14ac:dyDescent="0.3">
      <c r="A36" s="177" t="s">
        <v>77</v>
      </c>
      <c r="B36" s="46" t="s">
        <v>149</v>
      </c>
      <c r="C36" s="132" t="s">
        <v>31</v>
      </c>
      <c r="D36" s="55">
        <v>12.04</v>
      </c>
      <c r="E36" s="178">
        <v>78.650000000000006</v>
      </c>
      <c r="F36" s="167">
        <f t="shared" si="2"/>
        <v>946.94600000000003</v>
      </c>
      <c r="G36" s="173" t="s">
        <v>167</v>
      </c>
      <c r="H36" s="175" t="s">
        <v>149</v>
      </c>
      <c r="I36" s="173" t="s">
        <v>31</v>
      </c>
      <c r="J36" s="303">
        <v>1204</v>
      </c>
      <c r="K36" s="306">
        <v>0.71499999999999997</v>
      </c>
      <c r="L36" s="301">
        <f t="shared" si="1"/>
        <v>860.86</v>
      </c>
      <c r="M36" s="286" t="s">
        <v>170</v>
      </c>
      <c r="N36" s="176"/>
    </row>
    <row r="37" spans="1:15" s="174" customFormat="1" ht="21.6" customHeight="1" x14ac:dyDescent="0.3">
      <c r="A37" s="177" t="s">
        <v>78</v>
      </c>
      <c r="B37" s="46" t="s">
        <v>150</v>
      </c>
      <c r="C37" s="132" t="s">
        <v>31</v>
      </c>
      <c r="D37" s="55">
        <v>6.48</v>
      </c>
      <c r="E37" s="178">
        <v>83.6</v>
      </c>
      <c r="F37" s="167">
        <f t="shared" si="2"/>
        <v>541.72799999999995</v>
      </c>
      <c r="G37" s="179" t="s">
        <v>168</v>
      </c>
      <c r="H37" s="175" t="s">
        <v>169</v>
      </c>
      <c r="I37" s="173" t="s">
        <v>31</v>
      </c>
      <c r="J37" s="303">
        <v>648</v>
      </c>
      <c r="K37" s="306">
        <v>0.76</v>
      </c>
      <c r="L37" s="301">
        <f t="shared" si="1"/>
        <v>492.48</v>
      </c>
      <c r="M37" s="286" t="s">
        <v>170</v>
      </c>
      <c r="N37" s="176"/>
    </row>
    <row r="38" spans="1:15" s="138" customFormat="1" ht="21.6" customHeight="1" x14ac:dyDescent="0.3">
      <c r="A38" s="177" t="s">
        <v>78</v>
      </c>
      <c r="B38" s="239" t="s">
        <v>81</v>
      </c>
      <c r="C38" s="240" t="s">
        <v>51</v>
      </c>
      <c r="D38" s="55">
        <v>1.06</v>
      </c>
      <c r="E38" s="178"/>
      <c r="F38" s="167">
        <f t="shared" si="2"/>
        <v>0</v>
      </c>
      <c r="G38" s="241"/>
      <c r="H38" s="242"/>
      <c r="I38" s="243"/>
      <c r="J38" s="299"/>
      <c r="K38" s="307"/>
      <c r="L38" s="301">
        <f t="shared" si="1"/>
        <v>0</v>
      </c>
      <c r="M38" s="238" t="s">
        <v>131</v>
      </c>
      <c r="N38" s="137"/>
    </row>
    <row r="39" spans="1:15" s="138" customFormat="1" ht="23.4" customHeight="1" x14ac:dyDescent="0.3">
      <c r="A39" s="177"/>
      <c r="B39" s="239" t="s">
        <v>88</v>
      </c>
      <c r="C39" s="240" t="s">
        <v>31</v>
      </c>
      <c r="D39" s="55">
        <v>1</v>
      </c>
      <c r="E39" s="178">
        <v>2830.85</v>
      </c>
      <c r="F39" s="167">
        <f t="shared" si="2"/>
        <v>2830.85</v>
      </c>
      <c r="G39" s="37" t="s">
        <v>127</v>
      </c>
      <c r="H39" s="74" t="s">
        <v>128</v>
      </c>
      <c r="I39" s="37" t="s">
        <v>31</v>
      </c>
      <c r="J39" s="244">
        <v>1</v>
      </c>
      <c r="K39" s="142">
        <v>2637.5</v>
      </c>
      <c r="L39" s="131">
        <f t="shared" si="1"/>
        <v>2637.5</v>
      </c>
      <c r="M39" s="238"/>
      <c r="N39" s="137"/>
    </row>
    <row r="40" spans="1:15" s="138" customFormat="1" ht="24" customHeight="1" x14ac:dyDescent="0.3">
      <c r="A40" s="177"/>
      <c r="B40" s="239"/>
      <c r="C40" s="240"/>
      <c r="D40" s="55"/>
      <c r="E40" s="178"/>
      <c r="F40" s="167"/>
      <c r="G40" s="37" t="s">
        <v>132</v>
      </c>
      <c r="H40" s="74" t="s">
        <v>133</v>
      </c>
      <c r="I40" s="37" t="s">
        <v>31</v>
      </c>
      <c r="J40" s="244">
        <v>0.313</v>
      </c>
      <c r="K40" s="142">
        <v>420</v>
      </c>
      <c r="L40" s="131">
        <f>K40*J40</f>
        <v>131.46</v>
      </c>
      <c r="M40" s="238" t="s">
        <v>130</v>
      </c>
      <c r="N40" s="137"/>
    </row>
    <row r="41" spans="1:15" s="138" customFormat="1" ht="24" customHeight="1" x14ac:dyDescent="0.3">
      <c r="A41" s="177"/>
      <c r="B41" s="239"/>
      <c r="C41" s="240"/>
      <c r="D41" s="55"/>
      <c r="E41" s="178"/>
      <c r="F41" s="167"/>
      <c r="G41" s="37" t="s">
        <v>171</v>
      </c>
      <c r="H41" s="74" t="s">
        <v>172</v>
      </c>
      <c r="I41" s="37" t="s">
        <v>173</v>
      </c>
      <c r="J41" s="244">
        <v>7.68</v>
      </c>
      <c r="K41" s="142">
        <v>78.790170940170952</v>
      </c>
      <c r="L41" s="131">
        <f>K41*J41</f>
        <v>605.10851282051294</v>
      </c>
      <c r="M41" s="238" t="s">
        <v>174</v>
      </c>
      <c r="N41" s="137"/>
    </row>
    <row r="42" spans="1:15" s="138" customFormat="1" ht="15.6" x14ac:dyDescent="0.3">
      <c r="A42" s="177"/>
      <c r="B42" s="239"/>
      <c r="C42" s="240"/>
      <c r="D42" s="55"/>
      <c r="E42" s="178"/>
      <c r="F42" s="167">
        <f t="shared" si="2"/>
        <v>0</v>
      </c>
      <c r="G42" s="37" t="s">
        <v>134</v>
      </c>
      <c r="H42" s="74" t="s">
        <v>135</v>
      </c>
      <c r="I42" s="37" t="s">
        <v>129</v>
      </c>
      <c r="J42" s="244">
        <v>36.36</v>
      </c>
      <c r="K42" s="142">
        <v>123.93</v>
      </c>
      <c r="L42" s="131">
        <f t="shared" si="1"/>
        <v>4506.0947999999999</v>
      </c>
      <c r="M42" s="238" t="str">
        <f>M41</f>
        <v>галерея 6.2</v>
      </c>
      <c r="N42" s="137"/>
    </row>
    <row r="43" spans="1:15" s="138" customFormat="1" ht="15.6" x14ac:dyDescent="0.3">
      <c r="A43" s="177"/>
      <c r="B43" s="308"/>
      <c r="C43" s="240"/>
      <c r="D43" s="55"/>
      <c r="E43" s="178"/>
      <c r="F43" s="167">
        <f t="shared" si="2"/>
        <v>0</v>
      </c>
      <c r="G43" s="37" t="s">
        <v>136</v>
      </c>
      <c r="H43" s="74" t="s">
        <v>137</v>
      </c>
      <c r="I43" s="37" t="s">
        <v>129</v>
      </c>
      <c r="J43" s="244">
        <v>18.18</v>
      </c>
      <c r="K43" s="142">
        <v>125.45006469102334</v>
      </c>
      <c r="L43" s="131">
        <f t="shared" si="1"/>
        <v>2280.6821760828043</v>
      </c>
      <c r="M43" s="238" t="s">
        <v>138</v>
      </c>
      <c r="N43" s="137">
        <f>D22*30</f>
        <v>90.899999999999991</v>
      </c>
    </row>
    <row r="44" spans="1:15" ht="15.6" x14ac:dyDescent="0.3">
      <c r="A44" s="180"/>
      <c r="B44" s="181" t="s">
        <v>112</v>
      </c>
      <c r="C44" s="182"/>
      <c r="D44" s="183"/>
      <c r="E44" s="183"/>
      <c r="F44" s="183">
        <f>SUM(F28:F43)</f>
        <v>146964.50999000002</v>
      </c>
      <c r="G44" s="184"/>
      <c r="H44" s="185"/>
      <c r="I44" s="186"/>
      <c r="J44" s="187"/>
      <c r="K44" s="188"/>
      <c r="L44" s="188">
        <f>SUM(L21:L43)</f>
        <v>95280.021449993626</v>
      </c>
      <c r="M44" s="189"/>
      <c r="O44" s="190">
        <f>N43*0.1</f>
        <v>9.09</v>
      </c>
    </row>
    <row r="45" spans="1:15" x14ac:dyDescent="0.3">
      <c r="A45" s="261" t="s">
        <v>113</v>
      </c>
      <c r="B45" s="262"/>
      <c r="C45" s="262"/>
      <c r="D45" s="262"/>
      <c r="E45" s="262"/>
      <c r="F45" s="263"/>
      <c r="G45" s="267" t="s">
        <v>102</v>
      </c>
      <c r="H45" s="267"/>
      <c r="I45" s="267"/>
      <c r="J45" s="267"/>
      <c r="K45" s="267"/>
      <c r="L45" s="267"/>
      <c r="M45" s="267"/>
      <c r="N45" s="190"/>
      <c r="O45" s="190">
        <f>N43*0.4</f>
        <v>36.36</v>
      </c>
    </row>
    <row r="46" spans="1:15" x14ac:dyDescent="0.3">
      <c r="A46" s="264"/>
      <c r="B46" s="265"/>
      <c r="C46" s="265"/>
      <c r="D46" s="265"/>
      <c r="E46" s="265"/>
      <c r="F46" s="266"/>
      <c r="G46" s="267"/>
      <c r="H46" s="267"/>
      <c r="I46" s="267"/>
      <c r="J46" s="267"/>
      <c r="K46" s="267"/>
      <c r="L46" s="267"/>
      <c r="M46" s="267"/>
      <c r="N46" s="190"/>
    </row>
    <row r="47" spans="1:15" ht="15.6" x14ac:dyDescent="0.3">
      <c r="A47" s="191"/>
      <c r="B47" s="191"/>
      <c r="C47" s="191"/>
      <c r="D47" s="191"/>
      <c r="E47" s="191"/>
      <c r="F47" s="191"/>
      <c r="G47" s="168" t="s">
        <v>175</v>
      </c>
      <c r="H47" s="168" t="s">
        <v>176</v>
      </c>
      <c r="I47" s="168" t="s">
        <v>177</v>
      </c>
      <c r="J47" s="169">
        <v>1</v>
      </c>
      <c r="K47" s="169">
        <v>2583.35</v>
      </c>
      <c r="L47" s="235">
        <f>K47*J47</f>
        <v>2583.35</v>
      </c>
      <c r="M47" s="192" t="s">
        <v>130</v>
      </c>
      <c r="N47" s="190"/>
      <c r="O47" s="190">
        <f>N43*0.2</f>
        <v>18.18</v>
      </c>
    </row>
    <row r="48" spans="1:15" ht="15.6" x14ac:dyDescent="0.3">
      <c r="A48" s="191"/>
      <c r="B48" s="191"/>
      <c r="C48" s="191"/>
      <c r="D48" s="191"/>
      <c r="E48" s="191"/>
      <c r="F48" s="191"/>
      <c r="G48" s="168" t="s">
        <v>178</v>
      </c>
      <c r="H48" s="168" t="s">
        <v>179</v>
      </c>
      <c r="I48" s="168" t="s">
        <v>31</v>
      </c>
      <c r="J48" s="169">
        <v>50</v>
      </c>
      <c r="K48" s="169">
        <v>31.8</v>
      </c>
      <c r="L48" s="235">
        <f>K48*J48</f>
        <v>1590</v>
      </c>
      <c r="M48" s="192"/>
      <c r="N48" s="190"/>
    </row>
    <row r="49" spans="1:15" ht="15.6" x14ac:dyDescent="0.3">
      <c r="A49" s="191"/>
      <c r="B49" s="191"/>
      <c r="C49" s="191"/>
      <c r="D49" s="191"/>
      <c r="E49" s="191"/>
      <c r="F49" s="191"/>
      <c r="G49" s="131" t="s">
        <v>180</v>
      </c>
      <c r="H49" s="193" t="s">
        <v>181</v>
      </c>
      <c r="I49" s="131" t="s">
        <v>139</v>
      </c>
      <c r="J49" s="131">
        <v>5</v>
      </c>
      <c r="K49" s="131">
        <v>499.4</v>
      </c>
      <c r="L49" s="235">
        <f t="shared" ref="L49:L50" si="4">K49*J49</f>
        <v>2497</v>
      </c>
      <c r="M49" s="194"/>
      <c r="N49" s="190"/>
    </row>
    <row r="50" spans="1:15" ht="15.6" x14ac:dyDescent="0.3">
      <c r="A50" s="191"/>
      <c r="B50" s="191"/>
      <c r="C50" s="191"/>
      <c r="D50" s="191"/>
      <c r="E50" s="191"/>
      <c r="F50" s="191"/>
      <c r="G50" s="309" t="s">
        <v>182</v>
      </c>
      <c r="H50" s="309" t="s">
        <v>183</v>
      </c>
      <c r="I50" s="309" t="s">
        <v>184</v>
      </c>
      <c r="J50" s="169">
        <v>5.0000000000000001E-3</v>
      </c>
      <c r="K50" s="169">
        <v>534850</v>
      </c>
      <c r="L50" s="235">
        <f>K50*J50</f>
        <v>2674.25</v>
      </c>
      <c r="M50" s="192"/>
      <c r="N50" s="190"/>
    </row>
    <row r="51" spans="1:15" ht="21" x14ac:dyDescent="0.3">
      <c r="A51" s="195"/>
      <c r="B51" s="196" t="s">
        <v>114</v>
      </c>
      <c r="C51" s="197"/>
      <c r="D51" s="198"/>
      <c r="E51" s="198"/>
      <c r="F51" s="198"/>
      <c r="G51" s="199"/>
      <c r="H51" s="200"/>
      <c r="I51" s="201"/>
      <c r="J51" s="202"/>
      <c r="K51" s="203"/>
      <c r="L51" s="203">
        <f>SUM(L47:L50)</f>
        <v>9344.6</v>
      </c>
      <c r="M51" s="204"/>
      <c r="N51" s="205"/>
    </row>
    <row r="52" spans="1:15" ht="21" x14ac:dyDescent="0.3">
      <c r="A52" s="206"/>
      <c r="B52" s="207" t="s">
        <v>115</v>
      </c>
      <c r="C52" s="208"/>
      <c r="D52" s="209"/>
      <c r="E52" s="209"/>
      <c r="F52" s="209"/>
      <c r="G52" s="210"/>
      <c r="H52" s="211"/>
      <c r="I52" s="212"/>
      <c r="J52" s="213"/>
      <c r="K52" s="214"/>
      <c r="L52" s="214"/>
      <c r="M52" s="215"/>
      <c r="O52">
        <f>D21*1500+D22*1000</f>
        <v>7575</v>
      </c>
    </row>
    <row r="53" spans="1:15" ht="21" x14ac:dyDescent="0.4">
      <c r="A53" s="275" t="s">
        <v>116</v>
      </c>
      <c r="B53" s="275"/>
      <c r="C53" s="275"/>
      <c r="D53" s="275"/>
      <c r="E53" s="275"/>
      <c r="F53" s="275"/>
      <c r="G53" s="275"/>
      <c r="H53" s="275"/>
      <c r="I53" s="275"/>
      <c r="J53" s="216"/>
      <c r="K53" s="217"/>
      <c r="L53" s="217"/>
      <c r="M53" s="218"/>
    </row>
    <row r="54" spans="1:15" ht="21" x14ac:dyDescent="0.4">
      <c r="A54" s="269" t="s">
        <v>117</v>
      </c>
      <c r="B54" s="269"/>
      <c r="C54" s="269"/>
      <c r="D54" s="269"/>
      <c r="E54" s="269"/>
      <c r="F54" s="269"/>
      <c r="G54" s="269"/>
      <c r="H54" s="269"/>
      <c r="I54" s="269"/>
      <c r="J54" s="216"/>
      <c r="K54" s="217"/>
      <c r="L54" s="217"/>
      <c r="M54" s="218"/>
    </row>
    <row r="55" spans="1:15" ht="21" x14ac:dyDescent="0.4">
      <c r="A55" s="270" t="s">
        <v>118</v>
      </c>
      <c r="B55" s="270"/>
      <c r="C55" s="270"/>
      <c r="D55" s="270"/>
      <c r="E55" s="270"/>
      <c r="F55" s="270"/>
      <c r="G55" s="270"/>
      <c r="H55" s="270"/>
      <c r="I55" s="270"/>
      <c r="J55" s="219"/>
      <c r="K55" s="220">
        <f>D21*1500+D22*1000</f>
        <v>7575</v>
      </c>
      <c r="L55" s="220"/>
      <c r="M55" s="218"/>
    </row>
    <row r="56" spans="1:15" ht="21" x14ac:dyDescent="0.4">
      <c r="A56" s="269" t="s">
        <v>119</v>
      </c>
      <c r="B56" s="269"/>
      <c r="C56" s="269"/>
      <c r="D56" s="269"/>
      <c r="E56" s="269"/>
      <c r="F56" s="269"/>
      <c r="G56" s="269"/>
      <c r="H56" s="269"/>
      <c r="I56" s="269"/>
      <c r="J56" s="216"/>
      <c r="K56" s="217"/>
      <c r="L56" s="221"/>
      <c r="M56" s="222"/>
    </row>
    <row r="57" spans="1:15" ht="21" x14ac:dyDescent="0.4">
      <c r="A57" s="269" t="s">
        <v>120</v>
      </c>
      <c r="B57" s="269"/>
      <c r="C57" s="269"/>
      <c r="D57" s="269"/>
      <c r="E57" s="269"/>
      <c r="F57" s="269"/>
      <c r="G57" s="269"/>
      <c r="H57" s="269"/>
      <c r="I57" s="269"/>
      <c r="J57" s="216"/>
      <c r="K57" s="217"/>
      <c r="L57" s="223"/>
      <c r="M57" s="218"/>
    </row>
    <row r="58" spans="1:15" ht="21" x14ac:dyDescent="0.4">
      <c r="A58" s="269" t="s">
        <v>121</v>
      </c>
      <c r="B58" s="269"/>
      <c r="C58" s="269"/>
      <c r="D58" s="269"/>
      <c r="E58" s="269"/>
      <c r="F58" s="269"/>
      <c r="G58" s="269"/>
      <c r="H58" s="269"/>
      <c r="I58" s="269"/>
      <c r="J58" s="216"/>
      <c r="K58" s="217"/>
      <c r="L58" s="217"/>
      <c r="M58" s="218"/>
    </row>
    <row r="59" spans="1:15" ht="21" x14ac:dyDescent="0.4">
      <c r="A59" s="269" t="s">
        <v>122</v>
      </c>
      <c r="B59" s="269"/>
      <c r="C59" s="269"/>
      <c r="D59" s="269"/>
      <c r="E59" s="269"/>
      <c r="F59" s="269"/>
      <c r="G59" s="269"/>
      <c r="H59" s="269"/>
      <c r="I59" s="269"/>
      <c r="J59" s="216"/>
      <c r="K59" s="217"/>
      <c r="L59" s="217"/>
      <c r="M59" s="218"/>
    </row>
    <row r="60" spans="1:15" ht="21" x14ac:dyDescent="0.4">
      <c r="A60" s="269" t="s">
        <v>121</v>
      </c>
      <c r="B60" s="269"/>
      <c r="C60" s="269"/>
      <c r="D60" s="269"/>
      <c r="E60" s="269"/>
      <c r="F60" s="269"/>
      <c r="G60" s="269"/>
      <c r="H60" s="269"/>
      <c r="I60" s="269"/>
      <c r="J60" s="216"/>
      <c r="K60" s="217"/>
      <c r="L60" s="217"/>
      <c r="M60" s="218"/>
    </row>
    <row r="61" spans="1:15" ht="21" x14ac:dyDescent="0.4">
      <c r="A61" s="269" t="s">
        <v>123</v>
      </c>
      <c r="B61" s="269"/>
      <c r="C61" s="269"/>
      <c r="D61" s="269"/>
      <c r="E61" s="269"/>
      <c r="F61" s="269"/>
      <c r="G61" s="269"/>
      <c r="H61" s="269"/>
      <c r="I61" s="269"/>
      <c r="J61" s="216"/>
      <c r="K61" s="217"/>
      <c r="L61" s="217"/>
      <c r="M61" s="218"/>
    </row>
    <row r="62" spans="1:15" ht="21" x14ac:dyDescent="0.4">
      <c r="A62" s="269" t="s">
        <v>124</v>
      </c>
      <c r="B62" s="269"/>
      <c r="C62" s="269"/>
      <c r="D62" s="269"/>
      <c r="E62" s="269"/>
      <c r="F62" s="269"/>
      <c r="G62" s="269"/>
      <c r="H62" s="269"/>
      <c r="I62" s="269"/>
      <c r="J62" s="216"/>
      <c r="K62" s="217"/>
      <c r="L62" s="217"/>
      <c r="M62" s="218"/>
    </row>
    <row r="63" spans="1:15" ht="21" x14ac:dyDescent="0.4">
      <c r="A63" s="269" t="s">
        <v>125</v>
      </c>
      <c r="B63" s="269"/>
      <c r="C63" s="269"/>
      <c r="D63" s="269"/>
      <c r="E63" s="269"/>
      <c r="F63" s="269"/>
      <c r="G63" s="269"/>
      <c r="H63" s="269"/>
      <c r="I63" s="269"/>
      <c r="J63" s="216"/>
      <c r="K63" s="217"/>
      <c r="L63" s="217"/>
      <c r="M63" s="218"/>
    </row>
    <row r="64" spans="1:15" ht="21" x14ac:dyDescent="0.4">
      <c r="A64" s="268" t="s">
        <v>126</v>
      </c>
      <c r="B64" s="268"/>
      <c r="C64" s="268"/>
      <c r="D64" s="268"/>
      <c r="E64" s="268"/>
      <c r="F64" s="268"/>
      <c r="G64" s="268"/>
      <c r="H64" s="268"/>
      <c r="I64" s="268"/>
      <c r="J64" s="224"/>
      <c r="K64" s="225"/>
      <c r="L64" s="225"/>
      <c r="M64" s="218"/>
    </row>
    <row r="66" spans="7:13" x14ac:dyDescent="0.3">
      <c r="G66" s="226"/>
      <c r="H66" s="226"/>
      <c r="I66" s="226"/>
      <c r="J66" s="226"/>
      <c r="K66" s="226"/>
      <c r="L66" s="226"/>
      <c r="M66" s="226"/>
    </row>
    <row r="67" spans="7:13" x14ac:dyDescent="0.3">
      <c r="G67" s="226"/>
      <c r="H67" s="226"/>
      <c r="I67" s="226"/>
      <c r="J67" s="226"/>
      <c r="K67" s="226"/>
      <c r="L67" s="226"/>
      <c r="M67" s="226"/>
    </row>
    <row r="68" spans="7:13" x14ac:dyDescent="0.3">
      <c r="G68" s="226"/>
      <c r="H68" s="226"/>
      <c r="I68" s="226"/>
      <c r="J68" s="226"/>
      <c r="K68" s="226"/>
      <c r="L68" s="226"/>
      <c r="M68" s="226"/>
    </row>
    <row r="69" spans="7:13" x14ac:dyDescent="0.3">
      <c r="G69" s="226"/>
      <c r="H69" s="226"/>
      <c r="I69" s="226"/>
      <c r="J69" s="226"/>
      <c r="K69" s="226"/>
      <c r="L69" s="226"/>
      <c r="M69" s="226"/>
    </row>
    <row r="70" spans="7:13" x14ac:dyDescent="0.3">
      <c r="G70" s="226"/>
      <c r="H70" s="226"/>
      <c r="I70" s="226"/>
      <c r="J70" s="226"/>
      <c r="K70" s="226"/>
      <c r="L70" s="226"/>
      <c r="M70" s="226"/>
    </row>
  </sheetData>
  <mergeCells count="33">
    <mergeCell ref="F17:F18"/>
    <mergeCell ref="A12:M12"/>
    <mergeCell ref="H1:M2"/>
    <mergeCell ref="H4:M4"/>
    <mergeCell ref="H6:M6"/>
    <mergeCell ref="H8:M8"/>
    <mergeCell ref="A11:M11"/>
    <mergeCell ref="A17:A18"/>
    <mergeCell ref="B17:B18"/>
    <mergeCell ref="C17:C18"/>
    <mergeCell ref="D17:D18"/>
    <mergeCell ref="E17:E18"/>
    <mergeCell ref="A13:M13"/>
    <mergeCell ref="A14:M14"/>
    <mergeCell ref="A15:L15"/>
    <mergeCell ref="A16:F16"/>
    <mergeCell ref="G16:M16"/>
    <mergeCell ref="H17:L17"/>
    <mergeCell ref="M17:M18"/>
    <mergeCell ref="A45:F46"/>
    <mergeCell ref="G45:M46"/>
    <mergeCell ref="A64:I64"/>
    <mergeCell ref="A58:I58"/>
    <mergeCell ref="A60:I60"/>
    <mergeCell ref="A61:I61"/>
    <mergeCell ref="A62:I62"/>
    <mergeCell ref="A63:I63"/>
    <mergeCell ref="A59:I59"/>
    <mergeCell ref="A54:I54"/>
    <mergeCell ref="A55:I55"/>
    <mergeCell ref="A56:I56"/>
    <mergeCell ref="A57:I57"/>
    <mergeCell ref="A53:I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АВР №1</vt:lpstr>
      <vt:lpstr>АВР №8</vt:lpstr>
      <vt:lpstr>М29 №58 1.9-КМ</vt:lpstr>
      <vt:lpstr>'АВР №1'!Область_печати</vt:lpstr>
      <vt:lpstr>'АВР №8'!Область_печати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</dc:creator>
  <cp:lastModifiedBy>a.fedorova</cp:lastModifiedBy>
  <cp:lastPrinted>2026-05-11T06:19:12Z</cp:lastPrinted>
  <dcterms:created xsi:type="dcterms:W3CDTF">2024-05-27T11:16:15Z</dcterms:created>
  <dcterms:modified xsi:type="dcterms:W3CDTF">2026-06-30T06:33:18Z</dcterms:modified>
</cp:coreProperties>
</file>
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ublic\Бухгалтерія\ТОВ ІНДАСТРІАЛБУД\СПИСАННЯ\Глобіне 2\"/>
    </mc:Choice>
  </mc:AlternateContent>
  <xr:revisionPtr revIDLastSave="0" documentId="13_ncr:1_{C4CFBE12-F823-4936-A489-1B34AEB6551D}" xr6:coauthVersionLast="45" xr6:coauthVersionMax="47" xr10:uidLastSave="{00000000-0000-0000-0000-000000000000}"/>
  <bookViews>
    <workbookView xWindow="-108" yWindow="-108" windowWidth="23256" windowHeight="12600" activeTab="2" xr2:uid="{00000000-000D-0000-FFFF-FFFF00000000}"/>
  </bookViews>
  <sheets>
    <sheet name="АВР №1" sheetId="1" r:id="rId1"/>
    <sheet name="коригування" sheetId="2" r:id="rId2"/>
    <sheet name="М29 №21 1.10 - АР" sheetId="3" r:id="rId3"/>
    <sheet name="Лист2" sheetId="4" r:id="rId4"/>
  </sheets>
  <externalReferences>
    <externalReference r:id="rId5"/>
  </externalReferences>
  <definedNames>
    <definedName name="spec_values">[1]BOQ_Шаблон!$A$6:$A$275</definedName>
    <definedName name="_xlnm.Print_Area" localSheetId="0">'АВР №1'!$A$1:$F$43</definedName>
    <definedName name="_xlnm.Print_Area" localSheetId="1">коригування!$A$1:$F$43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1" i="3" l="1"/>
  <c r="L42" i="3"/>
  <c r="L43" i="3"/>
  <c r="L34" i="3"/>
  <c r="L27" i="3"/>
  <c r="L28" i="3"/>
  <c r="L29" i="3"/>
  <c r="L30" i="3"/>
  <c r="L31" i="3"/>
  <c r="L32" i="3"/>
  <c r="L33" i="3"/>
  <c r="L35" i="3"/>
  <c r="L36" i="3"/>
  <c r="L26" i="3"/>
  <c r="F27" i="3"/>
  <c r="F28" i="3"/>
  <c r="F29" i="3"/>
  <c r="F30" i="3"/>
  <c r="F31" i="3"/>
  <c r="F32" i="3"/>
  <c r="F33" i="3"/>
  <c r="F35" i="3"/>
  <c r="F36" i="3"/>
  <c r="F26" i="3"/>
  <c r="L40" i="3" l="1"/>
  <c r="F37" i="3"/>
  <c r="L25" i="3"/>
  <c r="E39" i="2"/>
  <c r="K29" i="2"/>
  <c r="K30" i="2" s="1"/>
  <c r="F29" i="2"/>
  <c r="F28" i="2"/>
  <c r="E27" i="2"/>
  <c r="F27" i="2" s="1"/>
  <c r="E26" i="2"/>
  <c r="F26" i="2" s="1"/>
  <c r="E25" i="2"/>
  <c r="F25" i="2" s="1"/>
  <c r="E24" i="2"/>
  <c r="F24" i="2" s="1"/>
  <c r="E23" i="2"/>
  <c r="F23" i="2" s="1"/>
  <c r="F21" i="2" s="1"/>
  <c r="F31" i="2" s="1"/>
  <c r="F22" i="2"/>
  <c r="F20" i="2"/>
  <c r="F19" i="2"/>
  <c r="F18" i="2" s="1"/>
  <c r="F30" i="2" s="1"/>
  <c r="L44" i="3" l="1"/>
  <c r="L37" i="3"/>
  <c r="F32" i="2"/>
  <c r="F28" i="1"/>
  <c r="F29" i="1"/>
  <c r="F22" i="1"/>
  <c r="F33" i="2" l="1"/>
  <c r="F34" i="2" s="1"/>
  <c r="E27" i="1"/>
  <c r="F27" i="1" s="1"/>
  <c r="K29" i="1"/>
  <c r="K30" i="1" s="1"/>
  <c r="E26" i="1"/>
  <c r="F26" i="1" s="1"/>
  <c r="E25" i="1"/>
  <c r="F25" i="1" s="1"/>
  <c r="E24" i="1"/>
  <c r="F24" i="1" s="1"/>
  <c r="E23" i="1"/>
  <c r="F23" i="1" s="1"/>
  <c r="F20" i="1" l="1"/>
  <c r="F19" i="1" l="1"/>
  <c r="F21" i="1" l="1"/>
  <c r="F31" i="1" l="1"/>
  <c r="F18" i="1"/>
  <c r="F30" i="1" l="1"/>
  <c r="F32" i="1" s="1"/>
  <c r="E39" i="1"/>
  <c r="F33" i="1" l="1"/>
  <c r="F34" i="1" s="1"/>
</calcChain>
</file>

<file path=xl/sharedStrings.xml><?xml version="1.0" encoding="utf-8"?>
<sst xmlns="http://schemas.openxmlformats.org/spreadsheetml/2006/main" count="258" uniqueCount="126">
  <si>
    <t>№</t>
  </si>
  <si>
    <t>Найменування видів робіт</t>
  </si>
  <si>
    <t>Обсяги</t>
  </si>
  <si>
    <t>Одинична розцінка або ціна, грн. без ПДВ</t>
  </si>
  <si>
    <t>Всього вартість за об'єм, грн. без ПДВ</t>
  </si>
  <si>
    <t>Всього роботи без ПДВ</t>
  </si>
  <si>
    <t>Загальна вартість, грн з ПДВ</t>
  </si>
  <si>
    <t xml:space="preserve">ЗАМОВНИК:
ТОВ «Астарта Агро Протеїн»
</t>
  </si>
  <si>
    <t xml:space="preserve">ПІДРЯДНИК:
ТОВ «ІНДАСТРІАЛБУД»
</t>
  </si>
  <si>
    <t>приймання виконаних будівельних робiт</t>
  </si>
  <si>
    <t>Од. вим.</t>
  </si>
  <si>
    <t>ПДВ (20%)</t>
  </si>
  <si>
    <t>Всього матеріали без ПДВ</t>
  </si>
  <si>
    <t>Загальна вартість, грн без ПДВ</t>
  </si>
  <si>
    <r>
      <rPr>
        <b/>
        <sz val="11"/>
        <rFont val="Times New Roman"/>
        <family val="1"/>
        <charset val="204"/>
      </rPr>
      <t>Найменування будови та її адреса</t>
    </r>
    <r>
      <rPr>
        <sz val="11"/>
        <rFont val="Times New Roman"/>
        <family val="1"/>
        <charset val="204"/>
      </rPr>
      <t xml:space="preserve"> -«Нове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
</t>
    </r>
  </si>
  <si>
    <t xml:space="preserve">Підприємство, організація – ТОВ «ІНДАСТРІАЛБУД »                                        </t>
  </si>
  <si>
    <t xml:space="preserve">Ідентифікаційний код ЄДРПОУ - (40645273 )                                        </t>
  </si>
  <si>
    <t xml:space="preserve">Замовник - ТОВ «Астарта Агро Протеїн»                                             </t>
  </si>
  <si>
    <t xml:space="preserve">Ідентифікаційний код ЄДРПОУ - (44652478 )                                        </t>
  </si>
  <si>
    <t>Підрядник - ТОВ «ІНДАСТРІАЛБУД»</t>
  </si>
  <si>
    <t>Договір №  12/09/2024-ГП від 12 вересня 2024 р.</t>
  </si>
  <si>
    <t xml:space="preserve">Підстава: Договірна ціна              </t>
  </si>
  <si>
    <r>
      <rPr>
        <b/>
        <sz val="11"/>
        <color theme="1"/>
        <rFont val="Times New Roman"/>
        <family val="1"/>
        <charset val="204"/>
      </rPr>
      <t>Роботи по будівництву:</t>
    </r>
    <r>
      <rPr>
        <sz val="11"/>
        <color theme="1"/>
        <rFont val="Times New Roman"/>
        <family val="1"/>
        <charset val="204"/>
      </rPr>
      <t xml:space="preserve"> Склад зберігання соєвого протеїнового концентрату в біг-бегах з пунктом фасування поз. 4.1 по ГП </t>
    </r>
  </si>
  <si>
    <t xml:space="preserve">Директор 
____________________О.В. Воронцов
</t>
  </si>
  <si>
    <t xml:space="preserve">Директор 
_________________________ І.В. Лумпієв
</t>
  </si>
  <si>
    <t>4.1.3.6</t>
  </si>
  <si>
    <t>4.1</t>
  </si>
  <si>
    <t>Розділ АР</t>
  </si>
  <si>
    <t>за                                      2026 року</t>
  </si>
  <si>
    <t xml:space="preserve">  "     "                                          2026 року </t>
  </si>
  <si>
    <t>м2</t>
  </si>
  <si>
    <t>Матеріали по розділу АР</t>
  </si>
  <si>
    <t>4.1.141</t>
  </si>
  <si>
    <t>Монтаж фасаду будівлі</t>
  </si>
  <si>
    <t>4.1.13</t>
  </si>
  <si>
    <t xml:space="preserve">Укладання утеплювача </t>
  </si>
  <si>
    <t>4.1.14</t>
  </si>
  <si>
    <t>Влаштування перегорок з гипсокартону в два шари</t>
  </si>
  <si>
    <t>рул</t>
  </si>
  <si>
    <t>Утеплювач KNAUF NATUROLL M (50+50)(1200х(2х9100)  21,84 м2 (матеріал Замовника)</t>
  </si>
  <si>
    <t>Профіль UW-100/4м (0,55мм)</t>
  </si>
  <si>
    <t>Профіль CW-100/4м (0,55мм)</t>
  </si>
  <si>
    <t>Гвинт самонарізаючий для г/к профілю, зі свердлом, PH (ЦБ) БЛОХА ТАЙВАНЬ</t>
  </si>
  <si>
    <t>Стрічка звукоізоляційна UW100, 3мм/90мм/30м</t>
  </si>
  <si>
    <t>ЛГК стіновий вологостійкий "Knauf"  (3000x1200x12,5мм)</t>
  </si>
  <si>
    <t>4.1.143</t>
  </si>
  <si>
    <t>4.1.144</t>
  </si>
  <si>
    <t>4.1.145</t>
  </si>
  <si>
    <t>4.1.146</t>
  </si>
  <si>
    <t>шт</t>
  </si>
  <si>
    <t>пак</t>
  </si>
  <si>
    <t>Саморіз  г/к метал 3,5*35</t>
  </si>
  <si>
    <t>Саморіз  г/к дерево 3,5*25</t>
  </si>
  <si>
    <t>4.1.147</t>
  </si>
  <si>
    <t>4.1.148</t>
  </si>
  <si>
    <t>4.1.149</t>
  </si>
  <si>
    <t>Акт №21/1.10 - АР</t>
  </si>
  <si>
    <t>Додаток №3
до Наказу №_______ від _________________р.</t>
  </si>
  <si>
    <r>
      <t>Форма № М-29</t>
    </r>
    <r>
      <rPr>
        <b/>
        <sz val="18"/>
        <color indexed="12"/>
        <rFont val="Calibri"/>
        <family val="2"/>
        <charset val="204"/>
      </rPr>
      <t>/1</t>
    </r>
  </si>
  <si>
    <t>"ЗАТВЕРДЖЕНО"</t>
  </si>
  <si>
    <t xml:space="preserve">Директор  ____________________ </t>
  </si>
  <si>
    <t>З В І Т</t>
  </si>
  <si>
    <t>про витрати основних матеріалів у будівництві</t>
  </si>
  <si>
    <t>в співставленні з виробничими нормами</t>
  </si>
  <si>
    <t>«Найменування будови та її адреса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   по Договору підряду №  12/09/2024-ГП від 12 вересня 2024 р.</t>
  </si>
  <si>
    <t>Інформація з АВР</t>
  </si>
  <si>
    <t>Інформація з 1С</t>
  </si>
  <si>
    <t>№ п/п</t>
  </si>
  <si>
    <t>Найменування робіт</t>
  </si>
  <si>
    <t>Кіл-ть</t>
  </si>
  <si>
    <t>Вартість од. вим.</t>
  </si>
  <si>
    <t>Вартість всього вим.</t>
  </si>
  <si>
    <t>Матеріали</t>
  </si>
  <si>
    <t>Примітка</t>
  </si>
  <si>
    <t>Код</t>
  </si>
  <si>
    <t>Найменування</t>
  </si>
  <si>
    <t>од. вим.</t>
  </si>
  <si>
    <t>Разом вартість матеріалів</t>
  </si>
  <si>
    <t>Інформація з ІВР</t>
  </si>
  <si>
    <t>Разом вартість МШП</t>
  </si>
  <si>
    <t>ВСЬОГО списано</t>
  </si>
  <si>
    <t xml:space="preserve">Опрацював  Бухгалтер ________________________  </t>
  </si>
  <si>
    <t xml:space="preserve">                                             (дата, П.І.Б., підпис)</t>
  </si>
  <si>
    <t>Витрати матеріалів перевірив:</t>
  </si>
  <si>
    <t xml:space="preserve">                                                          (дата, П.І.Б., підпис)</t>
  </si>
  <si>
    <t>Начальник ВТВ _______________________________</t>
  </si>
  <si>
    <t xml:space="preserve">                                   (дата, П.І.Б., підпис)</t>
  </si>
  <si>
    <t>Інженер ВТВ _______________________________</t>
  </si>
  <si>
    <t xml:space="preserve">Начальник будівельного-монтажного комплекса __________________________ </t>
  </si>
  <si>
    <t xml:space="preserve">                                                                                                (дата, П.І.Б., підпис)</t>
  </si>
  <si>
    <t>Матеріально-відповідальна особа, що склала звіт _______________________________________</t>
  </si>
  <si>
    <t xml:space="preserve">                                                                                                                                     (дата, П.І.Б., підпис)</t>
  </si>
  <si>
    <t>00-00020435</t>
  </si>
  <si>
    <t>Профіль СW 100 -4м. 0,55мм</t>
  </si>
  <si>
    <t>00-00006384</t>
  </si>
  <si>
    <t>Гвинт 3,5*9,5 самонаріз для г/к профілю зі свердлом</t>
  </si>
  <si>
    <t>00-00020436</t>
  </si>
  <si>
    <t>Стрічка звукоізоляційна UW100 3мм/90мм/30м</t>
  </si>
  <si>
    <t>00-00014577</t>
  </si>
  <si>
    <t xml:space="preserve">Гіпсокартон 2500*1200*12,5 </t>
  </si>
  <si>
    <t>00000009274</t>
  </si>
  <si>
    <t>00000003316</t>
  </si>
  <si>
    <t xml:space="preserve">До Акт №22/1.10 - АР Склад зберігання соєвого протеїнового концентрату в біг-бегах з пунктом фасування поз. 4.1 по ГП </t>
  </si>
  <si>
    <t>Монтаж легкоскидних конструкцій</t>
  </si>
  <si>
    <t>Модульні світлопрозорі енергоефективні легкоскидні конструкції</t>
  </si>
  <si>
    <t>Дюбель забивний  6*40 цвях мтал</t>
  </si>
  <si>
    <t>4.1.150</t>
  </si>
  <si>
    <t>4.1.151</t>
  </si>
  <si>
    <t>00-00020587</t>
  </si>
  <si>
    <t>00000003981</t>
  </si>
  <si>
    <t xml:space="preserve">Дюбель "грибок" 6*40 </t>
  </si>
  <si>
    <t>материал Заказчика</t>
  </si>
  <si>
    <t>00-00020434</t>
  </si>
  <si>
    <t>Профіль UW 100 -4м. 0,55мм</t>
  </si>
  <si>
    <t>00000011524</t>
  </si>
  <si>
    <t>Очищувач піни монтажної</t>
  </si>
  <si>
    <t>00000021441</t>
  </si>
  <si>
    <t>Папір офісний А4 80г/кв.м 500арк. клас В</t>
  </si>
  <si>
    <t>00-00017154</t>
  </si>
  <si>
    <t>Пензель 40мм</t>
  </si>
  <si>
    <t>00000004876</t>
  </si>
  <si>
    <t>Пензель плоский  2,0"</t>
  </si>
  <si>
    <t>Акт № ІБ00-000510 від 18.06.2026</t>
  </si>
  <si>
    <t>Вимога накладна № ІБ00-000517 від 26.06.2026</t>
  </si>
  <si>
    <t>МШП № ІБ00-000304 від 26.06.2026</t>
  </si>
  <si>
    <t>Списання № ІБ00-000401 від 26.06.2026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</si>
</sst>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-* #,##0.00\ _₽_-;\-* #,##0.00\ _₽_-;_-* &quot;-&quot;??\ _₽_-;_-@_-"/>
    <numFmt numFmtId="165" formatCode="0.000"/>
    <numFmt numFmtId="166" formatCode="#,##0.000"/>
    <numFmt numFmtId="167" formatCode="_-* #,##0.00_₴_-;\-* #,##0.00_₴_-;_-* &quot;-&quot;??_₴_-;_-@_-"/>
    <numFmt numFmtId="168" formatCode="_-* #,##0.000_-;\-* #,##0.000_-;_-* &quot;-&quot;??_-;_-@_-"/>
    <numFmt numFmtId="169" formatCode="_-* #,##0_-;\-* #,##0_-;_-* &quot;-&quot;??_-;_-@_-"/>
    <numFmt numFmtId="170" formatCode="0.0000"/>
    <numFmt numFmtId="171" formatCode="_-* #,##0.000\ _₽_-;\-* #,##0.000\ _₽_-;_-* &quot;-&quot;???\ _₽_-;_-@_-"/>
    <numFmt numFmtId="172" formatCode="_-* #,##0.000\ _₽_-;\-* #,##0.000\ _₽_-;_-* &quot;-&quot;??\ _₽_-;_-@_-"/>
    <numFmt numFmtId="173" formatCode="00000000000"/>
    <numFmt numFmtId="174" formatCode="_-* #,##0.000_₴_-;\-* #,##0.000_₴_-;_-* &quot;-&quot;???_₴_-;_-@_-"/>
    <numFmt numFmtId="175" formatCode="_-* #,##0.0000\ _₽_-;\-* #,##0.0000\ _₽_-;_-* &quot;-&quot;????\ _₽_-;_-@_-"/>
    <numFmt numFmtId="176" formatCode="#,##0.00_ ;[Red]\-#,##0.00\ "/>
  </numFmts>
  <fonts count="53" x14ac:knownFonts="1">
    <font>
      <sz val="11"/>
      <color theme="1"/>
      <name val="Calibri"/>
      <family val="2"/>
      <charset val="204"/>
      <scheme val="minor"/>
    </font>
    <font>
      <sz val="10"/>
      <color indexed="8"/>
      <name val="Book Antiqua"/>
      <family val="1"/>
      <charset val="204"/>
    </font>
    <font>
      <b/>
      <sz val="10"/>
      <color indexed="8"/>
      <name val="Book Antiqua"/>
      <family val="1"/>
      <charset val="204"/>
    </font>
    <font>
      <sz val="10"/>
      <color theme="1"/>
      <name val="Book Antiqua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Book Antiqua"/>
      <family val="1"/>
      <charset val="204"/>
    </font>
    <font>
      <sz val="11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8"/>
      <color indexed="12"/>
      <name val="Calibri"/>
      <family val="2"/>
      <charset val="204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Arial Cyr"/>
      <charset val="204"/>
    </font>
    <font>
      <b/>
      <sz val="12"/>
      <name val="Arial Cyr"/>
      <charset val="204"/>
    </font>
    <font>
      <sz val="12"/>
      <color theme="1"/>
      <name val="Calibri"/>
      <family val="2"/>
      <scheme val="minor"/>
    </font>
    <font>
      <b/>
      <sz val="10"/>
      <color theme="1"/>
      <name val="Book Antiqua"/>
      <family val="1"/>
      <charset val="204"/>
    </font>
    <font>
      <b/>
      <i/>
      <sz val="10"/>
      <color indexed="8"/>
      <name val="Book Antiqua"/>
      <family val="1"/>
      <charset val="204"/>
    </font>
    <font>
      <sz val="9"/>
      <color theme="1"/>
      <name val="Book Antiqua"/>
      <family val="1"/>
      <charset val="204"/>
    </font>
    <font>
      <b/>
      <i/>
      <sz val="11"/>
      <color indexed="8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 style="thin">
        <color indexed="28"/>
      </top>
      <bottom style="thin">
        <color indexed="2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5" fillId="0" borderId="0"/>
    <xf numFmtId="0" fontId="6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</cellStyleXfs>
  <cellXfs count="266">
    <xf numFmtId="0" fontId="0" fillId="0" borderId="0" xfId="0"/>
    <xf numFmtId="0" fontId="1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horizontal="right" vertical="top" wrapText="1"/>
    </xf>
    <xf numFmtId="0" fontId="3" fillId="0" borderId="0" xfId="0" applyFont="1"/>
    <xf numFmtId="0" fontId="3" fillId="0" borderId="0" xfId="0" applyFont="1" applyAlignment="1">
      <alignment vertical="center"/>
    </xf>
    <xf numFmtId="4" fontId="3" fillId="0" borderId="0" xfId="0" applyNumberFormat="1" applyFont="1"/>
    <xf numFmtId="0" fontId="3" fillId="0" borderId="0" xfId="0" applyFont="1" applyAlignment="1">
      <alignment wrapText="1"/>
    </xf>
    <xf numFmtId="2" fontId="3" fillId="0" borderId="0" xfId="0" applyNumberFormat="1" applyFont="1"/>
    <xf numFmtId="0" fontId="7" fillId="0" borderId="0" xfId="0" applyFont="1"/>
    <xf numFmtId="0" fontId="7" fillId="2" borderId="0" xfId="0" applyFont="1" applyFill="1"/>
    <xf numFmtId="49" fontId="1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horizontal="center" vertical="top" wrapText="1"/>
    </xf>
    <xf numFmtId="165" fontId="11" fillId="0" borderId="0" xfId="0" applyNumberFormat="1" applyFont="1" applyAlignment="1">
      <alignment horizontal="center" vertical="top" wrapText="1"/>
    </xf>
    <xf numFmtId="49" fontId="11" fillId="0" borderId="0" xfId="0" applyNumberFormat="1" applyFont="1" applyAlignment="1">
      <alignment vertical="top" wrapText="1"/>
    </xf>
    <xf numFmtId="49" fontId="11" fillId="0" borderId="0" xfId="0" applyNumberFormat="1" applyFont="1" applyAlignment="1">
      <alignment horizontal="right"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/>
    <xf numFmtId="2" fontId="12" fillId="0" borderId="0" xfId="0" applyNumberFormat="1" applyFont="1"/>
    <xf numFmtId="4" fontId="12" fillId="0" borderId="0" xfId="0" applyNumberFormat="1" applyFont="1"/>
    <xf numFmtId="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textRotation="90"/>
    </xf>
    <xf numFmtId="2" fontId="9" fillId="2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5" fillId="2" borderId="0" xfId="0" applyFont="1" applyFill="1"/>
    <xf numFmtId="0" fontId="15" fillId="0" borderId="0" xfId="0" applyFont="1"/>
    <xf numFmtId="4" fontId="9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4" fontId="9" fillId="3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0" applyFont="1"/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right" vertical="center" wrapText="1"/>
    </xf>
    <xf numFmtId="0" fontId="22" fillId="0" borderId="0" xfId="0" applyFont="1"/>
    <xf numFmtId="164" fontId="25" fillId="2" borderId="1" xfId="4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2" fontId="16" fillId="4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2" fontId="26" fillId="2" borderId="1" xfId="0" applyNumberFormat="1" applyFont="1" applyFill="1" applyBorder="1" applyAlignment="1">
      <alignment horizontal="center" vertical="center" wrapText="1"/>
    </xf>
    <xf numFmtId="165" fontId="26" fillId="2" borderId="1" xfId="0" applyNumberFormat="1" applyFont="1" applyFill="1" applyBorder="1" applyAlignment="1">
      <alignment horizontal="center" vertical="center" wrapText="1"/>
    </xf>
    <xf numFmtId="164" fontId="25" fillId="0" borderId="1" xfId="4" applyFont="1" applyBorder="1" applyAlignment="1">
      <alignment horizontal="center" vertical="center" wrapText="1"/>
    </xf>
    <xf numFmtId="0" fontId="22" fillId="0" borderId="1" xfId="0" quotePrefix="1" applyFont="1" applyBorder="1" applyAlignment="1">
      <alignment horizontal="center" vertical="center" wrapText="1"/>
    </xf>
    <xf numFmtId="0" fontId="27" fillId="2" borderId="1" xfId="0" quotePrefix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/>
    </xf>
    <xf numFmtId="164" fontId="16" fillId="2" borderId="1" xfId="4" applyFont="1" applyFill="1" applyBorder="1" applyAlignment="1">
      <alignment vertical="center"/>
    </xf>
    <xf numFmtId="0" fontId="27" fillId="4" borderId="1" xfId="0" quotePrefix="1" applyFont="1" applyFill="1" applyBorder="1" applyAlignment="1">
      <alignment horizontal="center" vertical="center" wrapText="1"/>
    </xf>
    <xf numFmtId="4" fontId="28" fillId="4" borderId="4" xfId="0" applyNumberFormat="1" applyFont="1" applyFill="1" applyBorder="1" applyAlignment="1">
      <alignment vertical="center" wrapText="1"/>
    </xf>
    <xf numFmtId="0" fontId="28" fillId="4" borderId="1" xfId="2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4" fontId="17" fillId="4" borderId="1" xfId="0" applyNumberFormat="1" applyFont="1" applyFill="1" applyBorder="1" applyAlignment="1">
      <alignment horizontal="center" vertical="center" wrapText="1"/>
    </xf>
    <xf numFmtId="16" fontId="27" fillId="4" borderId="1" xfId="0" quotePrefix="1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 textRotation="90"/>
    </xf>
    <xf numFmtId="0" fontId="17" fillId="4" borderId="1" xfId="0" applyFont="1" applyFill="1" applyBorder="1" applyAlignment="1">
      <alignment horizontal="center" vertical="center" wrapText="1"/>
    </xf>
    <xf numFmtId="166" fontId="3" fillId="2" borderId="0" xfId="0" applyNumberFormat="1" applyFont="1" applyFill="1"/>
    <xf numFmtId="0" fontId="18" fillId="2" borderId="0" xfId="0" applyFont="1" applyFill="1" applyAlignment="1">
      <alignment vertical="center"/>
    </xf>
    <xf numFmtId="0" fontId="22" fillId="2" borderId="1" xfId="0" quotePrefix="1" applyFont="1" applyFill="1" applyBorder="1" applyAlignment="1">
      <alignment horizontal="center" vertical="center" wrapText="1"/>
    </xf>
    <xf numFmtId="4" fontId="26" fillId="2" borderId="1" xfId="0" applyNumberFormat="1" applyFont="1" applyFill="1" applyBorder="1" applyAlignment="1">
      <alignment vertical="center" wrapText="1"/>
    </xf>
    <xf numFmtId="0" fontId="26" fillId="2" borderId="1" xfId="2" applyFont="1" applyFill="1" applyBorder="1" applyAlignment="1">
      <alignment horizontal="center" vertical="center" wrapText="1"/>
    </xf>
    <xf numFmtId="164" fontId="18" fillId="2" borderId="1" xfId="4" applyFont="1" applyFill="1" applyBorder="1" applyAlignment="1">
      <alignment horizontal="center" vertical="center" wrapText="1"/>
    </xf>
    <xf numFmtId="164" fontId="16" fillId="2" borderId="1" xfId="4" applyFont="1" applyFill="1" applyBorder="1" applyAlignment="1">
      <alignment horizontal="center" vertical="center"/>
    </xf>
    <xf numFmtId="164" fontId="17" fillId="4" borderId="1" xfId="4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167" fontId="31" fillId="0" borderId="0" xfId="5" applyNumberFormat="1" applyFont="1" applyBorder="1" applyAlignment="1">
      <alignment horizontal="center" vertical="center" wrapText="1"/>
    </xf>
    <xf numFmtId="4" fontId="32" fillId="0" borderId="0" xfId="0" applyNumberFormat="1" applyFont="1" applyAlignment="1">
      <alignment vertical="top" wrapText="1"/>
    </xf>
    <xf numFmtId="4" fontId="32" fillId="0" borderId="5" xfId="0" applyNumberFormat="1" applyFont="1" applyBorder="1" applyAlignment="1">
      <alignment horizontal="center" vertical="top" wrapText="1"/>
    </xf>
    <xf numFmtId="0" fontId="33" fillId="0" borderId="0" xfId="0" applyFont="1" applyAlignment="1">
      <alignment vertical="center" wrapText="1"/>
    </xf>
    <xf numFmtId="4" fontId="32" fillId="0" borderId="5" xfId="0" applyNumberFormat="1" applyFont="1" applyBorder="1" applyAlignment="1">
      <alignment horizontal="left" vertical="center" wrapText="1"/>
    </xf>
    <xf numFmtId="4" fontId="32" fillId="0" borderId="5" xfId="0" applyNumberFormat="1" applyFont="1" applyBorder="1" applyAlignment="1">
      <alignment horizontal="center" vertical="center" wrapText="1"/>
    </xf>
    <xf numFmtId="168" fontId="32" fillId="0" borderId="5" xfId="5" applyNumberFormat="1" applyFont="1" applyBorder="1" applyAlignment="1">
      <alignment horizontal="center" vertical="center" wrapText="1"/>
    </xf>
    <xf numFmtId="43" fontId="32" fillId="0" borderId="5" xfId="5" applyFont="1" applyBorder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168" fontId="34" fillId="0" borderId="0" xfId="5" applyNumberFormat="1" applyFont="1" applyAlignment="1">
      <alignment horizontal="center" vertical="center"/>
    </xf>
    <xf numFmtId="43" fontId="34" fillId="0" borderId="0" xfId="5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1" fillId="0" borderId="0" xfId="0" applyFont="1" applyAlignment="1">
      <alignment horizontal="left" vertical="center" wrapText="1"/>
    </xf>
    <xf numFmtId="4" fontId="31" fillId="0" borderId="0" xfId="0" applyNumberFormat="1" applyFont="1" applyAlignment="1">
      <alignment horizontal="center" vertical="center" wrapText="1"/>
    </xf>
    <xf numFmtId="168" fontId="31" fillId="0" borderId="0" xfId="5" applyNumberFormat="1" applyFont="1" applyAlignment="1">
      <alignment horizontal="center" vertical="center" wrapText="1"/>
    </xf>
    <xf numFmtId="43" fontId="31" fillId="0" borderId="0" xfId="5" applyFont="1" applyAlignment="1">
      <alignment horizontal="center" vertical="center"/>
    </xf>
    <xf numFmtId="4" fontId="31" fillId="0" borderId="0" xfId="0" applyNumberFormat="1" applyFont="1" applyAlignment="1">
      <alignment vertical="center"/>
    </xf>
    <xf numFmtId="167" fontId="31" fillId="0" borderId="0" xfId="5" applyNumberFormat="1" applyFont="1" applyBorder="1" applyAlignment="1">
      <alignment horizontal="left" vertical="center" wrapText="1"/>
    </xf>
    <xf numFmtId="168" fontId="31" fillId="0" borderId="0" xfId="5" applyNumberFormat="1" applyFont="1" applyBorder="1" applyAlignment="1">
      <alignment horizontal="center" vertical="center" wrapText="1"/>
    </xf>
    <xf numFmtId="43" fontId="31" fillId="0" borderId="0" xfId="5" applyFont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/>
    </xf>
    <xf numFmtId="168" fontId="40" fillId="2" borderId="1" xfId="5" applyNumberFormat="1" applyFont="1" applyFill="1" applyBorder="1" applyAlignment="1">
      <alignment horizontal="center" vertical="center"/>
    </xf>
    <xf numFmtId="43" fontId="40" fillId="2" borderId="1" xfId="5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9" fontId="0" fillId="2" borderId="1" xfId="5" applyNumberFormat="1" applyFont="1" applyFill="1" applyBorder="1" applyAlignment="1">
      <alignment horizontal="center" vertical="center"/>
    </xf>
    <xf numFmtId="16" fontId="41" fillId="4" borderId="1" xfId="0" quotePrefix="1" applyNumberFormat="1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left" vertical="center" wrapText="1"/>
    </xf>
    <xf numFmtId="170" fontId="41" fillId="4" borderId="1" xfId="0" applyNumberFormat="1" applyFont="1" applyFill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left" vertical="center" wrapText="1"/>
    </xf>
    <xf numFmtId="168" fontId="30" fillId="2" borderId="6" xfId="5" applyNumberFormat="1" applyFont="1" applyFill="1" applyBorder="1" applyAlignment="1">
      <alignment horizontal="center" vertical="center"/>
    </xf>
    <xf numFmtId="43" fontId="30" fillId="2" borderId="6" xfId="5" applyFont="1" applyFill="1" applyBorder="1" applyAlignment="1">
      <alignment horizontal="center" vertical="center"/>
    </xf>
    <xf numFmtId="43" fontId="18" fillId="2" borderId="1" xfId="5" applyFont="1" applyFill="1" applyBorder="1" applyAlignment="1">
      <alignment horizontal="center" vertical="center" wrapText="1"/>
    </xf>
    <xf numFmtId="0" fontId="12" fillId="2" borderId="1" xfId="0" quotePrefix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vertical="center" wrapText="1"/>
    </xf>
    <xf numFmtId="0" fontId="7" fillId="2" borderId="1" xfId="2" applyFont="1" applyFill="1" applyBorder="1" applyAlignment="1">
      <alignment horizontal="center" vertical="center" wrapText="1"/>
    </xf>
    <xf numFmtId="170" fontId="7" fillId="0" borderId="1" xfId="0" applyNumberFormat="1" applyFont="1" applyBorder="1" applyAlignment="1">
      <alignment horizontal="center" vertical="center" wrapText="1"/>
    </xf>
    <xf numFmtId="164" fontId="10" fillId="0" borderId="1" xfId="4" applyFont="1" applyFill="1" applyBorder="1" applyAlignment="1">
      <alignment horizontal="center" vertical="center" wrapText="1"/>
    </xf>
    <xf numFmtId="4" fontId="16" fillId="2" borderId="1" xfId="5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171" fontId="30" fillId="2" borderId="0" xfId="0" applyNumberFormat="1" applyFont="1" applyFill="1"/>
    <xf numFmtId="0" fontId="30" fillId="2" borderId="0" xfId="0" applyFont="1" applyFill="1"/>
    <xf numFmtId="14" fontId="43" fillId="2" borderId="1" xfId="0" quotePrefix="1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center" vertical="center" wrapText="1"/>
    </xf>
    <xf numFmtId="164" fontId="12" fillId="2" borderId="4" xfId="4" applyFont="1" applyFill="1" applyBorder="1" applyAlignment="1">
      <alignment horizontal="right" vertical="center" wrapText="1"/>
    </xf>
    <xf numFmtId="43" fontId="25" fillId="0" borderId="1" xfId="5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8" fontId="12" fillId="2" borderId="1" xfId="5" applyNumberFormat="1" applyFont="1" applyFill="1" applyBorder="1" applyAlignment="1">
      <alignment horizontal="center" vertical="center"/>
    </xf>
    <xf numFmtId="43" fontId="12" fillId="2" borderId="1" xfId="5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71" fontId="19" fillId="2" borderId="0" xfId="0" applyNumberFormat="1" applyFont="1" applyFill="1"/>
    <xf numFmtId="0" fontId="19" fillId="2" borderId="0" xfId="0" applyFont="1" applyFill="1"/>
    <xf numFmtId="43" fontId="10" fillId="2" borderId="1" xfId="5" applyFont="1" applyFill="1" applyBorder="1" applyAlignment="1">
      <alignment horizontal="center" vertical="center" wrapText="1"/>
    </xf>
    <xf numFmtId="0" fontId="12" fillId="8" borderId="1" xfId="0" quotePrefix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165" fontId="12" fillId="8" borderId="1" xfId="0" applyNumberFormat="1" applyFont="1" applyFill="1" applyBorder="1" applyAlignment="1">
      <alignment horizontal="center" vertical="center" wrapText="1"/>
    </xf>
    <xf numFmtId="164" fontId="44" fillId="8" borderId="1" xfId="4" applyFont="1" applyFill="1" applyBorder="1" applyAlignment="1">
      <alignment horizontal="center" vertical="center" wrapText="1"/>
    </xf>
    <xf numFmtId="164" fontId="11" fillId="8" borderId="1" xfId="4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168" fontId="12" fillId="8" borderId="1" xfId="5" applyNumberFormat="1" applyFont="1" applyFill="1" applyBorder="1" applyAlignment="1">
      <alignment horizontal="center" vertical="center"/>
    </xf>
    <xf numFmtId="43" fontId="12" fillId="8" borderId="1" xfId="5" applyFont="1" applyFill="1" applyBorder="1" applyAlignment="1">
      <alignment horizontal="center" vertical="center"/>
    </xf>
    <xf numFmtId="43" fontId="18" fillId="8" borderId="1" xfId="5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16" fontId="3" fillId="2" borderId="1" xfId="0" quotePrefix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72" fontId="3" fillId="2" borderId="1" xfId="4" applyNumberFormat="1" applyFont="1" applyFill="1" applyBorder="1" applyAlignment="1">
      <alignment horizontal="left" vertical="center" wrapText="1"/>
    </xf>
    <xf numFmtId="164" fontId="1" fillId="2" borderId="1" xfId="4" applyFont="1" applyFill="1" applyBorder="1" applyAlignment="1">
      <alignment horizontal="left" vertical="center" wrapText="1"/>
    </xf>
    <xf numFmtId="164" fontId="1" fillId="2" borderId="1" xfId="4" applyFont="1" applyFill="1" applyBorder="1" applyAlignment="1">
      <alignment horizontal="center" vertical="center" wrapText="1"/>
    </xf>
    <xf numFmtId="0" fontId="0" fillId="0" borderId="7" xfId="0" applyBorder="1" applyAlignment="1">
      <alignment vertical="top"/>
    </xf>
    <xf numFmtId="165" fontId="0" fillId="0" borderId="7" xfId="0" applyNumberFormat="1" applyBorder="1" applyAlignment="1">
      <alignment horizontal="right" vertical="top"/>
    </xf>
    <xf numFmtId="0" fontId="29" fillId="2" borderId="1" xfId="0" applyFont="1" applyFill="1" applyBorder="1" applyAlignment="1">
      <alignment horizontal="center" vertical="center"/>
    </xf>
    <xf numFmtId="0" fontId="29" fillId="2" borderId="0" xfId="0" applyFont="1" applyFill="1"/>
    <xf numFmtId="0" fontId="45" fillId="2" borderId="0" xfId="0" applyFont="1" applyFill="1"/>
    <xf numFmtId="171" fontId="45" fillId="2" borderId="0" xfId="0" applyNumberFormat="1" applyFont="1" applyFill="1"/>
    <xf numFmtId="0" fontId="12" fillId="2" borderId="1" xfId="0" quotePrefix="1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vertical="center" wrapText="1"/>
    </xf>
    <xf numFmtId="43" fontId="12" fillId="2" borderId="1" xfId="5" applyFont="1" applyFill="1" applyBorder="1" applyAlignment="1">
      <alignment horizontal="center" vertical="center" wrapText="1"/>
    </xf>
    <xf numFmtId="0" fontId="45" fillId="2" borderId="1" xfId="0" applyFont="1" applyFill="1" applyBorder="1"/>
    <xf numFmtId="49" fontId="28" fillId="9" borderId="1" xfId="6" applyNumberFormat="1" applyFont="1" applyFill="1" applyBorder="1" applyAlignment="1">
      <alignment horizontal="center" vertical="center"/>
    </xf>
    <xf numFmtId="49" fontId="28" fillId="9" borderId="1" xfId="0" applyNumberFormat="1" applyFont="1" applyFill="1" applyBorder="1" applyAlignment="1">
      <alignment horizontal="center" vertical="center" wrapText="1"/>
    </xf>
    <xf numFmtId="4" fontId="28" fillId="9" borderId="1" xfId="0" applyNumberFormat="1" applyFont="1" applyFill="1" applyBorder="1" applyAlignment="1">
      <alignment horizontal="center" vertical="center" wrapText="1"/>
    </xf>
    <xf numFmtId="4" fontId="28" fillId="9" borderId="1" xfId="0" applyNumberFormat="1" applyFont="1" applyFill="1" applyBorder="1" applyAlignment="1">
      <alignment horizontal="center" vertical="center"/>
    </xf>
    <xf numFmtId="173" fontId="16" fillId="9" borderId="1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168" fontId="16" fillId="9" borderId="1" xfId="5" applyNumberFormat="1" applyFont="1" applyFill="1" applyBorder="1" applyAlignment="1">
      <alignment horizontal="center" vertical="center" wrapText="1"/>
    </xf>
    <xf numFmtId="43" fontId="16" fillId="9" borderId="1" xfId="5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174" fontId="0" fillId="0" borderId="0" xfId="0" applyNumberFormat="1"/>
    <xf numFmtId="49" fontId="28" fillId="2" borderId="1" xfId="6" applyNumberFormat="1" applyFont="1" applyFill="1" applyBorder="1" applyAlignment="1">
      <alignment horizontal="center" vertical="center"/>
    </xf>
    <xf numFmtId="173" fontId="18" fillId="2" borderId="1" xfId="0" quotePrefix="1" applyNumberFormat="1" applyFont="1" applyFill="1" applyBorder="1" applyAlignment="1">
      <alignment horizontal="center" vertical="center" wrapText="1"/>
    </xf>
    <xf numFmtId="43" fontId="18" fillId="2" borderId="1" xfId="5" applyFont="1" applyFill="1" applyBorder="1" applyAlignment="1">
      <alignment horizontal="left" vertical="center" wrapText="1"/>
    </xf>
    <xf numFmtId="173" fontId="18" fillId="2" borderId="1" xfId="0" applyNumberFormat="1" applyFont="1" applyFill="1" applyBorder="1" applyAlignment="1">
      <alignment horizontal="center" vertical="center" wrapText="1"/>
    </xf>
    <xf numFmtId="49" fontId="47" fillId="9" borderId="1" xfId="6" applyNumberFormat="1" applyFont="1" applyFill="1" applyBorder="1" applyAlignment="1">
      <alignment horizontal="center" vertical="center"/>
    </xf>
    <xf numFmtId="49" fontId="48" fillId="9" borderId="1" xfId="0" applyNumberFormat="1" applyFont="1" applyFill="1" applyBorder="1" applyAlignment="1">
      <alignment horizontal="left" vertical="center" wrapText="1"/>
    </xf>
    <xf numFmtId="4" fontId="48" fillId="9" borderId="1" xfId="0" applyNumberFormat="1" applyFont="1" applyFill="1" applyBorder="1" applyAlignment="1">
      <alignment horizontal="center" vertical="center" wrapText="1"/>
    </xf>
    <xf numFmtId="4" fontId="48" fillId="9" borderId="1" xfId="0" applyNumberFormat="1" applyFont="1" applyFill="1" applyBorder="1" applyAlignment="1">
      <alignment horizontal="center" vertical="center"/>
    </xf>
    <xf numFmtId="173" fontId="49" fillId="9" borderId="1" xfId="0" applyNumberFormat="1" applyFont="1" applyFill="1" applyBorder="1" applyAlignment="1">
      <alignment horizontal="center" vertical="center" wrapText="1"/>
    </xf>
    <xf numFmtId="0" fontId="49" fillId="9" borderId="1" xfId="0" applyFont="1" applyFill="1" applyBorder="1" applyAlignment="1">
      <alignment horizontal="left" vertical="center" wrapText="1"/>
    </xf>
    <xf numFmtId="0" fontId="49" fillId="9" borderId="1" xfId="0" applyFont="1" applyFill="1" applyBorder="1" applyAlignment="1">
      <alignment horizontal="center" vertical="center" wrapText="1"/>
    </xf>
    <xf numFmtId="168" fontId="49" fillId="9" borderId="1" xfId="5" applyNumberFormat="1" applyFont="1" applyFill="1" applyBorder="1" applyAlignment="1">
      <alignment horizontal="center" vertical="center" wrapText="1"/>
    </xf>
    <xf numFmtId="43" fontId="49" fillId="9" borderId="1" xfId="5" applyFont="1" applyFill="1" applyBorder="1" applyAlignment="1">
      <alignment horizontal="center" vertical="center" wrapText="1"/>
    </xf>
    <xf numFmtId="0" fontId="50" fillId="9" borderId="1" xfId="0" applyFont="1" applyFill="1" applyBorder="1" applyAlignment="1">
      <alignment horizontal="center" vertical="center"/>
    </xf>
    <xf numFmtId="175" fontId="0" fillId="0" borderId="0" xfId="0" applyNumberFormat="1"/>
    <xf numFmtId="49" fontId="47" fillId="11" borderId="1" xfId="6" applyNumberFormat="1" applyFont="1" applyFill="1" applyBorder="1" applyAlignment="1">
      <alignment horizontal="center" vertical="center"/>
    </xf>
    <xf numFmtId="49" fontId="48" fillId="11" borderId="1" xfId="0" applyNumberFormat="1" applyFont="1" applyFill="1" applyBorder="1" applyAlignment="1">
      <alignment horizontal="left" vertical="center" wrapText="1"/>
    </xf>
    <xf numFmtId="4" fontId="48" fillId="11" borderId="1" xfId="0" applyNumberFormat="1" applyFont="1" applyFill="1" applyBorder="1" applyAlignment="1">
      <alignment horizontal="center" vertical="center" wrapText="1"/>
    </xf>
    <xf numFmtId="4" fontId="48" fillId="11" borderId="1" xfId="0" applyNumberFormat="1" applyFont="1" applyFill="1" applyBorder="1" applyAlignment="1">
      <alignment horizontal="center" vertical="center"/>
    </xf>
    <xf numFmtId="173" fontId="49" fillId="11" borderId="1" xfId="0" applyNumberFormat="1" applyFont="1" applyFill="1" applyBorder="1" applyAlignment="1">
      <alignment horizontal="center" vertical="center" wrapText="1"/>
    </xf>
    <xf numFmtId="0" fontId="49" fillId="11" borderId="1" xfId="0" applyFont="1" applyFill="1" applyBorder="1" applyAlignment="1">
      <alignment horizontal="left" vertical="center" wrapText="1"/>
    </xf>
    <xf numFmtId="0" fontId="49" fillId="11" borderId="1" xfId="0" applyFont="1" applyFill="1" applyBorder="1" applyAlignment="1">
      <alignment horizontal="center" vertical="center" wrapText="1"/>
    </xf>
    <xf numFmtId="168" fontId="49" fillId="11" borderId="1" xfId="5" applyNumberFormat="1" applyFont="1" applyFill="1" applyBorder="1" applyAlignment="1">
      <alignment horizontal="center" vertical="center" wrapText="1"/>
    </xf>
    <xf numFmtId="43" fontId="49" fillId="11" borderId="1" xfId="5" applyFont="1" applyFill="1" applyBorder="1" applyAlignment="1">
      <alignment horizontal="center" vertical="center" wrapText="1"/>
    </xf>
    <xf numFmtId="0" fontId="50" fillId="11" borderId="1" xfId="0" applyFont="1" applyFill="1" applyBorder="1" applyAlignment="1">
      <alignment horizontal="center" vertical="center"/>
    </xf>
    <xf numFmtId="168" fontId="51" fillId="0" borderId="0" xfId="5" applyNumberFormat="1" applyFont="1" applyAlignment="1">
      <alignment horizontal="center" vertical="center" wrapText="1"/>
    </xf>
    <xf numFmtId="43" fontId="51" fillId="0" borderId="0" xfId="5" applyFont="1" applyAlignment="1">
      <alignment horizontal="center" vertical="center" wrapText="1"/>
    </xf>
    <xf numFmtId="0" fontId="51" fillId="0" borderId="0" xfId="0" applyFont="1"/>
    <xf numFmtId="168" fontId="36" fillId="0" borderId="0" xfId="5" applyNumberFormat="1" applyFont="1" applyAlignment="1">
      <alignment horizontal="center" vertical="center" wrapText="1"/>
    </xf>
    <xf numFmtId="43" fontId="36" fillId="0" borderId="0" xfId="5" applyFont="1" applyAlignment="1">
      <alignment horizontal="center" vertical="center" wrapText="1"/>
    </xf>
    <xf numFmtId="176" fontId="36" fillId="0" borderId="0" xfId="5" applyNumberFormat="1" applyFont="1" applyAlignment="1">
      <alignment horizontal="center" vertical="center" wrapText="1"/>
    </xf>
    <xf numFmtId="168" fontId="36" fillId="0" borderId="0" xfId="5" applyNumberFormat="1" applyFont="1" applyAlignment="1">
      <alignment horizontal="center" vertical="center"/>
    </xf>
    <xf numFmtId="43" fontId="36" fillId="0" borderId="0" xfId="5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8" fontId="0" fillId="0" borderId="0" xfId="5" applyNumberFormat="1" applyFont="1" applyAlignment="1">
      <alignment horizontal="center" vertical="center"/>
    </xf>
    <xf numFmtId="43" fontId="0" fillId="0" borderId="0" xfId="5" applyFont="1" applyAlignment="1">
      <alignment horizontal="center" vertical="center"/>
    </xf>
    <xf numFmtId="164" fontId="3" fillId="2" borderId="1" xfId="4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/>
    </xf>
    <xf numFmtId="171" fontId="0" fillId="2" borderId="0" xfId="0" applyNumberFormat="1" applyFont="1" applyFill="1"/>
    <xf numFmtId="0" fontId="0" fillId="2" borderId="1" xfId="0" applyFont="1" applyFill="1" applyBorder="1"/>
    <xf numFmtId="4" fontId="12" fillId="2" borderId="1" xfId="0" applyNumberFormat="1" applyFont="1" applyFill="1" applyBorder="1" applyAlignment="1">
      <alignment vertical="center" wrapText="1"/>
    </xf>
    <xf numFmtId="0" fontId="12" fillId="2" borderId="1" xfId="2" applyFont="1" applyFill="1" applyBorder="1" applyAlignment="1">
      <alignment horizontal="center" vertical="center" wrapText="1"/>
    </xf>
    <xf numFmtId="171" fontId="30" fillId="2" borderId="0" xfId="0" applyNumberFormat="1" applyFont="1" applyFill="1" applyAlignment="1">
      <alignment horizontal="left"/>
    </xf>
    <xf numFmtId="164" fontId="0" fillId="0" borderId="7" xfId="4" applyFont="1" applyBorder="1" applyAlignment="1">
      <alignment horizontal="center" vertical="center"/>
    </xf>
    <xf numFmtId="164" fontId="0" fillId="0" borderId="7" xfId="4" applyFont="1" applyBorder="1" applyAlignment="1">
      <alignment vertical="center"/>
    </xf>
    <xf numFmtId="164" fontId="0" fillId="0" borderId="7" xfId="4" applyFont="1" applyBorder="1" applyAlignment="1">
      <alignment horizontal="right" vertical="center"/>
    </xf>
    <xf numFmtId="164" fontId="12" fillId="0" borderId="1" xfId="4" applyFont="1" applyBorder="1" applyAlignment="1">
      <alignment horizontal="center" vertical="center" wrapText="1"/>
    </xf>
    <xf numFmtId="164" fontId="12" fillId="0" borderId="1" xfId="4" applyFont="1" applyBorder="1" applyAlignment="1">
      <alignment horizontal="left" vertical="center" wrapText="1"/>
    </xf>
    <xf numFmtId="164" fontId="12" fillId="0" borderId="1" xfId="4" applyFont="1" applyFill="1" applyBorder="1" applyAlignment="1">
      <alignment horizontal="center" vertical="center"/>
    </xf>
    <xf numFmtId="164" fontId="0" fillId="0" borderId="1" xfId="4" applyFont="1" applyBorder="1" applyAlignment="1">
      <alignment horizontal="center" vertical="center"/>
    </xf>
    <xf numFmtId="164" fontId="7" fillId="0" borderId="1" xfId="4" applyFont="1" applyBorder="1" applyAlignment="1">
      <alignment horizontal="center" vertical="center" wrapText="1"/>
    </xf>
    <xf numFmtId="164" fontId="7" fillId="0" borderId="1" xfId="4" applyFont="1" applyBorder="1" applyAlignment="1">
      <alignment horizontal="left" vertical="center" wrapText="1"/>
    </xf>
    <xf numFmtId="164" fontId="46" fillId="0" borderId="1" xfId="4" applyFont="1" applyBorder="1" applyAlignment="1">
      <alignment horizontal="center" vertical="center"/>
    </xf>
    <xf numFmtId="164" fontId="7" fillId="0" borderId="1" xfId="4" applyFont="1" applyFill="1" applyBorder="1" applyAlignment="1">
      <alignment horizontal="center" vertical="center"/>
    </xf>
    <xf numFmtId="164" fontId="26" fillId="2" borderId="1" xfId="4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" fontId="9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13" fillId="0" borderId="2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right" vertical="center" wrapText="1"/>
    </xf>
    <xf numFmtId="0" fontId="13" fillId="0" borderId="4" xfId="0" applyFont="1" applyBorder="1" applyAlignment="1">
      <alignment horizontal="right" vertical="center" wrapText="1"/>
    </xf>
    <xf numFmtId="0" fontId="13" fillId="3" borderId="1" xfId="0" applyFont="1" applyFill="1" applyBorder="1" applyAlignment="1">
      <alignment horizontal="right" vertical="center"/>
    </xf>
    <xf numFmtId="0" fontId="38" fillId="0" borderId="0" xfId="0" applyFont="1" applyAlignment="1">
      <alignment horizontal="center" vertical="top" wrapText="1"/>
    </xf>
    <xf numFmtId="4" fontId="32" fillId="0" borderId="0" xfId="0" applyNumberFormat="1" applyFont="1" applyAlignment="1">
      <alignment horizontal="center" vertical="top" wrapText="1"/>
    </xf>
    <xf numFmtId="4" fontId="32" fillId="0" borderId="5" xfId="0" applyNumberFormat="1" applyFont="1" applyBorder="1" applyAlignment="1">
      <alignment horizontal="center" vertical="top" wrapText="1"/>
    </xf>
    <xf numFmtId="0" fontId="34" fillId="5" borderId="1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51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8" fillId="0" borderId="0" xfId="0" applyFont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top" wrapText="1"/>
    </xf>
    <xf numFmtId="0" fontId="39" fillId="7" borderId="1" xfId="0" applyFont="1" applyFill="1" applyBorder="1" applyAlignment="1">
      <alignment horizontal="center" vertical="top" wrapText="1"/>
    </xf>
    <xf numFmtId="0" fontId="51" fillId="0" borderId="9" xfId="0" applyFont="1" applyBorder="1" applyAlignment="1">
      <alignment horizontal="left" vertical="top" wrapText="1"/>
    </xf>
    <xf numFmtId="0" fontId="40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/>
    </xf>
    <xf numFmtId="49" fontId="28" fillId="10" borderId="8" xfId="6" applyNumberFormat="1" applyFont="1" applyFill="1" applyBorder="1" applyAlignment="1">
      <alignment horizontal="center" vertical="center"/>
    </xf>
    <xf numFmtId="49" fontId="28" fillId="10" borderId="9" xfId="6" applyNumberFormat="1" applyFont="1" applyFill="1" applyBorder="1" applyAlignment="1">
      <alignment horizontal="center" vertical="center"/>
    </xf>
    <xf numFmtId="49" fontId="28" fillId="10" borderId="10" xfId="6" applyNumberFormat="1" applyFont="1" applyFill="1" applyBorder="1" applyAlignment="1">
      <alignment horizontal="center" vertical="center"/>
    </xf>
    <xf numFmtId="49" fontId="28" fillId="10" borderId="11" xfId="6" applyNumberFormat="1" applyFont="1" applyFill="1" applyBorder="1" applyAlignment="1">
      <alignment horizontal="center" vertical="center"/>
    </xf>
    <xf numFmtId="49" fontId="28" fillId="10" borderId="5" xfId="6" applyNumberFormat="1" applyFont="1" applyFill="1" applyBorder="1" applyAlignment="1">
      <alignment horizontal="center" vertical="center"/>
    </xf>
    <xf numFmtId="49" fontId="28" fillId="10" borderId="12" xfId="6" applyNumberFormat="1" applyFont="1" applyFill="1" applyBorder="1" applyAlignment="1">
      <alignment horizontal="center" vertical="center"/>
    </xf>
    <xf numFmtId="173" fontId="16" fillId="7" borderId="1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/>
    </xf>
    <xf numFmtId="176" fontId="36" fillId="2" borderId="0" xfId="5" applyNumberFormat="1" applyFont="1" applyFill="1" applyAlignment="1">
      <alignment horizontal="center" vertical="center" wrapText="1"/>
    </xf>
    <xf numFmtId="0" fontId="52" fillId="2" borderId="0" xfId="0" applyFont="1" applyFill="1"/>
  </cellXfs>
  <cellStyles count="7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5" xfId="3" xr:uid="{00000000-0005-0000-0000-000003000000}"/>
    <cellStyle name="Финансовый" xfId="4" builtinId="3"/>
    <cellStyle name="Финансовый 2" xfId="5" xr:uid="{AD722E0D-BCDE-4D3C-A2FF-06207CF0AEA9}"/>
    <cellStyle name="Финансовый 3" xfId="6" xr:uid="{29517C84-C3AC-4334-888F-7308DB26A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K39"/>
  <sheetViews>
    <sheetView view="pageBreakPreview" topLeftCell="A13" zoomScale="70" zoomScaleNormal="94" zoomScaleSheetLayoutView="70" workbookViewId="0">
      <selection activeCell="P37" sqref="P37"/>
    </sheetView>
  </sheetViews>
  <sheetFormatPr defaultColWidth="9.109375" defaultRowHeight="13.8" x14ac:dyDescent="0.3"/>
  <cols>
    <col min="1" max="1" width="7.33203125" style="7" customWidth="1"/>
    <col min="2" max="2" width="54.44140625" style="10" customWidth="1"/>
    <col min="3" max="3" width="9.77734375" style="7" customWidth="1"/>
    <col min="4" max="4" width="14.5546875" style="11" customWidth="1"/>
    <col min="5" max="5" width="28.21875" style="7" customWidth="1"/>
    <col min="6" max="6" width="27.109375" style="9" customWidth="1"/>
    <col min="7" max="16384" width="9.109375" style="7"/>
  </cols>
  <sheetData>
    <row r="1" spans="1:6" x14ac:dyDescent="0.3">
      <c r="A1" s="1"/>
      <c r="B1" s="2"/>
      <c r="C1" s="3"/>
      <c r="D1" s="4"/>
      <c r="E1" s="5"/>
      <c r="F1" s="6"/>
    </row>
    <row r="2" spans="1:6" s="12" customFormat="1" x14ac:dyDescent="0.25">
      <c r="A2" s="35" t="s">
        <v>15</v>
      </c>
      <c r="E2" s="13"/>
    </row>
    <row r="3" spans="1:6" s="12" customFormat="1" x14ac:dyDescent="0.25">
      <c r="A3" s="35" t="s">
        <v>16</v>
      </c>
      <c r="E3" s="13"/>
    </row>
    <row r="4" spans="1:6" s="12" customFormat="1" x14ac:dyDescent="0.25">
      <c r="A4" s="35" t="s">
        <v>17</v>
      </c>
      <c r="E4" s="13"/>
    </row>
    <row r="5" spans="1:6" s="12" customFormat="1" x14ac:dyDescent="0.25">
      <c r="A5" s="35" t="s">
        <v>18</v>
      </c>
      <c r="E5" s="13"/>
    </row>
    <row r="6" spans="1:6" s="12" customFormat="1" x14ac:dyDescent="0.25">
      <c r="A6" s="35" t="s">
        <v>19</v>
      </c>
      <c r="E6" s="13"/>
    </row>
    <row r="7" spans="1:6" s="30" customFormat="1" x14ac:dyDescent="0.25">
      <c r="A7" s="35" t="s">
        <v>20</v>
      </c>
      <c r="B7" s="29"/>
      <c r="E7" s="29"/>
    </row>
    <row r="8" spans="1:6" s="12" customFormat="1" ht="30.6" customHeight="1" x14ac:dyDescent="0.25">
      <c r="A8" s="229" t="s">
        <v>14</v>
      </c>
      <c r="B8" s="229"/>
      <c r="C8" s="229"/>
      <c r="D8" s="229"/>
      <c r="E8" s="229"/>
      <c r="F8" s="229"/>
    </row>
    <row r="9" spans="1:6" s="21" customFormat="1" ht="21.6" customHeight="1" x14ac:dyDescent="0.25">
      <c r="A9" s="230" t="s">
        <v>22</v>
      </c>
      <c r="B9" s="230"/>
      <c r="C9" s="230"/>
      <c r="D9" s="230"/>
      <c r="E9" s="230"/>
      <c r="F9" s="230"/>
    </row>
    <row r="10" spans="1:6" s="12" customFormat="1" x14ac:dyDescent="0.25">
      <c r="A10" s="35" t="s">
        <v>21</v>
      </c>
      <c r="E10" s="13"/>
    </row>
    <row r="11" spans="1:6" x14ac:dyDescent="0.3">
      <c r="A11" s="36"/>
      <c r="B11" s="14"/>
      <c r="C11" s="15"/>
      <c r="D11" s="16"/>
      <c r="E11" s="17"/>
      <c r="F11" s="18"/>
    </row>
    <row r="12" spans="1:6" s="12" customFormat="1" x14ac:dyDescent="0.25">
      <c r="A12" s="231" t="s">
        <v>56</v>
      </c>
      <c r="B12" s="231"/>
      <c r="C12" s="231"/>
      <c r="D12" s="231"/>
      <c r="E12" s="231"/>
      <c r="F12" s="231"/>
    </row>
    <row r="13" spans="1:6" s="12" customFormat="1" x14ac:dyDescent="0.25">
      <c r="A13" s="231" t="s">
        <v>9</v>
      </c>
      <c r="B13" s="231"/>
      <c r="C13" s="231"/>
      <c r="D13" s="231"/>
      <c r="E13" s="231"/>
      <c r="F13" s="231"/>
    </row>
    <row r="14" spans="1:6" s="12" customFormat="1" x14ac:dyDescent="0.25">
      <c r="A14" s="232" t="s">
        <v>28</v>
      </c>
      <c r="B14" s="232"/>
      <c r="C14" s="232"/>
      <c r="D14" s="232"/>
      <c r="E14" s="232"/>
      <c r="F14" s="232"/>
    </row>
    <row r="15" spans="1:6" ht="15.6" customHeight="1" x14ac:dyDescent="0.3">
      <c r="A15" s="37"/>
      <c r="B15" s="19"/>
      <c r="C15" s="19"/>
      <c r="D15" s="19"/>
      <c r="E15" s="19"/>
      <c r="F15" s="19"/>
    </row>
    <row r="16" spans="1:6" s="8" customFormat="1" ht="47.4" x14ac:dyDescent="0.3">
      <c r="A16" s="38" t="s">
        <v>0</v>
      </c>
      <c r="B16" s="25" t="s">
        <v>1</v>
      </c>
      <c r="C16" s="26" t="s">
        <v>10</v>
      </c>
      <c r="D16" s="27" t="s">
        <v>2</v>
      </c>
      <c r="E16" s="25" t="s">
        <v>3</v>
      </c>
      <c r="F16" s="24" t="s">
        <v>4</v>
      </c>
    </row>
    <row r="17" spans="1:11" s="34" customFormat="1" ht="21.6" customHeight="1" x14ac:dyDescent="0.25">
      <c r="A17" s="58" t="s">
        <v>26</v>
      </c>
      <c r="B17" s="42" t="s">
        <v>27</v>
      </c>
      <c r="C17" s="59"/>
      <c r="D17" s="43"/>
      <c r="E17" s="60"/>
      <c r="F17" s="57"/>
    </row>
    <row r="18" spans="1:11" s="44" customFormat="1" ht="27.6" customHeight="1" x14ac:dyDescent="0.3">
      <c r="A18" s="49"/>
      <c r="B18" s="50" t="s">
        <v>33</v>
      </c>
      <c r="C18" s="51"/>
      <c r="D18" s="52"/>
      <c r="E18" s="52"/>
      <c r="F18" s="67">
        <f>SUM(F19:F20)</f>
        <v>51750</v>
      </c>
    </row>
    <row r="19" spans="1:11" s="44" customFormat="1" ht="30" customHeight="1" x14ac:dyDescent="0.3">
      <c r="A19" s="48" t="s">
        <v>34</v>
      </c>
      <c r="B19" s="70" t="s">
        <v>35</v>
      </c>
      <c r="C19" s="45" t="s">
        <v>30</v>
      </c>
      <c r="D19" s="46">
        <v>69</v>
      </c>
      <c r="E19" s="41">
        <v>100</v>
      </c>
      <c r="F19" s="47">
        <f t="shared" ref="F19:F20" si="0">D19*E19</f>
        <v>6900</v>
      </c>
    </row>
    <row r="20" spans="1:11" s="44" customFormat="1" ht="30" customHeight="1" x14ac:dyDescent="0.3">
      <c r="A20" s="48" t="s">
        <v>36</v>
      </c>
      <c r="B20" s="70" t="s">
        <v>37</v>
      </c>
      <c r="C20" s="45" t="s">
        <v>30</v>
      </c>
      <c r="D20" s="46">
        <v>69</v>
      </c>
      <c r="E20" s="41">
        <v>650</v>
      </c>
      <c r="F20" s="47">
        <f t="shared" si="0"/>
        <v>44850</v>
      </c>
      <c r="G20" s="34"/>
      <c r="H20" s="34"/>
    </row>
    <row r="21" spans="1:11" s="34" customFormat="1" ht="23.4" customHeight="1" x14ac:dyDescent="0.3">
      <c r="A21" s="53" t="s">
        <v>25</v>
      </c>
      <c r="B21" s="54" t="s">
        <v>31</v>
      </c>
      <c r="C21" s="55"/>
      <c r="D21" s="43"/>
      <c r="E21" s="56"/>
      <c r="F21" s="68">
        <f>SUM(F22:F29)</f>
        <v>65379.768333333348</v>
      </c>
    </row>
    <row r="22" spans="1:11" s="62" customFormat="1" ht="41.4" customHeight="1" x14ac:dyDescent="0.3">
      <c r="A22" s="63" t="s">
        <v>32</v>
      </c>
      <c r="B22" s="64" t="s">
        <v>39</v>
      </c>
      <c r="C22" s="65" t="s">
        <v>38</v>
      </c>
      <c r="D22" s="71">
        <v>4.12</v>
      </c>
      <c r="E22" s="66"/>
      <c r="F22" s="41">
        <f>E22*D22</f>
        <v>0</v>
      </c>
    </row>
    <row r="23" spans="1:11" s="62" customFormat="1" ht="25.8" customHeight="1" x14ac:dyDescent="0.3">
      <c r="A23" s="63" t="s">
        <v>45</v>
      </c>
      <c r="B23" s="64" t="s">
        <v>40</v>
      </c>
      <c r="C23" s="65" t="s">
        <v>49</v>
      </c>
      <c r="D23" s="69">
        <v>14</v>
      </c>
      <c r="E23" s="66">
        <f>216.67/1.2</f>
        <v>180.55833333333334</v>
      </c>
      <c r="F23" s="41">
        <f t="shared" ref="F23:F29" si="1">E23*D23</f>
        <v>2527.8166666666666</v>
      </c>
    </row>
    <row r="24" spans="1:11" s="62" customFormat="1" ht="25.8" customHeight="1" x14ac:dyDescent="0.3">
      <c r="A24" s="63" t="s">
        <v>46</v>
      </c>
      <c r="B24" s="64" t="s">
        <v>41</v>
      </c>
      <c r="C24" s="65" t="s">
        <v>49</v>
      </c>
      <c r="D24" s="69">
        <v>75</v>
      </c>
      <c r="E24" s="66">
        <f>243.32/1.2</f>
        <v>202.76666666666668</v>
      </c>
      <c r="F24" s="41">
        <f t="shared" si="1"/>
        <v>15207.500000000002</v>
      </c>
    </row>
    <row r="25" spans="1:11" s="62" customFormat="1" ht="35.4" customHeight="1" x14ac:dyDescent="0.3">
      <c r="A25" s="63" t="s">
        <v>47</v>
      </c>
      <c r="B25" s="64" t="s">
        <v>42</v>
      </c>
      <c r="C25" s="65" t="s">
        <v>50</v>
      </c>
      <c r="D25" s="69">
        <v>1.2</v>
      </c>
      <c r="E25" s="66">
        <f>317.31/1.2</f>
        <v>264.42500000000001</v>
      </c>
      <c r="F25" s="41">
        <f t="shared" si="1"/>
        <v>317.31</v>
      </c>
    </row>
    <row r="26" spans="1:11" s="62" customFormat="1" ht="25.8" customHeight="1" x14ac:dyDescent="0.3">
      <c r="A26" s="63" t="s">
        <v>48</v>
      </c>
      <c r="B26" s="64" t="s">
        <v>43</v>
      </c>
      <c r="C26" s="65" t="s">
        <v>38</v>
      </c>
      <c r="D26" s="69">
        <v>1</v>
      </c>
      <c r="E26" s="66">
        <f>453.97/1.2</f>
        <v>378.30833333333339</v>
      </c>
      <c r="F26" s="41">
        <f t="shared" si="1"/>
        <v>378.30833333333339</v>
      </c>
    </row>
    <row r="27" spans="1:11" s="62" customFormat="1" ht="37.799999999999997" customHeight="1" x14ac:dyDescent="0.3">
      <c r="A27" s="63" t="s">
        <v>53</v>
      </c>
      <c r="B27" s="64" t="s">
        <v>44</v>
      </c>
      <c r="C27" s="65" t="s">
        <v>49</v>
      </c>
      <c r="D27" s="69">
        <v>100</v>
      </c>
      <c r="E27" s="66">
        <f>549.19/1.2</f>
        <v>457.65833333333342</v>
      </c>
      <c r="F27" s="41">
        <f t="shared" si="1"/>
        <v>45765.833333333343</v>
      </c>
    </row>
    <row r="28" spans="1:11" s="62" customFormat="1" ht="28.2" customHeight="1" x14ac:dyDescent="0.3">
      <c r="A28" s="63" t="s">
        <v>54</v>
      </c>
      <c r="B28" s="64" t="s">
        <v>52</v>
      </c>
      <c r="C28" s="65" t="s">
        <v>49</v>
      </c>
      <c r="D28" s="69">
        <v>3500</v>
      </c>
      <c r="E28" s="66">
        <v>0.14599999999999999</v>
      </c>
      <c r="F28" s="41">
        <f t="shared" si="1"/>
        <v>510.99999999999994</v>
      </c>
    </row>
    <row r="29" spans="1:11" s="62" customFormat="1" ht="25.8" customHeight="1" x14ac:dyDescent="0.3">
      <c r="A29" s="63" t="s">
        <v>55</v>
      </c>
      <c r="B29" s="64" t="s">
        <v>51</v>
      </c>
      <c r="C29" s="65" t="s">
        <v>49</v>
      </c>
      <c r="D29" s="69">
        <v>3500</v>
      </c>
      <c r="E29" s="66">
        <v>0.192</v>
      </c>
      <c r="F29" s="41">
        <f t="shared" si="1"/>
        <v>672</v>
      </c>
      <c r="K29" s="62">
        <f>3*1.2</f>
        <v>3.5999999999999996</v>
      </c>
    </row>
    <row r="30" spans="1:11" ht="19.2" customHeight="1" x14ac:dyDescent="0.3">
      <c r="A30" s="238" t="s">
        <v>5</v>
      </c>
      <c r="B30" s="239"/>
      <c r="C30" s="239"/>
      <c r="D30" s="239"/>
      <c r="E30" s="240"/>
      <c r="F30" s="31">
        <f>F18</f>
        <v>51750</v>
      </c>
      <c r="K30" s="7">
        <f>609/K29</f>
        <v>169.16666666666669</v>
      </c>
    </row>
    <row r="31" spans="1:11" ht="18" customHeight="1" x14ac:dyDescent="0.3">
      <c r="A31" s="39"/>
      <c r="B31" s="239" t="s">
        <v>12</v>
      </c>
      <c r="C31" s="239"/>
      <c r="D31" s="239"/>
      <c r="E31" s="240"/>
      <c r="F31" s="31">
        <f>F21</f>
        <v>65379.768333333348</v>
      </c>
    </row>
    <row r="32" spans="1:11" ht="18.600000000000001" customHeight="1" x14ac:dyDescent="0.3">
      <c r="A32" s="39"/>
      <c r="B32" s="239" t="s">
        <v>13</v>
      </c>
      <c r="C32" s="239"/>
      <c r="D32" s="239"/>
      <c r="E32" s="240"/>
      <c r="F32" s="31">
        <f>(F31+F30)</f>
        <v>117129.76833333334</v>
      </c>
    </row>
    <row r="33" spans="1:7" ht="17.399999999999999" customHeight="1" x14ac:dyDescent="0.3">
      <c r="A33" s="238" t="s">
        <v>11</v>
      </c>
      <c r="B33" s="239"/>
      <c r="C33" s="239"/>
      <c r="D33" s="239"/>
      <c r="E33" s="240"/>
      <c r="F33" s="31">
        <f>F32*0.2</f>
        <v>23425.953666666668</v>
      </c>
    </row>
    <row r="34" spans="1:7" s="32" customFormat="1" ht="22.2" customHeight="1" x14ac:dyDescent="0.3">
      <c r="A34" s="241" t="s">
        <v>6</v>
      </c>
      <c r="B34" s="241"/>
      <c r="C34" s="241"/>
      <c r="D34" s="241"/>
      <c r="E34" s="241"/>
      <c r="F34" s="33">
        <f>(F32+F33)</f>
        <v>140555.72200000001</v>
      </c>
      <c r="G34" s="61"/>
    </row>
    <row r="35" spans="1:7" ht="14.4" x14ac:dyDescent="0.3">
      <c r="A35" s="40"/>
      <c r="B35" s="20"/>
      <c r="C35" s="21"/>
      <c r="D35" s="22"/>
      <c r="E35" s="21"/>
      <c r="F35" s="23"/>
    </row>
    <row r="36" spans="1:7" ht="34.200000000000003" customHeight="1" x14ac:dyDescent="0.3">
      <c r="A36" s="40"/>
      <c r="B36" s="233" t="s">
        <v>7</v>
      </c>
      <c r="C36" s="234"/>
      <c r="D36" s="234"/>
      <c r="E36" s="235" t="s">
        <v>8</v>
      </c>
      <c r="F36" s="233"/>
    </row>
    <row r="37" spans="1:7" ht="64.5" customHeight="1" x14ac:dyDescent="0.3">
      <c r="A37" s="40"/>
      <c r="B37" s="233" t="s">
        <v>24</v>
      </c>
      <c r="C37" s="234"/>
      <c r="D37" s="234"/>
      <c r="E37" s="236" t="s">
        <v>23</v>
      </c>
      <c r="F37" s="237"/>
    </row>
    <row r="39" spans="1:7" ht="14.4" x14ac:dyDescent="0.3">
      <c r="B39" s="28" t="s">
        <v>29</v>
      </c>
      <c r="E39" s="7" t="str">
        <f>B39</f>
        <v xml:space="preserve">  "     "                                          2026 року </v>
      </c>
    </row>
  </sheetData>
  <mergeCells count="14">
    <mergeCell ref="B36:D36"/>
    <mergeCell ref="E36:F36"/>
    <mergeCell ref="B37:D37"/>
    <mergeCell ref="E37:F37"/>
    <mergeCell ref="A30:E30"/>
    <mergeCell ref="A34:E34"/>
    <mergeCell ref="A33:E33"/>
    <mergeCell ref="B31:E31"/>
    <mergeCell ref="B32:E32"/>
    <mergeCell ref="A8:F8"/>
    <mergeCell ref="A9:F9"/>
    <mergeCell ref="A12:F12"/>
    <mergeCell ref="A13:F13"/>
    <mergeCell ref="A14:F14"/>
  </mergeCells>
  <phoneticPr fontId="24" type="noConversion"/>
  <pageMargins left="0.25" right="0.25" top="0.75" bottom="0.75" header="0.3" footer="0.3"/>
  <pageSetup paperSize="9" scale="69" orientation="portrait" r:id="rId1"/>
  <rowBreaks count="1" manualBreakCount="1">
    <brk id="4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52A9-E64B-4674-8D7E-6EF43EC8337B}">
  <sheetPr>
    <tabColor rgb="FFFFFF00"/>
    <pageSetUpPr fitToPage="1"/>
  </sheetPr>
  <dimension ref="A1:K39"/>
  <sheetViews>
    <sheetView view="pageBreakPreview" topLeftCell="A11" zoomScale="115" zoomScaleNormal="94" zoomScaleSheetLayoutView="115" workbookViewId="0">
      <selection activeCell="C29" sqref="C29"/>
    </sheetView>
  </sheetViews>
  <sheetFormatPr defaultColWidth="9.109375" defaultRowHeight="13.8" x14ac:dyDescent="0.3"/>
  <cols>
    <col min="1" max="1" width="7.33203125" style="7" customWidth="1"/>
    <col min="2" max="2" width="54.44140625" style="10" customWidth="1"/>
    <col min="3" max="3" width="9.77734375" style="7" customWidth="1"/>
    <col min="4" max="4" width="14.5546875" style="11" customWidth="1"/>
    <col min="5" max="5" width="28.21875" style="7" customWidth="1"/>
    <col min="6" max="6" width="27.109375" style="9" customWidth="1"/>
    <col min="7" max="16384" width="9.109375" style="7"/>
  </cols>
  <sheetData>
    <row r="1" spans="1:6" x14ac:dyDescent="0.3">
      <c r="A1" s="1"/>
      <c r="B1" s="2"/>
      <c r="C1" s="3"/>
      <c r="D1" s="4"/>
      <c r="E1" s="5"/>
      <c r="F1" s="6"/>
    </row>
    <row r="2" spans="1:6" s="12" customFormat="1" x14ac:dyDescent="0.25">
      <c r="A2" s="35" t="s">
        <v>15</v>
      </c>
      <c r="E2" s="13"/>
    </row>
    <row r="3" spans="1:6" s="12" customFormat="1" x14ac:dyDescent="0.25">
      <c r="A3" s="35" t="s">
        <v>16</v>
      </c>
      <c r="E3" s="13"/>
    </row>
    <row r="4" spans="1:6" s="12" customFormat="1" x14ac:dyDescent="0.25">
      <c r="A4" s="35" t="s">
        <v>17</v>
      </c>
      <c r="E4" s="13"/>
    </row>
    <row r="5" spans="1:6" s="12" customFormat="1" x14ac:dyDescent="0.25">
      <c r="A5" s="35" t="s">
        <v>18</v>
      </c>
      <c r="E5" s="13"/>
    </row>
    <row r="6" spans="1:6" s="12" customFormat="1" x14ac:dyDescent="0.25">
      <c r="A6" s="35" t="s">
        <v>19</v>
      </c>
      <c r="E6" s="13"/>
    </row>
    <row r="7" spans="1:6" s="30" customFormat="1" x14ac:dyDescent="0.25">
      <c r="A7" s="35" t="s">
        <v>20</v>
      </c>
      <c r="B7" s="29"/>
      <c r="E7" s="29"/>
    </row>
    <row r="8" spans="1:6" s="12" customFormat="1" ht="30.6" customHeight="1" x14ac:dyDescent="0.25">
      <c r="A8" s="229" t="s">
        <v>14</v>
      </c>
      <c r="B8" s="229"/>
      <c r="C8" s="229"/>
      <c r="D8" s="229"/>
      <c r="E8" s="229"/>
      <c r="F8" s="229"/>
    </row>
    <row r="9" spans="1:6" s="21" customFormat="1" ht="21.6" customHeight="1" x14ac:dyDescent="0.25">
      <c r="A9" s="230" t="s">
        <v>22</v>
      </c>
      <c r="B9" s="230"/>
      <c r="C9" s="230"/>
      <c r="D9" s="230"/>
      <c r="E9" s="230"/>
      <c r="F9" s="230"/>
    </row>
    <row r="10" spans="1:6" s="12" customFormat="1" x14ac:dyDescent="0.25">
      <c r="A10" s="35" t="s">
        <v>21</v>
      </c>
      <c r="E10" s="13"/>
    </row>
    <row r="11" spans="1:6" x14ac:dyDescent="0.3">
      <c r="A11" s="36"/>
      <c r="B11" s="14"/>
      <c r="C11" s="15"/>
      <c r="D11" s="16"/>
      <c r="E11" s="17"/>
      <c r="F11" s="18"/>
    </row>
    <row r="12" spans="1:6" s="12" customFormat="1" x14ac:dyDescent="0.25">
      <c r="A12" s="231" t="s">
        <v>56</v>
      </c>
      <c r="B12" s="231"/>
      <c r="C12" s="231"/>
      <c r="D12" s="231"/>
      <c r="E12" s="231"/>
      <c r="F12" s="231"/>
    </row>
    <row r="13" spans="1:6" s="12" customFormat="1" x14ac:dyDescent="0.25">
      <c r="A13" s="231" t="s">
        <v>9</v>
      </c>
      <c r="B13" s="231"/>
      <c r="C13" s="231"/>
      <c r="D13" s="231"/>
      <c r="E13" s="231"/>
      <c r="F13" s="231"/>
    </row>
    <row r="14" spans="1:6" s="12" customFormat="1" x14ac:dyDescent="0.25">
      <c r="A14" s="232" t="s">
        <v>28</v>
      </c>
      <c r="B14" s="232"/>
      <c r="C14" s="232"/>
      <c r="D14" s="232"/>
      <c r="E14" s="232"/>
      <c r="F14" s="232"/>
    </row>
    <row r="15" spans="1:6" ht="15.6" customHeight="1" x14ac:dyDescent="0.3">
      <c r="A15" s="37"/>
      <c r="B15" s="19"/>
      <c r="C15" s="19"/>
      <c r="D15" s="19"/>
      <c r="E15" s="19"/>
      <c r="F15" s="19"/>
    </row>
    <row r="16" spans="1:6" s="8" customFormat="1" ht="47.4" x14ac:dyDescent="0.3">
      <c r="A16" s="38" t="s">
        <v>0</v>
      </c>
      <c r="B16" s="25" t="s">
        <v>1</v>
      </c>
      <c r="C16" s="26" t="s">
        <v>10</v>
      </c>
      <c r="D16" s="27" t="s">
        <v>2</v>
      </c>
      <c r="E16" s="25" t="s">
        <v>3</v>
      </c>
      <c r="F16" s="24" t="s">
        <v>4</v>
      </c>
    </row>
    <row r="17" spans="1:11" s="34" customFormat="1" ht="21.6" customHeight="1" x14ac:dyDescent="0.25">
      <c r="A17" s="58" t="s">
        <v>26</v>
      </c>
      <c r="B17" s="42" t="s">
        <v>27</v>
      </c>
      <c r="C17" s="59"/>
      <c r="D17" s="43"/>
      <c r="E17" s="60"/>
      <c r="F17" s="57"/>
    </row>
    <row r="18" spans="1:11" s="44" customFormat="1" ht="27.6" customHeight="1" x14ac:dyDescent="0.3">
      <c r="A18" s="49"/>
      <c r="B18" s="50" t="s">
        <v>33</v>
      </c>
      <c r="C18" s="51"/>
      <c r="D18" s="52"/>
      <c r="E18" s="52"/>
      <c r="F18" s="67">
        <f>SUM(F19:F20)</f>
        <v>51750</v>
      </c>
    </row>
    <row r="19" spans="1:11" s="44" customFormat="1" ht="30" customHeight="1" x14ac:dyDescent="0.3">
      <c r="A19" s="48" t="s">
        <v>34</v>
      </c>
      <c r="B19" s="70" t="s">
        <v>35</v>
      </c>
      <c r="C19" s="45" t="s">
        <v>30</v>
      </c>
      <c r="D19" s="46">
        <v>69</v>
      </c>
      <c r="E19" s="41">
        <v>100</v>
      </c>
      <c r="F19" s="47">
        <f t="shared" ref="F19:F20" si="0">D19*E19</f>
        <v>6900</v>
      </c>
    </row>
    <row r="20" spans="1:11" s="44" customFormat="1" ht="30" customHeight="1" x14ac:dyDescent="0.3">
      <c r="A20" s="48" t="s">
        <v>36</v>
      </c>
      <c r="B20" s="70" t="s">
        <v>37</v>
      </c>
      <c r="C20" s="45" t="s">
        <v>30</v>
      </c>
      <c r="D20" s="46">
        <v>69</v>
      </c>
      <c r="E20" s="41">
        <v>650</v>
      </c>
      <c r="F20" s="47">
        <f t="shared" si="0"/>
        <v>44850</v>
      </c>
      <c r="G20" s="34"/>
      <c r="H20" s="34"/>
    </row>
    <row r="21" spans="1:11" s="34" customFormat="1" ht="23.4" customHeight="1" x14ac:dyDescent="0.3">
      <c r="A21" s="53" t="s">
        <v>25</v>
      </c>
      <c r="B21" s="54" t="s">
        <v>31</v>
      </c>
      <c r="C21" s="55"/>
      <c r="D21" s="43"/>
      <c r="E21" s="56"/>
      <c r="F21" s="68">
        <f>SUM(F22:F29)</f>
        <v>56455.430833333347</v>
      </c>
    </row>
    <row r="22" spans="1:11" s="62" customFormat="1" ht="41.4" customHeight="1" x14ac:dyDescent="0.3">
      <c r="A22" s="63" t="s">
        <v>32</v>
      </c>
      <c r="B22" s="64" t="s">
        <v>39</v>
      </c>
      <c r="C22" s="65" t="s">
        <v>38</v>
      </c>
      <c r="D22" s="71">
        <v>4.12</v>
      </c>
      <c r="E22" s="66"/>
      <c r="F22" s="41">
        <f>E22*D22</f>
        <v>0</v>
      </c>
    </row>
    <row r="23" spans="1:11" s="62" customFormat="1" ht="25.8" customHeight="1" x14ac:dyDescent="0.3">
      <c r="A23" s="63" t="s">
        <v>45</v>
      </c>
      <c r="B23" s="64" t="s">
        <v>40</v>
      </c>
      <c r="C23" s="65" t="s">
        <v>49</v>
      </c>
      <c r="D23" s="69">
        <v>14</v>
      </c>
      <c r="E23" s="66">
        <f>216.67/1.2</f>
        <v>180.55833333333334</v>
      </c>
      <c r="F23" s="41">
        <f t="shared" ref="F23:F29" si="1">E23*D23</f>
        <v>2527.8166666666666</v>
      </c>
    </row>
    <row r="24" spans="1:11" s="62" customFormat="1" ht="25.8" customHeight="1" x14ac:dyDescent="0.3">
      <c r="A24" s="63" t="s">
        <v>46</v>
      </c>
      <c r="B24" s="64" t="s">
        <v>41</v>
      </c>
      <c r="C24" s="65" t="s">
        <v>49</v>
      </c>
      <c r="D24" s="69">
        <v>75</v>
      </c>
      <c r="E24" s="66">
        <f>243.32/1.2</f>
        <v>202.76666666666668</v>
      </c>
      <c r="F24" s="41">
        <f t="shared" si="1"/>
        <v>15207.500000000002</v>
      </c>
    </row>
    <row r="25" spans="1:11" s="62" customFormat="1" ht="35.4" customHeight="1" x14ac:dyDescent="0.3">
      <c r="A25" s="63" t="s">
        <v>47</v>
      </c>
      <c r="B25" s="64" t="s">
        <v>42</v>
      </c>
      <c r="C25" s="65" t="s">
        <v>50</v>
      </c>
      <c r="D25" s="69">
        <v>1.2</v>
      </c>
      <c r="E25" s="66">
        <f>317.31/1.2</f>
        <v>264.42500000000001</v>
      </c>
      <c r="F25" s="41">
        <f t="shared" si="1"/>
        <v>317.31</v>
      </c>
    </row>
    <row r="26" spans="1:11" s="62" customFormat="1" ht="25.8" customHeight="1" x14ac:dyDescent="0.3">
      <c r="A26" s="63" t="s">
        <v>48</v>
      </c>
      <c r="B26" s="64" t="s">
        <v>43</v>
      </c>
      <c r="C26" s="65" t="s">
        <v>38</v>
      </c>
      <c r="D26" s="69">
        <v>1</v>
      </c>
      <c r="E26" s="66">
        <f>453.97/1.2</f>
        <v>378.30833333333339</v>
      </c>
      <c r="F26" s="41">
        <f t="shared" si="1"/>
        <v>378.30833333333339</v>
      </c>
    </row>
    <row r="27" spans="1:11" s="62" customFormat="1" ht="37.799999999999997" customHeight="1" x14ac:dyDescent="0.3">
      <c r="A27" s="63" t="s">
        <v>53</v>
      </c>
      <c r="B27" s="64" t="s">
        <v>44</v>
      </c>
      <c r="C27" s="65" t="s">
        <v>49</v>
      </c>
      <c r="D27" s="69">
        <v>80.5</v>
      </c>
      <c r="E27" s="66">
        <f>549.19/1.2</f>
        <v>457.65833333333342</v>
      </c>
      <c r="F27" s="41">
        <f t="shared" si="1"/>
        <v>36841.495833333342</v>
      </c>
    </row>
    <row r="28" spans="1:11" s="62" customFormat="1" ht="28.2" customHeight="1" x14ac:dyDescent="0.3">
      <c r="A28" s="63" t="s">
        <v>54</v>
      </c>
      <c r="B28" s="64" t="s">
        <v>52</v>
      </c>
      <c r="C28" s="65" t="s">
        <v>49</v>
      </c>
      <c r="D28" s="69">
        <v>3500</v>
      </c>
      <c r="E28" s="66">
        <v>0.14599999999999999</v>
      </c>
      <c r="F28" s="41">
        <f t="shared" si="1"/>
        <v>510.99999999999994</v>
      </c>
    </row>
    <row r="29" spans="1:11" s="62" customFormat="1" ht="25.8" customHeight="1" x14ac:dyDescent="0.3">
      <c r="A29" s="63" t="s">
        <v>55</v>
      </c>
      <c r="B29" s="64" t="s">
        <v>51</v>
      </c>
      <c r="C29" s="65" t="s">
        <v>49</v>
      </c>
      <c r="D29" s="69">
        <v>3500</v>
      </c>
      <c r="E29" s="66">
        <v>0.192</v>
      </c>
      <c r="F29" s="41">
        <f t="shared" si="1"/>
        <v>672</v>
      </c>
      <c r="K29" s="62">
        <f>3*1.2</f>
        <v>3.5999999999999996</v>
      </c>
    </row>
    <row r="30" spans="1:11" ht="19.2" customHeight="1" x14ac:dyDescent="0.3">
      <c r="A30" s="238" t="s">
        <v>5</v>
      </c>
      <c r="B30" s="239"/>
      <c r="C30" s="239"/>
      <c r="D30" s="239"/>
      <c r="E30" s="240"/>
      <c r="F30" s="31">
        <f>F18</f>
        <v>51750</v>
      </c>
      <c r="K30" s="7">
        <f>609/K29</f>
        <v>169.16666666666669</v>
      </c>
    </row>
    <row r="31" spans="1:11" ht="18" customHeight="1" x14ac:dyDescent="0.3">
      <c r="A31" s="39"/>
      <c r="B31" s="239" t="s">
        <v>12</v>
      </c>
      <c r="C31" s="239"/>
      <c r="D31" s="239"/>
      <c r="E31" s="240"/>
      <c r="F31" s="31">
        <f>F21</f>
        <v>56455.430833333347</v>
      </c>
    </row>
    <row r="32" spans="1:11" ht="18.600000000000001" customHeight="1" x14ac:dyDescent="0.3">
      <c r="A32" s="39"/>
      <c r="B32" s="239" t="s">
        <v>13</v>
      </c>
      <c r="C32" s="239"/>
      <c r="D32" s="239"/>
      <c r="E32" s="240"/>
      <c r="F32" s="31">
        <f>(F31+F30)</f>
        <v>108205.43083333335</v>
      </c>
    </row>
    <row r="33" spans="1:7" ht="17.399999999999999" customHeight="1" x14ac:dyDescent="0.3">
      <c r="A33" s="238" t="s">
        <v>11</v>
      </c>
      <c r="B33" s="239"/>
      <c r="C33" s="239"/>
      <c r="D33" s="239"/>
      <c r="E33" s="240"/>
      <c r="F33" s="31">
        <f>F32*0.2</f>
        <v>21641.086166666671</v>
      </c>
    </row>
    <row r="34" spans="1:7" s="32" customFormat="1" ht="22.2" customHeight="1" x14ac:dyDescent="0.3">
      <c r="A34" s="241" t="s">
        <v>6</v>
      </c>
      <c r="B34" s="241"/>
      <c r="C34" s="241"/>
      <c r="D34" s="241"/>
      <c r="E34" s="241"/>
      <c r="F34" s="33">
        <f>(F32+F33)</f>
        <v>129846.51700000002</v>
      </c>
      <c r="G34" s="61"/>
    </row>
    <row r="35" spans="1:7" ht="14.4" x14ac:dyDescent="0.3">
      <c r="A35" s="40"/>
      <c r="B35" s="20"/>
      <c r="C35" s="21"/>
      <c r="D35" s="22"/>
      <c r="E35" s="21"/>
      <c r="F35" s="23"/>
    </row>
    <row r="36" spans="1:7" ht="34.200000000000003" customHeight="1" x14ac:dyDescent="0.3">
      <c r="A36" s="40"/>
      <c r="B36" s="233" t="s">
        <v>7</v>
      </c>
      <c r="C36" s="234"/>
      <c r="D36" s="234"/>
      <c r="E36" s="235" t="s">
        <v>8</v>
      </c>
      <c r="F36" s="233"/>
    </row>
    <row r="37" spans="1:7" ht="64.5" customHeight="1" x14ac:dyDescent="0.3">
      <c r="A37" s="40"/>
      <c r="B37" s="233" t="s">
        <v>24</v>
      </c>
      <c r="C37" s="234"/>
      <c r="D37" s="234"/>
      <c r="E37" s="236" t="s">
        <v>23</v>
      </c>
      <c r="F37" s="237"/>
    </row>
    <row r="39" spans="1:7" ht="14.4" x14ac:dyDescent="0.3">
      <c r="B39" s="28" t="s">
        <v>29</v>
      </c>
      <c r="E39" s="7" t="str">
        <f>B39</f>
        <v xml:space="preserve">  "     "                                          2026 року </v>
      </c>
    </row>
  </sheetData>
  <mergeCells count="14">
    <mergeCell ref="A30:E30"/>
    <mergeCell ref="A8:F8"/>
    <mergeCell ref="A9:F9"/>
    <mergeCell ref="A12:F12"/>
    <mergeCell ref="A13:F13"/>
    <mergeCell ref="A14:F14"/>
    <mergeCell ref="B37:D37"/>
    <mergeCell ref="E37:F37"/>
    <mergeCell ref="B31:E31"/>
    <mergeCell ref="B32:E32"/>
    <mergeCell ref="A33:E33"/>
    <mergeCell ref="A34:E34"/>
    <mergeCell ref="B36:D36"/>
    <mergeCell ref="E36:F36"/>
  </mergeCells>
  <pageMargins left="0.25" right="0.25" top="0.75" bottom="0.75" header="0.3" footer="0.3"/>
  <pageSetup paperSize="9" scale="69" orientation="portrait" r:id="rId1"/>
  <rowBreaks count="1" manualBreakCount="1">
    <brk id="41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3D82-222A-4DE5-BB62-32D7C0AD9092}">
  <sheetPr>
    <pageSetUpPr fitToPage="1"/>
  </sheetPr>
  <dimension ref="A1:O63"/>
  <sheetViews>
    <sheetView tabSelected="1" topLeftCell="A22" zoomScale="70" zoomScaleNormal="70" workbookViewId="0">
      <selection activeCell="B6" sqref="B6"/>
    </sheetView>
  </sheetViews>
  <sheetFormatPr defaultRowHeight="14.4" x14ac:dyDescent="0.3"/>
  <cols>
    <col min="1" max="1" width="9" style="205" customWidth="1"/>
    <col min="2" max="2" width="59.5546875" customWidth="1"/>
    <col min="3" max="3" width="11.88671875" style="205" customWidth="1"/>
    <col min="4" max="4" width="10.5546875" style="205" customWidth="1"/>
    <col min="5" max="5" width="13" style="205" customWidth="1"/>
    <col min="6" max="6" width="13.88671875" style="205" customWidth="1"/>
    <col min="7" max="7" width="14.6640625" style="206" customWidth="1"/>
    <col min="8" max="8" width="37.6640625" style="207" customWidth="1"/>
    <col min="9" max="9" width="11.6640625" style="206" customWidth="1"/>
    <col min="10" max="10" width="13.44140625" style="208" customWidth="1"/>
    <col min="11" max="11" width="15.44140625" style="209" customWidth="1"/>
    <col min="12" max="12" width="17.5546875" style="209" customWidth="1"/>
    <col min="13" max="13" width="25.21875" customWidth="1"/>
    <col min="14" max="14" width="14.5546875" customWidth="1"/>
    <col min="16" max="16" width="12.44140625" bestFit="1" customWidth="1"/>
  </cols>
  <sheetData>
    <row r="1" spans="1:15" ht="15.6" x14ac:dyDescent="0.3">
      <c r="A1" s="72"/>
      <c r="B1" s="73"/>
      <c r="C1" s="72"/>
      <c r="D1" s="74"/>
      <c r="E1" s="74"/>
      <c r="F1" s="74"/>
      <c r="G1" s="74"/>
      <c r="H1" s="243" t="s">
        <v>57</v>
      </c>
      <c r="I1" s="243"/>
      <c r="J1" s="243"/>
      <c r="K1" s="243"/>
      <c r="L1" s="243"/>
      <c r="M1" s="243"/>
      <c r="N1" s="75"/>
      <c r="O1" s="75"/>
    </row>
    <row r="2" spans="1:15" ht="15.6" x14ac:dyDescent="0.3">
      <c r="A2" s="72"/>
      <c r="B2" s="73"/>
      <c r="C2" s="72"/>
      <c r="D2" s="74"/>
      <c r="E2" s="74"/>
      <c r="F2" s="74"/>
      <c r="G2" s="74"/>
      <c r="H2" s="244"/>
      <c r="I2" s="244"/>
      <c r="J2" s="244"/>
      <c r="K2" s="244"/>
      <c r="L2" s="244"/>
      <c r="M2" s="244"/>
      <c r="N2" s="75"/>
      <c r="O2" s="75"/>
    </row>
    <row r="3" spans="1:15" ht="21" x14ac:dyDescent="0.3">
      <c r="A3" s="72"/>
      <c r="B3" s="77" t="s">
        <v>122</v>
      </c>
      <c r="C3" s="72"/>
      <c r="D3" s="74"/>
      <c r="E3" s="74"/>
      <c r="F3" s="74"/>
      <c r="G3" s="74"/>
      <c r="H3" s="78"/>
      <c r="I3" s="79"/>
      <c r="J3" s="80"/>
      <c r="K3" s="81"/>
      <c r="L3" s="81"/>
      <c r="M3" s="76"/>
      <c r="N3" s="75"/>
      <c r="O3" s="75"/>
    </row>
    <row r="4" spans="1:15" ht="42" x14ac:dyDescent="0.45">
      <c r="A4" s="72"/>
      <c r="B4" s="77" t="s">
        <v>123</v>
      </c>
      <c r="C4" s="72"/>
      <c r="D4" s="74"/>
      <c r="E4" s="74"/>
      <c r="F4" s="74"/>
      <c r="G4" s="74"/>
      <c r="H4" s="245" t="s">
        <v>58</v>
      </c>
      <c r="I4" s="245"/>
      <c r="J4" s="245"/>
      <c r="K4" s="245"/>
      <c r="L4" s="245"/>
      <c r="M4" s="245"/>
      <c r="N4" s="75"/>
      <c r="O4" s="75"/>
    </row>
    <row r="5" spans="1:15" ht="23.4" x14ac:dyDescent="0.45">
      <c r="A5" s="72"/>
      <c r="B5" s="77" t="s">
        <v>125</v>
      </c>
      <c r="C5" s="72"/>
      <c r="D5" s="74"/>
      <c r="E5" s="74"/>
      <c r="F5" s="74"/>
      <c r="G5" s="74"/>
      <c r="H5" s="82"/>
      <c r="I5" s="83"/>
      <c r="J5" s="84"/>
      <c r="K5" s="85"/>
      <c r="L5" s="85"/>
      <c r="M5" s="86"/>
      <c r="N5" s="75"/>
      <c r="O5" s="75"/>
    </row>
    <row r="6" spans="1:15" ht="21" x14ac:dyDescent="0.4">
      <c r="A6" s="72"/>
      <c r="B6" s="77" t="s">
        <v>124</v>
      </c>
      <c r="C6" s="72"/>
      <c r="D6" s="74"/>
      <c r="E6" s="74"/>
      <c r="F6" s="74"/>
      <c r="G6" s="74"/>
      <c r="H6" s="246" t="s">
        <v>59</v>
      </c>
      <c r="I6" s="246"/>
      <c r="J6" s="246"/>
      <c r="K6" s="246"/>
      <c r="L6" s="246"/>
      <c r="M6" s="246"/>
      <c r="N6" s="75"/>
      <c r="O6" s="75"/>
    </row>
    <row r="7" spans="1:15" ht="21" x14ac:dyDescent="0.3">
      <c r="A7" s="72"/>
      <c r="B7" s="77"/>
      <c r="C7" s="72"/>
      <c r="D7" s="74"/>
      <c r="E7" s="74"/>
      <c r="F7" s="74"/>
      <c r="G7" s="74"/>
      <c r="H7" s="87"/>
      <c r="I7" s="88"/>
      <c r="J7" s="89"/>
      <c r="K7" s="90"/>
      <c r="L7" s="90"/>
      <c r="M7" s="91"/>
      <c r="N7" s="75"/>
      <c r="O7" s="75"/>
    </row>
    <row r="8" spans="1:15" ht="21" x14ac:dyDescent="0.35">
      <c r="A8" s="72"/>
      <c r="B8" s="77"/>
      <c r="C8" s="72"/>
      <c r="D8" s="74"/>
      <c r="E8" s="74"/>
      <c r="F8" s="74"/>
      <c r="G8" s="74"/>
      <c r="H8" s="247" t="s">
        <v>60</v>
      </c>
      <c r="I8" s="247"/>
      <c r="J8" s="247"/>
      <c r="K8" s="247"/>
      <c r="L8" s="247"/>
      <c r="M8" s="247"/>
      <c r="N8" s="75"/>
      <c r="O8" s="75"/>
    </row>
    <row r="9" spans="1:15" ht="21" x14ac:dyDescent="0.3">
      <c r="A9" s="72"/>
      <c r="B9" s="77"/>
      <c r="C9" s="72"/>
      <c r="D9" s="74"/>
      <c r="E9" s="74"/>
      <c r="F9" s="74"/>
      <c r="G9" s="74"/>
      <c r="H9" s="92"/>
      <c r="I9" s="74"/>
      <c r="J9" s="93"/>
      <c r="K9" s="94"/>
      <c r="L9" s="94"/>
      <c r="N9" s="75"/>
      <c r="O9" s="75"/>
    </row>
    <row r="10" spans="1:15" ht="15.6" x14ac:dyDescent="0.3">
      <c r="A10" s="72"/>
      <c r="B10" s="72"/>
      <c r="C10" s="72"/>
      <c r="D10" s="74"/>
      <c r="E10" s="74"/>
      <c r="F10" s="74"/>
      <c r="G10" s="74"/>
      <c r="H10" s="92"/>
      <c r="I10" s="74"/>
      <c r="J10" s="93"/>
      <c r="K10" s="94"/>
      <c r="L10" s="94"/>
      <c r="N10" s="75"/>
      <c r="O10" s="75"/>
    </row>
    <row r="11" spans="1:15" ht="17.399999999999999" x14ac:dyDescent="0.3">
      <c r="A11" s="242" t="s">
        <v>61</v>
      </c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75"/>
      <c r="O11" s="75"/>
    </row>
    <row r="12" spans="1:15" ht="17.399999999999999" x14ac:dyDescent="0.3">
      <c r="A12" s="242" t="s">
        <v>62</v>
      </c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75"/>
      <c r="O12" s="75"/>
    </row>
    <row r="13" spans="1:15" ht="17.399999999999999" x14ac:dyDescent="0.3">
      <c r="A13" s="242" t="s">
        <v>63</v>
      </c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75"/>
      <c r="O13" s="75"/>
    </row>
    <row r="14" spans="1:15" ht="33.6" customHeight="1" x14ac:dyDescent="0.3">
      <c r="A14" s="250" t="s">
        <v>64</v>
      </c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</row>
    <row r="15" spans="1:15" ht="22.2" customHeight="1" x14ac:dyDescent="0.3">
      <c r="A15" s="242" t="s">
        <v>102</v>
      </c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</row>
    <row r="16" spans="1:15" ht="15.6" x14ac:dyDescent="0.3">
      <c r="A16" s="251" t="s">
        <v>65</v>
      </c>
      <c r="B16" s="251"/>
      <c r="C16" s="251"/>
      <c r="D16" s="251"/>
      <c r="E16" s="251"/>
      <c r="F16" s="251"/>
      <c r="G16" s="252" t="s">
        <v>66</v>
      </c>
      <c r="H16" s="252"/>
      <c r="I16" s="252"/>
      <c r="J16" s="252"/>
      <c r="K16" s="252"/>
      <c r="L16" s="252"/>
      <c r="M16" s="252"/>
    </row>
    <row r="17" spans="1:14" ht="15.6" x14ac:dyDescent="0.3">
      <c r="A17" s="254" t="s">
        <v>67</v>
      </c>
      <c r="B17" s="255" t="s">
        <v>68</v>
      </c>
      <c r="C17" s="254" t="s">
        <v>10</v>
      </c>
      <c r="D17" s="255" t="s">
        <v>69</v>
      </c>
      <c r="E17" s="254" t="s">
        <v>70</v>
      </c>
      <c r="F17" s="254" t="s">
        <v>71</v>
      </c>
      <c r="G17" s="96"/>
      <c r="H17" s="255" t="s">
        <v>72</v>
      </c>
      <c r="I17" s="255"/>
      <c r="J17" s="255"/>
      <c r="K17" s="255"/>
      <c r="L17" s="255"/>
      <c r="M17" s="254" t="s">
        <v>73</v>
      </c>
    </row>
    <row r="18" spans="1:14" ht="31.2" x14ac:dyDescent="0.3">
      <c r="A18" s="254"/>
      <c r="B18" s="255"/>
      <c r="C18" s="254"/>
      <c r="D18" s="255"/>
      <c r="E18" s="254"/>
      <c r="F18" s="254"/>
      <c r="G18" s="96" t="s">
        <v>74</v>
      </c>
      <c r="H18" s="96" t="s">
        <v>75</v>
      </c>
      <c r="I18" s="95" t="s">
        <v>76</v>
      </c>
      <c r="J18" s="97" t="s">
        <v>69</v>
      </c>
      <c r="K18" s="98" t="s">
        <v>70</v>
      </c>
      <c r="L18" s="98" t="s">
        <v>71</v>
      </c>
      <c r="M18" s="254"/>
    </row>
    <row r="19" spans="1:14" ht="15.6" x14ac:dyDescent="0.3">
      <c r="A19" s="99">
        <v>1</v>
      </c>
      <c r="B19" s="99">
        <v>2</v>
      </c>
      <c r="C19" s="99">
        <v>3</v>
      </c>
      <c r="D19" s="99">
        <v>4</v>
      </c>
      <c r="E19" s="99">
        <v>5</v>
      </c>
      <c r="F19" s="99">
        <v>6</v>
      </c>
      <c r="G19" s="100">
        <v>7</v>
      </c>
      <c r="H19" s="100">
        <v>8</v>
      </c>
      <c r="I19" s="100">
        <v>9</v>
      </c>
      <c r="J19" s="101">
        <v>10</v>
      </c>
      <c r="K19" s="101">
        <v>11</v>
      </c>
      <c r="L19" s="101">
        <v>12</v>
      </c>
      <c r="M19" s="100">
        <v>13</v>
      </c>
    </row>
    <row r="20" spans="1:14" ht="15.6" x14ac:dyDescent="0.3">
      <c r="A20" s="102" t="s">
        <v>26</v>
      </c>
      <c r="B20" s="103" t="s">
        <v>27</v>
      </c>
      <c r="C20" s="103"/>
      <c r="D20" s="104"/>
      <c r="E20" s="105"/>
      <c r="F20" s="57"/>
      <c r="G20" s="106"/>
      <c r="H20" s="107"/>
      <c r="I20" s="106"/>
      <c r="J20" s="108"/>
      <c r="K20" s="109"/>
      <c r="L20" s="110"/>
      <c r="M20" s="100"/>
    </row>
    <row r="21" spans="1:14" s="119" customFormat="1" ht="15.6" x14ac:dyDescent="0.3">
      <c r="A21" s="111"/>
      <c r="B21" s="112" t="s">
        <v>33</v>
      </c>
      <c r="C21" s="113"/>
      <c r="D21" s="114"/>
      <c r="E21" s="115"/>
      <c r="F21" s="116"/>
      <c r="G21" s="106"/>
      <c r="H21" s="107"/>
      <c r="I21" s="106"/>
      <c r="J21" s="108"/>
      <c r="K21" s="109"/>
      <c r="L21" s="110"/>
      <c r="M21" s="117"/>
      <c r="N21" s="118"/>
    </row>
    <row r="22" spans="1:14" s="131" customFormat="1" ht="15.6" x14ac:dyDescent="0.3">
      <c r="A22" s="120" t="s">
        <v>34</v>
      </c>
      <c r="B22" s="121" t="s">
        <v>103</v>
      </c>
      <c r="C22" s="122" t="s">
        <v>30</v>
      </c>
      <c r="D22" s="123">
        <v>120</v>
      </c>
      <c r="E22" s="124">
        <v>2922.8833333333337</v>
      </c>
      <c r="F22" s="125"/>
      <c r="G22" s="126"/>
      <c r="H22" s="121"/>
      <c r="I22" s="126"/>
      <c r="J22" s="127"/>
      <c r="K22" s="128"/>
      <c r="L22" s="110"/>
      <c r="M22" s="129"/>
      <c r="N22" s="130"/>
    </row>
    <row r="23" spans="1:14" s="131" customFormat="1" ht="15.6" x14ac:dyDescent="0.3">
      <c r="A23" s="120" t="s">
        <v>36</v>
      </c>
      <c r="B23" s="121" t="s">
        <v>35</v>
      </c>
      <c r="C23" s="122" t="s">
        <v>30</v>
      </c>
      <c r="D23" s="123">
        <v>70.2</v>
      </c>
      <c r="E23" s="124">
        <v>100</v>
      </c>
      <c r="F23" s="125"/>
      <c r="G23" s="126"/>
      <c r="H23" s="121"/>
      <c r="I23" s="126"/>
      <c r="J23" s="127"/>
      <c r="K23" s="128"/>
      <c r="L23" s="110"/>
      <c r="M23" s="129"/>
      <c r="N23" s="130"/>
    </row>
    <row r="24" spans="1:14" s="131" customFormat="1" ht="15.6" x14ac:dyDescent="0.3">
      <c r="A24" s="120"/>
      <c r="B24" s="121" t="s">
        <v>37</v>
      </c>
      <c r="C24" s="122" t="s">
        <v>30</v>
      </c>
      <c r="D24" s="123">
        <v>70.2</v>
      </c>
      <c r="E24" s="124">
        <v>650</v>
      </c>
      <c r="F24" s="132"/>
      <c r="G24" s="126"/>
      <c r="H24" s="121"/>
      <c r="I24" s="126"/>
      <c r="J24" s="127"/>
      <c r="K24" s="128"/>
      <c r="L24" s="110"/>
      <c r="M24" s="129"/>
      <c r="N24" s="130"/>
    </row>
    <row r="25" spans="1:14" s="131" customFormat="1" ht="15.6" x14ac:dyDescent="0.3">
      <c r="A25" s="133" t="s">
        <v>25</v>
      </c>
      <c r="B25" s="134" t="s">
        <v>31</v>
      </c>
      <c r="C25" s="135"/>
      <c r="D25" s="136"/>
      <c r="E25" s="137"/>
      <c r="F25" s="138"/>
      <c r="G25" s="139"/>
      <c r="H25" s="140"/>
      <c r="I25" s="139"/>
      <c r="J25" s="141"/>
      <c r="K25" s="142"/>
      <c r="L25" s="143">
        <f t="shared" ref="L25" si="0">K25*J25</f>
        <v>0</v>
      </c>
      <c r="M25" s="144"/>
      <c r="N25" s="130"/>
    </row>
    <row r="26" spans="1:14" s="154" customFormat="1" ht="27.6" x14ac:dyDescent="0.3">
      <c r="A26" s="145" t="s">
        <v>32</v>
      </c>
      <c r="B26" s="146" t="s">
        <v>104</v>
      </c>
      <c r="C26" s="147" t="s">
        <v>30</v>
      </c>
      <c r="D26" s="148">
        <v>120</v>
      </c>
      <c r="E26" s="149">
        <v>3569.7000000000003</v>
      </c>
      <c r="F26" s="150">
        <f>E26*D26</f>
        <v>428364.00000000006</v>
      </c>
      <c r="G26" s="217" t="s">
        <v>108</v>
      </c>
      <c r="H26" s="218" t="s">
        <v>104</v>
      </c>
      <c r="I26" s="218" t="s">
        <v>30</v>
      </c>
      <c r="J26" s="219">
        <v>120</v>
      </c>
      <c r="K26" s="219">
        <v>3237.8300289435601</v>
      </c>
      <c r="L26" s="228">
        <f>K26*J26</f>
        <v>388539.60347322724</v>
      </c>
      <c r="M26" s="211"/>
    </row>
    <row r="27" spans="1:14" s="119" customFormat="1" ht="22.2" customHeight="1" x14ac:dyDescent="0.3">
      <c r="A27" s="145" t="s">
        <v>45</v>
      </c>
      <c r="B27" s="146" t="s">
        <v>105</v>
      </c>
      <c r="C27" s="147" t="s">
        <v>49</v>
      </c>
      <c r="D27" s="148">
        <v>100</v>
      </c>
      <c r="E27" s="210">
        <v>0.495</v>
      </c>
      <c r="F27" s="150">
        <f t="shared" ref="F27:F36" si="1">E27*D27</f>
        <v>49.5</v>
      </c>
      <c r="G27" s="217" t="s">
        <v>109</v>
      </c>
      <c r="H27" s="218" t="s">
        <v>110</v>
      </c>
      <c r="I27" s="217" t="s">
        <v>49</v>
      </c>
      <c r="J27" s="219">
        <v>100</v>
      </c>
      <c r="K27" s="219">
        <v>0.44500000000000001</v>
      </c>
      <c r="L27" s="228">
        <f t="shared" ref="L27:L36" si="2">K27*J27</f>
        <v>44.5</v>
      </c>
      <c r="M27" s="211"/>
      <c r="N27" s="212"/>
    </row>
    <row r="28" spans="1:14" s="119" customFormat="1" ht="22.2" customHeight="1" x14ac:dyDescent="0.3">
      <c r="A28" s="213" t="s">
        <v>46</v>
      </c>
      <c r="B28" s="213" t="s">
        <v>39</v>
      </c>
      <c r="C28" s="147" t="s">
        <v>38</v>
      </c>
      <c r="D28" s="148">
        <v>4.05</v>
      </c>
      <c r="E28" s="210"/>
      <c r="F28" s="150">
        <f t="shared" si="1"/>
        <v>0</v>
      </c>
      <c r="G28" s="220"/>
      <c r="H28" s="221"/>
      <c r="I28" s="220"/>
      <c r="J28" s="222"/>
      <c r="K28" s="222"/>
      <c r="L28" s="228">
        <f t="shared" si="2"/>
        <v>0</v>
      </c>
      <c r="M28" s="211" t="s">
        <v>111</v>
      </c>
      <c r="N28" s="118"/>
    </row>
    <row r="29" spans="1:14" s="119" customFormat="1" ht="29.4" customHeight="1" x14ac:dyDescent="0.3">
      <c r="A29" s="157" t="s">
        <v>47</v>
      </c>
      <c r="B29" s="214" t="s">
        <v>40</v>
      </c>
      <c r="C29" s="215" t="s">
        <v>49</v>
      </c>
      <c r="D29" s="158">
        <v>14</v>
      </c>
      <c r="E29" s="159">
        <v>180.55833333333334</v>
      </c>
      <c r="F29" s="150">
        <f t="shared" si="1"/>
        <v>2527.8166666666666</v>
      </c>
      <c r="G29" s="220" t="s">
        <v>112</v>
      </c>
      <c r="H29" s="221" t="s">
        <v>113</v>
      </c>
      <c r="I29" s="220" t="s">
        <v>49</v>
      </c>
      <c r="J29" s="222">
        <v>14</v>
      </c>
      <c r="K29" s="222">
        <v>172.06484848484848</v>
      </c>
      <c r="L29" s="228">
        <f t="shared" si="2"/>
        <v>2408.9078787878789</v>
      </c>
      <c r="M29" s="211"/>
      <c r="N29" s="118"/>
    </row>
    <row r="30" spans="1:14" s="119" customFormat="1" ht="33" customHeight="1" x14ac:dyDescent="0.3">
      <c r="A30" s="157" t="s">
        <v>48</v>
      </c>
      <c r="B30" s="214" t="s">
        <v>41</v>
      </c>
      <c r="C30" s="215" t="s">
        <v>49</v>
      </c>
      <c r="D30" s="158">
        <v>75</v>
      </c>
      <c r="E30" s="159">
        <v>202.76666666666668</v>
      </c>
      <c r="F30" s="150">
        <f t="shared" si="1"/>
        <v>15207.500000000002</v>
      </c>
      <c r="G30" s="220" t="s">
        <v>92</v>
      </c>
      <c r="H30" s="221" t="s">
        <v>93</v>
      </c>
      <c r="I30" s="220" t="s">
        <v>49</v>
      </c>
      <c r="J30" s="223">
        <v>75</v>
      </c>
      <c r="K30" s="222">
        <v>193.22748148148148</v>
      </c>
      <c r="L30" s="228">
        <f t="shared" si="2"/>
        <v>14492.06111111111</v>
      </c>
      <c r="M30" s="211"/>
      <c r="N30" s="216"/>
    </row>
    <row r="31" spans="1:14" s="119" customFormat="1" ht="31.2" customHeight="1" x14ac:dyDescent="0.3">
      <c r="A31" s="157" t="s">
        <v>53</v>
      </c>
      <c r="B31" s="214" t="s">
        <v>42</v>
      </c>
      <c r="C31" s="215" t="s">
        <v>50</v>
      </c>
      <c r="D31" s="158">
        <v>1</v>
      </c>
      <c r="E31" s="159">
        <v>264.42500000000001</v>
      </c>
      <c r="F31" s="150">
        <f t="shared" si="1"/>
        <v>264.42500000000001</v>
      </c>
      <c r="G31" s="220" t="s">
        <v>94</v>
      </c>
      <c r="H31" s="221" t="s">
        <v>95</v>
      </c>
      <c r="I31" s="220" t="s">
        <v>49</v>
      </c>
      <c r="J31" s="220">
        <v>800</v>
      </c>
      <c r="K31" s="223">
        <v>0.25198750000000003</v>
      </c>
      <c r="L31" s="228">
        <f t="shared" si="2"/>
        <v>201.59000000000003</v>
      </c>
      <c r="M31" s="211"/>
      <c r="N31" s="118"/>
    </row>
    <row r="32" spans="1:14" s="119" customFormat="1" ht="22.2" customHeight="1" x14ac:dyDescent="0.3">
      <c r="A32" s="157" t="s">
        <v>54</v>
      </c>
      <c r="B32" s="214" t="s">
        <v>43</v>
      </c>
      <c r="C32" s="215" t="s">
        <v>38</v>
      </c>
      <c r="D32" s="158">
        <v>1</v>
      </c>
      <c r="E32" s="159">
        <v>378.30833333333339</v>
      </c>
      <c r="F32" s="150">
        <f t="shared" si="1"/>
        <v>378.30833333333339</v>
      </c>
      <c r="G32" s="220" t="s">
        <v>96</v>
      </c>
      <c r="H32" s="221" t="s">
        <v>97</v>
      </c>
      <c r="I32" s="220" t="s">
        <v>38</v>
      </c>
      <c r="J32" s="223">
        <v>1</v>
      </c>
      <c r="K32" s="222">
        <v>360.51599999999996</v>
      </c>
      <c r="L32" s="228">
        <f t="shared" si="2"/>
        <v>360.51599999999996</v>
      </c>
      <c r="M32" s="211"/>
      <c r="N32" s="118"/>
    </row>
    <row r="33" spans="1:14" s="119" customFormat="1" ht="22.2" customHeight="1" x14ac:dyDescent="0.3">
      <c r="A33" s="157" t="s">
        <v>55</v>
      </c>
      <c r="B33" s="214" t="s">
        <v>44</v>
      </c>
      <c r="C33" s="215" t="s">
        <v>49</v>
      </c>
      <c r="D33" s="158">
        <v>81.900000000000006</v>
      </c>
      <c r="E33" s="159">
        <v>457.65833333333342</v>
      </c>
      <c r="F33" s="150">
        <f t="shared" si="1"/>
        <v>37482.217500000006</v>
      </c>
      <c r="G33" s="220" t="s">
        <v>98</v>
      </c>
      <c r="H33" s="221" t="s">
        <v>99</v>
      </c>
      <c r="I33" s="220" t="s">
        <v>49</v>
      </c>
      <c r="J33" s="223">
        <v>93.073999999999998</v>
      </c>
      <c r="K33" s="222">
        <v>369.2</v>
      </c>
      <c r="L33" s="228">
        <f t="shared" si="2"/>
        <v>34362.9208</v>
      </c>
      <c r="M33" s="211"/>
      <c r="N33" s="118"/>
    </row>
    <row r="34" spans="1:14" s="119" customFormat="1" ht="22.2" customHeight="1" x14ac:dyDescent="0.3">
      <c r="A34" s="157"/>
      <c r="B34" s="214"/>
      <c r="C34" s="215"/>
      <c r="D34" s="158"/>
      <c r="E34" s="159"/>
      <c r="F34" s="150"/>
      <c r="G34" s="220" t="s">
        <v>98</v>
      </c>
      <c r="H34" s="221" t="s">
        <v>99</v>
      </c>
      <c r="I34" s="220" t="s">
        <v>49</v>
      </c>
      <c r="J34" s="223">
        <v>5.21</v>
      </c>
      <c r="K34" s="222">
        <v>369.1999957361532</v>
      </c>
      <c r="L34" s="228">
        <f t="shared" si="2"/>
        <v>1923.5319777853581</v>
      </c>
      <c r="M34" s="211"/>
      <c r="N34" s="118"/>
    </row>
    <row r="35" spans="1:14" s="155" customFormat="1" ht="15.6" x14ac:dyDescent="0.3">
      <c r="A35" s="157" t="s">
        <v>106</v>
      </c>
      <c r="B35" s="112" t="s">
        <v>52</v>
      </c>
      <c r="C35" s="113" t="s">
        <v>49</v>
      </c>
      <c r="D35" s="158">
        <v>4000</v>
      </c>
      <c r="E35" s="159">
        <v>0.14599999999999999</v>
      </c>
      <c r="F35" s="150">
        <f t="shared" si="1"/>
        <v>584</v>
      </c>
      <c r="G35" s="224" t="s">
        <v>100</v>
      </c>
      <c r="H35" s="225" t="s">
        <v>52</v>
      </c>
      <c r="I35" s="224" t="s">
        <v>49</v>
      </c>
      <c r="J35" s="226">
        <v>4000</v>
      </c>
      <c r="K35" s="227">
        <v>0.13900000000000001</v>
      </c>
      <c r="L35" s="228">
        <f t="shared" si="2"/>
        <v>556</v>
      </c>
      <c r="M35" s="160"/>
      <c r="N35" s="156"/>
    </row>
    <row r="36" spans="1:14" s="155" customFormat="1" ht="15.6" x14ac:dyDescent="0.3">
      <c r="A36" s="157" t="s">
        <v>107</v>
      </c>
      <c r="B36" s="112" t="s">
        <v>51</v>
      </c>
      <c r="C36" s="113" t="s">
        <v>49</v>
      </c>
      <c r="D36" s="158">
        <v>4000</v>
      </c>
      <c r="E36" s="159">
        <v>0.192</v>
      </c>
      <c r="F36" s="150">
        <f t="shared" si="1"/>
        <v>768</v>
      </c>
      <c r="G36" s="224" t="s">
        <v>101</v>
      </c>
      <c r="H36" s="225" t="s">
        <v>51</v>
      </c>
      <c r="I36" s="224" t="s">
        <v>49</v>
      </c>
      <c r="J36" s="226">
        <v>4000</v>
      </c>
      <c r="K36" s="227">
        <v>0.183</v>
      </c>
      <c r="L36" s="228">
        <f t="shared" si="2"/>
        <v>732</v>
      </c>
      <c r="M36" s="153"/>
      <c r="N36" s="156"/>
    </row>
    <row r="37" spans="1:14" ht="15.6" x14ac:dyDescent="0.3">
      <c r="A37" s="161"/>
      <c r="B37" s="162" t="s">
        <v>77</v>
      </c>
      <c r="C37" s="163"/>
      <c r="D37" s="164"/>
      <c r="E37" s="164"/>
      <c r="F37" s="164">
        <f>SUM(F26:F36)</f>
        <v>485625.76750000007</v>
      </c>
      <c r="G37" s="165"/>
      <c r="H37" s="166"/>
      <c r="I37" s="167"/>
      <c r="J37" s="168"/>
      <c r="K37" s="169"/>
      <c r="L37" s="169">
        <f>SUM(L21:L36)</f>
        <v>443621.63124091167</v>
      </c>
      <c r="M37" s="170"/>
    </row>
    <row r="38" spans="1:14" x14ac:dyDescent="0.3">
      <c r="A38" s="256" t="s">
        <v>78</v>
      </c>
      <c r="B38" s="257"/>
      <c r="C38" s="257"/>
      <c r="D38" s="257"/>
      <c r="E38" s="257"/>
      <c r="F38" s="258"/>
      <c r="G38" s="262" t="s">
        <v>66</v>
      </c>
      <c r="H38" s="262"/>
      <c r="I38" s="262"/>
      <c r="J38" s="262"/>
      <c r="K38" s="262"/>
      <c r="L38" s="262"/>
      <c r="M38" s="262"/>
      <c r="N38" s="171"/>
    </row>
    <row r="39" spans="1:14" x14ac:dyDescent="0.3">
      <c r="A39" s="259"/>
      <c r="B39" s="260"/>
      <c r="C39" s="260"/>
      <c r="D39" s="260"/>
      <c r="E39" s="260"/>
      <c r="F39" s="261"/>
      <c r="G39" s="262"/>
      <c r="H39" s="262"/>
      <c r="I39" s="262"/>
      <c r="J39" s="262"/>
      <c r="K39" s="262"/>
      <c r="L39" s="262"/>
      <c r="M39" s="262"/>
      <c r="N39" s="171"/>
    </row>
    <row r="40" spans="1:14" ht="15.6" x14ac:dyDescent="0.3">
      <c r="A40" s="172"/>
      <c r="B40" s="172"/>
      <c r="C40" s="172"/>
      <c r="D40" s="172"/>
      <c r="E40" s="172"/>
      <c r="F40" s="172"/>
      <c r="G40" s="151" t="s">
        <v>114</v>
      </c>
      <c r="H40" s="151" t="s">
        <v>115</v>
      </c>
      <c r="I40" s="151" t="s">
        <v>49</v>
      </c>
      <c r="J40" s="152">
        <v>10</v>
      </c>
      <c r="K40" s="152">
        <v>112.45</v>
      </c>
      <c r="L40" s="110">
        <f>K40*J40</f>
        <v>1124.5</v>
      </c>
      <c r="M40" s="173"/>
      <c r="N40" s="171"/>
    </row>
    <row r="41" spans="1:14" ht="31.2" x14ac:dyDescent="0.3">
      <c r="A41" s="172"/>
      <c r="B41" s="172"/>
      <c r="C41" s="172"/>
      <c r="D41" s="172"/>
      <c r="E41" s="172"/>
      <c r="F41" s="172"/>
      <c r="G41" s="110" t="s">
        <v>116</v>
      </c>
      <c r="H41" s="174" t="s">
        <v>117</v>
      </c>
      <c r="I41" s="110" t="s">
        <v>50</v>
      </c>
      <c r="J41" s="110">
        <v>12</v>
      </c>
      <c r="K41" s="110">
        <v>149.29999999999998</v>
      </c>
      <c r="L41" s="110">
        <f t="shared" ref="L41:L43" si="3">K41*J41</f>
        <v>1791.6</v>
      </c>
      <c r="M41" s="173"/>
      <c r="N41" s="171"/>
    </row>
    <row r="42" spans="1:14" ht="15.6" x14ac:dyDescent="0.3">
      <c r="A42" s="172"/>
      <c r="B42" s="172"/>
      <c r="C42" s="172"/>
      <c r="D42" s="172"/>
      <c r="E42" s="172"/>
      <c r="F42" s="172"/>
      <c r="G42" s="110" t="s">
        <v>118</v>
      </c>
      <c r="H42" s="174" t="s">
        <v>119</v>
      </c>
      <c r="I42" s="110" t="s">
        <v>49</v>
      </c>
      <c r="J42" s="110">
        <v>10</v>
      </c>
      <c r="K42" s="110">
        <v>34.4</v>
      </c>
      <c r="L42" s="110">
        <f t="shared" si="3"/>
        <v>344</v>
      </c>
      <c r="M42" s="175"/>
      <c r="N42" s="171"/>
    </row>
    <row r="43" spans="1:14" ht="15.6" x14ac:dyDescent="0.3">
      <c r="A43" s="172"/>
      <c r="B43" s="172"/>
      <c r="C43" s="172"/>
      <c r="D43" s="172"/>
      <c r="E43" s="172"/>
      <c r="F43" s="172"/>
      <c r="G43" s="110" t="s">
        <v>120</v>
      </c>
      <c r="H43" s="174" t="s">
        <v>121</v>
      </c>
      <c r="I43" s="110" t="s">
        <v>49</v>
      </c>
      <c r="J43" s="110">
        <v>10</v>
      </c>
      <c r="K43" s="110">
        <v>26.3</v>
      </c>
      <c r="L43" s="110">
        <f t="shared" si="3"/>
        <v>263</v>
      </c>
      <c r="M43" s="173"/>
      <c r="N43" s="171"/>
    </row>
    <row r="44" spans="1:14" ht="21" x14ac:dyDescent="0.3">
      <c r="A44" s="176"/>
      <c r="B44" s="177" t="s">
        <v>79</v>
      </c>
      <c r="C44" s="178"/>
      <c r="D44" s="179"/>
      <c r="E44" s="179"/>
      <c r="F44" s="179"/>
      <c r="G44" s="180"/>
      <c r="H44" s="181"/>
      <c r="I44" s="182"/>
      <c r="J44" s="183"/>
      <c r="K44" s="184"/>
      <c r="L44" s="184">
        <f>SUM(L40:L43)</f>
        <v>3523.1</v>
      </c>
      <c r="M44" s="185"/>
      <c r="N44" s="186"/>
    </row>
    <row r="45" spans="1:14" ht="21" x14ac:dyDescent="0.3">
      <c r="A45" s="187"/>
      <c r="B45" s="188" t="s">
        <v>80</v>
      </c>
      <c r="C45" s="189"/>
      <c r="D45" s="190"/>
      <c r="E45" s="190"/>
      <c r="F45" s="190"/>
      <c r="G45" s="191"/>
      <c r="H45" s="192"/>
      <c r="I45" s="193"/>
      <c r="J45" s="194"/>
      <c r="K45" s="195"/>
      <c r="L45" s="195"/>
      <c r="M45" s="196"/>
    </row>
    <row r="46" spans="1:14" ht="21" x14ac:dyDescent="0.4">
      <c r="A46" s="253" t="s">
        <v>81</v>
      </c>
      <c r="B46" s="253"/>
      <c r="C46" s="253"/>
      <c r="D46" s="253"/>
      <c r="E46" s="253"/>
      <c r="F46" s="253"/>
      <c r="G46" s="253"/>
      <c r="H46" s="253"/>
      <c r="I46" s="253"/>
      <c r="J46" s="197"/>
      <c r="K46" s="198"/>
      <c r="L46" s="198"/>
      <c r="M46" s="199"/>
    </row>
    <row r="47" spans="1:14" ht="21" x14ac:dyDescent="0.4">
      <c r="A47" s="248" t="s">
        <v>82</v>
      </c>
      <c r="B47" s="248"/>
      <c r="C47" s="248"/>
      <c r="D47" s="248"/>
      <c r="E47" s="248"/>
      <c r="F47" s="248"/>
      <c r="G47" s="248"/>
      <c r="H47" s="248"/>
      <c r="I47" s="248"/>
      <c r="J47" s="197"/>
      <c r="K47" s="198"/>
      <c r="L47" s="198"/>
      <c r="M47" s="199"/>
    </row>
    <row r="48" spans="1:14" ht="21" x14ac:dyDescent="0.4">
      <c r="A48" s="249" t="s">
        <v>83</v>
      </c>
      <c r="B48" s="249"/>
      <c r="C48" s="249"/>
      <c r="D48" s="249"/>
      <c r="E48" s="249"/>
      <c r="F48" s="249"/>
      <c r="G48" s="249"/>
      <c r="H48" s="249"/>
      <c r="I48" s="249"/>
      <c r="J48" s="200"/>
      <c r="K48" s="201"/>
      <c r="L48" s="201"/>
      <c r="M48" s="199"/>
    </row>
    <row r="49" spans="1:13" ht="21" x14ac:dyDescent="0.4">
      <c r="A49" s="248" t="s">
        <v>84</v>
      </c>
      <c r="B49" s="248"/>
      <c r="C49" s="248"/>
      <c r="D49" s="248"/>
      <c r="E49" s="248"/>
      <c r="F49" s="248"/>
      <c r="G49" s="248"/>
      <c r="H49" s="248"/>
      <c r="I49" s="248"/>
      <c r="J49" s="197"/>
      <c r="K49" s="198"/>
      <c r="L49" s="264"/>
      <c r="M49" s="265"/>
    </row>
    <row r="50" spans="1:13" ht="21" x14ac:dyDescent="0.4">
      <c r="A50" s="248" t="s">
        <v>85</v>
      </c>
      <c r="B50" s="248"/>
      <c r="C50" s="248"/>
      <c r="D50" s="248"/>
      <c r="E50" s="248"/>
      <c r="F50" s="248"/>
      <c r="G50" s="248"/>
      <c r="H50" s="248"/>
      <c r="I50" s="248"/>
      <c r="J50" s="197"/>
      <c r="K50" s="198"/>
      <c r="L50" s="202"/>
      <c r="M50" s="199"/>
    </row>
    <row r="51" spans="1:13" ht="21" x14ac:dyDescent="0.4">
      <c r="A51" s="248" t="s">
        <v>86</v>
      </c>
      <c r="B51" s="248"/>
      <c r="C51" s="248"/>
      <c r="D51" s="248"/>
      <c r="E51" s="248"/>
      <c r="F51" s="248"/>
      <c r="G51" s="248"/>
      <c r="H51" s="248"/>
      <c r="I51" s="248"/>
      <c r="J51" s="197"/>
      <c r="K51" s="198"/>
      <c r="L51" s="198"/>
      <c r="M51" s="199"/>
    </row>
    <row r="52" spans="1:13" ht="21" x14ac:dyDescent="0.4">
      <c r="A52" s="248" t="s">
        <v>87</v>
      </c>
      <c r="B52" s="248"/>
      <c r="C52" s="248"/>
      <c r="D52" s="248"/>
      <c r="E52" s="248"/>
      <c r="F52" s="248"/>
      <c r="G52" s="248"/>
      <c r="H52" s="248"/>
      <c r="I52" s="248"/>
      <c r="J52" s="197"/>
      <c r="K52" s="198"/>
      <c r="L52" s="198"/>
      <c r="M52" s="199"/>
    </row>
    <row r="53" spans="1:13" ht="21" x14ac:dyDescent="0.4">
      <c r="A53" s="248" t="s">
        <v>86</v>
      </c>
      <c r="B53" s="248"/>
      <c r="C53" s="248"/>
      <c r="D53" s="248"/>
      <c r="E53" s="248"/>
      <c r="F53" s="248"/>
      <c r="G53" s="248"/>
      <c r="H53" s="248"/>
      <c r="I53" s="248"/>
      <c r="J53" s="197"/>
      <c r="K53" s="198"/>
      <c r="L53" s="198"/>
      <c r="M53" s="199"/>
    </row>
    <row r="54" spans="1:13" ht="21" x14ac:dyDescent="0.4">
      <c r="A54" s="248" t="s">
        <v>88</v>
      </c>
      <c r="B54" s="248"/>
      <c r="C54" s="248"/>
      <c r="D54" s="248"/>
      <c r="E54" s="248"/>
      <c r="F54" s="248"/>
      <c r="G54" s="248"/>
      <c r="H54" s="248"/>
      <c r="I54" s="248"/>
      <c r="J54" s="197"/>
      <c r="K54" s="198"/>
      <c r="L54" s="198"/>
      <c r="M54" s="199"/>
    </row>
    <row r="55" spans="1:13" ht="21" x14ac:dyDescent="0.4">
      <c r="A55" s="248" t="s">
        <v>89</v>
      </c>
      <c r="B55" s="248"/>
      <c r="C55" s="248"/>
      <c r="D55" s="248"/>
      <c r="E55" s="248"/>
      <c r="F55" s="248"/>
      <c r="G55" s="248"/>
      <c r="H55" s="248"/>
      <c r="I55" s="248"/>
      <c r="J55" s="197"/>
      <c r="K55" s="198"/>
      <c r="L55" s="198"/>
      <c r="M55" s="199"/>
    </row>
    <row r="56" spans="1:13" ht="21" x14ac:dyDescent="0.4">
      <c r="A56" s="248" t="s">
        <v>90</v>
      </c>
      <c r="B56" s="248"/>
      <c r="C56" s="248"/>
      <c r="D56" s="248"/>
      <c r="E56" s="248"/>
      <c r="F56" s="248"/>
      <c r="G56" s="248"/>
      <c r="H56" s="248"/>
      <c r="I56" s="248"/>
      <c r="J56" s="197"/>
      <c r="K56" s="198"/>
      <c r="L56" s="198"/>
      <c r="M56" s="199"/>
    </row>
    <row r="57" spans="1:13" ht="21" x14ac:dyDescent="0.4">
      <c r="A57" s="263" t="s">
        <v>91</v>
      </c>
      <c r="B57" s="263"/>
      <c r="C57" s="263"/>
      <c r="D57" s="263"/>
      <c r="E57" s="263"/>
      <c r="F57" s="263"/>
      <c r="G57" s="263"/>
      <c r="H57" s="263"/>
      <c r="I57" s="263"/>
      <c r="J57" s="203"/>
      <c r="K57" s="204"/>
      <c r="L57" s="204"/>
      <c r="M57" s="199"/>
    </row>
    <row r="59" spans="1:13" x14ac:dyDescent="0.3">
      <c r="G59" s="205"/>
      <c r="H59" s="205"/>
      <c r="I59" s="205"/>
      <c r="J59" s="205"/>
      <c r="K59" s="205"/>
      <c r="L59" s="205"/>
      <c r="M59" s="205"/>
    </row>
    <row r="60" spans="1:13" x14ac:dyDescent="0.3">
      <c r="G60" s="205"/>
      <c r="H60" s="205"/>
      <c r="I60" s="205"/>
      <c r="J60" s="205"/>
      <c r="K60" s="205"/>
      <c r="L60" s="205"/>
      <c r="M60" s="205"/>
    </row>
    <row r="61" spans="1:13" x14ac:dyDescent="0.3">
      <c r="G61" s="205"/>
      <c r="H61" s="205"/>
      <c r="I61" s="205"/>
      <c r="J61" s="205"/>
      <c r="K61" s="205"/>
      <c r="L61" s="205"/>
      <c r="M61" s="205"/>
    </row>
    <row r="62" spans="1:13" x14ac:dyDescent="0.3">
      <c r="G62" s="205"/>
      <c r="H62" s="205"/>
      <c r="I62" s="205"/>
      <c r="J62" s="205"/>
      <c r="K62" s="205"/>
      <c r="L62" s="205"/>
      <c r="M62" s="205"/>
    </row>
    <row r="63" spans="1:13" x14ac:dyDescent="0.3">
      <c r="G63" s="205"/>
      <c r="H63" s="205"/>
      <c r="I63" s="205"/>
      <c r="J63" s="205"/>
      <c r="K63" s="205"/>
      <c r="L63" s="205"/>
      <c r="M63" s="205"/>
    </row>
  </sheetData>
  <mergeCells count="33">
    <mergeCell ref="H17:L17"/>
    <mergeCell ref="M17:M18"/>
    <mergeCell ref="A38:F39"/>
    <mergeCell ref="G38:M39"/>
    <mergeCell ref="A57:I57"/>
    <mergeCell ref="A51:I51"/>
    <mergeCell ref="A53:I53"/>
    <mergeCell ref="A54:I54"/>
    <mergeCell ref="A55:I55"/>
    <mergeCell ref="A56:I56"/>
    <mergeCell ref="A52:I52"/>
    <mergeCell ref="A47:I47"/>
    <mergeCell ref="A48:I48"/>
    <mergeCell ref="A49:I49"/>
    <mergeCell ref="A50:I50"/>
    <mergeCell ref="A13:M13"/>
    <mergeCell ref="A14:M14"/>
    <mergeCell ref="A15:L15"/>
    <mergeCell ref="A16:F16"/>
    <mergeCell ref="G16:M16"/>
    <mergeCell ref="A46:I46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honeticPr fontId="24" type="noConversion"/>
  <pageMargins left="0.7" right="0.7" top="0.75" bottom="0.75" header="0.3" footer="0.3"/>
  <pageSetup paperSize="9" scale="48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A7BE-6BD4-4AEF-9445-76ABC80FC316}">
  <dimension ref="A1"/>
  <sheetViews>
    <sheetView workbookViewId="0">
      <selection activeCell="H20" sqref="H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АВР №1</vt:lpstr>
      <vt:lpstr>коригування</vt:lpstr>
      <vt:lpstr>М29 №21 1.10 - АР</vt:lpstr>
      <vt:lpstr>Лист2</vt:lpstr>
      <vt:lpstr>'АВР №1'!Область_печати</vt:lpstr>
      <vt:lpstr>коригування!Область_печати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</dc:creator>
  <cp:lastModifiedBy>o.khlan</cp:lastModifiedBy>
  <cp:lastPrinted>2026-07-01T13:30:09Z</cp:lastPrinted>
  <dcterms:created xsi:type="dcterms:W3CDTF">2024-05-27T11:16:15Z</dcterms:created>
  <dcterms:modified xsi:type="dcterms:W3CDTF">2026-07-01T13:30:11Z</dcterms:modified>
</cp:coreProperties>
</file>
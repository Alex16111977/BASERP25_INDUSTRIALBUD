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.lytvyniuk\Desktop\Звіти\Отчеты по часам и работам\"/>
    </mc:Choice>
  </mc:AlternateContent>
  <xr:revisionPtr revIDLastSave="0" documentId="8_{8329E303-C456-4C85-B5E3-224DDFCDB282}" xr6:coauthVersionLast="45" xr6:coauthVersionMax="45" xr10:uidLastSave="{00000000-0000-0000-0000-000000000000}"/>
  <bookViews>
    <workbookView xWindow="-108" yWindow="-108" windowWidth="23256" windowHeight="12600" firstSheet="1" activeTab="1" xr2:uid="{280BA5F3-E22D-4300-A25B-E4ABFC969655}"/>
  </bookViews>
  <sheets>
    <sheet name="Зразок" sheetId="7" r:id="rId1"/>
    <sheet name="ЗВіт" sheetId="6" r:id="rId2"/>
    <sheet name="ЗВіт (19.06)" sheetId="10" r:id="rId3"/>
    <sheet name="ЗВіт (26.06)" sheetId="8" r:id="rId4"/>
    <sheet name="ЗВіт (03.07)" sheetId="12" r:id="rId5"/>
  </sheets>
  <externalReferences>
    <externalReference r:id="rId6"/>
  </externalReferences>
  <definedNames>
    <definedName name="spec_values">[1]BOQ_Шаблон!$A$6:$A$275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2" l="1"/>
  <c r="F28" i="12"/>
  <c r="C27" i="12"/>
  <c r="F27" i="12" s="1"/>
  <c r="C26" i="12"/>
  <c r="F26" i="12" s="1"/>
  <c r="C25" i="12"/>
  <c r="F25" i="12" s="1"/>
  <c r="C24" i="12"/>
  <c r="F24" i="12" s="1"/>
  <c r="F23" i="12"/>
  <c r="C23" i="12"/>
  <c r="F22" i="12"/>
  <c r="C21" i="12"/>
  <c r="F21" i="12" s="1"/>
  <c r="C20" i="12"/>
  <c r="F20" i="12" s="1"/>
  <c r="C19" i="12"/>
  <c r="F19" i="12" s="1"/>
  <c r="C18" i="12"/>
  <c r="F18" i="12" s="1"/>
  <c r="F17" i="12"/>
  <c r="C17" i="12"/>
  <c r="C16" i="12"/>
  <c r="F16" i="12" s="1"/>
  <c r="C15" i="12"/>
  <c r="F15" i="12" s="1"/>
  <c r="C14" i="12"/>
  <c r="F14" i="12" s="1"/>
  <c r="C13" i="12"/>
  <c r="F13" i="12" s="1"/>
  <c r="C12" i="12"/>
  <c r="F12" i="12" s="1"/>
  <c r="F11" i="12"/>
  <c r="C11" i="12"/>
  <c r="F10" i="12"/>
  <c r="C10" i="12"/>
  <c r="C9" i="12"/>
  <c r="F9" i="12" s="1"/>
  <c r="C8" i="12"/>
  <c r="F8" i="12" s="1"/>
  <c r="F7" i="12"/>
  <c r="C7" i="12"/>
  <c r="F6" i="12"/>
  <c r="C6" i="12"/>
  <c r="F5" i="12"/>
  <c r="C5" i="12"/>
  <c r="C4" i="12"/>
  <c r="C3" i="12"/>
  <c r="C2" i="12"/>
  <c r="C29" i="12" s="1"/>
  <c r="C2" i="8"/>
  <c r="C3" i="8"/>
  <c r="C4" i="8"/>
  <c r="C5" i="8"/>
  <c r="F5" i="8"/>
  <c r="C6" i="8"/>
  <c r="C29" i="8" s="1"/>
  <c r="F6" i="8"/>
  <c r="C7" i="8"/>
  <c r="F7" i="8"/>
  <c r="C8" i="8"/>
  <c r="F8" i="8"/>
  <c r="C9" i="8"/>
  <c r="F9" i="8" s="1"/>
  <c r="C10" i="8"/>
  <c r="F10" i="8"/>
  <c r="C11" i="8"/>
  <c r="F11" i="8"/>
  <c r="C12" i="8"/>
  <c r="F12" i="8"/>
  <c r="C13" i="8"/>
  <c r="F13" i="8"/>
  <c r="C14" i="8"/>
  <c r="F14" i="8"/>
  <c r="C15" i="8"/>
  <c r="F15" i="8" s="1"/>
  <c r="C16" i="8"/>
  <c r="F16" i="8"/>
  <c r="C17" i="8"/>
  <c r="F17" i="8"/>
  <c r="C18" i="8"/>
  <c r="F18" i="8"/>
  <c r="C19" i="8"/>
  <c r="F19" i="8"/>
  <c r="C20" i="8"/>
  <c r="F20" i="8"/>
  <c r="C21" i="8"/>
  <c r="F21" i="8" s="1"/>
  <c r="F22" i="8"/>
  <c r="C23" i="8"/>
  <c r="F23" i="8"/>
  <c r="C24" i="8"/>
  <c r="F24" i="8"/>
  <c r="C25" i="8"/>
  <c r="F25" i="8"/>
  <c r="C26" i="8"/>
  <c r="F26" i="8"/>
  <c r="C27" i="8"/>
  <c r="F27" i="8"/>
  <c r="E29" i="10"/>
  <c r="F28" i="10"/>
  <c r="C27" i="10"/>
  <c r="F27" i="10" s="1"/>
  <c r="C26" i="10"/>
  <c r="F26" i="10" s="1"/>
  <c r="C25" i="10"/>
  <c r="F25" i="10" s="1"/>
  <c r="C24" i="10"/>
  <c r="F24" i="10" s="1"/>
  <c r="F23" i="10"/>
  <c r="C23" i="10"/>
  <c r="F22" i="10"/>
  <c r="C21" i="10"/>
  <c r="F21" i="10" s="1"/>
  <c r="C20" i="10"/>
  <c r="F20" i="10" s="1"/>
  <c r="C19" i="10"/>
  <c r="F19" i="10" s="1"/>
  <c r="C18" i="10"/>
  <c r="F18" i="10" s="1"/>
  <c r="F17" i="10"/>
  <c r="C17" i="10"/>
  <c r="C16" i="10"/>
  <c r="F16" i="10" s="1"/>
  <c r="C15" i="10"/>
  <c r="F15" i="10" s="1"/>
  <c r="C14" i="10"/>
  <c r="F14" i="10" s="1"/>
  <c r="C13" i="10"/>
  <c r="F13" i="10" s="1"/>
  <c r="C12" i="10"/>
  <c r="F12" i="10" s="1"/>
  <c r="F11" i="10"/>
  <c r="C11" i="10"/>
  <c r="C10" i="10"/>
  <c r="F10" i="10" s="1"/>
  <c r="C9" i="10"/>
  <c r="F9" i="10" s="1"/>
  <c r="C8" i="10"/>
  <c r="F8" i="10" s="1"/>
  <c r="F7" i="10"/>
  <c r="C7" i="10"/>
  <c r="F6" i="10"/>
  <c r="C6" i="10"/>
  <c r="F5" i="10"/>
  <c r="C5" i="10"/>
  <c r="C4" i="10"/>
  <c r="C3" i="10"/>
  <c r="C2" i="10"/>
  <c r="C29" i="10" s="1"/>
  <c r="E29" i="8"/>
  <c r="F28" i="8"/>
  <c r="F5" i="6"/>
  <c r="F6" i="6"/>
  <c r="F7" i="6"/>
  <c r="F22" i="6"/>
  <c r="E28" i="6"/>
  <c r="E29" i="7"/>
  <c r="F28" i="7"/>
  <c r="C27" i="7"/>
  <c r="F27" i="7" s="1"/>
  <c r="C26" i="7"/>
  <c r="F26" i="7" s="1"/>
  <c r="C25" i="7"/>
  <c r="F25" i="7" s="1"/>
  <c r="C24" i="7"/>
  <c r="F24" i="7" s="1"/>
  <c r="C23" i="7"/>
  <c r="F23" i="7" s="1"/>
  <c r="F22" i="7"/>
  <c r="C21" i="7"/>
  <c r="F21" i="7" s="1"/>
  <c r="C20" i="7"/>
  <c r="F20" i="7" s="1"/>
  <c r="C19" i="7"/>
  <c r="F19" i="7" s="1"/>
  <c r="C18" i="7"/>
  <c r="F18" i="7" s="1"/>
  <c r="C17" i="7"/>
  <c r="F17" i="7" s="1"/>
  <c r="C16" i="7"/>
  <c r="F16" i="7" s="1"/>
  <c r="C15" i="7"/>
  <c r="F15" i="7" s="1"/>
  <c r="C14" i="7"/>
  <c r="F14" i="7" s="1"/>
  <c r="C13" i="7"/>
  <c r="F13" i="7" s="1"/>
  <c r="C12" i="7"/>
  <c r="F12" i="7" s="1"/>
  <c r="C11" i="7"/>
  <c r="F11" i="7" s="1"/>
  <c r="C10" i="7"/>
  <c r="F10" i="7" s="1"/>
  <c r="C9" i="7"/>
  <c r="F9" i="7" s="1"/>
  <c r="C8" i="7"/>
  <c r="F8" i="7" s="1"/>
  <c r="F7" i="7"/>
  <c r="C7" i="7"/>
  <c r="F6" i="7"/>
  <c r="C6" i="7"/>
  <c r="F5" i="7"/>
  <c r="C5" i="7"/>
  <c r="C4" i="7"/>
  <c r="C3" i="7"/>
  <c r="C2" i="7"/>
  <c r="C29" i="7" s="1"/>
  <c r="F29" i="12" l="1"/>
  <c r="F29" i="10"/>
  <c r="F29" i="8"/>
  <c r="F29" i="7"/>
  <c r="C27" i="6" l="1"/>
  <c r="F27" i="6" s="1"/>
  <c r="C26" i="6"/>
  <c r="F26" i="6" s="1"/>
  <c r="C25" i="6"/>
  <c r="F25" i="6" s="1"/>
  <c r="C24" i="6"/>
  <c r="F24" i="6" s="1"/>
  <c r="C23" i="6"/>
  <c r="F23" i="6" s="1"/>
  <c r="C21" i="6"/>
  <c r="F21" i="6" s="1"/>
  <c r="C20" i="6"/>
  <c r="F20" i="6" s="1"/>
  <c r="C19" i="6"/>
  <c r="F19" i="6" s="1"/>
  <c r="C18" i="6"/>
  <c r="F18" i="6" s="1"/>
  <c r="C17" i="6"/>
  <c r="F17" i="6" s="1"/>
  <c r="C16" i="6"/>
  <c r="F16" i="6" s="1"/>
  <c r="C15" i="6"/>
  <c r="F15" i="6" s="1"/>
  <c r="C14" i="6"/>
  <c r="F14" i="6" s="1"/>
  <c r="C13" i="6"/>
  <c r="F13" i="6" s="1"/>
  <c r="C12" i="6"/>
  <c r="F12" i="6" s="1"/>
  <c r="C11" i="6"/>
  <c r="F11" i="6" s="1"/>
  <c r="C10" i="6"/>
  <c r="F10" i="6" s="1"/>
  <c r="C9" i="6"/>
  <c r="F9" i="6" s="1"/>
  <c r="C8" i="6"/>
  <c r="F8" i="6" s="1"/>
  <c r="C7" i="6"/>
  <c r="C6" i="6"/>
  <c r="C5" i="6"/>
  <c r="C4" i="6"/>
  <c r="C3" i="6"/>
  <c r="C2" i="6"/>
  <c r="F28" i="6" l="1"/>
  <c r="C28" i="6"/>
</calcChain>
</file>

<file path=xl/sharedStrings.xml><?xml version="1.0" encoding="utf-8"?>
<sst xmlns="http://schemas.openxmlformats.org/spreadsheetml/2006/main" count="468" uniqueCount="77">
  <si>
    <t>чол/год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</si>
  <si>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</si>
  <si>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</si>
  <si>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</si>
  <si>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</si>
  <si>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</si>
  <si>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</si>
  <si>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</si>
  <si>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</si>
  <si>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</si>
  <si>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</si>
  <si>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</si>
  <si>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</si>
  <si>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</si>
  <si>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</si>
  <si>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</si>
  <si>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</si>
  <si>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</si>
  <si>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</si>
  <si>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</si>
  <si>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</si>
  <si>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</si>
  <si>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</si>
  <si>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</si>
  <si>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</si>
  <si>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</si>
  <si>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</si>
  <si>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 xml:space="preserve">Статус </t>
  </si>
  <si>
    <t>Факт виконання</t>
  </si>
  <si>
    <t>аналіз годин  до закінчення, плановий</t>
  </si>
  <si>
    <t>Найменування робіт</t>
  </si>
  <si>
    <t>виконується</t>
  </si>
  <si>
    <t>Загальна кількість, год</t>
  </si>
  <si>
    <t>табель</t>
  </si>
  <si>
    <t xml:space="preserve"> </t>
  </si>
  <si>
    <t>Факт виконання робіт по проекту (8модулів)</t>
  </si>
  <si>
    <t>Коментарій</t>
  </si>
  <si>
    <t>Примітка</t>
  </si>
  <si>
    <t>Потрібно  вказати  по кожному типу робіт, факт виконання кілкьості модулів) якщо  якісь  роботи практично  виконано, в коментарях  потрібно  прописати 9 що  саме не дороблено  по  конкретному модулю</t>
  </si>
  <si>
    <t>в роботі</t>
  </si>
  <si>
    <t>8 модулів --100%</t>
  </si>
  <si>
    <t>4 модуля --100%;4 модуля 80%</t>
  </si>
  <si>
    <t>залишились  мілки роботи  по  стінам</t>
  </si>
  <si>
    <t>Коментар</t>
  </si>
  <si>
    <t>8 модулів --0%</t>
  </si>
  <si>
    <t>4 модулі --100%; 4 модулі --0%</t>
  </si>
  <si>
    <t>4 модулі --60%; 4 модулі --0%</t>
  </si>
  <si>
    <t>8 модулів --75%;</t>
  </si>
  <si>
    <t>1 модуль -дах і підлога вже на стійках 2 модулі зібраний дах і підлога</t>
  </si>
  <si>
    <t>зварювання (дерево  з'єдання)</t>
  </si>
  <si>
    <t>8 модулі --100%;</t>
  </si>
  <si>
    <t>не змонтовані покрівля/перегородлки/частина стін</t>
  </si>
  <si>
    <t>2 модулі без покрівлі; 1 модуль без покрівлі і 1 стіни</t>
  </si>
  <si>
    <t>6 модулів --100%; 2 модулі --30%</t>
  </si>
  <si>
    <t>5 модулів --100%;1 модуль --50% 2 модулі --30%</t>
  </si>
  <si>
    <t>4 модулів --100%; 4 модулі --0%</t>
  </si>
  <si>
    <t>2 модулів --75%; 1 модуль --60%; 5 модулів --0%</t>
  </si>
  <si>
    <t>Заїхала дошка і брус- Оброблений тільки весь брус</t>
  </si>
  <si>
    <t>1 модуль - все окрім стелі і перегородки (75%); 
2 модулі - все окрім стелі(80%); 
1 модуль - півтори стіни (20%)</t>
  </si>
  <si>
    <t xml:space="preserve"> 2 модулі- не нарізані стіни і перегородки</t>
  </si>
  <si>
    <t>2 МОД. В РОБОТІ</t>
  </si>
  <si>
    <t>не застосовується</t>
  </si>
  <si>
    <t>8 модулів 100%</t>
  </si>
  <si>
    <t>6 модулів 100%</t>
  </si>
  <si>
    <t>4 модуля 100%</t>
  </si>
  <si>
    <t>ПОКРІВЛЯ В 4 --Х модуляХ 100%</t>
  </si>
  <si>
    <t>не ставляться</t>
  </si>
  <si>
    <t>4 --Х модуляХ 100%</t>
  </si>
  <si>
    <t>Зроблено</t>
  </si>
  <si>
    <t>100%</t>
  </si>
  <si>
    <t>0%</t>
  </si>
  <si>
    <t>4 модуля 50%</t>
  </si>
  <si>
    <t>Покрівля -4 модуля 100%. Фасад 8 модулів - 0%</t>
  </si>
  <si>
    <t>6 модулів --100%; 2 модулі --0%</t>
  </si>
  <si>
    <t>4 модуля --100%; 4 модулі --0%</t>
  </si>
  <si>
    <t>2 модулі в роботі але точний % процесу не наданий</t>
  </si>
  <si>
    <t>3 модулі --100%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</si>
</sst>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</font>
    <font>
      <sz val="10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sz val="11"/>
      <color theme="1"/>
      <name val="Calibri"/>
      <family val="2"/>
      <charset val="204"/>
    </font>
    <font>
      <sz val="8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3" fillId="0" borderId="0"/>
    <xf numFmtId="0" fontId="9" fillId="0" borderId="0"/>
    <xf numFmtId="0" fontId="1" fillId="0" borderId="0"/>
  </cellStyleXfs>
  <cellXfs count="74">
    <xf numFmtId="0" fontId="0" fillId="0" borderId="0" xfId="0"/>
    <xf numFmtId="4" fontId="5" fillId="0" borderId="2" xfId="1" applyNumberFormat="1" applyFont="1" applyBorder="1" applyAlignment="1">
      <alignment horizontal="center" vertical="center" wrapText="1"/>
    </xf>
    <xf numFmtId="4" fontId="6" fillId="3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11" fillId="0" borderId="2" xfId="9" applyNumberFormat="1" applyFont="1" applyBorder="1" applyAlignment="1">
      <alignment horizontal="center" vertical="center" wrapText="1"/>
    </xf>
    <xf numFmtId="0" fontId="11" fillId="0" borderId="2" xfId="9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0" fillId="2" borderId="2" xfId="9" applyFont="1" applyFill="1" applyBorder="1" applyAlignment="1">
      <alignment horizontal="left" vertical="center" wrapText="1"/>
    </xf>
    <xf numFmtId="4" fontId="5" fillId="3" borderId="2" xfId="1" applyNumberFormat="1" applyFont="1" applyFill="1" applyBorder="1" applyAlignment="1">
      <alignment horizontal="center" vertical="center" wrapText="1"/>
    </xf>
    <xf numFmtId="9" fontId="0" fillId="0" borderId="2" xfId="0" applyNumberFormat="1" applyBorder="1"/>
    <xf numFmtId="4" fontId="5" fillId="0" borderId="2" xfId="1" applyNumberFormat="1" applyFont="1" applyBorder="1" applyAlignment="1">
      <alignment horizontal="right" vertical="center" wrapText="1"/>
    </xf>
    <xf numFmtId="4" fontId="6" fillId="3" borderId="2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" xfId="0" applyNumberFormat="1" applyBorder="1"/>
    <xf numFmtId="0" fontId="10" fillId="2" borderId="1" xfId="9" applyFont="1" applyFill="1" applyBorder="1" applyAlignment="1">
      <alignment horizontal="right" vertical="center" wrapText="1"/>
    </xf>
    <xf numFmtId="4" fontId="5" fillId="0" borderId="1" xfId="1" applyNumberFormat="1" applyFont="1" applyBorder="1" applyAlignment="1">
      <alignment horizontal="right" vertical="center" wrapText="1"/>
    </xf>
    <xf numFmtId="4" fontId="6" fillId="3" borderId="1" xfId="1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4" fontId="0" fillId="0" borderId="1" xfId="0" applyNumberFormat="1" applyBorder="1"/>
    <xf numFmtId="0" fontId="0" fillId="4" borderId="2" xfId="0" applyFill="1" applyBorder="1"/>
    <xf numFmtId="0" fontId="0" fillId="0" borderId="0" xfId="0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1" xfId="9" applyFont="1" applyFill="1" applyBorder="1" applyAlignment="1">
      <alignment horizontal="center" vertical="center" wrapText="1"/>
    </xf>
    <xf numFmtId="4" fontId="5" fillId="0" borderId="1" xfId="1" applyNumberFormat="1" applyFont="1" applyBorder="1" applyAlignment="1">
      <alignment horizontal="center" vertical="center" wrapText="1"/>
    </xf>
    <xf numFmtId="4" fontId="6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11" fillId="0" borderId="4" xfId="9" applyNumberFormat="1" applyFont="1" applyBorder="1" applyAlignment="1">
      <alignment horizontal="center" vertical="center" wrapText="1"/>
    </xf>
    <xf numFmtId="0" fontId="11" fillId="0" borderId="4" xfId="9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0" fillId="2" borderId="6" xfId="9" applyFont="1" applyFill="1" applyBorder="1" applyAlignment="1">
      <alignment horizontal="center" vertical="center" wrapText="1"/>
    </xf>
    <xf numFmtId="4" fontId="5" fillId="0" borderId="7" xfId="1" applyNumberFormat="1" applyFont="1" applyBorder="1" applyAlignment="1">
      <alignment horizontal="center" vertical="center" wrapText="1"/>
    </xf>
    <xf numFmtId="4" fontId="5" fillId="3" borderId="7" xfId="1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0" fontId="10" fillId="2" borderId="9" xfId="9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14" fillId="2" borderId="3" xfId="9" applyFont="1" applyFill="1" applyBorder="1" applyAlignment="1">
      <alignment horizontal="left" vertical="center" wrapText="1"/>
    </xf>
    <xf numFmtId="4" fontId="15" fillId="0" borderId="4" xfId="1" applyNumberFormat="1" applyFont="1" applyBorder="1" applyAlignment="1">
      <alignment horizontal="left" vertical="center" wrapText="1"/>
    </xf>
    <xf numFmtId="4" fontId="18" fillId="5" borderId="4" xfId="9" applyNumberFormat="1" applyFont="1" applyFill="1" applyBorder="1" applyAlignment="1">
      <alignment horizontal="center" vertical="center" wrapText="1"/>
    </xf>
    <xf numFmtId="0" fontId="18" fillId="5" borderId="4" xfId="9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4" fontId="15" fillId="3" borderId="4" xfId="1" applyNumberFormat="1" applyFont="1" applyFill="1" applyBorder="1" applyAlignment="1">
      <alignment horizontal="right" vertical="center" wrapText="1"/>
    </xf>
    <xf numFmtId="4" fontId="14" fillId="3" borderId="4" xfId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4" fontId="17" fillId="0" borderId="4" xfId="0" applyNumberFormat="1" applyFont="1" applyBorder="1" applyAlignment="1">
      <alignment horizontal="right" vertical="center" wrapText="1"/>
    </xf>
    <xf numFmtId="4" fontId="19" fillId="6" borderId="7" xfId="0" applyNumberFormat="1" applyFont="1" applyFill="1" applyBorder="1" applyAlignment="1">
      <alignment horizontal="right" vertical="center"/>
    </xf>
    <xf numFmtId="0" fontId="19" fillId="6" borderId="7" xfId="0" applyFont="1" applyFill="1" applyBorder="1" applyAlignment="1">
      <alignment horizontal="left" vertical="center" wrapText="1"/>
    </xf>
    <xf numFmtId="4" fontId="19" fillId="6" borderId="7" xfId="0" applyNumberFormat="1" applyFont="1" applyFill="1" applyBorder="1" applyAlignment="1">
      <alignment horizontal="right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19" fillId="6" borderId="6" xfId="0" applyFont="1" applyFill="1" applyBorder="1" applyAlignment="1">
      <alignment horizontal="left" vertical="center"/>
    </xf>
    <xf numFmtId="4" fontId="19" fillId="6" borderId="7" xfId="0" applyNumberFormat="1" applyFont="1" applyFill="1" applyBorder="1" applyAlignment="1">
      <alignment horizontal="left" vertical="center"/>
    </xf>
    <xf numFmtId="49" fontId="16" fillId="0" borderId="4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0"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3" xfId="9" xr:uid="{B67E1512-502F-464B-AC67-7538F30F2EF1}"/>
    <cellStyle name="Обычный 2 4" xfId="7" xr:uid="{3944335D-CAC8-450F-9C52-71AECC0453E1}"/>
    <cellStyle name="Обычный 3" xfId="6" xr:uid="{AE2101D6-F48F-40BB-8EA0-68A2806A1B82}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45FE-47CD-4AF4-9E73-8B57C5BA8CD4}">
  <dimension ref="A1:I29"/>
  <sheetViews>
    <sheetView zoomScaleNormal="100" workbookViewId="0">
      <selection activeCell="K11" sqref="K11"/>
    </sheetView>
  </sheetViews>
  <sheetFormatPr defaultRowHeight="14.4" x14ac:dyDescent="0.3"/>
  <cols>
    <col min="1" max="1" width="90.6640625" customWidth="1"/>
    <col min="2" max="3" width="0" hidden="1" customWidth="1"/>
    <col min="4" max="4" width="15.88671875" hidden="1" customWidth="1"/>
    <col min="5" max="5" width="10.33203125" hidden="1" customWidth="1"/>
    <col min="6" max="6" width="33.88671875" hidden="1" customWidth="1"/>
    <col min="7" max="7" width="41.5546875" bestFit="1" customWidth="1"/>
    <col min="8" max="8" width="34.88671875" bestFit="1" customWidth="1"/>
    <col min="9" max="9" width="30.88671875" customWidth="1"/>
  </cols>
  <sheetData>
    <row r="1" spans="1:9" ht="43.2" x14ac:dyDescent="0.3">
      <c r="A1" s="3" t="s">
        <v>30</v>
      </c>
      <c r="B1" s="7"/>
      <c r="C1" s="7"/>
      <c r="D1" s="4" t="s">
        <v>27</v>
      </c>
      <c r="E1" s="5" t="s">
        <v>28</v>
      </c>
      <c r="F1" s="6" t="s">
        <v>29</v>
      </c>
      <c r="G1" s="7" t="s">
        <v>35</v>
      </c>
      <c r="H1" s="7" t="s">
        <v>36</v>
      </c>
      <c r="I1" s="7" t="s">
        <v>37</v>
      </c>
    </row>
    <row r="2" spans="1:9" x14ac:dyDescent="0.3">
      <c r="A2" s="8" t="s">
        <v>7</v>
      </c>
      <c r="B2" s="1" t="s">
        <v>0</v>
      </c>
      <c r="C2" s="9">
        <f>480/8</f>
        <v>60</v>
      </c>
      <c r="D2" s="7" t="s">
        <v>31</v>
      </c>
      <c r="E2" s="7"/>
      <c r="F2" s="15">
        <v>25</v>
      </c>
      <c r="G2" s="21" t="s">
        <v>39</v>
      </c>
      <c r="H2" s="21"/>
      <c r="I2" s="66" t="s">
        <v>38</v>
      </c>
    </row>
    <row r="3" spans="1:9" x14ac:dyDescent="0.3">
      <c r="A3" s="8" t="s">
        <v>2</v>
      </c>
      <c r="B3" s="1" t="s">
        <v>0</v>
      </c>
      <c r="C3" s="9">
        <f t="shared" ref="C3:C9" si="0">480/8</f>
        <v>60</v>
      </c>
      <c r="D3" s="7"/>
      <c r="E3" s="7"/>
      <c r="F3" s="15">
        <v>60</v>
      </c>
      <c r="G3" s="21" t="s">
        <v>40</v>
      </c>
      <c r="H3" s="21"/>
      <c r="I3" s="66"/>
    </row>
    <row r="4" spans="1:9" x14ac:dyDescent="0.3">
      <c r="A4" s="8" t="s">
        <v>1</v>
      </c>
      <c r="B4" s="1" t="s">
        <v>0</v>
      </c>
      <c r="C4" s="9">
        <f t="shared" si="0"/>
        <v>60</v>
      </c>
      <c r="D4" s="10">
        <v>1</v>
      </c>
      <c r="E4" s="7"/>
      <c r="F4" s="15"/>
      <c r="G4" s="21" t="s">
        <v>40</v>
      </c>
      <c r="H4" s="21"/>
      <c r="I4" s="66"/>
    </row>
    <row r="5" spans="1:9" x14ac:dyDescent="0.3">
      <c r="A5" s="8" t="s">
        <v>3</v>
      </c>
      <c r="B5" s="1" t="s">
        <v>0</v>
      </c>
      <c r="C5" s="9">
        <f t="shared" si="0"/>
        <v>60</v>
      </c>
      <c r="D5" s="10">
        <v>0.5</v>
      </c>
      <c r="E5" s="7"/>
      <c r="F5" s="15">
        <f>30</f>
        <v>30</v>
      </c>
      <c r="G5" s="21" t="s">
        <v>41</v>
      </c>
      <c r="H5" s="21" t="s">
        <v>42</v>
      </c>
      <c r="I5" s="66"/>
    </row>
    <row r="6" spans="1:9" x14ac:dyDescent="0.3">
      <c r="A6" s="8" t="s">
        <v>4</v>
      </c>
      <c r="B6" s="1" t="s">
        <v>0</v>
      </c>
      <c r="C6" s="9">
        <f t="shared" si="0"/>
        <v>60</v>
      </c>
      <c r="D6" s="10">
        <v>0.5</v>
      </c>
      <c r="E6" s="7"/>
      <c r="F6" s="15">
        <f>30</f>
        <v>30</v>
      </c>
      <c r="G6" s="7"/>
      <c r="H6" s="7"/>
      <c r="I6" s="66"/>
    </row>
    <row r="7" spans="1:9" x14ac:dyDescent="0.3">
      <c r="A7" s="8" t="s">
        <v>8</v>
      </c>
      <c r="B7" s="1" t="s">
        <v>0</v>
      </c>
      <c r="C7" s="9">
        <f t="shared" si="0"/>
        <v>60</v>
      </c>
      <c r="D7" s="10">
        <v>0.5</v>
      </c>
      <c r="E7" s="7"/>
      <c r="F7" s="15">
        <f>30</f>
        <v>30</v>
      </c>
      <c r="G7" s="7"/>
      <c r="H7" s="7"/>
      <c r="I7" s="66"/>
    </row>
    <row r="8" spans="1:9" x14ac:dyDescent="0.3">
      <c r="A8" s="8" t="s">
        <v>5</v>
      </c>
      <c r="B8" s="1" t="s">
        <v>0</v>
      </c>
      <c r="C8" s="9">
        <f t="shared" si="0"/>
        <v>60</v>
      </c>
      <c r="D8" s="7"/>
      <c r="E8" s="7"/>
      <c r="F8" s="15">
        <f>C8</f>
        <v>60</v>
      </c>
      <c r="G8" s="7"/>
      <c r="H8" s="7"/>
      <c r="I8" s="66"/>
    </row>
    <row r="9" spans="1:9" x14ac:dyDescent="0.3">
      <c r="A9" s="8" t="s">
        <v>6</v>
      </c>
      <c r="B9" s="1" t="s">
        <v>0</v>
      </c>
      <c r="C9" s="9">
        <f t="shared" si="0"/>
        <v>60</v>
      </c>
      <c r="D9" s="7"/>
      <c r="E9" s="7"/>
      <c r="F9" s="15">
        <f t="shared" ref="F9:F28" si="1">C9</f>
        <v>60</v>
      </c>
      <c r="G9" s="7"/>
      <c r="H9" s="7"/>
      <c r="I9" s="66"/>
    </row>
    <row r="10" spans="1:9" x14ac:dyDescent="0.3">
      <c r="A10" s="8" t="s">
        <v>9</v>
      </c>
      <c r="B10" s="1" t="s">
        <v>0</v>
      </c>
      <c r="C10" s="2">
        <f>1080/7</f>
        <v>154.28571428571428</v>
      </c>
      <c r="D10" s="7"/>
      <c r="E10" s="7"/>
      <c r="F10" s="15">
        <f t="shared" si="1"/>
        <v>154.28571428571428</v>
      </c>
      <c r="G10" s="7"/>
      <c r="H10" s="7"/>
      <c r="I10" s="66"/>
    </row>
    <row r="11" spans="1:9" x14ac:dyDescent="0.3">
      <c r="A11" s="8" t="s">
        <v>10</v>
      </c>
      <c r="B11" s="1" t="s">
        <v>0</v>
      </c>
      <c r="C11" s="2">
        <f t="shared" ref="C11:C16" si="2">1080/7</f>
        <v>154.28571428571428</v>
      </c>
      <c r="D11" s="7"/>
      <c r="E11" s="7"/>
      <c r="F11" s="15">
        <f t="shared" si="1"/>
        <v>154.28571428571428</v>
      </c>
      <c r="G11" s="7"/>
      <c r="H11" s="7"/>
      <c r="I11" s="66"/>
    </row>
    <row r="12" spans="1:9" x14ac:dyDescent="0.3">
      <c r="A12" s="8" t="s">
        <v>11</v>
      </c>
      <c r="B12" s="1" t="s">
        <v>0</v>
      </c>
      <c r="C12" s="2">
        <f t="shared" si="2"/>
        <v>154.28571428571428</v>
      </c>
      <c r="D12" s="7"/>
      <c r="E12" s="7"/>
      <c r="F12" s="15">
        <f t="shared" si="1"/>
        <v>154.28571428571428</v>
      </c>
      <c r="G12" s="7"/>
      <c r="H12" s="7"/>
      <c r="I12" s="66"/>
    </row>
    <row r="13" spans="1:9" x14ac:dyDescent="0.3">
      <c r="A13" s="8" t="s">
        <v>12</v>
      </c>
      <c r="B13" s="1" t="s">
        <v>0</v>
      </c>
      <c r="C13" s="2">
        <f t="shared" si="2"/>
        <v>154.28571428571428</v>
      </c>
      <c r="D13" s="7"/>
      <c r="E13" s="7"/>
      <c r="F13" s="15">
        <f t="shared" si="1"/>
        <v>154.28571428571428</v>
      </c>
      <c r="G13" s="7"/>
      <c r="H13" s="7"/>
      <c r="I13" s="66"/>
    </row>
    <row r="14" spans="1:9" x14ac:dyDescent="0.3">
      <c r="A14" s="8" t="s">
        <v>14</v>
      </c>
      <c r="B14" s="1" t="s">
        <v>0</v>
      </c>
      <c r="C14" s="2">
        <f t="shared" si="2"/>
        <v>154.28571428571428</v>
      </c>
      <c r="D14" s="7"/>
      <c r="E14" s="7"/>
      <c r="F14" s="15">
        <f t="shared" si="1"/>
        <v>154.28571428571428</v>
      </c>
      <c r="G14" s="7"/>
      <c r="H14" s="7"/>
      <c r="I14" s="66"/>
    </row>
    <row r="15" spans="1:9" x14ac:dyDescent="0.3">
      <c r="A15" s="8" t="s">
        <v>13</v>
      </c>
      <c r="B15" s="1" t="s">
        <v>0</v>
      </c>
      <c r="C15" s="2">
        <f t="shared" si="2"/>
        <v>154.28571428571428</v>
      </c>
      <c r="D15" s="7" t="s">
        <v>34</v>
      </c>
      <c r="E15" s="7"/>
      <c r="F15" s="15">
        <f t="shared" si="1"/>
        <v>154.28571428571428</v>
      </c>
      <c r="G15" s="7"/>
      <c r="H15" s="7"/>
      <c r="I15" s="66"/>
    </row>
    <row r="16" spans="1:9" x14ac:dyDescent="0.3">
      <c r="A16" s="8" t="s">
        <v>15</v>
      </c>
      <c r="B16" s="1" t="s">
        <v>0</v>
      </c>
      <c r="C16" s="2">
        <f t="shared" si="2"/>
        <v>154.28571428571428</v>
      </c>
      <c r="D16" s="7"/>
      <c r="E16" s="7"/>
      <c r="F16" s="15">
        <f t="shared" si="1"/>
        <v>154.28571428571428</v>
      </c>
      <c r="G16" s="7"/>
      <c r="H16" s="7"/>
      <c r="I16" s="66"/>
    </row>
    <row r="17" spans="1:9" x14ac:dyDescent="0.3">
      <c r="A17" s="8" t="s">
        <v>16</v>
      </c>
      <c r="B17" s="1" t="s">
        <v>0</v>
      </c>
      <c r="C17" s="2">
        <f>3*8*1*8</f>
        <v>192</v>
      </c>
      <c r="D17" s="7"/>
      <c r="E17" s="7"/>
      <c r="F17" s="15">
        <f t="shared" si="1"/>
        <v>192</v>
      </c>
      <c r="G17" s="7"/>
      <c r="H17" s="7"/>
      <c r="I17" s="66"/>
    </row>
    <row r="18" spans="1:9" x14ac:dyDescent="0.3">
      <c r="A18" s="8" t="s">
        <v>17</v>
      </c>
      <c r="B18" s="1" t="s">
        <v>0</v>
      </c>
      <c r="C18" s="2">
        <f>3*8*0.5*8</f>
        <v>96</v>
      </c>
      <c r="D18" s="7"/>
      <c r="E18" s="7"/>
      <c r="F18" s="15">
        <f t="shared" si="1"/>
        <v>96</v>
      </c>
      <c r="G18" s="7"/>
      <c r="H18" s="7"/>
      <c r="I18" s="66"/>
    </row>
    <row r="19" spans="1:9" x14ac:dyDescent="0.3">
      <c r="A19" s="8" t="s">
        <v>18</v>
      </c>
      <c r="B19" s="1" t="s">
        <v>0</v>
      </c>
      <c r="C19" s="2">
        <f>3*8*2*8</f>
        <v>384</v>
      </c>
      <c r="D19" s="7"/>
      <c r="E19" s="7"/>
      <c r="F19" s="15">
        <f t="shared" si="1"/>
        <v>384</v>
      </c>
      <c r="G19" s="7"/>
      <c r="H19" s="7"/>
      <c r="I19" s="66"/>
    </row>
    <row r="20" spans="1:9" x14ac:dyDescent="0.3">
      <c r="A20" s="8" t="s">
        <v>19</v>
      </c>
      <c r="B20" s="1" t="s">
        <v>0</v>
      </c>
      <c r="C20" s="2">
        <f>3*8*4</f>
        <v>96</v>
      </c>
      <c r="D20" s="7"/>
      <c r="E20" s="7"/>
      <c r="F20" s="15">
        <f t="shared" si="1"/>
        <v>96</v>
      </c>
      <c r="G20" s="7"/>
      <c r="H20" s="7"/>
      <c r="I20" s="66"/>
    </row>
    <row r="21" spans="1:9" x14ac:dyDescent="0.3">
      <c r="A21" s="8" t="s">
        <v>20</v>
      </c>
      <c r="B21" s="1" t="s">
        <v>0</v>
      </c>
      <c r="C21" s="2">
        <f>2*8*1</f>
        <v>16</v>
      </c>
      <c r="D21" s="7"/>
      <c r="E21" s="7"/>
      <c r="F21" s="15">
        <f t="shared" si="1"/>
        <v>16</v>
      </c>
      <c r="G21" s="7"/>
      <c r="H21" s="7"/>
      <c r="I21" s="66"/>
    </row>
    <row r="22" spans="1:9" x14ac:dyDescent="0.3">
      <c r="A22" s="8" t="s">
        <v>21</v>
      </c>
      <c r="B22" s="1" t="s">
        <v>0</v>
      </c>
      <c r="C22" s="2">
        <v>0</v>
      </c>
      <c r="D22" s="7"/>
      <c r="E22" s="7"/>
      <c r="F22" s="15">
        <f t="shared" si="1"/>
        <v>0</v>
      </c>
      <c r="G22" s="7"/>
      <c r="H22" s="7"/>
      <c r="I22" s="66"/>
    </row>
    <row r="23" spans="1:9" x14ac:dyDescent="0.3">
      <c r="A23" s="8" t="s">
        <v>22</v>
      </c>
      <c r="B23" s="1" t="s">
        <v>0</v>
      </c>
      <c r="C23" s="2">
        <f>3*8*4</f>
        <v>96</v>
      </c>
      <c r="D23" s="7"/>
      <c r="E23" s="7"/>
      <c r="F23" s="15">
        <f t="shared" si="1"/>
        <v>96</v>
      </c>
      <c r="G23" s="7"/>
      <c r="H23" s="7"/>
      <c r="I23" s="66"/>
    </row>
    <row r="24" spans="1:9" x14ac:dyDescent="0.3">
      <c r="A24" s="8" t="s">
        <v>23</v>
      </c>
      <c r="B24" s="1" t="s">
        <v>0</v>
      </c>
      <c r="C24" s="2">
        <f>100/4</f>
        <v>25</v>
      </c>
      <c r="D24" s="7"/>
      <c r="E24" s="7"/>
      <c r="F24" s="15">
        <f t="shared" si="1"/>
        <v>25</v>
      </c>
      <c r="G24" s="7"/>
      <c r="H24" s="7"/>
      <c r="I24" s="66"/>
    </row>
    <row r="25" spans="1:9" x14ac:dyDescent="0.3">
      <c r="A25" s="8" t="s">
        <v>24</v>
      </c>
      <c r="B25" s="1" t="s">
        <v>0</v>
      </c>
      <c r="C25" s="2">
        <f t="shared" ref="C25:C27" si="3">100/4</f>
        <v>25</v>
      </c>
      <c r="D25" s="7"/>
      <c r="E25" s="7"/>
      <c r="F25" s="15">
        <f t="shared" si="1"/>
        <v>25</v>
      </c>
      <c r="G25" s="7"/>
      <c r="H25" s="7"/>
      <c r="I25" s="66"/>
    </row>
    <row r="26" spans="1:9" x14ac:dyDescent="0.3">
      <c r="A26" s="8" t="s">
        <v>25</v>
      </c>
      <c r="B26" s="11" t="s">
        <v>0</v>
      </c>
      <c r="C26" s="12">
        <f t="shared" si="3"/>
        <v>25</v>
      </c>
      <c r="D26" s="13"/>
      <c r="E26" s="13"/>
      <c r="F26" s="15">
        <f t="shared" si="1"/>
        <v>25</v>
      </c>
      <c r="G26" s="7"/>
      <c r="H26" s="7"/>
      <c r="I26" s="66"/>
    </row>
    <row r="27" spans="1:9" x14ac:dyDescent="0.3">
      <c r="A27" s="8" t="s">
        <v>26</v>
      </c>
      <c r="B27" s="11" t="s">
        <v>0</v>
      </c>
      <c r="C27" s="12">
        <f t="shared" si="3"/>
        <v>25</v>
      </c>
      <c r="D27" s="13"/>
      <c r="E27" s="13"/>
      <c r="F27" s="15">
        <f t="shared" si="1"/>
        <v>25</v>
      </c>
      <c r="G27" s="7"/>
      <c r="H27" s="7"/>
      <c r="I27" s="66"/>
    </row>
    <row r="28" spans="1:9" hidden="1" x14ac:dyDescent="0.3">
      <c r="A28" s="16" t="s">
        <v>33</v>
      </c>
      <c r="B28" s="17"/>
      <c r="C28" s="18"/>
      <c r="D28" s="19"/>
      <c r="E28" s="19">
        <v>155</v>
      </c>
      <c r="F28" s="20">
        <f t="shared" si="1"/>
        <v>0</v>
      </c>
    </row>
    <row r="29" spans="1:9" hidden="1" x14ac:dyDescent="0.3">
      <c r="A29" s="67" t="s">
        <v>32</v>
      </c>
      <c r="B29" s="67"/>
      <c r="C29" s="14">
        <f>SUM(C2:C27)</f>
        <v>2539.9999999999995</v>
      </c>
      <c r="D29" s="13"/>
      <c r="E29" s="13">
        <f>SUM(E2:E28)</f>
        <v>155</v>
      </c>
      <c r="F29" s="14">
        <f>SUM(F2:F28)</f>
        <v>2355</v>
      </c>
    </row>
  </sheetData>
  <mergeCells count="2">
    <mergeCell ref="I2:I27"/>
    <mergeCell ref="A29:B2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6072-0B0C-4AE5-B591-0B1AFB018A28}">
  <dimension ref="A1:L28"/>
  <sheetViews>
    <sheetView tabSelected="1" zoomScale="70" zoomScaleNormal="70" workbookViewId="0">
      <pane ySplit="1" topLeftCell="A2" activePane="bottomLeft" state="frozen"/>
      <selection activeCell="K11" sqref="K11"/>
      <selection pane="bottomLeft" activeCell="F10" sqref="F10"/>
    </sheetView>
  </sheetViews>
  <sheetFormatPr defaultRowHeight="14.4" x14ac:dyDescent="0.3"/>
  <cols>
    <col min="1" max="1" width="40.6640625" style="53" bestFit="1" customWidth="1"/>
    <col min="2" max="2" width="8.21875" style="22" bestFit="1" customWidth="1"/>
    <col min="3" max="3" width="8.6640625" style="22" bestFit="1" customWidth="1"/>
    <col min="4" max="4" width="14.88671875" style="53" bestFit="1" customWidth="1"/>
    <col min="5" max="5" width="9.77734375" style="53" bestFit="1" customWidth="1"/>
    <col min="6" max="6" width="27.88671875" style="53" bestFit="1" customWidth="1"/>
    <col min="7" max="7" width="32.21875" style="53" bestFit="1" customWidth="1"/>
    <col min="8" max="8" width="16.6640625" style="53" bestFit="1" customWidth="1"/>
    <col min="9" max="9" width="9.33203125" style="53" bestFit="1" customWidth="1"/>
    <col min="10" max="16384" width="8.88671875" style="22"/>
  </cols>
  <sheetData>
    <row r="1" spans="1:12" ht="40.200000000000003" thickBot="1" x14ac:dyDescent="0.35">
      <c r="A1" s="50" t="s">
        <v>30</v>
      </c>
      <c r="B1" s="49"/>
      <c r="C1" s="49"/>
      <c r="D1" s="47" t="s">
        <v>27</v>
      </c>
      <c r="E1" s="48" t="s">
        <v>28</v>
      </c>
      <c r="F1" s="49" t="s">
        <v>29</v>
      </c>
      <c r="G1" s="49" t="s">
        <v>35</v>
      </c>
      <c r="H1" s="49" t="s">
        <v>43</v>
      </c>
      <c r="I1" s="49" t="s">
        <v>37</v>
      </c>
    </row>
    <row r="2" spans="1:12" ht="15" thickBot="1" x14ac:dyDescent="0.35">
      <c r="A2" s="45" t="s">
        <v>7</v>
      </c>
      <c r="B2" s="46" t="s">
        <v>0</v>
      </c>
      <c r="C2" s="51">
        <f>480/8</f>
        <v>60</v>
      </c>
      <c r="D2" s="59" t="s">
        <v>31</v>
      </c>
      <c r="E2" s="54"/>
      <c r="F2" s="55">
        <v>25</v>
      </c>
      <c r="G2" s="60" t="s">
        <v>39</v>
      </c>
      <c r="H2" s="60"/>
      <c r="I2" s="70"/>
    </row>
    <row r="3" spans="1:12" ht="15" thickBot="1" x14ac:dyDescent="0.35">
      <c r="A3" s="45" t="s">
        <v>2</v>
      </c>
      <c r="B3" s="46" t="s">
        <v>0</v>
      </c>
      <c r="C3" s="51">
        <f t="shared" ref="C3:C9" si="0">480/8</f>
        <v>60</v>
      </c>
      <c r="D3" s="59" t="s">
        <v>69</v>
      </c>
      <c r="E3" s="54"/>
      <c r="F3" s="55">
        <v>60</v>
      </c>
      <c r="G3" s="60" t="s">
        <v>40</v>
      </c>
      <c r="H3" s="60" t="s">
        <v>68</v>
      </c>
      <c r="I3" s="70"/>
    </row>
    <row r="4" spans="1:12" ht="15" thickBot="1" x14ac:dyDescent="0.35">
      <c r="A4" s="45" t="s">
        <v>1</v>
      </c>
      <c r="B4" s="46" t="s">
        <v>0</v>
      </c>
      <c r="C4" s="51">
        <f t="shared" si="0"/>
        <v>60</v>
      </c>
      <c r="D4" s="59" t="s">
        <v>69</v>
      </c>
      <c r="E4" s="54"/>
      <c r="F4" s="55"/>
      <c r="G4" s="60" t="s">
        <v>40</v>
      </c>
      <c r="H4" s="60" t="s">
        <v>68</v>
      </c>
      <c r="I4" s="70"/>
      <c r="L4" s="44"/>
    </row>
    <row r="5" spans="1:12" ht="15" thickBot="1" x14ac:dyDescent="0.35">
      <c r="A5" s="45" t="s">
        <v>3</v>
      </c>
      <c r="B5" s="46" t="s">
        <v>0</v>
      </c>
      <c r="C5" s="51">
        <f t="shared" si="0"/>
        <v>60</v>
      </c>
      <c r="D5" s="59" t="s">
        <v>69</v>
      </c>
      <c r="E5" s="54"/>
      <c r="F5" s="55">
        <f>30</f>
        <v>30</v>
      </c>
      <c r="G5" s="60" t="s">
        <v>40</v>
      </c>
      <c r="H5" s="60" t="s">
        <v>68</v>
      </c>
      <c r="I5" s="70"/>
    </row>
    <row r="6" spans="1:12" ht="15" thickBot="1" x14ac:dyDescent="0.35">
      <c r="A6" s="45" t="s">
        <v>49</v>
      </c>
      <c r="B6" s="46" t="s">
        <v>0</v>
      </c>
      <c r="C6" s="51">
        <f t="shared" si="0"/>
        <v>60</v>
      </c>
      <c r="D6" s="59" t="s">
        <v>69</v>
      </c>
      <c r="E6" s="54"/>
      <c r="F6" s="55">
        <f>30</f>
        <v>30</v>
      </c>
      <c r="G6" s="60" t="s">
        <v>40</v>
      </c>
      <c r="H6" s="60" t="s">
        <v>68</v>
      </c>
      <c r="I6" s="70"/>
    </row>
    <row r="7" spans="1:12" ht="15" thickBot="1" x14ac:dyDescent="0.35">
      <c r="A7" s="45" t="s">
        <v>8</v>
      </c>
      <c r="B7" s="46" t="s">
        <v>0</v>
      </c>
      <c r="C7" s="51">
        <f t="shared" si="0"/>
        <v>60</v>
      </c>
      <c r="D7" s="59" t="s">
        <v>69</v>
      </c>
      <c r="E7" s="54"/>
      <c r="F7" s="55">
        <f>30</f>
        <v>30</v>
      </c>
      <c r="G7" s="60" t="s">
        <v>40</v>
      </c>
      <c r="H7" s="60" t="s">
        <v>68</v>
      </c>
      <c r="I7" s="70"/>
    </row>
    <row r="8" spans="1:12" ht="15" thickBot="1" x14ac:dyDescent="0.35">
      <c r="A8" s="45" t="s">
        <v>5</v>
      </c>
      <c r="B8" s="46" t="s">
        <v>0</v>
      </c>
      <c r="C8" s="51">
        <f t="shared" si="0"/>
        <v>60</v>
      </c>
      <c r="D8" s="59" t="s">
        <v>69</v>
      </c>
      <c r="E8" s="54"/>
      <c r="F8" s="55">
        <f>C8</f>
        <v>60</v>
      </c>
      <c r="G8" s="60" t="s">
        <v>40</v>
      </c>
      <c r="H8" s="60" t="s">
        <v>68</v>
      </c>
      <c r="I8" s="70"/>
    </row>
    <row r="9" spans="1:12" ht="15" thickBot="1" x14ac:dyDescent="0.35">
      <c r="A9" s="45" t="s">
        <v>6</v>
      </c>
      <c r="B9" s="46" t="s">
        <v>0</v>
      </c>
      <c r="C9" s="51">
        <f t="shared" si="0"/>
        <v>60</v>
      </c>
      <c r="D9" s="59" t="s">
        <v>70</v>
      </c>
      <c r="E9" s="54"/>
      <c r="F9" s="55">
        <f t="shared" ref="F9:F27" si="1">C9</f>
        <v>60</v>
      </c>
      <c r="G9" s="60" t="s">
        <v>44</v>
      </c>
      <c r="H9" s="60"/>
      <c r="I9" s="70"/>
    </row>
    <row r="10" spans="1:12" ht="15" thickBot="1" x14ac:dyDescent="0.35">
      <c r="A10" s="45" t="s">
        <v>9</v>
      </c>
      <c r="B10" s="46" t="s">
        <v>0</v>
      </c>
      <c r="C10" s="52">
        <f>1080/7</f>
        <v>154.28571428571428</v>
      </c>
      <c r="D10" s="59" t="s">
        <v>69</v>
      </c>
      <c r="E10" s="54"/>
      <c r="F10" s="55">
        <f t="shared" si="1"/>
        <v>154.28571428571428</v>
      </c>
      <c r="G10" s="60" t="s">
        <v>62</v>
      </c>
      <c r="H10" s="60" t="s">
        <v>68</v>
      </c>
      <c r="I10" s="70"/>
    </row>
    <row r="11" spans="1:12" ht="15" thickBot="1" x14ac:dyDescent="0.35">
      <c r="A11" s="45" t="s">
        <v>10</v>
      </c>
      <c r="B11" s="46" t="s">
        <v>0</v>
      </c>
      <c r="C11" s="52">
        <f t="shared" ref="C11:C16" si="2">1080/7</f>
        <v>154.28571428571428</v>
      </c>
      <c r="D11" s="59" t="s">
        <v>69</v>
      </c>
      <c r="E11" s="54"/>
      <c r="F11" s="55">
        <f t="shared" si="1"/>
        <v>154.28571428571428</v>
      </c>
      <c r="G11" s="60" t="s">
        <v>63</v>
      </c>
      <c r="H11" s="60" t="s">
        <v>60</v>
      </c>
      <c r="I11" s="70"/>
    </row>
    <row r="12" spans="1:12" ht="15" thickBot="1" x14ac:dyDescent="0.35">
      <c r="A12" s="45" t="s">
        <v>11</v>
      </c>
      <c r="B12" s="46" t="s">
        <v>0</v>
      </c>
      <c r="C12" s="52">
        <f t="shared" si="2"/>
        <v>154.28571428571428</v>
      </c>
      <c r="D12" s="59" t="s">
        <v>69</v>
      </c>
      <c r="E12" s="54"/>
      <c r="F12" s="55">
        <f t="shared" si="1"/>
        <v>154.28571428571428</v>
      </c>
      <c r="G12" s="60" t="s">
        <v>63</v>
      </c>
      <c r="H12" s="60"/>
      <c r="I12" s="70"/>
    </row>
    <row r="13" spans="1:12" ht="15" thickBot="1" x14ac:dyDescent="0.35">
      <c r="A13" s="45" t="s">
        <v>12</v>
      </c>
      <c r="B13" s="46" t="s">
        <v>0</v>
      </c>
      <c r="C13" s="52">
        <f t="shared" si="2"/>
        <v>154.28571428571428</v>
      </c>
      <c r="D13" s="59" t="s">
        <v>69</v>
      </c>
      <c r="E13" s="54"/>
      <c r="F13" s="55">
        <f t="shared" si="1"/>
        <v>154.28571428571428</v>
      </c>
      <c r="G13" s="60" t="s">
        <v>62</v>
      </c>
      <c r="H13" s="60"/>
      <c r="I13" s="70"/>
    </row>
    <row r="14" spans="1:12" ht="15" thickBot="1" x14ac:dyDescent="0.35">
      <c r="A14" s="45" t="s">
        <v>14</v>
      </c>
      <c r="B14" s="46" t="s">
        <v>0</v>
      </c>
      <c r="C14" s="52">
        <f t="shared" si="2"/>
        <v>154.28571428571428</v>
      </c>
      <c r="D14" s="59" t="s">
        <v>69</v>
      </c>
      <c r="E14" s="54"/>
      <c r="F14" s="55">
        <f t="shared" si="1"/>
        <v>154.28571428571428</v>
      </c>
      <c r="G14" s="60" t="s">
        <v>63</v>
      </c>
      <c r="H14" s="60"/>
      <c r="I14" s="70"/>
    </row>
    <row r="15" spans="1:12" ht="15" thickBot="1" x14ac:dyDescent="0.35">
      <c r="A15" s="45" t="s">
        <v>13</v>
      </c>
      <c r="B15" s="46" t="s">
        <v>0</v>
      </c>
      <c r="C15" s="52">
        <f t="shared" si="2"/>
        <v>154.28571428571428</v>
      </c>
      <c r="D15" s="59" t="s">
        <v>69</v>
      </c>
      <c r="E15" s="54"/>
      <c r="F15" s="55">
        <f t="shared" si="1"/>
        <v>154.28571428571428</v>
      </c>
      <c r="G15" s="60" t="s">
        <v>63</v>
      </c>
      <c r="H15" s="60"/>
      <c r="I15" s="70"/>
    </row>
    <row r="16" spans="1:12" ht="15" thickBot="1" x14ac:dyDescent="0.35">
      <c r="A16" s="45" t="s">
        <v>15</v>
      </c>
      <c r="B16" s="46" t="s">
        <v>0</v>
      </c>
      <c r="C16" s="52">
        <f t="shared" si="2"/>
        <v>154.28571428571428</v>
      </c>
      <c r="D16" s="59" t="s">
        <v>69</v>
      </c>
      <c r="E16" s="54"/>
      <c r="F16" s="55">
        <f t="shared" si="1"/>
        <v>154.28571428571428</v>
      </c>
      <c r="G16" s="60" t="s">
        <v>64</v>
      </c>
      <c r="H16" s="60"/>
      <c r="I16" s="70"/>
    </row>
    <row r="17" spans="1:9" ht="15" thickBot="1" x14ac:dyDescent="0.35">
      <c r="A17" s="45" t="s">
        <v>16</v>
      </c>
      <c r="B17" s="46" t="s">
        <v>0</v>
      </c>
      <c r="C17" s="52">
        <f>3*8*1*8</f>
        <v>192</v>
      </c>
      <c r="D17" s="59" t="s">
        <v>69</v>
      </c>
      <c r="E17" s="54"/>
      <c r="F17" s="55">
        <f t="shared" si="1"/>
        <v>192</v>
      </c>
      <c r="G17" s="60" t="s">
        <v>63</v>
      </c>
      <c r="H17" s="60"/>
      <c r="I17" s="70"/>
    </row>
    <row r="18" spans="1:9" ht="15" thickBot="1" x14ac:dyDescent="0.35">
      <c r="A18" s="45" t="s">
        <v>17</v>
      </c>
      <c r="B18" s="46" t="s">
        <v>0</v>
      </c>
      <c r="C18" s="52">
        <f>3*8*0.5*8</f>
        <v>96</v>
      </c>
      <c r="D18" s="59" t="s">
        <v>69</v>
      </c>
      <c r="E18" s="54"/>
      <c r="F18" s="55">
        <f t="shared" si="1"/>
        <v>96</v>
      </c>
      <c r="G18" s="60" t="s">
        <v>63</v>
      </c>
      <c r="H18" s="60"/>
      <c r="I18" s="70"/>
    </row>
    <row r="19" spans="1:9" ht="15" thickBot="1" x14ac:dyDescent="0.35">
      <c r="A19" s="45" t="s">
        <v>18</v>
      </c>
      <c r="B19" s="46" t="s">
        <v>0</v>
      </c>
      <c r="C19" s="52">
        <f>3*8*2*8</f>
        <v>384</v>
      </c>
      <c r="D19" s="59" t="s">
        <v>69</v>
      </c>
      <c r="E19" s="54"/>
      <c r="F19" s="55">
        <f t="shared" si="1"/>
        <v>384</v>
      </c>
      <c r="G19" s="60" t="s">
        <v>65</v>
      </c>
      <c r="H19" s="60"/>
      <c r="I19" s="70"/>
    </row>
    <row r="20" spans="1:9" ht="15" thickBot="1" x14ac:dyDescent="0.35">
      <c r="A20" s="45" t="s">
        <v>19</v>
      </c>
      <c r="B20" s="46" t="s">
        <v>0</v>
      </c>
      <c r="C20" s="52">
        <f>3*8*4</f>
        <v>96</v>
      </c>
      <c r="D20" s="59" t="s">
        <v>69</v>
      </c>
      <c r="E20" s="54"/>
      <c r="F20" s="55">
        <f t="shared" si="1"/>
        <v>96</v>
      </c>
      <c r="G20" s="60" t="s">
        <v>64</v>
      </c>
      <c r="H20" s="60"/>
      <c r="I20" s="70"/>
    </row>
    <row r="21" spans="1:9" ht="15" thickBot="1" x14ac:dyDescent="0.35">
      <c r="A21" s="45" t="s">
        <v>20</v>
      </c>
      <c r="B21" s="46" t="s">
        <v>0</v>
      </c>
      <c r="C21" s="52">
        <f>2*8*1</f>
        <v>16</v>
      </c>
      <c r="D21" s="59" t="s">
        <v>70</v>
      </c>
      <c r="E21" s="54"/>
      <c r="F21" s="55">
        <f t="shared" si="1"/>
        <v>16</v>
      </c>
      <c r="G21" s="60" t="s">
        <v>70</v>
      </c>
      <c r="H21" s="60"/>
      <c r="I21" s="70"/>
    </row>
    <row r="22" spans="1:9" ht="27" thickBot="1" x14ac:dyDescent="0.35">
      <c r="A22" s="45" t="s">
        <v>21</v>
      </c>
      <c r="B22" s="46" t="s">
        <v>0</v>
      </c>
      <c r="C22" s="52">
        <v>0</v>
      </c>
      <c r="D22" s="59" t="s">
        <v>61</v>
      </c>
      <c r="E22" s="54"/>
      <c r="F22" s="55">
        <f t="shared" si="1"/>
        <v>0</v>
      </c>
      <c r="G22" s="60" t="s">
        <v>66</v>
      </c>
      <c r="H22" s="60"/>
      <c r="I22" s="70"/>
    </row>
    <row r="23" spans="1:9" ht="15" thickBot="1" x14ac:dyDescent="0.35">
      <c r="A23" s="45" t="s">
        <v>22</v>
      </c>
      <c r="B23" s="46" t="s">
        <v>0</v>
      </c>
      <c r="C23" s="52">
        <f>3*8*4</f>
        <v>96</v>
      </c>
      <c r="D23" s="59" t="s">
        <v>69</v>
      </c>
      <c r="E23" s="54"/>
      <c r="F23" s="55">
        <f t="shared" si="1"/>
        <v>96</v>
      </c>
      <c r="G23" s="60" t="s">
        <v>67</v>
      </c>
      <c r="H23" s="60"/>
      <c r="I23" s="70"/>
    </row>
    <row r="24" spans="1:9" ht="15" thickBot="1" x14ac:dyDescent="0.35">
      <c r="A24" s="45" t="s">
        <v>23</v>
      </c>
      <c r="B24" s="46" t="s">
        <v>0</v>
      </c>
      <c r="C24" s="52">
        <f>100/4</f>
        <v>25</v>
      </c>
      <c r="D24" s="59" t="s">
        <v>70</v>
      </c>
      <c r="E24" s="54"/>
      <c r="F24" s="55">
        <f t="shared" si="1"/>
        <v>25</v>
      </c>
      <c r="G24" s="60" t="s">
        <v>70</v>
      </c>
      <c r="H24" s="60"/>
      <c r="I24" s="70"/>
    </row>
    <row r="25" spans="1:9" ht="15" thickBot="1" x14ac:dyDescent="0.35">
      <c r="A25" s="45" t="s">
        <v>24</v>
      </c>
      <c r="B25" s="46" t="s">
        <v>0</v>
      </c>
      <c r="C25" s="52">
        <f t="shared" ref="C25:C27" si="3">100/4</f>
        <v>25</v>
      </c>
      <c r="D25" s="59" t="s">
        <v>70</v>
      </c>
      <c r="E25" s="54"/>
      <c r="F25" s="55">
        <f t="shared" si="1"/>
        <v>25</v>
      </c>
      <c r="G25" s="60" t="s">
        <v>70</v>
      </c>
      <c r="H25" s="60"/>
      <c r="I25" s="70"/>
    </row>
    <row r="26" spans="1:9" ht="15" thickBot="1" x14ac:dyDescent="0.35">
      <c r="A26" s="45" t="s">
        <v>25</v>
      </c>
      <c r="B26" s="46" t="s">
        <v>0</v>
      </c>
      <c r="C26" s="52">
        <f t="shared" si="3"/>
        <v>25</v>
      </c>
      <c r="D26" s="59" t="s">
        <v>70</v>
      </c>
      <c r="E26" s="54"/>
      <c r="F26" s="55">
        <f t="shared" si="1"/>
        <v>25</v>
      </c>
      <c r="G26" s="60" t="s">
        <v>70</v>
      </c>
      <c r="H26" s="60"/>
      <c r="I26" s="70"/>
    </row>
    <row r="27" spans="1:9" ht="27" thickBot="1" x14ac:dyDescent="0.35">
      <c r="A27" s="45" t="s">
        <v>26</v>
      </c>
      <c r="B27" s="46" t="s">
        <v>0</v>
      </c>
      <c r="C27" s="52">
        <f t="shared" si="3"/>
        <v>25</v>
      </c>
      <c r="D27" s="59" t="s">
        <v>70</v>
      </c>
      <c r="E27" s="54"/>
      <c r="F27" s="55">
        <f t="shared" si="1"/>
        <v>25</v>
      </c>
      <c r="G27" s="60" t="s">
        <v>70</v>
      </c>
      <c r="H27" s="60"/>
      <c r="I27" s="70"/>
    </row>
    <row r="28" spans="1:9" x14ac:dyDescent="0.3">
      <c r="A28" s="68" t="s">
        <v>32</v>
      </c>
      <c r="B28" s="69"/>
      <c r="C28" s="56">
        <f>SUM(C2:C27)</f>
        <v>2539.9999999999995</v>
      </c>
      <c r="D28" s="57"/>
      <c r="E28" s="57">
        <f>SUM(E2:E27)</f>
        <v>0</v>
      </c>
      <c r="F28" s="58">
        <f>SUM(F2:F27)</f>
        <v>2355</v>
      </c>
      <c r="G28" s="57"/>
      <c r="H28" s="57"/>
      <c r="I28" s="57"/>
    </row>
  </sheetData>
  <mergeCells count="2">
    <mergeCell ref="A28:B28"/>
    <mergeCell ref="I2:I27"/>
  </mergeCells>
  <phoneticPr fontId="13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BE4B-CEA7-423D-8227-E2B383A83BF2}">
  <dimension ref="A1:L29"/>
  <sheetViews>
    <sheetView zoomScale="70" zoomScaleNormal="70" workbookViewId="0">
      <pane ySplit="1" topLeftCell="A2" activePane="bottomLeft" state="frozen"/>
      <selection activeCell="K11" sqref="K11"/>
      <selection pane="bottomLeft" activeCell="K11" sqref="K11"/>
    </sheetView>
  </sheetViews>
  <sheetFormatPr defaultRowHeight="14.4" x14ac:dyDescent="0.3"/>
  <cols>
    <col min="1" max="1" width="90.6640625" style="22" customWidth="1"/>
    <col min="2" max="3" width="8.88671875" style="22" hidden="1" customWidth="1"/>
    <col min="4" max="4" width="15.88671875" style="22" hidden="1" customWidth="1"/>
    <col min="5" max="5" width="10.33203125" style="22" hidden="1" customWidth="1"/>
    <col min="6" max="6" width="33.88671875" style="22" hidden="1" customWidth="1"/>
    <col min="7" max="7" width="44.6640625" style="22" customWidth="1"/>
    <col min="8" max="8" width="34.88671875" style="22" bestFit="1" customWidth="1"/>
    <col min="9" max="9" width="30.88671875" style="22" customWidth="1"/>
    <col min="10" max="16384" width="8.88671875" style="22"/>
  </cols>
  <sheetData>
    <row r="1" spans="1:12" ht="43.8" thickBot="1" x14ac:dyDescent="0.35">
      <c r="A1" s="31" t="s">
        <v>30</v>
      </c>
      <c r="B1" s="32"/>
      <c r="C1" s="32"/>
      <c r="D1" s="33" t="s">
        <v>27</v>
      </c>
      <c r="E1" s="34" t="s">
        <v>28</v>
      </c>
      <c r="F1" s="35" t="s">
        <v>29</v>
      </c>
      <c r="G1" s="32" t="s">
        <v>35</v>
      </c>
      <c r="H1" s="32" t="s">
        <v>43</v>
      </c>
      <c r="I1" s="36" t="s">
        <v>37</v>
      </c>
    </row>
    <row r="2" spans="1:12" x14ac:dyDescent="0.3">
      <c r="A2" s="37" t="s">
        <v>7</v>
      </c>
      <c r="B2" s="38" t="s">
        <v>0</v>
      </c>
      <c r="C2" s="39">
        <f>480/8</f>
        <v>60</v>
      </c>
      <c r="D2" s="40" t="s">
        <v>31</v>
      </c>
      <c r="E2" s="40"/>
      <c r="F2" s="41">
        <v>25</v>
      </c>
      <c r="G2" s="40" t="s">
        <v>39</v>
      </c>
      <c r="H2" s="40"/>
      <c r="I2" s="71" t="s">
        <v>38</v>
      </c>
    </row>
    <row r="3" spans="1:12" ht="28.8" x14ac:dyDescent="0.3">
      <c r="A3" s="42" t="s">
        <v>2</v>
      </c>
      <c r="B3" s="1" t="s">
        <v>0</v>
      </c>
      <c r="C3" s="9">
        <f t="shared" ref="C3:C9" si="0">480/8</f>
        <v>60</v>
      </c>
      <c r="D3" s="3"/>
      <c r="E3" s="3"/>
      <c r="F3" s="23">
        <v>60</v>
      </c>
      <c r="G3" s="24" t="s">
        <v>47</v>
      </c>
      <c r="H3" s="43" t="s">
        <v>57</v>
      </c>
      <c r="I3" s="72"/>
    </row>
    <row r="4" spans="1:12" ht="28.8" x14ac:dyDescent="0.3">
      <c r="A4" s="42" t="s">
        <v>1</v>
      </c>
      <c r="B4" s="1" t="s">
        <v>0</v>
      </c>
      <c r="C4" s="9">
        <f t="shared" si="0"/>
        <v>60</v>
      </c>
      <c r="D4" s="24">
        <v>1</v>
      </c>
      <c r="E4" s="3"/>
      <c r="F4" s="23"/>
      <c r="G4" s="3" t="s">
        <v>53</v>
      </c>
      <c r="H4" s="43" t="s">
        <v>59</v>
      </c>
      <c r="I4" s="72"/>
      <c r="L4" s="44"/>
    </row>
    <row r="5" spans="1:12" ht="28.8" x14ac:dyDescent="0.3">
      <c r="A5" s="42" t="s">
        <v>3</v>
      </c>
      <c r="B5" s="1" t="s">
        <v>0</v>
      </c>
      <c r="C5" s="9">
        <f t="shared" si="0"/>
        <v>60</v>
      </c>
      <c r="D5" s="24">
        <v>0.5</v>
      </c>
      <c r="E5" s="3"/>
      <c r="F5" s="23">
        <f>30</f>
        <v>30</v>
      </c>
      <c r="G5" s="3" t="s">
        <v>54</v>
      </c>
      <c r="H5" s="43" t="s">
        <v>48</v>
      </c>
      <c r="I5" s="72"/>
    </row>
    <row r="6" spans="1:12" ht="41.4" customHeight="1" x14ac:dyDescent="0.3">
      <c r="A6" s="42" t="s">
        <v>49</v>
      </c>
      <c r="B6" s="1" t="s">
        <v>0</v>
      </c>
      <c r="C6" s="9">
        <f t="shared" si="0"/>
        <v>60</v>
      </c>
      <c r="D6" s="24">
        <v>0.5</v>
      </c>
      <c r="E6" s="3"/>
      <c r="F6" s="23">
        <f>30</f>
        <v>30</v>
      </c>
      <c r="G6" s="3" t="s">
        <v>54</v>
      </c>
      <c r="H6" s="43" t="s">
        <v>48</v>
      </c>
      <c r="I6" s="72"/>
    </row>
    <row r="7" spans="1:12" x14ac:dyDescent="0.3">
      <c r="A7" s="42" t="s">
        <v>8</v>
      </c>
      <c r="B7" s="1" t="s">
        <v>0</v>
      </c>
      <c r="C7" s="9">
        <f t="shared" si="0"/>
        <v>60</v>
      </c>
      <c r="D7" s="24">
        <v>0.5</v>
      </c>
      <c r="E7" s="3"/>
      <c r="F7" s="23">
        <f>30</f>
        <v>30</v>
      </c>
      <c r="G7" s="3" t="s">
        <v>50</v>
      </c>
      <c r="H7" s="3"/>
      <c r="I7" s="72"/>
    </row>
    <row r="8" spans="1:12" ht="28.8" x14ac:dyDescent="0.3">
      <c r="A8" s="42" t="s">
        <v>5</v>
      </c>
      <c r="B8" s="1" t="s">
        <v>0</v>
      </c>
      <c r="C8" s="9">
        <f t="shared" si="0"/>
        <v>60</v>
      </c>
      <c r="D8" s="3"/>
      <c r="E8" s="3"/>
      <c r="F8" s="23">
        <f>C8</f>
        <v>60</v>
      </c>
      <c r="G8" s="3" t="s">
        <v>45</v>
      </c>
      <c r="H8" s="43" t="s">
        <v>51</v>
      </c>
      <c r="I8" s="72"/>
    </row>
    <row r="9" spans="1:12" x14ac:dyDescent="0.3">
      <c r="A9" s="42" t="s">
        <v>6</v>
      </c>
      <c r="B9" s="1" t="s">
        <v>0</v>
      </c>
      <c r="C9" s="9">
        <f t="shared" si="0"/>
        <v>60</v>
      </c>
      <c r="D9" s="3"/>
      <c r="E9" s="3"/>
      <c r="F9" s="23">
        <f t="shared" ref="F9:F28" si="1">C9</f>
        <v>60</v>
      </c>
      <c r="G9" s="25" t="s">
        <v>44</v>
      </c>
      <c r="H9" s="3"/>
      <c r="I9" s="72"/>
    </row>
    <row r="10" spans="1:12" x14ac:dyDescent="0.3">
      <c r="A10" s="42" t="s">
        <v>9</v>
      </c>
      <c r="B10" s="1" t="s">
        <v>0</v>
      </c>
      <c r="C10" s="2">
        <f>1080/7</f>
        <v>154.28571428571428</v>
      </c>
      <c r="D10" s="3"/>
      <c r="E10" s="3"/>
      <c r="F10" s="23">
        <f t="shared" si="1"/>
        <v>154.28571428571428</v>
      </c>
      <c r="G10" s="3" t="s">
        <v>45</v>
      </c>
      <c r="H10" s="3"/>
      <c r="I10" s="72"/>
    </row>
    <row r="11" spans="1:12" ht="57.6" x14ac:dyDescent="0.3">
      <c r="A11" s="42" t="s">
        <v>10</v>
      </c>
      <c r="B11" s="1" t="s">
        <v>0</v>
      </c>
      <c r="C11" s="2">
        <f t="shared" ref="C11:C16" si="2">1080/7</f>
        <v>154.28571428571428</v>
      </c>
      <c r="D11" s="3"/>
      <c r="E11" s="3"/>
      <c r="F11" s="23">
        <f t="shared" si="1"/>
        <v>154.28571428571428</v>
      </c>
      <c r="G11" s="3" t="s">
        <v>46</v>
      </c>
      <c r="H11" s="43" t="s">
        <v>58</v>
      </c>
      <c r="I11" s="72"/>
    </row>
    <row r="12" spans="1:12" x14ac:dyDescent="0.3">
      <c r="A12" s="42" t="s">
        <v>11</v>
      </c>
      <c r="B12" s="1" t="s">
        <v>0</v>
      </c>
      <c r="C12" s="2">
        <f t="shared" si="2"/>
        <v>154.28571428571428</v>
      </c>
      <c r="D12" s="3"/>
      <c r="E12" s="3"/>
      <c r="F12" s="23">
        <f t="shared" si="1"/>
        <v>154.28571428571428</v>
      </c>
      <c r="G12" s="3" t="s">
        <v>44</v>
      </c>
      <c r="H12" s="3"/>
      <c r="I12" s="72"/>
    </row>
    <row r="13" spans="1:12" x14ac:dyDescent="0.3">
      <c r="A13" s="42" t="s">
        <v>12</v>
      </c>
      <c r="B13" s="1" t="s">
        <v>0</v>
      </c>
      <c r="C13" s="2">
        <f t="shared" si="2"/>
        <v>154.28571428571428</v>
      </c>
      <c r="D13" s="3"/>
      <c r="E13" s="3"/>
      <c r="F13" s="23">
        <f t="shared" si="1"/>
        <v>154.28571428571428</v>
      </c>
      <c r="G13" s="3" t="s">
        <v>55</v>
      </c>
      <c r="H13" s="3"/>
      <c r="I13" s="72"/>
    </row>
    <row r="14" spans="1:12" x14ac:dyDescent="0.3">
      <c r="A14" s="42" t="s">
        <v>14</v>
      </c>
      <c r="B14" s="1" t="s">
        <v>0</v>
      </c>
      <c r="C14" s="2">
        <f t="shared" si="2"/>
        <v>154.28571428571428</v>
      </c>
      <c r="D14" s="3"/>
      <c r="E14" s="3"/>
      <c r="F14" s="23">
        <f t="shared" si="1"/>
        <v>154.28571428571428</v>
      </c>
      <c r="G14" s="3" t="s">
        <v>44</v>
      </c>
      <c r="H14" s="3"/>
      <c r="I14" s="72"/>
    </row>
    <row r="15" spans="1:12" x14ac:dyDescent="0.3">
      <c r="A15" s="42" t="s">
        <v>13</v>
      </c>
      <c r="B15" s="1" t="s">
        <v>0</v>
      </c>
      <c r="C15" s="2">
        <f t="shared" si="2"/>
        <v>154.28571428571428</v>
      </c>
      <c r="D15" s="3" t="s">
        <v>34</v>
      </c>
      <c r="E15" s="3"/>
      <c r="F15" s="23">
        <f t="shared" si="1"/>
        <v>154.28571428571428</v>
      </c>
      <c r="G15" s="3" t="s">
        <v>44</v>
      </c>
      <c r="H15" s="3"/>
      <c r="I15" s="72"/>
    </row>
    <row r="16" spans="1:12" x14ac:dyDescent="0.3">
      <c r="A16" s="42" t="s">
        <v>15</v>
      </c>
      <c r="B16" s="1" t="s">
        <v>0</v>
      </c>
      <c r="C16" s="2">
        <f t="shared" si="2"/>
        <v>154.28571428571428</v>
      </c>
      <c r="D16" s="3"/>
      <c r="E16" s="3"/>
      <c r="F16" s="23">
        <f t="shared" si="1"/>
        <v>154.28571428571428</v>
      </c>
      <c r="G16" s="3" t="s">
        <v>44</v>
      </c>
      <c r="H16" s="3"/>
      <c r="I16" s="72"/>
    </row>
    <row r="17" spans="1:9" x14ac:dyDescent="0.3">
      <c r="A17" s="42" t="s">
        <v>16</v>
      </c>
      <c r="B17" s="1" t="s">
        <v>0</v>
      </c>
      <c r="C17" s="2">
        <f>3*8*1*8</f>
        <v>192</v>
      </c>
      <c r="D17" s="3"/>
      <c r="E17" s="3"/>
      <c r="F17" s="23">
        <f t="shared" si="1"/>
        <v>192</v>
      </c>
      <c r="G17" s="3" t="s">
        <v>44</v>
      </c>
      <c r="H17" s="3"/>
      <c r="I17" s="72"/>
    </row>
    <row r="18" spans="1:9" ht="28.8" x14ac:dyDescent="0.3">
      <c r="A18" s="42" t="s">
        <v>17</v>
      </c>
      <c r="B18" s="1" t="s">
        <v>0</v>
      </c>
      <c r="C18" s="2">
        <f>3*8*0.5*8</f>
        <v>96</v>
      </c>
      <c r="D18" s="3"/>
      <c r="E18" s="3"/>
      <c r="F18" s="23">
        <f t="shared" si="1"/>
        <v>96</v>
      </c>
      <c r="G18" s="3" t="s">
        <v>56</v>
      </c>
      <c r="H18" s="43" t="s">
        <v>52</v>
      </c>
      <c r="I18" s="72"/>
    </row>
    <row r="19" spans="1:9" x14ac:dyDescent="0.3">
      <c r="A19" s="42" t="s">
        <v>18</v>
      </c>
      <c r="B19" s="1" t="s">
        <v>0</v>
      </c>
      <c r="C19" s="2">
        <f>3*8*2*8</f>
        <v>384</v>
      </c>
      <c r="D19" s="3"/>
      <c r="E19" s="3"/>
      <c r="F19" s="23">
        <f t="shared" si="1"/>
        <v>384</v>
      </c>
      <c r="G19" s="3" t="s">
        <v>44</v>
      </c>
      <c r="H19" s="3"/>
      <c r="I19" s="72"/>
    </row>
    <row r="20" spans="1:9" x14ac:dyDescent="0.3">
      <c r="A20" s="42" t="s">
        <v>19</v>
      </c>
      <c r="B20" s="1" t="s">
        <v>0</v>
      </c>
      <c r="C20" s="2">
        <f>3*8*4</f>
        <v>96</v>
      </c>
      <c r="D20" s="3"/>
      <c r="E20" s="3"/>
      <c r="F20" s="23">
        <f t="shared" si="1"/>
        <v>96</v>
      </c>
      <c r="G20" s="3" t="s">
        <v>44</v>
      </c>
      <c r="H20" s="3"/>
      <c r="I20" s="72"/>
    </row>
    <row r="21" spans="1:9" x14ac:dyDescent="0.3">
      <c r="A21" s="42" t="s">
        <v>20</v>
      </c>
      <c r="B21" s="1" t="s">
        <v>0</v>
      </c>
      <c r="C21" s="2">
        <f>2*8*1</f>
        <v>16</v>
      </c>
      <c r="D21" s="3"/>
      <c r="E21" s="3"/>
      <c r="F21" s="23">
        <f t="shared" si="1"/>
        <v>16</v>
      </c>
      <c r="G21" s="3" t="s">
        <v>44</v>
      </c>
      <c r="H21" s="3"/>
      <c r="I21" s="72"/>
    </row>
    <row r="22" spans="1:9" x14ac:dyDescent="0.3">
      <c r="A22" s="42" t="s">
        <v>21</v>
      </c>
      <c r="B22" s="1" t="s">
        <v>0</v>
      </c>
      <c r="C22" s="2">
        <v>0</v>
      </c>
      <c r="D22" s="3"/>
      <c r="E22" s="3"/>
      <c r="F22" s="23">
        <f t="shared" si="1"/>
        <v>0</v>
      </c>
      <c r="G22" s="3" t="s">
        <v>44</v>
      </c>
      <c r="H22" s="3"/>
      <c r="I22" s="72"/>
    </row>
    <row r="23" spans="1:9" x14ac:dyDescent="0.3">
      <c r="A23" s="42" t="s">
        <v>22</v>
      </c>
      <c r="B23" s="1" t="s">
        <v>0</v>
      </c>
      <c r="C23" s="2">
        <f>3*8*4</f>
        <v>96</v>
      </c>
      <c r="D23" s="3"/>
      <c r="E23" s="3"/>
      <c r="F23" s="23">
        <f t="shared" si="1"/>
        <v>96</v>
      </c>
      <c r="G23" s="3" t="s">
        <v>44</v>
      </c>
      <c r="H23" s="3"/>
      <c r="I23" s="72"/>
    </row>
    <row r="24" spans="1:9" x14ac:dyDescent="0.3">
      <c r="A24" s="42" t="s">
        <v>23</v>
      </c>
      <c r="B24" s="1" t="s">
        <v>0</v>
      </c>
      <c r="C24" s="2">
        <f>100/4</f>
        <v>25</v>
      </c>
      <c r="D24" s="3"/>
      <c r="E24" s="3"/>
      <c r="F24" s="23">
        <f t="shared" si="1"/>
        <v>25</v>
      </c>
      <c r="G24" s="3" t="s">
        <v>44</v>
      </c>
      <c r="H24" s="3"/>
      <c r="I24" s="72"/>
    </row>
    <row r="25" spans="1:9" x14ac:dyDescent="0.3">
      <c r="A25" s="42" t="s">
        <v>24</v>
      </c>
      <c r="B25" s="1" t="s">
        <v>0</v>
      </c>
      <c r="C25" s="2">
        <f t="shared" ref="C25:C27" si="3">100/4</f>
        <v>25</v>
      </c>
      <c r="D25" s="3"/>
      <c r="E25" s="3"/>
      <c r="F25" s="23">
        <f t="shared" si="1"/>
        <v>25</v>
      </c>
      <c r="G25" s="3" t="s">
        <v>44</v>
      </c>
      <c r="H25" s="3"/>
      <c r="I25" s="72"/>
    </row>
    <row r="26" spans="1:9" x14ac:dyDescent="0.3">
      <c r="A26" s="42" t="s">
        <v>25</v>
      </c>
      <c r="B26" s="1" t="s">
        <v>0</v>
      </c>
      <c r="C26" s="2">
        <f t="shared" si="3"/>
        <v>25</v>
      </c>
      <c r="D26" s="3"/>
      <c r="E26" s="3"/>
      <c r="F26" s="23">
        <f t="shared" si="1"/>
        <v>25</v>
      </c>
      <c r="G26" s="3" t="s">
        <v>44</v>
      </c>
      <c r="H26" s="3"/>
      <c r="I26" s="72"/>
    </row>
    <row r="27" spans="1:9" x14ac:dyDescent="0.3">
      <c r="A27" s="42" t="s">
        <v>26</v>
      </c>
      <c r="B27" s="1" t="s">
        <v>0</v>
      </c>
      <c r="C27" s="2">
        <f t="shared" si="3"/>
        <v>25</v>
      </c>
      <c r="D27" s="3"/>
      <c r="E27" s="3"/>
      <c r="F27" s="23">
        <f t="shared" si="1"/>
        <v>25</v>
      </c>
      <c r="G27" s="3" t="s">
        <v>44</v>
      </c>
      <c r="H27" s="3"/>
      <c r="I27" s="72"/>
    </row>
    <row r="28" spans="1:9" ht="14.4" hidden="1" customHeight="1" x14ac:dyDescent="0.3">
      <c r="A28" s="26" t="s">
        <v>33</v>
      </c>
      <c r="B28" s="27"/>
      <c r="C28" s="28"/>
      <c r="D28" s="29"/>
      <c r="E28" s="29">
        <v>155</v>
      </c>
      <c r="F28" s="30">
        <f t="shared" si="1"/>
        <v>0</v>
      </c>
    </row>
    <row r="29" spans="1:9" hidden="1" x14ac:dyDescent="0.3">
      <c r="A29" s="73" t="s">
        <v>32</v>
      </c>
      <c r="B29" s="73"/>
      <c r="C29" s="23">
        <f>SUM(C2:C27)</f>
        <v>2539.9999999999995</v>
      </c>
      <c r="D29" s="3"/>
      <c r="E29" s="3">
        <f>SUM(E2:E28)</f>
        <v>155</v>
      </c>
      <c r="F29" s="23">
        <f>SUM(F2:F28)</f>
        <v>2355</v>
      </c>
    </row>
  </sheetData>
  <mergeCells count="2">
    <mergeCell ref="I2:I27"/>
    <mergeCell ref="A29:B29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BFB-953D-4276-BE7A-16151028C58C}">
  <dimension ref="A1:L29"/>
  <sheetViews>
    <sheetView topLeftCell="G1" zoomScale="85" zoomScaleNormal="85" workbookViewId="0">
      <pane ySplit="1" topLeftCell="A2" activePane="bottomLeft" state="frozen"/>
      <selection pane="bottomLeft" activeCell="I2" sqref="I2:I27"/>
    </sheetView>
  </sheetViews>
  <sheetFormatPr defaultRowHeight="14.4" x14ac:dyDescent="0.3"/>
  <cols>
    <col min="1" max="1" width="59.88671875" style="22" customWidth="1"/>
    <col min="2" max="2" width="7.6640625" style="22" hidden="1" customWidth="1"/>
    <col min="3" max="3" width="8.6640625" style="22" hidden="1" customWidth="1"/>
    <col min="4" max="4" width="11.88671875" style="22" hidden="1" customWidth="1"/>
    <col min="5" max="5" width="10" style="22" hidden="1" customWidth="1"/>
    <col min="6" max="6" width="26.88671875" style="22" hidden="1" customWidth="1"/>
    <col min="7" max="7" width="41.5546875" style="53" bestFit="1" customWidth="1"/>
    <col min="8" max="8" width="45" style="53" bestFit="1" customWidth="1"/>
    <col min="9" max="9" width="49" style="53" customWidth="1"/>
    <col min="10" max="16384" width="8.88671875" style="22"/>
  </cols>
  <sheetData>
    <row r="1" spans="1:12" ht="43.8" thickBot="1" x14ac:dyDescent="0.35">
      <c r="A1" s="31" t="s">
        <v>30</v>
      </c>
      <c r="B1" s="32"/>
      <c r="C1" s="32"/>
      <c r="D1" s="33" t="s">
        <v>27</v>
      </c>
      <c r="E1" s="34" t="s">
        <v>28</v>
      </c>
      <c r="F1" s="35" t="s">
        <v>29</v>
      </c>
      <c r="G1" s="35" t="s">
        <v>35</v>
      </c>
      <c r="H1" s="35" t="s">
        <v>43</v>
      </c>
      <c r="I1" s="61" t="s">
        <v>37</v>
      </c>
    </row>
    <row r="2" spans="1:12" x14ac:dyDescent="0.3">
      <c r="A2" s="37" t="s">
        <v>7</v>
      </c>
      <c r="B2" s="38" t="s">
        <v>0</v>
      </c>
      <c r="C2" s="39">
        <f>480/8</f>
        <v>60</v>
      </c>
      <c r="D2" s="40" t="s">
        <v>31</v>
      </c>
      <c r="E2" s="40"/>
      <c r="F2" s="41">
        <v>25</v>
      </c>
      <c r="G2" s="62" t="s">
        <v>39</v>
      </c>
      <c r="H2" s="63"/>
      <c r="I2" s="71" t="s">
        <v>38</v>
      </c>
    </row>
    <row r="3" spans="1:12" x14ac:dyDescent="0.3">
      <c r="A3" s="42" t="s">
        <v>2</v>
      </c>
      <c r="B3" s="1" t="s">
        <v>0</v>
      </c>
      <c r="C3" s="9">
        <f t="shared" ref="C3:C9" si="0">480/8</f>
        <v>60</v>
      </c>
      <c r="D3" s="3"/>
      <c r="E3" s="3"/>
      <c r="F3" s="23">
        <v>60</v>
      </c>
      <c r="G3" s="64" t="s">
        <v>40</v>
      </c>
      <c r="H3" s="43"/>
      <c r="I3" s="72"/>
    </row>
    <row r="4" spans="1:12" x14ac:dyDescent="0.3">
      <c r="A4" s="42" t="s">
        <v>1</v>
      </c>
      <c r="B4" s="1" t="s">
        <v>0</v>
      </c>
      <c r="C4" s="9">
        <f t="shared" si="0"/>
        <v>60</v>
      </c>
      <c r="D4" s="24">
        <v>1</v>
      </c>
      <c r="E4" s="3"/>
      <c r="F4" s="23"/>
      <c r="G4" s="64" t="s">
        <v>40</v>
      </c>
      <c r="H4" s="43"/>
      <c r="I4" s="72"/>
      <c r="L4" s="44"/>
    </row>
    <row r="5" spans="1:12" x14ac:dyDescent="0.3">
      <c r="A5" s="42" t="s">
        <v>3</v>
      </c>
      <c r="B5" s="1" t="s">
        <v>0</v>
      </c>
      <c r="C5" s="9">
        <f t="shared" si="0"/>
        <v>60</v>
      </c>
      <c r="D5" s="24">
        <v>0.5</v>
      </c>
      <c r="E5" s="3"/>
      <c r="F5" s="23">
        <f>30</f>
        <v>30</v>
      </c>
      <c r="G5" s="64" t="s">
        <v>40</v>
      </c>
      <c r="H5" s="43"/>
      <c r="I5" s="72"/>
    </row>
    <row r="6" spans="1:12" x14ac:dyDescent="0.3">
      <c r="A6" s="42" t="s">
        <v>49</v>
      </c>
      <c r="B6" s="1" t="s">
        <v>0</v>
      </c>
      <c r="C6" s="9">
        <f t="shared" si="0"/>
        <v>60</v>
      </c>
      <c r="D6" s="24">
        <v>0.5</v>
      </c>
      <c r="E6" s="3"/>
      <c r="F6" s="23">
        <f>30</f>
        <v>30</v>
      </c>
      <c r="G6" s="64" t="s">
        <v>40</v>
      </c>
      <c r="H6" s="43"/>
      <c r="I6" s="72"/>
    </row>
    <row r="7" spans="1:12" x14ac:dyDescent="0.3">
      <c r="A7" s="42" t="s">
        <v>8</v>
      </c>
      <c r="B7" s="1" t="s">
        <v>0</v>
      </c>
      <c r="C7" s="9">
        <f t="shared" si="0"/>
        <v>60</v>
      </c>
      <c r="D7" s="24">
        <v>0.5</v>
      </c>
      <c r="E7" s="3"/>
      <c r="F7" s="23">
        <f>30</f>
        <v>30</v>
      </c>
      <c r="G7" s="64" t="s">
        <v>40</v>
      </c>
      <c r="H7" s="43"/>
      <c r="I7" s="72"/>
    </row>
    <row r="8" spans="1:12" x14ac:dyDescent="0.3">
      <c r="A8" s="42" t="s">
        <v>5</v>
      </c>
      <c r="B8" s="1" t="s">
        <v>0</v>
      </c>
      <c r="C8" s="9">
        <f t="shared" si="0"/>
        <v>60</v>
      </c>
      <c r="D8" s="3"/>
      <c r="E8" s="3"/>
      <c r="F8" s="23">
        <f>C8</f>
        <v>60</v>
      </c>
      <c r="G8" s="64" t="s">
        <v>40</v>
      </c>
      <c r="H8" s="43"/>
      <c r="I8" s="72"/>
    </row>
    <row r="9" spans="1:12" x14ac:dyDescent="0.3">
      <c r="A9" s="42" t="s">
        <v>6</v>
      </c>
      <c r="B9" s="1" t="s">
        <v>0</v>
      </c>
      <c r="C9" s="9">
        <f t="shared" si="0"/>
        <v>60</v>
      </c>
      <c r="D9" s="3"/>
      <c r="E9" s="3"/>
      <c r="F9" s="23">
        <f t="shared" ref="F9:F28" si="1">C9</f>
        <v>60</v>
      </c>
      <c r="G9" s="65" t="s">
        <v>44</v>
      </c>
      <c r="H9" s="43"/>
      <c r="I9" s="72"/>
    </row>
    <row r="10" spans="1:12" x14ac:dyDescent="0.3">
      <c r="A10" s="42" t="s">
        <v>9</v>
      </c>
      <c r="B10" s="1" t="s">
        <v>0</v>
      </c>
      <c r="C10" s="2">
        <f>1080/7</f>
        <v>154.28571428571428</v>
      </c>
      <c r="D10" s="3"/>
      <c r="E10" s="3"/>
      <c r="F10" s="23">
        <f t="shared" si="1"/>
        <v>154.28571428571428</v>
      </c>
      <c r="G10" s="64" t="s">
        <v>40</v>
      </c>
      <c r="H10" s="43"/>
      <c r="I10" s="72"/>
    </row>
    <row r="11" spans="1:12" ht="28.8" x14ac:dyDescent="0.3">
      <c r="A11" s="42" t="s">
        <v>10</v>
      </c>
      <c r="B11" s="1" t="s">
        <v>0</v>
      </c>
      <c r="C11" s="2">
        <f t="shared" ref="C11:C16" si="2">1080/7</f>
        <v>154.28571428571428</v>
      </c>
      <c r="D11" s="3"/>
      <c r="E11" s="3"/>
      <c r="F11" s="23">
        <f t="shared" si="1"/>
        <v>154.28571428571428</v>
      </c>
      <c r="G11" s="64" t="s">
        <v>73</v>
      </c>
      <c r="H11" s="64" t="s">
        <v>75</v>
      </c>
      <c r="I11" s="72"/>
    </row>
    <row r="12" spans="1:12" x14ac:dyDescent="0.3">
      <c r="A12" s="42" t="s">
        <v>11</v>
      </c>
      <c r="B12" s="1" t="s">
        <v>0</v>
      </c>
      <c r="C12" s="2">
        <f t="shared" si="2"/>
        <v>154.28571428571428</v>
      </c>
      <c r="D12" s="3"/>
      <c r="E12" s="3"/>
      <c r="F12" s="23">
        <f t="shared" si="1"/>
        <v>154.28571428571428</v>
      </c>
      <c r="G12" s="64" t="s">
        <v>73</v>
      </c>
      <c r="H12" s="43"/>
      <c r="I12" s="72"/>
    </row>
    <row r="13" spans="1:12" x14ac:dyDescent="0.3">
      <c r="A13" s="42" t="s">
        <v>12</v>
      </c>
      <c r="B13" s="1" t="s">
        <v>0</v>
      </c>
      <c r="C13" s="2">
        <f t="shared" si="2"/>
        <v>154.28571428571428</v>
      </c>
      <c r="D13" s="3"/>
      <c r="E13" s="3"/>
      <c r="F13" s="23">
        <f t="shared" si="1"/>
        <v>154.28571428571428</v>
      </c>
      <c r="G13" s="64" t="s">
        <v>40</v>
      </c>
      <c r="H13" s="43"/>
      <c r="I13" s="72"/>
    </row>
    <row r="14" spans="1:12" x14ac:dyDescent="0.3">
      <c r="A14" s="42" t="s">
        <v>14</v>
      </c>
      <c r="B14" s="1" t="s">
        <v>0</v>
      </c>
      <c r="C14" s="2">
        <f t="shared" si="2"/>
        <v>154.28571428571428</v>
      </c>
      <c r="D14" s="3"/>
      <c r="E14" s="3"/>
      <c r="F14" s="23">
        <f t="shared" si="1"/>
        <v>154.28571428571428</v>
      </c>
      <c r="G14" s="64" t="s">
        <v>73</v>
      </c>
      <c r="H14" s="43"/>
      <c r="I14" s="72"/>
    </row>
    <row r="15" spans="1:12" x14ac:dyDescent="0.3">
      <c r="A15" s="42" t="s">
        <v>13</v>
      </c>
      <c r="B15" s="1" t="s">
        <v>0</v>
      </c>
      <c r="C15" s="2">
        <f t="shared" si="2"/>
        <v>154.28571428571428</v>
      </c>
      <c r="D15" s="3" t="s">
        <v>34</v>
      </c>
      <c r="E15" s="3"/>
      <c r="F15" s="23">
        <f t="shared" si="1"/>
        <v>154.28571428571428</v>
      </c>
      <c r="G15" s="64" t="s">
        <v>73</v>
      </c>
      <c r="H15" s="43"/>
      <c r="I15" s="72"/>
    </row>
    <row r="16" spans="1:12" x14ac:dyDescent="0.3">
      <c r="A16" s="42" t="s">
        <v>15</v>
      </c>
      <c r="B16" s="1" t="s">
        <v>0</v>
      </c>
      <c r="C16" s="2">
        <f t="shared" si="2"/>
        <v>154.28571428571428</v>
      </c>
      <c r="D16" s="3"/>
      <c r="E16" s="3"/>
      <c r="F16" s="23">
        <f t="shared" si="1"/>
        <v>154.28571428571428</v>
      </c>
      <c r="G16" s="64" t="s">
        <v>74</v>
      </c>
      <c r="H16" s="43"/>
      <c r="I16" s="72"/>
    </row>
    <row r="17" spans="1:9" x14ac:dyDescent="0.3">
      <c r="A17" s="42" t="s">
        <v>16</v>
      </c>
      <c r="B17" s="1" t="s">
        <v>0</v>
      </c>
      <c r="C17" s="2">
        <f>3*8*1*8</f>
        <v>192</v>
      </c>
      <c r="D17" s="3"/>
      <c r="E17" s="3"/>
      <c r="F17" s="23">
        <f t="shared" si="1"/>
        <v>192</v>
      </c>
      <c r="G17" s="64" t="s">
        <v>73</v>
      </c>
      <c r="H17" s="43"/>
      <c r="I17" s="72"/>
    </row>
    <row r="18" spans="1:9" x14ac:dyDescent="0.3">
      <c r="A18" s="42" t="s">
        <v>17</v>
      </c>
      <c r="B18" s="1" t="s">
        <v>0</v>
      </c>
      <c r="C18" s="2">
        <f>3*8*0.5*8</f>
        <v>96</v>
      </c>
      <c r="D18" s="3"/>
      <c r="E18" s="3"/>
      <c r="F18" s="23">
        <f t="shared" si="1"/>
        <v>96</v>
      </c>
      <c r="G18" s="64" t="s">
        <v>73</v>
      </c>
      <c r="H18" s="43"/>
      <c r="I18" s="72"/>
    </row>
    <row r="19" spans="1:9" x14ac:dyDescent="0.3">
      <c r="A19" s="42" t="s">
        <v>18</v>
      </c>
      <c r="B19" s="1" t="s">
        <v>0</v>
      </c>
      <c r="C19" s="2">
        <f>3*8*2*8</f>
        <v>384</v>
      </c>
      <c r="D19" s="3"/>
      <c r="E19" s="3"/>
      <c r="F19" s="23">
        <f t="shared" si="1"/>
        <v>384</v>
      </c>
      <c r="G19" s="64" t="s">
        <v>71</v>
      </c>
      <c r="H19" s="43" t="s">
        <v>72</v>
      </c>
      <c r="I19" s="72"/>
    </row>
    <row r="20" spans="1:9" x14ac:dyDescent="0.3">
      <c r="A20" s="42" t="s">
        <v>19</v>
      </c>
      <c r="B20" s="1" t="s">
        <v>0</v>
      </c>
      <c r="C20" s="2">
        <f>3*8*4</f>
        <v>96</v>
      </c>
      <c r="D20" s="3"/>
      <c r="E20" s="3"/>
      <c r="F20" s="23">
        <f t="shared" si="1"/>
        <v>96</v>
      </c>
      <c r="G20" s="64" t="s">
        <v>74</v>
      </c>
      <c r="H20" s="43"/>
      <c r="I20" s="72"/>
    </row>
    <row r="21" spans="1:9" x14ac:dyDescent="0.3">
      <c r="A21" s="42" t="s">
        <v>20</v>
      </c>
      <c r="B21" s="1" t="s">
        <v>0</v>
      </c>
      <c r="C21" s="2">
        <f>2*8*1</f>
        <v>16</v>
      </c>
      <c r="D21" s="3"/>
      <c r="E21" s="3"/>
      <c r="F21" s="23">
        <f t="shared" si="1"/>
        <v>16</v>
      </c>
      <c r="G21" s="64" t="s">
        <v>70</v>
      </c>
      <c r="H21" s="43"/>
      <c r="I21" s="72"/>
    </row>
    <row r="22" spans="1:9" x14ac:dyDescent="0.3">
      <c r="A22" s="42" t="s">
        <v>21</v>
      </c>
      <c r="B22" s="1" t="s">
        <v>0</v>
      </c>
      <c r="C22" s="2">
        <v>0</v>
      </c>
      <c r="D22" s="3"/>
      <c r="E22" s="3"/>
      <c r="F22" s="23">
        <f t="shared" si="1"/>
        <v>0</v>
      </c>
      <c r="G22" s="64" t="s">
        <v>66</v>
      </c>
      <c r="H22" s="43"/>
      <c r="I22" s="72"/>
    </row>
    <row r="23" spans="1:9" x14ac:dyDescent="0.3">
      <c r="A23" s="42" t="s">
        <v>22</v>
      </c>
      <c r="B23" s="1" t="s">
        <v>0</v>
      </c>
      <c r="C23" s="2">
        <f>3*8*4</f>
        <v>96</v>
      </c>
      <c r="D23" s="3"/>
      <c r="E23" s="3"/>
      <c r="F23" s="23">
        <f t="shared" si="1"/>
        <v>96</v>
      </c>
      <c r="G23" s="64" t="s">
        <v>74</v>
      </c>
      <c r="H23" s="43"/>
      <c r="I23" s="72"/>
    </row>
    <row r="24" spans="1:9" x14ac:dyDescent="0.3">
      <c r="A24" s="42" t="s">
        <v>23</v>
      </c>
      <c r="B24" s="1" t="s">
        <v>0</v>
      </c>
      <c r="C24" s="2">
        <f>100/4</f>
        <v>25</v>
      </c>
      <c r="D24" s="3"/>
      <c r="E24" s="3"/>
      <c r="F24" s="23">
        <f t="shared" si="1"/>
        <v>25</v>
      </c>
      <c r="G24" s="64" t="s">
        <v>70</v>
      </c>
      <c r="H24" s="43"/>
      <c r="I24" s="72"/>
    </row>
    <row r="25" spans="1:9" x14ac:dyDescent="0.3">
      <c r="A25" s="42" t="s">
        <v>24</v>
      </c>
      <c r="B25" s="1" t="s">
        <v>0</v>
      </c>
      <c r="C25" s="2">
        <f t="shared" ref="C25:C27" si="3">100/4</f>
        <v>25</v>
      </c>
      <c r="D25" s="3"/>
      <c r="E25" s="3"/>
      <c r="F25" s="23">
        <f t="shared" si="1"/>
        <v>25</v>
      </c>
      <c r="G25" s="64" t="s">
        <v>70</v>
      </c>
      <c r="H25" s="43"/>
      <c r="I25" s="72"/>
    </row>
    <row r="26" spans="1:9" x14ac:dyDescent="0.3">
      <c r="A26" s="42" t="s">
        <v>25</v>
      </c>
      <c r="B26" s="1" t="s">
        <v>0</v>
      </c>
      <c r="C26" s="2">
        <f t="shared" si="3"/>
        <v>25</v>
      </c>
      <c r="D26" s="3"/>
      <c r="E26" s="3"/>
      <c r="F26" s="23">
        <f t="shared" si="1"/>
        <v>25</v>
      </c>
      <c r="G26" s="64" t="s">
        <v>70</v>
      </c>
      <c r="H26" s="43"/>
      <c r="I26" s="72"/>
    </row>
    <row r="27" spans="1:9" x14ac:dyDescent="0.3">
      <c r="A27" s="42" t="s">
        <v>26</v>
      </c>
      <c r="B27" s="1" t="s">
        <v>0</v>
      </c>
      <c r="C27" s="2">
        <f t="shared" si="3"/>
        <v>25</v>
      </c>
      <c r="D27" s="3"/>
      <c r="E27" s="3"/>
      <c r="F27" s="23">
        <f t="shared" si="1"/>
        <v>25</v>
      </c>
      <c r="G27" s="64" t="s">
        <v>70</v>
      </c>
      <c r="H27" s="43"/>
      <c r="I27" s="72"/>
    </row>
    <row r="28" spans="1:9" x14ac:dyDescent="0.3">
      <c r="A28" s="26" t="s">
        <v>33</v>
      </c>
      <c r="B28" s="27"/>
      <c r="C28" s="28"/>
      <c r="D28" s="29"/>
      <c r="E28" s="29">
        <v>155</v>
      </c>
      <c r="F28" s="30">
        <f t="shared" si="1"/>
        <v>0</v>
      </c>
    </row>
    <row r="29" spans="1:9" x14ac:dyDescent="0.3">
      <c r="A29" s="73" t="s">
        <v>32</v>
      </c>
      <c r="B29" s="73"/>
      <c r="C29" s="23">
        <f>SUM(C2:C27)</f>
        <v>2539.9999999999995</v>
      </c>
      <c r="D29" s="3"/>
      <c r="E29" s="3">
        <f>SUM(E2:E28)</f>
        <v>155</v>
      </c>
      <c r="F29" s="23">
        <f>SUM(F2:F28)</f>
        <v>2355</v>
      </c>
    </row>
  </sheetData>
  <mergeCells count="2">
    <mergeCell ref="I2:I27"/>
    <mergeCell ref="A29:B29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D9C6-12E6-429F-9DDC-D95D542AF889}">
  <dimension ref="A1:L29"/>
  <sheetViews>
    <sheetView zoomScale="70" zoomScaleNormal="70" workbookViewId="0">
      <pane ySplit="1" topLeftCell="A2" activePane="bottomLeft" state="frozen"/>
      <selection pane="bottomLeft" activeCell="G34" sqref="G34"/>
    </sheetView>
  </sheetViews>
  <sheetFormatPr defaultRowHeight="14.4" x14ac:dyDescent="0.3"/>
  <cols>
    <col min="1" max="1" width="59.88671875" style="22" customWidth="1"/>
    <col min="2" max="2" width="7.6640625" style="22" hidden="1" customWidth="1"/>
    <col min="3" max="3" width="8.6640625" style="22" hidden="1" customWidth="1"/>
    <col min="4" max="4" width="11.88671875" style="22" hidden="1" customWidth="1"/>
    <col min="5" max="5" width="10" style="22" hidden="1" customWidth="1"/>
    <col min="6" max="6" width="26.88671875" style="22" hidden="1" customWidth="1"/>
    <col min="7" max="7" width="41.5546875" style="53" bestFit="1" customWidth="1"/>
    <col min="8" max="8" width="45" style="53" bestFit="1" customWidth="1"/>
    <col min="9" max="9" width="49" style="53" customWidth="1"/>
    <col min="10" max="16384" width="8.88671875" style="22"/>
  </cols>
  <sheetData>
    <row r="1" spans="1:12" ht="43.8" thickBot="1" x14ac:dyDescent="0.35">
      <c r="A1" s="31" t="s">
        <v>30</v>
      </c>
      <c r="B1" s="32"/>
      <c r="C1" s="32"/>
      <c r="D1" s="33" t="s">
        <v>27</v>
      </c>
      <c r="E1" s="34" t="s">
        <v>28</v>
      </c>
      <c r="F1" s="35" t="s">
        <v>29</v>
      </c>
      <c r="G1" s="35" t="s">
        <v>35</v>
      </c>
      <c r="H1" s="35" t="s">
        <v>43</v>
      </c>
      <c r="I1" s="61" t="s">
        <v>37</v>
      </c>
    </row>
    <row r="2" spans="1:12" x14ac:dyDescent="0.3">
      <c r="A2" s="37" t="s">
        <v>7</v>
      </c>
      <c r="B2" s="38" t="s">
        <v>0</v>
      </c>
      <c r="C2" s="39">
        <f>480/8</f>
        <v>60</v>
      </c>
      <c r="D2" s="40" t="s">
        <v>31</v>
      </c>
      <c r="E2" s="40"/>
      <c r="F2" s="41">
        <v>25</v>
      </c>
      <c r="G2" s="62" t="s">
        <v>39</v>
      </c>
      <c r="H2" s="63"/>
      <c r="I2" s="71" t="s">
        <v>38</v>
      </c>
    </row>
    <row r="3" spans="1:12" x14ac:dyDescent="0.3">
      <c r="A3" s="42" t="s">
        <v>2</v>
      </c>
      <c r="B3" s="1" t="s">
        <v>0</v>
      </c>
      <c r="C3" s="9">
        <f t="shared" ref="C3:C9" si="0">480/8</f>
        <v>60</v>
      </c>
      <c r="D3" s="3"/>
      <c r="E3" s="3"/>
      <c r="F3" s="23">
        <v>60</v>
      </c>
      <c r="G3" s="64" t="s">
        <v>40</v>
      </c>
      <c r="H3" s="43"/>
      <c r="I3" s="72"/>
    </row>
    <row r="4" spans="1:12" x14ac:dyDescent="0.3">
      <c r="A4" s="42" t="s">
        <v>1</v>
      </c>
      <c r="B4" s="1" t="s">
        <v>0</v>
      </c>
      <c r="C4" s="9">
        <f t="shared" si="0"/>
        <v>60</v>
      </c>
      <c r="D4" s="24">
        <v>1</v>
      </c>
      <c r="E4" s="3"/>
      <c r="F4" s="23"/>
      <c r="G4" s="64" t="s">
        <v>40</v>
      </c>
      <c r="H4" s="43"/>
      <c r="I4" s="72"/>
      <c r="L4" s="44"/>
    </row>
    <row r="5" spans="1:12" x14ac:dyDescent="0.3">
      <c r="A5" s="42" t="s">
        <v>3</v>
      </c>
      <c r="B5" s="1" t="s">
        <v>0</v>
      </c>
      <c r="C5" s="9">
        <f t="shared" si="0"/>
        <v>60</v>
      </c>
      <c r="D5" s="24">
        <v>0.5</v>
      </c>
      <c r="E5" s="3"/>
      <c r="F5" s="23">
        <f>30</f>
        <v>30</v>
      </c>
      <c r="G5" s="64" t="s">
        <v>40</v>
      </c>
      <c r="H5" s="43"/>
      <c r="I5" s="72"/>
    </row>
    <row r="6" spans="1:12" x14ac:dyDescent="0.3">
      <c r="A6" s="42" t="s">
        <v>49</v>
      </c>
      <c r="B6" s="1" t="s">
        <v>0</v>
      </c>
      <c r="C6" s="9">
        <f t="shared" si="0"/>
        <v>60</v>
      </c>
      <c r="D6" s="24">
        <v>0.5</v>
      </c>
      <c r="E6" s="3"/>
      <c r="F6" s="23">
        <f>30</f>
        <v>30</v>
      </c>
      <c r="G6" s="64" t="s">
        <v>40</v>
      </c>
      <c r="H6" s="43"/>
      <c r="I6" s="72"/>
    </row>
    <row r="7" spans="1:12" x14ac:dyDescent="0.3">
      <c r="A7" s="42" t="s">
        <v>8</v>
      </c>
      <c r="B7" s="1" t="s">
        <v>0</v>
      </c>
      <c r="C7" s="9">
        <f t="shared" si="0"/>
        <v>60</v>
      </c>
      <c r="D7" s="24">
        <v>0.5</v>
      </c>
      <c r="E7" s="3"/>
      <c r="F7" s="23">
        <f>30</f>
        <v>30</v>
      </c>
      <c r="G7" s="64" t="s">
        <v>40</v>
      </c>
      <c r="H7" s="43"/>
      <c r="I7" s="72"/>
    </row>
    <row r="8" spans="1:12" x14ac:dyDescent="0.3">
      <c r="A8" s="42" t="s">
        <v>5</v>
      </c>
      <c r="B8" s="1" t="s">
        <v>0</v>
      </c>
      <c r="C8" s="9">
        <f t="shared" si="0"/>
        <v>60</v>
      </c>
      <c r="D8" s="3"/>
      <c r="E8" s="3"/>
      <c r="F8" s="23">
        <f>C8</f>
        <v>60</v>
      </c>
      <c r="G8" s="64" t="s">
        <v>40</v>
      </c>
      <c r="H8" s="43"/>
      <c r="I8" s="72"/>
    </row>
    <row r="9" spans="1:12" x14ac:dyDescent="0.3">
      <c r="A9" s="42" t="s">
        <v>6</v>
      </c>
      <c r="B9" s="1" t="s">
        <v>0</v>
      </c>
      <c r="C9" s="9">
        <f t="shared" si="0"/>
        <v>60</v>
      </c>
      <c r="D9" s="3"/>
      <c r="E9" s="3"/>
      <c r="F9" s="23">
        <f t="shared" ref="F9:F28" si="1">C9</f>
        <v>60</v>
      </c>
      <c r="G9" s="64" t="s">
        <v>40</v>
      </c>
      <c r="H9" s="43"/>
      <c r="I9" s="72"/>
    </row>
    <row r="10" spans="1:12" x14ac:dyDescent="0.3">
      <c r="A10" s="42" t="s">
        <v>9</v>
      </c>
      <c r="B10" s="1" t="s">
        <v>0</v>
      </c>
      <c r="C10" s="2">
        <f>1080/7</f>
        <v>154.28571428571428</v>
      </c>
      <c r="D10" s="3"/>
      <c r="E10" s="3"/>
      <c r="F10" s="23">
        <f t="shared" si="1"/>
        <v>154.28571428571428</v>
      </c>
      <c r="G10" s="64" t="s">
        <v>40</v>
      </c>
      <c r="H10" s="43"/>
      <c r="I10" s="72"/>
    </row>
    <row r="11" spans="1:12" x14ac:dyDescent="0.3">
      <c r="A11" s="42" t="s">
        <v>10</v>
      </c>
      <c r="B11" s="1" t="s">
        <v>0</v>
      </c>
      <c r="C11" s="2">
        <f t="shared" ref="C11:C16" si="2">1080/7</f>
        <v>154.28571428571428</v>
      </c>
      <c r="D11" s="3"/>
      <c r="E11" s="3"/>
      <c r="F11" s="23">
        <f t="shared" si="1"/>
        <v>154.28571428571428</v>
      </c>
      <c r="G11" s="64" t="s">
        <v>40</v>
      </c>
      <c r="H11" s="64"/>
      <c r="I11" s="72"/>
    </row>
    <row r="12" spans="1:12" x14ac:dyDescent="0.3">
      <c r="A12" s="42" t="s">
        <v>11</v>
      </c>
      <c r="B12" s="1" t="s">
        <v>0</v>
      </c>
      <c r="C12" s="2">
        <f t="shared" si="2"/>
        <v>154.28571428571428</v>
      </c>
      <c r="D12" s="3"/>
      <c r="E12" s="3"/>
      <c r="F12" s="23">
        <f t="shared" si="1"/>
        <v>154.28571428571428</v>
      </c>
      <c r="G12" s="64" t="s">
        <v>40</v>
      </c>
      <c r="H12" s="43"/>
      <c r="I12" s="72"/>
    </row>
    <row r="13" spans="1:12" x14ac:dyDescent="0.3">
      <c r="A13" s="42" t="s">
        <v>12</v>
      </c>
      <c r="B13" s="1" t="s">
        <v>0</v>
      </c>
      <c r="C13" s="2">
        <f t="shared" si="2"/>
        <v>154.28571428571428</v>
      </c>
      <c r="D13" s="3"/>
      <c r="E13" s="3"/>
      <c r="F13" s="23">
        <f t="shared" si="1"/>
        <v>154.28571428571428</v>
      </c>
      <c r="G13" s="64" t="s">
        <v>40</v>
      </c>
      <c r="H13" s="43"/>
      <c r="I13" s="72"/>
    </row>
    <row r="14" spans="1:12" x14ac:dyDescent="0.3">
      <c r="A14" s="42" t="s">
        <v>14</v>
      </c>
      <c r="B14" s="1" t="s">
        <v>0</v>
      </c>
      <c r="C14" s="2">
        <f t="shared" si="2"/>
        <v>154.28571428571428</v>
      </c>
      <c r="D14" s="3"/>
      <c r="E14" s="3"/>
      <c r="F14" s="23">
        <f t="shared" si="1"/>
        <v>154.28571428571428</v>
      </c>
      <c r="G14" s="64" t="s">
        <v>40</v>
      </c>
      <c r="H14" s="43"/>
      <c r="I14" s="72"/>
    </row>
    <row r="15" spans="1:12" x14ac:dyDescent="0.3">
      <c r="A15" s="42" t="s">
        <v>13</v>
      </c>
      <c r="B15" s="1" t="s">
        <v>0</v>
      </c>
      <c r="C15" s="2">
        <f t="shared" si="2"/>
        <v>154.28571428571428</v>
      </c>
      <c r="D15" s="3" t="s">
        <v>34</v>
      </c>
      <c r="E15" s="3"/>
      <c r="F15" s="23">
        <f t="shared" si="1"/>
        <v>154.28571428571428</v>
      </c>
      <c r="G15" s="64" t="s">
        <v>40</v>
      </c>
      <c r="H15" s="43"/>
      <c r="I15" s="72"/>
    </row>
    <row r="16" spans="1:12" x14ac:dyDescent="0.3">
      <c r="A16" s="42" t="s">
        <v>15</v>
      </c>
      <c r="B16" s="1" t="s">
        <v>0</v>
      </c>
      <c r="C16" s="2">
        <f t="shared" si="2"/>
        <v>154.28571428571428</v>
      </c>
      <c r="D16" s="3"/>
      <c r="E16" s="3"/>
      <c r="F16" s="23">
        <f t="shared" si="1"/>
        <v>154.28571428571428</v>
      </c>
      <c r="G16" s="64" t="s">
        <v>40</v>
      </c>
      <c r="H16" s="43"/>
      <c r="I16" s="72"/>
    </row>
    <row r="17" spans="1:9" x14ac:dyDescent="0.3">
      <c r="A17" s="42" t="s">
        <v>16</v>
      </c>
      <c r="B17" s="1" t="s">
        <v>0</v>
      </c>
      <c r="C17" s="2">
        <f>3*8*1*8</f>
        <v>192</v>
      </c>
      <c r="D17" s="3"/>
      <c r="E17" s="3"/>
      <c r="F17" s="23">
        <f t="shared" si="1"/>
        <v>192</v>
      </c>
      <c r="G17" s="64" t="s">
        <v>40</v>
      </c>
      <c r="H17" s="43"/>
      <c r="I17" s="72"/>
    </row>
    <row r="18" spans="1:9" x14ac:dyDescent="0.3">
      <c r="A18" s="42" t="s">
        <v>17</v>
      </c>
      <c r="B18" s="1" t="s">
        <v>0</v>
      </c>
      <c r="C18" s="2">
        <f>3*8*0.5*8</f>
        <v>96</v>
      </c>
      <c r="D18" s="3"/>
      <c r="E18" s="3"/>
      <c r="F18" s="23">
        <f t="shared" si="1"/>
        <v>96</v>
      </c>
      <c r="G18" s="64" t="s">
        <v>40</v>
      </c>
      <c r="H18" s="43"/>
      <c r="I18" s="72"/>
    </row>
    <row r="19" spans="1:9" x14ac:dyDescent="0.3">
      <c r="A19" s="42" t="s">
        <v>18</v>
      </c>
      <c r="B19" s="1" t="s">
        <v>0</v>
      </c>
      <c r="C19" s="2">
        <f>3*8*2*8</f>
        <v>384</v>
      </c>
      <c r="D19" s="3"/>
      <c r="E19" s="3"/>
      <c r="F19" s="23">
        <f t="shared" si="1"/>
        <v>384</v>
      </c>
      <c r="G19" s="64" t="s">
        <v>40</v>
      </c>
      <c r="H19" s="43"/>
      <c r="I19" s="72"/>
    </row>
    <row r="20" spans="1:9" x14ac:dyDescent="0.3">
      <c r="A20" s="42" t="s">
        <v>19</v>
      </c>
      <c r="B20" s="1" t="s">
        <v>0</v>
      </c>
      <c r="C20" s="2">
        <f>3*8*4</f>
        <v>96</v>
      </c>
      <c r="D20" s="3"/>
      <c r="E20" s="3"/>
      <c r="F20" s="23">
        <f t="shared" si="1"/>
        <v>96</v>
      </c>
      <c r="G20" s="64" t="s">
        <v>40</v>
      </c>
      <c r="H20" s="43"/>
      <c r="I20" s="72"/>
    </row>
    <row r="21" spans="1:9" x14ac:dyDescent="0.3">
      <c r="A21" s="42" t="s">
        <v>20</v>
      </c>
      <c r="B21" s="1" t="s">
        <v>0</v>
      </c>
      <c r="C21" s="2">
        <f>2*8*1</f>
        <v>16</v>
      </c>
      <c r="D21" s="3"/>
      <c r="E21" s="3"/>
      <c r="F21" s="23">
        <f t="shared" si="1"/>
        <v>16</v>
      </c>
      <c r="G21" s="64" t="s">
        <v>70</v>
      </c>
      <c r="H21" s="43"/>
      <c r="I21" s="72"/>
    </row>
    <row r="22" spans="1:9" x14ac:dyDescent="0.3">
      <c r="A22" s="42" t="s">
        <v>21</v>
      </c>
      <c r="B22" s="1" t="s">
        <v>0</v>
      </c>
      <c r="C22" s="2">
        <v>0</v>
      </c>
      <c r="D22" s="3"/>
      <c r="E22" s="3"/>
      <c r="F22" s="23">
        <f t="shared" si="1"/>
        <v>0</v>
      </c>
      <c r="G22" s="64" t="s">
        <v>66</v>
      </c>
      <c r="H22" s="43"/>
      <c r="I22" s="72"/>
    </row>
    <row r="23" spans="1:9" x14ac:dyDescent="0.3">
      <c r="A23" s="42" t="s">
        <v>22</v>
      </c>
      <c r="B23" s="1" t="s">
        <v>0</v>
      </c>
      <c r="C23" s="2">
        <f>3*8*4</f>
        <v>96</v>
      </c>
      <c r="D23" s="3"/>
      <c r="E23" s="3"/>
      <c r="F23" s="23">
        <f t="shared" si="1"/>
        <v>96</v>
      </c>
      <c r="G23" s="64" t="s">
        <v>40</v>
      </c>
      <c r="H23" s="43"/>
      <c r="I23" s="72"/>
    </row>
    <row r="24" spans="1:9" x14ac:dyDescent="0.3">
      <c r="A24" s="42" t="s">
        <v>23</v>
      </c>
      <c r="B24" s="1" t="s">
        <v>0</v>
      </c>
      <c r="C24" s="2">
        <f>100/4</f>
        <v>25</v>
      </c>
      <c r="D24" s="3"/>
      <c r="E24" s="3"/>
      <c r="F24" s="23">
        <f t="shared" si="1"/>
        <v>25</v>
      </c>
      <c r="G24" s="64" t="s">
        <v>76</v>
      </c>
      <c r="H24" s="43"/>
      <c r="I24" s="72"/>
    </row>
    <row r="25" spans="1:9" x14ac:dyDescent="0.3">
      <c r="A25" s="42" t="s">
        <v>24</v>
      </c>
      <c r="B25" s="1" t="s">
        <v>0</v>
      </c>
      <c r="C25" s="2">
        <f t="shared" ref="C25:C27" si="3">100/4</f>
        <v>25</v>
      </c>
      <c r="D25" s="3"/>
      <c r="E25" s="3"/>
      <c r="F25" s="23">
        <f t="shared" si="1"/>
        <v>25</v>
      </c>
      <c r="G25" s="64" t="s">
        <v>76</v>
      </c>
      <c r="H25" s="43"/>
      <c r="I25" s="72"/>
    </row>
    <row r="26" spans="1:9" x14ac:dyDescent="0.3">
      <c r="A26" s="42" t="s">
        <v>25</v>
      </c>
      <c r="B26" s="1" t="s">
        <v>0</v>
      </c>
      <c r="C26" s="2">
        <f t="shared" si="3"/>
        <v>25</v>
      </c>
      <c r="D26" s="3"/>
      <c r="E26" s="3"/>
      <c r="F26" s="23">
        <f t="shared" si="1"/>
        <v>25</v>
      </c>
      <c r="G26" s="64" t="s">
        <v>76</v>
      </c>
      <c r="H26" s="43"/>
      <c r="I26" s="72"/>
    </row>
    <row r="27" spans="1:9" x14ac:dyDescent="0.3">
      <c r="A27" s="42" t="s">
        <v>26</v>
      </c>
      <c r="B27" s="1" t="s">
        <v>0</v>
      </c>
      <c r="C27" s="2">
        <f t="shared" si="3"/>
        <v>25</v>
      </c>
      <c r="D27" s="3"/>
      <c r="E27" s="3"/>
      <c r="F27" s="23">
        <f t="shared" si="1"/>
        <v>25</v>
      </c>
      <c r="G27" s="64" t="s">
        <v>76</v>
      </c>
      <c r="H27" s="43"/>
      <c r="I27" s="72"/>
    </row>
    <row r="28" spans="1:9" x14ac:dyDescent="0.3">
      <c r="A28" s="26" t="s">
        <v>33</v>
      </c>
      <c r="B28" s="27"/>
      <c r="C28" s="28"/>
      <c r="D28" s="29"/>
      <c r="E28" s="29">
        <v>155</v>
      </c>
      <c r="F28" s="30">
        <f t="shared" si="1"/>
        <v>0</v>
      </c>
    </row>
    <row r="29" spans="1:9" x14ac:dyDescent="0.3">
      <c r="A29" s="73" t="s">
        <v>32</v>
      </c>
      <c r="B29" s="73"/>
      <c r="C29" s="23">
        <f>SUM(C2:C27)</f>
        <v>2539.9999999999995</v>
      </c>
      <c r="D29" s="3"/>
      <c r="E29" s="3">
        <f>SUM(E2:E28)</f>
        <v>155</v>
      </c>
      <c r="F29" s="23">
        <f>SUM(F2:F28)</f>
        <v>2355</v>
      </c>
    </row>
  </sheetData>
  <mergeCells count="2">
    <mergeCell ref="I2:I27"/>
    <mergeCell ref="A29:B29"/>
  </mergeCells>
  <phoneticPr fontId="13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Зразок</vt:lpstr>
      <vt:lpstr>ЗВіт</vt:lpstr>
      <vt:lpstr>ЗВіт (19.06)</vt:lpstr>
      <vt:lpstr>ЗВіт (26.06)</vt:lpstr>
      <vt:lpstr>ЗВіт (03.07)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o.lytvyniuk</cp:lastModifiedBy>
  <dcterms:created xsi:type="dcterms:W3CDTF">2026-03-19T10:43:29Z</dcterms:created>
  <dcterms:modified xsi:type="dcterms:W3CDTF">2026-07-06T08:21:54Z</dcterms:modified>
</cp:coreProperties>
</file>
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figuration_downloads\BASERP25\_Rarzrabotki\Реестры\"/>
    </mc:Choice>
  </mc:AlternateContent>
  <xr:revisionPtr revIDLastSave="0" documentId="8_{BC95A820-5CD5-42B0-A6EF-3CFC7B87F06A}" xr6:coauthVersionLast="47" xr6:coauthVersionMax="47" xr10:uidLastSave="{00000000-0000-0000-0000-000000000000}"/>
  <bookViews>
    <workbookView xWindow="-120" yWindow="-120" windowWidth="29040" windowHeight="15840" xr2:uid="{87657FED-B5F4-406A-BE3F-57FC59B05E47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2" l="1"/>
</calcChain>
</file>

<file path=xl/sharedStrings.xml><?xml version="1.0" encoding="utf-8"?>
<sst xmlns="http://schemas.openxmlformats.org/spreadsheetml/2006/main" count="49" uniqueCount="49">
  <si>
    <t>Себестоимость реализации</t>
  </si>
  <si>
    <t>ТОВ АСТАРТА АГРО ПРОТЕЇН</t>
  </si>
  <si>
    <t>ІБ00-000070, Реализация товаров и услуг ІБ00-000070 от 10.04.2026 16:46:31, скан сп 12</t>
  </si>
  <si>
    <t>ІБ00-000071, Реализация товаров и услуг ІБ00-000071 от 17.04.2026 15:09:51, скан сп 24</t>
  </si>
  <si>
    <t>ІБ00-000072, Реализация товаров и услуг ІБ00-000072 от 17.04.2026 16:12:36, скан сп 32</t>
  </si>
  <si>
    <t>ІБ00-000073, Реализация товаров и услуг ІБ00-000073 от 22.04.2026 9:22:19, скан сп 11</t>
  </si>
  <si>
    <t>ІБ00-000074, Реализация товаров и услуг ІБ00-000074 от 22.04.2026 9:49:01, скан сп 27</t>
  </si>
  <si>
    <t>ІБ00-000075, Реализация товаров и услуг ІБ00-000075 от 22.04.2026 10:29:06, скан сп 24</t>
  </si>
  <si>
    <t>ІБ00-000076, Реализация товаров и услуг ІБ00-000076 от 24.04.2026 10:42:54, скан сп 32</t>
  </si>
  <si>
    <t>ІБ00-000077, Реализация товаров и услуг ІБ00-000077 от 24.04.2026 11:00:00, скан сп 26</t>
  </si>
  <si>
    <t>ІБ00-000078, Реализация товаров и услуг ІБ00-000078 от 28.04.2026 0:00:00, скан сп 11</t>
  </si>
  <si>
    <t>Строительные материалы</t>
  </si>
  <si>
    <t>ІБ00-000319, Списание недостач товаров ВН-ІБ00-000319 от 01.04.2026 19:54:42, Глобине  (Транспортна галерея-25.6-5м)  Акт переміщ №412/1 від 07.03.26</t>
  </si>
  <si>
    <t xml:space="preserve">ІБ00-000286, Списание недостач товаров ВН-ІБ00-000286 от 10.04.2026 10:59:37, </t>
  </si>
  <si>
    <t xml:space="preserve">ІБ00-000295, Списание недостач товаров ВН-ІБ00-000295 от 10.04.2026 12:22:51, </t>
  </si>
  <si>
    <t xml:space="preserve">ІБ00-000296, Списание недостач товаров ВН-ІБ00-000296 от 10.04.2026 12:40:34, </t>
  </si>
  <si>
    <t xml:space="preserve">ІБ00-000285, Списание недостач товаров ВН-ІБ00-000285 от 10.04.2026 18:00:11, </t>
  </si>
  <si>
    <t xml:space="preserve">ІБ00-000287, Списание недостач товаров ВН-ІБ00-000287 от 10.04.2026 18:00:14, </t>
  </si>
  <si>
    <t xml:space="preserve">ІБ00-000297, Списание недостач товаров ВН-ІБ00-000297 от 10.04.2026 18:00:36, </t>
  </si>
  <si>
    <t>ІБ00-000318, Списание недостач товаров ВН-ІБ00-000318 от 14.04.2026 18:26:08, Глобине (АВ рез розчинника 3,6-1м.) Акт переміщ №411/1  від 28.02.26</t>
  </si>
  <si>
    <t>ІБ00-000320, Списание недостач товаров ВН-ІБ00-000320 от 16.04.2026 18:47:00, Глобине (БІГ-БЕГИ-4.1-(4маш) ) Акт переміщ №410/1  від 27.02.26</t>
  </si>
  <si>
    <t>ІБ00-000322, Списание недостач товаров ВН-ІБ00-000322 от 16.04.2026 18:47:01, Глобине (Пост охорони-1м.) Акт переміщ №412/1  від 07.03.26</t>
  </si>
  <si>
    <t xml:space="preserve">ІБ00-000310, Списание недостач товаров ВН-ІБ00-000310 от 17.04.2026 8:37:48, </t>
  </si>
  <si>
    <t xml:space="preserve">ІБ00-000306, Списание недостач товаров ВН-ІБ00-000306 от 17.04.2026 16:17:07, </t>
  </si>
  <si>
    <t xml:space="preserve">ІБ00-000312, Списание недостач товаров ВН-ІБ00-000312 от 17.04.2026 20:02:36, </t>
  </si>
  <si>
    <t xml:space="preserve">ІБ00-000307, Списание недостач товаров ВН-ІБ00-000307 от 17.04.2026 20:05:29, </t>
  </si>
  <si>
    <t xml:space="preserve">ІБ00-000308, Списание недостач товаров ВН-ІБ00-000308 от 17.04.2026 20:05:31, </t>
  </si>
  <si>
    <t xml:space="preserve">ІБ00-000309, Списание недостач товаров ВН-ІБ00-000309 от 17.04.2026 20:05:34, </t>
  </si>
  <si>
    <t xml:space="preserve">ІБ00-000311, Списание недостач товаров ВН-ІБ00-000311 от 17.04.2026 20:05:39, </t>
  </si>
  <si>
    <t>ІБ00-000321, Списание недостач товаров ВН-ІБ00-000321 от 22.04.2026 21:00:11, Глобине  (Транспортна галерея-25.6-7м)  Акт переміщ №510/1 від 17.04.26</t>
  </si>
  <si>
    <t xml:space="preserve">ІБ00-000329, Списание недостач товаров ВН-ІБ00-000329 от 27.04.2026 13:30:33, </t>
  </si>
  <si>
    <t xml:space="preserve">ІБ00-000331, Списание недостач товаров ВН-ІБ00-000331 от 27.04.2026 14:47:58, </t>
  </si>
  <si>
    <t xml:space="preserve">ІБ00-000332, Списание недостач товаров ВН-ІБ00-000332 от 27.04.2026 14:59:18, </t>
  </si>
  <si>
    <t xml:space="preserve">ІБ00-000326, Списание недостач товаров ВН-ІБ00-000326 от 27.04.2026 18:00:00, </t>
  </si>
  <si>
    <t xml:space="preserve">ІБ00-000327, Списание недостач товаров ВН-ІБ00-000327 от 27.04.2026 18:00:00, </t>
  </si>
  <si>
    <t xml:space="preserve">ІБ00-000325, Списание недостач товаров ВН-ІБ00-000325 от 27.04.2026 18:21:25, </t>
  </si>
  <si>
    <t xml:space="preserve">ІБ00-000328, Списание недостач товаров ВН-ІБ00-000328 от 27.04.2026 19:00:00, </t>
  </si>
  <si>
    <t xml:space="preserve">ІБ00-000330, Списание недостач товаров ВН-ІБ00-000330 от 27.04.2026 19:00:00, </t>
  </si>
  <si>
    <t xml:space="preserve">ІБ00-000333, Списание недостач товаров ВН-ІБ00-000333 от 27.04.2026 19:00:10, </t>
  </si>
  <si>
    <t xml:space="preserve">ІБ00-000334, Списание недостач товаров ВН-ІБ00-000334 от 27.04.2026 19:00:12, </t>
  </si>
  <si>
    <t xml:space="preserve">ІБ00-000345, Списание недостач товаров ВН-ІБ00-000345 от 27.04.2026 19:00:17, </t>
  </si>
  <si>
    <t xml:space="preserve">ІБ00-000357, Списание недостач товаров ВН-ІБ00-000357 от 30.04.2026 8:00:00, </t>
  </si>
  <si>
    <t xml:space="preserve">ІБ00-000352, Списание недостач товаров ВН-ІБ00-000352 от 30.04.2026 20:00:00, </t>
  </si>
  <si>
    <t xml:space="preserve">ІБ00-000353, Списание недостач товаров ВН-ІБ00-000353 от 30.04.2026 20:00:00, </t>
  </si>
  <si>
    <t xml:space="preserve">ІБ00-000354, Списание недостач товаров ВН-ІБ00-000354 от 30.04.2026 20:00:00, </t>
  </si>
  <si>
    <t xml:space="preserve">ІБ00-000355, Списание недостач товаров ВН-ІБ00-000355 от 30.04.2026 20:00:00, </t>
  </si>
  <si>
    <t xml:space="preserve">ІБ00-000356, Списание недостач товаров ВН-ІБ00-000356 от 30.04.2026 20:00:00, </t>
  </si>
  <si>
    <t xml:space="preserve">ІБ00-000358, Списание недостач товаров ВН-ІБ00-000358 от 30.04.2026 20:00:00, </t>
  </si>
  <si>
    <t xml:space="preserve">ІБ00-000359, Списание недостач товаров ВН-ІБ00-000359 от 30.04.2026 20:00:00,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</si>
</sst>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name val="Arial"/>
      <family val="2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NumberFormat="1" applyFont="1" applyBorder="1" applyAlignment="1">
      <alignment vertical="top" wrapText="1" indent="4"/>
    </xf>
    <xf numFmtId="0" fontId="1" fillId="2" borderId="1" xfId="1" applyNumberFormat="1" applyFont="1" applyFill="1" applyBorder="1" applyAlignment="1">
      <alignment horizontal="right" vertical="top"/>
    </xf>
    <xf numFmtId="0" fontId="2" fillId="2" borderId="1" xfId="1" applyNumberFormat="1" applyFont="1" applyFill="1" applyBorder="1" applyAlignment="1">
      <alignment horizontal="right" vertical="top"/>
    </xf>
    <xf numFmtId="4" fontId="1" fillId="3" borderId="1" xfId="1" applyNumberFormat="1" applyFont="1" applyFill="1" applyBorder="1" applyAlignment="1">
      <alignment horizontal="right" vertical="top"/>
    </xf>
    <xf numFmtId="0" fontId="1" fillId="0" borderId="1" xfId="1" applyNumberFormat="1" applyFont="1" applyBorder="1" applyAlignment="1">
      <alignment vertical="top" wrapText="1" indent="6"/>
    </xf>
    <xf numFmtId="0" fontId="1" fillId="0" borderId="1" xfId="1" applyNumberFormat="1" applyFont="1" applyBorder="1" applyAlignment="1">
      <alignment vertical="top" wrapText="1" indent="8"/>
    </xf>
    <xf numFmtId="4" fontId="0" fillId="0" borderId="0" xfId="0" applyNumberFormat="1"/>
  </cellXfs>
  <cellStyles count="2">
    <cellStyle name="Обычный" xfId="0" builtinId="0"/>
    <cellStyle name="Обычный_Лист2" xfId="1" xr:uid="{1FCFF8B5-95DD-4E7E-B6DC-D7B13A5AE3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EC07-AABB-4684-AE20-4F833AC84A00}">
  <dimension ref="B3:F54"/>
  <sheetViews>
    <sheetView tabSelected="1" topLeftCell="A27" workbookViewId="0">
      <selection activeCell="F54" sqref="F54"/>
    </sheetView>
  </sheetViews>
  <sheetFormatPr defaultRowHeight="15" x14ac:dyDescent="0.25"/>
  <cols>
    <col min="2" max="2" width="85.85546875" customWidth="1"/>
    <col min="6" max="6" width="18.42578125" customWidth="1"/>
  </cols>
  <sheetData>
    <row r="3" spans="2:6" x14ac:dyDescent="0.25">
      <c r="B3" s="1" t="s">
        <v>0</v>
      </c>
      <c r="C3" s="2"/>
      <c r="D3" s="2"/>
      <c r="E3" s="3"/>
      <c r="F3" s="4"/>
    </row>
    <row r="4" spans="2:6" x14ac:dyDescent="0.25">
      <c r="B4" s="5" t="s">
        <v>1</v>
      </c>
      <c r="C4" s="2"/>
      <c r="D4" s="2"/>
      <c r="E4" s="3"/>
      <c r="F4" s="4"/>
    </row>
    <row r="5" spans="2:6" ht="22.5" x14ac:dyDescent="0.25">
      <c r="B5" s="6" t="s">
        <v>2</v>
      </c>
      <c r="C5" s="2"/>
      <c r="D5" s="2"/>
      <c r="E5" s="3"/>
      <c r="F5" s="4">
        <v>319784.64</v>
      </c>
    </row>
    <row r="6" spans="2:6" ht="22.5" x14ac:dyDescent="0.25">
      <c r="B6" s="6" t="s">
        <v>3</v>
      </c>
      <c r="C6" s="2"/>
      <c r="D6" s="2"/>
      <c r="E6" s="3"/>
      <c r="F6" s="4">
        <v>439332.06</v>
      </c>
    </row>
    <row r="7" spans="2:6" ht="22.5" x14ac:dyDescent="0.25">
      <c r="B7" s="6" t="s">
        <v>4</v>
      </c>
      <c r="C7" s="2"/>
      <c r="D7" s="2"/>
      <c r="E7" s="3"/>
      <c r="F7" s="4">
        <v>1162833</v>
      </c>
    </row>
    <row r="8" spans="2:6" ht="22.5" x14ac:dyDescent="0.25">
      <c r="B8" s="6" t="s">
        <v>5</v>
      </c>
      <c r="C8" s="2"/>
      <c r="D8" s="2"/>
      <c r="E8" s="3"/>
      <c r="F8" s="4">
        <v>452802.52</v>
      </c>
    </row>
    <row r="9" spans="2:6" ht="22.5" x14ac:dyDescent="0.25">
      <c r="B9" s="6" t="s">
        <v>6</v>
      </c>
      <c r="C9" s="2"/>
      <c r="D9" s="2"/>
      <c r="E9" s="3"/>
      <c r="F9" s="4">
        <v>158719.92000000001</v>
      </c>
    </row>
    <row r="10" spans="2:6" ht="22.5" x14ac:dyDescent="0.25">
      <c r="B10" s="6" t="s">
        <v>7</v>
      </c>
      <c r="C10" s="2"/>
      <c r="D10" s="2"/>
      <c r="E10" s="3"/>
      <c r="F10" s="4">
        <v>1696354.83</v>
      </c>
    </row>
    <row r="11" spans="2:6" ht="22.5" x14ac:dyDescent="0.25">
      <c r="B11" s="6" t="s">
        <v>8</v>
      </c>
      <c r="C11" s="2"/>
      <c r="D11" s="2"/>
      <c r="E11" s="3"/>
      <c r="F11" s="4">
        <v>2453025</v>
      </c>
    </row>
    <row r="12" spans="2:6" ht="22.5" x14ac:dyDescent="0.25">
      <c r="B12" s="6" t="s">
        <v>9</v>
      </c>
      <c r="C12" s="2"/>
      <c r="D12" s="2"/>
      <c r="E12" s="3"/>
      <c r="F12" s="4">
        <v>1668124.58</v>
      </c>
    </row>
    <row r="13" spans="2:6" ht="22.5" x14ac:dyDescent="0.25">
      <c r="B13" s="6" t="s">
        <v>10</v>
      </c>
      <c r="C13" s="2"/>
      <c r="D13" s="2"/>
      <c r="E13" s="3"/>
      <c r="F13" s="4">
        <v>296442.40000000002</v>
      </c>
    </row>
    <row r="14" spans="2:6" x14ac:dyDescent="0.25">
      <c r="B14" s="1" t="s">
        <v>11</v>
      </c>
      <c r="C14" s="2"/>
      <c r="D14" s="2"/>
      <c r="E14" s="3"/>
      <c r="F14" s="4"/>
    </row>
    <row r="15" spans="2:6" x14ac:dyDescent="0.25">
      <c r="B15" s="5"/>
      <c r="C15" s="2"/>
      <c r="D15" s="2"/>
      <c r="E15" s="3"/>
      <c r="F15" s="4"/>
    </row>
    <row r="16" spans="2:6" ht="22.5" x14ac:dyDescent="0.25">
      <c r="B16" s="6" t="s">
        <v>12</v>
      </c>
      <c r="C16" s="2"/>
      <c r="D16" s="2"/>
      <c r="E16" s="3"/>
      <c r="F16" s="4">
        <v>129285.19</v>
      </c>
    </row>
    <row r="17" spans="2:6" x14ac:dyDescent="0.25">
      <c r="B17" s="6" t="s">
        <v>13</v>
      </c>
      <c r="C17" s="2"/>
      <c r="D17" s="2"/>
      <c r="E17" s="3"/>
      <c r="F17" s="4">
        <v>63260.91</v>
      </c>
    </row>
    <row r="18" spans="2:6" x14ac:dyDescent="0.25">
      <c r="B18" s="6" t="s">
        <v>14</v>
      </c>
      <c r="C18" s="2"/>
      <c r="D18" s="2"/>
      <c r="E18" s="3"/>
      <c r="F18" s="4">
        <v>12251.8</v>
      </c>
    </row>
    <row r="19" spans="2:6" x14ac:dyDescent="0.25">
      <c r="B19" s="6" t="s">
        <v>15</v>
      </c>
      <c r="C19" s="2"/>
      <c r="D19" s="2"/>
      <c r="E19" s="3"/>
      <c r="F19" s="4">
        <v>301949.53999999998</v>
      </c>
    </row>
    <row r="20" spans="2:6" x14ac:dyDescent="0.25">
      <c r="B20" s="6" t="s">
        <v>16</v>
      </c>
      <c r="C20" s="2"/>
      <c r="D20" s="2"/>
      <c r="E20" s="3"/>
      <c r="F20" s="4">
        <v>22040.560000000001</v>
      </c>
    </row>
    <row r="21" spans="2:6" x14ac:dyDescent="0.25">
      <c r="B21" s="6" t="s">
        <v>17</v>
      </c>
      <c r="C21" s="2"/>
      <c r="D21" s="2"/>
      <c r="E21" s="3"/>
      <c r="F21" s="4">
        <v>155919.17000000001</v>
      </c>
    </row>
    <row r="22" spans="2:6" x14ac:dyDescent="0.25">
      <c r="B22" s="6" t="s">
        <v>18</v>
      </c>
      <c r="C22" s="2"/>
      <c r="D22" s="2"/>
      <c r="E22" s="3"/>
      <c r="F22" s="4">
        <v>2970</v>
      </c>
    </row>
    <row r="23" spans="2:6" ht="22.5" x14ac:dyDescent="0.25">
      <c r="B23" s="6" t="s">
        <v>19</v>
      </c>
      <c r="C23" s="2"/>
      <c r="D23" s="2"/>
      <c r="E23" s="3"/>
      <c r="F23" s="4">
        <v>154285.94</v>
      </c>
    </row>
    <row r="24" spans="2:6" ht="22.5" x14ac:dyDescent="0.25">
      <c r="B24" s="6" t="s">
        <v>20</v>
      </c>
      <c r="C24" s="2"/>
      <c r="D24" s="2"/>
      <c r="E24" s="3"/>
      <c r="F24" s="4">
        <v>1005.28</v>
      </c>
    </row>
    <row r="25" spans="2:6" ht="22.5" x14ac:dyDescent="0.25">
      <c r="B25" s="6" t="s">
        <v>21</v>
      </c>
      <c r="C25" s="2"/>
      <c r="D25" s="2"/>
      <c r="E25" s="3"/>
      <c r="F25" s="4">
        <v>61876.7</v>
      </c>
    </row>
    <row r="26" spans="2:6" x14ac:dyDescent="0.25">
      <c r="B26" s="6" t="s">
        <v>22</v>
      </c>
      <c r="C26" s="2"/>
      <c r="D26" s="2"/>
      <c r="E26" s="3"/>
      <c r="F26" s="4">
        <v>36824.9</v>
      </c>
    </row>
    <row r="27" spans="2:6" x14ac:dyDescent="0.25">
      <c r="B27" s="6" t="s">
        <v>23</v>
      </c>
      <c r="C27" s="2"/>
      <c r="D27" s="2"/>
      <c r="E27" s="3"/>
      <c r="F27" s="4">
        <v>62693.07</v>
      </c>
    </row>
    <row r="28" spans="2:6" x14ac:dyDescent="0.25">
      <c r="B28" s="6" t="s">
        <v>24</v>
      </c>
      <c r="C28" s="2"/>
      <c r="D28" s="2"/>
      <c r="E28" s="3"/>
      <c r="F28" s="4">
        <v>326006.02</v>
      </c>
    </row>
    <row r="29" spans="2:6" x14ac:dyDescent="0.25">
      <c r="B29" s="6" t="s">
        <v>25</v>
      </c>
      <c r="C29" s="2"/>
      <c r="D29" s="2"/>
      <c r="E29" s="3"/>
      <c r="F29" s="4">
        <v>23222.48</v>
      </c>
    </row>
    <row r="30" spans="2:6" x14ac:dyDescent="0.25">
      <c r="B30" s="6" t="s">
        <v>26</v>
      </c>
      <c r="C30" s="2"/>
      <c r="D30" s="2"/>
      <c r="E30" s="3"/>
      <c r="F30" s="4">
        <v>6838.58</v>
      </c>
    </row>
    <row r="31" spans="2:6" x14ac:dyDescent="0.25">
      <c r="B31" s="6" t="s">
        <v>27</v>
      </c>
      <c r="C31" s="2"/>
      <c r="D31" s="2"/>
      <c r="E31" s="3"/>
      <c r="F31" s="4">
        <v>18021.22</v>
      </c>
    </row>
    <row r="32" spans="2:6" x14ac:dyDescent="0.25">
      <c r="B32" s="6" t="s">
        <v>28</v>
      </c>
      <c r="C32" s="2"/>
      <c r="D32" s="2"/>
      <c r="E32" s="3"/>
      <c r="F32" s="4">
        <v>86899.199999999997</v>
      </c>
    </row>
    <row r="33" spans="2:6" ht="22.5" x14ac:dyDescent="0.25">
      <c r="B33" s="6" t="s">
        <v>29</v>
      </c>
      <c r="C33" s="2"/>
      <c r="D33" s="2"/>
      <c r="E33" s="3"/>
      <c r="F33" s="4">
        <v>8526.42</v>
      </c>
    </row>
    <row r="34" spans="2:6" x14ac:dyDescent="0.25">
      <c r="B34" s="6" t="s">
        <v>30</v>
      </c>
      <c r="C34" s="2"/>
      <c r="D34" s="2"/>
      <c r="E34" s="3"/>
      <c r="F34" s="4">
        <v>174971.82</v>
      </c>
    </row>
    <row r="35" spans="2:6" x14ac:dyDescent="0.25">
      <c r="B35" s="6" t="s">
        <v>31</v>
      </c>
      <c r="C35" s="2"/>
      <c r="D35" s="2"/>
      <c r="E35" s="3"/>
      <c r="F35" s="4">
        <v>5796.7</v>
      </c>
    </row>
    <row r="36" spans="2:6" x14ac:dyDescent="0.25">
      <c r="B36" s="6" t="s">
        <v>32</v>
      </c>
      <c r="C36" s="2"/>
      <c r="D36" s="2"/>
      <c r="E36" s="3"/>
      <c r="F36" s="4">
        <v>112343.55</v>
      </c>
    </row>
    <row r="37" spans="2:6" x14ac:dyDescent="0.25">
      <c r="B37" s="6" t="s">
        <v>33</v>
      </c>
      <c r="C37" s="2"/>
      <c r="D37" s="2"/>
      <c r="E37" s="3"/>
      <c r="F37" s="4">
        <v>311947.90999999997</v>
      </c>
    </row>
    <row r="38" spans="2:6" x14ac:dyDescent="0.25">
      <c r="B38" s="6" t="s">
        <v>34</v>
      </c>
      <c r="C38" s="2"/>
      <c r="D38" s="2"/>
      <c r="E38" s="3"/>
      <c r="F38" s="4">
        <v>9896.07</v>
      </c>
    </row>
    <row r="39" spans="2:6" x14ac:dyDescent="0.25">
      <c r="B39" s="6" t="s">
        <v>35</v>
      </c>
      <c r="C39" s="2"/>
      <c r="D39" s="2"/>
      <c r="E39" s="3"/>
      <c r="F39" s="4">
        <v>666323.25</v>
      </c>
    </row>
    <row r="40" spans="2:6" x14ac:dyDescent="0.25">
      <c r="B40" s="6" t="s">
        <v>36</v>
      </c>
      <c r="C40" s="2"/>
      <c r="D40" s="2"/>
      <c r="E40" s="3"/>
      <c r="F40" s="4">
        <v>112252.9</v>
      </c>
    </row>
    <row r="41" spans="2:6" x14ac:dyDescent="0.25">
      <c r="B41" s="6" t="s">
        <v>37</v>
      </c>
      <c r="C41" s="2"/>
      <c r="D41" s="2"/>
      <c r="E41" s="3"/>
      <c r="F41" s="4">
        <v>27200.49</v>
      </c>
    </row>
    <row r="42" spans="2:6" x14ac:dyDescent="0.25">
      <c r="B42" s="6" t="s">
        <v>38</v>
      </c>
      <c r="C42" s="2"/>
      <c r="D42" s="2"/>
      <c r="E42" s="3"/>
      <c r="F42" s="4">
        <v>362118.06</v>
      </c>
    </row>
    <row r="43" spans="2:6" x14ac:dyDescent="0.25">
      <c r="B43" s="6" t="s">
        <v>39</v>
      </c>
      <c r="C43" s="2"/>
      <c r="D43" s="2"/>
      <c r="E43" s="3"/>
      <c r="F43" s="4">
        <v>6157.38</v>
      </c>
    </row>
    <row r="44" spans="2:6" x14ac:dyDescent="0.25">
      <c r="B44" s="6" t="s">
        <v>40</v>
      </c>
      <c r="C44" s="2"/>
      <c r="D44" s="2"/>
      <c r="E44" s="3"/>
      <c r="F44" s="4">
        <v>43842.47</v>
      </c>
    </row>
    <row r="45" spans="2:6" x14ac:dyDescent="0.25">
      <c r="B45" s="6" t="s">
        <v>41</v>
      </c>
      <c r="C45" s="2"/>
      <c r="D45" s="2"/>
      <c r="E45" s="3"/>
      <c r="F45" s="4">
        <v>5946.6</v>
      </c>
    </row>
    <row r="46" spans="2:6" x14ac:dyDescent="0.25">
      <c r="B46" s="6" t="s">
        <v>42</v>
      </c>
      <c r="C46" s="2"/>
      <c r="D46" s="2"/>
      <c r="E46" s="3"/>
      <c r="F46" s="4">
        <v>13103.99</v>
      </c>
    </row>
    <row r="47" spans="2:6" x14ac:dyDescent="0.25">
      <c r="B47" s="6" t="s">
        <v>43</v>
      </c>
      <c r="C47" s="2"/>
      <c r="D47" s="2"/>
      <c r="E47" s="3"/>
      <c r="F47" s="4">
        <v>46642.23</v>
      </c>
    </row>
    <row r="48" spans="2:6" x14ac:dyDescent="0.25">
      <c r="B48" s="6" t="s">
        <v>44</v>
      </c>
      <c r="C48" s="2"/>
      <c r="D48" s="2"/>
      <c r="E48" s="3"/>
      <c r="F48" s="4">
        <v>4610.42</v>
      </c>
    </row>
    <row r="49" spans="2:6" x14ac:dyDescent="0.25">
      <c r="B49" s="6" t="s">
        <v>45</v>
      </c>
      <c r="C49" s="2"/>
      <c r="D49" s="2"/>
      <c r="E49" s="3"/>
      <c r="F49" s="4">
        <v>47363</v>
      </c>
    </row>
    <row r="50" spans="2:6" x14ac:dyDescent="0.25">
      <c r="B50" s="6" t="s">
        <v>46</v>
      </c>
      <c r="C50" s="2"/>
      <c r="D50" s="2"/>
      <c r="E50" s="3"/>
      <c r="F50" s="4">
        <v>5412.14</v>
      </c>
    </row>
    <row r="51" spans="2:6" x14ac:dyDescent="0.25">
      <c r="B51" s="6" t="s">
        <v>47</v>
      </c>
      <c r="C51" s="2"/>
      <c r="D51" s="2"/>
      <c r="E51" s="3"/>
      <c r="F51" s="4">
        <v>2626.92</v>
      </c>
    </row>
    <row r="52" spans="2:6" x14ac:dyDescent="0.25">
      <c r="B52" s="6" t="s">
        <v>48</v>
      </c>
      <c r="C52" s="2"/>
      <c r="D52" s="2"/>
      <c r="E52" s="3"/>
      <c r="F52" s="4">
        <v>25161.71</v>
      </c>
    </row>
    <row r="54" spans="2:6" x14ac:dyDescent="0.25">
      <c r="F54" s="7">
        <f>SUM(F3:F53)</f>
        <v>12105013.540000003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1c support</dc:creator>
  <cp:lastModifiedBy>1c support</cp:lastModifiedBy>
  <dcterms:created xsi:type="dcterms:W3CDTF">2026-06-11T21:04:49Z</dcterms:created>
  <dcterms:modified xsi:type="dcterms:W3CDTF">2026-06-11T21:09:25Z</dcterms:modified>
</cp:coreProperties>
</file>
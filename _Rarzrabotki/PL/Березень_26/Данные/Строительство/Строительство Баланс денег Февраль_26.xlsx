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Лютий_26\Данные\Строительство\"/>
    </mc:Choice>
  </mc:AlternateContent>
  <xr:revisionPtr revIDLastSave="0" documentId="13_ncr:1_{FA9618DB-935E-4D74-9151-B2DDC2B015F9}" xr6:coauthVersionLast="45" xr6:coauthVersionMax="45" xr10:uidLastSave="{00000000-0000-0000-0000-000000000000}"/>
  <bookViews>
    <workbookView xWindow="-108" yWindow="-108" windowWidth="23256" windowHeight="12600" firstSheet="4" activeTab="4" xr2:uid="{00000000-000D-0000-FFFF-FFFF00000000}"/>
  </bookViews>
  <sheets>
    <sheet name="Ретал ГПУ" sheetId="5" state="hidden" r:id="rId1"/>
    <sheet name="Нежин-4" sheetId="6" state="hidden" r:id="rId2"/>
    <sheet name="МХП Катеринополь" sheetId="4" state="hidden" r:id="rId3"/>
    <sheet name="Астарта.Тищенки" sheetId="7" state="hidden" r:id="rId4"/>
    <sheet name="Глобино 2" sheetId="3" r:id="rId5"/>
  </sheets>
  <externalReferences>
    <externalReference r:id="rId6"/>
  </externalReferences>
  <definedNames>
    <definedName name="spec_values">[1]BOQ_Шаблон!$A$6:$A$275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7" i="3" l="1"/>
  <c r="B22" i="3" l="1"/>
  <c r="B23" i="3"/>
  <c r="B12" i="3" l="1"/>
  <c r="B36" i="7" l="1"/>
  <c r="E36" i="7"/>
  <c r="B4" i="7" l="1"/>
  <c r="B11" i="7"/>
  <c r="B30" i="3"/>
  <c r="B39" i="3"/>
  <c r="E28" i="7" l="1"/>
  <c r="B29" i="3" l="1"/>
  <c r="B24" i="4"/>
  <c r="B37" i="4"/>
  <c r="E36" i="4"/>
  <c r="E28" i="4"/>
  <c r="E27" i="4"/>
  <c r="B36" i="4"/>
  <c r="B38" i="4"/>
  <c r="B10" i="4"/>
  <c r="B10" i="6"/>
  <c r="E15" i="5"/>
  <c r="E34" i="5" l="1"/>
  <c r="B36" i="5"/>
  <c r="B34" i="5"/>
  <c r="E32" i="7" l="1"/>
  <c r="E34" i="6" l="1"/>
  <c r="B10" i="5" l="1"/>
  <c r="E37" i="3" l="1"/>
  <c r="B35" i="4" l="1"/>
  <c r="E35" i="4" s="1"/>
  <c r="E40" i="4"/>
  <c r="E9" i="4"/>
  <c r="B30" i="4"/>
  <c r="B23" i="4"/>
  <c r="E9" i="5" l="1"/>
  <c r="E29" i="7" l="1"/>
  <c r="B24" i="7"/>
  <c r="E33" i="7"/>
  <c r="B30" i="7" l="1"/>
  <c r="E40" i="7" l="1"/>
  <c r="B35" i="7"/>
  <c r="E35" i="7" s="1"/>
  <c r="E31" i="7"/>
  <c r="E27" i="7"/>
  <c r="E26" i="7"/>
  <c r="E25" i="7"/>
  <c r="E22" i="7"/>
  <c r="E21" i="7"/>
  <c r="B20" i="7"/>
  <c r="E10" i="7"/>
  <c r="B10" i="7"/>
  <c r="B3" i="7"/>
  <c r="D2" i="7"/>
  <c r="B4" i="3"/>
  <c r="B16" i="7" l="1"/>
  <c r="E18" i="7" s="1"/>
  <c r="E37" i="7"/>
  <c r="B40" i="7" s="1"/>
  <c r="B41" i="7" s="1"/>
  <c r="C41" i="7" l="1"/>
  <c r="B23" i="5" l="1"/>
  <c r="B23" i="6"/>
  <c r="E29" i="3" l="1"/>
  <c r="E30" i="3" l="1"/>
  <c r="E38" i="6" l="1"/>
  <c r="B33" i="6"/>
  <c r="E33" i="6" s="1"/>
  <c r="E30" i="6"/>
  <c r="E29" i="6"/>
  <c r="B28" i="6"/>
  <c r="E26" i="6"/>
  <c r="E25" i="6"/>
  <c r="E24" i="6"/>
  <c r="E21" i="6"/>
  <c r="E20" i="6"/>
  <c r="B19" i="6"/>
  <c r="E9" i="6"/>
  <c r="B9" i="6"/>
  <c r="B3" i="6"/>
  <c r="D2" i="6"/>
  <c r="E35" i="6" l="1"/>
  <c r="B15" i="6"/>
  <c r="E17" i="6" s="1"/>
  <c r="D3" i="3"/>
  <c r="D2" i="4"/>
  <c r="D2" i="5"/>
  <c r="B38" i="6" l="1"/>
  <c r="B39" i="6" s="1"/>
  <c r="C39" i="6" s="1"/>
  <c r="B4" i="5" l="1"/>
  <c r="E38" i="5" l="1"/>
  <c r="E42" i="3"/>
  <c r="B33" i="5"/>
  <c r="E33" i="5" s="1"/>
  <c r="E30" i="5"/>
  <c r="E29" i="5"/>
  <c r="B28" i="5"/>
  <c r="E26" i="5"/>
  <c r="E25" i="5"/>
  <c r="E24" i="5"/>
  <c r="E21" i="5"/>
  <c r="E20" i="5"/>
  <c r="B19" i="5"/>
  <c r="B9" i="5"/>
  <c r="B3" i="5"/>
  <c r="E35" i="5" l="1"/>
  <c r="B15" i="5"/>
  <c r="B38" i="5" l="1"/>
  <c r="E17" i="5"/>
  <c r="E21" i="4"/>
  <c r="B19" i="4"/>
  <c r="B39" i="5" l="1"/>
  <c r="C39" i="5" s="1"/>
  <c r="E32" i="4"/>
  <c r="E31" i="4"/>
  <c r="E25" i="4"/>
  <c r="E24" i="4"/>
  <c r="E20" i="4"/>
  <c r="B9" i="4"/>
  <c r="B3" i="4"/>
  <c r="B11" i="3"/>
  <c r="E33" i="3"/>
  <c r="E37" i="4" l="1"/>
  <c r="B15" i="4"/>
  <c r="E17" i="4" s="1"/>
  <c r="E32" i="3"/>
  <c r="E27" i="3"/>
  <c r="E26" i="3"/>
  <c r="B31" i="3"/>
  <c r="B36" i="3"/>
  <c r="E36" i="3" s="1"/>
  <c r="E11" i="3"/>
  <c r="B40" i="4" l="1"/>
  <c r="E22" i="3"/>
  <c r="B21" i="3"/>
  <c r="B17" i="3"/>
  <c r="E23" i="3"/>
  <c r="E19" i="3" l="1"/>
  <c r="E26" i="4"/>
  <c r="B41" i="4" s="1"/>
  <c r="C41" i="4" s="1"/>
  <c r="E28" i="3"/>
  <c r="E38" i="3" s="1"/>
  <c r="B42" i="3" s="1"/>
  <c r="B43" i="3" s="1"/>
  <c r="C43" i="3" s="1"/>
  <c r="B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i.steblianko</author>
  </authors>
  <commentList>
    <comment ref="B24" authorId="0" shapeId="0" xr:uid="{79DD7A54-D6B5-4CF7-9A1E-ED48034E9410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с учетом Стил</t>
        </r>
      </text>
    </comment>
    <comment ref="B32" authorId="0" shapeId="0" xr:uid="{735ECA42-26BB-4ED1-B184-7F3095DD0D4D}">
      <text>
        <r>
          <rPr>
            <b/>
            <sz val="9"/>
            <color indexed="81"/>
            <rFont val="Tahoma"/>
            <family val="2"/>
            <charset val="204"/>
          </rPr>
          <t>i.steblianko:</t>
        </r>
        <r>
          <rPr>
            <sz val="9"/>
            <color indexed="81"/>
            <rFont val="Tahoma"/>
            <family val="2"/>
            <charset val="204"/>
          </rPr>
          <t xml:space="preserve">
Выплачены в декабре</t>
        </r>
      </text>
    </comment>
  </commentList>
</comments>
</file>

<file path=xl/sharedStrings.xml><?xml version="1.0" encoding="utf-8"?>
<sst xmlns="http://schemas.openxmlformats.org/spreadsheetml/2006/main" count="191" uniqueCount="48">
  <si>
    <t xml:space="preserve">CF </t>
  </si>
  <si>
    <t>Поступление от возврата денежных средств</t>
  </si>
  <si>
    <t>Поступление от заказчика</t>
  </si>
  <si>
    <t>Прочие поступления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</si>
  <si>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</si>
  <si>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</si>
  <si>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</si>
  <si>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</si>
  <si>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</si>
  <si>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</si>
  <si>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</si>
  <si>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</si>
  <si>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Остатки на складах , грн</t>
  </si>
  <si>
    <t>ДОХОД, грн</t>
  </si>
  <si>
    <t>РАСХОД, грн</t>
  </si>
  <si>
    <t>Гарантийные платежи - 3 %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</si>
  <si>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</si>
  <si>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</si>
  <si>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</si>
  <si>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</si>
  <si>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</si>
  <si>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</si>
  <si>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Склады Глобино 2, грн</t>
  </si>
  <si>
    <t>Склады Цех - ИС, грн</t>
  </si>
  <si>
    <t>Склад - ЦКС, грн</t>
  </si>
  <si>
    <t>Итого DIFF с учетом Остатков и Задолженностей:</t>
  </si>
  <si>
    <t>СкладыКатеринополь, грн</t>
  </si>
  <si>
    <t>КТ</t>
  </si>
  <si>
    <t>МШП, грн</t>
  </si>
  <si>
    <t>Склады Ретал ГПУ, грн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</si>
  <si>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</si>
  <si>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</si>
  <si>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</si>
  <si>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</si>
  <si>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</si>
  <si>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Склады Нежин-4, грн</t>
  </si>
  <si>
    <t>Вложено денег компании в проект, грн</t>
  </si>
  <si>
    <t>Получение кредита</t>
  </si>
  <si>
    <t>Возврат кредита, грн</t>
  </si>
  <si>
    <t>Склады, грн</t>
  </si>
  <si>
    <t>Возврат ФП, грн</t>
  </si>
  <si>
    <t>Возврат кредитной линии</t>
  </si>
  <si>
    <t>Возврат фин.помощи</t>
  </si>
  <si>
    <t>* деньги предприятия в обороте Глобино-2</t>
  </si>
  <si>
    <t>01/09/2024 - 31/01/2026</t>
  </si>
  <si>
    <t>Задолженность  Заказчика  на 31-01-2026</t>
  </si>
  <si>
    <t>01/09/2024 - 28/02/2026</t>
  </si>
  <si>
    <t>Задолженность  Заказчика  на 28-02-2026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</si>
</sst>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3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</borders>
  <cellStyleXfs count="42598">
    <xf numFmtId="0" fontId="0" fillId="0" borderId="0"/>
    <xf numFmtId="0" fontId="5" fillId="0" borderId="0" applyNumberFormat="0" applyFont="0" applyFill="0" applyBorder="0" applyAlignment="0">
      <alignment horizontal="center" vertical="center"/>
    </xf>
    <xf numFmtId="167" fontId="6" fillId="0" borderId="0" applyFont="0" applyFill="0" applyBorder="0" applyAlignment="0" applyProtection="0"/>
    <xf numFmtId="168" fontId="7" fillId="0" borderId="0"/>
    <xf numFmtId="49" fontId="8" fillId="0" borderId="0">
      <alignment horizontal="left" vertical="center" wrapText="1"/>
    </xf>
    <xf numFmtId="0" fontId="9" fillId="0" borderId="0">
      <alignment horizontal="left" vertical="center"/>
    </xf>
    <xf numFmtId="0" fontId="10" fillId="0" borderId="1">
      <alignment horizontal="left" vertical="center" wrapText="1"/>
    </xf>
    <xf numFmtId="0" fontId="9" fillId="0" borderId="1">
      <alignment horizontal="right" vertical="center"/>
    </xf>
    <xf numFmtId="0" fontId="10" fillId="0" borderId="2">
      <alignment horizontal="left" vertical="center" wrapText="1"/>
    </xf>
    <xf numFmtId="0" fontId="10" fillId="0" borderId="3">
      <alignment horizontal="center" vertical="center" wrapText="1"/>
    </xf>
    <xf numFmtId="0" fontId="10" fillId="0" borderId="3">
      <alignment horizontal="right" vertical="center" wrapText="1"/>
    </xf>
    <xf numFmtId="49" fontId="10" fillId="0" borderId="4">
      <alignment horizontal="right" vertical="top" wrapText="1"/>
    </xf>
    <xf numFmtId="0" fontId="11" fillId="0" borderId="3">
      <alignment horizontal="center" vertical="center" wrapText="1"/>
    </xf>
    <xf numFmtId="49" fontId="11" fillId="0" borderId="3">
      <alignment horizontal="left" vertical="center" wrapText="1"/>
    </xf>
    <xf numFmtId="49" fontId="11" fillId="0" borderId="2">
      <alignment horizontal="left" vertical="center" wrapText="1"/>
    </xf>
    <xf numFmtId="0" fontId="11" fillId="0" borderId="3">
      <alignment horizontal="right" vertical="center" wrapText="1"/>
    </xf>
    <xf numFmtId="49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1" fillId="0" borderId="3">
      <alignment horizontal="center" vertical="center" wrapText="1"/>
    </xf>
    <xf numFmtId="0" fontId="9" fillId="0" borderId="1">
      <alignment horizontal="right" vertical="center" wrapText="1"/>
    </xf>
    <xf numFmtId="0" fontId="10" fillId="0" borderId="5">
      <alignment horizontal="left" vertical="center" wrapText="1"/>
    </xf>
    <xf numFmtId="49" fontId="11" fillId="0" borderId="6">
      <alignment horizontal="center" vertical="top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1" fillId="0" borderId="2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1" fillId="0" borderId="3">
      <alignment horizontal="right" vertical="center" wrapText="1"/>
    </xf>
    <xf numFmtId="0" fontId="11" fillId="0" borderId="3">
      <alignment horizontal="left" wrapText="1"/>
    </xf>
    <xf numFmtId="0" fontId="11" fillId="0" borderId="7">
      <alignment horizontal="left" vertical="center" wrapText="1"/>
    </xf>
    <xf numFmtId="49" fontId="12" fillId="0" borderId="10">
      <alignment horizontal="center" vertical="center" wrapText="1"/>
    </xf>
    <xf numFmtId="0" fontId="9" fillId="0" borderId="11">
      <alignment horizontal="center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0" fontId="10" fillId="0" borderId="7">
      <alignment horizontal="left" vertical="center" wrapText="1"/>
    </xf>
    <xf numFmtId="0" fontId="10" fillId="0" borderId="12">
      <alignment horizontal="left" vertical="center" wrapText="1"/>
    </xf>
    <xf numFmtId="0" fontId="10" fillId="0" borderId="13">
      <alignment horizontal="left" vertical="center" wrapText="1"/>
    </xf>
    <xf numFmtId="49" fontId="11" fillId="0" borderId="14">
      <alignment horizontal="left" vertical="center" wrapText="1"/>
    </xf>
    <xf numFmtId="0" fontId="10" fillId="0" borderId="15">
      <alignment horizontal="left" vertical="center" wrapText="1"/>
    </xf>
    <xf numFmtId="0" fontId="10" fillId="0" borderId="16">
      <alignment horizontal="left" vertical="center" wrapText="1"/>
    </xf>
    <xf numFmtId="49" fontId="11" fillId="0" borderId="12">
      <alignment horizontal="right" vertical="center" wrapText="1"/>
    </xf>
    <xf numFmtId="0" fontId="11" fillId="0" borderId="12">
      <alignment horizontal="left" vertical="center" wrapText="1"/>
    </xf>
    <xf numFmtId="49" fontId="10" fillId="0" borderId="17">
      <alignment horizontal="center" vertical="center" wrapText="1"/>
    </xf>
    <xf numFmtId="0" fontId="9" fillId="0" borderId="18">
      <alignment horizontal="center" vertical="center" wrapText="1"/>
    </xf>
    <xf numFmtId="0" fontId="11" fillId="0" borderId="19">
      <alignment horizontal="left" vertical="center" wrapText="1"/>
    </xf>
    <xf numFmtId="49" fontId="11" fillId="0" borderId="19">
      <alignment horizontal="left" wrapText="1"/>
    </xf>
    <xf numFmtId="0" fontId="10" fillId="0" borderId="20">
      <alignment horizontal="left" vertical="center" wrapText="1"/>
    </xf>
    <xf numFmtId="0" fontId="10" fillId="0" borderId="21">
      <alignment horizontal="left" vertical="center" wrapText="1"/>
    </xf>
    <xf numFmtId="49" fontId="11" fillId="0" borderId="22">
      <alignment horizontal="right" vertical="center" wrapText="1"/>
    </xf>
    <xf numFmtId="0" fontId="11" fillId="0" borderId="23">
      <alignment horizontal="left" vertical="center" wrapText="1"/>
    </xf>
    <xf numFmtId="0" fontId="10" fillId="0" borderId="19">
      <alignment horizontal="left" vertical="center" wrapText="1"/>
    </xf>
    <xf numFmtId="49" fontId="11" fillId="0" borderId="7">
      <alignment horizontal="right" vertical="center" wrapText="1"/>
    </xf>
    <xf numFmtId="0" fontId="11" fillId="0" borderId="11">
      <alignment horizontal="left" vertical="center" wrapText="1"/>
    </xf>
    <xf numFmtId="49" fontId="11" fillId="0" borderId="11">
      <alignment horizontal="left" vertical="center" wrapText="1"/>
    </xf>
    <xf numFmtId="49" fontId="11" fillId="0" borderId="2">
      <alignment horizontal="center" vertical="center" wrapText="1"/>
    </xf>
    <xf numFmtId="0" fontId="11" fillId="0" borderId="24">
      <alignment horizontal="left" vertical="center" wrapText="1"/>
    </xf>
    <xf numFmtId="0" fontId="11" fillId="0" borderId="25">
      <alignment horizontal="left" vertical="center" wrapText="1"/>
    </xf>
    <xf numFmtId="0" fontId="11" fillId="0" borderId="10">
      <alignment horizontal="right" vertical="center" wrapText="1"/>
    </xf>
    <xf numFmtId="0" fontId="11" fillId="0" borderId="26">
      <alignment horizontal="left" vertical="center" wrapText="1"/>
    </xf>
    <xf numFmtId="49" fontId="10" fillId="0" borderId="27">
      <alignment horizontal="left" vertical="center" wrapText="1"/>
    </xf>
    <xf numFmtId="0" fontId="10" fillId="0" borderId="28">
      <alignment horizontal="left" vertical="center" wrapText="1"/>
    </xf>
    <xf numFmtId="49" fontId="10" fillId="0" borderId="29">
      <alignment horizontal="right" vertical="center" wrapText="1"/>
    </xf>
    <xf numFmtId="49" fontId="10" fillId="0" borderId="4">
      <alignment horizontal="left" vertical="center" wrapText="1"/>
    </xf>
    <xf numFmtId="49" fontId="10" fillId="0" borderId="7">
      <alignment horizontal="right" vertical="center" wrapText="1"/>
    </xf>
    <xf numFmtId="0" fontId="11" fillId="0" borderId="8">
      <alignment horizontal="left" vertical="center" wrapText="1"/>
    </xf>
    <xf numFmtId="0" fontId="10" fillId="0" borderId="24">
      <alignment horizontal="center" vertical="center" wrapText="1"/>
    </xf>
    <xf numFmtId="0" fontId="11" fillId="0" borderId="9">
      <alignment horizontal="left" vertical="center" wrapText="1"/>
    </xf>
    <xf numFmtId="0" fontId="11" fillId="0" borderId="8">
      <alignment horizontal="left" vertical="center" wrapText="1"/>
    </xf>
    <xf numFmtId="0" fontId="11" fillId="0" borderId="9">
      <alignment horizontal="left" vertical="center" wrapText="1"/>
    </xf>
    <xf numFmtId="49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0" fillId="0" borderId="24">
      <alignment horizontal="left" vertical="center" wrapText="1"/>
    </xf>
    <xf numFmtId="49" fontId="10" fillId="0" borderId="0">
      <alignment horizontal="left" vertical="center"/>
    </xf>
    <xf numFmtId="0" fontId="10" fillId="0" borderId="0">
      <alignment horizontal="left" vertical="center"/>
    </xf>
    <xf numFmtId="0" fontId="10" fillId="0" borderId="25">
      <alignment horizontal="center" vertical="center" wrapText="1"/>
    </xf>
    <xf numFmtId="0" fontId="10" fillId="0" borderId="27">
      <alignment horizontal="left" vertical="center" wrapText="1"/>
    </xf>
    <xf numFmtId="49" fontId="11" fillId="0" borderId="6">
      <alignment horizontal="center" vertical="center" wrapText="1"/>
    </xf>
    <xf numFmtId="0" fontId="10" fillId="0" borderId="30">
      <alignment horizontal="center" vertical="center" wrapText="1"/>
    </xf>
    <xf numFmtId="0" fontId="9" fillId="0" borderId="3">
      <alignment horizontal="center" vertical="center" wrapText="1"/>
    </xf>
    <xf numFmtId="0" fontId="10" fillId="0" borderId="0">
      <alignment horizontal="left" vertical="center" wrapText="1"/>
    </xf>
    <xf numFmtId="0" fontId="13" fillId="0" borderId="0">
      <alignment horizontal="left" vertical="center"/>
    </xf>
    <xf numFmtId="0" fontId="10" fillId="0" borderId="31">
      <alignment horizontal="left" vertical="center" wrapText="1"/>
    </xf>
    <xf numFmtId="0" fontId="9" fillId="0" borderId="11">
      <alignment horizontal="left" vertical="center" wrapText="1"/>
    </xf>
    <xf numFmtId="0" fontId="10" fillId="0" borderId="32">
      <alignment horizontal="left" vertical="center" wrapText="1"/>
    </xf>
    <xf numFmtId="0" fontId="9" fillId="0" borderId="27">
      <alignment horizontal="left" vertical="center" wrapText="1"/>
    </xf>
    <xf numFmtId="0" fontId="10" fillId="0" borderId="4">
      <alignment horizontal="left" vertical="center" wrapText="1"/>
    </xf>
    <xf numFmtId="0" fontId="9" fillId="0" borderId="27">
      <alignment horizontal="center" vertical="center" wrapText="1"/>
    </xf>
    <xf numFmtId="49" fontId="10" fillId="0" borderId="3">
      <alignment horizontal="center" vertical="center" wrapText="1"/>
    </xf>
    <xf numFmtId="0" fontId="9" fillId="0" borderId="27">
      <alignment horizontal="center" vertical="center" wrapText="1"/>
    </xf>
    <xf numFmtId="49" fontId="10" fillId="0" borderId="7">
      <alignment horizontal="center" vertical="center" wrapText="1"/>
    </xf>
    <xf numFmtId="0" fontId="9" fillId="0" borderId="33">
      <alignment horizontal="left" vertical="center" wrapText="1"/>
    </xf>
    <xf numFmtId="49" fontId="10" fillId="0" borderId="2">
      <alignment horizontal="center" vertical="center" wrapText="1"/>
    </xf>
    <xf numFmtId="0" fontId="9" fillId="0" borderId="33">
      <alignment horizontal="center" vertical="center" wrapText="1"/>
    </xf>
    <xf numFmtId="0" fontId="10" fillId="0" borderId="4">
      <alignment horizontal="center" vertical="center" wrapText="1"/>
    </xf>
    <xf numFmtId="0" fontId="9" fillId="0" borderId="33">
      <alignment horizontal="center" vertical="center" wrapText="1"/>
    </xf>
    <xf numFmtId="0" fontId="11" fillId="0" borderId="3">
      <alignment horizontal="center" vertical="center" wrapText="1"/>
    </xf>
    <xf numFmtId="0" fontId="13" fillId="0" borderId="34">
      <alignment horizontal="left" vertical="center" wrapText="1"/>
    </xf>
    <xf numFmtId="49" fontId="11" fillId="0" borderId="3">
      <alignment horizontal="left" vertical="center" wrapText="1"/>
    </xf>
    <xf numFmtId="0" fontId="13" fillId="0" borderId="34">
      <alignment horizontal="center" vertical="center" wrapText="1"/>
    </xf>
    <xf numFmtId="0" fontId="11" fillId="0" borderId="8">
      <alignment horizontal="center" vertical="center" wrapText="1"/>
    </xf>
    <xf numFmtId="0" fontId="13" fillId="0" borderId="34">
      <alignment horizontal="center" vertical="center" wrapText="1"/>
    </xf>
    <xf numFmtId="49" fontId="14" fillId="0" borderId="0">
      <alignment horizontal="center" vertical="center" wrapText="1"/>
    </xf>
    <xf numFmtId="0" fontId="13" fillId="0" borderId="0">
      <alignment horizontal="right" vertical="center"/>
    </xf>
    <xf numFmtId="0" fontId="11" fillId="0" borderId="8">
      <alignment horizontal="right" vertical="center" wrapText="1"/>
    </xf>
    <xf numFmtId="0" fontId="9" fillId="0" borderId="35">
      <alignment horizontal="left" vertical="center" wrapText="1"/>
    </xf>
    <xf numFmtId="0" fontId="11" fillId="0" borderId="9">
      <alignment horizontal="right" vertical="center" wrapText="1"/>
    </xf>
    <xf numFmtId="0" fontId="9" fillId="0" borderId="35">
      <alignment horizontal="center" vertical="center" wrapText="1"/>
    </xf>
    <xf numFmtId="0" fontId="11" fillId="0" borderId="7">
      <alignment horizontal="right" vertical="center" wrapText="1"/>
    </xf>
    <xf numFmtId="0" fontId="9" fillId="0" borderId="35">
      <alignment horizontal="center" vertical="center" wrapText="1"/>
    </xf>
    <xf numFmtId="0" fontId="11" fillId="0" borderId="2">
      <alignment horizontal="left" vertical="center" wrapText="1"/>
    </xf>
    <xf numFmtId="0" fontId="9" fillId="0" borderId="4">
      <alignment horizontal="left" vertical="center" wrapText="1"/>
    </xf>
    <xf numFmtId="0" fontId="11" fillId="0" borderId="3">
      <alignment horizontal="right" vertical="center" wrapText="1"/>
    </xf>
    <xf numFmtId="0" fontId="9" fillId="0" borderId="4">
      <alignment horizontal="center" vertical="center" wrapText="1"/>
    </xf>
    <xf numFmtId="0" fontId="11" fillId="0" borderId="3">
      <alignment horizontal="left" vertical="center" wrapText="1"/>
    </xf>
    <xf numFmtId="0" fontId="9" fillId="0" borderId="4">
      <alignment horizontal="center" vertical="center" wrapText="1"/>
    </xf>
    <xf numFmtId="0" fontId="11" fillId="0" borderId="3">
      <alignment horizontal="center" vertical="center" wrapText="1"/>
    </xf>
    <xf numFmtId="0" fontId="9" fillId="0" borderId="24">
      <alignment horizontal="left" vertical="center" wrapText="1"/>
    </xf>
    <xf numFmtId="49" fontId="11" fillId="0" borderId="3">
      <alignment horizontal="left" vertical="center" wrapText="1"/>
    </xf>
    <xf numFmtId="0" fontId="11" fillId="0" borderId="8">
      <alignment horizontal="center" vertical="center" wrapText="1"/>
    </xf>
    <xf numFmtId="0" fontId="11" fillId="0" borderId="8">
      <alignment horizontal="right" vertical="center" wrapText="1"/>
    </xf>
    <xf numFmtId="0" fontId="9" fillId="0" borderId="0">
      <alignment horizontal="left" vertical="center"/>
    </xf>
    <xf numFmtId="49" fontId="10" fillId="0" borderId="0">
      <alignment horizontal="left" vertical="center" wrapText="1"/>
    </xf>
    <xf numFmtId="0" fontId="9" fillId="0" borderId="0">
      <alignment horizontal="left" vertical="center" wrapText="1"/>
    </xf>
    <xf numFmtId="0" fontId="11" fillId="0" borderId="9">
      <alignment horizontal="right" vertical="center" wrapText="1"/>
    </xf>
    <xf numFmtId="0" fontId="11" fillId="0" borderId="7">
      <alignment horizontal="right" vertical="center" wrapText="1"/>
    </xf>
    <xf numFmtId="0" fontId="11" fillId="0" borderId="2">
      <alignment horizontal="left" vertical="center" wrapText="1"/>
    </xf>
    <xf numFmtId="0" fontId="11" fillId="0" borderId="3">
      <alignment horizontal="right" vertical="center" wrapText="1"/>
    </xf>
    <xf numFmtId="0" fontId="11" fillId="0" borderId="3">
      <alignment horizontal="left" vertical="center" wrapText="1"/>
    </xf>
    <xf numFmtId="49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11">
      <alignment horizontal="left" vertical="center" wrapText="1"/>
    </xf>
    <xf numFmtId="49" fontId="10" fillId="0" borderId="3">
      <alignment horizontal="right" vertical="center" wrapText="1"/>
    </xf>
    <xf numFmtId="49" fontId="15" fillId="0" borderId="11">
      <alignment horizontal="center" wrapText="1"/>
    </xf>
    <xf numFmtId="49" fontId="8" fillId="0" borderId="0">
      <alignment horizontal="center" vertical="center" wrapText="1"/>
    </xf>
    <xf numFmtId="0" fontId="13" fillId="0" borderId="0">
      <alignment horizontal="left" vertical="center"/>
    </xf>
    <xf numFmtId="49" fontId="15" fillId="0" borderId="10">
      <alignment horizontal="center" wrapText="1"/>
    </xf>
    <xf numFmtId="49" fontId="10" fillId="0" borderId="2">
      <alignment horizontal="left" vertical="center" wrapText="1"/>
    </xf>
    <xf numFmtId="0" fontId="10" fillId="0" borderId="3">
      <alignment horizontal="left" vertical="center" wrapText="1"/>
    </xf>
    <xf numFmtId="49" fontId="10" fillId="0" borderId="4">
      <alignment horizontal="center" vertical="top" wrapText="1"/>
    </xf>
    <xf numFmtId="49" fontId="10" fillId="0" borderId="6">
      <alignment horizontal="center" vertical="top" wrapText="1"/>
    </xf>
    <xf numFmtId="0" fontId="10" fillId="0" borderId="36">
      <alignment horizontal="left" vertical="center" wrapText="1"/>
    </xf>
    <xf numFmtId="0" fontId="10" fillId="0" borderId="4">
      <alignment horizontal="left" vertical="center" wrapText="1"/>
    </xf>
    <xf numFmtId="0" fontId="10" fillId="0" borderId="4">
      <alignment horizontal="right" vertical="top" wrapText="1"/>
    </xf>
    <xf numFmtId="0" fontId="10" fillId="0" borderId="6">
      <alignment horizontal="left" vertical="center" wrapText="1"/>
    </xf>
    <xf numFmtId="0" fontId="10" fillId="0" borderId="37">
      <alignment horizontal="left" vertical="center" wrapText="1"/>
    </xf>
    <xf numFmtId="0" fontId="8" fillId="0" borderId="0">
      <alignment horizontal="center" vertical="center" wrapText="1"/>
    </xf>
    <xf numFmtId="0" fontId="9" fillId="0" borderId="0">
      <alignment horizontal="left" vertical="center" wrapText="1"/>
    </xf>
    <xf numFmtId="49" fontId="10" fillId="0" borderId="11">
      <alignment horizontal="center" vertical="center" wrapText="1"/>
    </xf>
    <xf numFmtId="49" fontId="10" fillId="0" borderId="11">
      <alignment horizontal="right" vertical="center" wrapText="1"/>
    </xf>
    <xf numFmtId="49" fontId="10" fillId="0" borderId="26">
      <alignment horizontal="left" vertical="center" wrapText="1"/>
    </xf>
    <xf numFmtId="0" fontId="10" fillId="0" borderId="11">
      <alignment horizontal="left" vertical="center" wrapText="1"/>
    </xf>
    <xf numFmtId="49" fontId="10" fillId="0" borderId="27">
      <alignment horizontal="center" vertical="top" wrapText="1"/>
    </xf>
    <xf numFmtId="49" fontId="10" fillId="0" borderId="29">
      <alignment horizontal="center" vertical="top" wrapText="1"/>
    </xf>
    <xf numFmtId="0" fontId="10" fillId="0" borderId="27">
      <alignment horizontal="right" vertical="top" wrapText="1"/>
    </xf>
    <xf numFmtId="0" fontId="10" fillId="0" borderId="29">
      <alignment horizontal="left" vertical="center" wrapText="1"/>
    </xf>
    <xf numFmtId="0" fontId="10" fillId="0" borderId="4">
      <alignment horizontal="center" vertical="center" wrapText="1"/>
    </xf>
    <xf numFmtId="0" fontId="10" fillId="0" borderId="4">
      <alignment horizontal="right" vertical="center" wrapText="1"/>
    </xf>
    <xf numFmtId="0" fontId="10" fillId="0" borderId="0">
      <alignment horizontal="center" vertical="center" wrapText="1"/>
    </xf>
    <xf numFmtId="0" fontId="13" fillId="0" borderId="0">
      <alignment horizontal="center" vertical="center" wrapText="1"/>
    </xf>
    <xf numFmtId="0" fontId="10" fillId="0" borderId="6">
      <alignment horizontal="right" vertical="center" wrapText="1"/>
    </xf>
    <xf numFmtId="49" fontId="10" fillId="0" borderId="37">
      <alignment horizontal="left" vertical="center" wrapText="1"/>
    </xf>
    <xf numFmtId="49" fontId="10" fillId="0" borderId="4">
      <alignment horizontal="center" vertical="center" wrapText="1"/>
    </xf>
    <xf numFmtId="49" fontId="10" fillId="0" borderId="4">
      <alignment horizontal="right" vertical="center" wrapText="1"/>
    </xf>
    <xf numFmtId="0" fontId="10" fillId="0" borderId="27">
      <alignment horizontal="center" vertical="center" wrapText="1"/>
    </xf>
    <xf numFmtId="0" fontId="10" fillId="0" borderId="27">
      <alignment horizontal="right" vertical="center" wrapText="1"/>
    </xf>
    <xf numFmtId="0" fontId="10" fillId="0" borderId="29">
      <alignment horizontal="right" vertical="center" wrapText="1"/>
    </xf>
    <xf numFmtId="49" fontId="10" fillId="0" borderId="36">
      <alignment horizontal="left" vertical="center" wrapText="1"/>
    </xf>
    <xf numFmtId="49" fontId="10" fillId="0" borderId="27">
      <alignment horizontal="center" vertical="center" wrapText="1"/>
    </xf>
    <xf numFmtId="49" fontId="10" fillId="0" borderId="27">
      <alignment horizontal="right" vertical="center" wrapText="1"/>
    </xf>
    <xf numFmtId="0" fontId="11" fillId="0" borderId="0">
      <alignment horizontal="right" vertical="center" wrapText="1"/>
    </xf>
    <xf numFmtId="0" fontId="11" fillId="0" borderId="24">
      <alignment horizontal="center" vertical="center" wrapText="1"/>
    </xf>
    <xf numFmtId="0" fontId="11" fillId="0" borderId="24">
      <alignment horizontal="right" vertical="center" wrapText="1"/>
    </xf>
    <xf numFmtId="0" fontId="11" fillId="0" borderId="25">
      <alignment horizontal="right" vertical="center" wrapText="1"/>
    </xf>
    <xf numFmtId="49" fontId="12" fillId="0" borderId="10">
      <alignment horizontal="center" wrapText="1"/>
    </xf>
    <xf numFmtId="49" fontId="11" fillId="0" borderId="2">
      <alignment horizontal="left" vertical="center" wrapText="1"/>
    </xf>
    <xf numFmtId="49" fontId="11" fillId="0" borderId="3">
      <alignment horizontal="right" vertical="center" wrapText="1"/>
    </xf>
    <xf numFmtId="0" fontId="10" fillId="0" borderId="5">
      <alignment horizontal="left" vertical="center" wrapText="1"/>
    </xf>
    <xf numFmtId="0" fontId="10" fillId="0" borderId="1">
      <alignment horizontal="left" vertical="center" wrapText="1"/>
    </xf>
    <xf numFmtId="0" fontId="10" fillId="0" borderId="32">
      <alignment horizontal="left" vertical="center" wrapText="1"/>
    </xf>
    <xf numFmtId="49" fontId="11" fillId="0" borderId="6">
      <alignment horizontal="center" vertical="top" wrapText="1"/>
    </xf>
    <xf numFmtId="49" fontId="10" fillId="0" borderId="0">
      <alignment horizontal="right" vertical="center"/>
    </xf>
    <xf numFmtId="0" fontId="9" fillId="0" borderId="1">
      <alignment horizontal="left" vertical="center"/>
    </xf>
    <xf numFmtId="0" fontId="10" fillId="0" borderId="31">
      <alignment horizontal="left" vertical="center" wrapText="1"/>
    </xf>
    <xf numFmtId="0" fontId="16" fillId="0" borderId="3">
      <alignment horizontal="center" vertical="center" wrapText="1"/>
    </xf>
    <xf numFmtId="49" fontId="16" fillId="0" borderId="3">
      <alignment horizontal="left" vertical="center" wrapText="1"/>
    </xf>
    <xf numFmtId="0" fontId="16" fillId="0" borderId="8">
      <alignment horizontal="center" vertical="center" wrapText="1"/>
    </xf>
    <xf numFmtId="0" fontId="16" fillId="0" borderId="8">
      <alignment horizontal="right" vertical="center" wrapText="1"/>
    </xf>
    <xf numFmtId="0" fontId="16" fillId="0" borderId="9">
      <alignment horizontal="right" vertical="center" wrapText="1"/>
    </xf>
    <xf numFmtId="0" fontId="16" fillId="0" borderId="7">
      <alignment horizontal="right" vertical="center" wrapText="1"/>
    </xf>
    <xf numFmtId="0" fontId="16" fillId="0" borderId="2">
      <alignment horizontal="left" vertical="center" wrapText="1"/>
    </xf>
    <xf numFmtId="0" fontId="16" fillId="0" borderId="3">
      <alignment horizontal="right" vertical="center" wrapText="1"/>
    </xf>
    <xf numFmtId="0" fontId="16" fillId="0" borderId="3">
      <alignment horizontal="left" vertical="center" wrapText="1"/>
    </xf>
    <xf numFmtId="0" fontId="17" fillId="0" borderId="0"/>
    <xf numFmtId="0" fontId="6" fillId="0" borderId="0" applyNumberFormat="0" applyFill="0" applyBorder="0" applyProtection="0">
      <alignment vertical="top" wrapText="1"/>
    </xf>
    <xf numFmtId="0" fontId="18" fillId="0" borderId="0">
      <alignment vertical="top"/>
    </xf>
    <xf numFmtId="0" fontId="19" fillId="0" borderId="0"/>
    <xf numFmtId="0" fontId="20" fillId="0" borderId="0"/>
    <xf numFmtId="0" fontId="21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9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8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9" fillId="0" borderId="0"/>
    <xf numFmtId="0" fontId="19" fillId="0" borderId="0"/>
    <xf numFmtId="0" fontId="25" fillId="0" borderId="0">
      <alignment horizontal="left"/>
    </xf>
    <xf numFmtId="0" fontId="6" fillId="0" borderId="0" applyNumberFormat="0" applyFill="0" applyBorder="0" applyProtection="0">
      <alignment vertical="top" wrapText="1"/>
    </xf>
    <xf numFmtId="0" fontId="25" fillId="0" borderId="0">
      <alignment horizontal="left"/>
    </xf>
    <xf numFmtId="0" fontId="17" fillId="0" borderId="0"/>
    <xf numFmtId="0" fontId="25" fillId="0" borderId="0">
      <alignment horizontal="left"/>
    </xf>
    <xf numFmtId="0" fontId="31" fillId="0" borderId="0"/>
    <xf numFmtId="0" fontId="25" fillId="0" borderId="0">
      <alignment horizontal="left"/>
    </xf>
    <xf numFmtId="0" fontId="32" fillId="0" borderId="0"/>
    <xf numFmtId="0" fontId="25" fillId="0" borderId="0">
      <alignment horizontal="left"/>
    </xf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5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8" fillId="0" borderId="0"/>
    <xf numFmtId="0" fontId="26" fillId="0" borderId="0"/>
    <xf numFmtId="0" fontId="18" fillId="0" borderId="0">
      <alignment vertical="top"/>
    </xf>
    <xf numFmtId="0" fontId="28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horizontal="left"/>
    </xf>
    <xf numFmtId="0" fontId="33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5" fillId="0" borderId="0">
      <alignment horizontal="left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Protection="0">
      <alignment vertical="top" wrapText="1"/>
    </xf>
    <xf numFmtId="0" fontId="6" fillId="0" borderId="0" applyNumberFormat="0" applyFill="0" applyBorder="0" applyProtection="0">
      <alignment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8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9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" fillId="0" borderId="0"/>
  </cellStyleXfs>
  <cellXfs count="84">
    <xf numFmtId="0" fontId="0" fillId="0" borderId="0" xfId="0"/>
    <xf numFmtId="0" fontId="4" fillId="0" borderId="0" xfId="0" applyFont="1"/>
    <xf numFmtId="165" fontId="36" fillId="0" borderId="0" xfId="0" applyNumberFormat="1" applyFont="1"/>
    <xf numFmtId="0" fontId="36" fillId="0" borderId="0" xfId="0" applyFont="1"/>
    <xf numFmtId="165" fontId="36" fillId="0" borderId="0" xfId="0" applyNumberFormat="1" applyFont="1" applyAlignment="1">
      <alignment horizontal="center"/>
    </xf>
    <xf numFmtId="0" fontId="36" fillId="0" borderId="41" xfId="0" applyFont="1" applyBorder="1"/>
    <xf numFmtId="0" fontId="4" fillId="0" borderId="41" xfId="0" applyFont="1" applyBorder="1"/>
    <xf numFmtId="166" fontId="36" fillId="0" borderId="0" xfId="0" applyNumberFormat="1" applyFont="1"/>
    <xf numFmtId="0" fontId="39" fillId="4" borderId="47" xfId="0" applyFont="1" applyFill="1" applyBorder="1" applyAlignment="1">
      <alignment horizontal="centerContinuous"/>
    </xf>
    <xf numFmtId="0" fontId="39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6" fillId="0" borderId="42" xfId="0" applyFont="1" applyBorder="1"/>
    <xf numFmtId="0" fontId="36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6" fillId="0" borderId="38" xfId="0" applyFont="1" applyBorder="1"/>
    <xf numFmtId="4" fontId="5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6" fillId="0" borderId="47" xfId="0" applyFont="1" applyBorder="1"/>
    <xf numFmtId="0" fontId="36" fillId="0" borderId="40" xfId="0" applyFont="1" applyBorder="1"/>
    <xf numFmtId="0" fontId="37" fillId="3" borderId="47" xfId="0" applyFont="1" applyFill="1" applyBorder="1"/>
    <xf numFmtId="0" fontId="36" fillId="3" borderId="50" xfId="0" applyFont="1" applyFill="1" applyBorder="1"/>
    <xf numFmtId="165" fontId="36" fillId="3" borderId="50" xfId="0" applyNumberFormat="1" applyFont="1" applyFill="1" applyBorder="1"/>
    <xf numFmtId="165" fontId="36" fillId="3" borderId="50" xfId="0" applyNumberFormat="1" applyFont="1" applyFill="1" applyBorder="1" applyAlignment="1">
      <alignment horizontal="center"/>
    </xf>
    <xf numFmtId="165" fontId="38" fillId="3" borderId="40" xfId="0" applyNumberFormat="1" applyFont="1" applyFill="1" applyBorder="1"/>
    <xf numFmtId="0" fontId="37" fillId="0" borderId="38" xfId="0" applyFont="1" applyBorder="1"/>
    <xf numFmtId="4" fontId="37" fillId="0" borderId="39" xfId="0" applyNumberFormat="1" applyFont="1" applyBorder="1"/>
    <xf numFmtId="0" fontId="36" fillId="0" borderId="45" xfId="0" applyFont="1" applyBorder="1" applyAlignment="1">
      <alignment horizontal="right"/>
    </xf>
    <xf numFmtId="0" fontId="36" fillId="0" borderId="41" xfId="0" applyFont="1" applyBorder="1" applyAlignment="1">
      <alignment horizontal="right"/>
    </xf>
    <xf numFmtId="0" fontId="36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5" fillId="2" borderId="46" xfId="0" applyNumberFormat="1" applyFont="1" applyFill="1" applyBorder="1" applyAlignment="1">
      <alignment horizontal="right" vertical="top" wrapText="1"/>
    </xf>
    <xf numFmtId="4" fontId="25" fillId="2" borderId="42" xfId="0" applyNumberFormat="1" applyFont="1" applyFill="1" applyBorder="1" applyAlignment="1">
      <alignment horizontal="right" vertical="top" wrapText="1"/>
    </xf>
    <xf numFmtId="4" fontId="25" fillId="2" borderId="44" xfId="0" applyNumberFormat="1" applyFont="1" applyFill="1" applyBorder="1" applyAlignment="1">
      <alignment horizontal="right" vertical="top" wrapText="1"/>
    </xf>
    <xf numFmtId="0" fontId="36" fillId="0" borderId="43" xfId="0" applyFont="1" applyBorder="1"/>
    <xf numFmtId="0" fontId="36" fillId="0" borderId="48" xfId="0" applyFont="1" applyBorder="1" applyAlignment="1">
      <alignment horizontal="right"/>
    </xf>
    <xf numFmtId="4" fontId="25" fillId="2" borderId="49" xfId="0" applyNumberFormat="1" applyFont="1" applyFill="1" applyBorder="1" applyAlignment="1">
      <alignment horizontal="right" vertical="top" wrapText="1"/>
    </xf>
    <xf numFmtId="165" fontId="36" fillId="0" borderId="51" xfId="0" applyNumberFormat="1" applyFont="1" applyBorder="1" applyAlignment="1">
      <alignment horizontal="center"/>
    </xf>
    <xf numFmtId="165" fontId="36" fillId="0" borderId="52" xfId="0" applyNumberFormat="1" applyFont="1" applyBorder="1"/>
    <xf numFmtId="165" fontId="36" fillId="0" borderId="53" xfId="0" applyNumberFormat="1" applyFont="1" applyBorder="1" applyAlignment="1">
      <alignment horizontal="center"/>
    </xf>
    <xf numFmtId="165" fontId="36" fillId="0" borderId="54" xfId="0" applyNumberFormat="1" applyFont="1" applyBorder="1"/>
    <xf numFmtId="165" fontId="36" fillId="0" borderId="55" xfId="0" applyNumberFormat="1" applyFont="1" applyBorder="1" applyAlignment="1">
      <alignment horizontal="center"/>
    </xf>
    <xf numFmtId="165" fontId="36" fillId="0" borderId="56" xfId="0" applyNumberFormat="1" applyFont="1" applyBorder="1"/>
    <xf numFmtId="165" fontId="37" fillId="0" borderId="55" xfId="0" applyNumberFormat="1" applyFont="1" applyBorder="1" applyAlignment="1">
      <alignment horizontal="left"/>
    </xf>
    <xf numFmtId="165" fontId="36" fillId="0" borderId="57" xfId="0" applyNumberFormat="1" applyFont="1" applyBorder="1" applyAlignment="1">
      <alignment horizontal="center"/>
    </xf>
    <xf numFmtId="165" fontId="36" fillId="0" borderId="58" xfId="0" applyNumberFormat="1" applyFont="1" applyBorder="1"/>
    <xf numFmtId="165" fontId="38" fillId="3" borderId="56" xfId="0" applyNumberFormat="1" applyFont="1" applyFill="1" applyBorder="1"/>
    <xf numFmtId="165" fontId="36" fillId="0" borderId="54" xfId="0" applyNumberFormat="1" applyFont="1" applyBorder="1" applyAlignment="1">
      <alignment horizontal="right"/>
    </xf>
    <xf numFmtId="0" fontId="37" fillId="5" borderId="38" xfId="0" applyFont="1" applyFill="1" applyBorder="1"/>
    <xf numFmtId="4" fontId="37" fillId="5" borderId="39" xfId="0" applyNumberFormat="1" applyFont="1" applyFill="1" applyBorder="1"/>
    <xf numFmtId="0" fontId="36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6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6" fillId="0" borderId="0" xfId="0" applyNumberFormat="1" applyFont="1"/>
    <xf numFmtId="0" fontId="36" fillId="0" borderId="59" xfId="0" applyFont="1" applyBorder="1" applyAlignment="1">
      <alignment horizontal="right"/>
    </xf>
    <xf numFmtId="4" fontId="25" fillId="2" borderId="60" xfId="0" applyNumberFormat="1" applyFont="1" applyFill="1" applyBorder="1" applyAlignment="1">
      <alignment horizontal="right" vertical="top" wrapText="1"/>
    </xf>
    <xf numFmtId="165" fontId="38" fillId="6" borderId="56" xfId="0" applyNumberFormat="1" applyFont="1" applyFill="1" applyBorder="1"/>
    <xf numFmtId="0" fontId="36" fillId="5" borderId="59" xfId="0" applyFont="1" applyFill="1" applyBorder="1"/>
    <xf numFmtId="4" fontId="0" fillId="5" borderId="60" xfId="0" applyNumberFormat="1" applyFont="1" applyFill="1" applyBorder="1" applyAlignment="1">
      <alignment horizontal="right" vertical="top"/>
    </xf>
    <xf numFmtId="0" fontId="36" fillId="0" borderId="61" xfId="0" applyFont="1" applyBorder="1" applyAlignment="1">
      <alignment horizontal="right"/>
    </xf>
    <xf numFmtId="0" fontId="36" fillId="0" borderId="62" xfId="0" applyFont="1" applyBorder="1" applyAlignment="1">
      <alignment horizontal="right"/>
    </xf>
    <xf numFmtId="0" fontId="36" fillId="0" borderId="63" xfId="0" applyFont="1" applyBorder="1" applyAlignment="1">
      <alignment horizontal="right"/>
    </xf>
    <xf numFmtId="4" fontId="25" fillId="2" borderId="64" xfId="0" applyNumberFormat="1" applyFont="1" applyFill="1" applyBorder="1" applyAlignment="1">
      <alignment horizontal="right" vertical="top" wrapText="1"/>
    </xf>
    <xf numFmtId="4" fontId="25" fillId="2" borderId="65" xfId="0" applyNumberFormat="1" applyFont="1" applyFill="1" applyBorder="1" applyAlignment="1">
      <alignment horizontal="right" vertical="top" wrapText="1"/>
    </xf>
    <xf numFmtId="4" fontId="25" fillId="2" borderId="66" xfId="0" applyNumberFormat="1" applyFont="1" applyFill="1" applyBorder="1" applyAlignment="1">
      <alignment horizontal="right" vertical="top" wrapText="1"/>
    </xf>
    <xf numFmtId="4" fontId="0" fillId="0" borderId="49" xfId="0" applyNumberFormat="1" applyFont="1" applyBorder="1" applyAlignment="1">
      <alignment horizontal="right" vertical="top"/>
    </xf>
    <xf numFmtId="165" fontId="36" fillId="0" borderId="55" xfId="0" applyNumberFormat="1" applyFont="1" applyBorder="1" applyAlignment="1">
      <alignment horizontal="left"/>
    </xf>
    <xf numFmtId="0" fontId="36" fillId="3" borderId="47" xfId="0" applyFont="1" applyFill="1" applyBorder="1"/>
    <xf numFmtId="166" fontId="36" fillId="3" borderId="50" xfId="0" applyNumberFormat="1" applyFont="1" applyFill="1" applyBorder="1"/>
    <xf numFmtId="165" fontId="36" fillId="3" borderId="40" xfId="0" applyNumberFormat="1" applyFont="1" applyFill="1" applyBorder="1"/>
    <xf numFmtId="0" fontId="36" fillId="4" borderId="47" xfId="0" applyFont="1" applyFill="1" applyBorder="1"/>
    <xf numFmtId="165" fontId="36" fillId="4" borderId="50" xfId="0" applyNumberFormat="1" applyFont="1" applyFill="1" applyBorder="1" applyAlignment="1">
      <alignment horizontal="center"/>
    </xf>
    <xf numFmtId="165" fontId="36" fillId="4" borderId="40" xfId="0" applyNumberFormat="1" applyFont="1" applyFill="1" applyBorder="1"/>
    <xf numFmtId="166" fontId="40" fillId="4" borderId="50" xfId="0" applyNumberFormat="1" applyFont="1" applyFill="1" applyBorder="1"/>
    <xf numFmtId="172" fontId="38" fillId="4" borderId="50" xfId="0" applyNumberFormat="1" applyFont="1" applyFill="1" applyBorder="1" applyAlignment="1">
      <alignment horizontal="center" vertical="center"/>
    </xf>
    <xf numFmtId="4" fontId="0" fillId="0" borderId="67" xfId="0" applyNumberFormat="1" applyFont="1" applyBorder="1" applyAlignment="1">
      <alignment horizontal="right" vertical="top"/>
    </xf>
    <xf numFmtId="4" fontId="25" fillId="0" borderId="46" xfId="0" applyNumberFormat="1" applyFont="1" applyFill="1" applyBorder="1" applyAlignment="1">
      <alignment horizontal="right" vertical="top" wrapText="1"/>
    </xf>
    <xf numFmtId="4" fontId="25" fillId="0" borderId="42" xfId="0" applyNumberFormat="1" applyFont="1" applyFill="1" applyBorder="1" applyAlignment="1">
      <alignment horizontal="right" vertical="top" wrapText="1"/>
    </xf>
    <xf numFmtId="4" fontId="25" fillId="0" borderId="49" xfId="0" applyNumberFormat="1" applyFont="1" applyFill="1" applyBorder="1" applyAlignment="1">
      <alignment horizontal="right" vertical="top" wrapText="1"/>
    </xf>
    <xf numFmtId="4" fontId="25" fillId="0" borderId="44" xfId="0" applyNumberFormat="1" applyFont="1" applyFill="1" applyBorder="1" applyAlignment="1">
      <alignment horizontal="right" vertical="top" wrapText="1"/>
    </xf>
    <xf numFmtId="3" fontId="37" fillId="0" borderId="39" xfId="0" applyNumberFormat="1" applyFont="1" applyBorder="1"/>
    <xf numFmtId="0" fontId="36" fillId="0" borderId="43" xfId="0" applyFont="1" applyFill="1" applyBorder="1"/>
    <xf numFmtId="4" fontId="0" fillId="0" borderId="44" xfId="0" applyNumberFormat="1" applyFont="1" applyFill="1" applyBorder="1" applyAlignment="1">
      <alignment horizontal="right" vertical="top"/>
    </xf>
    <xf numFmtId="0" fontId="36" fillId="0" borderId="43" xfId="0" applyFont="1" applyFill="1" applyBorder="1" applyAlignment="1">
      <alignment horizontal="right"/>
    </xf>
  </cellXfs>
  <cellStyles count="42598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32 2" xfId="42597" xr:uid="{26CE24BA-7772-45E7-AE9A-831F54F96B23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DBA5-FDD4-46BD-995E-360C0BDB1717}">
  <sheetPr>
    <tabColor rgb="FFFF0000"/>
  </sheetPr>
  <dimension ref="A1:H39"/>
  <sheetViews>
    <sheetView workbookViewId="0">
      <selection activeCell="A19" sqref="A19:B3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01/09/2024 - 31/01/2026</v>
      </c>
      <c r="E2" s="18"/>
      <c r="G2" s="1"/>
      <c r="H2" s="1"/>
    </row>
    <row r="3" spans="1:8" s="3" customFormat="1">
      <c r="A3" s="57" t="s">
        <v>13</v>
      </c>
      <c r="B3" s="58">
        <f>SUM(B4:B7)</f>
        <v>19937962.390000001</v>
      </c>
      <c r="C3" s="2"/>
      <c r="D3" s="49" t="s">
        <v>13</v>
      </c>
      <c r="E3" s="50">
        <v>19949162.640000001</v>
      </c>
      <c r="F3" s="53"/>
      <c r="G3" s="1"/>
      <c r="H3" s="1"/>
    </row>
    <row r="4" spans="1:8" s="3" customFormat="1" outlineLevel="1">
      <c r="A4" s="5" t="s">
        <v>1</v>
      </c>
      <c r="B4" s="10">
        <f>11000+10781.62</f>
        <v>21781.620000000003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19875180.77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41000</v>
      </c>
      <c r="C6" s="2"/>
      <c r="D6" s="5"/>
      <c r="E6" s="10"/>
      <c r="G6" s="1"/>
      <c r="H6" s="1"/>
    </row>
    <row r="7" spans="1:8" s="3" customFormat="1" outlineLevel="1">
      <c r="A7" s="5"/>
      <c r="B7" s="11"/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13129109.470000001</v>
      </c>
      <c r="C9" s="2"/>
      <c r="D9" s="51" t="s">
        <v>14</v>
      </c>
      <c r="E9" s="52">
        <f>E3-E15</f>
        <v>13187409.500487071</v>
      </c>
      <c r="G9" s="1"/>
      <c r="H9" s="1"/>
    </row>
    <row r="10" spans="1:8" s="3" customFormat="1" outlineLevel="1">
      <c r="A10" s="5" t="s">
        <v>4</v>
      </c>
      <c r="B10" s="10">
        <f>12886907.9+11000</f>
        <v>12897907.9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0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231201.57</v>
      </c>
      <c r="C12" s="2"/>
      <c r="D12" s="5"/>
      <c r="E12" s="10"/>
      <c r="G12" s="1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1" t="s">
        <v>42</v>
      </c>
      <c r="B14" s="82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6808852.9199999999</v>
      </c>
      <c r="C15" s="2"/>
      <c r="D15" s="14"/>
      <c r="E15" s="15">
        <f>6761753.13951293</f>
        <v>6761753.1395129301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-47099.78048706986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32981.870000000003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32981.870000000003</v>
      </c>
      <c r="C20" s="2"/>
      <c r="D20" s="38"/>
      <c r="E20" s="39">
        <f>B20</f>
        <v>32981.870000000003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G21" s="1"/>
      <c r="H21" s="1"/>
    </row>
    <row r="22" spans="1:8" s="3" customFormat="1" ht="13.8" thickBot="1">
      <c r="A22" s="34"/>
      <c r="B22" s="65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SUM(B24:B27)</f>
        <v>52916.39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v>52916.39</v>
      </c>
      <c r="C24" s="2"/>
      <c r="D24" s="38"/>
      <c r="E24" s="39">
        <f>-B24</f>
        <v>-52916.39</v>
      </c>
      <c r="G24" s="1"/>
      <c r="H24" s="1"/>
    </row>
    <row r="25" spans="1:8" s="3" customFormat="1" ht="12.6" customHeight="1">
      <c r="A25" s="27" t="s">
        <v>17</v>
      </c>
      <c r="B25" s="31">
        <v>0</v>
      </c>
      <c r="C25" s="2"/>
      <c r="D25" s="38"/>
      <c r="E25" s="39">
        <f>B25</f>
        <v>0</v>
      </c>
      <c r="G25" s="1"/>
      <c r="H25" s="1"/>
    </row>
    <row r="26" spans="1:8" s="3" customFormat="1">
      <c r="A26" s="27" t="s">
        <v>18</v>
      </c>
      <c r="B26" s="31">
        <v>0</v>
      </c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83925.395999999993</v>
      </c>
      <c r="D33" s="38"/>
      <c r="E33" s="39">
        <f>B33</f>
        <v>83925.395999999993</v>
      </c>
    </row>
    <row r="34" spans="1:6">
      <c r="A34" s="59" t="s">
        <v>29</v>
      </c>
      <c r="B34" s="63">
        <f>61334.58</f>
        <v>61334.58</v>
      </c>
      <c r="D34" s="66" t="s">
        <v>30</v>
      </c>
      <c r="E34" s="39">
        <f>-300891.79+B12</f>
        <v>-69690.219999999972</v>
      </c>
    </row>
    <row r="35" spans="1:6">
      <c r="A35" s="60" t="s">
        <v>23</v>
      </c>
      <c r="B35" s="62">
        <v>0</v>
      </c>
      <c r="D35" s="42" t="s">
        <v>25</v>
      </c>
      <c r="E35" s="45">
        <f>SUM(E20:E34)</f>
        <v>-5699.3439999999755</v>
      </c>
      <c r="F35" s="7"/>
    </row>
    <row r="36" spans="1:6" ht="13.8" thickBot="1">
      <c r="A36" s="61" t="s">
        <v>28</v>
      </c>
      <c r="B36" s="64">
        <f>8603.25</f>
        <v>8603.25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6803153.5760000004</v>
      </c>
      <c r="C38" s="21"/>
      <c r="D38" s="22"/>
      <c r="E38" s="69">
        <f>E15</f>
        <v>6761753.1395129301</v>
      </c>
      <c r="F38" s="7"/>
    </row>
    <row r="39" spans="1:6" ht="18.600000000000001" thickBot="1">
      <c r="A39" s="70" t="s">
        <v>32</v>
      </c>
      <c r="B39" s="73">
        <f>B38-E38</f>
        <v>41400.436487070285</v>
      </c>
      <c r="C39" s="74">
        <f>B39/E3</f>
        <v>2.0752969552746241E-3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CA99-F390-4363-A41E-4A13DFD93663}">
  <sheetPr>
    <tabColor rgb="FFFF0000"/>
  </sheetPr>
  <dimension ref="A1:H39"/>
  <sheetViews>
    <sheetView workbookViewId="0">
      <selection activeCell="A19" sqref="A19:B3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18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01/09/2024 - 31/01/2026</v>
      </c>
      <c r="E2" s="18"/>
      <c r="G2" s="1"/>
      <c r="H2" s="1"/>
    </row>
    <row r="3" spans="1:8" s="3" customFormat="1">
      <c r="A3" s="57" t="s">
        <v>13</v>
      </c>
      <c r="B3" s="58">
        <f>SUM(B4:B7)</f>
        <v>9731812.3699999992</v>
      </c>
      <c r="C3" s="2"/>
      <c r="D3" s="49" t="s">
        <v>13</v>
      </c>
      <c r="E3" s="50">
        <v>9721882.6199999992</v>
      </c>
      <c r="F3" s="53"/>
      <c r="G3" s="1"/>
      <c r="H3" s="1"/>
    </row>
    <row r="4" spans="1:8" s="3" customFormat="1" outlineLevel="1">
      <c r="A4" s="5" t="s">
        <v>1</v>
      </c>
      <c r="B4" s="10">
        <v>2280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75">
        <v>9684396.3699999992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3216</v>
      </c>
      <c r="C6" s="2"/>
      <c r="D6" s="5"/>
      <c r="E6" s="10"/>
      <c r="G6" s="1"/>
      <c r="H6" s="1"/>
    </row>
    <row r="7" spans="1:8" s="3" customFormat="1" outlineLevel="1">
      <c r="A7" s="5" t="s">
        <v>33</v>
      </c>
      <c r="B7" s="10">
        <v>41920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5860861.4000000004</v>
      </c>
      <c r="C9" s="2"/>
      <c r="D9" s="51" t="s">
        <v>14</v>
      </c>
      <c r="E9" s="52">
        <f>E3-E15</f>
        <v>5824418.9116395861</v>
      </c>
      <c r="H9" s="1"/>
    </row>
    <row r="10" spans="1:8" s="3" customFormat="1" outlineLevel="1">
      <c r="A10" s="5" t="s">
        <v>4</v>
      </c>
      <c r="B10" s="10">
        <f>5362528.45+13000</f>
        <v>5375528.4500000002</v>
      </c>
      <c r="C10" s="2"/>
      <c r="D10" s="5"/>
      <c r="E10" s="10"/>
      <c r="H10" s="1"/>
    </row>
    <row r="11" spans="1:8" s="3" customFormat="1" outlineLevel="1">
      <c r="A11" s="5" t="s">
        <v>5</v>
      </c>
      <c r="B11" s="10">
        <v>163950.45000000001</v>
      </c>
      <c r="C11" s="2"/>
      <c r="D11" s="5"/>
      <c r="E11" s="10"/>
      <c r="H11" s="1"/>
    </row>
    <row r="12" spans="1:8" s="3" customFormat="1" outlineLevel="1">
      <c r="A12" s="5" t="s">
        <v>6</v>
      </c>
      <c r="B12" s="10">
        <v>279462.5</v>
      </c>
      <c r="C12" s="2"/>
      <c r="D12" s="5"/>
      <c r="E12" s="10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H13" s="1"/>
    </row>
    <row r="14" spans="1:8" s="3" customFormat="1" ht="13.8" outlineLevel="1" thickBot="1">
      <c r="A14" s="81" t="s">
        <v>42</v>
      </c>
      <c r="B14" s="82">
        <v>41920</v>
      </c>
      <c r="C14" s="2"/>
      <c r="D14" s="12"/>
      <c r="E14" s="13"/>
      <c r="H14" s="1"/>
    </row>
    <row r="15" spans="1:8" s="3" customFormat="1" ht="13.8" thickBot="1">
      <c r="A15" s="14" t="s">
        <v>7</v>
      </c>
      <c r="B15" s="15">
        <f>B3-B9</f>
        <v>3870950.9699999988</v>
      </c>
      <c r="C15" s="2"/>
      <c r="D15" s="14"/>
      <c r="E15" s="15">
        <v>3897463.7083604131</v>
      </c>
      <c r="H15" s="1"/>
    </row>
    <row r="16" spans="1:8" s="3" customFormat="1" ht="13.8" thickBot="1">
      <c r="C16" s="2"/>
      <c r="D16" s="4"/>
      <c r="E16" s="2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26512.738360414281</v>
      </c>
      <c r="F17" s="7"/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26445</v>
      </c>
      <c r="C19" s="2"/>
      <c r="D19" s="36"/>
      <c r="E19" s="37"/>
      <c r="G19" s="1"/>
      <c r="H19" s="1"/>
    </row>
    <row r="20" spans="1:8" s="3" customFormat="1">
      <c r="A20" s="54" t="s">
        <v>10</v>
      </c>
      <c r="B20" s="10">
        <v>26445</v>
      </c>
      <c r="C20" s="2"/>
      <c r="D20" s="38"/>
      <c r="E20" s="39">
        <f>B20</f>
        <v>26445</v>
      </c>
      <c r="G20" s="1"/>
      <c r="H20" s="1"/>
    </row>
    <row r="21" spans="1:8" s="3" customFormat="1">
      <c r="A21" s="27" t="s">
        <v>27</v>
      </c>
      <c r="B21" s="10"/>
      <c r="C21" s="2"/>
      <c r="D21" s="38"/>
      <c r="E21" s="39">
        <f>-B21</f>
        <v>0</v>
      </c>
      <c r="H21" s="1"/>
    </row>
    <row r="22" spans="1:8" s="3" customFormat="1" ht="13.8" thickBot="1">
      <c r="A22" s="34"/>
      <c r="B22" s="65"/>
      <c r="C22" s="2"/>
      <c r="D22" s="40"/>
      <c r="E22" s="41"/>
      <c r="H22" s="1"/>
    </row>
    <row r="23" spans="1:8" s="3" customFormat="1" ht="13.8" thickBot="1">
      <c r="A23" s="47" t="s">
        <v>34</v>
      </c>
      <c r="B23" s="48">
        <f>SUM(B24:B27)</f>
        <v>26225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1">
        <v>15639.99</v>
      </c>
      <c r="C24" s="2"/>
      <c r="D24" s="38"/>
      <c r="E24" s="39">
        <f>-B24</f>
        <v>-15639.99</v>
      </c>
      <c r="G24" s="1"/>
      <c r="H24" s="1"/>
    </row>
    <row r="25" spans="1:8" s="3" customFormat="1" ht="12.6" customHeight="1">
      <c r="A25" s="27" t="s">
        <v>17</v>
      </c>
      <c r="B25" s="31">
        <v>10585.01</v>
      </c>
      <c r="C25" s="2"/>
      <c r="D25" s="38"/>
      <c r="E25" s="39">
        <f>B25</f>
        <v>10585.01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 ht="13.8" thickBot="1">
      <c r="A27" s="28" t="s">
        <v>19</v>
      </c>
      <c r="B27" s="32"/>
      <c r="C27" s="2"/>
      <c r="D27" s="40"/>
      <c r="E27" s="41"/>
      <c r="G27" s="1"/>
      <c r="H27" s="1"/>
    </row>
    <row r="28" spans="1:8" s="3" customFormat="1" ht="13.8" thickBot="1">
      <c r="A28" s="24" t="s">
        <v>11</v>
      </c>
      <c r="B28" s="25">
        <f>B29+B30</f>
        <v>0</v>
      </c>
      <c r="C28" s="2"/>
      <c r="D28" s="40"/>
      <c r="E28" s="41"/>
      <c r="G28" s="1"/>
      <c r="H28" s="1"/>
    </row>
    <row r="29" spans="1:8" s="3" customFormat="1">
      <c r="A29" s="26" t="s">
        <v>20</v>
      </c>
      <c r="B29" s="30">
        <v>0</v>
      </c>
      <c r="C29" s="2"/>
      <c r="D29" s="38"/>
      <c r="E29" s="39">
        <f>-B29</f>
        <v>0</v>
      </c>
      <c r="G29" s="1"/>
      <c r="H29" s="1"/>
    </row>
    <row r="30" spans="1:8" s="3" customFormat="1">
      <c r="A30" s="27" t="s">
        <v>21</v>
      </c>
      <c r="B30" s="31">
        <v>0</v>
      </c>
      <c r="C30" s="2"/>
      <c r="D30" s="38"/>
      <c r="E30" s="39">
        <f>-B30</f>
        <v>0</v>
      </c>
      <c r="G30" s="1"/>
      <c r="H30" s="1"/>
    </row>
    <row r="31" spans="1:8" s="3" customFormat="1">
      <c r="A31" s="6"/>
      <c r="B31" s="31"/>
      <c r="C31" s="2"/>
      <c r="D31" s="40"/>
      <c r="E31" s="41"/>
      <c r="G31" s="1"/>
      <c r="H31" s="1"/>
    </row>
    <row r="32" spans="1:8" ht="13.8" thickBot="1">
      <c r="A32" s="33"/>
      <c r="B32" s="32"/>
      <c r="D32" s="40"/>
      <c r="E32" s="41"/>
    </row>
    <row r="33" spans="1:6" ht="13.8" thickBot="1">
      <c r="A33" s="47" t="s">
        <v>12</v>
      </c>
      <c r="B33" s="48">
        <f>SUM(B34:B36)*1.2</f>
        <v>25067.735999999997</v>
      </c>
      <c r="D33" s="38"/>
      <c r="E33" s="39">
        <f>B33</f>
        <v>25067.735999999997</v>
      </c>
    </row>
    <row r="34" spans="1:6">
      <c r="A34" s="59" t="s">
        <v>35</v>
      </c>
      <c r="B34" s="63"/>
      <c r="D34" s="66" t="s">
        <v>30</v>
      </c>
      <c r="E34" s="39">
        <f>-322311.23+B12</f>
        <v>-42848.729999999981</v>
      </c>
    </row>
    <row r="35" spans="1:6">
      <c r="A35" s="60" t="s">
        <v>23</v>
      </c>
      <c r="B35" s="62"/>
      <c r="D35" s="42" t="s">
        <v>25</v>
      </c>
      <c r="E35" s="45">
        <f>SUM(E20:E34)</f>
        <v>3609.0260000000126</v>
      </c>
      <c r="F35" s="7"/>
    </row>
    <row r="36" spans="1:6" ht="13.8" thickBot="1">
      <c r="A36" s="61" t="s">
        <v>28</v>
      </c>
      <c r="B36" s="64">
        <v>20889.78</v>
      </c>
      <c r="D36" s="43"/>
      <c r="E36" s="44"/>
    </row>
    <row r="37" spans="1:6" ht="13.8" thickBot="1"/>
    <row r="38" spans="1:6" ht="13.8" thickBot="1">
      <c r="A38" s="67" t="s">
        <v>31</v>
      </c>
      <c r="B38" s="68">
        <f>B15+E35</f>
        <v>3874559.9959999989</v>
      </c>
      <c r="C38" s="21"/>
      <c r="D38" s="22"/>
      <c r="E38" s="69">
        <f>E15</f>
        <v>3897463.7083604131</v>
      </c>
      <c r="F38" s="7"/>
    </row>
    <row r="39" spans="1:6" ht="18.600000000000001" thickBot="1">
      <c r="A39" s="70" t="s">
        <v>32</v>
      </c>
      <c r="B39" s="73">
        <f>B38-E38</f>
        <v>-22903.712360414211</v>
      </c>
      <c r="C39" s="74">
        <f>B39/E3</f>
        <v>-2.3558927067578823E-3</v>
      </c>
      <c r="D39" s="71"/>
      <c r="E39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20A1-5CC2-46FD-82D0-90C21A2A46F5}">
  <sheetPr>
    <tabColor rgb="FFFF0000"/>
  </sheetPr>
  <dimension ref="A1:H41"/>
  <sheetViews>
    <sheetView workbookViewId="0">
      <selection activeCell="A19" sqref="A19:B3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01/09/2024 - 31/01/2026</v>
      </c>
      <c r="E2" s="18"/>
      <c r="G2" s="1"/>
      <c r="H2" s="1"/>
    </row>
    <row r="3" spans="1:8" s="3" customFormat="1">
      <c r="A3" s="49" t="s">
        <v>13</v>
      </c>
      <c r="B3" s="50">
        <f>SUM(B4:B7)</f>
        <v>45618961.509999998</v>
      </c>
      <c r="C3" s="2"/>
      <c r="D3" s="49" t="s">
        <v>13</v>
      </c>
      <c r="E3" s="50">
        <v>45072409.100000009</v>
      </c>
      <c r="F3" s="53"/>
      <c r="G3" s="1"/>
      <c r="H3" s="1"/>
    </row>
    <row r="4" spans="1:8" s="3" customFormat="1" outlineLevel="1">
      <c r="A4" s="5" t="s">
        <v>1</v>
      </c>
      <c r="B4" s="10">
        <v>27140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45300082.18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222039.33</v>
      </c>
      <c r="C6" s="2"/>
      <c r="D6" s="5"/>
      <c r="E6" s="10"/>
      <c r="G6" s="1"/>
      <c r="H6" s="1"/>
    </row>
    <row r="7" spans="1:8" s="3" customFormat="1" outlineLevel="1">
      <c r="A7" s="5" t="s">
        <v>33</v>
      </c>
      <c r="B7" s="10">
        <v>69700</v>
      </c>
      <c r="C7" s="2"/>
      <c r="D7" s="5"/>
      <c r="E7" s="11"/>
      <c r="G7" s="1"/>
      <c r="H7" s="1"/>
    </row>
    <row r="8" spans="1:8" s="3" customFormat="1" ht="12" customHeight="1">
      <c r="A8" s="5"/>
      <c r="B8" s="10"/>
      <c r="C8" s="2"/>
      <c r="D8" s="5"/>
      <c r="E8" s="10"/>
      <c r="G8" s="1"/>
      <c r="H8" s="1"/>
    </row>
    <row r="9" spans="1:8" s="3" customFormat="1">
      <c r="A9" s="51" t="s">
        <v>14</v>
      </c>
      <c r="B9" s="52">
        <f>SUM(B10:B14)</f>
        <v>33939935.950000003</v>
      </c>
      <c r="C9" s="2"/>
      <c r="D9" s="51" t="s">
        <v>14</v>
      </c>
      <c r="E9" s="52">
        <f>E3-E15</f>
        <v>34044763.286184616</v>
      </c>
      <c r="G9" s="1"/>
      <c r="H9" s="1"/>
    </row>
    <row r="10" spans="1:8" s="3" customFormat="1" outlineLevel="1">
      <c r="A10" s="5" t="s">
        <v>4</v>
      </c>
      <c r="B10" s="10">
        <f>33048690.32+15000</f>
        <v>33063690.32</v>
      </c>
      <c r="C10" s="2"/>
      <c r="D10" s="5"/>
      <c r="E10" s="10"/>
      <c r="G10" s="1"/>
      <c r="H10" s="1"/>
    </row>
    <row r="11" spans="1:8" s="3" customFormat="1" outlineLevel="1">
      <c r="A11" s="5" t="s">
        <v>5</v>
      </c>
      <c r="B11" s="10">
        <v>158658.66</v>
      </c>
      <c r="C11" s="2"/>
      <c r="D11" s="5"/>
      <c r="E11" s="10"/>
      <c r="G11" s="1"/>
      <c r="H11" s="1"/>
    </row>
    <row r="12" spans="1:8" s="3" customFormat="1" outlineLevel="1">
      <c r="A12" s="5" t="s">
        <v>6</v>
      </c>
      <c r="B12" s="10">
        <v>717586.97</v>
      </c>
      <c r="C12" s="2"/>
      <c r="D12" s="5"/>
      <c r="E12" s="10"/>
      <c r="G12" s="1"/>
      <c r="H12" s="1"/>
    </row>
    <row r="13" spans="1:8" s="3" customFormat="1" outlineLevel="1">
      <c r="A13" s="5" t="s">
        <v>41</v>
      </c>
      <c r="B13" s="10"/>
      <c r="C13" s="2"/>
      <c r="D13" s="5"/>
      <c r="E13" s="10"/>
      <c r="G13" s="1"/>
      <c r="H13" s="1"/>
    </row>
    <row r="14" spans="1:8" s="3" customFormat="1" ht="13.8" outlineLevel="1" thickBot="1">
      <c r="A14" s="81" t="s">
        <v>42</v>
      </c>
      <c r="B14" s="82"/>
      <c r="C14" s="2"/>
      <c r="D14" s="12"/>
      <c r="E14" s="13"/>
      <c r="G14" s="1"/>
      <c r="H14" s="1"/>
    </row>
    <row r="15" spans="1:8" s="3" customFormat="1" ht="13.8" thickBot="1">
      <c r="A15" s="14" t="s">
        <v>7</v>
      </c>
      <c r="B15" s="15">
        <f>B3-B9</f>
        <v>11679025.559999995</v>
      </c>
      <c r="C15" s="2"/>
      <c r="D15" s="14"/>
      <c r="E15" s="15">
        <v>11027645.813815394</v>
      </c>
      <c r="G15" s="1"/>
      <c r="H15" s="1"/>
    </row>
    <row r="16" spans="1:8" s="3" customFormat="1" ht="13.8" thickBot="1">
      <c r="C16" s="2"/>
      <c r="D16" s="4"/>
      <c r="E16" s="2"/>
      <c r="G16" s="1"/>
      <c r="H16" s="1"/>
    </row>
    <row r="17" spans="1:8" s="3" customFormat="1" ht="13.8" thickBot="1">
      <c r="A17" s="19" t="s">
        <v>9</v>
      </c>
      <c r="B17" s="20"/>
      <c r="C17" s="21"/>
      <c r="D17" s="22"/>
      <c r="E17" s="23">
        <f>E15-B15</f>
        <v>-651379.74618460052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47" t="s">
        <v>45</v>
      </c>
      <c r="B19" s="48">
        <f>B20-B21</f>
        <v>-490187.26999999996</v>
      </c>
      <c r="C19" s="2"/>
      <c r="D19" s="36"/>
      <c r="E19" s="37"/>
      <c r="G19" s="1"/>
      <c r="H19" s="1"/>
    </row>
    <row r="20" spans="1:8" s="3" customFormat="1">
      <c r="A20" s="26" t="s">
        <v>10</v>
      </c>
      <c r="B20" s="16">
        <v>15789.28</v>
      </c>
      <c r="C20" s="2"/>
      <c r="D20" s="38"/>
      <c r="E20" s="39">
        <f>B20</f>
        <v>15789.28</v>
      </c>
      <c r="G20" s="1"/>
      <c r="H20" s="1"/>
    </row>
    <row r="21" spans="1:8" s="3" customFormat="1">
      <c r="A21" s="27" t="s">
        <v>27</v>
      </c>
      <c r="B21" s="10">
        <v>505976.55</v>
      </c>
      <c r="C21" s="2"/>
      <c r="D21" s="38"/>
      <c r="E21" s="39">
        <f>-B21</f>
        <v>-505976.55</v>
      </c>
      <c r="G21" s="1"/>
      <c r="H21" s="1"/>
    </row>
    <row r="22" spans="1:8" s="3" customFormat="1" ht="13.8" thickBot="1">
      <c r="A22" s="28"/>
      <c r="B22" s="29"/>
      <c r="C22" s="2"/>
      <c r="D22" s="40"/>
      <c r="E22" s="41"/>
      <c r="G22" s="1"/>
      <c r="H22" s="1"/>
    </row>
    <row r="23" spans="1:8" s="3" customFormat="1" ht="13.8" thickBot="1">
      <c r="A23" s="47" t="s">
        <v>34</v>
      </c>
      <c r="B23" s="48">
        <f>SUM(B24:B29)</f>
        <v>1418113.89</v>
      </c>
      <c r="C23" s="2"/>
      <c r="D23" s="40"/>
      <c r="E23" s="41"/>
      <c r="G23" s="1"/>
      <c r="H23" s="1"/>
    </row>
    <row r="24" spans="1:8" s="3" customFormat="1">
      <c r="A24" s="26" t="s">
        <v>16</v>
      </c>
      <c r="B24" s="30">
        <f>896386.22+354858</f>
        <v>1251244.22</v>
      </c>
      <c r="C24" s="2"/>
      <c r="D24" s="38"/>
      <c r="E24" s="39">
        <f>-B24</f>
        <v>-1251244.22</v>
      </c>
      <c r="G24" s="1"/>
      <c r="H24" s="1"/>
    </row>
    <row r="25" spans="1:8" s="3" customFormat="1" ht="12.6" customHeight="1">
      <c r="A25" s="27" t="s">
        <v>17</v>
      </c>
      <c r="B25" s="31">
        <v>97169.67</v>
      </c>
      <c r="C25" s="2"/>
      <c r="D25" s="38"/>
      <c r="E25" s="39">
        <f>B25</f>
        <v>97169.67</v>
      </c>
      <c r="G25" s="1"/>
      <c r="H25" s="1"/>
    </row>
    <row r="26" spans="1:8" s="3" customFormat="1">
      <c r="A26" s="27" t="s">
        <v>18</v>
      </c>
      <c r="B26" s="31"/>
      <c r="C26" s="2"/>
      <c r="D26" s="38"/>
      <c r="E26" s="46">
        <f>-B26</f>
        <v>0</v>
      </c>
      <c r="G26" s="1"/>
      <c r="H26" s="1"/>
    </row>
    <row r="27" spans="1:8" s="3" customFormat="1">
      <c r="A27" s="83" t="s">
        <v>38</v>
      </c>
      <c r="B27" s="32">
        <v>69700</v>
      </c>
      <c r="C27" s="2"/>
      <c r="D27" s="38"/>
      <c r="E27" s="46">
        <f t="shared" ref="E27:E28" si="0">-B27</f>
        <v>-69700</v>
      </c>
      <c r="G27" s="1"/>
      <c r="H27" s="1"/>
    </row>
    <row r="28" spans="1:8" s="3" customFormat="1">
      <c r="A28" s="83" t="s">
        <v>40</v>
      </c>
      <c r="B28" s="32"/>
      <c r="C28" s="2"/>
      <c r="D28" s="38"/>
      <c r="E28" s="46">
        <f t="shared" si="0"/>
        <v>0</v>
      </c>
      <c r="G28" s="1"/>
      <c r="H28" s="1"/>
    </row>
    <row r="29" spans="1:8" s="3" customFormat="1" ht="13.8" thickBot="1">
      <c r="A29" s="28"/>
      <c r="B29" s="32"/>
      <c r="C29" s="2"/>
      <c r="D29" s="40"/>
      <c r="E29" s="41"/>
      <c r="G29" s="1"/>
      <c r="H29" s="1"/>
    </row>
    <row r="30" spans="1:8" s="3" customFormat="1" ht="13.8" thickBot="1">
      <c r="A30" s="24" t="s">
        <v>11</v>
      </c>
      <c r="B30" s="25">
        <f>B31+B32</f>
        <v>0</v>
      </c>
      <c r="C30" s="2"/>
      <c r="D30" s="40"/>
      <c r="E30" s="41"/>
      <c r="G30" s="1"/>
      <c r="H30" s="1"/>
    </row>
    <row r="31" spans="1:8" s="3" customFormat="1">
      <c r="A31" s="26" t="s">
        <v>20</v>
      </c>
      <c r="B31" s="30"/>
      <c r="C31" s="2"/>
      <c r="D31" s="38"/>
      <c r="E31" s="39">
        <f>-B31</f>
        <v>0</v>
      </c>
      <c r="G31" s="1"/>
      <c r="H31" s="1"/>
    </row>
    <row r="32" spans="1:8" s="3" customFormat="1">
      <c r="A32" s="27" t="s">
        <v>21</v>
      </c>
      <c r="B32" s="31"/>
      <c r="C32" s="2"/>
      <c r="D32" s="38"/>
      <c r="E32" s="39">
        <f>-B32</f>
        <v>0</v>
      </c>
      <c r="G32" s="1"/>
      <c r="H32" s="1"/>
    </row>
    <row r="33" spans="1:8" s="3" customFormat="1">
      <c r="A33" s="6"/>
      <c r="B33" s="31"/>
      <c r="C33" s="2"/>
      <c r="D33" s="40"/>
      <c r="E33" s="41"/>
      <c r="G33" s="1"/>
      <c r="H33" s="1"/>
    </row>
    <row r="34" spans="1:8" ht="13.8" thickBot="1">
      <c r="A34" s="33"/>
      <c r="B34" s="32"/>
      <c r="D34" s="40"/>
      <c r="E34" s="41"/>
    </row>
    <row r="35" spans="1:8" ht="13.8" thickBot="1">
      <c r="A35" s="47" t="s">
        <v>12</v>
      </c>
      <c r="B35" s="48">
        <f>SUM(B36:B38)*1.2</f>
        <v>1233799.9439999999</v>
      </c>
      <c r="D35" s="38"/>
      <c r="E35" s="39">
        <f>B35</f>
        <v>1233799.9439999999</v>
      </c>
    </row>
    <row r="36" spans="1:8">
      <c r="A36" s="54" t="s">
        <v>26</v>
      </c>
      <c r="B36" s="55">
        <f>542212.13</f>
        <v>542212.13</v>
      </c>
      <c r="D36" s="66" t="s">
        <v>30</v>
      </c>
      <c r="E36" s="39">
        <f>-874312.1+B12</f>
        <v>-156725.13</v>
      </c>
    </row>
    <row r="37" spans="1:8">
      <c r="A37" s="27" t="s">
        <v>23</v>
      </c>
      <c r="B37" s="31">
        <f>435457.17</f>
        <v>435457.17</v>
      </c>
      <c r="D37" s="42" t="s">
        <v>25</v>
      </c>
      <c r="E37" s="45">
        <f>SUM(E20:E36)</f>
        <v>-636887.00600000017</v>
      </c>
      <c r="F37" s="7"/>
    </row>
    <row r="38" spans="1:8" ht="13.8" thickBot="1">
      <c r="A38" s="34" t="s">
        <v>28</v>
      </c>
      <c r="B38" s="35">
        <f>50497.32</f>
        <v>50497.32</v>
      </c>
      <c r="D38" s="43"/>
      <c r="E38" s="44"/>
    </row>
    <row r="39" spans="1:8" ht="13.8" thickBot="1"/>
    <row r="40" spans="1:8" ht="13.8" thickBot="1">
      <c r="A40" s="67" t="s">
        <v>31</v>
      </c>
      <c r="B40" s="68">
        <f>B15+E37</f>
        <v>11042138.553999994</v>
      </c>
      <c r="C40" s="21"/>
      <c r="D40" s="22"/>
      <c r="E40" s="69">
        <f>E15</f>
        <v>11027645.813815394</v>
      </c>
      <c r="F40" s="7"/>
    </row>
    <row r="41" spans="1:8" ht="18.600000000000001" thickBot="1">
      <c r="A41" s="70" t="s">
        <v>32</v>
      </c>
      <c r="B41" s="73">
        <f>B40-E40</f>
        <v>14492.740184599534</v>
      </c>
      <c r="C41" s="74">
        <f>B41/E3</f>
        <v>3.2154350020308835E-4</v>
      </c>
      <c r="D41" s="71"/>
      <c r="E41" s="72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6127-6DC0-4592-B3F5-0578EBBDA625}">
  <sheetPr>
    <tabColor rgb="FFFF0000"/>
  </sheetPr>
  <dimension ref="A1:H41"/>
  <sheetViews>
    <sheetView workbookViewId="0">
      <selection activeCell="A19" sqref="A19:B30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8.8554687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4.140625" style="1" customWidth="1"/>
    <col min="8" max="16384" width="9.140625" style="1"/>
  </cols>
  <sheetData>
    <row r="1" spans="1:8" s="3" customFormat="1" ht="16.2" thickBot="1">
      <c r="A1" s="8" t="s">
        <v>0</v>
      </c>
      <c r="B1" s="9"/>
      <c r="C1" s="2"/>
      <c r="D1" s="8" t="s">
        <v>8</v>
      </c>
      <c r="E1" s="9"/>
      <c r="G1" s="1"/>
      <c r="H1" s="1"/>
    </row>
    <row r="2" spans="1:8" s="3" customFormat="1" ht="13.8" thickBot="1">
      <c r="A2" s="17" t="s">
        <v>44</v>
      </c>
      <c r="B2" s="18"/>
      <c r="C2" s="2"/>
      <c r="D2" s="17" t="str">
        <f>A2</f>
        <v>01/09/2024 - 31/01/2026</v>
      </c>
      <c r="E2" s="18"/>
      <c r="G2" s="1"/>
      <c r="H2" s="1"/>
    </row>
    <row r="3" spans="1:8" s="3" customFormat="1">
      <c r="A3" s="49" t="s">
        <v>13</v>
      </c>
      <c r="B3" s="50">
        <f>SUM(B4:B8)</f>
        <v>51800844.200000003</v>
      </c>
      <c r="C3" s="2"/>
      <c r="D3" s="49" t="s">
        <v>13</v>
      </c>
      <c r="E3" s="50">
        <v>47399124.800000004</v>
      </c>
      <c r="F3" s="53"/>
      <c r="G3" s="1"/>
      <c r="H3" s="1"/>
    </row>
    <row r="4" spans="1:8" s="3" customFormat="1" outlineLevel="1">
      <c r="A4" s="5" t="s">
        <v>1</v>
      </c>
      <c r="B4" s="10">
        <f>32000+314281.92</f>
        <v>346281.92</v>
      </c>
      <c r="C4" s="2"/>
      <c r="D4" s="5"/>
      <c r="E4" s="10"/>
      <c r="G4" s="1"/>
      <c r="H4" s="1"/>
    </row>
    <row r="5" spans="1:8" s="3" customFormat="1" outlineLevel="1">
      <c r="A5" s="5" t="s">
        <v>2</v>
      </c>
      <c r="B5" s="10">
        <v>44288232.310000002</v>
      </c>
      <c r="C5" s="2"/>
      <c r="D5" s="5"/>
      <c r="E5" s="10"/>
      <c r="G5" s="1"/>
      <c r="H5" s="1"/>
    </row>
    <row r="6" spans="1:8" s="3" customFormat="1" outlineLevel="1">
      <c r="A6" s="5" t="s">
        <v>3</v>
      </c>
      <c r="B6" s="10">
        <v>48755.040000000001</v>
      </c>
      <c r="C6" s="2"/>
      <c r="D6" s="5"/>
      <c r="E6" s="10"/>
      <c r="G6" s="1"/>
      <c r="H6" s="1"/>
    </row>
    <row r="7" spans="1:8" s="3" customFormat="1" outlineLevel="1">
      <c r="A7" s="5" t="s">
        <v>37</v>
      </c>
      <c r="B7" s="10">
        <v>3664943.55</v>
      </c>
      <c r="C7" s="2"/>
      <c r="D7" s="5"/>
      <c r="E7" s="10"/>
      <c r="G7" s="1"/>
      <c r="H7" s="1"/>
    </row>
    <row r="8" spans="1:8" s="3" customFormat="1" outlineLevel="1">
      <c r="A8" s="5" t="s">
        <v>33</v>
      </c>
      <c r="B8" s="10">
        <v>3452631.38</v>
      </c>
      <c r="C8" s="2"/>
      <c r="D8" s="5"/>
      <c r="E8" s="11"/>
      <c r="G8" s="1"/>
      <c r="H8" s="1"/>
    </row>
    <row r="9" spans="1:8" s="3" customFormat="1" ht="12" customHeight="1">
      <c r="A9" s="5"/>
      <c r="B9" s="10"/>
      <c r="C9" s="2"/>
      <c r="D9" s="5"/>
      <c r="E9" s="10"/>
      <c r="G9" s="1"/>
      <c r="H9" s="1"/>
    </row>
    <row r="10" spans="1:8" s="3" customFormat="1">
      <c r="A10" s="51" t="s">
        <v>14</v>
      </c>
      <c r="B10" s="52">
        <f>SUM(B11:B15)</f>
        <v>57755196.899999999</v>
      </c>
      <c r="C10" s="2"/>
      <c r="D10" s="51" t="s">
        <v>14</v>
      </c>
      <c r="E10" s="52">
        <f>E3-E16</f>
        <v>45372372.365628369</v>
      </c>
      <c r="G10" s="1"/>
      <c r="H10" s="1"/>
    </row>
    <row r="11" spans="1:8" s="3" customFormat="1" outlineLevel="1">
      <c r="A11" s="5" t="s">
        <v>4</v>
      </c>
      <c r="B11" s="10">
        <f>49174835.3+57000</f>
        <v>49231835.299999997</v>
      </c>
      <c r="C11" s="2"/>
      <c r="D11" s="5"/>
      <c r="E11" s="10"/>
      <c r="G11" s="1"/>
      <c r="H11" s="1"/>
    </row>
    <row r="12" spans="1:8" s="3" customFormat="1" outlineLevel="1">
      <c r="A12" s="5" t="s">
        <v>5</v>
      </c>
      <c r="B12" s="10">
        <v>613044.78</v>
      </c>
      <c r="C12" s="2"/>
      <c r="D12" s="5"/>
      <c r="E12" s="10"/>
      <c r="G12" s="1"/>
      <c r="H12" s="1"/>
    </row>
    <row r="13" spans="1:8" s="3" customFormat="1" outlineLevel="1">
      <c r="A13" s="5" t="s">
        <v>6</v>
      </c>
      <c r="B13" s="10">
        <v>792741.89</v>
      </c>
      <c r="C13" s="2"/>
      <c r="D13" s="5"/>
      <c r="E13" s="10"/>
      <c r="G13" s="1"/>
      <c r="H13" s="1"/>
    </row>
    <row r="14" spans="1:8" s="3" customFormat="1" outlineLevel="1">
      <c r="A14" s="5" t="s">
        <v>41</v>
      </c>
      <c r="B14" s="10">
        <v>3664943.55</v>
      </c>
      <c r="C14" s="2"/>
      <c r="D14" s="5"/>
      <c r="E14" s="10"/>
      <c r="G14" s="1"/>
      <c r="H14" s="1"/>
    </row>
    <row r="15" spans="1:8" s="3" customFormat="1" ht="13.8" outlineLevel="1" thickBot="1">
      <c r="A15" s="81" t="s">
        <v>42</v>
      </c>
      <c r="B15" s="10">
        <v>3452631.38</v>
      </c>
      <c r="C15" s="2"/>
      <c r="D15" s="12"/>
      <c r="E15" s="13"/>
      <c r="G15" s="1"/>
      <c r="H15" s="1"/>
    </row>
    <row r="16" spans="1:8" s="3" customFormat="1" ht="13.8" thickBot="1">
      <c r="A16" s="14" t="s">
        <v>7</v>
      </c>
      <c r="B16" s="15">
        <f>B3-B10</f>
        <v>-5954352.6999999955</v>
      </c>
      <c r="C16" s="2"/>
      <c r="D16" s="14"/>
      <c r="E16" s="15">
        <v>2026752.4343716325</v>
      </c>
      <c r="G16" s="1"/>
      <c r="H16" s="1"/>
    </row>
    <row r="17" spans="1:8" s="3" customFormat="1" ht="13.8" thickBot="1">
      <c r="C17" s="2"/>
      <c r="D17" s="4"/>
      <c r="E17" s="2"/>
      <c r="G17" s="1"/>
      <c r="H17" s="1"/>
    </row>
    <row r="18" spans="1:8" s="3" customFormat="1" ht="13.8" thickBot="1">
      <c r="A18" s="19" t="s">
        <v>9</v>
      </c>
      <c r="B18" s="20"/>
      <c r="C18" s="21"/>
      <c r="D18" s="22"/>
      <c r="E18" s="23">
        <f>E16-B16</f>
        <v>7981105.1343716281</v>
      </c>
      <c r="G18" s="1"/>
      <c r="H18" s="1"/>
    </row>
    <row r="19" spans="1:8" s="3" customFormat="1" ht="13.8" thickBot="1">
      <c r="C19" s="2"/>
      <c r="D19" s="4"/>
      <c r="E19" s="2"/>
      <c r="G19" s="1"/>
      <c r="H19" s="1"/>
    </row>
    <row r="20" spans="1:8" s="3" customFormat="1" ht="13.8" thickBot="1">
      <c r="A20" s="47" t="s">
        <v>45</v>
      </c>
      <c r="B20" s="48">
        <f>B21-B22</f>
        <v>3110892.49</v>
      </c>
      <c r="C20" s="2"/>
      <c r="D20" s="36"/>
      <c r="E20" s="37"/>
      <c r="G20" s="1"/>
      <c r="H20" s="1"/>
    </row>
    <row r="21" spans="1:8" s="3" customFormat="1">
      <c r="A21" s="26" t="s">
        <v>10</v>
      </c>
      <c r="B21" s="16">
        <v>3110892.49</v>
      </c>
      <c r="C21" s="2"/>
      <c r="D21" s="38"/>
      <c r="E21" s="39">
        <f>B21</f>
        <v>3110892.49</v>
      </c>
      <c r="G21" s="1"/>
      <c r="H21" s="1"/>
    </row>
    <row r="22" spans="1:8" s="3" customFormat="1">
      <c r="A22" s="27" t="s">
        <v>27</v>
      </c>
      <c r="B22" s="10"/>
      <c r="C22" s="2"/>
      <c r="D22" s="38"/>
      <c r="E22" s="39">
        <f>-B22</f>
        <v>0</v>
      </c>
      <c r="G22" s="1"/>
      <c r="H22" s="1"/>
    </row>
    <row r="23" spans="1:8" s="3" customFormat="1" ht="13.8" thickBot="1">
      <c r="A23" s="28"/>
      <c r="B23" s="29"/>
      <c r="C23" s="2"/>
      <c r="D23" s="40"/>
      <c r="E23" s="41"/>
      <c r="G23" s="1"/>
      <c r="H23" s="1"/>
    </row>
    <row r="24" spans="1:8" s="3" customFormat="1" ht="13.8" thickBot="1">
      <c r="A24" s="47" t="s">
        <v>34</v>
      </c>
      <c r="B24" s="48">
        <f>SUM(B25:B29)</f>
        <v>11822531.52</v>
      </c>
      <c r="C24" s="2"/>
      <c r="D24" s="40"/>
      <c r="E24" s="41"/>
      <c r="G24" s="1"/>
      <c r="H24" s="1"/>
    </row>
    <row r="25" spans="1:8" s="3" customFormat="1">
      <c r="A25" s="26" t="s">
        <v>16</v>
      </c>
      <c r="B25" s="30">
        <v>9413949.6899999995</v>
      </c>
      <c r="C25" s="2"/>
      <c r="D25" s="38"/>
      <c r="E25" s="39">
        <f>-B25</f>
        <v>-9413949.6899999995</v>
      </c>
      <c r="G25" s="1"/>
      <c r="H25" s="1"/>
    </row>
    <row r="26" spans="1:8" s="3" customFormat="1" ht="12.6" customHeight="1">
      <c r="A26" s="27" t="s">
        <v>17</v>
      </c>
      <c r="B26" s="31">
        <v>2288097.83</v>
      </c>
      <c r="C26" s="2"/>
      <c r="D26" s="38"/>
      <c r="E26" s="39">
        <f>B26</f>
        <v>2288097.83</v>
      </c>
      <c r="G26" s="1"/>
      <c r="H26" s="1"/>
    </row>
    <row r="27" spans="1:8" s="3" customFormat="1">
      <c r="A27" s="27" t="s">
        <v>18</v>
      </c>
      <c r="B27" s="31">
        <v>120484</v>
      </c>
      <c r="C27" s="2"/>
      <c r="D27" s="38"/>
      <c r="E27" s="46">
        <f>-B27</f>
        <v>-120484</v>
      </c>
      <c r="G27" s="1"/>
      <c r="H27" s="1"/>
    </row>
    <row r="28" spans="1:8" s="3" customFormat="1">
      <c r="A28" s="28" t="s">
        <v>38</v>
      </c>
      <c r="B28" s="32"/>
      <c r="C28" s="2"/>
      <c r="D28" s="40"/>
      <c r="E28" s="46">
        <f>-B28</f>
        <v>0</v>
      </c>
      <c r="G28" s="1"/>
      <c r="H28" s="1"/>
    </row>
    <row r="29" spans="1:8" s="3" customFormat="1" ht="13.8" thickBot="1">
      <c r="A29" s="28" t="s">
        <v>40</v>
      </c>
      <c r="B29" s="32"/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24" t="s">
        <v>11</v>
      </c>
      <c r="B30" s="80">
        <f>B31+B32+B33</f>
        <v>583296</v>
      </c>
      <c r="C30" s="2"/>
      <c r="D30" s="40"/>
      <c r="E30" s="41"/>
      <c r="G30" s="1"/>
      <c r="H30" s="1"/>
    </row>
    <row r="31" spans="1:8" s="3" customFormat="1">
      <c r="A31" s="26" t="s">
        <v>20</v>
      </c>
      <c r="B31" s="30"/>
      <c r="C31" s="2"/>
      <c r="D31" s="38"/>
      <c r="E31" s="39">
        <f>-B31</f>
        <v>0</v>
      </c>
      <c r="G31" s="1"/>
      <c r="H31" s="1"/>
    </row>
    <row r="32" spans="1:8" s="3" customFormat="1">
      <c r="A32" s="27" t="s">
        <v>21</v>
      </c>
      <c r="B32" s="31">
        <v>583296</v>
      </c>
      <c r="C32" s="2"/>
      <c r="D32" s="38"/>
      <c r="E32" s="39">
        <f>-B32</f>
        <v>-583296</v>
      </c>
      <c r="G32" s="1"/>
      <c r="H32" s="1"/>
    </row>
    <row r="33" spans="1:8" s="3" customFormat="1">
      <c r="A33" s="27"/>
      <c r="B33" s="31"/>
      <c r="C33" s="2"/>
      <c r="D33" s="40"/>
      <c r="E33" s="39">
        <f>-B33</f>
        <v>0</v>
      </c>
      <c r="G33" s="1"/>
      <c r="H33" s="1"/>
    </row>
    <row r="34" spans="1:8" ht="13.8" thickBot="1">
      <c r="A34" s="33"/>
      <c r="B34" s="32"/>
      <c r="D34" s="40"/>
      <c r="E34" s="41"/>
    </row>
    <row r="35" spans="1:8" ht="13.8" thickBot="1">
      <c r="A35" s="47" t="s">
        <v>12</v>
      </c>
      <c r="B35" s="48">
        <f>SUM(B36:B38)*1.2</f>
        <v>9552053.3279999997</v>
      </c>
      <c r="D35" s="38"/>
      <c r="E35" s="39">
        <f>--B35</f>
        <v>9552053.3279999997</v>
      </c>
    </row>
    <row r="36" spans="1:8">
      <c r="A36" s="54" t="s">
        <v>39</v>
      </c>
      <c r="B36" s="55">
        <f>7854635.33</f>
        <v>7854635.3300000001</v>
      </c>
      <c r="D36" s="66" t="s">
        <v>30</v>
      </c>
      <c r="E36" s="39">
        <f>-1162589.16+B13</f>
        <v>-369847.2699999999</v>
      </c>
    </row>
    <row r="37" spans="1:8">
      <c r="A37" s="27" t="s">
        <v>23</v>
      </c>
      <c r="B37" s="31"/>
      <c r="D37" s="42" t="s">
        <v>25</v>
      </c>
      <c r="E37" s="45">
        <f>SUM(E21:E36)</f>
        <v>4463466.688000001</v>
      </c>
      <c r="F37" s="7"/>
    </row>
    <row r="38" spans="1:8" ht="13.8" thickBot="1">
      <c r="A38" s="34" t="s">
        <v>28</v>
      </c>
      <c r="B38" s="35">
        <v>105409.11</v>
      </c>
      <c r="D38" s="43"/>
      <c r="E38" s="44"/>
    </row>
    <row r="39" spans="1:8" ht="13.8" thickBot="1"/>
    <row r="40" spans="1:8" ht="13.8" thickBot="1">
      <c r="A40" s="67" t="s">
        <v>31</v>
      </c>
      <c r="B40" s="68">
        <f>B16+E37</f>
        <v>-1490886.0119999945</v>
      </c>
      <c r="C40" s="21"/>
      <c r="D40" s="22"/>
      <c r="E40" s="69">
        <f>E16</f>
        <v>2026752.4343716325</v>
      </c>
      <c r="F40" s="7"/>
    </row>
    <row r="41" spans="1:8" ht="18.600000000000001" thickBot="1">
      <c r="A41" s="70" t="s">
        <v>32</v>
      </c>
      <c r="B41" s="73">
        <f>B40-E40</f>
        <v>-3517638.446371627</v>
      </c>
      <c r="C41" s="74">
        <f>B41/E3</f>
        <v>-7.4213151850677769E-2</v>
      </c>
      <c r="D41" s="71"/>
      <c r="E41" s="72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E7C3-C5D8-4786-9722-D89C2202EED0}">
  <sheetPr>
    <tabColor rgb="FFFF0000"/>
  </sheetPr>
  <dimension ref="A1:H45"/>
  <sheetViews>
    <sheetView tabSelected="1" topLeftCell="A19" workbookViewId="0">
      <selection activeCell="D46" sqref="D46"/>
    </sheetView>
  </sheetViews>
  <sheetFormatPr defaultColWidth="9.140625" defaultRowHeight="13.2" outlineLevelRow="1"/>
  <cols>
    <col min="1" max="1" width="49.42578125" style="3" bestFit="1" customWidth="1"/>
    <col min="2" max="2" width="32.28515625" style="3" customWidth="1"/>
    <col min="3" max="3" width="7.42578125" style="2" bestFit="1" customWidth="1"/>
    <col min="4" max="4" width="59.7109375" style="4" bestFit="1" customWidth="1"/>
    <col min="5" max="5" width="36.28515625" style="2" customWidth="1"/>
    <col min="6" max="6" width="27.7109375" style="3" customWidth="1"/>
    <col min="7" max="7" width="18.7109375" style="1" bestFit="1" customWidth="1"/>
    <col min="8" max="16384" width="9.140625" style="1"/>
  </cols>
  <sheetData>
    <row r="1" spans="1:8" ht="13.8" thickBot="1"/>
    <row r="2" spans="1:8" s="3" customFormat="1" ht="16.2" thickBot="1">
      <c r="A2" s="8" t="s">
        <v>0</v>
      </c>
      <c r="B2" s="9"/>
      <c r="C2" s="2"/>
      <c r="D2" s="8" t="s">
        <v>8</v>
      </c>
      <c r="E2" s="9"/>
      <c r="G2" s="1"/>
      <c r="H2" s="1"/>
    </row>
    <row r="3" spans="1:8" s="3" customFormat="1" ht="13.8" thickBot="1">
      <c r="A3" s="17" t="s">
        <v>46</v>
      </c>
      <c r="B3" s="18"/>
      <c r="C3" s="2"/>
      <c r="D3" s="17" t="str">
        <f>A3</f>
        <v>01/09/2024 - 28/02/2026</v>
      </c>
      <c r="E3" s="18"/>
      <c r="G3" s="1"/>
      <c r="H3" s="1"/>
    </row>
    <row r="4" spans="1:8" s="3" customFormat="1">
      <c r="A4" s="49" t="s">
        <v>13</v>
      </c>
      <c r="B4" s="50">
        <f>SUM(B5:B10)</f>
        <v>807260903.81999993</v>
      </c>
      <c r="C4" s="2"/>
      <c r="D4" s="49" t="s">
        <v>13</v>
      </c>
      <c r="E4" s="50">
        <v>704401912.25999999</v>
      </c>
      <c r="G4" s="1"/>
      <c r="H4" s="1"/>
    </row>
    <row r="5" spans="1:8" s="3" customFormat="1" outlineLevel="1">
      <c r="A5" s="5" t="s">
        <v>1</v>
      </c>
      <c r="B5" s="10">
        <v>1541180.39</v>
      </c>
      <c r="C5" s="2"/>
      <c r="D5" s="5"/>
      <c r="E5" s="10"/>
      <c r="G5" s="1"/>
      <c r="H5" s="1"/>
    </row>
    <row r="6" spans="1:8" s="3" customFormat="1" outlineLevel="1">
      <c r="A6" s="5" t="s">
        <v>2</v>
      </c>
      <c r="B6" s="10">
        <v>555914768.05999994</v>
      </c>
      <c r="C6" s="2"/>
      <c r="D6" s="5"/>
      <c r="E6" s="10"/>
      <c r="G6" s="1"/>
      <c r="H6" s="1"/>
    </row>
    <row r="7" spans="1:8" s="3" customFormat="1" outlineLevel="1">
      <c r="A7" s="5" t="s">
        <v>3</v>
      </c>
      <c r="B7" s="10">
        <v>123648154.63</v>
      </c>
      <c r="C7" s="2"/>
      <c r="D7" s="5"/>
      <c r="E7" s="10"/>
      <c r="G7" s="1"/>
      <c r="H7" s="1"/>
    </row>
    <row r="8" spans="1:8" s="3" customFormat="1" outlineLevel="1">
      <c r="A8" s="5" t="s">
        <v>37</v>
      </c>
      <c r="B8" s="10">
        <v>34415786.060000002</v>
      </c>
      <c r="C8" s="2"/>
      <c r="D8" s="5"/>
      <c r="E8" s="10"/>
      <c r="G8" s="1"/>
      <c r="H8" s="1"/>
    </row>
    <row r="9" spans="1:8" s="3" customFormat="1" outlineLevel="1">
      <c r="A9" s="5" t="s">
        <v>33</v>
      </c>
      <c r="B9" s="10">
        <v>91741014.680000007</v>
      </c>
      <c r="C9" s="2"/>
      <c r="D9" s="5"/>
      <c r="E9" s="11"/>
      <c r="G9" s="1"/>
      <c r="H9" s="1"/>
    </row>
    <row r="10" spans="1:8" s="3" customFormat="1" ht="12" customHeight="1">
      <c r="A10" s="5"/>
      <c r="B10" s="10"/>
      <c r="C10" s="2"/>
      <c r="D10" s="5"/>
      <c r="E10" s="10"/>
      <c r="G10" s="1"/>
      <c r="H10" s="1"/>
    </row>
    <row r="11" spans="1:8" s="3" customFormat="1">
      <c r="A11" s="51" t="s">
        <v>14</v>
      </c>
      <c r="B11" s="52">
        <f>SUM(B12:B16)</f>
        <v>687999001.82999992</v>
      </c>
      <c r="C11" s="2"/>
      <c r="D11" s="51" t="s">
        <v>14</v>
      </c>
      <c r="E11" s="52">
        <f>E4-E17</f>
        <v>546390517.83634663</v>
      </c>
      <c r="G11" s="1"/>
      <c r="H11" s="1"/>
    </row>
    <row r="12" spans="1:8" s="3" customFormat="1" outlineLevel="1">
      <c r="A12" s="5" t="s">
        <v>4</v>
      </c>
      <c r="B12" s="82">
        <f>555099565.05+39000</f>
        <v>555138565.04999995</v>
      </c>
      <c r="C12" s="2"/>
      <c r="D12" s="5"/>
      <c r="E12" s="10"/>
      <c r="G12" s="1"/>
      <c r="H12" s="1"/>
    </row>
    <row r="13" spans="1:8" s="3" customFormat="1" outlineLevel="1">
      <c r="A13" s="5" t="s">
        <v>5</v>
      </c>
      <c r="B13" s="82">
        <v>954005.6</v>
      </c>
      <c r="C13" s="2"/>
      <c r="D13" s="5"/>
      <c r="E13" s="10"/>
      <c r="G13" s="1"/>
      <c r="H13" s="1"/>
    </row>
    <row r="14" spans="1:8" s="3" customFormat="1" outlineLevel="1">
      <c r="A14" s="5" t="s">
        <v>6</v>
      </c>
      <c r="B14" s="10">
        <v>5701207.4900000002</v>
      </c>
      <c r="C14" s="2"/>
      <c r="D14" s="5"/>
      <c r="E14" s="10"/>
      <c r="G14" s="1"/>
      <c r="H14" s="1"/>
    </row>
    <row r="15" spans="1:8" s="3" customFormat="1" outlineLevel="1">
      <c r="A15" s="5" t="s">
        <v>41</v>
      </c>
      <c r="B15" s="82">
        <v>34464209.009999998</v>
      </c>
      <c r="C15" s="2"/>
      <c r="D15" s="5"/>
      <c r="E15" s="10"/>
      <c r="G15" s="1"/>
      <c r="H15" s="1"/>
    </row>
    <row r="16" spans="1:8" s="3" customFormat="1" ht="13.8" outlineLevel="1" thickBot="1">
      <c r="A16" s="81" t="s">
        <v>42</v>
      </c>
      <c r="B16" s="82">
        <v>91741014.680000007</v>
      </c>
      <c r="C16" s="2"/>
      <c r="D16" s="12"/>
      <c r="E16" s="13"/>
      <c r="G16" s="1"/>
      <c r="H16" s="1"/>
    </row>
    <row r="17" spans="1:8" s="3" customFormat="1" ht="13.8" thickBot="1">
      <c r="A17" s="14" t="s">
        <v>7</v>
      </c>
      <c r="B17" s="15">
        <f>B4-B11</f>
        <v>119261901.99000001</v>
      </c>
      <c r="C17" s="2"/>
      <c r="D17" s="14"/>
      <c r="E17" s="15">
        <v>158011394.42365339</v>
      </c>
      <c r="G17" s="1"/>
      <c r="H17" s="1"/>
    </row>
    <row r="18" spans="1:8" s="3" customFormat="1" ht="13.8" thickBot="1">
      <c r="C18" s="2"/>
      <c r="D18" s="4"/>
      <c r="E18" s="2"/>
      <c r="G18" s="1"/>
      <c r="H18" s="1"/>
    </row>
    <row r="19" spans="1:8" s="3" customFormat="1" ht="13.8" thickBot="1">
      <c r="A19" s="19" t="s">
        <v>9</v>
      </c>
      <c r="B19" s="20"/>
      <c r="C19" s="21"/>
      <c r="D19" s="22"/>
      <c r="E19" s="23">
        <f>E17-B17</f>
        <v>38749492.433653384</v>
      </c>
      <c r="G19" s="1"/>
      <c r="H19" s="1"/>
    </row>
    <row r="20" spans="1:8" s="3" customFormat="1" ht="13.8" thickBot="1">
      <c r="C20" s="2"/>
      <c r="D20" s="4"/>
      <c r="E20" s="2"/>
      <c r="G20" s="1"/>
      <c r="H20" s="1"/>
    </row>
    <row r="21" spans="1:8" s="3" customFormat="1" ht="13.8" thickBot="1">
      <c r="A21" s="47" t="s">
        <v>47</v>
      </c>
      <c r="B21" s="48">
        <f>B22+B23</f>
        <v>22019515.419999998</v>
      </c>
      <c r="C21" s="2"/>
      <c r="D21" s="36"/>
      <c r="E21" s="37"/>
      <c r="G21" s="1"/>
      <c r="H21" s="1"/>
    </row>
    <row r="22" spans="1:8" s="3" customFormat="1">
      <c r="A22" s="26" t="s">
        <v>10</v>
      </c>
      <c r="B22" s="16">
        <f>(19994564.97+421128.09-B23)+1603822.36</f>
        <v>5458935.9195999978</v>
      </c>
      <c r="C22" s="2"/>
      <c r="D22" s="38"/>
      <c r="E22" s="39">
        <f>B22</f>
        <v>5458935.9195999978</v>
      </c>
      <c r="G22" s="1"/>
      <c r="H22" s="1"/>
    </row>
    <row r="23" spans="1:8" s="3" customFormat="1">
      <c r="A23" s="27" t="s">
        <v>15</v>
      </c>
      <c r="B23" s="10">
        <f>(542350323.24+9668993.44)*3%</f>
        <v>16560579.500400001</v>
      </c>
      <c r="C23" s="2"/>
      <c r="D23" s="38"/>
      <c r="E23" s="39">
        <f>B23</f>
        <v>16560579.500400001</v>
      </c>
      <c r="G23" s="1"/>
      <c r="H23" s="1"/>
    </row>
    <row r="24" spans="1:8" s="3" customFormat="1" ht="13.8" thickBot="1">
      <c r="A24" s="28"/>
      <c r="B24" s="29"/>
      <c r="C24" s="2"/>
      <c r="D24" s="40"/>
      <c r="E24" s="41"/>
      <c r="G24" s="1"/>
      <c r="H24" s="1"/>
    </row>
    <row r="25" spans="1:8" s="3" customFormat="1" ht="13.8" thickBot="1">
      <c r="A25" s="47" t="s">
        <v>34</v>
      </c>
      <c r="B25" s="48">
        <f>SUM(B26:B30)</f>
        <v>44834096.68</v>
      </c>
      <c r="C25" s="2"/>
      <c r="D25" s="40"/>
      <c r="E25" s="41"/>
      <c r="G25" s="1"/>
      <c r="H25" s="1"/>
    </row>
    <row r="26" spans="1:8" s="3" customFormat="1">
      <c r="A26" s="26" t="s">
        <v>16</v>
      </c>
      <c r="B26" s="76">
        <v>26030299.27</v>
      </c>
      <c r="C26" s="2"/>
      <c r="D26" s="38"/>
      <c r="E26" s="39">
        <f>-B26</f>
        <v>-26030299.27</v>
      </c>
      <c r="G26" s="1"/>
      <c r="H26" s="1"/>
    </row>
    <row r="27" spans="1:8" s="3" customFormat="1" ht="12.6" customHeight="1">
      <c r="A27" s="27" t="s">
        <v>17</v>
      </c>
      <c r="B27" s="77">
        <v>18803797.41</v>
      </c>
      <c r="C27" s="2"/>
      <c r="D27" s="38"/>
      <c r="E27" s="39">
        <f>B27</f>
        <v>18803797.41</v>
      </c>
      <c r="G27" s="1"/>
      <c r="H27" s="1"/>
    </row>
    <row r="28" spans="1:8" s="3" customFormat="1">
      <c r="A28" s="27" t="s">
        <v>18</v>
      </c>
      <c r="B28" s="77"/>
      <c r="C28" s="2"/>
      <c r="D28" s="38"/>
      <c r="E28" s="46">
        <f>-B28</f>
        <v>0</v>
      </c>
      <c r="G28" s="1"/>
      <c r="H28" s="1"/>
    </row>
    <row r="29" spans="1:8" s="3" customFormat="1">
      <c r="A29" s="83" t="s">
        <v>38</v>
      </c>
      <c r="B29" s="79">
        <f>B9-B16</f>
        <v>0</v>
      </c>
      <c r="C29" s="2"/>
      <c r="D29" s="40"/>
      <c r="E29" s="46">
        <f>-B29</f>
        <v>0</v>
      </c>
      <c r="G29" s="1"/>
      <c r="H29" s="1"/>
    </row>
    <row r="30" spans="1:8" s="3" customFormat="1" ht="13.8" thickBot="1">
      <c r="A30" s="83" t="s">
        <v>40</v>
      </c>
      <c r="B30" s="79">
        <f>B9-B16</f>
        <v>0</v>
      </c>
      <c r="C30" s="2"/>
      <c r="D30" s="40"/>
      <c r="E30" s="46">
        <f>-B30</f>
        <v>0</v>
      </c>
      <c r="F30" s="3" t="s">
        <v>43</v>
      </c>
      <c r="G30" s="1"/>
      <c r="H30" s="1"/>
    </row>
    <row r="31" spans="1:8" s="3" customFormat="1" ht="13.8" thickBot="1">
      <c r="A31" s="24" t="s">
        <v>11</v>
      </c>
      <c r="B31" s="25">
        <f>B32+B33</f>
        <v>1070601</v>
      </c>
      <c r="C31" s="2"/>
      <c r="D31" s="40"/>
      <c r="E31" s="41"/>
      <c r="G31" s="1"/>
      <c r="H31" s="1"/>
    </row>
    <row r="32" spans="1:8" s="3" customFormat="1">
      <c r="A32" s="26" t="s">
        <v>20</v>
      </c>
      <c r="B32" s="76">
        <v>1070601</v>
      </c>
      <c r="C32" s="2"/>
      <c r="D32" s="38"/>
      <c r="E32" s="39">
        <f>-B32</f>
        <v>-1070601</v>
      </c>
      <c r="G32" s="1"/>
      <c r="H32" s="1"/>
    </row>
    <row r="33" spans="1:8" s="3" customFormat="1">
      <c r="A33" s="27" t="s">
        <v>21</v>
      </c>
      <c r="B33" s="77"/>
      <c r="C33" s="2"/>
      <c r="D33" s="38"/>
      <c r="E33" s="39">
        <f>-B33</f>
        <v>0</v>
      </c>
      <c r="G33" s="1"/>
      <c r="H33" s="1"/>
    </row>
    <row r="34" spans="1:8" s="3" customFormat="1">
      <c r="A34" s="6"/>
      <c r="B34" s="31"/>
      <c r="C34" s="2"/>
      <c r="D34" s="40"/>
      <c r="E34" s="41"/>
      <c r="G34" s="1"/>
      <c r="H34" s="1"/>
    </row>
    <row r="35" spans="1:8" ht="13.8" thickBot="1">
      <c r="A35" s="33"/>
      <c r="B35" s="32"/>
      <c r="D35" s="40"/>
      <c r="E35" s="41"/>
    </row>
    <row r="36" spans="1:8" ht="13.8" thickBot="1">
      <c r="A36" s="47" t="s">
        <v>12</v>
      </c>
      <c r="B36" s="48">
        <f>SUM(B37:B40)*1.2</f>
        <v>25243738.067999996</v>
      </c>
      <c r="D36" s="38"/>
      <c r="E36" s="39">
        <f>--B36</f>
        <v>25243738.067999996</v>
      </c>
    </row>
    <row r="37" spans="1:8">
      <c r="A37" s="26" t="s">
        <v>22</v>
      </c>
      <c r="B37" s="30">
        <f>18416868.95-B38</f>
        <v>17086595.57</v>
      </c>
      <c r="D37" s="66" t="s">
        <v>30</v>
      </c>
      <c r="E37" s="39">
        <f>-4995925.43+B14</f>
        <v>705282.06000000052</v>
      </c>
    </row>
    <row r="38" spans="1:8">
      <c r="A38" s="27" t="s">
        <v>23</v>
      </c>
      <c r="B38" s="31">
        <v>1330273.3799999999</v>
      </c>
      <c r="D38" s="42" t="s">
        <v>25</v>
      </c>
      <c r="E38" s="45">
        <f>SUM(E22:E37)</f>
        <v>39671432.687999994</v>
      </c>
      <c r="F38" s="7"/>
    </row>
    <row r="39" spans="1:8">
      <c r="A39" s="28" t="s">
        <v>28</v>
      </c>
      <c r="B39" s="32">
        <f>701306.74</f>
        <v>701306.74</v>
      </c>
      <c r="D39" s="42"/>
      <c r="E39" s="56"/>
      <c r="F39" s="7"/>
    </row>
    <row r="40" spans="1:8" ht="13.8" thickBot="1">
      <c r="A40" s="34" t="s">
        <v>24</v>
      </c>
      <c r="B40" s="78">
        <v>1918272.7</v>
      </c>
      <c r="D40" s="43"/>
      <c r="E40" s="44"/>
    </row>
    <row r="41" spans="1:8" ht="13.8" thickBot="1"/>
    <row r="42" spans="1:8" ht="13.8" thickBot="1">
      <c r="A42" s="67" t="s">
        <v>31</v>
      </c>
      <c r="B42" s="68">
        <f>B17+E38</f>
        <v>158933334.678</v>
      </c>
      <c r="C42" s="21"/>
      <c r="D42" s="22"/>
      <c r="E42" s="69">
        <f>E17</f>
        <v>158011394.42365339</v>
      </c>
      <c r="F42" s="7"/>
    </row>
    <row r="43" spans="1:8" ht="18.600000000000001" thickBot="1">
      <c r="A43" s="70" t="s">
        <v>36</v>
      </c>
      <c r="B43" s="73">
        <f>B42-E42</f>
        <v>921940.25434660912</v>
      </c>
      <c r="C43" s="74">
        <f>B43/E4</f>
        <v>1.3088270180707773E-3</v>
      </c>
      <c r="D43" s="71"/>
      <c r="E43" s="72"/>
    </row>
    <row r="45" spans="1:8">
      <c r="B45" s="7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Ретал ГПУ</vt:lpstr>
      <vt:lpstr>Нежин-4</vt:lpstr>
      <vt:lpstr>МХП Катеринополь</vt:lpstr>
      <vt:lpstr>Астарта.Тищенки</vt:lpstr>
      <vt:lpstr>Глобино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2025-04-29T07:19:21Z</dcterms:created>
  <dcterms:modified xsi:type="dcterms:W3CDTF">2026-03-24T08:45:47Z</dcterms:modified>
</cp:coreProperties>
</file>
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i.steblianko\Desktop\"/>
    </mc:Choice>
  </mc:AlternateContent>
  <xr:revisionPtr revIDLastSave="0" documentId="13_ncr:1_{3AADE605-75DB-4BFF-B3E9-0F20A88F52C7}" xr6:coauthVersionLast="45" xr6:coauthVersionMax="45" xr10:uidLastSave="{00000000-0000-0000-0000-000000000000}"/>
  <bookViews>
    <workbookView xWindow="-108" yWindow="-108" windowWidth="23256" windowHeight="12600" activeTab="1" xr2:uid="{00000000-000D-0000-FFFF-FFFF00000000}"/>
  </bookViews>
  <sheets>
    <sheet name="Тищенки" sheetId="1" r:id="rId1"/>
    <sheet name="Глобино-2" sheetId="2" r:id="rId2"/>
  </sheets>
  <definedNames>
    <definedName name="_xlnm._FilterDatabase" localSheetId="1" hidden="1">'Глобино-2'!$B$1:$D$249</definedName>
    <definedName name="_xlnm._FilterDatabase" localSheetId="0" hidden="1">Тищенки!$B$1:$D$40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53" i="2" l="1"/>
  <c r="J252" i="2"/>
  <c r="J43" i="1"/>
  <c r="J42" i="1"/>
</calcChain>
</file>

<file path=xl/sharedStrings.xml><?xml version="1.0" encoding="utf-8"?>
<sst xmlns="http://schemas.openxmlformats.org/spreadsheetml/2006/main" count="2285" uniqueCount="371">
  <si>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</si>
  <si>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</si>
  <si>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</si>
  <si>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</si>
  <si>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</si>
  <si>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</si>
  <si>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</si>
  <si>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</si>
  <si>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</si>
  <si>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01.02.2026</t>
  </si>
  <si>
    <t>Переміщення товарів ІБ00-000469 від 01.02.2026 23:01:21
Перемещение ТМЦ</t>
  </si>
  <si>
    <t>Обл. НДС
Матрас
Переміщення товарів ІБ00-000469 від 01.02.2026 23:01:21
Астарта_Тищенки</t>
  </si>
  <si>
    <t>Обл. НДС
Матрас
Надходження товарів і послуг ІБ00-004289 від 16.09.2024 22:20:50
Астарта_Тищенки</t>
  </si>
  <si>
    <t>221</t>
  </si>
  <si>
    <t>03.02.2026</t>
  </si>
  <si>
    <t>Переміщення товарів ІБ00-000167 від 03.02.2026 14:20:24
Перемещение ТМЦ</t>
  </si>
  <si>
    <t>Обл. НДС
Круг відрізний 230*2,5*22 увігнутий
Переміщення товарів ІБ00-000167 від 03.02.2026 14:20:24
Чорноморськ</t>
  </si>
  <si>
    <t>Обл. НДС
Круг відрізний 230*2,5*22 увігнутий
Надходження товарів і послуг ІБ00-007557 від 10.12.2025 11:00:00
Астарта_Тищенки</t>
  </si>
  <si>
    <t xml:space="preserve"> </t>
  </si>
  <si>
    <t>Обл. НДС
Прожектор світлодіодний 100W Магнум 5000К ІР65
Переміщення товарів ІБ00-000167 від 03.02.2026 14:20:24
Чорноморськ</t>
  </si>
  <si>
    <t>Обл. НДС
Прожектор світлодіодний 100W Магнум 5000К ІР65
Надходження товарів і послуг ІБ00-006236 від 20.10.2025 11:00:00
Астарта_Тищенки</t>
  </si>
  <si>
    <t>Обл. НДС
Маска зварювальника
Переміщення товарів ІБ00-000167 від 03.02.2026 14:20:24
Чорноморськ</t>
  </si>
  <si>
    <t>Обл. НДС
Маска зварювальника
Надходження товарів і послуг ІБ00-006234 від 20.10.2025 11:00:00
Астарта_Тищенки</t>
  </si>
  <si>
    <t>Обл. НДС
Пояс запобіжний безлямковий 5ПБ-М (ПБ1-М із стропом з метал.тросу К20)
Переміщення товарів ІБ00-000167 від 03.02.2026 14:20:24
Чорноморськ</t>
  </si>
  <si>
    <t>Обл. НДС
Пояс запобіжний безлямковий 5ПБ-М (ПБ1-М із стропом з метал.тросу К20)
Надходження товарів і послуг ІБ00-006636 від 22.10.2025 11:00:00
Астарта_Тищенки</t>
  </si>
  <si>
    <t>Обл. НДС
Кабель звар. КГ 1*25 250А
Переміщення товарів ІБ00-000167 від 03.02.2026 14:20:24
Чорноморськ</t>
  </si>
  <si>
    <t>Обл. НДС
Кабель звар. КГ 1*25 250А
Надходження товарів і послуг ІБ00-006235 від 20.10.2025 11:00:00
Астарта_Тищенки</t>
  </si>
  <si>
    <t>Обл. НДС
Провід ПВС 3*2,5 бухта 100м 
Переміщення товарів ІБ00-000167 від 03.02.2026 14:20:24
Чорноморськ</t>
  </si>
  <si>
    <t>Обл. НДС
Провід ПВС 3*2,5 бухта 100м 
Надходження товарів і послуг ІБ00-006235 від 20.10.2025 11:00:00
Астарта_Тищенки</t>
  </si>
  <si>
    <t>Обл. НДС
Провід ПВС 2*1,5 бухта 100м
Переміщення товарів ІБ00-000167 від 03.02.2026 14:20:24
Чорноморськ</t>
  </si>
  <si>
    <t>Обл. НДС
Провід ПВС 2*1,5 бухта 100м
Надходження товарів і послуг ІБ00-006235 від 20.10.2025 11:00:00
Астарта_Тищенки</t>
  </si>
  <si>
    <t>Обл. НДС
Кутник столярний 200*400 мм
Переміщення товарів ІБ00-000167 від 03.02.2026 14:20:24
Чорноморськ</t>
  </si>
  <si>
    <t>Обл. НДС
Кутник столярний 200*400 мм
Надходження товарів і послуг ІБ00-005140 від 10.09.2025 11:00:00
Астарта_Тищенки</t>
  </si>
  <si>
    <t>Обл. НДС
Рулетка 10 м*25 мм
Переміщення товарів ІБ00-000167 від 03.02.2026 14:20:24
Чорноморськ</t>
  </si>
  <si>
    <t>Обл. НДС
Рулетка 10 м*25 мм
Надходження товарів і послуг ІБ00-007556 від 10.12.2025 11:00:00
Астарта_Тищенки</t>
  </si>
  <si>
    <t>Обл. НДС
Скотч  200*48мм прозор 38мкм
Переміщення товарів ІБ00-000167 від 03.02.2026 14:20:24
Чорноморськ</t>
  </si>
  <si>
    <t>Обл. НДС
Скотч  200*48мм прозор 38мкм
Надходження товарів і послуг ІБ00-006992 від 19.11.2025 11:00:00
Астарта_Тищенки</t>
  </si>
  <si>
    <t>Обл. НДС
Ножівка по дереву
Переміщення товарів ІБ00-000167 від 03.02.2026 14:20:24
Чорноморськ</t>
  </si>
  <si>
    <t>Обл. НДС
Ножівка по дереву
Надходження товарів і послуг ІБ00-007556 від 10.12.2025 11:00:00
Астарта_Тищенки</t>
  </si>
  <si>
    <t>Обл. НДС
Ножиці по металу
Переміщення товарів ІБ00-000167 від 03.02.2026 14:20:24
Чорноморськ</t>
  </si>
  <si>
    <t>Обл. НДС
Ножиці по металу
Надходження товарів і послуг ІБ00-006992 від 19.11.2025 11:00:00
Астарта_Тищенки</t>
  </si>
  <si>
    <t>09.02.2026</t>
  </si>
  <si>
    <t>Авансовий звіт ІБ00-000036 від 09.02.2026 17:48:21
Оприходованы ТМЦ</t>
  </si>
  <si>
    <t>Обл. НДС
Щітка торцева з плет.провол.  75 мм, М14
Авансовий звіт ІБ00-000036 від 09.02.2026 17:48:21
Астарта_Тищенки</t>
  </si>
  <si>
    <t>Огоновський Дмитро Анатолійович</t>
  </si>
  <si>
    <t>3721</t>
  </si>
  <si>
    <t>18.02.2026</t>
  </si>
  <si>
    <t>Переміщення товарів ІБ00-000356 від 18.02.2026 11:26:13
Перемещение ТМЦ</t>
  </si>
  <si>
    <t>Обл. НДС
Прожектор світлодіодний 100W Магнум 5000К ІР65
Переміщення товарів ІБ00-000356 від 18.02.2026 11:26:13
Чорноморськ</t>
  </si>
  <si>
    <t>20.02.2026</t>
  </si>
  <si>
    <t>Переміщення товарів ІБ00-000379 від 20.02.2026 11:46:37
Перемещение ТМЦ</t>
  </si>
  <si>
    <t>Обл. НДС
Матрац 190*70
Переміщення товарів ІБ00-000379 від 20.02.2026 11:46:37
Цех будівництво</t>
  </si>
  <si>
    <t>Обл. НДС
Матрац 190*70
Надходження товарів і послуг ІБ00-005425 від 01.09.2025 11:00:00
Астарта_Тищенки</t>
  </si>
  <si>
    <t>Обл. НДС
Матрац 190*70
Надходження товарів і послуг ІБ00-006121 від 03.10.2025 11:00:00
Астарта_Тищенки</t>
  </si>
  <si>
    <t>Обл. НДС
Подушка ватна 60х60
Переміщення товарів ІБ00-000379 від 20.02.2026 11:46:37
Цех будівництво</t>
  </si>
  <si>
    <t>Обл. НДС
Подушка ватна 60х60
Надходження товарів і послуг ІБ00-004659 від 01.08.2025 11:00:00
Астарта_Тищенки</t>
  </si>
  <si>
    <t>Обл. НДС
Подушка ватна 60х60
Надходження товарів і послуг ІБ00-006121 від 03.10.2025 11:00:00
Астарта_Тищенки</t>
  </si>
  <si>
    <t>Обл. НДС
Ковдра
Переміщення товарів ІБ00-000379 від 20.02.2026 11:46:37
Цех будівництво</t>
  </si>
  <si>
    <t>Обл. НДС
Ковдра
Надходження товарів і послуг ІБ00-005425 від 01.09.2025 11:00:00
Астарта_Тищенки</t>
  </si>
  <si>
    <t>Обл. НДС
Ковдра 1,5 вовна
Переміщення товарів ІБ00-000379 від 20.02.2026 11:46:37
Цех будівництво</t>
  </si>
  <si>
    <t>Обл. НДС
Ковдра 1,5 вовна
Надходження товарів і послуг ІБ00-006580 від 30.10.2025 11:00:00
Астарта_Тищенки</t>
  </si>
  <si>
    <t>Обл. НДС
Ковдра н/в (50%)
Переміщення товарів ІБ00-000379 від 20.02.2026 11:46:37
Цех будівництво</t>
  </si>
  <si>
    <t>Обл. НДС
Ковдра н/в (50%)
Надходження товарів і послуг ІБ00-004659 від 01.08.2025 11:00:00
Астарта_Тищенки</t>
  </si>
  <si>
    <t>24.02.2026</t>
  </si>
  <si>
    <t>Передача малоцінних активів в експлуатацію ІБ00-000063 від 24.02.2026 17:30:03
Списание стоимости малоценных активов</t>
  </si>
  <si>
    <t>Обл. НДС
Виробничий (Астарта_Тищенки)
Астарта_Тищенки
&lt;...&gt;</t>
  </si>
  <si>
    <t>231</t>
  </si>
  <si>
    <t>Обл. НДС
Подушка ватна 60х60
Надходження товарів і послуг ІБ00-006580 від 30.10.2025 11:00:00
Астарта_Тищенки</t>
  </si>
  <si>
    <t>Обл. НДС
Кутник будівельний 600*400мм
Надходження товарів і послуг ІБ00-006236 від 20.10.2025 11:00:00
Астарта_Тищенки</t>
  </si>
  <si>
    <t>27.02.2026</t>
  </si>
  <si>
    <t>Передача малоцінних активів в експлуатацію ІББП-000092 від 27.02.2026 20:48:20
Списание стоимости малоценных активов</t>
  </si>
  <si>
    <t>Обл. НДС
Ковдра н/в (50%)
Надходження товарів і послуг ІБ00-006121 від 03.10.2025 11:00:00
Астарта_Тищенки</t>
  </si>
  <si>
    <t>Обл. НДС
Аптечка медична універсальна Першої допомоги
Надходження товарів і послуг ІБ00-006991 від 19.11.2025 11:00:00
Астарта_Тищенки</t>
  </si>
  <si>
    <t>Обл. НДС
Каністра металева 20 л
Надходження товарів і послуг ІБ00-004287 від 01.08.2025 11:00:00
Астарта_Тищенки</t>
  </si>
  <si>
    <t>Передача малоцінних активів в експлуатацію ІБ00-000093 від 27.02.2026 20:48:22
Списание стоимости малоценных активов</t>
  </si>
  <si>
    <t>Обл. НДС
Шнур поліамідний 10мм/разрив 2300кг
Надходження товарів і послуг ІБ00-006120 від 20.10.2025 11:00:00
Астарта_Тищенки</t>
  </si>
  <si>
    <t>Обл. НДС
Редуктор  БПО 5 ДМ ф9/6
Надходження товарів і послуг ІБ00-005550 від 24.09.2025 11:00:00
Астарта_Тищенки</t>
  </si>
  <si>
    <t>Обл. НДС
Редуктор балонний БКО-50ДМ
Надходження товарів і послуг ІБ00-005550 від 24.09.2025 11:00:00
Астарта_Тищенки</t>
  </si>
  <si>
    <t>Обл. НДС
Прожектор світлодіодний 100W Магнум 6500К ІР65
Надходження товарів і послуг ІБ00-004292 від 01.08.2025 11:00:00
Астарта_Тищенки</t>
  </si>
  <si>
    <t>Обороти за період та сальдо на кінець</t>
  </si>
  <si>
    <t>Переміщення товарів ІБ00-000340 від 01.02.2026 14:51:23
Перемещение ТМЦ</t>
  </si>
  <si>
    <t>Обл. НДС
(я-94)BOSCH витратні Круг відрізний 230*2,5*22 увігнутий
Переміщення товарів ІБ00-000340 від 01.02.2026 14:51:23
Цех екстракції (Глобине)</t>
  </si>
  <si>
    <t>Обл. НДС
(я-94)BOSCH витратні Круг відрізний 230*2,5*22 увігнутий
Переміщення товарів ІБ00-001165 від 09.10.2025 11:10:00
Котельна (Глобине)</t>
  </si>
  <si>
    <t>205</t>
  </si>
  <si>
    <t>Обл. НДС
Круг відрізний  125*1,6*22
Переміщення товарів ІБ00-000340 від 01.02.2026 14:51:23
Цех екстракції (Глобине)</t>
  </si>
  <si>
    <t>Обл. НДС
Круг відрізний  125*1,6*22
Переміщення товарів ІБ00-001165 від 09.10.2025 11:10:00
Котельна (Глобине)</t>
  </si>
  <si>
    <t>Переміщення товарів ІБ00-000341 від 01.02.2026 23:00:31
Перемещение ТМЦ</t>
  </si>
  <si>
    <t>Обл. НДС
Електрод  АНО-36 ф3  2,5кг (пач)
Переміщення товарів ІБ00-000341 від 01.02.2026 23:00:31
Цех екстракції (Глобине)</t>
  </si>
  <si>
    <t>Обл. НДС
Електрод  АНО-36 ф3  2,5кг (пач)
Переміщення товарів ІБ00-000042 від 14.01.2026 14:42:48
Глобине-2</t>
  </si>
  <si>
    <t>Переміщення товарів ІБ00-000166 від 03.02.2026 13:55:09
Перемещение ТМЦ</t>
  </si>
  <si>
    <t>Обл. НДС
Струбцина швидкозажимна 600мм
Переміщення товарів ІБ00-000166 від 03.02.2026 13:55:09
Глобине-2</t>
  </si>
  <si>
    <t>Обл. НДС
Струбцина швидкозажимна 600мм
Надходження товарів і послуг ІБ00-004710 від 04.08.2025 11:00:00
Ніжин-4</t>
  </si>
  <si>
    <t>Обл. НДС
Струбцина швидкозажимна 900мм
Переміщення товарів ІБ00-000166 від 03.02.2026 13:55:09
Глобине-2</t>
  </si>
  <si>
    <t>Обл. НДС
Струбцина швидкозажимна 900мм
Надходження товарів і послуг ІБ00-004710 від 04.08.2025 11:00:00
Ніжин-4</t>
  </si>
  <si>
    <t>Передача малоцінних активів в експлуатацію ІБ00-000051 від 03.02.2026 14:00:00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</si>
  <si>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</si>
  <si>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Обл. НДС
Брус 150*150*6000
Надходження товарів і послуг ІБ00-006270 від 01.10.2025 11:00:00
Глобине-2</t>
  </si>
  <si>
    <t>05.02.2026</t>
  </si>
  <si>
    <t>Надходження товарів і послуг ІБ00-000790 від 05.02.2026 11:00:00
Оприходованы ТМЦ</t>
  </si>
  <si>
    <t>Обл. НДС
Черевики BRAVO bbh-sb , МП р.44
Надходження товарів і послуг ІБ00-000790 від 05.02.2026 11:00:00
Глобине-2</t>
  </si>
  <si>
    <t>БРАВО-СП ТОВ
РАХУНКИ_Глобине-2
Рахунок на оплату постачальника ІБ00-000505 від 05.02.2026 19:00:37</t>
  </si>
  <si>
    <t>631</t>
  </si>
  <si>
    <t>06.02.2026</t>
  </si>
  <si>
    <t>Надходження товарів і послуг ІБ00-000456 від 06.02.2026 11:00:00
Оприходованы ТМЦ</t>
  </si>
  <si>
    <t>Обл. НДС
Ганчір'я х/б темне
Надходження товарів і послуг ІБ00-000456 від 06.02.2026 11:00:00
Глобине-2</t>
  </si>
  <si>
    <t>ФОРТЕЦЯ
Рахунки_Глобине-2
Рахунок на оплату постачальника ІБ00-000414 від 04.02.2026 19:00:24</t>
  </si>
  <si>
    <t>Обл. НДС
Вилка з\з 16А, каучук, пряма
Надходження товарів і послуг ІБ00-000456 від 06.02.2026 11:00:00
Глобине-2</t>
  </si>
  <si>
    <t>Обл. НДС
Розетка з/з каучук, 16А, ІР44
Надходження товарів і послуг ІБ00-000456 від 06.02.2026 11:00:00
Глобине-2</t>
  </si>
  <si>
    <t>Переміщення товарів ІБ00-000207 від 06.02.2026 11:10:00
Перемещение ТМЦ</t>
  </si>
  <si>
    <t>Обл. НДС
Ганчір'я х/б темне
Переміщення товарів ІБ00-000207 від 06.02.2026 11:10:00
АПК (Глобине)</t>
  </si>
  <si>
    <t>Обл. НДС
Вилка з\з 16А, каучук, пряма
Переміщення товарів ІБ00-000207 від 06.02.2026 11:10:00
АПК (Глобине)</t>
  </si>
  <si>
    <t>Обл. НДС
Розетка з/з каучук, 16А, ІР44
Переміщення товарів ІБ00-000207 від 06.02.2026 11:10:00
АПК (Глобине)</t>
  </si>
  <si>
    <t>Авансовий звіт ІБ00-000035 від 06.02.2026 15:50:21
Оприходованы ТМЦ</t>
  </si>
  <si>
    <t>Обл. НДС
Вилка пряма з зазем.
Авансовий звіт ІБ00-000035 від 06.02.2026 15:50:21
Глобине-2</t>
  </si>
  <si>
    <t>Старіков Сергій Вікторович</t>
  </si>
  <si>
    <t>Обл. НДС
Адаптер
Авансовий звіт ІБ00-000035 від 06.02.2026 15:50:21
Глобине-2</t>
  </si>
  <si>
    <t>Обл. НДС
Рукавички 564 Doloni червоні з зіркою
Авансовий звіт ІБ00-000035 від 06.02.2026 15:50:21
Глобине-2</t>
  </si>
  <si>
    <t>Обл. НДС
Рукавички 794 Doloni помаранчеві з10Р
Авансовий звіт ІБ00-000035 від 06.02.2026 15:50:21
Глобине-2</t>
  </si>
  <si>
    <t>Обл. НДС
Викрутка хрестова ізольована РН1 х 80мм
Авансовий звіт ІБ00-000035 від 06.02.2026 15:50:21
Глобине-2</t>
  </si>
  <si>
    <t>Обл. НДС
Ніж сегментний 18 мм
Авансовий звіт ІБ00-000035 від 06.02.2026 15:50:21
Глобине-2</t>
  </si>
  <si>
    <t>Обл. НДС
Леза 18 мм сегментні 10 шт
Авансовий звіт ІБ00-000035 від 06.02.2026 15:50:21
Глобине-2</t>
  </si>
  <si>
    <t>Обл. НДС
Інструменти ручні 25.73.10 
Авансовий звіт ІБ00-000035 від 06.02.2026 15:50:21
Глобине-2</t>
  </si>
  <si>
    <t>Передача малоцінних активів в експлуатацію ІБ00-000019 від 06.02.2026 16:00:00
Списание стоимости малоценных активов</t>
  </si>
  <si>
    <t>Обл. НДС
Вогнегасник ОП-5 (ВП-5)
Переміщення товарів ІБ00-000069 від 16.01.2026 11:00:00
Глобине-2</t>
  </si>
  <si>
    <t>Обл. НДС
Головка торцева ударна 3/4" 41 мм L=90мм
Надходження товарів і послуг ІБ00-008065 від 18.12.2025 11:00:00
Глобине-2</t>
  </si>
  <si>
    <t>Обл. НДС
Губка 23/12/7см
Надходження товарів і послуг ІБ00-008154 від 01.12.2025 11:00:00
Глобине-2</t>
  </si>
  <si>
    <t>Обл. НДС
Диск алмазний 125 х 22,23
Надходження товарів і послуг ІБ00-008154 від 01.12.2025 11:00:00
Глобине-2</t>
  </si>
  <si>
    <t>Обл. НДС
Електрод  УОНІ13/55 д. 4 (5 кг)
Надходження товарів і послуг ІБ00-007728 від 16.12.2025 11:00:00
Глобине-2</t>
  </si>
  <si>
    <t>Обл. НДС
Свердло для металу HSS 12,5х151 чорне
Надходження товарів і послуг ІБ00-000132 від 12.01.2026 11:00:00
Глобине-2</t>
  </si>
  <si>
    <t>Обл. НДС
Свердло по металу 14,0*108*160мм
Надходження товарів і послуг ІБ00-007727 від 16.12.2025 11:00:00
Глобине-2</t>
  </si>
  <si>
    <t>Обл. НДС
Свердло по металу 8,5х117 мм
Надходження товарів і послуг ІБ00-000132 від 12.01.2026 11:00:00
Глобине-2</t>
  </si>
  <si>
    <t>Обл. НДС
Строп СТП-2,0/1500
Надходження товарів і послуг ІБ00-007758 від 19.12.2025 11:00:00
Глобине-2</t>
  </si>
  <si>
    <t>Обл. НДС
Строп СТП-2,0/3000
Надходження товарів і послуг ІБ00-008067 від 01.12.2025 11:00:00
Глобине-2</t>
  </si>
  <si>
    <t>Обл. НДС
Строп СТП-3,0/3000
Надходження товарів і послуг ІБ00-008067 від 01.12.2025 11:00:00
Глобине-2</t>
  </si>
  <si>
    <t>Обл. НДС
Строп СТП-3,0/3000
Надходження товарів і послуг ІБ00-008012 від 26.12.2025 11:00:00
Глобине-2</t>
  </si>
  <si>
    <t>Обл. НДС
(я-94)BOSCH витратні Круг відрізний 230*2,5*22 увігнутий
Переміщення товарів ІБ00-000103 від 23.01.2026 16:48:39
Глобине-2</t>
  </si>
  <si>
    <t>Обл. НДС
Авт.вимикач 6кА, 3Р, 125А
Надходження товарів і послуг ІБ00-008064 від 29.12.2025 11:00:00
Глобине-2</t>
  </si>
  <si>
    <t>Обл. НДС
Вилка з\з 16А каучук
Надходження товарів і послуг ІБ00-000230 від 19.01.2026 11:00:00
Глобине-2</t>
  </si>
  <si>
    <t>Обл. НДС
Віник сорго
Надходження товарів і послуг ІБ00-000361 від 22.01.2026 11:00:00
Глобине-2</t>
  </si>
  <si>
    <t>Передача малоцінних активів в експлуатацію ІБ00-000020 від 06.02.2026 19:00:10
Списание стоимости малоценных активов</t>
  </si>
  <si>
    <t>Обл. НДС
Рулетка  5 м*19 мм 
Надходження товарів і послуг ІБ00-008154 від 01.12.2025 11:00:00
Глобине-2</t>
  </si>
  <si>
    <t>Обл. НДС
Рулетка 10 м 
Надходження товарів і послуг ІБ00-000361 від 22.01.2026 11:00:00
Глобине-2</t>
  </si>
  <si>
    <t>Обл. НДС
Рукавиці "Корона" (пар)
Надходження товарів і послуг ІБ00-000361 від 22.01.2026 11:00:00
Глобине-2</t>
  </si>
  <si>
    <t>Передача малоцінних активів в експлуатацію ІБ00-000023 від 06.02.2026 20:00:00
Списание стоимости малоценных активов</t>
  </si>
  <si>
    <t>Обл. НДС
Інструменти ручні 25.73.10 
Авансовий звіт ІБ00-000025 від 21.01.2026 16:13:16
Глобине-2</t>
  </si>
  <si>
    <t>Обл. НДС
Затискач маси прищіпка МК-250 А
Надходження товарів і послуг ІБ00-007758 від 19.12.2025 11:00:00
Глобине-2</t>
  </si>
  <si>
    <t>Обл. НДС
Ізоляційна стрічка 0,13*19 20 м чорна
Надходження товарів і послуг ІБ00-000361 від 22.01.2026 11:00:00
Глобине-2</t>
  </si>
  <si>
    <t>Обл. НДС
Виробничий (Старокостянтинів)
Старокостянтинів
Прямі виробничі витрати: амортизація ОЗ виробничого устаткування</t>
  </si>
  <si>
    <t>Обл. НДС
Кутник будівельний 300*200мм
Надходження товарів і послуг ІБ00-000361 від 22.01.2026 11:00:00
Глобине-2</t>
  </si>
  <si>
    <t>Обл. НДС
Леза 18 мм сегментні 10 шт
Надходження товарів і послуг ІБ00-008154 від 01.12.2025 11:00:00
Глобине-2</t>
  </si>
  <si>
    <t>Обл. НДС
Ніж 18мм 
Надходження товарів і послуг ІБ00-008154 від 01.12.2025 11:00:00
Глобине-2</t>
  </si>
  <si>
    <t>Обл. НДС
Ножиці по металу 250мм
Надходження товарів і послуг ІБ00-008152 від 01.12.2025 11:00:00
Глобине-2</t>
  </si>
  <si>
    <t>Обл. НДС
Ножівка по дереву
Переміщення товарів ІБ00-000069 від 16.01.2026 11:00:00
Глобине-2</t>
  </si>
  <si>
    <t>Обл. НДС
Пістолет для герметика
Авансовий звіт ІБ00-000024 від 21.01.2026 00:00:00
Глобине-2</t>
  </si>
  <si>
    <t>Обл. НДС
Патрон Е-27 карболітовий підвісний
Надходження товарів і послуг ІБ00-000361 від 22.01.2026 11:00:00
Глобине-2</t>
  </si>
  <si>
    <t>Обл. НДС
Пензель*60
Надходження товарів і послуг ІБ00-008162 від 19.12.2025 11:00:00
Глобине-2</t>
  </si>
  <si>
    <t>Обл. НДС
Стрічка самоклейка 48*50 м*40 мік*0,098 кг
Надходження товарів і послуг ІБ00-000361 від 22.01.2026 11:00:00
Глобине-2</t>
  </si>
  <si>
    <t>Обл. НДС
Стрічка сигнальна червоно-біла 70х200 м
Переміщення товарів ІБ00-001666 від 25.12.2025 13:37:15
Глобине-2</t>
  </si>
  <si>
    <t>Передача малоцінних активів в експлуатацію ІБ00-000026 від 06.02.2026 20:00:00
Списание стоимости малоценных активов</t>
  </si>
  <si>
    <t>Обл. НДС
Диск алмазний 230 х 22,2 
Надходження товарів і послуг ІБ00-008133 від 25.12.2025 11:11:11
АПК (Глобине)</t>
  </si>
  <si>
    <t>Обл. НДС
Паста травильна 1кг
Переміщення товарів ІБ00-001085 від 09.10.2025 13:00:00
АПК (Глобине)</t>
  </si>
  <si>
    <t>Обл. НДС
Провід ПВС 3*2,5 (м)
Надходження товарів і послуг ІБ00-004144 від 23.07.2025 11:00:00
АПК (Глобине)</t>
  </si>
  <si>
    <t>Обл. НДС
Провід ПВС 3*2,5 (м)
Переміщення товарів ІБ00-000994 від 24.09.2025 11:10:00
АПК (Глобине)</t>
  </si>
  <si>
    <t>Передача малоцінних активів в експлуатацію ІБ00-000030 від 06.02.2026 20:00:00
Списание стоимости малоценных активов</t>
  </si>
  <si>
    <t>Обл. НДС
Електроди "Моноліт РЦ" 4 мм уп. 5,0 кг
Переміщення товарів ІБ00-000042 від 14.01.2026 14:42:48
Глобине-2</t>
  </si>
  <si>
    <t>Передача малоцінних активів в експлуатацію ІБ00-000027 від 06.02.2026 20:00:07
Списание стоимости малоценных активов</t>
  </si>
  <si>
    <t>Обл. НДС
Замок навісний 50 мм
Авансовий звіт ІБ00-000025 від 21.01.2026 16:13:16
Глобине-2</t>
  </si>
  <si>
    <t>Обл. НДС
Засув-шпінгалет
Авансовий звіт ІБ00-000025 від 21.01.2026 16:13:16
Глобине-2</t>
  </si>
  <si>
    <t>Обл. НДС
Кожух захисний GA9020
Надходження товарів і послуг ІБ00-000365 від 23.01.2026 11:00:00
Глобине-2</t>
  </si>
  <si>
    <t>Передача малоцінних активів в експлуатацію ІБ00-000028 від 06.02.2026 20:00:10
Списание стоимости малоценных активов</t>
  </si>
  <si>
    <t>Обл. НДС
Дріт 1,2 мм покр міддю на касетах 15кг
Надходження товарів і послуг ІБ00-008109 від 29.12.2025 11:00:00
Глобине-2</t>
  </si>
  <si>
    <t>Передача малоцінних активів в експлуатацію ІБ00-000029 від 06.02.2026 20:00:16
Списание стоимости малоценных активов</t>
  </si>
  <si>
    <t>Обл. НДС
Колесо зубчате
Надходження товарів і послуг ІБ00-007673 від 12.12.2025 11:00:00
Глобине-2</t>
  </si>
  <si>
    <t>Обл. НДС
Колодка 3 гнізда з зазем.
Надходження товарів і послуг ІБ00-008010 від 26.12.2025 11:00:00
Глобине-2</t>
  </si>
  <si>
    <t>Обл. НДС
Рукавиці , пар
Надходження товарів і послуг ІБ00-008012 від 26.12.2025 11:00:00
Глобине-2</t>
  </si>
  <si>
    <t>Передача малоцінних активів в експлуатацію ІБ00-000031 від 06.02.2026 20:00:19
Списание стоимости малоценных активов</t>
  </si>
  <si>
    <t>Обл. НДС
Взуття чоловіче SEVEN SAFETY S1FUR"  р.43
Надходження товарів і послуг ІБ00-007652 від 16.12.2025 11:00:00
Глобине-2</t>
  </si>
  <si>
    <t>Обл. НДС
Взуття чоловіче SEVEN SAFETY S1FUR"  р.44
Надходження товарів і послуг ІБ00-007653 від 18.12.2025 11:00:00
Глобине-2</t>
  </si>
  <si>
    <t>Обл. НДС
Взуття чоловіче SEVEN SAFETY S1FUR"  р.45
Надходження товарів і послуг ІБ00-007653 від 18.12.2025 11:00:00
Глобине-2</t>
  </si>
  <si>
    <t>Передача малоцінних активів в експлуатацію ІБ00-000032 від 06.02.2026 20:00:21
Списание стоимости малоценных активов</t>
  </si>
  <si>
    <t>Обл. НДС
Респіратор 
Надходження товарів і послуг ІБ00-000228 від 16.01.2026 11:00:00
Глобине-2</t>
  </si>
  <si>
    <t>Обл. НДС
Рівень 1,0 м
Надходження товарів і послуг ІБ00-000132 від 12.01.2026 11:00:00
Глобине-2</t>
  </si>
  <si>
    <t>Обл. НДС
Рівень 100 см
Надходження товарів і послуг ІБ00-008154 від 01.12.2025 11:00:00
Глобине-2</t>
  </si>
  <si>
    <t>Обл. НДС
Жилет сигнальний 
Переміщення товарів ІБ00-001666 від 25.12.2025 13:37:15
Глобине-2</t>
  </si>
  <si>
    <t>Обл. НДС
Жилка буд.1 мм*100 м
Надходження товарів і послуг ІБ00-008152 від 01.12.2025 11:00:00
Глобине-2</t>
  </si>
  <si>
    <t>Передача малоцінних активів в експлуатацію ІБ00-000033 від 06.02.2026 20:00:24
Списание стоимости малоценных активов</t>
  </si>
  <si>
    <t>Обл. НДС
Круг відрізний по металу 125*1,2*22,23
Надходження товарів і послуг ІБ00-000361 від 22.01.2026 11:00:00
Глобине-2</t>
  </si>
  <si>
    <t>Обл. НДС
Круг пелюстков шліф опукл. 125*22 Р120
Надходження товарів і послуг ІБ00-000361 від 22.01.2026 11:00:00
Глобине-2</t>
  </si>
  <si>
    <t>Обл. НДС
Лампа LED А60 10W Е27
Надходження товарів і послуг ІБ00-000361 від 22.01.2026 11:00:00
Глобине-2</t>
  </si>
  <si>
    <t>Обл. НДС
Лопата штикова
Переміщення товарів ІБ00-000043 від 14.01.2026 15:14:14
Глобине-2</t>
  </si>
  <si>
    <t>Передача малоцінних активів в експлуатацію ІБ00-000034 від 06.02.2026 20:00:27
Списание стоимости малоценных активов</t>
  </si>
  <si>
    <t>Обл. НДС
Перехідник ударний 3/4"х1/2"  55мм
Надходження товарів і послуг ІБ00-008065 від 18.12.2025 11:00:00
Глобине-2</t>
  </si>
  <si>
    <t>Обл. НДС
Петля 110мм оцинкована жовта права (10 шт)
Авансовий звіт ІБ00-000025 від 21.01.2026 16:13:16
Глобине-2</t>
  </si>
  <si>
    <t>Обл. НДС
піка SDS max 600 мм
Переміщення товарів ІБ00-000043 від 14.01.2026 15:14:14
Глобине-2</t>
  </si>
  <si>
    <t>Обл. НДС
Клей-піна монтажна , 860 мл
Надходження товарів і послуг ІБ00-006785 від 05.11.2025 11:00:00
Глобине-2</t>
  </si>
  <si>
    <t>Передача малоцінних активів в експлуатацію ІБ00-000035 від 06.02.2026 20:00:30
Списание стоимости малоценных активов</t>
  </si>
  <si>
    <t>Обл. НДС
Окуляри захисні
Надходження товарів і послуг ІБ00-008154 від 01.12.2025 11:00:00
Глобине-2</t>
  </si>
  <si>
    <t>Надходження товарів і послуг ІБ00-000636 від 09.02.2026 11:00:00
Оприходованы ТМЦ</t>
  </si>
  <si>
    <t>Обл. НДС
Головка торцева 1/2"  13 мм
Надходження товарів і послуг ІБ00-000636 від 09.02.2026 11:00:00
Глобине-2</t>
  </si>
  <si>
    <t>ФОРТЕЦЯ
Рахунки_Глобине-2
Рахунок на оплату постачальника ІБ00-000514 від 04.02.2026 19:00:34</t>
  </si>
  <si>
    <t>Обл. НДС
Головка торцева 1/2"  17 мм
Надходження товарів і послуг ІБ00-000636 від 09.02.2026 11:00:00
Глобине-2</t>
  </si>
  <si>
    <t>Обл. НДС
Головка торцева 1/2"  19 мм
Надходження товарів і послуг ІБ00-000636 від 09.02.2026 11:00:00
Глобине-2</t>
  </si>
  <si>
    <t>Обл. НДС
Головка торцева 1/2"  24мм
Надходження товарів і послуг ІБ00-000636 від 09.02.2026 11:00:00
Глобине-2</t>
  </si>
  <si>
    <t>10.02.2026</t>
  </si>
  <si>
    <t>Передача малоцінних активів в експлуатацію ІБ00-000040 від 10.02.2026 14:32:24
Списание стоимости малоценных активов</t>
  </si>
  <si>
    <t>Обл. НДС
Бур по бетону18*400  SDS Plus 
Надходження товарів і послуг ІБ00-000362 від 22.01.2026 17:40:49
Глобине-2</t>
  </si>
  <si>
    <t>Передача малоцінних активів в експлуатацію ІБ00-000047 від 10.02.2026 16:01:35
Списание стоимости малоценных активов</t>
  </si>
  <si>
    <t>Обл. НДС
Паста д/зварювання проти налипання бризг 280г
Надходження товарів і послуг ІБ00-007686 від 01.12.2025 11:00:00
АПК (Глобине)</t>
  </si>
  <si>
    <t>Обл. НДС
Розчинник Уайт-спіріт 10 л 
Переміщення товарів ІБ00-001052 від 02.10.2025 11:10:00
АПК (Глобине)</t>
  </si>
  <si>
    <t>Передача малоцінних активів в експлуатацію ІБ00-000038 від 10.02.2026 18:20:15
Списание стоимости малоценных активов</t>
  </si>
  <si>
    <t>Обл. НДС
Каска захисна "Універсал" біла
Надходження товарів і послуг ІБ00-000228 від 16.01.2026 11:00:00
Глобине-2</t>
  </si>
  <si>
    <t>Обл. НДС
Каска захисна "Універсал" біла
Переміщення товарів ІБ00-000103 від 23.01.2026 16:48:39
Глобине-2</t>
  </si>
  <si>
    <t>Обл. НДС
Каска захисна "Універсал" помаранчева
Надходження товарів і послуг ІБ00-000228 від 16.01.2026 11:00:00
Глобине-2</t>
  </si>
  <si>
    <t>Передача малоцінних активів в експлуатацію ІБ00-000039 від 10.02.2026 18:20:17
Списание стоимости малоценных активов</t>
  </si>
  <si>
    <t>Обл. НДС
Рівень 100 см
Надходження товарів і послуг ІБ00-008011 від 26.12.2025 11:00:00
Глобине-2</t>
  </si>
  <si>
    <t>Обл. НДС
Рівень 150 см
Надходження товарів і послуг ІБ00-008154 від 01.12.2025 11:00:00
Глобине-2</t>
  </si>
  <si>
    <t>Обл. НДС
Різак "Донмет" 142 П пропан 9/6
Переміщення товарів ІБ00-000069 від 16.01.2026 11:00:00
Глобине-2</t>
  </si>
  <si>
    <t>Обл. НДС
Кабель ВВГнг П-3*2,5 бухта 100м
Надходження товарів і послуг ІБ00-007758 від 19.12.2025 11:00:00
Глобине-2</t>
  </si>
  <si>
    <t>Передача малоцінних активів в експлуатацію ІБ00-000041 від 10.02.2026 20:00:02
Списание стоимости малоценных активов</t>
  </si>
  <si>
    <t>Обл. НДС
Електрод до плазмотрона Р-80
Авансовий звіт ІБ00-000356 від 18.11.2025 15:31:57
Глобине-2</t>
  </si>
  <si>
    <t>Передача малоцінних активів в експлуатацію ІБ00-000042 від 10.02.2026 20:00:05
Списание стоимости малоценных активов</t>
  </si>
  <si>
    <t>Обл. НДС
Окуляри захисні
Надходження товарів і послуг ІБ00-000361 від 22.01.2026 11:00:00
Глобине-2</t>
  </si>
  <si>
    <t>Передача малоцінних активів в експлуатацію ІБ00-000043 від 10.02.2026 20:00:07
Списание стоимости малоценных активов</t>
  </si>
  <si>
    <t>Передача малоцінних активів в експлуатацію ІБ00-000044 від 10.02.2026 20:00:09
Списание стоимости малоценных активов</t>
  </si>
  <si>
    <t>Обл. НДС
Рукавички краги на підкладці
Надходження товарів і послуг ІБ00-000229 від 20.01.2026 11:00:00
Глобине-2</t>
  </si>
  <si>
    <t>Обл. НДС
Рулетка 10 м*25 мм
Надходження товарів і послуг ІБ00-008011 від 26.12.2025 11:00:00
Глобине-2</t>
  </si>
  <si>
    <t>Обл. НДС
Ручка К01-122 довж 1200 дерев/різьба
Надходження товарів і послуг ІБ00-000361 від 22.01.2026 11:00:00
Глобине-2</t>
  </si>
  <si>
    <t>Передача малоцінних активів в експлуатацію ІБ00-000045 від 10.02.2026 20:00:11
Списание стоимости малоценных активов</t>
  </si>
  <si>
    <t>Обл. НДС
Канат джгутовий кручений D 16 мм, 50 м
Надходження товарів і послуг ІБ00-008011 від 26.12.2025 11:00:00
Глобине-2</t>
  </si>
  <si>
    <t>Обл. НДС
Каска будівельна помаранчева (Україна)
Надходження товарів і послуг ІБ00-008163 від 01.12.2025 11:00:00
Глобине-2</t>
  </si>
  <si>
    <t>Обл. НДС
Піна монтажна  780 мл 
Надходження товарів і послуг ІБ00-007759 від 19.12.2025 11:00:00
Глобине-2</t>
  </si>
  <si>
    <t>Передача малоцінних активів в експлуатацію ІБ00-000046 від 10.02.2026 20:00:14
Списание стоимости малоценных активов</t>
  </si>
  <si>
    <t>11.02.2026</t>
  </si>
  <si>
    <t>Передача малоцінних активів в експлуатацію ІБ00-000049 від 11.02.2026 17:45:31
Списание стоимости малоценных активов</t>
  </si>
  <si>
    <t>Обл. НДС
Редуктор  БПО 5 ДМ ф9/6
Переміщення товарів ІБ00-000069 від 16.01.2026 11:00:00
Глобине-2</t>
  </si>
  <si>
    <t>13.02.2026</t>
  </si>
  <si>
    <t>Надходження товарів і послуг ІБ00-000677 від 13.02.2026 11:00:00
Оприходованы ТМЦ (Зачет аванса поставщику)</t>
  </si>
  <si>
    <t>Обл. НДС
Пояс лямковий комбінований ПЛК3-М
Надходження товарів і послуг ІБ00-000677 від 13.02.2026 11:00:00
Глобине-2</t>
  </si>
  <si>
    <t>ЛОАД-ТЕХ ТОВ
Договір № 26/03/25 від 26.03.2025 р.Глобине2
Рахунок на оплату постачальника ІБ00-000513 від 01.02.2026 23:00:11</t>
  </si>
  <si>
    <t>Обл. НДС
Строп ланцюговий 1СЛ 1
Надходження товарів і послуг ІБ00-000677 від 13.02.2026 11:00:00
Глобине-2</t>
  </si>
  <si>
    <t>Обл. НДС
Талреп вилка-вилка 5/8"х6" М16  1,6тн
Надходження товарів і послуг ІБ00-000677 від 13.02.2026 11:00:00
Глобине-2</t>
  </si>
  <si>
    <t>Надходження товарів і послуг ІБ00-000715 від 13.02.2026 11:00:00
Оприходованы ТМЦ (Зачет аванса поставщику)</t>
  </si>
  <si>
    <t>Обл. НДС
Коронка алмазна DDR-B 0.28*450-1*1/2GAS DBD 028 RM
Надходження товарів і послуг ІБ00-000715 від 13.02.2026 11:00:00
Глобине-2</t>
  </si>
  <si>
    <t>УКРСЕРВІС КОМПАНІЯ ТОВ
№15/07/25 від 15.07.2025_Глобино-2
Рахунок на оплату постачальника ІБ00-000182 від 12.01.2026 17:58:32</t>
  </si>
  <si>
    <t>Обл. НДС
Викрутка  РН 4*300мм
Надходження товарів і послуг ІБ00-000715 від 13.02.2026 11:00:00
Глобине-2</t>
  </si>
  <si>
    <t>16.02.2026</t>
  </si>
  <si>
    <t>Надходження товарів і послуг ІБ00-000716 від 16.02.2026 11:00:00
Оприходованы ТМЦ</t>
  </si>
  <si>
    <t>Обл. НДС
Провід ПВС 2*2,5 бухта 100м
Надходження товарів і послуг ІБ00-000716 від 16.02.2026 11:00:00
Глобине-2</t>
  </si>
  <si>
    <t>УКРСЕРВІС КОМПАНІЯ ТОВ
№15/07/25 від 15.07.2025_Глобино-2
Рахунок на оплату постачальника ІБ00-000609 від 13.02.2026 18:08:05</t>
  </si>
  <si>
    <t>Обл. НДС
Провід ПВС 4*4,0 Expert Power
Надходження товарів і послуг ІБ00-000716 від 16.02.2026 11:00:00
Глобине-2</t>
  </si>
  <si>
    <t>Обл. НДС
Строп СТП-3,0/4000
Надходження товарів і послуг ІБ00-000716 від 16.02.2026 11:00:00
Глобине-2</t>
  </si>
  <si>
    <t>Обл. НДС
Строп СТП-2,0/1500
Надходження товарів і послуг ІБ00-000716 від 16.02.2026 11:00:00
Глобине-2</t>
  </si>
  <si>
    <t>Надходження товарів і послуг ІБ00-000717 від 16.02.2026 11:00:00
Оприходованы ТМЦ</t>
  </si>
  <si>
    <t>Обл. НДС
Електроди "Моноліт РЦ" 3 мм 1кг
Надходження товарів і послуг ІБ00-000717 від 16.02.2026 11:00:00
Глобине-2</t>
  </si>
  <si>
    <t>УКРСЕРВІС КОМПАНІЯ ТОВ
№15/07/25 від 15.07.2025_Глобино-2
Рахунок на оплату постачальника ІБ00-000610 від 13.02.2026 18:08:06</t>
  </si>
  <si>
    <t>Обл. НДС
Електроди "Моноліт РЦ" 4 мм 1кг ОЗЛ-6
Надходження товарів і послуг ІБ00-000717 від 16.02.2026 11:00:00
Глобине-2</t>
  </si>
  <si>
    <t>Надходження товарів і послуг ІБ00-000719 від 16.02.2026 11:00:00
Оприходованы ТМЦ</t>
  </si>
  <si>
    <t>Обл. НДС
Електроди "Моноліт РЦ" 4 мм уп. 5,0 кг
Надходження товарів і послуг ІБ00-000719 від 16.02.2026 11:00:00
Глобине-2</t>
  </si>
  <si>
    <t>УКРСЕРВІС КОМПАНІЯ ТОВ
№15/07/25 від 15.07.2025_Глобино-2
Рахунок на оплату постачальника ІБ00-000612 від 16.02.2026 18:41:00</t>
  </si>
  <si>
    <t>17.02.2026</t>
  </si>
  <si>
    <t>Надходження товарів і послуг ІБ00-000718 від 17.02.2026 11:00:00
Оприходованы ТМЦ</t>
  </si>
  <si>
    <t>Обл. НДС
Плівка п/е 100 мк, 100 м 300м кв/рулон
Надходження товарів і послуг ІБ00-000718 від 17.02.2026 11:00:00
Глобине-2</t>
  </si>
  <si>
    <t>УКРСЕРВІС КОМПАНІЯ ТОВ
№15/07/25 від 15.07.2025_Глобино-2
Рахунок на оплату постачальника ІБ00-000611 від 16.02.2026 18:40:59</t>
  </si>
  <si>
    <t>Надходження товарів і послуг ІБ00-000681 від 18.02.2026 11:00:00
Оприходованы ТМЦ</t>
  </si>
  <si>
    <t>Обл. НДС
Фреза алмазна DGS-S 125/22.23.-14 Baumesser Beton
Надходження товарів і послуг ІБ00-000681 від 18.02.2026 11:00:00
Глобине-2</t>
  </si>
  <si>
    <t>ФОРТЕЦЯ
Рахунки_Глобине-2
Рахунок на оплату постачальника ІБ00-000596 від 18.02.2026 18:04:38</t>
  </si>
  <si>
    <t>Обл. НДС
Круг відрізний по металу 125*1,2*22,2
Надходження товарів і послуг ІБ00-000681 від 18.02.2026 11:00:00
Глобине-2</t>
  </si>
  <si>
    <t>Обл. НДС
Круг відрізний по металу 230*2,0*22,2
Надходження товарів і послуг ІБ00-000681 від 18.02.2026 11:00:00
Глобине-2</t>
  </si>
  <si>
    <t>Обл. НДС
Диск пелюстковий плоск. 125х22,2 Р120 Т27
Надходження товарів і послуг ІБ00-000681 від 18.02.2026 11:00:00
Глобине-2</t>
  </si>
  <si>
    <t>Обл. НДС
Круг зачисний по металу 230*6,3*22,22
Надходження товарів і послуг ІБ00-000681 від 18.02.2026 11:00:00
Глобине-2</t>
  </si>
  <si>
    <t>Переміщення товарів ІБ00-000460 від 18.02.2026 11:10:00
Перемещение ТМЦ</t>
  </si>
  <si>
    <t>Обл. НДС
Електроди "Моноліт РЦ" 4 мм уп. 5,0 кг
Переміщення товарів ІБ00-000460 від 18.02.2026 11:10:00
Цех екстракції (Глобине)</t>
  </si>
  <si>
    <t>Обл. НДС
Круг відрізний по металу 230*2,0*22,2
Переміщення товарів ІБ00-000460 від 18.02.2026 11:10:00
Цех екстракції (Глобине)</t>
  </si>
  <si>
    <t>Передача малоцінних активів в експлуатацію ІБ00-000057 від 18.02.2026 13:00:00
Списание стоимости малоценных активов</t>
  </si>
  <si>
    <t>Обл. НДС
Головка ударна 1/2"  24мм
Надходження товарів і послуг ІБ00-008162 від 19.12.2025 11:00:00
Глобине-2</t>
  </si>
  <si>
    <t>Обл. НДС
Колодка потрійна 6003, з заглушками 3*16 (каучук)
Надходження товарів і послуг ІБ00-000230 від 19.01.2026 11:00:00
Глобине-2</t>
  </si>
  <si>
    <t>Передача малоцінних активів в експлуатацію ІБ00-000058 від 18.02.2026 20:00:05
Списание стоимости малоценных активов</t>
  </si>
  <si>
    <t>19.02.2026</t>
  </si>
  <si>
    <t>Надходження товарів і послуг ІБ00-000728 від 19.02.2026 11:00:00
Оприходованы ТМЦ</t>
  </si>
  <si>
    <t>Обл. НДС
Сітка абразивна 105*280мм зерно 120 10шт
Надходження товарів і послуг ІБ00-000728 від 19.02.2026 11:00:00
АПК (Глобине)</t>
  </si>
  <si>
    <t>Лозовий Микола Миколайович ФОП
РАХУНКИ_Глобино-2
Рахунок на оплату постачальника ІБ00-000593 від 19.02.2026 17:55:20</t>
  </si>
  <si>
    <t>Обл. НДС
Папір шліфувальни 225 мм з.120
Надходження товарів і послуг ІБ00-000728 від 19.02.2026 11:00:00
АПК (Глобине)</t>
  </si>
  <si>
    <t>Надходження товарів і послуг ІБ00-000762 від 19.02.2026 11:00:00
Оприходованы ТМЦ</t>
  </si>
  <si>
    <t>Обл. НДС
Таль ланцюгова важільна 0,75т/1,5м
Надходження товарів і послуг ІБ00-000762 від 19.02.2026 11:00:00
Глобине-2</t>
  </si>
  <si>
    <t>УКРСЕРВІС КОМПАНІЯ ТОВ
№15/07/25 від 15.07.2025_Глобино-2
Рахунок на оплату постачальника ІБ00-000657 від 19.02.2026 17:55:43</t>
  </si>
  <si>
    <t>Надходження товарів і послуг ІББП-001112 від 20.02.2026 11:00:00
Оприходованы ТМЦ</t>
  </si>
  <si>
    <t>Обл. НДС
Ремкомплект до тріскачки 3/4" CHNC2420 TOPTUL CLB2424
Надходження товарів і послуг ІББП-001112 від 20.02.2026 11:00:00
Глобине-2</t>
  </si>
  <si>
    <t>СКАЙ-ЕНЕРДЖИ
Рахунки_Глобине-2
Рахунок на оплату постачальника ІБ00-000686 від 13.02.2026 18:08:23</t>
  </si>
  <si>
    <t>Авансовий звіт ІБ00-000060 від 20.02.2026 15:09:40
Оприходованы ТМЦ</t>
  </si>
  <si>
    <t>Обл. НДС
залізні вироби
Авансовий звіт ІБ00-000060 від 20.02.2026 15:09:40
Глобине-2</t>
  </si>
  <si>
    <t>Обл. НДС
замки та завіси 25.72
Авансовий звіт ІБ00-000060 від 20.02.2026 15:09:40
Глобине-2</t>
  </si>
  <si>
    <t>Обл. НДС
Кабель для принтера Патч-корд 5м
Авансовий звіт ІБ00-000060 від 20.02.2026 15:09:40
Глобине-2</t>
  </si>
  <si>
    <t>Обл. НДС
Наконечник DL-70 алюмін.кабельн.
Авансовий звіт ІБ00-000060 від 20.02.2026 15:09:40
Глобине-2</t>
  </si>
  <si>
    <t>Передача малоцінних активів в експлуатацію ІБ00-000062 від 20.02.2026 16:00:00
Списание стоимости малоценных активов</t>
  </si>
  <si>
    <t>Обл. НДС
Кабельні стягування 4*300 мм
Надходження товарів і послуг ІБ00-000361 від 22.01.2026 11:00:00
Глобине-2</t>
  </si>
  <si>
    <t>Передача малоцінних активів в експлуатацію ІБ00-000059 від 20.02.2026 17:29:27
Списание стоимости малоценных активов</t>
  </si>
  <si>
    <t>Обл. НДС
Жилет сигнальний 
Надходження товарів і послуг ІБ00-000228 від 16.01.2026 11:00:00
Глобине-2</t>
  </si>
  <si>
    <t>Передача малоцінних активів в експлуатацію ІБ00-000060 від 20.02.2026 17:29:29
Списание стоимости малоценных активов</t>
  </si>
  <si>
    <t>Передача малоцінних активів в експлуатацію ІБ00-000061 від 20.02.2026 17:29:31
Списание стоимости малоценных активов</t>
  </si>
  <si>
    <t>Обл. НДС
інструмент д/систем плитки
Надходження товарів і послуг ІБ00-008154 від 01.12.2025 11:00:00
Глобине-2</t>
  </si>
  <si>
    <t>Обл. НДС
Ключ гайковий комбінований 19 мм
Надходження товарів і послуг ІБ00-000132 від 12.01.2026 11:00:00
Глобине-2</t>
  </si>
  <si>
    <t>Обл. НДС
Міксер для будівельних сумішей
Надходження товарів і послуг ІБ00-008154 від 01.12.2025 11:00:00
Глобине-2</t>
  </si>
  <si>
    <t>Обл. НДС
Пензель*60
Надходження товарів і послуг ІБ00-000133 від 08.01.2026 11:00:00
Глобине-2</t>
  </si>
  <si>
    <t>Обл. НДС
Рукавички скло/камінь черв з рифл гум надол  р.10
Переміщення товарів ІБ00-000069 від 16.01.2026 11:00:00
Глобине-2</t>
  </si>
  <si>
    <t>23.02.2026</t>
  </si>
  <si>
    <t>Переміщення товарів ІБ00-000483 від 23.02.2026 00:00:00
Перемещение ТМЦ</t>
  </si>
  <si>
    <t>Обл. НДС
Електроди "Моноліт РЦ" 4 мм уп. 5,0 кг
Переміщення товарів ІБ00-000483 від 23.02.2026 00:00:00
Цех екстракції (Глобине)</t>
  </si>
  <si>
    <t>Обл. НДС
Круг відрізний по металу 230*2,0*22,2
Переміщення товарів ІБ00-000483 від 23.02.2026 00:00:00
Цех екстракції (Глобине)</t>
  </si>
  <si>
    <t>Передача малоцінних активів в експлуатацію ІБ00-000069 від 23.02.2026 23:00:00
Списание стоимости малоценных активов</t>
  </si>
  <si>
    <t>Обл. НДС
Шнур відбивочний 
Надходження товарів і послуг ІБ00-008152 від 01.12.2025 11:00:00
Глобине-2</t>
  </si>
  <si>
    <t>Обл. НДС
Шнур поліамідний 14мм/разрив 4000кг
Надходження товарів і послуг ІБ00-006713 від 11.11.2025 11:00:00
Глобине-2</t>
  </si>
  <si>
    <t>Передача малоцінних активів в експлуатацію ІБ00-000068 від 23.02.2026 23:05:12
Списание стоимости малоценных активов</t>
  </si>
  <si>
    <t>Передача малоцінних активів в експлуатацію ІБ00-000070 від 23.02.2026 23:05:15
Списание стоимости малоценных активов</t>
  </si>
  <si>
    <t>Обл. НДС
Сопло ТІР 3 №517 1225571
Надходження товарів і послуг ІБ00-008068 від 01.12.2025 11:00:00
Глобине-2</t>
  </si>
  <si>
    <t>Передача малоцінних активів в експлуатацію ІБ00-000071 від 23.02.2026 23:05:19
Списание стоимости малоценных активов</t>
  </si>
  <si>
    <t>Обл. НДС
Свердло 10,0мм HSS
Надходження товарів і послуг ІБ00-000366 від 13.01.2026 11:00:00
Котельна (Глобине)</t>
  </si>
  <si>
    <t>Обл. НДС
Свердло 12,0мм HSS
Надходження товарів і послуг ІБ00-000366 від 13.01.2026 11:00:00
Котельна (Глобине)</t>
  </si>
  <si>
    <t>Обл. НДС
Сверло 10 мм перо
Надходження товарів і послуг ІБ00-000366 від 13.01.2026 11:00:00
Котельна (Глобине)</t>
  </si>
  <si>
    <t>Передача малоцінних активів в експлуатацію ІБ00-000072 від 23.02.2026 23:05:20
Списание стоимости малоценных активов</t>
  </si>
  <si>
    <t>Обл. НДС
Фреза алмазна DGS-S 100/22.23.-14 Baumesser Beton
Надходження товарів і послуг ІБ00-008162 від 19.12.2025 11:00:00
Глобине-2</t>
  </si>
  <si>
    <t>Передача малоцінних активів в експлуатацію ІБ00-000074 від 23.02.2026 23:05:24
Списание стоимости малоценных активов</t>
  </si>
  <si>
    <t>Обл. НДС
Піна монтажна  860 мл 
Надходження товарів і послуг ІБ00-006788 від 05.11.2025 11:00:00
Глобине-2</t>
  </si>
  <si>
    <t>Передача малоцінних активів в експлуатацію ІБ00-000075 від 23.02.2026 23:05:25
Списание стоимости малоценных активов</t>
  </si>
  <si>
    <t>Обл. НДС
Пістолет для герметика
Переміщення товарів ІБ00-001140 від 20.10.2025 11:10:00
Цех екстракції (Глобине)</t>
  </si>
  <si>
    <t>Обл. НДС
Пістолет для піни монтажної
Переміщення товарів ІБ00-001140 від 20.10.2025 11:10:00
Цех екстракції (Глобине)</t>
  </si>
  <si>
    <t>26.02.2026</t>
  </si>
  <si>
    <t>Надходження товарів і послуг ІБ00-000869 від 26.02.2026 11:00:00
Оприходованы ТМЦ</t>
  </si>
  <si>
    <t>Обл. НДС
Марка геодезична 40*40мм (100шт)
Надходження товарів і послуг ІБ00-000869 від 26.02.2026 11:00:00
Глобине-2</t>
  </si>
  <si>
    <t>ОДІЯНЕНКО РОМАН ВІКТОРОВИЧ ФОП
Рахунки_Глобине-2
Надходження товарів і послуг ІБ00-000869 від 26.02.2026 11:00:00</t>
  </si>
  <si>
    <t>Переміщення товарів ІБ00-000444 від 26.02.2026 11:09:30
Перемещение ТМЦ</t>
  </si>
  <si>
    <t>Обл. НДС
(я-94)BOSCH витратні Круг відрізний 230*2,5*22 увігнутий
Переміщення товарів ІБ00-000444 від 26.02.2026 11:09:30
Глобине-2</t>
  </si>
  <si>
    <t>Обл. НДС
(я-94)BOSCH витратні Круг відрізний 230*2,5*22 увігнутий
Надходження товарів і послуг ІБ00-007484 від 01.12.2025 11:00:00
КМД-2</t>
  </si>
  <si>
    <t>Обл. НДС
Бур +10*200/260 плюс-1 бетон цегла
Переміщення товарів ІБ00-000444 від 26.02.2026 11:09:30
Глобине-2</t>
  </si>
  <si>
    <t>Обл. НДС
Бур +10*200/260 плюс-1 бетон цегла
Надходження товарів і послуг ІБ00-006672 від 01.11.2025 11:00:00
КМД-2</t>
  </si>
  <si>
    <t>Обл. НДС
Бур +12*200/260 5Х
Переміщення товарів ІБ00-000444 від 26.02.2026 11:09:30
Глобине-2</t>
  </si>
  <si>
    <t>Обл. НДС
Бур +12*200/260 5Х
Надходження товарів і послуг ІБ00-006672 від 01.11.2025 11:00:00
КМД-2</t>
  </si>
  <si>
    <t>Обл. НДС
Бур + 8*100/160 plus1 бетон,цегла
Переміщення товарів ІБ00-000444 від 26.02.2026 11:09:30
Глобине-2</t>
  </si>
  <si>
    <t>Обл. НДС
Бур + 8*100/160 plus1 бетон,цегла
Надходження товарів і послуг ІБ00-007451 від 02.12.2025 11:00:00
КМД-2</t>
  </si>
  <si>
    <t>Переміщення товарів ІББП-000534 від 27.02.2026 08:00:00
Перемещение ТМЦ</t>
  </si>
  <si>
    <t>Обл. НДС
Електроди "Моноліт РЦ" 4 мм уп. 5,0 кг
Переміщення товарів ІББП-000534 від 27.02.2026 08:00:00
Цех екстракції (Глобине)</t>
  </si>
  <si>
    <t>Обл. НДС
(я-94)BOSCH витратні Круг відрізний 230*2,5*22 увігнутий
Переміщення товарів ІББП-000534 від 27.02.2026 08:00:00
Цех екстракції (Глобине)</t>
  </si>
  <si>
    <t>Передача малоцінних активів в експлуатацію ІББП-000082 від 27.02.2026 10:05:35
Списание стоимости малоценных активов</t>
  </si>
  <si>
    <t>Обл. НДС
Черевики "Профі" ПУ р.43
Надходження товарів і послуг ІБ00-006785 від 05.11.2025 11:00:00
Глобине-2</t>
  </si>
  <si>
    <t>Надходження товарів і послуг ІБ00-000908 від 27.02.2026 11:00:00
Оприходованы ТМЦ</t>
  </si>
  <si>
    <t>Обл. НДС
Перехідник з 1" на 3/4" ударний
Надходження товарів і послуг ІБ00-000908 від 27.02.2026 11:00:00
Глобине-2</t>
  </si>
  <si>
    <t>УКРСЕРВІС КОМПАНІЯ ТОВ
№15/07/25 від 15.07.2025_Глобино-2
Рахунок на оплату постачальника ІБ00-000772 від 27.02.2026 20:47:36</t>
  </si>
  <si>
    <t>Обл. НДС
Перехідник з 3/4" на 1/2"
Надходження товарів і послуг ІБ00-000908 від 27.02.2026 11:00:00
Глобине-2</t>
  </si>
  <si>
    <t>Передача малоцінних активів в експлуатацію ІБ00-000073 від 27.02.2026 12:00:00
Списание стоимости малоценных активов</t>
  </si>
  <si>
    <t>Обл. НДС
Піна монтажна  750 мл 
Надходження товарів і послуг ІБ00-005108 від 01.09.2025 11:00:00
Глобине-2</t>
  </si>
  <si>
    <t>Обл. НДС
Піна монтажна  750 мл 
Переміщення товарів ІБ00-000069 від 16.01.2026 11:00:00
Глобине-2</t>
  </si>
  <si>
    <t>Обл. НДС
Шина нульова 6*9
Надходження товарів і послуг ІБ00-008064 від 29.12.2025 11:00:00
Глобине-2</t>
  </si>
  <si>
    <t>Обл. НДС
Шайба упорна під відр диск 9558 9565CVR GA9020 GA9030 GA5030
Надходження товарів і послуг ІБ00-007760 від 18.12.2025 11:00:00
Глобине-2</t>
  </si>
  <si>
    <t>Обл. НДС
Шланг  спіральний ф5*8мм L=20 м 
Переміщення товарів ІБ00-000069 від 16.01.2026 11:00:00
Глобине-2</t>
  </si>
  <si>
    <t>Передача малоцінних активів в експлуатацію ІББП-000080 від 27.02.2026 20:47:59
Списание стоимости малоценных активов</t>
  </si>
  <si>
    <t>Обл. НДС
Маска зварювальника
Надходження товарів і послуг ІБ00-008162 від 19.12.2025 11:00:00
Глобине-2</t>
  </si>
  <si>
    <t>Передача малоцінних активів в експлуатацію ІББП-000081 від 27.02.2026 20:48:02
Списание стоимости малоценных активов</t>
  </si>
  <si>
    <t>Обл. НДС
Стрічка звукоізоляційна самокл.3мм*100мм*30м
Надходження товарів і послуг ІБ00-008066 від 01.12.2025 11:00:00
Глобине-2</t>
  </si>
  <si>
    <t>Обл. НДС
Шнур поліпропіленовий плетений 16мм 
Надходження товарів і послуг ІБ00-006788 від 05.11.2025 11:00:00
Глобине-2</t>
  </si>
  <si>
    <t>Передача малоцінних активів в експлуатацію ІББП-000083 від 27.02.2026 20:48:06
Списание стоимости малоценных активов</t>
  </si>
  <si>
    <t>Обл. НДС
Терка поліуретанова 480*240мм
Переміщення товарів ІБ00-000069 від 16.01.2026 11:00:00
Глобине-2</t>
  </si>
  <si>
    <t>Обл. НДС
Фреза алмазна DGS-S 125/22.23.-14 Baumesser Beton
Надходження товарів і послуг ІБ00-000361 від 22.01.2026 11:00:00
Глобине-2</t>
  </si>
  <si>
    <t>Передача малоцінних активів в експлуатацію ІББП-000084 від 27.02.2026 20:48:08
Списание стоимости малоценных активов</t>
  </si>
  <si>
    <t>Обл. НДС
Бур 24*400*540мм
Надходження товарів і послуг ІБ00-000362 від 22.01.2026 17:40:49
Глобине-2</t>
  </si>
  <si>
    <t>Обл. НДС
Полотно сіткове ПА 3,1 50*50мм
Надходження товарів і послуг ІБ00-004069 від 25.07.2025 11:00:00
Глобине-2</t>
  </si>
  <si>
    <t>Обл. НДС
Тримач електродів DE-2500  500А
Надходження товарів і послуг ІБ00-008162 від 19.12.2025 11:00:00
Глобине-2</t>
  </si>
  <si>
    <t>Обл. НДС
Провід ПВС 3*2,5 (м)
Надходження товарів і послуг ІБ00-000362 від 22.01.2026 17:40:49
Глобине-2</t>
  </si>
  <si>
    <t>Передача малоцінних активів в експлуатацію ІББП-000086 від 27.02.2026 20:48:11
Списание стоимости малоценных активов</t>
  </si>
  <si>
    <t>Передача малоцінних активів в експлуатацію ІББП-000090 від 27.02.2026 20:48:15
Списание стоимости малоценных активов</t>
  </si>
  <si>
    <t>Передача малоцінних активів в експлуатацію ІББП-000091 від 27.02.2026 20:48:17
Списание стоимости малоценных активов</t>
  </si>
  <si>
    <t>Обл. НДС
Спрей-змазка 200мл ВД-40
Надходження товарів і послуг ІБ00-000361 від 22.01.2026 11:00:00
Глобине-2</t>
  </si>
  <si>
    <t>Обл. НДС
Світильник акамуляторний 90смд 4000mAh
Надходження товарів і послуг ІБ00-008153 від 15.12.2025 11:00:00
Глобине-2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</si>
</sst>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4" fontId="3" fillId="0" borderId="11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0" fontId="3" fillId="0" borderId="11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2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2" fillId="2" borderId="1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vertical="top"/>
    </xf>
    <xf numFmtId="0" fontId="2" fillId="2" borderId="3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horizontal="center" vertical="top"/>
    </xf>
    <xf numFmtId="0" fontId="2" fillId="2" borderId="4" xfId="2" applyNumberFormat="1" applyFont="1" applyFill="1" applyBorder="1" applyAlignment="1">
      <alignment horizontal="center" vertical="top"/>
    </xf>
    <xf numFmtId="0" fontId="2" fillId="2" borderId="5" xfId="2" applyNumberFormat="1" applyFont="1" applyFill="1" applyBorder="1" applyAlignment="1">
      <alignment vertical="top"/>
    </xf>
    <xf numFmtId="0" fontId="2" fillId="2" borderId="6" xfId="2" applyNumberFormat="1" applyFont="1" applyFill="1" applyBorder="1" applyAlignment="1">
      <alignment vertical="top"/>
    </xf>
    <xf numFmtId="0" fontId="2" fillId="2" borderId="7" xfId="2" applyNumberFormat="1" applyFont="1" applyFill="1" applyBorder="1" applyAlignment="1">
      <alignment vertical="top"/>
    </xf>
    <xf numFmtId="0" fontId="2" fillId="2" borderId="4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9" xfId="2" applyNumberFormat="1" applyFont="1" applyFill="1" applyBorder="1" applyAlignment="1">
      <alignment vertical="top"/>
    </xf>
    <xf numFmtId="0" fontId="2" fillId="2" borderId="10" xfId="2" applyNumberFormat="1" applyFont="1" applyFill="1" applyBorder="1" applyAlignment="1">
      <alignment vertical="top"/>
    </xf>
    <xf numFmtId="0" fontId="3" fillId="0" borderId="11" xfId="2" applyNumberFormat="1" applyFont="1" applyBorder="1" applyAlignment="1">
      <alignment vertical="top"/>
    </xf>
    <xf numFmtId="0" fontId="3" fillId="0" borderId="11" xfId="2" applyNumberFormat="1" applyFont="1" applyBorder="1" applyAlignment="1">
      <alignment vertical="top" wrapText="1"/>
    </xf>
    <xf numFmtId="0" fontId="3" fillId="0" borderId="11" xfId="2" applyNumberFormat="1" applyFont="1" applyBorder="1" applyAlignment="1">
      <alignment horizontal="left" vertical="top"/>
    </xf>
    <xf numFmtId="0" fontId="3" fillId="0" borderId="11" xfId="2" applyNumberFormat="1" applyFont="1" applyBorder="1" applyAlignment="1">
      <alignment horizontal="right" vertical="top" wrapText="1"/>
    </xf>
    <xf numFmtId="4" fontId="3" fillId="0" borderId="13" xfId="2" applyNumberFormat="1" applyFont="1" applyBorder="1" applyAlignment="1">
      <alignment horizontal="right" vertical="top" wrapText="1"/>
    </xf>
    <xf numFmtId="0" fontId="3" fillId="0" borderId="12" xfId="2" applyNumberFormat="1" applyFont="1" applyBorder="1" applyAlignment="1">
      <alignment horizontal="center" vertical="top"/>
    </xf>
    <xf numFmtId="4" fontId="3" fillId="0" borderId="13" xfId="2" applyNumberFormat="1" applyFont="1" applyBorder="1" applyAlignment="1">
      <alignment horizontal="right" vertical="top" wrapText="1"/>
    </xf>
    <xf numFmtId="2" fontId="3" fillId="0" borderId="13" xfId="2" applyNumberFormat="1" applyFont="1" applyBorder="1" applyAlignment="1">
      <alignment horizontal="right" vertical="top" wrapText="1"/>
    </xf>
    <xf numFmtId="4" fontId="3" fillId="0" borderId="11" xfId="2" applyNumberFormat="1" applyFont="1" applyBorder="1" applyAlignment="1">
      <alignment horizontal="right" vertical="top" wrapText="1"/>
    </xf>
    <xf numFmtId="0" fontId="3" fillId="0" borderId="13" xfId="2" applyNumberFormat="1" applyFont="1" applyBorder="1" applyAlignment="1">
      <alignment horizontal="right" vertical="top" wrapText="1"/>
    </xf>
    <xf numFmtId="2" fontId="3" fillId="0" borderId="11" xfId="2" applyNumberFormat="1" applyFont="1" applyBorder="1" applyAlignment="1">
      <alignment horizontal="right" vertical="top" wrapText="1"/>
    </xf>
    <xf numFmtId="0" fontId="4" fillId="2" borderId="11" xfId="2" applyNumberFormat="1" applyFont="1" applyFill="1" applyBorder="1" applyAlignment="1">
      <alignment vertical="top"/>
    </xf>
    <xf numFmtId="4" fontId="4" fillId="2" borderId="11" xfId="2" applyNumberFormat="1" applyFont="1" applyFill="1" applyBorder="1" applyAlignment="1">
      <alignment horizontal="right" vertical="top" wrapText="1"/>
    </xf>
    <xf numFmtId="0" fontId="4" fillId="2" borderId="12" xfId="2" applyNumberFormat="1" applyFont="1" applyFill="1" applyBorder="1" applyAlignment="1">
      <alignment horizontal="center" vertical="top"/>
    </xf>
    <xf numFmtId="4" fontId="4" fillId="2" borderId="13" xfId="2" applyNumberFormat="1" applyFont="1" applyFill="1" applyBorder="1" applyAlignment="1">
      <alignment horizontal="right" vertical="top" wrapText="1"/>
    </xf>
  </cellXfs>
  <cellStyles count="3">
    <cellStyle name="Обычный" xfId="0" builtinId="0"/>
    <cellStyle name="Обычный_Sheet1" xfId="1" xr:uid="{493F31BC-CF86-4AE5-B7D4-6368D0C47EDC}"/>
    <cellStyle name="Обычный_Глобино-2" xfId="2" xr:uid="{54AC1D9C-082B-4683-9382-DD5BE1DFFF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3"/>
  <sheetViews>
    <sheetView topLeftCell="A36" workbookViewId="0">
      <selection activeCell="J43" sqref="J43"/>
    </sheetView>
  </sheetViews>
  <sheetFormatPr defaultRowHeight="14.4" x14ac:dyDescent="0.3"/>
  <cols>
    <col min="2" max="4" width="16.77734375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61.2" hidden="1" x14ac:dyDescent="0.3">
      <c r="A3" s="14" t="s">
        <v>9</v>
      </c>
      <c r="B3" s="15" t="s">
        <v>10</v>
      </c>
      <c r="C3" s="15" t="s">
        <v>11</v>
      </c>
      <c r="D3" s="15" t="s">
        <v>12</v>
      </c>
      <c r="E3" s="16" t="s">
        <v>13</v>
      </c>
      <c r="F3" s="17">
        <v>1320</v>
      </c>
      <c r="G3" s="17"/>
      <c r="H3" s="16" t="s">
        <v>13</v>
      </c>
      <c r="I3" s="18">
        <v>1320</v>
      </c>
      <c r="J3" s="18"/>
      <c r="K3" s="19" t="s">
        <v>8</v>
      </c>
      <c r="L3" s="20">
        <v>105409.11</v>
      </c>
    </row>
    <row r="4" spans="1:12" ht="71.400000000000006" hidden="1" x14ac:dyDescent="0.3">
      <c r="A4" s="14" t="s">
        <v>14</v>
      </c>
      <c r="B4" s="15" t="s">
        <v>15</v>
      </c>
      <c r="C4" s="15" t="s">
        <v>16</v>
      </c>
      <c r="D4" s="15" t="s">
        <v>17</v>
      </c>
      <c r="E4" s="16" t="s">
        <v>13</v>
      </c>
      <c r="F4" s="21" t="s">
        <v>18</v>
      </c>
      <c r="G4" s="21"/>
      <c r="H4" s="16" t="s">
        <v>13</v>
      </c>
      <c r="I4" s="18">
        <v>4031.8</v>
      </c>
      <c r="J4" s="18"/>
      <c r="K4" s="19" t="s">
        <v>8</v>
      </c>
      <c r="L4" s="20">
        <v>101377.31</v>
      </c>
    </row>
    <row r="5" spans="1:12" ht="81.599999999999994" hidden="1" x14ac:dyDescent="0.3">
      <c r="A5" s="14" t="s">
        <v>14</v>
      </c>
      <c r="B5" s="15" t="s">
        <v>15</v>
      </c>
      <c r="C5" s="15" t="s">
        <v>19</v>
      </c>
      <c r="D5" s="15" t="s">
        <v>20</v>
      </c>
      <c r="E5" s="16" t="s">
        <v>13</v>
      </c>
      <c r="F5" s="21" t="s">
        <v>18</v>
      </c>
      <c r="G5" s="21"/>
      <c r="H5" s="16" t="s">
        <v>13</v>
      </c>
      <c r="I5" s="18">
        <v>3158.85</v>
      </c>
      <c r="J5" s="18"/>
      <c r="K5" s="19" t="s">
        <v>8</v>
      </c>
      <c r="L5" s="20">
        <v>98218.46</v>
      </c>
    </row>
    <row r="6" spans="1:12" ht="61.2" hidden="1" x14ac:dyDescent="0.3">
      <c r="A6" s="14" t="s">
        <v>14</v>
      </c>
      <c r="B6" s="15" t="s">
        <v>15</v>
      </c>
      <c r="C6" s="15" t="s">
        <v>21</v>
      </c>
      <c r="D6" s="15" t="s">
        <v>22</v>
      </c>
      <c r="E6" s="16" t="s">
        <v>13</v>
      </c>
      <c r="F6" s="21" t="s">
        <v>18</v>
      </c>
      <c r="G6" s="21"/>
      <c r="H6" s="16" t="s">
        <v>13</v>
      </c>
      <c r="I6" s="18">
        <v>4053.25</v>
      </c>
      <c r="J6" s="18"/>
      <c r="K6" s="19" t="s">
        <v>8</v>
      </c>
      <c r="L6" s="20">
        <v>94165.21</v>
      </c>
    </row>
    <row r="7" spans="1:12" ht="91.8" hidden="1" x14ac:dyDescent="0.3">
      <c r="A7" s="14" t="s">
        <v>14</v>
      </c>
      <c r="B7" s="15" t="s">
        <v>15</v>
      </c>
      <c r="C7" s="15" t="s">
        <v>23</v>
      </c>
      <c r="D7" s="15" t="s">
        <v>24</v>
      </c>
      <c r="E7" s="16" t="s">
        <v>13</v>
      </c>
      <c r="F7" s="21" t="s">
        <v>18</v>
      </c>
      <c r="G7" s="21"/>
      <c r="H7" s="16" t="s">
        <v>13</v>
      </c>
      <c r="I7" s="18">
        <v>3778.02</v>
      </c>
      <c r="J7" s="18"/>
      <c r="K7" s="19" t="s">
        <v>8</v>
      </c>
      <c r="L7" s="20">
        <v>90387.19</v>
      </c>
    </row>
    <row r="8" spans="1:12" ht="71.400000000000006" hidden="1" x14ac:dyDescent="0.3">
      <c r="A8" s="14" t="s">
        <v>14</v>
      </c>
      <c r="B8" s="15" t="s">
        <v>15</v>
      </c>
      <c r="C8" s="15" t="s">
        <v>25</v>
      </c>
      <c r="D8" s="15" t="s">
        <v>26</v>
      </c>
      <c r="E8" s="16" t="s">
        <v>13</v>
      </c>
      <c r="F8" s="21" t="s">
        <v>18</v>
      </c>
      <c r="G8" s="21"/>
      <c r="H8" s="16" t="s">
        <v>13</v>
      </c>
      <c r="I8" s="18">
        <v>6084</v>
      </c>
      <c r="J8" s="18"/>
      <c r="K8" s="19" t="s">
        <v>8</v>
      </c>
      <c r="L8" s="20">
        <v>84303.19</v>
      </c>
    </row>
    <row r="9" spans="1:12" ht="71.400000000000006" hidden="1" x14ac:dyDescent="0.3">
      <c r="A9" s="14" t="s">
        <v>14</v>
      </c>
      <c r="B9" s="15" t="s">
        <v>15</v>
      </c>
      <c r="C9" s="15" t="s">
        <v>27</v>
      </c>
      <c r="D9" s="15" t="s">
        <v>28</v>
      </c>
      <c r="E9" s="16" t="s">
        <v>13</v>
      </c>
      <c r="F9" s="21" t="s">
        <v>18</v>
      </c>
      <c r="G9" s="21"/>
      <c r="H9" s="16" t="s">
        <v>13</v>
      </c>
      <c r="I9" s="18">
        <v>4425</v>
      </c>
      <c r="J9" s="18"/>
      <c r="K9" s="19" t="s">
        <v>8</v>
      </c>
      <c r="L9" s="20">
        <v>79878.19</v>
      </c>
    </row>
    <row r="10" spans="1:12" ht="71.400000000000006" hidden="1" x14ac:dyDescent="0.3">
      <c r="A10" s="14" t="s">
        <v>14</v>
      </c>
      <c r="B10" s="15" t="s">
        <v>15</v>
      </c>
      <c r="C10" s="15" t="s">
        <v>29</v>
      </c>
      <c r="D10" s="15" t="s">
        <v>30</v>
      </c>
      <c r="E10" s="16" t="s">
        <v>13</v>
      </c>
      <c r="F10" s="21" t="s">
        <v>18</v>
      </c>
      <c r="G10" s="21"/>
      <c r="H10" s="16" t="s">
        <v>13</v>
      </c>
      <c r="I10" s="18">
        <v>1908.35</v>
      </c>
      <c r="J10" s="18"/>
      <c r="K10" s="19" t="s">
        <v>8</v>
      </c>
      <c r="L10" s="20">
        <v>77969.84</v>
      </c>
    </row>
    <row r="11" spans="1:12" ht="71.400000000000006" hidden="1" x14ac:dyDescent="0.3">
      <c r="A11" s="14" t="s">
        <v>14</v>
      </c>
      <c r="B11" s="15" t="s">
        <v>15</v>
      </c>
      <c r="C11" s="15" t="s">
        <v>31</v>
      </c>
      <c r="D11" s="15" t="s">
        <v>32</v>
      </c>
      <c r="E11" s="16" t="s">
        <v>13</v>
      </c>
      <c r="F11" s="21" t="s">
        <v>18</v>
      </c>
      <c r="G11" s="21"/>
      <c r="H11" s="16" t="s">
        <v>13</v>
      </c>
      <c r="I11" s="18">
        <v>1255.4000000000001</v>
      </c>
      <c r="J11" s="18"/>
      <c r="K11" s="19" t="s">
        <v>8</v>
      </c>
      <c r="L11" s="20">
        <v>76714.44</v>
      </c>
    </row>
    <row r="12" spans="1:12" ht="61.2" hidden="1" x14ac:dyDescent="0.3">
      <c r="A12" s="14" t="s">
        <v>14</v>
      </c>
      <c r="B12" s="15" t="s">
        <v>15</v>
      </c>
      <c r="C12" s="15" t="s">
        <v>33</v>
      </c>
      <c r="D12" s="15" t="s">
        <v>34</v>
      </c>
      <c r="E12" s="16" t="s">
        <v>13</v>
      </c>
      <c r="F12" s="21" t="s">
        <v>18</v>
      </c>
      <c r="G12" s="21"/>
      <c r="H12" s="16" t="s">
        <v>13</v>
      </c>
      <c r="I12" s="22">
        <v>990.75</v>
      </c>
      <c r="J12" s="22"/>
      <c r="K12" s="19" t="s">
        <v>8</v>
      </c>
      <c r="L12" s="20">
        <v>75723.69</v>
      </c>
    </row>
    <row r="13" spans="1:12" ht="71.400000000000006" hidden="1" x14ac:dyDescent="0.3">
      <c r="A13" s="14" t="s">
        <v>14</v>
      </c>
      <c r="B13" s="15" t="s">
        <v>15</v>
      </c>
      <c r="C13" s="15" t="s">
        <v>35</v>
      </c>
      <c r="D13" s="15" t="s">
        <v>36</v>
      </c>
      <c r="E13" s="16" t="s">
        <v>13</v>
      </c>
      <c r="F13" s="21" t="s">
        <v>18</v>
      </c>
      <c r="G13" s="21"/>
      <c r="H13" s="16" t="s">
        <v>13</v>
      </c>
      <c r="I13" s="22">
        <v>275.10000000000002</v>
      </c>
      <c r="J13" s="22"/>
      <c r="K13" s="19" t="s">
        <v>8</v>
      </c>
      <c r="L13" s="20">
        <v>75448.59</v>
      </c>
    </row>
    <row r="14" spans="1:12" ht="61.2" hidden="1" x14ac:dyDescent="0.3">
      <c r="A14" s="14" t="s">
        <v>14</v>
      </c>
      <c r="B14" s="15" t="s">
        <v>15</v>
      </c>
      <c r="C14" s="15" t="s">
        <v>37</v>
      </c>
      <c r="D14" s="15" t="s">
        <v>38</v>
      </c>
      <c r="E14" s="16" t="s">
        <v>13</v>
      </c>
      <c r="F14" s="21" t="s">
        <v>18</v>
      </c>
      <c r="G14" s="21"/>
      <c r="H14" s="16" t="s">
        <v>13</v>
      </c>
      <c r="I14" s="22">
        <v>300</v>
      </c>
      <c r="J14" s="22"/>
      <c r="K14" s="19" t="s">
        <v>8</v>
      </c>
      <c r="L14" s="20">
        <v>75148.59</v>
      </c>
    </row>
    <row r="15" spans="1:12" ht="61.2" hidden="1" x14ac:dyDescent="0.3">
      <c r="A15" s="14" t="s">
        <v>14</v>
      </c>
      <c r="B15" s="15" t="s">
        <v>15</v>
      </c>
      <c r="C15" s="15" t="s">
        <v>39</v>
      </c>
      <c r="D15" s="15" t="s">
        <v>40</v>
      </c>
      <c r="E15" s="16" t="s">
        <v>13</v>
      </c>
      <c r="F15" s="21" t="s">
        <v>18</v>
      </c>
      <c r="G15" s="21"/>
      <c r="H15" s="16" t="s">
        <v>13</v>
      </c>
      <c r="I15" s="18">
        <v>1694.25</v>
      </c>
      <c r="J15" s="18"/>
      <c r="K15" s="19" t="s">
        <v>8</v>
      </c>
      <c r="L15" s="20">
        <v>73454.34</v>
      </c>
    </row>
    <row r="16" spans="1:12" ht="81.599999999999994" hidden="1" x14ac:dyDescent="0.3">
      <c r="A16" s="14" t="s">
        <v>41</v>
      </c>
      <c r="B16" s="15" t="s">
        <v>42</v>
      </c>
      <c r="C16" s="15" t="s">
        <v>43</v>
      </c>
      <c r="D16" s="15" t="s">
        <v>44</v>
      </c>
      <c r="E16" s="16" t="s">
        <v>13</v>
      </c>
      <c r="F16" s="23">
        <v>691</v>
      </c>
      <c r="G16" s="23"/>
      <c r="H16" s="16" t="s">
        <v>45</v>
      </c>
      <c r="I16" s="24" t="s">
        <v>18</v>
      </c>
      <c r="J16" s="24"/>
      <c r="K16" s="19" t="s">
        <v>8</v>
      </c>
      <c r="L16" s="20">
        <v>74145.34</v>
      </c>
    </row>
    <row r="17" spans="1:12" ht="81.599999999999994" hidden="1" x14ac:dyDescent="0.3">
      <c r="A17" s="14" t="s">
        <v>46</v>
      </c>
      <c r="B17" s="15" t="s">
        <v>47</v>
      </c>
      <c r="C17" s="15" t="s">
        <v>48</v>
      </c>
      <c r="D17" s="15" t="s">
        <v>20</v>
      </c>
      <c r="E17" s="16" t="s">
        <v>13</v>
      </c>
      <c r="F17" s="21" t="s">
        <v>18</v>
      </c>
      <c r="G17" s="21"/>
      <c r="H17" s="16" t="s">
        <v>13</v>
      </c>
      <c r="I17" s="18">
        <v>3158.85</v>
      </c>
      <c r="J17" s="18"/>
      <c r="K17" s="19" t="s">
        <v>8</v>
      </c>
      <c r="L17" s="20">
        <v>70986.490000000005</v>
      </c>
    </row>
    <row r="18" spans="1:12" ht="61.2" hidden="1" x14ac:dyDescent="0.3">
      <c r="A18" s="14" t="s">
        <v>49</v>
      </c>
      <c r="B18" s="15" t="s">
        <v>50</v>
      </c>
      <c r="C18" s="15" t="s">
        <v>51</v>
      </c>
      <c r="D18" s="15" t="s">
        <v>52</v>
      </c>
      <c r="E18" s="16" t="s">
        <v>13</v>
      </c>
      <c r="F18" s="21" t="s">
        <v>18</v>
      </c>
      <c r="G18" s="21"/>
      <c r="H18" s="16" t="s">
        <v>13</v>
      </c>
      <c r="I18" s="18">
        <v>6120</v>
      </c>
      <c r="J18" s="18"/>
      <c r="K18" s="19" t="s">
        <v>8</v>
      </c>
      <c r="L18" s="20">
        <v>64866.49</v>
      </c>
    </row>
    <row r="19" spans="1:12" ht="61.2" hidden="1" x14ac:dyDescent="0.3">
      <c r="A19" s="14" t="s">
        <v>49</v>
      </c>
      <c r="B19" s="15" t="s">
        <v>50</v>
      </c>
      <c r="C19" s="15" t="s">
        <v>51</v>
      </c>
      <c r="D19" s="15" t="s">
        <v>53</v>
      </c>
      <c r="E19" s="16" t="s">
        <v>13</v>
      </c>
      <c r="F19" s="21" t="s">
        <v>18</v>
      </c>
      <c r="G19" s="21"/>
      <c r="H19" s="16" t="s">
        <v>13</v>
      </c>
      <c r="I19" s="18">
        <v>3457.8</v>
      </c>
      <c r="J19" s="18"/>
      <c r="K19" s="19" t="s">
        <v>8</v>
      </c>
      <c r="L19" s="20">
        <v>61408.69</v>
      </c>
    </row>
    <row r="20" spans="1:12" ht="61.2" hidden="1" x14ac:dyDescent="0.3">
      <c r="A20" s="14" t="s">
        <v>49</v>
      </c>
      <c r="B20" s="15" t="s">
        <v>50</v>
      </c>
      <c r="C20" s="15" t="s">
        <v>54</v>
      </c>
      <c r="D20" s="15" t="s">
        <v>55</v>
      </c>
      <c r="E20" s="16" t="s">
        <v>13</v>
      </c>
      <c r="F20" s="21" t="s">
        <v>18</v>
      </c>
      <c r="G20" s="21"/>
      <c r="H20" s="16" t="s">
        <v>13</v>
      </c>
      <c r="I20" s="18">
        <v>1720.95</v>
      </c>
      <c r="J20" s="18"/>
      <c r="K20" s="19" t="s">
        <v>8</v>
      </c>
      <c r="L20" s="20">
        <v>59687.74</v>
      </c>
    </row>
    <row r="21" spans="1:12" ht="61.2" hidden="1" x14ac:dyDescent="0.3">
      <c r="A21" s="14" t="s">
        <v>49</v>
      </c>
      <c r="B21" s="15" t="s">
        <v>50</v>
      </c>
      <c r="C21" s="15" t="s">
        <v>54</v>
      </c>
      <c r="D21" s="15" t="s">
        <v>56</v>
      </c>
      <c r="E21" s="16" t="s">
        <v>13</v>
      </c>
      <c r="F21" s="21" t="s">
        <v>18</v>
      </c>
      <c r="G21" s="21"/>
      <c r="H21" s="16" t="s">
        <v>13</v>
      </c>
      <c r="I21" s="18">
        <v>1966.8</v>
      </c>
      <c r="J21" s="18"/>
      <c r="K21" s="19" t="s">
        <v>8</v>
      </c>
      <c r="L21" s="20">
        <v>57720.94</v>
      </c>
    </row>
    <row r="22" spans="1:12" ht="61.2" hidden="1" x14ac:dyDescent="0.3">
      <c r="A22" s="14" t="s">
        <v>49</v>
      </c>
      <c r="B22" s="15" t="s">
        <v>50</v>
      </c>
      <c r="C22" s="15" t="s">
        <v>57</v>
      </c>
      <c r="D22" s="15" t="s">
        <v>58</v>
      </c>
      <c r="E22" s="16" t="s">
        <v>13</v>
      </c>
      <c r="F22" s="21" t="s">
        <v>18</v>
      </c>
      <c r="G22" s="21"/>
      <c r="H22" s="16" t="s">
        <v>13</v>
      </c>
      <c r="I22" s="18">
        <v>1400</v>
      </c>
      <c r="J22" s="18"/>
      <c r="K22" s="19" t="s">
        <v>8</v>
      </c>
      <c r="L22" s="20">
        <v>56320.94</v>
      </c>
    </row>
    <row r="23" spans="1:12" ht="61.2" hidden="1" x14ac:dyDescent="0.3">
      <c r="A23" s="14" t="s">
        <v>49</v>
      </c>
      <c r="B23" s="15" t="s">
        <v>50</v>
      </c>
      <c r="C23" s="15" t="s">
        <v>59</v>
      </c>
      <c r="D23" s="15" t="s">
        <v>60</v>
      </c>
      <c r="E23" s="16" t="s">
        <v>13</v>
      </c>
      <c r="F23" s="21" t="s">
        <v>18</v>
      </c>
      <c r="G23" s="21"/>
      <c r="H23" s="16" t="s">
        <v>13</v>
      </c>
      <c r="I23" s="18">
        <v>5250</v>
      </c>
      <c r="J23" s="18"/>
      <c r="K23" s="19" t="s">
        <v>8</v>
      </c>
      <c r="L23" s="20">
        <v>51070.94</v>
      </c>
    </row>
    <row r="24" spans="1:12" ht="61.2" hidden="1" x14ac:dyDescent="0.3">
      <c r="A24" s="14" t="s">
        <v>49</v>
      </c>
      <c r="B24" s="15" t="s">
        <v>50</v>
      </c>
      <c r="C24" s="15" t="s">
        <v>61</v>
      </c>
      <c r="D24" s="15" t="s">
        <v>62</v>
      </c>
      <c r="E24" s="16" t="s">
        <v>13</v>
      </c>
      <c r="F24" s="21" t="s">
        <v>18</v>
      </c>
      <c r="G24" s="21"/>
      <c r="H24" s="16" t="s">
        <v>13</v>
      </c>
      <c r="I24" s="22">
        <v>320.85000000000002</v>
      </c>
      <c r="J24" s="22"/>
      <c r="K24" s="19" t="s">
        <v>8</v>
      </c>
      <c r="L24" s="20">
        <v>50750.09</v>
      </c>
    </row>
    <row r="25" spans="1:12" ht="81.599999999999994" x14ac:dyDescent="0.3">
      <c r="A25" s="14" t="s">
        <v>63</v>
      </c>
      <c r="B25" s="15" t="s">
        <v>64</v>
      </c>
      <c r="C25" s="15" t="s">
        <v>65</v>
      </c>
      <c r="D25" s="15" t="s">
        <v>43</v>
      </c>
      <c r="E25" s="16" t="s">
        <v>66</v>
      </c>
      <c r="F25" s="21" t="s">
        <v>18</v>
      </c>
      <c r="G25" s="21"/>
      <c r="H25" s="16" t="s">
        <v>13</v>
      </c>
      <c r="I25" s="22">
        <v>691</v>
      </c>
      <c r="J25" s="22"/>
      <c r="K25" s="19" t="s">
        <v>8</v>
      </c>
      <c r="L25" s="20">
        <v>50059.09</v>
      </c>
    </row>
    <row r="26" spans="1:12" ht="61.2" x14ac:dyDescent="0.3">
      <c r="A26" s="14" t="s">
        <v>63</v>
      </c>
      <c r="B26" s="15" t="s">
        <v>64</v>
      </c>
      <c r="C26" s="15" t="s">
        <v>65</v>
      </c>
      <c r="D26" s="15" t="s">
        <v>56</v>
      </c>
      <c r="E26" s="16" t="s">
        <v>66</v>
      </c>
      <c r="F26" s="21" t="s">
        <v>18</v>
      </c>
      <c r="G26" s="21"/>
      <c r="H26" s="16" t="s">
        <v>13</v>
      </c>
      <c r="I26" s="22">
        <v>491.7</v>
      </c>
      <c r="J26" s="22"/>
      <c r="K26" s="19" t="s">
        <v>8</v>
      </c>
      <c r="L26" s="20">
        <v>49567.39</v>
      </c>
    </row>
    <row r="27" spans="1:12" ht="61.2" x14ac:dyDescent="0.3">
      <c r="A27" s="14" t="s">
        <v>63</v>
      </c>
      <c r="B27" s="15" t="s">
        <v>64</v>
      </c>
      <c r="C27" s="15" t="s">
        <v>65</v>
      </c>
      <c r="D27" s="15" t="s">
        <v>67</v>
      </c>
      <c r="E27" s="16" t="s">
        <v>66</v>
      </c>
      <c r="F27" s="21" t="s">
        <v>18</v>
      </c>
      <c r="G27" s="21"/>
      <c r="H27" s="16" t="s">
        <v>13</v>
      </c>
      <c r="I27" s="18">
        <v>2458.5</v>
      </c>
      <c r="J27" s="18"/>
      <c r="K27" s="19" t="s">
        <v>8</v>
      </c>
      <c r="L27" s="20">
        <v>47108.89</v>
      </c>
    </row>
    <row r="28" spans="1:12" ht="61.2" x14ac:dyDescent="0.3">
      <c r="A28" s="14" t="s">
        <v>63</v>
      </c>
      <c r="B28" s="15" t="s">
        <v>64</v>
      </c>
      <c r="C28" s="15" t="s">
        <v>65</v>
      </c>
      <c r="D28" s="15" t="s">
        <v>11</v>
      </c>
      <c r="E28" s="16" t="s">
        <v>66</v>
      </c>
      <c r="F28" s="21" t="s">
        <v>18</v>
      </c>
      <c r="G28" s="21"/>
      <c r="H28" s="16" t="s">
        <v>13</v>
      </c>
      <c r="I28" s="18">
        <v>1320</v>
      </c>
      <c r="J28" s="18"/>
      <c r="K28" s="19" t="s">
        <v>8</v>
      </c>
      <c r="L28" s="20">
        <v>45788.89</v>
      </c>
    </row>
    <row r="29" spans="1:12" ht="61.2" x14ac:dyDescent="0.3">
      <c r="A29" s="14" t="s">
        <v>63</v>
      </c>
      <c r="B29" s="15" t="s">
        <v>64</v>
      </c>
      <c r="C29" s="15" t="s">
        <v>65</v>
      </c>
      <c r="D29" s="15" t="s">
        <v>53</v>
      </c>
      <c r="E29" s="16" t="s">
        <v>66</v>
      </c>
      <c r="F29" s="21" t="s">
        <v>18</v>
      </c>
      <c r="G29" s="21"/>
      <c r="H29" s="16" t="s">
        <v>13</v>
      </c>
      <c r="I29" s="22">
        <v>384.2</v>
      </c>
      <c r="J29" s="22"/>
      <c r="K29" s="19" t="s">
        <v>8</v>
      </c>
      <c r="L29" s="20">
        <v>45404.69</v>
      </c>
    </row>
    <row r="30" spans="1:12" ht="71.400000000000006" x14ac:dyDescent="0.3">
      <c r="A30" s="14" t="s">
        <v>63</v>
      </c>
      <c r="B30" s="15" t="s">
        <v>64</v>
      </c>
      <c r="C30" s="15" t="s">
        <v>65</v>
      </c>
      <c r="D30" s="15" t="s">
        <v>68</v>
      </c>
      <c r="E30" s="16" t="s">
        <v>66</v>
      </c>
      <c r="F30" s="21" t="s">
        <v>18</v>
      </c>
      <c r="G30" s="21"/>
      <c r="H30" s="16" t="s">
        <v>13</v>
      </c>
      <c r="I30" s="22">
        <v>398.1</v>
      </c>
      <c r="J30" s="22"/>
      <c r="K30" s="19" t="s">
        <v>8</v>
      </c>
      <c r="L30" s="20">
        <v>45006.59</v>
      </c>
    </row>
    <row r="31" spans="1:12" ht="61.2" x14ac:dyDescent="0.3">
      <c r="A31" s="14" t="s">
        <v>69</v>
      </c>
      <c r="B31" s="15" t="s">
        <v>70</v>
      </c>
      <c r="C31" s="15" t="s">
        <v>65</v>
      </c>
      <c r="D31" s="15" t="s">
        <v>62</v>
      </c>
      <c r="E31" s="16" t="s">
        <v>66</v>
      </c>
      <c r="F31" s="21" t="s">
        <v>18</v>
      </c>
      <c r="G31" s="21"/>
      <c r="H31" s="16" t="s">
        <v>13</v>
      </c>
      <c r="I31" s="18">
        <v>2887.65</v>
      </c>
      <c r="J31" s="18"/>
      <c r="K31" s="19" t="s">
        <v>8</v>
      </c>
      <c r="L31" s="20">
        <v>42118.94</v>
      </c>
    </row>
    <row r="32" spans="1:12" ht="61.2" x14ac:dyDescent="0.3">
      <c r="A32" s="14" t="s">
        <v>69</v>
      </c>
      <c r="B32" s="15" t="s">
        <v>70</v>
      </c>
      <c r="C32" s="15" t="s">
        <v>65</v>
      </c>
      <c r="D32" s="15" t="s">
        <v>71</v>
      </c>
      <c r="E32" s="16" t="s">
        <v>66</v>
      </c>
      <c r="F32" s="21" t="s">
        <v>18</v>
      </c>
      <c r="G32" s="21"/>
      <c r="H32" s="16" t="s">
        <v>13</v>
      </c>
      <c r="I32" s="18">
        <v>3208.5</v>
      </c>
      <c r="J32" s="18"/>
      <c r="K32" s="19" t="s">
        <v>8</v>
      </c>
      <c r="L32" s="20">
        <v>38910.44</v>
      </c>
    </row>
    <row r="33" spans="1:12" ht="81.599999999999994" x14ac:dyDescent="0.3">
      <c r="A33" s="14" t="s">
        <v>69</v>
      </c>
      <c r="B33" s="15" t="s">
        <v>70</v>
      </c>
      <c r="C33" s="15" t="s">
        <v>65</v>
      </c>
      <c r="D33" s="15" t="s">
        <v>20</v>
      </c>
      <c r="E33" s="16" t="s">
        <v>66</v>
      </c>
      <c r="F33" s="21" t="s">
        <v>18</v>
      </c>
      <c r="G33" s="21"/>
      <c r="H33" s="16" t="s">
        <v>13</v>
      </c>
      <c r="I33" s="18">
        <v>4211.8</v>
      </c>
      <c r="J33" s="18"/>
      <c r="K33" s="19" t="s">
        <v>8</v>
      </c>
      <c r="L33" s="20">
        <v>34698.639999999999</v>
      </c>
    </row>
    <row r="34" spans="1:12" ht="81.599999999999994" x14ac:dyDescent="0.3">
      <c r="A34" s="14" t="s">
        <v>69</v>
      </c>
      <c r="B34" s="15" t="s">
        <v>70</v>
      </c>
      <c r="C34" s="15" t="s">
        <v>65</v>
      </c>
      <c r="D34" s="15" t="s">
        <v>72</v>
      </c>
      <c r="E34" s="16" t="s">
        <v>66</v>
      </c>
      <c r="F34" s="21" t="s">
        <v>18</v>
      </c>
      <c r="G34" s="21"/>
      <c r="H34" s="16" t="s">
        <v>13</v>
      </c>
      <c r="I34" s="18">
        <v>4170.8500000000004</v>
      </c>
      <c r="J34" s="18"/>
      <c r="K34" s="19" t="s">
        <v>8</v>
      </c>
      <c r="L34" s="20">
        <v>30527.79</v>
      </c>
    </row>
    <row r="35" spans="1:12" ht="61.2" x14ac:dyDescent="0.3">
      <c r="A35" s="14" t="s">
        <v>69</v>
      </c>
      <c r="B35" s="15" t="s">
        <v>70</v>
      </c>
      <c r="C35" s="15" t="s">
        <v>65</v>
      </c>
      <c r="D35" s="15" t="s">
        <v>73</v>
      </c>
      <c r="E35" s="16" t="s">
        <v>66</v>
      </c>
      <c r="F35" s="21" t="s">
        <v>18</v>
      </c>
      <c r="G35" s="21"/>
      <c r="H35" s="16" t="s">
        <v>13</v>
      </c>
      <c r="I35" s="18">
        <v>2430</v>
      </c>
      <c r="J35" s="18"/>
      <c r="K35" s="19" t="s">
        <v>8</v>
      </c>
      <c r="L35" s="20">
        <v>28097.79</v>
      </c>
    </row>
    <row r="36" spans="1:12" ht="71.400000000000006" x14ac:dyDescent="0.3">
      <c r="A36" s="14" t="s">
        <v>69</v>
      </c>
      <c r="B36" s="15" t="s">
        <v>74</v>
      </c>
      <c r="C36" s="15" t="s">
        <v>65</v>
      </c>
      <c r="D36" s="15" t="s">
        <v>75</v>
      </c>
      <c r="E36" s="16" t="s">
        <v>66</v>
      </c>
      <c r="F36" s="21" t="s">
        <v>18</v>
      </c>
      <c r="G36" s="21"/>
      <c r="H36" s="16" t="s">
        <v>13</v>
      </c>
      <c r="I36" s="18">
        <v>1135</v>
      </c>
      <c r="J36" s="18"/>
      <c r="K36" s="19" t="s">
        <v>8</v>
      </c>
      <c r="L36" s="20">
        <v>26962.79</v>
      </c>
    </row>
    <row r="37" spans="1:12" ht="71.400000000000006" x14ac:dyDescent="0.3">
      <c r="A37" s="14" t="s">
        <v>69</v>
      </c>
      <c r="B37" s="15" t="s">
        <v>74</v>
      </c>
      <c r="C37" s="15" t="s">
        <v>65</v>
      </c>
      <c r="D37" s="15" t="s">
        <v>76</v>
      </c>
      <c r="E37" s="16" t="s">
        <v>66</v>
      </c>
      <c r="F37" s="21" t="s">
        <v>18</v>
      </c>
      <c r="G37" s="21"/>
      <c r="H37" s="16" t="s">
        <v>13</v>
      </c>
      <c r="I37" s="18">
        <v>1096.81</v>
      </c>
      <c r="J37" s="18"/>
      <c r="K37" s="19" t="s">
        <v>8</v>
      </c>
      <c r="L37" s="20">
        <v>25865.98</v>
      </c>
    </row>
    <row r="38" spans="1:12" ht="71.400000000000006" x14ac:dyDescent="0.3">
      <c r="A38" s="14" t="s">
        <v>69</v>
      </c>
      <c r="B38" s="15" t="s">
        <v>74</v>
      </c>
      <c r="C38" s="15" t="s">
        <v>65</v>
      </c>
      <c r="D38" s="15" t="s">
        <v>77</v>
      </c>
      <c r="E38" s="16" t="s">
        <v>66</v>
      </c>
      <c r="F38" s="21" t="s">
        <v>18</v>
      </c>
      <c r="G38" s="21"/>
      <c r="H38" s="16" t="s">
        <v>13</v>
      </c>
      <c r="I38" s="18">
        <v>1594.05</v>
      </c>
      <c r="J38" s="18"/>
      <c r="K38" s="19" t="s">
        <v>8</v>
      </c>
      <c r="L38" s="20">
        <v>24271.93</v>
      </c>
    </row>
    <row r="39" spans="1:12" ht="81.599999999999994" x14ac:dyDescent="0.3">
      <c r="A39" s="14" t="s">
        <v>69</v>
      </c>
      <c r="B39" s="15" t="s">
        <v>74</v>
      </c>
      <c r="C39" s="15" t="s">
        <v>65</v>
      </c>
      <c r="D39" s="15" t="s">
        <v>78</v>
      </c>
      <c r="E39" s="16" t="s">
        <v>66</v>
      </c>
      <c r="F39" s="21" t="s">
        <v>18</v>
      </c>
      <c r="G39" s="21"/>
      <c r="H39" s="16" t="s">
        <v>13</v>
      </c>
      <c r="I39" s="18">
        <v>1049.4000000000001</v>
      </c>
      <c r="J39" s="18"/>
      <c r="K39" s="19" t="s">
        <v>8</v>
      </c>
      <c r="L39" s="20">
        <v>23222.53</v>
      </c>
    </row>
    <row r="40" spans="1:12" x14ac:dyDescent="0.3">
      <c r="A40" s="25" t="s">
        <v>79</v>
      </c>
      <c r="B40" s="25"/>
      <c r="C40" s="25"/>
      <c r="D40" s="25"/>
      <c r="E40" s="26">
        <v>2011</v>
      </c>
      <c r="F40" s="26"/>
      <c r="G40" s="26"/>
      <c r="H40" s="26">
        <v>84197.58</v>
      </c>
      <c r="I40" s="26"/>
      <c r="J40" s="26"/>
      <c r="K40" s="27" t="s">
        <v>8</v>
      </c>
      <c r="L40" s="28">
        <v>23222.53</v>
      </c>
    </row>
    <row r="42" spans="1:12" x14ac:dyDescent="0.3">
      <c r="J42">
        <f>SUBTOTAL(9,I25:J39)</f>
        <v>27527.560000000005</v>
      </c>
    </row>
    <row r="43" spans="1:12" x14ac:dyDescent="0.3">
      <c r="J43" s="29">
        <f>J42*1.2</f>
        <v>33033.072000000007</v>
      </c>
    </row>
  </sheetData>
  <autoFilter ref="B1:D40" xr:uid="{DB57DEFA-7AD4-4054-976C-29DEBD258E91}">
    <filterColumn colId="0">
      <filters blank="1">
        <filter val="Передача малоцінних активів в експлуатацію ІБ00-000063 від 24.02.2026 17:30:03_x000a_Списание стоимости малоценных активов"/>
        <filter val="Передача малоцінних активів в експлуатацію ІБ00-000093 від 27.02.2026 20:48:22_x000a_Списание стоимости малоценных активов"/>
        <filter val="Передача малоцінних активів в експлуатацію ІББП-000092 від 27.02.2026 20:48:20_x000a_Списание стоимости малоценных активов"/>
      </filters>
    </filterColumn>
  </autoFilter>
  <mergeCells count="86">
    <mergeCell ref="A40:D40"/>
    <mergeCell ref="E40:G40"/>
    <mergeCell ref="H40:J40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4F70-89E3-45A3-984D-62161C8A7E19}">
  <sheetPr filterMode="1"/>
  <dimension ref="A1:L253"/>
  <sheetViews>
    <sheetView tabSelected="1" topLeftCell="A244" workbookViewId="0">
      <selection activeCell="J253" sqref="J253"/>
    </sheetView>
  </sheetViews>
  <sheetFormatPr defaultRowHeight="14.4" x14ac:dyDescent="0.3"/>
  <cols>
    <col min="2" max="4" width="29.109375" customWidth="1"/>
    <col min="10" max="10" width="9.88671875" bestFit="1" customWidth="1"/>
  </cols>
  <sheetData>
    <row r="1" spans="1:12" x14ac:dyDescent="0.3">
      <c r="A1" s="30" t="s">
        <v>0</v>
      </c>
      <c r="B1" s="31" t="s">
        <v>1</v>
      </c>
      <c r="C1" s="31" t="s">
        <v>2</v>
      </c>
      <c r="D1" s="32" t="s">
        <v>3</v>
      </c>
      <c r="E1" s="33" t="s">
        <v>4</v>
      </c>
      <c r="F1" s="33"/>
      <c r="G1" s="33"/>
      <c r="H1" s="34" t="s">
        <v>5</v>
      </c>
      <c r="I1" s="34"/>
      <c r="J1" s="34"/>
      <c r="K1" s="31" t="s">
        <v>6</v>
      </c>
      <c r="L1" s="31"/>
    </row>
    <row r="2" spans="1:12" hidden="1" x14ac:dyDescent="0.3">
      <c r="A2" s="35"/>
      <c r="B2" s="36"/>
      <c r="C2" s="36"/>
      <c r="D2" s="37"/>
      <c r="E2" s="38" t="s">
        <v>7</v>
      </c>
      <c r="F2" s="39"/>
      <c r="G2" s="39"/>
      <c r="H2" s="40" t="s">
        <v>7</v>
      </c>
      <c r="I2" s="41"/>
      <c r="J2" s="41"/>
      <c r="K2" s="35"/>
      <c r="L2" s="42"/>
    </row>
    <row r="3" spans="1:12" ht="61.2" hidden="1" x14ac:dyDescent="0.3">
      <c r="A3" s="43" t="s">
        <v>9</v>
      </c>
      <c r="B3" s="44" t="s">
        <v>80</v>
      </c>
      <c r="C3" s="44" t="s">
        <v>81</v>
      </c>
      <c r="D3" s="44" t="s">
        <v>82</v>
      </c>
      <c r="E3" s="45" t="s">
        <v>83</v>
      </c>
      <c r="F3" s="46" t="s">
        <v>18</v>
      </c>
      <c r="G3" s="46"/>
      <c r="H3" s="45" t="s">
        <v>13</v>
      </c>
      <c r="I3" s="47">
        <v>1391.25</v>
      </c>
      <c r="J3" s="47"/>
      <c r="K3" s="48" t="s">
        <v>8</v>
      </c>
      <c r="L3" s="49">
        <v>14466.69</v>
      </c>
    </row>
    <row r="4" spans="1:12" ht="51" hidden="1" x14ac:dyDescent="0.3">
      <c r="A4" s="43" t="s">
        <v>9</v>
      </c>
      <c r="B4" s="44" t="s">
        <v>80</v>
      </c>
      <c r="C4" s="44" t="s">
        <v>84</v>
      </c>
      <c r="D4" s="44" t="s">
        <v>85</v>
      </c>
      <c r="E4" s="45" t="s">
        <v>83</v>
      </c>
      <c r="F4" s="46" t="s">
        <v>18</v>
      </c>
      <c r="G4" s="46"/>
      <c r="H4" s="45" t="s">
        <v>13</v>
      </c>
      <c r="I4" s="50">
        <v>276.10000000000002</v>
      </c>
      <c r="J4" s="50"/>
      <c r="K4" s="48" t="s">
        <v>8</v>
      </c>
      <c r="L4" s="49">
        <v>14190.59</v>
      </c>
    </row>
    <row r="5" spans="1:12" ht="51" hidden="1" x14ac:dyDescent="0.3">
      <c r="A5" s="43" t="s">
        <v>9</v>
      </c>
      <c r="B5" s="44" t="s">
        <v>86</v>
      </c>
      <c r="C5" s="44" t="s">
        <v>87</v>
      </c>
      <c r="D5" s="44" t="s">
        <v>88</v>
      </c>
      <c r="E5" s="45" t="s">
        <v>83</v>
      </c>
      <c r="F5" s="46" t="s">
        <v>18</v>
      </c>
      <c r="G5" s="46"/>
      <c r="H5" s="45" t="s">
        <v>13</v>
      </c>
      <c r="I5" s="47">
        <v>1830.4</v>
      </c>
      <c r="J5" s="47"/>
      <c r="K5" s="48" t="s">
        <v>8</v>
      </c>
      <c r="L5" s="49">
        <v>559922.04</v>
      </c>
    </row>
    <row r="6" spans="1:12" ht="51" hidden="1" x14ac:dyDescent="0.3">
      <c r="A6" s="43" t="s">
        <v>14</v>
      </c>
      <c r="B6" s="44" t="s">
        <v>89</v>
      </c>
      <c r="C6" s="44" t="s">
        <v>90</v>
      </c>
      <c r="D6" s="44" t="s">
        <v>91</v>
      </c>
      <c r="E6" s="45" t="s">
        <v>13</v>
      </c>
      <c r="F6" s="51">
        <v>2666.4</v>
      </c>
      <c r="G6" s="51"/>
      <c r="H6" s="45" t="s">
        <v>13</v>
      </c>
      <c r="I6" s="52" t="s">
        <v>18</v>
      </c>
      <c r="J6" s="52"/>
      <c r="K6" s="48" t="s">
        <v>8</v>
      </c>
      <c r="L6" s="49">
        <v>562588.43999999994</v>
      </c>
    </row>
    <row r="7" spans="1:12" ht="51" hidden="1" x14ac:dyDescent="0.3">
      <c r="A7" s="43" t="s">
        <v>14</v>
      </c>
      <c r="B7" s="44" t="s">
        <v>89</v>
      </c>
      <c r="C7" s="44" t="s">
        <v>92</v>
      </c>
      <c r="D7" s="44" t="s">
        <v>93</v>
      </c>
      <c r="E7" s="45" t="s">
        <v>13</v>
      </c>
      <c r="F7" s="51">
        <v>3136.7</v>
      </c>
      <c r="G7" s="51"/>
      <c r="H7" s="45" t="s">
        <v>13</v>
      </c>
      <c r="I7" s="52" t="s">
        <v>18</v>
      </c>
      <c r="J7" s="52"/>
      <c r="K7" s="48" t="s">
        <v>8</v>
      </c>
      <c r="L7" s="49">
        <v>565725.14</v>
      </c>
    </row>
    <row r="8" spans="1:12" ht="51" x14ac:dyDescent="0.3">
      <c r="A8" s="43" t="s">
        <v>14</v>
      </c>
      <c r="B8" s="44" t="s">
        <v>94</v>
      </c>
      <c r="C8" s="44" t="s">
        <v>95</v>
      </c>
      <c r="D8" s="44" t="s">
        <v>90</v>
      </c>
      <c r="E8" s="45" t="s">
        <v>66</v>
      </c>
      <c r="F8" s="46" t="s">
        <v>18</v>
      </c>
      <c r="G8" s="46"/>
      <c r="H8" s="45" t="s">
        <v>13</v>
      </c>
      <c r="I8" s="47">
        <v>2666.4</v>
      </c>
      <c r="J8" s="47"/>
      <c r="K8" s="48" t="s">
        <v>8</v>
      </c>
      <c r="L8" s="49">
        <v>563058.74</v>
      </c>
    </row>
    <row r="9" spans="1:12" ht="51" x14ac:dyDescent="0.3">
      <c r="A9" s="43" t="s">
        <v>14</v>
      </c>
      <c r="B9" s="44" t="s">
        <v>94</v>
      </c>
      <c r="C9" s="44" t="s">
        <v>95</v>
      </c>
      <c r="D9" s="44" t="s">
        <v>92</v>
      </c>
      <c r="E9" s="45" t="s">
        <v>66</v>
      </c>
      <c r="F9" s="46" t="s">
        <v>18</v>
      </c>
      <c r="G9" s="46"/>
      <c r="H9" s="45" t="s">
        <v>13</v>
      </c>
      <c r="I9" s="47">
        <v>3136.7</v>
      </c>
      <c r="J9" s="47"/>
      <c r="K9" s="48" t="s">
        <v>8</v>
      </c>
      <c r="L9" s="49">
        <v>559922.04</v>
      </c>
    </row>
    <row r="10" spans="1:12" ht="51" x14ac:dyDescent="0.3">
      <c r="A10" s="43" t="s">
        <v>14</v>
      </c>
      <c r="B10" s="44" t="s">
        <v>94</v>
      </c>
      <c r="C10" s="44" t="s">
        <v>95</v>
      </c>
      <c r="D10" s="44" t="s">
        <v>88</v>
      </c>
      <c r="E10" s="45" t="s">
        <v>66</v>
      </c>
      <c r="F10" s="46" t="s">
        <v>18</v>
      </c>
      <c r="G10" s="46"/>
      <c r="H10" s="45" t="s">
        <v>13</v>
      </c>
      <c r="I10" s="47">
        <v>6177.6</v>
      </c>
      <c r="J10" s="47"/>
      <c r="K10" s="48" t="s">
        <v>8</v>
      </c>
      <c r="L10" s="49">
        <v>553744.43999999994</v>
      </c>
    </row>
    <row r="11" spans="1:12" ht="51" x14ac:dyDescent="0.3">
      <c r="A11" s="43" t="s">
        <v>14</v>
      </c>
      <c r="B11" s="44" t="s">
        <v>94</v>
      </c>
      <c r="C11" s="44" t="s">
        <v>95</v>
      </c>
      <c r="D11" s="44" t="s">
        <v>96</v>
      </c>
      <c r="E11" s="45" t="s">
        <v>66</v>
      </c>
      <c r="F11" s="46" t="s">
        <v>18</v>
      </c>
      <c r="G11" s="46"/>
      <c r="H11" s="45" t="s">
        <v>13</v>
      </c>
      <c r="I11" s="47">
        <v>4490.5</v>
      </c>
      <c r="J11" s="47"/>
      <c r="K11" s="48" t="s">
        <v>8</v>
      </c>
      <c r="L11" s="49">
        <v>549253.93999999994</v>
      </c>
    </row>
    <row r="12" spans="1:12" ht="51" hidden="1" x14ac:dyDescent="0.3">
      <c r="A12" s="43" t="s">
        <v>97</v>
      </c>
      <c r="B12" s="44" t="s">
        <v>98</v>
      </c>
      <c r="C12" s="44" t="s">
        <v>99</v>
      </c>
      <c r="D12" s="44" t="s">
        <v>100</v>
      </c>
      <c r="E12" s="45" t="s">
        <v>13</v>
      </c>
      <c r="F12" s="51">
        <v>5948.8</v>
      </c>
      <c r="G12" s="51"/>
      <c r="H12" s="45" t="s">
        <v>101</v>
      </c>
      <c r="I12" s="52" t="s">
        <v>18</v>
      </c>
      <c r="J12" s="52"/>
      <c r="K12" s="48" t="s">
        <v>8</v>
      </c>
      <c r="L12" s="49">
        <v>555202.74</v>
      </c>
    </row>
    <row r="13" spans="1:12" ht="51" hidden="1" x14ac:dyDescent="0.3">
      <c r="A13" s="43" t="s">
        <v>102</v>
      </c>
      <c r="B13" s="44" t="s">
        <v>103</v>
      </c>
      <c r="C13" s="44" t="s">
        <v>104</v>
      </c>
      <c r="D13" s="44" t="s">
        <v>105</v>
      </c>
      <c r="E13" s="45" t="s">
        <v>13</v>
      </c>
      <c r="F13" s="53">
        <v>608.65</v>
      </c>
      <c r="G13" s="53"/>
      <c r="H13" s="45" t="s">
        <v>101</v>
      </c>
      <c r="I13" s="52" t="s">
        <v>18</v>
      </c>
      <c r="J13" s="52"/>
      <c r="K13" s="48" t="s">
        <v>8</v>
      </c>
      <c r="L13" s="49">
        <v>555811.39</v>
      </c>
    </row>
    <row r="14" spans="1:12" ht="51" hidden="1" x14ac:dyDescent="0.3">
      <c r="A14" s="43" t="s">
        <v>102</v>
      </c>
      <c r="B14" s="44" t="s">
        <v>103</v>
      </c>
      <c r="C14" s="44" t="s">
        <v>106</v>
      </c>
      <c r="D14" s="44" t="s">
        <v>105</v>
      </c>
      <c r="E14" s="45" t="s">
        <v>13</v>
      </c>
      <c r="F14" s="53">
        <v>213.3</v>
      </c>
      <c r="G14" s="53"/>
      <c r="H14" s="45" t="s">
        <v>101</v>
      </c>
      <c r="I14" s="52" t="s">
        <v>18</v>
      </c>
      <c r="J14" s="52"/>
      <c r="K14" s="48" t="s">
        <v>8</v>
      </c>
      <c r="L14" s="49">
        <v>556024.68999999994</v>
      </c>
    </row>
    <row r="15" spans="1:12" ht="51" hidden="1" x14ac:dyDescent="0.3">
      <c r="A15" s="43" t="s">
        <v>102</v>
      </c>
      <c r="B15" s="44" t="s">
        <v>103</v>
      </c>
      <c r="C15" s="44" t="s">
        <v>107</v>
      </c>
      <c r="D15" s="44" t="s">
        <v>105</v>
      </c>
      <c r="E15" s="45" t="s">
        <v>13</v>
      </c>
      <c r="F15" s="53">
        <v>682.08</v>
      </c>
      <c r="G15" s="53"/>
      <c r="H15" s="45" t="s">
        <v>101</v>
      </c>
      <c r="I15" s="52" t="s">
        <v>18</v>
      </c>
      <c r="J15" s="52"/>
      <c r="K15" s="48" t="s">
        <v>8</v>
      </c>
      <c r="L15" s="49">
        <v>556706.77</v>
      </c>
    </row>
    <row r="16" spans="1:12" ht="51" hidden="1" x14ac:dyDescent="0.3">
      <c r="A16" s="43" t="s">
        <v>102</v>
      </c>
      <c r="B16" s="44" t="s">
        <v>108</v>
      </c>
      <c r="C16" s="44" t="s">
        <v>109</v>
      </c>
      <c r="D16" s="44" t="s">
        <v>104</v>
      </c>
      <c r="E16" s="45" t="s">
        <v>13</v>
      </c>
      <c r="F16" s="46" t="s">
        <v>18</v>
      </c>
      <c r="G16" s="46"/>
      <c r="H16" s="45" t="s">
        <v>13</v>
      </c>
      <c r="I16" s="50">
        <v>608.65</v>
      </c>
      <c r="J16" s="50"/>
      <c r="K16" s="48" t="s">
        <v>8</v>
      </c>
      <c r="L16" s="49">
        <v>556098.12</v>
      </c>
    </row>
    <row r="17" spans="1:12" ht="51" hidden="1" x14ac:dyDescent="0.3">
      <c r="A17" s="43" t="s">
        <v>102</v>
      </c>
      <c r="B17" s="44" t="s">
        <v>108</v>
      </c>
      <c r="C17" s="44" t="s">
        <v>109</v>
      </c>
      <c r="D17" s="44" t="s">
        <v>104</v>
      </c>
      <c r="E17" s="45" t="s">
        <v>13</v>
      </c>
      <c r="F17" s="53">
        <v>608.65</v>
      </c>
      <c r="G17" s="53"/>
      <c r="H17" s="45" t="s">
        <v>13</v>
      </c>
      <c r="I17" s="52" t="s">
        <v>18</v>
      </c>
      <c r="J17" s="52"/>
      <c r="K17" s="48" t="s">
        <v>8</v>
      </c>
      <c r="L17" s="49">
        <v>72669.87</v>
      </c>
    </row>
    <row r="18" spans="1:12" ht="51" hidden="1" x14ac:dyDescent="0.3">
      <c r="A18" s="43" t="s">
        <v>102</v>
      </c>
      <c r="B18" s="44" t="s">
        <v>108</v>
      </c>
      <c r="C18" s="44" t="s">
        <v>110</v>
      </c>
      <c r="D18" s="44" t="s">
        <v>106</v>
      </c>
      <c r="E18" s="45" t="s">
        <v>13</v>
      </c>
      <c r="F18" s="46" t="s">
        <v>18</v>
      </c>
      <c r="G18" s="46"/>
      <c r="H18" s="45" t="s">
        <v>13</v>
      </c>
      <c r="I18" s="50">
        <v>213.3</v>
      </c>
      <c r="J18" s="50"/>
      <c r="K18" s="48" t="s">
        <v>8</v>
      </c>
      <c r="L18" s="49">
        <v>555884.81999999995</v>
      </c>
    </row>
    <row r="19" spans="1:12" ht="51" hidden="1" x14ac:dyDescent="0.3">
      <c r="A19" s="43" t="s">
        <v>102</v>
      </c>
      <c r="B19" s="44" t="s">
        <v>108</v>
      </c>
      <c r="C19" s="44" t="s">
        <v>110</v>
      </c>
      <c r="D19" s="44" t="s">
        <v>106</v>
      </c>
      <c r="E19" s="45" t="s">
        <v>13</v>
      </c>
      <c r="F19" s="53">
        <v>213.3</v>
      </c>
      <c r="G19" s="53"/>
      <c r="H19" s="45" t="s">
        <v>13</v>
      </c>
      <c r="I19" s="52" t="s">
        <v>18</v>
      </c>
      <c r="J19" s="52"/>
      <c r="K19" s="48" t="s">
        <v>8</v>
      </c>
      <c r="L19" s="49">
        <v>72883.17</v>
      </c>
    </row>
    <row r="20" spans="1:12" ht="51" hidden="1" x14ac:dyDescent="0.3">
      <c r="A20" s="43" t="s">
        <v>102</v>
      </c>
      <c r="B20" s="44" t="s">
        <v>108</v>
      </c>
      <c r="C20" s="44" t="s">
        <v>111</v>
      </c>
      <c r="D20" s="44" t="s">
        <v>107</v>
      </c>
      <c r="E20" s="45" t="s">
        <v>13</v>
      </c>
      <c r="F20" s="46" t="s">
        <v>18</v>
      </c>
      <c r="G20" s="46"/>
      <c r="H20" s="45" t="s">
        <v>13</v>
      </c>
      <c r="I20" s="50">
        <v>682.08</v>
      </c>
      <c r="J20" s="50"/>
      <c r="K20" s="48" t="s">
        <v>8</v>
      </c>
      <c r="L20" s="49">
        <v>555202.74</v>
      </c>
    </row>
    <row r="21" spans="1:12" ht="51" hidden="1" x14ac:dyDescent="0.3">
      <c r="A21" s="43" t="s">
        <v>102</v>
      </c>
      <c r="B21" s="44" t="s">
        <v>108</v>
      </c>
      <c r="C21" s="44" t="s">
        <v>111</v>
      </c>
      <c r="D21" s="44" t="s">
        <v>107</v>
      </c>
      <c r="E21" s="45" t="s">
        <v>13</v>
      </c>
      <c r="F21" s="53">
        <v>682.08</v>
      </c>
      <c r="G21" s="53"/>
      <c r="H21" s="45" t="s">
        <v>13</v>
      </c>
      <c r="I21" s="52" t="s">
        <v>18</v>
      </c>
      <c r="J21" s="52"/>
      <c r="K21" s="48" t="s">
        <v>8</v>
      </c>
      <c r="L21" s="49">
        <v>73565.25</v>
      </c>
    </row>
    <row r="22" spans="1:12" ht="51" hidden="1" x14ac:dyDescent="0.3">
      <c r="A22" s="43" t="s">
        <v>102</v>
      </c>
      <c r="B22" s="44" t="s">
        <v>112</v>
      </c>
      <c r="C22" s="44" t="s">
        <v>113</v>
      </c>
      <c r="D22" s="44" t="s">
        <v>114</v>
      </c>
      <c r="E22" s="45" t="s">
        <v>13</v>
      </c>
      <c r="F22" s="53">
        <v>425</v>
      </c>
      <c r="G22" s="53"/>
      <c r="H22" s="45" t="s">
        <v>45</v>
      </c>
      <c r="I22" s="52" t="s">
        <v>18</v>
      </c>
      <c r="J22" s="52"/>
      <c r="K22" s="48" t="s">
        <v>8</v>
      </c>
      <c r="L22" s="49">
        <v>555627.74</v>
      </c>
    </row>
    <row r="23" spans="1:12" ht="51" hidden="1" x14ac:dyDescent="0.3">
      <c r="A23" s="43" t="s">
        <v>102</v>
      </c>
      <c r="B23" s="44" t="s">
        <v>112</v>
      </c>
      <c r="C23" s="44" t="s">
        <v>115</v>
      </c>
      <c r="D23" s="44" t="s">
        <v>114</v>
      </c>
      <c r="E23" s="45" t="s">
        <v>13</v>
      </c>
      <c r="F23" s="53">
        <v>18</v>
      </c>
      <c r="G23" s="53"/>
      <c r="H23" s="45" t="s">
        <v>45</v>
      </c>
      <c r="I23" s="52" t="s">
        <v>18</v>
      </c>
      <c r="J23" s="52"/>
      <c r="K23" s="48" t="s">
        <v>8</v>
      </c>
      <c r="L23" s="49">
        <v>555645.74</v>
      </c>
    </row>
    <row r="24" spans="1:12" ht="51" hidden="1" x14ac:dyDescent="0.3">
      <c r="A24" s="43" t="s">
        <v>102</v>
      </c>
      <c r="B24" s="44" t="s">
        <v>112</v>
      </c>
      <c r="C24" s="44" t="s">
        <v>116</v>
      </c>
      <c r="D24" s="44" t="s">
        <v>114</v>
      </c>
      <c r="E24" s="45" t="s">
        <v>13</v>
      </c>
      <c r="F24" s="53">
        <v>90</v>
      </c>
      <c r="G24" s="53"/>
      <c r="H24" s="45" t="s">
        <v>45</v>
      </c>
      <c r="I24" s="52" t="s">
        <v>18</v>
      </c>
      <c r="J24" s="52"/>
      <c r="K24" s="48" t="s">
        <v>8</v>
      </c>
      <c r="L24" s="49">
        <v>555735.74</v>
      </c>
    </row>
    <row r="25" spans="1:12" ht="51" hidden="1" x14ac:dyDescent="0.3">
      <c r="A25" s="43" t="s">
        <v>102</v>
      </c>
      <c r="B25" s="44" t="s">
        <v>112</v>
      </c>
      <c r="C25" s="44" t="s">
        <v>117</v>
      </c>
      <c r="D25" s="44" t="s">
        <v>114</v>
      </c>
      <c r="E25" s="45" t="s">
        <v>13</v>
      </c>
      <c r="F25" s="53">
        <v>90</v>
      </c>
      <c r="G25" s="53"/>
      <c r="H25" s="45" t="s">
        <v>45</v>
      </c>
      <c r="I25" s="52" t="s">
        <v>18</v>
      </c>
      <c r="J25" s="52"/>
      <c r="K25" s="48" t="s">
        <v>8</v>
      </c>
      <c r="L25" s="49">
        <v>555825.74</v>
      </c>
    </row>
    <row r="26" spans="1:12" ht="61.2" hidden="1" x14ac:dyDescent="0.3">
      <c r="A26" s="43" t="s">
        <v>102</v>
      </c>
      <c r="B26" s="44" t="s">
        <v>112</v>
      </c>
      <c r="C26" s="44" t="s">
        <v>118</v>
      </c>
      <c r="D26" s="44" t="s">
        <v>114</v>
      </c>
      <c r="E26" s="45" t="s">
        <v>13</v>
      </c>
      <c r="F26" s="53">
        <v>75</v>
      </c>
      <c r="G26" s="53"/>
      <c r="H26" s="45" t="s">
        <v>45</v>
      </c>
      <c r="I26" s="52" t="s">
        <v>18</v>
      </c>
      <c r="J26" s="52"/>
      <c r="K26" s="48" t="s">
        <v>8</v>
      </c>
      <c r="L26" s="49">
        <v>555900.74</v>
      </c>
    </row>
    <row r="27" spans="1:12" ht="51" hidden="1" x14ac:dyDescent="0.3">
      <c r="A27" s="43" t="s">
        <v>102</v>
      </c>
      <c r="B27" s="44" t="s">
        <v>112</v>
      </c>
      <c r="C27" s="44" t="s">
        <v>119</v>
      </c>
      <c r="D27" s="44" t="s">
        <v>114</v>
      </c>
      <c r="E27" s="45" t="s">
        <v>13</v>
      </c>
      <c r="F27" s="53">
        <v>70</v>
      </c>
      <c r="G27" s="53"/>
      <c r="H27" s="45" t="s">
        <v>45</v>
      </c>
      <c r="I27" s="52" t="s">
        <v>18</v>
      </c>
      <c r="J27" s="52"/>
      <c r="K27" s="48" t="s">
        <v>8</v>
      </c>
      <c r="L27" s="49">
        <v>555970.74</v>
      </c>
    </row>
    <row r="28" spans="1:12" ht="51" hidden="1" x14ac:dyDescent="0.3">
      <c r="A28" s="43" t="s">
        <v>102</v>
      </c>
      <c r="B28" s="44" t="s">
        <v>112</v>
      </c>
      <c r="C28" s="44" t="s">
        <v>120</v>
      </c>
      <c r="D28" s="44" t="s">
        <v>114</v>
      </c>
      <c r="E28" s="45" t="s">
        <v>13</v>
      </c>
      <c r="F28" s="53">
        <v>32</v>
      </c>
      <c r="G28" s="53"/>
      <c r="H28" s="45" t="s">
        <v>45</v>
      </c>
      <c r="I28" s="52" t="s">
        <v>18</v>
      </c>
      <c r="J28" s="52"/>
      <c r="K28" s="48" t="s">
        <v>8</v>
      </c>
      <c r="L28" s="49">
        <v>556002.74</v>
      </c>
    </row>
    <row r="29" spans="1:12" ht="51" hidden="1" x14ac:dyDescent="0.3">
      <c r="A29" s="43" t="s">
        <v>102</v>
      </c>
      <c r="B29" s="44" t="s">
        <v>112</v>
      </c>
      <c r="C29" s="44" t="s">
        <v>121</v>
      </c>
      <c r="D29" s="44" t="s">
        <v>114</v>
      </c>
      <c r="E29" s="45" t="s">
        <v>13</v>
      </c>
      <c r="F29" s="53">
        <v>333</v>
      </c>
      <c r="G29" s="53"/>
      <c r="H29" s="45" t="s">
        <v>45</v>
      </c>
      <c r="I29" s="52" t="s">
        <v>18</v>
      </c>
      <c r="J29" s="52"/>
      <c r="K29" s="48" t="s">
        <v>8</v>
      </c>
      <c r="L29" s="49">
        <v>556335.74</v>
      </c>
    </row>
    <row r="30" spans="1:12" ht="51" hidden="1" x14ac:dyDescent="0.3">
      <c r="A30" s="43" t="s">
        <v>102</v>
      </c>
      <c r="B30" s="44" t="s">
        <v>112</v>
      </c>
      <c r="C30" s="44" t="s">
        <v>121</v>
      </c>
      <c r="D30" s="44" t="s">
        <v>114</v>
      </c>
      <c r="E30" s="45" t="s">
        <v>13</v>
      </c>
      <c r="F30" s="53">
        <v>326</v>
      </c>
      <c r="G30" s="53"/>
      <c r="H30" s="45" t="s">
        <v>45</v>
      </c>
      <c r="I30" s="52" t="s">
        <v>18</v>
      </c>
      <c r="J30" s="52"/>
      <c r="K30" s="48" t="s">
        <v>8</v>
      </c>
      <c r="L30" s="49">
        <v>556661.74</v>
      </c>
    </row>
    <row r="31" spans="1:12" ht="51" x14ac:dyDescent="0.3">
      <c r="A31" s="43" t="s">
        <v>102</v>
      </c>
      <c r="B31" s="44" t="s">
        <v>122</v>
      </c>
      <c r="C31" s="44" t="s">
        <v>95</v>
      </c>
      <c r="D31" s="44" t="s">
        <v>123</v>
      </c>
      <c r="E31" s="45" t="s">
        <v>66</v>
      </c>
      <c r="F31" s="46" t="s">
        <v>18</v>
      </c>
      <c r="G31" s="46"/>
      <c r="H31" s="45" t="s">
        <v>13</v>
      </c>
      <c r="I31" s="50">
        <v>625</v>
      </c>
      <c r="J31" s="50"/>
      <c r="K31" s="48" t="s">
        <v>8</v>
      </c>
      <c r="L31" s="49">
        <v>556036.74</v>
      </c>
    </row>
    <row r="32" spans="1:12" ht="61.2" x14ac:dyDescent="0.3">
      <c r="A32" s="43" t="s">
        <v>102</v>
      </c>
      <c r="B32" s="44" t="s">
        <v>122</v>
      </c>
      <c r="C32" s="44" t="s">
        <v>95</v>
      </c>
      <c r="D32" s="44" t="s">
        <v>124</v>
      </c>
      <c r="E32" s="45" t="s">
        <v>66</v>
      </c>
      <c r="F32" s="46" t="s">
        <v>18</v>
      </c>
      <c r="G32" s="46"/>
      <c r="H32" s="45" t="s">
        <v>13</v>
      </c>
      <c r="I32" s="47">
        <v>3210</v>
      </c>
      <c r="J32" s="47"/>
      <c r="K32" s="48" t="s">
        <v>8</v>
      </c>
      <c r="L32" s="49">
        <v>552826.74</v>
      </c>
    </row>
    <row r="33" spans="1:12" ht="51" x14ac:dyDescent="0.3">
      <c r="A33" s="43" t="s">
        <v>102</v>
      </c>
      <c r="B33" s="44" t="s">
        <v>122</v>
      </c>
      <c r="C33" s="44" t="s">
        <v>95</v>
      </c>
      <c r="D33" s="44" t="s">
        <v>125</v>
      </c>
      <c r="E33" s="45" t="s">
        <v>66</v>
      </c>
      <c r="F33" s="46" t="s">
        <v>18</v>
      </c>
      <c r="G33" s="46"/>
      <c r="H33" s="45" t="s">
        <v>13</v>
      </c>
      <c r="I33" s="47">
        <v>1040</v>
      </c>
      <c r="J33" s="47"/>
      <c r="K33" s="48" t="s">
        <v>8</v>
      </c>
      <c r="L33" s="49">
        <v>551786.74</v>
      </c>
    </row>
    <row r="34" spans="1:12" ht="51" x14ac:dyDescent="0.3">
      <c r="A34" s="43" t="s">
        <v>102</v>
      </c>
      <c r="B34" s="44" t="s">
        <v>122</v>
      </c>
      <c r="C34" s="44" t="s">
        <v>95</v>
      </c>
      <c r="D34" s="44" t="s">
        <v>126</v>
      </c>
      <c r="E34" s="45" t="s">
        <v>66</v>
      </c>
      <c r="F34" s="46" t="s">
        <v>18</v>
      </c>
      <c r="G34" s="46"/>
      <c r="H34" s="45" t="s">
        <v>13</v>
      </c>
      <c r="I34" s="50">
        <v>560</v>
      </c>
      <c r="J34" s="50"/>
      <c r="K34" s="48" t="s">
        <v>8</v>
      </c>
      <c r="L34" s="49">
        <v>551226.74</v>
      </c>
    </row>
    <row r="35" spans="1:12" ht="51" x14ac:dyDescent="0.3">
      <c r="A35" s="43" t="s">
        <v>102</v>
      </c>
      <c r="B35" s="44" t="s">
        <v>122</v>
      </c>
      <c r="C35" s="44" t="s">
        <v>95</v>
      </c>
      <c r="D35" s="44" t="s">
        <v>127</v>
      </c>
      <c r="E35" s="45" t="s">
        <v>66</v>
      </c>
      <c r="F35" s="46" t="s">
        <v>18</v>
      </c>
      <c r="G35" s="46"/>
      <c r="H35" s="45" t="s">
        <v>13</v>
      </c>
      <c r="I35" s="47">
        <v>32500</v>
      </c>
      <c r="J35" s="47"/>
      <c r="K35" s="48" t="s">
        <v>8</v>
      </c>
      <c r="L35" s="49">
        <v>518726.74</v>
      </c>
    </row>
    <row r="36" spans="1:12" ht="51" x14ac:dyDescent="0.3">
      <c r="A36" s="43" t="s">
        <v>102</v>
      </c>
      <c r="B36" s="44" t="s">
        <v>122</v>
      </c>
      <c r="C36" s="44" t="s">
        <v>95</v>
      </c>
      <c r="D36" s="44" t="s">
        <v>128</v>
      </c>
      <c r="E36" s="45" t="s">
        <v>66</v>
      </c>
      <c r="F36" s="46" t="s">
        <v>18</v>
      </c>
      <c r="G36" s="46"/>
      <c r="H36" s="45" t="s">
        <v>13</v>
      </c>
      <c r="I36" s="47">
        <v>2324.5</v>
      </c>
      <c r="J36" s="47"/>
      <c r="K36" s="48" t="s">
        <v>8</v>
      </c>
      <c r="L36" s="49">
        <v>516402.24</v>
      </c>
    </row>
    <row r="37" spans="1:12" ht="51" x14ac:dyDescent="0.3">
      <c r="A37" s="43" t="s">
        <v>102</v>
      </c>
      <c r="B37" s="44" t="s">
        <v>122</v>
      </c>
      <c r="C37" s="44" t="s">
        <v>95</v>
      </c>
      <c r="D37" s="44" t="s">
        <v>129</v>
      </c>
      <c r="E37" s="45" t="s">
        <v>66</v>
      </c>
      <c r="F37" s="46" t="s">
        <v>18</v>
      </c>
      <c r="G37" s="46"/>
      <c r="H37" s="45" t="s">
        <v>13</v>
      </c>
      <c r="I37" s="47">
        <v>3500</v>
      </c>
      <c r="J37" s="47"/>
      <c r="K37" s="48" t="s">
        <v>8</v>
      </c>
      <c r="L37" s="49">
        <v>512902.24</v>
      </c>
    </row>
    <row r="38" spans="1:12" ht="51" x14ac:dyDescent="0.3">
      <c r="A38" s="43" t="s">
        <v>102</v>
      </c>
      <c r="B38" s="44" t="s">
        <v>122</v>
      </c>
      <c r="C38" s="44" t="s">
        <v>95</v>
      </c>
      <c r="D38" s="44" t="s">
        <v>130</v>
      </c>
      <c r="E38" s="45" t="s">
        <v>66</v>
      </c>
      <c r="F38" s="46" t="s">
        <v>18</v>
      </c>
      <c r="G38" s="46"/>
      <c r="H38" s="45" t="s">
        <v>13</v>
      </c>
      <c r="I38" s="50">
        <v>841.5</v>
      </c>
      <c r="J38" s="50"/>
      <c r="K38" s="48" t="s">
        <v>8</v>
      </c>
      <c r="L38" s="49">
        <v>512060.74</v>
      </c>
    </row>
    <row r="39" spans="1:12" ht="51" x14ac:dyDescent="0.3">
      <c r="A39" s="43" t="s">
        <v>102</v>
      </c>
      <c r="B39" s="44" t="s">
        <v>122</v>
      </c>
      <c r="C39" s="44" t="s">
        <v>95</v>
      </c>
      <c r="D39" s="44" t="s">
        <v>131</v>
      </c>
      <c r="E39" s="45" t="s">
        <v>66</v>
      </c>
      <c r="F39" s="46" t="s">
        <v>18</v>
      </c>
      <c r="G39" s="46"/>
      <c r="H39" s="45" t="s">
        <v>13</v>
      </c>
      <c r="I39" s="50">
        <v>291.60000000000002</v>
      </c>
      <c r="J39" s="50"/>
      <c r="K39" s="48" t="s">
        <v>8</v>
      </c>
      <c r="L39" s="49">
        <v>511769.14</v>
      </c>
    </row>
    <row r="40" spans="1:12" ht="51" x14ac:dyDescent="0.3">
      <c r="A40" s="43" t="s">
        <v>102</v>
      </c>
      <c r="B40" s="44" t="s">
        <v>122</v>
      </c>
      <c r="C40" s="44" t="s">
        <v>95</v>
      </c>
      <c r="D40" s="44" t="s">
        <v>132</v>
      </c>
      <c r="E40" s="45" t="s">
        <v>66</v>
      </c>
      <c r="F40" s="46" t="s">
        <v>18</v>
      </c>
      <c r="G40" s="46"/>
      <c r="H40" s="45" t="s">
        <v>13</v>
      </c>
      <c r="I40" s="47">
        <v>1000</v>
      </c>
      <c r="J40" s="47"/>
      <c r="K40" s="48" t="s">
        <v>8</v>
      </c>
      <c r="L40" s="49">
        <v>510769.14</v>
      </c>
    </row>
    <row r="41" spans="1:12" ht="51" x14ac:dyDescent="0.3">
      <c r="A41" s="43" t="s">
        <v>102</v>
      </c>
      <c r="B41" s="44" t="s">
        <v>122</v>
      </c>
      <c r="C41" s="44" t="s">
        <v>95</v>
      </c>
      <c r="D41" s="44" t="s">
        <v>133</v>
      </c>
      <c r="E41" s="45" t="s">
        <v>66</v>
      </c>
      <c r="F41" s="46" t="s">
        <v>18</v>
      </c>
      <c r="G41" s="46"/>
      <c r="H41" s="45" t="s">
        <v>13</v>
      </c>
      <c r="I41" s="47">
        <v>4500</v>
      </c>
      <c r="J41" s="47"/>
      <c r="K41" s="48" t="s">
        <v>8</v>
      </c>
      <c r="L41" s="49">
        <v>506269.14</v>
      </c>
    </row>
    <row r="42" spans="1:12" ht="51" x14ac:dyDescent="0.3">
      <c r="A42" s="43" t="s">
        <v>102</v>
      </c>
      <c r="B42" s="44" t="s">
        <v>122</v>
      </c>
      <c r="C42" s="44" t="s">
        <v>95</v>
      </c>
      <c r="D42" s="44" t="s">
        <v>134</v>
      </c>
      <c r="E42" s="45" t="s">
        <v>66</v>
      </c>
      <c r="F42" s="46" t="s">
        <v>18</v>
      </c>
      <c r="G42" s="46"/>
      <c r="H42" s="45" t="s">
        <v>13</v>
      </c>
      <c r="I42" s="47">
        <v>1101.4000000000001</v>
      </c>
      <c r="J42" s="47"/>
      <c r="K42" s="48" t="s">
        <v>8</v>
      </c>
      <c r="L42" s="49">
        <v>505167.74</v>
      </c>
    </row>
    <row r="43" spans="1:12" ht="61.2" x14ac:dyDescent="0.3">
      <c r="A43" s="43" t="s">
        <v>102</v>
      </c>
      <c r="B43" s="44" t="s">
        <v>122</v>
      </c>
      <c r="C43" s="44" t="s">
        <v>95</v>
      </c>
      <c r="D43" s="44" t="s">
        <v>135</v>
      </c>
      <c r="E43" s="45" t="s">
        <v>66</v>
      </c>
      <c r="F43" s="46" t="s">
        <v>18</v>
      </c>
      <c r="G43" s="46"/>
      <c r="H43" s="45" t="s">
        <v>13</v>
      </c>
      <c r="I43" s="47">
        <v>3327.6</v>
      </c>
      <c r="J43" s="47"/>
      <c r="K43" s="48" t="s">
        <v>8</v>
      </c>
      <c r="L43" s="49">
        <v>501840.14</v>
      </c>
    </row>
    <row r="44" spans="1:12" ht="51" x14ac:dyDescent="0.3">
      <c r="A44" s="43" t="s">
        <v>102</v>
      </c>
      <c r="B44" s="44" t="s">
        <v>122</v>
      </c>
      <c r="C44" s="44" t="s">
        <v>95</v>
      </c>
      <c r="D44" s="44" t="s">
        <v>136</v>
      </c>
      <c r="E44" s="45" t="s">
        <v>66</v>
      </c>
      <c r="F44" s="46" t="s">
        <v>18</v>
      </c>
      <c r="G44" s="46"/>
      <c r="H44" s="45" t="s">
        <v>13</v>
      </c>
      <c r="I44" s="47">
        <v>1985</v>
      </c>
      <c r="J44" s="47"/>
      <c r="K44" s="48" t="s">
        <v>8</v>
      </c>
      <c r="L44" s="49">
        <v>499855.14</v>
      </c>
    </row>
    <row r="45" spans="1:12" ht="51" x14ac:dyDescent="0.3">
      <c r="A45" s="43" t="s">
        <v>102</v>
      </c>
      <c r="B45" s="44" t="s">
        <v>122</v>
      </c>
      <c r="C45" s="44" t="s">
        <v>95</v>
      </c>
      <c r="D45" s="44" t="s">
        <v>115</v>
      </c>
      <c r="E45" s="45" t="s">
        <v>66</v>
      </c>
      <c r="F45" s="46" t="s">
        <v>18</v>
      </c>
      <c r="G45" s="46"/>
      <c r="H45" s="45" t="s">
        <v>13</v>
      </c>
      <c r="I45" s="50">
        <v>18</v>
      </c>
      <c r="J45" s="50"/>
      <c r="K45" s="48" t="s">
        <v>8</v>
      </c>
      <c r="L45" s="49">
        <v>499837.14</v>
      </c>
    </row>
    <row r="46" spans="1:12" ht="61.2" x14ac:dyDescent="0.3">
      <c r="A46" s="43" t="s">
        <v>102</v>
      </c>
      <c r="B46" s="44" t="s">
        <v>122</v>
      </c>
      <c r="C46" s="44" t="s">
        <v>95</v>
      </c>
      <c r="D46" s="44" t="s">
        <v>118</v>
      </c>
      <c r="E46" s="45" t="s">
        <v>66</v>
      </c>
      <c r="F46" s="46" t="s">
        <v>18</v>
      </c>
      <c r="G46" s="46"/>
      <c r="H46" s="45" t="s">
        <v>13</v>
      </c>
      <c r="I46" s="50">
        <v>75</v>
      </c>
      <c r="J46" s="50"/>
      <c r="K46" s="48" t="s">
        <v>8</v>
      </c>
      <c r="L46" s="49">
        <v>499762.14</v>
      </c>
    </row>
    <row r="47" spans="1:12" ht="51" x14ac:dyDescent="0.3">
      <c r="A47" s="43" t="s">
        <v>102</v>
      </c>
      <c r="B47" s="44" t="s">
        <v>122</v>
      </c>
      <c r="C47" s="44" t="s">
        <v>95</v>
      </c>
      <c r="D47" s="44" t="s">
        <v>137</v>
      </c>
      <c r="E47" s="45" t="s">
        <v>66</v>
      </c>
      <c r="F47" s="46" t="s">
        <v>18</v>
      </c>
      <c r="G47" s="46"/>
      <c r="H47" s="45" t="s">
        <v>13</v>
      </c>
      <c r="I47" s="47">
        <v>1056.9000000000001</v>
      </c>
      <c r="J47" s="47"/>
      <c r="K47" s="48" t="s">
        <v>8</v>
      </c>
      <c r="L47" s="49">
        <v>498705.24</v>
      </c>
    </row>
    <row r="48" spans="1:12" ht="51" x14ac:dyDescent="0.3">
      <c r="A48" s="43" t="s">
        <v>102</v>
      </c>
      <c r="B48" s="44" t="s">
        <v>122</v>
      </c>
      <c r="C48" s="44" t="s">
        <v>95</v>
      </c>
      <c r="D48" s="44" t="s">
        <v>113</v>
      </c>
      <c r="E48" s="45" t="s">
        <v>66</v>
      </c>
      <c r="F48" s="46" t="s">
        <v>18</v>
      </c>
      <c r="G48" s="46"/>
      <c r="H48" s="45" t="s">
        <v>13</v>
      </c>
      <c r="I48" s="50">
        <v>425</v>
      </c>
      <c r="J48" s="50"/>
      <c r="K48" s="48" t="s">
        <v>8</v>
      </c>
      <c r="L48" s="49">
        <v>498280.24</v>
      </c>
    </row>
    <row r="49" spans="1:12" ht="51" x14ac:dyDescent="0.3">
      <c r="A49" s="43" t="s">
        <v>102</v>
      </c>
      <c r="B49" s="44" t="s">
        <v>122</v>
      </c>
      <c r="C49" s="44" t="s">
        <v>95</v>
      </c>
      <c r="D49" s="44" t="s">
        <v>138</v>
      </c>
      <c r="E49" s="45" t="s">
        <v>66</v>
      </c>
      <c r="F49" s="46" t="s">
        <v>18</v>
      </c>
      <c r="G49" s="46"/>
      <c r="H49" s="45" t="s">
        <v>13</v>
      </c>
      <c r="I49" s="50">
        <v>375.75</v>
      </c>
      <c r="J49" s="50"/>
      <c r="K49" s="48" t="s">
        <v>8</v>
      </c>
      <c r="L49" s="49">
        <v>497904.49</v>
      </c>
    </row>
    <row r="50" spans="1:12" ht="51" x14ac:dyDescent="0.3">
      <c r="A50" s="43" t="s">
        <v>102</v>
      </c>
      <c r="B50" s="44" t="s">
        <v>139</v>
      </c>
      <c r="C50" s="44" t="s">
        <v>95</v>
      </c>
      <c r="D50" s="44" t="s">
        <v>140</v>
      </c>
      <c r="E50" s="45" t="s">
        <v>66</v>
      </c>
      <c r="F50" s="46" t="s">
        <v>18</v>
      </c>
      <c r="G50" s="46"/>
      <c r="H50" s="45" t="s">
        <v>13</v>
      </c>
      <c r="I50" s="50">
        <v>195</v>
      </c>
      <c r="J50" s="50"/>
      <c r="K50" s="48" t="s">
        <v>8</v>
      </c>
      <c r="L50" s="49">
        <v>497709.49</v>
      </c>
    </row>
    <row r="51" spans="1:12" ht="51" x14ac:dyDescent="0.3">
      <c r="A51" s="43" t="s">
        <v>102</v>
      </c>
      <c r="B51" s="44" t="s">
        <v>139</v>
      </c>
      <c r="C51" s="44" t="s">
        <v>95</v>
      </c>
      <c r="D51" s="44" t="s">
        <v>141</v>
      </c>
      <c r="E51" s="45" t="s">
        <v>66</v>
      </c>
      <c r="F51" s="46" t="s">
        <v>18</v>
      </c>
      <c r="G51" s="46"/>
      <c r="H51" s="45" t="s">
        <v>13</v>
      </c>
      <c r="I51" s="50">
        <v>697.25</v>
      </c>
      <c r="J51" s="50"/>
      <c r="K51" s="48" t="s">
        <v>8</v>
      </c>
      <c r="L51" s="49">
        <v>497012.24</v>
      </c>
    </row>
    <row r="52" spans="1:12" ht="51" x14ac:dyDescent="0.3">
      <c r="A52" s="43" t="s">
        <v>102</v>
      </c>
      <c r="B52" s="44" t="s">
        <v>139</v>
      </c>
      <c r="C52" s="44" t="s">
        <v>95</v>
      </c>
      <c r="D52" s="44" t="s">
        <v>142</v>
      </c>
      <c r="E52" s="45" t="s">
        <v>66</v>
      </c>
      <c r="F52" s="46" t="s">
        <v>18</v>
      </c>
      <c r="G52" s="46"/>
      <c r="H52" s="45" t="s">
        <v>13</v>
      </c>
      <c r="I52" s="47">
        <v>1560</v>
      </c>
      <c r="J52" s="47"/>
      <c r="K52" s="48" t="s">
        <v>8</v>
      </c>
      <c r="L52" s="49">
        <v>495452.24</v>
      </c>
    </row>
    <row r="53" spans="1:12" ht="51" x14ac:dyDescent="0.3">
      <c r="A53" s="43" t="s">
        <v>102</v>
      </c>
      <c r="B53" s="44" t="s">
        <v>143</v>
      </c>
      <c r="C53" s="44" t="s">
        <v>95</v>
      </c>
      <c r="D53" s="44" t="s">
        <v>144</v>
      </c>
      <c r="E53" s="45" t="s">
        <v>66</v>
      </c>
      <c r="F53" s="46" t="s">
        <v>18</v>
      </c>
      <c r="G53" s="46"/>
      <c r="H53" s="45" t="s">
        <v>13</v>
      </c>
      <c r="I53" s="50">
        <v>165</v>
      </c>
      <c r="J53" s="50"/>
      <c r="K53" s="48" t="s">
        <v>8</v>
      </c>
      <c r="L53" s="49">
        <v>495287.24</v>
      </c>
    </row>
    <row r="54" spans="1:12" ht="51" x14ac:dyDescent="0.3">
      <c r="A54" s="43" t="s">
        <v>102</v>
      </c>
      <c r="B54" s="44" t="s">
        <v>143</v>
      </c>
      <c r="C54" s="44" t="s">
        <v>95</v>
      </c>
      <c r="D54" s="44" t="s">
        <v>121</v>
      </c>
      <c r="E54" s="45" t="s">
        <v>66</v>
      </c>
      <c r="F54" s="46" t="s">
        <v>18</v>
      </c>
      <c r="G54" s="46"/>
      <c r="H54" s="45" t="s">
        <v>13</v>
      </c>
      <c r="I54" s="50">
        <v>659</v>
      </c>
      <c r="J54" s="50"/>
      <c r="K54" s="48" t="s">
        <v>8</v>
      </c>
      <c r="L54" s="49">
        <v>494628.24</v>
      </c>
    </row>
    <row r="55" spans="1:12" ht="51" x14ac:dyDescent="0.3">
      <c r="A55" s="43" t="s">
        <v>102</v>
      </c>
      <c r="B55" s="44" t="s">
        <v>143</v>
      </c>
      <c r="C55" s="44" t="s">
        <v>95</v>
      </c>
      <c r="D55" s="44" t="s">
        <v>145</v>
      </c>
      <c r="E55" s="45" t="s">
        <v>66</v>
      </c>
      <c r="F55" s="46" t="s">
        <v>18</v>
      </c>
      <c r="G55" s="46"/>
      <c r="H55" s="45" t="s">
        <v>13</v>
      </c>
      <c r="I55" s="50">
        <v>897.6</v>
      </c>
      <c r="J55" s="50"/>
      <c r="K55" s="48" t="s">
        <v>8</v>
      </c>
      <c r="L55" s="49">
        <v>493730.64</v>
      </c>
    </row>
    <row r="56" spans="1:12" ht="51" x14ac:dyDescent="0.3">
      <c r="A56" s="43" t="s">
        <v>102</v>
      </c>
      <c r="B56" s="44" t="s">
        <v>143</v>
      </c>
      <c r="C56" s="44" t="s">
        <v>95</v>
      </c>
      <c r="D56" s="44" t="s">
        <v>146</v>
      </c>
      <c r="E56" s="45" t="s">
        <v>66</v>
      </c>
      <c r="F56" s="46" t="s">
        <v>18</v>
      </c>
      <c r="G56" s="46"/>
      <c r="H56" s="45" t="s">
        <v>13</v>
      </c>
      <c r="I56" s="50">
        <v>324</v>
      </c>
      <c r="J56" s="50"/>
      <c r="K56" s="48" t="s">
        <v>8</v>
      </c>
      <c r="L56" s="49">
        <v>493406.64</v>
      </c>
    </row>
    <row r="57" spans="1:12" ht="51" x14ac:dyDescent="0.3">
      <c r="A57" s="43" t="s">
        <v>102</v>
      </c>
      <c r="B57" s="44" t="s">
        <v>143</v>
      </c>
      <c r="C57" s="44" t="s">
        <v>147</v>
      </c>
      <c r="D57" s="44" t="s">
        <v>148</v>
      </c>
      <c r="E57" s="45" t="s">
        <v>66</v>
      </c>
      <c r="F57" s="46" t="s">
        <v>18</v>
      </c>
      <c r="G57" s="46"/>
      <c r="H57" s="45" t="s">
        <v>13</v>
      </c>
      <c r="I57" s="50">
        <v>75.849999999999994</v>
      </c>
      <c r="J57" s="50"/>
      <c r="K57" s="48" t="s">
        <v>8</v>
      </c>
      <c r="L57" s="49">
        <v>493330.79</v>
      </c>
    </row>
    <row r="58" spans="1:12" ht="51" x14ac:dyDescent="0.3">
      <c r="A58" s="43" t="s">
        <v>102</v>
      </c>
      <c r="B58" s="44" t="s">
        <v>143</v>
      </c>
      <c r="C58" s="44" t="s">
        <v>95</v>
      </c>
      <c r="D58" s="44" t="s">
        <v>149</v>
      </c>
      <c r="E58" s="45" t="s">
        <v>66</v>
      </c>
      <c r="F58" s="46" t="s">
        <v>18</v>
      </c>
      <c r="G58" s="46"/>
      <c r="H58" s="45" t="s">
        <v>13</v>
      </c>
      <c r="I58" s="50">
        <v>35</v>
      </c>
      <c r="J58" s="50"/>
      <c r="K58" s="48" t="s">
        <v>8</v>
      </c>
      <c r="L58" s="49">
        <v>493295.79</v>
      </c>
    </row>
    <row r="59" spans="1:12" ht="51" x14ac:dyDescent="0.3">
      <c r="A59" s="43" t="s">
        <v>102</v>
      </c>
      <c r="B59" s="44" t="s">
        <v>143</v>
      </c>
      <c r="C59" s="44" t="s">
        <v>95</v>
      </c>
      <c r="D59" s="44" t="s">
        <v>120</v>
      </c>
      <c r="E59" s="45" t="s">
        <v>66</v>
      </c>
      <c r="F59" s="46" t="s">
        <v>18</v>
      </c>
      <c r="G59" s="46"/>
      <c r="H59" s="45" t="s">
        <v>13</v>
      </c>
      <c r="I59" s="50">
        <v>32</v>
      </c>
      <c r="J59" s="50"/>
      <c r="K59" s="48" t="s">
        <v>8</v>
      </c>
      <c r="L59" s="49">
        <v>493263.79</v>
      </c>
    </row>
    <row r="60" spans="1:12" ht="51" x14ac:dyDescent="0.3">
      <c r="A60" s="43" t="s">
        <v>102</v>
      </c>
      <c r="B60" s="44" t="s">
        <v>143</v>
      </c>
      <c r="C60" s="44" t="s">
        <v>95</v>
      </c>
      <c r="D60" s="44" t="s">
        <v>150</v>
      </c>
      <c r="E60" s="45" t="s">
        <v>66</v>
      </c>
      <c r="F60" s="46" t="s">
        <v>18</v>
      </c>
      <c r="G60" s="46"/>
      <c r="H60" s="45" t="s">
        <v>13</v>
      </c>
      <c r="I60" s="50">
        <v>220</v>
      </c>
      <c r="J60" s="50"/>
      <c r="K60" s="48" t="s">
        <v>8</v>
      </c>
      <c r="L60" s="49">
        <v>493043.79</v>
      </c>
    </row>
    <row r="61" spans="1:12" ht="51" x14ac:dyDescent="0.3">
      <c r="A61" s="43" t="s">
        <v>102</v>
      </c>
      <c r="B61" s="44" t="s">
        <v>143</v>
      </c>
      <c r="C61" s="44" t="s">
        <v>95</v>
      </c>
      <c r="D61" s="44" t="s">
        <v>119</v>
      </c>
      <c r="E61" s="45" t="s">
        <v>66</v>
      </c>
      <c r="F61" s="46" t="s">
        <v>18</v>
      </c>
      <c r="G61" s="46"/>
      <c r="H61" s="45" t="s">
        <v>13</v>
      </c>
      <c r="I61" s="50">
        <v>70</v>
      </c>
      <c r="J61" s="50"/>
      <c r="K61" s="48" t="s">
        <v>8</v>
      </c>
      <c r="L61" s="49">
        <v>492973.79</v>
      </c>
    </row>
    <row r="62" spans="1:12" ht="51" x14ac:dyDescent="0.3">
      <c r="A62" s="43" t="s">
        <v>102</v>
      </c>
      <c r="B62" s="44" t="s">
        <v>143</v>
      </c>
      <c r="C62" s="44" t="s">
        <v>95</v>
      </c>
      <c r="D62" s="44" t="s">
        <v>151</v>
      </c>
      <c r="E62" s="45" t="s">
        <v>66</v>
      </c>
      <c r="F62" s="46" t="s">
        <v>18</v>
      </c>
      <c r="G62" s="46"/>
      <c r="H62" s="45" t="s">
        <v>13</v>
      </c>
      <c r="I62" s="50">
        <v>285</v>
      </c>
      <c r="J62" s="50"/>
      <c r="K62" s="48" t="s">
        <v>8</v>
      </c>
      <c r="L62" s="49">
        <v>492688.79</v>
      </c>
    </row>
    <row r="63" spans="1:12" ht="51" x14ac:dyDescent="0.3">
      <c r="A63" s="43" t="s">
        <v>102</v>
      </c>
      <c r="B63" s="44" t="s">
        <v>143</v>
      </c>
      <c r="C63" s="44" t="s">
        <v>95</v>
      </c>
      <c r="D63" s="44" t="s">
        <v>152</v>
      </c>
      <c r="E63" s="45" t="s">
        <v>66</v>
      </c>
      <c r="F63" s="46" t="s">
        <v>18</v>
      </c>
      <c r="G63" s="46"/>
      <c r="H63" s="45" t="s">
        <v>13</v>
      </c>
      <c r="I63" s="50">
        <v>300</v>
      </c>
      <c r="J63" s="50"/>
      <c r="K63" s="48" t="s">
        <v>8</v>
      </c>
      <c r="L63" s="49">
        <v>492388.79</v>
      </c>
    </row>
    <row r="64" spans="1:12" ht="51" x14ac:dyDescent="0.3">
      <c r="A64" s="43" t="s">
        <v>102</v>
      </c>
      <c r="B64" s="44" t="s">
        <v>143</v>
      </c>
      <c r="C64" s="44" t="s">
        <v>95</v>
      </c>
      <c r="D64" s="44" t="s">
        <v>153</v>
      </c>
      <c r="E64" s="45" t="s">
        <v>66</v>
      </c>
      <c r="F64" s="46" t="s">
        <v>18</v>
      </c>
      <c r="G64" s="46"/>
      <c r="H64" s="45" t="s">
        <v>13</v>
      </c>
      <c r="I64" s="50">
        <v>390</v>
      </c>
      <c r="J64" s="50"/>
      <c r="K64" s="48" t="s">
        <v>8</v>
      </c>
      <c r="L64" s="49">
        <v>491998.79</v>
      </c>
    </row>
    <row r="65" spans="1:12" ht="51" x14ac:dyDescent="0.3">
      <c r="A65" s="43" t="s">
        <v>102</v>
      </c>
      <c r="B65" s="44" t="s">
        <v>143</v>
      </c>
      <c r="C65" s="44" t="s">
        <v>95</v>
      </c>
      <c r="D65" s="44" t="s">
        <v>154</v>
      </c>
      <c r="E65" s="45" t="s">
        <v>66</v>
      </c>
      <c r="F65" s="46" t="s">
        <v>18</v>
      </c>
      <c r="G65" s="46"/>
      <c r="H65" s="45" t="s">
        <v>13</v>
      </c>
      <c r="I65" s="50">
        <v>150</v>
      </c>
      <c r="J65" s="50"/>
      <c r="K65" s="48" t="s">
        <v>8</v>
      </c>
      <c r="L65" s="49">
        <v>491848.79</v>
      </c>
    </row>
    <row r="66" spans="1:12" ht="51" x14ac:dyDescent="0.3">
      <c r="A66" s="43" t="s">
        <v>102</v>
      </c>
      <c r="B66" s="44" t="s">
        <v>143</v>
      </c>
      <c r="C66" s="44" t="s">
        <v>95</v>
      </c>
      <c r="D66" s="44" t="s">
        <v>155</v>
      </c>
      <c r="E66" s="45" t="s">
        <v>66</v>
      </c>
      <c r="F66" s="46" t="s">
        <v>18</v>
      </c>
      <c r="G66" s="46"/>
      <c r="H66" s="45" t="s">
        <v>13</v>
      </c>
      <c r="I66" s="50">
        <v>186.8</v>
      </c>
      <c r="J66" s="50"/>
      <c r="K66" s="48" t="s">
        <v>8</v>
      </c>
      <c r="L66" s="49">
        <v>491661.99</v>
      </c>
    </row>
    <row r="67" spans="1:12" ht="61.2" x14ac:dyDescent="0.3">
      <c r="A67" s="43" t="s">
        <v>102</v>
      </c>
      <c r="B67" s="44" t="s">
        <v>143</v>
      </c>
      <c r="C67" s="44" t="s">
        <v>95</v>
      </c>
      <c r="D67" s="44" t="s">
        <v>156</v>
      </c>
      <c r="E67" s="45" t="s">
        <v>66</v>
      </c>
      <c r="F67" s="46" t="s">
        <v>18</v>
      </c>
      <c r="G67" s="46"/>
      <c r="H67" s="45" t="s">
        <v>13</v>
      </c>
      <c r="I67" s="50">
        <v>630</v>
      </c>
      <c r="J67" s="50"/>
      <c r="K67" s="48" t="s">
        <v>8</v>
      </c>
      <c r="L67" s="49">
        <v>491031.99</v>
      </c>
    </row>
    <row r="68" spans="1:12" ht="51" x14ac:dyDescent="0.3">
      <c r="A68" s="43" t="s">
        <v>102</v>
      </c>
      <c r="B68" s="44" t="s">
        <v>143</v>
      </c>
      <c r="C68" s="44" t="s">
        <v>95</v>
      </c>
      <c r="D68" s="44" t="s">
        <v>157</v>
      </c>
      <c r="E68" s="45" t="s">
        <v>66</v>
      </c>
      <c r="F68" s="46" t="s">
        <v>18</v>
      </c>
      <c r="G68" s="46"/>
      <c r="H68" s="45" t="s">
        <v>13</v>
      </c>
      <c r="I68" s="50">
        <v>126.8</v>
      </c>
      <c r="J68" s="50"/>
      <c r="K68" s="48" t="s">
        <v>8</v>
      </c>
      <c r="L68" s="49">
        <v>490905.19</v>
      </c>
    </row>
    <row r="69" spans="1:12" ht="51" x14ac:dyDescent="0.3">
      <c r="A69" s="43" t="s">
        <v>102</v>
      </c>
      <c r="B69" s="44" t="s">
        <v>158</v>
      </c>
      <c r="C69" s="44" t="s">
        <v>95</v>
      </c>
      <c r="D69" s="44" t="s">
        <v>110</v>
      </c>
      <c r="E69" s="45" t="s">
        <v>66</v>
      </c>
      <c r="F69" s="46" t="s">
        <v>18</v>
      </c>
      <c r="G69" s="46"/>
      <c r="H69" s="45" t="s">
        <v>13</v>
      </c>
      <c r="I69" s="50">
        <v>213.3</v>
      </c>
      <c r="J69" s="50"/>
      <c r="K69" s="48" t="s">
        <v>8</v>
      </c>
      <c r="L69" s="49">
        <v>73351.95</v>
      </c>
    </row>
    <row r="70" spans="1:12" ht="51" x14ac:dyDescent="0.3">
      <c r="A70" s="43" t="s">
        <v>102</v>
      </c>
      <c r="B70" s="44" t="s">
        <v>158</v>
      </c>
      <c r="C70" s="44" t="s">
        <v>95</v>
      </c>
      <c r="D70" s="44" t="s">
        <v>109</v>
      </c>
      <c r="E70" s="45" t="s">
        <v>66</v>
      </c>
      <c r="F70" s="46" t="s">
        <v>18</v>
      </c>
      <c r="G70" s="46"/>
      <c r="H70" s="45" t="s">
        <v>13</v>
      </c>
      <c r="I70" s="50">
        <v>608.65</v>
      </c>
      <c r="J70" s="50"/>
      <c r="K70" s="48" t="s">
        <v>8</v>
      </c>
      <c r="L70" s="49">
        <v>72743.3</v>
      </c>
    </row>
    <row r="71" spans="1:12" ht="51" x14ac:dyDescent="0.3">
      <c r="A71" s="43" t="s">
        <v>102</v>
      </c>
      <c r="B71" s="44" t="s">
        <v>158</v>
      </c>
      <c r="C71" s="44" t="s">
        <v>95</v>
      </c>
      <c r="D71" s="44" t="s">
        <v>159</v>
      </c>
      <c r="E71" s="45" t="s">
        <v>66</v>
      </c>
      <c r="F71" s="46" t="s">
        <v>18</v>
      </c>
      <c r="G71" s="46"/>
      <c r="H71" s="45" t="s">
        <v>13</v>
      </c>
      <c r="I71" s="50">
        <v>380</v>
      </c>
      <c r="J71" s="50"/>
      <c r="K71" s="48" t="s">
        <v>8</v>
      </c>
      <c r="L71" s="49">
        <v>72363.3</v>
      </c>
    </row>
    <row r="72" spans="1:12" ht="51" x14ac:dyDescent="0.3">
      <c r="A72" s="43" t="s">
        <v>102</v>
      </c>
      <c r="B72" s="44" t="s">
        <v>158</v>
      </c>
      <c r="C72" s="44" t="s">
        <v>95</v>
      </c>
      <c r="D72" s="44" t="s">
        <v>160</v>
      </c>
      <c r="E72" s="45" t="s">
        <v>66</v>
      </c>
      <c r="F72" s="46" t="s">
        <v>18</v>
      </c>
      <c r="G72" s="46"/>
      <c r="H72" s="45" t="s">
        <v>13</v>
      </c>
      <c r="I72" s="50">
        <v>900</v>
      </c>
      <c r="J72" s="50"/>
      <c r="K72" s="48" t="s">
        <v>8</v>
      </c>
      <c r="L72" s="49">
        <v>71463.3</v>
      </c>
    </row>
    <row r="73" spans="1:12" ht="51" x14ac:dyDescent="0.3">
      <c r="A73" s="43" t="s">
        <v>102</v>
      </c>
      <c r="B73" s="44" t="s">
        <v>158</v>
      </c>
      <c r="C73" s="44" t="s">
        <v>95</v>
      </c>
      <c r="D73" s="44" t="s">
        <v>161</v>
      </c>
      <c r="E73" s="45" t="s">
        <v>66</v>
      </c>
      <c r="F73" s="46" t="s">
        <v>18</v>
      </c>
      <c r="G73" s="46"/>
      <c r="H73" s="45" t="s">
        <v>13</v>
      </c>
      <c r="I73" s="47">
        <v>2212.5</v>
      </c>
      <c r="J73" s="47"/>
      <c r="K73" s="48" t="s">
        <v>8</v>
      </c>
      <c r="L73" s="49">
        <v>69250.8</v>
      </c>
    </row>
    <row r="74" spans="1:12" ht="51" x14ac:dyDescent="0.3">
      <c r="A74" s="43" t="s">
        <v>102</v>
      </c>
      <c r="B74" s="44" t="s">
        <v>158</v>
      </c>
      <c r="C74" s="44" t="s">
        <v>95</v>
      </c>
      <c r="D74" s="44" t="s">
        <v>162</v>
      </c>
      <c r="E74" s="45" t="s">
        <v>66</v>
      </c>
      <c r="F74" s="46" t="s">
        <v>18</v>
      </c>
      <c r="G74" s="46"/>
      <c r="H74" s="45" t="s">
        <v>13</v>
      </c>
      <c r="I74" s="47">
        <v>3815</v>
      </c>
      <c r="J74" s="47"/>
      <c r="K74" s="48" t="s">
        <v>8</v>
      </c>
      <c r="L74" s="49">
        <v>65435.8</v>
      </c>
    </row>
    <row r="75" spans="1:12" ht="51" x14ac:dyDescent="0.3">
      <c r="A75" s="43" t="s">
        <v>102</v>
      </c>
      <c r="B75" s="44" t="s">
        <v>163</v>
      </c>
      <c r="C75" s="44" t="s">
        <v>95</v>
      </c>
      <c r="D75" s="44" t="s">
        <v>164</v>
      </c>
      <c r="E75" s="45" t="s">
        <v>66</v>
      </c>
      <c r="F75" s="46" t="s">
        <v>18</v>
      </c>
      <c r="G75" s="46"/>
      <c r="H75" s="45" t="s">
        <v>13</v>
      </c>
      <c r="I75" s="47">
        <v>2224</v>
      </c>
      <c r="J75" s="47"/>
      <c r="K75" s="48" t="s">
        <v>8</v>
      </c>
      <c r="L75" s="49">
        <v>488681.19</v>
      </c>
    </row>
    <row r="76" spans="1:12" ht="51" x14ac:dyDescent="0.3">
      <c r="A76" s="43" t="s">
        <v>102</v>
      </c>
      <c r="B76" s="44" t="s">
        <v>165</v>
      </c>
      <c r="C76" s="44" t="s">
        <v>95</v>
      </c>
      <c r="D76" s="44" t="s">
        <v>166</v>
      </c>
      <c r="E76" s="45" t="s">
        <v>66</v>
      </c>
      <c r="F76" s="46" t="s">
        <v>18</v>
      </c>
      <c r="G76" s="46"/>
      <c r="H76" s="45" t="s">
        <v>13</v>
      </c>
      <c r="I76" s="50">
        <v>120</v>
      </c>
      <c r="J76" s="50"/>
      <c r="K76" s="48" t="s">
        <v>8</v>
      </c>
      <c r="L76" s="49">
        <v>488561.19</v>
      </c>
    </row>
    <row r="77" spans="1:12" ht="51" x14ac:dyDescent="0.3">
      <c r="A77" s="43" t="s">
        <v>102</v>
      </c>
      <c r="B77" s="44" t="s">
        <v>165</v>
      </c>
      <c r="C77" s="44" t="s">
        <v>95</v>
      </c>
      <c r="D77" s="44" t="s">
        <v>167</v>
      </c>
      <c r="E77" s="45" t="s">
        <v>66</v>
      </c>
      <c r="F77" s="46" t="s">
        <v>18</v>
      </c>
      <c r="G77" s="46"/>
      <c r="H77" s="45" t="s">
        <v>13</v>
      </c>
      <c r="I77" s="50">
        <v>48</v>
      </c>
      <c r="J77" s="50"/>
      <c r="K77" s="48" t="s">
        <v>8</v>
      </c>
      <c r="L77" s="49">
        <v>488513.19</v>
      </c>
    </row>
    <row r="78" spans="1:12" ht="51" x14ac:dyDescent="0.3">
      <c r="A78" s="43" t="s">
        <v>102</v>
      </c>
      <c r="B78" s="44" t="s">
        <v>165</v>
      </c>
      <c r="C78" s="44" t="s">
        <v>95</v>
      </c>
      <c r="D78" s="44" t="s">
        <v>168</v>
      </c>
      <c r="E78" s="45" t="s">
        <v>66</v>
      </c>
      <c r="F78" s="46" t="s">
        <v>18</v>
      </c>
      <c r="G78" s="46"/>
      <c r="H78" s="45" t="s">
        <v>13</v>
      </c>
      <c r="I78" s="47">
        <v>1300</v>
      </c>
      <c r="J78" s="47"/>
      <c r="K78" s="48" t="s">
        <v>8</v>
      </c>
      <c r="L78" s="49">
        <v>487213.19</v>
      </c>
    </row>
    <row r="79" spans="1:12" ht="51" x14ac:dyDescent="0.3">
      <c r="A79" s="43" t="s">
        <v>102</v>
      </c>
      <c r="B79" s="44" t="s">
        <v>169</v>
      </c>
      <c r="C79" s="44" t="s">
        <v>95</v>
      </c>
      <c r="D79" s="44" t="s">
        <v>170</v>
      </c>
      <c r="E79" s="45" t="s">
        <v>66</v>
      </c>
      <c r="F79" s="46" t="s">
        <v>18</v>
      </c>
      <c r="G79" s="46"/>
      <c r="H79" s="45" t="s">
        <v>13</v>
      </c>
      <c r="I79" s="47">
        <v>2319</v>
      </c>
      <c r="J79" s="47"/>
      <c r="K79" s="48" t="s">
        <v>8</v>
      </c>
      <c r="L79" s="49">
        <v>484894.19</v>
      </c>
    </row>
    <row r="80" spans="1:12" ht="51" x14ac:dyDescent="0.3">
      <c r="A80" s="43" t="s">
        <v>102</v>
      </c>
      <c r="B80" s="44" t="s">
        <v>169</v>
      </c>
      <c r="C80" s="44" t="s">
        <v>95</v>
      </c>
      <c r="D80" s="44" t="s">
        <v>164</v>
      </c>
      <c r="E80" s="45" t="s">
        <v>66</v>
      </c>
      <c r="F80" s="46" t="s">
        <v>18</v>
      </c>
      <c r="G80" s="46"/>
      <c r="H80" s="45" t="s">
        <v>13</v>
      </c>
      <c r="I80" s="47">
        <v>2224</v>
      </c>
      <c r="J80" s="47"/>
      <c r="K80" s="48" t="s">
        <v>8</v>
      </c>
      <c r="L80" s="49">
        <v>482670.19</v>
      </c>
    </row>
    <row r="81" spans="1:12" ht="51" x14ac:dyDescent="0.3">
      <c r="A81" s="43" t="s">
        <v>102</v>
      </c>
      <c r="B81" s="44" t="s">
        <v>171</v>
      </c>
      <c r="C81" s="44" t="s">
        <v>95</v>
      </c>
      <c r="D81" s="44" t="s">
        <v>172</v>
      </c>
      <c r="E81" s="45" t="s">
        <v>66</v>
      </c>
      <c r="F81" s="46" t="s">
        <v>18</v>
      </c>
      <c r="G81" s="46"/>
      <c r="H81" s="45" t="s">
        <v>13</v>
      </c>
      <c r="I81" s="50">
        <v>704.17</v>
      </c>
      <c r="J81" s="50"/>
      <c r="K81" s="48" t="s">
        <v>8</v>
      </c>
      <c r="L81" s="49">
        <v>481966.02</v>
      </c>
    </row>
    <row r="82" spans="1:12" ht="51" x14ac:dyDescent="0.3">
      <c r="A82" s="43" t="s">
        <v>102</v>
      </c>
      <c r="B82" s="44" t="s">
        <v>171</v>
      </c>
      <c r="C82" s="44" t="s">
        <v>95</v>
      </c>
      <c r="D82" s="44" t="s">
        <v>173</v>
      </c>
      <c r="E82" s="45" t="s">
        <v>66</v>
      </c>
      <c r="F82" s="46" t="s">
        <v>18</v>
      </c>
      <c r="G82" s="46"/>
      <c r="H82" s="45" t="s">
        <v>13</v>
      </c>
      <c r="I82" s="50">
        <v>370.2</v>
      </c>
      <c r="J82" s="50"/>
      <c r="K82" s="48" t="s">
        <v>8</v>
      </c>
      <c r="L82" s="49">
        <v>481595.82</v>
      </c>
    </row>
    <row r="83" spans="1:12" ht="51" x14ac:dyDescent="0.3">
      <c r="A83" s="43" t="s">
        <v>102</v>
      </c>
      <c r="B83" s="44" t="s">
        <v>171</v>
      </c>
      <c r="C83" s="44" t="s">
        <v>95</v>
      </c>
      <c r="D83" s="44" t="s">
        <v>174</v>
      </c>
      <c r="E83" s="45" t="s">
        <v>66</v>
      </c>
      <c r="F83" s="46" t="s">
        <v>18</v>
      </c>
      <c r="G83" s="46"/>
      <c r="H83" s="45" t="s">
        <v>13</v>
      </c>
      <c r="I83" s="50">
        <v>232.05</v>
      </c>
      <c r="J83" s="50"/>
      <c r="K83" s="48" t="s">
        <v>8</v>
      </c>
      <c r="L83" s="49">
        <v>481363.77</v>
      </c>
    </row>
    <row r="84" spans="1:12" ht="51" x14ac:dyDescent="0.3">
      <c r="A84" s="43" t="s">
        <v>102</v>
      </c>
      <c r="B84" s="44" t="s">
        <v>171</v>
      </c>
      <c r="C84" s="44" t="s">
        <v>95</v>
      </c>
      <c r="D84" s="44" t="s">
        <v>116</v>
      </c>
      <c r="E84" s="45" t="s">
        <v>66</v>
      </c>
      <c r="F84" s="46" t="s">
        <v>18</v>
      </c>
      <c r="G84" s="46"/>
      <c r="H84" s="45" t="s">
        <v>13</v>
      </c>
      <c r="I84" s="50">
        <v>90</v>
      </c>
      <c r="J84" s="50"/>
      <c r="K84" s="48" t="s">
        <v>8</v>
      </c>
      <c r="L84" s="49">
        <v>481273.77</v>
      </c>
    </row>
    <row r="85" spans="1:12" ht="51" x14ac:dyDescent="0.3">
      <c r="A85" s="43" t="s">
        <v>102</v>
      </c>
      <c r="B85" s="44" t="s">
        <v>171</v>
      </c>
      <c r="C85" s="44" t="s">
        <v>95</v>
      </c>
      <c r="D85" s="44" t="s">
        <v>117</v>
      </c>
      <c r="E85" s="45" t="s">
        <v>66</v>
      </c>
      <c r="F85" s="46" t="s">
        <v>18</v>
      </c>
      <c r="G85" s="46"/>
      <c r="H85" s="45" t="s">
        <v>13</v>
      </c>
      <c r="I85" s="50">
        <v>90</v>
      </c>
      <c r="J85" s="50"/>
      <c r="K85" s="48" t="s">
        <v>8</v>
      </c>
      <c r="L85" s="49">
        <v>481183.77</v>
      </c>
    </row>
    <row r="86" spans="1:12" ht="51" x14ac:dyDescent="0.3">
      <c r="A86" s="43" t="s">
        <v>102</v>
      </c>
      <c r="B86" s="44" t="s">
        <v>171</v>
      </c>
      <c r="C86" s="44" t="s">
        <v>95</v>
      </c>
      <c r="D86" s="44" t="s">
        <v>164</v>
      </c>
      <c r="E86" s="45" t="s">
        <v>66</v>
      </c>
      <c r="F86" s="46" t="s">
        <v>18</v>
      </c>
      <c r="G86" s="46"/>
      <c r="H86" s="45" t="s">
        <v>13</v>
      </c>
      <c r="I86" s="47">
        <v>3113.6</v>
      </c>
      <c r="J86" s="47"/>
      <c r="K86" s="48" t="s">
        <v>8</v>
      </c>
      <c r="L86" s="49">
        <v>478070.17</v>
      </c>
    </row>
    <row r="87" spans="1:12" ht="61.2" x14ac:dyDescent="0.3">
      <c r="A87" s="43" t="s">
        <v>102</v>
      </c>
      <c r="B87" s="44" t="s">
        <v>175</v>
      </c>
      <c r="C87" s="44" t="s">
        <v>95</v>
      </c>
      <c r="D87" s="44" t="s">
        <v>176</v>
      </c>
      <c r="E87" s="45" t="s">
        <v>66</v>
      </c>
      <c r="F87" s="46" t="s">
        <v>18</v>
      </c>
      <c r="G87" s="46"/>
      <c r="H87" s="45" t="s">
        <v>13</v>
      </c>
      <c r="I87" s="50">
        <v>868.35</v>
      </c>
      <c r="J87" s="50"/>
      <c r="K87" s="48" t="s">
        <v>8</v>
      </c>
      <c r="L87" s="49">
        <v>477201.82</v>
      </c>
    </row>
    <row r="88" spans="1:12" ht="61.2" x14ac:dyDescent="0.3">
      <c r="A88" s="43" t="s">
        <v>102</v>
      </c>
      <c r="B88" s="44" t="s">
        <v>175</v>
      </c>
      <c r="C88" s="44" t="s">
        <v>95</v>
      </c>
      <c r="D88" s="44" t="s">
        <v>177</v>
      </c>
      <c r="E88" s="45" t="s">
        <v>66</v>
      </c>
      <c r="F88" s="46" t="s">
        <v>18</v>
      </c>
      <c r="G88" s="46"/>
      <c r="H88" s="45" t="s">
        <v>13</v>
      </c>
      <c r="I88" s="50">
        <v>868.35</v>
      </c>
      <c r="J88" s="50"/>
      <c r="K88" s="48" t="s">
        <v>8</v>
      </c>
      <c r="L88" s="49">
        <v>476333.47</v>
      </c>
    </row>
    <row r="89" spans="1:12" ht="61.2" x14ac:dyDescent="0.3">
      <c r="A89" s="43" t="s">
        <v>102</v>
      </c>
      <c r="B89" s="44" t="s">
        <v>175</v>
      </c>
      <c r="C89" s="44" t="s">
        <v>95</v>
      </c>
      <c r="D89" s="44" t="s">
        <v>178</v>
      </c>
      <c r="E89" s="45" t="s">
        <v>66</v>
      </c>
      <c r="F89" s="46" t="s">
        <v>18</v>
      </c>
      <c r="G89" s="46"/>
      <c r="H89" s="45" t="s">
        <v>13</v>
      </c>
      <c r="I89" s="50">
        <v>868.35</v>
      </c>
      <c r="J89" s="50"/>
      <c r="K89" s="48" t="s">
        <v>8</v>
      </c>
      <c r="L89" s="49">
        <v>475465.12</v>
      </c>
    </row>
    <row r="90" spans="1:12" ht="51" x14ac:dyDescent="0.3">
      <c r="A90" s="43" t="s">
        <v>102</v>
      </c>
      <c r="B90" s="44" t="s">
        <v>179</v>
      </c>
      <c r="C90" s="44" t="s">
        <v>95</v>
      </c>
      <c r="D90" s="44" t="s">
        <v>180</v>
      </c>
      <c r="E90" s="45" t="s">
        <v>66</v>
      </c>
      <c r="F90" s="46" t="s">
        <v>18</v>
      </c>
      <c r="G90" s="46"/>
      <c r="H90" s="45" t="s">
        <v>13</v>
      </c>
      <c r="I90" s="50">
        <v>300</v>
      </c>
      <c r="J90" s="50"/>
      <c r="K90" s="48" t="s">
        <v>8</v>
      </c>
      <c r="L90" s="49">
        <v>475165.12</v>
      </c>
    </row>
    <row r="91" spans="1:12" ht="51" x14ac:dyDescent="0.3">
      <c r="A91" s="43" t="s">
        <v>102</v>
      </c>
      <c r="B91" s="44" t="s">
        <v>179</v>
      </c>
      <c r="C91" s="44" t="s">
        <v>95</v>
      </c>
      <c r="D91" s="44" t="s">
        <v>181</v>
      </c>
      <c r="E91" s="45" t="s">
        <v>66</v>
      </c>
      <c r="F91" s="46" t="s">
        <v>18</v>
      </c>
      <c r="G91" s="46"/>
      <c r="H91" s="45" t="s">
        <v>13</v>
      </c>
      <c r="I91" s="47">
        <v>1295.3</v>
      </c>
      <c r="J91" s="47"/>
      <c r="K91" s="48" t="s">
        <v>8</v>
      </c>
      <c r="L91" s="49">
        <v>473869.82</v>
      </c>
    </row>
    <row r="92" spans="1:12" ht="51" x14ac:dyDescent="0.3">
      <c r="A92" s="43" t="s">
        <v>102</v>
      </c>
      <c r="B92" s="44" t="s">
        <v>179</v>
      </c>
      <c r="C92" s="44" t="s">
        <v>95</v>
      </c>
      <c r="D92" s="44" t="s">
        <v>182</v>
      </c>
      <c r="E92" s="45" t="s">
        <v>66</v>
      </c>
      <c r="F92" s="46" t="s">
        <v>18</v>
      </c>
      <c r="G92" s="46"/>
      <c r="H92" s="45" t="s">
        <v>13</v>
      </c>
      <c r="I92" s="50">
        <v>350</v>
      </c>
      <c r="J92" s="50"/>
      <c r="K92" s="48" t="s">
        <v>8</v>
      </c>
      <c r="L92" s="49">
        <v>473519.82</v>
      </c>
    </row>
    <row r="93" spans="1:12" ht="51" x14ac:dyDescent="0.3">
      <c r="A93" s="43" t="s">
        <v>102</v>
      </c>
      <c r="B93" s="44" t="s">
        <v>179</v>
      </c>
      <c r="C93" s="44" t="s">
        <v>95</v>
      </c>
      <c r="D93" s="44" t="s">
        <v>183</v>
      </c>
      <c r="E93" s="45" t="s">
        <v>66</v>
      </c>
      <c r="F93" s="46" t="s">
        <v>18</v>
      </c>
      <c r="G93" s="46"/>
      <c r="H93" s="45" t="s">
        <v>13</v>
      </c>
      <c r="I93" s="50">
        <v>945</v>
      </c>
      <c r="J93" s="50"/>
      <c r="K93" s="48" t="s">
        <v>8</v>
      </c>
      <c r="L93" s="49">
        <v>472574.82</v>
      </c>
    </row>
    <row r="94" spans="1:12" ht="51" x14ac:dyDescent="0.3">
      <c r="A94" s="43" t="s">
        <v>102</v>
      </c>
      <c r="B94" s="44" t="s">
        <v>179</v>
      </c>
      <c r="C94" s="44" t="s">
        <v>95</v>
      </c>
      <c r="D94" s="44" t="s">
        <v>184</v>
      </c>
      <c r="E94" s="45" t="s">
        <v>66</v>
      </c>
      <c r="F94" s="46" t="s">
        <v>18</v>
      </c>
      <c r="G94" s="46"/>
      <c r="H94" s="45" t="s">
        <v>13</v>
      </c>
      <c r="I94" s="50">
        <v>75</v>
      </c>
      <c r="J94" s="50"/>
      <c r="K94" s="48" t="s">
        <v>8</v>
      </c>
      <c r="L94" s="49">
        <v>472499.82</v>
      </c>
    </row>
    <row r="95" spans="1:12" ht="51" x14ac:dyDescent="0.3">
      <c r="A95" s="43" t="s">
        <v>102</v>
      </c>
      <c r="B95" s="44" t="s">
        <v>185</v>
      </c>
      <c r="C95" s="44" t="s">
        <v>95</v>
      </c>
      <c r="D95" s="44" t="s">
        <v>186</v>
      </c>
      <c r="E95" s="45" t="s">
        <v>66</v>
      </c>
      <c r="F95" s="46" t="s">
        <v>18</v>
      </c>
      <c r="G95" s="46"/>
      <c r="H95" s="45" t="s">
        <v>13</v>
      </c>
      <c r="I95" s="47">
        <v>1047</v>
      </c>
      <c r="J95" s="47"/>
      <c r="K95" s="48" t="s">
        <v>8</v>
      </c>
      <c r="L95" s="49">
        <v>471452.82</v>
      </c>
    </row>
    <row r="96" spans="1:12" ht="51" x14ac:dyDescent="0.3">
      <c r="A96" s="43" t="s">
        <v>102</v>
      </c>
      <c r="B96" s="44" t="s">
        <v>185</v>
      </c>
      <c r="C96" s="44" t="s">
        <v>95</v>
      </c>
      <c r="D96" s="44" t="s">
        <v>187</v>
      </c>
      <c r="E96" s="45" t="s">
        <v>66</v>
      </c>
      <c r="F96" s="46" t="s">
        <v>18</v>
      </c>
      <c r="G96" s="46"/>
      <c r="H96" s="45" t="s">
        <v>13</v>
      </c>
      <c r="I96" s="50">
        <v>577.5</v>
      </c>
      <c r="J96" s="50"/>
      <c r="K96" s="48" t="s">
        <v>8</v>
      </c>
      <c r="L96" s="49">
        <v>470875.32</v>
      </c>
    </row>
    <row r="97" spans="1:12" ht="51" x14ac:dyDescent="0.3">
      <c r="A97" s="43" t="s">
        <v>102</v>
      </c>
      <c r="B97" s="44" t="s">
        <v>185</v>
      </c>
      <c r="C97" s="44" t="s">
        <v>95</v>
      </c>
      <c r="D97" s="44" t="s">
        <v>188</v>
      </c>
      <c r="E97" s="45" t="s">
        <v>66</v>
      </c>
      <c r="F97" s="46" t="s">
        <v>18</v>
      </c>
      <c r="G97" s="46"/>
      <c r="H97" s="45" t="s">
        <v>13</v>
      </c>
      <c r="I97" s="50">
        <v>535</v>
      </c>
      <c r="J97" s="50"/>
      <c r="K97" s="48" t="s">
        <v>8</v>
      </c>
      <c r="L97" s="49">
        <v>470340.32</v>
      </c>
    </row>
    <row r="98" spans="1:12" ht="51" x14ac:dyDescent="0.3">
      <c r="A98" s="43" t="s">
        <v>102</v>
      </c>
      <c r="B98" s="44" t="s">
        <v>185</v>
      </c>
      <c r="C98" s="44" t="s">
        <v>95</v>
      </c>
      <c r="D98" s="44" t="s">
        <v>189</v>
      </c>
      <c r="E98" s="45" t="s">
        <v>66</v>
      </c>
      <c r="F98" s="46" t="s">
        <v>18</v>
      </c>
      <c r="G98" s="46"/>
      <c r="H98" s="45" t="s">
        <v>13</v>
      </c>
      <c r="I98" s="50">
        <v>262.60000000000002</v>
      </c>
      <c r="J98" s="50"/>
      <c r="K98" s="48" t="s">
        <v>8</v>
      </c>
      <c r="L98" s="49">
        <v>470077.72</v>
      </c>
    </row>
    <row r="99" spans="1:12" ht="51" x14ac:dyDescent="0.3">
      <c r="A99" s="43" t="s">
        <v>102</v>
      </c>
      <c r="B99" s="44" t="s">
        <v>185</v>
      </c>
      <c r="C99" s="44" t="s">
        <v>95</v>
      </c>
      <c r="D99" s="44" t="s">
        <v>88</v>
      </c>
      <c r="E99" s="45" t="s">
        <v>66</v>
      </c>
      <c r="F99" s="46" t="s">
        <v>18</v>
      </c>
      <c r="G99" s="46"/>
      <c r="H99" s="45" t="s">
        <v>13</v>
      </c>
      <c r="I99" s="47">
        <v>2288</v>
      </c>
      <c r="J99" s="47"/>
      <c r="K99" s="48" t="s">
        <v>8</v>
      </c>
      <c r="L99" s="49">
        <v>467789.72</v>
      </c>
    </row>
    <row r="100" spans="1:12" ht="51" x14ac:dyDescent="0.3">
      <c r="A100" s="43" t="s">
        <v>102</v>
      </c>
      <c r="B100" s="44" t="s">
        <v>190</v>
      </c>
      <c r="C100" s="44" t="s">
        <v>95</v>
      </c>
      <c r="D100" s="44" t="s">
        <v>191</v>
      </c>
      <c r="E100" s="45" t="s">
        <v>66</v>
      </c>
      <c r="F100" s="46" t="s">
        <v>18</v>
      </c>
      <c r="G100" s="46"/>
      <c r="H100" s="45" t="s">
        <v>13</v>
      </c>
      <c r="I100" s="50">
        <v>484</v>
      </c>
      <c r="J100" s="50"/>
      <c r="K100" s="48" t="s">
        <v>8</v>
      </c>
      <c r="L100" s="49">
        <v>467305.72</v>
      </c>
    </row>
    <row r="101" spans="1:12" ht="61.2" x14ac:dyDescent="0.3">
      <c r="A101" s="43" t="s">
        <v>102</v>
      </c>
      <c r="B101" s="44" t="s">
        <v>190</v>
      </c>
      <c r="C101" s="44" t="s">
        <v>95</v>
      </c>
      <c r="D101" s="44" t="s">
        <v>192</v>
      </c>
      <c r="E101" s="45" t="s">
        <v>66</v>
      </c>
      <c r="F101" s="46" t="s">
        <v>18</v>
      </c>
      <c r="G101" s="46"/>
      <c r="H101" s="45" t="s">
        <v>13</v>
      </c>
      <c r="I101" s="50">
        <v>90</v>
      </c>
      <c r="J101" s="50"/>
      <c r="K101" s="48" t="s">
        <v>8</v>
      </c>
      <c r="L101" s="49">
        <v>467215.72</v>
      </c>
    </row>
    <row r="102" spans="1:12" ht="51" x14ac:dyDescent="0.3">
      <c r="A102" s="43" t="s">
        <v>102</v>
      </c>
      <c r="B102" s="44" t="s">
        <v>190</v>
      </c>
      <c r="C102" s="44" t="s">
        <v>95</v>
      </c>
      <c r="D102" s="44" t="s">
        <v>193</v>
      </c>
      <c r="E102" s="45" t="s">
        <v>66</v>
      </c>
      <c r="F102" s="46" t="s">
        <v>18</v>
      </c>
      <c r="G102" s="46"/>
      <c r="H102" s="45" t="s">
        <v>13</v>
      </c>
      <c r="I102" s="50">
        <v>565.1</v>
      </c>
      <c r="J102" s="50"/>
      <c r="K102" s="48" t="s">
        <v>8</v>
      </c>
      <c r="L102" s="49">
        <v>466650.62</v>
      </c>
    </row>
    <row r="103" spans="1:12" ht="51" x14ac:dyDescent="0.3">
      <c r="A103" s="43" t="s">
        <v>102</v>
      </c>
      <c r="B103" s="44" t="s">
        <v>190</v>
      </c>
      <c r="C103" s="44" t="s">
        <v>95</v>
      </c>
      <c r="D103" s="44" t="s">
        <v>194</v>
      </c>
      <c r="E103" s="45" t="s">
        <v>66</v>
      </c>
      <c r="F103" s="46" t="s">
        <v>18</v>
      </c>
      <c r="G103" s="46"/>
      <c r="H103" s="45" t="s">
        <v>13</v>
      </c>
      <c r="I103" s="47">
        <v>3420.38</v>
      </c>
      <c r="J103" s="47"/>
      <c r="K103" s="48" t="s">
        <v>8</v>
      </c>
      <c r="L103" s="49">
        <v>463230.24</v>
      </c>
    </row>
    <row r="104" spans="1:12" ht="51" x14ac:dyDescent="0.3">
      <c r="A104" s="43" t="s">
        <v>102</v>
      </c>
      <c r="B104" s="44" t="s">
        <v>195</v>
      </c>
      <c r="C104" s="44" t="s">
        <v>95</v>
      </c>
      <c r="D104" s="44" t="s">
        <v>194</v>
      </c>
      <c r="E104" s="45" t="s">
        <v>66</v>
      </c>
      <c r="F104" s="46" t="s">
        <v>18</v>
      </c>
      <c r="G104" s="46"/>
      <c r="H104" s="45" t="s">
        <v>13</v>
      </c>
      <c r="I104" s="47">
        <v>1710.19</v>
      </c>
      <c r="J104" s="47"/>
      <c r="K104" s="48" t="s">
        <v>8</v>
      </c>
      <c r="L104" s="49">
        <v>461520.05</v>
      </c>
    </row>
    <row r="105" spans="1:12" ht="51" x14ac:dyDescent="0.3">
      <c r="A105" s="43" t="s">
        <v>102</v>
      </c>
      <c r="B105" s="44" t="s">
        <v>195</v>
      </c>
      <c r="C105" s="44" t="s">
        <v>95</v>
      </c>
      <c r="D105" s="44" t="s">
        <v>196</v>
      </c>
      <c r="E105" s="45" t="s">
        <v>66</v>
      </c>
      <c r="F105" s="46" t="s">
        <v>18</v>
      </c>
      <c r="G105" s="46"/>
      <c r="H105" s="45" t="s">
        <v>13</v>
      </c>
      <c r="I105" s="50">
        <v>80</v>
      </c>
      <c r="J105" s="50"/>
      <c r="K105" s="48" t="s">
        <v>8</v>
      </c>
      <c r="L105" s="49">
        <v>461440.05</v>
      </c>
    </row>
    <row r="106" spans="1:12" ht="51" hidden="1" x14ac:dyDescent="0.3">
      <c r="A106" s="43" t="s">
        <v>41</v>
      </c>
      <c r="B106" s="44" t="s">
        <v>197</v>
      </c>
      <c r="C106" s="44" t="s">
        <v>198</v>
      </c>
      <c r="D106" s="44" t="s">
        <v>199</v>
      </c>
      <c r="E106" s="45" t="s">
        <v>13</v>
      </c>
      <c r="F106" s="53">
        <v>685.04</v>
      </c>
      <c r="G106" s="53"/>
      <c r="H106" s="45" t="s">
        <v>101</v>
      </c>
      <c r="I106" s="52" t="s">
        <v>18</v>
      </c>
      <c r="J106" s="52"/>
      <c r="K106" s="48" t="s">
        <v>8</v>
      </c>
      <c r="L106" s="49">
        <v>462125.09</v>
      </c>
    </row>
    <row r="107" spans="1:12" ht="51" hidden="1" x14ac:dyDescent="0.3">
      <c r="A107" s="43" t="s">
        <v>41</v>
      </c>
      <c r="B107" s="44" t="s">
        <v>197</v>
      </c>
      <c r="C107" s="44" t="s">
        <v>200</v>
      </c>
      <c r="D107" s="44" t="s">
        <v>199</v>
      </c>
      <c r="E107" s="45" t="s">
        <v>13</v>
      </c>
      <c r="F107" s="53">
        <v>711.7</v>
      </c>
      <c r="G107" s="53"/>
      <c r="H107" s="45" t="s">
        <v>101</v>
      </c>
      <c r="I107" s="52" t="s">
        <v>18</v>
      </c>
      <c r="J107" s="52"/>
      <c r="K107" s="48" t="s">
        <v>8</v>
      </c>
      <c r="L107" s="49">
        <v>462836.79</v>
      </c>
    </row>
    <row r="108" spans="1:12" ht="51" hidden="1" x14ac:dyDescent="0.3">
      <c r="A108" s="43" t="s">
        <v>41</v>
      </c>
      <c r="B108" s="44" t="s">
        <v>197</v>
      </c>
      <c r="C108" s="44" t="s">
        <v>201</v>
      </c>
      <c r="D108" s="44" t="s">
        <v>199</v>
      </c>
      <c r="E108" s="45" t="s">
        <v>13</v>
      </c>
      <c r="F108" s="53">
        <v>738.32</v>
      </c>
      <c r="G108" s="53"/>
      <c r="H108" s="45" t="s">
        <v>101</v>
      </c>
      <c r="I108" s="52" t="s">
        <v>18</v>
      </c>
      <c r="J108" s="52"/>
      <c r="K108" s="48" t="s">
        <v>8</v>
      </c>
      <c r="L108" s="49">
        <v>463575.11</v>
      </c>
    </row>
    <row r="109" spans="1:12" ht="51" hidden="1" x14ac:dyDescent="0.3">
      <c r="A109" s="43" t="s">
        <v>41</v>
      </c>
      <c r="B109" s="44" t="s">
        <v>197</v>
      </c>
      <c r="C109" s="44" t="s">
        <v>202</v>
      </c>
      <c r="D109" s="44" t="s">
        <v>199</v>
      </c>
      <c r="E109" s="45" t="s">
        <v>13</v>
      </c>
      <c r="F109" s="51">
        <v>1049.08</v>
      </c>
      <c r="G109" s="51"/>
      <c r="H109" s="45" t="s">
        <v>101</v>
      </c>
      <c r="I109" s="52" t="s">
        <v>18</v>
      </c>
      <c r="J109" s="52"/>
      <c r="K109" s="48" t="s">
        <v>8</v>
      </c>
      <c r="L109" s="49">
        <v>464624.19</v>
      </c>
    </row>
    <row r="110" spans="1:12" ht="51" x14ac:dyDescent="0.3">
      <c r="A110" s="43" t="s">
        <v>203</v>
      </c>
      <c r="B110" s="44" t="s">
        <v>204</v>
      </c>
      <c r="C110" s="44" t="s">
        <v>95</v>
      </c>
      <c r="D110" s="44" t="s">
        <v>205</v>
      </c>
      <c r="E110" s="45" t="s">
        <v>66</v>
      </c>
      <c r="F110" s="46" t="s">
        <v>18</v>
      </c>
      <c r="G110" s="46"/>
      <c r="H110" s="45" t="s">
        <v>13</v>
      </c>
      <c r="I110" s="47">
        <v>2333.35</v>
      </c>
      <c r="J110" s="47"/>
      <c r="K110" s="48" t="s">
        <v>8</v>
      </c>
      <c r="L110" s="49">
        <v>462290.84</v>
      </c>
    </row>
    <row r="111" spans="1:12" ht="61.2" x14ac:dyDescent="0.3">
      <c r="A111" s="43" t="s">
        <v>203</v>
      </c>
      <c r="B111" s="44" t="s">
        <v>206</v>
      </c>
      <c r="C111" s="44" t="s">
        <v>95</v>
      </c>
      <c r="D111" s="44" t="s">
        <v>207</v>
      </c>
      <c r="E111" s="45" t="s">
        <v>66</v>
      </c>
      <c r="F111" s="46" t="s">
        <v>18</v>
      </c>
      <c r="G111" s="46"/>
      <c r="H111" s="45" t="s">
        <v>13</v>
      </c>
      <c r="I111" s="50">
        <v>220.3</v>
      </c>
      <c r="J111" s="50"/>
      <c r="K111" s="48" t="s">
        <v>8</v>
      </c>
      <c r="L111" s="49">
        <v>65215.5</v>
      </c>
    </row>
    <row r="112" spans="1:12" ht="51" x14ac:dyDescent="0.3">
      <c r="A112" s="43" t="s">
        <v>203</v>
      </c>
      <c r="B112" s="44" t="s">
        <v>206</v>
      </c>
      <c r="C112" s="44" t="s">
        <v>95</v>
      </c>
      <c r="D112" s="44" t="s">
        <v>111</v>
      </c>
      <c r="E112" s="45" t="s">
        <v>66</v>
      </c>
      <c r="F112" s="46" t="s">
        <v>18</v>
      </c>
      <c r="G112" s="46"/>
      <c r="H112" s="45" t="s">
        <v>13</v>
      </c>
      <c r="I112" s="50">
        <v>682.08</v>
      </c>
      <c r="J112" s="50"/>
      <c r="K112" s="48" t="s">
        <v>8</v>
      </c>
      <c r="L112" s="49">
        <v>64533.42</v>
      </c>
    </row>
    <row r="113" spans="1:12" ht="51" x14ac:dyDescent="0.3">
      <c r="A113" s="43" t="s">
        <v>203</v>
      </c>
      <c r="B113" s="44" t="s">
        <v>206</v>
      </c>
      <c r="C113" s="44" t="s">
        <v>95</v>
      </c>
      <c r="D113" s="44" t="s">
        <v>208</v>
      </c>
      <c r="E113" s="45" t="s">
        <v>66</v>
      </c>
      <c r="F113" s="46" t="s">
        <v>18</v>
      </c>
      <c r="G113" s="46"/>
      <c r="H113" s="45" t="s">
        <v>13</v>
      </c>
      <c r="I113" s="47">
        <v>1866.75</v>
      </c>
      <c r="J113" s="47"/>
      <c r="K113" s="48" t="s">
        <v>8</v>
      </c>
      <c r="L113" s="49">
        <v>62666.67</v>
      </c>
    </row>
    <row r="114" spans="1:12" ht="51" x14ac:dyDescent="0.3">
      <c r="A114" s="43" t="s">
        <v>203</v>
      </c>
      <c r="B114" s="44" t="s">
        <v>209</v>
      </c>
      <c r="C114" s="44" t="s">
        <v>95</v>
      </c>
      <c r="D114" s="44" t="s">
        <v>210</v>
      </c>
      <c r="E114" s="45" t="s">
        <v>66</v>
      </c>
      <c r="F114" s="46" t="s">
        <v>18</v>
      </c>
      <c r="G114" s="46"/>
      <c r="H114" s="45" t="s">
        <v>13</v>
      </c>
      <c r="I114" s="47">
        <v>1165</v>
      </c>
      <c r="J114" s="47"/>
      <c r="K114" s="48" t="s">
        <v>8</v>
      </c>
      <c r="L114" s="49">
        <v>461125.84</v>
      </c>
    </row>
    <row r="115" spans="1:12" ht="51" x14ac:dyDescent="0.3">
      <c r="A115" s="43" t="s">
        <v>203</v>
      </c>
      <c r="B115" s="44" t="s">
        <v>209</v>
      </c>
      <c r="C115" s="44" t="s">
        <v>95</v>
      </c>
      <c r="D115" s="44" t="s">
        <v>211</v>
      </c>
      <c r="E115" s="45" t="s">
        <v>66</v>
      </c>
      <c r="F115" s="46" t="s">
        <v>18</v>
      </c>
      <c r="G115" s="46"/>
      <c r="H115" s="45" t="s">
        <v>13</v>
      </c>
      <c r="I115" s="50">
        <v>336.5</v>
      </c>
      <c r="J115" s="50"/>
      <c r="K115" s="48" t="s">
        <v>8</v>
      </c>
      <c r="L115" s="49">
        <v>460789.34</v>
      </c>
    </row>
    <row r="116" spans="1:12" ht="51" x14ac:dyDescent="0.3">
      <c r="A116" s="43" t="s">
        <v>203</v>
      </c>
      <c r="B116" s="44" t="s">
        <v>209</v>
      </c>
      <c r="C116" s="44" t="s">
        <v>95</v>
      </c>
      <c r="D116" s="44" t="s">
        <v>212</v>
      </c>
      <c r="E116" s="45" t="s">
        <v>66</v>
      </c>
      <c r="F116" s="46" t="s">
        <v>18</v>
      </c>
      <c r="G116" s="46"/>
      <c r="H116" s="45" t="s">
        <v>13</v>
      </c>
      <c r="I116" s="47">
        <v>1165</v>
      </c>
      <c r="J116" s="47"/>
      <c r="K116" s="48" t="s">
        <v>8</v>
      </c>
      <c r="L116" s="49">
        <v>459624.34</v>
      </c>
    </row>
    <row r="117" spans="1:12" ht="51" x14ac:dyDescent="0.3">
      <c r="A117" s="43" t="s">
        <v>203</v>
      </c>
      <c r="B117" s="44" t="s">
        <v>213</v>
      </c>
      <c r="C117" s="44" t="s">
        <v>95</v>
      </c>
      <c r="D117" s="44" t="s">
        <v>214</v>
      </c>
      <c r="E117" s="45" t="s">
        <v>66</v>
      </c>
      <c r="F117" s="46" t="s">
        <v>18</v>
      </c>
      <c r="G117" s="46"/>
      <c r="H117" s="45" t="s">
        <v>13</v>
      </c>
      <c r="I117" s="50">
        <v>679.6</v>
      </c>
      <c r="J117" s="50"/>
      <c r="K117" s="48" t="s">
        <v>8</v>
      </c>
      <c r="L117" s="49">
        <v>458944.74</v>
      </c>
    </row>
    <row r="118" spans="1:12" ht="51" x14ac:dyDescent="0.3">
      <c r="A118" s="43" t="s">
        <v>203</v>
      </c>
      <c r="B118" s="44" t="s">
        <v>213</v>
      </c>
      <c r="C118" s="44" t="s">
        <v>95</v>
      </c>
      <c r="D118" s="44" t="s">
        <v>215</v>
      </c>
      <c r="E118" s="45" t="s">
        <v>66</v>
      </c>
      <c r="F118" s="46" t="s">
        <v>18</v>
      </c>
      <c r="G118" s="46"/>
      <c r="H118" s="45" t="s">
        <v>13</v>
      </c>
      <c r="I118" s="50">
        <v>460</v>
      </c>
      <c r="J118" s="50"/>
      <c r="K118" s="48" t="s">
        <v>8</v>
      </c>
      <c r="L118" s="49">
        <v>458484.74</v>
      </c>
    </row>
    <row r="119" spans="1:12" ht="51" x14ac:dyDescent="0.3">
      <c r="A119" s="43" t="s">
        <v>203</v>
      </c>
      <c r="B119" s="44" t="s">
        <v>213</v>
      </c>
      <c r="C119" s="44" t="s">
        <v>95</v>
      </c>
      <c r="D119" s="44" t="s">
        <v>216</v>
      </c>
      <c r="E119" s="45" t="s">
        <v>66</v>
      </c>
      <c r="F119" s="46" t="s">
        <v>18</v>
      </c>
      <c r="G119" s="46"/>
      <c r="H119" s="45" t="s">
        <v>13</v>
      </c>
      <c r="I119" s="47">
        <v>1877.83</v>
      </c>
      <c r="J119" s="47"/>
      <c r="K119" s="48" t="s">
        <v>8</v>
      </c>
      <c r="L119" s="49">
        <v>456606.91</v>
      </c>
    </row>
    <row r="120" spans="1:12" ht="51" x14ac:dyDescent="0.3">
      <c r="A120" s="43" t="s">
        <v>203</v>
      </c>
      <c r="B120" s="44" t="s">
        <v>213</v>
      </c>
      <c r="C120" s="44" t="s">
        <v>95</v>
      </c>
      <c r="D120" s="44" t="s">
        <v>88</v>
      </c>
      <c r="E120" s="45" t="s">
        <v>66</v>
      </c>
      <c r="F120" s="46" t="s">
        <v>18</v>
      </c>
      <c r="G120" s="46"/>
      <c r="H120" s="45" t="s">
        <v>13</v>
      </c>
      <c r="I120" s="47">
        <v>2288</v>
      </c>
      <c r="J120" s="47"/>
      <c r="K120" s="48" t="s">
        <v>8</v>
      </c>
      <c r="L120" s="49">
        <v>454318.91</v>
      </c>
    </row>
    <row r="121" spans="1:12" ht="51" x14ac:dyDescent="0.3">
      <c r="A121" s="43" t="s">
        <v>203</v>
      </c>
      <c r="B121" s="44" t="s">
        <v>213</v>
      </c>
      <c r="C121" s="44" t="s">
        <v>95</v>
      </c>
      <c r="D121" s="44" t="s">
        <v>217</v>
      </c>
      <c r="E121" s="45" t="s">
        <v>66</v>
      </c>
      <c r="F121" s="46" t="s">
        <v>18</v>
      </c>
      <c r="G121" s="46"/>
      <c r="H121" s="45" t="s">
        <v>13</v>
      </c>
      <c r="I121" s="47">
        <v>4477.5</v>
      </c>
      <c r="J121" s="47"/>
      <c r="K121" s="48" t="s">
        <v>8</v>
      </c>
      <c r="L121" s="49">
        <v>449841.41</v>
      </c>
    </row>
    <row r="122" spans="1:12" ht="51" x14ac:dyDescent="0.3">
      <c r="A122" s="43" t="s">
        <v>203</v>
      </c>
      <c r="B122" s="44" t="s">
        <v>218</v>
      </c>
      <c r="C122" s="44" t="s">
        <v>95</v>
      </c>
      <c r="D122" s="44" t="s">
        <v>88</v>
      </c>
      <c r="E122" s="45" t="s">
        <v>66</v>
      </c>
      <c r="F122" s="46" t="s">
        <v>18</v>
      </c>
      <c r="G122" s="46"/>
      <c r="H122" s="45" t="s">
        <v>13</v>
      </c>
      <c r="I122" s="47">
        <v>2288</v>
      </c>
      <c r="J122" s="47"/>
      <c r="K122" s="48" t="s">
        <v>8</v>
      </c>
      <c r="L122" s="49">
        <v>447553.41</v>
      </c>
    </row>
    <row r="123" spans="1:12" ht="51" x14ac:dyDescent="0.3">
      <c r="A123" s="43" t="s">
        <v>203</v>
      </c>
      <c r="B123" s="44" t="s">
        <v>218</v>
      </c>
      <c r="C123" s="44" t="s">
        <v>95</v>
      </c>
      <c r="D123" s="44" t="s">
        <v>219</v>
      </c>
      <c r="E123" s="45" t="s">
        <v>66</v>
      </c>
      <c r="F123" s="46" t="s">
        <v>18</v>
      </c>
      <c r="G123" s="46"/>
      <c r="H123" s="45" t="s">
        <v>13</v>
      </c>
      <c r="I123" s="50">
        <v>252</v>
      </c>
      <c r="J123" s="50"/>
      <c r="K123" s="48" t="s">
        <v>8</v>
      </c>
      <c r="L123" s="49">
        <v>447301.41</v>
      </c>
    </row>
    <row r="124" spans="1:12" ht="51" x14ac:dyDescent="0.3">
      <c r="A124" s="43" t="s">
        <v>203</v>
      </c>
      <c r="B124" s="44" t="s">
        <v>220</v>
      </c>
      <c r="C124" s="44" t="s">
        <v>95</v>
      </c>
      <c r="D124" s="44" t="s">
        <v>221</v>
      </c>
      <c r="E124" s="45" t="s">
        <v>66</v>
      </c>
      <c r="F124" s="46" t="s">
        <v>18</v>
      </c>
      <c r="G124" s="46"/>
      <c r="H124" s="45" t="s">
        <v>13</v>
      </c>
      <c r="I124" s="50">
        <v>724</v>
      </c>
      <c r="J124" s="50"/>
      <c r="K124" s="48" t="s">
        <v>8</v>
      </c>
      <c r="L124" s="49">
        <v>446577.41</v>
      </c>
    </row>
    <row r="125" spans="1:12" ht="51" x14ac:dyDescent="0.3">
      <c r="A125" s="43" t="s">
        <v>203</v>
      </c>
      <c r="B125" s="44" t="s">
        <v>222</v>
      </c>
      <c r="C125" s="44" t="s">
        <v>95</v>
      </c>
      <c r="D125" s="44" t="s">
        <v>88</v>
      </c>
      <c r="E125" s="45" t="s">
        <v>66</v>
      </c>
      <c r="F125" s="46" t="s">
        <v>18</v>
      </c>
      <c r="G125" s="46"/>
      <c r="H125" s="45" t="s">
        <v>13</v>
      </c>
      <c r="I125" s="47">
        <v>1601.6</v>
      </c>
      <c r="J125" s="47"/>
      <c r="K125" s="48" t="s">
        <v>8</v>
      </c>
      <c r="L125" s="49">
        <v>444975.81</v>
      </c>
    </row>
    <row r="126" spans="1:12" ht="51" x14ac:dyDescent="0.3">
      <c r="A126" s="43" t="s">
        <v>203</v>
      </c>
      <c r="B126" s="44" t="s">
        <v>223</v>
      </c>
      <c r="C126" s="44" t="s">
        <v>95</v>
      </c>
      <c r="D126" s="44" t="s">
        <v>224</v>
      </c>
      <c r="E126" s="45" t="s">
        <v>66</v>
      </c>
      <c r="F126" s="46" t="s">
        <v>18</v>
      </c>
      <c r="G126" s="46"/>
      <c r="H126" s="45" t="s">
        <v>13</v>
      </c>
      <c r="I126" s="47">
        <v>1934.25</v>
      </c>
      <c r="J126" s="47"/>
      <c r="K126" s="48" t="s">
        <v>8</v>
      </c>
      <c r="L126" s="49">
        <v>443041.56</v>
      </c>
    </row>
    <row r="127" spans="1:12" ht="51" x14ac:dyDescent="0.3">
      <c r="A127" s="43" t="s">
        <v>203</v>
      </c>
      <c r="B127" s="44" t="s">
        <v>223</v>
      </c>
      <c r="C127" s="44" t="s">
        <v>95</v>
      </c>
      <c r="D127" s="44" t="s">
        <v>225</v>
      </c>
      <c r="E127" s="45" t="s">
        <v>66</v>
      </c>
      <c r="F127" s="46" t="s">
        <v>18</v>
      </c>
      <c r="G127" s="46"/>
      <c r="H127" s="45" t="s">
        <v>13</v>
      </c>
      <c r="I127" s="50">
        <v>259</v>
      </c>
      <c r="J127" s="50"/>
      <c r="K127" s="48" t="s">
        <v>8</v>
      </c>
      <c r="L127" s="49">
        <v>442782.56</v>
      </c>
    </row>
    <row r="128" spans="1:12" ht="51" x14ac:dyDescent="0.3">
      <c r="A128" s="43" t="s">
        <v>203</v>
      </c>
      <c r="B128" s="44" t="s">
        <v>223</v>
      </c>
      <c r="C128" s="44" t="s">
        <v>95</v>
      </c>
      <c r="D128" s="44" t="s">
        <v>226</v>
      </c>
      <c r="E128" s="45" t="s">
        <v>66</v>
      </c>
      <c r="F128" s="46" t="s">
        <v>18</v>
      </c>
      <c r="G128" s="46"/>
      <c r="H128" s="45" t="s">
        <v>13</v>
      </c>
      <c r="I128" s="50">
        <v>254</v>
      </c>
      <c r="J128" s="50"/>
      <c r="K128" s="48" t="s">
        <v>8</v>
      </c>
      <c r="L128" s="49">
        <v>442528.56</v>
      </c>
    </row>
    <row r="129" spans="1:12" ht="51" x14ac:dyDescent="0.3">
      <c r="A129" s="43" t="s">
        <v>203</v>
      </c>
      <c r="B129" s="44" t="s">
        <v>227</v>
      </c>
      <c r="C129" s="44" t="s">
        <v>95</v>
      </c>
      <c r="D129" s="44" t="s">
        <v>228</v>
      </c>
      <c r="E129" s="45" t="s">
        <v>66</v>
      </c>
      <c r="F129" s="46" t="s">
        <v>18</v>
      </c>
      <c r="G129" s="46"/>
      <c r="H129" s="45" t="s">
        <v>13</v>
      </c>
      <c r="I129" s="47">
        <v>1978.1</v>
      </c>
      <c r="J129" s="47"/>
      <c r="K129" s="48" t="s">
        <v>8</v>
      </c>
      <c r="L129" s="49">
        <v>440550.46</v>
      </c>
    </row>
    <row r="130" spans="1:12" ht="51" x14ac:dyDescent="0.3">
      <c r="A130" s="43" t="s">
        <v>203</v>
      </c>
      <c r="B130" s="44" t="s">
        <v>227</v>
      </c>
      <c r="C130" s="44" t="s">
        <v>95</v>
      </c>
      <c r="D130" s="44" t="s">
        <v>229</v>
      </c>
      <c r="E130" s="45" t="s">
        <v>66</v>
      </c>
      <c r="F130" s="46" t="s">
        <v>18</v>
      </c>
      <c r="G130" s="46"/>
      <c r="H130" s="45" t="s">
        <v>13</v>
      </c>
      <c r="I130" s="47">
        <v>1125</v>
      </c>
      <c r="J130" s="47"/>
      <c r="K130" s="48" t="s">
        <v>8</v>
      </c>
      <c r="L130" s="49">
        <v>439425.46</v>
      </c>
    </row>
    <row r="131" spans="1:12" ht="51" x14ac:dyDescent="0.3">
      <c r="A131" s="43" t="s">
        <v>203</v>
      </c>
      <c r="B131" s="44" t="s">
        <v>227</v>
      </c>
      <c r="C131" s="44" t="s">
        <v>95</v>
      </c>
      <c r="D131" s="44" t="s">
        <v>230</v>
      </c>
      <c r="E131" s="45" t="s">
        <v>66</v>
      </c>
      <c r="F131" s="46" t="s">
        <v>18</v>
      </c>
      <c r="G131" s="46"/>
      <c r="H131" s="45" t="s">
        <v>13</v>
      </c>
      <c r="I131" s="47">
        <v>6908.4</v>
      </c>
      <c r="J131" s="47"/>
      <c r="K131" s="48" t="s">
        <v>8</v>
      </c>
      <c r="L131" s="49">
        <v>432517.06</v>
      </c>
    </row>
    <row r="132" spans="1:12" ht="51" x14ac:dyDescent="0.3">
      <c r="A132" s="43" t="s">
        <v>203</v>
      </c>
      <c r="B132" s="44" t="s">
        <v>231</v>
      </c>
      <c r="C132" s="44" t="s">
        <v>95</v>
      </c>
      <c r="D132" s="44" t="s">
        <v>194</v>
      </c>
      <c r="E132" s="45" t="s">
        <v>66</v>
      </c>
      <c r="F132" s="46" t="s">
        <v>18</v>
      </c>
      <c r="G132" s="46"/>
      <c r="H132" s="45" t="s">
        <v>13</v>
      </c>
      <c r="I132" s="47">
        <v>1710.19</v>
      </c>
      <c r="J132" s="47"/>
      <c r="K132" s="48" t="s">
        <v>8</v>
      </c>
      <c r="L132" s="49">
        <v>430806.87</v>
      </c>
    </row>
    <row r="133" spans="1:12" ht="51" x14ac:dyDescent="0.3">
      <c r="A133" s="43" t="s">
        <v>203</v>
      </c>
      <c r="B133" s="44" t="s">
        <v>231</v>
      </c>
      <c r="C133" s="44" t="s">
        <v>95</v>
      </c>
      <c r="D133" s="44" t="s">
        <v>224</v>
      </c>
      <c r="E133" s="45" t="s">
        <v>66</v>
      </c>
      <c r="F133" s="46" t="s">
        <v>18</v>
      </c>
      <c r="G133" s="46"/>
      <c r="H133" s="45" t="s">
        <v>13</v>
      </c>
      <c r="I133" s="47">
        <v>1289.5</v>
      </c>
      <c r="J133" s="47"/>
      <c r="K133" s="48" t="s">
        <v>8</v>
      </c>
      <c r="L133" s="49">
        <v>429517.37</v>
      </c>
    </row>
    <row r="134" spans="1:12" ht="51" x14ac:dyDescent="0.3">
      <c r="A134" s="43" t="s">
        <v>232</v>
      </c>
      <c r="B134" s="44" t="s">
        <v>233</v>
      </c>
      <c r="C134" s="44" t="s">
        <v>95</v>
      </c>
      <c r="D134" s="44" t="s">
        <v>88</v>
      </c>
      <c r="E134" s="45" t="s">
        <v>66</v>
      </c>
      <c r="F134" s="46" t="s">
        <v>18</v>
      </c>
      <c r="G134" s="46"/>
      <c r="H134" s="45" t="s">
        <v>13</v>
      </c>
      <c r="I134" s="50">
        <v>457.6</v>
      </c>
      <c r="J134" s="50"/>
      <c r="K134" s="48" t="s">
        <v>8</v>
      </c>
      <c r="L134" s="49">
        <v>429059.77</v>
      </c>
    </row>
    <row r="135" spans="1:12" ht="51" x14ac:dyDescent="0.3">
      <c r="A135" s="43" t="s">
        <v>232</v>
      </c>
      <c r="B135" s="44" t="s">
        <v>233</v>
      </c>
      <c r="C135" s="44" t="s">
        <v>95</v>
      </c>
      <c r="D135" s="44" t="s">
        <v>234</v>
      </c>
      <c r="E135" s="45" t="s">
        <v>66</v>
      </c>
      <c r="F135" s="46" t="s">
        <v>18</v>
      </c>
      <c r="G135" s="46"/>
      <c r="H135" s="45" t="s">
        <v>13</v>
      </c>
      <c r="I135" s="47">
        <v>1096.82</v>
      </c>
      <c r="J135" s="47"/>
      <c r="K135" s="48" t="s">
        <v>8</v>
      </c>
      <c r="L135" s="49">
        <v>427962.95</v>
      </c>
    </row>
    <row r="136" spans="1:12" ht="51" hidden="1" x14ac:dyDescent="0.3">
      <c r="A136" s="43" t="s">
        <v>235</v>
      </c>
      <c r="B136" s="44" t="s">
        <v>236</v>
      </c>
      <c r="C136" s="44" t="s">
        <v>237</v>
      </c>
      <c r="D136" s="44" t="s">
        <v>238</v>
      </c>
      <c r="E136" s="45" t="s">
        <v>13</v>
      </c>
      <c r="F136" s="51">
        <v>5975.52</v>
      </c>
      <c r="G136" s="51"/>
      <c r="H136" s="45" t="s">
        <v>101</v>
      </c>
      <c r="I136" s="52" t="s">
        <v>18</v>
      </c>
      <c r="J136" s="52"/>
      <c r="K136" s="48" t="s">
        <v>8</v>
      </c>
      <c r="L136" s="49">
        <v>433938.47</v>
      </c>
    </row>
    <row r="137" spans="1:12" ht="51" hidden="1" x14ac:dyDescent="0.3">
      <c r="A137" s="43" t="s">
        <v>235</v>
      </c>
      <c r="B137" s="44" t="s">
        <v>236</v>
      </c>
      <c r="C137" s="44" t="s">
        <v>239</v>
      </c>
      <c r="D137" s="44" t="s">
        <v>238</v>
      </c>
      <c r="E137" s="45" t="s">
        <v>13</v>
      </c>
      <c r="F137" s="51">
        <v>2484.2399999999998</v>
      </c>
      <c r="G137" s="51"/>
      <c r="H137" s="45" t="s">
        <v>101</v>
      </c>
      <c r="I137" s="52" t="s">
        <v>18</v>
      </c>
      <c r="J137" s="52"/>
      <c r="K137" s="48" t="s">
        <v>8</v>
      </c>
      <c r="L137" s="49">
        <v>436422.71</v>
      </c>
    </row>
    <row r="138" spans="1:12" ht="51" hidden="1" x14ac:dyDescent="0.3">
      <c r="A138" s="43" t="s">
        <v>235</v>
      </c>
      <c r="B138" s="44" t="s">
        <v>236</v>
      </c>
      <c r="C138" s="44" t="s">
        <v>240</v>
      </c>
      <c r="D138" s="44" t="s">
        <v>238</v>
      </c>
      <c r="E138" s="45" t="s">
        <v>13</v>
      </c>
      <c r="F138" s="53">
        <v>543.34</v>
      </c>
      <c r="G138" s="53"/>
      <c r="H138" s="45" t="s">
        <v>101</v>
      </c>
      <c r="I138" s="52" t="s">
        <v>18</v>
      </c>
      <c r="J138" s="52"/>
      <c r="K138" s="48" t="s">
        <v>8</v>
      </c>
      <c r="L138" s="49">
        <v>436966.05</v>
      </c>
    </row>
    <row r="139" spans="1:12" ht="61.2" hidden="1" x14ac:dyDescent="0.3">
      <c r="A139" s="43" t="s">
        <v>235</v>
      </c>
      <c r="B139" s="44" t="s">
        <v>241</v>
      </c>
      <c r="C139" s="44" t="s">
        <v>242</v>
      </c>
      <c r="D139" s="44" t="s">
        <v>243</v>
      </c>
      <c r="E139" s="45" t="s">
        <v>13</v>
      </c>
      <c r="F139" s="51">
        <v>2027.4</v>
      </c>
      <c r="G139" s="51"/>
      <c r="H139" s="45" t="s">
        <v>101</v>
      </c>
      <c r="I139" s="52" t="s">
        <v>18</v>
      </c>
      <c r="J139" s="52"/>
      <c r="K139" s="48" t="s">
        <v>8</v>
      </c>
      <c r="L139" s="49">
        <v>438993.45</v>
      </c>
    </row>
    <row r="140" spans="1:12" ht="51" hidden="1" x14ac:dyDescent="0.3">
      <c r="A140" s="43" t="s">
        <v>235</v>
      </c>
      <c r="B140" s="44" t="s">
        <v>241</v>
      </c>
      <c r="C140" s="44" t="s">
        <v>244</v>
      </c>
      <c r="D140" s="44" t="s">
        <v>243</v>
      </c>
      <c r="E140" s="45" t="s">
        <v>13</v>
      </c>
      <c r="F140" s="53">
        <v>203.8</v>
      </c>
      <c r="G140" s="53"/>
      <c r="H140" s="45" t="s">
        <v>101</v>
      </c>
      <c r="I140" s="52" t="s">
        <v>18</v>
      </c>
      <c r="J140" s="52"/>
      <c r="K140" s="48" t="s">
        <v>8</v>
      </c>
      <c r="L140" s="49">
        <v>439197.25</v>
      </c>
    </row>
    <row r="141" spans="1:12" ht="51" hidden="1" x14ac:dyDescent="0.3">
      <c r="A141" s="43" t="s">
        <v>245</v>
      </c>
      <c r="B141" s="44" t="s">
        <v>246</v>
      </c>
      <c r="C141" s="44" t="s">
        <v>247</v>
      </c>
      <c r="D141" s="44" t="s">
        <v>248</v>
      </c>
      <c r="E141" s="45" t="s">
        <v>13</v>
      </c>
      <c r="F141" s="51">
        <v>3239.15</v>
      </c>
      <c r="G141" s="51"/>
      <c r="H141" s="45" t="s">
        <v>101</v>
      </c>
      <c r="I141" s="52" t="s">
        <v>18</v>
      </c>
      <c r="J141" s="52"/>
      <c r="K141" s="48" t="s">
        <v>8</v>
      </c>
      <c r="L141" s="49">
        <v>442436.4</v>
      </c>
    </row>
    <row r="142" spans="1:12" ht="51" hidden="1" x14ac:dyDescent="0.3">
      <c r="A142" s="43" t="s">
        <v>245</v>
      </c>
      <c r="B142" s="44" t="s">
        <v>246</v>
      </c>
      <c r="C142" s="44" t="s">
        <v>249</v>
      </c>
      <c r="D142" s="44" t="s">
        <v>248</v>
      </c>
      <c r="E142" s="45" t="s">
        <v>13</v>
      </c>
      <c r="F142" s="51">
        <v>9690</v>
      </c>
      <c r="G142" s="51"/>
      <c r="H142" s="45" t="s">
        <v>101</v>
      </c>
      <c r="I142" s="52" t="s">
        <v>18</v>
      </c>
      <c r="J142" s="52"/>
      <c r="K142" s="48" t="s">
        <v>8</v>
      </c>
      <c r="L142" s="49">
        <v>452126.4</v>
      </c>
    </row>
    <row r="143" spans="1:12" ht="51" hidden="1" x14ac:dyDescent="0.3">
      <c r="A143" s="43" t="s">
        <v>245</v>
      </c>
      <c r="B143" s="44" t="s">
        <v>246</v>
      </c>
      <c r="C143" s="44" t="s">
        <v>250</v>
      </c>
      <c r="D143" s="44" t="s">
        <v>248</v>
      </c>
      <c r="E143" s="45" t="s">
        <v>13</v>
      </c>
      <c r="F143" s="51">
        <v>1102.4000000000001</v>
      </c>
      <c r="G143" s="51"/>
      <c r="H143" s="45" t="s">
        <v>101</v>
      </c>
      <c r="I143" s="52" t="s">
        <v>18</v>
      </c>
      <c r="J143" s="52"/>
      <c r="K143" s="48" t="s">
        <v>8</v>
      </c>
      <c r="L143" s="49">
        <v>453228.79999999999</v>
      </c>
    </row>
    <row r="144" spans="1:12" ht="51" hidden="1" x14ac:dyDescent="0.3">
      <c r="A144" s="43" t="s">
        <v>245</v>
      </c>
      <c r="B144" s="44" t="s">
        <v>246</v>
      </c>
      <c r="C144" s="44" t="s">
        <v>251</v>
      </c>
      <c r="D144" s="44" t="s">
        <v>248</v>
      </c>
      <c r="E144" s="45" t="s">
        <v>13</v>
      </c>
      <c r="F144" s="53">
        <v>291.60000000000002</v>
      </c>
      <c r="G144" s="53"/>
      <c r="H144" s="45" t="s">
        <v>101</v>
      </c>
      <c r="I144" s="52" t="s">
        <v>18</v>
      </c>
      <c r="J144" s="52"/>
      <c r="K144" s="48" t="s">
        <v>8</v>
      </c>
      <c r="L144" s="49">
        <v>453520.4</v>
      </c>
    </row>
    <row r="145" spans="1:12" ht="51" hidden="1" x14ac:dyDescent="0.3">
      <c r="A145" s="43" t="s">
        <v>245</v>
      </c>
      <c r="B145" s="44" t="s">
        <v>252</v>
      </c>
      <c r="C145" s="44" t="s">
        <v>253</v>
      </c>
      <c r="D145" s="44" t="s">
        <v>254</v>
      </c>
      <c r="E145" s="45" t="s">
        <v>13</v>
      </c>
      <c r="F145" s="51">
        <v>20552</v>
      </c>
      <c r="G145" s="51"/>
      <c r="H145" s="45" t="s">
        <v>101</v>
      </c>
      <c r="I145" s="52" t="s">
        <v>18</v>
      </c>
      <c r="J145" s="52"/>
      <c r="K145" s="48" t="s">
        <v>8</v>
      </c>
      <c r="L145" s="49">
        <v>474072.4</v>
      </c>
    </row>
    <row r="146" spans="1:12" ht="51" hidden="1" x14ac:dyDescent="0.3">
      <c r="A146" s="43" t="s">
        <v>245</v>
      </c>
      <c r="B146" s="44" t="s">
        <v>252</v>
      </c>
      <c r="C146" s="44" t="s">
        <v>255</v>
      </c>
      <c r="D146" s="44" t="s">
        <v>254</v>
      </c>
      <c r="E146" s="45" t="s">
        <v>13</v>
      </c>
      <c r="F146" s="51">
        <v>26100</v>
      </c>
      <c r="G146" s="51"/>
      <c r="H146" s="45" t="s">
        <v>101</v>
      </c>
      <c r="I146" s="52" t="s">
        <v>18</v>
      </c>
      <c r="J146" s="52"/>
      <c r="K146" s="48" t="s">
        <v>8</v>
      </c>
      <c r="L146" s="49">
        <v>500172.4</v>
      </c>
    </row>
    <row r="147" spans="1:12" ht="51" hidden="1" x14ac:dyDescent="0.3">
      <c r="A147" s="43" t="s">
        <v>245</v>
      </c>
      <c r="B147" s="44" t="s">
        <v>256</v>
      </c>
      <c r="C147" s="44" t="s">
        <v>257</v>
      </c>
      <c r="D147" s="44" t="s">
        <v>258</v>
      </c>
      <c r="E147" s="45" t="s">
        <v>13</v>
      </c>
      <c r="F147" s="51">
        <v>43750</v>
      </c>
      <c r="G147" s="51"/>
      <c r="H147" s="45" t="s">
        <v>101</v>
      </c>
      <c r="I147" s="52" t="s">
        <v>18</v>
      </c>
      <c r="J147" s="52"/>
      <c r="K147" s="48" t="s">
        <v>8</v>
      </c>
      <c r="L147" s="49">
        <v>543922.4</v>
      </c>
    </row>
    <row r="148" spans="1:12" ht="51" hidden="1" x14ac:dyDescent="0.3">
      <c r="A148" s="43" t="s">
        <v>259</v>
      </c>
      <c r="B148" s="44" t="s">
        <v>260</v>
      </c>
      <c r="C148" s="44" t="s">
        <v>261</v>
      </c>
      <c r="D148" s="44" t="s">
        <v>262</v>
      </c>
      <c r="E148" s="45" t="s">
        <v>13</v>
      </c>
      <c r="F148" s="51">
        <v>4815.2</v>
      </c>
      <c r="G148" s="51"/>
      <c r="H148" s="45" t="s">
        <v>101</v>
      </c>
      <c r="I148" s="52" t="s">
        <v>18</v>
      </c>
      <c r="J148" s="52"/>
      <c r="K148" s="48" t="s">
        <v>8</v>
      </c>
      <c r="L148" s="49">
        <v>548737.6</v>
      </c>
    </row>
    <row r="149" spans="1:12" ht="61.2" hidden="1" x14ac:dyDescent="0.3">
      <c r="A149" s="43" t="s">
        <v>46</v>
      </c>
      <c r="B149" s="44" t="s">
        <v>263</v>
      </c>
      <c r="C149" s="44" t="s">
        <v>264</v>
      </c>
      <c r="D149" s="44" t="s">
        <v>265</v>
      </c>
      <c r="E149" s="45" t="s">
        <v>13</v>
      </c>
      <c r="F149" s="51">
        <v>1710.83</v>
      </c>
      <c r="G149" s="51"/>
      <c r="H149" s="45" t="s">
        <v>101</v>
      </c>
      <c r="I149" s="52" t="s">
        <v>18</v>
      </c>
      <c r="J149" s="52"/>
      <c r="K149" s="48" t="s">
        <v>8</v>
      </c>
      <c r="L149" s="49">
        <v>550448.43000000005</v>
      </c>
    </row>
    <row r="150" spans="1:12" ht="51" hidden="1" x14ac:dyDescent="0.3">
      <c r="A150" s="43" t="s">
        <v>46</v>
      </c>
      <c r="B150" s="44" t="s">
        <v>263</v>
      </c>
      <c r="C150" s="44" t="s">
        <v>266</v>
      </c>
      <c r="D150" s="44" t="s">
        <v>265</v>
      </c>
      <c r="E150" s="45" t="s">
        <v>13</v>
      </c>
      <c r="F150" s="53">
        <v>832.94</v>
      </c>
      <c r="G150" s="53"/>
      <c r="H150" s="45" t="s">
        <v>101</v>
      </c>
      <c r="I150" s="52" t="s">
        <v>18</v>
      </c>
      <c r="J150" s="52"/>
      <c r="K150" s="48" t="s">
        <v>8</v>
      </c>
      <c r="L150" s="49">
        <v>551281.37</v>
      </c>
    </row>
    <row r="151" spans="1:12" ht="51" hidden="1" x14ac:dyDescent="0.3">
      <c r="A151" s="43" t="s">
        <v>46</v>
      </c>
      <c r="B151" s="44" t="s">
        <v>263</v>
      </c>
      <c r="C151" s="44" t="s">
        <v>267</v>
      </c>
      <c r="D151" s="44" t="s">
        <v>265</v>
      </c>
      <c r="E151" s="45" t="s">
        <v>13</v>
      </c>
      <c r="F151" s="53">
        <v>786.32</v>
      </c>
      <c r="G151" s="53"/>
      <c r="H151" s="45" t="s">
        <v>101</v>
      </c>
      <c r="I151" s="52" t="s">
        <v>18</v>
      </c>
      <c r="J151" s="52"/>
      <c r="K151" s="48" t="s">
        <v>8</v>
      </c>
      <c r="L151" s="49">
        <v>552067.68999999994</v>
      </c>
    </row>
    <row r="152" spans="1:12" ht="61.2" hidden="1" x14ac:dyDescent="0.3">
      <c r="A152" s="43" t="s">
        <v>46</v>
      </c>
      <c r="B152" s="44" t="s">
        <v>263</v>
      </c>
      <c r="C152" s="44" t="s">
        <v>268</v>
      </c>
      <c r="D152" s="44" t="s">
        <v>265</v>
      </c>
      <c r="E152" s="45" t="s">
        <v>13</v>
      </c>
      <c r="F152" s="53">
        <v>265.17</v>
      </c>
      <c r="G152" s="53"/>
      <c r="H152" s="45" t="s">
        <v>101</v>
      </c>
      <c r="I152" s="52" t="s">
        <v>18</v>
      </c>
      <c r="J152" s="52"/>
      <c r="K152" s="48" t="s">
        <v>8</v>
      </c>
      <c r="L152" s="49">
        <v>552332.86</v>
      </c>
    </row>
    <row r="153" spans="1:12" ht="51" hidden="1" x14ac:dyDescent="0.3">
      <c r="A153" s="43" t="s">
        <v>46</v>
      </c>
      <c r="B153" s="44" t="s">
        <v>263</v>
      </c>
      <c r="C153" s="44" t="s">
        <v>269</v>
      </c>
      <c r="D153" s="44" t="s">
        <v>265</v>
      </c>
      <c r="E153" s="45" t="s">
        <v>13</v>
      </c>
      <c r="F153" s="53">
        <v>888.7</v>
      </c>
      <c r="G153" s="53"/>
      <c r="H153" s="45" t="s">
        <v>101</v>
      </c>
      <c r="I153" s="52" t="s">
        <v>18</v>
      </c>
      <c r="J153" s="52"/>
      <c r="K153" s="48" t="s">
        <v>8</v>
      </c>
      <c r="L153" s="49">
        <v>553221.56000000006</v>
      </c>
    </row>
    <row r="154" spans="1:12" ht="51" hidden="1" x14ac:dyDescent="0.3">
      <c r="A154" s="43" t="s">
        <v>46</v>
      </c>
      <c r="B154" s="44" t="s">
        <v>270</v>
      </c>
      <c r="C154" s="44" t="s">
        <v>271</v>
      </c>
      <c r="D154" s="44" t="s">
        <v>257</v>
      </c>
      <c r="E154" s="45" t="s">
        <v>83</v>
      </c>
      <c r="F154" s="46" t="s">
        <v>18</v>
      </c>
      <c r="G154" s="46"/>
      <c r="H154" s="45" t="s">
        <v>13</v>
      </c>
      <c r="I154" s="47">
        <v>1750</v>
      </c>
      <c r="J154" s="47"/>
      <c r="K154" s="48" t="s">
        <v>8</v>
      </c>
      <c r="L154" s="49">
        <v>551471.56000000006</v>
      </c>
    </row>
    <row r="155" spans="1:12" ht="51" hidden="1" x14ac:dyDescent="0.3">
      <c r="A155" s="43" t="s">
        <v>46</v>
      </c>
      <c r="B155" s="44" t="s">
        <v>270</v>
      </c>
      <c r="C155" s="44" t="s">
        <v>272</v>
      </c>
      <c r="D155" s="44" t="s">
        <v>267</v>
      </c>
      <c r="E155" s="45" t="s">
        <v>83</v>
      </c>
      <c r="F155" s="46" t="s">
        <v>18</v>
      </c>
      <c r="G155" s="46"/>
      <c r="H155" s="45" t="s">
        <v>13</v>
      </c>
      <c r="I155" s="50">
        <v>432.48</v>
      </c>
      <c r="J155" s="50"/>
      <c r="K155" s="48" t="s">
        <v>8</v>
      </c>
      <c r="L155" s="49">
        <v>551039.07999999996</v>
      </c>
    </row>
    <row r="156" spans="1:12" ht="51" x14ac:dyDescent="0.3">
      <c r="A156" s="43" t="s">
        <v>46</v>
      </c>
      <c r="B156" s="44" t="s">
        <v>273</v>
      </c>
      <c r="C156" s="44" t="s">
        <v>95</v>
      </c>
      <c r="D156" s="44" t="s">
        <v>198</v>
      </c>
      <c r="E156" s="45" t="s">
        <v>66</v>
      </c>
      <c r="F156" s="46" t="s">
        <v>18</v>
      </c>
      <c r="G156" s="46"/>
      <c r="H156" s="45" t="s">
        <v>13</v>
      </c>
      <c r="I156" s="50">
        <v>685.04</v>
      </c>
      <c r="J156" s="50"/>
      <c r="K156" s="48" t="s">
        <v>8</v>
      </c>
      <c r="L156" s="49">
        <v>550354.04</v>
      </c>
    </row>
    <row r="157" spans="1:12" ht="51" x14ac:dyDescent="0.3">
      <c r="A157" s="43" t="s">
        <v>46</v>
      </c>
      <c r="B157" s="44" t="s">
        <v>273</v>
      </c>
      <c r="C157" s="44" t="s">
        <v>95</v>
      </c>
      <c r="D157" s="44" t="s">
        <v>200</v>
      </c>
      <c r="E157" s="45" t="s">
        <v>66</v>
      </c>
      <c r="F157" s="46" t="s">
        <v>18</v>
      </c>
      <c r="G157" s="46"/>
      <c r="H157" s="45" t="s">
        <v>13</v>
      </c>
      <c r="I157" s="50">
        <v>711.7</v>
      </c>
      <c r="J157" s="50"/>
      <c r="K157" s="48" t="s">
        <v>8</v>
      </c>
      <c r="L157" s="49">
        <v>549642.34</v>
      </c>
    </row>
    <row r="158" spans="1:12" ht="51" x14ac:dyDescent="0.3">
      <c r="A158" s="43" t="s">
        <v>46</v>
      </c>
      <c r="B158" s="44" t="s">
        <v>273</v>
      </c>
      <c r="C158" s="44" t="s">
        <v>95</v>
      </c>
      <c r="D158" s="44" t="s">
        <v>201</v>
      </c>
      <c r="E158" s="45" t="s">
        <v>66</v>
      </c>
      <c r="F158" s="46" t="s">
        <v>18</v>
      </c>
      <c r="G158" s="46"/>
      <c r="H158" s="45" t="s">
        <v>13</v>
      </c>
      <c r="I158" s="50">
        <v>738.32</v>
      </c>
      <c r="J158" s="50"/>
      <c r="K158" s="48" t="s">
        <v>8</v>
      </c>
      <c r="L158" s="49">
        <v>548904.02</v>
      </c>
    </row>
    <row r="159" spans="1:12" ht="51" x14ac:dyDescent="0.3">
      <c r="A159" s="43" t="s">
        <v>46</v>
      </c>
      <c r="B159" s="44" t="s">
        <v>273</v>
      </c>
      <c r="C159" s="44" t="s">
        <v>95</v>
      </c>
      <c r="D159" s="44" t="s">
        <v>202</v>
      </c>
      <c r="E159" s="45" t="s">
        <v>66</v>
      </c>
      <c r="F159" s="46" t="s">
        <v>18</v>
      </c>
      <c r="G159" s="46"/>
      <c r="H159" s="45" t="s">
        <v>13</v>
      </c>
      <c r="I159" s="47">
        <v>1049.08</v>
      </c>
      <c r="J159" s="47"/>
      <c r="K159" s="48" t="s">
        <v>8</v>
      </c>
      <c r="L159" s="49">
        <v>547854.93999999994</v>
      </c>
    </row>
    <row r="160" spans="1:12" ht="51" x14ac:dyDescent="0.3">
      <c r="A160" s="43" t="s">
        <v>46</v>
      </c>
      <c r="B160" s="44" t="s">
        <v>273</v>
      </c>
      <c r="C160" s="44" t="s">
        <v>95</v>
      </c>
      <c r="D160" s="44" t="s">
        <v>274</v>
      </c>
      <c r="E160" s="45" t="s">
        <v>66</v>
      </c>
      <c r="F160" s="46" t="s">
        <v>18</v>
      </c>
      <c r="G160" s="46"/>
      <c r="H160" s="45" t="s">
        <v>13</v>
      </c>
      <c r="I160" s="50">
        <v>601.79999999999995</v>
      </c>
      <c r="J160" s="50"/>
      <c r="K160" s="48" t="s">
        <v>8</v>
      </c>
      <c r="L160" s="49">
        <v>547253.14</v>
      </c>
    </row>
    <row r="161" spans="1:12" ht="61.2" x14ac:dyDescent="0.3">
      <c r="A161" s="43" t="s">
        <v>46</v>
      </c>
      <c r="B161" s="44" t="s">
        <v>273</v>
      </c>
      <c r="C161" s="44" t="s">
        <v>95</v>
      </c>
      <c r="D161" s="44" t="s">
        <v>275</v>
      </c>
      <c r="E161" s="45" t="s">
        <v>66</v>
      </c>
      <c r="F161" s="46" t="s">
        <v>18</v>
      </c>
      <c r="G161" s="46"/>
      <c r="H161" s="45" t="s">
        <v>13</v>
      </c>
      <c r="I161" s="47">
        <v>1285.9000000000001</v>
      </c>
      <c r="J161" s="47"/>
      <c r="K161" s="48" t="s">
        <v>8</v>
      </c>
      <c r="L161" s="49">
        <v>545967.24</v>
      </c>
    </row>
    <row r="162" spans="1:12" ht="51" x14ac:dyDescent="0.3">
      <c r="A162" s="43" t="s">
        <v>46</v>
      </c>
      <c r="B162" s="44" t="s">
        <v>273</v>
      </c>
      <c r="C162" s="44" t="s">
        <v>95</v>
      </c>
      <c r="D162" s="44" t="s">
        <v>267</v>
      </c>
      <c r="E162" s="45" t="s">
        <v>66</v>
      </c>
      <c r="F162" s="46" t="s">
        <v>18</v>
      </c>
      <c r="G162" s="46"/>
      <c r="H162" s="45" t="s">
        <v>13</v>
      </c>
      <c r="I162" s="50">
        <v>39.32</v>
      </c>
      <c r="J162" s="50"/>
      <c r="K162" s="48" t="s">
        <v>8</v>
      </c>
      <c r="L162" s="49">
        <v>545927.92000000004</v>
      </c>
    </row>
    <row r="163" spans="1:12" ht="51" x14ac:dyDescent="0.3">
      <c r="A163" s="43" t="s">
        <v>46</v>
      </c>
      <c r="B163" s="44" t="s">
        <v>276</v>
      </c>
      <c r="C163" s="44" t="s">
        <v>95</v>
      </c>
      <c r="D163" s="44" t="s">
        <v>257</v>
      </c>
      <c r="E163" s="45" t="s">
        <v>66</v>
      </c>
      <c r="F163" s="46" t="s">
        <v>18</v>
      </c>
      <c r="G163" s="46"/>
      <c r="H163" s="45" t="s">
        <v>13</v>
      </c>
      <c r="I163" s="47">
        <v>4375</v>
      </c>
      <c r="J163" s="47"/>
      <c r="K163" s="48" t="s">
        <v>8</v>
      </c>
      <c r="L163" s="49">
        <v>541552.92000000004</v>
      </c>
    </row>
    <row r="164" spans="1:12" ht="51" x14ac:dyDescent="0.3">
      <c r="A164" s="43" t="s">
        <v>46</v>
      </c>
      <c r="B164" s="44" t="s">
        <v>276</v>
      </c>
      <c r="C164" s="44" t="s">
        <v>95</v>
      </c>
      <c r="D164" s="44" t="s">
        <v>269</v>
      </c>
      <c r="E164" s="45" t="s">
        <v>66</v>
      </c>
      <c r="F164" s="46" t="s">
        <v>18</v>
      </c>
      <c r="G164" s="46"/>
      <c r="H164" s="45" t="s">
        <v>13</v>
      </c>
      <c r="I164" s="50">
        <v>355.48</v>
      </c>
      <c r="J164" s="50"/>
      <c r="K164" s="48" t="s">
        <v>8</v>
      </c>
      <c r="L164" s="49">
        <v>541197.43999999994</v>
      </c>
    </row>
    <row r="165" spans="1:12" ht="61.2" hidden="1" x14ac:dyDescent="0.3">
      <c r="A165" s="43" t="s">
        <v>277</v>
      </c>
      <c r="B165" s="44" t="s">
        <v>278</v>
      </c>
      <c r="C165" s="44" t="s">
        <v>279</v>
      </c>
      <c r="D165" s="44" t="s">
        <v>280</v>
      </c>
      <c r="E165" s="45" t="s">
        <v>13</v>
      </c>
      <c r="F165" s="53">
        <v>280</v>
      </c>
      <c r="G165" s="53"/>
      <c r="H165" s="45" t="s">
        <v>101</v>
      </c>
      <c r="I165" s="52" t="s">
        <v>18</v>
      </c>
      <c r="J165" s="52"/>
      <c r="K165" s="48" t="s">
        <v>8</v>
      </c>
      <c r="L165" s="49">
        <v>62946.67</v>
      </c>
    </row>
    <row r="166" spans="1:12" ht="51" hidden="1" x14ac:dyDescent="0.3">
      <c r="A166" s="43" t="s">
        <v>277</v>
      </c>
      <c r="B166" s="44" t="s">
        <v>278</v>
      </c>
      <c r="C166" s="44" t="s">
        <v>281</v>
      </c>
      <c r="D166" s="44" t="s">
        <v>280</v>
      </c>
      <c r="E166" s="45" t="s">
        <v>13</v>
      </c>
      <c r="F166" s="53">
        <v>94</v>
      </c>
      <c r="G166" s="53"/>
      <c r="H166" s="45" t="s">
        <v>101</v>
      </c>
      <c r="I166" s="52" t="s">
        <v>18</v>
      </c>
      <c r="J166" s="52"/>
      <c r="K166" s="48" t="s">
        <v>8</v>
      </c>
      <c r="L166" s="49">
        <v>63040.67</v>
      </c>
    </row>
    <row r="167" spans="1:12" ht="51" hidden="1" x14ac:dyDescent="0.3">
      <c r="A167" s="43" t="s">
        <v>277</v>
      </c>
      <c r="B167" s="44" t="s">
        <v>282</v>
      </c>
      <c r="C167" s="44" t="s">
        <v>283</v>
      </c>
      <c r="D167" s="44" t="s">
        <v>284</v>
      </c>
      <c r="E167" s="45" t="s">
        <v>13</v>
      </c>
      <c r="F167" s="51">
        <v>6433.4</v>
      </c>
      <c r="G167" s="51"/>
      <c r="H167" s="45" t="s">
        <v>101</v>
      </c>
      <c r="I167" s="52" t="s">
        <v>18</v>
      </c>
      <c r="J167" s="52"/>
      <c r="K167" s="48" t="s">
        <v>8</v>
      </c>
      <c r="L167" s="49">
        <v>547630.84</v>
      </c>
    </row>
    <row r="168" spans="1:12" ht="61.2" hidden="1" x14ac:dyDescent="0.3">
      <c r="A168" s="43" t="s">
        <v>49</v>
      </c>
      <c r="B168" s="44" t="s">
        <v>285</v>
      </c>
      <c r="C168" s="44" t="s">
        <v>286</v>
      </c>
      <c r="D168" s="44" t="s">
        <v>287</v>
      </c>
      <c r="E168" s="45" t="s">
        <v>13</v>
      </c>
      <c r="F168" s="51">
        <v>1166.7</v>
      </c>
      <c r="G168" s="51"/>
      <c r="H168" s="45" t="s">
        <v>101</v>
      </c>
      <c r="I168" s="52" t="s">
        <v>18</v>
      </c>
      <c r="J168" s="52"/>
      <c r="K168" s="48" t="s">
        <v>8</v>
      </c>
      <c r="L168" s="49">
        <v>548797.54</v>
      </c>
    </row>
    <row r="169" spans="1:12" ht="51" hidden="1" x14ac:dyDescent="0.3">
      <c r="A169" s="43" t="s">
        <v>49</v>
      </c>
      <c r="B169" s="44" t="s">
        <v>288</v>
      </c>
      <c r="C169" s="44" t="s">
        <v>289</v>
      </c>
      <c r="D169" s="44" t="s">
        <v>114</v>
      </c>
      <c r="E169" s="45" t="s">
        <v>13</v>
      </c>
      <c r="F169" s="53">
        <v>315</v>
      </c>
      <c r="G169" s="53"/>
      <c r="H169" s="45" t="s">
        <v>45</v>
      </c>
      <c r="I169" s="52" t="s">
        <v>18</v>
      </c>
      <c r="J169" s="52"/>
      <c r="K169" s="48" t="s">
        <v>8</v>
      </c>
      <c r="L169" s="49">
        <v>549112.54</v>
      </c>
    </row>
    <row r="170" spans="1:12" ht="51" hidden="1" x14ac:dyDescent="0.3">
      <c r="A170" s="43" t="s">
        <v>49</v>
      </c>
      <c r="B170" s="44" t="s">
        <v>288</v>
      </c>
      <c r="C170" s="44" t="s">
        <v>290</v>
      </c>
      <c r="D170" s="44" t="s">
        <v>114</v>
      </c>
      <c r="E170" s="45" t="s">
        <v>13</v>
      </c>
      <c r="F170" s="53">
        <v>162</v>
      </c>
      <c r="G170" s="53"/>
      <c r="H170" s="45" t="s">
        <v>45</v>
      </c>
      <c r="I170" s="52" t="s">
        <v>18</v>
      </c>
      <c r="J170" s="52"/>
      <c r="K170" s="48" t="s">
        <v>8</v>
      </c>
      <c r="L170" s="49">
        <v>549274.54</v>
      </c>
    </row>
    <row r="171" spans="1:12" ht="51" hidden="1" x14ac:dyDescent="0.3">
      <c r="A171" s="43" t="s">
        <v>49</v>
      </c>
      <c r="B171" s="44" t="s">
        <v>288</v>
      </c>
      <c r="C171" s="44" t="s">
        <v>291</v>
      </c>
      <c r="D171" s="44" t="s">
        <v>114</v>
      </c>
      <c r="E171" s="45" t="s">
        <v>13</v>
      </c>
      <c r="F171" s="53">
        <v>100</v>
      </c>
      <c r="G171" s="53"/>
      <c r="H171" s="45" t="s">
        <v>45</v>
      </c>
      <c r="I171" s="52" t="s">
        <v>18</v>
      </c>
      <c r="J171" s="52"/>
      <c r="K171" s="48" t="s">
        <v>8</v>
      </c>
      <c r="L171" s="49">
        <v>549374.54</v>
      </c>
    </row>
    <row r="172" spans="1:12" ht="51" hidden="1" x14ac:dyDescent="0.3">
      <c r="A172" s="43" t="s">
        <v>49</v>
      </c>
      <c r="B172" s="44" t="s">
        <v>288</v>
      </c>
      <c r="C172" s="44" t="s">
        <v>292</v>
      </c>
      <c r="D172" s="44" t="s">
        <v>114</v>
      </c>
      <c r="E172" s="45" t="s">
        <v>13</v>
      </c>
      <c r="F172" s="53">
        <v>120</v>
      </c>
      <c r="G172" s="53"/>
      <c r="H172" s="45" t="s">
        <v>45</v>
      </c>
      <c r="I172" s="52" t="s">
        <v>18</v>
      </c>
      <c r="J172" s="52"/>
      <c r="K172" s="48" t="s">
        <v>8</v>
      </c>
      <c r="L172" s="49">
        <v>549494.54</v>
      </c>
    </row>
    <row r="173" spans="1:12" ht="51" x14ac:dyDescent="0.3">
      <c r="A173" s="43" t="s">
        <v>49</v>
      </c>
      <c r="B173" s="44" t="s">
        <v>293</v>
      </c>
      <c r="C173" s="44" t="s">
        <v>95</v>
      </c>
      <c r="D173" s="44" t="s">
        <v>294</v>
      </c>
      <c r="E173" s="45" t="s">
        <v>66</v>
      </c>
      <c r="F173" s="46" t="s">
        <v>18</v>
      </c>
      <c r="G173" s="46"/>
      <c r="H173" s="45" t="s">
        <v>13</v>
      </c>
      <c r="I173" s="50">
        <v>17.12</v>
      </c>
      <c r="J173" s="50"/>
      <c r="K173" s="48" t="s">
        <v>8</v>
      </c>
      <c r="L173" s="49">
        <v>549477.42000000004</v>
      </c>
    </row>
    <row r="174" spans="1:12" ht="61.2" x14ac:dyDescent="0.3">
      <c r="A174" s="43" t="s">
        <v>49</v>
      </c>
      <c r="B174" s="44" t="s">
        <v>293</v>
      </c>
      <c r="C174" s="44" t="s">
        <v>95</v>
      </c>
      <c r="D174" s="44" t="s">
        <v>275</v>
      </c>
      <c r="E174" s="45" t="s">
        <v>66</v>
      </c>
      <c r="F174" s="46" t="s">
        <v>18</v>
      </c>
      <c r="G174" s="46"/>
      <c r="H174" s="45" t="s">
        <v>13</v>
      </c>
      <c r="I174" s="50">
        <v>935.2</v>
      </c>
      <c r="J174" s="50"/>
      <c r="K174" s="48" t="s">
        <v>8</v>
      </c>
      <c r="L174" s="49">
        <v>548542.22</v>
      </c>
    </row>
    <row r="175" spans="1:12" ht="51" x14ac:dyDescent="0.3">
      <c r="A175" s="43" t="s">
        <v>49</v>
      </c>
      <c r="B175" s="44" t="s">
        <v>295</v>
      </c>
      <c r="C175" s="44" t="s">
        <v>95</v>
      </c>
      <c r="D175" s="44" t="s">
        <v>296</v>
      </c>
      <c r="E175" s="45" t="s">
        <v>66</v>
      </c>
      <c r="F175" s="46" t="s">
        <v>18</v>
      </c>
      <c r="G175" s="46"/>
      <c r="H175" s="45" t="s">
        <v>13</v>
      </c>
      <c r="I175" s="50">
        <v>825</v>
      </c>
      <c r="J175" s="50"/>
      <c r="K175" s="48" t="s">
        <v>8</v>
      </c>
      <c r="L175" s="49">
        <v>547717.22</v>
      </c>
    </row>
    <row r="176" spans="1:12" ht="51" x14ac:dyDescent="0.3">
      <c r="A176" s="43" t="s">
        <v>49</v>
      </c>
      <c r="B176" s="44" t="s">
        <v>295</v>
      </c>
      <c r="C176" s="44" t="s">
        <v>95</v>
      </c>
      <c r="D176" s="44" t="s">
        <v>289</v>
      </c>
      <c r="E176" s="45" t="s">
        <v>66</v>
      </c>
      <c r="F176" s="46" t="s">
        <v>18</v>
      </c>
      <c r="G176" s="46"/>
      <c r="H176" s="45" t="s">
        <v>13</v>
      </c>
      <c r="I176" s="50">
        <v>315</v>
      </c>
      <c r="J176" s="50"/>
      <c r="K176" s="48" t="s">
        <v>8</v>
      </c>
      <c r="L176" s="49">
        <v>547402.22</v>
      </c>
    </row>
    <row r="177" spans="1:12" ht="51" x14ac:dyDescent="0.3">
      <c r="A177" s="43" t="s">
        <v>49</v>
      </c>
      <c r="B177" s="44" t="s">
        <v>295</v>
      </c>
      <c r="C177" s="44" t="s">
        <v>95</v>
      </c>
      <c r="D177" s="44" t="s">
        <v>290</v>
      </c>
      <c r="E177" s="45" t="s">
        <v>66</v>
      </c>
      <c r="F177" s="46" t="s">
        <v>18</v>
      </c>
      <c r="G177" s="46"/>
      <c r="H177" s="45" t="s">
        <v>13</v>
      </c>
      <c r="I177" s="50">
        <v>162</v>
      </c>
      <c r="J177" s="50"/>
      <c r="K177" s="48" t="s">
        <v>8</v>
      </c>
      <c r="L177" s="49">
        <v>547240.22</v>
      </c>
    </row>
    <row r="178" spans="1:12" ht="61.2" x14ac:dyDescent="0.3">
      <c r="A178" s="43" t="s">
        <v>49</v>
      </c>
      <c r="B178" s="44" t="s">
        <v>297</v>
      </c>
      <c r="C178" s="44" t="s">
        <v>95</v>
      </c>
      <c r="D178" s="44" t="s">
        <v>275</v>
      </c>
      <c r="E178" s="45" t="s">
        <v>66</v>
      </c>
      <c r="F178" s="46" t="s">
        <v>18</v>
      </c>
      <c r="G178" s="46"/>
      <c r="H178" s="45" t="s">
        <v>13</v>
      </c>
      <c r="I178" s="47">
        <v>2338</v>
      </c>
      <c r="J178" s="47"/>
      <c r="K178" s="48" t="s">
        <v>8</v>
      </c>
      <c r="L178" s="49">
        <v>544902.22</v>
      </c>
    </row>
    <row r="179" spans="1:12" ht="51" x14ac:dyDescent="0.3">
      <c r="A179" s="43" t="s">
        <v>49</v>
      </c>
      <c r="B179" s="44" t="s">
        <v>297</v>
      </c>
      <c r="C179" s="44" t="s">
        <v>95</v>
      </c>
      <c r="D179" s="44" t="s">
        <v>266</v>
      </c>
      <c r="E179" s="45" t="s">
        <v>66</v>
      </c>
      <c r="F179" s="46" t="s">
        <v>18</v>
      </c>
      <c r="G179" s="46"/>
      <c r="H179" s="45" t="s">
        <v>13</v>
      </c>
      <c r="I179" s="50">
        <v>832.94</v>
      </c>
      <c r="J179" s="50"/>
      <c r="K179" s="48" t="s">
        <v>8</v>
      </c>
      <c r="L179" s="49">
        <v>544069.28</v>
      </c>
    </row>
    <row r="180" spans="1:12" ht="51" x14ac:dyDescent="0.3">
      <c r="A180" s="43" t="s">
        <v>49</v>
      </c>
      <c r="B180" s="44" t="s">
        <v>297</v>
      </c>
      <c r="C180" s="44" t="s">
        <v>95</v>
      </c>
      <c r="D180" s="44" t="s">
        <v>267</v>
      </c>
      <c r="E180" s="45" t="s">
        <v>66</v>
      </c>
      <c r="F180" s="46" t="s">
        <v>18</v>
      </c>
      <c r="G180" s="46"/>
      <c r="H180" s="45" t="s">
        <v>13</v>
      </c>
      <c r="I180" s="50">
        <v>78.63</v>
      </c>
      <c r="J180" s="50"/>
      <c r="K180" s="48" t="s">
        <v>8</v>
      </c>
      <c r="L180" s="49">
        <v>543990.65</v>
      </c>
    </row>
    <row r="181" spans="1:12" ht="51" x14ac:dyDescent="0.3">
      <c r="A181" s="43" t="s">
        <v>49</v>
      </c>
      <c r="B181" s="44" t="s">
        <v>298</v>
      </c>
      <c r="C181" s="44" t="s">
        <v>95</v>
      </c>
      <c r="D181" s="44" t="s">
        <v>205</v>
      </c>
      <c r="E181" s="45" t="s">
        <v>66</v>
      </c>
      <c r="F181" s="46" t="s">
        <v>18</v>
      </c>
      <c r="G181" s="46"/>
      <c r="H181" s="45" t="s">
        <v>13</v>
      </c>
      <c r="I181" s="47">
        <v>2333.35</v>
      </c>
      <c r="J181" s="47"/>
      <c r="K181" s="48" t="s">
        <v>8</v>
      </c>
      <c r="L181" s="49">
        <v>541657.30000000005</v>
      </c>
    </row>
    <row r="182" spans="1:12" ht="51" x14ac:dyDescent="0.3">
      <c r="A182" s="43" t="s">
        <v>49</v>
      </c>
      <c r="B182" s="44" t="s">
        <v>298</v>
      </c>
      <c r="C182" s="44" t="s">
        <v>95</v>
      </c>
      <c r="D182" s="44" t="s">
        <v>244</v>
      </c>
      <c r="E182" s="45" t="s">
        <v>66</v>
      </c>
      <c r="F182" s="46" t="s">
        <v>18</v>
      </c>
      <c r="G182" s="46"/>
      <c r="H182" s="45" t="s">
        <v>13</v>
      </c>
      <c r="I182" s="50">
        <v>203.8</v>
      </c>
      <c r="J182" s="50"/>
      <c r="K182" s="48" t="s">
        <v>8</v>
      </c>
      <c r="L182" s="49">
        <v>541453.5</v>
      </c>
    </row>
    <row r="183" spans="1:12" ht="61.2" x14ac:dyDescent="0.3">
      <c r="A183" s="43" t="s">
        <v>49</v>
      </c>
      <c r="B183" s="44" t="s">
        <v>298</v>
      </c>
      <c r="C183" s="44" t="s">
        <v>95</v>
      </c>
      <c r="D183" s="44" t="s">
        <v>268</v>
      </c>
      <c r="E183" s="45" t="s">
        <v>66</v>
      </c>
      <c r="F183" s="46" t="s">
        <v>18</v>
      </c>
      <c r="G183" s="46"/>
      <c r="H183" s="45" t="s">
        <v>13</v>
      </c>
      <c r="I183" s="50">
        <v>265.17</v>
      </c>
      <c r="J183" s="50"/>
      <c r="K183" s="48" t="s">
        <v>8</v>
      </c>
      <c r="L183" s="49">
        <v>541188.32999999996</v>
      </c>
    </row>
    <row r="184" spans="1:12" ht="51" x14ac:dyDescent="0.3">
      <c r="A184" s="43" t="s">
        <v>49</v>
      </c>
      <c r="B184" s="44" t="s">
        <v>298</v>
      </c>
      <c r="C184" s="44" t="s">
        <v>95</v>
      </c>
      <c r="D184" s="44" t="s">
        <v>299</v>
      </c>
      <c r="E184" s="45" t="s">
        <v>66</v>
      </c>
      <c r="F184" s="46" t="s">
        <v>18</v>
      </c>
      <c r="G184" s="46"/>
      <c r="H184" s="45" t="s">
        <v>13</v>
      </c>
      <c r="I184" s="50">
        <v>170</v>
      </c>
      <c r="J184" s="50"/>
      <c r="K184" s="48" t="s">
        <v>8</v>
      </c>
      <c r="L184" s="49">
        <v>541018.32999999996</v>
      </c>
    </row>
    <row r="185" spans="1:12" ht="51" x14ac:dyDescent="0.3">
      <c r="A185" s="43" t="s">
        <v>49</v>
      </c>
      <c r="B185" s="44" t="s">
        <v>298</v>
      </c>
      <c r="C185" s="44" t="s">
        <v>95</v>
      </c>
      <c r="D185" s="44" t="s">
        <v>194</v>
      </c>
      <c r="E185" s="45" t="s">
        <v>66</v>
      </c>
      <c r="F185" s="46" t="s">
        <v>18</v>
      </c>
      <c r="G185" s="46"/>
      <c r="H185" s="45" t="s">
        <v>13</v>
      </c>
      <c r="I185" s="47">
        <v>1368.15</v>
      </c>
      <c r="J185" s="47"/>
      <c r="K185" s="48" t="s">
        <v>8</v>
      </c>
      <c r="L185" s="49">
        <v>539650.18000000005</v>
      </c>
    </row>
    <row r="186" spans="1:12" ht="51" x14ac:dyDescent="0.3">
      <c r="A186" s="43" t="s">
        <v>49</v>
      </c>
      <c r="B186" s="44" t="s">
        <v>298</v>
      </c>
      <c r="C186" s="44" t="s">
        <v>95</v>
      </c>
      <c r="D186" s="44" t="s">
        <v>300</v>
      </c>
      <c r="E186" s="45" t="s">
        <v>66</v>
      </c>
      <c r="F186" s="46" t="s">
        <v>18</v>
      </c>
      <c r="G186" s="46"/>
      <c r="H186" s="45" t="s">
        <v>13</v>
      </c>
      <c r="I186" s="50">
        <v>177.1</v>
      </c>
      <c r="J186" s="50"/>
      <c r="K186" s="48" t="s">
        <v>8</v>
      </c>
      <c r="L186" s="49">
        <v>539473.07999999996</v>
      </c>
    </row>
    <row r="187" spans="1:12" ht="51" x14ac:dyDescent="0.3">
      <c r="A187" s="43" t="s">
        <v>49</v>
      </c>
      <c r="B187" s="44" t="s">
        <v>298</v>
      </c>
      <c r="C187" s="44" t="s">
        <v>95</v>
      </c>
      <c r="D187" s="44" t="s">
        <v>301</v>
      </c>
      <c r="E187" s="45" t="s">
        <v>66</v>
      </c>
      <c r="F187" s="46" t="s">
        <v>18</v>
      </c>
      <c r="G187" s="46"/>
      <c r="H187" s="45" t="s">
        <v>13</v>
      </c>
      <c r="I187" s="50">
        <v>260</v>
      </c>
      <c r="J187" s="50"/>
      <c r="K187" s="48" t="s">
        <v>8</v>
      </c>
      <c r="L187" s="49">
        <v>539213.07999999996</v>
      </c>
    </row>
    <row r="188" spans="1:12" ht="51" x14ac:dyDescent="0.3">
      <c r="A188" s="43" t="s">
        <v>49</v>
      </c>
      <c r="B188" s="44" t="s">
        <v>298</v>
      </c>
      <c r="C188" s="44" t="s">
        <v>95</v>
      </c>
      <c r="D188" s="44" t="s">
        <v>155</v>
      </c>
      <c r="E188" s="45" t="s">
        <v>66</v>
      </c>
      <c r="F188" s="46" t="s">
        <v>18</v>
      </c>
      <c r="G188" s="46"/>
      <c r="H188" s="45" t="s">
        <v>13</v>
      </c>
      <c r="I188" s="50">
        <v>280.2</v>
      </c>
      <c r="J188" s="50"/>
      <c r="K188" s="48" t="s">
        <v>8</v>
      </c>
      <c r="L188" s="49">
        <v>538932.88</v>
      </c>
    </row>
    <row r="189" spans="1:12" ht="51" x14ac:dyDescent="0.3">
      <c r="A189" s="43" t="s">
        <v>49</v>
      </c>
      <c r="B189" s="44" t="s">
        <v>298</v>
      </c>
      <c r="C189" s="44" t="s">
        <v>95</v>
      </c>
      <c r="D189" s="44" t="s">
        <v>302</v>
      </c>
      <c r="E189" s="45" t="s">
        <v>66</v>
      </c>
      <c r="F189" s="46" t="s">
        <v>18</v>
      </c>
      <c r="G189" s="46"/>
      <c r="H189" s="45" t="s">
        <v>13</v>
      </c>
      <c r="I189" s="50">
        <v>186.8</v>
      </c>
      <c r="J189" s="50"/>
      <c r="K189" s="48" t="s">
        <v>8</v>
      </c>
      <c r="L189" s="49">
        <v>538746.07999999996</v>
      </c>
    </row>
    <row r="190" spans="1:12" ht="61.2" x14ac:dyDescent="0.3">
      <c r="A190" s="43" t="s">
        <v>49</v>
      </c>
      <c r="B190" s="44" t="s">
        <v>298</v>
      </c>
      <c r="C190" s="44" t="s">
        <v>95</v>
      </c>
      <c r="D190" s="44" t="s">
        <v>303</v>
      </c>
      <c r="E190" s="45" t="s">
        <v>66</v>
      </c>
      <c r="F190" s="46" t="s">
        <v>18</v>
      </c>
      <c r="G190" s="46"/>
      <c r="H190" s="45" t="s">
        <v>13</v>
      </c>
      <c r="I190" s="50">
        <v>420</v>
      </c>
      <c r="J190" s="50"/>
      <c r="K190" s="48" t="s">
        <v>8</v>
      </c>
      <c r="L190" s="49">
        <v>538326.07999999996</v>
      </c>
    </row>
    <row r="191" spans="1:12" ht="51" hidden="1" x14ac:dyDescent="0.3">
      <c r="A191" s="43" t="s">
        <v>304</v>
      </c>
      <c r="B191" s="44" t="s">
        <v>305</v>
      </c>
      <c r="C191" s="44" t="s">
        <v>306</v>
      </c>
      <c r="D191" s="44" t="s">
        <v>257</v>
      </c>
      <c r="E191" s="45" t="s">
        <v>83</v>
      </c>
      <c r="F191" s="46" t="s">
        <v>18</v>
      </c>
      <c r="G191" s="46"/>
      <c r="H191" s="45" t="s">
        <v>13</v>
      </c>
      <c r="I191" s="47">
        <v>2187.5</v>
      </c>
      <c r="J191" s="47"/>
      <c r="K191" s="48" t="s">
        <v>8</v>
      </c>
      <c r="L191" s="49">
        <v>536138.57999999996</v>
      </c>
    </row>
    <row r="192" spans="1:12" ht="51" hidden="1" x14ac:dyDescent="0.3">
      <c r="A192" s="43" t="s">
        <v>304</v>
      </c>
      <c r="B192" s="44" t="s">
        <v>305</v>
      </c>
      <c r="C192" s="44" t="s">
        <v>307</v>
      </c>
      <c r="D192" s="44" t="s">
        <v>267</v>
      </c>
      <c r="E192" s="45" t="s">
        <v>83</v>
      </c>
      <c r="F192" s="46" t="s">
        <v>18</v>
      </c>
      <c r="G192" s="46"/>
      <c r="H192" s="45" t="s">
        <v>13</v>
      </c>
      <c r="I192" s="50">
        <v>157.26</v>
      </c>
      <c r="J192" s="50"/>
      <c r="K192" s="48" t="s">
        <v>8</v>
      </c>
      <c r="L192" s="49">
        <v>535981.31999999995</v>
      </c>
    </row>
    <row r="193" spans="1:12" ht="51" x14ac:dyDescent="0.3">
      <c r="A193" s="43" t="s">
        <v>304</v>
      </c>
      <c r="B193" s="44" t="s">
        <v>308</v>
      </c>
      <c r="C193" s="44" t="s">
        <v>95</v>
      </c>
      <c r="D193" s="44" t="s">
        <v>257</v>
      </c>
      <c r="E193" s="45" t="s">
        <v>66</v>
      </c>
      <c r="F193" s="46" t="s">
        <v>18</v>
      </c>
      <c r="G193" s="46"/>
      <c r="H193" s="45" t="s">
        <v>13</v>
      </c>
      <c r="I193" s="47">
        <v>4375</v>
      </c>
      <c r="J193" s="47"/>
      <c r="K193" s="48" t="s">
        <v>8</v>
      </c>
      <c r="L193" s="49">
        <v>531606.31999999995</v>
      </c>
    </row>
    <row r="194" spans="1:12" ht="51" x14ac:dyDescent="0.3">
      <c r="A194" s="43" t="s">
        <v>304</v>
      </c>
      <c r="B194" s="44" t="s">
        <v>308</v>
      </c>
      <c r="C194" s="44" t="s">
        <v>95</v>
      </c>
      <c r="D194" s="44" t="s">
        <v>309</v>
      </c>
      <c r="E194" s="45" t="s">
        <v>66</v>
      </c>
      <c r="F194" s="46" t="s">
        <v>18</v>
      </c>
      <c r="G194" s="46"/>
      <c r="H194" s="45" t="s">
        <v>13</v>
      </c>
      <c r="I194" s="50">
        <v>76</v>
      </c>
      <c r="J194" s="50"/>
      <c r="K194" s="48" t="s">
        <v>8</v>
      </c>
      <c r="L194" s="49">
        <v>531530.31999999995</v>
      </c>
    </row>
    <row r="195" spans="1:12" ht="51" x14ac:dyDescent="0.3">
      <c r="A195" s="43" t="s">
        <v>304</v>
      </c>
      <c r="B195" s="44" t="s">
        <v>308</v>
      </c>
      <c r="C195" s="44" t="s">
        <v>95</v>
      </c>
      <c r="D195" s="44" t="s">
        <v>310</v>
      </c>
      <c r="E195" s="45" t="s">
        <v>66</v>
      </c>
      <c r="F195" s="46" t="s">
        <v>18</v>
      </c>
      <c r="G195" s="46"/>
      <c r="H195" s="45" t="s">
        <v>13</v>
      </c>
      <c r="I195" s="47">
        <v>2065</v>
      </c>
      <c r="J195" s="47"/>
      <c r="K195" s="48" t="s">
        <v>8</v>
      </c>
      <c r="L195" s="49">
        <v>529465.31999999995</v>
      </c>
    </row>
    <row r="196" spans="1:12" ht="51" x14ac:dyDescent="0.3">
      <c r="A196" s="43" t="s">
        <v>304</v>
      </c>
      <c r="B196" s="44" t="s">
        <v>308</v>
      </c>
      <c r="C196" s="44" t="s">
        <v>95</v>
      </c>
      <c r="D196" s="44" t="s">
        <v>294</v>
      </c>
      <c r="E196" s="45" t="s">
        <v>66</v>
      </c>
      <c r="F196" s="46" t="s">
        <v>18</v>
      </c>
      <c r="G196" s="46"/>
      <c r="H196" s="45" t="s">
        <v>13</v>
      </c>
      <c r="I196" s="50">
        <v>111.28</v>
      </c>
      <c r="J196" s="50"/>
      <c r="K196" s="48" t="s">
        <v>8</v>
      </c>
      <c r="L196" s="49">
        <v>529354.04</v>
      </c>
    </row>
    <row r="197" spans="1:12" ht="51" x14ac:dyDescent="0.3">
      <c r="A197" s="43" t="s">
        <v>304</v>
      </c>
      <c r="B197" s="44" t="s">
        <v>311</v>
      </c>
      <c r="C197" s="44" t="s">
        <v>95</v>
      </c>
      <c r="D197" s="44" t="s">
        <v>257</v>
      </c>
      <c r="E197" s="45" t="s">
        <v>66</v>
      </c>
      <c r="F197" s="46" t="s">
        <v>18</v>
      </c>
      <c r="G197" s="46"/>
      <c r="H197" s="45" t="s">
        <v>13</v>
      </c>
      <c r="I197" s="47">
        <v>2187.5</v>
      </c>
      <c r="J197" s="47"/>
      <c r="K197" s="48" t="s">
        <v>8</v>
      </c>
      <c r="L197" s="49">
        <v>527166.54</v>
      </c>
    </row>
    <row r="198" spans="1:12" ht="51" x14ac:dyDescent="0.3">
      <c r="A198" s="43" t="s">
        <v>304</v>
      </c>
      <c r="B198" s="44" t="s">
        <v>312</v>
      </c>
      <c r="C198" s="44" t="s">
        <v>95</v>
      </c>
      <c r="D198" s="44" t="s">
        <v>313</v>
      </c>
      <c r="E198" s="45" t="s">
        <v>66</v>
      </c>
      <c r="F198" s="46" t="s">
        <v>18</v>
      </c>
      <c r="G198" s="46"/>
      <c r="H198" s="45" t="s">
        <v>13</v>
      </c>
      <c r="I198" s="50">
        <v>700</v>
      </c>
      <c r="J198" s="50"/>
      <c r="K198" s="48" t="s">
        <v>8</v>
      </c>
      <c r="L198" s="49">
        <v>526466.54</v>
      </c>
    </row>
    <row r="199" spans="1:12" ht="51" x14ac:dyDescent="0.3">
      <c r="A199" s="43" t="s">
        <v>304</v>
      </c>
      <c r="B199" s="44" t="s">
        <v>314</v>
      </c>
      <c r="C199" s="44" t="s">
        <v>95</v>
      </c>
      <c r="D199" s="44" t="s">
        <v>85</v>
      </c>
      <c r="E199" s="45" t="s">
        <v>66</v>
      </c>
      <c r="F199" s="46" t="s">
        <v>18</v>
      </c>
      <c r="G199" s="46"/>
      <c r="H199" s="45" t="s">
        <v>13</v>
      </c>
      <c r="I199" s="50">
        <v>351.4</v>
      </c>
      <c r="J199" s="50"/>
      <c r="K199" s="48" t="s">
        <v>8</v>
      </c>
      <c r="L199" s="49">
        <v>13839.19</v>
      </c>
    </row>
    <row r="200" spans="1:12" ht="51" x14ac:dyDescent="0.3">
      <c r="A200" s="43" t="s">
        <v>304</v>
      </c>
      <c r="B200" s="44" t="s">
        <v>314</v>
      </c>
      <c r="C200" s="44" t="s">
        <v>95</v>
      </c>
      <c r="D200" s="44" t="s">
        <v>315</v>
      </c>
      <c r="E200" s="45" t="s">
        <v>66</v>
      </c>
      <c r="F200" s="46" t="s">
        <v>18</v>
      </c>
      <c r="G200" s="46"/>
      <c r="H200" s="45" t="s">
        <v>13</v>
      </c>
      <c r="I200" s="50">
        <v>95</v>
      </c>
      <c r="J200" s="50"/>
      <c r="K200" s="48" t="s">
        <v>8</v>
      </c>
      <c r="L200" s="49">
        <v>13744.19</v>
      </c>
    </row>
    <row r="201" spans="1:12" ht="51" x14ac:dyDescent="0.3">
      <c r="A201" s="43" t="s">
        <v>304</v>
      </c>
      <c r="B201" s="44" t="s">
        <v>314</v>
      </c>
      <c r="C201" s="44" t="s">
        <v>95</v>
      </c>
      <c r="D201" s="44" t="s">
        <v>316</v>
      </c>
      <c r="E201" s="45" t="s">
        <v>66</v>
      </c>
      <c r="F201" s="46" t="s">
        <v>18</v>
      </c>
      <c r="G201" s="46"/>
      <c r="H201" s="45" t="s">
        <v>13</v>
      </c>
      <c r="I201" s="50">
        <v>230</v>
      </c>
      <c r="J201" s="50"/>
      <c r="K201" s="48" t="s">
        <v>8</v>
      </c>
      <c r="L201" s="49">
        <v>13514.19</v>
      </c>
    </row>
    <row r="202" spans="1:12" ht="51" x14ac:dyDescent="0.3">
      <c r="A202" s="43" t="s">
        <v>304</v>
      </c>
      <c r="B202" s="44" t="s">
        <v>314</v>
      </c>
      <c r="C202" s="44" t="s">
        <v>95</v>
      </c>
      <c r="D202" s="44" t="s">
        <v>317</v>
      </c>
      <c r="E202" s="45" t="s">
        <v>66</v>
      </c>
      <c r="F202" s="46" t="s">
        <v>18</v>
      </c>
      <c r="G202" s="46"/>
      <c r="H202" s="45" t="s">
        <v>13</v>
      </c>
      <c r="I202" s="50">
        <v>50</v>
      </c>
      <c r="J202" s="50"/>
      <c r="K202" s="48" t="s">
        <v>8</v>
      </c>
      <c r="L202" s="49">
        <v>13464.19</v>
      </c>
    </row>
    <row r="203" spans="1:12" ht="61.2" x14ac:dyDescent="0.3">
      <c r="A203" s="43" t="s">
        <v>304</v>
      </c>
      <c r="B203" s="44" t="s">
        <v>318</v>
      </c>
      <c r="C203" s="44" t="s">
        <v>95</v>
      </c>
      <c r="D203" s="44" t="s">
        <v>319</v>
      </c>
      <c r="E203" s="45" t="s">
        <v>66</v>
      </c>
      <c r="F203" s="46" t="s">
        <v>18</v>
      </c>
      <c r="G203" s="46"/>
      <c r="H203" s="45" t="s">
        <v>13</v>
      </c>
      <c r="I203" s="47">
        <v>1425.1</v>
      </c>
      <c r="J203" s="47"/>
      <c r="K203" s="48" t="s">
        <v>8</v>
      </c>
      <c r="L203" s="49">
        <v>525041.43999999994</v>
      </c>
    </row>
    <row r="204" spans="1:12" ht="51" x14ac:dyDescent="0.3">
      <c r="A204" s="43" t="s">
        <v>304</v>
      </c>
      <c r="B204" s="44" t="s">
        <v>320</v>
      </c>
      <c r="C204" s="44" t="s">
        <v>95</v>
      </c>
      <c r="D204" s="44" t="s">
        <v>321</v>
      </c>
      <c r="E204" s="45" t="s">
        <v>66</v>
      </c>
      <c r="F204" s="46" t="s">
        <v>18</v>
      </c>
      <c r="G204" s="46"/>
      <c r="H204" s="45" t="s">
        <v>13</v>
      </c>
      <c r="I204" s="47">
        <v>5961.74</v>
      </c>
      <c r="J204" s="47"/>
      <c r="K204" s="48" t="s">
        <v>8</v>
      </c>
      <c r="L204" s="49">
        <v>519079.7</v>
      </c>
    </row>
    <row r="205" spans="1:12" ht="51" x14ac:dyDescent="0.3">
      <c r="A205" s="43" t="s">
        <v>304</v>
      </c>
      <c r="B205" s="44" t="s">
        <v>320</v>
      </c>
      <c r="C205" s="44" t="s">
        <v>95</v>
      </c>
      <c r="D205" s="44" t="s">
        <v>261</v>
      </c>
      <c r="E205" s="45" t="s">
        <v>66</v>
      </c>
      <c r="F205" s="46" t="s">
        <v>18</v>
      </c>
      <c r="G205" s="46"/>
      <c r="H205" s="45" t="s">
        <v>13</v>
      </c>
      <c r="I205" s="47">
        <v>2407.6</v>
      </c>
      <c r="J205" s="47"/>
      <c r="K205" s="48" t="s">
        <v>8</v>
      </c>
      <c r="L205" s="49">
        <v>516672.1</v>
      </c>
    </row>
    <row r="206" spans="1:12" ht="51" x14ac:dyDescent="0.3">
      <c r="A206" s="43" t="s">
        <v>304</v>
      </c>
      <c r="B206" s="44" t="s">
        <v>322</v>
      </c>
      <c r="C206" s="44" t="s">
        <v>95</v>
      </c>
      <c r="D206" s="44" t="s">
        <v>323</v>
      </c>
      <c r="E206" s="45" t="s">
        <v>66</v>
      </c>
      <c r="F206" s="46" t="s">
        <v>18</v>
      </c>
      <c r="G206" s="46"/>
      <c r="H206" s="45" t="s">
        <v>13</v>
      </c>
      <c r="I206" s="47">
        <v>1383.3</v>
      </c>
      <c r="J206" s="47"/>
      <c r="K206" s="48" t="s">
        <v>8</v>
      </c>
      <c r="L206" s="49">
        <v>16469.23</v>
      </c>
    </row>
    <row r="207" spans="1:12" ht="51" x14ac:dyDescent="0.3">
      <c r="A207" s="43" t="s">
        <v>304</v>
      </c>
      <c r="B207" s="44" t="s">
        <v>322</v>
      </c>
      <c r="C207" s="44" t="s">
        <v>95</v>
      </c>
      <c r="D207" s="44" t="s">
        <v>324</v>
      </c>
      <c r="E207" s="45" t="s">
        <v>66</v>
      </c>
      <c r="F207" s="46" t="s">
        <v>18</v>
      </c>
      <c r="G207" s="46"/>
      <c r="H207" s="45" t="s">
        <v>13</v>
      </c>
      <c r="I207" s="47">
        <v>1802.48</v>
      </c>
      <c r="J207" s="47"/>
      <c r="K207" s="48" t="s">
        <v>8</v>
      </c>
      <c r="L207" s="49">
        <v>14666.75</v>
      </c>
    </row>
    <row r="208" spans="1:12" ht="51" hidden="1" x14ac:dyDescent="0.3">
      <c r="A208" s="43" t="s">
        <v>325</v>
      </c>
      <c r="B208" s="44" t="s">
        <v>326</v>
      </c>
      <c r="C208" s="44" t="s">
        <v>327</v>
      </c>
      <c r="D208" s="44" t="s">
        <v>328</v>
      </c>
      <c r="E208" s="45" t="s">
        <v>13</v>
      </c>
      <c r="F208" s="51">
        <v>2563</v>
      </c>
      <c r="G208" s="51"/>
      <c r="H208" s="45" t="s">
        <v>101</v>
      </c>
      <c r="I208" s="52" t="s">
        <v>18</v>
      </c>
      <c r="J208" s="52"/>
      <c r="K208" s="48" t="s">
        <v>8</v>
      </c>
      <c r="L208" s="49">
        <v>519235.1</v>
      </c>
    </row>
    <row r="209" spans="1:12" ht="61.2" hidden="1" x14ac:dyDescent="0.3">
      <c r="A209" s="43" t="s">
        <v>325</v>
      </c>
      <c r="B209" s="44" t="s">
        <v>329</v>
      </c>
      <c r="C209" s="44" t="s">
        <v>330</v>
      </c>
      <c r="D209" s="44" t="s">
        <v>331</v>
      </c>
      <c r="E209" s="45" t="s">
        <v>13</v>
      </c>
      <c r="F209" s="51">
        <v>1128</v>
      </c>
      <c r="G209" s="51"/>
      <c r="H209" s="45" t="s">
        <v>13</v>
      </c>
      <c r="I209" s="52" t="s">
        <v>18</v>
      </c>
      <c r="J209" s="52"/>
      <c r="K209" s="48" t="s">
        <v>8</v>
      </c>
      <c r="L209" s="49">
        <v>520363.1</v>
      </c>
    </row>
    <row r="210" spans="1:12" ht="51" hidden="1" x14ac:dyDescent="0.3">
      <c r="A210" s="43" t="s">
        <v>325</v>
      </c>
      <c r="B210" s="44" t="s">
        <v>329</v>
      </c>
      <c r="C210" s="44" t="s">
        <v>332</v>
      </c>
      <c r="D210" s="44" t="s">
        <v>333</v>
      </c>
      <c r="E210" s="45" t="s">
        <v>13</v>
      </c>
      <c r="F210" s="51">
        <v>1133.6500000000001</v>
      </c>
      <c r="G210" s="51"/>
      <c r="H210" s="45" t="s">
        <v>13</v>
      </c>
      <c r="I210" s="52" t="s">
        <v>18</v>
      </c>
      <c r="J210" s="52"/>
      <c r="K210" s="48" t="s">
        <v>8</v>
      </c>
      <c r="L210" s="49">
        <v>521496.75</v>
      </c>
    </row>
    <row r="211" spans="1:12" ht="51" hidden="1" x14ac:dyDescent="0.3">
      <c r="A211" s="43" t="s">
        <v>325</v>
      </c>
      <c r="B211" s="44" t="s">
        <v>329</v>
      </c>
      <c r="C211" s="44" t="s">
        <v>334</v>
      </c>
      <c r="D211" s="44" t="s">
        <v>335</v>
      </c>
      <c r="E211" s="45" t="s">
        <v>13</v>
      </c>
      <c r="F211" s="51">
        <v>1230.9000000000001</v>
      </c>
      <c r="G211" s="51"/>
      <c r="H211" s="45" t="s">
        <v>13</v>
      </c>
      <c r="I211" s="52" t="s">
        <v>18</v>
      </c>
      <c r="J211" s="52"/>
      <c r="K211" s="48" t="s">
        <v>8</v>
      </c>
      <c r="L211" s="49">
        <v>522727.65</v>
      </c>
    </row>
    <row r="212" spans="1:12" ht="51" hidden="1" x14ac:dyDescent="0.3">
      <c r="A212" s="43" t="s">
        <v>325</v>
      </c>
      <c r="B212" s="44" t="s">
        <v>329</v>
      </c>
      <c r="C212" s="44" t="s">
        <v>336</v>
      </c>
      <c r="D212" s="44" t="s">
        <v>337</v>
      </c>
      <c r="E212" s="45" t="s">
        <v>13</v>
      </c>
      <c r="F212" s="53">
        <v>123.6</v>
      </c>
      <c r="G212" s="53"/>
      <c r="H212" s="45" t="s">
        <v>13</v>
      </c>
      <c r="I212" s="52" t="s">
        <v>18</v>
      </c>
      <c r="J212" s="52"/>
      <c r="K212" s="48" t="s">
        <v>8</v>
      </c>
      <c r="L212" s="49">
        <v>522851.25</v>
      </c>
    </row>
    <row r="213" spans="1:12" ht="51" hidden="1" x14ac:dyDescent="0.3">
      <c r="A213" s="43" t="s">
        <v>69</v>
      </c>
      <c r="B213" s="44" t="s">
        <v>338</v>
      </c>
      <c r="C213" s="44" t="s">
        <v>339</v>
      </c>
      <c r="D213" s="44" t="s">
        <v>257</v>
      </c>
      <c r="E213" s="45" t="s">
        <v>83</v>
      </c>
      <c r="F213" s="46" t="s">
        <v>18</v>
      </c>
      <c r="G213" s="46"/>
      <c r="H213" s="45" t="s">
        <v>13</v>
      </c>
      <c r="I213" s="47">
        <v>1968.75</v>
      </c>
      <c r="J213" s="47"/>
      <c r="K213" s="48" t="s">
        <v>8</v>
      </c>
      <c r="L213" s="49">
        <v>520882.5</v>
      </c>
    </row>
    <row r="214" spans="1:12" ht="61.2" hidden="1" x14ac:dyDescent="0.3">
      <c r="A214" s="43" t="s">
        <v>69</v>
      </c>
      <c r="B214" s="44" t="s">
        <v>338</v>
      </c>
      <c r="C214" s="44" t="s">
        <v>340</v>
      </c>
      <c r="D214" s="44" t="s">
        <v>330</v>
      </c>
      <c r="E214" s="45" t="s">
        <v>83</v>
      </c>
      <c r="F214" s="46" t="s">
        <v>18</v>
      </c>
      <c r="G214" s="46"/>
      <c r="H214" s="45" t="s">
        <v>13</v>
      </c>
      <c r="I214" s="47">
        <v>1071.5999999999999</v>
      </c>
      <c r="J214" s="47"/>
      <c r="K214" s="48" t="s">
        <v>8</v>
      </c>
      <c r="L214" s="49">
        <v>519810.9</v>
      </c>
    </row>
    <row r="215" spans="1:12" ht="51" x14ac:dyDescent="0.3">
      <c r="A215" s="43" t="s">
        <v>69</v>
      </c>
      <c r="B215" s="44" t="s">
        <v>341</v>
      </c>
      <c r="C215" s="44" t="s">
        <v>95</v>
      </c>
      <c r="D215" s="44" t="s">
        <v>342</v>
      </c>
      <c r="E215" s="45" t="s">
        <v>66</v>
      </c>
      <c r="F215" s="46" t="s">
        <v>18</v>
      </c>
      <c r="G215" s="46"/>
      <c r="H215" s="45" t="s">
        <v>13</v>
      </c>
      <c r="I215" s="47">
        <v>3872.79</v>
      </c>
      <c r="J215" s="47"/>
      <c r="K215" s="48" t="s">
        <v>8</v>
      </c>
      <c r="L215" s="49">
        <v>515938.11</v>
      </c>
    </row>
    <row r="216" spans="1:12" ht="51" hidden="1" x14ac:dyDescent="0.3">
      <c r="A216" s="43" t="s">
        <v>69</v>
      </c>
      <c r="B216" s="44" t="s">
        <v>343</v>
      </c>
      <c r="C216" s="44" t="s">
        <v>344</v>
      </c>
      <c r="D216" s="44" t="s">
        <v>345</v>
      </c>
      <c r="E216" s="45" t="s">
        <v>13</v>
      </c>
      <c r="F216" s="51">
        <v>1053.8</v>
      </c>
      <c r="G216" s="51"/>
      <c r="H216" s="45" t="s">
        <v>101</v>
      </c>
      <c r="I216" s="52" t="s">
        <v>18</v>
      </c>
      <c r="J216" s="52"/>
      <c r="K216" s="48" t="s">
        <v>8</v>
      </c>
      <c r="L216" s="49">
        <v>516991.91</v>
      </c>
    </row>
    <row r="217" spans="1:12" ht="51" hidden="1" x14ac:dyDescent="0.3">
      <c r="A217" s="43" t="s">
        <v>69</v>
      </c>
      <c r="B217" s="44" t="s">
        <v>343</v>
      </c>
      <c r="C217" s="44" t="s">
        <v>346</v>
      </c>
      <c r="D217" s="44" t="s">
        <v>345</v>
      </c>
      <c r="E217" s="45" t="s">
        <v>13</v>
      </c>
      <c r="F217" s="53">
        <v>687.6</v>
      </c>
      <c r="G217" s="53"/>
      <c r="H217" s="45" t="s">
        <v>101</v>
      </c>
      <c r="I217" s="52" t="s">
        <v>18</v>
      </c>
      <c r="J217" s="52"/>
      <c r="K217" s="48" t="s">
        <v>8</v>
      </c>
      <c r="L217" s="49">
        <v>517679.51</v>
      </c>
    </row>
    <row r="218" spans="1:12" ht="51" x14ac:dyDescent="0.3">
      <c r="A218" s="43" t="s">
        <v>69</v>
      </c>
      <c r="B218" s="44" t="s">
        <v>347</v>
      </c>
      <c r="C218" s="44" t="s">
        <v>95</v>
      </c>
      <c r="D218" s="44" t="s">
        <v>348</v>
      </c>
      <c r="E218" s="45" t="s">
        <v>66</v>
      </c>
      <c r="F218" s="46" t="s">
        <v>18</v>
      </c>
      <c r="G218" s="46"/>
      <c r="H218" s="45" t="s">
        <v>13</v>
      </c>
      <c r="I218" s="47">
        <v>4666.8999999999996</v>
      </c>
      <c r="J218" s="47"/>
      <c r="K218" s="48" t="s">
        <v>8</v>
      </c>
      <c r="L218" s="49">
        <v>513012.61</v>
      </c>
    </row>
    <row r="219" spans="1:12" ht="51" x14ac:dyDescent="0.3">
      <c r="A219" s="43" t="s">
        <v>69</v>
      </c>
      <c r="B219" s="44" t="s">
        <v>347</v>
      </c>
      <c r="C219" s="44" t="s">
        <v>95</v>
      </c>
      <c r="D219" s="44" t="s">
        <v>349</v>
      </c>
      <c r="E219" s="45" t="s">
        <v>66</v>
      </c>
      <c r="F219" s="46" t="s">
        <v>18</v>
      </c>
      <c r="G219" s="46"/>
      <c r="H219" s="45" t="s">
        <v>13</v>
      </c>
      <c r="I219" s="47">
        <v>2420.4</v>
      </c>
      <c r="J219" s="47"/>
      <c r="K219" s="48" t="s">
        <v>8</v>
      </c>
      <c r="L219" s="49">
        <v>510592.21</v>
      </c>
    </row>
    <row r="220" spans="1:12" ht="51" x14ac:dyDescent="0.3">
      <c r="A220" s="43" t="s">
        <v>69</v>
      </c>
      <c r="B220" s="44" t="s">
        <v>347</v>
      </c>
      <c r="C220" s="44" t="s">
        <v>95</v>
      </c>
      <c r="D220" s="44" t="s">
        <v>321</v>
      </c>
      <c r="E220" s="45" t="s">
        <v>66</v>
      </c>
      <c r="F220" s="46" t="s">
        <v>18</v>
      </c>
      <c r="G220" s="46"/>
      <c r="H220" s="45" t="s">
        <v>13</v>
      </c>
      <c r="I220" s="47">
        <v>4471.3</v>
      </c>
      <c r="J220" s="47"/>
      <c r="K220" s="48" t="s">
        <v>8</v>
      </c>
      <c r="L220" s="49">
        <v>506120.91</v>
      </c>
    </row>
    <row r="221" spans="1:12" ht="51" x14ac:dyDescent="0.3">
      <c r="A221" s="43" t="s">
        <v>69</v>
      </c>
      <c r="B221" s="44" t="s">
        <v>347</v>
      </c>
      <c r="C221" s="44" t="s">
        <v>95</v>
      </c>
      <c r="D221" s="44" t="s">
        <v>344</v>
      </c>
      <c r="E221" s="45" t="s">
        <v>66</v>
      </c>
      <c r="F221" s="46" t="s">
        <v>18</v>
      </c>
      <c r="G221" s="46"/>
      <c r="H221" s="45" t="s">
        <v>13</v>
      </c>
      <c r="I221" s="47">
        <v>1053.8</v>
      </c>
      <c r="J221" s="47"/>
      <c r="K221" s="48" t="s">
        <v>8</v>
      </c>
      <c r="L221" s="49">
        <v>505067.11</v>
      </c>
    </row>
    <row r="222" spans="1:12" ht="51" x14ac:dyDescent="0.3">
      <c r="A222" s="43" t="s">
        <v>69</v>
      </c>
      <c r="B222" s="44" t="s">
        <v>347</v>
      </c>
      <c r="C222" s="44" t="s">
        <v>95</v>
      </c>
      <c r="D222" s="44" t="s">
        <v>346</v>
      </c>
      <c r="E222" s="45" t="s">
        <v>66</v>
      </c>
      <c r="F222" s="46" t="s">
        <v>18</v>
      </c>
      <c r="G222" s="46"/>
      <c r="H222" s="45" t="s">
        <v>13</v>
      </c>
      <c r="I222" s="50">
        <v>687.6</v>
      </c>
      <c r="J222" s="50"/>
      <c r="K222" s="48" t="s">
        <v>8</v>
      </c>
      <c r="L222" s="49">
        <v>504379.51</v>
      </c>
    </row>
    <row r="223" spans="1:12" ht="51" x14ac:dyDescent="0.3">
      <c r="A223" s="43" t="s">
        <v>69</v>
      </c>
      <c r="B223" s="44" t="s">
        <v>347</v>
      </c>
      <c r="C223" s="44" t="s">
        <v>95</v>
      </c>
      <c r="D223" s="44" t="s">
        <v>310</v>
      </c>
      <c r="E223" s="45" t="s">
        <v>66</v>
      </c>
      <c r="F223" s="46" t="s">
        <v>18</v>
      </c>
      <c r="G223" s="46"/>
      <c r="H223" s="45" t="s">
        <v>13</v>
      </c>
      <c r="I223" s="47">
        <v>2065</v>
      </c>
      <c r="J223" s="47"/>
      <c r="K223" s="48" t="s">
        <v>8</v>
      </c>
      <c r="L223" s="49">
        <v>502314.51</v>
      </c>
    </row>
    <row r="224" spans="1:12" ht="51" x14ac:dyDescent="0.3">
      <c r="A224" s="43" t="s">
        <v>69</v>
      </c>
      <c r="B224" s="44" t="s">
        <v>347</v>
      </c>
      <c r="C224" s="44" t="s">
        <v>95</v>
      </c>
      <c r="D224" s="44" t="s">
        <v>350</v>
      </c>
      <c r="E224" s="45" t="s">
        <v>66</v>
      </c>
      <c r="F224" s="46" t="s">
        <v>18</v>
      </c>
      <c r="G224" s="46"/>
      <c r="H224" s="45" t="s">
        <v>13</v>
      </c>
      <c r="I224" s="50">
        <v>100</v>
      </c>
      <c r="J224" s="50"/>
      <c r="K224" s="48" t="s">
        <v>8</v>
      </c>
      <c r="L224" s="49">
        <v>502214.51</v>
      </c>
    </row>
    <row r="225" spans="1:12" ht="61.2" x14ac:dyDescent="0.3">
      <c r="A225" s="43" t="s">
        <v>69</v>
      </c>
      <c r="B225" s="44" t="s">
        <v>347</v>
      </c>
      <c r="C225" s="44" t="s">
        <v>95</v>
      </c>
      <c r="D225" s="44" t="s">
        <v>351</v>
      </c>
      <c r="E225" s="45" t="s">
        <v>66</v>
      </c>
      <c r="F225" s="46" t="s">
        <v>18</v>
      </c>
      <c r="G225" s="46"/>
      <c r="H225" s="45" t="s">
        <v>13</v>
      </c>
      <c r="I225" s="50">
        <v>404.25</v>
      </c>
      <c r="J225" s="50"/>
      <c r="K225" s="48" t="s">
        <v>8</v>
      </c>
      <c r="L225" s="49">
        <v>501810.26</v>
      </c>
    </row>
    <row r="226" spans="1:12" ht="51" x14ac:dyDescent="0.3">
      <c r="A226" s="43" t="s">
        <v>69</v>
      </c>
      <c r="B226" s="44" t="s">
        <v>347</v>
      </c>
      <c r="C226" s="44" t="s">
        <v>95</v>
      </c>
      <c r="D226" s="44" t="s">
        <v>352</v>
      </c>
      <c r="E226" s="45" t="s">
        <v>66</v>
      </c>
      <c r="F226" s="46" t="s">
        <v>18</v>
      </c>
      <c r="G226" s="46"/>
      <c r="H226" s="45" t="s">
        <v>13</v>
      </c>
      <c r="I226" s="47">
        <v>2082.9</v>
      </c>
      <c r="J226" s="47"/>
      <c r="K226" s="48" t="s">
        <v>8</v>
      </c>
      <c r="L226" s="49">
        <v>499727.35999999999</v>
      </c>
    </row>
    <row r="227" spans="1:12" ht="51" x14ac:dyDescent="0.3">
      <c r="A227" s="43" t="s">
        <v>69</v>
      </c>
      <c r="B227" s="44" t="s">
        <v>347</v>
      </c>
      <c r="C227" s="44" t="s">
        <v>95</v>
      </c>
      <c r="D227" s="44" t="s">
        <v>292</v>
      </c>
      <c r="E227" s="45" t="s">
        <v>66</v>
      </c>
      <c r="F227" s="46" t="s">
        <v>18</v>
      </c>
      <c r="G227" s="46"/>
      <c r="H227" s="45" t="s">
        <v>13</v>
      </c>
      <c r="I227" s="50">
        <v>30</v>
      </c>
      <c r="J227" s="50"/>
      <c r="K227" s="48" t="s">
        <v>8</v>
      </c>
      <c r="L227" s="49">
        <v>499697.36</v>
      </c>
    </row>
    <row r="228" spans="1:12" ht="51" x14ac:dyDescent="0.3">
      <c r="A228" s="43" t="s">
        <v>69</v>
      </c>
      <c r="B228" s="44" t="s">
        <v>353</v>
      </c>
      <c r="C228" s="44" t="s">
        <v>95</v>
      </c>
      <c r="D228" s="44" t="s">
        <v>257</v>
      </c>
      <c r="E228" s="45" t="s">
        <v>66</v>
      </c>
      <c r="F228" s="46" t="s">
        <v>18</v>
      </c>
      <c r="G228" s="46"/>
      <c r="H228" s="45" t="s">
        <v>13</v>
      </c>
      <c r="I228" s="47">
        <v>1312.5</v>
      </c>
      <c r="J228" s="47"/>
      <c r="K228" s="48" t="s">
        <v>8</v>
      </c>
      <c r="L228" s="49">
        <v>498384.86</v>
      </c>
    </row>
    <row r="229" spans="1:12" ht="51" x14ac:dyDescent="0.3">
      <c r="A229" s="43" t="s">
        <v>69</v>
      </c>
      <c r="B229" s="44" t="s">
        <v>353</v>
      </c>
      <c r="C229" s="44" t="s">
        <v>95</v>
      </c>
      <c r="D229" s="44" t="s">
        <v>354</v>
      </c>
      <c r="E229" s="45" t="s">
        <v>66</v>
      </c>
      <c r="F229" s="46" t="s">
        <v>18</v>
      </c>
      <c r="G229" s="46"/>
      <c r="H229" s="45" t="s">
        <v>13</v>
      </c>
      <c r="I229" s="50">
        <v>810.65</v>
      </c>
      <c r="J229" s="50"/>
      <c r="K229" s="48" t="s">
        <v>8</v>
      </c>
      <c r="L229" s="49">
        <v>497574.21</v>
      </c>
    </row>
    <row r="230" spans="1:12" ht="51" x14ac:dyDescent="0.3">
      <c r="A230" s="43" t="s">
        <v>69</v>
      </c>
      <c r="B230" s="44" t="s">
        <v>355</v>
      </c>
      <c r="C230" s="44" t="s">
        <v>95</v>
      </c>
      <c r="D230" s="44" t="s">
        <v>321</v>
      </c>
      <c r="E230" s="45" t="s">
        <v>66</v>
      </c>
      <c r="F230" s="46" t="s">
        <v>18</v>
      </c>
      <c r="G230" s="46"/>
      <c r="H230" s="45" t="s">
        <v>13</v>
      </c>
      <c r="I230" s="47">
        <v>3875.13</v>
      </c>
      <c r="J230" s="47"/>
      <c r="K230" s="48" t="s">
        <v>8</v>
      </c>
      <c r="L230" s="49">
        <v>493699.08</v>
      </c>
    </row>
    <row r="231" spans="1:12" ht="61.2" x14ac:dyDescent="0.3">
      <c r="A231" s="43" t="s">
        <v>69</v>
      </c>
      <c r="B231" s="44" t="s">
        <v>355</v>
      </c>
      <c r="C231" s="44" t="s">
        <v>95</v>
      </c>
      <c r="D231" s="44" t="s">
        <v>356</v>
      </c>
      <c r="E231" s="45" t="s">
        <v>66</v>
      </c>
      <c r="F231" s="46" t="s">
        <v>18</v>
      </c>
      <c r="G231" s="46"/>
      <c r="H231" s="45" t="s">
        <v>13</v>
      </c>
      <c r="I231" s="47">
        <v>1530</v>
      </c>
      <c r="J231" s="47"/>
      <c r="K231" s="48" t="s">
        <v>8</v>
      </c>
      <c r="L231" s="49">
        <v>492169.08</v>
      </c>
    </row>
    <row r="232" spans="1:12" ht="51" x14ac:dyDescent="0.3">
      <c r="A232" s="43" t="s">
        <v>69</v>
      </c>
      <c r="B232" s="44" t="s">
        <v>355</v>
      </c>
      <c r="C232" s="44" t="s">
        <v>95</v>
      </c>
      <c r="D232" s="44" t="s">
        <v>357</v>
      </c>
      <c r="E232" s="45" t="s">
        <v>66</v>
      </c>
      <c r="F232" s="46" t="s">
        <v>18</v>
      </c>
      <c r="G232" s="46"/>
      <c r="H232" s="45" t="s">
        <v>13</v>
      </c>
      <c r="I232" s="50">
        <v>388.62</v>
      </c>
      <c r="J232" s="50"/>
      <c r="K232" s="48" t="s">
        <v>8</v>
      </c>
      <c r="L232" s="49">
        <v>491780.46</v>
      </c>
    </row>
    <row r="233" spans="1:12" ht="61.2" x14ac:dyDescent="0.3">
      <c r="A233" s="43" t="s">
        <v>69</v>
      </c>
      <c r="B233" s="44" t="s">
        <v>358</v>
      </c>
      <c r="C233" s="44" t="s">
        <v>95</v>
      </c>
      <c r="D233" s="44" t="s">
        <v>356</v>
      </c>
      <c r="E233" s="45" t="s">
        <v>66</v>
      </c>
      <c r="F233" s="46" t="s">
        <v>18</v>
      </c>
      <c r="G233" s="46"/>
      <c r="H233" s="45" t="s">
        <v>13</v>
      </c>
      <c r="I233" s="47">
        <v>2295</v>
      </c>
      <c r="J233" s="47"/>
      <c r="K233" s="48" t="s">
        <v>8</v>
      </c>
      <c r="L233" s="49">
        <v>489485.46</v>
      </c>
    </row>
    <row r="234" spans="1:12" ht="51" x14ac:dyDescent="0.3">
      <c r="A234" s="43" t="s">
        <v>69</v>
      </c>
      <c r="B234" s="44" t="s">
        <v>358</v>
      </c>
      <c r="C234" s="44" t="s">
        <v>95</v>
      </c>
      <c r="D234" s="44" t="s">
        <v>359</v>
      </c>
      <c r="E234" s="45" t="s">
        <v>66</v>
      </c>
      <c r="F234" s="46" t="s">
        <v>18</v>
      </c>
      <c r="G234" s="46"/>
      <c r="H234" s="45" t="s">
        <v>13</v>
      </c>
      <c r="I234" s="47">
        <v>2058.6</v>
      </c>
      <c r="J234" s="47"/>
      <c r="K234" s="48" t="s">
        <v>8</v>
      </c>
      <c r="L234" s="49">
        <v>487426.86</v>
      </c>
    </row>
    <row r="235" spans="1:12" ht="61.2" x14ac:dyDescent="0.3">
      <c r="A235" s="43" t="s">
        <v>69</v>
      </c>
      <c r="B235" s="44" t="s">
        <v>358</v>
      </c>
      <c r="C235" s="44" t="s">
        <v>95</v>
      </c>
      <c r="D235" s="44" t="s">
        <v>360</v>
      </c>
      <c r="E235" s="45" t="s">
        <v>66</v>
      </c>
      <c r="F235" s="46" t="s">
        <v>18</v>
      </c>
      <c r="G235" s="46"/>
      <c r="H235" s="45" t="s">
        <v>13</v>
      </c>
      <c r="I235" s="47">
        <v>1502.7</v>
      </c>
      <c r="J235" s="47"/>
      <c r="K235" s="48" t="s">
        <v>8</v>
      </c>
      <c r="L235" s="49">
        <v>485924.16</v>
      </c>
    </row>
    <row r="236" spans="1:12" ht="51" x14ac:dyDescent="0.3">
      <c r="A236" s="43" t="s">
        <v>69</v>
      </c>
      <c r="B236" s="44" t="s">
        <v>361</v>
      </c>
      <c r="C236" s="44" t="s">
        <v>95</v>
      </c>
      <c r="D236" s="44" t="s">
        <v>362</v>
      </c>
      <c r="E236" s="45" t="s">
        <v>66</v>
      </c>
      <c r="F236" s="46" t="s">
        <v>18</v>
      </c>
      <c r="G236" s="46"/>
      <c r="H236" s="45" t="s">
        <v>13</v>
      </c>
      <c r="I236" s="47">
        <v>3037.5</v>
      </c>
      <c r="J236" s="47"/>
      <c r="K236" s="48" t="s">
        <v>8</v>
      </c>
      <c r="L236" s="49">
        <v>482886.66</v>
      </c>
    </row>
    <row r="237" spans="1:12" ht="51" x14ac:dyDescent="0.3">
      <c r="A237" s="43" t="s">
        <v>69</v>
      </c>
      <c r="B237" s="44" t="s">
        <v>361</v>
      </c>
      <c r="C237" s="44" t="s">
        <v>95</v>
      </c>
      <c r="D237" s="44" t="s">
        <v>257</v>
      </c>
      <c r="E237" s="45" t="s">
        <v>66</v>
      </c>
      <c r="F237" s="46" t="s">
        <v>18</v>
      </c>
      <c r="G237" s="46"/>
      <c r="H237" s="45" t="s">
        <v>13</v>
      </c>
      <c r="I237" s="47">
        <v>2187.5</v>
      </c>
      <c r="J237" s="47"/>
      <c r="K237" s="48" t="s">
        <v>8</v>
      </c>
      <c r="L237" s="49">
        <v>480699.16</v>
      </c>
    </row>
    <row r="238" spans="1:12" ht="51" x14ac:dyDescent="0.3">
      <c r="A238" s="43" t="s">
        <v>69</v>
      </c>
      <c r="B238" s="44" t="s">
        <v>361</v>
      </c>
      <c r="C238" s="44" t="s">
        <v>95</v>
      </c>
      <c r="D238" s="44" t="s">
        <v>363</v>
      </c>
      <c r="E238" s="45" t="s">
        <v>66</v>
      </c>
      <c r="F238" s="46" t="s">
        <v>18</v>
      </c>
      <c r="G238" s="46"/>
      <c r="H238" s="45" t="s">
        <v>13</v>
      </c>
      <c r="I238" s="47">
        <v>4242.1499999999996</v>
      </c>
      <c r="J238" s="47"/>
      <c r="K238" s="48" t="s">
        <v>8</v>
      </c>
      <c r="L238" s="49">
        <v>476457.01</v>
      </c>
    </row>
    <row r="239" spans="1:12" ht="61.2" x14ac:dyDescent="0.3">
      <c r="A239" s="43" t="s">
        <v>69</v>
      </c>
      <c r="B239" s="44" t="s">
        <v>361</v>
      </c>
      <c r="C239" s="44" t="s">
        <v>95</v>
      </c>
      <c r="D239" s="44" t="s">
        <v>360</v>
      </c>
      <c r="E239" s="45" t="s">
        <v>66</v>
      </c>
      <c r="F239" s="46" t="s">
        <v>18</v>
      </c>
      <c r="G239" s="46"/>
      <c r="H239" s="45" t="s">
        <v>13</v>
      </c>
      <c r="I239" s="47">
        <v>2254.0500000000002</v>
      </c>
      <c r="J239" s="47"/>
      <c r="K239" s="48" t="s">
        <v>8</v>
      </c>
      <c r="L239" s="49">
        <v>474202.96</v>
      </c>
    </row>
    <row r="240" spans="1:12" ht="51" x14ac:dyDescent="0.3">
      <c r="A240" s="43" t="s">
        <v>69</v>
      </c>
      <c r="B240" s="44" t="s">
        <v>361</v>
      </c>
      <c r="C240" s="44" t="s">
        <v>95</v>
      </c>
      <c r="D240" s="44" t="s">
        <v>364</v>
      </c>
      <c r="E240" s="45" t="s">
        <v>66</v>
      </c>
      <c r="F240" s="46" t="s">
        <v>18</v>
      </c>
      <c r="G240" s="46"/>
      <c r="H240" s="45" t="s">
        <v>13</v>
      </c>
      <c r="I240" s="50">
        <v>963.95</v>
      </c>
      <c r="J240" s="50"/>
      <c r="K240" s="48" t="s">
        <v>8</v>
      </c>
      <c r="L240" s="49">
        <v>473239.01</v>
      </c>
    </row>
    <row r="241" spans="1:12" ht="51" x14ac:dyDescent="0.3">
      <c r="A241" s="43" t="s">
        <v>69</v>
      </c>
      <c r="B241" s="44" t="s">
        <v>361</v>
      </c>
      <c r="C241" s="44" t="s">
        <v>95</v>
      </c>
      <c r="D241" s="44" t="s">
        <v>365</v>
      </c>
      <c r="E241" s="45" t="s">
        <v>66</v>
      </c>
      <c r="F241" s="46" t="s">
        <v>18</v>
      </c>
      <c r="G241" s="46"/>
      <c r="H241" s="45" t="s">
        <v>13</v>
      </c>
      <c r="I241" s="47">
        <v>1577.6</v>
      </c>
      <c r="J241" s="47"/>
      <c r="K241" s="48" t="s">
        <v>8</v>
      </c>
      <c r="L241" s="49">
        <v>471661.41</v>
      </c>
    </row>
    <row r="242" spans="1:12" ht="51" x14ac:dyDescent="0.3">
      <c r="A242" s="43" t="s">
        <v>69</v>
      </c>
      <c r="B242" s="44" t="s">
        <v>366</v>
      </c>
      <c r="C242" s="44" t="s">
        <v>95</v>
      </c>
      <c r="D242" s="44" t="s">
        <v>257</v>
      </c>
      <c r="E242" s="45" t="s">
        <v>66</v>
      </c>
      <c r="F242" s="46" t="s">
        <v>18</v>
      </c>
      <c r="G242" s="46"/>
      <c r="H242" s="45" t="s">
        <v>13</v>
      </c>
      <c r="I242" s="47">
        <v>1312.5</v>
      </c>
      <c r="J242" s="47"/>
      <c r="K242" s="48" t="s">
        <v>8</v>
      </c>
      <c r="L242" s="49">
        <v>470348.91</v>
      </c>
    </row>
    <row r="243" spans="1:12" ht="51" x14ac:dyDescent="0.3">
      <c r="A243" s="43" t="s">
        <v>69</v>
      </c>
      <c r="B243" s="44" t="s">
        <v>367</v>
      </c>
      <c r="C243" s="44" t="s">
        <v>95</v>
      </c>
      <c r="D243" s="44" t="s">
        <v>354</v>
      </c>
      <c r="E243" s="45" t="s">
        <v>66</v>
      </c>
      <c r="F243" s="46" t="s">
        <v>18</v>
      </c>
      <c r="G243" s="46"/>
      <c r="H243" s="45" t="s">
        <v>13</v>
      </c>
      <c r="I243" s="50">
        <v>810.65</v>
      </c>
      <c r="J243" s="50"/>
      <c r="K243" s="48" t="s">
        <v>8</v>
      </c>
      <c r="L243" s="49">
        <v>469538.26</v>
      </c>
    </row>
    <row r="244" spans="1:12" ht="51" x14ac:dyDescent="0.3">
      <c r="A244" s="43" t="s">
        <v>69</v>
      </c>
      <c r="B244" s="44" t="s">
        <v>367</v>
      </c>
      <c r="C244" s="44" t="s">
        <v>95</v>
      </c>
      <c r="D244" s="44" t="s">
        <v>292</v>
      </c>
      <c r="E244" s="45" t="s">
        <v>66</v>
      </c>
      <c r="F244" s="46" t="s">
        <v>18</v>
      </c>
      <c r="G244" s="46"/>
      <c r="H244" s="45" t="s">
        <v>13</v>
      </c>
      <c r="I244" s="50">
        <v>90</v>
      </c>
      <c r="J244" s="50"/>
      <c r="K244" s="48" t="s">
        <v>8</v>
      </c>
      <c r="L244" s="49">
        <v>469448.26</v>
      </c>
    </row>
    <row r="245" spans="1:12" ht="61.2" x14ac:dyDescent="0.3">
      <c r="A245" s="43" t="s">
        <v>69</v>
      </c>
      <c r="B245" s="44" t="s">
        <v>368</v>
      </c>
      <c r="C245" s="44" t="s">
        <v>95</v>
      </c>
      <c r="D245" s="44" t="s">
        <v>356</v>
      </c>
      <c r="E245" s="45" t="s">
        <v>66</v>
      </c>
      <c r="F245" s="46" t="s">
        <v>18</v>
      </c>
      <c r="G245" s="46"/>
      <c r="H245" s="45" t="s">
        <v>13</v>
      </c>
      <c r="I245" s="47">
        <v>2295</v>
      </c>
      <c r="J245" s="47"/>
      <c r="K245" s="48" t="s">
        <v>8</v>
      </c>
      <c r="L245" s="49">
        <v>467153.26</v>
      </c>
    </row>
    <row r="246" spans="1:12" ht="61.2" x14ac:dyDescent="0.3">
      <c r="A246" s="43" t="s">
        <v>69</v>
      </c>
      <c r="B246" s="44" t="s">
        <v>368</v>
      </c>
      <c r="C246" s="44" t="s">
        <v>95</v>
      </c>
      <c r="D246" s="44" t="s">
        <v>319</v>
      </c>
      <c r="E246" s="45" t="s">
        <v>66</v>
      </c>
      <c r="F246" s="46" t="s">
        <v>18</v>
      </c>
      <c r="G246" s="46"/>
      <c r="H246" s="45" t="s">
        <v>13</v>
      </c>
      <c r="I246" s="47">
        <v>2850.2</v>
      </c>
      <c r="J246" s="47"/>
      <c r="K246" s="48" t="s">
        <v>8</v>
      </c>
      <c r="L246" s="49">
        <v>464303.06</v>
      </c>
    </row>
    <row r="247" spans="1:12" ht="51" x14ac:dyDescent="0.3">
      <c r="A247" s="43" t="s">
        <v>69</v>
      </c>
      <c r="B247" s="44" t="s">
        <v>368</v>
      </c>
      <c r="C247" s="44" t="s">
        <v>95</v>
      </c>
      <c r="D247" s="44" t="s">
        <v>369</v>
      </c>
      <c r="E247" s="45" t="s">
        <v>66</v>
      </c>
      <c r="F247" s="46" t="s">
        <v>18</v>
      </c>
      <c r="G247" s="46"/>
      <c r="H247" s="45" t="s">
        <v>13</v>
      </c>
      <c r="I247" s="50">
        <v>957.75</v>
      </c>
      <c r="J247" s="50"/>
      <c r="K247" s="48" t="s">
        <v>8</v>
      </c>
      <c r="L247" s="49">
        <v>463345.31</v>
      </c>
    </row>
    <row r="248" spans="1:12" ht="61.2" x14ac:dyDescent="0.3">
      <c r="A248" s="43" t="s">
        <v>69</v>
      </c>
      <c r="B248" s="44" t="s">
        <v>368</v>
      </c>
      <c r="C248" s="44" t="s">
        <v>95</v>
      </c>
      <c r="D248" s="44" t="s">
        <v>370</v>
      </c>
      <c r="E248" s="45" t="s">
        <v>66</v>
      </c>
      <c r="F248" s="46" t="s">
        <v>18</v>
      </c>
      <c r="G248" s="46"/>
      <c r="H248" s="45" t="s">
        <v>13</v>
      </c>
      <c r="I248" s="50">
        <v>395</v>
      </c>
      <c r="J248" s="50"/>
      <c r="K248" s="48" t="s">
        <v>8</v>
      </c>
      <c r="L248" s="49">
        <v>462950.31</v>
      </c>
    </row>
    <row r="249" spans="1:12" hidden="1" x14ac:dyDescent="0.3">
      <c r="A249" s="54" t="s">
        <v>79</v>
      </c>
      <c r="B249" s="54"/>
      <c r="C249" s="54"/>
      <c r="D249" s="54"/>
      <c r="E249" s="55">
        <v>161253.35999999999</v>
      </c>
      <c r="F249" s="55"/>
      <c r="G249" s="55"/>
      <c r="H249" s="55">
        <v>274655.57</v>
      </c>
      <c r="I249" s="55"/>
      <c r="J249" s="55"/>
      <c r="K249" s="56" t="s">
        <v>8</v>
      </c>
      <c r="L249" s="57">
        <v>589504.52</v>
      </c>
    </row>
    <row r="252" spans="1:12" x14ac:dyDescent="0.3">
      <c r="J252" s="29">
        <f>SUBTOTAL(9,I8:J248)</f>
        <v>262086.2000000001</v>
      </c>
    </row>
    <row r="253" spans="1:12" x14ac:dyDescent="0.3">
      <c r="J253" s="29">
        <f>J252*1.2</f>
        <v>314503.44000000012</v>
      </c>
    </row>
  </sheetData>
  <autoFilter ref="B1:D249" xr:uid="{D1BEBC19-FE4F-4450-B3A5-6FB78DD6E166}">
    <filterColumn colId="0">
      <filters>
        <filter val="Передача малоцінних активів в експлуатацію ІБ00-000019 від 06.02.2026 16:00:00_x000a_Списание стоимости малоценных активов"/>
        <filter val="Передача малоцінних активів в експлуатацію ІБ00-000020 від 06.02.2026 19:00:10_x000a_Списание стоимости малоценных активов"/>
        <filter val="Передача малоцінних активів в експлуатацію ІБ00-000023 від 06.02.2026 20:00:00_x000a_Списание стоимости малоценных активов"/>
        <filter val="Передача малоцінних активів в експлуатацію ІБ00-000026 від 06.02.2026 20:00:00_x000a_Списание стоимости малоценных активов"/>
        <filter val="Передача малоцінних активів в експлуатацію ІБ00-000027 від 06.02.2026 20:00:07_x000a_Списание стоимости малоценных активов"/>
        <filter val="Передача малоцінних активів в експлуатацію ІБ00-000028 від 06.02.2026 20:00:10_x000a_Списание стоимости малоценных активов"/>
        <filter val="Передача малоцінних активів в експлуатацію ІБ00-000029 від 06.02.2026 20:00:16_x000a_Списание стоимости малоценных активов"/>
        <filter val="Передача малоцінних активів в експлуатацію ІБ00-000030 від 06.02.2026 20:00:00_x000a_Списание стоимости малоценных активов"/>
        <filter val="Передача малоцінних активів в експлуатацію ІБ00-000031 від 06.02.2026 20:00:19_x000a_Списание стоимости малоценных активов"/>
        <filter val="Передача малоцінних активів в експлуатацію ІБ00-000032 від 06.02.2026 20:00:21_x000a_Списание стоимости малоценных активов"/>
        <filter val="Передача малоцінних активів в експлуатацію ІБ00-000033 від 06.02.2026 20:00:24_x000a_Списание стоимости малоценных активов"/>
        <filter val="Передача малоцінних активів в експлуатацію ІБ00-000034 від 06.02.2026 20:00:27_x000a_Списание стоимости малоценных активов"/>
        <filter val="Передача малоцінних активів в експлуатацію ІБ00-000035 від 06.02.2026 20:00:30_x000a_Списание стоимости малоценных активов"/>
        <filter val="Передача малоцінних активів в експлуатацію ІБ00-000038 від 10.02.2026 18:20:15_x000a_Списание стоимости малоценных активов"/>
        <filter val="Передача малоцінних активів в експлуатацію ІБ00-000039 від 10.02.2026 18:20:17_x000a_Списание стоимости малоценных активов"/>
        <filter val="Передача малоцінних активів в експлуатацію ІБ00-000040 від 10.02.2026 14:32:24_x000a_Списание стоимости малоценных активов"/>
        <filter val="Передача малоцінних активів в експлуатацію ІБ00-000041 від 10.02.2026 20:00:02_x000a_Списание стоимости малоценных активов"/>
        <filter val="Передача малоцінних активів в експлуатацію ІБ00-000042 від 10.02.2026 20:00:05_x000a_Списание стоимости малоценных активов"/>
        <filter val="Передача малоцінних активів в експлуатацію ІБ00-000043 від 10.02.2026 20:00:07_x000a_Списание стоимости малоценных активов"/>
        <filter val="Передача малоцінних активів в експлуатацію ІБ00-000044 від 10.02.2026 20:00:09_x000a_Списание стоимости малоценных активов"/>
        <filter val="Передача малоцінних активів в експлуатацію ІБ00-000045 від 10.02.2026 20:00:11_x000a_Списание стоимости малоценных активов"/>
        <filter val="Передача малоцінних активів в експлуатацію ІБ00-000046 від 10.02.2026 20:00:14_x000a_Списание стоимости малоценных активов"/>
        <filter val="Передача малоцінних активів в експлуатацію ІБ00-000047 від 10.02.2026 16:01:35_x000a_Списание стоимости малоценных активов"/>
        <filter val="Передача малоцінних активів в експлуатацію ІБ00-000049 від 11.02.2026 17:45:31_x000a_Списание стоимости малоценных активов"/>
        <filter val="Передача малоцінних активів в експлуатацію ІБ00-000051 від 03.02.2026 14:00:00_x000a_Списание стоимости малоценных активов"/>
        <filter val="Передача малоцінних активів в експлуатацію ІБ00-000057 від 18.02.2026 13:00:00_x000a_Списание стоимости малоценных активов"/>
        <filter val="Передача малоцінних активів в експлуатацію ІБ00-000058 від 18.02.2026 20:00:05_x000a_Списание стоимости малоценных активов"/>
        <filter val="Передача малоцінних активів в експлуатацію ІБ00-000059 від 20.02.2026 17:29:27_x000a_Списание стоимости малоценных активов"/>
        <filter val="Передача малоцінних активів в експлуатацію ІБ00-000060 від 20.02.2026 17:29:29_x000a_Списание стоимости малоценных активов"/>
        <filter val="Передача малоцінних активів в експлуатацію ІБ00-000061 від 20.02.2026 17:29:31_x000a_Списание стоимости малоценных активов"/>
        <filter val="Передача малоцінних активів в експлуатацію ІБ00-000062 від 20.02.2026 16:00:00_x000a_Списание стоимости малоценных активов"/>
        <filter val="Передача малоцінних активів в експлуатацію ІБ00-000068 від 23.02.2026 23:05:12_x000a_Списание стоимости малоценных активов"/>
        <filter val="Передача малоцінних активів в експлуатацію ІБ00-000069 від 23.02.2026 23:00:00_x000a_Списание стоимости малоценных активов"/>
        <filter val="Передача малоцінних активів в експлуатацію ІБ00-000070 від 23.02.2026 23:05:15_x000a_Списание стоимости малоценных активов"/>
        <filter val="Передача малоцінних активів в експлуатацію ІБ00-000071 від 23.02.2026 23:05:19_x000a_Списание стоимости малоценных активов"/>
        <filter val="Передача малоцінних активів в експлуатацію ІБ00-000072 від 23.02.2026 23:05:20_x000a_Списание стоимости малоценных активов"/>
        <filter val="Передача малоцінних активів в експлуатацію ІБ00-000073 від 27.02.2026 12:00:00_x000a_Списание стоимости малоценных активов"/>
        <filter val="Передача малоцінних активів в експлуатацію ІБ00-000074 від 23.02.2026 23:05:24_x000a_Списание стоимости малоценных активов"/>
        <filter val="Передача малоцінних активів в експлуатацію ІБ00-000075 від 23.02.2026 23:05:25_x000a_Списание стоимости малоценных активов"/>
        <filter val="Передача малоцінних активів в експлуатацію ІББП-000080 від 27.02.2026 20:47:59_x000a_Списание стоимости малоценных активов"/>
        <filter val="Передача малоцінних активів в експлуатацію ІББП-000081 від 27.02.2026 20:48:02_x000a_Списание стоимости малоценных активов"/>
        <filter val="Передача малоцінних активів в експлуатацію ІББП-000082 від 27.02.2026 10:05:35_x000a_Списание стоимости малоценных активов"/>
        <filter val="Передача малоцінних активів в експлуатацію ІББП-000083 від 27.02.2026 20:48:06_x000a_Списание стоимости малоценных активов"/>
        <filter val="Передача малоцінних активів в експлуатацію ІББП-000084 від 27.02.2026 20:48:08_x000a_Списание стоимости малоценных активов"/>
        <filter val="Передача малоцінних активів в експлуатацію ІББП-000086 від 27.02.2026 20:48:11_x000a_Списание стоимости малоценных активов"/>
        <filter val="Передача малоцінних активів в експлуатацію ІББП-000090 від 27.02.2026 20:48:15_x000a_Списание стоимости малоценных активов"/>
        <filter val="Передача малоцінних активів в експлуатацію ІББП-000091 від 27.02.2026 20:48:17_x000a_Списание стоимости малоценных активов"/>
      </filters>
    </filterColumn>
  </autoFilter>
  <mergeCells count="504">
    <mergeCell ref="F247:G247"/>
    <mergeCell ref="I247:J247"/>
    <mergeCell ref="F248:G248"/>
    <mergeCell ref="I248:J248"/>
    <mergeCell ref="A249:D249"/>
    <mergeCell ref="E249:G249"/>
    <mergeCell ref="H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Тищенки</vt:lpstr>
      <vt:lpstr>Глобино-2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2026-03-23T16:18:41Z</dcterms:modified>
</cp:coreProperties>
</file>
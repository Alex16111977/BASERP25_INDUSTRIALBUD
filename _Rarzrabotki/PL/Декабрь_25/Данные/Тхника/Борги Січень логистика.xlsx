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Тхника\"/>
    </mc:Choice>
  </mc:AlternateContent>
  <xr:revisionPtr revIDLastSave="0" documentId="13_ncr:1_{CC5B9DD7-D6E9-4D29-9301-576F6FBA7759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8" i="1" l="1"/>
  <c r="E25" i="1"/>
  <c r="D22" i="1"/>
  <c r="K21" i="1"/>
  <c r="J21" i="1"/>
  <c r="I21" i="1"/>
  <c r="H28" i="1" s="1"/>
  <c r="F28" i="1" s="1"/>
  <c r="H21" i="1"/>
  <c r="D21" i="1"/>
  <c r="D20" i="1"/>
  <c r="H25" i="1" s="1"/>
  <c r="F25" i="1" s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3" authorId="0" shapeId="0" xr:uid="{B3ED438C-770A-4131-864A-5B0A24D6201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Борг Індеп Транс від 05.12.24 р.</t>
        </r>
      </text>
    </comment>
    <comment ref="C28" authorId="0" shapeId="0" xr:uid="{3FBA4C52-67B7-46A6-B944-5D8E84D0930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2022 - 61147
2023 - 58484
</t>
        </r>
      </text>
    </comment>
    <comment ref="G28" authorId="0" shapeId="0" xr:uid="{C0522116-73ED-49BF-8FC3-5E1FAFF1517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2022 - 61147
2023 - 58484
</t>
        </r>
      </text>
    </comment>
  </commentList>
</comments>
</file>

<file path=xl/sharedStrings.xml><?xml version="1.0" encoding="utf-8"?>
<sst xmlns="http://schemas.openxmlformats.org/spreadsheetml/2006/main" count="57" uniqueCount="49">
  <si>
    <t>Обэкт</t>
  </si>
  <si>
    <t>Задолженность на Транс</t>
  </si>
  <si>
    <t>Задолженность на Буд</t>
  </si>
  <si>
    <t>Глобино</t>
  </si>
  <si>
    <t>ООН</t>
  </si>
  <si>
    <t>Кухня Кернел</t>
  </si>
  <si>
    <t>ТОВ "ОДЕБ"</t>
  </si>
  <si>
    <t>Всего</t>
  </si>
  <si>
    <t>Дебит Транс</t>
  </si>
  <si>
    <t>Дебит БУД</t>
  </si>
  <si>
    <t>ВСЕГО</t>
  </si>
  <si>
    <t>Кредит Транс</t>
  </si>
  <si>
    <t>Кредит БУД</t>
  </si>
  <si>
    <t>РИНГ-ТРАНС ТОВ</t>
  </si>
  <si>
    <t>Экспедиция / Логистика</t>
  </si>
  <si>
    <t xml:space="preserve">Дебиторская </t>
  </si>
  <si>
    <t>Кредиторская</t>
  </si>
  <si>
    <t>Контрагент</t>
  </si>
  <si>
    <t>ТОВ "АВТОСВІФТ"</t>
  </si>
  <si>
    <t>ТОВ "Ендор Логістик"</t>
  </si>
  <si>
    <t>ТОВ "Нікса ЛТД"</t>
  </si>
  <si>
    <t>ТОВ "Приватний Двір"</t>
  </si>
  <si>
    <t>ТОВ "КОРУСАНД"</t>
  </si>
  <si>
    <t>ТОВ "ФЛУКОРДІ"</t>
  </si>
  <si>
    <t>МАКТЕ ГРУП ТОВ</t>
  </si>
  <si>
    <t>ЛАЛІ ТРАНС ПП</t>
  </si>
  <si>
    <t>АМПЄР ТОВ</t>
  </si>
  <si>
    <t>ФОП  Козиряцький Юрій Миколайович</t>
  </si>
  <si>
    <t>Задолженность (проведенные документы)</t>
  </si>
  <si>
    <t>Задолженность (документы на подписи)</t>
  </si>
  <si>
    <t>Задолженность (без документов)</t>
  </si>
  <si>
    <t>Тищенки</t>
  </si>
  <si>
    <t>КМД</t>
  </si>
  <si>
    <t>ТОВ "АЙРІС ВОРЛДВАЙД"</t>
  </si>
  <si>
    <t>ТОВ «ПРЕМІУМТРАНС ПЛЮС»</t>
  </si>
  <si>
    <t>Дебиторка 1С</t>
  </si>
  <si>
    <t>Объекты</t>
  </si>
  <si>
    <t>ВООЗ</t>
  </si>
  <si>
    <t>ТОВ "Автоленд-Кремінь"</t>
  </si>
  <si>
    <t>Спецтехника</t>
  </si>
  <si>
    <t>Подгорцы</t>
  </si>
  <si>
    <t>ТОВ "Ларді"</t>
  </si>
  <si>
    <t>IRS</t>
  </si>
  <si>
    <t>ТОВ "ДЕР ХОФ"</t>
  </si>
  <si>
    <t>ПП "ВАЛОЇС" МАН 4</t>
  </si>
  <si>
    <t>МХП Катеренопіль</t>
  </si>
  <si>
    <t>ТОВ "Вертекс 22" запуск МАНов</t>
  </si>
  <si>
    <t>CТІЛ</t>
  </si>
  <si>
    <t>на счету - 167 000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</si>
</sst>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0" fillId="0" borderId="4" xfId="0" applyBorder="1"/>
    <xf numFmtId="0" fontId="0" fillId="0" borderId="4" xfId="0" applyBorder="1" applyAlignment="1">
      <alignment wrapText="1"/>
    </xf>
    <xf numFmtId="0" fontId="0" fillId="2" borderId="4" xfId="0" applyFill="1" applyBorder="1"/>
    <xf numFmtId="3" fontId="0" fillId="2" borderId="4" xfId="0" applyNumberFormat="1" applyFill="1" applyBorder="1"/>
    <xf numFmtId="0" fontId="0" fillId="2" borderId="0" xfId="0" applyFill="1"/>
    <xf numFmtId="1" fontId="0" fillId="2" borderId="4" xfId="0" applyNumberFormat="1" applyFill="1" applyBorder="1"/>
    <xf numFmtId="0" fontId="2" fillId="2" borderId="4" xfId="0" applyFont="1" applyFill="1" applyBorder="1"/>
    <xf numFmtId="0" fontId="2" fillId="0" borderId="0" xfId="0" applyFont="1"/>
    <xf numFmtId="3" fontId="3" fillId="2" borderId="4" xfId="0" applyNumberFormat="1" applyFont="1" applyFill="1" applyBorder="1"/>
    <xf numFmtId="0" fontId="2" fillId="2" borderId="4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14" fontId="0" fillId="3" borderId="1" xfId="0" applyNumberFormat="1" applyFill="1" applyBorder="1"/>
    <xf numFmtId="14" fontId="0" fillId="4" borderId="4" xfId="0" applyNumberFormat="1" applyFill="1" applyBorder="1" applyAlignment="1">
      <alignment horizontal="center"/>
    </xf>
    <xf numFmtId="0" fontId="4" fillId="0" borderId="4" xfId="0" applyFont="1" applyBorder="1"/>
    <xf numFmtId="3" fontId="4" fillId="3" borderId="1" xfId="0" applyNumberFormat="1" applyFont="1" applyFill="1" applyBorder="1"/>
    <xf numFmtId="3" fontId="4" fillId="4" borderId="4" xfId="0" applyNumberFormat="1" applyFont="1" applyFill="1" applyBorder="1"/>
    <xf numFmtId="0" fontId="0" fillId="3" borderId="0" xfId="0" applyFill="1"/>
    <xf numFmtId="0" fontId="0" fillId="4" borderId="4" xfId="0" applyFill="1" applyBorder="1"/>
    <xf numFmtId="0" fontId="4" fillId="3" borderId="4" xfId="0" applyFont="1" applyFill="1" applyBorder="1"/>
    <xf numFmtId="3" fontId="4" fillId="3" borderId="4" xfId="0" applyNumberFormat="1" applyFont="1" applyFill="1" applyBorder="1"/>
    <xf numFmtId="0" fontId="0" fillId="0" borderId="5" xfId="0" applyBorder="1" applyAlignment="1">
      <alignment wrapText="1"/>
    </xf>
    <xf numFmtId="0" fontId="0" fillId="4" borderId="5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3" fillId="2" borderId="4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3" fontId="2" fillId="2" borderId="4" xfId="0" applyNumberFormat="1" applyFont="1" applyFill="1" applyBorder="1"/>
    <xf numFmtId="0" fontId="2" fillId="4" borderId="4" xfId="0" applyFont="1" applyFill="1" applyBorder="1"/>
    <xf numFmtId="0" fontId="0" fillId="5" borderId="4" xfId="0" applyFill="1" applyBorder="1"/>
    <xf numFmtId="0" fontId="0" fillId="0" borderId="0" xfId="0" applyBorder="1"/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right"/>
    </xf>
    <xf numFmtId="3" fontId="2" fillId="5" borderId="4" xfId="0" applyNumberFormat="1" applyFont="1" applyFill="1" applyBorder="1"/>
    <xf numFmtId="0" fontId="3" fillId="4" borderId="4" xfId="0" applyFont="1" applyFill="1" applyBorder="1" applyAlignment="1">
      <alignment horizontal="left" vertical="center"/>
    </xf>
    <xf numFmtId="0" fontId="0" fillId="6" borderId="4" xfId="0" applyFill="1" applyBorder="1"/>
    <xf numFmtId="0" fontId="9" fillId="7" borderId="4" xfId="0" applyFont="1" applyFill="1" applyBorder="1"/>
    <xf numFmtId="3" fontId="0" fillId="6" borderId="4" xfId="0" applyNumberFormat="1" applyFill="1" applyBorder="1"/>
    <xf numFmtId="0" fontId="1" fillId="2" borderId="4" xfId="0" applyFont="1" applyFill="1" applyBorder="1"/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8" fillId="0" borderId="0" xfId="1" applyNumberFormat="1" applyFont="1" applyBorder="1" applyAlignment="1">
      <alignment vertical="top" wrapText="1"/>
    </xf>
    <xf numFmtId="3" fontId="8" fillId="0" borderId="0" xfId="1" applyNumberFormat="1" applyFont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</cellXfs>
  <cellStyles count="2">
    <cellStyle name="Обычный" xfId="0" builtinId="0"/>
    <cellStyle name="Обычный 2" xfId="1" xr:uid="{43B6CD73-7CB2-44CD-B349-D6EF8802F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4"/>
  <sheetViews>
    <sheetView tabSelected="1" topLeftCell="A4" workbookViewId="0">
      <selection activeCell="J27" sqref="J27"/>
    </sheetView>
  </sheetViews>
  <sheetFormatPr defaultRowHeight="15" x14ac:dyDescent="0.25"/>
  <cols>
    <col min="2" max="2" width="24.140625" customWidth="1"/>
    <col min="3" max="3" width="16.140625" customWidth="1"/>
    <col min="4" max="4" width="17.85546875" customWidth="1"/>
    <col min="5" max="5" width="11.28515625" customWidth="1"/>
    <col min="6" max="6" width="12" customWidth="1"/>
    <col min="7" max="7" width="22.140625" customWidth="1"/>
    <col min="8" max="8" width="15.140625" customWidth="1"/>
    <col min="9" max="9" width="14.28515625" customWidth="1"/>
    <col min="10" max="10" width="16.28515625" customWidth="1"/>
    <col min="11" max="11" width="19.28515625" customWidth="1"/>
    <col min="17" max="17" width="16.140625" customWidth="1"/>
  </cols>
  <sheetData>
    <row r="2" spans="2:11" x14ac:dyDescent="0.25">
      <c r="B2" s="47" t="s">
        <v>15</v>
      </c>
      <c r="C2" s="48"/>
      <c r="D2" s="49"/>
      <c r="F2" s="40" t="s">
        <v>16</v>
      </c>
      <c r="G2" s="40"/>
      <c r="H2" s="40"/>
      <c r="I2" s="40"/>
      <c r="J2" s="40"/>
      <c r="K2" s="40"/>
    </row>
    <row r="3" spans="2:11" x14ac:dyDescent="0.25">
      <c r="B3" s="47" t="s">
        <v>14</v>
      </c>
      <c r="C3" s="48"/>
      <c r="D3" s="49"/>
      <c r="F3" s="40" t="s">
        <v>14</v>
      </c>
      <c r="G3" s="40"/>
      <c r="H3" s="40"/>
      <c r="I3" s="40"/>
      <c r="J3" s="40"/>
      <c r="K3" s="40"/>
    </row>
    <row r="4" spans="2:11" ht="43.9" customHeight="1" x14ac:dyDescent="0.25">
      <c r="B4" s="1" t="s">
        <v>0</v>
      </c>
      <c r="C4" s="2" t="s">
        <v>1</v>
      </c>
      <c r="D4" s="2" t="s">
        <v>2</v>
      </c>
      <c r="F4" s="47" t="s">
        <v>17</v>
      </c>
      <c r="G4" s="49"/>
      <c r="H4" s="22" t="s">
        <v>1</v>
      </c>
      <c r="I4" s="23" t="s">
        <v>28</v>
      </c>
      <c r="J4" s="24" t="s">
        <v>29</v>
      </c>
      <c r="K4" s="25" t="s">
        <v>30</v>
      </c>
    </row>
    <row r="5" spans="2:11" x14ac:dyDescent="0.25">
      <c r="B5" s="36" t="s">
        <v>3</v>
      </c>
      <c r="C5" s="3">
        <v>0</v>
      </c>
      <c r="D5" s="38">
        <v>28050</v>
      </c>
      <c r="E5" s="5"/>
      <c r="F5" s="41" t="s">
        <v>18</v>
      </c>
      <c r="G5" s="42"/>
      <c r="H5" s="3">
        <v>0</v>
      </c>
      <c r="I5" s="3">
        <v>153300</v>
      </c>
      <c r="J5" s="3"/>
      <c r="K5" s="3">
        <v>16300</v>
      </c>
    </row>
    <row r="6" spans="2:11" x14ac:dyDescent="0.25">
      <c r="B6" s="36" t="s">
        <v>31</v>
      </c>
      <c r="C6" s="3">
        <v>0</v>
      </c>
      <c r="D6" s="38">
        <v>37800</v>
      </c>
      <c r="E6" s="5"/>
      <c r="F6" s="50" t="s">
        <v>19</v>
      </c>
      <c r="G6" s="51"/>
      <c r="H6" s="3">
        <v>0</v>
      </c>
      <c r="I6" s="3">
        <v>7500</v>
      </c>
      <c r="J6" s="3">
        <v>0</v>
      </c>
      <c r="K6" s="3">
        <v>15500</v>
      </c>
    </row>
    <row r="7" spans="2:11" x14ac:dyDescent="0.25">
      <c r="B7" s="36" t="s">
        <v>4</v>
      </c>
      <c r="C7" s="6">
        <v>0</v>
      </c>
      <c r="D7" s="36">
        <v>9650</v>
      </c>
      <c r="E7" s="5"/>
      <c r="F7" s="50" t="s">
        <v>20</v>
      </c>
      <c r="G7" s="51"/>
      <c r="H7" s="3">
        <v>0</v>
      </c>
      <c r="I7" s="3">
        <v>0</v>
      </c>
      <c r="J7" s="3"/>
      <c r="K7" s="3"/>
    </row>
    <row r="8" spans="2:11" x14ac:dyDescent="0.25">
      <c r="B8" s="36" t="s">
        <v>39</v>
      </c>
      <c r="C8" s="3">
        <v>0</v>
      </c>
      <c r="D8" s="36">
        <v>21600</v>
      </c>
      <c r="E8" s="5"/>
      <c r="F8" s="50" t="s">
        <v>21</v>
      </c>
      <c r="G8" s="51"/>
      <c r="H8" s="3">
        <v>0</v>
      </c>
      <c r="I8" s="39">
        <v>21400</v>
      </c>
      <c r="J8" s="39">
        <v>0</v>
      </c>
      <c r="K8" s="3">
        <v>99800</v>
      </c>
    </row>
    <row r="9" spans="2:11" x14ac:dyDescent="0.25">
      <c r="B9" s="36" t="s">
        <v>5</v>
      </c>
      <c r="C9" s="3">
        <v>0</v>
      </c>
      <c r="D9" s="3">
        <v>0</v>
      </c>
      <c r="E9" s="5"/>
      <c r="F9" s="52" t="s">
        <v>22</v>
      </c>
      <c r="G9" s="52"/>
      <c r="H9" s="3">
        <v>0</v>
      </c>
      <c r="I9" s="3">
        <v>8000</v>
      </c>
      <c r="J9" s="3"/>
      <c r="K9" s="3">
        <v>34000</v>
      </c>
    </row>
    <row r="10" spans="2:11" x14ac:dyDescent="0.25">
      <c r="B10" s="36" t="s">
        <v>45</v>
      </c>
      <c r="C10" s="3">
        <v>0</v>
      </c>
      <c r="D10" s="3">
        <v>0</v>
      </c>
      <c r="E10" s="5"/>
      <c r="F10" s="41" t="s">
        <v>23</v>
      </c>
      <c r="G10" s="42"/>
      <c r="H10" s="3">
        <v>0</v>
      </c>
      <c r="I10" s="3">
        <v>0</v>
      </c>
      <c r="J10" s="3"/>
      <c r="K10" s="3"/>
    </row>
    <row r="11" spans="2:11" x14ac:dyDescent="0.25">
      <c r="B11" s="36" t="s">
        <v>32</v>
      </c>
      <c r="C11" s="3">
        <v>0</v>
      </c>
      <c r="D11" s="4">
        <v>0</v>
      </c>
      <c r="E11" s="5"/>
      <c r="F11" s="41" t="s">
        <v>33</v>
      </c>
      <c r="G11" s="42"/>
      <c r="H11" s="3">
        <v>0</v>
      </c>
      <c r="I11" s="3">
        <v>0</v>
      </c>
      <c r="J11" s="3"/>
      <c r="K11" s="3"/>
    </row>
    <row r="12" spans="2:11" x14ac:dyDescent="0.25">
      <c r="B12" s="19" t="s">
        <v>47</v>
      </c>
      <c r="C12" s="19">
        <v>0</v>
      </c>
      <c r="D12" s="19">
        <v>168310</v>
      </c>
      <c r="E12" s="32"/>
      <c r="F12" s="41" t="s">
        <v>34</v>
      </c>
      <c r="G12" s="42"/>
      <c r="H12" s="3">
        <v>0</v>
      </c>
      <c r="I12" s="3">
        <v>0</v>
      </c>
      <c r="J12" s="3"/>
      <c r="K12" s="3"/>
    </row>
    <row r="13" spans="2:11" x14ac:dyDescent="0.25">
      <c r="B13" s="36" t="s">
        <v>37</v>
      </c>
      <c r="C13" s="3">
        <v>0</v>
      </c>
      <c r="D13" s="3">
        <v>252790</v>
      </c>
      <c r="E13" s="5"/>
      <c r="F13" s="41" t="s">
        <v>46</v>
      </c>
      <c r="G13" s="42"/>
      <c r="H13" s="37">
        <v>0</v>
      </c>
      <c r="I13" s="3">
        <v>0</v>
      </c>
      <c r="J13" s="3"/>
      <c r="K13" s="3"/>
    </row>
    <row r="14" spans="2:11" x14ac:dyDescent="0.25">
      <c r="B14" s="3" t="s">
        <v>13</v>
      </c>
      <c r="C14" s="3">
        <v>40000</v>
      </c>
      <c r="D14" s="3">
        <v>0</v>
      </c>
      <c r="E14" s="5"/>
      <c r="F14" s="41" t="s">
        <v>44</v>
      </c>
      <c r="G14" s="42"/>
      <c r="H14" s="3">
        <v>0</v>
      </c>
      <c r="I14" s="3">
        <v>0</v>
      </c>
      <c r="J14" s="3"/>
      <c r="K14" s="3">
        <v>0</v>
      </c>
    </row>
    <row r="15" spans="2:11" x14ac:dyDescent="0.25">
      <c r="B15" s="3" t="s">
        <v>40</v>
      </c>
      <c r="C15" s="3"/>
      <c r="D15" s="3">
        <v>0</v>
      </c>
      <c r="E15" s="5"/>
      <c r="F15" s="41" t="s">
        <v>41</v>
      </c>
      <c r="G15" s="42"/>
      <c r="H15" s="3">
        <v>0</v>
      </c>
      <c r="I15" s="3">
        <v>0</v>
      </c>
      <c r="J15" s="3"/>
      <c r="K15" s="3"/>
    </row>
    <row r="16" spans="2:11" x14ac:dyDescent="0.25">
      <c r="B16" s="19" t="s">
        <v>6</v>
      </c>
      <c r="C16" s="19"/>
      <c r="D16" s="19">
        <v>0</v>
      </c>
      <c r="E16" s="5"/>
      <c r="F16" s="41" t="s">
        <v>38</v>
      </c>
      <c r="G16" s="42"/>
      <c r="H16" s="3"/>
      <c r="I16" s="3">
        <v>18500</v>
      </c>
      <c r="J16" s="3"/>
      <c r="K16" s="3">
        <v>21600</v>
      </c>
    </row>
    <row r="17" spans="2:11" x14ac:dyDescent="0.25">
      <c r="B17" s="26" t="s">
        <v>42</v>
      </c>
      <c r="C17" s="3"/>
      <c r="D17" s="3">
        <v>0</v>
      </c>
      <c r="E17" s="5"/>
      <c r="F17" s="41" t="s">
        <v>24</v>
      </c>
      <c r="G17" s="42"/>
      <c r="H17" s="3">
        <v>61147</v>
      </c>
      <c r="I17" s="33"/>
      <c r="J17" s="12"/>
      <c r="K17" s="1"/>
    </row>
    <row r="18" spans="2:11" x14ac:dyDescent="0.25">
      <c r="B18" s="35" t="s">
        <v>43</v>
      </c>
      <c r="C18" s="19"/>
      <c r="D18" s="19">
        <v>0</v>
      </c>
      <c r="E18" s="5"/>
      <c r="F18" s="41" t="s">
        <v>25</v>
      </c>
      <c r="G18" s="42"/>
      <c r="H18" s="9">
        <v>44184</v>
      </c>
      <c r="I18" s="33"/>
      <c r="J18" s="1"/>
      <c r="K18" s="1"/>
    </row>
    <row r="19" spans="2:11" x14ac:dyDescent="0.25">
      <c r="B19" s="27"/>
      <c r="C19" s="3">
        <v>0</v>
      </c>
      <c r="D19" s="3">
        <v>0</v>
      </c>
      <c r="E19" s="5"/>
      <c r="F19" s="41" t="s">
        <v>26</v>
      </c>
      <c r="G19" s="42"/>
      <c r="H19" s="3">
        <v>11000</v>
      </c>
      <c r="I19" s="33"/>
      <c r="J19" s="1"/>
      <c r="K19" s="1"/>
    </row>
    <row r="20" spans="2:11" x14ac:dyDescent="0.25">
      <c r="B20" s="10" t="s">
        <v>7</v>
      </c>
      <c r="C20" s="10">
        <f>SUM(C4:C16)</f>
        <v>40000</v>
      </c>
      <c r="D20" s="28">
        <f>SUM(D22,D21)</f>
        <v>518200</v>
      </c>
      <c r="E20" s="5"/>
      <c r="F20" s="41" t="s">
        <v>27</v>
      </c>
      <c r="G20" s="42"/>
      <c r="H20" s="3">
        <v>3300</v>
      </c>
      <c r="I20" s="7"/>
      <c r="J20" s="1"/>
      <c r="K20" s="1"/>
    </row>
    <row r="21" spans="2:11" x14ac:dyDescent="0.25">
      <c r="B21" s="19" t="s">
        <v>35</v>
      </c>
      <c r="C21" s="19"/>
      <c r="D21" s="29">
        <f>D12+D16+D18</f>
        <v>168310</v>
      </c>
      <c r="F21" s="43" t="s">
        <v>7</v>
      </c>
      <c r="G21" s="44"/>
      <c r="H21" s="11">
        <f>SUM(H5:H20)</f>
        <v>119631</v>
      </c>
      <c r="I21" s="29">
        <f>SUM(I5:I20)</f>
        <v>208700</v>
      </c>
      <c r="J21" s="12">
        <f>SUM(J5:J20)</f>
        <v>0</v>
      </c>
      <c r="K21" s="12">
        <f>SUM(K5:K20)</f>
        <v>187200</v>
      </c>
    </row>
    <row r="22" spans="2:11" x14ac:dyDescent="0.25">
      <c r="B22" s="30" t="s">
        <v>36</v>
      </c>
      <c r="C22" s="30"/>
      <c r="D22" s="34">
        <f>D5+D6+D7+D8+D9+D10+D11+D13+D14+D15+D17</f>
        <v>349890</v>
      </c>
    </row>
    <row r="23" spans="2:11" x14ac:dyDescent="0.25">
      <c r="C23" s="8"/>
    </row>
    <row r="24" spans="2:11" x14ac:dyDescent="0.25">
      <c r="B24" s="1"/>
      <c r="C24" s="12" t="s">
        <v>8</v>
      </c>
      <c r="D24" s="12" t="s">
        <v>9</v>
      </c>
      <c r="E24" s="13">
        <v>45992</v>
      </c>
      <c r="F24" s="14">
        <v>46023</v>
      </c>
      <c r="G24" s="12" t="s">
        <v>8</v>
      </c>
      <c r="H24" s="12" t="s">
        <v>9</v>
      </c>
    </row>
    <row r="25" spans="2:11" ht="15.75" x14ac:dyDescent="0.25">
      <c r="B25" s="15" t="s">
        <v>10</v>
      </c>
      <c r="C25" s="20">
        <v>40000</v>
      </c>
      <c r="D25" s="21">
        <v>639950</v>
      </c>
      <c r="E25" s="16">
        <f>C25+D25</f>
        <v>679950</v>
      </c>
      <c r="F25" s="17">
        <f>G25+H25</f>
        <v>558200</v>
      </c>
      <c r="G25" s="17">
        <v>40000</v>
      </c>
      <c r="H25" s="17">
        <f>D20</f>
        <v>518200</v>
      </c>
    </row>
    <row r="26" spans="2:11" x14ac:dyDescent="0.25">
      <c r="E26" s="18"/>
      <c r="F26" s="19"/>
      <c r="G26" s="1"/>
      <c r="H26" s="1"/>
    </row>
    <row r="27" spans="2:11" x14ac:dyDescent="0.25">
      <c r="B27" s="1"/>
      <c r="C27" s="12" t="s">
        <v>11</v>
      </c>
      <c r="D27" s="12" t="s">
        <v>12</v>
      </c>
      <c r="E27" s="13">
        <v>45992</v>
      </c>
      <c r="F27" s="14">
        <v>46023</v>
      </c>
      <c r="G27" s="12" t="s">
        <v>11</v>
      </c>
      <c r="H27" s="12" t="s">
        <v>12</v>
      </c>
    </row>
    <row r="28" spans="2:11" ht="15.75" x14ac:dyDescent="0.25">
      <c r="B28" s="15" t="s">
        <v>10</v>
      </c>
      <c r="C28" s="20">
        <v>119631</v>
      </c>
      <c r="D28" s="21">
        <v>468900</v>
      </c>
      <c r="E28" s="16">
        <f>C28+D28</f>
        <v>588531</v>
      </c>
      <c r="F28" s="17">
        <f>G28+H28</f>
        <v>515531</v>
      </c>
      <c r="G28" s="17">
        <v>119631</v>
      </c>
      <c r="H28" s="17">
        <f>I21+J21+K21</f>
        <v>395900</v>
      </c>
    </row>
    <row r="30" spans="2:11" x14ac:dyDescent="0.25">
      <c r="B30" s="12" t="s">
        <v>48</v>
      </c>
    </row>
    <row r="31" spans="2:11" x14ac:dyDescent="0.25">
      <c r="B31" s="45"/>
      <c r="C31" s="45"/>
      <c r="D31" s="45"/>
      <c r="E31" s="45"/>
      <c r="F31" s="45"/>
      <c r="G31" s="46"/>
      <c r="H31" s="46"/>
      <c r="I31" s="46"/>
      <c r="J31" s="31"/>
    </row>
    <row r="32" spans="2:11" x14ac:dyDescent="0.25">
      <c r="B32" s="31"/>
      <c r="C32" s="31"/>
      <c r="D32" s="31"/>
      <c r="E32" s="31"/>
      <c r="F32" s="31"/>
      <c r="G32" s="31"/>
      <c r="H32" s="31"/>
      <c r="I32" s="31"/>
      <c r="J32" s="31"/>
    </row>
    <row r="33" spans="2:10" x14ac:dyDescent="0.25">
      <c r="B33" s="31"/>
      <c r="C33" s="31"/>
      <c r="D33" s="31"/>
      <c r="E33" s="31"/>
      <c r="F33" s="31"/>
      <c r="G33" s="31"/>
      <c r="H33" s="31"/>
      <c r="I33" s="31"/>
      <c r="J33" s="31"/>
    </row>
    <row r="34" spans="2:10" x14ac:dyDescent="0.25">
      <c r="B34" s="31"/>
      <c r="C34" s="31"/>
      <c r="D34" s="31"/>
      <c r="E34" s="31"/>
      <c r="F34" s="31"/>
      <c r="G34" s="31"/>
      <c r="H34" s="31"/>
      <c r="I34" s="31"/>
      <c r="J34" s="31"/>
    </row>
  </sheetData>
  <mergeCells count="24">
    <mergeCell ref="B31:F31"/>
    <mergeCell ref="G31:I31"/>
    <mergeCell ref="B2:D2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B3:D3"/>
    <mergeCell ref="F14:G14"/>
    <mergeCell ref="F15:G15"/>
    <mergeCell ref="F2:K2"/>
    <mergeCell ref="F3:K3"/>
    <mergeCell ref="F19:G19"/>
    <mergeCell ref="F20:G20"/>
    <mergeCell ref="F21:G21"/>
    <mergeCell ref="F16:G16"/>
    <mergeCell ref="F17:G17"/>
    <mergeCell ref="F18:G18"/>
  </mergeCells>
  <pageMargins left="0.7" right="0.7" top="0.75" bottom="0.75" header="0.3" footer="0.3"/>
  <pageSetup paperSize="9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o.zaiets</dc:creator>
  <cp:lastModifiedBy>cfo</cp:lastModifiedBy>
  <dcterms:created xsi:type="dcterms:W3CDTF">2015-06-05T18:17:20Z</dcterms:created>
  <dcterms:modified xsi:type="dcterms:W3CDTF">2026-01-22T06:24:26Z</dcterms:modified>
</cp:coreProperties>
</file>
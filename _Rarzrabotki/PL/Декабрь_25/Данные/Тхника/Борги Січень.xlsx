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6D2317C8-77BE-47C0-93EC-11F124C0CEA8}" xr6:coauthVersionLast="45" xr6:coauthVersionMax="45" xr10:uidLastSave="{00000000-0000-0000-0000-000000000000}"/>
  <bookViews>
    <workbookView xWindow="-120" yWindow="-120" windowWidth="29040" windowHeight="15990" tabRatio="604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Лист1!$A$2:$T$35</definedName>
    <definedName name="_xlnm.Print_Area" localSheetId="0">Лист1!$A$1:$F$35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" i="1" l="1"/>
  <c r="F35" i="1" l="1"/>
  <c r="H7" i="1"/>
  <c r="D35" i="1"/>
</calcChain>
</file>

<file path=xl/sharedStrings.xml><?xml version="1.0" encoding="utf-8"?>
<sst xmlns="http://schemas.openxmlformats.org/spreadsheetml/2006/main" count="103" uniqueCount="54">
  <si>
    <t>Котрагент</t>
  </si>
  <si>
    <t>Телескоп №5</t>
  </si>
  <si>
    <t xml:space="preserve">Техніка </t>
  </si>
  <si>
    <t>Вид ремонту</t>
  </si>
  <si>
    <t>Телескоп №1</t>
  </si>
  <si>
    <t>Ремонт гальм</t>
  </si>
  <si>
    <t>Монтаж безпеки</t>
  </si>
  <si>
    <t>Запчастини</t>
  </si>
  <si>
    <t>Ремонт крана</t>
  </si>
  <si>
    <t>Запчастини задньої каретки</t>
  </si>
  <si>
    <t>Запчастини гальмівного механізму</t>
  </si>
  <si>
    <t>Запчастини (Блок запобіжників)</t>
  </si>
  <si>
    <t>Запчастини (Насос підкачки)</t>
  </si>
  <si>
    <t>Телескоп №4</t>
  </si>
  <si>
    <t>Шини</t>
  </si>
  <si>
    <t>Подъемник Haulotte H18SXL</t>
  </si>
  <si>
    <t>РДК 250 №1</t>
  </si>
  <si>
    <t>Самосвал Камаз</t>
  </si>
  <si>
    <t>Автокран Клинцы</t>
  </si>
  <si>
    <t xml:space="preserve">ТОВ Агросервіс - груп </t>
  </si>
  <si>
    <t>ФОП Козак</t>
  </si>
  <si>
    <t xml:space="preserve">ТОВ Віва-автозапчпстина </t>
  </si>
  <si>
    <t>ТОВ Артемій Плюс</t>
  </si>
  <si>
    <t>ТОВ Сав Сервіс</t>
  </si>
  <si>
    <t xml:space="preserve">Экскаватор JCB 2008 </t>
  </si>
  <si>
    <t>Экскаватор JCB 2007</t>
  </si>
  <si>
    <t>Экскаватор JCB 2013</t>
  </si>
  <si>
    <t>Экскаватор JCB 220</t>
  </si>
  <si>
    <t>Ремонт гидроциліндра</t>
  </si>
  <si>
    <t>Заміна гідрошланга</t>
  </si>
  <si>
    <t>Запчастини (коронки)</t>
  </si>
  <si>
    <t>Паливна  і форсунки</t>
  </si>
  <si>
    <t>Запчастини (патрубки)</t>
  </si>
  <si>
    <t>Гідравлічний насос</t>
  </si>
  <si>
    <t>Гідротрубка</t>
  </si>
  <si>
    <t xml:space="preserve">Запчасти </t>
  </si>
  <si>
    <t>Борги станом на 01.01.2026</t>
  </si>
  <si>
    <t>Планові витрати 
у Січні</t>
  </si>
  <si>
    <t xml:space="preserve">Ремон турбіни </t>
  </si>
  <si>
    <t>Запчастини до турбіни</t>
  </si>
  <si>
    <t>Виїзд на ремонт</t>
  </si>
  <si>
    <t>Ремонт тормозов</t>
  </si>
  <si>
    <t>ТОВ Ерідон Тех</t>
  </si>
  <si>
    <t>Ротор Пегасус</t>
  </si>
  <si>
    <t>Монтаж електроколектора</t>
  </si>
  <si>
    <t>Ремон  паливної</t>
  </si>
  <si>
    <t>Запчастини до паливної</t>
  </si>
  <si>
    <t>Канат</t>
  </si>
  <si>
    <t xml:space="preserve"> Ремонт електрики</t>
  </si>
  <si>
    <t>Планові витрати 
у  Лютому</t>
  </si>
  <si>
    <t>ТОВ ОВТ Агро</t>
  </si>
  <si>
    <t>ФОП Лебединков</t>
  </si>
  <si>
    <t>МАЗ 265</t>
  </si>
  <si>
    <t>Борги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</si>
</sst>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Alignment="1"/>
    <xf numFmtId="0" fontId="0" fillId="2" borderId="0" xfId="0" applyFill="1" applyAlignment="1"/>
    <xf numFmtId="4" fontId="4" fillId="0" borderId="2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4" fontId="3" fillId="0" borderId="5" xfId="0" applyNumberFormat="1" applyFont="1" applyFill="1" applyBorder="1" applyAlignment="1">
      <alignment horizontal="center"/>
    </xf>
    <xf numFmtId="4" fontId="3" fillId="0" borderId="3" xfId="0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2" fontId="7" fillId="0" borderId="7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4" fontId="5" fillId="0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4" fontId="5" fillId="0" borderId="16" xfId="0" applyNumberFormat="1" applyFont="1" applyFill="1" applyBorder="1" applyAlignment="1">
      <alignment horizontal="center" vertical="center" wrapText="1"/>
    </xf>
    <xf numFmtId="4" fontId="0" fillId="0" borderId="0" xfId="0" applyNumberFormat="1" applyFill="1" applyAlignment="1"/>
    <xf numFmtId="0" fontId="4" fillId="0" borderId="17" xfId="0" applyFont="1" applyFill="1" applyBorder="1" applyAlignment="1">
      <alignment horizontal="left" vertical="center" wrapText="1"/>
    </xf>
    <xf numFmtId="4" fontId="5" fillId="0" borderId="18" xfId="0" applyNumberFormat="1" applyFont="1" applyFill="1" applyBorder="1" applyAlignment="1">
      <alignment horizontal="center" vertical="center" wrapText="1"/>
    </xf>
    <xf numFmtId="4" fontId="3" fillId="0" borderId="5" xfId="0" applyNumberFormat="1" applyFont="1" applyFill="1" applyBorder="1" applyAlignment="1">
      <alignment horizontal="center" vertical="center" wrapText="1"/>
    </xf>
    <xf numFmtId="4" fontId="4" fillId="0" borderId="11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/>
    <xf numFmtId="0" fontId="7" fillId="0" borderId="12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2">
    <cellStyle name="Обычный" xfId="0" builtinId="0"/>
    <cellStyle name="Обычный 2" xfId="1" xr:uid="{4D5CAEDC-C257-47A5-A159-3E15796EC22D}"/>
  </cellStyles>
  <dxfs count="0"/>
  <tableStyles count="0" defaultTableStyle="TableStyleMedium2" defaultPivotStyle="PivotStyleMedium9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view="pageBreakPreview" topLeftCell="A13" zoomScale="90" zoomScaleNormal="90" zoomScaleSheetLayoutView="90" workbookViewId="0">
      <selection activeCell="E35" sqref="E35"/>
    </sheetView>
  </sheetViews>
  <sheetFormatPr defaultRowHeight="15" x14ac:dyDescent="0.25"/>
  <cols>
    <col min="1" max="1" width="26.140625" style="6" customWidth="1"/>
    <col min="2" max="2" width="36" style="39" customWidth="1"/>
    <col min="3" max="3" width="41.7109375" style="1" customWidth="1"/>
    <col min="4" max="4" width="24.28515625" style="2" customWidth="1"/>
    <col min="5" max="5" width="23" style="1" customWidth="1"/>
    <col min="6" max="6" width="19.28515625" style="6" customWidth="1"/>
    <col min="7" max="7" width="10.5703125" style="6" customWidth="1"/>
    <col min="8" max="8" width="16.5703125" style="6" customWidth="1"/>
    <col min="9" max="16384" width="9.140625" style="6"/>
  </cols>
  <sheetData>
    <row r="1" spans="1:8" ht="30.75" customHeight="1" thickBot="1" x14ac:dyDescent="0.35">
      <c r="A1" s="40" t="s">
        <v>36</v>
      </c>
      <c r="B1" s="41"/>
      <c r="C1" s="41"/>
      <c r="D1" s="41"/>
      <c r="E1" s="41"/>
      <c r="F1" s="42"/>
    </row>
    <row r="2" spans="1:8" s="1" customFormat="1" ht="45" customHeight="1" x14ac:dyDescent="0.25">
      <c r="A2" s="16" t="s">
        <v>0</v>
      </c>
      <c r="B2" s="34" t="s">
        <v>2</v>
      </c>
      <c r="C2" s="17" t="s">
        <v>3</v>
      </c>
      <c r="D2" s="18" t="s">
        <v>53</v>
      </c>
      <c r="E2" s="19" t="s">
        <v>37</v>
      </c>
      <c r="F2" s="19" t="s">
        <v>49</v>
      </c>
    </row>
    <row r="3" spans="1:8" s="7" customFormat="1" ht="18" customHeight="1" x14ac:dyDescent="0.25">
      <c r="A3" s="23" t="s">
        <v>19</v>
      </c>
      <c r="B3" s="35" t="s">
        <v>4</v>
      </c>
      <c r="C3" s="4" t="s">
        <v>28</v>
      </c>
      <c r="D3" s="8">
        <v>19663.439999999999</v>
      </c>
      <c r="E3" s="8"/>
      <c r="F3" s="20"/>
    </row>
    <row r="4" spans="1:8" s="5" customFormat="1" ht="18.75" customHeight="1" x14ac:dyDescent="0.25">
      <c r="A4" s="23" t="s">
        <v>19</v>
      </c>
      <c r="B4" s="36" t="s">
        <v>1</v>
      </c>
      <c r="C4" s="3" t="s">
        <v>5</v>
      </c>
      <c r="D4" s="33">
        <v>31028.16</v>
      </c>
      <c r="E4" s="9"/>
      <c r="F4" s="20"/>
    </row>
    <row r="5" spans="1:8" s="5" customFormat="1" ht="19.5" customHeight="1" x14ac:dyDescent="0.25">
      <c r="A5" s="23" t="s">
        <v>19</v>
      </c>
      <c r="B5" s="36" t="s">
        <v>24</v>
      </c>
      <c r="C5" s="3" t="s">
        <v>9</v>
      </c>
      <c r="D5" s="10"/>
      <c r="E5" s="10"/>
      <c r="F5" s="20"/>
    </row>
    <row r="6" spans="1:8" s="5" customFormat="1" ht="19.5" customHeight="1" x14ac:dyDescent="0.25">
      <c r="A6" s="23" t="s">
        <v>19</v>
      </c>
      <c r="B6" s="36" t="s">
        <v>24</v>
      </c>
      <c r="C6" s="3" t="s">
        <v>10</v>
      </c>
      <c r="D6" s="10"/>
      <c r="E6" s="10"/>
      <c r="F6" s="20"/>
    </row>
    <row r="7" spans="1:8" s="5" customFormat="1" ht="19.5" customHeight="1" x14ac:dyDescent="0.25">
      <c r="A7" s="23" t="s">
        <v>19</v>
      </c>
      <c r="B7" s="36" t="s">
        <v>25</v>
      </c>
      <c r="C7" s="3" t="s">
        <v>14</v>
      </c>
      <c r="D7" s="10"/>
      <c r="E7" s="10"/>
      <c r="F7" s="20">
        <v>12000</v>
      </c>
      <c r="H7" s="25">
        <f>E5+E6</f>
        <v>0</v>
      </c>
    </row>
    <row r="8" spans="1:8" s="5" customFormat="1" ht="19.5" customHeight="1" x14ac:dyDescent="0.25">
      <c r="A8" s="23" t="s">
        <v>19</v>
      </c>
      <c r="B8" s="36" t="s">
        <v>26</v>
      </c>
      <c r="C8" s="3" t="s">
        <v>11</v>
      </c>
      <c r="D8" s="10">
        <v>9208.0499999999993</v>
      </c>
      <c r="E8" s="10"/>
      <c r="F8" s="20"/>
    </row>
    <row r="9" spans="1:8" s="5" customFormat="1" ht="19.5" customHeight="1" x14ac:dyDescent="0.25">
      <c r="A9" s="23" t="s">
        <v>19</v>
      </c>
      <c r="B9" s="36" t="s">
        <v>26</v>
      </c>
      <c r="C9" s="3" t="s">
        <v>12</v>
      </c>
      <c r="D9" s="10"/>
      <c r="E9" s="10"/>
      <c r="F9" s="20"/>
    </row>
    <row r="10" spans="1:8" s="5" customFormat="1" ht="19.5" customHeight="1" x14ac:dyDescent="0.25">
      <c r="A10" s="23" t="s">
        <v>19</v>
      </c>
      <c r="B10" s="36" t="s">
        <v>13</v>
      </c>
      <c r="C10" s="3" t="s">
        <v>29</v>
      </c>
      <c r="D10" s="10"/>
      <c r="E10" s="10"/>
      <c r="F10" s="20"/>
    </row>
    <row r="11" spans="1:8" s="5" customFormat="1" ht="19.5" customHeight="1" x14ac:dyDescent="0.25">
      <c r="A11" s="23" t="s">
        <v>19</v>
      </c>
      <c r="B11" s="36" t="s">
        <v>4</v>
      </c>
      <c r="C11" s="3" t="s">
        <v>29</v>
      </c>
      <c r="D11" s="10">
        <v>8995.2000000000007</v>
      </c>
      <c r="E11" s="10"/>
      <c r="F11" s="20"/>
    </row>
    <row r="12" spans="1:8" s="5" customFormat="1" ht="19.5" customHeight="1" x14ac:dyDescent="0.25">
      <c r="A12" s="23" t="s">
        <v>19</v>
      </c>
      <c r="B12" s="36" t="s">
        <v>27</v>
      </c>
      <c r="C12" s="3" t="s">
        <v>30</v>
      </c>
      <c r="D12" s="10">
        <v>9222.06</v>
      </c>
      <c r="E12" s="10"/>
      <c r="F12" s="20"/>
    </row>
    <row r="13" spans="1:8" s="5" customFormat="1" ht="19.5" customHeight="1" x14ac:dyDescent="0.25">
      <c r="A13" s="23" t="s">
        <v>19</v>
      </c>
      <c r="B13" s="36" t="s">
        <v>27</v>
      </c>
      <c r="C13" s="3" t="s">
        <v>38</v>
      </c>
      <c r="D13" s="10">
        <v>14400</v>
      </c>
      <c r="E13" s="10"/>
      <c r="F13" s="24"/>
    </row>
    <row r="14" spans="1:8" s="5" customFormat="1" ht="19.5" customHeight="1" x14ac:dyDescent="0.25">
      <c r="A14" s="23" t="s">
        <v>19</v>
      </c>
      <c r="B14" s="36" t="s">
        <v>27</v>
      </c>
      <c r="C14" s="3" t="s">
        <v>30</v>
      </c>
      <c r="D14" s="10">
        <v>6504</v>
      </c>
      <c r="E14" s="10"/>
      <c r="F14" s="24"/>
    </row>
    <row r="15" spans="1:8" s="5" customFormat="1" ht="19.5" customHeight="1" x14ac:dyDescent="0.25">
      <c r="A15" s="23" t="s">
        <v>19</v>
      </c>
      <c r="B15" s="36" t="s">
        <v>27</v>
      </c>
      <c r="C15" s="3" t="s">
        <v>39</v>
      </c>
      <c r="D15" s="10">
        <v>9182.15</v>
      </c>
      <c r="E15" s="10"/>
      <c r="F15" s="24"/>
    </row>
    <row r="16" spans="1:8" s="5" customFormat="1" ht="19.5" customHeight="1" x14ac:dyDescent="0.25">
      <c r="A16" s="23" t="s">
        <v>19</v>
      </c>
      <c r="B16" s="36" t="s">
        <v>27</v>
      </c>
      <c r="C16" s="3" t="s">
        <v>40</v>
      </c>
      <c r="D16" s="10">
        <v>7560</v>
      </c>
      <c r="E16" s="10"/>
      <c r="F16" s="24"/>
    </row>
    <row r="17" spans="1:8" s="5" customFormat="1" ht="19.5" customHeight="1" x14ac:dyDescent="0.25">
      <c r="A17" s="23" t="s">
        <v>19</v>
      </c>
      <c r="B17" s="36" t="s">
        <v>26</v>
      </c>
      <c r="C17" s="3" t="s">
        <v>31</v>
      </c>
      <c r="D17" s="10">
        <v>35779.54</v>
      </c>
      <c r="E17" s="10"/>
      <c r="F17" s="10">
        <v>21720</v>
      </c>
    </row>
    <row r="18" spans="1:8" s="5" customFormat="1" ht="19.5" customHeight="1" x14ac:dyDescent="0.25">
      <c r="A18" s="23" t="s">
        <v>19</v>
      </c>
      <c r="B18" s="36" t="s">
        <v>24</v>
      </c>
      <c r="C18" s="3" t="s">
        <v>32</v>
      </c>
      <c r="D18" s="10">
        <v>7934.2</v>
      </c>
      <c r="E18" s="10"/>
      <c r="F18" s="20"/>
    </row>
    <row r="19" spans="1:8" s="5" customFormat="1" ht="19.5" customHeight="1" x14ac:dyDescent="0.25">
      <c r="A19" s="23" t="s">
        <v>19</v>
      </c>
      <c r="B19" s="36" t="s">
        <v>24</v>
      </c>
      <c r="C19" s="3" t="s">
        <v>33</v>
      </c>
      <c r="D19" s="10">
        <v>17194.2</v>
      </c>
      <c r="E19" s="10"/>
      <c r="F19" s="20"/>
    </row>
    <row r="20" spans="1:8" s="5" customFormat="1" ht="18.75" customHeight="1" x14ac:dyDescent="0.25">
      <c r="A20" s="23" t="s">
        <v>19</v>
      </c>
      <c r="B20" s="36" t="s">
        <v>24</v>
      </c>
      <c r="C20" s="3" t="s">
        <v>34</v>
      </c>
      <c r="D20" s="10">
        <v>129048</v>
      </c>
      <c r="E20" s="10"/>
      <c r="F20" s="10"/>
    </row>
    <row r="21" spans="1:8" s="5" customFormat="1" ht="18.75" customHeight="1" x14ac:dyDescent="0.25">
      <c r="A21" s="23" t="s">
        <v>19</v>
      </c>
      <c r="B21" s="36" t="s">
        <v>24</v>
      </c>
      <c r="C21" s="3" t="s">
        <v>41</v>
      </c>
      <c r="D21" s="10">
        <v>26040</v>
      </c>
      <c r="E21" s="10"/>
      <c r="F21" s="20">
        <v>47116.800000000003</v>
      </c>
      <c r="H21" s="25"/>
    </row>
    <row r="22" spans="1:8" s="5" customFormat="1" ht="19.5" customHeight="1" x14ac:dyDescent="0.25">
      <c r="A22" s="23" t="s">
        <v>50</v>
      </c>
      <c r="B22" s="36" t="s">
        <v>25</v>
      </c>
      <c r="C22" s="3" t="s">
        <v>7</v>
      </c>
      <c r="D22" s="11"/>
      <c r="E22" s="11">
        <v>35000</v>
      </c>
      <c r="F22" s="20"/>
    </row>
    <row r="23" spans="1:8" s="5" customFormat="1" ht="19.5" customHeight="1" x14ac:dyDescent="0.25">
      <c r="A23" s="21" t="s">
        <v>20</v>
      </c>
      <c r="B23" s="36" t="s">
        <v>16</v>
      </c>
      <c r="C23" s="3" t="s">
        <v>8</v>
      </c>
      <c r="D23" s="11">
        <v>37250</v>
      </c>
      <c r="E23" s="11"/>
      <c r="F23" s="20"/>
    </row>
    <row r="24" spans="1:8" s="5" customFormat="1" ht="18" customHeight="1" x14ac:dyDescent="0.25">
      <c r="A24" s="21" t="s">
        <v>20</v>
      </c>
      <c r="B24" s="36" t="s">
        <v>16</v>
      </c>
      <c r="C24" s="3" t="s">
        <v>8</v>
      </c>
      <c r="D24" s="10">
        <v>67900</v>
      </c>
      <c r="E24" s="10"/>
      <c r="F24" s="20"/>
    </row>
    <row r="25" spans="1:8" s="5" customFormat="1" ht="18" customHeight="1" x14ac:dyDescent="0.25">
      <c r="A25" s="21" t="s">
        <v>21</v>
      </c>
      <c r="B25" s="36" t="s">
        <v>17</v>
      </c>
      <c r="C25" s="3" t="s">
        <v>35</v>
      </c>
      <c r="D25" s="10"/>
      <c r="E25" s="10"/>
      <c r="F25" s="20"/>
    </row>
    <row r="26" spans="1:8" s="5" customFormat="1" ht="18" customHeight="1" x14ac:dyDescent="0.25">
      <c r="A26" s="21" t="s">
        <v>51</v>
      </c>
      <c r="B26" s="36" t="s">
        <v>52</v>
      </c>
      <c r="C26" s="3" t="s">
        <v>7</v>
      </c>
      <c r="D26" s="10"/>
      <c r="E26" s="10">
        <v>30500</v>
      </c>
      <c r="F26" s="20"/>
    </row>
    <row r="27" spans="1:8" s="5" customFormat="1" ht="18" customHeight="1" x14ac:dyDescent="0.25">
      <c r="A27" s="22" t="s">
        <v>22</v>
      </c>
      <c r="B27" s="36" t="s">
        <v>18</v>
      </c>
      <c r="C27" s="3" t="s">
        <v>6</v>
      </c>
      <c r="D27" s="10">
        <v>9560</v>
      </c>
      <c r="E27" s="10"/>
      <c r="F27" s="20"/>
    </row>
    <row r="28" spans="1:8" s="5" customFormat="1" ht="18" customHeight="1" x14ac:dyDescent="0.25">
      <c r="A28" s="22" t="s">
        <v>22</v>
      </c>
      <c r="B28" s="36" t="s">
        <v>18</v>
      </c>
      <c r="C28" s="4" t="s">
        <v>45</v>
      </c>
      <c r="D28" s="8">
        <v>7630.45</v>
      </c>
      <c r="E28" s="8"/>
      <c r="F28" s="27">
        <v>54322.69</v>
      </c>
    </row>
    <row r="29" spans="1:8" s="5" customFormat="1" ht="18" customHeight="1" x14ac:dyDescent="0.25">
      <c r="A29" s="22" t="s">
        <v>22</v>
      </c>
      <c r="B29" s="36" t="s">
        <v>18</v>
      </c>
      <c r="C29" s="4" t="s">
        <v>45</v>
      </c>
      <c r="D29" s="8">
        <v>8016</v>
      </c>
      <c r="E29" s="8"/>
      <c r="F29" s="27">
        <v>158307.5</v>
      </c>
    </row>
    <row r="30" spans="1:8" s="5" customFormat="1" ht="18" customHeight="1" x14ac:dyDescent="0.25">
      <c r="A30" s="22" t="s">
        <v>22</v>
      </c>
      <c r="B30" s="36" t="s">
        <v>18</v>
      </c>
      <c r="C30" s="4" t="s">
        <v>46</v>
      </c>
      <c r="D30" s="8">
        <v>5370.58</v>
      </c>
      <c r="E30" s="8"/>
      <c r="F30" s="27"/>
    </row>
    <row r="31" spans="1:8" s="5" customFormat="1" ht="18" customHeight="1" x14ac:dyDescent="0.25">
      <c r="A31" s="22" t="s">
        <v>22</v>
      </c>
      <c r="B31" s="36" t="s">
        <v>18</v>
      </c>
      <c r="C31" s="4" t="s">
        <v>47</v>
      </c>
      <c r="D31" s="8">
        <v>7400.33</v>
      </c>
      <c r="E31" s="8"/>
      <c r="F31" s="27"/>
    </row>
    <row r="32" spans="1:8" s="5" customFormat="1" ht="18" customHeight="1" x14ac:dyDescent="0.25">
      <c r="A32" s="22" t="s">
        <v>22</v>
      </c>
      <c r="B32" s="36" t="s">
        <v>15</v>
      </c>
      <c r="C32" s="4" t="s">
        <v>48</v>
      </c>
      <c r="D32" s="8">
        <v>83955.18</v>
      </c>
      <c r="E32" s="8"/>
      <c r="F32" s="27">
        <v>125278.28</v>
      </c>
    </row>
    <row r="33" spans="1:6" s="5" customFormat="1" ht="18" customHeight="1" x14ac:dyDescent="0.25">
      <c r="A33" s="26" t="s">
        <v>42</v>
      </c>
      <c r="B33" s="36" t="s">
        <v>43</v>
      </c>
      <c r="C33" s="4" t="s">
        <v>44</v>
      </c>
      <c r="D33" s="8">
        <v>26353.99</v>
      </c>
      <c r="E33" s="8"/>
      <c r="F33" s="27"/>
    </row>
    <row r="34" spans="1:6" s="5" customFormat="1" ht="16.5" customHeight="1" thickBot="1" x14ac:dyDescent="0.3">
      <c r="A34" s="31" t="s">
        <v>23</v>
      </c>
      <c r="B34" s="37" t="s">
        <v>15</v>
      </c>
      <c r="C34" s="30" t="s">
        <v>7</v>
      </c>
      <c r="D34" s="29">
        <v>19368</v>
      </c>
      <c r="E34" s="29"/>
      <c r="F34" s="32"/>
    </row>
    <row r="35" spans="1:6" ht="20.25" customHeight="1" thickBot="1" x14ac:dyDescent="0.35">
      <c r="A35" s="12"/>
      <c r="B35" s="38"/>
      <c r="C35" s="13"/>
      <c r="D35" s="15">
        <f>SUM(D3:D34)</f>
        <v>604563.53</v>
      </c>
      <c r="E35" s="14">
        <f>SUM(E3:E34)</f>
        <v>65500</v>
      </c>
      <c r="F35" s="28">
        <f>SUM(F3:F34)</f>
        <v>418745.27</v>
      </c>
    </row>
  </sheetData>
  <autoFilter ref="A2:T35" xr:uid="{1086EB2E-C25D-4063-93EF-C0618907B468}"/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04A3-184B-4E3D-8413-E0BD6E17A1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2026-01-22T06:00:51Z</dcterms:modified>
</cp:coreProperties>
</file>
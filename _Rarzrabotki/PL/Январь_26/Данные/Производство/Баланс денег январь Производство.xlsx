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Январь_26\Данные\Производство\"/>
    </mc:Choice>
  </mc:AlternateContent>
  <xr:revisionPtr revIDLastSave="0" documentId="13_ncr:1_{1080CCAA-518B-464E-9DB6-EFCC9E87D861}" xr6:coauthVersionLast="45" xr6:coauthVersionMax="45" xr10:uidLastSave="{00000000-0000-0000-0000-000000000000}"/>
  <bookViews>
    <workbookView xWindow="-108" yWindow="-108" windowWidth="23256" windowHeight="12600" tabRatio="885" firstSheet="8" activeTab="14" xr2:uid="{00000000-000D-0000-FFFF-FFFF00000000}"/>
  </bookViews>
  <sheets>
    <sheet name="МК Нежин 2025" sheetId="14" state="hidden" r:id="rId1"/>
    <sheet name="МД МХП Туалетный блок" sheetId="12" state="hidden" r:id="rId2"/>
    <sheet name="МД Лазня" sheetId="19" state="hidden" r:id="rId3"/>
    <sheet name="МД Червоний Хрест" sheetId="13" state="hidden" r:id="rId4"/>
    <sheet name="МД IRS" sheetId="17" state="hidden" r:id="rId5"/>
    <sheet name="МД Укрнафта контейнер 3 на 4" sheetId="15" state="hidden" r:id="rId6"/>
    <sheet name="МД МХП Франковск " sheetId="16" state="hidden" r:id="rId7"/>
    <sheet name="МД ВООЗ ЕМС" sheetId="7" state="hidden" r:id="rId8"/>
    <sheet name="МД ВООЗ 2025" sheetId="21" r:id="rId9"/>
    <sheet name="МД ООН 2025" sheetId="11" r:id="rId10"/>
    <sheet name="МК Глобино" sheetId="10" r:id="rId11"/>
    <sheet name="МК МХП Катеринополь" sheetId="9" state="hidden" r:id="rId12"/>
    <sheet name="Кернел Кухня" sheetId="8" r:id="rId13"/>
    <sheet name="Укрнафта1модуль" sheetId="23" r:id="rId14"/>
    <sheet name="КПП Червоний хрест " sheetId="24" r:id="rId15"/>
    <sheet name="МК Астарта.Тищенки" sheetId="20" state="hidden" r:id="rId16"/>
    <sheet name="МКБориспільська" sheetId="22" state="hidden" r:id="rId17"/>
    <sheet name="Производство" sheetId="18" state="hidden" r:id="rId18"/>
  </sheets>
  <externalReferences>
    <externalReference r:id="rId19"/>
    <externalReference r:id="rId20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4" i="11" l="1"/>
  <c r="B34" i="24"/>
  <c r="B24" i="24"/>
  <c r="E34" i="24"/>
  <c r="B33" i="24"/>
  <c r="E33" i="24" s="1"/>
  <c r="E31" i="24"/>
  <c r="E30" i="24"/>
  <c r="E29" i="24"/>
  <c r="B28" i="24"/>
  <c r="E27" i="24"/>
  <c r="E26" i="24"/>
  <c r="E25" i="24"/>
  <c r="E24" i="24"/>
  <c r="B23" i="24"/>
  <c r="E21" i="24"/>
  <c r="E20" i="24"/>
  <c r="B19" i="24"/>
  <c r="E8" i="24"/>
  <c r="E15" i="24" s="1"/>
  <c r="B8" i="24"/>
  <c r="B15" i="24" s="1"/>
  <c r="B3" i="24"/>
  <c r="A2" i="24"/>
  <c r="D2" i="24" s="1"/>
  <c r="B34" i="23"/>
  <c r="E34" i="23"/>
  <c r="B33" i="23"/>
  <c r="E33" i="23" s="1"/>
  <c r="E31" i="23"/>
  <c r="E30" i="23"/>
  <c r="E29" i="23"/>
  <c r="B28" i="23"/>
  <c r="E27" i="23"/>
  <c r="E26" i="23"/>
  <c r="E25" i="23"/>
  <c r="E24" i="23"/>
  <c r="B23" i="23"/>
  <c r="E21" i="23"/>
  <c r="E20" i="23"/>
  <c r="E35" i="23" s="1"/>
  <c r="B19" i="23"/>
  <c r="E8" i="23"/>
  <c r="E15" i="23" s="1"/>
  <c r="B8" i="23"/>
  <c r="B3" i="23"/>
  <c r="A2" i="23"/>
  <c r="D2" i="23" s="1"/>
  <c r="E34" i="8"/>
  <c r="B34" i="8"/>
  <c r="E8" i="8"/>
  <c r="A2" i="8"/>
  <c r="B34" i="10"/>
  <c r="E34" i="10"/>
  <c r="E34" i="11"/>
  <c r="E35" i="24" l="1"/>
  <c r="B39" i="24" s="1"/>
  <c r="E17" i="24"/>
  <c r="E39" i="24"/>
  <c r="B15" i="23"/>
  <c r="B39" i="23" s="1"/>
  <c r="E39" i="23"/>
  <c r="B40" i="23" s="1"/>
  <c r="C40" i="23" s="1"/>
  <c r="E17" i="23"/>
  <c r="B40" i="24" l="1"/>
  <c r="C40" i="24" s="1"/>
  <c r="B34" i="21" l="1"/>
  <c r="E34" i="21"/>
  <c r="E34" i="22" l="1"/>
  <c r="B34" i="20"/>
  <c r="B33" i="22"/>
  <c r="E33" i="22" s="1"/>
  <c r="E31" i="22"/>
  <c r="E30" i="22"/>
  <c r="E29" i="22"/>
  <c r="B28" i="22"/>
  <c r="E27" i="22"/>
  <c r="E26" i="22"/>
  <c r="E25" i="22"/>
  <c r="E24" i="22"/>
  <c r="B23" i="22"/>
  <c r="E21" i="22"/>
  <c r="E20" i="22"/>
  <c r="B19" i="22"/>
  <c r="E15" i="22"/>
  <c r="B8" i="22"/>
  <c r="B3" i="22"/>
  <c r="E35" i="22" l="1"/>
  <c r="B15" i="22"/>
  <c r="B39" i="22"/>
  <c r="E17" i="22"/>
  <c r="E39" i="22"/>
  <c r="B40" i="22" l="1"/>
  <c r="C40" i="22" s="1"/>
  <c r="E20" i="21" l="1"/>
  <c r="B44" i="18" l="1"/>
  <c r="B35" i="18"/>
  <c r="B34" i="18"/>
  <c r="B31" i="18"/>
  <c r="B30" i="18"/>
  <c r="B29" i="18"/>
  <c r="B26" i="18"/>
  <c r="B25" i="18"/>
  <c r="B24" i="18"/>
  <c r="B21" i="18"/>
  <c r="B13" i="18"/>
  <c r="B12" i="18"/>
  <c r="B11" i="18"/>
  <c r="B10" i="18"/>
  <c r="E5" i="18"/>
  <c r="E4" i="18"/>
  <c r="E3" i="18" s="1"/>
  <c r="B7" i="18"/>
  <c r="B6" i="18"/>
  <c r="B5" i="18"/>
  <c r="B4" i="18"/>
  <c r="E20" i="20"/>
  <c r="E34" i="20" l="1"/>
  <c r="E3" i="10" l="1"/>
  <c r="E8" i="10"/>
  <c r="A2" i="11"/>
  <c r="A2" i="10" s="1"/>
  <c r="E8" i="11"/>
  <c r="E3" i="11"/>
  <c r="E21" i="21"/>
  <c r="E8" i="21"/>
  <c r="E8" i="18" l="1"/>
  <c r="B27" i="21"/>
  <c r="E34" i="7" l="1"/>
  <c r="E20" i="8"/>
  <c r="E21" i="10"/>
  <c r="E21" i="9"/>
  <c r="B27" i="18" l="1"/>
  <c r="E27" i="21"/>
  <c r="E21" i="8"/>
  <c r="B33" i="21"/>
  <c r="E33" i="21" s="1"/>
  <c r="E31" i="21"/>
  <c r="E30" i="21"/>
  <c r="E29" i="21"/>
  <c r="B28" i="21"/>
  <c r="E26" i="21"/>
  <c r="E25" i="21"/>
  <c r="E24" i="21"/>
  <c r="B23" i="21"/>
  <c r="B19" i="21"/>
  <c r="E15" i="21"/>
  <c r="B3" i="21"/>
  <c r="D2" i="21"/>
  <c r="E21" i="20"/>
  <c r="E15" i="20"/>
  <c r="B33" i="20"/>
  <c r="E33" i="20" s="1"/>
  <c r="E31" i="20"/>
  <c r="E30" i="20"/>
  <c r="E29" i="20"/>
  <c r="B28" i="20"/>
  <c r="E27" i="20"/>
  <c r="E26" i="20"/>
  <c r="E25" i="20"/>
  <c r="E24" i="20"/>
  <c r="B23" i="20"/>
  <c r="B19" i="20"/>
  <c r="B3" i="20"/>
  <c r="E35" i="21" l="1"/>
  <c r="E39" i="21"/>
  <c r="E35" i="20"/>
  <c r="B15" i="20"/>
  <c r="E39" i="20"/>
  <c r="B39" i="20" l="1"/>
  <c r="B40" i="20" s="1"/>
  <c r="C40" i="20" s="1"/>
  <c r="E17" i="20"/>
  <c r="E34" i="17" l="1"/>
  <c r="B24" i="14"/>
  <c r="E8" i="13"/>
  <c r="E15" i="13" s="1"/>
  <c r="E8" i="15" l="1"/>
  <c r="E15" i="15" s="1"/>
  <c r="E8" i="14"/>
  <c r="E15" i="14" s="1"/>
  <c r="E8" i="17"/>
  <c r="E15" i="17" s="1"/>
  <c r="E15" i="11" l="1"/>
  <c r="E15" i="10" l="1"/>
  <c r="E15" i="9" l="1"/>
  <c r="E15" i="8"/>
  <c r="E34" i="19"/>
  <c r="E33" i="19"/>
  <c r="E8" i="7"/>
  <c r="E15" i="7" l="1"/>
  <c r="E8" i="19"/>
  <c r="E15" i="19" s="1"/>
  <c r="E34" i="16" l="1"/>
  <c r="E20" i="14"/>
  <c r="B20" i="14"/>
  <c r="E34" i="14"/>
  <c r="E34" i="12"/>
  <c r="A2" i="12" l="1"/>
  <c r="A2" i="13" s="1"/>
  <c r="A2" i="14" s="1"/>
  <c r="A2" i="15" s="1"/>
  <c r="A2" i="22" s="1"/>
  <c r="D2" i="22" s="1"/>
  <c r="A2" i="16" l="1"/>
  <c r="A2" i="20"/>
  <c r="D2" i="20" s="1"/>
  <c r="A2" i="18"/>
  <c r="A2" i="17"/>
  <c r="B33" i="9"/>
  <c r="E33" i="9" s="1"/>
  <c r="E34" i="9"/>
  <c r="E34" i="18" s="1"/>
  <c r="B3" i="9" l="1"/>
  <c r="E20" i="9" s="1"/>
  <c r="B8" i="9"/>
  <c r="B33" i="19" l="1"/>
  <c r="E31" i="19"/>
  <c r="E30" i="19"/>
  <c r="E29" i="19"/>
  <c r="B28" i="19"/>
  <c r="E27" i="19"/>
  <c r="E26" i="19"/>
  <c r="E25" i="19"/>
  <c r="E24" i="19"/>
  <c r="B23" i="19"/>
  <c r="E21" i="19"/>
  <c r="E20" i="19"/>
  <c r="B19" i="19"/>
  <c r="B8" i="19"/>
  <c r="B3" i="19"/>
  <c r="D2" i="19"/>
  <c r="B4" i="7"/>
  <c r="B15" i="19" l="1"/>
  <c r="E17" i="19" s="1"/>
  <c r="E35" i="19"/>
  <c r="E39" i="19"/>
  <c r="B39" i="19" l="1"/>
  <c r="B40" i="19" s="1"/>
  <c r="C40" i="19" s="1"/>
  <c r="B8" i="8" l="1"/>
  <c r="E31" i="18" l="1"/>
  <c r="E31" i="8"/>
  <c r="B20" i="18" l="1"/>
  <c r="E20" i="10" l="1"/>
  <c r="E31" i="13"/>
  <c r="E34" i="13"/>
  <c r="E20" i="13"/>
  <c r="E31" i="15" l="1"/>
  <c r="B28" i="17"/>
  <c r="B28" i="15"/>
  <c r="E34" i="15"/>
  <c r="E31" i="17" l="1"/>
  <c r="E29" i="18" l="1"/>
  <c r="E26" i="18"/>
  <c r="E25" i="18"/>
  <c r="E24" i="18"/>
  <c r="E21" i="11"/>
  <c r="E20" i="11"/>
  <c r="E21" i="18"/>
  <c r="E20" i="18"/>
  <c r="E27" i="18"/>
  <c r="E30" i="18"/>
  <c r="B33" i="18" l="1"/>
  <c r="E33" i="18" s="1"/>
  <c r="B3" i="18"/>
  <c r="B28" i="18"/>
  <c r="B19" i="18"/>
  <c r="E20" i="15" l="1"/>
  <c r="E21" i="15"/>
  <c r="B33" i="11"/>
  <c r="E33" i="11" s="1"/>
  <c r="E21" i="7"/>
  <c r="E20" i="7"/>
  <c r="B33" i="17"/>
  <c r="E33" i="17" s="1"/>
  <c r="E30" i="17"/>
  <c r="E29" i="17"/>
  <c r="E27" i="17"/>
  <c r="E26" i="17"/>
  <c r="E25" i="17"/>
  <c r="E24" i="17"/>
  <c r="B23" i="17"/>
  <c r="E21" i="17"/>
  <c r="E20" i="17"/>
  <c r="B19" i="17"/>
  <c r="B8" i="17"/>
  <c r="B3" i="17"/>
  <c r="D2" i="17"/>
  <c r="B33" i="16"/>
  <c r="E33" i="16" s="1"/>
  <c r="E30" i="16"/>
  <c r="E29" i="16"/>
  <c r="B28" i="16"/>
  <c r="E27" i="16"/>
  <c r="E26" i="16"/>
  <c r="E25" i="16"/>
  <c r="E24" i="16"/>
  <c r="B23" i="16"/>
  <c r="E21" i="16"/>
  <c r="E20" i="16"/>
  <c r="B19" i="16"/>
  <c r="B8" i="16"/>
  <c r="B3" i="16"/>
  <c r="D2" i="16"/>
  <c r="B33" i="15"/>
  <c r="E33" i="15" s="1"/>
  <c r="E30" i="15"/>
  <c r="E29" i="15"/>
  <c r="E27" i="15"/>
  <c r="E26" i="15"/>
  <c r="E25" i="15"/>
  <c r="E24" i="15"/>
  <c r="B23" i="15"/>
  <c r="B19" i="15"/>
  <c r="E39" i="15"/>
  <c r="B8" i="15"/>
  <c r="B3" i="15"/>
  <c r="D2" i="15"/>
  <c r="D2" i="18" s="1"/>
  <c r="B33" i="14"/>
  <c r="E33" i="14" s="1"/>
  <c r="E30" i="14"/>
  <c r="E29" i="14"/>
  <c r="B28" i="14"/>
  <c r="E27" i="14"/>
  <c r="E26" i="14"/>
  <c r="E25" i="14"/>
  <c r="E24" i="14"/>
  <c r="B23" i="14"/>
  <c r="E21" i="14"/>
  <c r="B19" i="14"/>
  <c r="E39" i="14"/>
  <c r="B8" i="14"/>
  <c r="B3" i="14"/>
  <c r="D2" i="14"/>
  <c r="B33" i="13"/>
  <c r="E33" i="13" s="1"/>
  <c r="E30" i="13"/>
  <c r="E29" i="13"/>
  <c r="B28" i="13"/>
  <c r="E27" i="13"/>
  <c r="E26" i="13"/>
  <c r="E25" i="13"/>
  <c r="E24" i="13"/>
  <c r="B23" i="13"/>
  <c r="E21" i="13"/>
  <c r="B19" i="13"/>
  <c r="E39" i="13"/>
  <c r="B8" i="13"/>
  <c r="B3" i="13"/>
  <c r="D2" i="13"/>
  <c r="B33" i="12"/>
  <c r="E33" i="12" s="1"/>
  <c r="E30" i="12"/>
  <c r="E29" i="12"/>
  <c r="B28" i="12"/>
  <c r="E27" i="12"/>
  <c r="E26" i="12"/>
  <c r="E25" i="12"/>
  <c r="E24" i="12"/>
  <c r="B23" i="12"/>
  <c r="E21" i="12"/>
  <c r="E20" i="12"/>
  <c r="B19" i="12"/>
  <c r="B8" i="12"/>
  <c r="B3" i="12"/>
  <c r="D2" i="12"/>
  <c r="E30" i="11"/>
  <c r="E29" i="11"/>
  <c r="B28" i="11"/>
  <c r="E27" i="11"/>
  <c r="E26" i="11"/>
  <c r="E25" i="11"/>
  <c r="E24" i="11"/>
  <c r="B23" i="11"/>
  <c r="B19" i="11"/>
  <c r="E39" i="11"/>
  <c r="B8" i="11"/>
  <c r="B3" i="11"/>
  <c r="D2" i="11"/>
  <c r="B33" i="10"/>
  <c r="E33" i="10" s="1"/>
  <c r="E30" i="10"/>
  <c r="E29" i="10"/>
  <c r="B28" i="10"/>
  <c r="E27" i="10"/>
  <c r="E26" i="10"/>
  <c r="E25" i="10"/>
  <c r="E24" i="10"/>
  <c r="B23" i="10"/>
  <c r="B19" i="10"/>
  <c r="B8" i="10"/>
  <c r="B3" i="10"/>
  <c r="D2" i="10"/>
  <c r="E30" i="9"/>
  <c r="E29" i="9"/>
  <c r="B28" i="9"/>
  <c r="E27" i="9"/>
  <c r="E26" i="9"/>
  <c r="E25" i="9"/>
  <c r="E24" i="9"/>
  <c r="B23" i="9"/>
  <c r="B19" i="9"/>
  <c r="B15" i="9"/>
  <c r="E17" i="9" s="1"/>
  <c r="B33" i="8"/>
  <c r="E33" i="8" s="1"/>
  <c r="E30" i="8"/>
  <c r="E29" i="8"/>
  <c r="B28" i="8"/>
  <c r="E27" i="8"/>
  <c r="E26" i="8"/>
  <c r="E25" i="8"/>
  <c r="E24" i="8"/>
  <c r="B23" i="8"/>
  <c r="B19" i="8"/>
  <c r="B3" i="8"/>
  <c r="D2" i="8"/>
  <c r="E35" i="9" l="1"/>
  <c r="E35" i="18"/>
  <c r="B15" i="12"/>
  <c r="E35" i="12"/>
  <c r="E35" i="13"/>
  <c r="E35" i="15"/>
  <c r="B15" i="8"/>
  <c r="E17" i="8" s="1"/>
  <c r="E35" i="17"/>
  <c r="B15" i="17"/>
  <c r="E17" i="17" s="1"/>
  <c r="E35" i="16"/>
  <c r="B15" i="15"/>
  <c r="B15" i="16"/>
  <c r="E35" i="14"/>
  <c r="B15" i="14"/>
  <c r="E17" i="14" s="1"/>
  <c r="B15" i="13"/>
  <c r="E35" i="11"/>
  <c r="B15" i="11"/>
  <c r="E17" i="11" s="1"/>
  <c r="E35" i="10"/>
  <c r="B15" i="10"/>
  <c r="E17" i="10" s="1"/>
  <c r="E39" i="17"/>
  <c r="E17" i="15"/>
  <c r="E39" i="10"/>
  <c r="E39" i="9"/>
  <c r="E35" i="8"/>
  <c r="B39" i="15" l="1"/>
  <c r="B40" i="15" s="1"/>
  <c r="C40" i="15" s="1"/>
  <c r="B39" i="12"/>
  <c r="B39" i="13"/>
  <c r="B40" i="13" s="1"/>
  <c r="C40" i="13" s="1"/>
  <c r="B39" i="8"/>
  <c r="B39" i="9"/>
  <c r="B40" i="9" s="1"/>
  <c r="C40" i="9" s="1"/>
  <c r="B39" i="11"/>
  <c r="B40" i="11" s="1"/>
  <c r="C40" i="11" s="1"/>
  <c r="B39" i="16"/>
  <c r="E17" i="13"/>
  <c r="B39" i="17"/>
  <c r="B40" i="17" s="1"/>
  <c r="B39" i="14"/>
  <c r="B40" i="14" s="1"/>
  <c r="C40" i="14" s="1"/>
  <c r="B39" i="10"/>
  <c r="B40" i="10" s="1"/>
  <c r="C40" i="10" s="1"/>
  <c r="C40" i="17" l="1"/>
  <c r="B33" i="7"/>
  <c r="E33" i="7" s="1"/>
  <c r="E30" i="7"/>
  <c r="E29" i="7"/>
  <c r="B28" i="7"/>
  <c r="E27" i="7"/>
  <c r="E26" i="7"/>
  <c r="E25" i="7"/>
  <c r="E24" i="7"/>
  <c r="B23" i="7"/>
  <c r="B8" i="7"/>
  <c r="B3" i="7"/>
  <c r="D2" i="7"/>
  <c r="E39" i="7" l="1"/>
  <c r="B15" i="7"/>
  <c r="E17" i="7" s="1"/>
  <c r="B19" i="7"/>
  <c r="E35" i="7" l="1"/>
  <c r="B39" i="7" l="1"/>
  <c r="B40" i="7" s="1"/>
  <c r="C40" i="7" l="1"/>
  <c r="E39" i="8" l="1"/>
  <c r="B40" i="8" s="1"/>
  <c r="C40" i="8" l="1"/>
  <c r="E15" i="12"/>
  <c r="E17" i="12" s="1"/>
  <c r="E39" i="12" l="1"/>
  <c r="B40" i="12" s="1"/>
  <c r="C40" i="12" l="1"/>
  <c r="E15" i="18"/>
  <c r="E15" i="16"/>
  <c r="E39" i="16" s="1"/>
  <c r="B40" i="16" s="1"/>
  <c r="C40" i="16" l="1"/>
  <c r="E39" i="18"/>
  <c r="E17" i="16"/>
  <c r="B9" i="18"/>
  <c r="B8" i="18" s="1"/>
  <c r="B15" i="18" s="1"/>
  <c r="B8" i="21"/>
  <c r="B15" i="21" s="1"/>
  <c r="B39" i="21" s="1"/>
  <c r="B40" i="21" s="1"/>
  <c r="C40" i="21" l="1"/>
  <c r="B40" i="18"/>
  <c r="C40" i="18" s="1"/>
  <c r="B39" i="18"/>
  <c r="E17" i="18"/>
  <c r="E1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a.terekhova</author>
  </authors>
  <commentList>
    <comment ref="B21" authorId="0" shapeId="0" xr:uid="{9BD8F75A-43EA-4980-A1F0-FD3D332A8743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  <comment ref="B24" authorId="0" shapeId="0" xr:uid="{37FF1D1E-F56E-4489-83B1-98B877DE664D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</commentList>
</comments>
</file>

<file path=xl/sharedStrings.xml><?xml version="1.0" encoding="utf-8"?>
<sst xmlns="http://schemas.openxmlformats.org/spreadsheetml/2006/main" count="640" uniqueCount="63">
  <si>
    <t xml:space="preserve">CF </t>
  </si>
  <si>
    <t>Поступление от заказчика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</si>
  <si>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</si>
  <si>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</si>
  <si>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</si>
  <si>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</si>
  <si>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</si>
  <si>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</si>
  <si>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</si>
  <si>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</si>
  <si>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</si>
  <si>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</si>
  <si>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</si>
  <si>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</si>
  <si>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</si>
  <si>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</si>
  <si>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</si>
  <si>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</si>
  <si>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</si>
  <si>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</si>
  <si>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</si>
  <si>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Итого DIFF с учетом Остатков и Задолженностей:</t>
  </si>
  <si>
    <t>КТ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</si>
  <si>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</si>
  <si>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</si>
  <si>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</si>
  <si>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</si>
  <si>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</si>
  <si>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3.Финансовая деятельность</t>
  </si>
  <si>
    <t>Склады Цех_ВООЗ(ЕМС)</t>
  </si>
  <si>
    <t>Кредитная линия</t>
  </si>
  <si>
    <t>Цех_МШП (ТОВ "ІНДАСТРІАЛБУД")</t>
  </si>
  <si>
    <t>Цех_Кернел кухня, грн</t>
  </si>
  <si>
    <t>Кредит (на повернення)</t>
  </si>
  <si>
    <t>СТІЛ ЦЕХ Глобино</t>
  </si>
  <si>
    <t>Склад Цех МД ООН, грн</t>
  </si>
  <si>
    <t>Склад МШП: Цех МД ООН, грн</t>
  </si>
  <si>
    <t>Склад Цех_Червоний хрест, грн</t>
  </si>
  <si>
    <t>Склад МШП: Цех_Червоний хрест, грн</t>
  </si>
  <si>
    <t>МШП: СТІЛ Склад Ніжин, грн</t>
  </si>
  <si>
    <t>МШП: СТІЛ Склад Ніжин(Вироб), грн</t>
  </si>
  <si>
    <t>Склад Стіл Укрнафта, грн</t>
  </si>
  <si>
    <t>Склад МШП: Стіл Укрнафта виробничий, грн</t>
  </si>
  <si>
    <t>Склад Цех_МД МХП Франковск, грн</t>
  </si>
  <si>
    <t>Склад Цех МД IRS, грн</t>
  </si>
  <si>
    <t>Залишки</t>
  </si>
  <si>
    <t>МШП</t>
  </si>
  <si>
    <t>Склады Цех_</t>
  </si>
  <si>
    <t>%%</t>
  </si>
  <si>
    <t>Задолженность по ЗП, %%</t>
  </si>
  <si>
    <t xml:space="preserve"> 201 Склад МШП - СТІЛ МХП</t>
  </si>
  <si>
    <t>Стіл МХП лазня</t>
  </si>
  <si>
    <t>Стіл МХП лазня виробничій</t>
  </si>
  <si>
    <t>СТІЛ Глобино</t>
  </si>
  <si>
    <t>Задолженность  Заказчика</t>
  </si>
  <si>
    <t xml:space="preserve">Задолженность  Заказчика  </t>
  </si>
  <si>
    <t xml:space="preserve">Задолженность  Заказчика </t>
  </si>
  <si>
    <t xml:space="preserve">  - 31.10.2025</t>
  </si>
  <si>
    <t>Склад Цех МК Астарта.Тищенки, грн</t>
  </si>
  <si>
    <t>Стіл ВООЗ 2025, грн</t>
  </si>
  <si>
    <t>Склад Цех МКБориспільська, грн</t>
  </si>
  <si>
    <t xml:space="preserve">  - 31.01.2026</t>
  </si>
  <si>
    <t>Стіл Укрнафта,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</si>
</sst>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&quot;₴&quot;_-;\-* #,##0.00&quot;₴&quot;_-;_-* &quot;-&quot;??&quot;₴&quot;_-;_-@_-"/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5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rgb="FFFF0000"/>
      <name val="Times New Roman"/>
      <family val="1"/>
      <charset val="204"/>
    </font>
    <font>
      <b/>
      <sz val="8"/>
      <color indexed="56"/>
      <name val="Arial"/>
      <family val="2"/>
      <charset val="204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42597">
    <xf numFmtId="0" fontId="0" fillId="0" borderId="0"/>
    <xf numFmtId="0" fontId="4" fillId="0" borderId="0" applyNumberFormat="0" applyFont="0" applyFill="0" applyBorder="0" applyAlignment="0">
      <alignment horizontal="center" vertical="center"/>
    </xf>
    <xf numFmtId="167" fontId="5" fillId="0" borderId="0" applyFont="0" applyFill="0" applyBorder="0" applyAlignment="0" applyProtection="0"/>
    <xf numFmtId="168" fontId="6" fillId="0" borderId="0"/>
    <xf numFmtId="49" fontId="7" fillId="0" borderId="0">
      <alignment horizontal="left" vertical="center" wrapText="1"/>
    </xf>
    <xf numFmtId="0" fontId="8" fillId="0" borderId="0">
      <alignment horizontal="left" vertical="center"/>
    </xf>
    <xf numFmtId="0" fontId="9" fillId="0" borderId="1">
      <alignment horizontal="left" vertical="center" wrapText="1"/>
    </xf>
    <xf numFmtId="0" fontId="8" fillId="0" borderId="1">
      <alignment horizontal="right" vertical="center"/>
    </xf>
    <xf numFmtId="0" fontId="9" fillId="0" borderId="2">
      <alignment horizontal="left" vertical="center" wrapText="1"/>
    </xf>
    <xf numFmtId="0" fontId="9" fillId="0" borderId="3">
      <alignment horizontal="center" vertical="center" wrapText="1"/>
    </xf>
    <xf numFmtId="0" fontId="9" fillId="0" borderId="3">
      <alignment horizontal="right" vertical="center" wrapText="1"/>
    </xf>
    <xf numFmtId="49" fontId="9" fillId="0" borderId="4">
      <alignment horizontal="right" vertical="top" wrapText="1"/>
    </xf>
    <xf numFmtId="0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2">
      <alignment horizontal="left" vertical="center" wrapText="1"/>
    </xf>
    <xf numFmtId="0" fontId="10" fillId="0" borderId="3">
      <alignment horizontal="right" vertical="center" wrapText="1"/>
    </xf>
    <xf numFmtId="49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10" fillId="0" borderId="3">
      <alignment horizontal="center" vertical="center" wrapText="1"/>
    </xf>
    <xf numFmtId="0" fontId="8" fillId="0" borderId="1">
      <alignment horizontal="right" vertical="center" wrapText="1"/>
    </xf>
    <xf numFmtId="0" fontId="9" fillId="0" borderId="5">
      <alignment horizontal="left" vertical="center" wrapText="1"/>
    </xf>
    <xf numFmtId="49" fontId="10" fillId="0" borderId="6">
      <alignment horizontal="center" vertical="top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0" fillId="0" borderId="2">
      <alignment horizontal="left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49" fontId="10" fillId="0" borderId="3">
      <alignment horizontal="right" vertical="center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1" fillId="0" borderId="10">
      <alignment horizontal="center" vertical="center" wrapText="1"/>
    </xf>
    <xf numFmtId="0" fontId="8" fillId="0" borderId="11">
      <alignment horizontal="center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0" fontId="9" fillId="0" borderId="7">
      <alignment horizontal="left" vertical="center" wrapText="1"/>
    </xf>
    <xf numFmtId="0" fontId="9" fillId="0" borderId="12">
      <alignment horizontal="left" vertical="center" wrapText="1"/>
    </xf>
    <xf numFmtId="0" fontId="9" fillId="0" borderId="13">
      <alignment horizontal="left" vertical="center" wrapText="1"/>
    </xf>
    <xf numFmtId="49" fontId="10" fillId="0" borderId="14">
      <alignment horizontal="left" vertical="center" wrapText="1"/>
    </xf>
    <xf numFmtId="0" fontId="9" fillId="0" borderId="15">
      <alignment horizontal="left" vertical="center" wrapText="1"/>
    </xf>
    <xf numFmtId="0" fontId="9" fillId="0" borderId="16">
      <alignment horizontal="left" vertical="center" wrapText="1"/>
    </xf>
    <xf numFmtId="49" fontId="10" fillId="0" borderId="12">
      <alignment horizontal="right" vertical="center" wrapText="1"/>
    </xf>
    <xf numFmtId="0" fontId="10" fillId="0" borderId="12">
      <alignment horizontal="left" vertical="center" wrapText="1"/>
    </xf>
    <xf numFmtId="49" fontId="9" fillId="0" borderId="17">
      <alignment horizontal="center" vertical="center" wrapText="1"/>
    </xf>
    <xf numFmtId="0" fontId="8" fillId="0" borderId="18">
      <alignment horizontal="center" vertical="center" wrapText="1"/>
    </xf>
    <xf numFmtId="0" fontId="10" fillId="0" borderId="19">
      <alignment horizontal="left" vertical="center" wrapText="1"/>
    </xf>
    <xf numFmtId="49" fontId="10" fillId="0" borderId="19">
      <alignment horizontal="left" wrapText="1"/>
    </xf>
    <xf numFmtId="0" fontId="9" fillId="0" borderId="20">
      <alignment horizontal="left" vertical="center" wrapText="1"/>
    </xf>
    <xf numFmtId="0" fontId="9" fillId="0" borderId="21">
      <alignment horizontal="left" vertical="center" wrapText="1"/>
    </xf>
    <xf numFmtId="49" fontId="10" fillId="0" borderId="22">
      <alignment horizontal="right" vertical="center" wrapText="1"/>
    </xf>
    <xf numFmtId="0" fontId="10" fillId="0" borderId="23">
      <alignment horizontal="left" vertical="center" wrapText="1"/>
    </xf>
    <xf numFmtId="0" fontId="9" fillId="0" borderId="19">
      <alignment horizontal="left" vertical="center" wrapText="1"/>
    </xf>
    <xf numFmtId="49" fontId="10" fillId="0" borderId="7">
      <alignment horizontal="right" vertical="center" wrapText="1"/>
    </xf>
    <xf numFmtId="0" fontId="10" fillId="0" borderId="11">
      <alignment horizontal="left" vertical="center" wrapText="1"/>
    </xf>
    <xf numFmtId="49" fontId="10" fillId="0" borderId="11">
      <alignment horizontal="left" vertical="center" wrapText="1"/>
    </xf>
    <xf numFmtId="49" fontId="10" fillId="0" borderId="2">
      <alignment horizontal="center" vertical="center" wrapText="1"/>
    </xf>
    <xf numFmtId="0" fontId="10" fillId="0" borderId="24">
      <alignment horizontal="left" vertical="center" wrapText="1"/>
    </xf>
    <xf numFmtId="0" fontId="10" fillId="0" borderId="25">
      <alignment horizontal="left" vertical="center" wrapText="1"/>
    </xf>
    <xf numFmtId="0" fontId="10" fillId="0" borderId="10">
      <alignment horizontal="right" vertical="center" wrapText="1"/>
    </xf>
    <xf numFmtId="0" fontId="10" fillId="0" borderId="26">
      <alignment horizontal="left" vertical="center" wrapText="1"/>
    </xf>
    <xf numFmtId="49" fontId="9" fillId="0" borderId="27">
      <alignment horizontal="left" vertical="center" wrapText="1"/>
    </xf>
    <xf numFmtId="0" fontId="9" fillId="0" borderId="28">
      <alignment horizontal="left" vertical="center" wrapText="1"/>
    </xf>
    <xf numFmtId="49" fontId="9" fillId="0" borderId="29">
      <alignment horizontal="right" vertical="center" wrapText="1"/>
    </xf>
    <xf numFmtId="49" fontId="9" fillId="0" borderId="4">
      <alignment horizontal="left" vertical="center" wrapText="1"/>
    </xf>
    <xf numFmtId="49" fontId="9" fillId="0" borderId="7">
      <alignment horizontal="right" vertical="center" wrapText="1"/>
    </xf>
    <xf numFmtId="0" fontId="10" fillId="0" borderId="8">
      <alignment horizontal="left" vertical="center" wrapText="1"/>
    </xf>
    <xf numFmtId="0" fontId="9" fillId="0" borderId="24">
      <alignment horizontal="center" vertical="center" wrapText="1"/>
    </xf>
    <xf numFmtId="0" fontId="10" fillId="0" borderId="9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9" fillId="0" borderId="24">
      <alignment horizontal="left" vertical="center" wrapText="1"/>
    </xf>
    <xf numFmtId="49" fontId="9" fillId="0" borderId="0">
      <alignment horizontal="left" vertical="center"/>
    </xf>
    <xf numFmtId="0" fontId="9" fillId="0" borderId="0">
      <alignment horizontal="left" vertical="center"/>
    </xf>
    <xf numFmtId="0" fontId="9" fillId="0" borderId="25">
      <alignment horizontal="center" vertical="center" wrapText="1"/>
    </xf>
    <xf numFmtId="0" fontId="9" fillId="0" borderId="27">
      <alignment horizontal="left" vertical="center" wrapText="1"/>
    </xf>
    <xf numFmtId="49" fontId="10" fillId="0" borderId="6">
      <alignment horizontal="center" vertical="center" wrapText="1"/>
    </xf>
    <xf numFmtId="0" fontId="9" fillId="0" borderId="30">
      <alignment horizontal="center" vertical="center" wrapText="1"/>
    </xf>
    <xf numFmtId="0" fontId="8" fillId="0" borderId="3">
      <alignment horizontal="center" vertical="center" wrapText="1"/>
    </xf>
    <xf numFmtId="0" fontId="9" fillId="0" borderId="0">
      <alignment horizontal="left" vertical="center" wrapText="1"/>
    </xf>
    <xf numFmtId="0" fontId="12" fillId="0" borderId="0">
      <alignment horizontal="left" vertical="center"/>
    </xf>
    <xf numFmtId="0" fontId="9" fillId="0" borderId="31">
      <alignment horizontal="left" vertical="center" wrapText="1"/>
    </xf>
    <xf numFmtId="0" fontId="8" fillId="0" borderId="11">
      <alignment horizontal="left" vertical="center" wrapText="1"/>
    </xf>
    <xf numFmtId="0" fontId="9" fillId="0" borderId="32">
      <alignment horizontal="left" vertical="center" wrapText="1"/>
    </xf>
    <xf numFmtId="0" fontId="8" fillId="0" borderId="27">
      <alignment horizontal="left" vertical="center" wrapText="1"/>
    </xf>
    <xf numFmtId="0" fontId="9" fillId="0" borderId="4">
      <alignment horizontal="left" vertical="center" wrapText="1"/>
    </xf>
    <xf numFmtId="0" fontId="8" fillId="0" borderId="27">
      <alignment horizontal="center" vertical="center" wrapText="1"/>
    </xf>
    <xf numFmtId="49" fontId="9" fillId="0" borderId="3">
      <alignment horizontal="center" vertical="center" wrapText="1"/>
    </xf>
    <xf numFmtId="0" fontId="8" fillId="0" borderId="27">
      <alignment horizontal="center" vertical="center" wrapText="1"/>
    </xf>
    <xf numFmtId="49" fontId="9" fillId="0" borderId="7">
      <alignment horizontal="center" vertical="center" wrapText="1"/>
    </xf>
    <xf numFmtId="0" fontId="8" fillId="0" borderId="33">
      <alignment horizontal="left" vertical="center" wrapText="1"/>
    </xf>
    <xf numFmtId="49" fontId="9" fillId="0" borderId="2">
      <alignment horizontal="center" vertical="center" wrapText="1"/>
    </xf>
    <xf numFmtId="0" fontId="8" fillId="0" borderId="33">
      <alignment horizontal="center" vertical="center" wrapText="1"/>
    </xf>
    <xf numFmtId="0" fontId="9" fillId="0" borderId="4">
      <alignment horizontal="center" vertical="center" wrapText="1"/>
    </xf>
    <xf numFmtId="0" fontId="8" fillId="0" borderId="33">
      <alignment horizontal="center" vertical="center" wrapText="1"/>
    </xf>
    <xf numFmtId="0" fontId="10" fillId="0" borderId="3">
      <alignment horizontal="center" vertical="center" wrapText="1"/>
    </xf>
    <xf numFmtId="0" fontId="12" fillId="0" borderId="34">
      <alignment horizontal="left" vertical="center" wrapText="1"/>
    </xf>
    <xf numFmtId="49" fontId="10" fillId="0" borderId="3">
      <alignment horizontal="left" vertical="center" wrapText="1"/>
    </xf>
    <xf numFmtId="0" fontId="12" fillId="0" borderId="34">
      <alignment horizontal="center" vertical="center" wrapText="1"/>
    </xf>
    <xf numFmtId="0" fontId="10" fillId="0" borderId="8">
      <alignment horizontal="center" vertical="center" wrapText="1"/>
    </xf>
    <xf numFmtId="0" fontId="12" fillId="0" borderId="34">
      <alignment horizontal="center" vertical="center" wrapText="1"/>
    </xf>
    <xf numFmtId="49" fontId="13" fillId="0" borderId="0">
      <alignment horizontal="center" vertical="center" wrapText="1"/>
    </xf>
    <xf numFmtId="0" fontId="12" fillId="0" borderId="0">
      <alignment horizontal="right" vertical="center"/>
    </xf>
    <xf numFmtId="0" fontId="10" fillId="0" borderId="8">
      <alignment horizontal="right" vertical="center" wrapText="1"/>
    </xf>
    <xf numFmtId="0" fontId="8" fillId="0" borderId="35">
      <alignment horizontal="left" vertical="center" wrapText="1"/>
    </xf>
    <xf numFmtId="0" fontId="10" fillId="0" borderId="9">
      <alignment horizontal="right" vertical="center" wrapText="1"/>
    </xf>
    <xf numFmtId="0" fontId="8" fillId="0" borderId="35">
      <alignment horizontal="center" vertical="center" wrapText="1"/>
    </xf>
    <xf numFmtId="0" fontId="10" fillId="0" borderId="7">
      <alignment horizontal="right" vertical="center" wrapText="1"/>
    </xf>
    <xf numFmtId="0" fontId="8" fillId="0" borderId="35">
      <alignment horizontal="center" vertical="center" wrapText="1"/>
    </xf>
    <xf numFmtId="0" fontId="10" fillId="0" borderId="2">
      <alignment horizontal="left" vertical="center" wrapText="1"/>
    </xf>
    <xf numFmtId="0" fontId="8" fillId="0" borderId="4">
      <alignment horizontal="left" vertical="center" wrapText="1"/>
    </xf>
    <xf numFmtId="0" fontId="10" fillId="0" borderId="3">
      <alignment horizontal="right" vertical="center" wrapText="1"/>
    </xf>
    <xf numFmtId="0" fontId="8" fillId="0" borderId="4">
      <alignment horizontal="center" vertical="center" wrapText="1"/>
    </xf>
    <xf numFmtId="0" fontId="10" fillId="0" borderId="3">
      <alignment horizontal="left" vertical="center" wrapText="1"/>
    </xf>
    <xf numFmtId="0" fontId="8" fillId="0" borderId="4">
      <alignment horizontal="center" vertical="center" wrapText="1"/>
    </xf>
    <xf numFmtId="0" fontId="10" fillId="0" borderId="3">
      <alignment horizontal="center" vertical="center" wrapText="1"/>
    </xf>
    <xf numFmtId="0" fontId="8" fillId="0" borderId="24">
      <alignment horizontal="left" vertical="center" wrapText="1"/>
    </xf>
    <xf numFmtId="49" fontId="10" fillId="0" borderId="3">
      <alignment horizontal="left" vertical="center" wrapText="1"/>
    </xf>
    <xf numFmtId="0" fontId="10" fillId="0" borderId="8">
      <alignment horizontal="center" vertical="center" wrapText="1"/>
    </xf>
    <xf numFmtId="0" fontId="10" fillId="0" borderId="8">
      <alignment horizontal="right" vertical="center" wrapText="1"/>
    </xf>
    <xf numFmtId="0" fontId="8" fillId="0" borderId="0">
      <alignment horizontal="left" vertical="center"/>
    </xf>
    <xf numFmtId="49" fontId="9" fillId="0" borderId="0">
      <alignment horizontal="left" vertical="center" wrapText="1"/>
    </xf>
    <xf numFmtId="0" fontId="8" fillId="0" borderId="0">
      <alignment horizontal="left" vertical="center" wrapText="1"/>
    </xf>
    <xf numFmtId="0" fontId="10" fillId="0" borderId="9">
      <alignment horizontal="right" vertical="center" wrapText="1"/>
    </xf>
    <xf numFmtId="0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9" fillId="0" borderId="3">
      <alignment horizontal="center" vertical="center" wrapText="1"/>
    </xf>
    <xf numFmtId="49" fontId="9" fillId="0" borderId="3">
      <alignment horizontal="left" vertical="center" wrapText="1"/>
    </xf>
    <xf numFmtId="49" fontId="9" fillId="0" borderId="11">
      <alignment horizontal="left" vertical="center" wrapText="1"/>
    </xf>
    <xf numFmtId="49" fontId="9" fillId="0" borderId="3">
      <alignment horizontal="right" vertical="center" wrapText="1"/>
    </xf>
    <xf numFmtId="49" fontId="14" fillId="0" borderId="11">
      <alignment horizontal="center" wrapText="1"/>
    </xf>
    <xf numFmtId="49" fontId="7" fillId="0" borderId="0">
      <alignment horizontal="center" vertical="center" wrapText="1"/>
    </xf>
    <xf numFmtId="0" fontId="12" fillId="0" borderId="0">
      <alignment horizontal="left" vertical="center"/>
    </xf>
    <xf numFmtId="49" fontId="14" fillId="0" borderId="10">
      <alignment horizontal="center" wrapText="1"/>
    </xf>
    <xf numFmtId="49" fontId="9" fillId="0" borderId="2">
      <alignment horizontal="left" vertical="center" wrapText="1"/>
    </xf>
    <xf numFmtId="0" fontId="9" fillId="0" borderId="3">
      <alignment horizontal="left" vertical="center" wrapText="1"/>
    </xf>
    <xf numFmtId="49" fontId="9" fillId="0" borderId="4">
      <alignment horizontal="center" vertical="top" wrapText="1"/>
    </xf>
    <xf numFmtId="49" fontId="9" fillId="0" borderId="6">
      <alignment horizontal="center" vertical="top" wrapText="1"/>
    </xf>
    <xf numFmtId="0" fontId="9" fillId="0" borderId="36">
      <alignment horizontal="left" vertical="center" wrapText="1"/>
    </xf>
    <xf numFmtId="0" fontId="9" fillId="0" borderId="4">
      <alignment horizontal="left" vertical="center" wrapText="1"/>
    </xf>
    <xf numFmtId="0" fontId="9" fillId="0" borderId="4">
      <alignment horizontal="right" vertical="top" wrapText="1"/>
    </xf>
    <xf numFmtId="0" fontId="9" fillId="0" borderId="6">
      <alignment horizontal="left" vertical="center" wrapText="1"/>
    </xf>
    <xf numFmtId="0" fontId="9" fillId="0" borderId="37">
      <alignment horizontal="left" vertical="center" wrapText="1"/>
    </xf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49" fontId="9" fillId="0" borderId="11">
      <alignment horizontal="center" vertical="center" wrapText="1"/>
    </xf>
    <xf numFmtId="49" fontId="9" fillId="0" borderId="11">
      <alignment horizontal="right" vertical="center" wrapText="1"/>
    </xf>
    <xf numFmtId="49" fontId="9" fillId="0" borderId="26">
      <alignment horizontal="left" vertical="center" wrapText="1"/>
    </xf>
    <xf numFmtId="0" fontId="9" fillId="0" borderId="11">
      <alignment horizontal="left" vertical="center" wrapText="1"/>
    </xf>
    <xf numFmtId="49" fontId="9" fillId="0" borderId="27">
      <alignment horizontal="center" vertical="top" wrapText="1"/>
    </xf>
    <xf numFmtId="49" fontId="9" fillId="0" borderId="29">
      <alignment horizontal="center" vertical="top" wrapText="1"/>
    </xf>
    <xf numFmtId="0" fontId="9" fillId="0" borderId="27">
      <alignment horizontal="right" vertical="top" wrapText="1"/>
    </xf>
    <xf numFmtId="0" fontId="9" fillId="0" borderId="29">
      <alignment horizontal="left" vertical="center" wrapText="1"/>
    </xf>
    <xf numFmtId="0" fontId="9" fillId="0" borderId="4">
      <alignment horizontal="center" vertical="center" wrapText="1"/>
    </xf>
    <xf numFmtId="0" fontId="9" fillId="0" borderId="4">
      <alignment horizontal="right" vertical="center" wrapText="1"/>
    </xf>
    <xf numFmtId="0" fontId="9" fillId="0" borderId="0">
      <alignment horizontal="center" vertical="center" wrapText="1"/>
    </xf>
    <xf numFmtId="0" fontId="12" fillId="0" borderId="0">
      <alignment horizontal="center" vertical="center" wrapText="1"/>
    </xf>
    <xf numFmtId="0" fontId="9" fillId="0" borderId="6">
      <alignment horizontal="right" vertical="center" wrapText="1"/>
    </xf>
    <xf numFmtId="49" fontId="9" fillId="0" borderId="37">
      <alignment horizontal="left" vertical="center" wrapText="1"/>
    </xf>
    <xf numFmtId="49" fontId="9" fillId="0" borderId="4">
      <alignment horizontal="center" vertical="center" wrapText="1"/>
    </xf>
    <xf numFmtId="49" fontId="9" fillId="0" borderId="4">
      <alignment horizontal="right" vertical="center" wrapText="1"/>
    </xf>
    <xf numFmtId="0" fontId="9" fillId="0" borderId="27">
      <alignment horizontal="center" vertical="center" wrapText="1"/>
    </xf>
    <xf numFmtId="0" fontId="9" fillId="0" borderId="27">
      <alignment horizontal="right" vertical="center" wrapText="1"/>
    </xf>
    <xf numFmtId="0" fontId="9" fillId="0" borderId="29">
      <alignment horizontal="right" vertical="center" wrapText="1"/>
    </xf>
    <xf numFmtId="49" fontId="9" fillId="0" borderId="36">
      <alignment horizontal="left" vertical="center" wrapText="1"/>
    </xf>
    <xf numFmtId="49" fontId="9" fillId="0" borderId="27">
      <alignment horizontal="center" vertical="center" wrapText="1"/>
    </xf>
    <xf numFmtId="49" fontId="9" fillId="0" borderId="27">
      <alignment horizontal="right" vertical="center" wrapText="1"/>
    </xf>
    <xf numFmtId="0" fontId="10" fillId="0" borderId="0">
      <alignment horizontal="right" vertical="center" wrapText="1"/>
    </xf>
    <xf numFmtId="0" fontId="10" fillId="0" borderId="24">
      <alignment horizontal="center" vertical="center" wrapText="1"/>
    </xf>
    <xf numFmtId="0" fontId="10" fillId="0" borderId="24">
      <alignment horizontal="right" vertical="center" wrapText="1"/>
    </xf>
    <xf numFmtId="0" fontId="10" fillId="0" borderId="25">
      <alignment horizontal="right" vertical="center" wrapText="1"/>
    </xf>
    <xf numFmtId="49" fontId="11" fillId="0" borderId="10">
      <alignment horizontal="center" wrapText="1"/>
    </xf>
    <xf numFmtId="49" fontId="10" fillId="0" borderId="2">
      <alignment horizontal="left" vertical="center" wrapText="1"/>
    </xf>
    <xf numFmtId="49" fontId="10" fillId="0" borderId="3">
      <alignment horizontal="right" vertical="center" wrapText="1"/>
    </xf>
    <xf numFmtId="0" fontId="9" fillId="0" borderId="5">
      <alignment horizontal="left" vertical="center" wrapText="1"/>
    </xf>
    <xf numFmtId="0" fontId="9" fillId="0" borderId="1">
      <alignment horizontal="left" vertical="center" wrapText="1"/>
    </xf>
    <xf numFmtId="0" fontId="9" fillId="0" borderId="32">
      <alignment horizontal="left" vertical="center" wrapText="1"/>
    </xf>
    <xf numFmtId="49" fontId="10" fillId="0" borderId="6">
      <alignment horizontal="center" vertical="top" wrapText="1"/>
    </xf>
    <xf numFmtId="49" fontId="9" fillId="0" borderId="0">
      <alignment horizontal="right" vertical="center"/>
    </xf>
    <xf numFmtId="0" fontId="8" fillId="0" borderId="1">
      <alignment horizontal="left" vertical="center"/>
    </xf>
    <xf numFmtId="0" fontId="9" fillId="0" borderId="31">
      <alignment horizontal="left" vertical="center" wrapText="1"/>
    </xf>
    <xf numFmtId="0" fontId="15" fillId="0" borderId="3">
      <alignment horizontal="center" vertical="center" wrapText="1"/>
    </xf>
    <xf numFmtId="49" fontId="15" fillId="0" borderId="3">
      <alignment horizontal="left" vertical="center" wrapText="1"/>
    </xf>
    <xf numFmtId="0" fontId="15" fillId="0" borderId="8">
      <alignment horizontal="center" vertical="center" wrapText="1"/>
    </xf>
    <xf numFmtId="0" fontId="15" fillId="0" borderId="8">
      <alignment horizontal="right" vertical="center" wrapText="1"/>
    </xf>
    <xf numFmtId="0" fontId="15" fillId="0" borderId="9">
      <alignment horizontal="right" vertical="center" wrapText="1"/>
    </xf>
    <xf numFmtId="0" fontId="15" fillId="0" borderId="7">
      <alignment horizontal="right" vertical="center" wrapText="1"/>
    </xf>
    <xf numFmtId="0" fontId="15" fillId="0" borderId="2">
      <alignment horizontal="left" vertical="center" wrapText="1"/>
    </xf>
    <xf numFmtId="0" fontId="15" fillId="0" borderId="3">
      <alignment horizontal="right" vertical="center" wrapText="1"/>
    </xf>
    <xf numFmtId="0" fontId="15" fillId="0" borderId="3">
      <alignment horizontal="left" vertical="center" wrapText="1"/>
    </xf>
    <xf numFmtId="0" fontId="16" fillId="0" borderId="0"/>
    <xf numFmtId="0" fontId="5" fillId="0" borderId="0" applyNumberFormat="0" applyFill="0" applyBorder="0" applyProtection="0">
      <alignment vertical="top" wrapText="1"/>
    </xf>
    <xf numFmtId="0" fontId="17" fillId="0" borderId="0">
      <alignment vertical="top"/>
    </xf>
    <xf numFmtId="0" fontId="18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8" fillId="0" borderId="0"/>
    <xf numFmtId="0" fontId="18" fillId="0" borderId="0"/>
    <xf numFmtId="0" fontId="24" fillId="0" borderId="0">
      <alignment horizontal="left"/>
    </xf>
    <xf numFmtId="0" fontId="5" fillId="0" borderId="0" applyNumberFormat="0" applyFill="0" applyBorder="0" applyProtection="0">
      <alignment vertical="top" wrapText="1"/>
    </xf>
    <xf numFmtId="0" fontId="24" fillId="0" borderId="0">
      <alignment horizontal="left"/>
    </xf>
    <xf numFmtId="0" fontId="16" fillId="0" borderId="0"/>
    <xf numFmtId="0" fontId="24" fillId="0" borderId="0">
      <alignment horizontal="left"/>
    </xf>
    <xf numFmtId="0" fontId="30" fillId="0" borderId="0"/>
    <xf numFmtId="0" fontId="24" fillId="0" borderId="0">
      <alignment horizontal="left"/>
    </xf>
    <xf numFmtId="0" fontId="31" fillId="0" borderId="0"/>
    <xf numFmtId="0" fontId="24" fillId="0" borderId="0">
      <alignment horizontal="left"/>
    </xf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4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25" fillId="0" borderId="0"/>
    <xf numFmtId="0" fontId="17" fillId="0" borderId="0">
      <alignment vertical="top"/>
    </xf>
    <xf numFmtId="0" fontId="2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32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4" fillId="0" borderId="0">
      <alignment horizontal="left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9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165" fontId="35" fillId="0" borderId="0" xfId="0" applyNumberFormat="1" applyFont="1"/>
    <xf numFmtId="0" fontId="35" fillId="0" borderId="0" xfId="0" applyFont="1"/>
    <xf numFmtId="165" fontId="35" fillId="0" borderId="0" xfId="0" applyNumberFormat="1" applyFont="1" applyAlignment="1">
      <alignment horizontal="center"/>
    </xf>
    <xf numFmtId="0" fontId="35" fillId="0" borderId="41" xfId="0" applyFont="1" applyBorder="1"/>
    <xf numFmtId="0" fontId="3" fillId="0" borderId="41" xfId="0" applyFont="1" applyBorder="1"/>
    <xf numFmtId="166" fontId="35" fillId="0" borderId="0" xfId="0" applyNumberFormat="1" applyFont="1"/>
    <xf numFmtId="0" fontId="38" fillId="4" borderId="47" xfId="0" applyFont="1" applyFill="1" applyBorder="1" applyAlignment="1">
      <alignment horizontal="centerContinuous"/>
    </xf>
    <xf numFmtId="0" fontId="38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5" fillId="0" borderId="42" xfId="0" applyFont="1" applyBorder="1"/>
    <xf numFmtId="0" fontId="35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5" fillId="0" borderId="38" xfId="0" applyFont="1" applyBorder="1"/>
    <xf numFmtId="4" fontId="4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5" fillId="0" borderId="47" xfId="0" applyFont="1" applyBorder="1"/>
    <xf numFmtId="0" fontId="35" fillId="0" borderId="40" xfId="0" applyFont="1" applyBorder="1"/>
    <xf numFmtId="0" fontId="36" fillId="3" borderId="47" xfId="0" applyFont="1" applyFill="1" applyBorder="1"/>
    <xf numFmtId="0" fontId="35" fillId="3" borderId="50" xfId="0" applyFont="1" applyFill="1" applyBorder="1"/>
    <xf numFmtId="165" fontId="35" fillId="3" borderId="50" xfId="0" applyNumberFormat="1" applyFont="1" applyFill="1" applyBorder="1"/>
    <xf numFmtId="165" fontId="35" fillId="3" borderId="50" xfId="0" applyNumberFormat="1" applyFont="1" applyFill="1" applyBorder="1" applyAlignment="1">
      <alignment horizontal="center"/>
    </xf>
    <xf numFmtId="165" fontId="37" fillId="3" borderId="40" xfId="0" applyNumberFormat="1" applyFont="1" applyFill="1" applyBorder="1"/>
    <xf numFmtId="0" fontId="36" fillId="0" borderId="38" xfId="0" applyFont="1" applyBorder="1"/>
    <xf numFmtId="4" fontId="36" fillId="0" borderId="39" xfId="0" applyNumberFormat="1" applyFont="1" applyBorder="1"/>
    <xf numFmtId="0" fontId="35" fillId="0" borderId="45" xfId="0" applyFont="1" applyBorder="1" applyAlignment="1">
      <alignment horizontal="right"/>
    </xf>
    <xf numFmtId="0" fontId="35" fillId="0" borderId="41" xfId="0" applyFont="1" applyBorder="1" applyAlignment="1">
      <alignment horizontal="right"/>
    </xf>
    <xf numFmtId="0" fontId="35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4" fillId="2" borderId="42" xfId="0" applyNumberFormat="1" applyFont="1" applyFill="1" applyBorder="1" applyAlignment="1">
      <alignment horizontal="right" vertical="top" wrapText="1"/>
    </xf>
    <xf numFmtId="4" fontId="24" fillId="2" borderId="44" xfId="0" applyNumberFormat="1" applyFont="1" applyFill="1" applyBorder="1" applyAlignment="1">
      <alignment horizontal="right" vertical="top" wrapText="1"/>
    </xf>
    <xf numFmtId="0" fontId="35" fillId="0" borderId="43" xfId="0" applyFont="1" applyBorder="1"/>
    <xf numFmtId="0" fontId="35" fillId="0" borderId="48" xfId="0" applyFont="1" applyBorder="1" applyAlignment="1">
      <alignment horizontal="right"/>
    </xf>
    <xf numFmtId="165" fontId="35" fillId="0" borderId="51" xfId="0" applyNumberFormat="1" applyFont="1" applyBorder="1" applyAlignment="1">
      <alignment horizontal="center"/>
    </xf>
    <xf numFmtId="165" fontId="35" fillId="0" borderId="52" xfId="0" applyNumberFormat="1" applyFont="1" applyBorder="1"/>
    <xf numFmtId="165" fontId="35" fillId="0" borderId="53" xfId="0" applyNumberFormat="1" applyFont="1" applyBorder="1" applyAlignment="1">
      <alignment horizontal="center"/>
    </xf>
    <xf numFmtId="165" fontId="35" fillId="0" borderId="54" xfId="0" applyNumberFormat="1" applyFont="1" applyBorder="1"/>
    <xf numFmtId="165" fontId="35" fillId="0" borderId="55" xfId="0" applyNumberFormat="1" applyFont="1" applyBorder="1" applyAlignment="1">
      <alignment horizontal="center"/>
    </xf>
    <xf numFmtId="165" fontId="35" fillId="0" borderId="56" xfId="0" applyNumberFormat="1" applyFont="1" applyBorder="1"/>
    <xf numFmtId="165" fontId="36" fillId="0" borderId="55" xfId="0" applyNumberFormat="1" applyFont="1" applyBorder="1" applyAlignment="1">
      <alignment horizontal="left"/>
    </xf>
    <xf numFmtId="165" fontId="35" fillId="0" borderId="57" xfId="0" applyNumberFormat="1" applyFont="1" applyBorder="1" applyAlignment="1">
      <alignment horizontal="center"/>
    </xf>
    <xf numFmtId="165" fontId="35" fillId="0" borderId="58" xfId="0" applyNumberFormat="1" applyFont="1" applyBorder="1"/>
    <xf numFmtId="165" fontId="37" fillId="3" borderId="56" xfId="0" applyNumberFormat="1" applyFont="1" applyFill="1" applyBorder="1"/>
    <xf numFmtId="165" fontId="35" fillId="0" borderId="54" xfId="0" applyNumberFormat="1" applyFont="1" applyBorder="1" applyAlignment="1">
      <alignment horizontal="right"/>
    </xf>
    <xf numFmtId="0" fontId="36" fillId="5" borderId="38" xfId="0" applyFont="1" applyFill="1" applyBorder="1"/>
    <xf numFmtId="4" fontId="36" fillId="5" borderId="39" xfId="0" applyNumberFormat="1" applyFont="1" applyFill="1" applyBorder="1"/>
    <xf numFmtId="0" fontId="35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5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5" fillId="0" borderId="0" xfId="0" applyNumberFormat="1" applyFont="1"/>
    <xf numFmtId="0" fontId="35" fillId="0" borderId="60" xfId="0" applyFont="1" applyBorder="1" applyAlignment="1">
      <alignment horizontal="right"/>
    </xf>
    <xf numFmtId="165" fontId="37" fillId="6" borderId="56" xfId="0" applyNumberFormat="1" applyFont="1" applyFill="1" applyBorder="1"/>
    <xf numFmtId="0" fontId="35" fillId="5" borderId="60" xfId="0" applyFont="1" applyFill="1" applyBorder="1"/>
    <xf numFmtId="0" fontId="35" fillId="5" borderId="48" xfId="0" applyFont="1" applyFill="1" applyBorder="1"/>
    <xf numFmtId="0" fontId="35" fillId="0" borderId="62" xfId="0" applyFont="1" applyBorder="1" applyAlignment="1">
      <alignment horizontal="right"/>
    </xf>
    <xf numFmtId="0" fontId="35" fillId="0" borderId="63" xfId="0" applyFont="1" applyBorder="1" applyAlignment="1">
      <alignment horizontal="right"/>
    </xf>
    <xf numFmtId="0" fontId="35" fillId="0" borderId="64" xfId="0" applyFont="1" applyBorder="1" applyAlignment="1">
      <alignment horizontal="right"/>
    </xf>
    <xf numFmtId="165" fontId="35" fillId="0" borderId="55" xfId="0" applyNumberFormat="1" applyFont="1" applyBorder="1" applyAlignment="1">
      <alignment horizontal="left"/>
    </xf>
    <xf numFmtId="0" fontId="35" fillId="3" borderId="47" xfId="0" applyFont="1" applyFill="1" applyBorder="1"/>
    <xf numFmtId="166" fontId="35" fillId="3" borderId="50" xfId="0" applyNumberFormat="1" applyFont="1" applyFill="1" applyBorder="1"/>
    <xf numFmtId="165" fontId="35" fillId="3" borderId="40" xfId="0" applyNumberFormat="1" applyFont="1" applyFill="1" applyBorder="1"/>
    <xf numFmtId="0" fontId="35" fillId="4" borderId="47" xfId="0" applyFont="1" applyFill="1" applyBorder="1"/>
    <xf numFmtId="165" fontId="35" fillId="4" borderId="50" xfId="0" applyNumberFormat="1" applyFont="1" applyFill="1" applyBorder="1" applyAlignment="1">
      <alignment horizontal="center"/>
    </xf>
    <xf numFmtId="165" fontId="35" fillId="4" borderId="40" xfId="0" applyNumberFormat="1" applyFont="1" applyFill="1" applyBorder="1"/>
    <xf numFmtId="166" fontId="39" fillId="4" borderId="50" xfId="0" applyNumberFormat="1" applyFont="1" applyFill="1" applyBorder="1"/>
    <xf numFmtId="172" fontId="37" fillId="4" borderId="50" xfId="0" applyNumberFormat="1" applyFont="1" applyFill="1" applyBorder="1" applyAlignment="1">
      <alignment horizontal="center" vertical="center"/>
    </xf>
    <xf numFmtId="4" fontId="0" fillId="0" borderId="59" xfId="0" applyNumberFormat="1" applyFont="1" applyBorder="1" applyAlignment="1">
      <alignment horizontal="right" vertical="top" wrapText="1"/>
    </xf>
    <xf numFmtId="4" fontId="24" fillId="0" borderId="46" xfId="0" applyNumberFormat="1" applyFont="1" applyFill="1" applyBorder="1" applyAlignment="1">
      <alignment horizontal="right" vertical="top" wrapText="1"/>
    </xf>
    <xf numFmtId="4" fontId="24" fillId="0" borderId="42" xfId="0" applyNumberFormat="1" applyFont="1" applyFill="1" applyBorder="1" applyAlignment="1">
      <alignment horizontal="right" vertical="top" wrapText="1"/>
    </xf>
    <xf numFmtId="4" fontId="24" fillId="0" borderId="49" xfId="0" applyNumberFormat="1" applyFont="1" applyFill="1" applyBorder="1" applyAlignment="1">
      <alignment horizontal="right" vertical="top" wrapText="1"/>
    </xf>
    <xf numFmtId="4" fontId="3" fillId="0" borderId="0" xfId="0" applyNumberFormat="1" applyFont="1"/>
    <xf numFmtId="4" fontId="0" fillId="0" borderId="42" xfId="0" applyNumberFormat="1" applyFont="1" applyFill="1" applyBorder="1" applyAlignment="1">
      <alignment horizontal="right" vertical="top"/>
    </xf>
    <xf numFmtId="4" fontId="0" fillId="0" borderId="42" xfId="0" applyNumberFormat="1" applyBorder="1" applyAlignment="1">
      <alignment horizontal="right" vertical="top"/>
    </xf>
    <xf numFmtId="166" fontId="3" fillId="0" borderId="0" xfId="0" applyNumberFormat="1" applyFont="1"/>
    <xf numFmtId="4" fontId="0" fillId="5" borderId="61" xfId="0" applyNumberFormat="1" applyFill="1" applyBorder="1" applyAlignment="1">
      <alignment horizontal="right" vertical="top"/>
    </xf>
    <xf numFmtId="4" fontId="0" fillId="5" borderId="42" xfId="0" applyNumberFormat="1" applyFill="1" applyBorder="1" applyAlignment="1">
      <alignment horizontal="right" vertical="top"/>
    </xf>
    <xf numFmtId="165" fontId="37" fillId="0" borderId="0" xfId="0" applyNumberFormat="1" applyFont="1"/>
    <xf numFmtId="4" fontId="0" fillId="5" borderId="49" xfId="0" applyNumberFormat="1" applyFill="1" applyBorder="1" applyAlignment="1">
      <alignment horizontal="right" vertical="top"/>
    </xf>
    <xf numFmtId="4" fontId="0" fillId="5" borderId="44" xfId="0" applyNumberFormat="1" applyFill="1" applyBorder="1" applyAlignment="1">
      <alignment horizontal="right" vertical="top"/>
    </xf>
    <xf numFmtId="4" fontId="0" fillId="0" borderId="49" xfId="0" applyNumberFormat="1" applyBorder="1" applyAlignment="1">
      <alignment horizontal="right" vertical="top"/>
    </xf>
    <xf numFmtId="165" fontId="42" fillId="0" borderId="0" xfId="0" applyNumberFormat="1" applyFont="1"/>
    <xf numFmtId="166" fontId="37" fillId="4" borderId="50" xfId="0" applyNumberFormat="1" applyFont="1" applyFill="1" applyBorder="1" applyAlignment="1">
      <alignment horizontal="center" vertical="center"/>
    </xf>
    <xf numFmtId="3" fontId="35" fillId="0" borderId="0" xfId="0" applyNumberFormat="1" applyFont="1"/>
    <xf numFmtId="44" fontId="3" fillId="0" borderId="0" xfId="0" applyNumberFormat="1" applyFont="1"/>
    <xf numFmtId="4" fontId="0" fillId="0" borderId="59" xfId="0" applyNumberFormat="1" applyFont="1" applyBorder="1" applyAlignment="1">
      <alignment horizontal="right" vertical="top"/>
    </xf>
    <xf numFmtId="165" fontId="36" fillId="0" borderId="65" xfId="0" applyNumberFormat="1" applyFont="1" applyBorder="1" applyAlignment="1">
      <alignment horizontal="left"/>
    </xf>
    <xf numFmtId="14" fontId="35" fillId="0" borderId="47" xfId="0" applyNumberFormat="1" applyFont="1" applyBorder="1"/>
    <xf numFmtId="4" fontId="24" fillId="2" borderId="59" xfId="0" applyNumberFormat="1" applyFont="1" applyFill="1" applyBorder="1" applyAlignment="1">
      <alignment horizontal="right" vertical="top" wrapText="1"/>
    </xf>
    <xf numFmtId="165" fontId="35" fillId="0" borderId="54" xfId="0" applyNumberFormat="1" applyFont="1" applyFill="1" applyBorder="1"/>
    <xf numFmtId="4" fontId="43" fillId="7" borderId="66" xfId="0" applyNumberFormat="1" applyFont="1" applyFill="1" applyBorder="1" applyAlignment="1">
      <alignment horizontal="right" vertical="top"/>
    </xf>
    <xf numFmtId="4" fontId="44" fillId="2" borderId="59" xfId="0" applyNumberFormat="1" applyFont="1" applyFill="1" applyBorder="1" applyAlignment="1">
      <alignment horizontal="right" vertical="top" wrapText="1"/>
    </xf>
    <xf numFmtId="4" fontId="0" fillId="0" borderId="44" xfId="0" applyNumberFormat="1" applyBorder="1" applyAlignment="1">
      <alignment horizontal="right" vertical="top"/>
    </xf>
    <xf numFmtId="0" fontId="35" fillId="0" borderId="0" xfId="0" applyFont="1" applyBorder="1" applyAlignment="1">
      <alignment horizontal="right"/>
    </xf>
    <xf numFmtId="4" fontId="0" fillId="0" borderId="0" xfId="0" applyNumberFormat="1" applyBorder="1" applyAlignment="1">
      <alignment horizontal="right" vertical="top"/>
    </xf>
    <xf numFmtId="165" fontId="35" fillId="0" borderId="0" xfId="0" applyNumberFormat="1" applyFont="1" applyBorder="1" applyAlignment="1">
      <alignment horizontal="center"/>
    </xf>
    <xf numFmtId="165" fontId="35" fillId="0" borderId="0" xfId="0" applyNumberFormat="1" applyFont="1" applyBorder="1"/>
    <xf numFmtId="3" fontId="38" fillId="4" borderId="47" xfId="0" applyNumberFormat="1" applyFont="1" applyFill="1" applyBorder="1" applyAlignment="1">
      <alignment horizontal="right"/>
    </xf>
    <xf numFmtId="4" fontId="0" fillId="0" borderId="61" xfId="0" applyNumberFormat="1" applyBorder="1" applyAlignment="1">
      <alignment horizontal="right" vertical="top"/>
    </xf>
  </cellXfs>
  <cellStyles count="42597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PnL/PL%20&#1087;&#1086;%20&#1082;&#1086;&#1084;&#1087;&#1072;&#1085;&#1080;&#1080;/2025/&#1054;&#1082;&#1090;&#1103;&#1073;&#1088;&#1100;_25/!PL%20&#1087;&#1086;%20&#1082;&#1086;&#1084;&#1087;&#1072;&#1085;&#1080;&#1080;%20&#1054;&#1082;&#1090;&#1103;&#1073;&#1088;&#1100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2020"/>
      <sheetName val="ОС"/>
      <sheetName val="PL_Сватово очередь 2"/>
      <sheetName val="Метрики"/>
      <sheetName val="расчет 2025"/>
      <sheetName val="PL_И.П.С."/>
      <sheetName val="РАЗНИЦА"/>
      <sheetName val="РАЗНИЦА (2)"/>
      <sheetName val="PL_Производство"/>
      <sheetName val="PL_Свод"/>
      <sheetName val="PL_ЦО"/>
      <sheetName val="PL Строительство Свод"/>
      <sheetName val="PL_Козин"/>
      <sheetName val="Лист1"/>
      <sheetName val="Цех ЗП"/>
      <sheetName val="PL_Пуща-Водица"/>
      <sheetName val="PL_Староконстантинов"/>
      <sheetName val="PL_ЦО_Строительство"/>
      <sheetName val="Крушинка"/>
      <sheetName val="Печановка-2"/>
      <sheetName val="PL_Ретал"/>
      <sheetName val="Глухов"/>
      <sheetName val="PL_МХП3"/>
      <sheetName val="PL_Ладыжин-2"/>
      <sheetName val="Олияр"/>
      <sheetName val="Беловоды"/>
      <sheetName val="Мексика"/>
      <sheetName val="Печановка"/>
      <sheetName val="PL_Нежин"/>
      <sheetName val="PL_Королевка"/>
      <sheetName val="Яр Вал"/>
      <sheetName val="PL_Пологи"/>
      <sheetName val="Славута"/>
      <sheetName val="PL_Волчанск"/>
      <sheetName val="Молоко Вітчизни"/>
      <sheetName val="КМД Путровка"/>
      <sheetName val="Ретал.ГПУ"/>
      <sheetName val="МХП Катеринополь"/>
      <sheetName val="Астарта. Тищенки"/>
      <sheetName val="Турбина-3"/>
      <sheetName val="Нежин 3"/>
      <sheetName val="ООН_Черниговская_обл"/>
      <sheetName val="Щедро_лапша"/>
      <sheetName val="МЭЗ СЕТИ"/>
      <sheetName val="Приднепровский МЄЗ 2"/>
      <sheetName val="Старкон Убежище"/>
      <sheetName val="Турбина"/>
      <sheetName val="Турбина-2"/>
      <sheetName val="КМД-2"/>
      <sheetName val="Нежин 4"/>
      <sheetName val="Глобино"/>
      <sheetName val="Глобино-2"/>
      <sheetName val="Приднепровский_металл"/>
      <sheetName val="Солома_Элеватор"/>
      <sheetName val="Подгорцы"/>
      <sheetName val="Щедро. Флекситанки"/>
      <sheetName val="Ладыжин 3"/>
      <sheetName val="ООН_Киевская_обл"/>
      <sheetName val="PL_БИОГАЗ"/>
      <sheetName val="PL_Производство_СВОД"/>
      <sheetName val="PL_ЦО_Производство"/>
      <sheetName val="МД Первомайск ПА"/>
      <sheetName val="МК Ладыжин-3"/>
      <sheetName val="МК Староконстантинов"/>
      <sheetName val="МК Армокаркасы"/>
      <sheetName val="МК Щедро. Флекситанки"/>
      <sheetName val="МК ЛифтМаркет"/>
      <sheetName val="МК Укркотлопром"/>
      <sheetName val="МД Бытовка ИТР Нежин"/>
      <sheetName val="МК _Шаблон"/>
      <sheetName val="МК Металургбуд.поддоны"/>
      <sheetName val="МК Нежин-3"/>
      <sheetName val="МК Подгорцы.Забор"/>
      <sheetName val="PL_Металлизация"/>
      <sheetName val="МК РДК.Кран"/>
      <sheetName val="МК Ворота.Запорожье"/>
      <sheetName val="МД Нежин"/>
      <sheetName val="МД Казарма.Рекламация"/>
      <sheetName val="НГУ"/>
      <sheetName val="МК Астарта.Тищенки"/>
      <sheetName val="Кернел Кухня"/>
      <sheetName val="МК Глобино"/>
      <sheetName val="МД ООН_2(4 буд)"/>
      <sheetName val="МД ООН 2025"/>
      <sheetName val="МД ООН"/>
      <sheetName val="МД ВООЗ"/>
      <sheetName val="ЕМС"/>
      <sheetName val="МД ІОМ"/>
      <sheetName val="МД ВООЗ 2025"/>
      <sheetName val="МД ВООЗ ЕМС"/>
      <sheetName val="МД МХП Лазня"/>
      <sheetName val="МД IRS"/>
      <sheetName val="МК МХП Катеринополь"/>
      <sheetName val="МД МХП Франковск"/>
      <sheetName val="МД Укрнафта контейнер 3 на 4"/>
      <sheetName val="МД Укрнафта Львов"/>
      <sheetName val="МД Червоний хрест"/>
      <sheetName val="МД МХП Туалетний блок"/>
      <sheetName val="МК Нежин 2025"/>
      <sheetName val="Техника"/>
      <sheetName val="PL_Логистика"/>
      <sheetName val="ЦО_логистика"/>
      <sheetName val="Форд Тягач"/>
      <sheetName val="MAN Blue KA1783HI"/>
      <sheetName val="MAN green KA2790IE"/>
      <sheetName val="MAN №3 white KA7837HO"/>
      <sheetName val="MAN №4 white KA3597HO"/>
      <sheetName val="MAN №5 Тент МД"/>
      <sheetName val="Экспедирование"/>
      <sheetName val="PL_Щедро"/>
      <sheetName val="Кривой Рог"/>
      <sheetName val="Нежин-2"/>
      <sheetName val="Красноармейская"/>
      <sheetName val="PL_Приднепровский МЭЗ"/>
      <sheetName val="Харьков"/>
      <sheetName val="Лист2"/>
      <sheetName val="Лист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89">
          <cell r="BR89">
            <v>93376.417885604198</v>
          </cell>
        </row>
      </sheetData>
      <sheetData sheetId="80">
        <row r="89">
          <cell r="EY89">
            <v>3847641.6907920875</v>
          </cell>
        </row>
      </sheetData>
      <sheetData sheetId="81">
        <row r="6">
          <cell r="EY6">
            <v>6135929.3600000003</v>
          </cell>
        </row>
      </sheetData>
      <sheetData sheetId="82" refreshError="1"/>
      <sheetData sheetId="83">
        <row r="91">
          <cell r="BR91">
            <v>11878708.730672233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89">
          <cell r="BR89">
            <v>29265674.961093862</v>
          </cell>
        </row>
      </sheetData>
      <sheetData sheetId="90">
        <row r="89">
          <cell r="BR89">
            <v>630384.82186734921</v>
          </cell>
        </row>
      </sheetData>
      <sheetData sheetId="91">
        <row r="89">
          <cell r="BR89">
            <v>8543708.7917371411</v>
          </cell>
        </row>
      </sheetData>
      <sheetData sheetId="92">
        <row r="92">
          <cell r="BR92">
            <v>5634824.4092126274</v>
          </cell>
        </row>
      </sheetData>
      <sheetData sheetId="93" refreshError="1"/>
      <sheetData sheetId="94">
        <row r="89">
          <cell r="BR89">
            <v>1789237.8379397369</v>
          </cell>
        </row>
      </sheetData>
      <sheetData sheetId="95" refreshError="1"/>
      <sheetData sheetId="96">
        <row r="89">
          <cell r="BR89">
            <v>3437652.5288014882</v>
          </cell>
        </row>
      </sheetData>
      <sheetData sheetId="97" refreshError="1"/>
      <sheetData sheetId="98">
        <row r="89">
          <cell r="BR89">
            <v>925781.42811733205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ECE1-97B8-4D5A-8610-60BAE7068178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Червоний Хрест'!A2</f>
        <v xml:space="preserve">  - 31.01.2026</v>
      </c>
      <c r="B2" s="18"/>
      <c r="C2" s="2"/>
      <c r="D2" s="17" t="str">
        <f>A2</f>
        <v xml:space="preserve">  - 31.01.2026</v>
      </c>
      <c r="E2" s="18"/>
      <c r="G2" s="1"/>
      <c r="H2" s="1"/>
    </row>
    <row r="3" spans="1:8" s="3" customFormat="1">
      <c r="A3" s="47" t="s">
        <v>13</v>
      </c>
      <c r="B3" s="48">
        <f>SUM(B4:B6)</f>
        <v>812173.9</v>
      </c>
      <c r="C3" s="2"/>
      <c r="D3" s="47" t="s">
        <v>13</v>
      </c>
      <c r="E3" s="48">
        <v>1147374.3</v>
      </c>
      <c r="G3" s="1"/>
      <c r="H3" s="1"/>
    </row>
    <row r="4" spans="1:8" s="3" customFormat="1" outlineLevel="1">
      <c r="A4" s="5" t="s">
        <v>1</v>
      </c>
      <c r="B4" s="86">
        <v>812173.9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978326.24</v>
      </c>
      <c r="C8" s="2"/>
      <c r="D8" s="49" t="s">
        <v>14</v>
      </c>
      <c r="E8" s="50">
        <f>'[2]МК Нежин 2025'!$BR$89</f>
        <v>925781.42811733205</v>
      </c>
      <c r="G8" s="1"/>
      <c r="H8" s="1"/>
    </row>
    <row r="9" spans="1:8" s="3" customFormat="1" outlineLevel="1">
      <c r="A9" s="5" t="s">
        <v>2</v>
      </c>
      <c r="B9" s="10">
        <v>914293.09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64033.15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-166152.33999999997</v>
      </c>
      <c r="C15" s="2"/>
      <c r="D15" s="14"/>
      <c r="E15" s="15">
        <f>E3-E8</f>
        <v>221592.871882668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387745.21188266797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335200.40000000002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>
        <f>E3-B3</f>
        <v>335200.40000000002</v>
      </c>
      <c r="C20" s="2"/>
      <c r="D20" s="36"/>
      <c r="E20" s="37">
        <f>B20</f>
        <v>335200.40000000002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49363.6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f>17700+31663.6</f>
        <v>49363.6</v>
      </c>
      <c r="C24" s="2"/>
      <c r="D24" s="36"/>
      <c r="E24" s="37">
        <f>-B24</f>
        <v>-49363.6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56224.38</v>
      </c>
      <c r="D33" s="36"/>
      <c r="E33" s="37">
        <f>--B33</f>
        <v>56224.38</v>
      </c>
    </row>
    <row r="34" spans="1:6">
      <c r="A34" s="56" t="s">
        <v>39</v>
      </c>
      <c r="B34" s="70">
        <v>45878.65</v>
      </c>
      <c r="D34" s="59" t="s">
        <v>23</v>
      </c>
      <c r="E34" s="37">
        <f>-73255+B12</f>
        <v>-9221.8499999999985</v>
      </c>
    </row>
    <row r="35" spans="1:6">
      <c r="A35" s="57" t="s">
        <v>40</v>
      </c>
      <c r="B35" s="70">
        <v>975</v>
      </c>
      <c r="D35" s="40" t="s">
        <v>21</v>
      </c>
      <c r="E35" s="43">
        <f>SUM(E20:E34)</f>
        <v>332839.33000000007</v>
      </c>
      <c r="F35" s="7"/>
    </row>
    <row r="36" spans="1:6">
      <c r="A36" s="28"/>
      <c r="B36" s="70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166686.99000000011</v>
      </c>
      <c r="C39" s="21"/>
      <c r="D39" s="22"/>
      <c r="E39" s="62">
        <f>E15</f>
        <v>221592.871882668</v>
      </c>
      <c r="F39" s="7"/>
    </row>
    <row r="40" spans="1:6" ht="18.600000000000001" thickBot="1">
      <c r="A40" s="63" t="s">
        <v>25</v>
      </c>
      <c r="B40" s="66">
        <f>B39-E39</f>
        <v>-54905.881882667891</v>
      </c>
      <c r="C40" s="67">
        <f>B40/E3</f>
        <v>-4.7853505070374933E-2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9AF-827F-45E1-A70B-20D105740A88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ООН 2025'!A2</f>
        <v xml:space="preserve">  - 31.01.2026</v>
      </c>
      <c r="B2" s="18"/>
      <c r="C2" s="2"/>
      <c r="D2" s="17" t="str">
        <f>A2</f>
        <v xml:space="preserve">  - 31.01.2026</v>
      </c>
      <c r="E2" s="18"/>
      <c r="G2" s="1"/>
      <c r="H2" s="1"/>
    </row>
    <row r="3" spans="1:8" s="3" customFormat="1">
      <c r="A3" s="47" t="s">
        <v>13</v>
      </c>
      <c r="B3" s="48">
        <f>SUM(B4:B6)</f>
        <v>297600</v>
      </c>
      <c r="C3" s="2"/>
      <c r="D3" s="47" t="s">
        <v>13</v>
      </c>
      <c r="E3" s="48">
        <v>297600</v>
      </c>
      <c r="G3" s="1"/>
      <c r="H3" s="1"/>
    </row>
    <row r="4" spans="1:8" s="3" customFormat="1" outlineLevel="1">
      <c r="A4" s="5" t="s">
        <v>1</v>
      </c>
      <c r="B4" s="10">
        <v>297600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243399.11</v>
      </c>
      <c r="C8" s="2"/>
      <c r="D8" s="49" t="s">
        <v>14</v>
      </c>
      <c r="E8" s="50">
        <v>273488</v>
      </c>
      <c r="G8" s="1"/>
      <c r="H8" s="1"/>
    </row>
    <row r="9" spans="1:8" s="3" customFormat="1" outlineLevel="1">
      <c r="A9" s="5" t="s">
        <v>2</v>
      </c>
      <c r="B9" s="10">
        <v>242053.11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1346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54200.890000000014</v>
      </c>
      <c r="C15" s="2"/>
      <c r="D15" s="14"/>
      <c r="E15" s="15">
        <f>E3-E8</f>
        <v>24112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-30088.890000000014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0</v>
      </c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1233.588</v>
      </c>
      <c r="D33" s="36"/>
      <c r="E33" s="37">
        <f>-B33</f>
        <v>-1233.588</v>
      </c>
    </row>
    <row r="34" spans="1:6">
      <c r="A34" s="26" t="s">
        <v>47</v>
      </c>
      <c r="B34" s="30">
        <v>1027.99</v>
      </c>
      <c r="D34" s="59" t="s">
        <v>23</v>
      </c>
      <c r="E34" s="37">
        <f>-5281+B12</f>
        <v>-3935</v>
      </c>
    </row>
    <row r="35" spans="1:6">
      <c r="A35" s="27"/>
      <c r="B35" s="30"/>
      <c r="D35" s="40" t="s">
        <v>21</v>
      </c>
      <c r="E35" s="43">
        <f>SUM(E20:E34)</f>
        <v>-5168.5879999999997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49032.302000000011</v>
      </c>
      <c r="C39" s="21"/>
      <c r="D39" s="22"/>
      <c r="E39" s="62">
        <f>E15</f>
        <v>24112</v>
      </c>
      <c r="F39" s="7"/>
    </row>
    <row r="40" spans="1:6" ht="18.600000000000001" thickBot="1">
      <c r="A40" s="63" t="s">
        <v>25</v>
      </c>
      <c r="B40" s="66">
        <f>B39-E39</f>
        <v>24920.302000000011</v>
      </c>
      <c r="C40" s="67">
        <f>B40/E3</f>
        <v>8.3737573924731218E-2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BC0B-D01A-478B-A963-A3D958D477D6}">
  <dimension ref="A1:E43"/>
  <sheetViews>
    <sheetView topLeftCell="A16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88" t="s">
        <v>57</v>
      </c>
      <c r="B2" s="18"/>
      <c r="C2" s="2"/>
      <c r="D2" s="17" t="str">
        <f>A2</f>
        <v xml:space="preserve">  - 31.10.2025</v>
      </c>
      <c r="E2" s="18"/>
    </row>
    <row r="3" spans="1:5" s="3" customFormat="1">
      <c r="A3" s="47" t="s">
        <v>13</v>
      </c>
      <c r="B3" s="48">
        <f>SUM(B4:B6)</f>
        <v>681000</v>
      </c>
      <c r="C3" s="2"/>
      <c r="D3" s="47" t="s">
        <v>13</v>
      </c>
      <c r="E3" s="48">
        <v>681000</v>
      </c>
    </row>
    <row r="4" spans="1:5" s="3" customFormat="1" outlineLevel="1">
      <c r="A4" s="5" t="s">
        <v>1</v>
      </c>
      <c r="B4" s="10">
        <v>681000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601570.2699999999</v>
      </c>
      <c r="C8" s="2"/>
      <c r="D8" s="49" t="s">
        <v>14</v>
      </c>
      <c r="E8" s="50">
        <f>'[2]МД МХП Лазня'!$BR$89</f>
        <v>630384.82186734921</v>
      </c>
    </row>
    <row r="9" spans="1:5" s="3" customFormat="1">
      <c r="A9" s="5" t="s">
        <v>2</v>
      </c>
      <c r="B9" s="10">
        <v>595385.94999999995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6184.32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79429.730000000098</v>
      </c>
      <c r="C15" s="2"/>
      <c r="D15" s="14"/>
      <c r="E15" s="15">
        <f>E3-E8</f>
        <v>50615.178132650792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-28814.551867349306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55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/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6000</v>
      </c>
      <c r="C23" s="2"/>
      <c r="D23" s="38"/>
      <c r="E23" s="39"/>
    </row>
    <row r="24" spans="1:5" s="3" customFormat="1">
      <c r="A24" s="26" t="s">
        <v>15</v>
      </c>
      <c r="B24" s="89">
        <v>6000</v>
      </c>
      <c r="C24" s="2"/>
      <c r="D24" s="36"/>
      <c r="E24" s="37">
        <f>-B24</f>
        <v>-6000</v>
      </c>
    </row>
    <row r="25" spans="1:5" s="3" customFormat="1">
      <c r="A25" s="27" t="s">
        <v>16</v>
      </c>
      <c r="B25" s="89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>
        <v>0</v>
      </c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3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41011.08</v>
      </c>
      <c r="D33" s="36"/>
      <c r="E33" s="37">
        <f>--B33</f>
        <v>41011.08</v>
      </c>
    </row>
    <row r="34" spans="1:5">
      <c r="A34" s="56" t="s">
        <v>51</v>
      </c>
      <c r="B34" s="31">
        <v>19460.73</v>
      </c>
      <c r="D34" s="59" t="s">
        <v>23</v>
      </c>
      <c r="E34" s="37">
        <f>-12071+B12</f>
        <v>-5886.68</v>
      </c>
    </row>
    <row r="35" spans="1:5">
      <c r="A35" s="27" t="s">
        <v>52</v>
      </c>
      <c r="B35" s="31">
        <v>14715.17</v>
      </c>
      <c r="D35" s="87" t="s">
        <v>21</v>
      </c>
      <c r="E35" s="43">
        <f>SUM(E20:E34)</f>
        <v>29124.400000000001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108554.13000000009</v>
      </c>
      <c r="C39" s="21"/>
      <c r="D39" s="22"/>
      <c r="E39" s="62">
        <f>E15</f>
        <v>50615.178132650792</v>
      </c>
    </row>
    <row r="40" spans="1:5" ht="18.600000000000001" thickBot="1">
      <c r="A40" s="63" t="s">
        <v>25</v>
      </c>
      <c r="B40" s="66">
        <f>B39-E39</f>
        <v>57938.9518673493</v>
      </c>
      <c r="C40" s="67">
        <f>IFERROR(B40/E3,0)</f>
        <v>8.5079224474815418E-2</v>
      </c>
      <c r="D40" s="64"/>
      <c r="E40" s="65"/>
    </row>
    <row r="43" spans="1:5">
      <c r="B43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35AD-A5A7-45CF-A02D-D6169CE67A85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МХП Туалетный блок'!A2</f>
        <v xml:space="preserve">  - 31.01.2026</v>
      </c>
      <c r="B2" s="18"/>
      <c r="C2" s="2"/>
      <c r="D2" s="17" t="str">
        <f>A2</f>
        <v xml:space="preserve">  - 31.01.2026</v>
      </c>
      <c r="E2" s="18"/>
      <c r="G2" s="1"/>
      <c r="H2" s="1"/>
    </row>
    <row r="3" spans="1:8" s="3" customFormat="1">
      <c r="A3" s="47" t="s">
        <v>13</v>
      </c>
      <c r="B3" s="48">
        <f>SUM(B4:B6)</f>
        <v>4535000</v>
      </c>
      <c r="C3" s="2"/>
      <c r="D3" s="47" t="s">
        <v>13</v>
      </c>
      <c r="E3" s="48">
        <v>4535000</v>
      </c>
      <c r="G3" s="1"/>
      <c r="H3" s="1"/>
    </row>
    <row r="4" spans="1:8" s="3" customFormat="1" outlineLevel="1">
      <c r="A4" s="5" t="s">
        <v>1</v>
      </c>
      <c r="B4" s="10">
        <v>4535000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3273271.37</v>
      </c>
      <c r="C8" s="2"/>
      <c r="D8" s="49" t="s">
        <v>14</v>
      </c>
      <c r="E8" s="50">
        <f>'[2]МД Червоний хрест'!$BR$89</f>
        <v>3437652.5288014882</v>
      </c>
      <c r="G8" s="1"/>
      <c r="H8" s="1"/>
    </row>
    <row r="9" spans="1:8" s="3" customFormat="1" outlineLevel="1">
      <c r="A9" s="5" t="s">
        <v>2</v>
      </c>
      <c r="B9" s="10">
        <v>3217364.37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55907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1261728.6299999999</v>
      </c>
      <c r="C15" s="2"/>
      <c r="D15" s="14"/>
      <c r="E15" s="15">
        <f>E3-E8</f>
        <v>1097347.4711985118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-164381.15880148811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20471.7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/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89">
        <v>20471.7</v>
      </c>
      <c r="C25" s="2"/>
      <c r="D25" s="36"/>
      <c r="E25" s="37">
        <f>B25</f>
        <v>20471.7</v>
      </c>
      <c r="G25" s="1"/>
      <c r="H25" s="1"/>
    </row>
    <row r="26" spans="1:8" s="3" customFormat="1" ht="13.8" thickBot="1">
      <c r="A26" s="28" t="s">
        <v>18</v>
      </c>
      <c r="B26" s="70">
        <v>0</v>
      </c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48</v>
      </c>
      <c r="B31" s="30"/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16810.632000000001</v>
      </c>
      <c r="D33" s="36"/>
      <c r="E33" s="37">
        <f>--B33</f>
        <v>16810.632000000001</v>
      </c>
    </row>
    <row r="34" spans="1:6">
      <c r="A34" s="56" t="s">
        <v>37</v>
      </c>
      <c r="B34" s="31">
        <v>2822.66</v>
      </c>
      <c r="D34" s="59" t="s">
        <v>23</v>
      </c>
      <c r="E34" s="37">
        <f>-54393+B12</f>
        <v>1514</v>
      </c>
    </row>
    <row r="35" spans="1:6">
      <c r="A35" s="57" t="s">
        <v>38</v>
      </c>
      <c r="B35" s="31">
        <v>11186.2</v>
      </c>
      <c r="D35" s="40" t="s">
        <v>21</v>
      </c>
      <c r="E35" s="43">
        <f>SUM(E20:E34)</f>
        <v>38796.332000000002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1300524.9619999998</v>
      </c>
      <c r="C39" s="21"/>
      <c r="D39" s="22"/>
      <c r="E39" s="62">
        <f>E15</f>
        <v>1097347.4711985118</v>
      </c>
      <c r="F39" s="7"/>
    </row>
    <row r="40" spans="1:6" ht="18.600000000000001" thickBot="1">
      <c r="A40" s="63" t="s">
        <v>25</v>
      </c>
      <c r="B40" s="66">
        <f>B39-E39</f>
        <v>203177.49080148805</v>
      </c>
      <c r="C40" s="67">
        <f>B40/E3</f>
        <v>4.4802092789743779E-2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5877-0497-43AE-98C3-E83514CB060C}">
  <dimension ref="A1:E43"/>
  <sheetViews>
    <sheetView topLeftCell="A22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- 31.01.2026</v>
      </c>
      <c r="B2" s="18"/>
      <c r="C2" s="2"/>
      <c r="D2" s="17" t="str">
        <f>A2</f>
        <v xml:space="preserve">  - 31.01.2026</v>
      </c>
      <c r="E2" s="18"/>
    </row>
    <row r="3" spans="1:5" s="3" customFormat="1">
      <c r="A3" s="47" t="s">
        <v>13</v>
      </c>
      <c r="B3" s="48">
        <f>SUM(B4:B6)</f>
        <v>12946866</v>
      </c>
      <c r="C3" s="2"/>
      <c r="D3" s="47" t="s">
        <v>13</v>
      </c>
      <c r="E3" s="48">
        <v>10758539.559999999</v>
      </c>
    </row>
    <row r="4" spans="1:5" s="3" customFormat="1" outlineLevel="1">
      <c r="A4" s="5" t="s">
        <v>1</v>
      </c>
      <c r="B4" s="10">
        <v>10758539.960000001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2188326.04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10002488.34</v>
      </c>
      <c r="C8" s="2"/>
      <c r="D8" s="49" t="s">
        <v>14</v>
      </c>
      <c r="E8" s="50">
        <f>'[2]МД IRS'!$BR$89</f>
        <v>8543708.7917371411</v>
      </c>
    </row>
    <row r="9" spans="1:5" s="3" customFormat="1">
      <c r="A9" s="5" t="s">
        <v>2</v>
      </c>
      <c r="B9" s="10">
        <v>7615837.2999999998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73">
        <v>2188326.04</v>
      </c>
      <c r="C11" s="2"/>
      <c r="D11" s="5"/>
      <c r="E11" s="10"/>
    </row>
    <row r="12" spans="1:5" s="3" customFormat="1" outlineLevel="1">
      <c r="A12" s="5" t="s">
        <v>4</v>
      </c>
      <c r="B12" s="10">
        <v>198325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/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2944377.66</v>
      </c>
      <c r="C15" s="2"/>
      <c r="D15" s="14"/>
      <c r="E15" s="15">
        <f>E3-E8</f>
        <v>2214830.7682628576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-729546.89173714258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/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187651.56</v>
      </c>
      <c r="C23" s="2"/>
      <c r="D23" s="38"/>
      <c r="E23" s="39"/>
    </row>
    <row r="24" spans="1:5" s="3" customFormat="1">
      <c r="A24" s="26" t="s">
        <v>15</v>
      </c>
      <c r="B24" s="69">
        <v>187651.56</v>
      </c>
      <c r="C24" s="2"/>
      <c r="D24" s="36"/>
      <c r="E24" s="37">
        <f>-B24</f>
        <v>-187651.56</v>
      </c>
    </row>
    <row r="25" spans="1:5" s="3" customFormat="1">
      <c r="A25" s="27" t="s">
        <v>16</v>
      </c>
      <c r="B25" s="70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/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3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6748.4879999999994</v>
      </c>
      <c r="D33" s="36"/>
      <c r="E33" s="37">
        <f>--B33</f>
        <v>6748.4879999999994</v>
      </c>
    </row>
    <row r="34" spans="1:5">
      <c r="A34" s="56" t="s">
        <v>44</v>
      </c>
      <c r="B34" s="31">
        <v>5623.74</v>
      </c>
      <c r="D34" s="59" t="s">
        <v>23</v>
      </c>
      <c r="E34" s="37">
        <f>-151541+B12</f>
        <v>46784</v>
      </c>
    </row>
    <row r="35" spans="1:5">
      <c r="A35" s="27"/>
      <c r="B35" s="30"/>
      <c r="D35" s="87" t="s">
        <v>21</v>
      </c>
      <c r="E35" s="43">
        <f>SUM(E20:E34)</f>
        <v>-134119.07199999999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2810258.588</v>
      </c>
      <c r="C39" s="21"/>
      <c r="D39" s="22"/>
      <c r="E39" s="62">
        <f>E15</f>
        <v>2214830.7682628576</v>
      </c>
    </row>
    <row r="40" spans="1:5" ht="18.600000000000001" thickBot="1">
      <c r="A40" s="63" t="s">
        <v>25</v>
      </c>
      <c r="B40" s="66">
        <f>B39-E39</f>
        <v>595427.81973714242</v>
      </c>
      <c r="C40" s="67">
        <f>B40/E3</f>
        <v>5.5344669824046497E-2</v>
      </c>
      <c r="D40" s="64"/>
      <c r="E40" s="65"/>
    </row>
    <row r="43" spans="1:5">
      <c r="A43" s="3" t="s">
        <v>31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D446-03D8-491F-9497-486CE23B4D82}">
  <dimension ref="A1:H43"/>
  <sheetViews>
    <sheetView topLeftCell="A16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'МК Нежин 2025'!A2</f>
        <v xml:space="preserve">  - 31.01.2026</v>
      </c>
      <c r="B2" s="18"/>
      <c r="C2" s="2"/>
      <c r="D2" s="17" t="str">
        <f>A2</f>
        <v xml:space="preserve">  - 31.01.2026</v>
      </c>
      <c r="E2" s="18"/>
      <c r="G2" s="1"/>
      <c r="H2" s="1"/>
    </row>
    <row r="3" spans="1:8" s="3" customFormat="1">
      <c r="A3" s="47" t="s">
        <v>13</v>
      </c>
      <c r="B3" s="48">
        <f>SUM(B4:B6)</f>
        <v>704247.91</v>
      </c>
      <c r="C3" s="2"/>
      <c r="D3" s="47" t="s">
        <v>13</v>
      </c>
      <c r="E3" s="48">
        <v>1418328</v>
      </c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>
        <v>704247.91</v>
      </c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1821115.71</v>
      </c>
      <c r="C8" s="2"/>
      <c r="D8" s="49" t="s">
        <v>14</v>
      </c>
      <c r="E8" s="50">
        <f>'[2]МД Укрнафта контейнер 3 на 4'!$BR$89</f>
        <v>1789237.8379397369</v>
      </c>
      <c r="G8" s="1"/>
      <c r="H8" s="1"/>
    </row>
    <row r="9" spans="1:8" s="3" customFormat="1" outlineLevel="1">
      <c r="A9" s="5" t="s">
        <v>2</v>
      </c>
      <c r="B9" s="10">
        <v>1783046.78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38068.93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-1116867.7999999998</v>
      </c>
      <c r="C15" s="2"/>
      <c r="D15" s="14"/>
      <c r="E15" s="15">
        <f>E3-E8</f>
        <v>-370909.8379397369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745957.96206026291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1418328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>
        <v>1418328</v>
      </c>
      <c r="C20" s="2"/>
      <c r="D20" s="36"/>
      <c r="E20" s="37">
        <f>B20</f>
        <v>1418328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0</v>
      </c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 ht="13.8" thickBot="1">
      <c r="A26" s="28" t="s">
        <v>18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>
        <v>704247.91</v>
      </c>
      <c r="C27" s="2"/>
      <c r="D27" s="38"/>
      <c r="E27" s="44">
        <f>-B27</f>
        <v>-704247.91</v>
      </c>
      <c r="G27" s="1"/>
      <c r="H27" s="1"/>
    </row>
    <row r="28" spans="1:8" s="3" customFormat="1" ht="13.8" thickBot="1">
      <c r="A28" s="24" t="s">
        <v>49</v>
      </c>
      <c r="B28" s="25">
        <f>B29+B30+B31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48</v>
      </c>
      <c r="B31" s="30"/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7" ht="13.8" thickBot="1">
      <c r="A33" s="45" t="s">
        <v>12</v>
      </c>
      <c r="B33" s="46">
        <f>SUM(B34:B37)*1.2</f>
        <v>31227.335999999996</v>
      </c>
      <c r="D33" s="36"/>
      <c r="E33" s="37">
        <f>--B33</f>
        <v>31227.335999999996</v>
      </c>
    </row>
    <row r="34" spans="1:7">
      <c r="A34" s="56" t="s">
        <v>41</v>
      </c>
      <c r="B34" s="91">
        <v>26022.78</v>
      </c>
      <c r="D34" s="59" t="s">
        <v>23</v>
      </c>
      <c r="E34" s="37">
        <f>-42822+B12</f>
        <v>-4753.07</v>
      </c>
    </row>
    <row r="35" spans="1:7">
      <c r="A35" s="57" t="s">
        <v>42</v>
      </c>
      <c r="B35" s="30"/>
      <c r="D35" s="40" t="s">
        <v>21</v>
      </c>
      <c r="E35" s="43">
        <f>SUM(E20:E34)</f>
        <v>740554.35600000003</v>
      </c>
      <c r="F35" s="7"/>
      <c r="G35" s="75"/>
    </row>
    <row r="36" spans="1:7">
      <c r="A36" s="28"/>
      <c r="B36" s="31"/>
      <c r="D36" s="40"/>
      <c r="E36" s="53"/>
      <c r="F36" s="7"/>
    </row>
    <row r="37" spans="1:7" ht="13.8" thickBot="1">
      <c r="A37" s="33"/>
      <c r="B37" s="71"/>
      <c r="D37" s="41"/>
      <c r="E37" s="42"/>
    </row>
    <row r="38" spans="1:7" ht="13.8" thickBot="1"/>
    <row r="39" spans="1:7" ht="13.8" thickBot="1">
      <c r="A39" s="60" t="s">
        <v>24</v>
      </c>
      <c r="B39" s="61">
        <f>B15+E35</f>
        <v>-376313.44399999978</v>
      </c>
      <c r="C39" s="21"/>
      <c r="D39" s="22"/>
      <c r="E39" s="62">
        <f>E15</f>
        <v>-370909.8379397369</v>
      </c>
      <c r="F39" s="7"/>
    </row>
    <row r="40" spans="1:7" ht="18.600000000000001" thickBot="1">
      <c r="A40" s="63" t="s">
        <v>25</v>
      </c>
      <c r="B40" s="66">
        <f>B39-E39</f>
        <v>-5403.6060602628859</v>
      </c>
      <c r="C40" s="67">
        <f>B40/E3</f>
        <v>-3.8098423356676919E-3</v>
      </c>
      <c r="D40" s="64"/>
      <c r="E40" s="65"/>
    </row>
    <row r="43" spans="1:7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C44-BC3D-4184-873B-C7CD4C560B98}">
  <dimension ref="A1:E43"/>
  <sheetViews>
    <sheetView topLeftCell="A13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0.42578125" style="2" bestFit="1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- 31.01.2026</v>
      </c>
      <c r="B2" s="18"/>
      <c r="C2" s="2"/>
      <c r="D2" s="17" t="str">
        <f>A2</f>
        <v xml:space="preserve">  - 31.01.2026</v>
      </c>
      <c r="E2" s="18"/>
    </row>
    <row r="3" spans="1:5" s="3" customFormat="1">
      <c r="A3" s="47" t="s">
        <v>13</v>
      </c>
      <c r="B3" s="48">
        <f>SUM(B4:B6)</f>
        <v>2033883.38</v>
      </c>
      <c r="C3" s="2"/>
      <c r="D3" s="47" t="s">
        <v>13</v>
      </c>
      <c r="E3" s="48">
        <v>2033883.38</v>
      </c>
    </row>
    <row r="4" spans="1:5" s="3" customFormat="1" outlineLevel="1">
      <c r="A4" s="5" t="s">
        <v>1</v>
      </c>
      <c r="B4" s="10">
        <v>2033883.38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1653431.44</v>
      </c>
      <c r="C8" s="2"/>
      <c r="D8" s="49" t="s">
        <v>14</v>
      </c>
      <c r="E8" s="50">
        <v>1712119.005541285</v>
      </c>
    </row>
    <row r="9" spans="1:5" s="3" customFormat="1">
      <c r="A9" s="5" t="s">
        <v>2</v>
      </c>
      <c r="B9" s="10">
        <v>1603083.03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50348.41</v>
      </c>
      <c r="C12" s="2"/>
      <c r="D12" s="5"/>
      <c r="E12" s="10"/>
    </row>
    <row r="13" spans="1:5" s="3" customFormat="1" outlineLevel="1">
      <c r="A13" s="5" t="s">
        <v>10</v>
      </c>
      <c r="B13" s="10"/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380451.93999999994</v>
      </c>
      <c r="C15" s="2"/>
      <c r="D15" s="14"/>
      <c r="E15" s="15">
        <f>E3-E8</f>
        <v>321764.37445871485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-58687.56554128509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>
        <v>0</v>
      </c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0</v>
      </c>
      <c r="C23" s="2"/>
      <c r="D23" s="38"/>
      <c r="E23" s="39"/>
    </row>
    <row r="24" spans="1:5" s="3" customFormat="1">
      <c r="A24" s="26" t="s">
        <v>15</v>
      </c>
      <c r="B24" s="69">
        <v>0</v>
      </c>
      <c r="C24" s="2"/>
      <c r="D24" s="36"/>
      <c r="E24" s="37">
        <f>-B24</f>
        <v>0</v>
      </c>
    </row>
    <row r="25" spans="1:5" s="3" customFormat="1">
      <c r="A25" s="27" t="s">
        <v>16</v>
      </c>
      <c r="B25" s="70">
        <v>0</v>
      </c>
      <c r="C25" s="2"/>
      <c r="D25" s="36"/>
      <c r="E25" s="37">
        <f>B25</f>
        <v>0</v>
      </c>
    </row>
    <row r="26" spans="1:5" s="3" customFormat="1" ht="12.6" customHeight="1">
      <c r="A26" s="27" t="s">
        <v>17</v>
      </c>
      <c r="B26" s="70"/>
      <c r="C26" s="2"/>
      <c r="D26" s="36"/>
      <c r="E26" s="44">
        <f>-B26</f>
        <v>0</v>
      </c>
    </row>
    <row r="27" spans="1:5" s="3" customFormat="1" ht="13.8" thickBot="1">
      <c r="A27" s="28" t="s">
        <v>18</v>
      </c>
      <c r="B27" s="70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9</v>
      </c>
      <c r="B28" s="25">
        <f>B29+B30</f>
        <v>0</v>
      </c>
      <c r="C28" s="2"/>
      <c r="D28" s="38"/>
      <c r="E28" s="39"/>
    </row>
    <row r="29" spans="1:5" s="3" customFormat="1">
      <c r="A29" s="26" t="s">
        <v>19</v>
      </c>
      <c r="B29" s="7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6"/>
      <c r="B31" s="30"/>
      <c r="C31" s="2"/>
      <c r="D31" s="38"/>
      <c r="E31" s="39"/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0</v>
      </c>
      <c r="D33" s="36"/>
      <c r="E33" s="37">
        <f>--B33</f>
        <v>0</v>
      </c>
    </row>
    <row r="34" spans="1:5">
      <c r="A34" s="56" t="s">
        <v>43</v>
      </c>
      <c r="B34" s="31">
        <v>0</v>
      </c>
      <c r="D34" s="59" t="s">
        <v>23</v>
      </c>
      <c r="E34" s="37">
        <f>-49458+B12</f>
        <v>890.41000000000349</v>
      </c>
    </row>
    <row r="35" spans="1:5">
      <c r="A35" s="27"/>
      <c r="B35" s="30"/>
      <c r="D35" s="40" t="s">
        <v>21</v>
      </c>
      <c r="E35" s="43">
        <f>SUM(E20:E34)</f>
        <v>890.41000000000349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381342.35</v>
      </c>
      <c r="C39" s="21"/>
      <c r="D39" s="22"/>
      <c r="E39" s="62">
        <f>E15</f>
        <v>321764.37445871485</v>
      </c>
    </row>
    <row r="40" spans="1:5" ht="18.600000000000001" thickBot="1">
      <c r="A40" s="63" t="s">
        <v>25</v>
      </c>
      <c r="B40" s="66">
        <f>B39-E39</f>
        <v>59577.975541285123</v>
      </c>
      <c r="C40" s="67">
        <f>B40/E3</f>
        <v>2.929271959599037E-2</v>
      </c>
      <c r="D40" s="64"/>
      <c r="E40" s="65"/>
    </row>
    <row r="43" spans="1:5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1EF8-0E49-422F-AAED-01FA7F43CE81}">
  <dimension ref="A1:H43"/>
  <sheetViews>
    <sheetView topLeftCell="A13" zoomScaleNormal="100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">
        <v>57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40373991.530000001</v>
      </c>
      <c r="C3" s="2"/>
      <c r="D3" s="47" t="s">
        <v>13</v>
      </c>
      <c r="E3" s="48">
        <v>37201892.719999999</v>
      </c>
      <c r="G3" s="1"/>
      <c r="H3" s="1"/>
    </row>
    <row r="4" spans="1:8" s="3" customFormat="1" outlineLevel="1">
      <c r="A4" s="5" t="s">
        <v>1</v>
      </c>
      <c r="B4" s="10">
        <f>37235089.45</f>
        <v>37235089.450000003</v>
      </c>
      <c r="C4" s="2"/>
      <c r="D4" s="5"/>
      <c r="E4" s="10"/>
      <c r="F4" s="51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>
        <v>3138902.08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31536284.029999997</v>
      </c>
      <c r="C8" s="2"/>
      <c r="D8" s="49" t="s">
        <v>14</v>
      </c>
      <c r="E8" s="50">
        <f>'[2]МД ВООЗ ЕМС'!$BR$89</f>
        <v>29265674.961093862</v>
      </c>
      <c r="G8" s="1"/>
      <c r="H8" s="1"/>
    </row>
    <row r="9" spans="1:8" s="3" customFormat="1" outlineLevel="1">
      <c r="A9" s="5" t="s">
        <v>2</v>
      </c>
      <c r="B9" s="10">
        <v>28521543.989999998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>
        <v>2786786.18</v>
      </c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227953.86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8837707.5000000037</v>
      </c>
      <c r="C15" s="2"/>
      <c r="D15" s="14"/>
      <c r="E15" s="15">
        <f>E3-E8</f>
        <v>7936217.7589061372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-901489.74109386653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74"/>
      <c r="C20" s="2"/>
      <c r="D20" s="36"/>
      <c r="E20" s="37">
        <f>-B20</f>
        <v>0</v>
      </c>
      <c r="H20" s="1"/>
    </row>
    <row r="21" spans="1:8" s="3" customFormat="1">
      <c r="A21" s="27" t="s">
        <v>22</v>
      </c>
      <c r="B21" s="16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1410003.23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16">
        <v>1275503.23</v>
      </c>
      <c r="C24" s="2"/>
      <c r="D24" s="36"/>
      <c r="E24" s="37">
        <f>-B24</f>
        <v>-1275503.23</v>
      </c>
      <c r="G24" s="85"/>
      <c r="H24" s="1"/>
    </row>
    <row r="25" spans="1:8" s="3" customFormat="1" ht="12.6" customHeight="1">
      <c r="A25" s="27" t="s">
        <v>16</v>
      </c>
      <c r="B25" s="70">
        <v>134500</v>
      </c>
      <c r="C25" s="2"/>
      <c r="D25" s="36"/>
      <c r="E25" s="37">
        <f>B25</f>
        <v>134500</v>
      </c>
      <c r="G25" s="85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>
        <v>12600</v>
      </c>
      <c r="C27" s="2"/>
      <c r="D27" s="38"/>
      <c r="E27" s="44">
        <f>-B27</f>
        <v>-12600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72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0</v>
      </c>
      <c r="D33" s="36"/>
      <c r="E33" s="37">
        <f>--B33</f>
        <v>0</v>
      </c>
    </row>
    <row r="34" spans="1:6">
      <c r="A34" s="26" t="s">
        <v>29</v>
      </c>
      <c r="B34" s="30">
        <v>0</v>
      </c>
      <c r="D34" s="59" t="s">
        <v>23</v>
      </c>
      <c r="E34" s="37">
        <f>-946497+B12</f>
        <v>-718543.14</v>
      </c>
    </row>
    <row r="35" spans="1:6">
      <c r="A35" s="27"/>
      <c r="B35" s="30"/>
      <c r="D35" s="40" t="s">
        <v>21</v>
      </c>
      <c r="E35" s="43">
        <f>SUM(E20:E34)</f>
        <v>-1872146.37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6965561.1300000036</v>
      </c>
      <c r="C39" s="21"/>
      <c r="D39" s="22"/>
      <c r="E39" s="62">
        <f>E15</f>
        <v>7936217.7589061372</v>
      </c>
      <c r="F39" s="7"/>
    </row>
    <row r="40" spans="1:6" ht="18.600000000000001" thickBot="1">
      <c r="A40" s="63" t="s">
        <v>25</v>
      </c>
      <c r="B40" s="66">
        <f>B39-E39</f>
        <v>-970656.62890613358</v>
      </c>
      <c r="C40" s="67">
        <f>B40/E3</f>
        <v>-2.6091592602875868E-2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DA4-0687-4F16-B7E7-20D7C32D5164}">
  <dimension ref="A1:E43"/>
  <sheetViews>
    <sheetView topLeftCell="A16" workbookViewId="0">
      <selection activeCell="C33" sqref="C33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88" t="s">
        <v>61</v>
      </c>
      <c r="B2" s="18"/>
      <c r="C2" s="2"/>
      <c r="D2" s="17" t="str">
        <f>A2</f>
        <v xml:space="preserve">  - 31.01.2026</v>
      </c>
      <c r="E2" s="18"/>
    </row>
    <row r="3" spans="1:5" s="3" customFormat="1">
      <c r="A3" s="47" t="s">
        <v>13</v>
      </c>
      <c r="B3" s="48">
        <f>SUM(B4:B6)</f>
        <v>17088747</v>
      </c>
      <c r="C3" s="2"/>
      <c r="D3" s="47" t="s">
        <v>13</v>
      </c>
      <c r="E3" s="48"/>
    </row>
    <row r="4" spans="1:5" s="3" customFormat="1" outlineLevel="1">
      <c r="A4" s="5" t="s">
        <v>1</v>
      </c>
      <c r="B4" s="10">
        <v>17088747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11951193</v>
      </c>
      <c r="C8" s="2"/>
      <c r="D8" s="49" t="s">
        <v>14</v>
      </c>
      <c r="E8" s="50">
        <f>E9</f>
        <v>3566845</v>
      </c>
    </row>
    <row r="9" spans="1:5" s="3" customFormat="1">
      <c r="A9" s="5" t="s">
        <v>2</v>
      </c>
      <c r="B9" s="10">
        <v>11814920</v>
      </c>
      <c r="C9" s="2"/>
      <c r="D9" s="5"/>
      <c r="E9" s="10">
        <v>3566845</v>
      </c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136273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5137554</v>
      </c>
      <c r="C15" s="2"/>
      <c r="D15" s="14"/>
      <c r="E15" s="15">
        <f>E3-E8</f>
        <v>-3566845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-8704399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55</v>
      </c>
      <c r="B19" s="46">
        <f>B20+B21</f>
        <v>17088747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B20</f>
        <v>0</v>
      </c>
    </row>
    <row r="21" spans="1:5" s="3" customFormat="1">
      <c r="A21" s="27" t="s">
        <v>22</v>
      </c>
      <c r="B21" s="10">
        <v>17088747</v>
      </c>
      <c r="C21" s="2"/>
      <c r="D21" s="36"/>
      <c r="E21" s="37">
        <f>-B21</f>
        <v>-17088747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620775</v>
      </c>
      <c r="C23" s="2"/>
      <c r="D23" s="38"/>
      <c r="E23" s="39"/>
    </row>
    <row r="24" spans="1:5" s="3" customFormat="1">
      <c r="A24" s="26" t="s">
        <v>15</v>
      </c>
      <c r="B24" s="89">
        <v>464575</v>
      </c>
      <c r="C24" s="2"/>
      <c r="D24" s="36"/>
      <c r="E24" s="37">
        <f>-B24</f>
        <v>-464575</v>
      </c>
    </row>
    <row r="25" spans="1:5" s="3" customFormat="1">
      <c r="A25" s="27" t="s">
        <v>16</v>
      </c>
      <c r="B25" s="10">
        <v>156200</v>
      </c>
      <c r="C25" s="2"/>
      <c r="D25" s="36"/>
      <c r="E25" s="37">
        <f>B25</f>
        <v>156200</v>
      </c>
    </row>
    <row r="26" spans="1:5" s="3" customFormat="1" ht="12.6" customHeight="1" thickBot="1">
      <c r="A26" s="28" t="s">
        <v>18</v>
      </c>
      <c r="B26" s="89"/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f>B6</f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95090</v>
      </c>
      <c r="C28" s="2"/>
      <c r="D28" s="38"/>
      <c r="E28" s="39"/>
    </row>
    <row r="29" spans="1:5" s="3" customFormat="1">
      <c r="A29" s="26" t="s">
        <v>19</v>
      </c>
      <c r="B29" s="30"/>
      <c r="C29" s="2"/>
      <c r="D29" s="36"/>
      <c r="E29" s="37">
        <f>-B29</f>
        <v>0</v>
      </c>
    </row>
    <row r="30" spans="1:5" s="3" customFormat="1">
      <c r="A30" s="27" t="s">
        <v>20</v>
      </c>
      <c r="B30" s="70">
        <v>95090</v>
      </c>
      <c r="C30" s="2"/>
      <c r="D30" s="36"/>
      <c r="E30" s="37">
        <f>-B30</f>
        <v>-95090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8523386.4000000004</v>
      </c>
      <c r="D33" s="36"/>
      <c r="E33" s="37">
        <f>--B33</f>
        <v>8523386.4000000004</v>
      </c>
    </row>
    <row r="34" spans="1:5">
      <c r="A34" s="56" t="s">
        <v>59</v>
      </c>
      <c r="B34" s="31">
        <f>2754652+848033+243465</f>
        <v>3846150</v>
      </c>
      <c r="D34" s="59" t="s">
        <v>23</v>
      </c>
      <c r="E34" s="37">
        <f>-265570+B12</f>
        <v>-129297</v>
      </c>
    </row>
    <row r="35" spans="1:5">
      <c r="A35" s="27"/>
      <c r="B35" s="31">
        <v>3256672</v>
      </c>
      <c r="D35" s="87" t="s">
        <v>21</v>
      </c>
      <c r="E35" s="43">
        <f>SUM(E20:E34)</f>
        <v>-9098122.5999999996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-3960568.5999999996</v>
      </c>
      <c r="C39" s="21"/>
      <c r="D39" s="22"/>
      <c r="E39" s="62">
        <f>E15</f>
        <v>-3566845</v>
      </c>
    </row>
    <row r="40" spans="1:5" ht="18.600000000000001" thickBot="1">
      <c r="A40" s="63" t="s">
        <v>25</v>
      </c>
      <c r="B40" s="66">
        <f>B39-E39</f>
        <v>-393723.59999999963</v>
      </c>
      <c r="C40" s="67">
        <f>IFERROR(B40/E3,0)</f>
        <v>0</v>
      </c>
      <c r="D40" s="64"/>
      <c r="E40" s="65"/>
    </row>
    <row r="43" spans="1:5">
      <c r="B4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D499-D2DD-4CEF-813A-286DECE8A07A}">
  <dimension ref="A1:H40"/>
  <sheetViews>
    <sheetView topLeftCell="A16" workbookViewId="0">
      <selection activeCell="C33" sqref="C33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9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'МД ВООЗ 2025'!A2</f>
        <v xml:space="preserve">  - 31.01.2026</v>
      </c>
      <c r="B2" s="18"/>
      <c r="C2" s="2"/>
      <c r="D2" s="17" t="str">
        <f>A2</f>
        <v xml:space="preserve">  - 31.01.2026</v>
      </c>
      <c r="E2" s="18"/>
      <c r="G2" s="1"/>
      <c r="H2" s="1"/>
    </row>
    <row r="3" spans="1:8" s="3" customFormat="1">
      <c r="A3" s="47" t="s">
        <v>13</v>
      </c>
      <c r="B3" s="48">
        <f>SUM(B4:B6)</f>
        <v>25789280</v>
      </c>
      <c r="C3" s="2"/>
      <c r="D3" s="47" t="s">
        <v>13</v>
      </c>
      <c r="E3" s="48">
        <f>E4</f>
        <v>21456041</v>
      </c>
      <c r="G3" s="1"/>
      <c r="H3" s="1"/>
    </row>
    <row r="4" spans="1:8" s="3" customFormat="1" outlineLevel="1">
      <c r="A4" s="5" t="s">
        <v>1</v>
      </c>
      <c r="B4" s="10">
        <v>25789280</v>
      </c>
      <c r="C4" s="2"/>
      <c r="D4" s="5"/>
      <c r="E4" s="10">
        <v>21456041</v>
      </c>
      <c r="G4" s="72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29669633</v>
      </c>
      <c r="C8" s="2"/>
      <c r="D8" s="49" t="s">
        <v>14</v>
      </c>
      <c r="E8" s="50">
        <f>E9</f>
        <v>23361809</v>
      </c>
      <c r="G8" s="1"/>
      <c r="H8" s="1"/>
    </row>
    <row r="9" spans="1:8" s="3" customFormat="1" outlineLevel="1">
      <c r="A9" s="5" t="s">
        <v>2</v>
      </c>
      <c r="B9" s="10">
        <v>29341346</v>
      </c>
      <c r="C9" s="2"/>
      <c r="D9" s="5"/>
      <c r="E9" s="10">
        <v>23361809</v>
      </c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86">
        <v>328287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-3880353</v>
      </c>
      <c r="C15" s="2"/>
      <c r="D15" s="14"/>
      <c r="E15" s="15">
        <f>E3-E8</f>
        <v>-1905768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1974585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54</v>
      </c>
      <c r="B19" s="46">
        <f>B20+B21</f>
        <v>4333239.41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68">
        <v>4333239.41</v>
      </c>
      <c r="C21" s="2"/>
      <c r="D21" s="36"/>
      <c r="E21" s="37">
        <f>-B21</f>
        <v>-4333239.41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1247220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v>1059871</v>
      </c>
      <c r="C24" s="2"/>
      <c r="D24" s="36"/>
      <c r="E24" s="37">
        <f>-B24</f>
        <v>-1059871</v>
      </c>
      <c r="G24" s="1"/>
      <c r="H24" s="1"/>
    </row>
    <row r="25" spans="1:8" s="3" customFormat="1" ht="12.6" customHeight="1">
      <c r="A25" s="27" t="s">
        <v>16</v>
      </c>
      <c r="B25" s="89">
        <v>187349</v>
      </c>
      <c r="C25" s="2"/>
      <c r="D25" s="36"/>
      <c r="E25" s="37">
        <f>B25</f>
        <v>187349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338261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30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>
        <v>338261</v>
      </c>
      <c r="C30" s="2"/>
      <c r="D30" s="36"/>
      <c r="E30" s="37">
        <f>-B30</f>
        <v>-338261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8629879.1999999993</v>
      </c>
      <c r="D33" s="36"/>
      <c r="E33" s="37">
        <f>--B33</f>
        <v>8629879.1999999993</v>
      </c>
    </row>
    <row r="34" spans="1:6">
      <c r="A34" s="56" t="s">
        <v>35</v>
      </c>
      <c r="B34" s="30">
        <f>2949561+540640+1125950</f>
        <v>4616151</v>
      </c>
      <c r="D34" s="59" t="s">
        <v>23</v>
      </c>
      <c r="E34" s="37">
        <f>-714105+B12</f>
        <v>-385818</v>
      </c>
    </row>
    <row r="35" spans="1:6">
      <c r="A35" s="57" t="s">
        <v>36</v>
      </c>
      <c r="B35" s="30">
        <v>2575415</v>
      </c>
      <c r="D35" s="40" t="s">
        <v>21</v>
      </c>
      <c r="E35" s="43">
        <f>SUM(E20:E34)</f>
        <v>2700038.7899999991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-1180314.2100000009</v>
      </c>
      <c r="C39" s="21"/>
      <c r="D39" s="22"/>
      <c r="E39" s="62">
        <f>E15</f>
        <v>-1905768</v>
      </c>
      <c r="F39" s="7"/>
    </row>
    <row r="40" spans="1:6" ht="18.600000000000001" thickBot="1">
      <c r="A40" s="63" t="s">
        <v>25</v>
      </c>
      <c r="B40" s="66">
        <f>B39-E39</f>
        <v>725453.78999999911</v>
      </c>
      <c r="C40" s="67">
        <f>B40/B3</f>
        <v>2.813005209916675E-2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AC5-DD2E-4CBC-9939-65FDCE4F1073}">
  <dimension ref="A1:H40"/>
  <sheetViews>
    <sheetView topLeftCell="A25" workbookViewId="0">
      <selection activeCell="C20" sqref="C2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'МД ООН 2025'!A2</f>
        <v xml:space="preserve">  - 31.01.2026</v>
      </c>
      <c r="B2" s="18"/>
      <c r="C2" s="2"/>
      <c r="D2" s="17" t="str">
        <f>A2</f>
        <v xml:space="preserve">  - 31.01.2026</v>
      </c>
      <c r="E2" s="18"/>
      <c r="G2" s="1"/>
      <c r="H2" s="1"/>
    </row>
    <row r="3" spans="1:8" s="3" customFormat="1">
      <c r="A3" s="47" t="s">
        <v>13</v>
      </c>
      <c r="B3" s="48">
        <f>SUM(B4:B6)</f>
        <v>10787182</v>
      </c>
      <c r="C3" s="2"/>
      <c r="D3" s="47" t="s">
        <v>13</v>
      </c>
      <c r="E3" s="48">
        <f>E4</f>
        <v>10089531</v>
      </c>
      <c r="G3" s="1"/>
      <c r="H3" s="1"/>
    </row>
    <row r="4" spans="1:8" s="3" customFormat="1" outlineLevel="1">
      <c r="A4" s="5" t="s">
        <v>1</v>
      </c>
      <c r="B4" s="10">
        <v>10787182</v>
      </c>
      <c r="C4" s="2"/>
      <c r="D4" s="5"/>
      <c r="E4" s="10">
        <v>10089531</v>
      </c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F5" s="51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6641279.9800000004</v>
      </c>
      <c r="C8" s="2"/>
      <c r="D8" s="49" t="s">
        <v>14</v>
      </c>
      <c r="E8" s="50">
        <f>E9</f>
        <v>7100488</v>
      </c>
      <c r="G8" s="1"/>
      <c r="H8" s="1"/>
    </row>
    <row r="9" spans="1:8" s="3" customFormat="1" outlineLevel="1">
      <c r="A9" s="5" t="s">
        <v>2</v>
      </c>
      <c r="B9" s="10">
        <v>6513413</v>
      </c>
      <c r="C9" s="2"/>
      <c r="D9" s="5"/>
      <c r="E9" s="10">
        <v>7100488</v>
      </c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127866.98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4145902.0199999996</v>
      </c>
      <c r="C15" s="2"/>
      <c r="D15" s="14"/>
      <c r="E15" s="15">
        <f>E3-E8</f>
        <v>2989043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-1156859.0199999996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953224.07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29">
        <v>127786.1</v>
      </c>
      <c r="C20" s="2"/>
      <c r="D20" s="36"/>
      <c r="E20" s="37">
        <f>B20</f>
        <v>127786.1</v>
      </c>
      <c r="G20" s="1"/>
      <c r="H20" s="1"/>
    </row>
    <row r="21" spans="1:8" s="3" customFormat="1">
      <c r="A21" s="27" t="s">
        <v>22</v>
      </c>
      <c r="B21" s="10">
        <v>825437.97</v>
      </c>
      <c r="C21" s="2"/>
      <c r="D21" s="36"/>
      <c r="E21" s="37">
        <f>-B21</f>
        <v>-825437.97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145771.85999999999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92">
        <v>145771.85999999999</v>
      </c>
      <c r="C24" s="2"/>
      <c r="D24" s="36"/>
      <c r="E24" s="37">
        <f>-B24</f>
        <v>-145771.85999999999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248664.99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30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>
        <v>248664.99</v>
      </c>
      <c r="C30" s="2"/>
      <c r="D30" s="36"/>
      <c r="E30" s="37">
        <f>-B30</f>
        <v>-248664.99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347235.94799999997</v>
      </c>
      <c r="D33" s="36"/>
      <c r="E33" s="37">
        <f>--B33</f>
        <v>347235.94799999997</v>
      </c>
    </row>
    <row r="34" spans="1:6">
      <c r="A34" s="56" t="s">
        <v>53</v>
      </c>
      <c r="B34" s="31">
        <f>176248.03+113115.26</f>
        <v>289363.28999999998</v>
      </c>
      <c r="D34" s="59" t="s">
        <v>23</v>
      </c>
      <c r="E34" s="37">
        <f>-482046+B12</f>
        <v>-354179.02</v>
      </c>
    </row>
    <row r="35" spans="1:6">
      <c r="A35" s="57" t="s">
        <v>34</v>
      </c>
      <c r="B35" s="31"/>
      <c r="D35" s="40" t="s">
        <v>21</v>
      </c>
      <c r="E35" s="43">
        <f>SUM(E20:E34)</f>
        <v>-1099031.7919999999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3046870.2279999997</v>
      </c>
      <c r="C39" s="21"/>
      <c r="D39" s="22"/>
      <c r="E39" s="62">
        <f>E15</f>
        <v>2989043</v>
      </c>
      <c r="F39" s="7"/>
    </row>
    <row r="40" spans="1:6" ht="18.600000000000001" thickBot="1">
      <c r="A40" s="63" t="s">
        <v>25</v>
      </c>
      <c r="B40" s="66">
        <f>B39-E39</f>
        <v>57827.227999999654</v>
      </c>
      <c r="C40" s="67">
        <f>B40/E3</f>
        <v>5.7314089227734821E-3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A0C2-0891-4B5E-B7D4-1E6E9F61B838}">
  <dimension ref="A1:H40"/>
  <sheetViews>
    <sheetView workbookViewId="0">
      <selection activeCell="F4" sqref="F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>
        <v>46022</v>
      </c>
      <c r="B2" s="18"/>
      <c r="C2" s="2"/>
      <c r="D2" s="88">
        <v>46022</v>
      </c>
      <c r="E2" s="18"/>
      <c r="G2" s="1"/>
      <c r="H2" s="1"/>
    </row>
    <row r="3" spans="1:8" s="3" customFormat="1">
      <c r="A3" s="47" t="s">
        <v>13</v>
      </c>
      <c r="B3" s="48">
        <f>SUM(B4:B6)</f>
        <v>5338863</v>
      </c>
      <c r="C3" s="2"/>
      <c r="D3" s="47" t="s">
        <v>13</v>
      </c>
      <c r="E3" s="48">
        <v>5983963</v>
      </c>
      <c r="G3" s="1"/>
      <c r="H3" s="1"/>
    </row>
    <row r="4" spans="1:8" s="3" customFormat="1" outlineLevel="1">
      <c r="A4" s="5" t="s">
        <v>1</v>
      </c>
      <c r="B4" s="10">
        <v>5338863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5326802.8499999996</v>
      </c>
      <c r="C8" s="2"/>
      <c r="D8" s="49" t="s">
        <v>14</v>
      </c>
      <c r="E8" s="50">
        <v>5206634</v>
      </c>
      <c r="G8" s="1"/>
      <c r="H8" s="1"/>
    </row>
    <row r="9" spans="1:8" s="3" customFormat="1" outlineLevel="1">
      <c r="A9" s="5" t="s">
        <v>2</v>
      </c>
      <c r="B9" s="10">
        <v>5231459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86">
        <v>95343.85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12060.150000000373</v>
      </c>
      <c r="C15" s="2"/>
      <c r="D15" s="14"/>
      <c r="E15" s="15">
        <f>E3-E8</f>
        <v>777329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765268.84999999963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645099</v>
      </c>
      <c r="C19" s="2"/>
      <c r="D19" s="34"/>
      <c r="E19" s="35"/>
      <c r="G19" s="1"/>
      <c r="H19" s="1"/>
    </row>
    <row r="20" spans="1:8" s="3" customFormat="1">
      <c r="A20" s="26" t="s">
        <v>8</v>
      </c>
      <c r="B20" s="74">
        <v>645099</v>
      </c>
      <c r="C20" s="2"/>
      <c r="D20" s="36"/>
      <c r="E20" s="37">
        <f>B20</f>
        <v>645099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12077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12077</v>
      </c>
      <c r="C24" s="2"/>
      <c r="D24" s="36"/>
      <c r="E24" s="37">
        <f>-B24</f>
        <v>-12077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7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221592</v>
      </c>
      <c r="D33" s="36"/>
      <c r="E33" s="37">
        <f>--B33</f>
        <v>221592</v>
      </c>
    </row>
    <row r="34" spans="1:6">
      <c r="A34" s="56" t="s">
        <v>50</v>
      </c>
      <c r="B34" s="70">
        <v>184660</v>
      </c>
      <c r="D34" s="59" t="s">
        <v>23</v>
      </c>
      <c r="E34" s="90">
        <f>-472130+B12</f>
        <v>-376786.15</v>
      </c>
    </row>
    <row r="35" spans="1:6">
      <c r="A35" s="57"/>
      <c r="B35" s="70"/>
      <c r="D35" s="40" t="s">
        <v>21</v>
      </c>
      <c r="E35" s="43">
        <f>SUM(E20:E34)</f>
        <v>477827.85</v>
      </c>
    </row>
    <row r="36" spans="1:6">
      <c r="A36" s="28"/>
      <c r="B36" s="31"/>
      <c r="D36" s="40"/>
      <c r="E36" s="53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489888.00000000035</v>
      </c>
      <c r="C39" s="21"/>
      <c r="D39" s="22"/>
      <c r="E39" s="62">
        <f>E15</f>
        <v>777329</v>
      </c>
      <c r="F39" s="7"/>
    </row>
    <row r="40" spans="1:6" ht="18.600000000000001" thickBot="1">
      <c r="A40" s="63" t="s">
        <v>25</v>
      </c>
      <c r="B40" s="66">
        <f>B39-E39</f>
        <v>-287440.99999999965</v>
      </c>
      <c r="C40" s="67">
        <f>B40/E3</f>
        <v>-4.8035223479824266E-2</v>
      </c>
      <c r="D40" s="64"/>
      <c r="E40" s="6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0374-F92A-426F-ACB3-597FA07B804E}">
  <dimension ref="A1:H40"/>
  <sheetViews>
    <sheetView topLeftCell="A16" workbookViewId="0">
      <selection activeCell="C33" sqref="C33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2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'МК Глобино'!A2</f>
        <v xml:space="preserve">  - 31.01.2026</v>
      </c>
      <c r="B2" s="18"/>
      <c r="C2" s="2"/>
      <c r="D2" s="17" t="str">
        <f>A2</f>
        <v xml:space="preserve">  - 31.01.2026</v>
      </c>
      <c r="E2" s="18"/>
      <c r="G2" s="1"/>
      <c r="H2" s="1"/>
    </row>
    <row r="3" spans="1:8" s="3" customFormat="1">
      <c r="A3" s="47" t="s">
        <v>13</v>
      </c>
      <c r="B3" s="48">
        <f>SUM(B4:B6)</f>
        <v>9278240.0999999996</v>
      </c>
      <c r="C3" s="2"/>
      <c r="D3" s="47" t="s">
        <v>13</v>
      </c>
      <c r="E3" s="48">
        <v>0</v>
      </c>
      <c r="G3" s="1"/>
      <c r="H3" s="1"/>
    </row>
    <row r="4" spans="1:8" s="3" customFormat="1" outlineLevel="1">
      <c r="A4" s="5" t="s">
        <v>1</v>
      </c>
      <c r="B4" s="10">
        <v>9278240.0999999996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86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8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11076751.109999999</v>
      </c>
      <c r="C8" s="2"/>
      <c r="D8" s="49" t="s">
        <v>14</v>
      </c>
      <c r="E8" s="50">
        <f>E9</f>
        <v>4674401</v>
      </c>
      <c r="G8" s="1"/>
      <c r="H8" s="1"/>
    </row>
    <row r="9" spans="1:8" s="3" customFormat="1" outlineLevel="1">
      <c r="A9" s="5" t="s">
        <v>2</v>
      </c>
      <c r="B9" s="73">
        <v>10901766.199999999</v>
      </c>
      <c r="C9" s="2"/>
      <c r="D9" s="5"/>
      <c r="E9" s="10">
        <v>4674401</v>
      </c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174984.91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-1798511.0099999998</v>
      </c>
      <c r="C15" s="2"/>
      <c r="D15" s="14"/>
      <c r="E15" s="15">
        <f>E3-E8</f>
        <v>-4674401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-2875889.99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9278240.0999999996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>
        <v>9278240.0999999996</v>
      </c>
      <c r="C21" s="2"/>
      <c r="D21" s="36"/>
      <c r="E21" s="37">
        <f>-B21</f>
        <v>-9278240.0999999996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672334.83000000007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v>664173.91</v>
      </c>
      <c r="C24" s="2"/>
      <c r="D24" s="36"/>
      <c r="E24" s="37">
        <f>-B24</f>
        <v>-664173.91</v>
      </c>
      <c r="G24" s="1"/>
      <c r="H24" s="1"/>
    </row>
    <row r="25" spans="1:8" s="3" customFormat="1" ht="12.6" customHeight="1">
      <c r="A25" s="27" t="s">
        <v>16</v>
      </c>
      <c r="B25" s="89">
        <v>8160.92</v>
      </c>
      <c r="C25" s="2"/>
      <c r="D25" s="36"/>
      <c r="E25" s="37">
        <f>B25</f>
        <v>8160.92</v>
      </c>
      <c r="G25" s="1"/>
      <c r="H25" s="1"/>
    </row>
    <row r="26" spans="1:8" s="3" customFormat="1" ht="13.8" thickBot="1">
      <c r="A26" s="28" t="s">
        <v>18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/>
      <c r="C27" s="2"/>
      <c r="D27" s="38"/>
      <c r="E27" s="44">
        <f>-B27</f>
        <v>0</v>
      </c>
      <c r="G27" s="72"/>
      <c r="H27" s="1"/>
    </row>
    <row r="28" spans="1:8" s="3" customFormat="1" ht="13.8" thickBot="1">
      <c r="A28" s="24" t="s">
        <v>49</v>
      </c>
      <c r="B28" s="25">
        <f>B29+B30</f>
        <v>0</v>
      </c>
      <c r="C28" s="2"/>
      <c r="D28" s="38"/>
      <c r="E28" s="39"/>
      <c r="G28" s="72"/>
      <c r="H28" s="1"/>
    </row>
    <row r="29" spans="1:8" s="3" customFormat="1">
      <c r="A29" s="26" t="s">
        <v>19</v>
      </c>
      <c r="B29" s="3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48</v>
      </c>
      <c r="B31" s="30"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7058827.9439999992</v>
      </c>
      <c r="D33" s="36"/>
      <c r="E33" s="37">
        <f>--B33</f>
        <v>7058827.9439999992</v>
      </c>
    </row>
    <row r="34" spans="1:6">
      <c r="A34" s="56" t="s">
        <v>32</v>
      </c>
      <c r="B34" s="30">
        <f>91523.09+5782401.85+8431.68</f>
        <v>5882356.6199999992</v>
      </c>
      <c r="D34" s="59" t="s">
        <v>23</v>
      </c>
      <c r="E34" s="37">
        <f>-477019+B12</f>
        <v>-302034.08999999997</v>
      </c>
    </row>
    <row r="35" spans="1:6">
      <c r="A35" s="27"/>
      <c r="B35" s="30"/>
      <c r="D35" s="40" t="s">
        <v>21</v>
      </c>
      <c r="E35" s="43">
        <f>SUM(E20:E34)</f>
        <v>-3177459.2360000005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-4975970.2460000003</v>
      </c>
      <c r="C39" s="21"/>
      <c r="D39" s="22"/>
      <c r="E39" s="62">
        <f>E15</f>
        <v>-4674401</v>
      </c>
      <c r="F39" s="7"/>
    </row>
    <row r="40" spans="1:6" ht="18.600000000000001" thickBot="1">
      <c r="A40" s="63" t="s">
        <v>25</v>
      </c>
      <c r="B40" s="66">
        <f>B39-E39</f>
        <v>-301569.24600000028</v>
      </c>
      <c r="C40" s="67">
        <f>B40/B3</f>
        <v>-3.2502849974749011E-2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7A63-A696-433A-82C0-71D092DEB294}">
  <dimension ref="A1:H40"/>
  <sheetViews>
    <sheetView topLeftCell="A10" workbookViewId="0">
      <selection activeCell="C37" sqref="C37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2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'МК Глобино'!A2</f>
        <v xml:space="preserve">  - 31.01.2026</v>
      </c>
      <c r="B2" s="18"/>
      <c r="C2" s="2"/>
      <c r="D2" s="17" t="str">
        <f>A2</f>
        <v xml:space="preserve">  - 31.01.2026</v>
      </c>
      <c r="E2" s="18"/>
      <c r="G2" s="1"/>
      <c r="H2" s="1"/>
    </row>
    <row r="3" spans="1:8" s="3" customFormat="1">
      <c r="A3" s="47" t="s">
        <v>13</v>
      </c>
      <c r="B3" s="48">
        <f>SUM(B4:B6)</f>
        <v>0</v>
      </c>
      <c r="C3" s="2"/>
      <c r="D3" s="47" t="s">
        <v>13</v>
      </c>
      <c r="E3" s="48">
        <v>0</v>
      </c>
      <c r="G3" s="1"/>
      <c r="H3" s="1"/>
    </row>
    <row r="4" spans="1:8" s="3" customFormat="1" outlineLevel="1">
      <c r="A4" s="5" t="s">
        <v>1</v>
      </c>
      <c r="B4" s="10">
        <v>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86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8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561942.12</v>
      </c>
      <c r="C8" s="2"/>
      <c r="D8" s="49" t="s">
        <v>14</v>
      </c>
      <c r="E8" s="50">
        <f>E9</f>
        <v>88007</v>
      </c>
      <c r="G8" s="1"/>
      <c r="H8" s="1"/>
    </row>
    <row r="9" spans="1:8" s="3" customFormat="1" outlineLevel="1">
      <c r="A9" s="5" t="s">
        <v>2</v>
      </c>
      <c r="B9" s="73">
        <v>561772.01</v>
      </c>
      <c r="C9" s="2"/>
      <c r="D9" s="5"/>
      <c r="E9" s="10">
        <v>88007</v>
      </c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170.11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-561942.12</v>
      </c>
      <c r="C15" s="2"/>
      <c r="D15" s="14"/>
      <c r="E15" s="15">
        <f>E3-E8</f>
        <v>-88007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473935.12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>
        <v>0</v>
      </c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15869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v>15543</v>
      </c>
      <c r="C24" s="2"/>
      <c r="D24" s="36"/>
      <c r="E24" s="37">
        <f>-B24</f>
        <v>-15543</v>
      </c>
      <c r="G24" s="1"/>
      <c r="H24" s="1"/>
    </row>
    <row r="25" spans="1:8" s="3" customFormat="1" ht="12.6" customHeight="1">
      <c r="A25" s="27" t="s">
        <v>16</v>
      </c>
      <c r="B25" s="89">
        <v>326</v>
      </c>
      <c r="C25" s="2"/>
      <c r="D25" s="36"/>
      <c r="E25" s="37">
        <f>B25</f>
        <v>326</v>
      </c>
      <c r="G25" s="1"/>
      <c r="H25" s="1"/>
    </row>
    <row r="26" spans="1:8" s="3" customFormat="1" ht="13.8" thickBot="1">
      <c r="A26" s="28" t="s">
        <v>18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/>
      <c r="C27" s="2"/>
      <c r="D27" s="38"/>
      <c r="E27" s="44">
        <f>-B27</f>
        <v>0</v>
      </c>
      <c r="G27" s="72"/>
      <c r="H27" s="1"/>
    </row>
    <row r="28" spans="1:8" s="3" customFormat="1" ht="13.8" thickBot="1">
      <c r="A28" s="24" t="s">
        <v>49</v>
      </c>
      <c r="B28" s="25">
        <f>B29+B30</f>
        <v>83703.12</v>
      </c>
      <c r="C28" s="2"/>
      <c r="D28" s="38"/>
      <c r="E28" s="39"/>
      <c r="G28" s="72"/>
      <c r="H28" s="1"/>
    </row>
    <row r="29" spans="1:8" s="3" customFormat="1">
      <c r="A29" s="26" t="s">
        <v>19</v>
      </c>
      <c r="B29" s="3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>
        <v>83703.12</v>
      </c>
      <c r="C30" s="2"/>
      <c r="D30" s="36"/>
      <c r="E30" s="37">
        <f>-B30</f>
        <v>-83703.12</v>
      </c>
      <c r="G30" s="1"/>
      <c r="H30" s="1"/>
    </row>
    <row r="31" spans="1:8" s="3" customFormat="1">
      <c r="A31" s="27" t="s">
        <v>48</v>
      </c>
      <c r="B31" s="30"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534904.34399999992</v>
      </c>
      <c r="D33" s="36"/>
      <c r="E33" s="37">
        <f>--B33</f>
        <v>534904.34399999992</v>
      </c>
    </row>
    <row r="34" spans="1:6">
      <c r="A34" s="56" t="s">
        <v>62</v>
      </c>
      <c r="B34" s="30">
        <f>292818.72+26022.78+126912.12</f>
        <v>445753.62</v>
      </c>
      <c r="D34" s="59" t="s">
        <v>23</v>
      </c>
      <c r="E34" s="37">
        <f>-8692+B12</f>
        <v>-8521.89</v>
      </c>
    </row>
    <row r="35" spans="1:6">
      <c r="A35" s="27"/>
      <c r="B35" s="30"/>
      <c r="D35" s="40" t="s">
        <v>21</v>
      </c>
      <c r="E35" s="43">
        <f>SUM(E20:E34)</f>
        <v>427462.33399999992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-134479.78600000008</v>
      </c>
      <c r="C39" s="21"/>
      <c r="D39" s="22"/>
      <c r="E39" s="62">
        <f>E15</f>
        <v>-88007</v>
      </c>
      <c r="F39" s="7"/>
    </row>
    <row r="40" spans="1:6" ht="18.600000000000001" thickBot="1">
      <c r="A40" s="63" t="s">
        <v>25</v>
      </c>
      <c r="B40" s="66">
        <f>B39-E39</f>
        <v>-46472.78600000008</v>
      </c>
      <c r="C40" s="67" t="e">
        <f>B40/B3</f>
        <v>#DIV/0!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2641-014E-4BC5-B19A-B04DBC7E45C1}">
  <dimension ref="A1:H40"/>
  <sheetViews>
    <sheetView tabSelected="1" topLeftCell="A16" workbookViewId="0">
      <selection activeCell="C31" sqref="C31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2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'МК Глобино'!A2</f>
        <v xml:space="preserve">  - 31.01.2026</v>
      </c>
      <c r="B2" s="18"/>
      <c r="C2" s="2"/>
      <c r="D2" s="17" t="str">
        <f>A2</f>
        <v xml:space="preserve">  - 31.01.2026</v>
      </c>
      <c r="E2" s="18"/>
      <c r="G2" s="1"/>
      <c r="H2" s="1"/>
    </row>
    <row r="3" spans="1:8" s="3" customFormat="1">
      <c r="A3" s="47" t="s">
        <v>13</v>
      </c>
      <c r="B3" s="48">
        <f>SUM(B4:B6)</f>
        <v>0</v>
      </c>
      <c r="C3" s="2"/>
      <c r="D3" s="47" t="s">
        <v>13</v>
      </c>
      <c r="E3" s="48">
        <v>0</v>
      </c>
      <c r="G3" s="1"/>
      <c r="H3" s="1"/>
    </row>
    <row r="4" spans="1:8" s="3" customFormat="1" outlineLevel="1">
      <c r="A4" s="5" t="s">
        <v>1</v>
      </c>
      <c r="B4" s="10">
        <v>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86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8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815373.07</v>
      </c>
      <c r="C8" s="2"/>
      <c r="D8" s="49" t="s">
        <v>14</v>
      </c>
      <c r="E8" s="50">
        <f>E9</f>
        <v>97239</v>
      </c>
      <c r="G8" s="1"/>
      <c r="H8" s="1"/>
    </row>
    <row r="9" spans="1:8" s="3" customFormat="1" outlineLevel="1">
      <c r="A9" s="5" t="s">
        <v>2</v>
      </c>
      <c r="B9" s="73">
        <v>815373.07</v>
      </c>
      <c r="C9" s="2"/>
      <c r="D9" s="5"/>
      <c r="E9" s="10">
        <v>97239</v>
      </c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0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-815373.07</v>
      </c>
      <c r="C15" s="2"/>
      <c r="D15" s="14"/>
      <c r="E15" s="15">
        <f>E3-E8</f>
        <v>-97239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718134.07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>
        <v>0</v>
      </c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112887.14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f>46256.9+6471.7</f>
        <v>52728.6</v>
      </c>
      <c r="C24" s="2"/>
      <c r="D24" s="36"/>
      <c r="E24" s="37">
        <f>-B24</f>
        <v>-52728.6</v>
      </c>
      <c r="G24" s="1"/>
      <c r="H24" s="1"/>
    </row>
    <row r="25" spans="1:8" s="3" customFormat="1" ht="12.6" customHeight="1">
      <c r="A25" s="27" t="s">
        <v>16</v>
      </c>
      <c r="B25" s="89">
        <v>60158.54</v>
      </c>
      <c r="C25" s="2"/>
      <c r="D25" s="36"/>
      <c r="E25" s="37">
        <f>B25</f>
        <v>60158.54</v>
      </c>
      <c r="G25" s="1"/>
      <c r="H25" s="1"/>
    </row>
    <row r="26" spans="1:8" s="3" customFormat="1" ht="13.8" thickBot="1">
      <c r="A26" s="28" t="s">
        <v>18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/>
      <c r="C27" s="2"/>
      <c r="D27" s="38"/>
      <c r="E27" s="44">
        <f>-B27</f>
        <v>0</v>
      </c>
      <c r="G27" s="72"/>
      <c r="H27" s="1"/>
    </row>
    <row r="28" spans="1:8" s="3" customFormat="1" ht="13.8" thickBot="1">
      <c r="A28" s="24" t="s">
        <v>49</v>
      </c>
      <c r="B28" s="25">
        <f>B29+B30</f>
        <v>106858.89</v>
      </c>
      <c r="C28" s="2"/>
      <c r="D28" s="38"/>
      <c r="E28" s="39"/>
      <c r="G28" s="72"/>
      <c r="H28" s="1"/>
    </row>
    <row r="29" spans="1:8" s="3" customFormat="1">
      <c r="A29" s="26" t="s">
        <v>19</v>
      </c>
      <c r="B29" s="3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>
        <v>106858.89</v>
      </c>
      <c r="C30" s="2"/>
      <c r="D30" s="36"/>
      <c r="E30" s="37">
        <f>-B30</f>
        <v>-106858.89</v>
      </c>
      <c r="G30" s="1"/>
      <c r="H30" s="1"/>
    </row>
    <row r="31" spans="1:8" s="3" customFormat="1">
      <c r="A31" s="27" t="s">
        <v>48</v>
      </c>
      <c r="B31" s="30"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806511.52799999993</v>
      </c>
      <c r="D33" s="36"/>
      <c r="E33" s="37">
        <f>--B33</f>
        <v>806511.52799999993</v>
      </c>
    </row>
    <row r="34" spans="1:6">
      <c r="A34" s="56" t="s">
        <v>62</v>
      </c>
      <c r="B34" s="30">
        <f>8056.5+664036.44</f>
        <v>672092.94</v>
      </c>
      <c r="D34" s="59" t="s">
        <v>23</v>
      </c>
      <c r="E34" s="37">
        <f>-5849+B12</f>
        <v>-5849</v>
      </c>
    </row>
    <row r="35" spans="1:6">
      <c r="A35" s="27"/>
      <c r="B35" s="30"/>
      <c r="D35" s="40" t="s">
        <v>21</v>
      </c>
      <c r="E35" s="43">
        <f>SUM(E20:E34)</f>
        <v>701233.57799999998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-114139.49199999997</v>
      </c>
      <c r="C39" s="21"/>
      <c r="D39" s="22"/>
      <c r="E39" s="62">
        <f>E15</f>
        <v>-97239</v>
      </c>
      <c r="F39" s="7"/>
    </row>
    <row r="40" spans="1:6" ht="18.600000000000001" thickBot="1">
      <c r="A40" s="63" t="s">
        <v>25</v>
      </c>
      <c r="B40" s="66">
        <f>B39-E39</f>
        <v>-16900.491999999969</v>
      </c>
      <c r="C40" s="67" t="e">
        <f>B40/B3</f>
        <v>#DIV/0!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0BE9-4D8A-40C2-8AF0-B5D02D6DE531}">
  <dimension ref="A1:E41"/>
  <sheetViews>
    <sheetView zoomScaleNormal="100" workbookViewId="0">
      <selection activeCell="B34" sqref="B3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- 31.01.2026</v>
      </c>
      <c r="B2" s="18"/>
      <c r="C2" s="2"/>
      <c r="D2" s="17" t="str">
        <f>A2</f>
        <v xml:space="preserve">  - 31.01.2026</v>
      </c>
      <c r="E2" s="18"/>
    </row>
    <row r="3" spans="1:5" s="3" customFormat="1">
      <c r="A3" s="47" t="s">
        <v>13</v>
      </c>
      <c r="B3" s="48">
        <f>SUM(B4:B6)</f>
        <v>1716539</v>
      </c>
      <c r="C3" s="2"/>
      <c r="D3" s="47" t="s">
        <v>13</v>
      </c>
      <c r="E3" s="48">
        <v>1757371</v>
      </c>
    </row>
    <row r="4" spans="1:5" s="3" customFormat="1" outlineLevel="1">
      <c r="A4" s="5" t="s">
        <v>1</v>
      </c>
      <c r="B4" s="10">
        <v>1716539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v>633731</v>
      </c>
      <c r="C8" s="2"/>
      <c r="D8" s="49" t="s">
        <v>14</v>
      </c>
      <c r="E8" s="50">
        <v>718192</v>
      </c>
    </row>
    <row r="9" spans="1:5" s="3" customFormat="1">
      <c r="A9" s="5" t="s">
        <v>2</v>
      </c>
      <c r="B9" s="10"/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/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1082808</v>
      </c>
      <c r="C15" s="2"/>
      <c r="D15" s="14"/>
      <c r="E15" s="15">
        <f>E3-E8</f>
        <v>1039179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-43629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40832</v>
      </c>
      <c r="C19" s="2"/>
      <c r="D19" s="34"/>
      <c r="E19" s="35"/>
    </row>
    <row r="20" spans="1:5" s="3" customFormat="1">
      <c r="A20" s="26" t="s">
        <v>8</v>
      </c>
      <c r="B20" s="10">
        <v>40832</v>
      </c>
      <c r="C20" s="2"/>
      <c r="D20" s="36"/>
      <c r="E20" s="37">
        <f>B20</f>
        <v>40832</v>
      </c>
    </row>
    <row r="21" spans="1:5" s="3" customFormat="1">
      <c r="A21" s="27" t="s">
        <v>22</v>
      </c>
      <c r="B21" s="10">
        <v>0</v>
      </c>
      <c r="C21" s="2"/>
      <c r="D21" s="36"/>
      <c r="E21" s="37">
        <f>-B21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168584</v>
      </c>
      <c r="C23" s="2"/>
      <c r="D23" s="38"/>
      <c r="E23" s="39"/>
    </row>
    <row r="24" spans="1:5" s="3" customFormat="1">
      <c r="A24" s="26" t="s">
        <v>15</v>
      </c>
      <c r="B24" s="69">
        <v>168584</v>
      </c>
      <c r="C24" s="2"/>
      <c r="D24" s="36"/>
      <c r="E24" s="37">
        <f>-B24</f>
        <v>-168584</v>
      </c>
    </row>
    <row r="25" spans="1:5" s="3" customFormat="1">
      <c r="A25" s="27" t="s">
        <v>16</v>
      </c>
      <c r="B25" s="70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/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86"/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83731.199999999997</v>
      </c>
      <c r="D33" s="36"/>
      <c r="E33" s="37">
        <f>--B33</f>
        <v>83731.199999999997</v>
      </c>
    </row>
    <row r="34" spans="1:5">
      <c r="A34" s="56" t="s">
        <v>58</v>
      </c>
      <c r="B34" s="31">
        <f>57508+12268</f>
        <v>69776</v>
      </c>
      <c r="D34" s="59" t="s">
        <v>23</v>
      </c>
      <c r="E34" s="37">
        <f>-66181+B12</f>
        <v>-66181</v>
      </c>
    </row>
    <row r="35" spans="1:5">
      <c r="A35" s="27"/>
      <c r="B35" s="30"/>
      <c r="D35" s="87" t="s">
        <v>21</v>
      </c>
      <c r="E35" s="43">
        <f>SUM(E20:E34)</f>
        <v>-110201.8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972606.2</v>
      </c>
      <c r="C39" s="21"/>
      <c r="D39" s="22"/>
      <c r="E39" s="62">
        <f>E15</f>
        <v>1039179</v>
      </c>
    </row>
    <row r="40" spans="1:5" ht="18.600000000000001" thickBot="1">
      <c r="A40" s="63" t="s">
        <v>25</v>
      </c>
      <c r="B40" s="66">
        <f>B39-E39</f>
        <v>-66572.800000000047</v>
      </c>
      <c r="C40" s="67">
        <f>IFERROR(B40/E3,0)</f>
        <v>-3.7882040843965244E-2</v>
      </c>
      <c r="D40" s="64"/>
      <c r="E40" s="65"/>
    </row>
    <row r="41" spans="1:5">
      <c r="B41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03CA-8034-4C8F-A5A8-C8A6718F3BB5}">
  <dimension ref="A1:E41"/>
  <sheetViews>
    <sheetView workbookViewId="0">
      <selection activeCell="H37" sqref="H37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- 31.01.2026</v>
      </c>
      <c r="B2" s="18"/>
      <c r="C2" s="2"/>
      <c r="D2" s="17" t="str">
        <f>A2</f>
        <v xml:space="preserve">  - 31.01.2026</v>
      </c>
      <c r="E2" s="18"/>
    </row>
    <row r="3" spans="1:5" s="3" customFormat="1">
      <c r="A3" s="47" t="s">
        <v>13</v>
      </c>
      <c r="B3" s="48">
        <f>SUM(B4:B6)</f>
        <v>3120996</v>
      </c>
      <c r="C3" s="2"/>
      <c r="D3" s="47" t="s">
        <v>13</v>
      </c>
      <c r="E3" s="48">
        <v>3120996</v>
      </c>
    </row>
    <row r="4" spans="1:5" s="3" customFormat="1" outlineLevel="1">
      <c r="A4" s="5" t="s">
        <v>1</v>
      </c>
      <c r="B4" s="10">
        <v>3120996</v>
      </c>
      <c r="C4" s="2"/>
      <c r="D4" s="5"/>
      <c r="E4" s="10">
        <v>3120996</v>
      </c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2295664</v>
      </c>
      <c r="C8" s="2"/>
      <c r="D8" s="49" t="s">
        <v>14</v>
      </c>
      <c r="E8" s="50">
        <v>2567909</v>
      </c>
    </row>
    <row r="9" spans="1:5" s="3" customFormat="1">
      <c r="A9" s="5" t="s">
        <v>2</v>
      </c>
      <c r="B9" s="10">
        <v>2295664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/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825332</v>
      </c>
      <c r="C15" s="2"/>
      <c r="D15" s="14"/>
      <c r="E15" s="15">
        <f>E3-E8</f>
        <v>553087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-272245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0">
        <v>0</v>
      </c>
      <c r="C20" s="2"/>
      <c r="D20" s="36"/>
      <c r="E20" s="37">
        <f>B20</f>
        <v>0</v>
      </c>
    </row>
    <row r="21" spans="1:5" s="3" customFormat="1">
      <c r="A21" s="27" t="s">
        <v>22</v>
      </c>
      <c r="B21" s="10">
        <v>0</v>
      </c>
      <c r="C21" s="2"/>
      <c r="D21" s="36"/>
      <c r="E21" s="37">
        <f>-B21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389538</v>
      </c>
      <c r="C23" s="2"/>
      <c r="D23" s="38"/>
      <c r="E23" s="39"/>
    </row>
    <row r="24" spans="1:5" s="3" customFormat="1">
      <c r="A24" s="26" t="s">
        <v>15</v>
      </c>
      <c r="B24" s="69">
        <v>389538</v>
      </c>
      <c r="C24" s="2"/>
      <c r="D24" s="36"/>
      <c r="E24" s="37">
        <f>-B24</f>
        <v>-389538</v>
      </c>
    </row>
    <row r="25" spans="1:5" s="3" customFormat="1">
      <c r="A25" s="27" t="s">
        <v>16</v>
      </c>
      <c r="B25" s="70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/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172816</v>
      </c>
      <c r="C28" s="2"/>
      <c r="D28" s="38"/>
      <c r="E28" s="39"/>
    </row>
    <row r="29" spans="1:5" s="3" customFormat="1">
      <c r="A29" s="26" t="s">
        <v>19</v>
      </c>
      <c r="B29" s="86">
        <v>172816</v>
      </c>
      <c r="C29" s="2"/>
      <c r="D29" s="36"/>
      <c r="E29" s="37">
        <f>-B29</f>
        <v>-172816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259780.8</v>
      </c>
      <c r="D33" s="36"/>
      <c r="E33" s="37">
        <f>--B33</f>
        <v>259780.8</v>
      </c>
    </row>
    <row r="34" spans="1:5">
      <c r="A34" s="56" t="s">
        <v>60</v>
      </c>
      <c r="B34" s="31">
        <v>216484</v>
      </c>
      <c r="D34" s="59" t="s">
        <v>23</v>
      </c>
      <c r="E34" s="37">
        <f>-52482+B12</f>
        <v>-52482</v>
      </c>
    </row>
    <row r="35" spans="1:5">
      <c r="A35" s="27"/>
      <c r="B35" s="30"/>
      <c r="D35" s="87" t="s">
        <v>21</v>
      </c>
      <c r="E35" s="43">
        <f>SUM(E20:E34)</f>
        <v>-355055.2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470276.8</v>
      </c>
      <c r="C39" s="21"/>
      <c r="D39" s="22"/>
      <c r="E39" s="62">
        <f>E15</f>
        <v>553087</v>
      </c>
    </row>
    <row r="40" spans="1:5" ht="18.600000000000001" thickBot="1">
      <c r="A40" s="63" t="s">
        <v>25</v>
      </c>
      <c r="B40" s="66">
        <f>B39-E39</f>
        <v>-82810.200000000012</v>
      </c>
      <c r="C40" s="67">
        <f>IFERROR(B40/E3,0)</f>
        <v>-2.6533260536059648E-2</v>
      </c>
      <c r="D40" s="64"/>
      <c r="E40" s="65"/>
    </row>
    <row r="41" spans="1:5">
      <c r="B41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2398-520F-489A-A77A-84167ABEBC31}">
  <dimension ref="A1:H45"/>
  <sheetViews>
    <sheetView topLeftCell="A10" workbookViewId="0">
      <selection activeCell="E4" sqref="E4"/>
    </sheetView>
  </sheetViews>
  <sheetFormatPr defaultColWidth="9.140625" defaultRowHeight="13.2" outlineLevelRow="1"/>
  <cols>
    <col min="1" max="1" width="51.42578125" style="3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5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Укрнафта контейнер 3 на 4'!A2</f>
        <v xml:space="preserve">  - 31.01.2026</v>
      </c>
      <c r="B2" s="18"/>
      <c r="C2" s="2"/>
      <c r="D2" s="17" t="str">
        <f>'МД Укрнафта контейнер 3 на 4'!D2</f>
        <v xml:space="preserve">  - 31.01.2026</v>
      </c>
      <c r="E2" s="18"/>
      <c r="G2" s="1"/>
      <c r="H2" s="1"/>
    </row>
    <row r="3" spans="1:8" s="3" customFormat="1">
      <c r="A3" s="54" t="s">
        <v>13</v>
      </c>
      <c r="B3" s="76">
        <f>SUM(B4:B7)</f>
        <v>69998851.099999994</v>
      </c>
      <c r="C3" s="2"/>
      <c r="D3" s="47" t="s">
        <v>13</v>
      </c>
      <c r="E3" s="77">
        <f>SUM(E4)</f>
        <v>31545572</v>
      </c>
      <c r="F3" s="51"/>
      <c r="G3" s="1"/>
      <c r="H3" s="1"/>
    </row>
    <row r="4" spans="1:8" s="3" customFormat="1" outlineLevel="1">
      <c r="A4" s="5" t="s">
        <v>1</v>
      </c>
      <c r="B4" s="74">
        <f>'МД ВООЗ 2025'!B4+'МД ООН 2025'!B4+'МК Глобино'!B4+'МК МХП Катеринополь'!B4+'Кернел Кухня'!B4+'МК Астарта.Тищенки'!B4</f>
        <v>69998851.099999994</v>
      </c>
      <c r="C4" s="2"/>
      <c r="D4" s="5"/>
      <c r="E4" s="74">
        <f>'МД ВООЗ 2025'!E4+'МД ООН 2025'!E4+'МК Глобино'!E4+'МК МХП Катеринополь'!E4+'Кернел Кухня'!E4+'МК Астарта.Тищенки'!E4</f>
        <v>31545572</v>
      </c>
      <c r="G4" s="1"/>
      <c r="H4" s="1"/>
    </row>
    <row r="5" spans="1:8" s="3" customFormat="1" outlineLevel="1">
      <c r="A5" s="5" t="s">
        <v>26</v>
      </c>
      <c r="B5" s="74">
        <f>'МД ВООЗ 2025'!B5+'МД ООН 2025'!B5+'МК Глобино'!B5+'МК МХП Катеринополь'!B5+'Кернел Кухня'!B5+'МК Астарта.Тищенки'!B5</f>
        <v>0</v>
      </c>
      <c r="C5" s="2"/>
      <c r="D5" s="5"/>
      <c r="E5" s="74">
        <f>'МД ВООЗ 2025'!E5+'МД ООН 2025'!E5+'МК Глобино'!E5+'МК МХП Катеринополь'!E5+'Кернел Кухня'!E5+'МК Астарта.Тищенки'!E5</f>
        <v>0</v>
      </c>
      <c r="G5" s="1"/>
      <c r="H5" s="1"/>
    </row>
    <row r="6" spans="1:8" s="3" customFormat="1" outlineLevel="1">
      <c r="A6" s="5" t="s">
        <v>30</v>
      </c>
      <c r="B6" s="74">
        <f>'МД ВООЗ 2025'!B6+'МД ООН 2025'!B6+'МК Глобино'!B6+'МК МХП Катеринополь'!B6+'Кернел Кухня'!B6+'МК Астарта.Тищенки'!B6</f>
        <v>0</v>
      </c>
      <c r="C6" s="2"/>
      <c r="D6" s="5"/>
      <c r="E6" s="74"/>
      <c r="G6" s="1"/>
      <c r="H6" s="1"/>
    </row>
    <row r="7" spans="1:8" s="3" customFormat="1" outlineLevel="1">
      <c r="A7" s="5"/>
      <c r="B7" s="74">
        <f>'МД ВООЗ 2025'!B7+'МД ООН 2025'!B7+'МК Глобино'!B7+'МК МХП Катеринополь'!B7+'Кернел Кухня'!B7+'МК Астарта.Тищенки'!B7</f>
        <v>0</v>
      </c>
      <c r="C7" s="2"/>
      <c r="D7" s="5"/>
      <c r="E7" s="74"/>
      <c r="G7" s="1"/>
      <c r="H7" s="1"/>
    </row>
    <row r="8" spans="1:8" s="3" customFormat="1">
      <c r="A8" s="49" t="s">
        <v>14</v>
      </c>
      <c r="B8" s="77">
        <f>SUM(B9:B14)</f>
        <v>64665659.940000005</v>
      </c>
      <c r="C8" s="2"/>
      <c r="D8" s="49" t="s">
        <v>14</v>
      </c>
      <c r="E8" s="77">
        <f>'МД ВООЗ 2025'!E8+'МД ООН 2025'!E8+'МК Глобино'!E8+'МК МХП Катеринополь'!E8+'Кернел Кухня'!E8+'МК Астарта.Тищенки'!E8</f>
        <v>44628369</v>
      </c>
      <c r="G8" s="1"/>
      <c r="H8" s="1"/>
    </row>
    <row r="9" spans="1:8" s="3" customFormat="1" outlineLevel="1">
      <c r="A9" s="5" t="s">
        <v>2</v>
      </c>
      <c r="B9" s="74">
        <f>'МД ВООЗ 2025'!B9+'МД ООН 2025'!B9+'МК Глобино'!B9+'МК МХП Катеринополь'!B9+'Кернел Кухня'!B9+'МК Астарта.Тищенки'!B9</f>
        <v>63802904.200000003</v>
      </c>
      <c r="C9" s="2"/>
      <c r="D9" s="5"/>
      <c r="E9" s="74"/>
      <c r="G9" s="1"/>
      <c r="H9" s="1"/>
    </row>
    <row r="10" spans="1:8" s="3" customFormat="1" outlineLevel="1">
      <c r="A10" s="5" t="s">
        <v>3</v>
      </c>
      <c r="B10" s="74">
        <f>'МД ВООЗ 2025'!B10+'МД ООН 2025'!B10+'МК Глобино'!B10+'МК МХП Катеринополь'!B10+'Кернел Кухня'!B10+'МК Астарта.Тищенки'!B10</f>
        <v>0</v>
      </c>
      <c r="C10" s="2"/>
      <c r="D10" s="5"/>
      <c r="E10" s="74"/>
      <c r="G10" s="1"/>
      <c r="H10" s="1"/>
    </row>
    <row r="11" spans="1:8" s="3" customFormat="1" outlineLevel="1">
      <c r="A11" s="5" t="s">
        <v>28</v>
      </c>
      <c r="B11" s="74">
        <f>'МД ВООЗ 2025'!B11+'МД ООН 2025'!B11+'МК Глобино'!B11+'МК МХП Катеринополь'!B11+'Кернел Кухня'!B11+'МК Астарта.Тищенки'!B11</f>
        <v>0</v>
      </c>
      <c r="C11" s="2"/>
      <c r="D11" s="5"/>
      <c r="E11" s="74"/>
      <c r="G11" s="1"/>
      <c r="H11" s="1"/>
    </row>
    <row r="12" spans="1:8" s="3" customFormat="1" outlineLevel="1">
      <c r="A12" s="5" t="s">
        <v>4</v>
      </c>
      <c r="B12" s="74">
        <f>'МД ВООЗ 2025'!B12+'МД ООН 2025'!B12+'МК Глобино'!B12+'МК МХП Катеринополь'!B12+'Кернел Кухня'!B12+'МК Астарта.Тищенки'!B12</f>
        <v>862755.74</v>
      </c>
      <c r="C12" s="78"/>
      <c r="D12" s="5"/>
      <c r="E12" s="74"/>
      <c r="G12" s="1"/>
      <c r="H12" s="1"/>
    </row>
    <row r="13" spans="1:8" s="3" customFormat="1" outlineLevel="1">
      <c r="A13" s="5" t="s">
        <v>10</v>
      </c>
      <c r="B13" s="74">
        <f>'МД ВООЗ 2025'!B13+'МД ООН 2025'!B13+'МК Глобино'!B13+'МК МХП Катеринополь'!B13+'Кернел Кухня'!B13+'МК Астарта.Тищенки'!B13</f>
        <v>0</v>
      </c>
      <c r="C13" s="78"/>
      <c r="D13" s="32"/>
      <c r="E13" s="93"/>
      <c r="G13" s="1"/>
      <c r="H13" s="1"/>
    </row>
    <row r="14" spans="1:8" s="3" customFormat="1" ht="13.8" outlineLevel="1" thickBot="1">
      <c r="A14" s="55" t="s">
        <v>11</v>
      </c>
      <c r="B14" s="79"/>
      <c r="C14" s="2"/>
      <c r="D14" s="12"/>
      <c r="E14" s="80"/>
      <c r="G14" s="1"/>
      <c r="H14" s="1"/>
    </row>
    <row r="15" spans="1:8" s="3" customFormat="1" ht="13.8" thickBot="1">
      <c r="A15" s="14" t="s">
        <v>5</v>
      </c>
      <c r="B15" s="15">
        <f>B3-B8</f>
        <v>5333191.159999989</v>
      </c>
      <c r="C15" s="2"/>
      <c r="D15" s="14" t="s">
        <v>5</v>
      </c>
      <c r="E15" s="15">
        <f>E3-E8</f>
        <v>-13082797</v>
      </c>
      <c r="F15" s="51"/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-18415988.159999989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54</v>
      </c>
      <c r="B19" s="46">
        <f>B20-B21</f>
        <v>-30711947.379999995</v>
      </c>
      <c r="C19" s="2"/>
      <c r="D19" s="34"/>
      <c r="E19" s="35"/>
      <c r="G19" s="1"/>
      <c r="H19" s="1"/>
    </row>
    <row r="20" spans="1:8" s="3" customFormat="1">
      <c r="A20" s="52" t="s">
        <v>8</v>
      </c>
      <c r="B20" s="74">
        <f>'МД ВООЗ 2025'!B20+'МД ООН 2025'!B20+'МК Глобино'!B20+'МК МХП Катеринополь'!B20+'Кернел Кухня'!B20+'МК Астарта.Тищенки'!B20</f>
        <v>813717.1</v>
      </c>
      <c r="C20" s="2"/>
      <c r="D20" s="36"/>
      <c r="E20" s="37">
        <f>B20</f>
        <v>813717.1</v>
      </c>
      <c r="G20" s="1"/>
      <c r="H20" s="1"/>
    </row>
    <row r="21" spans="1:8" s="3" customFormat="1">
      <c r="A21" s="27" t="s">
        <v>22</v>
      </c>
      <c r="B21" s="74">
        <f>'МД ВООЗ 2025'!B21+'МД ООН 2025'!B21+'МК Глобино'!B21+'МК МХП Катеринополь'!B21+'Кернел Кухня'!B21+'МК Астарта.Тищенки'!B21</f>
        <v>31525664.479999997</v>
      </c>
      <c r="C21" s="2"/>
      <c r="D21" s="36"/>
      <c r="E21" s="37">
        <f>-B21</f>
        <v>-31525664.479999997</v>
      </c>
      <c r="G21" s="1"/>
      <c r="H21" s="1"/>
    </row>
    <row r="22" spans="1:8" s="3" customFormat="1" ht="13.8" thickBot="1">
      <c r="A22" s="33"/>
      <c r="B22" s="81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/>
      <c r="C23" s="2"/>
      <c r="D23" s="38"/>
      <c r="E23" s="39"/>
      <c r="G23" s="1"/>
      <c r="H23" s="1"/>
    </row>
    <row r="24" spans="1:8" s="3" customFormat="1">
      <c r="A24" s="26" t="s">
        <v>15</v>
      </c>
      <c r="B24" s="74">
        <f>'МД ВООЗ 2025'!B24+'МД ООН 2025'!B24+'МК Глобино'!B24+'МК МХП Катеринополь'!B24+'Кернел Кухня'!B24+'МК Астарта.Тищенки'!B24</f>
        <v>2515052.77</v>
      </c>
      <c r="C24" s="2"/>
      <c r="D24" s="36"/>
      <c r="E24" s="37">
        <f>-B24</f>
        <v>-2515052.77</v>
      </c>
      <c r="G24" s="1"/>
      <c r="H24" s="1"/>
    </row>
    <row r="25" spans="1:8" s="3" customFormat="1">
      <c r="A25" s="27" t="s">
        <v>16</v>
      </c>
      <c r="B25" s="74">
        <f>'МД ВООЗ 2025'!B25+'МД ООН 2025'!B25+'МК Глобино'!B25+'МК МХП Катеринополь'!B25+'Кернел Кухня'!B25+'МК Астарта.Тищенки'!B25</f>
        <v>351709.92</v>
      </c>
      <c r="C25" s="2"/>
      <c r="D25" s="36"/>
      <c r="E25" s="37">
        <f>B25</f>
        <v>351709.92</v>
      </c>
      <c r="G25" s="1"/>
      <c r="H25" s="1"/>
    </row>
    <row r="26" spans="1:8" s="3" customFormat="1" ht="13.8" thickBot="1">
      <c r="A26" s="28" t="s">
        <v>18</v>
      </c>
      <c r="B26" s="74">
        <f>'МД ВООЗ 2025'!B26+'МД ООН 2025'!B26+'МК Глобино'!B26+'МК МХП Катеринополь'!B26+'Кернел Кухня'!B26+'МК Астарта.Тищенки'!B26</f>
        <v>0</v>
      </c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>
        <f>'Кернел Кухня'!B27+'МД Червоний Хрест'!B27+'МД Укрнафта контейнер 3 на 4'!B27+'МД IRS'!B27+'МД ВООЗ 2025'!B27</f>
        <v>704247.91</v>
      </c>
      <c r="C27" s="2"/>
      <c r="D27" s="38"/>
      <c r="E27" s="37">
        <f>-B27</f>
        <v>-704247.91</v>
      </c>
      <c r="G27" s="1"/>
      <c r="H27" s="1"/>
    </row>
    <row r="28" spans="1:8" s="3" customFormat="1" ht="13.8" thickBot="1">
      <c r="A28" s="45" t="s">
        <v>9</v>
      </c>
      <c r="B28" s="46">
        <f>B29+B30</f>
        <v>682015.99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4">
        <f>'МД ВООЗ 2025'!B29+'МД ООН 2025'!B29+'МК Глобино'!B29+'МК МХП Катеринополь'!B29+'Кернел Кухня'!B29+'МК Астарта.Тищенки'!B29</f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4">
        <f>'МД ВООЗ 2025'!B30+'МД ООН 2025'!B30+'МК Глобино'!B30+'МК МХП Катеринополь'!B30+'Кернел Кухня'!B30+'МК Астарта.Тищенки'!B30</f>
        <v>682015.99</v>
      </c>
      <c r="C30" s="2"/>
      <c r="D30" s="36"/>
      <c r="E30" s="37">
        <f>-B30</f>
        <v>-682015.99</v>
      </c>
      <c r="G30" s="1"/>
      <c r="H30" s="1"/>
    </row>
    <row r="31" spans="1:8" s="3" customFormat="1">
      <c r="A31" s="6"/>
      <c r="B31" s="74">
        <f>'МД ВООЗ 2025'!B31+'МД ООН 2025'!B31+'МК Глобино'!B31+'МК МХП Катеринополь'!B31+'Кернел Кухня'!B31+'МК Астарта.Тищенки'!B31</f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7" ht="13.8" thickBot="1">
      <c r="A33" s="45" t="s">
        <v>12</v>
      </c>
      <c r="B33" s="46">
        <f>SUM(B34:B36)*1.2</f>
        <v>24864652.691999994</v>
      </c>
      <c r="D33" s="36"/>
      <c r="E33" s="37">
        <f>--B33</f>
        <v>24864652.691999994</v>
      </c>
    </row>
    <row r="34" spans="1:7">
      <c r="A34" s="56" t="s">
        <v>45</v>
      </c>
      <c r="B34" s="99">
        <f>'МД ВООЗ 2025'!B34+'МД ООН 2025'!B34+'МК Глобино'!B34+'МК МХП Катеринополь'!B34+'Кернел Кухня'!B34+'МК Астарта.Тищенки'!B34</f>
        <v>14888456.909999998</v>
      </c>
      <c r="D34" s="59" t="s">
        <v>23</v>
      </c>
      <c r="E34" s="37">
        <f>'МД ВООЗ ЕМС'!E34+'Кернел Кухня'!E34+'МК МХП Катеринополь'!E34+'МК Глобино'!E34+'МД ООН 2025'!E34+'МД МХП Туалетный блок'!E34+'МД Червоний Хрест'!E34+'МК Нежин 2025'!E34+'МД Укрнафта контейнер 3 на 4'!E34+'МД МХП Франковск '!E34+'МД IRS'!E34+'МД Лазня'!E34+'МК Астарта.Тищенки'!E34+'МД ВООЗ 2025'!E34</f>
        <v>-2307446.59</v>
      </c>
    </row>
    <row r="35" spans="1:7">
      <c r="A35" s="57" t="s">
        <v>46</v>
      </c>
      <c r="B35" s="74">
        <f>'МД ВООЗ 2025'!B35+'МД ООН 2025'!B35+'МК Глобино'!B35+'МК МХП Катеринополь'!B35+'Кернел Кухня'!B35+'МК Астарта.Тищенки'!B35</f>
        <v>5832087</v>
      </c>
      <c r="C35" s="82"/>
      <c r="D35" s="40" t="s">
        <v>21</v>
      </c>
      <c r="E35" s="43">
        <f>SUM(E20:E34)</f>
        <v>-11704348.028000001</v>
      </c>
      <c r="F35" s="7"/>
    </row>
    <row r="36" spans="1:7" ht="13.8" thickBot="1">
      <c r="A36" s="58"/>
      <c r="B36" s="81"/>
      <c r="D36" s="41"/>
      <c r="E36" s="42"/>
    </row>
    <row r="37" spans="1:7">
      <c r="A37" s="94"/>
      <c r="B37" s="95"/>
      <c r="D37" s="96"/>
      <c r="E37" s="97"/>
    </row>
    <row r="38" spans="1:7" ht="13.8" thickBot="1"/>
    <row r="39" spans="1:7" ht="13.8" thickBot="1">
      <c r="A39" s="60" t="s">
        <v>24</v>
      </c>
      <c r="B39" s="61">
        <f>B15+E35</f>
        <v>-6371156.8680000119</v>
      </c>
      <c r="C39" s="21"/>
      <c r="D39" s="22"/>
      <c r="E39" s="62">
        <f>E15</f>
        <v>-13082797</v>
      </c>
      <c r="F39" s="7"/>
    </row>
    <row r="40" spans="1:7" ht="16.2" thickBot="1">
      <c r="A40" s="63" t="s">
        <v>25</v>
      </c>
      <c r="B40" s="98">
        <f>'МД ВООЗ ЕМС'!B40+'Кернел Кухня'!B40+'МК МХП Катеринополь'!B40+'МК Глобино'!B40+'МД ООН 2025'!B40+'МД МХП Туалетный блок'!B40+'МД Червоний Хрест'!B40+'МК Нежин 2025'!B40+'МД Укрнафта контейнер 3 на 4'!B40+'МД МХП Франковск '!B40+'МД IRS'!B40+'МД Лазня'!B40+'МК Астарта.Тищенки'!B40+'МД ВООЗ 2025'!B40</f>
        <v>-355949.20490180014</v>
      </c>
      <c r="C40" s="83">
        <f>B40/E3</f>
        <v>-1.1283650361508746E-2</v>
      </c>
      <c r="D40" s="64"/>
      <c r="E40" s="65"/>
    </row>
    <row r="42" spans="1:7">
      <c r="G42" s="75"/>
    </row>
    <row r="43" spans="1:7">
      <c r="B43" s="84"/>
    </row>
    <row r="44" spans="1:7">
      <c r="A44" s="3" t="s">
        <v>31</v>
      </c>
      <c r="B44" s="7">
        <f>454854+71625</f>
        <v>526479</v>
      </c>
      <c r="G44" s="75"/>
    </row>
    <row r="45" spans="1:7">
      <c r="B45" s="8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МК Нежин 2025</vt:lpstr>
      <vt:lpstr>МД МХП Туалетный блок</vt:lpstr>
      <vt:lpstr>МД Лазня</vt:lpstr>
      <vt:lpstr>МД Червоний Хрест</vt:lpstr>
      <vt:lpstr>МД IRS</vt:lpstr>
      <vt:lpstr>МД Укрнафта контейнер 3 на 4</vt:lpstr>
      <vt:lpstr>МД МХП Франковск </vt:lpstr>
      <vt:lpstr>МД ВООЗ ЕМС</vt:lpstr>
      <vt:lpstr>МД ВООЗ 2025</vt:lpstr>
      <vt:lpstr>МД ООН 2025</vt:lpstr>
      <vt:lpstr>МК Глобино</vt:lpstr>
      <vt:lpstr>МК МХП Катеринополь</vt:lpstr>
      <vt:lpstr>Кернел Кухня</vt:lpstr>
      <vt:lpstr>Укрнафта1модуль</vt:lpstr>
      <vt:lpstr>КПП Червоний хрест </vt:lpstr>
      <vt:lpstr>МК Астарта.Тищенки</vt:lpstr>
      <vt:lpstr>МКБориспільська</vt:lpstr>
      <vt:lpstr>Производство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I.antonov</cp:lastModifiedBy>
  <dcterms:created xsi:type="dcterms:W3CDTF">2025-04-29T07:19:21Z</dcterms:created>
  <dcterms:modified xsi:type="dcterms:W3CDTF">2026-02-23T14:09:46Z</dcterms:modified>
</cp:coreProperties>
</file>
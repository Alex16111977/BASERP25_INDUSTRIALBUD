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"/>
    </mc:Choice>
  </mc:AlternateContent>
  <xr:revisionPtr revIDLastSave="0" documentId="8_{68CBF371-031C-4B09-B0B6-1375E1FB8E17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1" l="1"/>
  <c r="J13" i="1"/>
  <c r="G13" i="1"/>
  <c r="D13" i="1"/>
  <c r="K5" i="1"/>
  <c r="K4" i="1"/>
  <c r="D7" i="1"/>
  <c r="K12" i="1"/>
  <c r="K9" i="1"/>
  <c r="K8" i="1"/>
  <c r="K7" i="1"/>
  <c r="K11" i="1" s="1"/>
  <c r="K6" i="1"/>
  <c r="D9" i="1"/>
  <c r="J7" i="1"/>
  <c r="G7" i="1"/>
  <c r="D5" i="1"/>
  <c r="G5" i="1"/>
  <c r="J5" i="1"/>
  <c r="G9" i="1"/>
  <c r="J9" i="1"/>
  <c r="D8" i="1"/>
  <c r="D12" i="1" s="1"/>
  <c r="D6" i="1"/>
  <c r="J8" i="1"/>
  <c r="J12" i="1" s="1"/>
  <c r="J6" i="1"/>
  <c r="J11" i="1" s="1"/>
  <c r="G8" i="1"/>
  <c r="G12" i="1" s="1"/>
  <c r="G6" i="1"/>
  <c r="G11" i="1" s="1"/>
  <c r="D11" i="1" l="1"/>
</calcChain>
</file>

<file path=xl/sharedStrings.xml><?xml version="1.0" encoding="utf-8"?>
<sst xmlns="http://schemas.openxmlformats.org/spreadsheetml/2006/main" count="32" uniqueCount="27">
  <si>
    <t>Листопад</t>
  </si>
  <si>
    <t>Грудень</t>
  </si>
  <si>
    <t>Січень</t>
  </si>
  <si>
    <t>Васильєв Віталій Юрійович, год</t>
  </si>
  <si>
    <t>різниця</t>
  </si>
  <si>
    <t>JCB 535 м/г</t>
  </si>
  <si>
    <t>JCB 535 л</t>
  </si>
  <si>
    <t>Генератор м/г</t>
  </si>
  <si>
    <t>Генератор л</t>
  </si>
  <si>
    <t>Витрати JCB 535 л/год</t>
  </si>
  <si>
    <t>Витрати Генератор л/год</t>
  </si>
  <si>
    <t>Електрика</t>
  </si>
  <si>
    <t>10433кВТ</t>
  </si>
  <si>
    <t>12 грн</t>
  </si>
  <si>
    <t>9397кВт</t>
  </si>
  <si>
    <t>7775кВт</t>
  </si>
  <si>
    <t>14,65грн</t>
  </si>
  <si>
    <t>12,33грн</t>
  </si>
  <si>
    <t>за період</t>
  </si>
  <si>
    <t>Год Васильєва/JCB 535 м/г</t>
  </si>
  <si>
    <t>Л</t>
  </si>
  <si>
    <t>ГРН</t>
  </si>
  <si>
    <t>М/Г</t>
  </si>
  <si>
    <t>літр/год</t>
  </si>
  <si>
    <t>ГОД</t>
  </si>
  <si>
    <t>що техніка пропрацювала 1 мот/год, потрібно 4 год роботи Васильєва</t>
  </si>
  <si>
    <t xml:space="preserve">Норма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</si>
</sst>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164" fontId="0" fillId="2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3" fontId="0" fillId="0" borderId="1" xfId="0" applyNumberForma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O12" sqref="O12"/>
    </sheetView>
  </sheetViews>
  <sheetFormatPr defaultRowHeight="15" x14ac:dyDescent="0.25"/>
  <cols>
    <col min="1" max="1" width="34.7109375" customWidth="1"/>
    <col min="2" max="2" width="6.5703125" customWidth="1"/>
    <col min="3" max="3" width="6.7109375" customWidth="1"/>
    <col min="4" max="4" width="7.140625" customWidth="1"/>
    <col min="5" max="5" width="6.85546875" customWidth="1"/>
    <col min="6" max="6" width="5.42578125" customWidth="1"/>
    <col min="7" max="7" width="11.5703125" customWidth="1"/>
    <col min="8" max="10" width="11.85546875" customWidth="1"/>
    <col min="11" max="11" width="19.425781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x14ac:dyDescent="0.25">
      <c r="A2" s="1"/>
      <c r="B2" s="12" t="s">
        <v>0</v>
      </c>
      <c r="C2" s="12"/>
      <c r="D2" s="12"/>
      <c r="E2" s="12" t="s">
        <v>1</v>
      </c>
      <c r="F2" s="12"/>
      <c r="G2" s="12"/>
      <c r="H2" s="12" t="s">
        <v>2</v>
      </c>
      <c r="I2" s="12"/>
      <c r="J2" s="12"/>
      <c r="K2" s="1" t="s">
        <v>18</v>
      </c>
    </row>
    <row r="3" spans="1:15" x14ac:dyDescent="0.25">
      <c r="A3" s="1"/>
      <c r="B3" s="1"/>
      <c r="C3" s="1"/>
      <c r="D3" s="1" t="s">
        <v>4</v>
      </c>
      <c r="E3" s="1"/>
      <c r="F3" s="1"/>
      <c r="G3" s="5" t="s">
        <v>4</v>
      </c>
      <c r="H3" s="1"/>
      <c r="I3" s="1"/>
      <c r="J3" s="5" t="s">
        <v>4</v>
      </c>
      <c r="K3" s="1"/>
    </row>
    <row r="4" spans="1:15" ht="21.6" customHeight="1" x14ac:dyDescent="0.25">
      <c r="A4" s="1" t="s">
        <v>3</v>
      </c>
      <c r="B4" s="1"/>
      <c r="C4" s="1"/>
      <c r="D4" s="5">
        <v>251</v>
      </c>
      <c r="E4" s="1"/>
      <c r="F4" s="1"/>
      <c r="G4" s="5">
        <v>259</v>
      </c>
      <c r="H4" s="1"/>
      <c r="I4" s="1"/>
      <c r="J4" s="5">
        <v>199</v>
      </c>
      <c r="K4" s="1">
        <f>D4+G4+J4</f>
        <v>709</v>
      </c>
      <c r="L4" t="s">
        <v>24</v>
      </c>
    </row>
    <row r="5" spans="1:15" ht="21.6" customHeight="1" x14ac:dyDescent="0.25">
      <c r="A5" s="1" t="s">
        <v>11</v>
      </c>
      <c r="B5" s="1" t="s">
        <v>12</v>
      </c>
      <c r="C5" s="4" t="s">
        <v>13</v>
      </c>
      <c r="D5" s="6">
        <f>10433*12</f>
        <v>125196</v>
      </c>
      <c r="E5" s="3" t="s">
        <v>14</v>
      </c>
      <c r="F5" s="4" t="s">
        <v>17</v>
      </c>
      <c r="G5" s="6">
        <f>9397*12.33</f>
        <v>115865.01</v>
      </c>
      <c r="H5" s="3" t="s">
        <v>15</v>
      </c>
      <c r="I5" s="4" t="s">
        <v>16</v>
      </c>
      <c r="J5" s="6">
        <f>7775*14.65</f>
        <v>113903.75</v>
      </c>
      <c r="K5" s="3">
        <f>D5+G5+J5</f>
        <v>354964.76</v>
      </c>
      <c r="L5" t="s">
        <v>21</v>
      </c>
    </row>
    <row r="6" spans="1:15" x14ac:dyDescent="0.25">
      <c r="A6" s="11" t="s">
        <v>5</v>
      </c>
      <c r="B6" s="1">
        <v>7840</v>
      </c>
      <c r="C6" s="1">
        <v>7885</v>
      </c>
      <c r="D6" s="5">
        <f>C6-B6</f>
        <v>45</v>
      </c>
      <c r="E6" s="1">
        <v>7885</v>
      </c>
      <c r="F6" s="1">
        <v>7961</v>
      </c>
      <c r="G6" s="5">
        <f>F6-E6</f>
        <v>76</v>
      </c>
      <c r="H6" s="11">
        <v>7961</v>
      </c>
      <c r="I6" s="11">
        <v>8024</v>
      </c>
      <c r="J6" s="5">
        <f>I6-H6</f>
        <v>63</v>
      </c>
      <c r="K6" s="1">
        <f>I6-B6</f>
        <v>184</v>
      </c>
      <c r="L6" t="s">
        <v>22</v>
      </c>
    </row>
    <row r="7" spans="1:15" x14ac:dyDescent="0.25">
      <c r="A7" s="1" t="s">
        <v>6</v>
      </c>
      <c r="B7" s="1"/>
      <c r="C7" s="1"/>
      <c r="D7" s="5">
        <f>74+79+40</f>
        <v>193</v>
      </c>
      <c r="E7" s="1"/>
      <c r="F7" s="1"/>
      <c r="G7" s="5">
        <f>63+78+100+104</f>
        <v>345</v>
      </c>
      <c r="H7" s="1"/>
      <c r="I7" s="1"/>
      <c r="J7" s="11">
        <f>94+94+92</f>
        <v>280</v>
      </c>
      <c r="K7" s="1">
        <f>D7+G7+J7</f>
        <v>818</v>
      </c>
      <c r="L7" t="s">
        <v>20</v>
      </c>
    </row>
    <row r="8" spans="1:15" x14ac:dyDescent="0.25">
      <c r="A8" s="11" t="s">
        <v>7</v>
      </c>
      <c r="B8" s="1">
        <v>132</v>
      </c>
      <c r="C8" s="1">
        <v>214</v>
      </c>
      <c r="D8" s="5">
        <f>C8-B8</f>
        <v>82</v>
      </c>
      <c r="E8" s="1">
        <v>214</v>
      </c>
      <c r="F8" s="1">
        <v>378</v>
      </c>
      <c r="G8" s="5">
        <f>F8-E8</f>
        <v>164</v>
      </c>
      <c r="H8" s="11">
        <v>378</v>
      </c>
      <c r="I8" s="11">
        <v>476</v>
      </c>
      <c r="J8" s="5">
        <f>I8-H8</f>
        <v>98</v>
      </c>
      <c r="K8" s="1">
        <f>I8-B8</f>
        <v>344</v>
      </c>
      <c r="L8" t="s">
        <v>22</v>
      </c>
    </row>
    <row r="9" spans="1:15" x14ac:dyDescent="0.25">
      <c r="A9" s="1" t="s">
        <v>8</v>
      </c>
      <c r="B9" s="1"/>
      <c r="C9" s="1"/>
      <c r="D9" s="5">
        <f>8*80</f>
        <v>640</v>
      </c>
      <c r="E9" s="1"/>
      <c r="F9" s="1"/>
      <c r="G9" s="5">
        <f>15*80</f>
        <v>1200</v>
      </c>
      <c r="H9" s="1"/>
      <c r="I9" s="1"/>
      <c r="J9" s="11">
        <f>11*80</f>
        <v>880</v>
      </c>
      <c r="K9" s="8">
        <f>D9+G9+J9</f>
        <v>2720</v>
      </c>
      <c r="L9" t="s">
        <v>20</v>
      </c>
    </row>
    <row r="10" spans="1:15" x14ac:dyDescent="0.25">
      <c r="A10" s="1"/>
      <c r="B10" s="1"/>
      <c r="C10" s="1"/>
      <c r="D10" s="5"/>
      <c r="E10" s="1"/>
      <c r="F10" s="1"/>
      <c r="G10" s="5"/>
      <c r="H10" s="1"/>
      <c r="I10" s="1"/>
      <c r="J10" s="5"/>
      <c r="K10" s="8"/>
    </row>
    <row r="11" spans="1:15" x14ac:dyDescent="0.25">
      <c r="A11" s="1" t="s">
        <v>9</v>
      </c>
      <c r="B11" s="1"/>
      <c r="C11" s="1"/>
      <c r="D11" s="7">
        <f>D7/D6</f>
        <v>4.2888888888888888</v>
      </c>
      <c r="E11" s="2"/>
      <c r="F11" s="2"/>
      <c r="G11" s="7">
        <f>G7/G6</f>
        <v>4.5394736842105265</v>
      </c>
      <c r="H11" s="2"/>
      <c r="I11" s="2"/>
      <c r="J11" s="7">
        <f>J7/J6</f>
        <v>4.4444444444444446</v>
      </c>
      <c r="K11" s="9">
        <f>K7/K6</f>
        <v>4.4456521739130439</v>
      </c>
      <c r="L11" t="s">
        <v>23</v>
      </c>
      <c r="N11" t="s">
        <v>26</v>
      </c>
      <c r="O11">
        <v>4.7300000000000004</v>
      </c>
    </row>
    <row r="12" spans="1:15" x14ac:dyDescent="0.25">
      <c r="A12" s="1" t="s">
        <v>10</v>
      </c>
      <c r="B12" s="1"/>
      <c r="C12" s="1"/>
      <c r="D12" s="7">
        <f>D9/D8</f>
        <v>7.8048780487804876</v>
      </c>
      <c r="E12" s="2"/>
      <c r="F12" s="2"/>
      <c r="G12" s="7">
        <f>G9/G8</f>
        <v>7.3170731707317076</v>
      </c>
      <c r="H12" s="2"/>
      <c r="I12" s="2"/>
      <c r="J12" s="7">
        <f>J9/J8</f>
        <v>8.9795918367346932</v>
      </c>
      <c r="K12" s="9">
        <f>K9/K8</f>
        <v>7.9069767441860463</v>
      </c>
      <c r="L12" t="s">
        <v>23</v>
      </c>
    </row>
    <row r="13" spans="1:15" x14ac:dyDescent="0.25">
      <c r="A13" s="8" t="s">
        <v>19</v>
      </c>
      <c r="B13" s="1"/>
      <c r="C13" s="1"/>
      <c r="D13" s="6">
        <f>D4/D6</f>
        <v>5.5777777777777775</v>
      </c>
      <c r="E13" s="3"/>
      <c r="F13" s="3"/>
      <c r="G13" s="6">
        <f>G4/G6</f>
        <v>3.4078947368421053</v>
      </c>
      <c r="H13" s="3"/>
      <c r="I13" s="3"/>
      <c r="J13" s="6">
        <f>J4/J6</f>
        <v>3.1587301587301586</v>
      </c>
      <c r="K13" s="10">
        <f>K4/K6</f>
        <v>3.8532608695652173</v>
      </c>
      <c r="L13" t="s">
        <v>25</v>
      </c>
    </row>
  </sheetData>
  <mergeCells count="3">
    <mergeCell ref="B2:D2"/>
    <mergeCell ref="E2:G2"/>
    <mergeCell ref="H2:J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cfo</cp:lastModifiedBy>
  <dcterms:created xsi:type="dcterms:W3CDTF">2015-06-05T18:17:20Z</dcterms:created>
  <dcterms:modified xsi:type="dcterms:W3CDTF">2026-02-23T18:43:01Z</dcterms:modified>
</cp:coreProperties>
</file>
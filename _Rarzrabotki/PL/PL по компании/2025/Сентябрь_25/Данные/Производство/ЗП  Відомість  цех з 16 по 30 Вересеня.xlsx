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public\Фінансовий відділ\! PnL\PL по компании\2025\Сентябрь_2025\Данные\Производство\"/>
    </mc:Choice>
  </mc:AlternateContent>
  <xr:revisionPtr revIDLastSave="0" documentId="13_ncr:1_{B9E50E77-5FE1-4C60-B9C2-B32AE03D0FD5}" xr6:coauthVersionLast="45" xr6:coauthVersionMax="45" xr10:uidLastSave="{00000000-0000-0000-0000-000000000000}"/>
  <bookViews>
    <workbookView xWindow="-120" yWindow="-120" windowWidth="29040" windowHeight="15990" tabRatio="801" firstSheet="2" activeTab="2" xr2:uid="{00000000-000D-0000-FFFF-FFFF00000000}"/>
  </bookViews>
  <sheets>
    <sheet name="Лист2" sheetId="30" state="hidden" r:id="rId1"/>
    <sheet name="Лист1" sheetId="29" state="hidden" r:id="rId2"/>
    <sheet name="Табель цех 16 по 30 вересня" sheetId="34" r:id="rId3"/>
    <sheet name="ИТР" sheetId="38" r:id="rId4"/>
    <sheet name="_ЦО" sheetId="55" r:id="rId5"/>
    <sheet name="МХП лазня" sheetId="56" r:id="rId6"/>
    <sheet name="Катеринополь" sheetId="41" r:id="rId7"/>
    <sheet name="ВООЗ" sheetId="62" r:id="rId8"/>
    <sheet name="Кернел" sheetId="45" r:id="rId9"/>
    <sheet name="Глобино Мк" sheetId="52" r:id="rId10"/>
    <sheet name="ВООЗ ЕМС" sheetId="57" r:id="rId11"/>
    <sheet name="ООН 36" sheetId="63" r:id="rId12"/>
    <sheet name="ООН 37" sheetId="64" r:id="rId13"/>
    <sheet name="ООН 38" sheetId="65" r:id="rId14"/>
    <sheet name="ООН39" sheetId="66" r:id="rId15"/>
    <sheet name="ООН 40" sheetId="67" r:id="rId16"/>
    <sheet name="ООН №43" sheetId="58" r:id="rId17"/>
    <sheet name="ООН 44" sheetId="59" r:id="rId18"/>
    <sheet name="ООН 45" sheetId="60" r:id="rId19"/>
    <sheet name="ООН46" sheetId="69" r:id="rId20"/>
    <sheet name="ООН47" sheetId="70" r:id="rId21"/>
    <sheet name="ООН48" sheetId="71" r:id="rId22"/>
    <sheet name="ООН49" sheetId="72" r:id="rId23"/>
    <sheet name="ООн50" sheetId="73" r:id="rId24"/>
    <sheet name="ООН51" sheetId="74" r:id="rId25"/>
    <sheet name="Форшахта" sheetId="75" r:id="rId26"/>
    <sheet name="ГАлерея 25.6" sheetId="76" r:id="rId27"/>
    <sheet name="ГРП" sheetId="77" r:id="rId28"/>
    <sheet name="Парк меляси" sheetId="78" r:id="rId29"/>
    <sheet name="ООН 42" sheetId="68" r:id="rId30"/>
    <sheet name="Распределени" sheetId="23" state="hidden" r:id="rId31"/>
    <sheet name="Загальна по роботам" sheetId="17" state="hidden" r:id="rId32"/>
    <sheet name="1С Крушинка" sheetId="19" state="hidden" r:id="rId33"/>
    <sheet name="1С цех" sheetId="21" state="hidden" r:id="rId34"/>
  </sheets>
  <externalReferences>
    <externalReference r:id="rId35"/>
  </externalReferences>
  <definedNames>
    <definedName name="_xlnm._FilterDatabase" localSheetId="1" hidden="1">Лист1!$B$2:$J$46</definedName>
    <definedName name="_xlnm._FilterDatabase" localSheetId="0" hidden="1">Лист2!$A$1:$I$250</definedName>
    <definedName name="_xlnm._FilterDatabase" localSheetId="30" hidden="1">Распределени!$A$1:$Q$27</definedName>
    <definedName name="_xlnm._FilterDatabase" localSheetId="2" hidden="1">'Табель цех 16 по 30 вересня'!$A$1:$J$69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4" i="34" l="1"/>
  <c r="G5" i="34"/>
  <c r="G6" i="34"/>
  <c r="G7" i="34"/>
  <c r="G8" i="34"/>
  <c r="G9" i="34"/>
  <c r="G10" i="34"/>
  <c r="G11" i="34"/>
  <c r="G12" i="34"/>
  <c r="G13" i="34"/>
  <c r="G14" i="34"/>
  <c r="G15" i="34"/>
  <c r="G16" i="34"/>
  <c r="H16" i="34" s="1"/>
  <c r="G17" i="34"/>
  <c r="H17" i="34" s="1"/>
  <c r="G18" i="34"/>
  <c r="H18" i="34" s="1"/>
  <c r="G19" i="34"/>
  <c r="H19" i="34" s="1"/>
  <c r="G20" i="34"/>
  <c r="H20" i="34" s="1"/>
  <c r="G21" i="34"/>
  <c r="H21" i="34" s="1"/>
  <c r="G22" i="34"/>
  <c r="H22" i="34" s="1"/>
  <c r="G23" i="34"/>
  <c r="H23" i="34" s="1"/>
  <c r="G24" i="34"/>
  <c r="H24" i="34" s="1"/>
  <c r="G25" i="34"/>
  <c r="H25" i="34" s="1"/>
  <c r="G26" i="34"/>
  <c r="H26" i="34" s="1"/>
  <c r="G27" i="34"/>
  <c r="H27" i="34" s="1"/>
  <c r="G28" i="34"/>
  <c r="H28" i="34" s="1"/>
  <c r="G29" i="34"/>
  <c r="G30" i="34"/>
  <c r="G31" i="34"/>
  <c r="G32" i="34"/>
  <c r="G33" i="34"/>
  <c r="G34" i="34"/>
  <c r="G35" i="34"/>
  <c r="G36" i="34"/>
  <c r="G37" i="34"/>
  <c r="G38" i="34"/>
  <c r="G39" i="34"/>
  <c r="G40" i="34"/>
  <c r="G41" i="34"/>
  <c r="G42" i="34"/>
  <c r="H42" i="34" s="1"/>
  <c r="G43" i="34"/>
  <c r="H43" i="34" s="1"/>
  <c r="G44" i="34"/>
  <c r="H44" i="34" s="1"/>
  <c r="G45" i="34"/>
  <c r="H45" i="34" s="1"/>
  <c r="G46" i="34"/>
  <c r="H46" i="34" s="1"/>
  <c r="G47" i="34"/>
  <c r="H47" i="34" s="1"/>
  <c r="G48" i="34"/>
  <c r="H48" i="34" s="1"/>
  <c r="G49" i="34"/>
  <c r="H49" i="34" s="1"/>
  <c r="G50" i="34"/>
  <c r="H50" i="34" s="1"/>
  <c r="G51" i="34"/>
  <c r="H51" i="34" s="1"/>
  <c r="G52" i="34"/>
  <c r="H52" i="34" s="1"/>
  <c r="G53" i="34"/>
  <c r="H53" i="34" s="1"/>
  <c r="G54" i="34"/>
  <c r="H54" i="34" s="1"/>
  <c r="G55" i="34"/>
  <c r="G56" i="34"/>
  <c r="G57" i="34"/>
  <c r="G58" i="34"/>
  <c r="G59" i="34"/>
  <c r="G60" i="34"/>
  <c r="G61" i="34"/>
  <c r="G62" i="34"/>
  <c r="G63" i="34"/>
  <c r="G64" i="34"/>
  <c r="G65" i="34"/>
  <c r="G66" i="34"/>
  <c r="H4" i="34"/>
  <c r="H5" i="34"/>
  <c r="H6" i="34"/>
  <c r="H7" i="34"/>
  <c r="H8" i="34"/>
  <c r="H9" i="34"/>
  <c r="H10" i="34"/>
  <c r="H11" i="34"/>
  <c r="H12" i="34"/>
  <c r="H13" i="34"/>
  <c r="H14" i="34"/>
  <c r="H15" i="34"/>
  <c r="H29" i="34"/>
  <c r="H30" i="34"/>
  <c r="H31" i="34"/>
  <c r="H32" i="34"/>
  <c r="H33" i="34"/>
  <c r="H34" i="34"/>
  <c r="H35" i="34"/>
  <c r="H36" i="34"/>
  <c r="H37" i="34"/>
  <c r="H38" i="34"/>
  <c r="H39" i="34"/>
  <c r="H40" i="34"/>
  <c r="H41" i="34"/>
  <c r="H55" i="34"/>
  <c r="H56" i="34"/>
  <c r="H57" i="34"/>
  <c r="H58" i="34"/>
  <c r="H59" i="34"/>
  <c r="H60" i="34"/>
  <c r="H61" i="34"/>
  <c r="H62" i="34"/>
  <c r="H63" i="34"/>
  <c r="H64" i="34"/>
  <c r="H65" i="34"/>
  <c r="H66" i="34"/>
  <c r="F3" i="34"/>
  <c r="F4" i="34"/>
  <c r="F5" i="34"/>
  <c r="F6" i="34"/>
  <c r="F7" i="34"/>
  <c r="F8" i="34"/>
  <c r="F9" i="34"/>
  <c r="F10" i="34"/>
  <c r="F11" i="34"/>
  <c r="F12" i="34"/>
  <c r="F13" i="34"/>
  <c r="F14" i="34"/>
  <c r="F15" i="34"/>
  <c r="F16" i="34"/>
  <c r="F17" i="34"/>
  <c r="F18" i="34"/>
  <c r="F19" i="34"/>
  <c r="F20" i="34"/>
  <c r="F21" i="34"/>
  <c r="F22" i="34"/>
  <c r="F23" i="34"/>
  <c r="F24" i="34"/>
  <c r="F25" i="34"/>
  <c r="F26" i="34"/>
  <c r="F27" i="34"/>
  <c r="F28" i="34"/>
  <c r="F29" i="34"/>
  <c r="F30" i="34"/>
  <c r="F31" i="34"/>
  <c r="F32" i="34"/>
  <c r="F33" i="34"/>
  <c r="F34" i="34"/>
  <c r="F35" i="34"/>
  <c r="F36" i="34"/>
  <c r="F37" i="34"/>
  <c r="F38" i="34"/>
  <c r="F39" i="34"/>
  <c r="F40" i="34"/>
  <c r="F41" i="34"/>
  <c r="F42" i="34"/>
  <c r="F43" i="34"/>
  <c r="F44" i="34"/>
  <c r="F45" i="34"/>
  <c r="F46" i="34"/>
  <c r="F47" i="34"/>
  <c r="F48" i="34"/>
  <c r="F49" i="34"/>
  <c r="F50" i="34"/>
  <c r="F51" i="34"/>
  <c r="F52" i="34"/>
  <c r="F53" i="34"/>
  <c r="F54" i="34"/>
  <c r="F55" i="34"/>
  <c r="F56" i="34"/>
  <c r="F57" i="34"/>
  <c r="F58" i="34"/>
  <c r="F59" i="34"/>
  <c r="F60" i="34"/>
  <c r="F61" i="34"/>
  <c r="F62" i="34"/>
  <c r="F63" i="34"/>
  <c r="F64" i="34"/>
  <c r="F65" i="34"/>
  <c r="F66" i="34"/>
  <c r="F2" i="34"/>
  <c r="T64" i="68" l="1"/>
  <c r="T63" i="68"/>
  <c r="T62" i="68"/>
  <c r="T61" i="68"/>
  <c r="T60" i="68"/>
  <c r="T59" i="68"/>
  <c r="T58" i="68"/>
  <c r="T57" i="68"/>
  <c r="T56" i="68"/>
  <c r="T55" i="68"/>
  <c r="T54" i="68"/>
  <c r="T53" i="68"/>
  <c r="T52" i="68"/>
  <c r="T51" i="68"/>
  <c r="T50" i="68"/>
  <c r="T49" i="68"/>
  <c r="T48" i="68"/>
  <c r="T47" i="68"/>
  <c r="T46" i="68"/>
  <c r="T45" i="68"/>
  <c r="T44" i="68"/>
  <c r="T43" i="68"/>
  <c r="T42" i="68"/>
  <c r="T41" i="68"/>
  <c r="T40" i="68"/>
  <c r="T39" i="68"/>
  <c r="T38" i="68"/>
  <c r="T37" i="68"/>
  <c r="T36" i="68"/>
  <c r="T35" i="68"/>
  <c r="T34" i="68"/>
  <c r="T33" i="68"/>
  <c r="T32" i="68"/>
  <c r="T31" i="68"/>
  <c r="T30" i="68"/>
  <c r="T29" i="68"/>
  <c r="T28" i="68"/>
  <c r="T27" i="68"/>
  <c r="T26" i="68"/>
  <c r="T25" i="68"/>
  <c r="T24" i="68"/>
  <c r="T23" i="68"/>
  <c r="T22" i="68"/>
  <c r="T21" i="68"/>
  <c r="T20" i="68"/>
  <c r="T19" i="68"/>
  <c r="T18" i="68"/>
  <c r="T17" i="68"/>
  <c r="T16" i="68"/>
  <c r="T15" i="68"/>
  <c r="T14" i="68"/>
  <c r="T13" i="68"/>
  <c r="T12" i="68"/>
  <c r="T11" i="68"/>
  <c r="T10" i="68"/>
  <c r="T9" i="68"/>
  <c r="T8" i="68"/>
  <c r="T7" i="68"/>
  <c r="T6" i="68"/>
  <c r="T5" i="68"/>
  <c r="T4" i="68"/>
  <c r="T3" i="68"/>
  <c r="T2" i="68"/>
  <c r="T64" i="78"/>
  <c r="T63" i="78"/>
  <c r="T62" i="78"/>
  <c r="T61" i="78"/>
  <c r="T60" i="78"/>
  <c r="T59" i="78"/>
  <c r="T58" i="78"/>
  <c r="T57" i="78"/>
  <c r="T56" i="78"/>
  <c r="T55" i="78"/>
  <c r="T54" i="78"/>
  <c r="T53" i="78"/>
  <c r="T52" i="78"/>
  <c r="T51" i="78"/>
  <c r="T50" i="78"/>
  <c r="T49" i="78"/>
  <c r="T48" i="78"/>
  <c r="T47" i="78"/>
  <c r="T46" i="78"/>
  <c r="T45" i="78"/>
  <c r="T44" i="78"/>
  <c r="T43" i="78"/>
  <c r="T42" i="78"/>
  <c r="T41" i="78"/>
  <c r="T40" i="78"/>
  <c r="T39" i="78"/>
  <c r="T38" i="78"/>
  <c r="T37" i="78"/>
  <c r="T36" i="78"/>
  <c r="T35" i="78"/>
  <c r="T34" i="78"/>
  <c r="T33" i="78"/>
  <c r="T32" i="78"/>
  <c r="T31" i="78"/>
  <c r="T30" i="78"/>
  <c r="T29" i="78"/>
  <c r="T28" i="78"/>
  <c r="T27" i="78"/>
  <c r="T26" i="78"/>
  <c r="T25" i="78"/>
  <c r="T24" i="78"/>
  <c r="T23" i="78"/>
  <c r="T22" i="78"/>
  <c r="T21" i="78"/>
  <c r="T20" i="78"/>
  <c r="T19" i="78"/>
  <c r="T18" i="78"/>
  <c r="T17" i="78"/>
  <c r="T16" i="78"/>
  <c r="T15" i="78"/>
  <c r="T14" i="78"/>
  <c r="T13" i="78"/>
  <c r="T12" i="78"/>
  <c r="T11" i="78"/>
  <c r="T10" i="78"/>
  <c r="T9" i="78"/>
  <c r="T8" i="78"/>
  <c r="T7" i="78"/>
  <c r="T6" i="78"/>
  <c r="T5" i="78"/>
  <c r="T4" i="78"/>
  <c r="T3" i="78"/>
  <c r="T2" i="78"/>
  <c r="AI64" i="77"/>
  <c r="AI63" i="77"/>
  <c r="AI62" i="77"/>
  <c r="AI61" i="77"/>
  <c r="AI60" i="77"/>
  <c r="AI59" i="77"/>
  <c r="AI58" i="77"/>
  <c r="AI57" i="77"/>
  <c r="AI56" i="77"/>
  <c r="AI55" i="77"/>
  <c r="AI54" i="77"/>
  <c r="AI53" i="77"/>
  <c r="AI52" i="77"/>
  <c r="AI51" i="77"/>
  <c r="AI50" i="77"/>
  <c r="AI49" i="77"/>
  <c r="AI48" i="77"/>
  <c r="AI47" i="77"/>
  <c r="AI46" i="77"/>
  <c r="AI45" i="77"/>
  <c r="AI44" i="77"/>
  <c r="AI43" i="77"/>
  <c r="AI42" i="77"/>
  <c r="AI41" i="77"/>
  <c r="AI40" i="77"/>
  <c r="AI39" i="77"/>
  <c r="AI38" i="77"/>
  <c r="AI37" i="77"/>
  <c r="AI36" i="77"/>
  <c r="AI35" i="77"/>
  <c r="AI34" i="77"/>
  <c r="AI33" i="77"/>
  <c r="AI32" i="77"/>
  <c r="AI31" i="77"/>
  <c r="AI30" i="77"/>
  <c r="AI29" i="77"/>
  <c r="AI28" i="77"/>
  <c r="AI27" i="77"/>
  <c r="AI26" i="77"/>
  <c r="AI25" i="77"/>
  <c r="AI24" i="77"/>
  <c r="AI23" i="77"/>
  <c r="AI22" i="77"/>
  <c r="AI21" i="77"/>
  <c r="AI20" i="77"/>
  <c r="AI19" i="77"/>
  <c r="AI18" i="77"/>
  <c r="AI17" i="77"/>
  <c r="AI16" i="77"/>
  <c r="AI15" i="77"/>
  <c r="AI14" i="77"/>
  <c r="AI13" i="77"/>
  <c r="AI12" i="77"/>
  <c r="AI11" i="77"/>
  <c r="AI10" i="77"/>
  <c r="AI9" i="77"/>
  <c r="AI8" i="77"/>
  <c r="AI7" i="77"/>
  <c r="AI6" i="77"/>
  <c r="AI5" i="77"/>
  <c r="AI4" i="77"/>
  <c r="AI3" i="77"/>
  <c r="AI2" i="77"/>
  <c r="T64" i="76"/>
  <c r="T63" i="76"/>
  <c r="T62" i="76"/>
  <c r="T61" i="76"/>
  <c r="T60" i="76"/>
  <c r="T59" i="76"/>
  <c r="T58" i="76"/>
  <c r="T57" i="76"/>
  <c r="T56" i="76"/>
  <c r="T55" i="76"/>
  <c r="T54" i="76"/>
  <c r="T53" i="76"/>
  <c r="T52" i="76"/>
  <c r="T51" i="76"/>
  <c r="T50" i="76"/>
  <c r="T49" i="76"/>
  <c r="T48" i="76"/>
  <c r="T47" i="76"/>
  <c r="T46" i="76"/>
  <c r="T45" i="76"/>
  <c r="T44" i="76"/>
  <c r="T43" i="76"/>
  <c r="T42" i="76"/>
  <c r="T41" i="76"/>
  <c r="T40" i="76"/>
  <c r="T39" i="76"/>
  <c r="T38" i="76"/>
  <c r="T37" i="76"/>
  <c r="T36" i="76"/>
  <c r="T35" i="76"/>
  <c r="T34" i="76"/>
  <c r="T33" i="76"/>
  <c r="T32" i="76"/>
  <c r="T31" i="76"/>
  <c r="T30" i="76"/>
  <c r="T29" i="76"/>
  <c r="T28" i="76"/>
  <c r="T27" i="76"/>
  <c r="T26" i="76"/>
  <c r="T25" i="76"/>
  <c r="T24" i="76"/>
  <c r="T23" i="76"/>
  <c r="T22" i="76"/>
  <c r="T21" i="76"/>
  <c r="T20" i="76"/>
  <c r="T19" i="76"/>
  <c r="T18" i="76"/>
  <c r="T17" i="76"/>
  <c r="T16" i="76"/>
  <c r="T15" i="76"/>
  <c r="T14" i="76"/>
  <c r="T13" i="76"/>
  <c r="T12" i="76"/>
  <c r="T11" i="76"/>
  <c r="T10" i="76"/>
  <c r="T9" i="76"/>
  <c r="T8" i="76"/>
  <c r="T7" i="76"/>
  <c r="T6" i="76"/>
  <c r="T5" i="76"/>
  <c r="T4" i="76"/>
  <c r="T3" i="76"/>
  <c r="T2" i="76"/>
  <c r="T64" i="75"/>
  <c r="T63" i="75"/>
  <c r="T62" i="75"/>
  <c r="T61" i="75"/>
  <c r="T60" i="75"/>
  <c r="T59" i="75"/>
  <c r="T58" i="75"/>
  <c r="T57" i="75"/>
  <c r="T56" i="75"/>
  <c r="T55" i="75"/>
  <c r="T54" i="75"/>
  <c r="T53" i="75"/>
  <c r="T52" i="75"/>
  <c r="T51" i="75"/>
  <c r="T50" i="75"/>
  <c r="T49" i="75"/>
  <c r="T48" i="75"/>
  <c r="T47" i="75"/>
  <c r="T46" i="75"/>
  <c r="T45" i="75"/>
  <c r="T44" i="75"/>
  <c r="T43" i="75"/>
  <c r="T42" i="75"/>
  <c r="T41" i="75"/>
  <c r="T40" i="75"/>
  <c r="T39" i="75"/>
  <c r="T38" i="75"/>
  <c r="T37" i="75"/>
  <c r="T36" i="75"/>
  <c r="T35" i="75"/>
  <c r="T34" i="75"/>
  <c r="T33" i="75"/>
  <c r="T32" i="75"/>
  <c r="T31" i="75"/>
  <c r="T30" i="75"/>
  <c r="T29" i="75"/>
  <c r="T28" i="75"/>
  <c r="T27" i="75"/>
  <c r="T26" i="75"/>
  <c r="T25" i="75"/>
  <c r="T24" i="75"/>
  <c r="T23" i="75"/>
  <c r="T22" i="75"/>
  <c r="T21" i="75"/>
  <c r="T20" i="75"/>
  <c r="T19" i="75"/>
  <c r="T18" i="75"/>
  <c r="T17" i="75"/>
  <c r="T16" i="75"/>
  <c r="T15" i="75"/>
  <c r="T14" i="75"/>
  <c r="T13" i="75"/>
  <c r="T12" i="75"/>
  <c r="T11" i="75"/>
  <c r="T10" i="75"/>
  <c r="T9" i="75"/>
  <c r="T8" i="75"/>
  <c r="T7" i="75"/>
  <c r="T6" i="75"/>
  <c r="T5" i="75"/>
  <c r="T4" i="75"/>
  <c r="T3" i="75"/>
  <c r="T2" i="75"/>
  <c r="T64" i="74"/>
  <c r="T63" i="74"/>
  <c r="T62" i="74"/>
  <c r="T61" i="74"/>
  <c r="T60" i="74"/>
  <c r="T59" i="74"/>
  <c r="T58" i="74"/>
  <c r="T57" i="74"/>
  <c r="T56" i="74"/>
  <c r="T55" i="74"/>
  <c r="T54" i="74"/>
  <c r="T53" i="74"/>
  <c r="T52" i="74"/>
  <c r="T51" i="74"/>
  <c r="T50" i="74"/>
  <c r="T49" i="74"/>
  <c r="T48" i="74"/>
  <c r="T47" i="74"/>
  <c r="T46" i="74"/>
  <c r="T45" i="74"/>
  <c r="T44" i="74"/>
  <c r="T43" i="74"/>
  <c r="T42" i="74"/>
  <c r="T41" i="74"/>
  <c r="T40" i="74"/>
  <c r="T39" i="74"/>
  <c r="T38" i="74"/>
  <c r="T37" i="74"/>
  <c r="T36" i="74"/>
  <c r="T35" i="74"/>
  <c r="T34" i="74"/>
  <c r="T33" i="74"/>
  <c r="T32" i="74"/>
  <c r="T31" i="74"/>
  <c r="T30" i="74"/>
  <c r="T29" i="74"/>
  <c r="T28" i="74"/>
  <c r="T27" i="74"/>
  <c r="T26" i="74"/>
  <c r="T25" i="74"/>
  <c r="T24" i="74"/>
  <c r="T23" i="74"/>
  <c r="T22" i="74"/>
  <c r="T21" i="74"/>
  <c r="T20" i="74"/>
  <c r="T19" i="74"/>
  <c r="T18" i="74"/>
  <c r="T17" i="74"/>
  <c r="T16" i="74"/>
  <c r="T15" i="74"/>
  <c r="T14" i="74"/>
  <c r="T13" i="74"/>
  <c r="T12" i="74"/>
  <c r="T11" i="74"/>
  <c r="T10" i="74"/>
  <c r="T9" i="74"/>
  <c r="T8" i="74"/>
  <c r="T7" i="74"/>
  <c r="T6" i="74"/>
  <c r="T5" i="74"/>
  <c r="T4" i="74"/>
  <c r="T3" i="74"/>
  <c r="T2" i="74"/>
  <c r="T64" i="73"/>
  <c r="T63" i="73"/>
  <c r="T62" i="73"/>
  <c r="T61" i="73"/>
  <c r="T60" i="73"/>
  <c r="T59" i="73"/>
  <c r="T58" i="73"/>
  <c r="T57" i="73"/>
  <c r="T56" i="73"/>
  <c r="T55" i="73"/>
  <c r="T54" i="73"/>
  <c r="T53" i="73"/>
  <c r="T52" i="73"/>
  <c r="T51" i="73"/>
  <c r="T50" i="73"/>
  <c r="T49" i="73"/>
  <c r="T48" i="73"/>
  <c r="T47" i="73"/>
  <c r="T46" i="73"/>
  <c r="T45" i="73"/>
  <c r="T44" i="73"/>
  <c r="T43" i="73"/>
  <c r="T42" i="73"/>
  <c r="T41" i="73"/>
  <c r="T40" i="73"/>
  <c r="T39" i="73"/>
  <c r="T38" i="73"/>
  <c r="T37" i="73"/>
  <c r="T36" i="73"/>
  <c r="T35" i="73"/>
  <c r="T34" i="73"/>
  <c r="T33" i="73"/>
  <c r="T32" i="73"/>
  <c r="T31" i="73"/>
  <c r="T30" i="73"/>
  <c r="T29" i="73"/>
  <c r="T28" i="73"/>
  <c r="T27" i="73"/>
  <c r="T26" i="73"/>
  <c r="T25" i="73"/>
  <c r="T24" i="73"/>
  <c r="T23" i="73"/>
  <c r="T22" i="73"/>
  <c r="T21" i="73"/>
  <c r="T20" i="73"/>
  <c r="T19" i="73"/>
  <c r="T18" i="73"/>
  <c r="T17" i="73"/>
  <c r="T16" i="73"/>
  <c r="T15" i="73"/>
  <c r="T14" i="73"/>
  <c r="T13" i="73"/>
  <c r="T12" i="73"/>
  <c r="T11" i="73"/>
  <c r="T10" i="73"/>
  <c r="T9" i="73"/>
  <c r="T8" i="73"/>
  <c r="T7" i="73"/>
  <c r="T6" i="73"/>
  <c r="T5" i="73"/>
  <c r="T4" i="73"/>
  <c r="T3" i="73"/>
  <c r="T2" i="73"/>
  <c r="T64" i="72"/>
  <c r="T63" i="72"/>
  <c r="T62" i="72"/>
  <c r="T61" i="72"/>
  <c r="T60" i="72"/>
  <c r="T59" i="72"/>
  <c r="T58" i="72"/>
  <c r="T57" i="72"/>
  <c r="T56" i="72"/>
  <c r="T55" i="72"/>
  <c r="T54" i="72"/>
  <c r="T53" i="72"/>
  <c r="T52" i="72"/>
  <c r="T51" i="72"/>
  <c r="I53" i="34" s="1"/>
  <c r="T50" i="72"/>
  <c r="T49" i="72"/>
  <c r="T48" i="72"/>
  <c r="T47" i="72"/>
  <c r="T46" i="72"/>
  <c r="T45" i="72"/>
  <c r="T44" i="72"/>
  <c r="T43" i="72"/>
  <c r="T42" i="72"/>
  <c r="T41" i="72"/>
  <c r="T40" i="72"/>
  <c r="T39" i="72"/>
  <c r="T38" i="72"/>
  <c r="T37" i="72"/>
  <c r="T36" i="72"/>
  <c r="T35" i="72"/>
  <c r="T34" i="72"/>
  <c r="T33" i="72"/>
  <c r="T32" i="72"/>
  <c r="T31" i="72"/>
  <c r="T30" i="72"/>
  <c r="T29" i="72"/>
  <c r="T28" i="72"/>
  <c r="T27" i="72"/>
  <c r="T26" i="72"/>
  <c r="T25" i="72"/>
  <c r="I27" i="34" s="1"/>
  <c r="T24" i="72"/>
  <c r="T23" i="72"/>
  <c r="T22" i="72"/>
  <c r="T21" i="72"/>
  <c r="T20" i="72"/>
  <c r="T19" i="72"/>
  <c r="T18" i="72"/>
  <c r="T17" i="72"/>
  <c r="T16" i="72"/>
  <c r="T15" i="72"/>
  <c r="T14" i="72"/>
  <c r="T13" i="72"/>
  <c r="T12" i="72"/>
  <c r="T11" i="72"/>
  <c r="T10" i="72"/>
  <c r="T9" i="72"/>
  <c r="T8" i="72"/>
  <c r="T7" i="72"/>
  <c r="T6" i="72"/>
  <c r="T5" i="72"/>
  <c r="T4" i="72"/>
  <c r="T3" i="72"/>
  <c r="T2" i="72"/>
  <c r="T64" i="71"/>
  <c r="T63" i="71"/>
  <c r="T62" i="71"/>
  <c r="T61" i="71"/>
  <c r="T60" i="71"/>
  <c r="T59" i="71"/>
  <c r="T58" i="71"/>
  <c r="T57" i="71"/>
  <c r="T56" i="71"/>
  <c r="T55" i="71"/>
  <c r="T54" i="71"/>
  <c r="T53" i="71"/>
  <c r="T52" i="71"/>
  <c r="T51" i="71"/>
  <c r="T50" i="71"/>
  <c r="T49" i="71"/>
  <c r="T48" i="71"/>
  <c r="T47" i="71"/>
  <c r="T46" i="71"/>
  <c r="T45" i="71"/>
  <c r="T44" i="71"/>
  <c r="T43" i="71"/>
  <c r="T42" i="71"/>
  <c r="T41" i="71"/>
  <c r="T40" i="71"/>
  <c r="T39" i="71"/>
  <c r="T38" i="71"/>
  <c r="T37" i="71"/>
  <c r="T36" i="71"/>
  <c r="T35" i="71"/>
  <c r="T34" i="71"/>
  <c r="T33" i="71"/>
  <c r="T32" i="71"/>
  <c r="T31" i="71"/>
  <c r="T30" i="71"/>
  <c r="T29" i="71"/>
  <c r="T28" i="71"/>
  <c r="T27" i="71"/>
  <c r="T26" i="71"/>
  <c r="T25" i="71"/>
  <c r="T24" i="71"/>
  <c r="T23" i="71"/>
  <c r="T22" i="71"/>
  <c r="T21" i="71"/>
  <c r="T20" i="71"/>
  <c r="T19" i="71"/>
  <c r="T18" i="71"/>
  <c r="T17" i="71"/>
  <c r="T16" i="71"/>
  <c r="T15" i="71"/>
  <c r="T14" i="71"/>
  <c r="T13" i="71"/>
  <c r="T12" i="71"/>
  <c r="T11" i="71"/>
  <c r="T10" i="71"/>
  <c r="T9" i="71"/>
  <c r="T8" i="71"/>
  <c r="T7" i="71"/>
  <c r="T6" i="71"/>
  <c r="T5" i="71"/>
  <c r="T4" i="71"/>
  <c r="T3" i="71"/>
  <c r="T2" i="71"/>
  <c r="T64" i="70"/>
  <c r="T63" i="70"/>
  <c r="T62" i="70"/>
  <c r="T61" i="70"/>
  <c r="T60" i="70"/>
  <c r="T59" i="70"/>
  <c r="T58" i="70"/>
  <c r="T57" i="70"/>
  <c r="T56" i="70"/>
  <c r="T55" i="70"/>
  <c r="T54" i="70"/>
  <c r="T53" i="70"/>
  <c r="T52" i="70"/>
  <c r="T51" i="70"/>
  <c r="T50" i="70"/>
  <c r="T49" i="70"/>
  <c r="T48" i="70"/>
  <c r="T47" i="70"/>
  <c r="T46" i="70"/>
  <c r="T45" i="70"/>
  <c r="T44" i="70"/>
  <c r="T43" i="70"/>
  <c r="T42" i="70"/>
  <c r="T41" i="70"/>
  <c r="T40" i="70"/>
  <c r="T39" i="70"/>
  <c r="T38" i="70"/>
  <c r="T37" i="70"/>
  <c r="T36" i="70"/>
  <c r="T35" i="70"/>
  <c r="T34" i="70"/>
  <c r="T33" i="70"/>
  <c r="T32" i="70"/>
  <c r="T31" i="70"/>
  <c r="T30" i="70"/>
  <c r="T29" i="70"/>
  <c r="T28" i="70"/>
  <c r="T27" i="70"/>
  <c r="T26" i="70"/>
  <c r="T25" i="70"/>
  <c r="T24" i="70"/>
  <c r="T23" i="70"/>
  <c r="T22" i="70"/>
  <c r="T21" i="70"/>
  <c r="T20" i="70"/>
  <c r="T19" i="70"/>
  <c r="T18" i="70"/>
  <c r="T17" i="70"/>
  <c r="T16" i="70"/>
  <c r="T15" i="70"/>
  <c r="T14" i="70"/>
  <c r="T13" i="70"/>
  <c r="T12" i="70"/>
  <c r="T11" i="70"/>
  <c r="T10" i="70"/>
  <c r="T9" i="70"/>
  <c r="T8" i="70"/>
  <c r="T7" i="70"/>
  <c r="T6" i="70"/>
  <c r="T5" i="70"/>
  <c r="T4" i="70"/>
  <c r="T3" i="70"/>
  <c r="T2" i="70"/>
  <c r="T64" i="69"/>
  <c r="T63" i="69"/>
  <c r="T62" i="69"/>
  <c r="T61" i="69"/>
  <c r="T60" i="69"/>
  <c r="T59" i="69"/>
  <c r="T58" i="69"/>
  <c r="T57" i="69"/>
  <c r="T56" i="69"/>
  <c r="T55" i="69"/>
  <c r="T54" i="69"/>
  <c r="T53" i="69"/>
  <c r="T52" i="69"/>
  <c r="T51" i="69"/>
  <c r="T50" i="69"/>
  <c r="T49" i="69"/>
  <c r="T48" i="69"/>
  <c r="T47" i="69"/>
  <c r="T46" i="69"/>
  <c r="T45" i="69"/>
  <c r="T44" i="69"/>
  <c r="T43" i="69"/>
  <c r="T42" i="69"/>
  <c r="T41" i="69"/>
  <c r="T40" i="69"/>
  <c r="T39" i="69"/>
  <c r="T38" i="69"/>
  <c r="T37" i="69"/>
  <c r="T36" i="69"/>
  <c r="T35" i="69"/>
  <c r="T34" i="69"/>
  <c r="T33" i="69"/>
  <c r="T32" i="69"/>
  <c r="T31" i="69"/>
  <c r="T30" i="69"/>
  <c r="T29" i="69"/>
  <c r="T28" i="69"/>
  <c r="T27" i="69"/>
  <c r="T26" i="69"/>
  <c r="T25" i="69"/>
  <c r="T24" i="69"/>
  <c r="T23" i="69"/>
  <c r="T22" i="69"/>
  <c r="T21" i="69"/>
  <c r="T20" i="69"/>
  <c r="T19" i="69"/>
  <c r="T18" i="69"/>
  <c r="T17" i="69"/>
  <c r="T16" i="69"/>
  <c r="T15" i="69"/>
  <c r="T14" i="69"/>
  <c r="T13" i="69"/>
  <c r="T12" i="69"/>
  <c r="T11" i="69"/>
  <c r="T10" i="69"/>
  <c r="T9" i="69"/>
  <c r="T8" i="69"/>
  <c r="T7" i="69"/>
  <c r="T6" i="69"/>
  <c r="T5" i="69"/>
  <c r="T4" i="69"/>
  <c r="T3" i="69"/>
  <c r="T2" i="69"/>
  <c r="V64" i="60"/>
  <c r="V63" i="60"/>
  <c r="V62" i="60"/>
  <c r="V61" i="60"/>
  <c r="V60" i="60"/>
  <c r="V59" i="60"/>
  <c r="V58" i="60"/>
  <c r="V57" i="60"/>
  <c r="V56" i="60"/>
  <c r="V55" i="60"/>
  <c r="V54" i="60"/>
  <c r="V53" i="60"/>
  <c r="V52" i="60"/>
  <c r="V51" i="60"/>
  <c r="V50" i="60"/>
  <c r="V49" i="60"/>
  <c r="V48" i="60"/>
  <c r="V47" i="60"/>
  <c r="V46" i="60"/>
  <c r="V45" i="60"/>
  <c r="V44" i="60"/>
  <c r="V43" i="60"/>
  <c r="V42" i="60"/>
  <c r="V41" i="60"/>
  <c r="V40" i="60"/>
  <c r="V39" i="60"/>
  <c r="V38" i="60"/>
  <c r="V37" i="60"/>
  <c r="V36" i="60"/>
  <c r="V35" i="60"/>
  <c r="V34" i="60"/>
  <c r="V33" i="60"/>
  <c r="V32" i="60"/>
  <c r="V31" i="60"/>
  <c r="V30" i="60"/>
  <c r="V29" i="60"/>
  <c r="V28" i="60"/>
  <c r="V27" i="60"/>
  <c r="V26" i="60"/>
  <c r="V25" i="60"/>
  <c r="V24" i="60"/>
  <c r="V23" i="60"/>
  <c r="V22" i="60"/>
  <c r="V21" i="60"/>
  <c r="V20" i="60"/>
  <c r="V19" i="60"/>
  <c r="V18" i="60"/>
  <c r="V17" i="60"/>
  <c r="V16" i="60"/>
  <c r="V15" i="60"/>
  <c r="V14" i="60"/>
  <c r="V13" i="60"/>
  <c r="V12" i="60"/>
  <c r="V11" i="60"/>
  <c r="V10" i="60"/>
  <c r="V9" i="60"/>
  <c r="V8" i="60"/>
  <c r="V7" i="60"/>
  <c r="V6" i="60"/>
  <c r="V5" i="60"/>
  <c r="V4" i="60"/>
  <c r="V3" i="60"/>
  <c r="V2" i="60"/>
  <c r="T64" i="59"/>
  <c r="T63" i="59"/>
  <c r="T62" i="59"/>
  <c r="T61" i="59"/>
  <c r="T60" i="59"/>
  <c r="T59" i="59"/>
  <c r="T58" i="59"/>
  <c r="T57" i="59"/>
  <c r="T56" i="59"/>
  <c r="T55" i="59"/>
  <c r="T54" i="59"/>
  <c r="T53" i="59"/>
  <c r="T52" i="59"/>
  <c r="T51" i="59"/>
  <c r="T50" i="59"/>
  <c r="T49" i="59"/>
  <c r="T48" i="59"/>
  <c r="T47" i="59"/>
  <c r="T46" i="59"/>
  <c r="T45" i="59"/>
  <c r="T44" i="59"/>
  <c r="T43" i="59"/>
  <c r="T42" i="59"/>
  <c r="T41" i="59"/>
  <c r="T40" i="59"/>
  <c r="T39" i="59"/>
  <c r="T38" i="59"/>
  <c r="T37" i="59"/>
  <c r="T36" i="59"/>
  <c r="T35" i="59"/>
  <c r="T34" i="59"/>
  <c r="T33" i="59"/>
  <c r="T32" i="59"/>
  <c r="T31" i="59"/>
  <c r="T30" i="59"/>
  <c r="T29" i="59"/>
  <c r="T28" i="59"/>
  <c r="T27" i="59"/>
  <c r="T26" i="59"/>
  <c r="T25" i="59"/>
  <c r="T24" i="59"/>
  <c r="T23" i="59"/>
  <c r="T22" i="59"/>
  <c r="T21" i="59"/>
  <c r="T20" i="59"/>
  <c r="T19" i="59"/>
  <c r="T18" i="59"/>
  <c r="T17" i="59"/>
  <c r="T16" i="59"/>
  <c r="T15" i="59"/>
  <c r="T14" i="59"/>
  <c r="T13" i="59"/>
  <c r="T12" i="59"/>
  <c r="T11" i="59"/>
  <c r="T10" i="59"/>
  <c r="T9" i="59"/>
  <c r="T8" i="59"/>
  <c r="T7" i="59"/>
  <c r="T6" i="59"/>
  <c r="T5" i="59"/>
  <c r="T4" i="59"/>
  <c r="T3" i="59"/>
  <c r="T2" i="59"/>
  <c r="T64" i="58"/>
  <c r="T63" i="58"/>
  <c r="T62" i="58"/>
  <c r="T61" i="58"/>
  <c r="T60" i="58"/>
  <c r="T59" i="58"/>
  <c r="T58" i="58"/>
  <c r="T57" i="58"/>
  <c r="T56" i="58"/>
  <c r="T55" i="58"/>
  <c r="T54" i="58"/>
  <c r="T53" i="58"/>
  <c r="T52" i="58"/>
  <c r="T51" i="58"/>
  <c r="T50" i="58"/>
  <c r="T49" i="58"/>
  <c r="T48" i="58"/>
  <c r="T47" i="58"/>
  <c r="T46" i="58"/>
  <c r="T45" i="58"/>
  <c r="T44" i="58"/>
  <c r="T43" i="58"/>
  <c r="T42" i="58"/>
  <c r="T41" i="58"/>
  <c r="T40" i="58"/>
  <c r="T39" i="58"/>
  <c r="T38" i="58"/>
  <c r="T37" i="58"/>
  <c r="T36" i="58"/>
  <c r="T35" i="58"/>
  <c r="T34" i="58"/>
  <c r="T33" i="58"/>
  <c r="T32" i="58"/>
  <c r="T31" i="58"/>
  <c r="T30" i="58"/>
  <c r="T29" i="58"/>
  <c r="T28" i="58"/>
  <c r="T27" i="58"/>
  <c r="T26" i="58"/>
  <c r="T25" i="58"/>
  <c r="T24" i="58"/>
  <c r="T23" i="58"/>
  <c r="T22" i="58"/>
  <c r="T21" i="58"/>
  <c r="T20" i="58"/>
  <c r="T19" i="58"/>
  <c r="T18" i="58"/>
  <c r="T17" i="58"/>
  <c r="T16" i="58"/>
  <c r="T15" i="58"/>
  <c r="T14" i="58"/>
  <c r="T13" i="58"/>
  <c r="T12" i="58"/>
  <c r="T11" i="58"/>
  <c r="T10" i="58"/>
  <c r="T9" i="58"/>
  <c r="T8" i="58"/>
  <c r="T7" i="58"/>
  <c r="T6" i="58"/>
  <c r="T5" i="58"/>
  <c r="T4" i="58"/>
  <c r="T3" i="58"/>
  <c r="T2" i="58"/>
  <c r="T64" i="67"/>
  <c r="T63" i="67"/>
  <c r="T62" i="67"/>
  <c r="T61" i="67"/>
  <c r="T60" i="67"/>
  <c r="T59" i="67"/>
  <c r="T58" i="67"/>
  <c r="T57" i="67"/>
  <c r="T56" i="67"/>
  <c r="T55" i="67"/>
  <c r="T54" i="67"/>
  <c r="T53" i="67"/>
  <c r="T52" i="67"/>
  <c r="T51" i="67"/>
  <c r="T50" i="67"/>
  <c r="T49" i="67"/>
  <c r="T48" i="67"/>
  <c r="T47" i="67"/>
  <c r="T46" i="67"/>
  <c r="T45" i="67"/>
  <c r="T44" i="67"/>
  <c r="T43" i="67"/>
  <c r="T42" i="67"/>
  <c r="T41" i="67"/>
  <c r="T40" i="67"/>
  <c r="T39" i="67"/>
  <c r="T38" i="67"/>
  <c r="T37" i="67"/>
  <c r="T36" i="67"/>
  <c r="T35" i="67"/>
  <c r="T34" i="67"/>
  <c r="T33" i="67"/>
  <c r="T32" i="67"/>
  <c r="T31" i="67"/>
  <c r="T30" i="67"/>
  <c r="T29" i="67"/>
  <c r="T28" i="67"/>
  <c r="T27" i="67"/>
  <c r="T26" i="67"/>
  <c r="T25" i="67"/>
  <c r="T24" i="67"/>
  <c r="T23" i="67"/>
  <c r="T22" i="67"/>
  <c r="T21" i="67"/>
  <c r="T20" i="67"/>
  <c r="T19" i="67"/>
  <c r="T18" i="67"/>
  <c r="T17" i="67"/>
  <c r="T16" i="67"/>
  <c r="T15" i="67"/>
  <c r="T14" i="67"/>
  <c r="T13" i="67"/>
  <c r="T12" i="67"/>
  <c r="T11" i="67"/>
  <c r="T10" i="67"/>
  <c r="T9" i="67"/>
  <c r="T8" i="67"/>
  <c r="T7" i="67"/>
  <c r="T6" i="67"/>
  <c r="T5" i="67"/>
  <c r="T4" i="67"/>
  <c r="T3" i="67"/>
  <c r="T2" i="67"/>
  <c r="T64" i="66"/>
  <c r="T63" i="66"/>
  <c r="T62" i="66"/>
  <c r="T61" i="66"/>
  <c r="T60" i="66"/>
  <c r="T59" i="66"/>
  <c r="T58" i="66"/>
  <c r="T57" i="66"/>
  <c r="T56" i="66"/>
  <c r="T55" i="66"/>
  <c r="T54" i="66"/>
  <c r="T53" i="66"/>
  <c r="T52" i="66"/>
  <c r="T51" i="66"/>
  <c r="T50" i="66"/>
  <c r="T49" i="66"/>
  <c r="T48" i="66"/>
  <c r="T47" i="66"/>
  <c r="T46" i="66"/>
  <c r="T45" i="66"/>
  <c r="T44" i="66"/>
  <c r="T43" i="66"/>
  <c r="T42" i="66"/>
  <c r="T41" i="66"/>
  <c r="T40" i="66"/>
  <c r="T39" i="66"/>
  <c r="T38" i="66"/>
  <c r="T37" i="66"/>
  <c r="T36" i="66"/>
  <c r="T35" i="66"/>
  <c r="T34" i="66"/>
  <c r="T33" i="66"/>
  <c r="T32" i="66"/>
  <c r="T31" i="66"/>
  <c r="T30" i="66"/>
  <c r="T29" i="66"/>
  <c r="T28" i="66"/>
  <c r="T27" i="66"/>
  <c r="T26" i="66"/>
  <c r="T25" i="66"/>
  <c r="T24" i="66"/>
  <c r="T23" i="66"/>
  <c r="T22" i="66"/>
  <c r="T21" i="66"/>
  <c r="T20" i="66"/>
  <c r="T19" i="66"/>
  <c r="T18" i="66"/>
  <c r="T17" i="66"/>
  <c r="T16" i="66"/>
  <c r="T15" i="66"/>
  <c r="T14" i="66"/>
  <c r="T13" i="66"/>
  <c r="T12" i="66"/>
  <c r="T11" i="66"/>
  <c r="T10" i="66"/>
  <c r="T9" i="66"/>
  <c r="T8" i="66"/>
  <c r="T7" i="66"/>
  <c r="T6" i="66"/>
  <c r="T5" i="66"/>
  <c r="T4" i="66"/>
  <c r="T3" i="66"/>
  <c r="T2" i="66"/>
  <c r="T64" i="65"/>
  <c r="T63" i="65"/>
  <c r="T62" i="65"/>
  <c r="T61" i="65"/>
  <c r="T60" i="65"/>
  <c r="T59" i="65"/>
  <c r="T58" i="65"/>
  <c r="T57" i="65"/>
  <c r="T56" i="65"/>
  <c r="T55" i="65"/>
  <c r="T54" i="65"/>
  <c r="T53" i="65"/>
  <c r="T52" i="65"/>
  <c r="T51" i="65"/>
  <c r="T50" i="65"/>
  <c r="T49" i="65"/>
  <c r="T48" i="65"/>
  <c r="T47" i="65"/>
  <c r="T46" i="65"/>
  <c r="T45" i="65"/>
  <c r="T44" i="65"/>
  <c r="T43" i="65"/>
  <c r="T42" i="65"/>
  <c r="T41" i="65"/>
  <c r="T40" i="65"/>
  <c r="T39" i="65"/>
  <c r="T38" i="65"/>
  <c r="T37" i="65"/>
  <c r="T36" i="65"/>
  <c r="T35" i="65"/>
  <c r="T34" i="65"/>
  <c r="T33" i="65"/>
  <c r="T32" i="65"/>
  <c r="T31" i="65"/>
  <c r="T30" i="65"/>
  <c r="T29" i="65"/>
  <c r="T28" i="65"/>
  <c r="T27" i="65"/>
  <c r="T26" i="65"/>
  <c r="T25" i="65"/>
  <c r="T24" i="65"/>
  <c r="T23" i="65"/>
  <c r="T22" i="65"/>
  <c r="T21" i="65"/>
  <c r="T20" i="65"/>
  <c r="T19" i="65"/>
  <c r="T18" i="65"/>
  <c r="T17" i="65"/>
  <c r="T16" i="65"/>
  <c r="T15" i="65"/>
  <c r="T14" i="65"/>
  <c r="T13" i="65"/>
  <c r="T12" i="65"/>
  <c r="T11" i="65"/>
  <c r="T10" i="65"/>
  <c r="T9" i="65"/>
  <c r="T8" i="65"/>
  <c r="T7" i="65"/>
  <c r="T6" i="65"/>
  <c r="T5" i="65"/>
  <c r="T4" i="65"/>
  <c r="T3" i="65"/>
  <c r="T2" i="65"/>
  <c r="T64" i="64"/>
  <c r="T63" i="64"/>
  <c r="T62" i="64"/>
  <c r="T61" i="64"/>
  <c r="T60" i="64"/>
  <c r="T59" i="64"/>
  <c r="T58" i="64"/>
  <c r="T57" i="64"/>
  <c r="T56" i="64"/>
  <c r="T55" i="64"/>
  <c r="T54" i="64"/>
  <c r="T53" i="64"/>
  <c r="T52" i="64"/>
  <c r="T51" i="64"/>
  <c r="T50" i="64"/>
  <c r="T49" i="64"/>
  <c r="T48" i="64"/>
  <c r="T47" i="64"/>
  <c r="T46" i="64"/>
  <c r="T45" i="64"/>
  <c r="T44" i="64"/>
  <c r="T43" i="64"/>
  <c r="T42" i="64"/>
  <c r="T41" i="64"/>
  <c r="T40" i="64"/>
  <c r="T39" i="64"/>
  <c r="T38" i="64"/>
  <c r="T37" i="64"/>
  <c r="T36" i="64"/>
  <c r="T35" i="64"/>
  <c r="T34" i="64"/>
  <c r="T33" i="64"/>
  <c r="T32" i="64"/>
  <c r="T31" i="64"/>
  <c r="T30" i="64"/>
  <c r="T29" i="64"/>
  <c r="T28" i="64"/>
  <c r="T27" i="64"/>
  <c r="T26" i="64"/>
  <c r="T25" i="64"/>
  <c r="T24" i="64"/>
  <c r="T23" i="64"/>
  <c r="T22" i="64"/>
  <c r="T21" i="64"/>
  <c r="T20" i="64"/>
  <c r="T19" i="64"/>
  <c r="T18" i="64"/>
  <c r="T17" i="64"/>
  <c r="T16" i="64"/>
  <c r="T15" i="64"/>
  <c r="T14" i="64"/>
  <c r="T13" i="64"/>
  <c r="T12" i="64"/>
  <c r="T11" i="64"/>
  <c r="T10" i="64"/>
  <c r="T9" i="64"/>
  <c r="T8" i="64"/>
  <c r="T7" i="64"/>
  <c r="T6" i="64"/>
  <c r="T5" i="64"/>
  <c r="T4" i="64"/>
  <c r="T3" i="64"/>
  <c r="T2" i="64"/>
  <c r="T64" i="63"/>
  <c r="T63" i="63"/>
  <c r="T62" i="63"/>
  <c r="T61" i="63"/>
  <c r="T60" i="63"/>
  <c r="T59" i="63"/>
  <c r="T58" i="63"/>
  <c r="T57" i="63"/>
  <c r="T56" i="63"/>
  <c r="T55" i="63"/>
  <c r="T54" i="63"/>
  <c r="T53" i="63"/>
  <c r="T52" i="63"/>
  <c r="T51" i="63"/>
  <c r="T50" i="63"/>
  <c r="T49" i="63"/>
  <c r="T48" i="63"/>
  <c r="T47" i="63"/>
  <c r="T46" i="63"/>
  <c r="T45" i="63"/>
  <c r="T44" i="63"/>
  <c r="T43" i="63"/>
  <c r="T42" i="63"/>
  <c r="T41" i="63"/>
  <c r="T40" i="63"/>
  <c r="T39" i="63"/>
  <c r="T38" i="63"/>
  <c r="T37" i="63"/>
  <c r="T36" i="63"/>
  <c r="T35" i="63"/>
  <c r="T34" i="63"/>
  <c r="T33" i="63"/>
  <c r="T32" i="63"/>
  <c r="T31" i="63"/>
  <c r="T30" i="63"/>
  <c r="T29" i="63"/>
  <c r="T28" i="63"/>
  <c r="T27" i="63"/>
  <c r="T26" i="63"/>
  <c r="T25" i="63"/>
  <c r="T24" i="63"/>
  <c r="T23" i="63"/>
  <c r="T22" i="63"/>
  <c r="T21" i="63"/>
  <c r="T20" i="63"/>
  <c r="T19" i="63"/>
  <c r="T18" i="63"/>
  <c r="T17" i="63"/>
  <c r="T16" i="63"/>
  <c r="T15" i="63"/>
  <c r="T14" i="63"/>
  <c r="T13" i="63"/>
  <c r="T12" i="63"/>
  <c r="T11" i="63"/>
  <c r="T10" i="63"/>
  <c r="T9" i="63"/>
  <c r="T8" i="63"/>
  <c r="T7" i="63"/>
  <c r="T6" i="63"/>
  <c r="T5" i="63"/>
  <c r="T4" i="63"/>
  <c r="T3" i="63"/>
  <c r="T2" i="63"/>
  <c r="T64" i="57"/>
  <c r="T63" i="57"/>
  <c r="T62" i="57"/>
  <c r="T61" i="57"/>
  <c r="T60" i="57"/>
  <c r="T59" i="57"/>
  <c r="T58" i="57"/>
  <c r="T57" i="57"/>
  <c r="T56" i="57"/>
  <c r="T55" i="57"/>
  <c r="T54" i="57"/>
  <c r="T53" i="57"/>
  <c r="T52" i="57"/>
  <c r="T51" i="57"/>
  <c r="T50" i="57"/>
  <c r="T49" i="57"/>
  <c r="T48" i="57"/>
  <c r="T47" i="57"/>
  <c r="T46" i="57"/>
  <c r="T45" i="57"/>
  <c r="T44" i="57"/>
  <c r="T43" i="57"/>
  <c r="T42" i="57"/>
  <c r="T41" i="57"/>
  <c r="T40" i="57"/>
  <c r="T39" i="57"/>
  <c r="T38" i="57"/>
  <c r="T37" i="57"/>
  <c r="T36" i="57"/>
  <c r="T35" i="57"/>
  <c r="T34" i="57"/>
  <c r="T33" i="57"/>
  <c r="T32" i="57"/>
  <c r="T31" i="57"/>
  <c r="T30" i="57"/>
  <c r="T29" i="57"/>
  <c r="T28" i="57"/>
  <c r="T27" i="57"/>
  <c r="T26" i="57"/>
  <c r="T25" i="57"/>
  <c r="T24" i="57"/>
  <c r="T23" i="57"/>
  <c r="T22" i="57"/>
  <c r="T21" i="57"/>
  <c r="T20" i="57"/>
  <c r="T19" i="57"/>
  <c r="T18" i="57"/>
  <c r="T17" i="57"/>
  <c r="T16" i="57"/>
  <c r="T15" i="57"/>
  <c r="T14" i="57"/>
  <c r="T13" i="57"/>
  <c r="T12" i="57"/>
  <c r="T11" i="57"/>
  <c r="T10" i="57"/>
  <c r="T9" i="57"/>
  <c r="T8" i="57"/>
  <c r="T7" i="57"/>
  <c r="T6" i="57"/>
  <c r="T5" i="57"/>
  <c r="T4" i="57"/>
  <c r="T3" i="57"/>
  <c r="T2" i="57"/>
  <c r="T64" i="52"/>
  <c r="T63" i="52"/>
  <c r="T62" i="52"/>
  <c r="T61" i="52"/>
  <c r="T60" i="52"/>
  <c r="T59" i="52"/>
  <c r="T58" i="52"/>
  <c r="T57" i="52"/>
  <c r="T56" i="52"/>
  <c r="T55" i="52"/>
  <c r="T54" i="52"/>
  <c r="T53" i="52"/>
  <c r="T52" i="52"/>
  <c r="T51" i="52"/>
  <c r="T50" i="52"/>
  <c r="T49" i="52"/>
  <c r="T48" i="52"/>
  <c r="T47" i="52"/>
  <c r="T46" i="52"/>
  <c r="T45" i="52"/>
  <c r="T44" i="52"/>
  <c r="T43" i="52"/>
  <c r="T42" i="52"/>
  <c r="T41" i="52"/>
  <c r="T40" i="52"/>
  <c r="T39" i="52"/>
  <c r="T38" i="52"/>
  <c r="T37" i="52"/>
  <c r="T36" i="52"/>
  <c r="T35" i="52"/>
  <c r="T34" i="52"/>
  <c r="T33" i="52"/>
  <c r="T32" i="52"/>
  <c r="T31" i="52"/>
  <c r="T30" i="52"/>
  <c r="T29" i="52"/>
  <c r="T28" i="52"/>
  <c r="T27" i="52"/>
  <c r="T26" i="52"/>
  <c r="T25" i="52"/>
  <c r="T24" i="52"/>
  <c r="T23" i="52"/>
  <c r="T22" i="52"/>
  <c r="T21" i="52"/>
  <c r="T20" i="52"/>
  <c r="T19" i="52"/>
  <c r="T18" i="52"/>
  <c r="T17" i="52"/>
  <c r="T16" i="52"/>
  <c r="T15" i="52"/>
  <c r="T14" i="52"/>
  <c r="T13" i="52"/>
  <c r="T12" i="52"/>
  <c r="T11" i="52"/>
  <c r="T10" i="52"/>
  <c r="T9" i="52"/>
  <c r="T8" i="52"/>
  <c r="T7" i="52"/>
  <c r="T6" i="52"/>
  <c r="T5" i="52"/>
  <c r="T4" i="52"/>
  <c r="T3" i="52"/>
  <c r="T2" i="52"/>
  <c r="T64" i="45"/>
  <c r="T63" i="45"/>
  <c r="T62" i="45"/>
  <c r="T61" i="45"/>
  <c r="T60" i="45"/>
  <c r="T59" i="45"/>
  <c r="T58" i="45"/>
  <c r="T57" i="45"/>
  <c r="T56" i="45"/>
  <c r="T55" i="45"/>
  <c r="T54" i="45"/>
  <c r="T53" i="45"/>
  <c r="T52" i="45"/>
  <c r="T51" i="45"/>
  <c r="T50" i="45"/>
  <c r="T49" i="45"/>
  <c r="T48" i="45"/>
  <c r="T47" i="45"/>
  <c r="T46" i="45"/>
  <c r="T45" i="45"/>
  <c r="T44" i="45"/>
  <c r="T43" i="45"/>
  <c r="T42" i="45"/>
  <c r="T41" i="45"/>
  <c r="T40" i="45"/>
  <c r="T39" i="45"/>
  <c r="T38" i="45"/>
  <c r="T37" i="45"/>
  <c r="T36" i="45"/>
  <c r="T35" i="45"/>
  <c r="T34" i="45"/>
  <c r="T33" i="45"/>
  <c r="T32" i="45"/>
  <c r="T31" i="45"/>
  <c r="T30" i="45"/>
  <c r="T29" i="45"/>
  <c r="T28" i="45"/>
  <c r="T27" i="45"/>
  <c r="T26" i="45"/>
  <c r="T25" i="45"/>
  <c r="T24" i="45"/>
  <c r="T23" i="45"/>
  <c r="T22" i="45"/>
  <c r="T21" i="45"/>
  <c r="T20" i="45"/>
  <c r="T19" i="45"/>
  <c r="T18" i="45"/>
  <c r="T17" i="45"/>
  <c r="T16" i="45"/>
  <c r="T15" i="45"/>
  <c r="T14" i="45"/>
  <c r="T13" i="45"/>
  <c r="T12" i="45"/>
  <c r="T11" i="45"/>
  <c r="T10" i="45"/>
  <c r="T9" i="45"/>
  <c r="T8" i="45"/>
  <c r="T7" i="45"/>
  <c r="T6" i="45"/>
  <c r="T5" i="45"/>
  <c r="T4" i="45"/>
  <c r="T3" i="45"/>
  <c r="T2" i="45"/>
  <c r="T3" i="62"/>
  <c r="T4" i="62"/>
  <c r="T5" i="62"/>
  <c r="T6" i="62"/>
  <c r="T7" i="62"/>
  <c r="T8" i="62"/>
  <c r="T9" i="62"/>
  <c r="T10" i="62"/>
  <c r="T11" i="62"/>
  <c r="T12" i="62"/>
  <c r="T13" i="62"/>
  <c r="T14" i="62"/>
  <c r="T15" i="62"/>
  <c r="T16" i="62"/>
  <c r="T17" i="62"/>
  <c r="T18" i="62"/>
  <c r="T19" i="62"/>
  <c r="T20" i="62"/>
  <c r="T21" i="62"/>
  <c r="T22" i="62"/>
  <c r="T23" i="62"/>
  <c r="T24" i="62"/>
  <c r="T25" i="62"/>
  <c r="T26" i="62"/>
  <c r="T27" i="62"/>
  <c r="T28" i="62"/>
  <c r="T29" i="62"/>
  <c r="T30" i="62"/>
  <c r="T31" i="62"/>
  <c r="T32" i="62"/>
  <c r="T33" i="62"/>
  <c r="T34" i="62"/>
  <c r="T35" i="62"/>
  <c r="T36" i="62"/>
  <c r="T37" i="62"/>
  <c r="T38" i="62"/>
  <c r="T39" i="62"/>
  <c r="T40" i="62"/>
  <c r="T41" i="62"/>
  <c r="T42" i="62"/>
  <c r="T43" i="62"/>
  <c r="T44" i="62"/>
  <c r="T45" i="62"/>
  <c r="T46" i="62"/>
  <c r="T47" i="62"/>
  <c r="T48" i="62"/>
  <c r="T49" i="62"/>
  <c r="T50" i="62"/>
  <c r="T51" i="62"/>
  <c r="T52" i="62"/>
  <c r="T53" i="62"/>
  <c r="T54" i="62"/>
  <c r="T55" i="62"/>
  <c r="T56" i="62"/>
  <c r="T57" i="62"/>
  <c r="T58" i="62"/>
  <c r="T59" i="62"/>
  <c r="T60" i="62"/>
  <c r="T61" i="62"/>
  <c r="T62" i="62"/>
  <c r="T63" i="62"/>
  <c r="T64" i="62"/>
  <c r="T2" i="62"/>
  <c r="T3" i="56"/>
  <c r="T4" i="56"/>
  <c r="T5" i="56"/>
  <c r="T6" i="56"/>
  <c r="T7" i="56"/>
  <c r="T8" i="56"/>
  <c r="T9" i="56"/>
  <c r="T10" i="56"/>
  <c r="T11" i="56"/>
  <c r="T12" i="56"/>
  <c r="T13" i="56"/>
  <c r="T14" i="56"/>
  <c r="T15" i="56"/>
  <c r="T16" i="56"/>
  <c r="T17" i="56"/>
  <c r="T18" i="56"/>
  <c r="T19" i="56"/>
  <c r="T20" i="56"/>
  <c r="T21" i="56"/>
  <c r="T22" i="56"/>
  <c r="T23" i="56"/>
  <c r="T24" i="56"/>
  <c r="T25" i="56"/>
  <c r="T26" i="56"/>
  <c r="T27" i="56"/>
  <c r="T28" i="56"/>
  <c r="T29" i="56"/>
  <c r="T30" i="56"/>
  <c r="T31" i="56"/>
  <c r="T32" i="56"/>
  <c r="T33" i="56"/>
  <c r="T34" i="56"/>
  <c r="T35" i="56"/>
  <c r="T36" i="56"/>
  <c r="T37" i="56"/>
  <c r="T38" i="56"/>
  <c r="T39" i="56"/>
  <c r="T40" i="56"/>
  <c r="T41" i="56"/>
  <c r="T42" i="56"/>
  <c r="T43" i="56"/>
  <c r="T44" i="56"/>
  <c r="T45" i="56"/>
  <c r="T46" i="56"/>
  <c r="T47" i="56"/>
  <c r="T48" i="56"/>
  <c r="T49" i="56"/>
  <c r="T50" i="56"/>
  <c r="T51" i="56"/>
  <c r="T52" i="56"/>
  <c r="T53" i="56"/>
  <c r="T54" i="56"/>
  <c r="T55" i="56"/>
  <c r="T56" i="56"/>
  <c r="T57" i="56"/>
  <c r="T58" i="56"/>
  <c r="T59" i="56"/>
  <c r="T60" i="56"/>
  <c r="T61" i="56"/>
  <c r="T62" i="56"/>
  <c r="T63" i="56"/>
  <c r="T64" i="56"/>
  <c r="T65" i="56"/>
  <c r="T2" i="56"/>
  <c r="T3" i="55"/>
  <c r="I5" i="34" s="1"/>
  <c r="T4" i="55"/>
  <c r="I6" i="34" s="1"/>
  <c r="T5" i="55"/>
  <c r="I7" i="34" s="1"/>
  <c r="T6" i="55"/>
  <c r="I8" i="34" s="1"/>
  <c r="T7" i="55"/>
  <c r="I9" i="34" s="1"/>
  <c r="T8" i="55"/>
  <c r="I10" i="34" s="1"/>
  <c r="T9" i="55"/>
  <c r="I11" i="34" s="1"/>
  <c r="T10" i="55"/>
  <c r="I12" i="34" s="1"/>
  <c r="T11" i="55"/>
  <c r="I13" i="34" s="1"/>
  <c r="T12" i="55"/>
  <c r="I14" i="34" s="1"/>
  <c r="T13" i="55"/>
  <c r="I15" i="34" s="1"/>
  <c r="T14" i="55"/>
  <c r="I16" i="34" s="1"/>
  <c r="T15" i="55"/>
  <c r="I17" i="34" s="1"/>
  <c r="T16" i="55"/>
  <c r="I18" i="34" s="1"/>
  <c r="T17" i="55"/>
  <c r="I19" i="34" s="1"/>
  <c r="T18" i="55"/>
  <c r="I20" i="34" s="1"/>
  <c r="T19" i="55"/>
  <c r="I21" i="34" s="1"/>
  <c r="T20" i="55"/>
  <c r="I22" i="34" s="1"/>
  <c r="T21" i="55"/>
  <c r="I23" i="34" s="1"/>
  <c r="T22" i="55"/>
  <c r="I24" i="34" s="1"/>
  <c r="T23" i="55"/>
  <c r="T24" i="55"/>
  <c r="T25" i="55"/>
  <c r="T26" i="55"/>
  <c r="I28" i="34" s="1"/>
  <c r="T27" i="55"/>
  <c r="I29" i="34" s="1"/>
  <c r="T28" i="55"/>
  <c r="I30" i="34" s="1"/>
  <c r="T29" i="55"/>
  <c r="I31" i="34" s="1"/>
  <c r="T30" i="55"/>
  <c r="I32" i="34" s="1"/>
  <c r="T31" i="55"/>
  <c r="I33" i="34" s="1"/>
  <c r="T32" i="55"/>
  <c r="I34" i="34" s="1"/>
  <c r="T33" i="55"/>
  <c r="I35" i="34" s="1"/>
  <c r="T34" i="55"/>
  <c r="I36" i="34" s="1"/>
  <c r="T35" i="55"/>
  <c r="I37" i="34" s="1"/>
  <c r="T36" i="55"/>
  <c r="I38" i="34" s="1"/>
  <c r="T37" i="55"/>
  <c r="I39" i="34" s="1"/>
  <c r="T38" i="55"/>
  <c r="I40" i="34" s="1"/>
  <c r="T39" i="55"/>
  <c r="I41" i="34" s="1"/>
  <c r="T40" i="55"/>
  <c r="I42" i="34" s="1"/>
  <c r="T41" i="55"/>
  <c r="I43" i="34" s="1"/>
  <c r="T42" i="55"/>
  <c r="I44" i="34" s="1"/>
  <c r="T43" i="55"/>
  <c r="I45" i="34" s="1"/>
  <c r="T44" i="55"/>
  <c r="I46" i="34" s="1"/>
  <c r="T45" i="55"/>
  <c r="I47" i="34" s="1"/>
  <c r="T46" i="55"/>
  <c r="I48" i="34" s="1"/>
  <c r="T47" i="55"/>
  <c r="I49" i="34" s="1"/>
  <c r="T48" i="55"/>
  <c r="I50" i="34" s="1"/>
  <c r="T49" i="55"/>
  <c r="T50" i="55"/>
  <c r="T51" i="55"/>
  <c r="T52" i="55"/>
  <c r="I54" i="34" s="1"/>
  <c r="T53" i="55"/>
  <c r="I55" i="34" s="1"/>
  <c r="T54" i="55"/>
  <c r="I56" i="34" s="1"/>
  <c r="T55" i="55"/>
  <c r="I57" i="34" s="1"/>
  <c r="T56" i="55"/>
  <c r="I58" i="34" s="1"/>
  <c r="T57" i="55"/>
  <c r="I59" i="34" s="1"/>
  <c r="T58" i="55"/>
  <c r="I60" i="34" s="1"/>
  <c r="T59" i="55"/>
  <c r="I61" i="34" s="1"/>
  <c r="T60" i="55"/>
  <c r="I62" i="34" s="1"/>
  <c r="T61" i="55"/>
  <c r="I63" i="34" s="1"/>
  <c r="T62" i="55"/>
  <c r="I64" i="34" s="1"/>
  <c r="T63" i="55"/>
  <c r="I65" i="34" s="1"/>
  <c r="T64" i="55"/>
  <c r="I66" i="34" s="1"/>
  <c r="E66" i="34" s="1"/>
  <c r="T65" i="55"/>
  <c r="I67" i="34" s="1"/>
  <c r="T2" i="55"/>
  <c r="I4" i="34" s="1"/>
  <c r="T3" i="41"/>
  <c r="T4" i="41"/>
  <c r="T5" i="41"/>
  <c r="T6" i="41"/>
  <c r="T7" i="41"/>
  <c r="T8" i="41"/>
  <c r="T9" i="41"/>
  <c r="T10" i="41"/>
  <c r="T11" i="41"/>
  <c r="T12" i="41"/>
  <c r="T13" i="41"/>
  <c r="T14" i="41"/>
  <c r="T15" i="41"/>
  <c r="T16" i="41"/>
  <c r="T17" i="41"/>
  <c r="T18" i="41"/>
  <c r="T19" i="41"/>
  <c r="T20" i="41"/>
  <c r="T21" i="41"/>
  <c r="T22" i="41"/>
  <c r="T23" i="41"/>
  <c r="I25" i="34" s="1"/>
  <c r="T24" i="41"/>
  <c r="I26" i="34" s="1"/>
  <c r="T25" i="41"/>
  <c r="T26" i="41"/>
  <c r="T27" i="41"/>
  <c r="T28" i="41"/>
  <c r="T29" i="41"/>
  <c r="T30" i="41"/>
  <c r="T31" i="41"/>
  <c r="T32" i="41"/>
  <c r="T33" i="41"/>
  <c r="T34" i="41"/>
  <c r="T35" i="41"/>
  <c r="T36" i="41"/>
  <c r="T37" i="41"/>
  <c r="T38" i="41"/>
  <c r="T39" i="41"/>
  <c r="T40" i="41"/>
  <c r="T41" i="41"/>
  <c r="T42" i="41"/>
  <c r="T43" i="41"/>
  <c r="T44" i="41"/>
  <c r="T45" i="41"/>
  <c r="T46" i="41"/>
  <c r="T47" i="41"/>
  <c r="T48" i="41"/>
  <c r="T49" i="41"/>
  <c r="I51" i="34" s="1"/>
  <c r="T50" i="41"/>
  <c r="I52" i="34" s="1"/>
  <c r="T51" i="41"/>
  <c r="T52" i="41"/>
  <c r="T53" i="41"/>
  <c r="T54" i="41"/>
  <c r="T55" i="41"/>
  <c r="T56" i="41"/>
  <c r="T57" i="41"/>
  <c r="T58" i="41"/>
  <c r="T59" i="41"/>
  <c r="T60" i="41"/>
  <c r="T61" i="41"/>
  <c r="T62" i="41"/>
  <c r="T63" i="41"/>
  <c r="T64" i="41"/>
  <c r="T2" i="41"/>
  <c r="R3" i="38"/>
  <c r="R2" i="38"/>
  <c r="E55" i="34" l="1"/>
  <c r="D69" i="34" l="1"/>
  <c r="E2" i="34" l="1"/>
  <c r="G2" i="34" s="1"/>
  <c r="H2" i="34" s="1"/>
  <c r="E3" i="34" l="1"/>
  <c r="G3" i="34" l="1"/>
  <c r="H3" i="34" s="1"/>
  <c r="E62" i="34"/>
  <c r="E63" i="34"/>
  <c r="E64" i="34"/>
  <c r="E65" i="34"/>
  <c r="E5" i="34" l="1"/>
  <c r="E6" i="34"/>
  <c r="E7" i="34"/>
  <c r="E8" i="34"/>
  <c r="E9" i="34"/>
  <c r="E10" i="34"/>
  <c r="E11" i="34"/>
  <c r="E12" i="34"/>
  <c r="E14" i="34"/>
  <c r="E15" i="34"/>
  <c r="E16" i="34"/>
  <c r="E17" i="34"/>
  <c r="E18" i="34"/>
  <c r="E19" i="34"/>
  <c r="E20" i="34"/>
  <c r="E21" i="34"/>
  <c r="E22" i="34"/>
  <c r="E23" i="34"/>
  <c r="E24" i="34"/>
  <c r="E25" i="34"/>
  <c r="E26" i="34"/>
  <c r="E27" i="34"/>
  <c r="E28" i="34"/>
  <c r="E29" i="34"/>
  <c r="E30" i="34"/>
  <c r="E31" i="34"/>
  <c r="E32" i="34"/>
  <c r="E33" i="34"/>
  <c r="E34" i="34"/>
  <c r="E35" i="34"/>
  <c r="E36" i="34"/>
  <c r="E37" i="34"/>
  <c r="E38" i="34"/>
  <c r="E39" i="34"/>
  <c r="E40" i="34"/>
  <c r="E41" i="34"/>
  <c r="E42" i="34"/>
  <c r="E43" i="34"/>
  <c r="E44" i="34"/>
  <c r="E45" i="34"/>
  <c r="E46" i="34"/>
  <c r="E47" i="34"/>
  <c r="E48" i="34"/>
  <c r="E49" i="34"/>
  <c r="E50" i="34"/>
  <c r="E51" i="34"/>
  <c r="E52" i="34"/>
  <c r="E53" i="34"/>
  <c r="E54" i="34"/>
  <c r="E56" i="34"/>
  <c r="E57" i="34"/>
  <c r="E58" i="34"/>
  <c r="E59" i="34"/>
  <c r="E60" i="34"/>
  <c r="E61" i="34"/>
  <c r="E4" i="34"/>
  <c r="K45" i="29" l="1"/>
  <c r="K44" i="29"/>
  <c r="K42" i="29"/>
  <c r="K41" i="29"/>
  <c r="K40" i="29"/>
  <c r="K38" i="29"/>
  <c r="K37" i="29"/>
  <c r="K36" i="29"/>
  <c r="K35" i="29"/>
  <c r="K34" i="29"/>
  <c r="K33" i="29"/>
  <c r="K32" i="29"/>
  <c r="K31" i="29"/>
  <c r="K30" i="29"/>
  <c r="K29" i="29"/>
  <c r="K28" i="29"/>
  <c r="K27" i="29"/>
  <c r="K26" i="29"/>
  <c r="K25" i="29"/>
  <c r="K24" i="29"/>
  <c r="K23" i="29"/>
  <c r="K22" i="29"/>
  <c r="K21" i="29"/>
  <c r="K20" i="29"/>
  <c r="K19" i="29"/>
  <c r="K18" i="29"/>
  <c r="K17" i="29"/>
  <c r="K16" i="29"/>
  <c r="K13" i="29"/>
  <c r="K12" i="29"/>
  <c r="K11" i="29"/>
  <c r="K10" i="29"/>
  <c r="K9" i="29"/>
  <c r="K8" i="29"/>
  <c r="K5" i="29"/>
  <c r="K4" i="29"/>
  <c r="I40" i="29" l="1"/>
  <c r="H40" i="29" s="1"/>
  <c r="I16" i="29"/>
  <c r="H16" i="29" s="1"/>
  <c r="I45" i="29"/>
  <c r="H45" i="29" s="1"/>
  <c r="I21" i="29"/>
  <c r="H21" i="29" s="1"/>
  <c r="I44" i="29"/>
  <c r="H44" i="29" s="1"/>
  <c r="I43" i="29"/>
  <c r="H43" i="29" s="1"/>
  <c r="I42" i="29"/>
  <c r="H42" i="29" s="1"/>
  <c r="I41" i="29"/>
  <c r="H41" i="29" s="1"/>
  <c r="I39" i="29"/>
  <c r="H39" i="29" s="1"/>
  <c r="I38" i="29"/>
  <c r="H38" i="29" s="1"/>
  <c r="I37" i="29"/>
  <c r="H37" i="29" s="1"/>
  <c r="I36" i="29"/>
  <c r="H36" i="29" s="1"/>
  <c r="I35" i="29"/>
  <c r="H35" i="29" s="1"/>
  <c r="I34" i="29"/>
  <c r="H34" i="29" s="1"/>
  <c r="I33" i="29"/>
  <c r="H33" i="29" s="1"/>
  <c r="I32" i="29"/>
  <c r="H32" i="29" s="1"/>
  <c r="I31" i="29"/>
  <c r="H31" i="29" s="1"/>
  <c r="I30" i="29"/>
  <c r="H30" i="29" s="1"/>
  <c r="I29" i="29"/>
  <c r="H29" i="29" s="1"/>
  <c r="I28" i="29"/>
  <c r="H28" i="29" s="1"/>
  <c r="I27" i="29"/>
  <c r="H27" i="29" s="1"/>
  <c r="I26" i="29"/>
  <c r="H26" i="29" s="1"/>
  <c r="I25" i="29"/>
  <c r="H25" i="29" s="1"/>
  <c r="I24" i="29"/>
  <c r="H24" i="29" s="1"/>
  <c r="I23" i="29"/>
  <c r="H23" i="29" s="1"/>
  <c r="I22" i="29"/>
  <c r="H22" i="29" s="1"/>
  <c r="I20" i="29"/>
  <c r="H20" i="29" s="1"/>
  <c r="I19" i="29"/>
  <c r="H19" i="29" s="1"/>
  <c r="I18" i="29"/>
  <c r="H18" i="29" s="1"/>
  <c r="I17" i="29"/>
  <c r="H17" i="29" s="1"/>
  <c r="I15" i="29"/>
  <c r="H15" i="29" s="1"/>
  <c r="I14" i="29"/>
  <c r="H14" i="29" s="1"/>
  <c r="I13" i="29"/>
  <c r="H13" i="29" s="1"/>
  <c r="I12" i="29"/>
  <c r="H12" i="29" s="1"/>
  <c r="I11" i="29"/>
  <c r="H11" i="29" s="1"/>
  <c r="I10" i="29"/>
  <c r="H10" i="29" s="1"/>
  <c r="I9" i="29"/>
  <c r="H9" i="29" s="1"/>
  <c r="I8" i="29"/>
  <c r="H8" i="29" s="1"/>
  <c r="I7" i="29"/>
  <c r="H7" i="29" s="1"/>
  <c r="I6" i="29"/>
  <c r="H6" i="29" s="1"/>
  <c r="I5" i="29"/>
  <c r="H5" i="29" s="1"/>
  <c r="I4" i="29"/>
  <c r="I3" i="29"/>
  <c r="H3" i="29" l="1"/>
  <c r="H4" i="29"/>
  <c r="T16" i="23" l="1"/>
  <c r="AE26" i="23" l="1"/>
  <c r="AE24" i="23"/>
  <c r="AE23" i="23"/>
  <c r="AE22" i="23"/>
  <c r="AE19" i="23"/>
  <c r="AE18" i="23"/>
  <c r="AE17" i="23"/>
  <c r="AE14" i="23"/>
  <c r="AE13" i="23"/>
  <c r="AE12" i="23"/>
  <c r="AE11" i="23"/>
  <c r="AE10" i="23"/>
  <c r="AE9" i="23"/>
  <c r="AE7" i="23"/>
  <c r="AE6" i="23"/>
  <c r="AE5" i="23"/>
  <c r="AE4" i="23"/>
  <c r="AE3" i="23"/>
  <c r="AE2" i="23"/>
  <c r="AC26" i="23"/>
  <c r="AC25" i="23"/>
  <c r="AC24" i="23"/>
  <c r="AC23" i="23"/>
  <c r="AC22" i="23"/>
  <c r="AC21" i="23"/>
  <c r="AC20" i="23"/>
  <c r="AC19" i="23"/>
  <c r="AC18" i="23"/>
  <c r="AC17" i="23"/>
  <c r="AC16" i="23"/>
  <c r="AC15" i="23"/>
  <c r="AC14" i="23"/>
  <c r="AC13" i="23"/>
  <c r="AC10" i="23"/>
  <c r="AC9" i="23"/>
  <c r="AC8" i="23"/>
  <c r="AC7" i="23"/>
  <c r="AC6" i="23"/>
  <c r="AC5" i="23"/>
  <c r="AC4" i="23"/>
  <c r="AC3" i="23"/>
  <c r="AC2" i="23"/>
  <c r="AA26" i="23"/>
  <c r="AA25" i="23"/>
  <c r="AA24" i="23"/>
  <c r="AA23" i="23"/>
  <c r="AA22" i="23"/>
  <c r="AA21" i="23"/>
  <c r="AA20" i="23"/>
  <c r="AA18" i="23"/>
  <c r="AA17" i="23"/>
  <c r="AA16" i="23"/>
  <c r="AA15" i="23"/>
  <c r="AA14" i="23"/>
  <c r="AA13" i="23"/>
  <c r="AA12" i="23"/>
  <c r="AA10" i="23"/>
  <c r="AA9" i="23"/>
  <c r="AA8" i="23"/>
  <c r="AA7" i="23"/>
  <c r="AA6" i="23"/>
  <c r="AA5" i="23"/>
  <c r="AA3" i="23"/>
  <c r="Y26" i="23"/>
  <c r="Y25" i="23"/>
  <c r="Y24" i="23"/>
  <c r="Y23" i="23"/>
  <c r="Y22" i="23"/>
  <c r="Y19" i="23"/>
  <c r="Y17" i="23"/>
  <c r="Y16" i="23"/>
  <c r="Y14" i="23"/>
  <c r="Y11" i="23"/>
  <c r="Y10" i="23"/>
  <c r="Y9" i="23"/>
  <c r="Y7" i="23"/>
  <c r="Y6" i="23"/>
  <c r="Y5" i="23"/>
  <c r="Y3" i="23"/>
  <c r="W26" i="23"/>
  <c r="W25" i="23"/>
  <c r="W23" i="23"/>
  <c r="W22" i="23"/>
  <c r="W21" i="23"/>
  <c r="W20" i="23"/>
  <c r="W18" i="23"/>
  <c r="W17" i="23"/>
  <c r="W14" i="23"/>
  <c r="W13" i="23"/>
  <c r="W4" i="23"/>
  <c r="W3" i="23"/>
  <c r="U26" i="23"/>
  <c r="U24" i="23"/>
  <c r="U19" i="23"/>
  <c r="U16" i="23"/>
  <c r="U15" i="23"/>
  <c r="U11" i="23"/>
  <c r="U10" i="23"/>
  <c r="U8" i="23"/>
  <c r="U4" i="23"/>
  <c r="U3" i="23"/>
  <c r="U2" i="23"/>
  <c r="T25" i="23"/>
  <c r="U25" i="23" s="1"/>
  <c r="AD25" i="23"/>
  <c r="AE25" i="23" s="1"/>
  <c r="V24" i="23"/>
  <c r="W24" i="23" s="1"/>
  <c r="T23" i="23"/>
  <c r="U23" i="23" s="1"/>
  <c r="T22" i="23"/>
  <c r="U22" i="23" s="1"/>
  <c r="AD21" i="23"/>
  <c r="AE21" i="23" s="1"/>
  <c r="X21" i="23"/>
  <c r="Y21" i="23" s="1"/>
  <c r="T21" i="23"/>
  <c r="U21" i="23" s="1"/>
  <c r="X20" i="23"/>
  <c r="Y20" i="23" s="1"/>
  <c r="AD20" i="23"/>
  <c r="AE20" i="23" s="1"/>
  <c r="T20" i="23"/>
  <c r="U20" i="23" s="1"/>
  <c r="Z19" i="23"/>
  <c r="AA19" i="23" s="1"/>
  <c r="V19" i="23"/>
  <c r="W19" i="23" s="1"/>
  <c r="X18" i="23"/>
  <c r="Y18" i="23" s="1"/>
  <c r="T18" i="23"/>
  <c r="U18" i="23" s="1"/>
  <c r="AE16" i="23"/>
  <c r="T17" i="23"/>
  <c r="U17" i="23" s="1"/>
  <c r="V16" i="23"/>
  <c r="W16" i="23" s="1"/>
  <c r="X15" i="23"/>
  <c r="Y15" i="23" s="1"/>
  <c r="AD15" i="23"/>
  <c r="AE15" i="23" s="1"/>
  <c r="V15" i="23"/>
  <c r="W15" i="23" s="1"/>
  <c r="T14" i="23"/>
  <c r="U14" i="23" s="1"/>
  <c r="T13" i="23"/>
  <c r="U13" i="23" s="1"/>
  <c r="X13" i="23"/>
  <c r="Y13" i="23" s="1"/>
  <c r="X12" i="23"/>
  <c r="Y12" i="23" s="1"/>
  <c r="T12" i="23"/>
  <c r="U12" i="23" s="1"/>
  <c r="AB12" i="23"/>
  <c r="AC12" i="23" s="1"/>
  <c r="V12" i="23"/>
  <c r="W12" i="23" s="1"/>
  <c r="Z11" i="23"/>
  <c r="AA11" i="23" s="1"/>
  <c r="AB11" i="23"/>
  <c r="AC11" i="23" s="1"/>
  <c r="V11" i="23"/>
  <c r="W11" i="23" s="1"/>
  <c r="V10" i="23"/>
  <c r="W10" i="23" s="1"/>
  <c r="V9" i="23"/>
  <c r="W9" i="23" s="1"/>
  <c r="T9" i="23"/>
  <c r="U9" i="23" s="1"/>
  <c r="X8" i="23"/>
  <c r="Y8" i="23" s="1"/>
  <c r="AD8" i="23"/>
  <c r="V8" i="23"/>
  <c r="W8" i="23" s="1"/>
  <c r="T7" i="23"/>
  <c r="U7" i="23" s="1"/>
  <c r="V7" i="23"/>
  <c r="W7" i="23" s="1"/>
  <c r="V6" i="23"/>
  <c r="W6" i="23" s="1"/>
  <c r="T6" i="23"/>
  <c r="U6" i="23" s="1"/>
  <c r="V5" i="23"/>
  <c r="W5" i="23" s="1"/>
  <c r="T5" i="23"/>
  <c r="U5" i="23" s="1"/>
  <c r="Z4" i="23"/>
  <c r="AA4" i="23" s="1"/>
  <c r="X4" i="23"/>
  <c r="Y4" i="23" s="1"/>
  <c r="X2" i="23"/>
  <c r="Y2" i="23" s="1"/>
  <c r="Z2" i="23"/>
  <c r="AA2" i="23" s="1"/>
  <c r="V2" i="23"/>
  <c r="W2" i="23" s="1"/>
  <c r="R25" i="23"/>
  <c r="R24" i="23"/>
  <c r="R23" i="23"/>
  <c r="R22" i="23"/>
  <c r="R21" i="23"/>
  <c r="R20" i="23"/>
  <c r="R19" i="23"/>
  <c r="R18" i="23"/>
  <c r="R17" i="23"/>
  <c r="R16" i="23"/>
  <c r="R15" i="23"/>
  <c r="R14" i="23"/>
  <c r="R13" i="23"/>
  <c r="R12" i="23"/>
  <c r="R11" i="23"/>
  <c r="R10" i="23"/>
  <c r="R9" i="23"/>
  <c r="R8" i="23"/>
  <c r="R7" i="23"/>
  <c r="R6" i="23"/>
  <c r="R5" i="23"/>
  <c r="R4" i="23"/>
  <c r="R3" i="23"/>
  <c r="AF3" i="23" s="1"/>
  <c r="R2" i="23"/>
  <c r="AF17" i="23" l="1"/>
  <c r="AD27" i="23"/>
  <c r="AF25" i="23"/>
  <c r="AA27" i="23"/>
  <c r="Y27" i="23"/>
  <c r="AC27" i="23"/>
  <c r="AE8" i="23"/>
  <c r="AE27" i="23" s="1"/>
  <c r="R27" i="23"/>
  <c r="AF22" i="23"/>
  <c r="W27" i="23"/>
  <c r="U27" i="23"/>
  <c r="AF24" i="23"/>
  <c r="AF23" i="23"/>
  <c r="AF16" i="23"/>
  <c r="X27" i="23"/>
  <c r="AF5" i="23"/>
  <c r="AF11" i="23"/>
  <c r="AF21" i="23"/>
  <c r="AF4" i="23"/>
  <c r="AF7" i="23"/>
  <c r="AF9" i="23"/>
  <c r="AB27" i="23"/>
  <c r="AF20" i="23"/>
  <c r="AF14" i="23"/>
  <c r="AF18" i="23"/>
  <c r="AF2" i="23"/>
  <c r="AF13" i="23"/>
  <c r="AF6" i="23"/>
  <c r="AF10" i="23"/>
  <c r="Z27" i="23"/>
  <c r="V27" i="23"/>
  <c r="AF8" i="23"/>
  <c r="T27" i="23"/>
  <c r="AF19" i="23"/>
  <c r="R1" i="23"/>
  <c r="AF15" i="23"/>
  <c r="AF12" i="23"/>
  <c r="AF27" i="23" l="1"/>
  <c r="AD1" i="17"/>
  <c r="T1" i="17"/>
  <c r="V1" i="17"/>
  <c r="X1" i="17"/>
  <c r="Z1" i="17"/>
  <c r="AB1" i="17"/>
  <c r="R25" i="17"/>
  <c r="T25" i="17" s="1"/>
  <c r="R24" i="17"/>
  <c r="V24" i="17" s="1"/>
  <c r="R23" i="17"/>
  <c r="T23" i="17" s="1"/>
  <c r="R22" i="17"/>
  <c r="X22" i="17" s="1"/>
  <c r="R21" i="17"/>
  <c r="V21" i="17" s="1"/>
  <c r="R20" i="17"/>
  <c r="V20" i="17" s="1"/>
  <c r="R19" i="17"/>
  <c r="V19" i="17" s="1"/>
  <c r="R18" i="17"/>
  <c r="V18" i="17" s="1"/>
  <c r="R17" i="17"/>
  <c r="T17" i="17" s="1"/>
  <c r="R16" i="17"/>
  <c r="V16" i="17" s="1"/>
  <c r="R15" i="17"/>
  <c r="V15" i="17" s="1"/>
  <c r="R14" i="17"/>
  <c r="V14" i="17" s="1"/>
  <c r="R13" i="17"/>
  <c r="T13" i="17" s="1"/>
  <c r="R12" i="17"/>
  <c r="T12" i="17" s="1"/>
  <c r="R11" i="17"/>
  <c r="X11" i="17" s="1"/>
  <c r="R10" i="17"/>
  <c r="V10" i="17" s="1"/>
  <c r="R9" i="17"/>
  <c r="V9" i="17" s="1"/>
  <c r="R8" i="17"/>
  <c r="V8" i="17" s="1"/>
  <c r="R7" i="17"/>
  <c r="V7" i="17" s="1"/>
  <c r="R6" i="17"/>
  <c r="V6" i="17" s="1"/>
  <c r="R5" i="17"/>
  <c r="V5" i="17" s="1"/>
  <c r="R4" i="17"/>
  <c r="X4" i="17" s="1"/>
  <c r="R3" i="17"/>
  <c r="T3" i="17" s="1"/>
  <c r="R2" i="17"/>
  <c r="X2" i="17" s="1"/>
  <c r="AD20" i="17" l="1"/>
  <c r="AD2" i="17"/>
  <c r="AD4" i="17"/>
  <c r="AD10" i="17"/>
  <c r="AD12" i="17"/>
  <c r="AD18" i="17"/>
  <c r="AD11" i="17"/>
  <c r="AD19" i="17"/>
  <c r="AD5" i="17"/>
  <c r="AD13" i="17"/>
  <c r="AD21" i="17"/>
  <c r="AD6" i="17"/>
  <c r="AD14" i="17"/>
  <c r="AD22" i="17"/>
  <c r="AD7" i="17"/>
  <c r="AD15" i="17"/>
  <c r="AD23" i="17"/>
  <c r="AD8" i="17"/>
  <c r="AD16" i="17"/>
  <c r="AD24" i="17"/>
  <c r="AD9" i="17"/>
  <c r="AD17" i="17"/>
  <c r="AD25" i="17"/>
  <c r="AB15" i="17"/>
  <c r="AB4" i="17"/>
  <c r="AB16" i="17"/>
  <c r="AB5" i="17"/>
  <c r="AB17" i="17"/>
  <c r="AB6" i="17"/>
  <c r="AB18" i="17"/>
  <c r="AB3" i="17"/>
  <c r="AB7" i="17"/>
  <c r="AB19" i="17"/>
  <c r="AB20" i="17"/>
  <c r="AB9" i="17"/>
  <c r="AB21" i="17"/>
  <c r="AB10" i="17"/>
  <c r="AB22" i="17"/>
  <c r="AB11" i="17"/>
  <c r="AB23" i="17"/>
  <c r="AB12" i="17"/>
  <c r="AB24" i="17"/>
  <c r="AB13" i="17"/>
  <c r="AB2" i="17"/>
  <c r="AB14" i="17"/>
  <c r="Z5" i="17"/>
  <c r="Z16" i="17"/>
  <c r="Z6" i="17"/>
  <c r="Z18" i="17"/>
  <c r="Z4" i="17"/>
  <c r="Z7" i="17"/>
  <c r="Z19" i="17"/>
  <c r="Z8" i="17"/>
  <c r="Z20" i="17"/>
  <c r="Z21" i="17"/>
  <c r="Z10" i="17"/>
  <c r="Z22" i="17"/>
  <c r="Z11" i="17"/>
  <c r="Z23" i="17"/>
  <c r="Z15" i="17"/>
  <c r="Z24" i="17"/>
  <c r="Z3" i="17"/>
  <c r="Z13" i="17"/>
  <c r="Z2" i="17"/>
  <c r="Z14" i="17"/>
  <c r="X15" i="17"/>
  <c r="X16" i="17"/>
  <c r="X17" i="17"/>
  <c r="X6" i="17"/>
  <c r="X7" i="17"/>
  <c r="X8" i="17"/>
  <c r="X9" i="17"/>
  <c r="X12" i="17"/>
  <c r="X13" i="17"/>
  <c r="X25" i="17"/>
  <c r="X3" i="17"/>
  <c r="X14" i="17"/>
  <c r="V3" i="17"/>
  <c r="V13" i="17"/>
  <c r="V25" i="17"/>
  <c r="AE13" i="17"/>
  <c r="AI13" i="17" s="1"/>
  <c r="S21" i="17"/>
  <c r="T21" i="17" s="1"/>
  <c r="W21" i="17"/>
  <c r="X21" i="17" s="1"/>
  <c r="U2" i="17"/>
  <c r="V2" i="17" s="1"/>
  <c r="Q3" i="21" l="1"/>
  <c r="Q4" i="21"/>
  <c r="Q5" i="21"/>
  <c r="Q6" i="21"/>
  <c r="Q7" i="21"/>
  <c r="Q8" i="21"/>
  <c r="Q9" i="21"/>
  <c r="Q10" i="21"/>
  <c r="Q11" i="21"/>
  <c r="Q12" i="21"/>
  <c r="Q13" i="21"/>
  <c r="Q14" i="21"/>
  <c r="Q15" i="21"/>
  <c r="Q16" i="21"/>
  <c r="Q17" i="21"/>
  <c r="Q18" i="21"/>
  <c r="Q19" i="21"/>
  <c r="Q20" i="21"/>
  <c r="Q21" i="21"/>
  <c r="Q22" i="21"/>
  <c r="Q23" i="21"/>
  <c r="Q24" i="21"/>
  <c r="Q25" i="21"/>
  <c r="Q2" i="21"/>
  <c r="AE24" i="17"/>
  <c r="AI24" i="17" s="1"/>
  <c r="S22" i="17"/>
  <c r="T22" i="17" s="1"/>
  <c r="AE21" i="17"/>
  <c r="AI21" i="17" s="1"/>
  <c r="U4" i="17"/>
  <c r="V4" i="17" s="1"/>
  <c r="W23" i="17"/>
  <c r="X23" i="17" s="1"/>
  <c r="AE23" i="17"/>
  <c r="AI23" i="17" s="1"/>
  <c r="U22" i="17"/>
  <c r="V22" i="17" s="1"/>
  <c r="AE22" i="17"/>
  <c r="AI22" i="17" s="1"/>
  <c r="S19" i="17"/>
  <c r="T19" i="17" s="1"/>
  <c r="AE19" i="17"/>
  <c r="AI19" i="17" s="1"/>
  <c r="AE15" i="17"/>
  <c r="AI15" i="17" s="1"/>
  <c r="AE7" i="17"/>
  <c r="AI7" i="17" s="1"/>
  <c r="AE6" i="17"/>
  <c r="AI6" i="17" s="1"/>
  <c r="AE5" i="17"/>
  <c r="AI5" i="17" s="1"/>
  <c r="AE4" i="17"/>
  <c r="AI4" i="17" s="1"/>
  <c r="Q3" i="19"/>
  <c r="Q4" i="19"/>
  <c r="Q5" i="19"/>
  <c r="Q6" i="19"/>
  <c r="Q7" i="19"/>
  <c r="Q8" i="19"/>
  <c r="Q9" i="19"/>
  <c r="Q10" i="19"/>
  <c r="Q11" i="19"/>
  <c r="Q12" i="19"/>
  <c r="Q13" i="19"/>
  <c r="Q14" i="19"/>
  <c r="Q2" i="19"/>
  <c r="AA25" i="17"/>
  <c r="AB25" i="17" s="1"/>
  <c r="Y25" i="17"/>
  <c r="Z25" i="17" s="1"/>
  <c r="Y12" i="17"/>
  <c r="Z12" i="17" s="1"/>
  <c r="S9" i="17"/>
  <c r="T9" i="17" s="1"/>
  <c r="Y9" i="17"/>
  <c r="Z9" i="17" s="1"/>
  <c r="Q26" i="21" l="1"/>
  <c r="AE26" i="17"/>
  <c r="S24" i="17"/>
  <c r="T24" i="17" s="1"/>
  <c r="W24" i="17"/>
  <c r="X24" i="17" s="1"/>
  <c r="U23" i="17"/>
  <c r="V23" i="17" s="1"/>
  <c r="S20" i="17"/>
  <c r="T20" i="17" s="1"/>
  <c r="W20" i="17"/>
  <c r="X20" i="17" s="1"/>
  <c r="W19" i="17"/>
  <c r="X19" i="17" s="1"/>
  <c r="S18" i="17"/>
  <c r="T18" i="17" s="1"/>
  <c r="W18" i="17"/>
  <c r="X18" i="17" s="1"/>
  <c r="Y17" i="17"/>
  <c r="U17" i="17"/>
  <c r="V17" i="17" s="1"/>
  <c r="S16" i="17"/>
  <c r="T16" i="17" s="1"/>
  <c r="S15" i="17"/>
  <c r="T15" i="17" s="1"/>
  <c r="S14" i="17"/>
  <c r="T14" i="17" s="1"/>
  <c r="U12" i="17"/>
  <c r="V12" i="17" s="1"/>
  <c r="S11" i="17"/>
  <c r="T11" i="17" s="1"/>
  <c r="U11" i="17"/>
  <c r="V11" i="17" s="1"/>
  <c r="W10" i="17"/>
  <c r="X10" i="17" s="1"/>
  <c r="S10" i="17"/>
  <c r="T10" i="17" s="1"/>
  <c r="AA8" i="17"/>
  <c r="S8" i="17"/>
  <c r="T8" i="17" s="1"/>
  <c r="S7" i="17"/>
  <c r="T7" i="17" s="1"/>
  <c r="S6" i="17"/>
  <c r="T6" i="17" s="1"/>
  <c r="W5" i="17"/>
  <c r="X5" i="17" s="1"/>
  <c r="S5" i="17"/>
  <c r="T5" i="17" s="1"/>
  <c r="S4" i="17"/>
  <c r="T4" i="17" s="1"/>
  <c r="AC3" i="17"/>
  <c r="S2" i="17"/>
  <c r="T2" i="17" s="1"/>
  <c r="Q3" i="17"/>
  <c r="AF3" i="17" s="1"/>
  <c r="Q4" i="17"/>
  <c r="Q5" i="17"/>
  <c r="Q6" i="17"/>
  <c r="Q7" i="17"/>
  <c r="Q8" i="17"/>
  <c r="Q9" i="17"/>
  <c r="AF9" i="17" s="1"/>
  <c r="Q10" i="17"/>
  <c r="Q11" i="17"/>
  <c r="Q12" i="17"/>
  <c r="Q13" i="17"/>
  <c r="AF13" i="17" s="1"/>
  <c r="Q14" i="17"/>
  <c r="Q15" i="17"/>
  <c r="Q16" i="17"/>
  <c r="Q17" i="17"/>
  <c r="Q18" i="17"/>
  <c r="Q19" i="17"/>
  <c r="Q20" i="17"/>
  <c r="Q21" i="17"/>
  <c r="AF21" i="17" s="1"/>
  <c r="Q22" i="17"/>
  <c r="AF22" i="17" s="1"/>
  <c r="Q23" i="17"/>
  <c r="Q24" i="17"/>
  <c r="Q25" i="17"/>
  <c r="AF25" i="17" s="1"/>
  <c r="Q2" i="17"/>
  <c r="AF4" i="17" l="1"/>
  <c r="AF2" i="17"/>
  <c r="AF20" i="17"/>
  <c r="AF24" i="17"/>
  <c r="AF15" i="17"/>
  <c r="AF23" i="17"/>
  <c r="AF19" i="17"/>
  <c r="AF14" i="17"/>
  <c r="AC26" i="17"/>
  <c r="AD3" i="17"/>
  <c r="AD26" i="17" s="1"/>
  <c r="AA26" i="17"/>
  <c r="AB8" i="17"/>
  <c r="AB26" i="17" s="1"/>
  <c r="AF12" i="17"/>
  <c r="Y26" i="17"/>
  <c r="Z17" i="17"/>
  <c r="Z26" i="17" s="1"/>
  <c r="V26" i="17"/>
  <c r="X26" i="17"/>
  <c r="T26" i="17"/>
  <c r="AF5" i="17"/>
  <c r="AF7" i="17"/>
  <c r="AF16" i="17"/>
  <c r="AF6" i="17"/>
  <c r="U26" i="17"/>
  <c r="AF18" i="17"/>
  <c r="AF11" i="17"/>
  <c r="AF10" i="17"/>
  <c r="W26" i="17"/>
  <c r="Q26" i="17"/>
  <c r="S26" i="17"/>
  <c r="AF17" i="17" l="1"/>
  <c r="AF8" i="17"/>
  <c r="R26" i="17"/>
  <c r="U27" i="17" s="1"/>
  <c r="AA27" i="17" l="1"/>
  <c r="AB28" i="17" s="1"/>
  <c r="AB29" i="17" s="1"/>
  <c r="Y27" i="17"/>
  <c r="Z28" i="17" s="1"/>
  <c r="Z29" i="17" s="1"/>
  <c r="S27" i="17"/>
  <c r="T28" i="17" s="1"/>
  <c r="T29" i="17" s="1"/>
  <c r="W27" i="17"/>
  <c r="X28" i="17" s="1"/>
  <c r="X29" i="17" s="1"/>
  <c r="V28" i="17"/>
  <c r="V29" i="17" s="1"/>
  <c r="U28" i="17"/>
  <c r="U29" i="17" s="1"/>
  <c r="AA28" i="17" l="1"/>
  <c r="AA29" i="17" s="1"/>
  <c r="Y28" i="17"/>
  <c r="Y29" i="17" s="1"/>
  <c r="W28" i="17"/>
  <c r="W29" i="17" s="1"/>
  <c r="S28" i="17"/>
  <c r="S29" i="17" s="1"/>
  <c r="E13" i="34"/>
  <c r="G69" i="34" l="1"/>
  <c r="E69" i="34"/>
  <c r="H68" i="3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o.hrytsenko</author>
  </authors>
  <commentList>
    <comment ref="D16" authorId="0" shapeId="0" xr:uid="{E27A8965-D904-4256-B3AA-270BD0AEF35C}">
      <text>
        <r>
          <rPr>
            <b/>
            <sz val="9"/>
            <color indexed="81"/>
            <rFont val="Tahoma"/>
            <family val="2"/>
            <charset val="204"/>
          </rPr>
          <t>o.hrytsenko:</t>
        </r>
        <r>
          <rPr>
            <sz val="9"/>
            <color indexed="81"/>
            <rFont val="Tahoma"/>
            <family val="2"/>
            <charset val="204"/>
          </rPr>
          <t xml:space="preserve">
відпускні 1719,09
зп           2856,00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F2" authorId="0" shapeId="0" xr:uid="{00000000-0006-0000-2000-000001000000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НЕ було</t>
        </r>
      </text>
    </comment>
  </commentList>
</comments>
</file>

<file path=xl/sharedStrings.xml><?xml version="1.0" encoding="utf-8"?>
<sst xmlns="http://schemas.openxmlformats.org/spreadsheetml/2006/main" count="5037" uniqueCount="669">
  <si>
    <t>ставка</t>
  </si>
  <si>
    <t>N</t>
  </si>
  <si>
    <t>Всего часов</t>
  </si>
  <si>
    <t>Бабіленко Микола Олександрович</t>
  </si>
  <si>
    <t xml:space="preserve">Корнієнко Станіслав Володимирович </t>
  </si>
  <si>
    <t>Масливець Ігор Валерійович</t>
  </si>
  <si>
    <t>Сотрудник</t>
  </si>
  <si>
    <t>Костенко Костянтин Юрійович</t>
  </si>
  <si>
    <t>Відпрацьовано годин</t>
  </si>
  <si>
    <t>Поліщук Олександр</t>
  </si>
  <si>
    <t>Багацький Вадим Геннадійович</t>
  </si>
  <si>
    <t>Васильєв Віталій Юрійович</t>
  </si>
  <si>
    <t>Григоренко Олександр Миколайович</t>
  </si>
  <si>
    <t>Григор'єв Микола Андрійович</t>
  </si>
  <si>
    <t>Григор'єв Михайло Андрійович</t>
  </si>
  <si>
    <t>Іванов Олексій Вікторович</t>
  </si>
  <si>
    <t>Іскрицький Денис Русланович</t>
  </si>
  <si>
    <t>Пономаренко Віталій Вікторович</t>
  </si>
  <si>
    <t>Пономаренко Олександр Вікторович</t>
  </si>
  <si>
    <t>Власенко В'ячеслав Валентинович</t>
  </si>
  <si>
    <t>Пилипчук Олександр Анатолійович</t>
  </si>
  <si>
    <t>Понуркін Євген Григорович</t>
  </si>
  <si>
    <t>Паламарчук Вячеслав</t>
  </si>
  <si>
    <t>Дегтяр Влад</t>
  </si>
  <si>
    <t>8</t>
  </si>
  <si>
    <t>9</t>
  </si>
  <si>
    <t>11</t>
  </si>
  <si>
    <t>Багацький Вадим</t>
  </si>
  <si>
    <t>Васильєв Віталій</t>
  </si>
  <si>
    <t>Григоренко Олександр</t>
  </si>
  <si>
    <t>Григор'єв Микола</t>
  </si>
  <si>
    <t>Григор'єв Михайло</t>
  </si>
  <si>
    <t>Іванов Олексій</t>
  </si>
  <si>
    <t>Іскрицький Д.С.</t>
  </si>
  <si>
    <t>Корнієнко Віталій Олегович</t>
  </si>
  <si>
    <t>Пономаренко Віталій</t>
  </si>
  <si>
    <t xml:space="preserve">Пономаренко Олександр </t>
  </si>
  <si>
    <t>Пономарьов Микола Вікторович</t>
  </si>
  <si>
    <t>Скрипник Олександр Павлович</t>
  </si>
  <si>
    <t>Власенко В'ячеслав</t>
  </si>
  <si>
    <t>Пилипчук Олександр</t>
  </si>
  <si>
    <t>Скрипник Сергій</t>
  </si>
  <si>
    <t>Поліщук Олександр</t>
  </si>
  <si>
    <t>Паламарчук Вячеслав Володимирович</t>
  </si>
  <si>
    <t>Діхтяр Владислав</t>
  </si>
  <si>
    <t xml:space="preserve">Щербак Петро Іванович 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</si>
  <si>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</si>
  <si>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</si>
  <si>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</si>
  <si>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</si>
  <si>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</si>
  <si>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</si>
  <si>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</si>
  <si>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</si>
  <si>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</si>
  <si>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</si>
  <si>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</si>
  <si>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</si>
  <si>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</si>
  <si>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</si>
  <si>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1</t>
  </si>
  <si>
    <t>2</t>
  </si>
  <si>
    <t>3</t>
  </si>
  <si>
    <t>4</t>
  </si>
  <si>
    <t>10</t>
  </si>
  <si>
    <t>12</t>
  </si>
  <si>
    <t>13</t>
  </si>
  <si>
    <t>14</t>
  </si>
  <si>
    <t>Крушинка</t>
  </si>
  <si>
    <t>Піддони</t>
  </si>
  <si>
    <t>Кутики монтаж</t>
  </si>
  <si>
    <t>Огородження</t>
  </si>
  <si>
    <t>Ремонт кран балки</t>
  </si>
  <si>
    <t>ИТР</t>
  </si>
  <si>
    <t>Битовка</t>
  </si>
  <si>
    <t>Всего грн</t>
  </si>
  <si>
    <t>&lt;Объект не найден&gt; (3998:a204000c299fb27811ea175b1c8d2e0a)</t>
  </si>
  <si>
    <t>Поліщук Олександр Олександрович</t>
  </si>
  <si>
    <t>Діхтяр Владислав Олександрович</t>
  </si>
  <si>
    <t>За 19.02.24 Табель заповнен не правильно, треба виправити</t>
  </si>
  <si>
    <t>Скрипник Сергій Павлович</t>
  </si>
  <si>
    <t>Ставка</t>
  </si>
  <si>
    <t>Крушинка на листе</t>
  </si>
  <si>
    <t>5</t>
  </si>
  <si>
    <t>6</t>
  </si>
  <si>
    <t>7</t>
  </si>
  <si>
    <t>15</t>
  </si>
  <si>
    <t>Тужиков Валерій Владиславович</t>
  </si>
  <si>
    <t>1-15 березня</t>
  </si>
  <si>
    <t>Огорожа Підгірці</t>
  </si>
  <si>
    <t>Піддони Металургбуд</t>
  </si>
  <si>
    <t>Ніжин ЖК</t>
  </si>
  <si>
    <t>Будинки ООН</t>
  </si>
  <si>
    <t>Битовка Ніжин</t>
  </si>
  <si>
    <t>Цехові роботи</t>
  </si>
  <si>
    <t>Сівов Євген Миколайович</t>
  </si>
  <si>
    <t>Кіфор Юрій Михайлович</t>
  </si>
  <si>
    <t>Петренко Микола Григорович</t>
  </si>
  <si>
    <t>Рубленко Микола Іванович</t>
  </si>
  <si>
    <t>Работник (основное назначение)</t>
  </si>
  <si>
    <t>Период взаиморасчетов</t>
  </si>
  <si>
    <t>Счет учета</t>
  </si>
  <si>
    <t>Сумма</t>
  </si>
  <si>
    <t>Сумма (окр.)</t>
  </si>
  <si>
    <t xml:space="preserve">Аксенчіков Сергій Олександрович </t>
  </si>
  <si>
    <t>01.07.2024</t>
  </si>
  <si>
    <t xml:space="preserve">Стецюк Тетяна Леонідівна </t>
  </si>
  <si>
    <t>Тужиков Валерій Владиславович (осн.)</t>
  </si>
  <si>
    <t xml:space="preserve">Тужиков Юрій Владиславович </t>
  </si>
  <si>
    <t xml:space="preserve">Федорчук Денис Сергійович </t>
  </si>
  <si>
    <t xml:space="preserve">Чілібін Микола Євгенович </t>
  </si>
  <si>
    <t xml:space="preserve">Чуб Владислав Володимирович </t>
  </si>
  <si>
    <t>Итого:</t>
  </si>
  <si>
    <t>Бреус Віталій Григорович</t>
  </si>
  <si>
    <t>Бутенко Матвій Анатолійович</t>
  </si>
  <si>
    <t>Гриценко Олександр Вікторович</t>
  </si>
  <si>
    <t>Грушко Лариса Вікторівна</t>
  </si>
  <si>
    <t>Админ</t>
  </si>
  <si>
    <t>Код (Таб. №)</t>
  </si>
  <si>
    <t>Наименование</t>
  </si>
  <si>
    <t>Код по ДРФО</t>
  </si>
  <si>
    <t>Вид договора</t>
  </si>
  <si>
    <t>Вид занятости</t>
  </si>
  <si>
    <t>Подразделение организации</t>
  </si>
  <si>
    <t>Должность организации</t>
  </si>
  <si>
    <t>Дата приема</t>
  </si>
  <si>
    <t>Оренда авто</t>
  </si>
  <si>
    <t>д000000007</t>
  </si>
  <si>
    <t>Воронцов Олександр Володимирович (оренда авто)</t>
  </si>
  <si>
    <t>Договор подряда (выполнение работ, оказание услуг)</t>
  </si>
  <si>
    <t>д000000023</t>
  </si>
  <si>
    <t>Гавриченко Тетяна Василівна (оренда авто)</t>
  </si>
  <si>
    <t>д000000010</t>
  </si>
  <si>
    <t>Гриценко Олександр Вікторович (оренда авто)</t>
  </si>
  <si>
    <t>д000000001</t>
  </si>
  <si>
    <t>Гриценко Сергій Миколайович  (дг.)</t>
  </si>
  <si>
    <t>д000000013</t>
  </si>
  <si>
    <t>Гриценко Сергій Миколайович (оренда авто)</t>
  </si>
  <si>
    <t>д000000019</t>
  </si>
  <si>
    <t>Гуняга Олег Володимирович (оренда авто)</t>
  </si>
  <si>
    <t>д000000008</t>
  </si>
  <si>
    <t>Манжула Максим Анатолійович (оренда авто)</t>
  </si>
  <si>
    <t>д000000014</t>
  </si>
  <si>
    <t>Огоновський Дмитро Анатолійович (оренда авто)</t>
  </si>
  <si>
    <t>д000000015</t>
  </si>
  <si>
    <t>Потьомко Михайло Володимирович (оренда авто)</t>
  </si>
  <si>
    <t>д000000016</t>
  </si>
  <si>
    <t>Сикал Павло Анатолійович (оренда авто)</t>
  </si>
  <si>
    <t>д000000012</t>
  </si>
  <si>
    <t>Старіков Сергій Вікторович (оренда авто)</t>
  </si>
  <si>
    <t>д000000020</t>
  </si>
  <si>
    <t>Шевченко Євген Анатолійович (оренда авто)</t>
  </si>
  <si>
    <t>д000000009</t>
  </si>
  <si>
    <t>Ширшов Олександр Леонідович (оренда авто)</t>
  </si>
  <si>
    <t xml:space="preserve">Адаменко Віталій Вікторович </t>
  </si>
  <si>
    <t>Трудовой договор</t>
  </si>
  <si>
    <t>Основное место работы</t>
  </si>
  <si>
    <t>Виробничий (Цех металоконструкцій)</t>
  </si>
  <si>
    <t>Монтажник будівельний</t>
  </si>
  <si>
    <t>05.10.2022</t>
  </si>
  <si>
    <t>Адміністративний відділ</t>
  </si>
  <si>
    <t>Майстер будівельних та монтажних робіт</t>
  </si>
  <si>
    <t>01.07.2022</t>
  </si>
  <si>
    <t>Аксенчіков Сергій Олександрович (оренда авто)</t>
  </si>
  <si>
    <t xml:space="preserve">Александров Артем Анатолійович </t>
  </si>
  <si>
    <t>Діловод</t>
  </si>
  <si>
    <t>25.09.2018</t>
  </si>
  <si>
    <t xml:space="preserve">Александров Денис Анатолійович </t>
  </si>
  <si>
    <t>Помічник економіста</t>
  </si>
  <si>
    <t>01.02.2021</t>
  </si>
  <si>
    <t xml:space="preserve">Александрова Жанна Валентинівна </t>
  </si>
  <si>
    <t>Прибиральник службових приміщень</t>
  </si>
  <si>
    <t>01.07.2020</t>
  </si>
  <si>
    <t xml:space="preserve">Антонович Тетяна Сергіївна </t>
  </si>
  <si>
    <t>Директор фінансовий</t>
  </si>
  <si>
    <t>22.12.2022</t>
  </si>
  <si>
    <t>Антонович Тетяна Сергіївна (сум.)</t>
  </si>
  <si>
    <t>Внешнее совместительство</t>
  </si>
  <si>
    <t>26.05.2023</t>
  </si>
  <si>
    <t xml:space="preserve">Аулова Маргарита Володимирівна </t>
  </si>
  <si>
    <t>Головний бухгалтер</t>
  </si>
  <si>
    <t>01.04.2024</t>
  </si>
  <si>
    <t>Аулова Маргарита Володимирівна (осн.)</t>
  </si>
  <si>
    <t>27.03.2024</t>
  </si>
  <si>
    <t xml:space="preserve">Ахмедов Тавакгюль Сардар огли </t>
  </si>
  <si>
    <t>Виробничий (Ладижин-3)</t>
  </si>
  <si>
    <t>Маляр</t>
  </si>
  <si>
    <t>08.09.2023</t>
  </si>
  <si>
    <t xml:space="preserve">Бабіленко Микола Олександрович </t>
  </si>
  <si>
    <t>Слюсар із складання металевих конструкцій</t>
  </si>
  <si>
    <t>01.12.2022</t>
  </si>
  <si>
    <t xml:space="preserve">Багацький Вадим Геннадійович </t>
  </si>
  <si>
    <t>Електрозварник ручного зварювання</t>
  </si>
  <si>
    <t>05.08.2022</t>
  </si>
  <si>
    <t xml:space="preserve">Безкоровайний Дмитро Миколайович </t>
  </si>
  <si>
    <t>Виробничий (Підгірці)</t>
  </si>
  <si>
    <t>Водій автотранспортних засобів</t>
  </si>
  <si>
    <t>04.02.2022</t>
  </si>
  <si>
    <t xml:space="preserve">Білоусов Євген Вікторович </t>
  </si>
  <si>
    <t>Виробничий (Старокостянтинів)</t>
  </si>
  <si>
    <t>Арматурник (будівельні, монтажні й ремонтно-будівельні роботи)</t>
  </si>
  <si>
    <t>01.02.2019</t>
  </si>
  <si>
    <t>д000000006</t>
  </si>
  <si>
    <t xml:space="preserve">Бічковський Максим Петрович </t>
  </si>
  <si>
    <t xml:space="preserve">Блоха Євген Валерійович </t>
  </si>
  <si>
    <t>Бетоняр</t>
  </si>
  <si>
    <t>27.09.2022</t>
  </si>
  <si>
    <t xml:space="preserve">Богданюк Дмитро Леонтійович </t>
  </si>
  <si>
    <t>Інженер з проєктно-кошторисної роботи</t>
  </si>
  <si>
    <t>02.11.2023</t>
  </si>
  <si>
    <t xml:space="preserve">Богун Олена Миколаївна </t>
  </si>
  <si>
    <t>Виробничій цех</t>
  </si>
  <si>
    <t>Лаборант</t>
  </si>
  <si>
    <t>02.07.2024</t>
  </si>
  <si>
    <t xml:space="preserve">Божков Валерій Вікторович </t>
  </si>
  <si>
    <t>Виробничий (Крушинка)</t>
  </si>
  <si>
    <t>19.12.2023</t>
  </si>
  <si>
    <t>Бокоч Галина Михайлівна (осн.)</t>
  </si>
  <si>
    <t>24.11.2023</t>
  </si>
  <si>
    <t xml:space="preserve">Болох Володимир Васильович </t>
  </si>
  <si>
    <t>Машиніст крана автомобільного</t>
  </si>
  <si>
    <t>03.08.2020</t>
  </si>
  <si>
    <t xml:space="preserve">Борецька Людмила Сергіївна </t>
  </si>
  <si>
    <t xml:space="preserve">Економіст </t>
  </si>
  <si>
    <t>08.04.2019</t>
  </si>
  <si>
    <t xml:space="preserve">Борисенко Олексій Миколайович </t>
  </si>
  <si>
    <t>01.11.2022</t>
  </si>
  <si>
    <t xml:space="preserve">Бреус Віталій Григорович </t>
  </si>
  <si>
    <t>Менеджер (управитель) з постачання</t>
  </si>
  <si>
    <t>18.07.2023</t>
  </si>
  <si>
    <t xml:space="preserve">Буднік Євгеній Костянтинович </t>
  </si>
  <si>
    <t xml:space="preserve">Монтажник з монтажу сталевих та залізобетонних конструкцій </t>
  </si>
  <si>
    <t>02.08.2023</t>
  </si>
  <si>
    <t xml:space="preserve">Буднік Костянтин Вікторович </t>
  </si>
  <si>
    <t>21.06.2023</t>
  </si>
  <si>
    <t xml:space="preserve">Бунтило Віталій Іванович </t>
  </si>
  <si>
    <t>18.03.2021</t>
  </si>
  <si>
    <t xml:space="preserve">Бутенко Матвій Анатолійович </t>
  </si>
  <si>
    <t>Бутенко Матвій Анатолійович (сум.)</t>
  </si>
  <si>
    <t>Завідувач складу</t>
  </si>
  <si>
    <t>10.01.2023</t>
  </si>
  <si>
    <t xml:space="preserve">Буша Володимир Володимирович </t>
  </si>
  <si>
    <t>Виробничий (Ніжин-3)</t>
  </si>
  <si>
    <t>Виконавець робіт</t>
  </si>
  <si>
    <t>20.12.2023</t>
  </si>
  <si>
    <t xml:space="preserve">Васильєв Віталій Юрійович </t>
  </si>
  <si>
    <t>Столяр</t>
  </si>
  <si>
    <t>01.08.2023</t>
  </si>
  <si>
    <t xml:space="preserve">Величковський Дмитро Володимирович </t>
  </si>
  <si>
    <t>15.12.2023</t>
  </si>
  <si>
    <t xml:space="preserve">Веніцька Оксана Михайлівна </t>
  </si>
  <si>
    <t>10.01.2024</t>
  </si>
  <si>
    <t xml:space="preserve">Вірко Євген Григорович </t>
  </si>
  <si>
    <t>Виробничий (Ретал)</t>
  </si>
  <si>
    <t>15.08.2022</t>
  </si>
  <si>
    <t xml:space="preserve">Власенко В'ячеслав Валентинович </t>
  </si>
  <si>
    <t xml:space="preserve">Воронова Яна Ігорівна </t>
  </si>
  <si>
    <t>02.05.2024</t>
  </si>
  <si>
    <t xml:space="preserve">ВОРОНЦОВ ОЛЕКСАНДР ВОЛОДИМИРОВИЧ </t>
  </si>
  <si>
    <t>Директор</t>
  </si>
  <si>
    <t>05.12.2017</t>
  </si>
  <si>
    <t>Воронцов Олександр Володимирович (сум.)</t>
  </si>
  <si>
    <t>01.01.2018</t>
  </si>
  <si>
    <t>Воронцова Анна Валеріївна (сум.)</t>
  </si>
  <si>
    <t>08.03.2023</t>
  </si>
  <si>
    <t xml:space="preserve">Гавриченко Олександр Борисович </t>
  </si>
  <si>
    <t>01.02.2023</t>
  </si>
  <si>
    <t xml:space="preserve">Гайворонський Владислав Вікторович </t>
  </si>
  <si>
    <t>25.10.2022</t>
  </si>
  <si>
    <t xml:space="preserve">Гайдай Віктор Григорович </t>
  </si>
  <si>
    <t xml:space="preserve">Геворкян Вануш Геворгович </t>
  </si>
  <si>
    <t>Виробничий (Придніпровський ОЕЗ)</t>
  </si>
  <si>
    <t>20.01.2022</t>
  </si>
  <si>
    <t xml:space="preserve">Гладун Дмитро Михайлович </t>
  </si>
  <si>
    <t>16.11.2022</t>
  </si>
  <si>
    <t xml:space="preserve">Глузд Дмитро Михайлович </t>
  </si>
  <si>
    <t>Начальник вiддiлу матерiально-технiчного постачання</t>
  </si>
  <si>
    <t>31.07.2023</t>
  </si>
  <si>
    <t xml:space="preserve">Голіков Сергій Анатолійович </t>
  </si>
  <si>
    <t>Виробничий (ООН)</t>
  </si>
  <si>
    <t xml:space="preserve">Голуб Ігор Леонідович </t>
  </si>
  <si>
    <t>Транспортний відділ</t>
  </si>
  <si>
    <t>09.04.2024</t>
  </si>
  <si>
    <t xml:space="preserve">Гончар Ольга Анатоліївна </t>
  </si>
  <si>
    <t>Бухгалтер</t>
  </si>
  <si>
    <t>20.11.2023</t>
  </si>
  <si>
    <t>04.12.2023</t>
  </si>
  <si>
    <t xml:space="preserve">Гончаренко Анатолій Олексійович </t>
  </si>
  <si>
    <t>09.08.2019</t>
  </si>
  <si>
    <t xml:space="preserve">Горбачова Лариса Борисівна </t>
  </si>
  <si>
    <t>15.02.2024</t>
  </si>
  <si>
    <t xml:space="preserve">Горєлов Микита Євгенович </t>
  </si>
  <si>
    <t>22.07.2024</t>
  </si>
  <si>
    <t xml:space="preserve">Горячий Іван Васильович </t>
  </si>
  <si>
    <t>Тракторист</t>
  </si>
  <si>
    <t>17.11.2020</t>
  </si>
  <si>
    <t xml:space="preserve">Гребенюк Олександр Миколайович </t>
  </si>
  <si>
    <t>19.06.2024</t>
  </si>
  <si>
    <t xml:space="preserve">Григоренко Олександр Миколайович </t>
  </si>
  <si>
    <t xml:space="preserve">Григор'єв Микола Андрійович </t>
  </si>
  <si>
    <t>25.07.2024</t>
  </si>
  <si>
    <t xml:space="preserve">Григор'єв Михайло Андрійович </t>
  </si>
  <si>
    <t>18.06.2024</t>
  </si>
  <si>
    <t xml:space="preserve">Гринько Дмитро Дмитрович </t>
  </si>
  <si>
    <t>10.04.2020</t>
  </si>
  <si>
    <t xml:space="preserve">Гриценко Олександр Вікторович </t>
  </si>
  <si>
    <t>Гриценко Олександр Вікторович (сум.)</t>
  </si>
  <si>
    <t>Головний інженер</t>
  </si>
  <si>
    <t xml:space="preserve">Гриценко Сергій Миколайович </t>
  </si>
  <si>
    <t>Менеджер(управитель)у сфері оренди машин та устаткування</t>
  </si>
  <si>
    <t>Гриценко Сергій Миколайович (сум.)</t>
  </si>
  <si>
    <t>Менеджер(управитель)у сфері аренди машин та устаткування</t>
  </si>
  <si>
    <t>01.06.2023</t>
  </si>
  <si>
    <t xml:space="preserve">Грицик Іван Юрійович </t>
  </si>
  <si>
    <t>16.05.2024</t>
  </si>
  <si>
    <t xml:space="preserve">Грушко Лариса Вікторівна </t>
  </si>
  <si>
    <t>Інженер з контролю якості</t>
  </si>
  <si>
    <t>17.07.2024</t>
  </si>
  <si>
    <t xml:space="preserve">Губенко Володимир Данилович </t>
  </si>
  <si>
    <t>03.06.2024</t>
  </si>
  <si>
    <t xml:space="preserve">Деренко Василь Іванович </t>
  </si>
  <si>
    <t>Виробничий (Глобино)</t>
  </si>
  <si>
    <t>Інженер  з охорони праці</t>
  </si>
  <si>
    <t>20.06.2024</t>
  </si>
  <si>
    <t xml:space="preserve">Дехтяр Владислав Олександрович </t>
  </si>
  <si>
    <t>Електрозварник на автоматичних та напівавтоматичних машинах</t>
  </si>
  <si>
    <t>01.03.2024</t>
  </si>
  <si>
    <t xml:space="preserve">Дзьома Артем Васильович </t>
  </si>
  <si>
    <t>Електрогазозварник</t>
  </si>
  <si>
    <t>05.11.2020</t>
  </si>
  <si>
    <t xml:space="preserve">Доброновський Віталій Владиславович </t>
  </si>
  <si>
    <t>03.05.2023</t>
  </si>
  <si>
    <t>Дреманович Єгор Олегович (осн.)</t>
  </si>
  <si>
    <t>18.03.2024</t>
  </si>
  <si>
    <t xml:space="preserve">Дреманович Олег Станіславович </t>
  </si>
  <si>
    <t xml:space="preserve">Дучук Микола Федорович </t>
  </si>
  <si>
    <t>Машиніст крана (кранівник)</t>
  </si>
  <si>
    <t>28.11.2023</t>
  </si>
  <si>
    <t xml:space="preserve">Дяченко  Анна Володимирівна </t>
  </si>
  <si>
    <t>Менеджер (управитель) з адміністративної діяльності</t>
  </si>
  <si>
    <t>03.10.2019</t>
  </si>
  <si>
    <t xml:space="preserve">Єрпульова Марія Артемівна </t>
  </si>
  <si>
    <t>Комірник</t>
  </si>
  <si>
    <t>14.02.2022</t>
  </si>
  <si>
    <t xml:space="preserve">Желтяков Ігор Юрійович </t>
  </si>
  <si>
    <t>09.07.2024</t>
  </si>
  <si>
    <t xml:space="preserve">Жовтобрюх Вадим Олександрович </t>
  </si>
  <si>
    <t>Геодезист</t>
  </si>
  <si>
    <t xml:space="preserve">Жорж Олександр Сергійович </t>
  </si>
  <si>
    <t>Керівник проєктів та програм</t>
  </si>
  <si>
    <t>15.11.2021</t>
  </si>
  <si>
    <t>д000000011</t>
  </si>
  <si>
    <t>Жорж Олександр Сергійович (оренда авто)</t>
  </si>
  <si>
    <t xml:space="preserve">Завіша Ігор Степанович </t>
  </si>
  <si>
    <t>01.05.2024</t>
  </si>
  <si>
    <t>Заєць Олексій Олександрович</t>
  </si>
  <si>
    <t>Менеджер (управитель) з логістики</t>
  </si>
  <si>
    <t>26.01.2024</t>
  </si>
  <si>
    <t xml:space="preserve">Здоровик Олександр Олександрович </t>
  </si>
  <si>
    <t>Машиніст екскаватора</t>
  </si>
  <si>
    <t xml:space="preserve">Зеленков Антон Михайлович </t>
  </si>
  <si>
    <t>20.09.2022</t>
  </si>
  <si>
    <t xml:space="preserve">Зоря Руслан Леонідович </t>
  </si>
  <si>
    <t xml:space="preserve">Зубов Олександр В'ячеславович </t>
  </si>
  <si>
    <t>01.09.2020</t>
  </si>
  <si>
    <t xml:space="preserve">Іванов Олексій Вікторович </t>
  </si>
  <si>
    <t xml:space="preserve">Іскрицький Денис Русланович </t>
  </si>
  <si>
    <t>10.08.2022</t>
  </si>
  <si>
    <t xml:space="preserve">Карбунар Ярослав Дмитрович </t>
  </si>
  <si>
    <t>08.04.2020</t>
  </si>
  <si>
    <t xml:space="preserve">Карпенко Михайло Григорович </t>
  </si>
  <si>
    <t>23.04.2024</t>
  </si>
  <si>
    <t xml:space="preserve">Катеринчук Сергій Володимирович </t>
  </si>
  <si>
    <t xml:space="preserve">Кісіль Євген Вікторович </t>
  </si>
  <si>
    <t xml:space="preserve">Кіфор Юрій Михайлович </t>
  </si>
  <si>
    <t xml:space="preserve">Клименко Олександр Сергійович </t>
  </si>
  <si>
    <t xml:space="preserve">Климович Олена Олександрівна </t>
  </si>
  <si>
    <t>22.07.2022</t>
  </si>
  <si>
    <t xml:space="preserve">Ковальов Ілля Миколайович </t>
  </si>
  <si>
    <t>01.06.2024</t>
  </si>
  <si>
    <t xml:space="preserve">Ковальчук Валентин Вікторович </t>
  </si>
  <si>
    <t xml:space="preserve">Козєєв Роман Сергійович </t>
  </si>
  <si>
    <t>Виробничий Турбіна2</t>
  </si>
  <si>
    <t>08.05.2020</t>
  </si>
  <si>
    <t xml:space="preserve">Комінко Ольга Михайлівна </t>
  </si>
  <si>
    <t>17.06.2024</t>
  </si>
  <si>
    <t xml:space="preserve">Комлак Олексій Володимирович </t>
  </si>
  <si>
    <t>01.02.2024</t>
  </si>
  <si>
    <t xml:space="preserve">Кондрич Ольга Іванівна </t>
  </si>
  <si>
    <t>12.07.2024</t>
  </si>
  <si>
    <t xml:space="preserve">Коніщев Борис Володимирович </t>
  </si>
  <si>
    <t>28.08.2023</t>
  </si>
  <si>
    <t xml:space="preserve">Коніщев Вячеслав Володимирович </t>
  </si>
  <si>
    <t xml:space="preserve">Корнієнко Віталій Олегович </t>
  </si>
  <si>
    <t>10.07.2023</t>
  </si>
  <si>
    <t xml:space="preserve">Косік Юрій Анатолійович </t>
  </si>
  <si>
    <t>01.07.2021</t>
  </si>
  <si>
    <t xml:space="preserve">Костенко Костянтин Юрійович </t>
  </si>
  <si>
    <t xml:space="preserve">Кочкін Руслан Вікторович </t>
  </si>
  <si>
    <t>22.09.2022</t>
  </si>
  <si>
    <t xml:space="preserve">Кравченко Олексій Григорович </t>
  </si>
  <si>
    <t xml:space="preserve">Крапивний Олег Васильович </t>
  </si>
  <si>
    <t>06.06.2024</t>
  </si>
  <si>
    <t xml:space="preserve">Краснокутський Олександр Володимирович </t>
  </si>
  <si>
    <t xml:space="preserve">Кругляк Віктор Вікторович </t>
  </si>
  <si>
    <t>05.05.2021</t>
  </si>
  <si>
    <t xml:space="preserve">Кудряшов Іван Павлович </t>
  </si>
  <si>
    <t>Технік-електрик</t>
  </si>
  <si>
    <t>03.01.2024</t>
  </si>
  <si>
    <t xml:space="preserve">Кухар Сергій Михайлович </t>
  </si>
  <si>
    <t xml:space="preserve">Кушнір Тарас Анатолійович </t>
  </si>
  <si>
    <t>Начальник зміни</t>
  </si>
  <si>
    <t>17.11.2023</t>
  </si>
  <si>
    <t xml:space="preserve">Лисенко Артем Ігорович </t>
  </si>
  <si>
    <t xml:space="preserve">Лисенко Ігор Сергійович </t>
  </si>
  <si>
    <t xml:space="preserve">Лобода Руслан Володимирович </t>
  </si>
  <si>
    <t>05.06.2024</t>
  </si>
  <si>
    <t xml:space="preserve">Лохматов Анатолій Станіславович </t>
  </si>
  <si>
    <t>20.09.2023</t>
  </si>
  <si>
    <t xml:space="preserve">Ляшко Сергій Миколайович </t>
  </si>
  <si>
    <t>10.02.2024</t>
  </si>
  <si>
    <t xml:space="preserve">Манжула Максим Анатолійович  </t>
  </si>
  <si>
    <t>Директор виконавчий</t>
  </si>
  <si>
    <t xml:space="preserve">Манжула Максим Анатолійович </t>
  </si>
  <si>
    <t>06.08.2022</t>
  </si>
  <si>
    <t xml:space="preserve">Марков Олександр Михайлович </t>
  </si>
  <si>
    <t xml:space="preserve">Марков Олексій Віталійович </t>
  </si>
  <si>
    <t xml:space="preserve">Масливець Ігор Валерійович </t>
  </si>
  <si>
    <t>Підсобний робочий</t>
  </si>
  <si>
    <t xml:space="preserve">Матейченко Володимир Іванович </t>
  </si>
  <si>
    <t xml:space="preserve">Мацанек В'ячеслав Дмитрович </t>
  </si>
  <si>
    <t xml:space="preserve">Мегера Степан Григорович </t>
  </si>
  <si>
    <t xml:space="preserve">Мельник Святослав Євгенович </t>
  </si>
  <si>
    <t>25.05.2023</t>
  </si>
  <si>
    <t>25.06.2024</t>
  </si>
  <si>
    <t xml:space="preserve">Мельниченко Максим Вікторович </t>
  </si>
  <si>
    <t xml:space="preserve">Микуленко Василь Сергійович </t>
  </si>
  <si>
    <t xml:space="preserve">Минаєв Володимир Васильович </t>
  </si>
  <si>
    <t xml:space="preserve">Миронова Ганна Іванівна </t>
  </si>
  <si>
    <t>Казначей</t>
  </si>
  <si>
    <t>22.05.2023</t>
  </si>
  <si>
    <t xml:space="preserve">Місюрко Валерій Васильович </t>
  </si>
  <si>
    <t>09.03.2021</t>
  </si>
  <si>
    <t xml:space="preserve">Міщенко Анатолій Анатолійович </t>
  </si>
  <si>
    <t>04.01.2024</t>
  </si>
  <si>
    <t xml:space="preserve">Мороз Віталій Миколайович </t>
  </si>
  <si>
    <t>24.01.2023</t>
  </si>
  <si>
    <t xml:space="preserve">Нагірний Андрій Володимирович </t>
  </si>
  <si>
    <t>Оператор складальної машини</t>
  </si>
  <si>
    <t xml:space="preserve">Нерезенко Євгеній Віктоорович </t>
  </si>
  <si>
    <t>16.02.2024</t>
  </si>
  <si>
    <t xml:space="preserve">Нестерук Сергій Петрович </t>
  </si>
  <si>
    <t xml:space="preserve">Новицька Оксана Богданівна </t>
  </si>
  <si>
    <t>04.06.2024</t>
  </si>
  <si>
    <t xml:space="preserve">Овсянніков Микола Васильович </t>
  </si>
  <si>
    <t>12.06.2024</t>
  </si>
  <si>
    <t xml:space="preserve">Огірчук Інна Валеріївна </t>
  </si>
  <si>
    <t>Керівник виробничо-технiчного  вiддiлу</t>
  </si>
  <si>
    <t>01.06.2021</t>
  </si>
  <si>
    <t xml:space="preserve">Огоновський Дмитро Анатолійович </t>
  </si>
  <si>
    <t>28.07.2021</t>
  </si>
  <si>
    <t xml:space="preserve">Олійник Валерій Миколайович </t>
  </si>
  <si>
    <t>29.03.2021</t>
  </si>
  <si>
    <t>д000000017</t>
  </si>
  <si>
    <t>Олійник Валерій Миколайович (оренда авто)</t>
  </si>
  <si>
    <t xml:space="preserve">Павленко Владислав Володимирович </t>
  </si>
  <si>
    <t>01.09.2023</t>
  </si>
  <si>
    <t xml:space="preserve">Павленко Володимир Федорович </t>
  </si>
  <si>
    <t xml:space="preserve">Павлов Олег Євгенович </t>
  </si>
  <si>
    <t>Завідувач господарством</t>
  </si>
  <si>
    <t>23.11.2018</t>
  </si>
  <si>
    <t xml:space="preserve">Паламарчук Віталій Олександрович </t>
  </si>
  <si>
    <t>04.10.2023</t>
  </si>
  <si>
    <t xml:space="preserve">Паламарчук Вячеслав Володимирович </t>
  </si>
  <si>
    <t>22.12.2023</t>
  </si>
  <si>
    <t>Пальчик Олена Валентинівна</t>
  </si>
  <si>
    <t>01.10.2023</t>
  </si>
  <si>
    <t xml:space="preserve">Парнєва Олена Вікторівна </t>
  </si>
  <si>
    <t>09.02.2024</t>
  </si>
  <si>
    <t>д000000004</t>
  </si>
  <si>
    <t xml:space="preserve">Пасічник Андрій Сергійович </t>
  </si>
  <si>
    <t xml:space="preserve">Пасічник Оксана Петрівна </t>
  </si>
  <si>
    <t>10.04.2024</t>
  </si>
  <si>
    <t xml:space="preserve">Петрашенко Ярослав Євгенович </t>
  </si>
  <si>
    <t>18.04.2024</t>
  </si>
  <si>
    <t xml:space="preserve">Пилипчук Олександр Анатолійович </t>
  </si>
  <si>
    <t xml:space="preserve">Поліщук Олександр Олександрович </t>
  </si>
  <si>
    <t>18.12.2023</t>
  </si>
  <si>
    <t xml:space="preserve">Пономаренко Віталій Вікторович </t>
  </si>
  <si>
    <t>02.11.2022</t>
  </si>
  <si>
    <t xml:space="preserve">Пономаренко Олександр Вікторович </t>
  </si>
  <si>
    <t>Майстер зміни</t>
  </si>
  <si>
    <t>07.09.2022</t>
  </si>
  <si>
    <t xml:space="preserve">Пономарьов Микола Вікторович </t>
  </si>
  <si>
    <t xml:space="preserve">Понуркін Євген Григорович </t>
  </si>
  <si>
    <t xml:space="preserve">Попов Дмитро Михайлович </t>
  </si>
  <si>
    <t xml:space="preserve">Приходько Владислав Віталійович </t>
  </si>
  <si>
    <t xml:space="preserve">Рижак Андрій Ярославович </t>
  </si>
  <si>
    <t>Механік виробництва</t>
  </si>
  <si>
    <t>23.11.2023</t>
  </si>
  <si>
    <t xml:space="preserve">Рубан Світлана Євгенівна </t>
  </si>
  <si>
    <t>Юрисконсульт</t>
  </si>
  <si>
    <t>30.01.2024</t>
  </si>
  <si>
    <t xml:space="preserve">Рубленко Микола Іванович </t>
  </si>
  <si>
    <t>01.08.2024</t>
  </si>
  <si>
    <t>д000000005</t>
  </si>
  <si>
    <t xml:space="preserve">Савастюк Максим Валерійович </t>
  </si>
  <si>
    <t xml:space="preserve">Савранский Іван Володимирович </t>
  </si>
  <si>
    <t>Водій навантажувача</t>
  </si>
  <si>
    <t xml:space="preserve">Савченко Максим Олександрович </t>
  </si>
  <si>
    <t xml:space="preserve">Салін Віталій Володимирович </t>
  </si>
  <si>
    <t xml:space="preserve">Самойленко Віктор Миколайович </t>
  </si>
  <si>
    <t>04.09.2023</t>
  </si>
  <si>
    <t xml:space="preserve">Санін Богдан Юрійович </t>
  </si>
  <si>
    <t xml:space="preserve">Селівончик Ігор Петрович </t>
  </si>
  <si>
    <t>13.12.2023</t>
  </si>
  <si>
    <t xml:space="preserve">Семенченко Роман Олександрович </t>
  </si>
  <si>
    <t>17.08.2022</t>
  </si>
  <si>
    <t>Сидоренко Володимир Миколайович (сум.)</t>
  </si>
  <si>
    <t>Виробничий  (Глухів)</t>
  </si>
  <si>
    <t xml:space="preserve">Сикал Павло Анатолійович </t>
  </si>
  <si>
    <t>23.09.2022</t>
  </si>
  <si>
    <t xml:space="preserve">Сівов Євген Миколайович </t>
  </si>
  <si>
    <t xml:space="preserve">Сідов Володимир Анатолійович </t>
  </si>
  <si>
    <t>20.10.2021</t>
  </si>
  <si>
    <t xml:space="preserve">Сірий Олександр Васильович </t>
  </si>
  <si>
    <t xml:space="preserve">Скоц Сергій Іванович </t>
  </si>
  <si>
    <t xml:space="preserve">Скрипник Олександр Павлович </t>
  </si>
  <si>
    <t>05.09.2022</t>
  </si>
  <si>
    <t xml:space="preserve">Скрипник Сергій Павлович </t>
  </si>
  <si>
    <t xml:space="preserve">Сніжко Юрій Тимофійович </t>
  </si>
  <si>
    <t>21.05.2024</t>
  </si>
  <si>
    <t xml:space="preserve">Сова Віталій Сергійович </t>
  </si>
  <si>
    <t xml:space="preserve">Соколенко Тарас Вікторович </t>
  </si>
  <si>
    <t>НС765693</t>
  </si>
  <si>
    <t>18.10.2023</t>
  </si>
  <si>
    <t xml:space="preserve">Соколов Олександр Сергійович </t>
  </si>
  <si>
    <t>24.08.2022</t>
  </si>
  <si>
    <t xml:space="preserve">Соломоненко Олексій Юрійович </t>
  </si>
  <si>
    <t xml:space="preserve">Старіков Сергій Вікторович </t>
  </si>
  <si>
    <t>Директор по будівництву</t>
  </si>
  <si>
    <t>01.12.2017</t>
  </si>
  <si>
    <t xml:space="preserve">Стеблянко Ігор Юрійович </t>
  </si>
  <si>
    <t>Головний економіст</t>
  </si>
  <si>
    <t>02.01.2023</t>
  </si>
  <si>
    <t xml:space="preserve">Стефанюк Марія Юріївна </t>
  </si>
  <si>
    <t>Менеджер (управитель) з персоналу</t>
  </si>
  <si>
    <t>13.09.2023</t>
  </si>
  <si>
    <t xml:space="preserve">Стонога Олександр Сергійович </t>
  </si>
  <si>
    <t xml:space="preserve">Супрун Олександр Вікторович </t>
  </si>
  <si>
    <t>20.04.2023</t>
  </si>
  <si>
    <t xml:space="preserve">Сухін Олександр Олександрович </t>
  </si>
  <si>
    <t>Щедро_Флекситанки</t>
  </si>
  <si>
    <t>20.10.2023</t>
  </si>
  <si>
    <t xml:space="preserve">Терещенко Арсен Валерійович </t>
  </si>
  <si>
    <t>20.02.2023</t>
  </si>
  <si>
    <t xml:space="preserve">Томченко Олег Миколайович </t>
  </si>
  <si>
    <t xml:space="preserve">Трохимчук Олександр Олександрович </t>
  </si>
  <si>
    <t>Налагоджувальник технологічного устаткування</t>
  </si>
  <si>
    <t xml:space="preserve">Трубилко Володимир Трохимович </t>
  </si>
  <si>
    <t>09.01.2024</t>
  </si>
  <si>
    <t>12.03.2024</t>
  </si>
  <si>
    <t>18.07.2024</t>
  </si>
  <si>
    <t xml:space="preserve">Тютліков Віталій Олександрович </t>
  </si>
  <si>
    <t xml:space="preserve">Федорова Ганна Олександрівна </t>
  </si>
  <si>
    <t>08.12.2021</t>
  </si>
  <si>
    <t>24.07.2024</t>
  </si>
  <si>
    <t xml:space="preserve">Фещак Богдан Васильович </t>
  </si>
  <si>
    <t xml:space="preserve">Філь Тетяна Василівна </t>
  </si>
  <si>
    <t xml:space="preserve">Філянович Юрій Володимирович </t>
  </si>
  <si>
    <t>24.05.2021</t>
  </si>
  <si>
    <t xml:space="preserve">Фост Юрій Володимирович </t>
  </si>
  <si>
    <t xml:space="preserve">Хлань Олена Вікторівна </t>
  </si>
  <si>
    <t>Заступник головного бухгалтера</t>
  </si>
  <si>
    <t>12.01.2023</t>
  </si>
  <si>
    <t>д000000022</t>
  </si>
  <si>
    <t>Хоменко Марія Іванівна (оренда авто)</t>
  </si>
  <si>
    <t xml:space="preserve">Хомич Олександр Віталійович </t>
  </si>
  <si>
    <t>07.04.2023</t>
  </si>
  <si>
    <t xml:space="preserve">Хурсін Тарас Євгенійович </t>
  </si>
  <si>
    <t>Начальник дільниці</t>
  </si>
  <si>
    <t>д000000018</t>
  </si>
  <si>
    <t>Хурсін Тарас Євгенійович (оренда авто)</t>
  </si>
  <si>
    <t xml:space="preserve">Чайкін Олександр Віталійович </t>
  </si>
  <si>
    <t xml:space="preserve">Чередниченко Олександр Миколайович </t>
  </si>
  <si>
    <t>16.05.2018</t>
  </si>
  <si>
    <t xml:space="preserve">Чешко Сергій Анатолійович </t>
  </si>
  <si>
    <t>09.09.2022</t>
  </si>
  <si>
    <t>03.10.2023</t>
  </si>
  <si>
    <t>Кур'єр</t>
  </si>
  <si>
    <t>04.04.2024</t>
  </si>
  <si>
    <t xml:space="preserve">Шамоян Агмад Даватевич </t>
  </si>
  <si>
    <t>05.09.2023</t>
  </si>
  <si>
    <t xml:space="preserve">Шевченко Євген Анатолійович </t>
  </si>
  <si>
    <t>21.09.2022</t>
  </si>
  <si>
    <t xml:space="preserve">Шестаковський Юрій Олексійович </t>
  </si>
  <si>
    <t xml:space="preserve">Шинкаренко Олег Павлович </t>
  </si>
  <si>
    <t>Начальник юридичного відділу</t>
  </si>
  <si>
    <t>19.03.2024</t>
  </si>
  <si>
    <t xml:space="preserve">Шишкіна Людмила Григорівна </t>
  </si>
  <si>
    <t>17.05.2024</t>
  </si>
  <si>
    <t xml:space="preserve">Шкраб Олександр Анатолійович </t>
  </si>
  <si>
    <t>13.12.2022</t>
  </si>
  <si>
    <t>Шкурат Ігор Миколайович (осн.)</t>
  </si>
  <si>
    <t>Шкурат Ігор Миколайович (сум.)</t>
  </si>
  <si>
    <t xml:space="preserve">Шкурат Ігор Миколайович (сум.) </t>
  </si>
  <si>
    <t xml:space="preserve">Шостак Жанета Германівна </t>
  </si>
  <si>
    <t>10.03.2023</t>
  </si>
  <si>
    <t xml:space="preserve">Штиченко Олександр Володимирович </t>
  </si>
  <si>
    <t>д000000021</t>
  </si>
  <si>
    <t>Штиченко Олександр Володимирович (оренда авто)</t>
  </si>
  <si>
    <t>Електрик цеху</t>
  </si>
  <si>
    <t>11.01.2024</t>
  </si>
  <si>
    <t xml:space="preserve">Якубовський Василь Григорович </t>
  </si>
  <si>
    <t>12.08.2022</t>
  </si>
  <si>
    <t xml:space="preserve">Яровий Ростислав Петрович </t>
  </si>
  <si>
    <t>Серебренніков Володимир Олександрович</t>
  </si>
  <si>
    <t>Чешко Сергій Анатолійович</t>
  </si>
  <si>
    <t>Шавкун Максим Анатолійович</t>
  </si>
  <si>
    <t>Чуйко Олег Олегович</t>
  </si>
  <si>
    <t>Салюк Дмитро Андрійович</t>
  </si>
  <si>
    <t>Міненко Олександр Андрійович</t>
  </si>
  <si>
    <t>Салій Дмитро Миколайович</t>
  </si>
  <si>
    <t>Різніченко Олег Олександрович</t>
  </si>
  <si>
    <t>Рогозовець Андрій Вікторович</t>
  </si>
  <si>
    <t>Зубахін Сергій Александрович</t>
  </si>
  <si>
    <t>Нерезенко Євгеній Віктоорович</t>
  </si>
  <si>
    <t>Старков Кирило Юрійович</t>
  </si>
  <si>
    <t>Батрак Віктор Володимирович</t>
  </si>
  <si>
    <t>Бондаренко Іван Олександрович</t>
  </si>
  <si>
    <t>Онучак Віктор Іванович</t>
  </si>
  <si>
    <t>Підлісний Володимир Сергійович</t>
  </si>
  <si>
    <t>Григоренко Ілля Олександрович</t>
  </si>
  <si>
    <t>Зінченко Дмитро Володимирович</t>
  </si>
  <si>
    <t xml:space="preserve">Гребінник Олексій Васильович </t>
  </si>
  <si>
    <t>Іванова Світлана Юріївна</t>
  </si>
  <si>
    <t>Ізюмець Олександр Евгенович</t>
  </si>
  <si>
    <t>Маркевич Ігор Ігорьович</t>
  </si>
  <si>
    <t>Самогородський Ігор Віталійович</t>
  </si>
  <si>
    <t>Дехтяр Владислав Олександрович</t>
  </si>
  <si>
    <t>Раменюк Віталій Сергійович</t>
  </si>
  <si>
    <t>Ісайкіна Тетяна Іванівна</t>
  </si>
  <si>
    <t>Гусаков Роман Давидович</t>
  </si>
  <si>
    <t>Гусаков Давид Давидович</t>
  </si>
  <si>
    <t>Тужиков Артем Денисович</t>
  </si>
  <si>
    <t xml:space="preserve"> до виплати</t>
  </si>
  <si>
    <t>Ластовка Андрій Михайлович</t>
  </si>
  <si>
    <t>Шомін Вадим Сергійович</t>
  </si>
  <si>
    <t>Удержание за обеды на объекте</t>
  </si>
  <si>
    <t>Деркс Сергій Анатолійович</t>
  </si>
  <si>
    <t xml:space="preserve">Маковецький Юрій Миколайович </t>
  </si>
  <si>
    <t>Григорьєв Микола Андрійович</t>
  </si>
  <si>
    <t>Дзюба Едуард Іванович</t>
  </si>
  <si>
    <t>Туркевич Дмитро Миколайович</t>
  </si>
  <si>
    <t xml:space="preserve">Петров Михайло Олександрович </t>
  </si>
  <si>
    <t xml:space="preserve">Кобяковский Іван Олександрович </t>
  </si>
  <si>
    <t>Авжабаров Олексій Володимирович</t>
  </si>
  <si>
    <t>Дубовий Роман Анатолійович</t>
  </si>
  <si>
    <t>Кузнецов Олексій Вікторович</t>
  </si>
  <si>
    <t xml:space="preserve">Чернобров Олександр Миколайович </t>
  </si>
  <si>
    <t>Ткаченко Сергій Володимирович</t>
  </si>
  <si>
    <t>Ніколаєнко Олександр Сергійович</t>
  </si>
  <si>
    <t>Циба Василь Олександрович</t>
  </si>
  <si>
    <t>виплати на картку за період 16-30.09.25</t>
  </si>
  <si>
    <t xml:space="preserve">ЗП  16-30.09.25 </t>
  </si>
  <si>
    <t>Сальдо на -15.09.2025</t>
  </si>
  <si>
    <t>Сальдо на 30.09.2025</t>
  </si>
  <si>
    <t>30</t>
  </si>
  <si>
    <t>Осовіцький Ростислав Олександрович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</si>
</sst>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0000"/>
    <numFmt numFmtId="165" formatCode="0.0"/>
    <numFmt numFmtId="166" formatCode="#,##0.0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name val="Arial"/>
      <family val="2"/>
    </font>
    <font>
      <b/>
      <sz val="12"/>
      <name val="Arial"/>
      <family val="2"/>
      <charset val="204"/>
    </font>
    <font>
      <sz val="8"/>
      <name val="Arial"/>
      <family val="2"/>
    </font>
    <font>
      <sz val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sz val="11"/>
      <color indexed="63"/>
      <name val="Arial"/>
      <family val="2"/>
    </font>
    <font>
      <sz val="8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63"/>
      <name val="Arial"/>
      <family val="2"/>
      <charset val="204"/>
    </font>
    <font>
      <b/>
      <sz val="11"/>
      <color indexed="63"/>
      <name val="Arial"/>
      <family val="2"/>
      <charset val="204"/>
    </font>
    <font>
      <sz val="12"/>
      <color theme="1"/>
      <name val="Calibri"/>
      <family val="2"/>
      <scheme val="minor"/>
    </font>
    <font>
      <sz val="12"/>
      <color indexed="63"/>
      <name val="Arial"/>
      <family val="2"/>
      <charset val="204"/>
    </font>
    <font>
      <sz val="12"/>
      <color indexed="63"/>
      <name val="Arial"/>
      <family val="2"/>
    </font>
    <font>
      <sz val="10"/>
      <color indexed="63"/>
      <name val="Arial"/>
      <family val="2"/>
      <charset val="204"/>
    </font>
    <font>
      <sz val="8"/>
      <color indexed="63"/>
      <name val="Arial"/>
      <family val="2"/>
    </font>
    <font>
      <sz val="11"/>
      <color indexed="24"/>
      <name val="Arial"/>
      <family val="2"/>
      <charset val="204"/>
    </font>
    <font>
      <sz val="11"/>
      <color rgb="FFFF0000"/>
      <name val="Arial"/>
      <family val="2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indexed="63"/>
      <name val="Arial"/>
      <family val="2"/>
      <charset val="204"/>
    </font>
    <font>
      <sz val="8"/>
      <color rgb="FFFF0000"/>
      <name val="Arial"/>
      <family val="2"/>
    </font>
    <font>
      <sz val="8"/>
      <color indexed="59"/>
      <name val="Arial"/>
      <family val="2"/>
    </font>
    <font>
      <b/>
      <sz val="8"/>
      <color indexed="59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12"/>
      <color indexed="63"/>
      <name val="Arial"/>
      <family val="2"/>
      <charset val="204"/>
    </font>
    <font>
      <sz val="8"/>
      <name val="Arial"/>
      <family val="2"/>
      <charset val="204"/>
    </font>
    <font>
      <b/>
      <sz val="12"/>
      <color rgb="FFFF0000"/>
      <name val="Arial"/>
      <family val="2"/>
      <charset val="204"/>
    </font>
    <font>
      <b/>
      <sz val="11"/>
      <color rgb="FFFF0000"/>
      <name val="Calibri"/>
      <family val="2"/>
      <charset val="204"/>
      <scheme val="minor"/>
    </font>
    <font>
      <sz val="10"/>
      <color indexed="63"/>
      <name val="Arial"/>
      <family val="2"/>
      <charset val="204"/>
    </font>
    <font>
      <sz val="10"/>
      <color indexed="63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sz val="10"/>
      <color indexed="63"/>
      <name val="Arial"/>
      <family val="2"/>
      <charset val="204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  <border>
      <left/>
      <right style="thin">
        <color indexed="26"/>
      </right>
      <top style="thin">
        <color indexed="26"/>
      </top>
      <bottom style="thin">
        <color indexed="26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/>
      <diagonal/>
    </border>
    <border>
      <left style="thin">
        <color indexed="26"/>
      </left>
      <right style="thin">
        <color indexed="26"/>
      </right>
      <top/>
      <bottom style="thin">
        <color indexed="26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/>
      <top/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medium">
        <color indexed="64"/>
      </bottom>
      <diagonal/>
    </border>
    <border>
      <left style="thin">
        <color indexed="55"/>
      </left>
      <right/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6">
    <xf numFmtId="0" fontId="0" fillId="0" borderId="0"/>
    <xf numFmtId="0" fontId="6" fillId="0" borderId="0"/>
    <xf numFmtId="0" fontId="7" fillId="0" borderId="0"/>
    <xf numFmtId="0" fontId="9" fillId="0" borderId="0"/>
    <xf numFmtId="0" fontId="11" fillId="0" borderId="0"/>
    <xf numFmtId="0" fontId="6" fillId="0" borderId="0"/>
    <xf numFmtId="0" fontId="3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1" fillId="0" borderId="0"/>
    <xf numFmtId="0" fontId="6" fillId="0" borderId="0"/>
    <xf numFmtId="0" fontId="33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305">
    <xf numFmtId="0" fontId="0" fillId="0" borderId="0" xfId="0"/>
    <xf numFmtId="0" fontId="12" fillId="0" borderId="0" xfId="0" applyFont="1"/>
    <xf numFmtId="0" fontId="8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0" borderId="1" xfId="0" applyFont="1" applyBorder="1" applyAlignment="1">
      <alignment horizontal="center"/>
    </xf>
    <xf numFmtId="0" fontId="15" fillId="0" borderId="0" xfId="0" applyFont="1"/>
    <xf numFmtId="1" fontId="12" fillId="0" borderId="0" xfId="0" applyNumberFormat="1" applyFont="1"/>
    <xf numFmtId="1" fontId="10" fillId="3" borderId="7" xfId="8" applyNumberFormat="1" applyFont="1" applyFill="1" applyBorder="1" applyAlignment="1">
      <alignment horizontal="right" vertical="top"/>
    </xf>
    <xf numFmtId="0" fontId="10" fillId="3" borderId="7" xfId="8" applyFont="1" applyFill="1" applyBorder="1" applyAlignment="1">
      <alignment horizontal="left" vertical="top"/>
    </xf>
    <xf numFmtId="0" fontId="10" fillId="3" borderId="7" xfId="8" applyFont="1" applyFill="1" applyBorder="1" applyAlignment="1">
      <alignment horizontal="center" vertical="center"/>
    </xf>
    <xf numFmtId="0" fontId="14" fillId="3" borderId="7" xfId="8" applyFont="1" applyFill="1" applyBorder="1" applyAlignment="1">
      <alignment horizontal="center" vertical="center" wrapText="1"/>
    </xf>
    <xf numFmtId="0" fontId="14" fillId="3" borderId="8" xfId="8" applyFont="1" applyFill="1" applyBorder="1" applyAlignment="1">
      <alignment horizontal="center" vertical="center" wrapText="1"/>
    </xf>
    <xf numFmtId="1" fontId="10" fillId="3" borderId="8" xfId="8" applyNumberFormat="1" applyFont="1" applyFill="1" applyBorder="1" applyAlignment="1">
      <alignment horizontal="center" vertical="center"/>
    </xf>
    <xf numFmtId="0" fontId="14" fillId="3" borderId="1" xfId="8" applyFont="1" applyFill="1" applyBorder="1" applyAlignment="1">
      <alignment horizontal="center" vertical="center" wrapText="1"/>
    </xf>
    <xf numFmtId="0" fontId="10" fillId="4" borderId="7" xfId="8" applyFont="1" applyFill="1" applyBorder="1" applyAlignment="1">
      <alignment horizontal="center" vertical="center"/>
    </xf>
    <xf numFmtId="0" fontId="14" fillId="5" borderId="1" xfId="8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/>
    </xf>
    <xf numFmtId="0" fontId="10" fillId="5" borderId="7" xfId="8" applyFont="1" applyFill="1" applyBorder="1" applyAlignment="1">
      <alignment horizontal="center" vertical="center"/>
    </xf>
    <xf numFmtId="0" fontId="14" fillId="7" borderId="1" xfId="8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/>
    </xf>
    <xf numFmtId="0" fontId="10" fillId="7" borderId="7" xfId="8" applyFont="1" applyFill="1" applyBorder="1" applyAlignment="1">
      <alignment horizontal="center" vertical="center"/>
    </xf>
    <xf numFmtId="0" fontId="14" fillId="6" borderId="1" xfId="8" applyFont="1" applyFill="1" applyBorder="1" applyAlignment="1">
      <alignment horizontal="center" vertical="center" wrapText="1"/>
    </xf>
    <xf numFmtId="0" fontId="10" fillId="6" borderId="7" xfId="8" applyFont="1" applyFill="1" applyBorder="1" applyAlignment="1">
      <alignment horizontal="center" vertical="center"/>
    </xf>
    <xf numFmtId="0" fontId="14" fillId="2" borderId="1" xfId="8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/>
    </xf>
    <xf numFmtId="0" fontId="20" fillId="8" borderId="1" xfId="0" applyFont="1" applyFill="1" applyBorder="1" applyAlignment="1">
      <alignment horizontal="left" vertical="top"/>
    </xf>
    <xf numFmtId="0" fontId="20" fillId="8" borderId="10" xfId="0" applyFont="1" applyFill="1" applyBorder="1" applyAlignment="1">
      <alignment horizontal="left" vertical="top"/>
    </xf>
    <xf numFmtId="1" fontId="10" fillId="3" borderId="1" xfId="0" applyNumberFormat="1" applyFont="1" applyFill="1" applyBorder="1" applyAlignment="1">
      <alignment horizontal="right" vertical="top"/>
    </xf>
    <xf numFmtId="0" fontId="10" fillId="3" borderId="1" xfId="0" applyFont="1" applyFill="1" applyBorder="1" applyAlignment="1">
      <alignment horizontal="left" vertical="top"/>
    </xf>
    <xf numFmtId="1" fontId="10" fillId="3" borderId="11" xfId="0" applyNumberFormat="1" applyFont="1" applyFill="1" applyBorder="1" applyAlignment="1">
      <alignment horizontal="right" vertical="top"/>
    </xf>
    <xf numFmtId="1" fontId="20" fillId="8" borderId="10" xfId="0" applyNumberFormat="1" applyFont="1" applyFill="1" applyBorder="1" applyAlignment="1">
      <alignment horizontal="right" vertical="top"/>
    </xf>
    <xf numFmtId="0" fontId="20" fillId="8" borderId="12" xfId="0" applyFont="1" applyFill="1" applyBorder="1" applyAlignment="1">
      <alignment horizontal="left" vertical="top"/>
    </xf>
    <xf numFmtId="0" fontId="20" fillId="8" borderId="13" xfId="0" applyFont="1" applyFill="1" applyBorder="1" applyAlignment="1">
      <alignment horizontal="left" vertical="top"/>
    </xf>
    <xf numFmtId="0" fontId="10" fillId="2" borderId="7" xfId="8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/>
    </xf>
    <xf numFmtId="0" fontId="21" fillId="7" borderId="7" xfId="8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top"/>
    </xf>
    <xf numFmtId="0" fontId="10" fillId="3" borderId="14" xfId="0" applyFont="1" applyFill="1" applyBorder="1" applyAlignment="1">
      <alignment horizontal="left" vertical="top"/>
    </xf>
    <xf numFmtId="0" fontId="16" fillId="3" borderId="7" xfId="9" applyFont="1" applyFill="1" applyBorder="1" applyAlignment="1">
      <alignment horizontal="left" vertical="top"/>
    </xf>
    <xf numFmtId="1" fontId="17" fillId="3" borderId="7" xfId="9" applyNumberFormat="1" applyFont="1" applyFill="1" applyBorder="1" applyAlignment="1">
      <alignment horizontal="right" vertical="top"/>
    </xf>
    <xf numFmtId="0" fontId="16" fillId="3" borderId="8" xfId="9" applyFont="1" applyFill="1" applyBorder="1" applyAlignment="1">
      <alignment horizontal="left" vertical="top"/>
    </xf>
    <xf numFmtId="0" fontId="17" fillId="3" borderId="8" xfId="9" applyFont="1" applyFill="1" applyBorder="1" applyAlignment="1">
      <alignment horizontal="left" vertical="top"/>
    </xf>
    <xf numFmtId="0" fontId="16" fillId="3" borderId="1" xfId="9" applyFont="1" applyFill="1" applyBorder="1" applyAlignment="1">
      <alignment horizontal="center" vertical="center"/>
    </xf>
    <xf numFmtId="0" fontId="17" fillId="3" borderId="1" xfId="9" applyFont="1" applyFill="1" applyBorder="1" applyAlignment="1">
      <alignment horizontal="center" vertical="center"/>
    </xf>
    <xf numFmtId="1" fontId="17" fillId="3" borderId="1" xfId="9" applyNumberFormat="1" applyFont="1" applyFill="1" applyBorder="1" applyAlignment="1">
      <alignment horizontal="center" vertical="center"/>
    </xf>
    <xf numFmtId="3" fontId="16" fillId="3" borderId="1" xfId="9" applyNumberFormat="1" applyFont="1" applyFill="1" applyBorder="1" applyAlignment="1">
      <alignment horizontal="center" vertical="center"/>
    </xf>
    <xf numFmtId="14" fontId="16" fillId="3" borderId="1" xfId="9" applyNumberFormat="1" applyFont="1" applyFill="1" applyBorder="1" applyAlignment="1">
      <alignment horizontal="center" vertical="center" textRotation="90"/>
    </xf>
    <xf numFmtId="0" fontId="25" fillId="0" borderId="0" xfId="0" applyFont="1"/>
    <xf numFmtId="1" fontId="12" fillId="4" borderId="0" xfId="0" applyNumberFormat="1" applyFont="1" applyFill="1"/>
    <xf numFmtId="0" fontId="12" fillId="0" borderId="0" xfId="0" applyFont="1" applyAlignment="1">
      <alignment horizontal="left"/>
    </xf>
    <xf numFmtId="0" fontId="12" fillId="4" borderId="0" xfId="0" applyFont="1" applyFill="1"/>
    <xf numFmtId="0" fontId="12" fillId="4" borderId="0" xfId="0" applyFont="1" applyFill="1" applyAlignment="1">
      <alignment horizontal="left"/>
    </xf>
    <xf numFmtId="0" fontId="25" fillId="4" borderId="0" xfId="0" applyFont="1" applyFill="1"/>
    <xf numFmtId="0" fontId="13" fillId="3" borderId="16" xfId="8" applyFont="1" applyFill="1" applyBorder="1" applyAlignment="1">
      <alignment horizontal="left" vertical="top"/>
    </xf>
    <xf numFmtId="0" fontId="13" fillId="3" borderId="16" xfId="8" applyFont="1" applyFill="1" applyBorder="1" applyAlignment="1">
      <alignment horizontal="center" vertical="center"/>
    </xf>
    <xf numFmtId="3" fontId="13" fillId="3" borderId="17" xfId="8" applyNumberFormat="1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/>
    </xf>
    <xf numFmtId="0" fontId="8" fillId="7" borderId="5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12" fillId="6" borderId="5" xfId="0" applyFont="1" applyFill="1" applyBorder="1" applyAlignment="1">
      <alignment horizontal="center"/>
    </xf>
    <xf numFmtId="1" fontId="10" fillId="3" borderId="18" xfId="8" applyNumberFormat="1" applyFont="1" applyFill="1" applyBorder="1" applyAlignment="1">
      <alignment horizontal="right" vertical="top"/>
    </xf>
    <xf numFmtId="0" fontId="10" fillId="3" borderId="18" xfId="8" applyFont="1" applyFill="1" applyBorder="1" applyAlignment="1">
      <alignment horizontal="left" vertical="top"/>
    </xf>
    <xf numFmtId="0" fontId="10" fillId="3" borderId="18" xfId="8" applyFont="1" applyFill="1" applyBorder="1" applyAlignment="1">
      <alignment horizontal="center" vertical="center"/>
    </xf>
    <xf numFmtId="1" fontId="10" fillId="3" borderId="19" xfId="8" applyNumberFormat="1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/>
    </xf>
    <xf numFmtId="0" fontId="12" fillId="7" borderId="15" xfId="0" applyFont="1" applyFill="1" applyBorder="1" applyAlignment="1">
      <alignment horizontal="center"/>
    </xf>
    <xf numFmtId="0" fontId="12" fillId="2" borderId="15" xfId="0" applyFont="1" applyFill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6" borderId="15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/>
    </xf>
    <xf numFmtId="0" fontId="12" fillId="4" borderId="20" xfId="0" applyFont="1" applyFill="1" applyBorder="1" applyAlignment="1">
      <alignment horizontal="center"/>
    </xf>
    <xf numFmtId="0" fontId="8" fillId="4" borderId="9" xfId="0" applyFont="1" applyFill="1" applyBorder="1" applyAlignment="1">
      <alignment horizontal="center"/>
    </xf>
    <xf numFmtId="0" fontId="14" fillId="3" borderId="21" xfId="8" applyFont="1" applyFill="1" applyBorder="1" applyAlignment="1">
      <alignment horizontal="center" vertical="center" wrapText="1"/>
    </xf>
    <xf numFmtId="1" fontId="10" fillId="3" borderId="22" xfId="8" applyNumberFormat="1" applyFont="1" applyFill="1" applyBorder="1" applyAlignment="1">
      <alignment horizontal="center" vertical="center"/>
    </xf>
    <xf numFmtId="3" fontId="13" fillId="3" borderId="23" xfId="8" applyNumberFormat="1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/>
    </xf>
    <xf numFmtId="3" fontId="8" fillId="2" borderId="5" xfId="0" applyNumberFormat="1" applyFont="1" applyFill="1" applyBorder="1" applyAlignment="1">
      <alignment horizontal="center"/>
    </xf>
    <xf numFmtId="3" fontId="8" fillId="0" borderId="5" xfId="0" applyNumberFormat="1" applyFont="1" applyBorder="1" applyAlignment="1">
      <alignment horizontal="center"/>
    </xf>
    <xf numFmtId="3" fontId="8" fillId="7" borderId="5" xfId="0" applyNumberFormat="1" applyFont="1" applyFill="1" applyBorder="1" applyAlignment="1">
      <alignment horizontal="center"/>
    </xf>
    <xf numFmtId="3" fontId="8" fillId="5" borderId="5" xfId="0" applyNumberFormat="1" applyFont="1" applyFill="1" applyBorder="1" applyAlignment="1">
      <alignment horizontal="center"/>
    </xf>
    <xf numFmtId="3" fontId="8" fillId="4" borderId="9" xfId="0" applyNumberFormat="1" applyFont="1" applyFill="1" applyBorder="1" applyAlignment="1">
      <alignment horizontal="center"/>
    </xf>
    <xf numFmtId="1" fontId="10" fillId="3" borderId="25" xfId="8" applyNumberFormat="1" applyFont="1" applyFill="1" applyBorder="1" applyAlignment="1">
      <alignment horizontal="center" vertical="center"/>
    </xf>
    <xf numFmtId="10" fontId="12" fillId="0" borderId="0" xfId="0" applyNumberFormat="1" applyFont="1" applyAlignment="1">
      <alignment horizontal="center"/>
    </xf>
    <xf numFmtId="1" fontId="12" fillId="0" borderId="0" xfId="0" applyNumberFormat="1" applyFont="1" applyAlignment="1">
      <alignment horizontal="center"/>
    </xf>
    <xf numFmtId="1" fontId="12" fillId="4" borderId="0" xfId="0" applyNumberFormat="1" applyFont="1" applyFill="1" applyAlignment="1">
      <alignment horizontal="center"/>
    </xf>
    <xf numFmtId="3" fontId="12" fillId="0" borderId="0" xfId="0" applyNumberFormat="1" applyFont="1" applyAlignment="1">
      <alignment horizontal="center"/>
    </xf>
    <xf numFmtId="3" fontId="12" fillId="4" borderId="0" xfId="0" applyNumberFormat="1" applyFont="1" applyFill="1" applyAlignment="1">
      <alignment horizontal="center"/>
    </xf>
    <xf numFmtId="3" fontId="8" fillId="0" borderId="0" xfId="0" applyNumberFormat="1" applyFont="1" applyAlignment="1">
      <alignment horizontal="center"/>
    </xf>
    <xf numFmtId="10" fontId="12" fillId="4" borderId="0" xfId="0" applyNumberFormat="1" applyFont="1" applyFill="1" applyAlignment="1">
      <alignment horizontal="center"/>
    </xf>
    <xf numFmtId="3" fontId="12" fillId="4" borderId="6" xfId="0" applyNumberFormat="1" applyFont="1" applyFill="1" applyBorder="1" applyAlignment="1">
      <alignment horizontal="center"/>
    </xf>
    <xf numFmtId="3" fontId="12" fillId="5" borderId="2" xfId="0" applyNumberFormat="1" applyFont="1" applyFill="1" applyBorder="1" applyAlignment="1">
      <alignment horizontal="center"/>
    </xf>
    <xf numFmtId="10" fontId="12" fillId="7" borderId="1" xfId="0" applyNumberFormat="1" applyFont="1" applyFill="1" applyBorder="1" applyAlignment="1">
      <alignment horizontal="center"/>
    </xf>
    <xf numFmtId="1" fontId="12" fillId="7" borderId="1" xfId="0" applyNumberFormat="1" applyFont="1" applyFill="1" applyBorder="1" applyAlignment="1">
      <alignment horizontal="center"/>
    </xf>
    <xf numFmtId="3" fontId="12" fillId="7" borderId="1" xfId="0" applyNumberFormat="1" applyFont="1" applyFill="1" applyBorder="1" applyAlignment="1">
      <alignment horizontal="center"/>
    </xf>
    <xf numFmtId="3" fontId="8" fillId="7" borderId="1" xfId="0" applyNumberFormat="1" applyFont="1" applyFill="1" applyBorder="1" applyAlignment="1">
      <alignment horizontal="center"/>
    </xf>
    <xf numFmtId="0" fontId="26" fillId="3" borderId="7" xfId="10" applyFont="1" applyFill="1" applyBorder="1" applyAlignment="1">
      <alignment horizontal="left" vertical="top"/>
    </xf>
    <xf numFmtId="0" fontId="2" fillId="0" borderId="0" xfId="11"/>
    <xf numFmtId="1" fontId="19" fillId="3" borderId="7" xfId="10" applyNumberFormat="1" applyFont="1" applyFill="1" applyBorder="1" applyAlignment="1">
      <alignment horizontal="right" vertical="top"/>
    </xf>
    <xf numFmtId="0" fontId="19" fillId="3" borderId="7" xfId="10" applyFont="1" applyFill="1" applyBorder="1" applyAlignment="1">
      <alignment horizontal="left" vertical="top"/>
    </xf>
    <xf numFmtId="0" fontId="6" fillId="6" borderId="7" xfId="10" applyFill="1" applyBorder="1" applyAlignment="1">
      <alignment horizontal="left" vertical="top"/>
    </xf>
    <xf numFmtId="0" fontId="19" fillId="6" borderId="7" xfId="10" applyFont="1" applyFill="1" applyBorder="1" applyAlignment="1">
      <alignment horizontal="left" vertical="top"/>
    </xf>
    <xf numFmtId="0" fontId="19" fillId="10" borderId="7" xfId="10" applyFont="1" applyFill="1" applyBorder="1" applyAlignment="1">
      <alignment horizontal="left" vertical="top"/>
    </xf>
    <xf numFmtId="0" fontId="19" fillId="5" borderId="7" xfId="10" applyFont="1" applyFill="1" applyBorder="1" applyAlignment="1">
      <alignment horizontal="left" vertical="top"/>
    </xf>
    <xf numFmtId="0" fontId="19" fillId="4" borderId="7" xfId="10" applyFont="1" applyFill="1" applyBorder="1" applyAlignment="1">
      <alignment horizontal="left" vertical="top"/>
    </xf>
    <xf numFmtId="0" fontId="19" fillId="2" borderId="7" xfId="10" applyFont="1" applyFill="1" applyBorder="1" applyAlignment="1">
      <alignment horizontal="left" vertical="top"/>
    </xf>
    <xf numFmtId="0" fontId="19" fillId="11" borderId="7" xfId="10" applyFont="1" applyFill="1" applyBorder="1" applyAlignment="1">
      <alignment horizontal="left" vertical="top"/>
    </xf>
    <xf numFmtId="0" fontId="19" fillId="12" borderId="7" xfId="10" applyFont="1" applyFill="1" applyBorder="1" applyAlignment="1">
      <alignment horizontal="left" vertical="top"/>
    </xf>
    <xf numFmtId="0" fontId="19" fillId="13" borderId="7" xfId="10" applyFont="1" applyFill="1" applyBorder="1" applyAlignment="1">
      <alignment horizontal="left" vertical="top"/>
    </xf>
    <xf numFmtId="0" fontId="19" fillId="0" borderId="7" xfId="10" applyFont="1" applyBorder="1" applyAlignment="1">
      <alignment horizontal="left" vertical="top"/>
    </xf>
    <xf numFmtId="0" fontId="26" fillId="3" borderId="4" xfId="10" applyFont="1" applyFill="1" applyBorder="1" applyAlignment="1">
      <alignment horizontal="left" vertical="top"/>
    </xf>
    <xf numFmtId="0" fontId="6" fillId="0" borderId="0" xfId="10"/>
    <xf numFmtId="0" fontId="6" fillId="0" borderId="1" xfId="10" applyBorder="1"/>
    <xf numFmtId="0" fontId="7" fillId="4" borderId="1" xfId="10" applyFont="1" applyFill="1" applyBorder="1"/>
    <xf numFmtId="0" fontId="27" fillId="0" borderId="0" xfId="10" applyFont="1"/>
    <xf numFmtId="0" fontId="6" fillId="6" borderId="1" xfId="10" applyFill="1" applyBorder="1"/>
    <xf numFmtId="0" fontId="2" fillId="5" borderId="1" xfId="11" applyFill="1" applyBorder="1"/>
    <xf numFmtId="0" fontId="2" fillId="10" borderId="1" xfId="11" applyFill="1" applyBorder="1"/>
    <xf numFmtId="0" fontId="2" fillId="12" borderId="1" xfId="11" applyFill="1" applyBorder="1"/>
    <xf numFmtId="0" fontId="2" fillId="13" borderId="1" xfId="11" applyFill="1" applyBorder="1"/>
    <xf numFmtId="0" fontId="8" fillId="0" borderId="0" xfId="11" applyFont="1"/>
    <xf numFmtId="0" fontId="2" fillId="13" borderId="0" xfId="11" applyFill="1"/>
    <xf numFmtId="0" fontId="18" fillId="3" borderId="7" xfId="10" applyFont="1" applyFill="1" applyBorder="1" applyAlignment="1">
      <alignment horizontal="left" vertical="top"/>
    </xf>
    <xf numFmtId="1" fontId="5" fillId="2" borderId="1" xfId="1" applyNumberFormat="1" applyFont="1" applyFill="1" applyBorder="1" applyAlignment="1">
      <alignment horizontal="center" vertical="center" wrapText="1"/>
    </xf>
    <xf numFmtId="0" fontId="28" fillId="3" borderId="26" xfId="10" applyFont="1" applyFill="1" applyBorder="1" applyAlignment="1">
      <alignment horizontal="left" vertical="top"/>
    </xf>
    <xf numFmtId="0" fontId="29" fillId="3" borderId="26" xfId="10" applyFont="1" applyFill="1" applyBorder="1" applyAlignment="1">
      <alignment horizontal="left" vertical="top"/>
    </xf>
    <xf numFmtId="1" fontId="30" fillId="3" borderId="26" xfId="10" applyNumberFormat="1" applyFont="1" applyFill="1" applyBorder="1" applyAlignment="1">
      <alignment horizontal="right" vertical="top"/>
    </xf>
    <xf numFmtId="0" fontId="30" fillId="3" borderId="26" xfId="10" applyFont="1" applyFill="1" applyBorder="1" applyAlignment="1">
      <alignment horizontal="left" vertical="top"/>
    </xf>
    <xf numFmtId="1" fontId="30" fillId="3" borderId="26" xfId="10" applyNumberFormat="1" applyFont="1" applyFill="1" applyBorder="1" applyAlignment="1">
      <alignment horizontal="left" vertical="top"/>
    </xf>
    <xf numFmtId="4" fontId="31" fillId="3" borderId="26" xfId="10" applyNumberFormat="1" applyFont="1" applyFill="1" applyBorder="1" applyAlignment="1">
      <alignment horizontal="right" vertical="top"/>
    </xf>
    <xf numFmtId="0" fontId="31" fillId="3" borderId="26" xfId="10" applyFont="1" applyFill="1" applyBorder="1" applyAlignment="1">
      <alignment horizontal="left" vertical="top"/>
    </xf>
    <xf numFmtId="2" fontId="31" fillId="3" borderId="26" xfId="10" applyNumberFormat="1" applyFont="1" applyFill="1" applyBorder="1" applyAlignment="1">
      <alignment horizontal="right" vertical="top"/>
    </xf>
    <xf numFmtId="0" fontId="28" fillId="3" borderId="26" xfId="10" applyFont="1" applyFill="1" applyBorder="1" applyAlignment="1">
      <alignment horizontal="right" vertical="top"/>
    </xf>
    <xf numFmtId="4" fontId="29" fillId="3" borderId="26" xfId="10" applyNumberFormat="1" applyFont="1" applyFill="1" applyBorder="1" applyAlignment="1">
      <alignment horizontal="right" vertical="top"/>
    </xf>
    <xf numFmtId="0" fontId="29" fillId="3" borderId="26" xfId="10" applyFont="1" applyFill="1" applyBorder="1" applyAlignment="1">
      <alignment horizontal="right" vertical="top"/>
    </xf>
    <xf numFmtId="0" fontId="0" fillId="4" borderId="0" xfId="0" applyFill="1"/>
    <xf numFmtId="0" fontId="28" fillId="3" borderId="26" xfId="13" applyFont="1" applyFill="1" applyBorder="1" applyAlignment="1">
      <alignment horizontal="left" vertical="top"/>
    </xf>
    <xf numFmtId="0" fontId="30" fillId="3" borderId="26" xfId="13" applyFont="1" applyFill="1" applyBorder="1" applyAlignment="1">
      <alignment horizontal="left" vertical="top"/>
    </xf>
    <xf numFmtId="164" fontId="30" fillId="3" borderId="26" xfId="13" applyNumberFormat="1" applyFont="1" applyFill="1" applyBorder="1" applyAlignment="1">
      <alignment horizontal="left" vertical="top"/>
    </xf>
    <xf numFmtId="1" fontId="30" fillId="3" borderId="26" xfId="13" applyNumberFormat="1" applyFont="1" applyFill="1" applyBorder="1" applyAlignment="1">
      <alignment horizontal="left" vertical="top"/>
    </xf>
    <xf numFmtId="4" fontId="32" fillId="3" borderId="1" xfId="5" applyNumberFormat="1" applyFont="1" applyFill="1" applyBorder="1" applyAlignment="1">
      <alignment horizontal="center" vertical="top"/>
    </xf>
    <xf numFmtId="0" fontId="34" fillId="14" borderId="28" xfId="0" applyFont="1" applyFill="1" applyBorder="1" applyAlignment="1">
      <alignment horizontal="center" vertical="center" wrapText="1"/>
    </xf>
    <xf numFmtId="4" fontId="34" fillId="14" borderId="1" xfId="5" applyNumberFormat="1" applyFont="1" applyFill="1" applyBorder="1" applyAlignment="1">
      <alignment horizontal="center" vertical="top"/>
    </xf>
    <xf numFmtId="0" fontId="35" fillId="14" borderId="0" xfId="0" applyFont="1" applyFill="1" applyAlignment="1">
      <alignment horizontal="center"/>
    </xf>
    <xf numFmtId="0" fontId="6" fillId="0" borderId="0" xfId="16"/>
    <xf numFmtId="1" fontId="19" fillId="3" borderId="7" xfId="16" applyNumberFormat="1" applyFont="1" applyFill="1" applyBorder="1" applyAlignment="1">
      <alignment horizontal="right" vertical="top"/>
    </xf>
    <xf numFmtId="0" fontId="19" fillId="3" borderId="7" xfId="16" applyNumberFormat="1" applyFont="1" applyFill="1" applyBorder="1" applyAlignment="1">
      <alignment horizontal="left" vertical="top"/>
    </xf>
    <xf numFmtId="1" fontId="19" fillId="3" borderId="7" xfId="17" applyNumberFormat="1" applyFont="1" applyFill="1" applyBorder="1" applyAlignment="1">
      <alignment horizontal="right" vertical="top"/>
    </xf>
    <xf numFmtId="0" fontId="19" fillId="3" borderId="7" xfId="17" applyNumberFormat="1" applyFont="1" applyFill="1" applyBorder="1" applyAlignment="1">
      <alignment horizontal="left" vertical="top"/>
    </xf>
    <xf numFmtId="4" fontId="32" fillId="3" borderId="3" xfId="5" applyNumberFormat="1" applyFont="1" applyFill="1" applyBorder="1" applyAlignment="1">
      <alignment horizontal="center" vertical="top"/>
    </xf>
    <xf numFmtId="1" fontId="19" fillId="3" borderId="7" xfId="18" applyNumberFormat="1" applyFont="1" applyFill="1" applyBorder="1" applyAlignment="1">
      <alignment horizontal="right" vertical="top"/>
    </xf>
    <xf numFmtId="0" fontId="19" fillId="3" borderId="7" xfId="18" applyNumberFormat="1" applyFont="1" applyFill="1" applyBorder="1" applyAlignment="1">
      <alignment horizontal="left" vertical="top"/>
    </xf>
    <xf numFmtId="1" fontId="5" fillId="2" borderId="5" xfId="1" applyNumberFormat="1" applyFont="1" applyFill="1" applyBorder="1" applyAlignment="1">
      <alignment horizontal="center" vertical="center" wrapText="1"/>
    </xf>
    <xf numFmtId="0" fontId="19" fillId="3" borderId="1" xfId="16" applyNumberFormat="1" applyFont="1" applyFill="1" applyBorder="1" applyAlignment="1">
      <alignment horizontal="left" vertical="top"/>
    </xf>
    <xf numFmtId="4" fontId="4" fillId="2" borderId="3" xfId="0" applyNumberFormat="1" applyFont="1" applyFill="1" applyBorder="1" applyAlignment="1">
      <alignment horizontal="center" vertical="center" wrapText="1"/>
    </xf>
    <xf numFmtId="4" fontId="12" fillId="0" borderId="0" xfId="0" applyNumberFormat="1" applyFont="1" applyAlignment="1">
      <alignment horizontal="center"/>
    </xf>
    <xf numFmtId="0" fontId="19" fillId="3" borderId="7" xfId="19" applyNumberFormat="1" applyFont="1" applyFill="1" applyBorder="1" applyAlignment="1">
      <alignment horizontal="left" vertical="top"/>
    </xf>
    <xf numFmtId="0" fontId="37" fillId="3" borderId="7" xfId="20" applyNumberFormat="1" applyFont="1" applyFill="1" applyBorder="1" applyAlignment="1">
      <alignment horizontal="left" vertical="top"/>
    </xf>
    <xf numFmtId="1" fontId="19" fillId="3" borderId="7" xfId="21" applyNumberFormat="1" applyFont="1" applyFill="1" applyBorder="1" applyAlignment="1">
      <alignment horizontal="right" vertical="top"/>
    </xf>
    <xf numFmtId="0" fontId="19" fillId="3" borderId="7" xfId="21" applyNumberFormat="1" applyFont="1" applyFill="1" applyBorder="1" applyAlignment="1">
      <alignment horizontal="left" vertical="top"/>
    </xf>
    <xf numFmtId="0" fontId="37" fillId="3" borderId="7" xfId="17" applyNumberFormat="1" applyFont="1" applyFill="1" applyBorder="1" applyAlignment="1">
      <alignment horizontal="left" vertical="top"/>
    </xf>
    <xf numFmtId="0" fontId="37" fillId="3" borderId="7" xfId="16" applyNumberFormat="1" applyFont="1" applyFill="1" applyBorder="1" applyAlignment="1">
      <alignment horizontal="left" vertical="top"/>
    </xf>
    <xf numFmtId="0" fontId="37" fillId="3" borderId="7" xfId="18" applyNumberFormat="1" applyFont="1" applyFill="1" applyBorder="1" applyAlignment="1">
      <alignment horizontal="left" vertical="top"/>
    </xf>
    <xf numFmtId="1" fontId="19" fillId="3" borderId="8" xfId="16" applyNumberFormat="1" applyFont="1" applyFill="1" applyBorder="1" applyAlignment="1">
      <alignment horizontal="right" vertical="top"/>
    </xf>
    <xf numFmtId="4" fontId="12" fillId="0" borderId="1" xfId="0" applyNumberFormat="1" applyFont="1" applyBorder="1" applyAlignment="1">
      <alignment horizontal="center"/>
    </xf>
    <xf numFmtId="4" fontId="13" fillId="3" borderId="27" xfId="5" applyNumberFormat="1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36" fillId="3" borderId="7" xfId="18" applyNumberFormat="1" applyFont="1" applyFill="1" applyBorder="1" applyAlignment="1">
      <alignment horizontal="center" vertical="center"/>
    </xf>
    <xf numFmtId="1" fontId="19" fillId="15" borderId="7" xfId="17" applyNumberFormat="1" applyFont="1" applyFill="1" applyBorder="1" applyAlignment="1">
      <alignment horizontal="right" vertical="top"/>
    </xf>
    <xf numFmtId="0" fontId="19" fillId="15" borderId="7" xfId="16" applyNumberFormat="1" applyFont="1" applyFill="1" applyBorder="1" applyAlignment="1">
      <alignment horizontal="left" vertical="top"/>
    </xf>
    <xf numFmtId="4" fontId="32" fillId="15" borderId="1" xfId="5" applyNumberFormat="1" applyFont="1" applyFill="1" applyBorder="1" applyAlignment="1">
      <alignment horizontal="center" vertical="top"/>
    </xf>
    <xf numFmtId="4" fontId="34" fillId="15" borderId="1" xfId="5" applyNumberFormat="1" applyFont="1" applyFill="1" applyBorder="1" applyAlignment="1">
      <alignment horizontal="center" vertical="top"/>
    </xf>
    <xf numFmtId="1" fontId="5" fillId="15" borderId="1" xfId="1" applyNumberFormat="1" applyFont="1" applyFill="1" applyBorder="1" applyAlignment="1">
      <alignment horizontal="center" vertical="center" wrapText="1"/>
    </xf>
    <xf numFmtId="0" fontId="17" fillId="15" borderId="1" xfId="9" applyFont="1" applyFill="1" applyBorder="1" applyAlignment="1">
      <alignment horizontal="center" vertical="center"/>
    </xf>
    <xf numFmtId="0" fontId="12" fillId="15" borderId="0" xfId="0" applyFont="1" applyFill="1"/>
    <xf numFmtId="4" fontId="38" fillId="0" borderId="0" xfId="0" applyNumberFormat="1" applyFont="1" applyAlignment="1">
      <alignment horizontal="center"/>
    </xf>
    <xf numFmtId="4" fontId="35" fillId="14" borderId="3" xfId="0" applyNumberFormat="1" applyFont="1" applyFill="1" applyBorder="1" applyAlignment="1">
      <alignment horizontal="center"/>
    </xf>
    <xf numFmtId="4" fontId="35" fillId="14" borderId="0" xfId="0" applyNumberFormat="1" applyFont="1" applyFill="1" applyAlignment="1">
      <alignment horizontal="center"/>
    </xf>
    <xf numFmtId="0" fontId="39" fillId="3" borderId="7" xfId="18" applyNumberFormat="1" applyFont="1" applyFill="1" applyBorder="1" applyAlignment="1">
      <alignment horizontal="left" vertical="top"/>
    </xf>
    <xf numFmtId="0" fontId="39" fillId="3" borderId="7" xfId="16" applyNumberFormat="1" applyFont="1" applyFill="1" applyBorder="1" applyAlignment="1">
      <alignment horizontal="left" vertical="top"/>
    </xf>
    <xf numFmtId="0" fontId="39" fillId="3" borderId="7" xfId="21" applyNumberFormat="1" applyFont="1" applyFill="1" applyBorder="1" applyAlignment="1">
      <alignment horizontal="left" vertical="top"/>
    </xf>
    <xf numFmtId="0" fontId="39" fillId="3" borderId="7" xfId="17" applyNumberFormat="1" applyFont="1" applyFill="1" applyBorder="1" applyAlignment="1">
      <alignment horizontal="left" vertical="top"/>
    </xf>
    <xf numFmtId="0" fontId="39" fillId="3" borderId="7" xfId="22" applyNumberFormat="1" applyFont="1" applyFill="1" applyBorder="1" applyAlignment="1">
      <alignment horizontal="left" vertical="top"/>
    </xf>
    <xf numFmtId="1" fontId="19" fillId="3" borderId="7" xfId="22" applyNumberFormat="1" applyFont="1" applyFill="1" applyBorder="1" applyAlignment="1">
      <alignment horizontal="right" vertical="top"/>
    </xf>
    <xf numFmtId="0" fontId="19" fillId="3" borderId="7" xfId="22" applyNumberFormat="1" applyFont="1" applyFill="1" applyBorder="1" applyAlignment="1">
      <alignment horizontal="left" vertical="top"/>
    </xf>
    <xf numFmtId="0" fontId="39" fillId="3" borderId="7" xfId="23" applyNumberFormat="1" applyFont="1" applyFill="1" applyBorder="1" applyAlignment="1">
      <alignment horizontal="left" vertical="top"/>
    </xf>
    <xf numFmtId="1" fontId="19" fillId="3" borderId="7" xfId="23" applyNumberFormat="1" applyFont="1" applyFill="1" applyBorder="1" applyAlignment="1">
      <alignment horizontal="right" vertical="top"/>
    </xf>
    <xf numFmtId="0" fontId="19" fillId="3" borderId="7" xfId="23" applyNumberFormat="1" applyFont="1" applyFill="1" applyBorder="1" applyAlignment="1">
      <alignment horizontal="left" vertical="top"/>
    </xf>
    <xf numFmtId="0" fontId="39" fillId="3" borderId="7" xfId="24" applyNumberFormat="1" applyFont="1" applyFill="1" applyBorder="1" applyAlignment="1">
      <alignment horizontal="left" vertical="top"/>
    </xf>
    <xf numFmtId="1" fontId="19" fillId="3" borderId="7" xfId="24" applyNumberFormat="1" applyFont="1" applyFill="1" applyBorder="1" applyAlignment="1">
      <alignment horizontal="right" vertical="top"/>
    </xf>
    <xf numFmtId="0" fontId="19" fillId="3" borderId="7" xfId="24" applyNumberFormat="1" applyFont="1" applyFill="1" applyBorder="1" applyAlignment="1">
      <alignment horizontal="left" vertical="top"/>
    </xf>
    <xf numFmtId="0" fontId="39" fillId="3" borderId="7" xfId="25" applyNumberFormat="1" applyFont="1" applyFill="1" applyBorder="1" applyAlignment="1">
      <alignment horizontal="left" vertical="top"/>
    </xf>
    <xf numFmtId="1" fontId="19" fillId="3" borderId="7" xfId="25" applyNumberFormat="1" applyFont="1" applyFill="1" applyBorder="1" applyAlignment="1">
      <alignment horizontal="right" vertical="top"/>
    </xf>
    <xf numFmtId="0" fontId="19" fillId="3" borderId="7" xfId="25" applyNumberFormat="1" applyFont="1" applyFill="1" applyBorder="1" applyAlignment="1">
      <alignment horizontal="left" vertical="top"/>
    </xf>
    <xf numFmtId="0" fontId="39" fillId="3" borderId="7" xfId="26" applyNumberFormat="1" applyFont="1" applyFill="1" applyBorder="1" applyAlignment="1">
      <alignment horizontal="left" vertical="top"/>
    </xf>
    <xf numFmtId="1" fontId="19" fillId="3" borderId="7" xfId="26" applyNumberFormat="1" applyFont="1" applyFill="1" applyBorder="1" applyAlignment="1">
      <alignment horizontal="right" vertical="top"/>
    </xf>
    <xf numFmtId="0" fontId="19" fillId="3" borderId="7" xfId="26" applyNumberFormat="1" applyFont="1" applyFill="1" applyBorder="1" applyAlignment="1">
      <alignment horizontal="left" vertical="top"/>
    </xf>
    <xf numFmtId="0" fontId="39" fillId="3" borderId="7" xfId="27" applyNumberFormat="1" applyFont="1" applyFill="1" applyBorder="1" applyAlignment="1">
      <alignment horizontal="left" vertical="top"/>
    </xf>
    <xf numFmtId="1" fontId="19" fillId="3" borderId="7" xfId="27" applyNumberFormat="1" applyFont="1" applyFill="1" applyBorder="1" applyAlignment="1">
      <alignment horizontal="right" vertical="top"/>
    </xf>
    <xf numFmtId="0" fontId="19" fillId="3" borderId="7" xfId="27" applyNumberFormat="1" applyFont="1" applyFill="1" applyBorder="1" applyAlignment="1">
      <alignment horizontal="left" vertical="top"/>
    </xf>
    <xf numFmtId="165" fontId="19" fillId="3" borderId="7" xfId="18" applyNumberFormat="1" applyFont="1" applyFill="1" applyBorder="1" applyAlignment="1">
      <alignment horizontal="right" vertical="top"/>
    </xf>
    <xf numFmtId="166" fontId="39" fillId="3" borderId="7" xfId="18" applyNumberFormat="1" applyFont="1" applyFill="1" applyBorder="1" applyAlignment="1">
      <alignment horizontal="right" vertical="top"/>
    </xf>
    <xf numFmtId="165" fontId="19" fillId="3" borderId="7" xfId="16" applyNumberFormat="1" applyFont="1" applyFill="1" applyBorder="1" applyAlignment="1">
      <alignment horizontal="right" vertical="top"/>
    </xf>
    <xf numFmtId="165" fontId="39" fillId="3" borderId="7" xfId="16" applyNumberFormat="1" applyFont="1" applyFill="1" applyBorder="1" applyAlignment="1">
      <alignment horizontal="right" vertical="top"/>
    </xf>
    <xf numFmtId="0" fontId="39" fillId="3" borderId="7" xfId="28" applyNumberFormat="1" applyFont="1" applyFill="1" applyBorder="1" applyAlignment="1">
      <alignment horizontal="left" vertical="top"/>
    </xf>
    <xf numFmtId="1" fontId="19" fillId="3" borderId="7" xfId="28" applyNumberFormat="1" applyFont="1" applyFill="1" applyBorder="1" applyAlignment="1">
      <alignment horizontal="right" vertical="top"/>
    </xf>
    <xf numFmtId="0" fontId="19" fillId="3" borderId="7" xfId="28" applyNumberFormat="1" applyFont="1" applyFill="1" applyBorder="1" applyAlignment="1">
      <alignment horizontal="left" vertical="top"/>
    </xf>
    <xf numFmtId="165" fontId="19" fillId="3" borderId="7" xfId="28" applyNumberFormat="1" applyFont="1" applyFill="1" applyBorder="1" applyAlignment="1">
      <alignment horizontal="right" vertical="top"/>
    </xf>
    <xf numFmtId="165" fontId="39" fillId="3" borderId="7" xfId="28" applyNumberFormat="1" applyFont="1" applyFill="1" applyBorder="1" applyAlignment="1">
      <alignment horizontal="right" vertical="top"/>
    </xf>
    <xf numFmtId="165" fontId="19" fillId="3" borderId="7" xfId="21" applyNumberFormat="1" applyFont="1" applyFill="1" applyBorder="1" applyAlignment="1">
      <alignment horizontal="right" vertical="top"/>
    </xf>
    <xf numFmtId="166" fontId="39" fillId="3" borderId="7" xfId="21" applyNumberFormat="1" applyFont="1" applyFill="1" applyBorder="1" applyAlignment="1">
      <alignment horizontal="right" vertical="top"/>
    </xf>
    <xf numFmtId="0" fontId="39" fillId="3" borderId="7" xfId="29" applyNumberFormat="1" applyFont="1" applyFill="1" applyBorder="1" applyAlignment="1">
      <alignment horizontal="left" vertical="top"/>
    </xf>
    <xf numFmtId="1" fontId="19" fillId="3" borderId="7" xfId="29" applyNumberFormat="1" applyFont="1" applyFill="1" applyBorder="1" applyAlignment="1">
      <alignment horizontal="right" vertical="top"/>
    </xf>
    <xf numFmtId="0" fontId="19" fillId="3" borderId="7" xfId="29" applyNumberFormat="1" applyFont="1" applyFill="1" applyBorder="1" applyAlignment="1">
      <alignment horizontal="left" vertical="top"/>
    </xf>
    <xf numFmtId="165" fontId="19" fillId="3" borderId="7" xfId="23" applyNumberFormat="1" applyFont="1" applyFill="1" applyBorder="1" applyAlignment="1">
      <alignment horizontal="right" vertical="top"/>
    </xf>
    <xf numFmtId="165" fontId="39" fillId="3" borderId="7" xfId="23" applyNumberFormat="1" applyFont="1" applyFill="1" applyBorder="1" applyAlignment="1">
      <alignment horizontal="right" vertical="top"/>
    </xf>
    <xf numFmtId="0" fontId="39" fillId="3" borderId="7" xfId="30" applyNumberFormat="1" applyFont="1" applyFill="1" applyBorder="1" applyAlignment="1">
      <alignment horizontal="left" vertical="top"/>
    </xf>
    <xf numFmtId="1" fontId="19" fillId="3" borderId="7" xfId="30" applyNumberFormat="1" applyFont="1" applyFill="1" applyBorder="1" applyAlignment="1">
      <alignment horizontal="right" vertical="top"/>
    </xf>
    <xf numFmtId="0" fontId="19" fillId="3" borderId="7" xfId="30" applyNumberFormat="1" applyFont="1" applyFill="1" applyBorder="1" applyAlignment="1">
      <alignment horizontal="left" vertical="top"/>
    </xf>
    <xf numFmtId="165" fontId="19" fillId="3" borderId="7" xfId="30" applyNumberFormat="1" applyFont="1" applyFill="1" applyBorder="1" applyAlignment="1">
      <alignment horizontal="right" vertical="top"/>
    </xf>
    <xf numFmtId="165" fontId="39" fillId="3" borderId="7" xfId="30" applyNumberFormat="1" applyFont="1" applyFill="1" applyBorder="1" applyAlignment="1">
      <alignment horizontal="right" vertical="top"/>
    </xf>
    <xf numFmtId="0" fontId="39" fillId="3" borderId="7" xfId="31" applyNumberFormat="1" applyFont="1" applyFill="1" applyBorder="1" applyAlignment="1">
      <alignment horizontal="left" vertical="top"/>
    </xf>
    <xf numFmtId="1" fontId="19" fillId="3" borderId="7" xfId="31" applyNumberFormat="1" applyFont="1" applyFill="1" applyBorder="1" applyAlignment="1">
      <alignment horizontal="right" vertical="top"/>
    </xf>
    <xf numFmtId="0" fontId="19" fillId="3" borderId="7" xfId="31" applyNumberFormat="1" applyFont="1" applyFill="1" applyBorder="1" applyAlignment="1">
      <alignment horizontal="left" vertical="top"/>
    </xf>
    <xf numFmtId="165" fontId="19" fillId="3" borderId="7" xfId="31" applyNumberFormat="1" applyFont="1" applyFill="1" applyBorder="1" applyAlignment="1">
      <alignment horizontal="right" vertical="top"/>
    </xf>
    <xf numFmtId="165" fontId="39" fillId="3" borderId="7" xfId="31" applyNumberFormat="1" applyFont="1" applyFill="1" applyBorder="1" applyAlignment="1">
      <alignment horizontal="right" vertical="top"/>
    </xf>
    <xf numFmtId="0" fontId="39" fillId="3" borderId="7" xfId="32" applyNumberFormat="1" applyFont="1" applyFill="1" applyBorder="1" applyAlignment="1">
      <alignment horizontal="left" vertical="top"/>
    </xf>
    <xf numFmtId="1" fontId="19" fillId="3" borderId="7" xfId="32" applyNumberFormat="1" applyFont="1" applyFill="1" applyBorder="1" applyAlignment="1">
      <alignment horizontal="right" vertical="top"/>
    </xf>
    <xf numFmtId="0" fontId="19" fillId="3" borderId="7" xfId="32" applyNumberFormat="1" applyFont="1" applyFill="1" applyBorder="1" applyAlignment="1">
      <alignment horizontal="left" vertical="top"/>
    </xf>
    <xf numFmtId="165" fontId="19" fillId="3" borderId="7" xfId="32" applyNumberFormat="1" applyFont="1" applyFill="1" applyBorder="1" applyAlignment="1">
      <alignment horizontal="right" vertical="top"/>
    </xf>
    <xf numFmtId="165" fontId="39" fillId="3" borderId="7" xfId="32" applyNumberFormat="1" applyFont="1" applyFill="1" applyBorder="1" applyAlignment="1">
      <alignment horizontal="right" vertical="top"/>
    </xf>
    <xf numFmtId="0" fontId="39" fillId="3" borderId="7" xfId="33" applyNumberFormat="1" applyFont="1" applyFill="1" applyBorder="1" applyAlignment="1">
      <alignment horizontal="left" vertical="top"/>
    </xf>
    <xf numFmtId="1" fontId="19" fillId="3" borderId="7" xfId="33" applyNumberFormat="1" applyFont="1" applyFill="1" applyBorder="1" applyAlignment="1">
      <alignment horizontal="right" vertical="top"/>
    </xf>
    <xf numFmtId="0" fontId="19" fillId="3" borderId="7" xfId="33" applyNumberFormat="1" applyFont="1" applyFill="1" applyBorder="1" applyAlignment="1">
      <alignment horizontal="left" vertical="top"/>
    </xf>
    <xf numFmtId="165" fontId="19" fillId="3" borderId="7" xfId="33" applyNumberFormat="1" applyFont="1" applyFill="1" applyBorder="1" applyAlignment="1">
      <alignment horizontal="right" vertical="top"/>
    </xf>
    <xf numFmtId="165" fontId="39" fillId="3" borderId="7" xfId="33" applyNumberFormat="1" applyFont="1" applyFill="1" applyBorder="1" applyAlignment="1">
      <alignment horizontal="right" vertical="top"/>
    </xf>
    <xf numFmtId="0" fontId="39" fillId="3" borderId="7" xfId="34" applyNumberFormat="1" applyFont="1" applyFill="1" applyBorder="1" applyAlignment="1">
      <alignment horizontal="left" vertical="top"/>
    </xf>
    <xf numFmtId="1" fontId="19" fillId="3" borderId="7" xfId="34" applyNumberFormat="1" applyFont="1" applyFill="1" applyBorder="1" applyAlignment="1">
      <alignment horizontal="right" vertical="top"/>
    </xf>
    <xf numFmtId="0" fontId="19" fillId="3" borderId="7" xfId="34" applyNumberFormat="1" applyFont="1" applyFill="1" applyBorder="1" applyAlignment="1">
      <alignment horizontal="left" vertical="top"/>
    </xf>
    <xf numFmtId="165" fontId="19" fillId="3" borderId="7" xfId="34" applyNumberFormat="1" applyFont="1" applyFill="1" applyBorder="1" applyAlignment="1">
      <alignment horizontal="right" vertical="top"/>
    </xf>
    <xf numFmtId="165" fontId="39" fillId="3" borderId="7" xfId="34" applyNumberFormat="1" applyFont="1" applyFill="1" applyBorder="1" applyAlignment="1">
      <alignment horizontal="right" vertical="top"/>
    </xf>
    <xf numFmtId="0" fontId="39" fillId="3" borderId="7" xfId="35" applyNumberFormat="1" applyFont="1" applyFill="1" applyBorder="1" applyAlignment="1">
      <alignment horizontal="left" vertical="top"/>
    </xf>
    <xf numFmtId="1" fontId="19" fillId="3" borderId="7" xfId="35" applyNumberFormat="1" applyFont="1" applyFill="1" applyBorder="1" applyAlignment="1">
      <alignment horizontal="right" vertical="top"/>
    </xf>
    <xf numFmtId="0" fontId="19" fillId="3" borderId="7" xfId="35" applyNumberFormat="1" applyFont="1" applyFill="1" applyBorder="1" applyAlignment="1">
      <alignment horizontal="left" vertical="top"/>
    </xf>
    <xf numFmtId="165" fontId="19" fillId="3" borderId="7" xfId="35" applyNumberFormat="1" applyFont="1" applyFill="1" applyBorder="1" applyAlignment="1">
      <alignment horizontal="right" vertical="top"/>
    </xf>
    <xf numFmtId="165" fontId="39" fillId="3" borderId="7" xfId="35" applyNumberFormat="1" applyFont="1" applyFill="1" applyBorder="1" applyAlignment="1">
      <alignment horizontal="right" vertical="top"/>
    </xf>
    <xf numFmtId="165" fontId="19" fillId="3" borderId="7" xfId="24" applyNumberFormat="1" applyFont="1" applyFill="1" applyBorder="1" applyAlignment="1">
      <alignment horizontal="right" vertical="top"/>
    </xf>
    <xf numFmtId="165" fontId="39" fillId="3" borderId="7" xfId="24" applyNumberFormat="1" applyFont="1" applyFill="1" applyBorder="1" applyAlignment="1">
      <alignment horizontal="right" vertical="top"/>
    </xf>
    <xf numFmtId="165" fontId="19" fillId="3" borderId="7" xfId="25" applyNumberFormat="1" applyFont="1" applyFill="1" applyBorder="1" applyAlignment="1">
      <alignment horizontal="right" vertical="top"/>
    </xf>
    <xf numFmtId="165" fontId="39" fillId="3" borderId="7" xfId="25" applyNumberFormat="1" applyFont="1" applyFill="1" applyBorder="1" applyAlignment="1">
      <alignment horizontal="right" vertical="top"/>
    </xf>
    <xf numFmtId="165" fontId="19" fillId="3" borderId="7" xfId="26" applyNumberFormat="1" applyFont="1" applyFill="1" applyBorder="1" applyAlignment="1">
      <alignment horizontal="right" vertical="top"/>
    </xf>
    <xf numFmtId="165" fontId="39" fillId="3" borderId="7" xfId="26" applyNumberFormat="1" applyFont="1" applyFill="1" applyBorder="1" applyAlignment="1">
      <alignment horizontal="right" vertical="top"/>
    </xf>
    <xf numFmtId="0" fontId="39" fillId="3" borderId="7" xfId="36" applyNumberFormat="1" applyFont="1" applyFill="1" applyBorder="1" applyAlignment="1">
      <alignment horizontal="left" vertical="top"/>
    </xf>
    <xf numFmtId="1" fontId="19" fillId="3" borderId="7" xfId="36" applyNumberFormat="1" applyFont="1" applyFill="1" applyBorder="1" applyAlignment="1">
      <alignment horizontal="right" vertical="top"/>
    </xf>
    <xf numFmtId="0" fontId="19" fillId="3" borderId="7" xfId="36" applyNumberFormat="1" applyFont="1" applyFill="1" applyBorder="1" applyAlignment="1">
      <alignment horizontal="left" vertical="top"/>
    </xf>
    <xf numFmtId="165" fontId="19" fillId="3" borderId="7" xfId="36" applyNumberFormat="1" applyFont="1" applyFill="1" applyBorder="1" applyAlignment="1">
      <alignment horizontal="right" vertical="top"/>
    </xf>
    <xf numFmtId="165" fontId="39" fillId="3" borderId="7" xfId="36" applyNumberFormat="1" applyFont="1" applyFill="1" applyBorder="1" applyAlignment="1">
      <alignment horizontal="right" vertical="top"/>
    </xf>
    <xf numFmtId="0" fontId="39" fillId="3" borderId="7" xfId="37" applyNumberFormat="1" applyFont="1" applyFill="1" applyBorder="1" applyAlignment="1">
      <alignment horizontal="left" vertical="top"/>
    </xf>
    <xf numFmtId="1" fontId="19" fillId="3" borderId="7" xfId="37" applyNumberFormat="1" applyFont="1" applyFill="1" applyBorder="1" applyAlignment="1">
      <alignment horizontal="right" vertical="top"/>
    </xf>
    <xf numFmtId="0" fontId="19" fillId="3" borderId="7" xfId="37" applyNumberFormat="1" applyFont="1" applyFill="1" applyBorder="1" applyAlignment="1">
      <alignment horizontal="left" vertical="top"/>
    </xf>
    <xf numFmtId="165" fontId="19" fillId="3" borderId="7" xfId="37" applyNumberFormat="1" applyFont="1" applyFill="1" applyBorder="1" applyAlignment="1">
      <alignment horizontal="right" vertical="top"/>
    </xf>
    <xf numFmtId="165" fontId="39" fillId="3" borderId="7" xfId="37" applyNumberFormat="1" applyFont="1" applyFill="1" applyBorder="1" applyAlignment="1">
      <alignment horizontal="right" vertical="top"/>
    </xf>
    <xf numFmtId="0" fontId="39" fillId="3" borderId="7" xfId="38" applyNumberFormat="1" applyFont="1" applyFill="1" applyBorder="1" applyAlignment="1">
      <alignment horizontal="left" vertical="top"/>
    </xf>
    <xf numFmtId="1" fontId="19" fillId="3" borderId="7" xfId="38" applyNumberFormat="1" applyFont="1" applyFill="1" applyBorder="1" applyAlignment="1">
      <alignment horizontal="right" vertical="top"/>
    </xf>
    <xf numFmtId="0" fontId="19" fillId="3" borderId="7" xfId="38" applyNumberFormat="1" applyFont="1" applyFill="1" applyBorder="1" applyAlignment="1">
      <alignment horizontal="left" vertical="top"/>
    </xf>
    <xf numFmtId="165" fontId="19" fillId="3" borderId="7" xfId="38" applyNumberFormat="1" applyFont="1" applyFill="1" applyBorder="1" applyAlignment="1">
      <alignment horizontal="right" vertical="top"/>
    </xf>
    <xf numFmtId="165" fontId="39" fillId="3" borderId="7" xfId="38" applyNumberFormat="1" applyFont="1" applyFill="1" applyBorder="1" applyAlignment="1">
      <alignment horizontal="right" vertical="top"/>
    </xf>
    <xf numFmtId="0" fontId="39" fillId="3" borderId="7" xfId="39" applyNumberFormat="1" applyFont="1" applyFill="1" applyBorder="1" applyAlignment="1">
      <alignment horizontal="left" vertical="top"/>
    </xf>
    <xf numFmtId="1" fontId="19" fillId="3" borderId="7" xfId="39" applyNumberFormat="1" applyFont="1" applyFill="1" applyBorder="1" applyAlignment="1">
      <alignment horizontal="right" vertical="top"/>
    </xf>
    <xf numFmtId="0" fontId="19" fillId="3" borderId="7" xfId="39" applyNumberFormat="1" applyFont="1" applyFill="1" applyBorder="1" applyAlignment="1">
      <alignment horizontal="left" vertical="top"/>
    </xf>
    <xf numFmtId="165" fontId="19" fillId="3" borderId="7" xfId="39" applyNumberFormat="1" applyFont="1" applyFill="1" applyBorder="1" applyAlignment="1">
      <alignment horizontal="right" vertical="top"/>
    </xf>
    <xf numFmtId="165" fontId="39" fillId="3" borderId="7" xfId="39" applyNumberFormat="1" applyFont="1" applyFill="1" applyBorder="1" applyAlignment="1">
      <alignment horizontal="right" vertical="top"/>
    </xf>
    <xf numFmtId="0" fontId="39" fillId="3" borderId="7" xfId="40" applyNumberFormat="1" applyFont="1" applyFill="1" applyBorder="1" applyAlignment="1">
      <alignment horizontal="left" vertical="top"/>
    </xf>
    <xf numFmtId="1" fontId="19" fillId="3" borderId="7" xfId="40" applyNumberFormat="1" applyFont="1" applyFill="1" applyBorder="1" applyAlignment="1">
      <alignment horizontal="right" vertical="top"/>
    </xf>
    <xf numFmtId="0" fontId="19" fillId="3" borderId="7" xfId="40" applyNumberFormat="1" applyFont="1" applyFill="1" applyBorder="1" applyAlignment="1">
      <alignment horizontal="left" vertical="top"/>
    </xf>
    <xf numFmtId="165" fontId="19" fillId="3" borderId="7" xfId="40" applyNumberFormat="1" applyFont="1" applyFill="1" applyBorder="1" applyAlignment="1">
      <alignment horizontal="right" vertical="top"/>
    </xf>
    <xf numFmtId="165" fontId="39" fillId="3" borderId="7" xfId="40" applyNumberFormat="1" applyFont="1" applyFill="1" applyBorder="1" applyAlignment="1">
      <alignment horizontal="right" vertical="top"/>
    </xf>
    <xf numFmtId="0" fontId="39" fillId="3" borderId="7" xfId="41" applyNumberFormat="1" applyFont="1" applyFill="1" applyBorder="1" applyAlignment="1">
      <alignment horizontal="left" vertical="top"/>
    </xf>
    <xf numFmtId="1" fontId="19" fillId="3" borderId="7" xfId="41" applyNumberFormat="1" applyFont="1" applyFill="1" applyBorder="1" applyAlignment="1">
      <alignment horizontal="right" vertical="top"/>
    </xf>
    <xf numFmtId="0" fontId="19" fillId="3" borderId="7" xfId="41" applyNumberFormat="1" applyFont="1" applyFill="1" applyBorder="1" applyAlignment="1">
      <alignment horizontal="left" vertical="top"/>
    </xf>
    <xf numFmtId="165" fontId="19" fillId="3" borderId="7" xfId="41" applyNumberFormat="1" applyFont="1" applyFill="1" applyBorder="1" applyAlignment="1">
      <alignment horizontal="right" vertical="top"/>
    </xf>
    <xf numFmtId="165" fontId="39" fillId="3" borderId="7" xfId="41" applyNumberFormat="1" applyFont="1" applyFill="1" applyBorder="1" applyAlignment="1">
      <alignment horizontal="right" vertical="top"/>
    </xf>
    <xf numFmtId="0" fontId="39" fillId="3" borderId="7" xfId="42" applyNumberFormat="1" applyFont="1" applyFill="1" applyBorder="1" applyAlignment="1">
      <alignment horizontal="left" vertical="top"/>
    </xf>
    <xf numFmtId="1" fontId="19" fillId="3" borderId="7" xfId="42" applyNumberFormat="1" applyFont="1" applyFill="1" applyBorder="1" applyAlignment="1">
      <alignment horizontal="right" vertical="top"/>
    </xf>
    <xf numFmtId="0" fontId="19" fillId="3" borderId="7" xfId="42" applyNumberFormat="1" applyFont="1" applyFill="1" applyBorder="1" applyAlignment="1">
      <alignment horizontal="left" vertical="top"/>
    </xf>
    <xf numFmtId="165" fontId="19" fillId="3" borderId="7" xfId="42" applyNumberFormat="1" applyFont="1" applyFill="1" applyBorder="1" applyAlignment="1">
      <alignment horizontal="right" vertical="top"/>
    </xf>
    <xf numFmtId="165" fontId="39" fillId="3" borderId="7" xfId="42" applyNumberFormat="1" applyFont="1" applyFill="1" applyBorder="1" applyAlignment="1">
      <alignment horizontal="right" vertical="top"/>
    </xf>
    <xf numFmtId="0" fontId="39" fillId="3" borderId="7" xfId="43" applyNumberFormat="1" applyFont="1" applyFill="1" applyBorder="1" applyAlignment="1">
      <alignment horizontal="left" vertical="top"/>
    </xf>
    <xf numFmtId="1" fontId="19" fillId="3" borderId="7" xfId="43" applyNumberFormat="1" applyFont="1" applyFill="1" applyBorder="1" applyAlignment="1">
      <alignment horizontal="right" vertical="top"/>
    </xf>
    <xf numFmtId="0" fontId="19" fillId="3" borderId="7" xfId="43" applyNumberFormat="1" applyFont="1" applyFill="1" applyBorder="1" applyAlignment="1">
      <alignment horizontal="left" vertical="top"/>
    </xf>
    <xf numFmtId="165" fontId="19" fillId="3" borderId="7" xfId="43" applyNumberFormat="1" applyFont="1" applyFill="1" applyBorder="1" applyAlignment="1">
      <alignment horizontal="right" vertical="top"/>
    </xf>
    <xf numFmtId="165" fontId="39" fillId="3" borderId="7" xfId="43" applyNumberFormat="1" applyFont="1" applyFill="1" applyBorder="1" applyAlignment="1">
      <alignment horizontal="right" vertical="top"/>
    </xf>
    <xf numFmtId="0" fontId="39" fillId="3" borderId="7" xfId="44" applyNumberFormat="1" applyFont="1" applyFill="1" applyBorder="1" applyAlignment="1">
      <alignment horizontal="left" vertical="top"/>
    </xf>
    <xf numFmtId="1" fontId="19" fillId="3" borderId="7" xfId="44" applyNumberFormat="1" applyFont="1" applyFill="1" applyBorder="1" applyAlignment="1">
      <alignment horizontal="right" vertical="top"/>
    </xf>
    <xf numFmtId="0" fontId="19" fillId="3" borderId="7" xfId="44" applyNumberFormat="1" applyFont="1" applyFill="1" applyBorder="1" applyAlignment="1">
      <alignment horizontal="left" vertical="top"/>
    </xf>
    <xf numFmtId="165" fontId="19" fillId="3" borderId="7" xfId="44" applyNumberFormat="1" applyFont="1" applyFill="1" applyBorder="1" applyAlignment="1">
      <alignment horizontal="right" vertical="top"/>
    </xf>
    <xf numFmtId="165" fontId="39" fillId="3" borderId="7" xfId="44" applyNumberFormat="1" applyFont="1" applyFill="1" applyBorder="1" applyAlignment="1">
      <alignment horizontal="right" vertical="top"/>
    </xf>
    <xf numFmtId="0" fontId="39" fillId="3" borderId="7" xfId="45" applyNumberFormat="1" applyFont="1" applyFill="1" applyBorder="1" applyAlignment="1">
      <alignment horizontal="left" vertical="top"/>
    </xf>
    <xf numFmtId="1" fontId="19" fillId="3" borderId="7" xfId="45" applyNumberFormat="1" applyFont="1" applyFill="1" applyBorder="1" applyAlignment="1">
      <alignment horizontal="right" vertical="top"/>
    </xf>
    <xf numFmtId="0" fontId="19" fillId="3" borderId="7" xfId="45" applyNumberFormat="1" applyFont="1" applyFill="1" applyBorder="1" applyAlignment="1">
      <alignment horizontal="left" vertical="top"/>
    </xf>
    <xf numFmtId="165" fontId="19" fillId="3" borderId="7" xfId="45" applyNumberFormat="1" applyFont="1" applyFill="1" applyBorder="1" applyAlignment="1">
      <alignment horizontal="right" vertical="top"/>
    </xf>
    <xf numFmtId="165" fontId="39" fillId="3" borderId="7" xfId="45" applyNumberFormat="1" applyFont="1" applyFill="1" applyBorder="1" applyAlignment="1">
      <alignment horizontal="right" vertical="top"/>
    </xf>
    <xf numFmtId="1" fontId="5" fillId="4" borderId="1" xfId="1" applyNumberFormat="1" applyFont="1" applyFill="1" applyBorder="1" applyAlignment="1">
      <alignment horizontal="center" vertical="center" wrapText="1"/>
    </xf>
  </cellXfs>
  <cellStyles count="46">
    <cellStyle name="Обычный" xfId="0" builtinId="0"/>
    <cellStyle name="Обычный 11" xfId="7" xr:uid="{00000000-0005-0000-0000-000001000000}"/>
    <cellStyle name="Обычный 2" xfId="2" xr:uid="{00000000-0005-0000-0000-000002000000}"/>
    <cellStyle name="Обычный 2 3" xfId="6" xr:uid="{00000000-0005-0000-0000-000003000000}"/>
    <cellStyle name="Обычный 3" xfId="3" xr:uid="{00000000-0005-0000-0000-000004000000}"/>
    <cellStyle name="Обычный 4" xfId="4" xr:uid="{00000000-0005-0000-0000-000005000000}"/>
    <cellStyle name="Обычный 4 2" xfId="15" xr:uid="{00000000-0005-0000-0000-000006000000}"/>
    <cellStyle name="Обычный 5" xfId="11" xr:uid="{00000000-0005-0000-0000-000007000000}"/>
    <cellStyle name="Обычный 6" xfId="12" xr:uid="{00000000-0005-0000-0000-000008000000}"/>
    <cellStyle name="Обычный 7" xfId="14" xr:uid="{00000000-0005-0000-0000-000009000000}"/>
    <cellStyle name="Обычный__ЦО" xfId="27" xr:uid="{00000000-0005-0000-0000-00000A000000}"/>
    <cellStyle name="Обычный_1С 16-29.02.24" xfId="8" xr:uid="{00000000-0005-0000-0000-00000B000000}"/>
    <cellStyle name="Обычный_1С цех" xfId="9" xr:uid="{00000000-0005-0000-0000-00000C000000}"/>
    <cellStyle name="Обычный_ВООЗ" xfId="28" xr:uid="{00000000-0005-0000-0000-00000D000000}"/>
    <cellStyle name="Обычный_ВООЗ ЕМС" xfId="23" xr:uid="{00000000-0005-0000-0000-00000E000000}"/>
    <cellStyle name="Обычный_ГАлерея 25.6" xfId="43" xr:uid="{00000000-0005-0000-0000-00000F000000}"/>
    <cellStyle name="Обычный_Глобино Мк" xfId="21" xr:uid="{00000000-0005-0000-0000-000010000000}"/>
    <cellStyle name="Обычный_ГРП" xfId="44" xr:uid="{00000000-0005-0000-0000-000011000000}"/>
    <cellStyle name="Обычный_ИТР" xfId="22" xr:uid="{00000000-0005-0000-0000-000012000000}"/>
    <cellStyle name="Обычный_Катеринополь" xfId="16" xr:uid="{00000000-0005-0000-0000-000013000000}"/>
    <cellStyle name="Обычный_Кернел" xfId="18" xr:uid="{00000000-0005-0000-0000-000014000000}"/>
    <cellStyle name="Обычный_Лист1" xfId="10" xr:uid="{00000000-0005-0000-0000-000015000000}"/>
    <cellStyle name="Обычный_Лист2" xfId="13" xr:uid="{00000000-0005-0000-0000-000016000000}"/>
    <cellStyle name="Обычный_Мк нежин" xfId="19" xr:uid="{00000000-0005-0000-0000-000017000000}"/>
    <cellStyle name="Обычный_МХП лазня" xfId="29" xr:uid="{00000000-0005-0000-0000-000018000000}"/>
    <cellStyle name="Обычный_МХП франківськ" xfId="20" xr:uid="{00000000-0005-0000-0000-000019000000}"/>
    <cellStyle name="Обычный_ООН 36" xfId="30" xr:uid="{00000000-0005-0000-0000-00001A000000}"/>
    <cellStyle name="Обычный_ООН 37" xfId="31" xr:uid="{00000000-0005-0000-0000-00001B000000}"/>
    <cellStyle name="Обычный_ООН 38" xfId="32" xr:uid="{00000000-0005-0000-0000-00001C000000}"/>
    <cellStyle name="Обычный_ООН 40" xfId="34" xr:uid="{00000000-0005-0000-0000-00001D000000}"/>
    <cellStyle name="Обычный_ООН 42" xfId="35" xr:uid="{00000000-0005-0000-0000-00001E000000}"/>
    <cellStyle name="Обычный_ООН 44" xfId="25" xr:uid="{00000000-0005-0000-0000-00001F000000}"/>
    <cellStyle name="Обычный_ООН 45" xfId="26" xr:uid="{00000000-0005-0000-0000-000020000000}"/>
    <cellStyle name="Обычный_ООН №43" xfId="24" xr:uid="{00000000-0005-0000-0000-000021000000}"/>
    <cellStyle name="Обычный_ООН39" xfId="33" xr:uid="{00000000-0005-0000-0000-000022000000}"/>
    <cellStyle name="Обычный_ООН46" xfId="36" xr:uid="{00000000-0005-0000-0000-000023000000}"/>
    <cellStyle name="Обычный_ООН47" xfId="37" xr:uid="{00000000-0005-0000-0000-000024000000}"/>
    <cellStyle name="Обычный_ООН48" xfId="38" xr:uid="{00000000-0005-0000-0000-000025000000}"/>
    <cellStyle name="Обычный_ООН49" xfId="39" xr:uid="{00000000-0005-0000-0000-000026000000}"/>
    <cellStyle name="Обычный_ООн50" xfId="40" xr:uid="{00000000-0005-0000-0000-000027000000}"/>
    <cellStyle name="Обычный_ООН51" xfId="41" xr:uid="{00000000-0005-0000-0000-000028000000}"/>
    <cellStyle name="Обычный_Парк меляси" xfId="45" xr:uid="{00000000-0005-0000-0000-000029000000}"/>
    <cellStyle name="Обычный_Табель 16-30" xfId="5" xr:uid="{00000000-0005-0000-0000-00002A000000}"/>
    <cellStyle name="Обычный_Табель МД" xfId="1" xr:uid="{00000000-0005-0000-0000-00002B000000}"/>
    <cellStyle name="Обычный_Форшахта" xfId="42" xr:uid="{00000000-0005-0000-0000-00002C000000}"/>
    <cellStyle name="Обычный_Цо" xfId="17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7;&#1055;%20%20&#1042;&#1110;&#1076;&#1086;&#1084;&#1110;&#1089;&#1090;&#1100;%20%20&#1094;&#1077;&#1093;%20&#1079;%201%20&#1087;&#1086;%2015%20&#1042;&#1077;&#1088;&#1077;&#1089;&#1077;&#1085;&#110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2"/>
      <sheetName val="Лист1"/>
      <sheetName val="Табель цех 1 по 15 вересня"/>
      <sheetName val="ИТР"/>
      <sheetName val="_ЦО"/>
      <sheetName val="IRS"/>
      <sheetName val="МХП лазня"/>
      <sheetName val="Катеринополь"/>
      <sheetName val="ООН 2025"/>
      <sheetName val="Кернел"/>
      <sheetName val="Глобино Мк"/>
      <sheetName val="ВООЗ ЕМС"/>
      <sheetName val="ООН №43"/>
      <sheetName val="ООН 44"/>
      <sheetName val="ООН 45"/>
      <sheetName val="Распределени"/>
      <sheetName val="Загальна по роботам"/>
      <sheetName val="1С Крушинка"/>
      <sheetName val="1С цех"/>
    </sheetNames>
    <sheetDataSet>
      <sheetData sheetId="0"/>
      <sheetData sheetId="1"/>
      <sheetData sheetId="2">
        <row r="1">
          <cell r="B1" t="str">
            <v>Сотрудник</v>
          </cell>
          <cell r="H1" t="str">
            <v>Сальдо на 16.09.2025</v>
          </cell>
        </row>
        <row r="2">
          <cell r="B2" t="str">
            <v>Пономаренко Віталій Вікторович</v>
          </cell>
          <cell r="H2">
            <v>29.979999999995925</v>
          </cell>
        </row>
        <row r="3">
          <cell r="B3" t="str">
            <v>Скрипник Сергій Павлович</v>
          </cell>
          <cell r="H3">
            <v>-2423.5599999999977</v>
          </cell>
        </row>
        <row r="4">
          <cell r="B4" t="str">
            <v>Багацький Вадим Геннадійович</v>
          </cell>
          <cell r="H4">
            <v>-14.75</v>
          </cell>
        </row>
        <row r="5">
          <cell r="B5" t="str">
            <v>Васильєв Віталій Юрійович</v>
          </cell>
          <cell r="H5">
            <v>2.2600000000020373</v>
          </cell>
        </row>
        <row r="6">
          <cell r="B6" t="str">
            <v>Григоренко Олександр Миколайович</v>
          </cell>
          <cell r="H6">
            <v>39.75</v>
          </cell>
        </row>
        <row r="7">
          <cell r="B7" t="str">
            <v>Григорьєв Микола Андрійович</v>
          </cell>
          <cell r="H7">
            <v>-28.739999999997963</v>
          </cell>
        </row>
        <row r="8">
          <cell r="B8" t="str">
            <v>Григор'єв Михайло Андрійович</v>
          </cell>
          <cell r="H8">
            <v>6.1700000000055297</v>
          </cell>
        </row>
        <row r="9">
          <cell r="B9" t="str">
            <v>Іванов Олексій Вікторович</v>
          </cell>
          <cell r="H9">
            <v>-18.450000000004366</v>
          </cell>
        </row>
        <row r="10">
          <cell r="B10" t="str">
            <v>Іскрицький Денис Русланович</v>
          </cell>
          <cell r="H10">
            <v>-10.240000000001601</v>
          </cell>
        </row>
        <row r="11">
          <cell r="B11" t="str">
            <v xml:space="preserve">Корнієнко Станіслав Володимирович </v>
          </cell>
          <cell r="H11">
            <v>32.540000000000873</v>
          </cell>
        </row>
        <row r="12">
          <cell r="B12" t="str">
            <v>Масливець Ігор Валерійович</v>
          </cell>
          <cell r="H12">
            <v>34.950000000004366</v>
          </cell>
        </row>
        <row r="13">
          <cell r="B13" t="str">
            <v>Скрипник Олександр Павлович</v>
          </cell>
          <cell r="H13">
            <v>-25</v>
          </cell>
        </row>
        <row r="14">
          <cell r="B14" t="str">
            <v>Паламарчук Вячеслав Володимирович</v>
          </cell>
          <cell r="H14">
            <v>-36.630000000004657</v>
          </cell>
        </row>
        <row r="15">
          <cell r="B15" t="str">
            <v>Дехтяр Владислав Олександрович</v>
          </cell>
          <cell r="H15">
            <v>-21.270000000004075</v>
          </cell>
        </row>
        <row r="16">
          <cell r="B16" t="str">
            <v>Тужиков Валерій Владиславович</v>
          </cell>
          <cell r="H16">
            <v>-40.340000000001965</v>
          </cell>
        </row>
        <row r="17">
          <cell r="B17" t="str">
            <v>Сівов Євген Миколайович</v>
          </cell>
          <cell r="H17">
            <v>37.770000000004075</v>
          </cell>
        </row>
        <row r="18">
          <cell r="B18" t="str">
            <v>Кіфор Юрій Михайлович</v>
          </cell>
          <cell r="H18">
            <v>-15.5</v>
          </cell>
        </row>
        <row r="19">
          <cell r="B19" t="str">
            <v>Петренко Микола Григорович</v>
          </cell>
          <cell r="H19">
            <v>-41.489999999997963</v>
          </cell>
        </row>
        <row r="20">
          <cell r="B20" t="str">
            <v>Рубленко Микола Іванович</v>
          </cell>
          <cell r="H20">
            <v>34.5</v>
          </cell>
        </row>
        <row r="21">
          <cell r="B21" t="str">
            <v>Серебренніков Володимир Олександрович</v>
          </cell>
          <cell r="H21">
            <v>10.520000000002256</v>
          </cell>
        </row>
        <row r="22">
          <cell r="B22" t="str">
            <v>Чешко Сергій Анатолійович</v>
          </cell>
          <cell r="H22">
            <v>-4239.3399999999965</v>
          </cell>
        </row>
        <row r="23">
          <cell r="B23" t="str">
            <v>Нерезенко Євгеній Віктоорович</v>
          </cell>
          <cell r="H23">
            <v>46</v>
          </cell>
        </row>
        <row r="24">
          <cell r="B24" t="str">
            <v>Шавкун Максим Анатолійович</v>
          </cell>
          <cell r="H24">
            <v>-2224.260000000002</v>
          </cell>
        </row>
        <row r="25">
          <cell r="B25" t="str">
            <v>Чуйко Олег Олегович</v>
          </cell>
          <cell r="H25">
            <v>-15</v>
          </cell>
        </row>
        <row r="26">
          <cell r="B26" t="str">
            <v>Салюк Дмитро Андрійович</v>
          </cell>
          <cell r="H26">
            <v>20</v>
          </cell>
        </row>
        <row r="27">
          <cell r="B27" t="str">
            <v xml:space="preserve">Маковецький Юрій Миколайович </v>
          </cell>
          <cell r="H27">
            <v>-40.179999999996653</v>
          </cell>
        </row>
        <row r="28">
          <cell r="B28" t="str">
            <v>Міненко Олександр Андрійович</v>
          </cell>
          <cell r="H28">
            <v>0</v>
          </cell>
        </row>
        <row r="29">
          <cell r="B29" t="str">
            <v>Салій Дмитро Миколайович</v>
          </cell>
          <cell r="H29">
            <v>0</v>
          </cell>
        </row>
        <row r="30">
          <cell r="B30" t="str">
            <v>Різніченко Олег Олександрович</v>
          </cell>
          <cell r="H30">
            <v>-30</v>
          </cell>
        </row>
        <row r="31">
          <cell r="B31" t="str">
            <v>Рогозовець Андрій Вікторович</v>
          </cell>
          <cell r="H31">
            <v>-15</v>
          </cell>
        </row>
        <row r="32">
          <cell r="B32" t="str">
            <v>Старков Кирило Юрійович</v>
          </cell>
          <cell r="H32">
            <v>0</v>
          </cell>
        </row>
        <row r="33">
          <cell r="B33" t="str">
            <v>Зубахін Сергій Александрович</v>
          </cell>
          <cell r="H33">
            <v>0</v>
          </cell>
        </row>
        <row r="34">
          <cell r="B34" t="str">
            <v>Корнієнко Віталій Олегович</v>
          </cell>
          <cell r="H34">
            <v>-4.8000000000029104</v>
          </cell>
        </row>
        <row r="35">
          <cell r="B35" t="str">
            <v xml:space="preserve">Щербак Петро Іванович </v>
          </cell>
          <cell r="H35">
            <v>0</v>
          </cell>
        </row>
        <row r="36">
          <cell r="B36" t="str">
            <v>Онучак Віктор Іванович</v>
          </cell>
          <cell r="H36">
            <v>15</v>
          </cell>
        </row>
        <row r="37">
          <cell r="B37" t="str">
            <v>Батрак Віктор Володимирович</v>
          </cell>
          <cell r="H37">
            <v>22.059999999995853</v>
          </cell>
        </row>
        <row r="38">
          <cell r="B38" t="str">
            <v>Бондаренко Іван Олександрович</v>
          </cell>
          <cell r="H38">
            <v>-44</v>
          </cell>
        </row>
        <row r="39">
          <cell r="B39" t="str">
            <v>Підлісний Володимир Сергійович</v>
          </cell>
          <cell r="H39">
            <v>15</v>
          </cell>
        </row>
        <row r="40">
          <cell r="B40" t="str">
            <v>Григоренко Ілля Олександрович</v>
          </cell>
          <cell r="H40">
            <v>32.010000000000218</v>
          </cell>
        </row>
        <row r="41">
          <cell r="B41" t="str">
            <v>Зінченко Дмитро Володимирович</v>
          </cell>
          <cell r="H41">
            <v>0</v>
          </cell>
        </row>
        <row r="42">
          <cell r="B42" t="str">
            <v xml:space="preserve">Гребінник Олексій Васильович </v>
          </cell>
          <cell r="H42">
            <v>0</v>
          </cell>
        </row>
        <row r="43">
          <cell r="B43" t="str">
            <v>Ізюмець Олександр Евгенович</v>
          </cell>
          <cell r="H43">
            <v>0</v>
          </cell>
        </row>
        <row r="44">
          <cell r="B44" t="str">
            <v>Маркевич Ігор Ігорьович</v>
          </cell>
          <cell r="H44">
            <v>0</v>
          </cell>
        </row>
        <row r="45">
          <cell r="B45" t="str">
            <v>Раменюк Віталій Сергійович</v>
          </cell>
          <cell r="H45">
            <v>-3.0500000000029104</v>
          </cell>
        </row>
        <row r="46">
          <cell r="B46" t="str">
            <v>Самогородський Ігор Віталійович</v>
          </cell>
          <cell r="H46">
            <v>0</v>
          </cell>
        </row>
        <row r="47">
          <cell r="B47" t="str">
            <v>Іванова Світлана Юріївна</v>
          </cell>
          <cell r="H47">
            <v>15</v>
          </cell>
        </row>
        <row r="48">
          <cell r="B48" t="str">
            <v>Ісайкіна Тетяна Іванівна</v>
          </cell>
          <cell r="H48">
            <v>-50</v>
          </cell>
        </row>
        <row r="49">
          <cell r="B49" t="str">
            <v>Деркс Сергій Анатолійович</v>
          </cell>
          <cell r="H49">
            <v>-100</v>
          </cell>
        </row>
        <row r="50">
          <cell r="B50" t="str">
            <v>Гусаков Роман Давидович</v>
          </cell>
          <cell r="H50">
            <v>-50</v>
          </cell>
        </row>
        <row r="51">
          <cell r="B51" t="str">
            <v>Гусаков Давид Давидович</v>
          </cell>
          <cell r="H51">
            <v>-50</v>
          </cell>
        </row>
        <row r="52">
          <cell r="B52" t="str">
            <v>Тужиков Артем Денисович</v>
          </cell>
          <cell r="H52">
            <v>-50</v>
          </cell>
        </row>
        <row r="53">
          <cell r="B53" t="str">
            <v>Ластовка Андрій Михайлович</v>
          </cell>
          <cell r="H53">
            <v>0</v>
          </cell>
        </row>
        <row r="54">
          <cell r="B54" t="str">
            <v>Шомін Вадим Сергійович</v>
          </cell>
          <cell r="H54">
            <v>-48.990000000001601</v>
          </cell>
        </row>
        <row r="55">
          <cell r="B55" t="str">
            <v>Дзюба Едуард Іванович</v>
          </cell>
          <cell r="H55">
            <v>19</v>
          </cell>
        </row>
        <row r="56">
          <cell r="B56" t="str">
            <v>Туркевич Дмитро Миколайович</v>
          </cell>
          <cell r="H56">
            <v>0</v>
          </cell>
        </row>
        <row r="57">
          <cell r="B57" t="str">
            <v xml:space="preserve">Петров Михайло Олександрович </v>
          </cell>
          <cell r="H57">
            <v>-25</v>
          </cell>
        </row>
        <row r="58">
          <cell r="B58" t="str">
            <v xml:space="preserve">Кобяковский Іван Олександрович </v>
          </cell>
          <cell r="H58">
            <v>0</v>
          </cell>
        </row>
        <row r="59">
          <cell r="B59" t="str">
            <v>Авжабаров Олексій Володимирович</v>
          </cell>
          <cell r="H59">
            <v>-50</v>
          </cell>
        </row>
        <row r="60">
          <cell r="B60" t="str">
            <v>Дубовий Роман Анатолійович</v>
          </cell>
          <cell r="H60">
            <v>-50</v>
          </cell>
        </row>
        <row r="61">
          <cell r="B61" t="str">
            <v>Кузнецов Олексій Вікторович</v>
          </cell>
          <cell r="H61">
            <v>0</v>
          </cell>
        </row>
        <row r="62">
          <cell r="B62" t="str">
            <v xml:space="preserve">Чернобров Олександр Миколайович </v>
          </cell>
          <cell r="H62">
            <v>0</v>
          </cell>
        </row>
        <row r="63">
          <cell r="B63" t="str">
            <v>Ткаченко Сергій Володимирович</v>
          </cell>
          <cell r="H63">
            <v>0</v>
          </cell>
        </row>
        <row r="64">
          <cell r="B64" t="str">
            <v>Ніколаєнко Олександр Сергійович</v>
          </cell>
          <cell r="H64">
            <v>0</v>
          </cell>
        </row>
        <row r="65">
          <cell r="B65" t="str">
            <v>Циба Василь Олександрович</v>
          </cell>
          <cell r="H65">
            <v>0</v>
          </cell>
        </row>
        <row r="69">
          <cell r="H69">
            <v>-9353.0800000000017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2" filterMode="1"/>
  <dimension ref="A1:I250"/>
  <sheetViews>
    <sheetView workbookViewId="0">
      <selection activeCell="D122" sqref="D122"/>
    </sheetView>
  </sheetViews>
  <sheetFormatPr defaultRowHeight="15" x14ac:dyDescent="0.25"/>
  <cols>
    <col min="3" max="3" width="36.42578125" bestFit="1" customWidth="1"/>
    <col min="4" max="4" width="10.140625" bestFit="1" customWidth="1"/>
    <col min="5" max="5" width="37.5703125" bestFit="1" customWidth="1"/>
  </cols>
  <sheetData>
    <row r="1" spans="1:9" x14ac:dyDescent="0.25">
      <c r="A1" s="138"/>
      <c r="B1" s="138" t="s">
        <v>118</v>
      </c>
      <c r="C1" s="138" t="s">
        <v>119</v>
      </c>
      <c r="D1" s="138" t="s">
        <v>120</v>
      </c>
      <c r="E1" s="138" t="s">
        <v>121</v>
      </c>
      <c r="F1" s="138" t="s">
        <v>122</v>
      </c>
      <c r="G1" s="138" t="s">
        <v>123</v>
      </c>
      <c r="H1" s="138" t="s">
        <v>124</v>
      </c>
      <c r="I1" s="138" t="s">
        <v>125</v>
      </c>
    </row>
    <row r="2" spans="1:9" hidden="1" x14ac:dyDescent="0.25">
      <c r="A2" s="139"/>
      <c r="B2" s="140">
        <v>1</v>
      </c>
      <c r="C2" s="139" t="s">
        <v>126</v>
      </c>
      <c r="D2" s="139"/>
      <c r="E2" s="139"/>
      <c r="F2" s="139"/>
      <c r="G2" s="139"/>
      <c r="H2" s="139"/>
      <c r="I2" s="139"/>
    </row>
    <row r="3" spans="1:9" hidden="1" x14ac:dyDescent="0.25">
      <c r="A3" s="139"/>
      <c r="B3" s="139" t="s">
        <v>127</v>
      </c>
      <c r="C3" s="139" t="s">
        <v>128</v>
      </c>
      <c r="D3" s="141">
        <v>3244112838</v>
      </c>
      <c r="E3" s="139" t="s">
        <v>129</v>
      </c>
      <c r="F3" s="139"/>
      <c r="G3" s="139"/>
      <c r="H3" s="139"/>
      <c r="I3" s="139"/>
    </row>
    <row r="4" spans="1:9" hidden="1" x14ac:dyDescent="0.25">
      <c r="A4" s="139"/>
      <c r="B4" s="139" t="s">
        <v>130</v>
      </c>
      <c r="C4" s="139" t="s">
        <v>131</v>
      </c>
      <c r="D4" s="141">
        <v>2890614789</v>
      </c>
      <c r="E4" s="139" t="s">
        <v>129</v>
      </c>
      <c r="F4" s="139"/>
      <c r="G4" s="139"/>
      <c r="H4" s="139"/>
      <c r="I4" s="139"/>
    </row>
    <row r="5" spans="1:9" hidden="1" x14ac:dyDescent="0.25">
      <c r="A5" s="139"/>
      <c r="B5" s="139" t="s">
        <v>132</v>
      </c>
      <c r="C5" s="139" t="s">
        <v>133</v>
      </c>
      <c r="D5" s="141">
        <v>2751711415</v>
      </c>
      <c r="E5" s="139" t="s">
        <v>129</v>
      </c>
      <c r="F5" s="139"/>
      <c r="G5" s="139"/>
      <c r="H5" s="139"/>
      <c r="I5" s="139"/>
    </row>
    <row r="6" spans="1:9" hidden="1" x14ac:dyDescent="0.25">
      <c r="A6" s="139"/>
      <c r="B6" s="139" t="s">
        <v>134</v>
      </c>
      <c r="C6" s="139" t="s">
        <v>135</v>
      </c>
      <c r="D6" s="141">
        <v>3382914593</v>
      </c>
      <c r="E6" s="139" t="s">
        <v>129</v>
      </c>
      <c r="F6" s="139"/>
      <c r="G6" s="139"/>
      <c r="H6" s="139"/>
      <c r="I6" s="139"/>
    </row>
    <row r="7" spans="1:9" hidden="1" x14ac:dyDescent="0.25">
      <c r="A7" s="139"/>
      <c r="B7" s="139" t="s">
        <v>136</v>
      </c>
      <c r="C7" s="139" t="s">
        <v>137</v>
      </c>
      <c r="D7" s="141">
        <v>3382914593</v>
      </c>
      <c r="E7" s="139" t="s">
        <v>129</v>
      </c>
      <c r="F7" s="139"/>
      <c r="G7" s="139"/>
      <c r="H7" s="139"/>
      <c r="I7" s="139"/>
    </row>
    <row r="8" spans="1:9" hidden="1" x14ac:dyDescent="0.25">
      <c r="A8" s="139"/>
      <c r="B8" s="139" t="s">
        <v>138</v>
      </c>
      <c r="C8" s="139" t="s">
        <v>139</v>
      </c>
      <c r="D8" s="141">
        <v>2711822114</v>
      </c>
      <c r="E8" s="139" t="s">
        <v>129</v>
      </c>
      <c r="F8" s="139"/>
      <c r="G8" s="139"/>
      <c r="H8" s="139"/>
      <c r="I8" s="139"/>
    </row>
    <row r="9" spans="1:9" hidden="1" x14ac:dyDescent="0.25">
      <c r="A9" s="139"/>
      <c r="B9" s="139" t="s">
        <v>140</v>
      </c>
      <c r="C9" s="139" t="s">
        <v>141</v>
      </c>
      <c r="D9" s="141">
        <v>3281710375</v>
      </c>
      <c r="E9" s="139" t="s">
        <v>129</v>
      </c>
      <c r="F9" s="139"/>
      <c r="G9" s="139"/>
      <c r="H9" s="139"/>
      <c r="I9" s="139"/>
    </row>
    <row r="10" spans="1:9" hidden="1" x14ac:dyDescent="0.25">
      <c r="A10" s="139"/>
      <c r="B10" s="139" t="s">
        <v>142</v>
      </c>
      <c r="C10" s="139" t="s">
        <v>143</v>
      </c>
      <c r="D10" s="141">
        <v>2866215672</v>
      </c>
      <c r="E10" s="139" t="s">
        <v>129</v>
      </c>
      <c r="F10" s="139"/>
      <c r="G10" s="139"/>
      <c r="H10" s="139"/>
      <c r="I10" s="139"/>
    </row>
    <row r="11" spans="1:9" hidden="1" x14ac:dyDescent="0.25">
      <c r="A11" s="139"/>
      <c r="B11" s="139" t="s">
        <v>144</v>
      </c>
      <c r="C11" s="139" t="s">
        <v>145</v>
      </c>
      <c r="D11" s="141">
        <v>3575508457</v>
      </c>
      <c r="E11" s="139" t="s">
        <v>129</v>
      </c>
      <c r="F11" s="139"/>
      <c r="G11" s="139"/>
      <c r="H11" s="139"/>
      <c r="I11" s="139"/>
    </row>
    <row r="12" spans="1:9" hidden="1" x14ac:dyDescent="0.25">
      <c r="A12" s="139"/>
      <c r="B12" s="139" t="s">
        <v>146</v>
      </c>
      <c r="C12" s="139" t="s">
        <v>147</v>
      </c>
      <c r="D12" s="141">
        <v>3306506991</v>
      </c>
      <c r="E12" s="139" t="s">
        <v>129</v>
      </c>
      <c r="F12" s="139"/>
      <c r="G12" s="139"/>
      <c r="H12" s="139"/>
      <c r="I12" s="139"/>
    </row>
    <row r="13" spans="1:9" hidden="1" x14ac:dyDescent="0.25">
      <c r="A13" s="139"/>
      <c r="B13" s="139" t="s">
        <v>148</v>
      </c>
      <c r="C13" s="139" t="s">
        <v>149</v>
      </c>
      <c r="D13" s="141">
        <v>2899410750</v>
      </c>
      <c r="E13" s="139" t="s">
        <v>129</v>
      </c>
      <c r="F13" s="139"/>
      <c r="G13" s="139"/>
      <c r="H13" s="139"/>
      <c r="I13" s="139"/>
    </row>
    <row r="14" spans="1:9" hidden="1" x14ac:dyDescent="0.25">
      <c r="A14" s="139"/>
      <c r="B14" s="139" t="s">
        <v>150</v>
      </c>
      <c r="C14" s="139" t="s">
        <v>151</v>
      </c>
      <c r="D14" s="141">
        <v>3194113635</v>
      </c>
      <c r="E14" s="139" t="s">
        <v>129</v>
      </c>
      <c r="F14" s="139"/>
      <c r="G14" s="139"/>
      <c r="H14" s="139"/>
      <c r="I14" s="139"/>
    </row>
    <row r="15" spans="1:9" hidden="1" x14ac:dyDescent="0.25">
      <c r="A15" s="139"/>
      <c r="B15" s="139" t="s">
        <v>152</v>
      </c>
      <c r="C15" s="139" t="s">
        <v>153</v>
      </c>
      <c r="D15" s="141">
        <v>2234022693</v>
      </c>
      <c r="E15" s="139" t="s">
        <v>129</v>
      </c>
      <c r="F15" s="139"/>
      <c r="G15" s="139"/>
      <c r="H15" s="139"/>
      <c r="I15" s="139"/>
    </row>
    <row r="16" spans="1:9" hidden="1" x14ac:dyDescent="0.25">
      <c r="A16" s="139"/>
      <c r="B16" s="140">
        <v>23</v>
      </c>
      <c r="C16" s="139" t="s">
        <v>154</v>
      </c>
      <c r="D16" s="141">
        <v>3153900053</v>
      </c>
      <c r="E16" s="139" t="s">
        <v>155</v>
      </c>
      <c r="F16" s="139" t="s">
        <v>156</v>
      </c>
      <c r="G16" s="139" t="s">
        <v>157</v>
      </c>
      <c r="H16" s="139" t="s">
        <v>158</v>
      </c>
      <c r="I16" s="139" t="s">
        <v>159</v>
      </c>
    </row>
    <row r="17" spans="1:9" hidden="1" x14ac:dyDescent="0.25">
      <c r="A17" s="139"/>
      <c r="B17" s="140">
        <v>4</v>
      </c>
      <c r="C17" s="139" t="s">
        <v>104</v>
      </c>
      <c r="D17" s="141">
        <v>3457309598</v>
      </c>
      <c r="E17" s="139" t="s">
        <v>155</v>
      </c>
      <c r="F17" s="139" t="s">
        <v>156</v>
      </c>
      <c r="G17" s="139" t="s">
        <v>160</v>
      </c>
      <c r="H17" s="139" t="s">
        <v>161</v>
      </c>
      <c r="I17" s="139" t="s">
        <v>162</v>
      </c>
    </row>
    <row r="18" spans="1:9" hidden="1" x14ac:dyDescent="0.25">
      <c r="A18" s="139"/>
      <c r="B18" s="139" t="s">
        <v>134</v>
      </c>
      <c r="C18" s="139" t="s">
        <v>163</v>
      </c>
      <c r="D18" s="141">
        <v>3457309598</v>
      </c>
      <c r="E18" s="139" t="s">
        <v>129</v>
      </c>
      <c r="F18" s="139"/>
      <c r="G18" s="139"/>
      <c r="H18" s="139"/>
      <c r="I18" s="139"/>
    </row>
    <row r="19" spans="1:9" hidden="1" x14ac:dyDescent="0.25">
      <c r="A19" s="139"/>
      <c r="B19" s="140">
        <v>48</v>
      </c>
      <c r="C19" s="139" t="s">
        <v>164</v>
      </c>
      <c r="D19" s="141">
        <v>2618119132</v>
      </c>
      <c r="E19" s="139" t="s">
        <v>155</v>
      </c>
      <c r="F19" s="139" t="s">
        <v>156</v>
      </c>
      <c r="G19" s="139" t="s">
        <v>160</v>
      </c>
      <c r="H19" s="139" t="s">
        <v>165</v>
      </c>
      <c r="I19" s="139" t="s">
        <v>166</v>
      </c>
    </row>
    <row r="20" spans="1:9" hidden="1" x14ac:dyDescent="0.25">
      <c r="A20" s="139"/>
      <c r="B20" s="140">
        <v>203</v>
      </c>
      <c r="C20" s="139" t="s">
        <v>167</v>
      </c>
      <c r="D20" s="141">
        <v>2765913876</v>
      </c>
      <c r="E20" s="139" t="s">
        <v>155</v>
      </c>
      <c r="F20" s="139" t="s">
        <v>156</v>
      </c>
      <c r="G20" s="139" t="s">
        <v>160</v>
      </c>
      <c r="H20" s="139" t="s">
        <v>168</v>
      </c>
      <c r="I20" s="139" t="s">
        <v>169</v>
      </c>
    </row>
    <row r="21" spans="1:9" hidden="1" x14ac:dyDescent="0.25">
      <c r="A21" s="139"/>
      <c r="B21" s="140">
        <v>156</v>
      </c>
      <c r="C21" s="139" t="s">
        <v>170</v>
      </c>
      <c r="D21" s="141">
        <v>2693717247</v>
      </c>
      <c r="E21" s="139" t="s">
        <v>155</v>
      </c>
      <c r="F21" s="139" t="s">
        <v>156</v>
      </c>
      <c r="G21" s="139" t="s">
        <v>160</v>
      </c>
      <c r="H21" s="139" t="s">
        <v>171</v>
      </c>
      <c r="I21" s="139" t="s">
        <v>172</v>
      </c>
    </row>
    <row r="22" spans="1:9" hidden="1" x14ac:dyDescent="0.25">
      <c r="A22" s="139"/>
      <c r="B22" s="141">
        <v>2289516770</v>
      </c>
      <c r="C22" s="139" t="s">
        <v>173</v>
      </c>
      <c r="D22" s="141">
        <v>2894801342</v>
      </c>
      <c r="E22" s="139" t="s">
        <v>155</v>
      </c>
      <c r="F22" s="139" t="s">
        <v>156</v>
      </c>
      <c r="G22" s="139" t="s">
        <v>160</v>
      </c>
      <c r="H22" s="139" t="s">
        <v>174</v>
      </c>
      <c r="I22" s="139" t="s">
        <v>175</v>
      </c>
    </row>
    <row r="23" spans="1:9" hidden="1" x14ac:dyDescent="0.25">
      <c r="A23" s="139"/>
      <c r="B23" s="140">
        <v>16</v>
      </c>
      <c r="C23" s="139" t="s">
        <v>176</v>
      </c>
      <c r="D23" s="141">
        <v>2894801342</v>
      </c>
      <c r="E23" s="139" t="s">
        <v>155</v>
      </c>
      <c r="F23" s="139" t="s">
        <v>177</v>
      </c>
      <c r="G23" s="139" t="s">
        <v>160</v>
      </c>
      <c r="H23" s="139" t="s">
        <v>174</v>
      </c>
      <c r="I23" s="139" t="s">
        <v>178</v>
      </c>
    </row>
    <row r="24" spans="1:9" hidden="1" x14ac:dyDescent="0.25">
      <c r="A24" s="139"/>
      <c r="B24" s="140">
        <v>17</v>
      </c>
      <c r="C24" s="139" t="s">
        <v>179</v>
      </c>
      <c r="D24" s="141">
        <v>3036417408</v>
      </c>
      <c r="E24" s="139" t="s">
        <v>155</v>
      </c>
      <c r="F24" s="139" t="s">
        <v>177</v>
      </c>
      <c r="G24" s="139" t="s">
        <v>160</v>
      </c>
      <c r="H24" s="139" t="s">
        <v>180</v>
      </c>
      <c r="I24" s="139" t="s">
        <v>181</v>
      </c>
    </row>
    <row r="25" spans="1:9" hidden="1" x14ac:dyDescent="0.25">
      <c r="A25" s="139"/>
      <c r="B25" s="141">
        <v>2289516882</v>
      </c>
      <c r="C25" s="139" t="s">
        <v>182</v>
      </c>
      <c r="D25" s="141">
        <v>3036417408</v>
      </c>
      <c r="E25" s="139" t="s">
        <v>155</v>
      </c>
      <c r="F25" s="139" t="s">
        <v>156</v>
      </c>
      <c r="G25" s="139" t="s">
        <v>160</v>
      </c>
      <c r="H25" s="139" t="s">
        <v>180</v>
      </c>
      <c r="I25" s="139" t="s">
        <v>183</v>
      </c>
    </row>
    <row r="26" spans="1:9" hidden="1" x14ac:dyDescent="0.25">
      <c r="A26" s="139"/>
      <c r="B26" s="141">
        <v>2289516833</v>
      </c>
      <c r="C26" s="139" t="s">
        <v>184</v>
      </c>
      <c r="D26" s="141">
        <v>2358421934</v>
      </c>
      <c r="E26" s="139" t="s">
        <v>155</v>
      </c>
      <c r="F26" s="139" t="s">
        <v>156</v>
      </c>
      <c r="G26" s="139" t="s">
        <v>185</v>
      </c>
      <c r="H26" s="139" t="s">
        <v>186</v>
      </c>
      <c r="I26" s="139" t="s">
        <v>187</v>
      </c>
    </row>
    <row r="27" spans="1:9" hidden="1" x14ac:dyDescent="0.25">
      <c r="A27" s="139"/>
      <c r="B27" s="140">
        <v>37</v>
      </c>
      <c r="C27" s="139" t="s">
        <v>188</v>
      </c>
      <c r="D27" s="141">
        <v>2564424513</v>
      </c>
      <c r="E27" s="139" t="s">
        <v>155</v>
      </c>
      <c r="F27" s="139" t="s">
        <v>156</v>
      </c>
      <c r="G27" s="139" t="s">
        <v>157</v>
      </c>
      <c r="H27" s="139" t="s">
        <v>189</v>
      </c>
      <c r="I27" s="139" t="s">
        <v>190</v>
      </c>
    </row>
    <row r="28" spans="1:9" hidden="1" x14ac:dyDescent="0.25">
      <c r="A28" s="139"/>
      <c r="B28" s="140">
        <v>11</v>
      </c>
      <c r="C28" s="139" t="s">
        <v>191</v>
      </c>
      <c r="D28" s="141">
        <v>3247506159</v>
      </c>
      <c r="E28" s="139" t="s">
        <v>155</v>
      </c>
      <c r="F28" s="139" t="s">
        <v>156</v>
      </c>
      <c r="G28" s="139" t="s">
        <v>157</v>
      </c>
      <c r="H28" s="139" t="s">
        <v>192</v>
      </c>
      <c r="I28" s="139" t="s">
        <v>193</v>
      </c>
    </row>
    <row r="29" spans="1:9" hidden="1" x14ac:dyDescent="0.25">
      <c r="A29" s="139"/>
      <c r="B29" s="141">
        <v>2289516701</v>
      </c>
      <c r="C29" s="139" t="s">
        <v>194</v>
      </c>
      <c r="D29" s="141">
        <v>3358009052</v>
      </c>
      <c r="E29" s="139" t="s">
        <v>155</v>
      </c>
      <c r="F29" s="139" t="s">
        <v>156</v>
      </c>
      <c r="G29" s="139" t="s">
        <v>195</v>
      </c>
      <c r="H29" s="139" t="s">
        <v>196</v>
      </c>
      <c r="I29" s="139" t="s">
        <v>197</v>
      </c>
    </row>
    <row r="30" spans="1:9" hidden="1" x14ac:dyDescent="0.25">
      <c r="A30" s="139"/>
      <c r="B30" s="140">
        <v>62</v>
      </c>
      <c r="C30" s="139" t="s">
        <v>198</v>
      </c>
      <c r="D30" s="141">
        <v>3421002151</v>
      </c>
      <c r="E30" s="139" t="s">
        <v>155</v>
      </c>
      <c r="F30" s="139" t="s">
        <v>156</v>
      </c>
      <c r="G30" s="139" t="s">
        <v>199</v>
      </c>
      <c r="H30" s="139" t="s">
        <v>200</v>
      </c>
      <c r="I30" s="139" t="s">
        <v>201</v>
      </c>
    </row>
    <row r="31" spans="1:9" hidden="1" x14ac:dyDescent="0.25">
      <c r="A31" s="139"/>
      <c r="B31" s="139" t="s">
        <v>202</v>
      </c>
      <c r="C31" s="139" t="s">
        <v>203</v>
      </c>
      <c r="D31" s="141">
        <v>2922419813</v>
      </c>
      <c r="E31" s="139" t="s">
        <v>129</v>
      </c>
      <c r="F31" s="139"/>
      <c r="G31" s="139"/>
      <c r="H31" s="139"/>
      <c r="I31" s="139"/>
    </row>
    <row r="32" spans="1:9" hidden="1" x14ac:dyDescent="0.25">
      <c r="A32" s="139"/>
      <c r="B32" s="141">
        <v>2289516746</v>
      </c>
      <c r="C32" s="139" t="s">
        <v>204</v>
      </c>
      <c r="D32" s="141">
        <v>2919308010</v>
      </c>
      <c r="E32" s="139" t="s">
        <v>155</v>
      </c>
      <c r="F32" s="139" t="s">
        <v>156</v>
      </c>
      <c r="G32" s="139" t="s">
        <v>199</v>
      </c>
      <c r="H32" s="139" t="s">
        <v>205</v>
      </c>
      <c r="I32" s="139" t="s">
        <v>206</v>
      </c>
    </row>
    <row r="33" spans="1:9" hidden="1" x14ac:dyDescent="0.25">
      <c r="A33" s="139"/>
      <c r="B33" s="141">
        <v>2289516849</v>
      </c>
      <c r="C33" s="139" t="s">
        <v>207</v>
      </c>
      <c r="D33" s="141">
        <v>3036408418</v>
      </c>
      <c r="E33" s="139" t="s">
        <v>155</v>
      </c>
      <c r="F33" s="139" t="s">
        <v>156</v>
      </c>
      <c r="G33" s="139" t="s">
        <v>160</v>
      </c>
      <c r="H33" s="139" t="s">
        <v>208</v>
      </c>
      <c r="I33" s="139" t="s">
        <v>209</v>
      </c>
    </row>
    <row r="34" spans="1:9" hidden="1" x14ac:dyDescent="0.25">
      <c r="A34" s="139"/>
      <c r="B34" s="140">
        <v>19</v>
      </c>
      <c r="C34" s="139" t="s">
        <v>210</v>
      </c>
      <c r="D34" s="141">
        <v>3813305164</v>
      </c>
      <c r="E34" s="139" t="s">
        <v>155</v>
      </c>
      <c r="F34" s="139" t="s">
        <v>156</v>
      </c>
      <c r="G34" s="139" t="s">
        <v>211</v>
      </c>
      <c r="H34" s="139" t="s">
        <v>212</v>
      </c>
      <c r="I34" s="139" t="s">
        <v>213</v>
      </c>
    </row>
    <row r="35" spans="1:9" hidden="1" x14ac:dyDescent="0.25">
      <c r="A35" s="139"/>
      <c r="B35" s="141">
        <v>2289516863</v>
      </c>
      <c r="C35" s="139" t="s">
        <v>214</v>
      </c>
      <c r="D35" s="141">
        <v>2753702532</v>
      </c>
      <c r="E35" s="139" t="s">
        <v>155</v>
      </c>
      <c r="F35" s="139" t="s">
        <v>156</v>
      </c>
      <c r="G35" s="139" t="s">
        <v>215</v>
      </c>
      <c r="H35" s="139" t="s">
        <v>196</v>
      </c>
      <c r="I35" s="139" t="s">
        <v>216</v>
      </c>
    </row>
    <row r="36" spans="1:9" hidden="1" x14ac:dyDescent="0.25">
      <c r="A36" s="139"/>
      <c r="B36" s="140">
        <v>46</v>
      </c>
      <c r="C36" s="139" t="s">
        <v>217</v>
      </c>
      <c r="D36" s="141">
        <v>3018718189</v>
      </c>
      <c r="E36" s="139" t="s">
        <v>155</v>
      </c>
      <c r="F36" s="139" t="s">
        <v>156</v>
      </c>
      <c r="G36" s="139" t="s">
        <v>160</v>
      </c>
      <c r="H36" s="139" t="s">
        <v>165</v>
      </c>
      <c r="I36" s="139" t="s">
        <v>218</v>
      </c>
    </row>
    <row r="37" spans="1:9" hidden="1" x14ac:dyDescent="0.25">
      <c r="A37" s="139"/>
      <c r="B37" s="140">
        <v>157</v>
      </c>
      <c r="C37" s="139" t="s">
        <v>219</v>
      </c>
      <c r="D37" s="141">
        <v>2794610037</v>
      </c>
      <c r="E37" s="139" t="s">
        <v>155</v>
      </c>
      <c r="F37" s="139" t="s">
        <v>156</v>
      </c>
      <c r="G37" s="139" t="s">
        <v>199</v>
      </c>
      <c r="H37" s="139" t="s">
        <v>220</v>
      </c>
      <c r="I37" s="139" t="s">
        <v>221</v>
      </c>
    </row>
    <row r="38" spans="1:9" hidden="1" x14ac:dyDescent="0.25">
      <c r="A38" s="139"/>
      <c r="B38" s="140">
        <v>71</v>
      </c>
      <c r="C38" s="139" t="s">
        <v>222</v>
      </c>
      <c r="D38" s="141">
        <v>3280710149</v>
      </c>
      <c r="E38" s="139" t="s">
        <v>155</v>
      </c>
      <c r="F38" s="139" t="s">
        <v>156</v>
      </c>
      <c r="G38" s="139" t="s">
        <v>160</v>
      </c>
      <c r="H38" s="139" t="s">
        <v>223</v>
      </c>
      <c r="I38" s="139" t="s">
        <v>224</v>
      </c>
    </row>
    <row r="39" spans="1:9" hidden="1" x14ac:dyDescent="0.25">
      <c r="A39" s="139"/>
      <c r="B39" s="141">
        <v>2289516756</v>
      </c>
      <c r="C39" s="139" t="s">
        <v>225</v>
      </c>
      <c r="D39" s="141">
        <v>2957816213</v>
      </c>
      <c r="E39" s="139" t="s">
        <v>155</v>
      </c>
      <c r="F39" s="139" t="s">
        <v>156</v>
      </c>
      <c r="G39" s="139" t="s">
        <v>215</v>
      </c>
      <c r="H39" s="139" t="s">
        <v>220</v>
      </c>
      <c r="I39" s="139" t="s">
        <v>226</v>
      </c>
    </row>
    <row r="40" spans="1:9" hidden="1" x14ac:dyDescent="0.25">
      <c r="A40" s="139"/>
      <c r="B40" s="140">
        <v>49</v>
      </c>
      <c r="C40" s="139" t="s">
        <v>227</v>
      </c>
      <c r="D40" s="141">
        <v>3143007035</v>
      </c>
      <c r="E40" s="139" t="s">
        <v>155</v>
      </c>
      <c r="F40" s="139" t="s">
        <v>156</v>
      </c>
      <c r="G40" s="139" t="s">
        <v>160</v>
      </c>
      <c r="H40" s="139" t="s">
        <v>228</v>
      </c>
      <c r="I40" s="139" t="s">
        <v>229</v>
      </c>
    </row>
    <row r="41" spans="1:9" hidden="1" x14ac:dyDescent="0.25">
      <c r="A41" s="139"/>
      <c r="B41" s="141">
        <v>2289516819</v>
      </c>
      <c r="C41" s="139" t="s">
        <v>230</v>
      </c>
      <c r="D41" s="141">
        <v>3834606498</v>
      </c>
      <c r="E41" s="139" t="s">
        <v>155</v>
      </c>
      <c r="F41" s="139" t="s">
        <v>156</v>
      </c>
      <c r="G41" s="139" t="s">
        <v>215</v>
      </c>
      <c r="H41" s="139" t="s">
        <v>231</v>
      </c>
      <c r="I41" s="139" t="s">
        <v>232</v>
      </c>
    </row>
    <row r="42" spans="1:9" hidden="1" x14ac:dyDescent="0.25">
      <c r="A42" s="139"/>
      <c r="B42" s="141">
        <v>2289516804</v>
      </c>
      <c r="C42" s="139" t="s">
        <v>233</v>
      </c>
      <c r="D42" s="141">
        <v>2857318359</v>
      </c>
      <c r="E42" s="139" t="s">
        <v>155</v>
      </c>
      <c r="F42" s="139" t="s">
        <v>156</v>
      </c>
      <c r="G42" s="139" t="s">
        <v>215</v>
      </c>
      <c r="H42" s="139" t="s">
        <v>231</v>
      </c>
      <c r="I42" s="139" t="s">
        <v>234</v>
      </c>
    </row>
    <row r="43" spans="1:9" hidden="1" x14ac:dyDescent="0.25">
      <c r="A43" s="139"/>
      <c r="B43" s="140">
        <v>217</v>
      </c>
      <c r="C43" s="139" t="s">
        <v>235</v>
      </c>
      <c r="D43" s="141">
        <v>3000412772</v>
      </c>
      <c r="E43" s="139" t="s">
        <v>155</v>
      </c>
      <c r="F43" s="139" t="s">
        <v>156</v>
      </c>
      <c r="G43" s="139" t="s">
        <v>199</v>
      </c>
      <c r="H43" s="139" t="s">
        <v>196</v>
      </c>
      <c r="I43" s="139" t="s">
        <v>236</v>
      </c>
    </row>
    <row r="44" spans="1:9" hidden="1" x14ac:dyDescent="0.25">
      <c r="A44" s="139"/>
      <c r="B44" s="140">
        <v>3</v>
      </c>
      <c r="C44" s="139" t="s">
        <v>237</v>
      </c>
      <c r="D44" s="141">
        <v>3552110973</v>
      </c>
      <c r="E44" s="139" t="s">
        <v>155</v>
      </c>
      <c r="F44" s="139" t="s">
        <v>156</v>
      </c>
      <c r="G44" s="139" t="s">
        <v>160</v>
      </c>
      <c r="H44" s="139" t="s">
        <v>208</v>
      </c>
      <c r="I44" s="139" t="s">
        <v>162</v>
      </c>
    </row>
    <row r="45" spans="1:9" hidden="1" x14ac:dyDescent="0.25">
      <c r="A45" s="139"/>
      <c r="B45" s="141">
        <v>2289516774</v>
      </c>
      <c r="C45" s="139" t="s">
        <v>238</v>
      </c>
      <c r="D45" s="141">
        <v>3552110973</v>
      </c>
      <c r="E45" s="139" t="s">
        <v>155</v>
      </c>
      <c r="F45" s="139" t="s">
        <v>177</v>
      </c>
      <c r="G45" s="139" t="s">
        <v>160</v>
      </c>
      <c r="H45" s="139" t="s">
        <v>239</v>
      </c>
      <c r="I45" s="139" t="s">
        <v>240</v>
      </c>
    </row>
    <row r="46" spans="1:9" hidden="1" x14ac:dyDescent="0.25">
      <c r="A46" s="139"/>
      <c r="B46" s="141">
        <v>2289516864</v>
      </c>
      <c r="C46" s="139" t="s">
        <v>241</v>
      </c>
      <c r="D46" s="141">
        <v>2888011632</v>
      </c>
      <c r="E46" s="139" t="s">
        <v>155</v>
      </c>
      <c r="F46" s="139" t="s">
        <v>156</v>
      </c>
      <c r="G46" s="139" t="s">
        <v>242</v>
      </c>
      <c r="H46" s="139" t="s">
        <v>243</v>
      </c>
      <c r="I46" s="139" t="s">
        <v>244</v>
      </c>
    </row>
    <row r="47" spans="1:9" hidden="1" x14ac:dyDescent="0.25">
      <c r="A47" s="139"/>
      <c r="B47" s="140">
        <v>51</v>
      </c>
      <c r="C47" s="139" t="s">
        <v>245</v>
      </c>
      <c r="D47" s="141">
        <v>3746304158</v>
      </c>
      <c r="E47" s="139" t="s">
        <v>155</v>
      </c>
      <c r="F47" s="139" t="s">
        <v>156</v>
      </c>
      <c r="G47" s="139" t="s">
        <v>157</v>
      </c>
      <c r="H47" s="139" t="s">
        <v>246</v>
      </c>
      <c r="I47" s="139" t="s">
        <v>247</v>
      </c>
    </row>
    <row r="48" spans="1:9" hidden="1" x14ac:dyDescent="0.25">
      <c r="A48" s="139"/>
      <c r="B48" s="141">
        <v>2289516860</v>
      </c>
      <c r="C48" s="139" t="s">
        <v>248</v>
      </c>
      <c r="D48" s="141">
        <v>2671913196</v>
      </c>
      <c r="E48" s="139" t="s">
        <v>155</v>
      </c>
      <c r="F48" s="139" t="s">
        <v>156</v>
      </c>
      <c r="G48" s="139" t="s">
        <v>215</v>
      </c>
      <c r="H48" s="139" t="s">
        <v>243</v>
      </c>
      <c r="I48" s="139" t="s">
        <v>249</v>
      </c>
    </row>
    <row r="49" spans="1:9" hidden="1" x14ac:dyDescent="0.25">
      <c r="A49" s="139"/>
      <c r="B49" s="140">
        <v>8</v>
      </c>
      <c r="C49" s="139" t="s">
        <v>250</v>
      </c>
      <c r="D49" s="141">
        <v>3165400965</v>
      </c>
      <c r="E49" s="139" t="s">
        <v>155</v>
      </c>
      <c r="F49" s="139" t="s">
        <v>156</v>
      </c>
      <c r="G49" s="139" t="s">
        <v>160</v>
      </c>
      <c r="H49" s="139" t="s">
        <v>180</v>
      </c>
      <c r="I49" s="139" t="s">
        <v>251</v>
      </c>
    </row>
    <row r="50" spans="1:9" hidden="1" x14ac:dyDescent="0.25">
      <c r="A50" s="139"/>
      <c r="B50" s="141">
        <v>2289516714</v>
      </c>
      <c r="C50" s="139" t="s">
        <v>252</v>
      </c>
      <c r="D50" s="141">
        <v>3352110459</v>
      </c>
      <c r="E50" s="139" t="s">
        <v>155</v>
      </c>
      <c r="F50" s="139" t="s">
        <v>156</v>
      </c>
      <c r="G50" s="139" t="s">
        <v>253</v>
      </c>
      <c r="H50" s="139" t="s">
        <v>192</v>
      </c>
      <c r="I50" s="139" t="s">
        <v>254</v>
      </c>
    </row>
    <row r="51" spans="1:9" hidden="1" x14ac:dyDescent="0.25">
      <c r="A51" s="139"/>
      <c r="B51" s="140">
        <v>44</v>
      </c>
      <c r="C51" s="139" t="s">
        <v>255</v>
      </c>
      <c r="D51" s="141">
        <v>2831710277</v>
      </c>
      <c r="E51" s="139" t="s">
        <v>155</v>
      </c>
      <c r="F51" s="139" t="s">
        <v>156</v>
      </c>
      <c r="G51" s="139" t="s">
        <v>157</v>
      </c>
      <c r="H51" s="139" t="s">
        <v>189</v>
      </c>
      <c r="I51" s="139" t="s">
        <v>190</v>
      </c>
    </row>
    <row r="52" spans="1:9" hidden="1" x14ac:dyDescent="0.25">
      <c r="A52" s="139"/>
      <c r="B52" s="141">
        <v>2289516891</v>
      </c>
      <c r="C52" s="139" t="s">
        <v>256</v>
      </c>
      <c r="D52" s="141">
        <v>3644802549</v>
      </c>
      <c r="E52" s="139" t="s">
        <v>155</v>
      </c>
      <c r="F52" s="139" t="s">
        <v>156</v>
      </c>
      <c r="G52" s="139" t="s">
        <v>160</v>
      </c>
      <c r="H52" s="139" t="s">
        <v>228</v>
      </c>
      <c r="I52" s="139" t="s">
        <v>257</v>
      </c>
    </row>
    <row r="53" spans="1:9" hidden="1" x14ac:dyDescent="0.25">
      <c r="A53" s="139"/>
      <c r="B53" s="140">
        <v>21</v>
      </c>
      <c r="C53" s="139" t="s">
        <v>258</v>
      </c>
      <c r="D53" s="141">
        <v>3244112838</v>
      </c>
      <c r="E53" s="139" t="s">
        <v>155</v>
      </c>
      <c r="F53" s="139" t="s">
        <v>156</v>
      </c>
      <c r="G53" s="139" t="s">
        <v>160</v>
      </c>
      <c r="H53" s="139" t="s">
        <v>259</v>
      </c>
      <c r="I53" s="139" t="s">
        <v>260</v>
      </c>
    </row>
    <row r="54" spans="1:9" hidden="1" x14ac:dyDescent="0.25">
      <c r="A54" s="139"/>
      <c r="B54" s="140">
        <v>5</v>
      </c>
      <c r="C54" s="139" t="s">
        <v>261</v>
      </c>
      <c r="D54" s="141">
        <v>3244112838</v>
      </c>
      <c r="E54" s="139" t="s">
        <v>155</v>
      </c>
      <c r="F54" s="139" t="s">
        <v>177</v>
      </c>
      <c r="G54" s="139" t="s">
        <v>160</v>
      </c>
      <c r="H54" s="139" t="s">
        <v>259</v>
      </c>
      <c r="I54" s="139" t="s">
        <v>262</v>
      </c>
    </row>
    <row r="55" spans="1:9" hidden="1" x14ac:dyDescent="0.25">
      <c r="A55" s="139"/>
      <c r="B55" s="140">
        <v>1</v>
      </c>
      <c r="C55" s="139" t="s">
        <v>263</v>
      </c>
      <c r="D55" s="141">
        <v>3209513925</v>
      </c>
      <c r="E55" s="139" t="s">
        <v>155</v>
      </c>
      <c r="F55" s="139" t="s">
        <v>177</v>
      </c>
      <c r="G55" s="139" t="s">
        <v>160</v>
      </c>
      <c r="H55" s="139" t="s">
        <v>259</v>
      </c>
      <c r="I55" s="139" t="s">
        <v>264</v>
      </c>
    </row>
    <row r="56" spans="1:9" hidden="1" x14ac:dyDescent="0.25">
      <c r="A56" s="139"/>
      <c r="B56" s="141">
        <v>2289516780</v>
      </c>
      <c r="C56" s="139" t="s">
        <v>265</v>
      </c>
      <c r="D56" s="141">
        <v>2865402633</v>
      </c>
      <c r="E56" s="139" t="s">
        <v>155</v>
      </c>
      <c r="F56" s="139" t="s">
        <v>156</v>
      </c>
      <c r="G56" s="139" t="s">
        <v>185</v>
      </c>
      <c r="H56" s="139" t="s">
        <v>243</v>
      </c>
      <c r="I56" s="139" t="s">
        <v>266</v>
      </c>
    </row>
    <row r="57" spans="1:9" hidden="1" x14ac:dyDescent="0.25">
      <c r="A57" s="139"/>
      <c r="B57" s="141">
        <v>2289516750</v>
      </c>
      <c r="C57" s="139" t="s">
        <v>267</v>
      </c>
      <c r="D57" s="141">
        <v>3624204536</v>
      </c>
      <c r="E57" s="139" t="s">
        <v>155</v>
      </c>
      <c r="F57" s="139" t="s">
        <v>156</v>
      </c>
      <c r="G57" s="139" t="s">
        <v>253</v>
      </c>
      <c r="H57" s="139" t="s">
        <v>186</v>
      </c>
      <c r="I57" s="139" t="s">
        <v>268</v>
      </c>
    </row>
    <row r="58" spans="1:9" hidden="1" x14ac:dyDescent="0.25">
      <c r="A58" s="139"/>
      <c r="B58" s="141">
        <v>2289516773</v>
      </c>
      <c r="C58" s="139" t="s">
        <v>269</v>
      </c>
      <c r="D58" s="141">
        <v>2623706617</v>
      </c>
      <c r="E58" s="139" t="s">
        <v>155</v>
      </c>
      <c r="F58" s="139" t="s">
        <v>156</v>
      </c>
      <c r="G58" s="139"/>
      <c r="H58" s="139"/>
      <c r="I58" s="139"/>
    </row>
    <row r="59" spans="1:9" hidden="1" x14ac:dyDescent="0.25">
      <c r="A59" s="139"/>
      <c r="B59" s="141">
        <v>2289516696</v>
      </c>
      <c r="C59" s="139" t="s">
        <v>270</v>
      </c>
      <c r="D59" s="141">
        <v>3173022999</v>
      </c>
      <c r="E59" s="139" t="s">
        <v>155</v>
      </c>
      <c r="F59" s="139" t="s">
        <v>156</v>
      </c>
      <c r="G59" s="139" t="s">
        <v>271</v>
      </c>
      <c r="H59" s="139" t="s">
        <v>186</v>
      </c>
      <c r="I59" s="139" t="s">
        <v>272</v>
      </c>
    </row>
    <row r="60" spans="1:9" hidden="1" x14ac:dyDescent="0.25">
      <c r="A60" s="139"/>
      <c r="B60" s="141">
        <v>2289516759</v>
      </c>
      <c r="C60" s="139" t="s">
        <v>273</v>
      </c>
      <c r="D60" s="141">
        <v>3188300613</v>
      </c>
      <c r="E60" s="139" t="s">
        <v>155</v>
      </c>
      <c r="F60" s="139" t="s">
        <v>156</v>
      </c>
      <c r="G60" s="139" t="s">
        <v>242</v>
      </c>
      <c r="H60" s="139" t="s">
        <v>205</v>
      </c>
      <c r="I60" s="139" t="s">
        <v>274</v>
      </c>
    </row>
    <row r="61" spans="1:9" hidden="1" x14ac:dyDescent="0.25">
      <c r="A61" s="139"/>
      <c r="B61" s="141">
        <v>2289516816</v>
      </c>
      <c r="C61" s="139" t="s">
        <v>275</v>
      </c>
      <c r="D61" s="141">
        <v>3255109619</v>
      </c>
      <c r="E61" s="139" t="s">
        <v>155</v>
      </c>
      <c r="F61" s="139" t="s">
        <v>156</v>
      </c>
      <c r="G61" s="139" t="s">
        <v>160</v>
      </c>
      <c r="H61" s="139" t="s">
        <v>276</v>
      </c>
      <c r="I61" s="139" t="s">
        <v>277</v>
      </c>
    </row>
    <row r="62" spans="1:9" hidden="1" x14ac:dyDescent="0.25">
      <c r="A62" s="139"/>
      <c r="B62" s="141">
        <v>2289516817</v>
      </c>
      <c r="C62" s="139" t="s">
        <v>278</v>
      </c>
      <c r="D62" s="141">
        <v>2985420914</v>
      </c>
      <c r="E62" s="139" t="s">
        <v>155</v>
      </c>
      <c r="F62" s="139" t="s">
        <v>156</v>
      </c>
      <c r="G62" s="139" t="s">
        <v>279</v>
      </c>
      <c r="H62" s="139" t="s">
        <v>231</v>
      </c>
      <c r="I62" s="139" t="s">
        <v>232</v>
      </c>
    </row>
    <row r="63" spans="1:9" hidden="1" x14ac:dyDescent="0.25">
      <c r="A63" s="139"/>
      <c r="B63" s="140">
        <v>50</v>
      </c>
      <c r="C63" s="139" t="s">
        <v>280</v>
      </c>
      <c r="D63" s="141">
        <v>2273121637</v>
      </c>
      <c r="E63" s="139" t="s">
        <v>155</v>
      </c>
      <c r="F63" s="139" t="s">
        <v>156</v>
      </c>
      <c r="G63" s="139" t="s">
        <v>281</v>
      </c>
      <c r="H63" s="139" t="s">
        <v>196</v>
      </c>
      <c r="I63" s="139" t="s">
        <v>282</v>
      </c>
    </row>
    <row r="64" spans="1:9" hidden="1" x14ac:dyDescent="0.25">
      <c r="A64" s="139"/>
      <c r="B64" s="141">
        <v>2289516854</v>
      </c>
      <c r="C64" s="139" t="s">
        <v>283</v>
      </c>
      <c r="D64" s="141">
        <v>2470006146</v>
      </c>
      <c r="E64" s="139" t="s">
        <v>155</v>
      </c>
      <c r="F64" s="139" t="s">
        <v>156</v>
      </c>
      <c r="G64" s="139" t="s">
        <v>160</v>
      </c>
      <c r="H64" s="139" t="s">
        <v>284</v>
      </c>
      <c r="I64" s="139" t="s">
        <v>285</v>
      </c>
    </row>
    <row r="65" spans="1:9" hidden="1" x14ac:dyDescent="0.25">
      <c r="A65" s="139"/>
      <c r="B65" s="140">
        <v>57</v>
      </c>
      <c r="C65" s="139" t="s">
        <v>283</v>
      </c>
      <c r="D65" s="141">
        <v>2470006146</v>
      </c>
      <c r="E65" s="139" t="s">
        <v>155</v>
      </c>
      <c r="F65" s="139" t="s">
        <v>177</v>
      </c>
      <c r="G65" s="139" t="s">
        <v>160</v>
      </c>
      <c r="H65" s="139" t="s">
        <v>284</v>
      </c>
      <c r="I65" s="139" t="s">
        <v>286</v>
      </c>
    </row>
    <row r="66" spans="1:9" hidden="1" x14ac:dyDescent="0.25">
      <c r="A66" s="139"/>
      <c r="B66" s="140">
        <v>100</v>
      </c>
      <c r="C66" s="139" t="s">
        <v>287</v>
      </c>
      <c r="D66" s="141">
        <v>3302818011</v>
      </c>
      <c r="E66" s="139" t="s">
        <v>155</v>
      </c>
      <c r="F66" s="139" t="s">
        <v>156</v>
      </c>
      <c r="G66" s="139" t="s">
        <v>199</v>
      </c>
      <c r="H66" s="139" t="s">
        <v>231</v>
      </c>
      <c r="I66" s="139" t="s">
        <v>288</v>
      </c>
    </row>
    <row r="67" spans="1:9" hidden="1" x14ac:dyDescent="0.25">
      <c r="A67" s="139"/>
      <c r="B67" s="141">
        <v>2289516876</v>
      </c>
      <c r="C67" s="139" t="s">
        <v>289</v>
      </c>
      <c r="D67" s="141">
        <v>3016814180</v>
      </c>
      <c r="E67" s="139" t="s">
        <v>155</v>
      </c>
      <c r="F67" s="139" t="s">
        <v>156</v>
      </c>
      <c r="G67" s="139" t="s">
        <v>160</v>
      </c>
      <c r="H67" s="139" t="s">
        <v>208</v>
      </c>
      <c r="I67" s="139" t="s">
        <v>290</v>
      </c>
    </row>
    <row r="68" spans="1:9" hidden="1" x14ac:dyDescent="0.25">
      <c r="A68" s="139"/>
      <c r="B68" s="140">
        <v>75</v>
      </c>
      <c r="C68" s="139" t="s">
        <v>291</v>
      </c>
      <c r="D68" s="141">
        <v>3596200395</v>
      </c>
      <c r="E68" s="139" t="s">
        <v>155</v>
      </c>
      <c r="F68" s="139" t="s">
        <v>156</v>
      </c>
      <c r="G68" s="139" t="s">
        <v>157</v>
      </c>
      <c r="H68" s="139" t="s">
        <v>192</v>
      </c>
      <c r="I68" s="139" t="s">
        <v>292</v>
      </c>
    </row>
    <row r="69" spans="1:9" hidden="1" x14ac:dyDescent="0.25">
      <c r="A69" s="139"/>
      <c r="B69" s="140">
        <v>189</v>
      </c>
      <c r="C69" s="139" t="s">
        <v>293</v>
      </c>
      <c r="D69" s="141">
        <v>3013807931</v>
      </c>
      <c r="E69" s="139" t="s">
        <v>155</v>
      </c>
      <c r="F69" s="139" t="s">
        <v>156</v>
      </c>
      <c r="G69" s="139" t="s">
        <v>271</v>
      </c>
      <c r="H69" s="139" t="s">
        <v>294</v>
      </c>
      <c r="I69" s="139" t="s">
        <v>295</v>
      </c>
    </row>
    <row r="70" spans="1:9" hidden="1" x14ac:dyDescent="0.25">
      <c r="A70" s="139"/>
      <c r="B70" s="141">
        <v>2289516901</v>
      </c>
      <c r="C70" s="139" t="s">
        <v>296</v>
      </c>
      <c r="D70" s="141">
        <v>2375803431</v>
      </c>
      <c r="E70" s="139" t="s">
        <v>155</v>
      </c>
      <c r="F70" s="139" t="s">
        <v>156</v>
      </c>
      <c r="G70" s="139" t="s">
        <v>215</v>
      </c>
      <c r="H70" s="139" t="s">
        <v>294</v>
      </c>
      <c r="I70" s="139" t="s">
        <v>297</v>
      </c>
    </row>
    <row r="71" spans="1:9" hidden="1" x14ac:dyDescent="0.25">
      <c r="A71" s="139"/>
      <c r="B71" s="140">
        <v>38</v>
      </c>
      <c r="C71" s="139" t="s">
        <v>298</v>
      </c>
      <c r="D71" s="141">
        <v>2436600937</v>
      </c>
      <c r="E71" s="139" t="s">
        <v>155</v>
      </c>
      <c r="F71" s="139" t="s">
        <v>156</v>
      </c>
      <c r="G71" s="139" t="s">
        <v>157</v>
      </c>
      <c r="H71" s="139" t="s">
        <v>158</v>
      </c>
      <c r="I71" s="139" t="s">
        <v>190</v>
      </c>
    </row>
    <row r="72" spans="1:9" hidden="1" x14ac:dyDescent="0.25">
      <c r="A72" s="139"/>
      <c r="B72" s="140">
        <v>65</v>
      </c>
      <c r="C72" s="139" t="s">
        <v>299</v>
      </c>
      <c r="D72" s="141">
        <v>3422005391</v>
      </c>
      <c r="E72" s="139" t="s">
        <v>155</v>
      </c>
      <c r="F72" s="139" t="s">
        <v>156</v>
      </c>
      <c r="G72" s="139" t="s">
        <v>157</v>
      </c>
      <c r="H72" s="139" t="s">
        <v>192</v>
      </c>
      <c r="I72" s="139" t="s">
        <v>300</v>
      </c>
    </row>
    <row r="73" spans="1:9" hidden="1" x14ac:dyDescent="0.25">
      <c r="A73" s="139"/>
      <c r="B73" s="140">
        <v>66</v>
      </c>
      <c r="C73" s="139" t="s">
        <v>301</v>
      </c>
      <c r="D73" s="141">
        <v>3720407672</v>
      </c>
      <c r="E73" s="139" t="s">
        <v>155</v>
      </c>
      <c r="F73" s="139" t="s">
        <v>156</v>
      </c>
      <c r="G73" s="139" t="s">
        <v>157</v>
      </c>
      <c r="H73" s="139" t="s">
        <v>158</v>
      </c>
      <c r="I73" s="139" t="s">
        <v>302</v>
      </c>
    </row>
    <row r="74" spans="1:9" hidden="1" x14ac:dyDescent="0.25">
      <c r="A74" s="139"/>
      <c r="B74" s="140">
        <v>140</v>
      </c>
      <c r="C74" s="139" t="s">
        <v>303</v>
      </c>
      <c r="D74" s="141">
        <v>3357614594</v>
      </c>
      <c r="E74" s="139" t="s">
        <v>155</v>
      </c>
      <c r="F74" s="139" t="s">
        <v>156</v>
      </c>
      <c r="G74" s="139" t="s">
        <v>199</v>
      </c>
      <c r="H74" s="139" t="s">
        <v>196</v>
      </c>
      <c r="I74" s="139" t="s">
        <v>304</v>
      </c>
    </row>
    <row r="75" spans="1:9" hidden="1" x14ac:dyDescent="0.25">
      <c r="A75" s="139"/>
      <c r="B75" s="140">
        <v>2</v>
      </c>
      <c r="C75" s="139" t="s">
        <v>305</v>
      </c>
      <c r="D75" s="141">
        <v>2751711415</v>
      </c>
      <c r="E75" s="139" t="s">
        <v>155</v>
      </c>
      <c r="F75" s="139" t="s">
        <v>156</v>
      </c>
      <c r="G75" s="139" t="s">
        <v>160</v>
      </c>
      <c r="H75" s="139" t="s">
        <v>259</v>
      </c>
      <c r="I75" s="139" t="s">
        <v>162</v>
      </c>
    </row>
    <row r="76" spans="1:9" hidden="1" x14ac:dyDescent="0.25">
      <c r="A76" s="139"/>
      <c r="B76" s="140">
        <v>129</v>
      </c>
      <c r="C76" s="139" t="s">
        <v>306</v>
      </c>
      <c r="D76" s="141">
        <v>2751711415</v>
      </c>
      <c r="E76" s="139" t="s">
        <v>155</v>
      </c>
      <c r="F76" s="139" t="s">
        <v>177</v>
      </c>
      <c r="G76" s="139" t="s">
        <v>160</v>
      </c>
      <c r="H76" s="139" t="s">
        <v>307</v>
      </c>
      <c r="I76" s="139" t="s">
        <v>162</v>
      </c>
    </row>
    <row r="77" spans="1:9" hidden="1" x14ac:dyDescent="0.25">
      <c r="A77" s="139"/>
      <c r="B77" s="140">
        <v>4</v>
      </c>
      <c r="C77" s="139" t="s">
        <v>308</v>
      </c>
      <c r="D77" s="141">
        <v>3382914593</v>
      </c>
      <c r="E77" s="139" t="s">
        <v>155</v>
      </c>
      <c r="F77" s="139" t="s">
        <v>156</v>
      </c>
      <c r="G77" s="139" t="s">
        <v>160</v>
      </c>
      <c r="H77" s="139" t="s">
        <v>309</v>
      </c>
      <c r="I77" s="139" t="s">
        <v>162</v>
      </c>
    </row>
    <row r="78" spans="1:9" hidden="1" x14ac:dyDescent="0.25">
      <c r="A78" s="139"/>
      <c r="B78" s="140">
        <v>15</v>
      </c>
      <c r="C78" s="139" t="s">
        <v>310</v>
      </c>
      <c r="D78" s="141">
        <v>3382914593</v>
      </c>
      <c r="E78" s="139" t="s">
        <v>155</v>
      </c>
      <c r="F78" s="139" t="s">
        <v>177</v>
      </c>
      <c r="G78" s="139" t="s">
        <v>160</v>
      </c>
      <c r="H78" s="139" t="s">
        <v>311</v>
      </c>
      <c r="I78" s="139" t="s">
        <v>178</v>
      </c>
    </row>
    <row r="79" spans="1:9" hidden="1" x14ac:dyDescent="0.25">
      <c r="A79" s="139"/>
      <c r="B79" s="141">
        <v>2289516801</v>
      </c>
      <c r="C79" s="139" t="s">
        <v>310</v>
      </c>
      <c r="D79" s="141">
        <v>3382914593</v>
      </c>
      <c r="E79" s="139" t="s">
        <v>155</v>
      </c>
      <c r="F79" s="139" t="s">
        <v>177</v>
      </c>
      <c r="G79" s="139" t="s">
        <v>160</v>
      </c>
      <c r="H79" s="139" t="s">
        <v>311</v>
      </c>
      <c r="I79" s="139" t="s">
        <v>312</v>
      </c>
    </row>
    <row r="80" spans="1:9" hidden="1" x14ac:dyDescent="0.25">
      <c r="A80" s="139"/>
      <c r="B80" s="141">
        <v>2289516889</v>
      </c>
      <c r="C80" s="139" t="s">
        <v>313</v>
      </c>
      <c r="D80" s="141">
        <v>2397610210</v>
      </c>
      <c r="E80" s="139" t="s">
        <v>155</v>
      </c>
      <c r="F80" s="139" t="s">
        <v>156</v>
      </c>
      <c r="G80" s="139" t="s">
        <v>215</v>
      </c>
      <c r="H80" s="139" t="s">
        <v>220</v>
      </c>
      <c r="I80" s="139" t="s">
        <v>314</v>
      </c>
    </row>
    <row r="81" spans="1:9" hidden="1" x14ac:dyDescent="0.25">
      <c r="A81" s="139"/>
      <c r="B81" s="140">
        <v>72</v>
      </c>
      <c r="C81" s="139" t="s">
        <v>315</v>
      </c>
      <c r="D81" s="141">
        <v>2719405689</v>
      </c>
      <c r="E81" s="139" t="s">
        <v>155</v>
      </c>
      <c r="F81" s="139" t="s">
        <v>156</v>
      </c>
      <c r="G81" s="139" t="s">
        <v>160</v>
      </c>
      <c r="H81" s="139" t="s">
        <v>316</v>
      </c>
      <c r="I81" s="139" t="s">
        <v>317</v>
      </c>
    </row>
    <row r="82" spans="1:9" hidden="1" x14ac:dyDescent="0.25">
      <c r="A82" s="139"/>
      <c r="B82" s="141">
        <v>2289516897</v>
      </c>
      <c r="C82" s="139" t="s">
        <v>318</v>
      </c>
      <c r="D82" s="141">
        <v>3467806092</v>
      </c>
      <c r="E82" s="139" t="s">
        <v>155</v>
      </c>
      <c r="F82" s="139" t="s">
        <v>156</v>
      </c>
      <c r="G82" s="139" t="s">
        <v>160</v>
      </c>
      <c r="H82" s="139" t="s">
        <v>284</v>
      </c>
      <c r="I82" s="139" t="s">
        <v>319</v>
      </c>
    </row>
    <row r="83" spans="1:9" hidden="1" x14ac:dyDescent="0.25">
      <c r="A83" s="139"/>
      <c r="B83" s="141">
        <v>2289516902</v>
      </c>
      <c r="C83" s="139" t="s">
        <v>320</v>
      </c>
      <c r="D83" s="141">
        <v>2461207992</v>
      </c>
      <c r="E83" s="139" t="s">
        <v>155</v>
      </c>
      <c r="F83" s="139" t="s">
        <v>156</v>
      </c>
      <c r="G83" s="139" t="s">
        <v>321</v>
      </c>
      <c r="H83" s="139" t="s">
        <v>322</v>
      </c>
      <c r="I83" s="139" t="s">
        <v>323</v>
      </c>
    </row>
    <row r="84" spans="1:9" hidden="1" x14ac:dyDescent="0.25">
      <c r="A84" s="139"/>
      <c r="B84" s="140">
        <v>62</v>
      </c>
      <c r="C84" s="139" t="s">
        <v>324</v>
      </c>
      <c r="D84" s="141">
        <v>3374502899</v>
      </c>
      <c r="E84" s="139" t="s">
        <v>155</v>
      </c>
      <c r="F84" s="139" t="s">
        <v>156</v>
      </c>
      <c r="G84" s="139" t="s">
        <v>157</v>
      </c>
      <c r="H84" s="139" t="s">
        <v>325</v>
      </c>
      <c r="I84" s="139" t="s">
        <v>326</v>
      </c>
    </row>
    <row r="85" spans="1:9" hidden="1" x14ac:dyDescent="0.25">
      <c r="A85" s="139"/>
      <c r="B85" s="140">
        <v>183</v>
      </c>
      <c r="C85" s="139" t="s">
        <v>327</v>
      </c>
      <c r="D85" s="141">
        <v>3445102618</v>
      </c>
      <c r="E85" s="139" t="s">
        <v>155</v>
      </c>
      <c r="F85" s="139" t="s">
        <v>156</v>
      </c>
      <c r="G85" s="139" t="s">
        <v>157</v>
      </c>
      <c r="H85" s="139" t="s">
        <v>328</v>
      </c>
      <c r="I85" s="139" t="s">
        <v>329</v>
      </c>
    </row>
    <row r="86" spans="1:9" hidden="1" x14ac:dyDescent="0.25">
      <c r="A86" s="139"/>
      <c r="B86" s="141">
        <v>2289516791</v>
      </c>
      <c r="C86" s="139" t="s">
        <v>330</v>
      </c>
      <c r="D86" s="141">
        <v>3118615738</v>
      </c>
      <c r="E86" s="139" t="s">
        <v>155</v>
      </c>
      <c r="F86" s="139" t="s">
        <v>156</v>
      </c>
      <c r="G86" s="139" t="s">
        <v>215</v>
      </c>
      <c r="H86" s="139" t="s">
        <v>231</v>
      </c>
      <c r="I86" s="139" t="s">
        <v>331</v>
      </c>
    </row>
    <row r="87" spans="1:9" hidden="1" x14ac:dyDescent="0.25">
      <c r="A87" s="139"/>
      <c r="B87" s="141">
        <v>2289516880</v>
      </c>
      <c r="C87" s="139" t="s">
        <v>332</v>
      </c>
      <c r="D87" s="141">
        <v>3744403051</v>
      </c>
      <c r="E87" s="139" t="s">
        <v>155</v>
      </c>
      <c r="F87" s="139" t="s">
        <v>156</v>
      </c>
      <c r="G87" s="139" t="s">
        <v>242</v>
      </c>
      <c r="H87" s="139" t="s">
        <v>205</v>
      </c>
      <c r="I87" s="139" t="s">
        <v>333</v>
      </c>
    </row>
    <row r="88" spans="1:9" hidden="1" x14ac:dyDescent="0.25">
      <c r="A88" s="139"/>
      <c r="B88" s="141">
        <v>2289516892</v>
      </c>
      <c r="C88" s="139" t="s">
        <v>334</v>
      </c>
      <c r="D88" s="141">
        <v>2893009237</v>
      </c>
      <c r="E88" s="139" t="s">
        <v>155</v>
      </c>
      <c r="F88" s="139" t="s">
        <v>156</v>
      </c>
      <c r="G88" s="139" t="s">
        <v>242</v>
      </c>
      <c r="H88" s="139" t="s">
        <v>205</v>
      </c>
      <c r="I88" s="139" t="s">
        <v>314</v>
      </c>
    </row>
    <row r="89" spans="1:9" hidden="1" x14ac:dyDescent="0.25">
      <c r="A89" s="139"/>
      <c r="B89" s="141">
        <v>2289516856</v>
      </c>
      <c r="C89" s="139" t="s">
        <v>335</v>
      </c>
      <c r="D89" s="141">
        <v>1939019075</v>
      </c>
      <c r="E89" s="139" t="s">
        <v>155</v>
      </c>
      <c r="F89" s="139" t="s">
        <v>177</v>
      </c>
      <c r="G89" s="139" t="s">
        <v>195</v>
      </c>
      <c r="H89" s="139" t="s">
        <v>336</v>
      </c>
      <c r="I89" s="139" t="s">
        <v>337</v>
      </c>
    </row>
    <row r="90" spans="1:9" hidden="1" x14ac:dyDescent="0.25">
      <c r="A90" s="139"/>
      <c r="B90" s="140">
        <v>108</v>
      </c>
      <c r="C90" s="139" t="s">
        <v>338</v>
      </c>
      <c r="D90" s="141">
        <v>2871014384</v>
      </c>
      <c r="E90" s="139" t="s">
        <v>155</v>
      </c>
      <c r="F90" s="139" t="s">
        <v>156</v>
      </c>
      <c r="G90" s="139" t="s">
        <v>160</v>
      </c>
      <c r="H90" s="139" t="s">
        <v>339</v>
      </c>
      <c r="I90" s="139" t="s">
        <v>340</v>
      </c>
    </row>
    <row r="91" spans="1:9" hidden="1" x14ac:dyDescent="0.25">
      <c r="A91" s="139"/>
      <c r="B91" s="141">
        <v>2289516705</v>
      </c>
      <c r="C91" s="139" t="s">
        <v>341</v>
      </c>
      <c r="D91" s="141">
        <v>3397508065</v>
      </c>
      <c r="E91" s="139" t="s">
        <v>155</v>
      </c>
      <c r="F91" s="139" t="s">
        <v>156</v>
      </c>
      <c r="G91" s="139" t="s">
        <v>160</v>
      </c>
      <c r="H91" s="139" t="s">
        <v>342</v>
      </c>
      <c r="I91" s="139" t="s">
        <v>343</v>
      </c>
    </row>
    <row r="92" spans="1:9" hidden="1" x14ac:dyDescent="0.25">
      <c r="A92" s="139"/>
      <c r="B92" s="140">
        <v>70</v>
      </c>
      <c r="C92" s="139" t="s">
        <v>344</v>
      </c>
      <c r="D92" s="141">
        <v>2637303953</v>
      </c>
      <c r="E92" s="139" t="s">
        <v>155</v>
      </c>
      <c r="F92" s="139" t="s">
        <v>156</v>
      </c>
      <c r="G92" s="139" t="s">
        <v>157</v>
      </c>
      <c r="H92" s="139" t="s">
        <v>192</v>
      </c>
      <c r="I92" s="139" t="s">
        <v>345</v>
      </c>
    </row>
    <row r="93" spans="1:9" hidden="1" x14ac:dyDescent="0.25">
      <c r="A93" s="139"/>
      <c r="B93" s="141">
        <v>2289516896</v>
      </c>
      <c r="C93" s="139" t="s">
        <v>346</v>
      </c>
      <c r="D93" s="141">
        <v>3336104191</v>
      </c>
      <c r="E93" s="139" t="s">
        <v>155</v>
      </c>
      <c r="F93" s="139" t="s">
        <v>156</v>
      </c>
      <c r="G93" s="139" t="s">
        <v>215</v>
      </c>
      <c r="H93" s="139" t="s">
        <v>347</v>
      </c>
      <c r="I93" s="139" t="s">
        <v>319</v>
      </c>
    </row>
    <row r="94" spans="1:9" hidden="1" x14ac:dyDescent="0.25">
      <c r="A94" s="139"/>
      <c r="B94" s="140">
        <v>274</v>
      </c>
      <c r="C94" s="139" t="s">
        <v>348</v>
      </c>
      <c r="D94" s="141">
        <v>3207413416</v>
      </c>
      <c r="E94" s="139" t="s">
        <v>155</v>
      </c>
      <c r="F94" s="139" t="s">
        <v>156</v>
      </c>
      <c r="G94" s="139" t="s">
        <v>160</v>
      </c>
      <c r="H94" s="139" t="s">
        <v>349</v>
      </c>
      <c r="I94" s="139" t="s">
        <v>350</v>
      </c>
    </row>
    <row r="95" spans="1:9" hidden="1" x14ac:dyDescent="0.25">
      <c r="A95" s="139"/>
      <c r="B95" s="139" t="s">
        <v>351</v>
      </c>
      <c r="C95" s="139" t="s">
        <v>352</v>
      </c>
      <c r="D95" s="141">
        <v>3207413416</v>
      </c>
      <c r="E95" s="139" t="s">
        <v>129</v>
      </c>
      <c r="F95" s="139"/>
      <c r="G95" s="139"/>
      <c r="H95" s="139"/>
      <c r="I95" s="139"/>
    </row>
    <row r="96" spans="1:9" hidden="1" x14ac:dyDescent="0.25">
      <c r="A96" s="139"/>
      <c r="B96" s="140">
        <v>12</v>
      </c>
      <c r="C96" s="139" t="s">
        <v>353</v>
      </c>
      <c r="D96" s="141">
        <v>3694604010</v>
      </c>
      <c r="E96" s="139" t="s">
        <v>155</v>
      </c>
      <c r="F96" s="139" t="s">
        <v>156</v>
      </c>
      <c r="G96" s="139" t="s">
        <v>211</v>
      </c>
      <c r="H96" s="139" t="s">
        <v>212</v>
      </c>
      <c r="I96" s="139" t="s">
        <v>354</v>
      </c>
    </row>
    <row r="97" spans="1:9" hidden="1" x14ac:dyDescent="0.25">
      <c r="A97" s="139"/>
      <c r="B97" s="140">
        <v>48</v>
      </c>
      <c r="C97" s="139" t="s">
        <v>355</v>
      </c>
      <c r="D97" s="141">
        <v>2958309437</v>
      </c>
      <c r="E97" s="139" t="s">
        <v>155</v>
      </c>
      <c r="F97" s="139" t="s">
        <v>156</v>
      </c>
      <c r="G97" s="139" t="s">
        <v>160</v>
      </c>
      <c r="H97" s="139" t="s">
        <v>356</v>
      </c>
      <c r="I97" s="139" t="s">
        <v>357</v>
      </c>
    </row>
    <row r="98" spans="1:9" hidden="1" x14ac:dyDescent="0.25">
      <c r="A98" s="139"/>
      <c r="B98" s="141">
        <v>2289516883</v>
      </c>
      <c r="C98" s="139" t="s">
        <v>358</v>
      </c>
      <c r="D98" s="141">
        <v>3601207735</v>
      </c>
      <c r="E98" s="139" t="s">
        <v>155</v>
      </c>
      <c r="F98" s="139" t="s">
        <v>156</v>
      </c>
      <c r="G98" s="139" t="s">
        <v>242</v>
      </c>
      <c r="H98" s="139" t="s">
        <v>359</v>
      </c>
      <c r="I98" s="139" t="s">
        <v>181</v>
      </c>
    </row>
    <row r="99" spans="1:9" hidden="1" x14ac:dyDescent="0.25">
      <c r="A99" s="139"/>
      <c r="B99" s="141">
        <v>2289516735</v>
      </c>
      <c r="C99" s="139" t="s">
        <v>360</v>
      </c>
      <c r="D99" s="141">
        <v>3053422190</v>
      </c>
      <c r="E99" s="139" t="s">
        <v>155</v>
      </c>
      <c r="F99" s="139" t="s">
        <v>156</v>
      </c>
      <c r="G99" s="139" t="s">
        <v>160</v>
      </c>
      <c r="H99" s="139" t="s">
        <v>228</v>
      </c>
      <c r="I99" s="139" t="s">
        <v>361</v>
      </c>
    </row>
    <row r="100" spans="1:9" hidden="1" x14ac:dyDescent="0.25">
      <c r="A100" s="139"/>
      <c r="B100" s="140">
        <v>197</v>
      </c>
      <c r="C100" s="139" t="s">
        <v>362</v>
      </c>
      <c r="D100" s="141">
        <v>3293018293</v>
      </c>
      <c r="E100" s="139" t="s">
        <v>155</v>
      </c>
      <c r="F100" s="139" t="s">
        <v>156</v>
      </c>
      <c r="G100" s="139"/>
      <c r="H100" s="139"/>
      <c r="I100" s="139"/>
    </row>
    <row r="101" spans="1:9" hidden="1" x14ac:dyDescent="0.25">
      <c r="A101" s="139"/>
      <c r="B101" s="140">
        <v>162</v>
      </c>
      <c r="C101" s="139" t="s">
        <v>363</v>
      </c>
      <c r="D101" s="141">
        <v>3119810293</v>
      </c>
      <c r="E101" s="139" t="s">
        <v>155</v>
      </c>
      <c r="F101" s="139" t="s">
        <v>156</v>
      </c>
      <c r="G101" s="139" t="s">
        <v>242</v>
      </c>
      <c r="H101" s="139" t="s">
        <v>205</v>
      </c>
      <c r="I101" s="139" t="s">
        <v>364</v>
      </c>
    </row>
    <row r="102" spans="1:9" hidden="1" x14ac:dyDescent="0.25">
      <c r="A102" s="139"/>
      <c r="B102" s="140">
        <v>42</v>
      </c>
      <c r="C102" s="139" t="s">
        <v>365</v>
      </c>
      <c r="D102" s="141">
        <v>3705902230</v>
      </c>
      <c r="E102" s="139" t="s">
        <v>155</v>
      </c>
      <c r="F102" s="139" t="s">
        <v>156</v>
      </c>
      <c r="G102" s="139" t="s">
        <v>157</v>
      </c>
      <c r="H102" s="139" t="s">
        <v>189</v>
      </c>
      <c r="I102" s="139" t="s">
        <v>190</v>
      </c>
    </row>
    <row r="103" spans="1:9" hidden="1" x14ac:dyDescent="0.25">
      <c r="A103" s="139"/>
      <c r="B103" s="140">
        <v>8</v>
      </c>
      <c r="C103" s="139" t="s">
        <v>366</v>
      </c>
      <c r="D103" s="141">
        <v>3779110293</v>
      </c>
      <c r="E103" s="139" t="s">
        <v>155</v>
      </c>
      <c r="F103" s="139" t="s">
        <v>156</v>
      </c>
      <c r="G103" s="139" t="s">
        <v>157</v>
      </c>
      <c r="H103" s="139" t="s">
        <v>325</v>
      </c>
      <c r="I103" s="139" t="s">
        <v>367</v>
      </c>
    </row>
    <row r="104" spans="1:9" hidden="1" x14ac:dyDescent="0.25">
      <c r="A104" s="139"/>
      <c r="B104" s="140">
        <v>137</v>
      </c>
      <c r="C104" s="139" t="s">
        <v>368</v>
      </c>
      <c r="D104" s="141">
        <v>3166313137</v>
      </c>
      <c r="E104" s="139" t="s">
        <v>155</v>
      </c>
      <c r="F104" s="139" t="s">
        <v>156</v>
      </c>
      <c r="G104" s="139" t="s">
        <v>199</v>
      </c>
      <c r="H104" s="139" t="s">
        <v>359</v>
      </c>
      <c r="I104" s="139" t="s">
        <v>369</v>
      </c>
    </row>
    <row r="105" spans="1:9" hidden="1" x14ac:dyDescent="0.25">
      <c r="A105" s="139"/>
      <c r="B105" s="141">
        <v>2289516888</v>
      </c>
      <c r="C105" s="139" t="s">
        <v>370</v>
      </c>
      <c r="D105" s="141">
        <v>2492508275</v>
      </c>
      <c r="E105" s="139" t="s">
        <v>155</v>
      </c>
      <c r="F105" s="139" t="s">
        <v>156</v>
      </c>
      <c r="G105" s="139" t="s">
        <v>215</v>
      </c>
      <c r="H105" s="139" t="s">
        <v>220</v>
      </c>
      <c r="I105" s="139" t="s">
        <v>371</v>
      </c>
    </row>
    <row r="106" spans="1:9" hidden="1" x14ac:dyDescent="0.25">
      <c r="A106" s="139"/>
      <c r="B106" s="141">
        <v>2289516890</v>
      </c>
      <c r="C106" s="139" t="s">
        <v>372</v>
      </c>
      <c r="D106" s="141">
        <v>2345601097</v>
      </c>
      <c r="E106" s="139" t="s">
        <v>155</v>
      </c>
      <c r="F106" s="139" t="s">
        <v>177</v>
      </c>
      <c r="G106" s="139" t="s">
        <v>242</v>
      </c>
      <c r="H106" s="139" t="s">
        <v>336</v>
      </c>
      <c r="I106" s="139" t="s">
        <v>257</v>
      </c>
    </row>
    <row r="107" spans="1:9" hidden="1" x14ac:dyDescent="0.25">
      <c r="A107" s="139"/>
      <c r="B107" s="141">
        <v>2289516878</v>
      </c>
      <c r="C107" s="139" t="s">
        <v>373</v>
      </c>
      <c r="D107" s="141">
        <v>3568405559</v>
      </c>
      <c r="E107" s="139" t="s">
        <v>155</v>
      </c>
      <c r="F107" s="139" t="s">
        <v>156</v>
      </c>
      <c r="G107" s="139" t="s">
        <v>215</v>
      </c>
      <c r="H107" s="139" t="s">
        <v>347</v>
      </c>
      <c r="I107" s="139" t="s">
        <v>326</v>
      </c>
    </row>
    <row r="108" spans="1:9" hidden="1" x14ac:dyDescent="0.25">
      <c r="A108" s="139"/>
      <c r="B108" s="140">
        <v>68</v>
      </c>
      <c r="C108" s="139" t="s">
        <v>374</v>
      </c>
      <c r="D108" s="141">
        <v>2521518612</v>
      </c>
      <c r="E108" s="139" t="s">
        <v>155</v>
      </c>
      <c r="F108" s="139" t="s">
        <v>156</v>
      </c>
      <c r="G108" s="139" t="s">
        <v>157</v>
      </c>
      <c r="H108" s="139" t="s">
        <v>158</v>
      </c>
      <c r="I108" s="139" t="s">
        <v>213</v>
      </c>
    </row>
    <row r="109" spans="1:9" hidden="1" x14ac:dyDescent="0.25">
      <c r="A109" s="139"/>
      <c r="B109" s="141">
        <v>2289516697</v>
      </c>
      <c r="C109" s="139" t="s">
        <v>375</v>
      </c>
      <c r="D109" s="141">
        <v>3073110819</v>
      </c>
      <c r="E109" s="139" t="s">
        <v>155</v>
      </c>
      <c r="F109" s="139" t="s">
        <v>156</v>
      </c>
      <c r="G109" s="139" t="s">
        <v>271</v>
      </c>
      <c r="H109" s="139" t="s">
        <v>186</v>
      </c>
      <c r="I109" s="139" t="s">
        <v>272</v>
      </c>
    </row>
    <row r="110" spans="1:9" hidden="1" x14ac:dyDescent="0.25">
      <c r="A110" s="139"/>
      <c r="B110" s="141">
        <v>2289516708</v>
      </c>
      <c r="C110" s="139" t="s">
        <v>376</v>
      </c>
      <c r="D110" s="141">
        <v>3503711344</v>
      </c>
      <c r="E110" s="139" t="s">
        <v>155</v>
      </c>
      <c r="F110" s="139" t="s">
        <v>156</v>
      </c>
      <c r="G110" s="139" t="s">
        <v>160</v>
      </c>
      <c r="H110" s="139" t="s">
        <v>284</v>
      </c>
      <c r="I110" s="139" t="s">
        <v>377</v>
      </c>
    </row>
    <row r="111" spans="1:9" hidden="1" x14ac:dyDescent="0.25">
      <c r="A111" s="139"/>
      <c r="B111" s="141">
        <v>2289516895</v>
      </c>
      <c r="C111" s="139" t="s">
        <v>378</v>
      </c>
      <c r="D111" s="141">
        <v>3220619518</v>
      </c>
      <c r="E111" s="139" t="s">
        <v>155</v>
      </c>
      <c r="F111" s="139" t="s">
        <v>156</v>
      </c>
      <c r="G111" s="139" t="s">
        <v>215</v>
      </c>
      <c r="H111" s="139" t="s">
        <v>243</v>
      </c>
      <c r="I111" s="139" t="s">
        <v>379</v>
      </c>
    </row>
    <row r="112" spans="1:9" hidden="1" x14ac:dyDescent="0.25">
      <c r="A112" s="139"/>
      <c r="B112" s="141">
        <v>2289516703</v>
      </c>
      <c r="C112" s="139" t="s">
        <v>380</v>
      </c>
      <c r="D112" s="141">
        <v>3132604831</v>
      </c>
      <c r="E112" s="139" t="s">
        <v>155</v>
      </c>
      <c r="F112" s="139" t="s">
        <v>156</v>
      </c>
      <c r="G112" s="139" t="s">
        <v>215</v>
      </c>
      <c r="H112" s="139" t="s">
        <v>294</v>
      </c>
      <c r="I112" s="139" t="s">
        <v>197</v>
      </c>
    </row>
    <row r="113" spans="1:9" hidden="1" x14ac:dyDescent="0.25">
      <c r="A113" s="139"/>
      <c r="B113" s="140">
        <v>147</v>
      </c>
      <c r="C113" s="139" t="s">
        <v>381</v>
      </c>
      <c r="D113" s="141">
        <v>3012604857</v>
      </c>
      <c r="E113" s="139" t="s">
        <v>155</v>
      </c>
      <c r="F113" s="139" t="s">
        <v>156</v>
      </c>
      <c r="G113" s="139" t="s">
        <v>382</v>
      </c>
      <c r="H113" s="139" t="s">
        <v>161</v>
      </c>
      <c r="I113" s="139" t="s">
        <v>383</v>
      </c>
    </row>
    <row r="114" spans="1:9" hidden="1" x14ac:dyDescent="0.25">
      <c r="A114" s="139"/>
      <c r="B114" s="140">
        <v>16</v>
      </c>
      <c r="C114" s="139" t="s">
        <v>384</v>
      </c>
      <c r="D114" s="141">
        <v>3382504985</v>
      </c>
      <c r="E114" s="139" t="s">
        <v>155</v>
      </c>
      <c r="F114" s="139" t="s">
        <v>156</v>
      </c>
      <c r="G114" s="139" t="s">
        <v>211</v>
      </c>
      <c r="H114" s="139" t="s">
        <v>212</v>
      </c>
      <c r="I114" s="139" t="s">
        <v>385</v>
      </c>
    </row>
    <row r="115" spans="1:9" hidden="1" x14ac:dyDescent="0.25">
      <c r="A115" s="139"/>
      <c r="B115" s="141">
        <v>2289516872</v>
      </c>
      <c r="C115" s="139" t="s">
        <v>386</v>
      </c>
      <c r="D115" s="141">
        <v>3045613635</v>
      </c>
      <c r="E115" s="139" t="s">
        <v>155</v>
      </c>
      <c r="F115" s="139" t="s">
        <v>156</v>
      </c>
      <c r="G115" s="139" t="s">
        <v>215</v>
      </c>
      <c r="H115" s="139" t="s">
        <v>347</v>
      </c>
      <c r="I115" s="139" t="s">
        <v>387</v>
      </c>
    </row>
    <row r="116" spans="1:9" hidden="1" x14ac:dyDescent="0.25">
      <c r="A116" s="139"/>
      <c r="B116" s="140">
        <v>22</v>
      </c>
      <c r="C116" s="139" t="s">
        <v>388</v>
      </c>
      <c r="D116" s="141">
        <v>3672909960</v>
      </c>
      <c r="E116" s="139" t="s">
        <v>155</v>
      </c>
      <c r="F116" s="139" t="s">
        <v>156</v>
      </c>
      <c r="G116" s="139" t="s">
        <v>211</v>
      </c>
      <c r="H116" s="139" t="s">
        <v>212</v>
      </c>
      <c r="I116" s="139" t="s">
        <v>389</v>
      </c>
    </row>
    <row r="117" spans="1:9" hidden="1" x14ac:dyDescent="0.25">
      <c r="A117" s="139"/>
      <c r="B117" s="141">
        <v>2289516824</v>
      </c>
      <c r="C117" s="139" t="s">
        <v>390</v>
      </c>
      <c r="D117" s="141">
        <v>3339117352</v>
      </c>
      <c r="E117" s="139" t="s">
        <v>155</v>
      </c>
      <c r="F117" s="139" t="s">
        <v>156</v>
      </c>
      <c r="G117" s="139" t="s">
        <v>215</v>
      </c>
      <c r="H117" s="139" t="s">
        <v>205</v>
      </c>
      <c r="I117" s="139" t="s">
        <v>391</v>
      </c>
    </row>
    <row r="118" spans="1:9" hidden="1" x14ac:dyDescent="0.25">
      <c r="A118" s="139"/>
      <c r="B118" s="141">
        <v>2289516825</v>
      </c>
      <c r="C118" s="139" t="s">
        <v>392</v>
      </c>
      <c r="D118" s="141">
        <v>3414715392</v>
      </c>
      <c r="E118" s="139" t="s">
        <v>155</v>
      </c>
      <c r="F118" s="139" t="s">
        <v>156</v>
      </c>
      <c r="G118" s="139" t="s">
        <v>215</v>
      </c>
      <c r="H118" s="139" t="s">
        <v>205</v>
      </c>
      <c r="I118" s="139" t="s">
        <v>391</v>
      </c>
    </row>
    <row r="119" spans="1:9" hidden="1" x14ac:dyDescent="0.25">
      <c r="A119" s="139"/>
      <c r="B119" s="140">
        <v>29</v>
      </c>
      <c r="C119" s="139" t="s">
        <v>393</v>
      </c>
      <c r="D119" s="141">
        <v>3204901230</v>
      </c>
      <c r="E119" s="139" t="s">
        <v>155</v>
      </c>
      <c r="F119" s="139" t="s">
        <v>156</v>
      </c>
      <c r="G119" s="139" t="s">
        <v>157</v>
      </c>
      <c r="H119" s="139" t="s">
        <v>158</v>
      </c>
      <c r="I119" s="139" t="s">
        <v>159</v>
      </c>
    </row>
    <row r="120" spans="1:9" hidden="1" x14ac:dyDescent="0.25">
      <c r="A120" s="139"/>
      <c r="B120" s="140">
        <v>48</v>
      </c>
      <c r="C120" s="139" t="s">
        <v>4</v>
      </c>
      <c r="D120" s="141">
        <v>2579305831</v>
      </c>
      <c r="E120" s="139" t="s">
        <v>155</v>
      </c>
      <c r="F120" s="139" t="s">
        <v>156</v>
      </c>
      <c r="G120" s="139" t="s">
        <v>157</v>
      </c>
      <c r="H120" s="139" t="s">
        <v>158</v>
      </c>
      <c r="I120" s="139" t="s">
        <v>394</v>
      </c>
    </row>
    <row r="121" spans="1:9" hidden="1" x14ac:dyDescent="0.25">
      <c r="A121" s="139"/>
      <c r="B121" s="140">
        <v>240</v>
      </c>
      <c r="C121" s="139" t="s">
        <v>395</v>
      </c>
      <c r="D121" s="141">
        <v>2852918337</v>
      </c>
      <c r="E121" s="139" t="s">
        <v>155</v>
      </c>
      <c r="F121" s="139" t="s">
        <v>156</v>
      </c>
      <c r="G121" s="139" t="s">
        <v>199</v>
      </c>
      <c r="H121" s="139" t="s">
        <v>294</v>
      </c>
      <c r="I121" s="139" t="s">
        <v>396</v>
      </c>
    </row>
    <row r="122" spans="1:9" x14ac:dyDescent="0.25">
      <c r="A122" s="139"/>
      <c r="B122" s="140">
        <v>6</v>
      </c>
      <c r="C122" s="139" t="s">
        <v>397</v>
      </c>
      <c r="D122" s="141">
        <v>3294913815</v>
      </c>
      <c r="E122" s="139" t="s">
        <v>155</v>
      </c>
      <c r="F122" s="139" t="s">
        <v>156</v>
      </c>
      <c r="G122" s="139" t="s">
        <v>157</v>
      </c>
      <c r="H122" s="139" t="s">
        <v>189</v>
      </c>
      <c r="I122" s="139" t="s">
        <v>367</v>
      </c>
    </row>
    <row r="123" spans="1:9" hidden="1" x14ac:dyDescent="0.25">
      <c r="A123" s="139"/>
      <c r="B123" s="141">
        <v>2289516743</v>
      </c>
      <c r="C123" s="139" t="s">
        <v>398</v>
      </c>
      <c r="D123" s="141">
        <v>3217713834</v>
      </c>
      <c r="E123" s="139" t="s">
        <v>155</v>
      </c>
      <c r="F123" s="139" t="s">
        <v>156</v>
      </c>
      <c r="G123" s="139" t="s">
        <v>271</v>
      </c>
      <c r="H123" s="139" t="s">
        <v>186</v>
      </c>
      <c r="I123" s="139" t="s">
        <v>399</v>
      </c>
    </row>
    <row r="124" spans="1:9" hidden="1" x14ac:dyDescent="0.25">
      <c r="A124" s="139"/>
      <c r="B124" s="141">
        <v>2289516852</v>
      </c>
      <c r="C124" s="139" t="s">
        <v>400</v>
      </c>
      <c r="D124" s="141">
        <v>2163809691</v>
      </c>
      <c r="E124" s="139" t="s">
        <v>155</v>
      </c>
      <c r="F124" s="139" t="s">
        <v>177</v>
      </c>
      <c r="G124" s="139" t="s">
        <v>199</v>
      </c>
      <c r="H124" s="139" t="s">
        <v>336</v>
      </c>
      <c r="I124" s="139" t="s">
        <v>285</v>
      </c>
    </row>
    <row r="125" spans="1:9" hidden="1" x14ac:dyDescent="0.25">
      <c r="A125" s="139"/>
      <c r="B125" s="141">
        <v>2289516899</v>
      </c>
      <c r="C125" s="139" t="s">
        <v>401</v>
      </c>
      <c r="D125" s="141">
        <v>3027202792</v>
      </c>
      <c r="E125" s="139" t="s">
        <v>155</v>
      </c>
      <c r="F125" s="139" t="s">
        <v>156</v>
      </c>
      <c r="G125" s="139" t="s">
        <v>242</v>
      </c>
      <c r="H125" s="139" t="s">
        <v>342</v>
      </c>
      <c r="I125" s="139" t="s">
        <v>402</v>
      </c>
    </row>
    <row r="126" spans="1:9" hidden="1" x14ac:dyDescent="0.25">
      <c r="A126" s="139"/>
      <c r="B126" s="141">
        <v>2289516794</v>
      </c>
      <c r="C126" s="139" t="s">
        <v>403</v>
      </c>
      <c r="D126" s="141">
        <v>3099210416</v>
      </c>
      <c r="E126" s="139" t="s">
        <v>155</v>
      </c>
      <c r="F126" s="139" t="s">
        <v>156</v>
      </c>
      <c r="G126" s="139" t="s">
        <v>279</v>
      </c>
      <c r="H126" s="139" t="s">
        <v>231</v>
      </c>
      <c r="I126" s="139" t="s">
        <v>331</v>
      </c>
    </row>
    <row r="127" spans="1:9" hidden="1" x14ac:dyDescent="0.25">
      <c r="A127" s="139"/>
      <c r="B127" s="140">
        <v>225</v>
      </c>
      <c r="C127" s="139" t="s">
        <v>404</v>
      </c>
      <c r="D127" s="141">
        <v>3029300631</v>
      </c>
      <c r="E127" s="139" t="s">
        <v>155</v>
      </c>
      <c r="F127" s="139" t="s">
        <v>156</v>
      </c>
      <c r="G127" s="139" t="s">
        <v>215</v>
      </c>
      <c r="H127" s="139" t="s">
        <v>200</v>
      </c>
      <c r="I127" s="139" t="s">
        <v>405</v>
      </c>
    </row>
    <row r="128" spans="1:9" hidden="1" x14ac:dyDescent="0.25">
      <c r="A128" s="139"/>
      <c r="B128" s="140">
        <v>7</v>
      </c>
      <c r="C128" s="139" t="s">
        <v>406</v>
      </c>
      <c r="D128" s="141">
        <v>2794601018</v>
      </c>
      <c r="E128" s="139" t="s">
        <v>155</v>
      </c>
      <c r="F128" s="139" t="s">
        <v>177</v>
      </c>
      <c r="G128" s="139" t="s">
        <v>211</v>
      </c>
      <c r="H128" s="139" t="s">
        <v>407</v>
      </c>
      <c r="I128" s="139" t="s">
        <v>408</v>
      </c>
    </row>
    <row r="129" spans="1:9" hidden="1" x14ac:dyDescent="0.25">
      <c r="A129" s="139"/>
      <c r="B129" s="141">
        <v>2289516871</v>
      </c>
      <c r="C129" s="139" t="s">
        <v>409</v>
      </c>
      <c r="D129" s="141">
        <v>3244915916</v>
      </c>
      <c r="E129" s="139" t="s">
        <v>155</v>
      </c>
      <c r="F129" s="139" t="s">
        <v>156</v>
      </c>
      <c r="G129" s="139" t="s">
        <v>160</v>
      </c>
      <c r="H129" s="139" t="s">
        <v>228</v>
      </c>
      <c r="I129" s="139" t="s">
        <v>387</v>
      </c>
    </row>
    <row r="130" spans="1:9" hidden="1" x14ac:dyDescent="0.25">
      <c r="A130" s="139"/>
      <c r="B130" s="140">
        <v>3</v>
      </c>
      <c r="C130" s="139" t="s">
        <v>410</v>
      </c>
      <c r="D130" s="141">
        <v>3458003578</v>
      </c>
      <c r="E130" s="139" t="s">
        <v>155</v>
      </c>
      <c r="F130" s="139" t="s">
        <v>156</v>
      </c>
      <c r="G130" s="139" t="s">
        <v>211</v>
      </c>
      <c r="H130" s="139" t="s">
        <v>411</v>
      </c>
      <c r="I130" s="139" t="s">
        <v>412</v>
      </c>
    </row>
    <row r="131" spans="1:9" hidden="1" x14ac:dyDescent="0.25">
      <c r="A131" s="139"/>
      <c r="B131" s="140">
        <v>18</v>
      </c>
      <c r="C131" s="139" t="s">
        <v>410</v>
      </c>
      <c r="D131" s="141">
        <v>3458003578</v>
      </c>
      <c r="E131" s="139" t="s">
        <v>155</v>
      </c>
      <c r="F131" s="139" t="s">
        <v>177</v>
      </c>
      <c r="G131" s="139"/>
      <c r="H131" s="139"/>
      <c r="I131" s="139"/>
    </row>
    <row r="132" spans="1:9" hidden="1" x14ac:dyDescent="0.25">
      <c r="A132" s="139"/>
      <c r="B132" s="141">
        <v>2289516737</v>
      </c>
      <c r="C132" s="139" t="s">
        <v>413</v>
      </c>
      <c r="D132" s="141">
        <v>3662602531</v>
      </c>
      <c r="E132" s="139" t="s">
        <v>155</v>
      </c>
      <c r="F132" s="139" t="s">
        <v>156</v>
      </c>
      <c r="G132" s="139" t="s">
        <v>242</v>
      </c>
      <c r="H132" s="139" t="s">
        <v>205</v>
      </c>
      <c r="I132" s="139" t="s">
        <v>361</v>
      </c>
    </row>
    <row r="133" spans="1:9" hidden="1" x14ac:dyDescent="0.25">
      <c r="A133" s="139"/>
      <c r="B133" s="141">
        <v>2289516893</v>
      </c>
      <c r="C133" s="139" t="s">
        <v>414</v>
      </c>
      <c r="D133" s="141">
        <v>2855420394</v>
      </c>
      <c r="E133" s="139" t="s">
        <v>155</v>
      </c>
      <c r="F133" s="139" t="s">
        <v>156</v>
      </c>
      <c r="G133" s="139" t="s">
        <v>242</v>
      </c>
      <c r="H133" s="139" t="s">
        <v>205</v>
      </c>
      <c r="I133" s="139" t="s">
        <v>314</v>
      </c>
    </row>
    <row r="134" spans="1:9" hidden="1" x14ac:dyDescent="0.25">
      <c r="A134" s="139"/>
      <c r="B134" s="141">
        <v>2289516898</v>
      </c>
      <c r="C134" s="139" t="s">
        <v>415</v>
      </c>
      <c r="D134" s="141">
        <v>2777600676</v>
      </c>
      <c r="E134" s="139" t="s">
        <v>155</v>
      </c>
      <c r="F134" s="139" t="s">
        <v>156</v>
      </c>
      <c r="G134" s="139" t="s">
        <v>242</v>
      </c>
      <c r="H134" s="139" t="s">
        <v>205</v>
      </c>
      <c r="I134" s="139" t="s">
        <v>416</v>
      </c>
    </row>
    <row r="135" spans="1:9" hidden="1" x14ac:dyDescent="0.25">
      <c r="A135" s="139"/>
      <c r="B135" s="141">
        <v>2289516837</v>
      </c>
      <c r="C135" s="139" t="s">
        <v>417</v>
      </c>
      <c r="D135" s="141">
        <v>3108202652</v>
      </c>
      <c r="E135" s="139" t="s">
        <v>155</v>
      </c>
      <c r="F135" s="139" t="s">
        <v>156</v>
      </c>
      <c r="G135" s="139" t="s">
        <v>242</v>
      </c>
      <c r="H135" s="139" t="s">
        <v>205</v>
      </c>
      <c r="I135" s="139" t="s">
        <v>418</v>
      </c>
    </row>
    <row r="136" spans="1:9" hidden="1" x14ac:dyDescent="0.25">
      <c r="A136" s="139"/>
      <c r="B136" s="141">
        <v>2289516873</v>
      </c>
      <c r="C136" s="139" t="s">
        <v>419</v>
      </c>
      <c r="D136" s="141">
        <v>2850902050</v>
      </c>
      <c r="E136" s="139" t="s">
        <v>155</v>
      </c>
      <c r="F136" s="139" t="s">
        <v>156</v>
      </c>
      <c r="G136" s="139" t="s">
        <v>215</v>
      </c>
      <c r="H136" s="139" t="s">
        <v>359</v>
      </c>
      <c r="I136" s="139" t="s">
        <v>420</v>
      </c>
    </row>
    <row r="137" spans="1:9" hidden="1" x14ac:dyDescent="0.25">
      <c r="A137" s="139"/>
      <c r="B137" s="141">
        <v>2289516802</v>
      </c>
      <c r="C137" s="139" t="s">
        <v>421</v>
      </c>
      <c r="D137" s="141">
        <v>3281710375</v>
      </c>
      <c r="E137" s="139" t="s">
        <v>155</v>
      </c>
      <c r="F137" s="139" t="s">
        <v>177</v>
      </c>
      <c r="G137" s="139" t="s">
        <v>160</v>
      </c>
      <c r="H137" s="139" t="s">
        <v>422</v>
      </c>
      <c r="I137" s="139" t="s">
        <v>312</v>
      </c>
    </row>
    <row r="138" spans="1:9" hidden="1" x14ac:dyDescent="0.25">
      <c r="A138" s="139"/>
      <c r="B138" s="140">
        <v>12</v>
      </c>
      <c r="C138" s="139" t="s">
        <v>423</v>
      </c>
      <c r="D138" s="141">
        <v>3281710375</v>
      </c>
      <c r="E138" s="139" t="s">
        <v>155</v>
      </c>
      <c r="F138" s="139" t="s">
        <v>156</v>
      </c>
      <c r="G138" s="139" t="s">
        <v>160</v>
      </c>
      <c r="H138" s="139" t="s">
        <v>259</v>
      </c>
      <c r="I138" s="139" t="s">
        <v>424</v>
      </c>
    </row>
    <row r="139" spans="1:9" hidden="1" x14ac:dyDescent="0.25">
      <c r="A139" s="139"/>
      <c r="B139" s="141">
        <v>2289516874</v>
      </c>
      <c r="C139" s="139" t="s">
        <v>425</v>
      </c>
      <c r="D139" s="141">
        <v>2572519716</v>
      </c>
      <c r="E139" s="139" t="s">
        <v>155</v>
      </c>
      <c r="F139" s="139" t="s">
        <v>156</v>
      </c>
      <c r="G139" s="139" t="s">
        <v>215</v>
      </c>
      <c r="H139" s="139" t="s">
        <v>243</v>
      </c>
      <c r="I139" s="139" t="s">
        <v>290</v>
      </c>
    </row>
    <row r="140" spans="1:9" hidden="1" x14ac:dyDescent="0.25">
      <c r="A140" s="139"/>
      <c r="B140" s="141">
        <v>2289516836</v>
      </c>
      <c r="C140" s="139" t="s">
        <v>426</v>
      </c>
      <c r="D140" s="141">
        <v>2773311771</v>
      </c>
      <c r="E140" s="139" t="s">
        <v>155</v>
      </c>
      <c r="F140" s="139" t="s">
        <v>156</v>
      </c>
      <c r="G140" s="139" t="s">
        <v>215</v>
      </c>
      <c r="H140" s="139" t="s">
        <v>205</v>
      </c>
      <c r="I140" s="139" t="s">
        <v>418</v>
      </c>
    </row>
    <row r="141" spans="1:9" hidden="1" x14ac:dyDescent="0.25">
      <c r="A141" s="139"/>
      <c r="B141" s="140">
        <v>27</v>
      </c>
      <c r="C141" s="139" t="s">
        <v>427</v>
      </c>
      <c r="D141" s="141">
        <v>2880313812</v>
      </c>
      <c r="E141" s="139" t="s">
        <v>155</v>
      </c>
      <c r="F141" s="139" t="s">
        <v>156</v>
      </c>
      <c r="G141" s="139" t="s">
        <v>157</v>
      </c>
      <c r="H141" s="139" t="s">
        <v>428</v>
      </c>
      <c r="I141" s="139" t="s">
        <v>159</v>
      </c>
    </row>
    <row r="142" spans="1:9" hidden="1" x14ac:dyDescent="0.25">
      <c r="A142" s="139"/>
      <c r="B142" s="141">
        <v>2289516879</v>
      </c>
      <c r="C142" s="139" t="s">
        <v>429</v>
      </c>
      <c r="D142" s="141">
        <v>2783317959</v>
      </c>
      <c r="E142" s="139" t="s">
        <v>155</v>
      </c>
      <c r="F142" s="139" t="s">
        <v>156</v>
      </c>
      <c r="G142" s="139" t="s">
        <v>242</v>
      </c>
      <c r="H142" s="139" t="s">
        <v>205</v>
      </c>
      <c r="I142" s="139" t="s">
        <v>333</v>
      </c>
    </row>
    <row r="143" spans="1:9" hidden="1" x14ac:dyDescent="0.25">
      <c r="A143" s="139"/>
      <c r="B143" s="141">
        <v>2289516853</v>
      </c>
      <c r="C143" s="139" t="s">
        <v>430</v>
      </c>
      <c r="D143" s="141">
        <v>2034207638</v>
      </c>
      <c r="E143" s="139" t="s">
        <v>155</v>
      </c>
      <c r="F143" s="139" t="s">
        <v>156</v>
      </c>
      <c r="G143" s="139" t="s">
        <v>215</v>
      </c>
      <c r="H143" s="139" t="s">
        <v>428</v>
      </c>
      <c r="I143" s="139" t="s">
        <v>285</v>
      </c>
    </row>
    <row r="144" spans="1:9" hidden="1" x14ac:dyDescent="0.25">
      <c r="A144" s="139"/>
      <c r="B144" s="140">
        <v>5</v>
      </c>
      <c r="C144" s="139" t="s">
        <v>431</v>
      </c>
      <c r="D144" s="141">
        <v>3076001111</v>
      </c>
      <c r="E144" s="139" t="s">
        <v>155</v>
      </c>
      <c r="F144" s="139" t="s">
        <v>177</v>
      </c>
      <c r="G144" s="139" t="s">
        <v>211</v>
      </c>
      <c r="H144" s="139" t="s">
        <v>407</v>
      </c>
      <c r="I144" s="139" t="s">
        <v>412</v>
      </c>
    </row>
    <row r="145" spans="1:9" hidden="1" x14ac:dyDescent="0.25">
      <c r="A145" s="139"/>
      <c r="B145" s="140">
        <v>1</v>
      </c>
      <c r="C145" s="139" t="s">
        <v>432</v>
      </c>
      <c r="D145" s="141">
        <v>3446605399</v>
      </c>
      <c r="E145" s="139" t="s">
        <v>155</v>
      </c>
      <c r="F145" s="139" t="s">
        <v>156</v>
      </c>
      <c r="G145" s="139" t="s">
        <v>160</v>
      </c>
      <c r="H145" s="139" t="s">
        <v>259</v>
      </c>
      <c r="I145" s="139" t="s">
        <v>433</v>
      </c>
    </row>
    <row r="146" spans="1:9" hidden="1" x14ac:dyDescent="0.25">
      <c r="A146" s="139"/>
      <c r="B146" s="140">
        <v>17</v>
      </c>
      <c r="C146" s="139" t="s">
        <v>432</v>
      </c>
      <c r="D146" s="141">
        <v>3446605399</v>
      </c>
      <c r="E146" s="139" t="s">
        <v>155</v>
      </c>
      <c r="F146" s="139" t="s">
        <v>177</v>
      </c>
      <c r="G146" s="139" t="s">
        <v>160</v>
      </c>
      <c r="H146" s="139" t="s">
        <v>259</v>
      </c>
      <c r="I146" s="139" t="s">
        <v>434</v>
      </c>
    </row>
    <row r="147" spans="1:9" hidden="1" x14ac:dyDescent="0.25">
      <c r="A147" s="139"/>
      <c r="B147" s="140">
        <v>41</v>
      </c>
      <c r="C147" s="139" t="s">
        <v>435</v>
      </c>
      <c r="D147" s="141">
        <v>3348501613</v>
      </c>
      <c r="E147" s="139" t="s">
        <v>155</v>
      </c>
      <c r="F147" s="139" t="s">
        <v>156</v>
      </c>
      <c r="G147" s="139" t="s">
        <v>157</v>
      </c>
      <c r="H147" s="139" t="s">
        <v>158</v>
      </c>
      <c r="I147" s="139" t="s">
        <v>190</v>
      </c>
    </row>
    <row r="148" spans="1:9" hidden="1" x14ac:dyDescent="0.25">
      <c r="A148" s="139"/>
      <c r="B148" s="141">
        <v>2289516792</v>
      </c>
      <c r="C148" s="139" t="s">
        <v>436</v>
      </c>
      <c r="D148" s="141">
        <v>3350503939</v>
      </c>
      <c r="E148" s="139" t="s">
        <v>155</v>
      </c>
      <c r="F148" s="139" t="s">
        <v>156</v>
      </c>
      <c r="G148" s="139" t="s">
        <v>215</v>
      </c>
      <c r="H148" s="139" t="s">
        <v>231</v>
      </c>
      <c r="I148" s="139" t="s">
        <v>331</v>
      </c>
    </row>
    <row r="149" spans="1:9" hidden="1" x14ac:dyDescent="0.25">
      <c r="A149" s="139"/>
      <c r="B149" s="140">
        <v>241</v>
      </c>
      <c r="C149" s="139" t="s">
        <v>437</v>
      </c>
      <c r="D149" s="141">
        <v>3584102292</v>
      </c>
      <c r="E149" s="139" t="s">
        <v>155</v>
      </c>
      <c r="F149" s="139" t="s">
        <v>156</v>
      </c>
      <c r="G149" s="139" t="s">
        <v>199</v>
      </c>
      <c r="H149" s="139" t="s">
        <v>205</v>
      </c>
      <c r="I149" s="139" t="s">
        <v>396</v>
      </c>
    </row>
    <row r="150" spans="1:9" hidden="1" x14ac:dyDescent="0.25">
      <c r="A150" s="139"/>
      <c r="B150" s="141">
        <v>2289516798</v>
      </c>
      <c r="C150" s="139" t="s">
        <v>438</v>
      </c>
      <c r="D150" s="141">
        <v>3008703064</v>
      </c>
      <c r="E150" s="139" t="s">
        <v>155</v>
      </c>
      <c r="F150" s="139" t="s">
        <v>156</v>
      </c>
      <c r="G150" s="139" t="s">
        <v>160</v>
      </c>
      <c r="H150" s="139" t="s">
        <v>439</v>
      </c>
      <c r="I150" s="139" t="s">
        <v>440</v>
      </c>
    </row>
    <row r="151" spans="1:9" hidden="1" x14ac:dyDescent="0.25">
      <c r="A151" s="139"/>
      <c r="B151" s="140">
        <v>213</v>
      </c>
      <c r="C151" s="139" t="s">
        <v>441</v>
      </c>
      <c r="D151" s="141">
        <v>2906022797</v>
      </c>
      <c r="E151" s="139" t="s">
        <v>155</v>
      </c>
      <c r="F151" s="139" t="s">
        <v>156</v>
      </c>
      <c r="G151" s="139" t="s">
        <v>253</v>
      </c>
      <c r="H151" s="139" t="s">
        <v>294</v>
      </c>
      <c r="I151" s="139" t="s">
        <v>442</v>
      </c>
    </row>
    <row r="152" spans="1:9" hidden="1" x14ac:dyDescent="0.25">
      <c r="A152" s="139"/>
      <c r="B152" s="141">
        <v>2289516865</v>
      </c>
      <c r="C152" s="139" t="s">
        <v>443</v>
      </c>
      <c r="D152" s="141">
        <v>2894822956</v>
      </c>
      <c r="E152" s="139" t="s">
        <v>155</v>
      </c>
      <c r="F152" s="139" t="s">
        <v>156</v>
      </c>
      <c r="G152" s="139" t="s">
        <v>382</v>
      </c>
      <c r="H152" s="139" t="s">
        <v>243</v>
      </c>
      <c r="I152" s="139" t="s">
        <v>444</v>
      </c>
    </row>
    <row r="153" spans="1:9" hidden="1" x14ac:dyDescent="0.25">
      <c r="A153" s="139"/>
      <c r="B153" s="140">
        <v>47</v>
      </c>
      <c r="C153" s="139" t="s">
        <v>445</v>
      </c>
      <c r="D153" s="141">
        <v>3216804294</v>
      </c>
      <c r="E153" s="139" t="s">
        <v>155</v>
      </c>
      <c r="F153" s="139" t="s">
        <v>156</v>
      </c>
      <c r="G153" s="139" t="s">
        <v>157</v>
      </c>
      <c r="H153" s="139" t="s">
        <v>192</v>
      </c>
      <c r="I153" s="139" t="s">
        <v>446</v>
      </c>
    </row>
    <row r="154" spans="1:9" hidden="1" x14ac:dyDescent="0.25">
      <c r="A154" s="139"/>
      <c r="B154" s="140">
        <v>11</v>
      </c>
      <c r="C154" s="139" t="s">
        <v>447</v>
      </c>
      <c r="D154" s="141">
        <v>2987302398</v>
      </c>
      <c r="E154" s="139" t="s">
        <v>155</v>
      </c>
      <c r="F154" s="139" t="s">
        <v>156</v>
      </c>
      <c r="G154" s="139" t="s">
        <v>211</v>
      </c>
      <c r="H154" s="139" t="s">
        <v>448</v>
      </c>
      <c r="I154" s="139" t="s">
        <v>354</v>
      </c>
    </row>
    <row r="155" spans="1:9" hidden="1" x14ac:dyDescent="0.25">
      <c r="A155" s="139"/>
      <c r="B155" s="141">
        <v>2289516875</v>
      </c>
      <c r="C155" s="139" t="s">
        <v>449</v>
      </c>
      <c r="D155" s="141">
        <v>3283921595</v>
      </c>
      <c r="E155" s="139" t="s">
        <v>155</v>
      </c>
      <c r="F155" s="139" t="s">
        <v>156</v>
      </c>
      <c r="G155" s="139" t="s">
        <v>199</v>
      </c>
      <c r="H155" s="139" t="s">
        <v>231</v>
      </c>
      <c r="I155" s="139" t="s">
        <v>450</v>
      </c>
    </row>
    <row r="156" spans="1:9" hidden="1" x14ac:dyDescent="0.25">
      <c r="A156" s="139"/>
      <c r="B156" s="140">
        <v>69</v>
      </c>
      <c r="C156" s="139" t="s">
        <v>451</v>
      </c>
      <c r="D156" s="141">
        <v>3283102618</v>
      </c>
      <c r="E156" s="139" t="s">
        <v>155</v>
      </c>
      <c r="F156" s="139" t="s">
        <v>156</v>
      </c>
      <c r="G156" s="139" t="s">
        <v>157</v>
      </c>
      <c r="H156" s="139" t="s">
        <v>192</v>
      </c>
      <c r="I156" s="139" t="s">
        <v>213</v>
      </c>
    </row>
    <row r="157" spans="1:9" hidden="1" x14ac:dyDescent="0.25">
      <c r="A157" s="139"/>
      <c r="B157" s="140">
        <v>14</v>
      </c>
      <c r="C157" s="139" t="s">
        <v>452</v>
      </c>
      <c r="D157" s="141">
        <v>2822813708</v>
      </c>
      <c r="E157" s="139" t="s">
        <v>155</v>
      </c>
      <c r="F157" s="139" t="s">
        <v>156</v>
      </c>
      <c r="G157" s="139" t="s">
        <v>211</v>
      </c>
      <c r="H157" s="139" t="s">
        <v>428</v>
      </c>
      <c r="I157" s="139" t="s">
        <v>453</v>
      </c>
    </row>
    <row r="158" spans="1:9" hidden="1" x14ac:dyDescent="0.25">
      <c r="A158" s="139"/>
      <c r="B158" s="141">
        <v>2289516900</v>
      </c>
      <c r="C158" s="139" t="s">
        <v>454</v>
      </c>
      <c r="D158" s="141">
        <v>3138000212</v>
      </c>
      <c r="E158" s="139" t="s">
        <v>155</v>
      </c>
      <c r="F158" s="139" t="s">
        <v>156</v>
      </c>
      <c r="G158" s="139" t="s">
        <v>242</v>
      </c>
      <c r="H158" s="139" t="s">
        <v>205</v>
      </c>
      <c r="I158" s="139" t="s">
        <v>455</v>
      </c>
    </row>
    <row r="159" spans="1:9" hidden="1" x14ac:dyDescent="0.25">
      <c r="A159" s="139"/>
      <c r="B159" s="140">
        <v>236</v>
      </c>
      <c r="C159" s="139" t="s">
        <v>456</v>
      </c>
      <c r="D159" s="141">
        <v>3399209246</v>
      </c>
      <c r="E159" s="139" t="s">
        <v>155</v>
      </c>
      <c r="F159" s="139" t="s">
        <v>156</v>
      </c>
      <c r="G159" s="139" t="s">
        <v>160</v>
      </c>
      <c r="H159" s="139" t="s">
        <v>457</v>
      </c>
      <c r="I159" s="139" t="s">
        <v>458</v>
      </c>
    </row>
    <row r="160" spans="1:9" hidden="1" x14ac:dyDescent="0.25">
      <c r="A160" s="139"/>
      <c r="B160" s="140">
        <v>246</v>
      </c>
      <c r="C160" s="139" t="s">
        <v>459</v>
      </c>
      <c r="D160" s="141">
        <v>2866215672</v>
      </c>
      <c r="E160" s="139" t="s">
        <v>155</v>
      </c>
      <c r="F160" s="139" t="s">
        <v>156</v>
      </c>
      <c r="G160" s="139" t="s">
        <v>242</v>
      </c>
      <c r="H160" s="139" t="s">
        <v>349</v>
      </c>
      <c r="I160" s="139" t="s">
        <v>460</v>
      </c>
    </row>
    <row r="161" spans="1:9" hidden="1" x14ac:dyDescent="0.25">
      <c r="A161" s="139"/>
      <c r="B161" s="140">
        <v>218</v>
      </c>
      <c r="C161" s="139" t="s">
        <v>461</v>
      </c>
      <c r="D161" s="141">
        <v>2559518617</v>
      </c>
      <c r="E161" s="139" t="s">
        <v>155</v>
      </c>
      <c r="F161" s="139" t="s">
        <v>156</v>
      </c>
      <c r="G161" s="139" t="s">
        <v>199</v>
      </c>
      <c r="H161" s="139" t="s">
        <v>243</v>
      </c>
      <c r="I161" s="139" t="s">
        <v>462</v>
      </c>
    </row>
    <row r="162" spans="1:9" hidden="1" x14ac:dyDescent="0.25">
      <c r="A162" s="139"/>
      <c r="B162" s="139" t="s">
        <v>463</v>
      </c>
      <c r="C162" s="139" t="s">
        <v>464</v>
      </c>
      <c r="D162" s="141">
        <v>2559518617</v>
      </c>
      <c r="E162" s="139" t="s">
        <v>129</v>
      </c>
      <c r="F162" s="139"/>
      <c r="G162" s="139"/>
      <c r="H162" s="139"/>
      <c r="I162" s="139"/>
    </row>
    <row r="163" spans="1:9" hidden="1" x14ac:dyDescent="0.25">
      <c r="A163" s="139"/>
      <c r="B163" s="141">
        <v>2289516827</v>
      </c>
      <c r="C163" s="139" t="s">
        <v>465</v>
      </c>
      <c r="D163" s="141">
        <v>3771107310</v>
      </c>
      <c r="E163" s="139" t="s">
        <v>155</v>
      </c>
      <c r="F163" s="139" t="s">
        <v>156</v>
      </c>
      <c r="G163" s="139" t="s">
        <v>279</v>
      </c>
      <c r="H163" s="139" t="s">
        <v>231</v>
      </c>
      <c r="I163" s="139" t="s">
        <v>466</v>
      </c>
    </row>
    <row r="164" spans="1:9" hidden="1" x14ac:dyDescent="0.25">
      <c r="A164" s="139"/>
      <c r="B164" s="141">
        <v>2289516805</v>
      </c>
      <c r="C164" s="139" t="s">
        <v>467</v>
      </c>
      <c r="D164" s="141">
        <v>2218422874</v>
      </c>
      <c r="E164" s="139" t="s">
        <v>155</v>
      </c>
      <c r="F164" s="139" t="s">
        <v>156</v>
      </c>
      <c r="G164" s="139" t="s">
        <v>215</v>
      </c>
      <c r="H164" s="139" t="s">
        <v>231</v>
      </c>
      <c r="I164" s="139" t="s">
        <v>234</v>
      </c>
    </row>
    <row r="165" spans="1:9" hidden="1" x14ac:dyDescent="0.25">
      <c r="A165" s="139"/>
      <c r="B165" s="140">
        <v>56</v>
      </c>
      <c r="C165" s="139" t="s">
        <v>468</v>
      </c>
      <c r="D165" s="141">
        <v>2583617833</v>
      </c>
      <c r="E165" s="139" t="s">
        <v>155</v>
      </c>
      <c r="F165" s="139" t="s">
        <v>156</v>
      </c>
      <c r="G165" s="139" t="s">
        <v>160</v>
      </c>
      <c r="H165" s="139" t="s">
        <v>469</v>
      </c>
      <c r="I165" s="139" t="s">
        <v>470</v>
      </c>
    </row>
    <row r="166" spans="1:9" hidden="1" x14ac:dyDescent="0.25">
      <c r="A166" s="139"/>
      <c r="B166" s="141">
        <v>2289516843</v>
      </c>
      <c r="C166" s="139" t="s">
        <v>471</v>
      </c>
      <c r="D166" s="141">
        <v>3525016911</v>
      </c>
      <c r="E166" s="139" t="s">
        <v>155</v>
      </c>
      <c r="F166" s="139" t="s">
        <v>156</v>
      </c>
      <c r="G166" s="139" t="s">
        <v>215</v>
      </c>
      <c r="H166" s="139" t="s">
        <v>205</v>
      </c>
      <c r="I166" s="139" t="s">
        <v>472</v>
      </c>
    </row>
    <row r="167" spans="1:9" hidden="1" x14ac:dyDescent="0.25">
      <c r="A167" s="139"/>
      <c r="B167" s="140">
        <v>59</v>
      </c>
      <c r="C167" s="139" t="s">
        <v>473</v>
      </c>
      <c r="D167" s="141">
        <v>3230316597</v>
      </c>
      <c r="E167" s="139" t="s">
        <v>155</v>
      </c>
      <c r="F167" s="139" t="s">
        <v>156</v>
      </c>
      <c r="G167" s="139" t="s">
        <v>157</v>
      </c>
      <c r="H167" s="139" t="s">
        <v>192</v>
      </c>
      <c r="I167" s="139" t="s">
        <v>474</v>
      </c>
    </row>
    <row r="168" spans="1:9" hidden="1" x14ac:dyDescent="0.25">
      <c r="A168" s="139"/>
      <c r="B168" s="141">
        <v>2289516839</v>
      </c>
      <c r="C168" s="139" t="s">
        <v>475</v>
      </c>
      <c r="D168" s="141">
        <v>2710222868</v>
      </c>
      <c r="E168" s="139" t="s">
        <v>155</v>
      </c>
      <c r="F168" s="139" t="s">
        <v>156</v>
      </c>
      <c r="G168" s="139" t="s">
        <v>160</v>
      </c>
      <c r="H168" s="139" t="s">
        <v>284</v>
      </c>
      <c r="I168" s="139" t="s">
        <v>476</v>
      </c>
    </row>
    <row r="169" spans="1:9" hidden="1" x14ac:dyDescent="0.25">
      <c r="A169" s="139"/>
      <c r="B169" s="140">
        <v>61</v>
      </c>
      <c r="C169" s="139" t="s">
        <v>477</v>
      </c>
      <c r="D169" s="141">
        <v>2938511042</v>
      </c>
      <c r="E169" s="139" t="s">
        <v>155</v>
      </c>
      <c r="F169" s="139" t="s">
        <v>156</v>
      </c>
      <c r="G169" s="139" t="s">
        <v>160</v>
      </c>
      <c r="H169" s="139" t="s">
        <v>165</v>
      </c>
      <c r="I169" s="139" t="s">
        <v>478</v>
      </c>
    </row>
    <row r="170" spans="1:9" hidden="1" x14ac:dyDescent="0.25">
      <c r="A170" s="139"/>
      <c r="B170" s="139" t="s">
        <v>479</v>
      </c>
      <c r="C170" s="139" t="s">
        <v>480</v>
      </c>
      <c r="D170" s="141">
        <v>2983015610</v>
      </c>
      <c r="E170" s="139" t="s">
        <v>129</v>
      </c>
      <c r="F170" s="139"/>
      <c r="G170" s="139"/>
      <c r="H170" s="139"/>
      <c r="I170" s="139"/>
    </row>
    <row r="171" spans="1:9" hidden="1" x14ac:dyDescent="0.25">
      <c r="A171" s="139"/>
      <c r="B171" s="140">
        <v>9</v>
      </c>
      <c r="C171" s="139" t="s">
        <v>481</v>
      </c>
      <c r="D171" s="141">
        <v>2643414306</v>
      </c>
      <c r="E171" s="139" t="s">
        <v>155</v>
      </c>
      <c r="F171" s="139" t="s">
        <v>156</v>
      </c>
      <c r="G171" s="139" t="s">
        <v>211</v>
      </c>
      <c r="H171" s="139" t="s">
        <v>428</v>
      </c>
      <c r="I171" s="139" t="s">
        <v>482</v>
      </c>
    </row>
    <row r="172" spans="1:9" hidden="1" x14ac:dyDescent="0.25">
      <c r="A172" s="139"/>
      <c r="B172" s="141">
        <v>2289516887</v>
      </c>
      <c r="C172" s="139" t="s">
        <v>483</v>
      </c>
      <c r="D172" s="141">
        <v>3470212298</v>
      </c>
      <c r="E172" s="139" t="s">
        <v>155</v>
      </c>
      <c r="F172" s="139" t="s">
        <v>156</v>
      </c>
      <c r="G172" s="139" t="s">
        <v>242</v>
      </c>
      <c r="H172" s="139" t="s">
        <v>196</v>
      </c>
      <c r="I172" s="139" t="s">
        <v>484</v>
      </c>
    </row>
    <row r="173" spans="1:9" hidden="1" x14ac:dyDescent="0.25">
      <c r="A173" s="139"/>
      <c r="B173" s="140">
        <v>56</v>
      </c>
      <c r="C173" s="139" t="s">
        <v>485</v>
      </c>
      <c r="D173" s="141">
        <v>3067218612</v>
      </c>
      <c r="E173" s="139" t="s">
        <v>155</v>
      </c>
      <c r="F173" s="139" t="s">
        <v>156</v>
      </c>
      <c r="G173" s="139" t="s">
        <v>157</v>
      </c>
      <c r="H173" s="139" t="s">
        <v>192</v>
      </c>
      <c r="I173" s="139" t="s">
        <v>285</v>
      </c>
    </row>
    <row r="174" spans="1:9" hidden="1" x14ac:dyDescent="0.25">
      <c r="A174" s="139"/>
      <c r="B174" s="140">
        <v>58</v>
      </c>
      <c r="C174" s="139" t="s">
        <v>486</v>
      </c>
      <c r="D174" s="141">
        <v>3289716153</v>
      </c>
      <c r="E174" s="139" t="s">
        <v>155</v>
      </c>
      <c r="F174" s="139" t="s">
        <v>156</v>
      </c>
      <c r="G174" s="139" t="s">
        <v>157</v>
      </c>
      <c r="H174" s="139" t="s">
        <v>192</v>
      </c>
      <c r="I174" s="139" t="s">
        <v>487</v>
      </c>
    </row>
    <row r="175" spans="1:9" hidden="1" x14ac:dyDescent="0.25">
      <c r="A175" s="139"/>
      <c r="B175" s="140">
        <v>31</v>
      </c>
      <c r="C175" s="139" t="s">
        <v>488</v>
      </c>
      <c r="D175" s="141">
        <v>3185119514</v>
      </c>
      <c r="E175" s="139" t="s">
        <v>155</v>
      </c>
      <c r="F175" s="139" t="s">
        <v>156</v>
      </c>
      <c r="G175" s="139" t="s">
        <v>157</v>
      </c>
      <c r="H175" s="139" t="s">
        <v>192</v>
      </c>
      <c r="I175" s="139" t="s">
        <v>489</v>
      </c>
    </row>
    <row r="176" spans="1:9" hidden="1" x14ac:dyDescent="0.25">
      <c r="A176" s="139"/>
      <c r="B176" s="140">
        <v>14</v>
      </c>
      <c r="C176" s="139" t="s">
        <v>490</v>
      </c>
      <c r="D176" s="141">
        <v>2944519172</v>
      </c>
      <c r="E176" s="139" t="s">
        <v>155</v>
      </c>
      <c r="F176" s="139" t="s">
        <v>156</v>
      </c>
      <c r="G176" s="139" t="s">
        <v>160</v>
      </c>
      <c r="H176" s="139" t="s">
        <v>491</v>
      </c>
      <c r="I176" s="139" t="s">
        <v>492</v>
      </c>
    </row>
    <row r="177" spans="1:9" hidden="1" x14ac:dyDescent="0.25">
      <c r="A177" s="139"/>
      <c r="B177" s="140">
        <v>7</v>
      </c>
      <c r="C177" s="139" t="s">
        <v>493</v>
      </c>
      <c r="D177" s="141">
        <v>3008300898</v>
      </c>
      <c r="E177" s="139" t="s">
        <v>155</v>
      </c>
      <c r="F177" s="139" t="s">
        <v>156</v>
      </c>
      <c r="G177" s="139" t="s">
        <v>157</v>
      </c>
      <c r="H177" s="139" t="s">
        <v>158</v>
      </c>
      <c r="I177" s="139" t="s">
        <v>367</v>
      </c>
    </row>
    <row r="178" spans="1:9" hidden="1" x14ac:dyDescent="0.25">
      <c r="A178" s="139"/>
      <c r="B178" s="140">
        <v>26</v>
      </c>
      <c r="C178" s="139" t="s">
        <v>494</v>
      </c>
      <c r="D178" s="141">
        <v>3005702873</v>
      </c>
      <c r="E178" s="139" t="s">
        <v>155</v>
      </c>
      <c r="F178" s="139" t="s">
        <v>156</v>
      </c>
      <c r="G178" s="139" t="s">
        <v>157</v>
      </c>
      <c r="H178" s="139" t="s">
        <v>158</v>
      </c>
      <c r="I178" s="139" t="s">
        <v>159</v>
      </c>
    </row>
    <row r="179" spans="1:9" hidden="1" x14ac:dyDescent="0.25">
      <c r="A179" s="139"/>
      <c r="B179" s="141">
        <v>2289516818</v>
      </c>
      <c r="C179" s="139" t="s">
        <v>495</v>
      </c>
      <c r="D179" s="141">
        <v>3260020012</v>
      </c>
      <c r="E179" s="139" t="s">
        <v>155</v>
      </c>
      <c r="F179" s="139" t="s">
        <v>156</v>
      </c>
      <c r="G179" s="139" t="s">
        <v>279</v>
      </c>
      <c r="H179" s="139" t="s">
        <v>231</v>
      </c>
      <c r="I179" s="139" t="s">
        <v>232</v>
      </c>
    </row>
    <row r="180" spans="1:9" hidden="1" x14ac:dyDescent="0.25">
      <c r="A180" s="139"/>
      <c r="B180" s="140">
        <v>71</v>
      </c>
      <c r="C180" s="139" t="s">
        <v>496</v>
      </c>
      <c r="D180" s="141">
        <v>3331204136</v>
      </c>
      <c r="E180" s="139" t="s">
        <v>155</v>
      </c>
      <c r="F180" s="139" t="s">
        <v>156</v>
      </c>
      <c r="G180" s="139" t="s">
        <v>157</v>
      </c>
      <c r="H180" s="139" t="s">
        <v>192</v>
      </c>
      <c r="I180" s="139" t="s">
        <v>389</v>
      </c>
    </row>
    <row r="181" spans="1:9" hidden="1" x14ac:dyDescent="0.25">
      <c r="A181" s="139"/>
      <c r="B181" s="140">
        <v>6</v>
      </c>
      <c r="C181" s="139" t="s">
        <v>497</v>
      </c>
      <c r="D181" s="141">
        <v>3431610614</v>
      </c>
      <c r="E181" s="139" t="s">
        <v>155</v>
      </c>
      <c r="F181" s="139" t="s">
        <v>156</v>
      </c>
      <c r="G181" s="139" t="s">
        <v>211</v>
      </c>
      <c r="H181" s="139" t="s">
        <v>498</v>
      </c>
      <c r="I181" s="139" t="s">
        <v>499</v>
      </c>
    </row>
    <row r="182" spans="1:9" hidden="1" x14ac:dyDescent="0.25">
      <c r="A182" s="139"/>
      <c r="B182" s="141">
        <v>2289516869</v>
      </c>
      <c r="C182" s="139" t="s">
        <v>500</v>
      </c>
      <c r="D182" s="141">
        <v>2761812887</v>
      </c>
      <c r="E182" s="139" t="s">
        <v>155</v>
      </c>
      <c r="F182" s="139" t="s">
        <v>156</v>
      </c>
      <c r="G182" s="139" t="s">
        <v>160</v>
      </c>
      <c r="H182" s="139" t="s">
        <v>501</v>
      </c>
      <c r="I182" s="139" t="s">
        <v>502</v>
      </c>
    </row>
    <row r="183" spans="1:9" hidden="1" x14ac:dyDescent="0.25">
      <c r="A183" s="139"/>
      <c r="B183" s="140">
        <v>77</v>
      </c>
      <c r="C183" s="139" t="s">
        <v>503</v>
      </c>
      <c r="D183" s="141">
        <v>2992701716</v>
      </c>
      <c r="E183" s="139" t="s">
        <v>155</v>
      </c>
      <c r="F183" s="139" t="s">
        <v>156</v>
      </c>
      <c r="G183" s="139" t="s">
        <v>157</v>
      </c>
      <c r="H183" s="139" t="s">
        <v>158</v>
      </c>
      <c r="I183" s="139" t="s">
        <v>504</v>
      </c>
    </row>
    <row r="184" spans="1:9" hidden="1" x14ac:dyDescent="0.25">
      <c r="A184" s="139"/>
      <c r="B184" s="139" t="s">
        <v>505</v>
      </c>
      <c r="C184" s="139" t="s">
        <v>506</v>
      </c>
      <c r="D184" s="141">
        <v>3012319132</v>
      </c>
      <c r="E184" s="139" t="s">
        <v>129</v>
      </c>
      <c r="F184" s="139"/>
      <c r="G184" s="139"/>
      <c r="H184" s="139"/>
      <c r="I184" s="139"/>
    </row>
    <row r="185" spans="1:9" hidden="1" x14ac:dyDescent="0.25">
      <c r="A185" s="139"/>
      <c r="B185" s="141">
        <v>2289516851</v>
      </c>
      <c r="C185" s="139" t="s">
        <v>507</v>
      </c>
      <c r="D185" s="141">
        <v>2334806973</v>
      </c>
      <c r="E185" s="139" t="s">
        <v>155</v>
      </c>
      <c r="F185" s="139" t="s">
        <v>156</v>
      </c>
      <c r="G185" s="139" t="s">
        <v>382</v>
      </c>
      <c r="H185" s="139" t="s">
        <v>508</v>
      </c>
      <c r="I185" s="139" t="s">
        <v>412</v>
      </c>
    </row>
    <row r="186" spans="1:9" hidden="1" x14ac:dyDescent="0.25">
      <c r="A186" s="139"/>
      <c r="B186" s="140">
        <v>74</v>
      </c>
      <c r="C186" s="139" t="s">
        <v>509</v>
      </c>
      <c r="D186" s="141">
        <v>3488401491</v>
      </c>
      <c r="E186" s="139" t="s">
        <v>155</v>
      </c>
      <c r="F186" s="139" t="s">
        <v>156</v>
      </c>
      <c r="G186" s="139" t="s">
        <v>157</v>
      </c>
      <c r="H186" s="139" t="s">
        <v>158</v>
      </c>
      <c r="I186" s="139" t="s">
        <v>292</v>
      </c>
    </row>
    <row r="187" spans="1:9" hidden="1" x14ac:dyDescent="0.25">
      <c r="A187" s="139"/>
      <c r="B187" s="141">
        <v>2289516834</v>
      </c>
      <c r="C187" s="139" t="s">
        <v>510</v>
      </c>
      <c r="D187" s="141">
        <v>3053103794</v>
      </c>
      <c r="E187" s="139" t="s">
        <v>155</v>
      </c>
      <c r="F187" s="139" t="s">
        <v>156</v>
      </c>
      <c r="G187" s="139" t="s">
        <v>279</v>
      </c>
      <c r="H187" s="139" t="s">
        <v>186</v>
      </c>
      <c r="I187" s="139" t="s">
        <v>187</v>
      </c>
    </row>
    <row r="188" spans="1:9" hidden="1" x14ac:dyDescent="0.25">
      <c r="A188" s="139"/>
      <c r="B188" s="141">
        <v>2289516828</v>
      </c>
      <c r="C188" s="139" t="s">
        <v>511</v>
      </c>
      <c r="D188" s="141">
        <v>2497706673</v>
      </c>
      <c r="E188" s="139" t="s">
        <v>155</v>
      </c>
      <c r="F188" s="139" t="s">
        <v>156</v>
      </c>
      <c r="G188" s="139" t="s">
        <v>215</v>
      </c>
      <c r="H188" s="139" t="s">
        <v>196</v>
      </c>
      <c r="I188" s="139" t="s">
        <v>512</v>
      </c>
    </row>
    <row r="189" spans="1:9" hidden="1" x14ac:dyDescent="0.25">
      <c r="A189" s="139"/>
      <c r="B189" s="141">
        <v>2289516815</v>
      </c>
      <c r="C189" s="139" t="s">
        <v>513</v>
      </c>
      <c r="D189" s="141">
        <v>3412007639</v>
      </c>
      <c r="E189" s="139" t="s">
        <v>155</v>
      </c>
      <c r="F189" s="139" t="s">
        <v>156</v>
      </c>
      <c r="G189" s="139"/>
      <c r="H189" s="139"/>
      <c r="I189" s="139"/>
    </row>
    <row r="190" spans="1:9" hidden="1" x14ac:dyDescent="0.25">
      <c r="A190" s="139"/>
      <c r="B190" s="141">
        <v>2289516859</v>
      </c>
      <c r="C190" s="139" t="s">
        <v>514</v>
      </c>
      <c r="D190" s="141">
        <v>2423910335</v>
      </c>
      <c r="E190" s="139" t="s">
        <v>155</v>
      </c>
      <c r="F190" s="139" t="s">
        <v>156</v>
      </c>
      <c r="G190" s="139" t="s">
        <v>215</v>
      </c>
      <c r="H190" s="139" t="s">
        <v>196</v>
      </c>
      <c r="I190" s="139" t="s">
        <v>515</v>
      </c>
    </row>
    <row r="191" spans="1:9" hidden="1" x14ac:dyDescent="0.25">
      <c r="A191" s="139"/>
      <c r="B191" s="141">
        <v>2289516721</v>
      </c>
      <c r="C191" s="139" t="s">
        <v>516</v>
      </c>
      <c r="D191" s="141">
        <v>3279800477</v>
      </c>
      <c r="E191" s="139" t="s">
        <v>155</v>
      </c>
      <c r="F191" s="139" t="s">
        <v>156</v>
      </c>
      <c r="G191" s="139" t="s">
        <v>242</v>
      </c>
      <c r="H191" s="139" t="s">
        <v>192</v>
      </c>
      <c r="I191" s="139" t="s">
        <v>517</v>
      </c>
    </row>
    <row r="192" spans="1:9" hidden="1" x14ac:dyDescent="0.25">
      <c r="A192" s="139"/>
      <c r="B192" s="141">
        <v>2289516704</v>
      </c>
      <c r="C192" s="139" t="s">
        <v>518</v>
      </c>
      <c r="D192" s="141">
        <v>2466703972</v>
      </c>
      <c r="E192" s="139" t="s">
        <v>155</v>
      </c>
      <c r="F192" s="139" t="s">
        <v>177</v>
      </c>
      <c r="G192" s="139" t="s">
        <v>519</v>
      </c>
      <c r="H192" s="139" t="s">
        <v>243</v>
      </c>
      <c r="I192" s="139" t="s">
        <v>197</v>
      </c>
    </row>
    <row r="193" spans="1:9" hidden="1" x14ac:dyDescent="0.25">
      <c r="A193" s="139"/>
      <c r="B193" s="141">
        <v>2289516745</v>
      </c>
      <c r="C193" s="139" t="s">
        <v>520</v>
      </c>
      <c r="D193" s="141">
        <v>3306506991</v>
      </c>
      <c r="E193" s="139" t="s">
        <v>155</v>
      </c>
      <c r="F193" s="139" t="s">
        <v>156</v>
      </c>
      <c r="G193" s="139" t="s">
        <v>242</v>
      </c>
      <c r="H193" s="139" t="s">
        <v>243</v>
      </c>
      <c r="I193" s="139" t="s">
        <v>521</v>
      </c>
    </row>
    <row r="194" spans="1:9" hidden="1" x14ac:dyDescent="0.25">
      <c r="A194" s="139"/>
      <c r="B194" s="140">
        <v>67</v>
      </c>
      <c r="C194" s="139" t="s">
        <v>522</v>
      </c>
      <c r="D194" s="141">
        <v>2996119832</v>
      </c>
      <c r="E194" s="139" t="s">
        <v>155</v>
      </c>
      <c r="F194" s="139" t="s">
        <v>156</v>
      </c>
      <c r="G194" s="139" t="s">
        <v>157</v>
      </c>
      <c r="H194" s="139" t="s">
        <v>192</v>
      </c>
      <c r="I194" s="139" t="s">
        <v>434</v>
      </c>
    </row>
    <row r="195" spans="1:9" hidden="1" x14ac:dyDescent="0.25">
      <c r="A195" s="139"/>
      <c r="B195" s="140">
        <v>270</v>
      </c>
      <c r="C195" s="139" t="s">
        <v>523</v>
      </c>
      <c r="D195" s="141">
        <v>2737303034</v>
      </c>
      <c r="E195" s="139" t="s">
        <v>155</v>
      </c>
      <c r="F195" s="139" t="s">
        <v>156</v>
      </c>
      <c r="G195" s="139" t="s">
        <v>160</v>
      </c>
      <c r="H195" s="139" t="s">
        <v>322</v>
      </c>
      <c r="I195" s="139" t="s">
        <v>524</v>
      </c>
    </row>
    <row r="196" spans="1:9" hidden="1" x14ac:dyDescent="0.25">
      <c r="A196" s="139"/>
      <c r="B196" s="141">
        <v>2289516826</v>
      </c>
      <c r="C196" s="139" t="s">
        <v>525</v>
      </c>
      <c r="D196" s="141">
        <v>2892401090</v>
      </c>
      <c r="E196" s="139" t="s">
        <v>155</v>
      </c>
      <c r="F196" s="139" t="s">
        <v>156</v>
      </c>
      <c r="G196" s="139" t="s">
        <v>215</v>
      </c>
      <c r="H196" s="139" t="s">
        <v>205</v>
      </c>
      <c r="I196" s="139" t="s">
        <v>391</v>
      </c>
    </row>
    <row r="197" spans="1:9" hidden="1" x14ac:dyDescent="0.25">
      <c r="A197" s="139"/>
      <c r="B197" s="141">
        <v>2289516702</v>
      </c>
      <c r="C197" s="139" t="s">
        <v>526</v>
      </c>
      <c r="D197" s="141">
        <v>2280303036</v>
      </c>
      <c r="E197" s="139" t="s">
        <v>155</v>
      </c>
      <c r="F197" s="139" t="s">
        <v>156</v>
      </c>
      <c r="G197" s="139" t="s">
        <v>199</v>
      </c>
      <c r="H197" s="139" t="s">
        <v>294</v>
      </c>
      <c r="I197" s="139" t="s">
        <v>197</v>
      </c>
    </row>
    <row r="198" spans="1:9" hidden="1" x14ac:dyDescent="0.25">
      <c r="A198" s="139"/>
      <c r="B198" s="140">
        <v>12</v>
      </c>
      <c r="C198" s="139" t="s">
        <v>527</v>
      </c>
      <c r="D198" s="141">
        <v>3262417736</v>
      </c>
      <c r="E198" s="139" t="s">
        <v>155</v>
      </c>
      <c r="F198" s="139" t="s">
        <v>156</v>
      </c>
      <c r="G198" s="139" t="s">
        <v>157</v>
      </c>
      <c r="H198" s="139" t="s">
        <v>158</v>
      </c>
      <c r="I198" s="139" t="s">
        <v>528</v>
      </c>
    </row>
    <row r="199" spans="1:9" hidden="1" x14ac:dyDescent="0.25">
      <c r="A199" s="139"/>
      <c r="B199" s="140">
        <v>9</v>
      </c>
      <c r="C199" s="139" t="s">
        <v>529</v>
      </c>
      <c r="D199" s="141">
        <v>3219619831</v>
      </c>
      <c r="E199" s="139" t="s">
        <v>155</v>
      </c>
      <c r="F199" s="139" t="s">
        <v>156</v>
      </c>
      <c r="G199" s="139" t="s">
        <v>160</v>
      </c>
      <c r="H199" s="139" t="s">
        <v>491</v>
      </c>
      <c r="I199" s="139" t="s">
        <v>367</v>
      </c>
    </row>
    <row r="200" spans="1:9" hidden="1" x14ac:dyDescent="0.25">
      <c r="A200" s="139"/>
      <c r="B200" s="141">
        <v>2289516894</v>
      </c>
      <c r="C200" s="139" t="s">
        <v>530</v>
      </c>
      <c r="D200" s="141">
        <v>2330613175</v>
      </c>
      <c r="E200" s="139" t="s">
        <v>155</v>
      </c>
      <c r="F200" s="139" t="s">
        <v>177</v>
      </c>
      <c r="G200" s="139" t="s">
        <v>242</v>
      </c>
      <c r="H200" s="139" t="s">
        <v>347</v>
      </c>
      <c r="I200" s="139" t="s">
        <v>531</v>
      </c>
    </row>
    <row r="201" spans="1:9" hidden="1" x14ac:dyDescent="0.25">
      <c r="A201" s="139"/>
      <c r="B201" s="141">
        <v>2289516736</v>
      </c>
      <c r="C201" s="139" t="s">
        <v>532</v>
      </c>
      <c r="D201" s="141">
        <v>3012312619</v>
      </c>
      <c r="E201" s="139" t="s">
        <v>155</v>
      </c>
      <c r="F201" s="139" t="s">
        <v>156</v>
      </c>
      <c r="G201" s="139" t="s">
        <v>199</v>
      </c>
      <c r="H201" s="139" t="s">
        <v>205</v>
      </c>
      <c r="I201" s="139" t="s">
        <v>361</v>
      </c>
    </row>
    <row r="202" spans="1:9" hidden="1" x14ac:dyDescent="0.25">
      <c r="A202" s="139"/>
      <c r="B202" s="141">
        <v>2289516848</v>
      </c>
      <c r="C202" s="139" t="s">
        <v>533</v>
      </c>
      <c r="D202" s="139" t="s">
        <v>534</v>
      </c>
      <c r="E202" s="139" t="s">
        <v>155</v>
      </c>
      <c r="F202" s="139" t="s">
        <v>156</v>
      </c>
      <c r="G202" s="139" t="s">
        <v>160</v>
      </c>
      <c r="H202" s="139" t="s">
        <v>311</v>
      </c>
      <c r="I202" s="139" t="s">
        <v>535</v>
      </c>
    </row>
    <row r="203" spans="1:9" hidden="1" x14ac:dyDescent="0.25">
      <c r="A203" s="139"/>
      <c r="B203" s="141">
        <v>2289516727</v>
      </c>
      <c r="C203" s="139" t="s">
        <v>536</v>
      </c>
      <c r="D203" s="141">
        <v>3511802570</v>
      </c>
      <c r="E203" s="139" t="s">
        <v>155</v>
      </c>
      <c r="F203" s="139" t="s">
        <v>156</v>
      </c>
      <c r="G203" s="139" t="s">
        <v>253</v>
      </c>
      <c r="H203" s="139" t="s">
        <v>205</v>
      </c>
      <c r="I203" s="139" t="s">
        <v>537</v>
      </c>
    </row>
    <row r="204" spans="1:9" hidden="1" x14ac:dyDescent="0.25">
      <c r="A204" s="139"/>
      <c r="B204" s="140">
        <v>14</v>
      </c>
      <c r="C204" s="139" t="s">
        <v>538</v>
      </c>
      <c r="D204" s="141">
        <v>3088414251</v>
      </c>
      <c r="E204" s="139" t="s">
        <v>155</v>
      </c>
      <c r="F204" s="139" t="s">
        <v>156</v>
      </c>
      <c r="G204" s="139" t="s">
        <v>160</v>
      </c>
      <c r="H204" s="139" t="s">
        <v>501</v>
      </c>
      <c r="I204" s="139" t="s">
        <v>517</v>
      </c>
    </row>
    <row r="205" spans="1:9" hidden="1" x14ac:dyDescent="0.25">
      <c r="A205" s="139"/>
      <c r="B205" s="140">
        <v>20</v>
      </c>
      <c r="C205" s="139" t="s">
        <v>539</v>
      </c>
      <c r="D205" s="141">
        <v>2899410750</v>
      </c>
      <c r="E205" s="139" t="s">
        <v>155</v>
      </c>
      <c r="F205" s="139" t="s">
        <v>156</v>
      </c>
      <c r="G205" s="139" t="s">
        <v>160</v>
      </c>
      <c r="H205" s="139" t="s">
        <v>540</v>
      </c>
      <c r="I205" s="139" t="s">
        <v>541</v>
      </c>
    </row>
    <row r="206" spans="1:9" hidden="1" x14ac:dyDescent="0.25">
      <c r="A206" s="139"/>
      <c r="B206" s="141">
        <v>2289516772</v>
      </c>
      <c r="C206" s="139" t="s">
        <v>542</v>
      </c>
      <c r="D206" s="141">
        <v>3147001852</v>
      </c>
      <c r="E206" s="139" t="s">
        <v>155</v>
      </c>
      <c r="F206" s="139" t="s">
        <v>156</v>
      </c>
      <c r="G206" s="139" t="s">
        <v>160</v>
      </c>
      <c r="H206" s="139" t="s">
        <v>543</v>
      </c>
      <c r="I206" s="139" t="s">
        <v>544</v>
      </c>
    </row>
    <row r="207" spans="1:9" hidden="1" x14ac:dyDescent="0.25">
      <c r="A207" s="139"/>
      <c r="B207" s="141">
        <v>2289516835</v>
      </c>
      <c r="C207" s="139" t="s">
        <v>545</v>
      </c>
      <c r="D207" s="141">
        <v>3445011803</v>
      </c>
      <c r="E207" s="139" t="s">
        <v>155</v>
      </c>
      <c r="F207" s="139" t="s">
        <v>156</v>
      </c>
      <c r="G207" s="139" t="s">
        <v>160</v>
      </c>
      <c r="H207" s="139" t="s">
        <v>546</v>
      </c>
      <c r="I207" s="139" t="s">
        <v>547</v>
      </c>
    </row>
    <row r="208" spans="1:9" hidden="1" x14ac:dyDescent="0.25">
      <c r="A208" s="139"/>
      <c r="B208" s="140">
        <v>50</v>
      </c>
      <c r="C208" s="139" t="s">
        <v>106</v>
      </c>
      <c r="D208" s="141">
        <v>2934817349</v>
      </c>
      <c r="E208" s="139" t="s">
        <v>155</v>
      </c>
      <c r="F208" s="139" t="s">
        <v>156</v>
      </c>
      <c r="G208" s="139" t="s">
        <v>160</v>
      </c>
      <c r="H208" s="139" t="s">
        <v>284</v>
      </c>
      <c r="I208" s="139" t="s">
        <v>247</v>
      </c>
    </row>
    <row r="209" spans="1:9" hidden="1" x14ac:dyDescent="0.25">
      <c r="A209" s="139"/>
      <c r="B209" s="141">
        <v>2289516870</v>
      </c>
      <c r="C209" s="139" t="s">
        <v>548</v>
      </c>
      <c r="D209" s="141">
        <v>3117410479</v>
      </c>
      <c r="E209" s="139" t="s">
        <v>155</v>
      </c>
      <c r="F209" s="139" t="s">
        <v>177</v>
      </c>
      <c r="G209" s="139" t="s">
        <v>160</v>
      </c>
      <c r="H209" s="139" t="s">
        <v>322</v>
      </c>
      <c r="I209" s="139" t="s">
        <v>387</v>
      </c>
    </row>
    <row r="210" spans="1:9" hidden="1" x14ac:dyDescent="0.25">
      <c r="A210" s="139"/>
      <c r="B210" s="141">
        <v>2289516790</v>
      </c>
      <c r="C210" s="139" t="s">
        <v>549</v>
      </c>
      <c r="D210" s="141">
        <v>3585104756</v>
      </c>
      <c r="E210" s="139" t="s">
        <v>155</v>
      </c>
      <c r="F210" s="139" t="s">
        <v>156</v>
      </c>
      <c r="G210" s="139" t="s">
        <v>199</v>
      </c>
      <c r="H210" s="139" t="s">
        <v>231</v>
      </c>
      <c r="I210" s="139" t="s">
        <v>550</v>
      </c>
    </row>
    <row r="211" spans="1:9" hidden="1" x14ac:dyDescent="0.25">
      <c r="A211" s="139"/>
      <c r="B211" s="141">
        <v>2289516841</v>
      </c>
      <c r="C211" s="139" t="s">
        <v>551</v>
      </c>
      <c r="D211" s="141">
        <v>3185815676</v>
      </c>
      <c r="E211" s="139" t="s">
        <v>155</v>
      </c>
      <c r="F211" s="139" t="s">
        <v>156</v>
      </c>
      <c r="G211" s="139" t="s">
        <v>552</v>
      </c>
      <c r="H211" s="139" t="s">
        <v>231</v>
      </c>
      <c r="I211" s="139" t="s">
        <v>553</v>
      </c>
    </row>
    <row r="212" spans="1:9" hidden="1" x14ac:dyDescent="0.25">
      <c r="A212" s="139"/>
      <c r="B212" s="141">
        <v>2289516782</v>
      </c>
      <c r="C212" s="139" t="s">
        <v>554</v>
      </c>
      <c r="D212" s="141">
        <v>3032615479</v>
      </c>
      <c r="E212" s="139" t="s">
        <v>155</v>
      </c>
      <c r="F212" s="139" t="s">
        <v>156</v>
      </c>
      <c r="G212" s="139" t="s">
        <v>242</v>
      </c>
      <c r="H212" s="139" t="s">
        <v>243</v>
      </c>
      <c r="I212" s="139" t="s">
        <v>555</v>
      </c>
    </row>
    <row r="213" spans="1:9" hidden="1" x14ac:dyDescent="0.25">
      <c r="A213" s="139"/>
      <c r="B213" s="140">
        <v>51</v>
      </c>
      <c r="C213" s="139" t="s">
        <v>556</v>
      </c>
      <c r="D213" s="141">
        <v>2496503857</v>
      </c>
      <c r="E213" s="139" t="s">
        <v>155</v>
      </c>
      <c r="F213" s="139" t="s">
        <v>177</v>
      </c>
      <c r="G213" s="139" t="s">
        <v>281</v>
      </c>
      <c r="H213" s="139" t="s">
        <v>196</v>
      </c>
      <c r="I213" s="139" t="s">
        <v>282</v>
      </c>
    </row>
    <row r="214" spans="1:9" hidden="1" x14ac:dyDescent="0.25">
      <c r="A214" s="139"/>
      <c r="B214" s="140">
        <v>21</v>
      </c>
      <c r="C214" s="139" t="s">
        <v>557</v>
      </c>
      <c r="D214" s="141">
        <v>3721607198</v>
      </c>
      <c r="E214" s="139" t="s">
        <v>155</v>
      </c>
      <c r="F214" s="139" t="s">
        <v>156</v>
      </c>
      <c r="G214" s="139" t="s">
        <v>211</v>
      </c>
      <c r="H214" s="139" t="s">
        <v>558</v>
      </c>
      <c r="I214" s="139" t="s">
        <v>345</v>
      </c>
    </row>
    <row r="215" spans="1:9" hidden="1" x14ac:dyDescent="0.25">
      <c r="A215" s="139"/>
      <c r="B215" s="141">
        <v>2289516866</v>
      </c>
      <c r="C215" s="139" t="s">
        <v>559</v>
      </c>
      <c r="D215" s="141">
        <v>2437911836</v>
      </c>
      <c r="E215" s="139" t="s">
        <v>155</v>
      </c>
      <c r="F215" s="139" t="s">
        <v>177</v>
      </c>
      <c r="G215" s="139" t="s">
        <v>195</v>
      </c>
      <c r="H215" s="139" t="s">
        <v>359</v>
      </c>
      <c r="I215" s="139" t="s">
        <v>560</v>
      </c>
    </row>
    <row r="216" spans="1:9" hidden="1" x14ac:dyDescent="0.25">
      <c r="A216" s="139"/>
      <c r="B216" s="140">
        <v>63</v>
      </c>
      <c r="C216" s="139" t="s">
        <v>107</v>
      </c>
      <c r="D216" s="141">
        <v>3233009756</v>
      </c>
      <c r="E216" s="139" t="s">
        <v>155</v>
      </c>
      <c r="F216" s="139" t="s">
        <v>156</v>
      </c>
      <c r="G216" s="139" t="s">
        <v>157</v>
      </c>
      <c r="H216" s="139" t="s">
        <v>192</v>
      </c>
      <c r="I216" s="139" t="s">
        <v>561</v>
      </c>
    </row>
    <row r="217" spans="1:9" hidden="1" x14ac:dyDescent="0.25">
      <c r="A217" s="139"/>
      <c r="B217" s="140">
        <v>73</v>
      </c>
      <c r="C217" s="139" t="s">
        <v>108</v>
      </c>
      <c r="D217" s="141">
        <v>3153508799</v>
      </c>
      <c r="E217" s="139" t="s">
        <v>155</v>
      </c>
      <c r="F217" s="139" t="s">
        <v>156</v>
      </c>
      <c r="G217" s="139" t="s">
        <v>157</v>
      </c>
      <c r="H217" s="139" t="s">
        <v>158</v>
      </c>
      <c r="I217" s="139" t="s">
        <v>562</v>
      </c>
    </row>
    <row r="218" spans="1:9" hidden="1" x14ac:dyDescent="0.25">
      <c r="A218" s="139"/>
      <c r="B218" s="141">
        <v>2289516844</v>
      </c>
      <c r="C218" s="139" t="s">
        <v>563</v>
      </c>
      <c r="D218" s="141">
        <v>3503203776</v>
      </c>
      <c r="E218" s="139" t="s">
        <v>155</v>
      </c>
      <c r="F218" s="139" t="s">
        <v>156</v>
      </c>
      <c r="G218" s="139" t="s">
        <v>215</v>
      </c>
      <c r="H218" s="139" t="s">
        <v>205</v>
      </c>
      <c r="I218" s="139" t="s">
        <v>472</v>
      </c>
    </row>
    <row r="219" spans="1:9" hidden="1" x14ac:dyDescent="0.25">
      <c r="A219" s="139"/>
      <c r="B219" s="140">
        <v>275</v>
      </c>
      <c r="C219" s="139" t="s">
        <v>564</v>
      </c>
      <c r="D219" s="141">
        <v>3134414385</v>
      </c>
      <c r="E219" s="139" t="s">
        <v>155</v>
      </c>
      <c r="F219" s="139" t="s">
        <v>156</v>
      </c>
      <c r="G219" s="139" t="s">
        <v>160</v>
      </c>
      <c r="H219" s="139" t="s">
        <v>208</v>
      </c>
      <c r="I219" s="139" t="s">
        <v>565</v>
      </c>
    </row>
    <row r="220" spans="1:9" hidden="1" x14ac:dyDescent="0.25">
      <c r="A220" s="139"/>
      <c r="B220" s="140">
        <v>76</v>
      </c>
      <c r="C220" s="139" t="s">
        <v>109</v>
      </c>
      <c r="D220" s="141">
        <v>3428705315</v>
      </c>
      <c r="E220" s="139" t="s">
        <v>155</v>
      </c>
      <c r="F220" s="139" t="s">
        <v>156</v>
      </c>
      <c r="G220" s="139" t="s">
        <v>157</v>
      </c>
      <c r="H220" s="139" t="s">
        <v>158</v>
      </c>
      <c r="I220" s="139" t="s">
        <v>566</v>
      </c>
    </row>
    <row r="221" spans="1:9" hidden="1" x14ac:dyDescent="0.25">
      <c r="A221" s="139"/>
      <c r="B221" s="140">
        <v>10</v>
      </c>
      <c r="C221" s="139" t="s">
        <v>567</v>
      </c>
      <c r="D221" s="141">
        <v>3256517677</v>
      </c>
      <c r="E221" s="139" t="s">
        <v>155</v>
      </c>
      <c r="F221" s="139" t="s">
        <v>156</v>
      </c>
      <c r="G221" s="139" t="s">
        <v>211</v>
      </c>
      <c r="H221" s="139" t="s">
        <v>411</v>
      </c>
      <c r="I221" s="139" t="s">
        <v>354</v>
      </c>
    </row>
    <row r="222" spans="1:9" hidden="1" x14ac:dyDescent="0.25">
      <c r="A222" s="139"/>
      <c r="B222" s="140">
        <v>15</v>
      </c>
      <c r="C222" s="139" t="s">
        <v>568</v>
      </c>
      <c r="D222" s="141">
        <v>3189201728</v>
      </c>
      <c r="E222" s="139" t="s">
        <v>155</v>
      </c>
      <c r="F222" s="139" t="s">
        <v>156</v>
      </c>
      <c r="G222" s="139" t="s">
        <v>211</v>
      </c>
      <c r="H222" s="139" t="s">
        <v>428</v>
      </c>
      <c r="I222" s="139" t="s">
        <v>453</v>
      </c>
    </row>
    <row r="223" spans="1:9" hidden="1" x14ac:dyDescent="0.25">
      <c r="A223" s="139"/>
      <c r="B223" s="140">
        <v>222</v>
      </c>
      <c r="C223" s="139" t="s">
        <v>569</v>
      </c>
      <c r="D223" s="141">
        <v>2505004717</v>
      </c>
      <c r="E223" s="139" t="s">
        <v>155</v>
      </c>
      <c r="F223" s="139" t="s">
        <v>156</v>
      </c>
      <c r="G223" s="139" t="s">
        <v>253</v>
      </c>
      <c r="H223" s="139" t="s">
        <v>220</v>
      </c>
      <c r="I223" s="139" t="s">
        <v>570</v>
      </c>
    </row>
    <row r="224" spans="1:9" hidden="1" x14ac:dyDescent="0.25">
      <c r="A224" s="139"/>
      <c r="B224" s="141">
        <v>2289516806</v>
      </c>
      <c r="C224" s="139" t="s">
        <v>571</v>
      </c>
      <c r="D224" s="141">
        <v>2637122794</v>
      </c>
      <c r="E224" s="139" t="s">
        <v>155</v>
      </c>
      <c r="F224" s="139" t="s">
        <v>156</v>
      </c>
      <c r="G224" s="139" t="s">
        <v>215</v>
      </c>
      <c r="H224" s="139" t="s">
        <v>231</v>
      </c>
      <c r="I224" s="139" t="s">
        <v>234</v>
      </c>
    </row>
    <row r="225" spans="1:9" hidden="1" x14ac:dyDescent="0.25">
      <c r="A225" s="139"/>
      <c r="B225" s="141">
        <v>2289516775</v>
      </c>
      <c r="C225" s="139" t="s">
        <v>572</v>
      </c>
      <c r="D225" s="141">
        <v>3113516269</v>
      </c>
      <c r="E225" s="139" t="s">
        <v>155</v>
      </c>
      <c r="F225" s="139" t="s">
        <v>156</v>
      </c>
      <c r="G225" s="139" t="s">
        <v>160</v>
      </c>
      <c r="H225" s="139" t="s">
        <v>573</v>
      </c>
      <c r="I225" s="139" t="s">
        <v>574</v>
      </c>
    </row>
    <row r="226" spans="1:9" hidden="1" x14ac:dyDescent="0.25">
      <c r="A226" s="139"/>
      <c r="B226" s="139" t="s">
        <v>575</v>
      </c>
      <c r="C226" s="139" t="s">
        <v>576</v>
      </c>
      <c r="D226" s="141">
        <v>2358615949</v>
      </c>
      <c r="E226" s="139" t="s">
        <v>129</v>
      </c>
      <c r="F226" s="139"/>
      <c r="G226" s="139"/>
      <c r="H226" s="139"/>
      <c r="I226" s="139"/>
    </row>
    <row r="227" spans="1:9" hidden="1" x14ac:dyDescent="0.25">
      <c r="A227" s="139"/>
      <c r="B227" s="141">
        <v>2289516786</v>
      </c>
      <c r="C227" s="139" t="s">
        <v>577</v>
      </c>
      <c r="D227" s="141">
        <v>3243620671</v>
      </c>
      <c r="E227" s="139" t="s">
        <v>155</v>
      </c>
      <c r="F227" s="139" t="s">
        <v>156</v>
      </c>
      <c r="G227" s="139" t="s">
        <v>185</v>
      </c>
      <c r="H227" s="139" t="s">
        <v>243</v>
      </c>
      <c r="I227" s="139" t="s">
        <v>578</v>
      </c>
    </row>
    <row r="228" spans="1:9" hidden="1" x14ac:dyDescent="0.25">
      <c r="A228" s="139"/>
      <c r="B228" s="141">
        <v>2289516700</v>
      </c>
      <c r="C228" s="139" t="s">
        <v>579</v>
      </c>
      <c r="D228" s="141">
        <v>2546110595</v>
      </c>
      <c r="E228" s="139" t="s">
        <v>155</v>
      </c>
      <c r="F228" s="139" t="s">
        <v>156</v>
      </c>
      <c r="G228" s="139" t="s">
        <v>215</v>
      </c>
      <c r="H228" s="139" t="s">
        <v>580</v>
      </c>
      <c r="I228" s="139" t="s">
        <v>197</v>
      </c>
    </row>
    <row r="229" spans="1:9" hidden="1" x14ac:dyDescent="0.25">
      <c r="A229" s="139"/>
      <c r="B229" s="139" t="s">
        <v>581</v>
      </c>
      <c r="C229" s="139" t="s">
        <v>582</v>
      </c>
      <c r="D229" s="141">
        <v>2546110595</v>
      </c>
      <c r="E229" s="139" t="s">
        <v>129</v>
      </c>
      <c r="F229" s="139"/>
      <c r="G229" s="139"/>
      <c r="H229" s="139"/>
      <c r="I229" s="139"/>
    </row>
    <row r="230" spans="1:9" hidden="1" x14ac:dyDescent="0.25">
      <c r="A230" s="139"/>
      <c r="B230" s="141">
        <v>2289516698</v>
      </c>
      <c r="C230" s="139" t="s">
        <v>583</v>
      </c>
      <c r="D230" s="141">
        <v>3245617255</v>
      </c>
      <c r="E230" s="139" t="s">
        <v>155</v>
      </c>
      <c r="F230" s="139" t="s">
        <v>156</v>
      </c>
      <c r="G230" s="139" t="s">
        <v>199</v>
      </c>
      <c r="H230" s="139" t="s">
        <v>231</v>
      </c>
      <c r="I230" s="139" t="s">
        <v>272</v>
      </c>
    </row>
    <row r="231" spans="1:9" hidden="1" x14ac:dyDescent="0.25">
      <c r="A231" s="139"/>
      <c r="B231" s="140">
        <v>32</v>
      </c>
      <c r="C231" s="139" t="s">
        <v>584</v>
      </c>
      <c r="D231" s="141">
        <v>2796314998</v>
      </c>
      <c r="E231" s="139" t="s">
        <v>155</v>
      </c>
      <c r="F231" s="139" t="s">
        <v>156</v>
      </c>
      <c r="G231" s="139" t="s">
        <v>199</v>
      </c>
      <c r="H231" s="139" t="s">
        <v>294</v>
      </c>
      <c r="I231" s="139" t="s">
        <v>585</v>
      </c>
    </row>
    <row r="232" spans="1:9" hidden="1" x14ac:dyDescent="0.25">
      <c r="A232" s="139"/>
      <c r="B232" s="141">
        <v>2289516730</v>
      </c>
      <c r="C232" s="139" t="s">
        <v>586</v>
      </c>
      <c r="D232" s="141">
        <v>3406013131</v>
      </c>
      <c r="E232" s="139" t="s">
        <v>155</v>
      </c>
      <c r="F232" s="139" t="s">
        <v>156</v>
      </c>
      <c r="G232" s="139" t="s">
        <v>199</v>
      </c>
      <c r="H232" s="139" t="s">
        <v>231</v>
      </c>
      <c r="I232" s="139" t="s">
        <v>587</v>
      </c>
    </row>
    <row r="233" spans="1:9" hidden="1" x14ac:dyDescent="0.25">
      <c r="A233" s="139"/>
      <c r="B233" s="140">
        <v>55</v>
      </c>
      <c r="C233" s="139" t="s">
        <v>110</v>
      </c>
      <c r="D233" s="141">
        <v>2935421830</v>
      </c>
      <c r="E233" s="139" t="s">
        <v>155</v>
      </c>
      <c r="F233" s="139" t="s">
        <v>156</v>
      </c>
      <c r="G233" s="139" t="s">
        <v>160</v>
      </c>
      <c r="H233" s="139" t="s">
        <v>223</v>
      </c>
      <c r="I233" s="139" t="s">
        <v>588</v>
      </c>
    </row>
    <row r="234" spans="1:9" hidden="1" x14ac:dyDescent="0.25">
      <c r="A234" s="139"/>
      <c r="B234" s="140">
        <v>64</v>
      </c>
      <c r="C234" s="139" t="s">
        <v>111</v>
      </c>
      <c r="D234" s="141">
        <v>2858519154</v>
      </c>
      <c r="E234" s="139" t="s">
        <v>155</v>
      </c>
      <c r="F234" s="139" t="s">
        <v>156</v>
      </c>
      <c r="G234" s="139" t="s">
        <v>160</v>
      </c>
      <c r="H234" s="139" t="s">
        <v>589</v>
      </c>
      <c r="I234" s="139" t="s">
        <v>590</v>
      </c>
    </row>
    <row r="235" spans="1:9" hidden="1" x14ac:dyDescent="0.25">
      <c r="A235" s="139"/>
      <c r="B235" s="141">
        <v>2289516831</v>
      </c>
      <c r="C235" s="139" t="s">
        <v>591</v>
      </c>
      <c r="D235" s="141">
        <v>2222811999</v>
      </c>
      <c r="E235" s="139" t="s">
        <v>155</v>
      </c>
      <c r="F235" s="139" t="s">
        <v>156</v>
      </c>
      <c r="G235" s="139" t="s">
        <v>215</v>
      </c>
      <c r="H235" s="139" t="s">
        <v>196</v>
      </c>
      <c r="I235" s="139" t="s">
        <v>592</v>
      </c>
    </row>
    <row r="236" spans="1:9" hidden="1" x14ac:dyDescent="0.25">
      <c r="A236" s="139"/>
      <c r="B236" s="141">
        <v>2289516739</v>
      </c>
      <c r="C236" s="139" t="s">
        <v>593</v>
      </c>
      <c r="D236" s="141">
        <v>3194113635</v>
      </c>
      <c r="E236" s="139" t="s">
        <v>155</v>
      </c>
      <c r="F236" s="139" t="s">
        <v>156</v>
      </c>
      <c r="G236" s="139" t="s">
        <v>271</v>
      </c>
      <c r="H236" s="139" t="s">
        <v>349</v>
      </c>
      <c r="I236" s="139" t="s">
        <v>594</v>
      </c>
    </row>
    <row r="237" spans="1:9" hidden="1" x14ac:dyDescent="0.25">
      <c r="A237" s="139"/>
      <c r="B237" s="141">
        <v>2289516862</v>
      </c>
      <c r="C237" s="139" t="s">
        <v>595</v>
      </c>
      <c r="D237" s="141">
        <v>2326214630</v>
      </c>
      <c r="E237" s="139" t="s">
        <v>155</v>
      </c>
      <c r="F237" s="139" t="s">
        <v>156</v>
      </c>
      <c r="G237" s="139" t="s">
        <v>382</v>
      </c>
      <c r="H237" s="139" t="s">
        <v>220</v>
      </c>
      <c r="I237" s="139" t="s">
        <v>487</v>
      </c>
    </row>
    <row r="238" spans="1:9" hidden="1" x14ac:dyDescent="0.25">
      <c r="A238" s="139"/>
      <c r="B238" s="141">
        <v>2289516881</v>
      </c>
      <c r="C238" s="139" t="s">
        <v>596</v>
      </c>
      <c r="D238" s="141">
        <v>2913111811</v>
      </c>
      <c r="E238" s="139" t="s">
        <v>155</v>
      </c>
      <c r="F238" s="139" t="s">
        <v>156</v>
      </c>
      <c r="G238" s="139" t="s">
        <v>160</v>
      </c>
      <c r="H238" s="139" t="s">
        <v>597</v>
      </c>
      <c r="I238" s="139" t="s">
        <v>598</v>
      </c>
    </row>
    <row r="239" spans="1:9" hidden="1" x14ac:dyDescent="0.25">
      <c r="A239" s="139"/>
      <c r="B239" s="140">
        <v>18</v>
      </c>
      <c r="C239" s="139" t="s">
        <v>596</v>
      </c>
      <c r="D239" s="141">
        <v>2913111811</v>
      </c>
      <c r="E239" s="139" t="s">
        <v>155</v>
      </c>
      <c r="F239" s="139" t="s">
        <v>177</v>
      </c>
      <c r="G239" s="139" t="s">
        <v>160</v>
      </c>
      <c r="H239" s="139" t="s">
        <v>501</v>
      </c>
      <c r="I239" s="139" t="s">
        <v>181</v>
      </c>
    </row>
    <row r="240" spans="1:9" hidden="1" x14ac:dyDescent="0.25">
      <c r="A240" s="139"/>
      <c r="B240" s="140">
        <v>52</v>
      </c>
      <c r="C240" s="139" t="s">
        <v>599</v>
      </c>
      <c r="D240" s="141">
        <v>3043701165</v>
      </c>
      <c r="E240" s="139" t="s">
        <v>155</v>
      </c>
      <c r="F240" s="139" t="s">
        <v>156</v>
      </c>
      <c r="G240" s="139" t="s">
        <v>160</v>
      </c>
      <c r="H240" s="139" t="s">
        <v>284</v>
      </c>
      <c r="I240" s="139" t="s">
        <v>600</v>
      </c>
    </row>
    <row r="241" spans="1:9" hidden="1" x14ac:dyDescent="0.25">
      <c r="A241" s="139"/>
      <c r="B241" s="141">
        <v>2289516768</v>
      </c>
      <c r="C241" s="139" t="s">
        <v>601</v>
      </c>
      <c r="D241" s="141">
        <v>3464910279</v>
      </c>
      <c r="E241" s="139" t="s">
        <v>155</v>
      </c>
      <c r="F241" s="139" t="s">
        <v>156</v>
      </c>
      <c r="G241" s="139" t="s">
        <v>253</v>
      </c>
      <c r="H241" s="139" t="s">
        <v>192</v>
      </c>
      <c r="I241" s="139" t="s">
        <v>602</v>
      </c>
    </row>
    <row r="242" spans="1:9" hidden="1" x14ac:dyDescent="0.25">
      <c r="A242" s="139"/>
      <c r="B242" s="140">
        <v>12</v>
      </c>
      <c r="C242" s="139" t="s">
        <v>603</v>
      </c>
      <c r="D242" s="141">
        <v>2682404875</v>
      </c>
      <c r="E242" s="139" t="s">
        <v>155</v>
      </c>
      <c r="F242" s="139" t="s">
        <v>156</v>
      </c>
      <c r="G242" s="139" t="s">
        <v>160</v>
      </c>
      <c r="H242" s="139" t="s">
        <v>196</v>
      </c>
      <c r="I242" s="139" t="s">
        <v>178</v>
      </c>
    </row>
    <row r="243" spans="1:9" hidden="1" x14ac:dyDescent="0.25">
      <c r="A243" s="139"/>
      <c r="B243" s="141">
        <v>2289516800</v>
      </c>
      <c r="C243" s="139" t="s">
        <v>604</v>
      </c>
      <c r="D243" s="141">
        <v>2682404875</v>
      </c>
      <c r="E243" s="139" t="s">
        <v>155</v>
      </c>
      <c r="F243" s="139" t="s">
        <v>177</v>
      </c>
      <c r="G243" s="139" t="s">
        <v>160</v>
      </c>
      <c r="H243" s="139" t="s">
        <v>196</v>
      </c>
      <c r="I243" s="139" t="s">
        <v>178</v>
      </c>
    </row>
    <row r="244" spans="1:9" hidden="1" x14ac:dyDescent="0.25">
      <c r="A244" s="139"/>
      <c r="B244" s="140">
        <v>20</v>
      </c>
      <c r="C244" s="139" t="s">
        <v>605</v>
      </c>
      <c r="D244" s="141">
        <v>2682404875</v>
      </c>
      <c r="E244" s="139" t="s">
        <v>155</v>
      </c>
      <c r="F244" s="139" t="s">
        <v>177</v>
      </c>
      <c r="G244" s="139" t="s">
        <v>160</v>
      </c>
      <c r="H244" s="139" t="s">
        <v>259</v>
      </c>
      <c r="I244" s="139" t="s">
        <v>213</v>
      </c>
    </row>
    <row r="245" spans="1:9" hidden="1" x14ac:dyDescent="0.25">
      <c r="A245" s="139"/>
      <c r="B245" s="141">
        <v>2289516783</v>
      </c>
      <c r="C245" s="139" t="s">
        <v>606</v>
      </c>
      <c r="D245" s="141">
        <v>2650516427</v>
      </c>
      <c r="E245" s="139" t="s">
        <v>155</v>
      </c>
      <c r="F245" s="139" t="s">
        <v>156</v>
      </c>
      <c r="G245" s="139" t="s">
        <v>160</v>
      </c>
      <c r="H245" s="139" t="s">
        <v>284</v>
      </c>
      <c r="I245" s="139" t="s">
        <v>607</v>
      </c>
    </row>
    <row r="246" spans="1:9" hidden="1" x14ac:dyDescent="0.25">
      <c r="A246" s="139"/>
      <c r="B246" s="141">
        <v>2289516840</v>
      </c>
      <c r="C246" s="139" t="s">
        <v>608</v>
      </c>
      <c r="D246" s="141">
        <v>2773301332</v>
      </c>
      <c r="E246" s="139" t="s">
        <v>155</v>
      </c>
      <c r="F246" s="139" t="s">
        <v>156</v>
      </c>
      <c r="G246" s="139" t="s">
        <v>160</v>
      </c>
      <c r="H246" s="139" t="s">
        <v>349</v>
      </c>
      <c r="I246" s="139" t="s">
        <v>588</v>
      </c>
    </row>
    <row r="247" spans="1:9" hidden="1" x14ac:dyDescent="0.25">
      <c r="A247" s="139"/>
      <c r="B247" s="139" t="s">
        <v>609</v>
      </c>
      <c r="C247" s="139" t="s">
        <v>610</v>
      </c>
      <c r="D247" s="141">
        <v>2773301332</v>
      </c>
      <c r="E247" s="139" t="s">
        <v>129</v>
      </c>
      <c r="F247" s="139"/>
      <c r="G247" s="139"/>
      <c r="H247" s="139"/>
      <c r="I247" s="139"/>
    </row>
    <row r="248" spans="1:9" hidden="1" x14ac:dyDescent="0.25">
      <c r="A248" s="139"/>
      <c r="B248" s="140">
        <v>60</v>
      </c>
      <c r="C248" s="139" t="s">
        <v>45</v>
      </c>
      <c r="D248" s="141">
        <v>2537500655</v>
      </c>
      <c r="E248" s="139" t="s">
        <v>155</v>
      </c>
      <c r="F248" s="139" t="s">
        <v>156</v>
      </c>
      <c r="G248" s="139" t="s">
        <v>157</v>
      </c>
      <c r="H248" s="139" t="s">
        <v>611</v>
      </c>
      <c r="I248" s="139" t="s">
        <v>612</v>
      </c>
    </row>
    <row r="249" spans="1:9" hidden="1" x14ac:dyDescent="0.25">
      <c r="A249" s="139"/>
      <c r="B249" s="141">
        <v>2289516712</v>
      </c>
      <c r="C249" s="139" t="s">
        <v>613</v>
      </c>
      <c r="D249" s="141">
        <v>2563423013</v>
      </c>
      <c r="E249" s="139" t="s">
        <v>155</v>
      </c>
      <c r="F249" s="139" t="s">
        <v>156</v>
      </c>
      <c r="G249" s="139" t="s">
        <v>253</v>
      </c>
      <c r="H249" s="139" t="s">
        <v>196</v>
      </c>
      <c r="I249" s="139" t="s">
        <v>614</v>
      </c>
    </row>
    <row r="250" spans="1:9" hidden="1" x14ac:dyDescent="0.25">
      <c r="A250" s="139"/>
      <c r="B250" s="141">
        <v>2289516719</v>
      </c>
      <c r="C250" s="139" t="s">
        <v>615</v>
      </c>
      <c r="D250" s="141">
        <v>3330011315</v>
      </c>
      <c r="E250" s="139" t="s">
        <v>155</v>
      </c>
      <c r="F250" s="139" t="s">
        <v>156</v>
      </c>
      <c r="G250" s="139" t="s">
        <v>199</v>
      </c>
      <c r="H250" s="139" t="s">
        <v>231</v>
      </c>
      <c r="I250" s="139" t="s">
        <v>254</v>
      </c>
    </row>
  </sheetData>
  <autoFilter ref="A1:I250" xr:uid="{00000000-0009-0000-0000-000000000000}">
    <filterColumn colId="2">
      <filters>
        <filter val="Костенко Костянтин Юрійович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3"/>
  <dimension ref="B2:K46"/>
  <sheetViews>
    <sheetView workbookViewId="0">
      <selection activeCell="C2" sqref="C2"/>
    </sheetView>
  </sheetViews>
  <sheetFormatPr defaultRowHeight="15" x14ac:dyDescent="0.25"/>
  <cols>
    <col min="3" max="3" width="27.5703125" bestFit="1" customWidth="1"/>
    <col min="6" max="6" width="7.85546875" bestFit="1" customWidth="1"/>
    <col min="9" max="9" width="34.5703125" bestFit="1" customWidth="1"/>
    <col min="10" max="10" width="9" bestFit="1" customWidth="1"/>
    <col min="11" max="11" width="11" bestFit="1" customWidth="1"/>
  </cols>
  <sheetData>
    <row r="2" spans="2:11" x14ac:dyDescent="0.25">
      <c r="B2" s="126" t="s">
        <v>1</v>
      </c>
      <c r="C2" s="126" t="s">
        <v>99</v>
      </c>
      <c r="D2" s="126" t="s">
        <v>100</v>
      </c>
      <c r="E2" s="126" t="s">
        <v>101</v>
      </c>
      <c r="F2" s="127" t="s">
        <v>102</v>
      </c>
      <c r="G2" s="127" t="s">
        <v>103</v>
      </c>
      <c r="J2" t="s">
        <v>117</v>
      </c>
    </row>
    <row r="3" spans="2:11" x14ac:dyDescent="0.25">
      <c r="B3" s="128">
        <v>1</v>
      </c>
      <c r="C3" s="129" t="s">
        <v>104</v>
      </c>
      <c r="D3" s="129" t="s">
        <v>105</v>
      </c>
      <c r="E3" s="130">
        <v>661</v>
      </c>
      <c r="F3" s="131">
        <v>4326</v>
      </c>
      <c r="G3" s="132"/>
      <c r="H3" t="e">
        <f>MATCH(I3,#REF!,0)</f>
        <v>#REF!</v>
      </c>
      <c r="I3" t="str">
        <f t="shared" ref="I3:I44" si="0">TRIM(C3)</f>
        <v>Аксенчіков Сергій Олександрович</v>
      </c>
      <c r="J3">
        <v>1</v>
      </c>
    </row>
    <row r="4" spans="2:11" x14ac:dyDescent="0.25">
      <c r="B4" s="128">
        <v>2</v>
      </c>
      <c r="C4" s="129" t="s">
        <v>188</v>
      </c>
      <c r="D4" s="129" t="s">
        <v>105</v>
      </c>
      <c r="E4" s="130">
        <v>661</v>
      </c>
      <c r="F4" s="131">
        <v>3990</v>
      </c>
      <c r="G4" s="132"/>
      <c r="H4" t="e">
        <f>MATCH(I4,#REF!,0)</f>
        <v>#REF!</v>
      </c>
      <c r="I4" t="str">
        <f t="shared" si="0"/>
        <v>Бабіленко Микола Олександрович</v>
      </c>
      <c r="K4">
        <f>INDEX(Лист2!D:D,MATCH(C4,Лист2!C:C,0))</f>
        <v>2564424513</v>
      </c>
    </row>
    <row r="5" spans="2:11" x14ac:dyDescent="0.25">
      <c r="B5" s="128">
        <v>3</v>
      </c>
      <c r="C5" s="129" t="s">
        <v>191</v>
      </c>
      <c r="D5" s="129" t="s">
        <v>105</v>
      </c>
      <c r="E5" s="130">
        <v>661</v>
      </c>
      <c r="F5" s="131">
        <v>3990</v>
      </c>
      <c r="G5" s="132"/>
      <c r="H5" t="e">
        <f>MATCH(I5,#REF!,0)</f>
        <v>#REF!</v>
      </c>
      <c r="I5" t="str">
        <f t="shared" si="0"/>
        <v>Багацький Вадим Геннадійович</v>
      </c>
      <c r="K5">
        <f>INDEX(Лист2!D:D,MATCH(C5,Лист2!C:C,0))</f>
        <v>3247506159</v>
      </c>
    </row>
    <row r="6" spans="2:11" x14ac:dyDescent="0.25">
      <c r="B6" s="128">
        <v>4</v>
      </c>
      <c r="C6" s="129" t="s">
        <v>113</v>
      </c>
      <c r="D6" s="129" t="s">
        <v>105</v>
      </c>
      <c r="E6" s="130">
        <v>661</v>
      </c>
      <c r="F6" s="131">
        <v>5417.99</v>
      </c>
      <c r="G6" s="132"/>
      <c r="H6" t="e">
        <f>MATCH(I6,#REF!,0)</f>
        <v>#REF!</v>
      </c>
      <c r="I6" t="str">
        <f t="shared" si="0"/>
        <v>Бреус Віталій Григорович</v>
      </c>
      <c r="J6">
        <v>1</v>
      </c>
    </row>
    <row r="7" spans="2:11" x14ac:dyDescent="0.25">
      <c r="B7" s="128">
        <v>5</v>
      </c>
      <c r="C7" s="129" t="s">
        <v>114</v>
      </c>
      <c r="D7" s="129" t="s">
        <v>105</v>
      </c>
      <c r="E7" s="130">
        <v>661</v>
      </c>
      <c r="F7" s="131">
        <v>4326</v>
      </c>
      <c r="G7" s="132"/>
      <c r="H7" t="e">
        <f>MATCH(I7,#REF!,0)</f>
        <v>#REF!</v>
      </c>
      <c r="I7" t="str">
        <f t="shared" si="0"/>
        <v>Бутенко Матвій Анатолійович</v>
      </c>
      <c r="J7">
        <v>1</v>
      </c>
    </row>
    <row r="8" spans="2:11" x14ac:dyDescent="0.25">
      <c r="B8" s="128">
        <v>6</v>
      </c>
      <c r="C8" s="129" t="s">
        <v>245</v>
      </c>
      <c r="D8" s="129" t="s">
        <v>105</v>
      </c>
      <c r="E8" s="130">
        <v>661</v>
      </c>
      <c r="F8" s="131">
        <v>3990</v>
      </c>
      <c r="G8" s="132"/>
      <c r="H8" t="e">
        <f>MATCH(I8,#REF!,0)</f>
        <v>#REF!</v>
      </c>
      <c r="I8" t="str">
        <f t="shared" si="0"/>
        <v>Васильєв Віталій Юрійович</v>
      </c>
      <c r="K8">
        <f>INDEX(Лист2!D:D,MATCH(C8,Лист2!C:C,0))</f>
        <v>3746304158</v>
      </c>
    </row>
    <row r="9" spans="2:11" x14ac:dyDescent="0.25">
      <c r="B9" s="128">
        <v>7</v>
      </c>
      <c r="C9" s="129" t="s">
        <v>255</v>
      </c>
      <c r="D9" s="129" t="s">
        <v>105</v>
      </c>
      <c r="E9" s="130">
        <v>661</v>
      </c>
      <c r="F9" s="131">
        <v>3990</v>
      </c>
      <c r="G9" s="132"/>
      <c r="H9" t="e">
        <f>MATCH(I9,#REF!,0)</f>
        <v>#REF!</v>
      </c>
      <c r="I9" t="str">
        <f t="shared" si="0"/>
        <v>Власенко В'ячеслав Валентинович</v>
      </c>
      <c r="K9">
        <f>INDEX(Лист2!D:D,MATCH(C9,Лист2!C:C,0))</f>
        <v>2831710277</v>
      </c>
    </row>
    <row r="10" spans="2:11" x14ac:dyDescent="0.25">
      <c r="B10" s="128">
        <v>8</v>
      </c>
      <c r="C10" s="129" t="s">
        <v>291</v>
      </c>
      <c r="D10" s="129" t="s">
        <v>105</v>
      </c>
      <c r="E10" s="130">
        <v>661</v>
      </c>
      <c r="F10" s="131">
        <v>2660</v>
      </c>
      <c r="G10" s="132"/>
      <c r="H10" t="e">
        <f>MATCH(I10,#REF!,0)</f>
        <v>#REF!</v>
      </c>
      <c r="I10" t="str">
        <f t="shared" si="0"/>
        <v>Горєлов Микита Євгенович</v>
      </c>
      <c r="K10">
        <f>INDEX(Лист2!D:D,MATCH(C10,Лист2!C:C,0))</f>
        <v>3596200395</v>
      </c>
    </row>
    <row r="11" spans="2:11" x14ac:dyDescent="0.25">
      <c r="B11" s="128">
        <v>9</v>
      </c>
      <c r="C11" s="129" t="s">
        <v>299</v>
      </c>
      <c r="D11" s="129" t="s">
        <v>105</v>
      </c>
      <c r="E11" s="130">
        <v>661</v>
      </c>
      <c r="F11" s="131">
        <v>1662.5</v>
      </c>
      <c r="G11" s="132"/>
      <c r="H11" t="e">
        <f>MATCH(I11,#REF!,0)</f>
        <v>#REF!</v>
      </c>
      <c r="I11" t="str">
        <f t="shared" si="0"/>
        <v>Григор'єв Микола Андрійович</v>
      </c>
      <c r="K11">
        <f>INDEX(Лист2!D:D,MATCH(C11,Лист2!C:C,0))</f>
        <v>3422005391</v>
      </c>
    </row>
    <row r="12" spans="2:11" x14ac:dyDescent="0.25">
      <c r="B12" s="128">
        <v>10</v>
      </c>
      <c r="C12" s="129" t="s">
        <v>301</v>
      </c>
      <c r="D12" s="129" t="s">
        <v>105</v>
      </c>
      <c r="E12" s="130">
        <v>661</v>
      </c>
      <c r="F12" s="131">
        <v>3990</v>
      </c>
      <c r="G12" s="132"/>
      <c r="H12" t="e">
        <f>MATCH(I12,#REF!,0)</f>
        <v>#REF!</v>
      </c>
      <c r="I12" t="str">
        <f t="shared" si="0"/>
        <v>Григор'єв Михайло Андрійович</v>
      </c>
      <c r="K12">
        <f>INDEX(Лист2!D:D,MATCH(C12,Лист2!C:C,0))</f>
        <v>3720407672</v>
      </c>
    </row>
    <row r="13" spans="2:11" x14ac:dyDescent="0.25">
      <c r="B13" s="128">
        <v>11</v>
      </c>
      <c r="C13" s="129" t="s">
        <v>298</v>
      </c>
      <c r="D13" s="129" t="s">
        <v>105</v>
      </c>
      <c r="E13" s="130">
        <v>661</v>
      </c>
      <c r="F13" s="131">
        <v>3990</v>
      </c>
      <c r="G13" s="132"/>
      <c r="H13" t="e">
        <f>MATCH(I13,#REF!,0)</f>
        <v>#REF!</v>
      </c>
      <c r="I13" t="str">
        <f t="shared" si="0"/>
        <v>Григоренко Олександр Миколайович</v>
      </c>
      <c r="K13">
        <f>INDEX(Лист2!D:D,MATCH(C13,Лист2!C:C,0))</f>
        <v>2436600937</v>
      </c>
    </row>
    <row r="14" spans="2:11" x14ac:dyDescent="0.25">
      <c r="B14" s="128">
        <v>12</v>
      </c>
      <c r="C14" s="129" t="s">
        <v>115</v>
      </c>
      <c r="D14" s="129" t="s">
        <v>105</v>
      </c>
      <c r="E14" s="130">
        <v>661</v>
      </c>
      <c r="F14" s="131">
        <v>5197.5</v>
      </c>
      <c r="G14" s="132"/>
      <c r="H14" t="e">
        <f>MATCH(I14,#REF!,0)</f>
        <v>#REF!</v>
      </c>
      <c r="I14" t="str">
        <f t="shared" si="0"/>
        <v>Гриценко Олександр Вікторович</v>
      </c>
      <c r="J14">
        <v>1</v>
      </c>
    </row>
    <row r="15" spans="2:11" x14ac:dyDescent="0.25">
      <c r="B15" s="128">
        <v>13</v>
      </c>
      <c r="C15" s="129" t="s">
        <v>116</v>
      </c>
      <c r="D15" s="129" t="s">
        <v>105</v>
      </c>
      <c r="E15" s="130">
        <v>661</v>
      </c>
      <c r="F15" s="131">
        <v>4427.5</v>
      </c>
      <c r="G15" s="132"/>
      <c r="H15" t="e">
        <f>MATCH(I15,#REF!,0)</f>
        <v>#REF!</v>
      </c>
      <c r="I15" t="str">
        <f t="shared" si="0"/>
        <v>Грушко Лариса Вікторівна</v>
      </c>
      <c r="J15">
        <v>1</v>
      </c>
    </row>
    <row r="16" spans="2:11" x14ac:dyDescent="0.25">
      <c r="B16" s="128">
        <v>14</v>
      </c>
      <c r="C16" s="129" t="s">
        <v>324</v>
      </c>
      <c r="D16" s="129" t="s">
        <v>105</v>
      </c>
      <c r="E16" s="130">
        <v>661</v>
      </c>
      <c r="F16" s="131">
        <v>3990</v>
      </c>
      <c r="G16" s="132"/>
      <c r="H16" t="e">
        <f>MATCH(I16,#REF!,0)</f>
        <v>#REF!</v>
      </c>
      <c r="I16" s="137" t="e">
        <f>#REF!</f>
        <v>#REF!</v>
      </c>
      <c r="K16">
        <f>INDEX(Лист2!D:D,MATCH(C16,Лист2!C:C,0))</f>
        <v>3374502899</v>
      </c>
    </row>
    <row r="17" spans="2:11" x14ac:dyDescent="0.25">
      <c r="B17" s="128">
        <v>15</v>
      </c>
      <c r="C17" s="129" t="s">
        <v>344</v>
      </c>
      <c r="D17" s="129" t="s">
        <v>105</v>
      </c>
      <c r="E17" s="130">
        <v>661</v>
      </c>
      <c r="F17" s="131">
        <v>3990</v>
      </c>
      <c r="G17" s="132"/>
      <c r="H17" t="e">
        <f>MATCH(I17,#REF!,0)</f>
        <v>#REF!</v>
      </c>
      <c r="I17" t="str">
        <f t="shared" si="0"/>
        <v>Желтяков Ігор Юрійович</v>
      </c>
      <c r="K17">
        <f>INDEX(Лист2!D:D,MATCH(C17,Лист2!C:C,0))</f>
        <v>2637303953</v>
      </c>
    </row>
    <row r="18" spans="2:11" x14ac:dyDescent="0.25">
      <c r="B18" s="128">
        <v>16</v>
      </c>
      <c r="C18" s="129" t="s">
        <v>365</v>
      </c>
      <c r="D18" s="129" t="s">
        <v>105</v>
      </c>
      <c r="E18" s="130">
        <v>661</v>
      </c>
      <c r="F18" s="131">
        <v>3990</v>
      </c>
      <c r="G18" s="132"/>
      <c r="H18" t="e">
        <f>MATCH(I18,#REF!,0)</f>
        <v>#REF!</v>
      </c>
      <c r="I18" t="str">
        <f t="shared" si="0"/>
        <v>Іванов Олексій Вікторович</v>
      </c>
      <c r="K18">
        <f>INDEX(Лист2!D:D,MATCH(C18,Лист2!C:C,0))</f>
        <v>3705902230</v>
      </c>
    </row>
    <row r="19" spans="2:11" x14ac:dyDescent="0.25">
      <c r="B19" s="128">
        <v>17</v>
      </c>
      <c r="C19" s="129" t="s">
        <v>366</v>
      </c>
      <c r="D19" s="129" t="s">
        <v>105</v>
      </c>
      <c r="E19" s="130">
        <v>661</v>
      </c>
      <c r="F19" s="131">
        <v>3990</v>
      </c>
      <c r="G19" s="132"/>
      <c r="H19" t="e">
        <f>MATCH(I19,#REF!,0)</f>
        <v>#REF!</v>
      </c>
      <c r="I19" t="str">
        <f t="shared" si="0"/>
        <v>Іскрицький Денис Русланович</v>
      </c>
      <c r="K19">
        <f>INDEX(Лист2!D:D,MATCH(C19,Лист2!C:C,0))</f>
        <v>3779110293</v>
      </c>
    </row>
    <row r="20" spans="2:11" x14ac:dyDescent="0.25">
      <c r="B20" s="128">
        <v>18</v>
      </c>
      <c r="C20" s="129" t="s">
        <v>374</v>
      </c>
      <c r="D20" s="129" t="s">
        <v>105</v>
      </c>
      <c r="E20" s="130">
        <v>661</v>
      </c>
      <c r="F20" s="131">
        <v>3990.02</v>
      </c>
      <c r="G20" s="132"/>
      <c r="H20" t="e">
        <f>MATCH(I20,#REF!,0)</f>
        <v>#REF!</v>
      </c>
      <c r="I20" t="str">
        <f t="shared" si="0"/>
        <v>Кіфор Юрій Михайлович</v>
      </c>
      <c r="K20">
        <f>INDEX(Лист2!D:D,MATCH(C20,Лист2!C:C,0))</f>
        <v>2521518612</v>
      </c>
    </row>
    <row r="21" spans="2:11" x14ac:dyDescent="0.25">
      <c r="B21" s="128">
        <v>19</v>
      </c>
      <c r="C21" s="129" t="s">
        <v>4</v>
      </c>
      <c r="D21" s="129" t="s">
        <v>105</v>
      </c>
      <c r="E21" s="130">
        <v>661</v>
      </c>
      <c r="F21" s="131">
        <v>3428.01</v>
      </c>
      <c r="G21" s="132"/>
      <c r="H21" t="e">
        <f>MATCH(I21,#REF!,0)</f>
        <v>#REF!</v>
      </c>
      <c r="I21" s="137" t="str">
        <f>C21</f>
        <v xml:space="preserve">Корнієнко Станіслав Володимирович </v>
      </c>
      <c r="K21">
        <f>INDEX(Лист2!D:D,MATCH(C21,Лист2!C:C,0))</f>
        <v>2579305831</v>
      </c>
    </row>
    <row r="22" spans="2:11" x14ac:dyDescent="0.25">
      <c r="B22" s="128">
        <v>20</v>
      </c>
      <c r="C22" s="129" t="s">
        <v>427</v>
      </c>
      <c r="D22" s="129" t="s">
        <v>105</v>
      </c>
      <c r="E22" s="130">
        <v>661</v>
      </c>
      <c r="F22" s="131">
        <v>3990</v>
      </c>
      <c r="G22" s="132"/>
      <c r="H22" t="e">
        <f>MATCH(I22,#REF!,0)</f>
        <v>#REF!</v>
      </c>
      <c r="I22" t="str">
        <f t="shared" si="0"/>
        <v>Масливець Ігор Валерійович</v>
      </c>
      <c r="K22">
        <f>INDEX(Лист2!D:D,MATCH(C22,Лист2!C:C,0))</f>
        <v>2880313812</v>
      </c>
    </row>
    <row r="23" spans="2:11" x14ac:dyDescent="0.25">
      <c r="B23" s="128">
        <v>21</v>
      </c>
      <c r="C23" s="129" t="s">
        <v>435</v>
      </c>
      <c r="D23" s="129" t="s">
        <v>105</v>
      </c>
      <c r="E23" s="130">
        <v>661</v>
      </c>
      <c r="F23" s="131">
        <v>6650</v>
      </c>
      <c r="G23" s="132"/>
      <c r="H23" t="e">
        <f>MATCH(I23,#REF!,0)</f>
        <v>#REF!</v>
      </c>
      <c r="I23" s="137" t="str">
        <f t="shared" si="0"/>
        <v>Мельниченко Максим Вікторович</v>
      </c>
      <c r="K23">
        <f>INDEX(Лист2!D:D,MATCH(C23,Лист2!C:C,0))</f>
        <v>3348501613</v>
      </c>
    </row>
    <row r="24" spans="2:11" x14ac:dyDescent="0.25">
      <c r="B24" s="128">
        <v>22</v>
      </c>
      <c r="C24" s="129" t="s">
        <v>445</v>
      </c>
      <c r="D24" s="129" t="s">
        <v>105</v>
      </c>
      <c r="E24" s="130">
        <v>661</v>
      </c>
      <c r="F24" s="131">
        <v>6650</v>
      </c>
      <c r="G24" s="132"/>
      <c r="H24" t="e">
        <f>MATCH(I24,#REF!,0)</f>
        <v>#REF!</v>
      </c>
      <c r="I24" s="137" t="str">
        <f t="shared" si="0"/>
        <v>Мороз Віталій Миколайович</v>
      </c>
      <c r="K24">
        <f>INDEX(Лист2!D:D,MATCH(C24,Лист2!C:C,0))</f>
        <v>3216804294</v>
      </c>
    </row>
    <row r="25" spans="2:11" x14ac:dyDescent="0.25">
      <c r="B25" s="128">
        <v>23</v>
      </c>
      <c r="C25" s="129" t="s">
        <v>451</v>
      </c>
      <c r="D25" s="129" t="s">
        <v>105</v>
      </c>
      <c r="E25" s="130">
        <v>661</v>
      </c>
      <c r="F25" s="131">
        <v>3990.02</v>
      </c>
      <c r="G25" s="132"/>
      <c r="H25" t="e">
        <f>MATCH(I25,#REF!,0)</f>
        <v>#REF!</v>
      </c>
      <c r="I25" t="str">
        <f t="shared" si="0"/>
        <v>Нестерук Сергій Петрович</v>
      </c>
      <c r="K25">
        <f>INDEX(Лист2!D:D,MATCH(C25,Лист2!C:C,0))</f>
        <v>3283102618</v>
      </c>
    </row>
    <row r="26" spans="2:11" x14ac:dyDescent="0.25">
      <c r="B26" s="128">
        <v>24</v>
      </c>
      <c r="C26" s="129" t="s">
        <v>473</v>
      </c>
      <c r="D26" s="129" t="s">
        <v>105</v>
      </c>
      <c r="E26" s="130">
        <v>661</v>
      </c>
      <c r="F26" s="131">
        <v>3990</v>
      </c>
      <c r="G26" s="132"/>
      <c r="H26" t="e">
        <f>MATCH(I26,#REF!,0)</f>
        <v>#REF!</v>
      </c>
      <c r="I26" t="str">
        <f t="shared" si="0"/>
        <v>Паламарчук Вячеслав Володимирович</v>
      </c>
      <c r="K26">
        <f>INDEX(Лист2!D:D,MATCH(C26,Лист2!C:C,0))</f>
        <v>3230316597</v>
      </c>
    </row>
    <row r="27" spans="2:11" x14ac:dyDescent="0.25">
      <c r="B27" s="128">
        <v>25</v>
      </c>
      <c r="C27" s="129" t="s">
        <v>477</v>
      </c>
      <c r="D27" s="129" t="s">
        <v>105</v>
      </c>
      <c r="E27" s="130">
        <v>661</v>
      </c>
      <c r="F27" s="133">
        <v>840</v>
      </c>
      <c r="G27" s="132"/>
      <c r="H27" t="e">
        <f>MATCH(I27,#REF!,0)</f>
        <v>#REF!</v>
      </c>
      <c r="I27" s="137" t="str">
        <f t="shared" si="0"/>
        <v>Парнєва Олена Вікторівна</v>
      </c>
      <c r="K27">
        <f>INDEX(Лист2!D:D,MATCH(C27,Лист2!C:C,0))</f>
        <v>2938511042</v>
      </c>
    </row>
    <row r="28" spans="2:11" x14ac:dyDescent="0.25">
      <c r="B28" s="128">
        <v>26</v>
      </c>
      <c r="C28" s="129" t="s">
        <v>485</v>
      </c>
      <c r="D28" s="129" t="s">
        <v>105</v>
      </c>
      <c r="E28" s="130">
        <v>661</v>
      </c>
      <c r="F28" s="131">
        <v>3990</v>
      </c>
      <c r="G28" s="132"/>
      <c r="H28" t="e">
        <f>MATCH(I28,#REF!,0)</f>
        <v>#REF!</v>
      </c>
      <c r="I28" t="str">
        <f t="shared" si="0"/>
        <v>Пилипчук Олександр Анатолійович</v>
      </c>
      <c r="K28">
        <f>INDEX(Лист2!D:D,MATCH(C28,Лист2!C:C,0))</f>
        <v>3067218612</v>
      </c>
    </row>
    <row r="29" spans="2:11" x14ac:dyDescent="0.25">
      <c r="B29" s="128">
        <v>27</v>
      </c>
      <c r="C29" s="129" t="s">
        <v>486</v>
      </c>
      <c r="D29" s="129" t="s">
        <v>105</v>
      </c>
      <c r="E29" s="130">
        <v>661</v>
      </c>
      <c r="F29" s="131">
        <v>3990</v>
      </c>
      <c r="G29" s="132"/>
      <c r="H29" t="e">
        <f>MATCH(I29,#REF!,0)</f>
        <v>#REF!</v>
      </c>
      <c r="I29" t="str">
        <f t="shared" si="0"/>
        <v>Поліщук Олександр Олександрович</v>
      </c>
      <c r="K29">
        <f>INDEX(Лист2!D:D,MATCH(C29,Лист2!C:C,0))</f>
        <v>3289716153</v>
      </c>
    </row>
    <row r="30" spans="2:11" x14ac:dyDescent="0.25">
      <c r="B30" s="128">
        <v>28</v>
      </c>
      <c r="C30" s="129" t="s">
        <v>488</v>
      </c>
      <c r="D30" s="129" t="s">
        <v>105</v>
      </c>
      <c r="E30" s="130">
        <v>661</v>
      </c>
      <c r="F30" s="131">
        <v>3990</v>
      </c>
      <c r="G30" s="132"/>
      <c r="H30" t="e">
        <f>MATCH(I30,#REF!,0)</f>
        <v>#REF!</v>
      </c>
      <c r="I30" t="str">
        <f t="shared" si="0"/>
        <v>Пономаренко Віталій Вікторович</v>
      </c>
      <c r="K30">
        <f>INDEX(Лист2!D:D,MATCH(C30,Лист2!C:C,0))</f>
        <v>3185119514</v>
      </c>
    </row>
    <row r="31" spans="2:11" x14ac:dyDescent="0.25">
      <c r="B31" s="128">
        <v>29</v>
      </c>
      <c r="C31" s="129" t="s">
        <v>490</v>
      </c>
      <c r="D31" s="129" t="s">
        <v>105</v>
      </c>
      <c r="E31" s="130">
        <v>661</v>
      </c>
      <c r="F31" s="131">
        <v>5460</v>
      </c>
      <c r="G31" s="132"/>
      <c r="H31" t="e">
        <f>MATCH(I31,#REF!,0)</f>
        <v>#REF!</v>
      </c>
      <c r="I31" t="str">
        <f t="shared" si="0"/>
        <v>Пономаренко Олександр Вікторович</v>
      </c>
      <c r="K31">
        <f>INDEX(Лист2!D:D,MATCH(C31,Лист2!C:C,0))</f>
        <v>2944519172</v>
      </c>
    </row>
    <row r="32" spans="2:11" x14ac:dyDescent="0.25">
      <c r="B32" s="128">
        <v>30</v>
      </c>
      <c r="C32" s="129" t="s">
        <v>493</v>
      </c>
      <c r="D32" s="129" t="s">
        <v>105</v>
      </c>
      <c r="E32" s="130">
        <v>661</v>
      </c>
      <c r="F32" s="131">
        <v>3990</v>
      </c>
      <c r="G32" s="132"/>
      <c r="H32" t="e">
        <f>MATCH(I32,#REF!,0)</f>
        <v>#REF!</v>
      </c>
      <c r="I32" t="str">
        <f t="shared" si="0"/>
        <v>Пономарьов Микола Вікторович</v>
      </c>
      <c r="K32">
        <f>INDEX(Лист2!D:D,MATCH(C32,Лист2!C:C,0))</f>
        <v>3008300898</v>
      </c>
    </row>
    <row r="33" spans="2:11" x14ac:dyDescent="0.25">
      <c r="B33" s="128">
        <v>31</v>
      </c>
      <c r="C33" s="129" t="s">
        <v>494</v>
      </c>
      <c r="D33" s="129" t="s">
        <v>105</v>
      </c>
      <c r="E33" s="130">
        <v>661</v>
      </c>
      <c r="F33" s="131">
        <v>3990</v>
      </c>
      <c r="G33" s="132"/>
      <c r="H33" t="e">
        <f>MATCH(I33,#REF!,0)</f>
        <v>#REF!</v>
      </c>
      <c r="I33" t="str">
        <f t="shared" si="0"/>
        <v>Понуркін Євген Григорович</v>
      </c>
      <c r="K33">
        <f>INDEX(Лист2!D:D,MATCH(C33,Лист2!C:C,0))</f>
        <v>3005702873</v>
      </c>
    </row>
    <row r="34" spans="2:11" x14ac:dyDescent="0.25">
      <c r="B34" s="128">
        <v>32</v>
      </c>
      <c r="C34" s="129" t="s">
        <v>496</v>
      </c>
      <c r="D34" s="129" t="s">
        <v>105</v>
      </c>
      <c r="E34" s="130">
        <v>661</v>
      </c>
      <c r="F34" s="131">
        <v>3990</v>
      </c>
      <c r="G34" s="132"/>
      <c r="H34" t="e">
        <f>MATCH(I34,#REF!,0)</f>
        <v>#REF!</v>
      </c>
      <c r="I34" t="str">
        <f t="shared" si="0"/>
        <v>Приходько Владислав Віталійович</v>
      </c>
      <c r="K34">
        <f>INDEX(Лист2!D:D,MATCH(C34,Лист2!C:C,0))</f>
        <v>3331204136</v>
      </c>
    </row>
    <row r="35" spans="2:11" x14ac:dyDescent="0.25">
      <c r="B35" s="128">
        <v>33</v>
      </c>
      <c r="C35" s="129" t="s">
        <v>509</v>
      </c>
      <c r="D35" s="129" t="s">
        <v>105</v>
      </c>
      <c r="E35" s="130">
        <v>661</v>
      </c>
      <c r="F35" s="131">
        <v>2660</v>
      </c>
      <c r="G35" s="132"/>
      <c r="H35" t="e">
        <f>MATCH(I35,#REF!,0)</f>
        <v>#REF!</v>
      </c>
      <c r="I35" t="str">
        <f t="shared" si="0"/>
        <v>Савченко Максим Олександрович</v>
      </c>
      <c r="K35">
        <f>INDEX(Лист2!D:D,MATCH(C35,Лист2!C:C,0))</f>
        <v>3488401491</v>
      </c>
    </row>
    <row r="36" spans="2:11" x14ac:dyDescent="0.25">
      <c r="B36" s="128">
        <v>34</v>
      </c>
      <c r="C36" s="129" t="s">
        <v>522</v>
      </c>
      <c r="D36" s="129" t="s">
        <v>105</v>
      </c>
      <c r="E36" s="130">
        <v>661</v>
      </c>
      <c r="F36" s="131">
        <v>3990</v>
      </c>
      <c r="G36" s="132"/>
      <c r="H36" t="e">
        <f>MATCH(I36,#REF!,0)</f>
        <v>#REF!</v>
      </c>
      <c r="I36" t="str">
        <f t="shared" si="0"/>
        <v>Сівов Євген Миколайович</v>
      </c>
      <c r="K36">
        <f>INDEX(Лист2!D:D,MATCH(C36,Лист2!C:C,0))</f>
        <v>2996119832</v>
      </c>
    </row>
    <row r="37" spans="2:11" x14ac:dyDescent="0.25">
      <c r="B37" s="128">
        <v>35</v>
      </c>
      <c r="C37" s="129" t="s">
        <v>527</v>
      </c>
      <c r="D37" s="129" t="s">
        <v>105</v>
      </c>
      <c r="E37" s="130">
        <v>661</v>
      </c>
      <c r="F37" s="131">
        <v>3990</v>
      </c>
      <c r="G37" s="132"/>
      <c r="H37" t="e">
        <f>MATCH(I37,#REF!,0)</f>
        <v>#REF!</v>
      </c>
      <c r="I37" t="str">
        <f t="shared" si="0"/>
        <v>Скрипник Олександр Павлович</v>
      </c>
      <c r="K37">
        <f>INDEX(Лист2!D:D,MATCH(C37,Лист2!C:C,0))</f>
        <v>3262417736</v>
      </c>
    </row>
    <row r="38" spans="2:11" x14ac:dyDescent="0.25">
      <c r="B38" s="128">
        <v>36</v>
      </c>
      <c r="C38" s="129" t="s">
        <v>529</v>
      </c>
      <c r="D38" s="129" t="s">
        <v>105</v>
      </c>
      <c r="E38" s="130">
        <v>661</v>
      </c>
      <c r="F38" s="131">
        <v>5460</v>
      </c>
      <c r="G38" s="132"/>
      <c r="H38" t="e">
        <f>MATCH(I38,#REF!,0)</f>
        <v>#REF!</v>
      </c>
      <c r="I38" t="str">
        <f t="shared" si="0"/>
        <v>Скрипник Сергій Павлович</v>
      </c>
      <c r="K38">
        <f>INDEX(Лист2!D:D,MATCH(C38,Лист2!C:C,0))</f>
        <v>3219619831</v>
      </c>
    </row>
    <row r="39" spans="2:11" x14ac:dyDescent="0.25">
      <c r="B39" s="128">
        <v>37</v>
      </c>
      <c r="C39" s="129" t="s">
        <v>106</v>
      </c>
      <c r="D39" s="129" t="s">
        <v>105</v>
      </c>
      <c r="E39" s="130">
        <v>661</v>
      </c>
      <c r="F39" s="131">
        <v>5460</v>
      </c>
      <c r="G39" s="132"/>
      <c r="H39" t="e">
        <f>MATCH(I39,#REF!,0)</f>
        <v>#REF!</v>
      </c>
      <c r="I39" t="str">
        <f t="shared" si="0"/>
        <v>Стецюк Тетяна Леонідівна</v>
      </c>
      <c r="J39">
        <v>1</v>
      </c>
    </row>
    <row r="40" spans="2:11" x14ac:dyDescent="0.25">
      <c r="B40" s="128">
        <v>38</v>
      </c>
      <c r="C40" s="129" t="s">
        <v>107</v>
      </c>
      <c r="D40" s="129" t="s">
        <v>105</v>
      </c>
      <c r="E40" s="130">
        <v>661</v>
      </c>
      <c r="F40" s="131">
        <v>3990</v>
      </c>
      <c r="G40" s="132"/>
      <c r="H40" t="e">
        <f>MATCH(I40,#REF!,0)</f>
        <v>#REF!</v>
      </c>
      <c r="I40" s="137" t="e">
        <f>#REF!</f>
        <v>#REF!</v>
      </c>
      <c r="K40">
        <f>INDEX(Лист2!D:D,MATCH(C40,Лист2!C:C,0))</f>
        <v>3233009756</v>
      </c>
    </row>
    <row r="41" spans="2:11" x14ac:dyDescent="0.25">
      <c r="B41" s="128">
        <v>39</v>
      </c>
      <c r="C41" s="129" t="s">
        <v>108</v>
      </c>
      <c r="D41" s="129" t="s">
        <v>105</v>
      </c>
      <c r="E41" s="130">
        <v>661</v>
      </c>
      <c r="F41" s="131">
        <v>3324.99</v>
      </c>
      <c r="G41" s="132"/>
      <c r="H41" t="e">
        <f>MATCH(I41,#REF!,0)</f>
        <v>#REF!</v>
      </c>
      <c r="I41" t="str">
        <f t="shared" si="0"/>
        <v>Тужиков Юрій Владиславович</v>
      </c>
      <c r="K41">
        <f>INDEX(Лист2!D:D,MATCH(C41,Лист2!C:C,0))</f>
        <v>3153508799</v>
      </c>
    </row>
    <row r="42" spans="2:11" x14ac:dyDescent="0.25">
      <c r="B42" s="128">
        <v>40</v>
      </c>
      <c r="C42" s="129" t="s">
        <v>109</v>
      </c>
      <c r="D42" s="129" t="s">
        <v>105</v>
      </c>
      <c r="E42" s="130">
        <v>661</v>
      </c>
      <c r="F42" s="131">
        <v>1995</v>
      </c>
      <c r="G42" s="132"/>
      <c r="H42" t="e">
        <f>MATCH(I42,#REF!,0)</f>
        <v>#REF!</v>
      </c>
      <c r="I42" t="str">
        <f t="shared" si="0"/>
        <v>Федорчук Денис Сергійович</v>
      </c>
      <c r="K42">
        <f>INDEX(Лист2!D:D,MATCH(C42,Лист2!C:C,0))</f>
        <v>3428705315</v>
      </c>
    </row>
    <row r="43" spans="2:11" x14ac:dyDescent="0.25">
      <c r="B43" s="128">
        <v>41</v>
      </c>
      <c r="C43" s="129" t="s">
        <v>110</v>
      </c>
      <c r="D43" s="129" t="s">
        <v>105</v>
      </c>
      <c r="E43" s="130">
        <v>661</v>
      </c>
      <c r="F43" s="131">
        <v>5460</v>
      </c>
      <c r="G43" s="132"/>
      <c r="H43" t="e">
        <f>MATCH(I43,#REF!,0)</f>
        <v>#REF!</v>
      </c>
      <c r="I43" t="str">
        <f t="shared" si="0"/>
        <v>Чілібін Микола Євгенович</v>
      </c>
      <c r="J43">
        <v>1</v>
      </c>
    </row>
    <row r="44" spans="2:11" x14ac:dyDescent="0.25">
      <c r="B44" s="128">
        <v>42</v>
      </c>
      <c r="C44" s="129" t="s">
        <v>111</v>
      </c>
      <c r="D44" s="129" t="s">
        <v>105</v>
      </c>
      <c r="E44" s="130">
        <v>661</v>
      </c>
      <c r="F44" s="133">
        <v>840</v>
      </c>
      <c r="G44" s="132"/>
      <c r="H44" t="e">
        <f>MATCH(I44,#REF!,0)</f>
        <v>#REF!</v>
      </c>
      <c r="I44" s="137" t="str">
        <f t="shared" si="0"/>
        <v>Чуб Владислав Володимирович</v>
      </c>
      <c r="K44">
        <f>INDEX(Лист2!D:D,MATCH(C44,Лист2!C:C,0))</f>
        <v>2858519154</v>
      </c>
    </row>
    <row r="45" spans="2:11" x14ac:dyDescent="0.25">
      <c r="B45" s="128">
        <v>43</v>
      </c>
      <c r="C45" s="129" t="s">
        <v>45</v>
      </c>
      <c r="D45" s="129" t="s">
        <v>105</v>
      </c>
      <c r="E45" s="130">
        <v>661</v>
      </c>
      <c r="F45" s="131">
        <v>4620</v>
      </c>
      <c r="G45" s="132"/>
      <c r="H45" t="e">
        <f>MATCH(I45,#REF!,0)</f>
        <v>#REF!</v>
      </c>
      <c r="I45" s="137" t="str">
        <f>C45</f>
        <v xml:space="preserve">Щербак Петро Іванович </v>
      </c>
      <c r="K45">
        <f>INDEX(Лист2!D:D,MATCH(C45,Лист2!C:C,0))</f>
        <v>2537500655</v>
      </c>
    </row>
    <row r="46" spans="2:11" x14ac:dyDescent="0.25">
      <c r="B46" s="126"/>
      <c r="C46" s="126"/>
      <c r="D46" s="126"/>
      <c r="E46" s="134" t="s">
        <v>112</v>
      </c>
      <c r="F46" s="135">
        <v>172635.53</v>
      </c>
      <c r="G46" s="136"/>
    </row>
  </sheetData>
  <autoFilter ref="B2:J46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2"/>
  <sheetViews>
    <sheetView tabSelected="1" zoomScaleNormal="100" workbookViewId="0">
      <pane xSplit="2" ySplit="1" topLeftCell="C6" activePane="bottomRight" state="frozen"/>
      <selection pane="topRight" activeCell="C1" sqref="C1"/>
      <selection pane="bottomLeft" activeCell="A2" sqref="A2"/>
      <selection pane="bottomRight" activeCell="G16" sqref="G16"/>
    </sheetView>
  </sheetViews>
  <sheetFormatPr defaultColWidth="8.85546875" defaultRowHeight="15" outlineLevelRow="1" x14ac:dyDescent="0.25"/>
  <cols>
    <col min="1" max="1" width="8.5703125"/>
    <col min="2" max="2" width="34.5703125" customWidth="1"/>
    <col min="3" max="3" width="13.140625" style="157" customWidth="1"/>
    <col min="4" max="4" width="17.85546875" style="157" customWidth="1"/>
    <col min="5" max="5" width="18.5703125" style="157" customWidth="1"/>
    <col min="6" max="6" width="18.5703125" style="145" customWidth="1"/>
    <col min="7" max="7" width="20.85546875" style="145" customWidth="1"/>
    <col min="8" max="8" width="18.5703125" style="145" customWidth="1"/>
    <col min="9" max="9" width="17.140625" style="1" customWidth="1"/>
    <col min="10" max="10" width="11.5703125" style="1" customWidth="1"/>
    <col min="11" max="16384" width="8.85546875" style="1"/>
  </cols>
  <sheetData>
    <row r="1" spans="1:10" s="3" customFormat="1" ht="74.099999999999994" customHeight="1" x14ac:dyDescent="0.25">
      <c r="A1" s="169" t="s">
        <v>1</v>
      </c>
      <c r="B1" s="169" t="s">
        <v>6</v>
      </c>
      <c r="C1" s="167" t="s">
        <v>648</v>
      </c>
      <c r="D1" s="167" t="s">
        <v>663</v>
      </c>
      <c r="E1" s="156" t="s">
        <v>664</v>
      </c>
      <c r="F1" s="143" t="s">
        <v>665</v>
      </c>
      <c r="G1" s="143" t="s">
        <v>645</v>
      </c>
      <c r="H1" s="143" t="s">
        <v>666</v>
      </c>
      <c r="I1" s="168" t="s">
        <v>8</v>
      </c>
      <c r="J1" s="168" t="s">
        <v>0</v>
      </c>
    </row>
    <row r="2" spans="1:10" s="176" customFormat="1" ht="15.75" outlineLevel="1" x14ac:dyDescent="0.25">
      <c r="A2" s="170"/>
      <c r="B2" s="150" t="s">
        <v>17</v>
      </c>
      <c r="C2" s="171"/>
      <c r="D2" s="171">
        <v>8662.5</v>
      </c>
      <c r="E2" s="172">
        <f t="shared" ref="E2" si="0">I2*J2</f>
        <v>20880</v>
      </c>
      <c r="F2" s="173">
        <f>SUMIF('[1]Табель цех 1 по 15 вересня'!$B:$B,B2,'[1]Табель цех 1 по 15 вересня'!$H:$H)</f>
        <v>29.979999999995925</v>
      </c>
      <c r="G2" s="173">
        <f>IF(ROUND(E2+F2-C2-D2,-2)&lt;0,0,ROUND(E2+F2-C2-D2,-2))</f>
        <v>12200</v>
      </c>
      <c r="H2" s="173">
        <f>F2+E2-D2-G2-C2</f>
        <v>47.479999999995925</v>
      </c>
      <c r="I2" s="304">
        <v>116</v>
      </c>
      <c r="J2" s="175">
        <v>180</v>
      </c>
    </row>
    <row r="3" spans="1:10" ht="15.75" outlineLevel="1" x14ac:dyDescent="0.25">
      <c r="A3" s="149"/>
      <c r="B3" s="150" t="s">
        <v>80</v>
      </c>
      <c r="C3" s="148"/>
      <c r="D3" s="148">
        <v>8610</v>
      </c>
      <c r="E3" s="142">
        <f t="shared" ref="E3:E61" si="1">I3*J3</f>
        <v>14940</v>
      </c>
      <c r="F3" s="173">
        <f>SUMIF('[1]Табель цех 1 по 15 вересня'!$B:$B,B3,'[1]Табель цех 1 по 15 вересня'!$H:$H)</f>
        <v>-2423.5599999999977</v>
      </c>
      <c r="G3" s="173">
        <f t="shared" ref="G3:G66" si="2">IF(ROUND(E3+F3-C3-D3,-2)&lt;0,0,ROUND(E3+F3-C3-D3,-2))</f>
        <v>3900</v>
      </c>
      <c r="H3" s="173">
        <f t="shared" ref="H3:H66" si="3">F3+E3-D3-G3-C3</f>
        <v>6.4400000000023283</v>
      </c>
      <c r="I3" s="304">
        <v>83</v>
      </c>
      <c r="J3" s="175">
        <v>180</v>
      </c>
    </row>
    <row r="4" spans="1:10" ht="15.75" outlineLevel="1" x14ac:dyDescent="0.25">
      <c r="A4" s="147">
        <v>1</v>
      </c>
      <c r="B4" s="148" t="s">
        <v>10</v>
      </c>
      <c r="C4" s="148"/>
      <c r="D4" s="148">
        <v>3927</v>
      </c>
      <c r="E4" s="142">
        <f t="shared" si="1"/>
        <v>24150</v>
      </c>
      <c r="F4" s="173">
        <f>SUMIF('[1]Табель цех 1 по 15 вересня'!$B:$B,B4,'[1]Табель цех 1 по 15 вересня'!$H:$H)</f>
        <v>-14.75</v>
      </c>
      <c r="G4" s="173">
        <f t="shared" si="2"/>
        <v>20200</v>
      </c>
      <c r="H4" s="173">
        <f t="shared" si="3"/>
        <v>8.25</v>
      </c>
      <c r="I4" s="174">
        <f>_ЦО!T2+'МХП лазня'!T2+Катеринополь!T2+ВООЗ!T2+Кернел!T2+'Глобино Мк'!T2+'ВООЗ ЕМС'!T2+'ООН 36'!T2+'ООН 37'!T2+'ООН 38'!T2+ООН39!T2+'ООН 40'!T2+'ООН №43'!T2+'ООН 44'!T2+'ООН 45'!V2+ООН46!T2+ООН47!T2+ООН48!T2+ООН49!T2+ООн50!T2+ООН51!T2+Форшахта!T2+'ГАлерея 25.6'!T2+ГРП!AI2+'Парк меляси'!T2+'ООН 42'!T2</f>
        <v>161</v>
      </c>
      <c r="J4" s="44">
        <v>150</v>
      </c>
    </row>
    <row r="5" spans="1:10" ht="15.75" outlineLevel="1" x14ac:dyDescent="0.25">
      <c r="A5" s="147">
        <v>2</v>
      </c>
      <c r="B5" s="148" t="s">
        <v>11</v>
      </c>
      <c r="C5" s="148"/>
      <c r="D5" s="148">
        <v>3927</v>
      </c>
      <c r="E5" s="142">
        <f t="shared" si="1"/>
        <v>17850</v>
      </c>
      <c r="F5" s="173">
        <f>SUMIF('[1]Табель цех 1 по 15 вересня'!$B:$B,B5,'[1]Табель цех 1 по 15 вересня'!$H:$H)</f>
        <v>2.2600000000020373</v>
      </c>
      <c r="G5" s="173">
        <f t="shared" si="2"/>
        <v>13900</v>
      </c>
      <c r="H5" s="173">
        <f t="shared" si="3"/>
        <v>25.260000000002037</v>
      </c>
      <c r="I5" s="174">
        <f>_ЦО!T3+'МХП лазня'!T3+Катеринополь!T3+ВООЗ!T3+Кернел!T3+'Глобино Мк'!T3+'ВООЗ ЕМС'!T3+'ООН 36'!T3+'ООН 37'!T3+'ООН 38'!T3+ООН39!T3+'ООН 40'!T3+'ООН №43'!T3+'ООН 44'!T3+'ООН 45'!V3+ООН46!T3+ООН47!T3+ООН48!T3+ООН49!T3+ООн50!T3+ООН51!T3+Форшахта!T3+'ГАлерея 25.6'!T3+ГРП!AI3+'Парк меляси'!T3+'ООН 42'!T3</f>
        <v>119</v>
      </c>
      <c r="J5" s="44">
        <v>150</v>
      </c>
    </row>
    <row r="6" spans="1:10" ht="15.75" outlineLevel="1" x14ac:dyDescent="0.25">
      <c r="A6" s="147">
        <v>3</v>
      </c>
      <c r="B6" s="148" t="s">
        <v>12</v>
      </c>
      <c r="C6" s="148">
        <v>10324.25</v>
      </c>
      <c r="D6" s="148">
        <v>3927</v>
      </c>
      <c r="E6" s="142">
        <f t="shared" si="1"/>
        <v>54000</v>
      </c>
      <c r="F6" s="173">
        <f>SUMIF('[1]Табель цех 1 по 15 вересня'!$B:$B,B6,'[1]Табель цех 1 по 15 вересня'!$H:$H)</f>
        <v>39.75</v>
      </c>
      <c r="G6" s="173">
        <f t="shared" si="2"/>
        <v>39800</v>
      </c>
      <c r="H6" s="173">
        <f t="shared" si="3"/>
        <v>-11.5</v>
      </c>
      <c r="I6" s="174">
        <f>_ЦО!T4+'МХП лазня'!T4+Катеринополь!T4+ВООЗ!T4+Кернел!T4+'Глобино Мк'!T4+'ВООЗ ЕМС'!T4+'ООН 36'!T4+'ООН 37'!T4+'ООН 38'!T4+ООН39!T4+'ООН 40'!T4+'ООН №43'!T4+'ООН 44'!T4+'ООН 45'!V4+ООН46!T4+ООН47!T4+ООН48!T4+ООН49!T4+ООн50!T4+ООН51!T4+Форшахта!T4+'ГАлерея 25.6'!T4+ГРП!AI4+'Парк меляси'!T4+'ООН 42'!T4</f>
        <v>360</v>
      </c>
      <c r="J6" s="44">
        <v>150</v>
      </c>
    </row>
    <row r="7" spans="1:10" ht="15.75" outlineLevel="1" x14ac:dyDescent="0.25">
      <c r="A7" s="147">
        <v>4</v>
      </c>
      <c r="B7" s="148" t="s">
        <v>651</v>
      </c>
      <c r="C7" s="148"/>
      <c r="D7" s="148">
        <v>3927</v>
      </c>
      <c r="E7" s="142">
        <f t="shared" si="1"/>
        <v>18150</v>
      </c>
      <c r="F7" s="173">
        <f>SUMIF('[1]Табель цех 1 по 15 вересня'!$B:$B,B7,'[1]Табель цех 1 по 15 вересня'!$H:$H)</f>
        <v>-28.739999999997963</v>
      </c>
      <c r="G7" s="173">
        <f t="shared" si="2"/>
        <v>14200</v>
      </c>
      <c r="H7" s="173">
        <f t="shared" si="3"/>
        <v>-5.7399999999979627</v>
      </c>
      <c r="I7" s="174">
        <f>_ЦО!T5+'МХП лазня'!T5+Катеринополь!T5+ВООЗ!T5+Кернел!T5+'Глобино Мк'!T5+'ВООЗ ЕМС'!T5+'ООН 36'!T5+'ООН 37'!T5+'ООН 38'!T5+ООН39!T5+'ООН 40'!T5+'ООН №43'!T5+'ООН 44'!T5+'ООН 45'!V5+ООН46!T5+ООН47!T5+ООН48!T5+ООН49!T5+ООн50!T5+ООН51!T5+Форшахта!T5+'ГАлерея 25.6'!T5+ГРП!AI5+'Парк меляси'!T5+'ООН 42'!T5</f>
        <v>121</v>
      </c>
      <c r="J7" s="44">
        <v>150</v>
      </c>
    </row>
    <row r="8" spans="1:10" ht="15.75" outlineLevel="1" x14ac:dyDescent="0.25">
      <c r="A8" s="147">
        <v>5</v>
      </c>
      <c r="B8" s="148" t="s">
        <v>14</v>
      </c>
      <c r="C8" s="148"/>
      <c r="D8" s="148">
        <v>3927</v>
      </c>
      <c r="E8" s="142">
        <f t="shared" si="1"/>
        <v>19050</v>
      </c>
      <c r="F8" s="173">
        <f>SUMIF('[1]Табель цех 1 по 15 вересня'!$B:$B,B8,'[1]Табель цех 1 по 15 вересня'!$H:$H)</f>
        <v>6.1700000000055297</v>
      </c>
      <c r="G8" s="173">
        <f t="shared" si="2"/>
        <v>15100</v>
      </c>
      <c r="H8" s="173">
        <f t="shared" si="3"/>
        <v>29.17000000000553</v>
      </c>
      <c r="I8" s="174">
        <f>_ЦО!T6+'МХП лазня'!T6+Катеринополь!T6+ВООЗ!T6+Кернел!T6+'Глобино Мк'!T6+'ВООЗ ЕМС'!T6+'ООН 36'!T6+'ООН 37'!T6+'ООН 38'!T6+ООН39!T6+'ООН 40'!T6+'ООН №43'!T6+'ООН 44'!T6+'ООН 45'!V6+ООН46!T6+ООН47!T6+ООН48!T6+ООН49!T6+ООн50!T6+ООН51!T6+Форшахта!T6+'ГАлерея 25.6'!T6+ГРП!AI6+'Парк меляси'!T6+'ООН 42'!T6</f>
        <v>127</v>
      </c>
      <c r="J8" s="44">
        <v>150</v>
      </c>
    </row>
    <row r="9" spans="1:10" ht="15.75" outlineLevel="1" x14ac:dyDescent="0.25">
      <c r="A9" s="147">
        <v>6</v>
      </c>
      <c r="B9" s="148" t="s">
        <v>15</v>
      </c>
      <c r="C9" s="148"/>
      <c r="D9" s="148">
        <v>3927</v>
      </c>
      <c r="E9" s="142">
        <f t="shared" si="1"/>
        <v>19050</v>
      </c>
      <c r="F9" s="173">
        <f>SUMIF('[1]Табель цех 1 по 15 вересня'!$B:$B,B9,'[1]Табель цех 1 по 15 вересня'!$H:$H)</f>
        <v>-18.450000000004366</v>
      </c>
      <c r="G9" s="173">
        <f t="shared" si="2"/>
        <v>15100</v>
      </c>
      <c r="H9" s="173">
        <f t="shared" si="3"/>
        <v>4.5499999999956344</v>
      </c>
      <c r="I9" s="174">
        <f>_ЦО!T7+'МХП лазня'!T7+Катеринополь!T7+ВООЗ!T7+Кернел!T7+'Глобино Мк'!T7+'ВООЗ ЕМС'!T7+'ООН 36'!T7+'ООН 37'!T7+'ООН 38'!T7+ООН39!T7+'ООН 40'!T7+'ООН №43'!T7+'ООН 44'!T7+'ООН 45'!V7+ООН46!T7+ООН47!T7+ООН48!T7+ООН49!T7+ООн50!T7+ООН51!T7+Форшахта!T7+'ГАлерея 25.6'!T7+ГРП!AI7+'Парк меляси'!T7+'ООН 42'!T7</f>
        <v>127</v>
      </c>
      <c r="J9" s="44">
        <v>150</v>
      </c>
    </row>
    <row r="10" spans="1:10" ht="15.75" outlineLevel="1" x14ac:dyDescent="0.25">
      <c r="A10" s="147">
        <v>7</v>
      </c>
      <c r="B10" s="148" t="s">
        <v>16</v>
      </c>
      <c r="C10" s="148"/>
      <c r="D10" s="148">
        <v>18640.48</v>
      </c>
      <c r="E10" s="142">
        <f t="shared" si="1"/>
        <v>23400</v>
      </c>
      <c r="F10" s="173">
        <f>SUMIF('[1]Табель цех 1 по 15 вересня'!$B:$B,B10,'[1]Табель цех 1 по 15 вересня'!$H:$H)</f>
        <v>-10.240000000001601</v>
      </c>
      <c r="G10" s="173">
        <f t="shared" si="2"/>
        <v>4700</v>
      </c>
      <c r="H10" s="173">
        <f t="shared" si="3"/>
        <v>49.279999999998836</v>
      </c>
      <c r="I10" s="174">
        <f>_ЦО!T8+'МХП лазня'!T8+Катеринополь!T8+ВООЗ!T8+Кернел!T8+'Глобино Мк'!T8+'ВООЗ ЕМС'!T8+'ООН 36'!T8+'ООН 37'!T8+'ООН 38'!T8+ООН39!T8+'ООН 40'!T8+'ООН №43'!T8+'ООН 44'!T8+'ООН 45'!V8+ООН46!T8+ООН47!T8+ООН48!T8+ООН49!T8+ООн50!T8+ООН51!T8+Форшахта!T8+'ГАлерея 25.6'!T8+ГРП!AI8+'Парк меляси'!T8+'ООН 42'!T8</f>
        <v>156</v>
      </c>
      <c r="J10" s="44">
        <v>150</v>
      </c>
    </row>
    <row r="11" spans="1:10" ht="15.75" outlineLevel="1" x14ac:dyDescent="0.25">
      <c r="A11" s="147">
        <v>8</v>
      </c>
      <c r="B11" s="148" t="s">
        <v>4</v>
      </c>
      <c r="C11" s="148">
        <v>10324.25</v>
      </c>
      <c r="D11" s="148">
        <v>3927</v>
      </c>
      <c r="E11" s="142">
        <f t="shared" si="1"/>
        <v>54000</v>
      </c>
      <c r="F11" s="173">
        <f>SUMIF('[1]Табель цех 1 по 15 вересня'!$B:$B,B11,'[1]Табель цех 1 по 15 вересня'!$H:$H)</f>
        <v>32.540000000000873</v>
      </c>
      <c r="G11" s="173">
        <f t="shared" si="2"/>
        <v>39800</v>
      </c>
      <c r="H11" s="173">
        <f t="shared" si="3"/>
        <v>-18.709999999999127</v>
      </c>
      <c r="I11" s="174">
        <f>_ЦО!T9+'МХП лазня'!T9+Катеринополь!T9+ВООЗ!T9+Кернел!T9+'Глобино Мк'!T9+'ВООЗ ЕМС'!T9+'ООН 36'!T9+'ООН 37'!T9+'ООН 38'!T9+ООН39!T9+'ООН 40'!T9+'ООН №43'!T9+'ООН 44'!T9+'ООН 45'!V9+ООН46!T9+ООН47!T9+ООН48!T9+ООН49!T9+ООн50!T9+ООН51!T9+Форшахта!T9+'ГАлерея 25.6'!T9+ГРП!AI9+'Парк меляси'!T9+'ООН 42'!T9</f>
        <v>360</v>
      </c>
      <c r="J11" s="44">
        <v>150</v>
      </c>
    </row>
    <row r="12" spans="1:10" s="176" customFormat="1" ht="15.75" outlineLevel="1" x14ac:dyDescent="0.25">
      <c r="A12" s="147">
        <v>9</v>
      </c>
      <c r="B12" s="148" t="s">
        <v>5</v>
      </c>
      <c r="C12" s="171"/>
      <c r="D12" s="171">
        <v>3927</v>
      </c>
      <c r="E12" s="172">
        <f t="shared" si="1"/>
        <v>20700</v>
      </c>
      <c r="F12" s="173">
        <f>SUMIF('[1]Табель цех 1 по 15 вересня'!$B:$B,B12,'[1]Табель цех 1 по 15 вересня'!$H:$H)</f>
        <v>34.950000000004366</v>
      </c>
      <c r="G12" s="173">
        <f t="shared" si="2"/>
        <v>16800</v>
      </c>
      <c r="H12" s="173">
        <f t="shared" si="3"/>
        <v>7.9500000000043656</v>
      </c>
      <c r="I12" s="174">
        <f>_ЦО!T10+'МХП лазня'!T10+Катеринополь!T10+ВООЗ!T10+Кернел!T10+'Глобино Мк'!T10+'ВООЗ ЕМС'!T10+'ООН 36'!T10+'ООН 37'!T10+'ООН 38'!T10+ООН39!T10+'ООН 40'!T10+'ООН №43'!T10+'ООН 44'!T10+'ООН 45'!V10+ООН46!T10+ООН47!T10+ООН48!T10+ООН49!T10+ООн50!T10+ООН51!T10+Форшахта!T10+'ГАлерея 25.6'!T10+ГРП!AI10+'Парк меляси'!T10+'ООН 42'!T10</f>
        <v>138</v>
      </c>
      <c r="J12" s="44">
        <v>150</v>
      </c>
    </row>
    <row r="13" spans="1:10" ht="15.75" outlineLevel="1" x14ac:dyDescent="0.25">
      <c r="A13" s="147">
        <v>10</v>
      </c>
      <c r="B13" s="148" t="s">
        <v>38</v>
      </c>
      <c r="C13" s="148"/>
      <c r="D13" s="148">
        <v>3927</v>
      </c>
      <c r="E13" s="142">
        <f t="shared" si="1"/>
        <v>19050</v>
      </c>
      <c r="F13" s="173">
        <f>SUMIF('[1]Табель цех 1 по 15 вересня'!$B:$B,B13,'[1]Табель цех 1 по 15 вересня'!$H:$H)</f>
        <v>-25</v>
      </c>
      <c r="G13" s="173">
        <f t="shared" si="2"/>
        <v>15100</v>
      </c>
      <c r="H13" s="173">
        <f t="shared" si="3"/>
        <v>-2</v>
      </c>
      <c r="I13" s="174">
        <f>_ЦО!T11+'МХП лазня'!T11+Катеринополь!T11+ВООЗ!T11+Кернел!T11+'Глобино Мк'!T11+'ВООЗ ЕМС'!T11+'ООН 36'!T11+'ООН 37'!T11+'ООН 38'!T11+ООН39!T11+'ООН 40'!T11+'ООН №43'!T11+'ООН 44'!T11+'ООН 45'!V11+ООН46!T11+ООН47!T11+ООН48!T11+ООН49!T11+ООн50!T11+ООН51!T11+Форшахта!T11+'ГАлерея 25.6'!T11+ГРП!AI11+'Парк меляси'!T11+'ООН 42'!T11</f>
        <v>127</v>
      </c>
      <c r="J13" s="44">
        <v>150</v>
      </c>
    </row>
    <row r="14" spans="1:10" s="176" customFormat="1" ht="15.75" outlineLevel="1" x14ac:dyDescent="0.25">
      <c r="A14" s="147">
        <v>11</v>
      </c>
      <c r="B14" s="148" t="s">
        <v>43</v>
      </c>
      <c r="C14" s="171"/>
      <c r="D14" s="171">
        <v>14676.63</v>
      </c>
      <c r="E14" s="172">
        <f t="shared" si="1"/>
        <v>19800</v>
      </c>
      <c r="F14" s="173">
        <f>SUMIF('[1]Табель цех 1 по 15 вересня'!$B:$B,B14,'[1]Табель цех 1 по 15 вересня'!$H:$H)</f>
        <v>-36.630000000004657</v>
      </c>
      <c r="G14" s="173">
        <f t="shared" si="2"/>
        <v>5100</v>
      </c>
      <c r="H14" s="173">
        <f t="shared" si="3"/>
        <v>-13.260000000003856</v>
      </c>
      <c r="I14" s="174">
        <f>_ЦО!T12+'МХП лазня'!T12+Катеринополь!T12+ВООЗ!T12+Кернел!T12+'Глобино Мк'!T12+'ВООЗ ЕМС'!T12+'ООН 36'!T12+'ООН 37'!T12+'ООН 38'!T12+ООН39!T12+'ООН 40'!T12+'ООН №43'!T12+'ООН 44'!T12+'ООН 45'!V12+ООН46!T12+ООН47!T12+ООН48!T12+ООН49!T12+ООн50!T12+ООН51!T12+Форшахта!T12+'ГАлерея 25.6'!T12+ГРП!AI12+'Парк меляси'!T12+'ООН 42'!T12</f>
        <v>132</v>
      </c>
      <c r="J14" s="44">
        <v>150</v>
      </c>
    </row>
    <row r="15" spans="1:10" ht="15.75" outlineLevel="1" x14ac:dyDescent="0.25">
      <c r="A15" s="147">
        <v>12</v>
      </c>
      <c r="B15" s="148" t="s">
        <v>639</v>
      </c>
      <c r="C15" s="148">
        <v>10324.25</v>
      </c>
      <c r="D15" s="148">
        <v>3927</v>
      </c>
      <c r="E15" s="142">
        <f t="shared" si="1"/>
        <v>54000</v>
      </c>
      <c r="F15" s="173">
        <f>SUMIF('[1]Табель цех 1 по 15 вересня'!$B:$B,B15,'[1]Табель цех 1 по 15 вересня'!$H:$H)</f>
        <v>-21.270000000004075</v>
      </c>
      <c r="G15" s="173">
        <f t="shared" si="2"/>
        <v>39700</v>
      </c>
      <c r="H15" s="173">
        <f t="shared" si="3"/>
        <v>27.479999999995925</v>
      </c>
      <c r="I15" s="174">
        <f>_ЦО!T13+'МХП лазня'!T13+Катеринополь!T13+ВООЗ!T13+Кернел!T13+'Глобино Мк'!T13+'ВООЗ ЕМС'!T13+'ООН 36'!T13+'ООН 37'!T13+'ООН 38'!T13+ООН39!T13+'ООН 40'!T13+'ООН №43'!T13+'ООН 44'!T13+'ООН 45'!V13+ООН46!T13+ООН47!T13+ООН48!T13+ООН49!T13+ООн50!T13+ООН51!T13+Форшахта!T13+'ГАлерея 25.6'!T13+ГРП!AI13+'Парк меляси'!T13+'ООН 42'!T13</f>
        <v>360</v>
      </c>
      <c r="J15" s="44">
        <v>150</v>
      </c>
    </row>
    <row r="16" spans="1:10" ht="15.75" outlineLevel="1" x14ac:dyDescent="0.25">
      <c r="A16" s="147">
        <v>13</v>
      </c>
      <c r="B16" s="148" t="s">
        <v>87</v>
      </c>
      <c r="C16" s="148"/>
      <c r="D16" s="148">
        <v>4575.09</v>
      </c>
      <c r="E16" s="142">
        <f t="shared" si="1"/>
        <v>17400</v>
      </c>
      <c r="F16" s="173">
        <f>SUMIF('[1]Табель цех 1 по 15 вересня'!$B:$B,B16,'[1]Табель цех 1 по 15 вересня'!$H:$H)</f>
        <v>-40.340000000001965</v>
      </c>
      <c r="G16" s="173">
        <f t="shared" si="2"/>
        <v>12800</v>
      </c>
      <c r="H16" s="173">
        <f t="shared" si="3"/>
        <v>-15.430000000003929</v>
      </c>
      <c r="I16" s="174">
        <f>_ЦО!T14+'МХП лазня'!T14+Катеринополь!T14+ВООЗ!T14+Кернел!T14+'Глобино Мк'!T14+'ВООЗ ЕМС'!T14+'ООН 36'!T14+'ООН 37'!T14+'ООН 38'!T14+ООН39!T14+'ООН 40'!T14+'ООН №43'!T14+'ООН 44'!T14+'ООН 45'!V14+ООН46!T14+ООН47!T14+ООН48!T14+ООН49!T14+ООн50!T14+ООН51!T14+Форшахта!T14+'ГАлерея 25.6'!T14+ГРП!AI14+'Парк меляси'!T14+'ООН 42'!T14</f>
        <v>116</v>
      </c>
      <c r="J16" s="44">
        <v>150</v>
      </c>
    </row>
    <row r="17" spans="1:10" ht="15.75" outlineLevel="1" x14ac:dyDescent="0.25">
      <c r="A17" s="147">
        <v>14</v>
      </c>
      <c r="B17" s="148" t="s">
        <v>95</v>
      </c>
      <c r="C17" s="148"/>
      <c r="D17" s="148">
        <v>3927</v>
      </c>
      <c r="E17" s="142">
        <f t="shared" si="1"/>
        <v>27300</v>
      </c>
      <c r="F17" s="173">
        <f>SUMIF('[1]Табель цех 1 по 15 вересня'!$B:$B,B17,'[1]Табель цех 1 по 15 вересня'!$H:$H)</f>
        <v>37.770000000004075</v>
      </c>
      <c r="G17" s="173">
        <f t="shared" si="2"/>
        <v>23400</v>
      </c>
      <c r="H17" s="173">
        <f t="shared" si="3"/>
        <v>10.770000000004075</v>
      </c>
      <c r="I17" s="174">
        <f>_ЦО!T15+'МХП лазня'!T15+Катеринополь!T15+ВООЗ!T15+Кернел!T15+'Глобино Мк'!T15+'ВООЗ ЕМС'!T15+'ООН 36'!T15+'ООН 37'!T15+'ООН 38'!T15+ООН39!T15+'ООН 40'!T15+'ООН №43'!T15+'ООН 44'!T15+'ООН 45'!V15+ООН46!T15+ООН47!T15+ООН48!T15+ООН49!T15+ООн50!T15+ООН51!T15+Форшахта!T15+'ГАлерея 25.6'!T15+ГРП!AI15+'Парк меляси'!T15+'ООН 42'!T15</f>
        <v>182</v>
      </c>
      <c r="J17" s="44">
        <v>150</v>
      </c>
    </row>
    <row r="18" spans="1:10" ht="15.75" outlineLevel="1" x14ac:dyDescent="0.25">
      <c r="A18" s="147">
        <v>15</v>
      </c>
      <c r="B18" s="148" t="s">
        <v>96</v>
      </c>
      <c r="C18" s="148"/>
      <c r="D18" s="148">
        <v>3927</v>
      </c>
      <c r="E18" s="142">
        <f t="shared" si="1"/>
        <v>19050</v>
      </c>
      <c r="F18" s="173">
        <f>SUMIF('[1]Табель цех 1 по 15 вересня'!$B:$B,B18,'[1]Табель цех 1 по 15 вересня'!$H:$H)</f>
        <v>-15.5</v>
      </c>
      <c r="G18" s="173">
        <f t="shared" si="2"/>
        <v>15100</v>
      </c>
      <c r="H18" s="173">
        <f t="shared" si="3"/>
        <v>7.5</v>
      </c>
      <c r="I18" s="174">
        <f>_ЦО!T16+'МХП лазня'!T16+Катеринополь!T16+ВООЗ!T16+Кернел!T16+'Глобино Мк'!T16+'ВООЗ ЕМС'!T16+'ООН 36'!T16+'ООН 37'!T16+'ООН 38'!T16+ООН39!T16+'ООН 40'!T16+'ООН №43'!T16+'ООН 44'!T16+'ООН 45'!V16+ООН46!T16+ООН47!T16+ООН48!T16+ООН49!T16+ООн50!T16+ООН51!T16+Форшахта!T16+'ГАлерея 25.6'!T16+ГРП!AI16+'Парк меляси'!T16+'ООН 42'!T16</f>
        <v>127</v>
      </c>
      <c r="J18" s="44">
        <v>150</v>
      </c>
    </row>
    <row r="19" spans="1:10" ht="15.75" outlineLevel="1" x14ac:dyDescent="0.25">
      <c r="A19" s="147">
        <v>16</v>
      </c>
      <c r="B19" s="148" t="s">
        <v>97</v>
      </c>
      <c r="C19" s="148"/>
      <c r="D19" s="148">
        <v>9625</v>
      </c>
      <c r="E19" s="142">
        <f t="shared" si="1"/>
        <v>14700</v>
      </c>
      <c r="F19" s="173">
        <f>SUMIF('[1]Табель цех 1 по 15 вересня'!$B:$B,B19,'[1]Табель цех 1 по 15 вересня'!$H:$H)</f>
        <v>-41.489999999997963</v>
      </c>
      <c r="G19" s="173">
        <f t="shared" si="2"/>
        <v>5000</v>
      </c>
      <c r="H19" s="173">
        <f t="shared" si="3"/>
        <v>33.510000000002037</v>
      </c>
      <c r="I19" s="174">
        <f>_ЦО!T17+'МХП лазня'!T17+Катеринополь!T17+ВООЗ!T17+Кернел!T17+'Глобино Мк'!T17+'ВООЗ ЕМС'!T17+'ООН 36'!T17+'ООН 37'!T17+'ООН 38'!T17+ООН39!T17+'ООН 40'!T17+'ООН №43'!T17+'ООН 44'!T17+'ООН 45'!V17+ООН46!T17+ООН47!T17+ООН48!T17+ООН49!T17+ООн50!T17+ООН51!T17+Форшахта!T17+'ГАлерея 25.6'!T17+ГРП!AI17+'Парк меляси'!T17+'ООН 42'!T17</f>
        <v>98</v>
      </c>
      <c r="J19" s="44">
        <v>150</v>
      </c>
    </row>
    <row r="20" spans="1:10" ht="15.75" outlineLevel="1" x14ac:dyDescent="0.25">
      <c r="A20" s="147">
        <v>17</v>
      </c>
      <c r="B20" s="148" t="s">
        <v>98</v>
      </c>
      <c r="C20" s="148"/>
      <c r="D20" s="148">
        <v>3927</v>
      </c>
      <c r="E20" s="142">
        <f t="shared" si="1"/>
        <v>17850</v>
      </c>
      <c r="F20" s="173">
        <f>SUMIF('[1]Табель цех 1 по 15 вересня'!$B:$B,B20,'[1]Табель цех 1 по 15 вересня'!$H:$H)</f>
        <v>34.5</v>
      </c>
      <c r="G20" s="173">
        <f t="shared" si="2"/>
        <v>14000</v>
      </c>
      <c r="H20" s="173">
        <f t="shared" si="3"/>
        <v>-42.5</v>
      </c>
      <c r="I20" s="174">
        <f>_ЦО!T18+'МХП лазня'!T18+Катеринополь!T18+ВООЗ!T18+Кернел!T18+'Глобино Мк'!T18+'ВООЗ ЕМС'!T18+'ООН 36'!T18+'ООН 37'!T18+'ООН 38'!T18+ООН39!T18+'ООН 40'!T18+'ООН №43'!T18+'ООН 44'!T18+'ООН 45'!V18+ООН46!T18+ООН47!T18+ООН48!T18+ООН49!T18+ООн50!T18+ООН51!T18+Форшахта!T18+'ГАлерея 25.6'!T18+ГРП!AI18+'Парк меляси'!T18+'ООН 42'!T18</f>
        <v>119</v>
      </c>
      <c r="J20" s="44">
        <v>150</v>
      </c>
    </row>
    <row r="21" spans="1:10" ht="15.75" outlineLevel="1" x14ac:dyDescent="0.25">
      <c r="A21" s="147">
        <v>18</v>
      </c>
      <c r="B21" s="148" t="s">
        <v>616</v>
      </c>
      <c r="C21" s="148"/>
      <c r="D21" s="148">
        <v>3927</v>
      </c>
      <c r="E21" s="142">
        <f t="shared" si="1"/>
        <v>10200</v>
      </c>
      <c r="F21" s="173">
        <f>SUMIF('[1]Табель цех 1 по 15 вересня'!$B:$B,B21,'[1]Табель цех 1 по 15 вересня'!$H:$H)</f>
        <v>10.520000000002256</v>
      </c>
      <c r="G21" s="173">
        <f t="shared" si="2"/>
        <v>6300</v>
      </c>
      <c r="H21" s="173">
        <f t="shared" si="3"/>
        <v>-16.479999999997744</v>
      </c>
      <c r="I21" s="174">
        <f>_ЦО!T19+'МХП лазня'!T19+Катеринополь!T19+ВООЗ!T19+Кернел!T19+'Глобино Мк'!T19+'ВООЗ ЕМС'!T19+'ООН 36'!T19+'ООН 37'!T19+'ООН 38'!T19+ООН39!T19+'ООН 40'!T19+'ООН №43'!T19+'ООН 44'!T19+'ООН 45'!V19+ООН46!T19+ООН47!T19+ООН48!T19+ООН49!T19+ООн50!T19+ООН51!T19+Форшахта!T19+'ГАлерея 25.6'!T19+ГРП!AI19+'Парк меляси'!T19+'ООН 42'!T19</f>
        <v>68</v>
      </c>
      <c r="J21" s="44">
        <v>150</v>
      </c>
    </row>
    <row r="22" spans="1:10" ht="15.75" outlineLevel="1" x14ac:dyDescent="0.25">
      <c r="A22" s="147">
        <v>19</v>
      </c>
      <c r="B22" s="148" t="s">
        <v>617</v>
      </c>
      <c r="C22" s="148"/>
      <c r="D22" s="148">
        <v>8662.5</v>
      </c>
      <c r="E22" s="142">
        <f t="shared" si="1"/>
        <v>50400</v>
      </c>
      <c r="F22" s="173">
        <f>SUMIF('[1]Табель цех 1 по 15 вересня'!$B:$B,B22,'[1]Табель цех 1 по 15 вересня'!$H:$H)</f>
        <v>-4239.3399999999965</v>
      </c>
      <c r="G22" s="173">
        <f t="shared" si="2"/>
        <v>37500</v>
      </c>
      <c r="H22" s="173">
        <f t="shared" si="3"/>
        <v>-1.8399999999965075</v>
      </c>
      <c r="I22" s="174">
        <f>_ЦО!T20+'МХП лазня'!T20+Катеринополь!T20+ВООЗ!T20+Кернел!T20+'Глобино Мк'!T20+'ВООЗ ЕМС'!T20+'ООН 36'!T20+'ООН 37'!T20+'ООН 38'!T20+ООН39!T20+'ООН 40'!T20+'ООН №43'!T20+'ООН 44'!T20+'ООН 45'!V20+ООН46!T20+ООН47!T20+ООН48!T20+ООН49!T20+ООн50!T20+ООН51!T20+Форшахта!T20+'ГАлерея 25.6'!T20+ГРП!AI20+'Парк меляси'!T20+'ООН 42'!T20</f>
        <v>336</v>
      </c>
      <c r="J22" s="44">
        <v>150</v>
      </c>
    </row>
    <row r="23" spans="1:10" ht="15.75" outlineLevel="1" x14ac:dyDescent="0.25">
      <c r="A23" s="147">
        <v>20</v>
      </c>
      <c r="B23" s="148" t="s">
        <v>626</v>
      </c>
      <c r="C23" s="148"/>
      <c r="D23" s="148">
        <v>0</v>
      </c>
      <c r="E23" s="142">
        <f t="shared" si="1"/>
        <v>0</v>
      </c>
      <c r="F23" s="173">
        <f>SUMIF('[1]Табель цех 1 по 15 вересня'!$B:$B,B23,'[1]Табель цех 1 по 15 вересня'!$H:$H)</f>
        <v>46</v>
      </c>
      <c r="G23" s="173">
        <f t="shared" si="2"/>
        <v>0</v>
      </c>
      <c r="H23" s="173">
        <f t="shared" si="3"/>
        <v>46</v>
      </c>
      <c r="I23" s="174">
        <f>_ЦО!T21+'МХП лазня'!T21+Катеринополь!T21+ВООЗ!T21+Кернел!T21+'Глобино Мк'!T21+'ВООЗ ЕМС'!T21+'ООН 36'!T21+'ООН 37'!T21+'ООН 38'!T21+ООН39!T21+'ООН 40'!T21+'ООН №43'!T21+'ООН 44'!T21+'ООН 45'!V21+ООН46!T21+ООН47!T21+ООН48!T21+ООН49!T21+ООн50!T21+ООН51!T21+Форшахта!T21+'ГАлерея 25.6'!T21+ГРП!AI21+'Парк меляси'!T21+'ООН 42'!T21</f>
        <v>0</v>
      </c>
      <c r="J23" s="44">
        <v>150</v>
      </c>
    </row>
    <row r="24" spans="1:10" ht="15" customHeight="1" outlineLevel="1" x14ac:dyDescent="0.25">
      <c r="A24" s="147">
        <v>21</v>
      </c>
      <c r="B24" s="148" t="s">
        <v>618</v>
      </c>
      <c r="C24" s="148"/>
      <c r="D24" s="148">
        <v>9625</v>
      </c>
      <c r="E24" s="142">
        <f t="shared" si="1"/>
        <v>50400</v>
      </c>
      <c r="F24" s="173">
        <f>SUMIF('[1]Табель цех 1 по 15 вересня'!$B:$B,B24,'[1]Табель цех 1 по 15 вересня'!$H:$H)</f>
        <v>-2224.260000000002</v>
      </c>
      <c r="G24" s="173">
        <f t="shared" si="2"/>
        <v>38600</v>
      </c>
      <c r="H24" s="173">
        <f t="shared" si="3"/>
        <v>-49.260000000002037</v>
      </c>
      <c r="I24" s="174">
        <f>_ЦО!T22+'МХП лазня'!T22+Катеринополь!T22+ВООЗ!T22+Кернел!T22+'Глобино Мк'!T22+'ВООЗ ЕМС'!T22+'ООН 36'!T22+'ООН 37'!T22+'ООН 38'!T22+ООН39!T22+'ООН 40'!T22+'ООН №43'!T22+'ООН 44'!T22+'ООН 45'!V22+ООН46!T22+ООН47!T22+ООН48!T22+ООН49!T22+ООн50!T22+ООН51!T22+Форшахта!T22+'ГАлерея 25.6'!T22+ГРП!AI22+'Парк меляси'!T22+'ООН 42'!T22</f>
        <v>336</v>
      </c>
      <c r="J24" s="44">
        <v>150</v>
      </c>
    </row>
    <row r="25" spans="1:10" ht="15.75" outlineLevel="1" x14ac:dyDescent="0.25">
      <c r="A25" s="147">
        <v>22</v>
      </c>
      <c r="B25" s="148" t="s">
        <v>619</v>
      </c>
      <c r="C25" s="148"/>
      <c r="D25" s="148">
        <v>3927</v>
      </c>
      <c r="E25" s="142">
        <f t="shared" si="1"/>
        <v>20100</v>
      </c>
      <c r="F25" s="173">
        <f>SUMIF('[1]Табель цех 1 по 15 вересня'!$B:$B,B25,'[1]Табель цех 1 по 15 вересня'!$H:$H)</f>
        <v>-15</v>
      </c>
      <c r="G25" s="173">
        <f t="shared" si="2"/>
        <v>16200</v>
      </c>
      <c r="H25" s="173">
        <f t="shared" si="3"/>
        <v>-42</v>
      </c>
      <c r="I25" s="174">
        <f>_ЦО!T23+'МХП лазня'!T23+Катеринополь!T23+ВООЗ!T23+Кернел!T23+'Глобино Мк'!T23+'ВООЗ ЕМС'!T23+'ООН 36'!T23+'ООН 37'!T23+'ООН 38'!T23+ООН39!T23+'ООН 40'!T23+'ООН №43'!T23+'ООН 44'!T23+'ООН 45'!V23+ООН46!T23+ООН47!T23+ООН48!T23+ООН49!T23+ООн50!T23+ООН51!T23+Форшахта!T23+'ГАлерея 25.6'!T23+ГРП!AI23+'Парк меляси'!T23+'ООН 42'!T23</f>
        <v>134</v>
      </c>
      <c r="J25" s="44">
        <v>150</v>
      </c>
    </row>
    <row r="26" spans="1:10" ht="15.75" outlineLevel="1" x14ac:dyDescent="0.25">
      <c r="A26" s="147">
        <v>23</v>
      </c>
      <c r="B26" s="148" t="s">
        <v>620</v>
      </c>
      <c r="C26" s="148"/>
      <c r="D26" s="148"/>
      <c r="E26" s="142">
        <f t="shared" si="1"/>
        <v>14850</v>
      </c>
      <c r="F26" s="173">
        <f>SUMIF('[1]Табель цех 1 по 15 вересня'!$B:$B,B26,'[1]Табель цех 1 по 15 вересня'!$H:$H)</f>
        <v>20</v>
      </c>
      <c r="G26" s="173">
        <f t="shared" si="2"/>
        <v>14900</v>
      </c>
      <c r="H26" s="173">
        <f t="shared" si="3"/>
        <v>-30</v>
      </c>
      <c r="I26" s="174">
        <f>_ЦО!T24+'МХП лазня'!T24+Катеринополь!T24+ВООЗ!T24+Кернел!T24+'Глобино Мк'!T24+'ВООЗ ЕМС'!T24+'ООН 36'!T24+'ООН 37'!T24+'ООН 38'!T24+ООН39!T24+'ООН 40'!T24+'ООН №43'!T24+'ООН 44'!T24+'ООН 45'!V24+ООН46!T24+ООН47!T24+ООН48!T24+ООН49!T24+ООн50!T24+ООН51!T24+Форшахта!T24+'ГАлерея 25.6'!T24+ГРП!AI24+'Парк меляси'!T24+'ООН 42'!T24</f>
        <v>99</v>
      </c>
      <c r="J26" s="44">
        <v>150</v>
      </c>
    </row>
    <row r="27" spans="1:10" ht="15.75" outlineLevel="1" x14ac:dyDescent="0.25">
      <c r="A27" s="147">
        <v>24</v>
      </c>
      <c r="B27" s="148" t="s">
        <v>650</v>
      </c>
      <c r="C27" s="148"/>
      <c r="D27" s="148">
        <v>2887.5</v>
      </c>
      <c r="E27" s="142">
        <f t="shared" si="1"/>
        <v>25800</v>
      </c>
      <c r="F27" s="173">
        <f>SUMIF('[1]Табель цех 1 по 15 вересня'!$B:$B,B27,'[1]Табель цех 1 по 15 вересня'!$H:$H)</f>
        <v>-40.179999999996653</v>
      </c>
      <c r="G27" s="173">
        <f t="shared" si="2"/>
        <v>22900</v>
      </c>
      <c r="H27" s="173">
        <f t="shared" si="3"/>
        <v>-27.679999999996653</v>
      </c>
      <c r="I27" s="174">
        <f>_ЦО!T25+'МХП лазня'!T25+Катеринополь!T25+ВООЗ!T25+Кернел!T25+'Глобино Мк'!T25+'ВООЗ ЕМС'!T25+'ООН 36'!T25+'ООН 37'!T25+'ООН 38'!T25+ООН39!T25+'ООН 40'!T25+'ООН №43'!T25+'ООН 44'!T25+'ООН 45'!V25+ООН46!T25+ООН47!T25+ООН48!T25+ООН49!T25+ООн50!T25+ООН51!T25+Форшахта!T25+'ГАлерея 25.6'!T25+ГРП!AI25+'Парк меляси'!T25+'ООН 42'!T25</f>
        <v>172</v>
      </c>
      <c r="J27" s="44">
        <v>150</v>
      </c>
    </row>
    <row r="28" spans="1:10" ht="15.75" outlineLevel="1" x14ac:dyDescent="0.25">
      <c r="A28" s="147">
        <v>25</v>
      </c>
      <c r="B28" s="148" t="s">
        <v>621</v>
      </c>
      <c r="C28" s="148"/>
      <c r="D28" s="148"/>
      <c r="E28" s="142">
        <f t="shared" si="1"/>
        <v>16200</v>
      </c>
      <c r="F28" s="173">
        <f>SUMIF('[1]Табель цех 1 по 15 вересня'!$B:$B,B28,'[1]Табель цех 1 по 15 вересня'!$H:$H)</f>
        <v>0</v>
      </c>
      <c r="G28" s="173">
        <f t="shared" si="2"/>
        <v>16200</v>
      </c>
      <c r="H28" s="173">
        <f t="shared" si="3"/>
        <v>0</v>
      </c>
      <c r="I28" s="174">
        <f>_ЦО!T26+'МХП лазня'!T26+Катеринополь!T26+ВООЗ!T26+Кернел!T26+'Глобино Мк'!T26+'ВООЗ ЕМС'!T26+'ООН 36'!T26+'ООН 37'!T26+'ООН 38'!T26+ООН39!T26+'ООН 40'!T26+'ООН №43'!T26+'ООН 44'!T26+'ООН 45'!V26+ООН46!T26+ООН47!T26+ООН48!T26+ООН49!T26+ООн50!T26+ООН51!T26+Форшахта!T26+'ГАлерея 25.6'!T26+ГРП!AI26+'Парк меляси'!T26+'ООН 42'!T26</f>
        <v>108</v>
      </c>
      <c r="J28" s="44">
        <v>150</v>
      </c>
    </row>
    <row r="29" spans="1:10" ht="15.75" outlineLevel="1" x14ac:dyDescent="0.25">
      <c r="A29" s="147">
        <v>26</v>
      </c>
      <c r="B29" s="148" t="s">
        <v>622</v>
      </c>
      <c r="C29" s="148"/>
      <c r="D29" s="148"/>
      <c r="E29" s="142">
        <f t="shared" si="1"/>
        <v>16200</v>
      </c>
      <c r="F29" s="173">
        <f>SUMIF('[1]Табель цех 1 по 15 вересня'!$B:$B,B29,'[1]Табель цех 1 по 15 вересня'!$H:$H)</f>
        <v>0</v>
      </c>
      <c r="G29" s="173">
        <f t="shared" si="2"/>
        <v>16200</v>
      </c>
      <c r="H29" s="173">
        <f t="shared" si="3"/>
        <v>0</v>
      </c>
      <c r="I29" s="174">
        <f>_ЦО!T27+'МХП лазня'!T27+Катеринополь!T27+ВООЗ!T27+Кернел!T27+'Глобино Мк'!T27+'ВООЗ ЕМС'!T27+'ООН 36'!T27+'ООН 37'!T27+'ООН 38'!T27+ООН39!T27+'ООН 40'!T27+'ООН №43'!T27+'ООН 44'!T27+'ООН 45'!V27+ООН46!T27+ООН47!T27+ООН48!T27+ООН49!T27+ООн50!T27+ООН51!T27+Форшахта!T27+'ГАлерея 25.6'!T27+ГРП!AI27+'Парк меляси'!T27+'ООН 42'!T27</f>
        <v>108</v>
      </c>
      <c r="J29" s="44">
        <v>150</v>
      </c>
    </row>
    <row r="30" spans="1:10" ht="15.75" outlineLevel="1" x14ac:dyDescent="0.25">
      <c r="A30" s="147">
        <v>27</v>
      </c>
      <c r="B30" s="148" t="s">
        <v>623</v>
      </c>
      <c r="C30" s="148"/>
      <c r="D30" s="148"/>
      <c r="E30" s="142">
        <f t="shared" si="1"/>
        <v>23400</v>
      </c>
      <c r="F30" s="173">
        <f>SUMIF('[1]Табель цех 1 по 15 вересня'!$B:$B,B30,'[1]Табель цех 1 по 15 вересня'!$H:$H)</f>
        <v>-30</v>
      </c>
      <c r="G30" s="173">
        <f t="shared" si="2"/>
        <v>23400</v>
      </c>
      <c r="H30" s="173">
        <f t="shared" si="3"/>
        <v>-30</v>
      </c>
      <c r="I30" s="174">
        <f>_ЦО!T28+'МХП лазня'!T28+Катеринополь!T28+ВООЗ!T28+Кернел!T28+'Глобино Мк'!T28+'ВООЗ ЕМС'!T28+'ООН 36'!T28+'ООН 37'!T28+'ООН 38'!T28+ООН39!T28+'ООН 40'!T28+'ООН №43'!T28+'ООН 44'!T28+'ООН 45'!V28+ООН46!T28+ООН47!T28+ООН48!T28+ООН49!T28+ООн50!T28+ООН51!T28+Форшахта!T28+'ГАлерея 25.6'!T28+ГРП!AI28+'Парк меляси'!T28+'ООН 42'!T28</f>
        <v>156</v>
      </c>
      <c r="J30" s="44">
        <v>150</v>
      </c>
    </row>
    <row r="31" spans="1:10" ht="15.75" outlineLevel="1" x14ac:dyDescent="0.25">
      <c r="A31" s="147">
        <v>28</v>
      </c>
      <c r="B31" s="148" t="s">
        <v>624</v>
      </c>
      <c r="C31" s="148"/>
      <c r="D31" s="148">
        <v>3927</v>
      </c>
      <c r="E31" s="142">
        <f t="shared" si="1"/>
        <v>29250</v>
      </c>
      <c r="F31" s="173">
        <f>SUMIF('[1]Табель цех 1 по 15 вересня'!$B:$B,B31,'[1]Табель цех 1 по 15 вересня'!$H:$H)</f>
        <v>-15</v>
      </c>
      <c r="G31" s="173">
        <f t="shared" si="2"/>
        <v>25300</v>
      </c>
      <c r="H31" s="173">
        <f t="shared" si="3"/>
        <v>8</v>
      </c>
      <c r="I31" s="174">
        <f>_ЦО!T29+'МХП лазня'!T29+Катеринополь!T29+ВООЗ!T29+Кернел!T29+'Глобино Мк'!T29+'ВООЗ ЕМС'!T29+'ООН 36'!T29+'ООН 37'!T29+'ООН 38'!T29+ООН39!T29+'ООН 40'!T29+'ООН №43'!T29+'ООН 44'!T29+'ООН 45'!V29+ООН46!T29+ООН47!T29+ООН48!T29+ООН49!T29+ООн50!T29+ООН51!T29+Форшахта!T29+'ГАлерея 25.6'!T29+ГРП!AI29+'Парк меляси'!T29+'ООН 42'!T29</f>
        <v>195</v>
      </c>
      <c r="J31" s="44">
        <v>150</v>
      </c>
    </row>
    <row r="32" spans="1:10" ht="15.75" outlineLevel="1" x14ac:dyDescent="0.25">
      <c r="A32" s="147">
        <v>29</v>
      </c>
      <c r="B32" s="148" t="s">
        <v>627</v>
      </c>
      <c r="C32" s="148"/>
      <c r="D32" s="148"/>
      <c r="E32" s="142">
        <f t="shared" si="1"/>
        <v>0</v>
      </c>
      <c r="F32" s="173">
        <f>SUMIF('[1]Табель цех 1 по 15 вересня'!$B:$B,B32,'[1]Табель цех 1 по 15 вересня'!$H:$H)</f>
        <v>0</v>
      </c>
      <c r="G32" s="173">
        <f t="shared" si="2"/>
        <v>0</v>
      </c>
      <c r="H32" s="173">
        <f t="shared" si="3"/>
        <v>0</v>
      </c>
      <c r="I32" s="174">
        <f>_ЦО!T30+'МХП лазня'!T30+Катеринополь!T30+ВООЗ!T30+Кернел!T30+'Глобино Мк'!T30+'ВООЗ ЕМС'!T30+'ООН 36'!T30+'ООН 37'!T30+'ООН 38'!T30+ООН39!T30+'ООН 40'!T30+'ООН №43'!T30+'ООН 44'!T30+'ООН 45'!V30+ООН46!T30+ООН47!T30+ООН48!T30+ООН49!T30+ООн50!T30+ООН51!T30+Форшахта!T30+'ГАлерея 25.6'!T30+ГРП!AI30+'Парк меляси'!T30+'ООН 42'!T30</f>
        <v>0</v>
      </c>
      <c r="J32" s="44">
        <v>150</v>
      </c>
    </row>
    <row r="33" spans="1:10" ht="15.75" outlineLevel="1" x14ac:dyDescent="0.25">
      <c r="A33" s="147">
        <v>30</v>
      </c>
      <c r="B33" s="148" t="s">
        <v>625</v>
      </c>
      <c r="C33" s="148"/>
      <c r="D33" s="148"/>
      <c r="E33" s="142">
        <f t="shared" si="1"/>
        <v>0</v>
      </c>
      <c r="F33" s="173">
        <f>SUMIF('[1]Табель цех 1 по 15 вересня'!$B:$B,B33,'[1]Табель цех 1 по 15 вересня'!$H:$H)</f>
        <v>0</v>
      </c>
      <c r="G33" s="173">
        <f t="shared" si="2"/>
        <v>0</v>
      </c>
      <c r="H33" s="173">
        <f t="shared" si="3"/>
        <v>0</v>
      </c>
      <c r="I33" s="174">
        <f>_ЦО!T31+'МХП лазня'!T31+Катеринополь!T31+ВООЗ!T31+Кернел!T31+'Глобино Мк'!T31+'ВООЗ ЕМС'!T31+'ООН 36'!T31+'ООН 37'!T31+'ООН 38'!T31+ООН39!T31+'ООН 40'!T31+'ООН №43'!T31+'ООН 44'!T31+'ООН 45'!V31+ООН46!T31+ООН47!T31+ООН48!T31+ООН49!T31+ООн50!T31+ООН51!T31+Форшахта!T31+'ГАлерея 25.6'!T31+ГРП!AI31+'Парк меляси'!T31+'ООН 42'!T31</f>
        <v>0</v>
      </c>
      <c r="J33" s="44">
        <v>150</v>
      </c>
    </row>
    <row r="34" spans="1:10" ht="15.75" outlineLevel="1" x14ac:dyDescent="0.25">
      <c r="A34" s="147">
        <v>31</v>
      </c>
      <c r="B34" s="148" t="s">
        <v>34</v>
      </c>
      <c r="C34" s="148"/>
      <c r="D34" s="148">
        <v>9625</v>
      </c>
      <c r="E34" s="142">
        <f t="shared" si="1"/>
        <v>14550</v>
      </c>
      <c r="F34" s="173">
        <f>SUMIF('[1]Табель цех 1 по 15 вересня'!$B:$B,B34,'[1]Табель цех 1 по 15 вересня'!$H:$H)</f>
        <v>-4.8000000000029104</v>
      </c>
      <c r="G34" s="173">
        <f t="shared" si="2"/>
        <v>4900</v>
      </c>
      <c r="H34" s="173">
        <f t="shared" si="3"/>
        <v>20.19999999999709</v>
      </c>
      <c r="I34" s="174">
        <f>_ЦО!T32+'МХП лазня'!T32+Катеринополь!T32+ВООЗ!T32+Кернел!T32+'Глобино Мк'!T32+'ВООЗ ЕМС'!T32+'ООН 36'!T32+'ООН 37'!T32+'ООН 38'!T32+ООН39!T32+'ООН 40'!T32+'ООН №43'!T32+'ООН 44'!T32+'ООН 45'!V32+ООН46!T32+ООН47!T32+ООН48!T32+ООН49!T32+ООн50!T32+ООН51!T32+Форшахта!T32+'ГАлерея 25.6'!T32+ГРП!AI32+'Парк меляси'!T32+'ООН 42'!T32</f>
        <v>97</v>
      </c>
      <c r="J34" s="44">
        <v>150</v>
      </c>
    </row>
    <row r="35" spans="1:10" ht="15.75" outlineLevel="1" x14ac:dyDescent="0.25">
      <c r="A35" s="147">
        <v>32</v>
      </c>
      <c r="B35" s="148" t="s">
        <v>45</v>
      </c>
      <c r="C35" s="148"/>
      <c r="D35" s="148"/>
      <c r="E35" s="142">
        <f t="shared" si="1"/>
        <v>19800</v>
      </c>
      <c r="F35" s="173">
        <f>SUMIF('[1]Табель цех 1 по 15 вересня'!$B:$B,B35,'[1]Табель цех 1 по 15 вересня'!$H:$H)</f>
        <v>0</v>
      </c>
      <c r="G35" s="173">
        <f t="shared" si="2"/>
        <v>19800</v>
      </c>
      <c r="H35" s="173">
        <f t="shared" si="3"/>
        <v>0</v>
      </c>
      <c r="I35" s="174">
        <f>_ЦО!T33+'МХП лазня'!T33+Катеринополь!T33+ВООЗ!T33+Кернел!T33+'Глобино Мк'!T33+'ВООЗ ЕМС'!T33+'ООН 36'!T33+'ООН 37'!T33+'ООН 38'!T33+ООН39!T33+'ООН 40'!T33+'ООН №43'!T33+'ООН 44'!T33+'ООН 45'!V33+ООН46!T33+ООН47!T33+ООН48!T33+ООН49!T33+ООн50!T33+ООН51!T33+Форшахта!T33+'ГАлерея 25.6'!T33+ГРП!AI33+'Парк меляси'!T33+'ООН 42'!T33</f>
        <v>132</v>
      </c>
      <c r="J35" s="44">
        <v>150</v>
      </c>
    </row>
    <row r="36" spans="1:10" ht="15.75" outlineLevel="1" x14ac:dyDescent="0.25">
      <c r="A36" s="147">
        <v>33</v>
      </c>
      <c r="B36" s="148" t="s">
        <v>630</v>
      </c>
      <c r="C36" s="148"/>
      <c r="D36" s="148">
        <v>3927</v>
      </c>
      <c r="E36" s="142">
        <f t="shared" si="1"/>
        <v>22350</v>
      </c>
      <c r="F36" s="173">
        <f>SUMIF('[1]Табель цех 1 по 15 вересня'!$B:$B,B36,'[1]Табель цех 1 по 15 вересня'!$H:$H)</f>
        <v>15</v>
      </c>
      <c r="G36" s="173">
        <f t="shared" si="2"/>
        <v>18400</v>
      </c>
      <c r="H36" s="173">
        <f t="shared" si="3"/>
        <v>38</v>
      </c>
      <c r="I36" s="174">
        <f>_ЦО!T34+'МХП лазня'!T34+Катеринополь!T34+ВООЗ!T34+Кернел!T34+'Глобино Мк'!T34+'ВООЗ ЕМС'!T34+'ООН 36'!T34+'ООН 37'!T34+'ООН 38'!T34+ООН39!T34+'ООН 40'!T34+'ООН №43'!T34+'ООН 44'!T34+'ООН 45'!V34+ООН46!T34+ООН47!T34+ООН48!T34+ООН49!T34+ООн50!T34+ООН51!T34+Форшахта!T34+'ГАлерея 25.6'!T34+ГРП!AI34+'Парк меляси'!T34+'ООН 42'!T34</f>
        <v>149</v>
      </c>
      <c r="J36" s="44">
        <v>150</v>
      </c>
    </row>
    <row r="37" spans="1:10" ht="15.75" outlineLevel="1" x14ac:dyDescent="0.25">
      <c r="A37" s="147">
        <v>34</v>
      </c>
      <c r="B37" s="148" t="s">
        <v>628</v>
      </c>
      <c r="C37" s="148"/>
      <c r="D37" s="148">
        <v>9624.99</v>
      </c>
      <c r="E37" s="142">
        <f t="shared" si="1"/>
        <v>19800</v>
      </c>
      <c r="F37" s="173">
        <f>SUMIF('[1]Табель цех 1 по 15 вересня'!$B:$B,B37,'[1]Табель цех 1 по 15 вересня'!$H:$H)</f>
        <v>22.059999999995853</v>
      </c>
      <c r="G37" s="173">
        <f t="shared" si="2"/>
        <v>10200</v>
      </c>
      <c r="H37" s="173">
        <f t="shared" si="3"/>
        <v>-2.93000000000211</v>
      </c>
      <c r="I37" s="174">
        <f>_ЦО!T35+'МХП лазня'!T35+Катеринополь!T35+ВООЗ!T35+Кернел!T35+'Глобино Мк'!T35+'ВООЗ ЕМС'!T35+'ООН 36'!T35+'ООН 37'!T35+'ООН 38'!T35+ООН39!T35+'ООН 40'!T35+'ООН №43'!T35+'ООН 44'!T35+'ООН 45'!V35+ООН46!T35+ООН47!T35+ООН48!T35+ООН49!T35+ООн50!T35+ООН51!T35+Форшахта!T35+'ГАлерея 25.6'!T35+ГРП!AI35+'Парк меляси'!T35+'ООН 42'!T35</f>
        <v>132</v>
      </c>
      <c r="J37" s="44">
        <v>150</v>
      </c>
    </row>
    <row r="38" spans="1:10" ht="15.75" outlineLevel="1" x14ac:dyDescent="0.25">
      <c r="A38" s="147">
        <v>35</v>
      </c>
      <c r="B38" s="148" t="s">
        <v>629</v>
      </c>
      <c r="C38" s="148"/>
      <c r="D38" s="148">
        <v>0</v>
      </c>
      <c r="E38" s="142">
        <f t="shared" si="1"/>
        <v>0</v>
      </c>
      <c r="F38" s="173">
        <f>SUMIF('[1]Табель цех 1 по 15 вересня'!$B:$B,B38,'[1]Табель цех 1 по 15 вересня'!$H:$H)</f>
        <v>-44</v>
      </c>
      <c r="G38" s="173">
        <f t="shared" si="2"/>
        <v>0</v>
      </c>
      <c r="H38" s="173">
        <f t="shared" si="3"/>
        <v>-44</v>
      </c>
      <c r="I38" s="174">
        <f>_ЦО!T36+'МХП лазня'!T36+Катеринополь!T36+ВООЗ!T36+Кернел!T36+'Глобино Мк'!T36+'ВООЗ ЕМС'!T36+'ООН 36'!T36+'ООН 37'!T36+'ООН 38'!T36+ООН39!T36+'ООН 40'!T36+'ООН №43'!T36+'ООН 44'!T36+'ООН 45'!V36+ООН46!T36+ООН47!T36+ООН48!T36+ООН49!T36+ООн50!T36+ООН51!T36+Форшахта!T36+'ГАлерея 25.6'!T36+ГРП!AI36+'Парк меляси'!T36+'ООН 42'!T36</f>
        <v>0</v>
      </c>
      <c r="J38" s="44">
        <v>150</v>
      </c>
    </row>
    <row r="39" spans="1:10" ht="15.75" outlineLevel="1" x14ac:dyDescent="0.25">
      <c r="A39" s="147">
        <v>36</v>
      </c>
      <c r="B39" s="148" t="s">
        <v>631</v>
      </c>
      <c r="C39" s="148"/>
      <c r="D39" s="148">
        <v>3927</v>
      </c>
      <c r="E39" s="142">
        <f t="shared" si="1"/>
        <v>18900</v>
      </c>
      <c r="F39" s="173">
        <f>SUMIF('[1]Табель цех 1 по 15 вересня'!$B:$B,B39,'[1]Табель цех 1 по 15 вересня'!$H:$H)</f>
        <v>15</v>
      </c>
      <c r="G39" s="173">
        <f t="shared" si="2"/>
        <v>15000</v>
      </c>
      <c r="H39" s="173">
        <f t="shared" si="3"/>
        <v>-12</v>
      </c>
      <c r="I39" s="174">
        <f>_ЦО!T37+'МХП лазня'!T37+Катеринополь!T37+ВООЗ!T37+Кернел!T37+'Глобино Мк'!T37+'ВООЗ ЕМС'!T37+'ООН 36'!T37+'ООН 37'!T37+'ООН 38'!T37+ООН39!T37+'ООН 40'!T37+'ООН №43'!T37+'ООН 44'!T37+'ООН 45'!V37+ООН46!T37+ООН47!T37+ООН48!T37+ООН49!T37+ООн50!T37+ООН51!T37+Форшахта!T37+'ГАлерея 25.6'!T37+ГРП!AI37+'Парк меляси'!T37+'ООН 42'!T37</f>
        <v>126</v>
      </c>
      <c r="J39" s="44">
        <v>150</v>
      </c>
    </row>
    <row r="40" spans="1:10" ht="15.75" outlineLevel="1" x14ac:dyDescent="0.25">
      <c r="A40" s="147">
        <v>37</v>
      </c>
      <c r="B40" s="148" t="s">
        <v>632</v>
      </c>
      <c r="C40" s="148"/>
      <c r="D40" s="148">
        <v>3141.6</v>
      </c>
      <c r="E40" s="142">
        <f t="shared" si="1"/>
        <v>12450</v>
      </c>
      <c r="F40" s="173">
        <f>SUMIF('[1]Табель цех 1 по 15 вересня'!$B:$B,B40,'[1]Табель цех 1 по 15 вересня'!$H:$H)</f>
        <v>32.010000000000218</v>
      </c>
      <c r="G40" s="173">
        <f t="shared" si="2"/>
        <v>9300</v>
      </c>
      <c r="H40" s="173">
        <f t="shared" si="3"/>
        <v>40.409999999999854</v>
      </c>
      <c r="I40" s="174">
        <f>_ЦО!T38+'МХП лазня'!T38+Катеринополь!T38+ВООЗ!T38+Кернел!T38+'Глобино Мк'!T38+'ВООЗ ЕМС'!T38+'ООН 36'!T38+'ООН 37'!T38+'ООН 38'!T38+ООН39!T38+'ООН 40'!T38+'ООН №43'!T38+'ООН 44'!T38+'ООН 45'!V38+ООН46!T38+ООН47!T38+ООН48!T38+ООН49!T38+ООн50!T38+ООН51!T38+Форшахта!T38+'ГАлерея 25.6'!T38+ГРП!AI38+'Парк меляси'!T38+'ООН 42'!T38</f>
        <v>83</v>
      </c>
      <c r="J40" s="44">
        <v>150</v>
      </c>
    </row>
    <row r="41" spans="1:10" ht="15.75" outlineLevel="1" x14ac:dyDescent="0.25">
      <c r="A41" s="147">
        <v>38</v>
      </c>
      <c r="B41" s="148" t="s">
        <v>633</v>
      </c>
      <c r="C41" s="148"/>
      <c r="D41" s="148"/>
      <c r="E41" s="142">
        <f t="shared" si="1"/>
        <v>18300</v>
      </c>
      <c r="F41" s="173">
        <f>SUMIF('[1]Табель цех 1 по 15 вересня'!$B:$B,B41,'[1]Табель цех 1 по 15 вересня'!$H:$H)</f>
        <v>0</v>
      </c>
      <c r="G41" s="173">
        <f t="shared" si="2"/>
        <v>18300</v>
      </c>
      <c r="H41" s="173">
        <f t="shared" si="3"/>
        <v>0</v>
      </c>
      <c r="I41" s="174">
        <f>_ЦО!T39+'МХП лазня'!T39+Катеринополь!T39+ВООЗ!T39+Кернел!T39+'Глобино Мк'!T39+'ВООЗ ЕМС'!T39+'ООН 36'!T39+'ООН 37'!T39+'ООН 38'!T39+ООН39!T39+'ООН 40'!T39+'ООН №43'!T39+'ООН 44'!T39+'ООН 45'!V39+ООН46!T39+ООН47!T39+ООН48!T39+ООН49!T39+ООн50!T39+ООН51!T39+Форшахта!T39+'ГАлерея 25.6'!T39+ГРП!AI39+'Парк меляси'!T39+'ООН 42'!T39</f>
        <v>122</v>
      </c>
      <c r="J41" s="44">
        <v>150</v>
      </c>
    </row>
    <row r="42" spans="1:10" ht="15.75" x14ac:dyDescent="0.25">
      <c r="A42" s="147">
        <v>39</v>
      </c>
      <c r="B42" s="148" t="s">
        <v>634</v>
      </c>
      <c r="C42" s="148"/>
      <c r="D42" s="148"/>
      <c r="E42" s="142">
        <f t="shared" si="1"/>
        <v>27450</v>
      </c>
      <c r="F42" s="173">
        <f>SUMIF('[1]Табель цех 1 по 15 вересня'!$B:$B,B42,'[1]Табель цех 1 по 15 вересня'!$H:$H)</f>
        <v>0</v>
      </c>
      <c r="G42" s="173">
        <f t="shared" si="2"/>
        <v>27500</v>
      </c>
      <c r="H42" s="173">
        <f t="shared" si="3"/>
        <v>-50</v>
      </c>
      <c r="I42" s="174">
        <f>_ЦО!T40+'МХП лазня'!T40+Катеринополь!T40+ВООЗ!T40+Кернел!T40+'Глобино Мк'!T40+'ВООЗ ЕМС'!T40+'ООН 36'!T40+'ООН 37'!T40+'ООН 38'!T40+ООН39!T40+'ООН 40'!T40+'ООН №43'!T40+'ООН 44'!T40+'ООН 45'!V40+ООН46!T40+ООН47!T40+ООН48!T40+ООН49!T40+ООн50!T40+ООН51!T40+Форшахта!T40+'ГАлерея 25.6'!T40+ГРП!AI40+'Парк меляси'!T40+'ООН 42'!T40</f>
        <v>183</v>
      </c>
      <c r="J42" s="44">
        <v>150</v>
      </c>
    </row>
    <row r="43" spans="1:10" ht="15.75" x14ac:dyDescent="0.25">
      <c r="A43" s="147">
        <v>40</v>
      </c>
      <c r="B43" s="148" t="s">
        <v>636</v>
      </c>
      <c r="C43" s="148"/>
      <c r="D43" s="148"/>
      <c r="E43" s="142">
        <f t="shared" si="1"/>
        <v>13200</v>
      </c>
      <c r="F43" s="173">
        <f>SUMIF('[1]Табель цех 1 по 15 вересня'!$B:$B,B43,'[1]Табель цех 1 по 15 вересня'!$H:$H)</f>
        <v>0</v>
      </c>
      <c r="G43" s="173">
        <f t="shared" si="2"/>
        <v>13200</v>
      </c>
      <c r="H43" s="173">
        <f t="shared" si="3"/>
        <v>0</v>
      </c>
      <c r="I43" s="174">
        <f>_ЦО!T41+'МХП лазня'!T41+Катеринополь!T41+ВООЗ!T41+Кернел!T41+'Глобино Мк'!T41+'ВООЗ ЕМС'!T41+'ООН 36'!T41+'ООН 37'!T41+'ООН 38'!T41+ООН39!T41+'ООН 40'!T41+'ООН №43'!T41+'ООН 44'!T41+'ООН 45'!V41+ООН46!T41+ООН47!T41+ООН48!T41+ООН49!T41+ООн50!T41+ООН51!T41+Форшахта!T41+'ГАлерея 25.6'!T41+ГРП!AI41+'Парк меляси'!T41+'ООН 42'!T41</f>
        <v>88</v>
      </c>
      <c r="J43" s="44">
        <v>150</v>
      </c>
    </row>
    <row r="44" spans="1:10" ht="15.75" x14ac:dyDescent="0.25">
      <c r="A44" s="147">
        <v>41</v>
      </c>
      <c r="B44" s="148" t="s">
        <v>637</v>
      </c>
      <c r="C44" s="148"/>
      <c r="D44" s="148"/>
      <c r="E44" s="142">
        <f t="shared" si="1"/>
        <v>13200</v>
      </c>
      <c r="F44" s="173">
        <f>SUMIF('[1]Табель цех 1 по 15 вересня'!$B:$B,B44,'[1]Табель цех 1 по 15 вересня'!$H:$H)</f>
        <v>0</v>
      </c>
      <c r="G44" s="173">
        <f t="shared" si="2"/>
        <v>13200</v>
      </c>
      <c r="H44" s="173">
        <f t="shared" si="3"/>
        <v>0</v>
      </c>
      <c r="I44" s="174">
        <f>_ЦО!T42+'МХП лазня'!T42+Катеринополь!T42+ВООЗ!T42+Кернел!T42+'Глобино Мк'!T42+'ВООЗ ЕМС'!T42+'ООН 36'!T42+'ООН 37'!T42+'ООН 38'!T42+ООН39!T42+'ООН 40'!T42+'ООН №43'!T42+'ООН 44'!T42+'ООН 45'!V42+ООН46!T42+ООН47!T42+ООН48!T42+ООН49!T42+ООн50!T42+ООН51!T42+Форшахта!T42+'ГАлерея 25.6'!T42+ГРП!AI42+'Парк меляси'!T42+'ООН 42'!T42</f>
        <v>88</v>
      </c>
      <c r="J44" s="44">
        <v>150</v>
      </c>
    </row>
    <row r="45" spans="1:10" ht="15.75" x14ac:dyDescent="0.25">
      <c r="A45" s="147">
        <v>42</v>
      </c>
      <c r="B45" s="148" t="s">
        <v>640</v>
      </c>
      <c r="C45" s="148">
        <v>10324.25</v>
      </c>
      <c r="D45" s="148">
        <v>3927</v>
      </c>
      <c r="E45" s="142">
        <f t="shared" si="1"/>
        <v>54000</v>
      </c>
      <c r="F45" s="173">
        <f>SUMIF('[1]Табель цех 1 по 15 вересня'!$B:$B,B45,'[1]Табель цех 1 по 15 вересня'!$H:$H)</f>
        <v>-3.0500000000029104</v>
      </c>
      <c r="G45" s="173">
        <f t="shared" si="2"/>
        <v>39700</v>
      </c>
      <c r="H45" s="173">
        <f t="shared" si="3"/>
        <v>45.69999999999709</v>
      </c>
      <c r="I45" s="174">
        <f>_ЦО!T43+'МХП лазня'!T43+Катеринополь!T43+ВООЗ!T43+Кернел!T43+'Глобино Мк'!T43+'ВООЗ ЕМС'!T43+'ООН 36'!T43+'ООН 37'!T43+'ООН 38'!T43+ООН39!T43+'ООН 40'!T43+'ООН №43'!T43+'ООН 44'!T43+'ООН 45'!V43+ООН46!T43+ООН47!T43+ООН48!T43+ООН49!T43+ООн50!T43+ООН51!T43+Форшахта!T43+'ГАлерея 25.6'!T43+ГРП!AI43+'Парк меляси'!T43+'ООН 42'!T43</f>
        <v>360</v>
      </c>
      <c r="J45" s="44">
        <v>150</v>
      </c>
    </row>
    <row r="46" spans="1:10" ht="15.75" x14ac:dyDescent="0.25">
      <c r="A46" s="147">
        <v>43</v>
      </c>
      <c r="B46" s="148" t="s">
        <v>638</v>
      </c>
      <c r="C46" s="148"/>
      <c r="D46" s="148"/>
      <c r="E46" s="142">
        <f t="shared" si="1"/>
        <v>27150</v>
      </c>
      <c r="F46" s="173">
        <f>SUMIF('[1]Табель цех 1 по 15 вересня'!$B:$B,B46,'[1]Табель цех 1 по 15 вересня'!$H:$H)</f>
        <v>0</v>
      </c>
      <c r="G46" s="173">
        <f t="shared" si="2"/>
        <v>27200</v>
      </c>
      <c r="H46" s="173">
        <f t="shared" si="3"/>
        <v>-50</v>
      </c>
      <c r="I46" s="174">
        <f>_ЦО!T44+'МХП лазня'!T44+Катеринополь!T44+ВООЗ!T44+Кернел!T44+'Глобино Мк'!T44+'ВООЗ ЕМС'!T44+'ООН 36'!T44+'ООН 37'!T44+'ООН 38'!T44+ООН39!T44+'ООН 40'!T44+'ООН №43'!T44+'ООН 44'!T44+'ООН 45'!V44+ООН46!T44+ООН47!T44+ООН48!T44+ООН49!T44+ООн50!T44+ООН51!T44+Форшахта!T44+'ГАлерея 25.6'!T44+ГРП!AI44+'Парк меляси'!T44+'ООН 42'!T44</f>
        <v>181</v>
      </c>
      <c r="J46" s="44">
        <v>150</v>
      </c>
    </row>
    <row r="47" spans="1:10" ht="15.75" x14ac:dyDescent="0.25">
      <c r="A47" s="147">
        <v>44</v>
      </c>
      <c r="B47" s="148" t="s">
        <v>635</v>
      </c>
      <c r="C47" s="148"/>
      <c r="D47" s="148">
        <v>3927</v>
      </c>
      <c r="E47" s="142">
        <f t="shared" si="1"/>
        <v>10350</v>
      </c>
      <c r="F47" s="173">
        <f>SUMIF('[1]Табель цех 1 по 15 вересня'!$B:$B,B47,'[1]Табель цех 1 по 15 вересня'!$H:$H)</f>
        <v>15</v>
      </c>
      <c r="G47" s="173">
        <f t="shared" si="2"/>
        <v>6400</v>
      </c>
      <c r="H47" s="173">
        <f t="shared" si="3"/>
        <v>38</v>
      </c>
      <c r="I47" s="174">
        <f>_ЦО!T45+'МХП лазня'!T45+Катеринополь!T45+ВООЗ!T45+Кернел!T45+'Глобино Мк'!T45+'ВООЗ ЕМС'!T45+'ООН 36'!T45+'ООН 37'!T45+'ООН 38'!T45+ООН39!T45+'ООН 40'!T45+'ООН №43'!T45+'ООН 44'!T45+'ООН 45'!V45+ООН46!T45+ООН47!T45+ООН48!T45+ООН49!T45+ООн50!T45+ООН51!T45+Форшахта!T45+'ГАлерея 25.6'!T45+ГРП!AI45+'Парк меляси'!T45+'ООН 42'!T45</f>
        <v>69</v>
      </c>
      <c r="J47" s="44">
        <v>150</v>
      </c>
    </row>
    <row r="48" spans="1:10" ht="15.75" x14ac:dyDescent="0.25">
      <c r="A48" s="147">
        <v>45</v>
      </c>
      <c r="B48" s="148" t="s">
        <v>641</v>
      </c>
      <c r="C48" s="148"/>
      <c r="D48" s="148"/>
      <c r="E48" s="142">
        <f t="shared" si="1"/>
        <v>18750</v>
      </c>
      <c r="F48" s="173">
        <f>SUMIF('[1]Табель цех 1 по 15 вересня'!$B:$B,B48,'[1]Табель цех 1 по 15 вересня'!$H:$H)</f>
        <v>-50</v>
      </c>
      <c r="G48" s="173">
        <f t="shared" si="2"/>
        <v>18700</v>
      </c>
      <c r="H48" s="173">
        <f t="shared" si="3"/>
        <v>0</v>
      </c>
      <c r="I48" s="174">
        <f>_ЦО!T46+'МХП лазня'!T46+Катеринополь!T46+ВООЗ!T46+Кернел!T46+'Глобино Мк'!T46+'ВООЗ ЕМС'!T46+'ООН 36'!T46+'ООН 37'!T46+'ООН 38'!T46+ООН39!T46+'ООН 40'!T46+'ООН №43'!T46+'ООН 44'!T46+'ООН 45'!V46+ООН46!T46+ООН47!T46+ООН48!T46+ООН49!T46+ООн50!T46+ООН51!T46+Форшахта!T46+'ГАлерея 25.6'!T46+ГРП!AI46+'Парк меляси'!T46+'ООН 42'!T46</f>
        <v>125</v>
      </c>
      <c r="J48" s="44">
        <v>150</v>
      </c>
    </row>
    <row r="49" spans="1:10" ht="15.75" x14ac:dyDescent="0.25">
      <c r="A49" s="147">
        <v>46</v>
      </c>
      <c r="B49" s="148" t="s">
        <v>649</v>
      </c>
      <c r="C49" s="148"/>
      <c r="D49" s="148"/>
      <c r="E49" s="142">
        <f t="shared" si="1"/>
        <v>1650</v>
      </c>
      <c r="F49" s="173">
        <f>SUMIF('[1]Табель цех 1 по 15 вересня'!$B:$B,B49,'[1]Табель цех 1 по 15 вересня'!$H:$H)</f>
        <v>-100</v>
      </c>
      <c r="G49" s="173">
        <f t="shared" si="2"/>
        <v>1600</v>
      </c>
      <c r="H49" s="173">
        <f t="shared" si="3"/>
        <v>-50</v>
      </c>
      <c r="I49" s="174">
        <f>_ЦО!T47+'МХП лазня'!T47+Катеринополь!T47+ВООЗ!T47+Кернел!T47+'Глобино Мк'!T47+'ВООЗ ЕМС'!T47+'ООН 36'!T47+'ООН 37'!T47+'ООН 38'!T47+ООН39!T47+'ООН 40'!T47+'ООН №43'!T47+'ООН 44'!T47+'ООН 45'!V47+ООН46!T47+ООН47!T47+ООН48!T47+ООН49!T47+ООн50!T47+ООН51!T47+Форшахта!T47+'ГАлерея 25.6'!T47+ГРП!AI47+'Парк меляси'!T47+'ООН 42'!T47</f>
        <v>11</v>
      </c>
      <c r="J49" s="44">
        <v>150</v>
      </c>
    </row>
    <row r="50" spans="1:10" ht="15.75" x14ac:dyDescent="0.25">
      <c r="A50" s="147">
        <v>47</v>
      </c>
      <c r="B50" s="148" t="s">
        <v>642</v>
      </c>
      <c r="C50" s="148"/>
      <c r="D50" s="148"/>
      <c r="E50" s="142">
        <f t="shared" si="1"/>
        <v>3300</v>
      </c>
      <c r="F50" s="173">
        <f>SUMIF('[1]Табель цех 1 по 15 вересня'!$B:$B,B50,'[1]Табель цех 1 по 15 вересня'!$H:$H)</f>
        <v>-50</v>
      </c>
      <c r="G50" s="173">
        <f t="shared" si="2"/>
        <v>3300</v>
      </c>
      <c r="H50" s="173">
        <f t="shared" si="3"/>
        <v>-50</v>
      </c>
      <c r="I50" s="174">
        <f>_ЦО!T48+'МХП лазня'!T48+Катеринополь!T48+ВООЗ!T48+Кернел!T48+'Глобино Мк'!T48+'ВООЗ ЕМС'!T48+'ООН 36'!T48+'ООН 37'!T48+'ООН 38'!T48+ООН39!T48+'ООН 40'!T48+'ООН №43'!T48+'ООН 44'!T48+'ООН 45'!V48+ООН46!T48+ООН47!T48+ООН48!T48+ООН49!T48+ООн50!T48+ООН51!T48+Форшахта!T48+'ГАлерея 25.6'!T48+ГРП!AI48+'Парк меляси'!T48+'ООН 42'!T48</f>
        <v>22</v>
      </c>
      <c r="J50" s="44">
        <v>150</v>
      </c>
    </row>
    <row r="51" spans="1:10" ht="15.75" x14ac:dyDescent="0.25">
      <c r="A51" s="147">
        <v>48</v>
      </c>
      <c r="B51" s="148" t="s">
        <v>643</v>
      </c>
      <c r="C51" s="148"/>
      <c r="D51" s="148"/>
      <c r="E51" s="142">
        <f t="shared" si="1"/>
        <v>3300</v>
      </c>
      <c r="F51" s="173">
        <f>SUMIF('[1]Табель цех 1 по 15 вересня'!$B:$B,B51,'[1]Табель цех 1 по 15 вересня'!$H:$H)</f>
        <v>-50</v>
      </c>
      <c r="G51" s="173">
        <f t="shared" si="2"/>
        <v>3300</v>
      </c>
      <c r="H51" s="173">
        <f t="shared" si="3"/>
        <v>-50</v>
      </c>
      <c r="I51" s="174">
        <f>_ЦО!T49+'МХП лазня'!T49+Катеринополь!T49+ВООЗ!T49+Кернел!T49+'Глобино Мк'!T49+'ВООЗ ЕМС'!T49+'ООН 36'!T49+'ООН 37'!T49+'ООН 38'!T49+ООН39!T49+'ООН 40'!T49+'ООН №43'!T49+'ООН 44'!T49+'ООН 45'!V49+ООН46!T49+ООН47!T49+ООН48!T49+ООН49!T49+ООн50!T49+ООН51!T49+Форшахта!T49+'ГАлерея 25.6'!T49+ГРП!AI49+'Парк меляси'!T49+'ООН 42'!T49</f>
        <v>22</v>
      </c>
      <c r="J51" s="44">
        <v>150</v>
      </c>
    </row>
    <row r="52" spans="1:10" ht="15.75" x14ac:dyDescent="0.25">
      <c r="A52" s="147">
        <v>49</v>
      </c>
      <c r="B52" s="148" t="s">
        <v>644</v>
      </c>
      <c r="C52" s="148"/>
      <c r="D52" s="148"/>
      <c r="E52" s="142">
        <f t="shared" si="1"/>
        <v>9750</v>
      </c>
      <c r="F52" s="173">
        <f>SUMIF('[1]Табель цех 1 по 15 вересня'!$B:$B,B52,'[1]Табель цех 1 по 15 вересня'!$H:$H)</f>
        <v>-50</v>
      </c>
      <c r="G52" s="173">
        <f t="shared" si="2"/>
        <v>9700</v>
      </c>
      <c r="H52" s="173">
        <f t="shared" si="3"/>
        <v>0</v>
      </c>
      <c r="I52" s="174">
        <f>_ЦО!T50+'МХП лазня'!T50+Катеринополь!T50+ВООЗ!T50+Кернел!T50+'Глобино Мк'!T50+'ВООЗ ЕМС'!T50+'ООН 36'!T50+'ООН 37'!T50+'ООН 38'!T50+ООН39!T50+'ООН 40'!T50+'ООН №43'!T50+'ООН 44'!T50+'ООН 45'!V50+ООН46!T50+ООН47!T50+ООН48!T50+ООН49!T50+ООн50!T50+ООН51!T50+Форшахта!T50+'ГАлерея 25.6'!T50+ГРП!AI50+'Парк меляси'!T50+'ООН 42'!T50</f>
        <v>65</v>
      </c>
      <c r="J52" s="44">
        <v>150</v>
      </c>
    </row>
    <row r="53" spans="1:10" ht="15.75" x14ac:dyDescent="0.25">
      <c r="A53" s="147">
        <v>50</v>
      </c>
      <c r="B53" s="148" t="s">
        <v>646</v>
      </c>
      <c r="C53" s="148"/>
      <c r="D53" s="148"/>
      <c r="E53" s="142">
        <f t="shared" si="1"/>
        <v>0</v>
      </c>
      <c r="F53" s="173">
        <f>SUMIF('[1]Табель цех 1 по 15 вересня'!$B:$B,B53,'[1]Табель цех 1 по 15 вересня'!$H:$H)</f>
        <v>0</v>
      </c>
      <c r="G53" s="173">
        <f t="shared" si="2"/>
        <v>0</v>
      </c>
      <c r="H53" s="173">
        <f t="shared" si="3"/>
        <v>0</v>
      </c>
      <c r="I53" s="174">
        <f>_ЦО!T51+'МХП лазня'!T51+Катеринополь!T51+ВООЗ!T51+Кернел!T51+'Глобино Мк'!T51+'ВООЗ ЕМС'!T51+'ООН 36'!T51+'ООН 37'!T51+'ООН 38'!T51+ООН39!T51+'ООН 40'!T51+'ООН №43'!T51+'ООН 44'!T51+'ООН 45'!V51+ООН46!T51+ООН47!T51+ООН48!T51+ООН49!T51+ООн50!T51+ООН51!T51+Форшахта!T51+'ГАлерея 25.6'!T51+ГРП!AI51+'Парк меляси'!T51+'ООН 42'!T51</f>
        <v>0</v>
      </c>
      <c r="J53" s="44">
        <v>150</v>
      </c>
    </row>
    <row r="54" spans="1:10" ht="15.75" x14ac:dyDescent="0.25">
      <c r="A54" s="147">
        <v>51</v>
      </c>
      <c r="B54" s="148" t="s">
        <v>647</v>
      </c>
      <c r="C54" s="148"/>
      <c r="D54" s="148">
        <v>3927</v>
      </c>
      <c r="E54" s="142">
        <f t="shared" si="1"/>
        <v>22200</v>
      </c>
      <c r="F54" s="173">
        <f>SUMIF('[1]Табель цех 1 по 15 вересня'!$B:$B,B54,'[1]Табель цех 1 по 15 вересня'!$H:$H)</f>
        <v>-48.990000000001601</v>
      </c>
      <c r="G54" s="173">
        <f t="shared" si="2"/>
        <v>18200</v>
      </c>
      <c r="H54" s="173">
        <f t="shared" si="3"/>
        <v>24.009999999998399</v>
      </c>
      <c r="I54" s="174">
        <f>_ЦО!T52+'МХП лазня'!T52+Катеринополь!T52+ВООЗ!T52+Кернел!T52+'Глобино Мк'!T52+'ВООЗ ЕМС'!T52+'ООН 36'!T52+'ООН 37'!T52+'ООН 38'!T52+ООН39!T52+'ООН 40'!T52+'ООН №43'!T52+'ООН 44'!T52+'ООН 45'!V52+ООН46!T52+ООН47!T52+ООН48!T52+ООН49!T52+ООн50!T52+ООН51!T52+Форшахта!T52+'ГАлерея 25.6'!T52+ГРП!AI52+'Парк меляси'!T52+'ООН 42'!T52</f>
        <v>148</v>
      </c>
      <c r="J54" s="44">
        <v>150</v>
      </c>
    </row>
    <row r="55" spans="1:10" ht="15.75" x14ac:dyDescent="0.25">
      <c r="A55" s="147">
        <v>52</v>
      </c>
      <c r="B55" s="148" t="s">
        <v>652</v>
      </c>
      <c r="C55" s="148"/>
      <c r="D55" s="148">
        <v>3927</v>
      </c>
      <c r="E55" s="142">
        <f>I55*J55</f>
        <v>23400</v>
      </c>
      <c r="F55" s="173">
        <f>SUMIF('[1]Табель цех 1 по 15 вересня'!$B:$B,B55,'[1]Табель цех 1 по 15 вересня'!$H:$H)</f>
        <v>19</v>
      </c>
      <c r="G55" s="173">
        <f t="shared" si="2"/>
        <v>19500</v>
      </c>
      <c r="H55" s="173">
        <f t="shared" si="3"/>
        <v>-8</v>
      </c>
      <c r="I55" s="174">
        <f>_ЦО!T53+'МХП лазня'!T53+Катеринополь!T53+ВООЗ!T53+Кернел!T53+'Глобино Мк'!T53+'ВООЗ ЕМС'!T53+'ООН 36'!T53+'ООН 37'!T53+'ООН 38'!T53+ООН39!T53+'ООН 40'!T53+'ООН №43'!T53+'ООН 44'!T53+'ООН 45'!V53+ООН46!T53+ООН47!T53+ООН48!T53+ООН49!T53+ООн50!T53+ООН51!T53+Форшахта!T53+'ГАлерея 25.6'!T53+ГРП!AI53+'Парк меляси'!T53+'ООН 42'!T53</f>
        <v>156</v>
      </c>
      <c r="J55" s="44">
        <v>150</v>
      </c>
    </row>
    <row r="56" spans="1:10" ht="15.75" x14ac:dyDescent="0.25">
      <c r="A56" s="147">
        <v>53</v>
      </c>
      <c r="B56" s="148" t="s">
        <v>653</v>
      </c>
      <c r="C56" s="148"/>
      <c r="D56" s="148"/>
      <c r="E56" s="142">
        <f t="shared" si="1"/>
        <v>8400</v>
      </c>
      <c r="F56" s="173">
        <f>SUMIF('[1]Табель цех 1 по 15 вересня'!$B:$B,B56,'[1]Табель цех 1 по 15 вересня'!$H:$H)</f>
        <v>0</v>
      </c>
      <c r="G56" s="173">
        <f t="shared" si="2"/>
        <v>8400</v>
      </c>
      <c r="H56" s="173">
        <f t="shared" si="3"/>
        <v>0</v>
      </c>
      <c r="I56" s="174">
        <f>_ЦО!T54+'МХП лазня'!T54+Катеринополь!T54+ВООЗ!T54+Кернел!T54+'Глобино Мк'!T54+'ВООЗ ЕМС'!T54+'ООН 36'!T54+'ООН 37'!T54+'ООН 38'!T54+ООН39!T54+'ООН 40'!T54+'ООН №43'!T54+'ООН 44'!T54+'ООН 45'!V54+ООН46!T54+ООН47!T54+ООН48!T54+ООН49!T54+ООн50!T54+ООН51!T54+Форшахта!T54+'ГАлерея 25.6'!T54+ГРП!AI54+'Парк меляси'!T54+'ООН 42'!T54</f>
        <v>56</v>
      </c>
      <c r="J56" s="44">
        <v>150</v>
      </c>
    </row>
    <row r="57" spans="1:10" ht="15.75" x14ac:dyDescent="0.25">
      <c r="A57" s="147">
        <v>54</v>
      </c>
      <c r="B57" s="148" t="s">
        <v>654</v>
      </c>
      <c r="C57" s="148"/>
      <c r="D57" s="148">
        <v>9625</v>
      </c>
      <c r="E57" s="142">
        <f t="shared" si="1"/>
        <v>19050</v>
      </c>
      <c r="F57" s="173">
        <f>SUMIF('[1]Табель цех 1 по 15 вересня'!$B:$B,B57,'[1]Табель цех 1 по 15 вересня'!$H:$H)</f>
        <v>-25</v>
      </c>
      <c r="G57" s="173">
        <f t="shared" si="2"/>
        <v>9400</v>
      </c>
      <c r="H57" s="173">
        <f t="shared" si="3"/>
        <v>0</v>
      </c>
      <c r="I57" s="174">
        <f>_ЦО!T55+'МХП лазня'!T55+Катеринополь!T55+ВООЗ!T55+Кернел!T55+'Глобино Мк'!T55+'ВООЗ ЕМС'!T55+'ООН 36'!T55+'ООН 37'!T55+'ООН 38'!T55+ООН39!T55+'ООН 40'!T55+'ООН №43'!T55+'ООН 44'!T55+'ООН 45'!V55+ООН46!T55+ООН47!T55+ООН48!T55+ООН49!T55+ООн50!T55+ООН51!T55+Форшахта!T55+'ГАлерея 25.6'!T55+ГРП!AI55+'Парк меляси'!T55+'ООН 42'!T55</f>
        <v>127</v>
      </c>
      <c r="J57" s="44">
        <v>150</v>
      </c>
    </row>
    <row r="58" spans="1:10" ht="15.75" x14ac:dyDescent="0.25">
      <c r="A58" s="147">
        <v>55</v>
      </c>
      <c r="B58" s="148" t="s">
        <v>655</v>
      </c>
      <c r="C58" s="148"/>
      <c r="D58" s="148"/>
      <c r="E58" s="142">
        <f t="shared" si="1"/>
        <v>24300</v>
      </c>
      <c r="F58" s="173">
        <f>SUMIF('[1]Табель цех 1 по 15 вересня'!$B:$B,B58,'[1]Табель цех 1 по 15 вересня'!$H:$H)</f>
        <v>0</v>
      </c>
      <c r="G58" s="173">
        <f t="shared" si="2"/>
        <v>24300</v>
      </c>
      <c r="H58" s="173">
        <f t="shared" si="3"/>
        <v>0</v>
      </c>
      <c r="I58" s="174">
        <f>_ЦО!T56+'МХП лазня'!T56+Катеринополь!T56+ВООЗ!T56+Кернел!T56+'Глобино Мк'!T56+'ВООЗ ЕМС'!T56+'ООН 36'!T56+'ООН 37'!T56+'ООН 38'!T56+ООН39!T56+'ООН 40'!T56+'ООН №43'!T56+'ООН 44'!T56+'ООН 45'!V56+ООН46!T56+ООН47!T56+ООН48!T56+ООН49!T56+ООн50!T56+ООН51!T56+Форшахта!T56+'ГАлерея 25.6'!T56+ГРП!AI56+'Парк меляси'!T56+'ООН 42'!T56</f>
        <v>162</v>
      </c>
      <c r="J58" s="44">
        <v>150</v>
      </c>
    </row>
    <row r="59" spans="1:10" ht="15.75" x14ac:dyDescent="0.25">
      <c r="A59" s="147">
        <v>56</v>
      </c>
      <c r="B59" s="148" t="s">
        <v>656</v>
      </c>
      <c r="C59" s="148"/>
      <c r="D59" s="148"/>
      <c r="E59" s="151">
        <f t="shared" si="1"/>
        <v>21300</v>
      </c>
      <c r="F59" s="173">
        <f>SUMIF('[1]Табель цех 1 по 15 вересня'!$B:$B,B59,'[1]Табель цех 1 по 15 вересня'!$H:$H)</f>
        <v>-50</v>
      </c>
      <c r="G59" s="173">
        <f t="shared" si="2"/>
        <v>21300</v>
      </c>
      <c r="H59" s="173">
        <f t="shared" si="3"/>
        <v>-50</v>
      </c>
      <c r="I59" s="174">
        <f>_ЦО!T57+'МХП лазня'!T57+Катеринополь!T57+ВООЗ!T57+Кернел!T57+'Глобино Мк'!T57+'ВООЗ ЕМС'!T57+'ООН 36'!T57+'ООН 37'!T57+'ООН 38'!T57+ООН39!T57+'ООН 40'!T57+'ООН №43'!T57+'ООН 44'!T57+'ООН 45'!V57+ООН46!T57+ООН47!T57+ООН48!T57+ООН49!T57+ООн50!T57+ООН51!T57+Форшахта!T57+'ГАлерея 25.6'!T57+ГРП!AI57+'Парк меляси'!T57+'ООН 42'!T57</f>
        <v>142</v>
      </c>
      <c r="J59" s="44">
        <v>150</v>
      </c>
    </row>
    <row r="60" spans="1:10" ht="15.75" x14ac:dyDescent="0.25">
      <c r="A60" s="147">
        <v>57</v>
      </c>
      <c r="B60" s="148" t="s">
        <v>657</v>
      </c>
      <c r="C60" s="148"/>
      <c r="D60" s="148"/>
      <c r="E60" s="142">
        <f t="shared" si="1"/>
        <v>25650</v>
      </c>
      <c r="F60" s="173">
        <f>SUMIF('[1]Табель цех 1 по 15 вересня'!$B:$B,B60,'[1]Табель цех 1 по 15 вересня'!$H:$H)</f>
        <v>-50</v>
      </c>
      <c r="G60" s="173">
        <f t="shared" si="2"/>
        <v>25600</v>
      </c>
      <c r="H60" s="173">
        <f t="shared" si="3"/>
        <v>0</v>
      </c>
      <c r="I60" s="174">
        <f>_ЦО!T58+'МХП лазня'!T58+Катеринополь!T58+ВООЗ!T58+Кернел!T58+'Глобино Мк'!T58+'ВООЗ ЕМС'!T58+'ООН 36'!T58+'ООН 37'!T58+'ООН 38'!T58+ООН39!T58+'ООН 40'!T58+'ООН №43'!T58+'ООН 44'!T58+'ООН 45'!V58+ООН46!T58+ООН47!T58+ООН48!T58+ООН49!T58+ООн50!T58+ООН51!T58+Форшахта!T58+'ГАлерея 25.6'!T58+ГРП!AI58+'Парк меляси'!T58+'ООН 42'!T58</f>
        <v>171</v>
      </c>
      <c r="J60" s="44">
        <v>150</v>
      </c>
    </row>
    <row r="61" spans="1:10" ht="15.75" x14ac:dyDescent="0.25">
      <c r="A61" s="147">
        <v>58</v>
      </c>
      <c r="B61" s="148" t="s">
        <v>658</v>
      </c>
      <c r="C61" s="148"/>
      <c r="D61" s="148"/>
      <c r="E61" s="142">
        <f t="shared" si="1"/>
        <v>25800</v>
      </c>
      <c r="F61" s="173">
        <f>SUMIF('[1]Табель цех 1 по 15 вересня'!$B:$B,B61,'[1]Табель цех 1 по 15 вересня'!$H:$H)</f>
        <v>0</v>
      </c>
      <c r="G61" s="173">
        <f t="shared" si="2"/>
        <v>25800</v>
      </c>
      <c r="H61" s="173">
        <f t="shared" si="3"/>
        <v>0</v>
      </c>
      <c r="I61" s="174">
        <f>_ЦО!T59+'МХП лазня'!T59+Катеринополь!T59+ВООЗ!T59+Кернел!T59+'Глобино Мк'!T59+'ВООЗ ЕМС'!T59+'ООН 36'!T59+'ООН 37'!T59+'ООН 38'!T59+ООН39!T59+'ООН 40'!T59+'ООН №43'!T59+'ООН 44'!T59+'ООН 45'!V59+ООН46!T59+ООН47!T59+ООН48!T59+ООН49!T59+ООн50!T59+ООН51!T59+Форшахта!T59+'ГАлерея 25.6'!T59+ГРП!AI59+'Парк меляси'!T59+'ООН 42'!T59</f>
        <v>172</v>
      </c>
      <c r="J61" s="44">
        <v>150</v>
      </c>
    </row>
    <row r="62" spans="1:10" ht="15.75" x14ac:dyDescent="0.25">
      <c r="A62" s="147">
        <v>59</v>
      </c>
      <c r="B62" s="148" t="s">
        <v>659</v>
      </c>
      <c r="C62" s="148"/>
      <c r="D62" s="148"/>
      <c r="E62" s="142">
        <f>I62*J62</f>
        <v>50400</v>
      </c>
      <c r="F62" s="173">
        <f>SUMIF('[1]Табель цех 1 по 15 вересня'!$B:$B,B62,'[1]Табель цех 1 по 15 вересня'!$H:$H)</f>
        <v>0</v>
      </c>
      <c r="G62" s="173">
        <f t="shared" si="2"/>
        <v>50400</v>
      </c>
      <c r="H62" s="173">
        <f t="shared" si="3"/>
        <v>0</v>
      </c>
      <c r="I62" s="174">
        <f>_ЦО!T60+'МХП лазня'!T60+Катеринополь!T60+ВООЗ!T60+Кернел!T60+'Глобино Мк'!T60+'ВООЗ ЕМС'!T60+'ООН 36'!T60+'ООН 37'!T60+'ООН 38'!T60+ООН39!T60+'ООН 40'!T60+'ООН №43'!T60+'ООН 44'!T60+'ООН 45'!V60+ООН46!T60+ООН47!T60+ООН48!T60+ООН49!T60+ООн50!T60+ООН51!T60+Форшахта!T60+'ГАлерея 25.6'!T60+ГРП!AI60+'Парк меляси'!T60+'ООН 42'!T60</f>
        <v>336</v>
      </c>
      <c r="J62" s="44">
        <v>150</v>
      </c>
    </row>
    <row r="63" spans="1:10" ht="15.75" x14ac:dyDescent="0.25">
      <c r="A63" s="147">
        <v>60</v>
      </c>
      <c r="B63" s="148" t="s">
        <v>660</v>
      </c>
      <c r="C63" s="148"/>
      <c r="D63" s="148"/>
      <c r="E63" s="142">
        <f t="shared" ref="E63:E66" si="4">I63*J63</f>
        <v>50400</v>
      </c>
      <c r="F63" s="173">
        <f>SUMIF('[1]Табель цех 1 по 15 вересня'!$B:$B,B63,'[1]Табель цех 1 по 15 вересня'!$H:$H)</f>
        <v>0</v>
      </c>
      <c r="G63" s="173">
        <f t="shared" si="2"/>
        <v>50400</v>
      </c>
      <c r="H63" s="173">
        <f t="shared" si="3"/>
        <v>0</v>
      </c>
      <c r="I63" s="174">
        <f>_ЦО!T61+'МХП лазня'!T61+Катеринополь!T61+ВООЗ!T61+Кернел!T61+'Глобино Мк'!T61+'ВООЗ ЕМС'!T61+'ООН 36'!T61+'ООН 37'!T61+'ООН 38'!T61+ООН39!T61+'ООН 40'!T61+'ООН №43'!T61+'ООН 44'!T61+'ООН 45'!V61+ООН46!T61+ООН47!T61+ООН48!T61+ООН49!T61+ООн50!T61+ООН51!T61+Форшахта!T61+'ГАлерея 25.6'!T61+ГРП!AI61+'Парк меляси'!T61+'ООН 42'!T61</f>
        <v>336</v>
      </c>
      <c r="J63" s="44">
        <v>150</v>
      </c>
    </row>
    <row r="64" spans="1:10" ht="15.75" x14ac:dyDescent="0.25">
      <c r="A64" s="147">
        <v>61</v>
      </c>
      <c r="B64" s="148" t="s">
        <v>661</v>
      </c>
      <c r="C64" s="148"/>
      <c r="D64" s="148"/>
      <c r="E64" s="142">
        <f t="shared" si="4"/>
        <v>23400</v>
      </c>
      <c r="F64" s="173">
        <f>SUMIF('[1]Табель цех 1 по 15 вересня'!$B:$B,B64,'[1]Табель цех 1 по 15 вересня'!$H:$H)</f>
        <v>0</v>
      </c>
      <c r="G64" s="173">
        <f t="shared" si="2"/>
        <v>23400</v>
      </c>
      <c r="H64" s="173">
        <f t="shared" si="3"/>
        <v>0</v>
      </c>
      <c r="I64" s="174">
        <f>_ЦО!T62+'МХП лазня'!T62+Катеринополь!T62+ВООЗ!T62+Кернел!T62+'Глобино Мк'!T62+'ВООЗ ЕМС'!T62+'ООН 36'!T62+'ООН 37'!T62+'ООН 38'!T62+ООН39!T62+'ООН 40'!T62+'ООН №43'!T62+'ООН 44'!T62+'ООН 45'!V62+ООН46!T62+ООН47!T62+ООН48!T62+ООН49!T62+ООн50!T62+ООН51!T62+Форшахта!T62+'ГАлерея 25.6'!T62+ГРП!AI62+'Парк меляси'!T62+'ООН 42'!T62</f>
        <v>156</v>
      </c>
      <c r="J64" s="44">
        <v>150</v>
      </c>
    </row>
    <row r="65" spans="1:10" ht="15.75" x14ac:dyDescent="0.25">
      <c r="A65" s="147">
        <v>62</v>
      </c>
      <c r="B65" s="148" t="s">
        <v>662</v>
      </c>
      <c r="C65" s="148"/>
      <c r="D65" s="148">
        <v>1071</v>
      </c>
      <c r="E65" s="151">
        <f t="shared" si="4"/>
        <v>16800</v>
      </c>
      <c r="F65" s="173">
        <f>SUMIF('[1]Табель цех 1 по 15 вересня'!$B:$B,B65,'[1]Табель цех 1 по 15 вересня'!$H:$H)</f>
        <v>0</v>
      </c>
      <c r="G65" s="173">
        <f t="shared" si="2"/>
        <v>15700</v>
      </c>
      <c r="H65" s="173">
        <f t="shared" si="3"/>
        <v>29</v>
      </c>
      <c r="I65" s="174">
        <f>_ЦО!T63+'МХП лазня'!T63+Катеринополь!T63+ВООЗ!T63+Кернел!T63+'Глобино Мк'!T63+'ВООЗ ЕМС'!T63+'ООН 36'!T63+'ООН 37'!T63+'ООН 38'!T63+ООН39!T63+'ООН 40'!T63+'ООН №43'!T63+'ООН 44'!T63+'ООН 45'!V63+ООН46!T63+ООН47!T63+ООН48!T63+ООН49!T63+ООн50!T63+ООН51!T63+Форшахта!T63+'ГАлерея 25.6'!T63+ГРП!AI63+'Парк меляси'!T63+'ООН 42'!T63</f>
        <v>112</v>
      </c>
      <c r="J65" s="44">
        <v>150</v>
      </c>
    </row>
    <row r="66" spans="1:10" ht="15.75" x14ac:dyDescent="0.25">
      <c r="A66" s="147">
        <v>63</v>
      </c>
      <c r="B66" s="148" t="s">
        <v>668</v>
      </c>
      <c r="C66" s="155"/>
      <c r="D66" s="155"/>
      <c r="E66" s="151">
        <f t="shared" si="4"/>
        <v>7350</v>
      </c>
      <c r="F66" s="173">
        <f>SUMIF('[1]Табель цех 1 по 15 вересня'!$B:$B,B66,'[1]Табель цех 1 по 15 вересня'!$H:$H)</f>
        <v>0</v>
      </c>
      <c r="G66" s="173">
        <f t="shared" si="2"/>
        <v>7400</v>
      </c>
      <c r="H66" s="173">
        <f t="shared" si="3"/>
        <v>-50</v>
      </c>
      <c r="I66" s="174">
        <f>_ЦО!T64+'МХП лазня'!T64+Катеринополь!T64+ВООЗ!T64+Кернел!T64+'Глобино Мк'!T64+'ВООЗ ЕМС'!T64+'ООН 36'!T64+'ООН 37'!T64+'ООН 38'!T64+ООН39!T64+'ООН 40'!T64+'ООН №43'!T64+'ООН 44'!T64+'ООН 45'!V64+ООН46!T64+ООН47!T64+ООН48!T64+ООН49!T64+ООн50!T64+ООН51!T64+Форшахта!T64+'ГАлерея 25.6'!T64+ГРП!AI64+'Парк меляси'!T64+'ООН 42'!T64</f>
        <v>49</v>
      </c>
      <c r="J66" s="44">
        <v>150</v>
      </c>
    </row>
    <row r="67" spans="1:10" ht="15.75" x14ac:dyDescent="0.25">
      <c r="A67" s="165"/>
      <c r="B67" s="158"/>
      <c r="C67" s="166"/>
      <c r="D67" s="166"/>
      <c r="E67" s="142"/>
      <c r="F67" s="144"/>
      <c r="G67" s="144"/>
      <c r="H67" s="178"/>
      <c r="I67" s="174">
        <f>_ЦО!T65+'МХП лазня'!T65+Катеринополь!T65+ВООЗ!T65+Кернел!T65+'Глобино Мк'!T65+'ВООЗ ЕМС'!T65+'ООН 36'!T65+'ООН 37'!T65+'ООН 38'!T65+ООН39!T65+'ООН 40'!T65+'ООН №43'!T65+'ООН 44'!T65+'ООН 45'!V65+ООН46!T65+ООН47!T65+ООН48!T65+ООН49!T65+ООн50!T65+ООН51!T65+Форшахта!T65+'ГАлерея 25.6'!T65+ГРП!AI65+'Парк меляси'!T65+'ООН 42'!T65</f>
        <v>0</v>
      </c>
      <c r="J67" s="44"/>
    </row>
    <row r="68" spans="1:10" ht="15.75" x14ac:dyDescent="0.25">
      <c r="A68" s="165"/>
      <c r="B68" s="155"/>
      <c r="C68" s="166"/>
      <c r="D68" s="166"/>
      <c r="E68" s="142"/>
      <c r="F68" s="144"/>
      <c r="G68" s="144"/>
      <c r="H68" s="178">
        <f t="shared" ref="H68" si="5">SUM(H5:H67)</f>
        <v>-238.53999999999905</v>
      </c>
      <c r="I68" s="174"/>
      <c r="J68" s="44"/>
    </row>
    <row r="69" spans="1:10" ht="15.75" x14ac:dyDescent="0.25">
      <c r="D69" s="177">
        <f>SUM(D2:D68)</f>
        <v>205446.29</v>
      </c>
      <c r="E69" s="177">
        <f>SUM(E2:E68)</f>
        <v>1358820</v>
      </c>
      <c r="G69" s="177">
        <f>SUM(G2:G68)</f>
        <v>1102900</v>
      </c>
      <c r="I69" s="154"/>
    </row>
    <row r="70" spans="1:10" ht="15.75" x14ac:dyDescent="0.25">
      <c r="G70" s="179"/>
      <c r="I70" s="125"/>
    </row>
    <row r="71" spans="1:10" ht="15.75" x14ac:dyDescent="0.25">
      <c r="I71" s="125"/>
    </row>
    <row r="72" spans="1:10" ht="15.75" x14ac:dyDescent="0.25">
      <c r="I72" s="125"/>
    </row>
    <row r="73" spans="1:10" ht="15.75" x14ac:dyDescent="0.25">
      <c r="I73" s="125"/>
    </row>
    <row r="74" spans="1:10" ht="15.75" x14ac:dyDescent="0.25">
      <c r="I74" s="125"/>
    </row>
    <row r="75" spans="1:10" ht="15.75" x14ac:dyDescent="0.25">
      <c r="I75" s="125"/>
    </row>
    <row r="76" spans="1:10" ht="15.75" x14ac:dyDescent="0.25">
      <c r="I76" s="125"/>
    </row>
    <row r="77" spans="1:10" ht="15.75" x14ac:dyDescent="0.25">
      <c r="I77" s="125"/>
    </row>
    <row r="78" spans="1:10" ht="15.75" x14ac:dyDescent="0.25">
      <c r="I78" s="125"/>
    </row>
    <row r="79" spans="1:10" ht="15.75" x14ac:dyDescent="0.25">
      <c r="I79" s="125"/>
    </row>
    <row r="80" spans="1:10" ht="15.75" x14ac:dyDescent="0.25">
      <c r="I80" s="125"/>
    </row>
    <row r="81" spans="9:9" ht="15.75" x14ac:dyDescent="0.25">
      <c r="I81" s="125"/>
    </row>
    <row r="82" spans="9:9" ht="15.75" x14ac:dyDescent="0.25">
      <c r="I82" s="125"/>
    </row>
  </sheetData>
  <autoFilter ref="A1:J69" xr:uid="{00000000-0009-0000-0000-000002000000}"/>
  <pageMargins left="0.7" right="0.7" top="0.75" bottom="0.75" header="0.3" footer="0.3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60"/>
  <sheetViews>
    <sheetView zoomScale="55" zoomScaleNormal="55" workbookViewId="0">
      <selection activeCell="O13" sqref="O13"/>
    </sheetView>
  </sheetViews>
  <sheetFormatPr defaultRowHeight="15" x14ac:dyDescent="0.25"/>
  <cols>
    <col min="2" max="2" width="32.42578125" bestFit="1" customWidth="1"/>
  </cols>
  <sheetData>
    <row r="1" spans="1:18" x14ac:dyDescent="0.25">
      <c r="A1" s="184" t="s">
        <v>1</v>
      </c>
      <c r="B1" s="184" t="s">
        <v>6</v>
      </c>
      <c r="C1" s="184" t="s">
        <v>46</v>
      </c>
      <c r="D1" s="184" t="s">
        <v>47</v>
      </c>
      <c r="E1" s="184" t="s">
        <v>48</v>
      </c>
      <c r="F1" s="184" t="s">
        <v>49</v>
      </c>
      <c r="G1" s="184" t="s">
        <v>50</v>
      </c>
      <c r="H1" s="184" t="s">
        <v>51</v>
      </c>
      <c r="I1" s="184" t="s">
        <v>52</v>
      </c>
      <c r="J1" s="184" t="s">
        <v>53</v>
      </c>
      <c r="K1" s="184" t="s">
        <v>54</v>
      </c>
      <c r="L1" s="184" t="s">
        <v>55</v>
      </c>
      <c r="M1" s="184" t="s">
        <v>56</v>
      </c>
      <c r="N1" s="184" t="s">
        <v>57</v>
      </c>
      <c r="O1" s="184" t="s">
        <v>58</v>
      </c>
      <c r="P1" s="184" t="s">
        <v>59</v>
      </c>
      <c r="Q1" s="184" t="s">
        <v>667</v>
      </c>
    </row>
    <row r="2" spans="1:18" x14ac:dyDescent="0.25">
      <c r="A2" s="185">
        <v>9</v>
      </c>
      <c r="B2" s="186" t="s">
        <v>80</v>
      </c>
      <c r="C2" s="186"/>
      <c r="D2" s="186"/>
      <c r="E2" s="186"/>
      <c r="F2" s="186"/>
      <c r="G2" s="186"/>
      <c r="H2" s="186"/>
      <c r="I2" s="186" t="s">
        <v>26</v>
      </c>
      <c r="J2" s="186" t="s">
        <v>26</v>
      </c>
      <c r="K2" s="186" t="s">
        <v>26</v>
      </c>
      <c r="L2" s="186" t="s">
        <v>26</v>
      </c>
      <c r="M2" s="186" t="s">
        <v>26</v>
      </c>
      <c r="N2" s="186" t="s">
        <v>84</v>
      </c>
      <c r="O2" s="186"/>
      <c r="P2" s="186" t="s">
        <v>26</v>
      </c>
      <c r="Q2" s="186" t="s">
        <v>26</v>
      </c>
      <c r="R2">
        <f>C2+D2+E2+F2+G2+H2+I2+J2+K2+L2+M2+N2+O2+P2+Q2</f>
        <v>83</v>
      </c>
    </row>
    <row r="3" spans="1:18" x14ac:dyDescent="0.25">
      <c r="A3" s="185">
        <v>10</v>
      </c>
      <c r="B3" s="186" t="s">
        <v>17</v>
      </c>
      <c r="C3" s="186" t="s">
        <v>26</v>
      </c>
      <c r="D3" s="186" t="s">
        <v>26</v>
      </c>
      <c r="E3" s="186" t="s">
        <v>26</v>
      </c>
      <c r="F3" s="186" t="s">
        <v>26</v>
      </c>
      <c r="G3" s="186" t="s">
        <v>26</v>
      </c>
      <c r="H3" s="186"/>
      <c r="I3" s="186"/>
      <c r="J3" s="186"/>
      <c r="K3" s="186" t="s">
        <v>26</v>
      </c>
      <c r="L3" s="186" t="s">
        <v>26</v>
      </c>
      <c r="M3" s="186" t="s">
        <v>26</v>
      </c>
      <c r="N3" s="186" t="s">
        <v>84</v>
      </c>
      <c r="O3" s="186"/>
      <c r="P3" s="186" t="s">
        <v>26</v>
      </c>
      <c r="Q3" s="186" t="s">
        <v>26</v>
      </c>
      <c r="R3">
        <f>C3+D3+E3+F3+G3+H3+I3+J3+K3+L3+M3+N3+O3+P3+Q3</f>
        <v>116</v>
      </c>
    </row>
    <row r="4" spans="1:18" x14ac:dyDescent="0.25">
      <c r="A4" s="184"/>
      <c r="B4" s="184"/>
      <c r="C4" s="184"/>
      <c r="D4" s="184"/>
      <c r="E4" s="184"/>
      <c r="F4" s="184"/>
      <c r="G4" s="184"/>
      <c r="H4" s="184"/>
      <c r="I4" s="184"/>
      <c r="J4" s="184"/>
      <c r="K4" s="184"/>
      <c r="L4" s="184"/>
      <c r="M4" s="184"/>
      <c r="N4" s="184"/>
      <c r="O4" s="184"/>
      <c r="P4" s="184"/>
      <c r="Q4" s="184"/>
    </row>
    <row r="5" spans="1:18" x14ac:dyDescent="0.25">
      <c r="A5" s="149"/>
      <c r="B5" s="150"/>
    </row>
    <row r="6" spans="1:18" x14ac:dyDescent="0.25">
      <c r="A6" s="149"/>
      <c r="B6" s="150"/>
    </row>
    <row r="7" spans="1:18" x14ac:dyDescent="0.25">
      <c r="A7" s="149"/>
      <c r="B7" s="150"/>
    </row>
    <row r="8" spans="1:18" x14ac:dyDescent="0.25">
      <c r="A8" s="149"/>
      <c r="B8" s="150"/>
    </row>
    <row r="9" spans="1:18" x14ac:dyDescent="0.25">
      <c r="A9" s="149"/>
      <c r="B9" s="150"/>
    </row>
    <row r="10" spans="1:18" x14ac:dyDescent="0.25">
      <c r="A10" s="149"/>
      <c r="B10" s="150"/>
    </row>
    <row r="11" spans="1:18" x14ac:dyDescent="0.25">
      <c r="A11" s="149"/>
      <c r="B11" s="150"/>
    </row>
    <row r="12" spans="1:18" x14ac:dyDescent="0.25">
      <c r="A12" s="149"/>
      <c r="B12" s="150"/>
    </row>
    <row r="13" spans="1:18" x14ac:dyDescent="0.25">
      <c r="A13" s="149"/>
      <c r="B13" s="150"/>
    </row>
    <row r="14" spans="1:18" x14ac:dyDescent="0.25">
      <c r="A14" s="149"/>
      <c r="B14" s="150"/>
    </row>
    <row r="15" spans="1:18" x14ac:dyDescent="0.25">
      <c r="A15" s="149"/>
      <c r="B15" s="150"/>
    </row>
    <row r="16" spans="1:18" x14ac:dyDescent="0.25">
      <c r="A16" s="149"/>
      <c r="B16" s="150"/>
    </row>
    <row r="17" spans="1:2" x14ac:dyDescent="0.25">
      <c r="A17" s="149"/>
      <c r="B17" s="150"/>
    </row>
    <row r="18" spans="1:2" x14ac:dyDescent="0.25">
      <c r="A18" s="149"/>
      <c r="B18" s="150"/>
    </row>
    <row r="19" spans="1:2" x14ac:dyDescent="0.25">
      <c r="A19" s="149"/>
      <c r="B19" s="150"/>
    </row>
    <row r="20" spans="1:2" x14ac:dyDescent="0.25">
      <c r="A20" s="149"/>
      <c r="B20" s="150"/>
    </row>
    <row r="21" spans="1:2" x14ac:dyDescent="0.25">
      <c r="A21" s="149"/>
      <c r="B21" s="150"/>
    </row>
    <row r="22" spans="1:2" x14ac:dyDescent="0.25">
      <c r="A22" s="149"/>
      <c r="B22" s="150"/>
    </row>
    <row r="23" spans="1:2" x14ac:dyDescent="0.25">
      <c r="A23" s="149"/>
      <c r="B23" s="150"/>
    </row>
    <row r="24" spans="1:2" x14ac:dyDescent="0.25">
      <c r="A24" s="149"/>
      <c r="B24" s="150"/>
    </row>
    <row r="25" spans="1:2" x14ac:dyDescent="0.25">
      <c r="A25" s="149"/>
      <c r="B25" s="150"/>
    </row>
    <row r="26" spans="1:2" x14ac:dyDescent="0.25">
      <c r="A26" s="149"/>
      <c r="B26" s="150"/>
    </row>
    <row r="27" spans="1:2" x14ac:dyDescent="0.25">
      <c r="A27" s="149"/>
      <c r="B27" s="150"/>
    </row>
    <row r="28" spans="1:2" x14ac:dyDescent="0.25">
      <c r="A28" s="149"/>
      <c r="B28" s="150"/>
    </row>
    <row r="29" spans="1:2" x14ac:dyDescent="0.25">
      <c r="A29" s="149"/>
      <c r="B29" s="150"/>
    </row>
    <row r="30" spans="1:2" x14ac:dyDescent="0.25">
      <c r="A30" s="149"/>
      <c r="B30" s="150"/>
    </row>
    <row r="31" spans="1:2" x14ac:dyDescent="0.25">
      <c r="A31" s="149"/>
      <c r="B31" s="150"/>
    </row>
    <row r="32" spans="1:2" x14ac:dyDescent="0.25">
      <c r="A32" s="149"/>
      <c r="B32" s="150"/>
    </row>
    <row r="33" spans="1:2" x14ac:dyDescent="0.25">
      <c r="A33" s="149"/>
      <c r="B33" s="150"/>
    </row>
    <row r="34" spans="1:2" x14ac:dyDescent="0.25">
      <c r="A34" s="149"/>
      <c r="B34" s="150"/>
    </row>
    <row r="35" spans="1:2" x14ac:dyDescent="0.25">
      <c r="A35" s="149"/>
      <c r="B35" s="150"/>
    </row>
    <row r="36" spans="1:2" x14ac:dyDescent="0.25">
      <c r="A36" s="149"/>
      <c r="B36" s="150"/>
    </row>
    <row r="37" spans="1:2" x14ac:dyDescent="0.25">
      <c r="A37" s="149"/>
      <c r="B37" s="150"/>
    </row>
    <row r="38" spans="1:2" x14ac:dyDescent="0.25">
      <c r="A38" s="149"/>
      <c r="B38" s="150"/>
    </row>
    <row r="39" spans="1:2" x14ac:dyDescent="0.25">
      <c r="A39" s="149"/>
      <c r="B39" s="150"/>
    </row>
    <row r="40" spans="1:2" x14ac:dyDescent="0.25">
      <c r="A40" s="149"/>
      <c r="B40" s="150"/>
    </row>
    <row r="41" spans="1:2" x14ac:dyDescent="0.25">
      <c r="A41" s="149"/>
      <c r="B41" s="150"/>
    </row>
    <row r="42" spans="1:2" x14ac:dyDescent="0.25">
      <c r="A42" s="149"/>
      <c r="B42" s="150"/>
    </row>
    <row r="43" spans="1:2" x14ac:dyDescent="0.25">
      <c r="A43" s="149"/>
      <c r="B43" s="150"/>
    </row>
    <row r="44" spans="1:2" x14ac:dyDescent="0.25">
      <c r="A44" s="149"/>
      <c r="B44" s="150"/>
    </row>
    <row r="45" spans="1:2" x14ac:dyDescent="0.25">
      <c r="A45" s="149"/>
      <c r="B45" s="150"/>
    </row>
    <row r="46" spans="1:2" x14ac:dyDescent="0.25">
      <c r="A46" s="149"/>
      <c r="B46" s="150"/>
    </row>
    <row r="47" spans="1:2" x14ac:dyDescent="0.25">
      <c r="A47" s="149"/>
      <c r="B47" s="150"/>
    </row>
    <row r="48" spans="1:2" x14ac:dyDescent="0.25">
      <c r="A48" s="149"/>
      <c r="B48" s="150"/>
    </row>
    <row r="49" spans="1:2" x14ac:dyDescent="0.25">
      <c r="A49" s="149"/>
      <c r="B49" s="150"/>
    </row>
    <row r="50" spans="1:2" x14ac:dyDescent="0.25">
      <c r="A50" s="149"/>
      <c r="B50" s="150"/>
    </row>
    <row r="51" spans="1:2" x14ac:dyDescent="0.25">
      <c r="A51" s="149"/>
      <c r="B51" s="150"/>
    </row>
    <row r="52" spans="1:2" x14ac:dyDescent="0.25">
      <c r="A52" s="149"/>
      <c r="B52" s="150"/>
    </row>
    <row r="53" spans="1:2" x14ac:dyDescent="0.25">
      <c r="A53" s="183"/>
      <c r="B53" s="183"/>
    </row>
    <row r="54" spans="1:2" x14ac:dyDescent="0.25">
      <c r="A54" s="150"/>
      <c r="B54" s="150"/>
    </row>
    <row r="55" spans="1:2" x14ac:dyDescent="0.25">
      <c r="A55" s="150"/>
      <c r="B55" s="150"/>
    </row>
    <row r="56" spans="1:2" x14ac:dyDescent="0.25">
      <c r="A56" s="150"/>
      <c r="B56" s="150"/>
    </row>
    <row r="57" spans="1:2" x14ac:dyDescent="0.25">
      <c r="A57" s="150"/>
      <c r="B57" s="150"/>
    </row>
    <row r="58" spans="1:2" x14ac:dyDescent="0.25">
      <c r="A58" s="150"/>
      <c r="B58" s="150"/>
    </row>
    <row r="59" spans="1:2" x14ac:dyDescent="0.25">
      <c r="A59" s="183"/>
      <c r="B59" s="183"/>
    </row>
    <row r="60" spans="1:2" x14ac:dyDescent="0.25">
      <c r="A60" s="162"/>
      <c r="B60" s="16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65"/>
  <sheetViews>
    <sheetView zoomScale="70" zoomScaleNormal="70" workbookViewId="0">
      <selection activeCell="T2" sqref="T2:T65"/>
    </sheetView>
  </sheetViews>
  <sheetFormatPr defaultRowHeight="15" x14ac:dyDescent="0.25"/>
  <cols>
    <col min="2" max="2" width="25.42578125" bestFit="1" customWidth="1"/>
  </cols>
  <sheetData>
    <row r="1" spans="1:20" x14ac:dyDescent="0.25">
      <c r="A1" s="199" t="s">
        <v>1</v>
      </c>
      <c r="B1" s="199" t="s">
        <v>6</v>
      </c>
      <c r="C1" s="199" t="s">
        <v>46</v>
      </c>
      <c r="D1" s="199" t="s">
        <v>47</v>
      </c>
      <c r="E1" s="199" t="s">
        <v>48</v>
      </c>
      <c r="F1" s="199" t="s">
        <v>49</v>
      </c>
      <c r="G1" s="199" t="s">
        <v>50</v>
      </c>
      <c r="H1" s="199" t="s">
        <v>51</v>
      </c>
      <c r="I1" s="199" t="s">
        <v>52</v>
      </c>
      <c r="J1" s="199" t="s">
        <v>53</v>
      </c>
      <c r="K1" s="199" t="s">
        <v>54</v>
      </c>
      <c r="L1" s="199" t="s">
        <v>55</v>
      </c>
      <c r="M1" s="199" t="s">
        <v>56</v>
      </c>
      <c r="N1" s="199" t="s">
        <v>57</v>
      </c>
      <c r="O1" s="199" t="s">
        <v>58</v>
      </c>
      <c r="P1" s="199" t="s">
        <v>59</v>
      </c>
      <c r="Q1" s="199" t="s">
        <v>667</v>
      </c>
    </row>
    <row r="2" spans="1:20" x14ac:dyDescent="0.25">
      <c r="A2" s="200">
        <v>1</v>
      </c>
      <c r="B2" s="201" t="s">
        <v>10</v>
      </c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T2">
        <f t="shared" ref="T2:T65" si="0">C2+D2+E2+F2+G2+H2+I2+J2+K2+L2+M2+N2+O2+P2+Q2</f>
        <v>0</v>
      </c>
    </row>
    <row r="3" spans="1:20" x14ac:dyDescent="0.25">
      <c r="A3" s="200">
        <v>2</v>
      </c>
      <c r="B3" s="201" t="s">
        <v>11</v>
      </c>
      <c r="C3" s="201"/>
      <c r="D3" s="201" t="s">
        <v>26</v>
      </c>
      <c r="E3" s="201" t="s">
        <v>26</v>
      </c>
      <c r="F3" s="201" t="s">
        <v>26</v>
      </c>
      <c r="G3" s="201" t="s">
        <v>25</v>
      </c>
      <c r="H3" s="201"/>
      <c r="I3" s="201" t="s">
        <v>26</v>
      </c>
      <c r="J3" s="201" t="s">
        <v>25</v>
      </c>
      <c r="K3" s="201" t="s">
        <v>25</v>
      </c>
      <c r="L3" s="201" t="s">
        <v>26</v>
      </c>
      <c r="M3" s="201" t="s">
        <v>26</v>
      </c>
      <c r="N3" s="201" t="s">
        <v>84</v>
      </c>
      <c r="O3" s="201"/>
      <c r="P3" s="201" t="s">
        <v>26</v>
      </c>
      <c r="Q3" s="201" t="s">
        <v>25</v>
      </c>
      <c r="T3">
        <f t="shared" si="0"/>
        <v>119</v>
      </c>
    </row>
    <row r="4" spans="1:20" x14ac:dyDescent="0.25">
      <c r="A4" s="200">
        <v>3</v>
      </c>
      <c r="B4" s="201" t="s">
        <v>12</v>
      </c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T4">
        <f t="shared" si="0"/>
        <v>0</v>
      </c>
    </row>
    <row r="5" spans="1:20" x14ac:dyDescent="0.25">
      <c r="A5" s="200">
        <v>4</v>
      </c>
      <c r="B5" s="201" t="s">
        <v>651</v>
      </c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01"/>
      <c r="T5">
        <f t="shared" si="0"/>
        <v>0</v>
      </c>
    </row>
    <row r="6" spans="1:20" x14ac:dyDescent="0.25">
      <c r="A6" s="200">
        <v>5</v>
      </c>
      <c r="B6" s="201" t="s">
        <v>14</v>
      </c>
      <c r="C6" s="201"/>
      <c r="D6" s="201"/>
      <c r="E6" s="201"/>
      <c r="F6" s="201"/>
      <c r="G6" s="201"/>
      <c r="H6" s="201"/>
      <c r="I6" s="201"/>
      <c r="J6" s="201"/>
      <c r="K6" s="201"/>
      <c r="L6" s="201"/>
      <c r="M6" s="201"/>
      <c r="N6" s="201"/>
      <c r="O6" s="201"/>
      <c r="P6" s="201"/>
      <c r="Q6" s="201"/>
      <c r="T6">
        <f t="shared" si="0"/>
        <v>0</v>
      </c>
    </row>
    <row r="7" spans="1:20" x14ac:dyDescent="0.25">
      <c r="A7" s="200">
        <v>6</v>
      </c>
      <c r="B7" s="201" t="s">
        <v>15</v>
      </c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  <c r="Q7" s="201"/>
      <c r="T7">
        <f t="shared" si="0"/>
        <v>0</v>
      </c>
    </row>
    <row r="8" spans="1:20" x14ac:dyDescent="0.25">
      <c r="A8" s="200">
        <v>7</v>
      </c>
      <c r="B8" s="201" t="s">
        <v>16</v>
      </c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  <c r="Q8" s="201"/>
      <c r="T8">
        <f t="shared" si="0"/>
        <v>0</v>
      </c>
    </row>
    <row r="9" spans="1:20" x14ac:dyDescent="0.25">
      <c r="A9" s="200">
        <v>8</v>
      </c>
      <c r="B9" s="201" t="s">
        <v>4</v>
      </c>
      <c r="C9" s="201"/>
      <c r="D9" s="201"/>
      <c r="E9" s="201"/>
      <c r="F9" s="201"/>
      <c r="G9" s="201"/>
      <c r="H9" s="201"/>
      <c r="I9" s="201"/>
      <c r="J9" s="201"/>
      <c r="K9" s="201"/>
      <c r="L9" s="201"/>
      <c r="M9" s="201"/>
      <c r="N9" s="201"/>
      <c r="O9" s="201"/>
      <c r="P9" s="201"/>
      <c r="Q9" s="201"/>
      <c r="T9">
        <f t="shared" si="0"/>
        <v>0</v>
      </c>
    </row>
    <row r="10" spans="1:20" x14ac:dyDescent="0.25">
      <c r="A10" s="200">
        <v>9</v>
      </c>
      <c r="B10" s="201" t="s">
        <v>5</v>
      </c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T10">
        <f t="shared" si="0"/>
        <v>0</v>
      </c>
    </row>
    <row r="11" spans="1:20" x14ac:dyDescent="0.25">
      <c r="A11" s="200">
        <v>10</v>
      </c>
      <c r="B11" s="201" t="s">
        <v>38</v>
      </c>
      <c r="C11" s="201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1"/>
      <c r="P11" s="201"/>
      <c r="Q11" s="201"/>
      <c r="T11">
        <f t="shared" si="0"/>
        <v>0</v>
      </c>
    </row>
    <row r="12" spans="1:20" x14ac:dyDescent="0.25">
      <c r="A12" s="200">
        <v>11</v>
      </c>
      <c r="B12" s="201" t="s">
        <v>43</v>
      </c>
      <c r="C12" s="201"/>
      <c r="D12" s="201"/>
      <c r="E12" s="201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  <c r="Q12" s="201"/>
      <c r="T12">
        <f t="shared" si="0"/>
        <v>0</v>
      </c>
    </row>
    <row r="13" spans="1:20" x14ac:dyDescent="0.25">
      <c r="A13" s="200">
        <v>12</v>
      </c>
      <c r="B13" s="201" t="s">
        <v>639</v>
      </c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  <c r="Q13" s="201"/>
      <c r="T13">
        <f t="shared" si="0"/>
        <v>0</v>
      </c>
    </row>
    <row r="14" spans="1:20" x14ac:dyDescent="0.25">
      <c r="A14" s="200">
        <v>13</v>
      </c>
      <c r="B14" s="201" t="s">
        <v>87</v>
      </c>
      <c r="C14" s="201"/>
      <c r="D14" s="201"/>
      <c r="E14" s="201"/>
      <c r="F14" s="201"/>
      <c r="G14" s="201"/>
      <c r="H14" s="201"/>
      <c r="I14" s="201"/>
      <c r="J14" s="201"/>
      <c r="K14" s="201"/>
      <c r="L14" s="201"/>
      <c r="M14" s="201"/>
      <c r="N14" s="201"/>
      <c r="O14" s="201"/>
      <c r="P14" s="201"/>
      <c r="Q14" s="201"/>
      <c r="T14">
        <f t="shared" si="0"/>
        <v>0</v>
      </c>
    </row>
    <row r="15" spans="1:20" x14ac:dyDescent="0.25">
      <c r="A15" s="200">
        <v>14</v>
      </c>
      <c r="B15" s="201" t="s">
        <v>95</v>
      </c>
      <c r="C15" s="201"/>
      <c r="D15" s="201"/>
      <c r="E15" s="201"/>
      <c r="F15" s="201"/>
      <c r="G15" s="201"/>
      <c r="H15" s="201"/>
      <c r="I15" s="201"/>
      <c r="J15" s="201"/>
      <c r="K15" s="201"/>
      <c r="L15" s="201"/>
      <c r="M15" s="201"/>
      <c r="N15" s="201"/>
      <c r="O15" s="201"/>
      <c r="P15" s="201"/>
      <c r="Q15" s="201"/>
      <c r="T15">
        <f t="shared" si="0"/>
        <v>0</v>
      </c>
    </row>
    <row r="16" spans="1:20" x14ac:dyDescent="0.25">
      <c r="A16" s="200">
        <v>15</v>
      </c>
      <c r="B16" s="201" t="s">
        <v>96</v>
      </c>
      <c r="C16" s="201"/>
      <c r="D16" s="201"/>
      <c r="E16" s="201"/>
      <c r="F16" s="201"/>
      <c r="G16" s="201"/>
      <c r="H16" s="201"/>
      <c r="I16" s="201"/>
      <c r="J16" s="201"/>
      <c r="K16" s="201"/>
      <c r="L16" s="201"/>
      <c r="M16" s="201"/>
      <c r="N16" s="201"/>
      <c r="O16" s="201"/>
      <c r="P16" s="201"/>
      <c r="Q16" s="201"/>
      <c r="T16">
        <f t="shared" si="0"/>
        <v>0</v>
      </c>
    </row>
    <row r="17" spans="1:20" x14ac:dyDescent="0.25">
      <c r="A17" s="200">
        <v>16</v>
      </c>
      <c r="B17" s="201" t="s">
        <v>97</v>
      </c>
      <c r="C17" s="201"/>
      <c r="D17" s="201"/>
      <c r="E17" s="201"/>
      <c r="F17" s="201"/>
      <c r="G17" s="201"/>
      <c r="H17" s="201"/>
      <c r="I17" s="201"/>
      <c r="J17" s="201"/>
      <c r="K17" s="201"/>
      <c r="L17" s="201"/>
      <c r="M17" s="201"/>
      <c r="N17" s="201"/>
      <c r="O17" s="201"/>
      <c r="P17" s="201"/>
      <c r="Q17" s="201"/>
      <c r="T17">
        <f t="shared" si="0"/>
        <v>0</v>
      </c>
    </row>
    <row r="18" spans="1:20" x14ac:dyDescent="0.25">
      <c r="A18" s="200">
        <v>17</v>
      </c>
      <c r="B18" s="201" t="s">
        <v>98</v>
      </c>
      <c r="C18" s="201"/>
      <c r="D18" s="201"/>
      <c r="E18" s="201"/>
      <c r="F18" s="201"/>
      <c r="G18" s="201"/>
      <c r="H18" s="201"/>
      <c r="I18" s="201"/>
      <c r="J18" s="201"/>
      <c r="K18" s="201"/>
      <c r="L18" s="201"/>
      <c r="M18" s="201"/>
      <c r="N18" s="201"/>
      <c r="O18" s="201"/>
      <c r="P18" s="201"/>
      <c r="Q18" s="201"/>
      <c r="T18">
        <f t="shared" si="0"/>
        <v>0</v>
      </c>
    </row>
    <row r="19" spans="1:20" x14ac:dyDescent="0.25">
      <c r="A19" s="200">
        <v>18</v>
      </c>
      <c r="B19" s="201" t="s">
        <v>616</v>
      </c>
      <c r="C19" s="201"/>
      <c r="D19" s="201"/>
      <c r="E19" s="201"/>
      <c r="F19" s="201"/>
      <c r="G19" s="201"/>
      <c r="H19" s="201"/>
      <c r="I19" s="201"/>
      <c r="J19" s="201"/>
      <c r="K19" s="201"/>
      <c r="L19" s="201"/>
      <c r="M19" s="201"/>
      <c r="N19" s="201"/>
      <c r="O19" s="201"/>
      <c r="P19" s="201"/>
      <c r="Q19" s="201"/>
      <c r="T19">
        <f t="shared" si="0"/>
        <v>0</v>
      </c>
    </row>
    <row r="20" spans="1:20" x14ac:dyDescent="0.25">
      <c r="A20" s="200">
        <v>19</v>
      </c>
      <c r="B20" s="201" t="s">
        <v>617</v>
      </c>
      <c r="C20" s="201"/>
      <c r="D20" s="201"/>
      <c r="E20" s="201"/>
      <c r="F20" s="201"/>
      <c r="G20" s="201"/>
      <c r="H20" s="201"/>
      <c r="I20" s="201"/>
      <c r="J20" s="201"/>
      <c r="K20" s="201"/>
      <c r="L20" s="201"/>
      <c r="M20" s="201"/>
      <c r="N20" s="201"/>
      <c r="O20" s="201"/>
      <c r="P20" s="201"/>
      <c r="Q20" s="201"/>
      <c r="T20">
        <f t="shared" si="0"/>
        <v>0</v>
      </c>
    </row>
    <row r="21" spans="1:20" x14ac:dyDescent="0.25">
      <c r="A21" s="200">
        <v>20</v>
      </c>
      <c r="B21" s="201" t="s">
        <v>626</v>
      </c>
      <c r="C21" s="201"/>
      <c r="D21" s="201"/>
      <c r="E21" s="201"/>
      <c r="F21" s="201"/>
      <c r="G21" s="201"/>
      <c r="H21" s="201"/>
      <c r="I21" s="201"/>
      <c r="J21" s="201"/>
      <c r="K21" s="201"/>
      <c r="L21" s="201"/>
      <c r="M21" s="201"/>
      <c r="N21" s="201"/>
      <c r="O21" s="201"/>
      <c r="P21" s="201"/>
      <c r="Q21" s="201"/>
      <c r="T21">
        <f t="shared" si="0"/>
        <v>0</v>
      </c>
    </row>
    <row r="22" spans="1:20" x14ac:dyDescent="0.25">
      <c r="A22" s="200">
        <v>21</v>
      </c>
      <c r="B22" s="201" t="s">
        <v>618</v>
      </c>
      <c r="C22" s="201"/>
      <c r="D22" s="201"/>
      <c r="E22" s="201"/>
      <c r="F22" s="201"/>
      <c r="G22" s="201"/>
      <c r="H22" s="201"/>
      <c r="I22" s="201"/>
      <c r="J22" s="201"/>
      <c r="K22" s="201"/>
      <c r="L22" s="201"/>
      <c r="M22" s="201"/>
      <c r="N22" s="201"/>
      <c r="O22" s="201"/>
      <c r="P22" s="201"/>
      <c r="Q22" s="201"/>
      <c r="T22">
        <f t="shared" si="0"/>
        <v>0</v>
      </c>
    </row>
    <row r="23" spans="1:20" x14ac:dyDescent="0.25">
      <c r="A23" s="200">
        <v>22</v>
      </c>
      <c r="B23" s="201" t="s">
        <v>619</v>
      </c>
      <c r="C23" s="201"/>
      <c r="D23" s="201"/>
      <c r="E23" s="201"/>
      <c r="F23" s="201"/>
      <c r="G23" s="201"/>
      <c r="H23" s="201"/>
      <c r="I23" s="201"/>
      <c r="J23" s="201"/>
      <c r="K23" s="201"/>
      <c r="L23" s="201"/>
      <c r="M23" s="201"/>
      <c r="N23" s="201"/>
      <c r="O23" s="201"/>
      <c r="P23" s="201"/>
      <c r="Q23" s="201"/>
      <c r="T23">
        <f t="shared" si="0"/>
        <v>0</v>
      </c>
    </row>
    <row r="24" spans="1:20" x14ac:dyDescent="0.25">
      <c r="A24" s="200">
        <v>23</v>
      </c>
      <c r="B24" s="201" t="s">
        <v>620</v>
      </c>
      <c r="C24" s="201"/>
      <c r="D24" s="201"/>
      <c r="E24" s="201"/>
      <c r="F24" s="201"/>
      <c r="G24" s="201"/>
      <c r="H24" s="201"/>
      <c r="I24" s="201"/>
      <c r="J24" s="201"/>
      <c r="K24" s="201"/>
      <c r="L24" s="201"/>
      <c r="M24" s="201"/>
      <c r="N24" s="201"/>
      <c r="O24" s="201"/>
      <c r="P24" s="201"/>
      <c r="Q24" s="201"/>
      <c r="T24">
        <f t="shared" si="0"/>
        <v>0</v>
      </c>
    </row>
    <row r="25" spans="1:20" x14ac:dyDescent="0.25">
      <c r="A25" s="200">
        <v>24</v>
      </c>
      <c r="B25" s="201" t="s">
        <v>650</v>
      </c>
      <c r="C25" s="201"/>
      <c r="D25" s="201"/>
      <c r="E25" s="201"/>
      <c r="F25" s="201"/>
      <c r="G25" s="201"/>
      <c r="H25" s="201"/>
      <c r="I25" s="201"/>
      <c r="J25" s="201"/>
      <c r="K25" s="201"/>
      <c r="L25" s="201"/>
      <c r="M25" s="201"/>
      <c r="N25" s="201"/>
      <c r="O25" s="201"/>
      <c r="P25" s="201"/>
      <c r="Q25" s="201"/>
      <c r="T25">
        <f t="shared" si="0"/>
        <v>0</v>
      </c>
    </row>
    <row r="26" spans="1:20" x14ac:dyDescent="0.25">
      <c r="A26" s="200">
        <v>25</v>
      </c>
      <c r="B26" s="201" t="s">
        <v>621</v>
      </c>
      <c r="C26" s="201"/>
      <c r="D26" s="201"/>
      <c r="E26" s="201"/>
      <c r="F26" s="201"/>
      <c r="G26" s="201"/>
      <c r="H26" s="201"/>
      <c r="I26" s="201"/>
      <c r="J26" s="201"/>
      <c r="K26" s="201"/>
      <c r="L26" s="201"/>
      <c r="M26" s="201"/>
      <c r="N26" s="201"/>
      <c r="O26" s="201"/>
      <c r="P26" s="201"/>
      <c r="Q26" s="201"/>
      <c r="T26">
        <f t="shared" si="0"/>
        <v>0</v>
      </c>
    </row>
    <row r="27" spans="1:20" x14ac:dyDescent="0.25">
      <c r="A27" s="200">
        <v>26</v>
      </c>
      <c r="B27" s="201" t="s">
        <v>622</v>
      </c>
      <c r="C27" s="201"/>
      <c r="D27" s="201"/>
      <c r="E27" s="201"/>
      <c r="F27" s="201"/>
      <c r="G27" s="201"/>
      <c r="H27" s="201"/>
      <c r="I27" s="201"/>
      <c r="J27" s="201"/>
      <c r="K27" s="201"/>
      <c r="L27" s="201"/>
      <c r="M27" s="201"/>
      <c r="N27" s="201"/>
      <c r="O27" s="201"/>
      <c r="P27" s="201"/>
      <c r="Q27" s="201"/>
      <c r="T27">
        <f t="shared" si="0"/>
        <v>0</v>
      </c>
    </row>
    <row r="28" spans="1:20" x14ac:dyDescent="0.25">
      <c r="A28" s="200">
        <v>27</v>
      </c>
      <c r="B28" s="201" t="s">
        <v>623</v>
      </c>
      <c r="C28" s="201"/>
      <c r="D28" s="201" t="s">
        <v>25</v>
      </c>
      <c r="E28" s="201"/>
      <c r="F28" s="201"/>
      <c r="G28" s="201"/>
      <c r="H28" s="201"/>
      <c r="I28" s="201"/>
      <c r="J28" s="201"/>
      <c r="K28" s="201"/>
      <c r="L28" s="201"/>
      <c r="M28" s="201"/>
      <c r="N28" s="201"/>
      <c r="O28" s="201"/>
      <c r="P28" s="201"/>
      <c r="Q28" s="201"/>
      <c r="T28">
        <f t="shared" si="0"/>
        <v>9</v>
      </c>
    </row>
    <row r="29" spans="1:20" x14ac:dyDescent="0.25">
      <c r="A29" s="200">
        <v>28</v>
      </c>
      <c r="B29" s="201" t="s">
        <v>624</v>
      </c>
      <c r="C29" s="201"/>
      <c r="D29" s="201"/>
      <c r="E29" s="201"/>
      <c r="F29" s="201"/>
      <c r="G29" s="201"/>
      <c r="H29" s="201"/>
      <c r="I29" s="201"/>
      <c r="J29" s="201"/>
      <c r="K29" s="201"/>
      <c r="L29" s="201"/>
      <c r="M29" s="201"/>
      <c r="N29" s="201"/>
      <c r="O29" s="201"/>
      <c r="P29" s="201"/>
      <c r="Q29" s="201"/>
      <c r="T29">
        <f t="shared" si="0"/>
        <v>0</v>
      </c>
    </row>
    <row r="30" spans="1:20" x14ac:dyDescent="0.25">
      <c r="A30" s="200">
        <v>29</v>
      </c>
      <c r="B30" s="201" t="s">
        <v>627</v>
      </c>
      <c r="C30" s="201"/>
      <c r="D30" s="201"/>
      <c r="E30" s="201"/>
      <c r="F30" s="201"/>
      <c r="G30" s="201"/>
      <c r="H30" s="201"/>
      <c r="I30" s="201"/>
      <c r="J30" s="201"/>
      <c r="K30" s="201"/>
      <c r="L30" s="201"/>
      <c r="M30" s="201"/>
      <c r="N30" s="201"/>
      <c r="O30" s="201"/>
      <c r="P30" s="201"/>
      <c r="Q30" s="201"/>
      <c r="T30">
        <f t="shared" si="0"/>
        <v>0</v>
      </c>
    </row>
    <row r="31" spans="1:20" x14ac:dyDescent="0.25">
      <c r="A31" s="200">
        <v>30</v>
      </c>
      <c r="B31" s="201" t="s">
        <v>625</v>
      </c>
      <c r="C31" s="201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T31">
        <f t="shared" si="0"/>
        <v>0</v>
      </c>
    </row>
    <row r="32" spans="1:20" x14ac:dyDescent="0.25">
      <c r="A32" s="200">
        <v>31</v>
      </c>
      <c r="B32" s="201" t="s">
        <v>34</v>
      </c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T32">
        <f t="shared" si="0"/>
        <v>0</v>
      </c>
    </row>
    <row r="33" spans="1:20" x14ac:dyDescent="0.25">
      <c r="A33" s="200">
        <v>32</v>
      </c>
      <c r="B33" s="201" t="s">
        <v>45</v>
      </c>
      <c r="C33" s="201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201"/>
      <c r="T33">
        <f t="shared" si="0"/>
        <v>0</v>
      </c>
    </row>
    <row r="34" spans="1:20" x14ac:dyDescent="0.25">
      <c r="A34" s="200">
        <v>33</v>
      </c>
      <c r="B34" s="201" t="s">
        <v>630</v>
      </c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T34">
        <f t="shared" si="0"/>
        <v>0</v>
      </c>
    </row>
    <row r="35" spans="1:20" x14ac:dyDescent="0.25">
      <c r="A35" s="200">
        <v>34</v>
      </c>
      <c r="B35" s="201" t="s">
        <v>628</v>
      </c>
      <c r="C35" s="201"/>
      <c r="D35" s="201"/>
      <c r="E35" s="201"/>
      <c r="F35" s="201"/>
      <c r="G35" s="201"/>
      <c r="H35" s="201"/>
      <c r="I35" s="201"/>
      <c r="J35" s="201"/>
      <c r="K35" s="201"/>
      <c r="L35" s="201"/>
      <c r="M35" s="201"/>
      <c r="N35" s="201"/>
      <c r="O35" s="201"/>
      <c r="P35" s="201"/>
      <c r="Q35" s="201"/>
      <c r="T35">
        <f t="shared" si="0"/>
        <v>0</v>
      </c>
    </row>
    <row r="36" spans="1:20" x14ac:dyDescent="0.25">
      <c r="A36" s="200">
        <v>35</v>
      </c>
      <c r="B36" s="201" t="s">
        <v>629</v>
      </c>
      <c r="C36" s="201"/>
      <c r="D36" s="201"/>
      <c r="E36" s="201"/>
      <c r="F36" s="201"/>
      <c r="G36" s="201"/>
      <c r="H36" s="201"/>
      <c r="I36" s="201"/>
      <c r="J36" s="201"/>
      <c r="K36" s="201"/>
      <c r="L36" s="201"/>
      <c r="M36" s="201"/>
      <c r="N36" s="201"/>
      <c r="O36" s="201"/>
      <c r="P36" s="201"/>
      <c r="Q36" s="201"/>
      <c r="T36">
        <f t="shared" si="0"/>
        <v>0</v>
      </c>
    </row>
    <row r="37" spans="1:20" x14ac:dyDescent="0.25">
      <c r="A37" s="200">
        <v>36</v>
      </c>
      <c r="B37" s="201" t="s">
        <v>631</v>
      </c>
      <c r="C37" s="201"/>
      <c r="D37" s="201"/>
      <c r="E37" s="201"/>
      <c r="F37" s="201"/>
      <c r="G37" s="201"/>
      <c r="H37" s="201"/>
      <c r="I37" s="201"/>
      <c r="J37" s="201"/>
      <c r="K37" s="201"/>
      <c r="L37" s="201"/>
      <c r="M37" s="201"/>
      <c r="N37" s="201"/>
      <c r="O37" s="201"/>
      <c r="P37" s="201"/>
      <c r="Q37" s="201"/>
      <c r="T37">
        <f t="shared" si="0"/>
        <v>0</v>
      </c>
    </row>
    <row r="38" spans="1:20" x14ac:dyDescent="0.25">
      <c r="A38" s="200">
        <v>37</v>
      </c>
      <c r="B38" s="201" t="s">
        <v>632</v>
      </c>
      <c r="C38" s="201"/>
      <c r="D38" s="201"/>
      <c r="E38" s="201"/>
      <c r="F38" s="201"/>
      <c r="G38" s="201"/>
      <c r="H38" s="201"/>
      <c r="I38" s="201"/>
      <c r="J38" s="201"/>
      <c r="K38" s="201"/>
      <c r="L38" s="201"/>
      <c r="M38" s="201"/>
      <c r="N38" s="201"/>
      <c r="O38" s="201"/>
      <c r="P38" s="201"/>
      <c r="Q38" s="201"/>
      <c r="T38">
        <f t="shared" si="0"/>
        <v>0</v>
      </c>
    </row>
    <row r="39" spans="1:20" x14ac:dyDescent="0.25">
      <c r="A39" s="200">
        <v>38</v>
      </c>
      <c r="B39" s="201" t="s">
        <v>633</v>
      </c>
      <c r="C39" s="201"/>
      <c r="D39" s="201"/>
      <c r="E39" s="201"/>
      <c r="F39" s="201"/>
      <c r="G39" s="201"/>
      <c r="H39" s="201"/>
      <c r="I39" s="201"/>
      <c r="J39" s="201"/>
      <c r="K39" s="201"/>
      <c r="L39" s="201"/>
      <c r="M39" s="201"/>
      <c r="N39" s="201"/>
      <c r="O39" s="201"/>
      <c r="P39" s="201"/>
      <c r="Q39" s="201"/>
      <c r="T39">
        <f t="shared" si="0"/>
        <v>0</v>
      </c>
    </row>
    <row r="40" spans="1:20" x14ac:dyDescent="0.25">
      <c r="A40" s="200">
        <v>39</v>
      </c>
      <c r="B40" s="201" t="s">
        <v>634</v>
      </c>
      <c r="C40" s="201"/>
      <c r="D40" s="201"/>
      <c r="E40" s="201"/>
      <c r="F40" s="201"/>
      <c r="G40" s="201"/>
      <c r="H40" s="201"/>
      <c r="I40" s="201"/>
      <c r="J40" s="201"/>
      <c r="K40" s="201"/>
      <c r="L40" s="201"/>
      <c r="M40" s="201"/>
      <c r="N40" s="201"/>
      <c r="O40" s="201"/>
      <c r="P40" s="201"/>
      <c r="Q40" s="201"/>
      <c r="T40">
        <f t="shared" si="0"/>
        <v>0</v>
      </c>
    </row>
    <row r="41" spans="1:20" x14ac:dyDescent="0.25">
      <c r="A41" s="200">
        <v>40</v>
      </c>
      <c r="B41" s="201" t="s">
        <v>636</v>
      </c>
      <c r="C41" s="201"/>
      <c r="D41" s="201"/>
      <c r="E41" s="201"/>
      <c r="F41" s="201"/>
      <c r="G41" s="201"/>
      <c r="H41" s="201"/>
      <c r="I41" s="201"/>
      <c r="J41" s="201"/>
      <c r="K41" s="201"/>
      <c r="L41" s="201"/>
      <c r="M41" s="201"/>
      <c r="N41" s="201"/>
      <c r="O41" s="201"/>
      <c r="P41" s="201"/>
      <c r="Q41" s="201"/>
      <c r="T41">
        <f t="shared" si="0"/>
        <v>0</v>
      </c>
    </row>
    <row r="42" spans="1:20" x14ac:dyDescent="0.25">
      <c r="A42" s="200">
        <v>41</v>
      </c>
      <c r="B42" s="201" t="s">
        <v>637</v>
      </c>
      <c r="C42" s="201"/>
      <c r="D42" s="201"/>
      <c r="E42" s="201"/>
      <c r="F42" s="201"/>
      <c r="G42" s="201"/>
      <c r="H42" s="201"/>
      <c r="I42" s="201"/>
      <c r="J42" s="201"/>
      <c r="K42" s="201"/>
      <c r="L42" s="201"/>
      <c r="M42" s="201"/>
      <c r="N42" s="201"/>
      <c r="O42" s="201"/>
      <c r="P42" s="201"/>
      <c r="Q42" s="201"/>
      <c r="T42">
        <f t="shared" si="0"/>
        <v>0</v>
      </c>
    </row>
    <row r="43" spans="1:20" x14ac:dyDescent="0.25">
      <c r="A43" s="200">
        <v>42</v>
      </c>
      <c r="B43" s="201" t="s">
        <v>640</v>
      </c>
      <c r="C43" s="201"/>
      <c r="D43" s="201"/>
      <c r="E43" s="201"/>
      <c r="F43" s="201"/>
      <c r="G43" s="201"/>
      <c r="H43" s="201"/>
      <c r="I43" s="201"/>
      <c r="J43" s="201"/>
      <c r="K43" s="201"/>
      <c r="L43" s="201"/>
      <c r="M43" s="201"/>
      <c r="N43" s="201"/>
      <c r="O43" s="201"/>
      <c r="P43" s="201"/>
      <c r="Q43" s="201"/>
      <c r="T43">
        <f t="shared" si="0"/>
        <v>0</v>
      </c>
    </row>
    <row r="44" spans="1:20" x14ac:dyDescent="0.25">
      <c r="A44" s="200">
        <v>43</v>
      </c>
      <c r="B44" s="201" t="s">
        <v>638</v>
      </c>
      <c r="C44" s="201"/>
      <c r="D44" s="201"/>
      <c r="E44" s="201"/>
      <c r="F44" s="201"/>
      <c r="G44" s="201"/>
      <c r="H44" s="201"/>
      <c r="I44" s="201"/>
      <c r="J44" s="201"/>
      <c r="K44" s="201"/>
      <c r="L44" s="201"/>
      <c r="M44" s="201"/>
      <c r="N44" s="201"/>
      <c r="O44" s="201"/>
      <c r="P44" s="201"/>
      <c r="Q44" s="201"/>
      <c r="T44">
        <f t="shared" si="0"/>
        <v>0</v>
      </c>
    </row>
    <row r="45" spans="1:20" x14ac:dyDescent="0.25">
      <c r="A45" s="200">
        <v>44</v>
      </c>
      <c r="B45" s="201" t="s">
        <v>635</v>
      </c>
      <c r="C45" s="201" t="s">
        <v>26</v>
      </c>
      <c r="D45" s="201" t="s">
        <v>26</v>
      </c>
      <c r="E45" s="201"/>
      <c r="F45" s="201"/>
      <c r="G45" s="201"/>
      <c r="H45" s="201"/>
      <c r="I45" s="201"/>
      <c r="J45" s="201"/>
      <c r="K45" s="201" t="s">
        <v>26</v>
      </c>
      <c r="L45" s="201" t="s">
        <v>26</v>
      </c>
      <c r="M45" s="201" t="s">
        <v>26</v>
      </c>
      <c r="N45" s="201" t="s">
        <v>62</v>
      </c>
      <c r="O45" s="201"/>
      <c r="P45" s="201" t="s">
        <v>26</v>
      </c>
      <c r="Q45" s="201"/>
      <c r="T45">
        <f t="shared" si="0"/>
        <v>69</v>
      </c>
    </row>
    <row r="46" spans="1:20" x14ac:dyDescent="0.25">
      <c r="A46" s="200">
        <v>45</v>
      </c>
      <c r="B46" s="201" t="s">
        <v>641</v>
      </c>
      <c r="C46" s="201" t="s">
        <v>26</v>
      </c>
      <c r="D46" s="201" t="s">
        <v>25</v>
      </c>
      <c r="E46" s="201" t="s">
        <v>26</v>
      </c>
      <c r="F46" s="201" t="s">
        <v>26</v>
      </c>
      <c r="G46" s="201" t="s">
        <v>84</v>
      </c>
      <c r="H46" s="201"/>
      <c r="I46" s="201" t="s">
        <v>26</v>
      </c>
      <c r="J46" s="201" t="s">
        <v>26</v>
      </c>
      <c r="K46" s="201" t="s">
        <v>26</v>
      </c>
      <c r="L46" s="201" t="s">
        <v>26</v>
      </c>
      <c r="M46" s="201" t="s">
        <v>26</v>
      </c>
      <c r="N46" s="201"/>
      <c r="O46" s="201"/>
      <c r="P46" s="201" t="s">
        <v>26</v>
      </c>
      <c r="Q46" s="201" t="s">
        <v>26</v>
      </c>
      <c r="T46">
        <f t="shared" si="0"/>
        <v>125</v>
      </c>
    </row>
    <row r="47" spans="1:20" x14ac:dyDescent="0.25">
      <c r="A47" s="200">
        <v>46</v>
      </c>
      <c r="B47" s="201" t="s">
        <v>649</v>
      </c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T47">
        <f t="shared" si="0"/>
        <v>0</v>
      </c>
    </row>
    <row r="48" spans="1:20" x14ac:dyDescent="0.25">
      <c r="A48" s="200">
        <v>47</v>
      </c>
      <c r="B48" s="201" t="s">
        <v>642</v>
      </c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T48">
        <f t="shared" si="0"/>
        <v>0</v>
      </c>
    </row>
    <row r="49" spans="1:20" x14ac:dyDescent="0.25">
      <c r="A49" s="200">
        <v>48</v>
      </c>
      <c r="B49" s="201" t="s">
        <v>643</v>
      </c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T49">
        <f t="shared" si="0"/>
        <v>0</v>
      </c>
    </row>
    <row r="50" spans="1:20" x14ac:dyDescent="0.25">
      <c r="A50" s="200">
        <v>49</v>
      </c>
      <c r="B50" s="201" t="s">
        <v>644</v>
      </c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T50">
        <f t="shared" si="0"/>
        <v>0</v>
      </c>
    </row>
    <row r="51" spans="1:20" x14ac:dyDescent="0.25">
      <c r="A51" s="200">
        <v>50</v>
      </c>
      <c r="B51" s="201" t="s">
        <v>646</v>
      </c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T51">
        <f t="shared" si="0"/>
        <v>0</v>
      </c>
    </row>
    <row r="52" spans="1:20" x14ac:dyDescent="0.25">
      <c r="A52" s="200">
        <v>51</v>
      </c>
      <c r="B52" s="201" t="s">
        <v>647</v>
      </c>
      <c r="C52" s="201"/>
      <c r="D52" s="201"/>
      <c r="E52" s="201"/>
      <c r="F52" s="201"/>
      <c r="G52" s="201"/>
      <c r="H52" s="201"/>
      <c r="I52" s="201"/>
      <c r="J52" s="201"/>
      <c r="K52" s="201"/>
      <c r="L52" s="201"/>
      <c r="M52" s="201"/>
      <c r="N52" s="201"/>
      <c r="O52" s="201"/>
      <c r="P52" s="201"/>
      <c r="Q52" s="201"/>
      <c r="T52">
        <f t="shared" si="0"/>
        <v>0</v>
      </c>
    </row>
    <row r="53" spans="1:20" x14ac:dyDescent="0.25">
      <c r="A53" s="200">
        <v>52</v>
      </c>
      <c r="B53" s="201" t="s">
        <v>652</v>
      </c>
      <c r="C53" s="201"/>
      <c r="D53" s="201"/>
      <c r="E53" s="201"/>
      <c r="F53" s="201"/>
      <c r="G53" s="201"/>
      <c r="H53" s="201"/>
      <c r="I53" s="201"/>
      <c r="J53" s="201"/>
      <c r="K53" s="201"/>
      <c r="L53" s="201"/>
      <c r="M53" s="201"/>
      <c r="N53" s="201"/>
      <c r="O53" s="201"/>
      <c r="P53" s="201"/>
      <c r="Q53" s="201"/>
      <c r="T53">
        <f t="shared" si="0"/>
        <v>0</v>
      </c>
    </row>
    <row r="54" spans="1:20" x14ac:dyDescent="0.25">
      <c r="A54" s="200">
        <v>53</v>
      </c>
      <c r="B54" s="201" t="s">
        <v>653</v>
      </c>
      <c r="C54" s="201"/>
      <c r="D54" s="201"/>
      <c r="E54" s="201"/>
      <c r="F54" s="201"/>
      <c r="G54" s="201"/>
      <c r="H54" s="201"/>
      <c r="I54" s="201"/>
      <c r="J54" s="201"/>
      <c r="K54" s="201"/>
      <c r="L54" s="201"/>
      <c r="M54" s="201"/>
      <c r="N54" s="201"/>
      <c r="O54" s="201"/>
      <c r="P54" s="201"/>
      <c r="Q54" s="201"/>
      <c r="T54">
        <f t="shared" si="0"/>
        <v>0</v>
      </c>
    </row>
    <row r="55" spans="1:20" x14ac:dyDescent="0.25">
      <c r="A55" s="200">
        <v>54</v>
      </c>
      <c r="B55" s="201" t="s">
        <v>654</v>
      </c>
      <c r="C55" s="201"/>
      <c r="D55" s="201"/>
      <c r="E55" s="201"/>
      <c r="F55" s="201"/>
      <c r="G55" s="201"/>
      <c r="H55" s="201"/>
      <c r="I55" s="201"/>
      <c r="J55" s="201"/>
      <c r="K55" s="201"/>
      <c r="L55" s="201"/>
      <c r="M55" s="201"/>
      <c r="N55" s="201"/>
      <c r="O55" s="201"/>
      <c r="P55" s="201"/>
      <c r="Q55" s="201"/>
      <c r="T55">
        <f t="shared" si="0"/>
        <v>0</v>
      </c>
    </row>
    <row r="56" spans="1:20" x14ac:dyDescent="0.25">
      <c r="A56" s="200">
        <v>55</v>
      </c>
      <c r="B56" s="201" t="s">
        <v>655</v>
      </c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T56">
        <f t="shared" si="0"/>
        <v>0</v>
      </c>
    </row>
    <row r="57" spans="1:20" x14ac:dyDescent="0.25">
      <c r="A57" s="200">
        <v>56</v>
      </c>
      <c r="B57" s="201" t="s">
        <v>656</v>
      </c>
      <c r="C57" s="201"/>
      <c r="D57" s="201"/>
      <c r="E57" s="201"/>
      <c r="F57" s="201"/>
      <c r="G57" s="201"/>
      <c r="H57" s="201"/>
      <c r="I57" s="201"/>
      <c r="J57" s="201"/>
      <c r="K57" s="201"/>
      <c r="L57" s="201"/>
      <c r="M57" s="201"/>
      <c r="N57" s="201"/>
      <c r="O57" s="201"/>
      <c r="P57" s="201"/>
      <c r="Q57" s="201"/>
      <c r="T57">
        <f t="shared" si="0"/>
        <v>0</v>
      </c>
    </row>
    <row r="58" spans="1:20" x14ac:dyDescent="0.25">
      <c r="A58" s="200">
        <v>57</v>
      </c>
      <c r="B58" s="201" t="s">
        <v>657</v>
      </c>
      <c r="C58" s="201"/>
      <c r="D58" s="201"/>
      <c r="E58" s="201"/>
      <c r="F58" s="201"/>
      <c r="G58" s="201"/>
      <c r="H58" s="201"/>
      <c r="I58" s="201"/>
      <c r="J58" s="201"/>
      <c r="K58" s="201"/>
      <c r="L58" s="201"/>
      <c r="M58" s="201"/>
      <c r="N58" s="201"/>
      <c r="O58" s="201"/>
      <c r="P58" s="201"/>
      <c r="Q58" s="201"/>
      <c r="T58">
        <f t="shared" si="0"/>
        <v>0</v>
      </c>
    </row>
    <row r="59" spans="1:20" x14ac:dyDescent="0.25">
      <c r="A59" s="200">
        <v>58</v>
      </c>
      <c r="B59" s="201" t="s">
        <v>658</v>
      </c>
      <c r="C59" s="201"/>
      <c r="D59" s="201"/>
      <c r="E59" s="201"/>
      <c r="F59" s="201"/>
      <c r="G59" s="201"/>
      <c r="H59" s="201"/>
      <c r="I59" s="201"/>
      <c r="J59" s="201"/>
      <c r="K59" s="201"/>
      <c r="L59" s="201"/>
      <c r="M59" s="201"/>
      <c r="N59" s="201"/>
      <c r="O59" s="201"/>
      <c r="P59" s="201"/>
      <c r="Q59" s="201"/>
      <c r="T59">
        <f t="shared" si="0"/>
        <v>0</v>
      </c>
    </row>
    <row r="60" spans="1:20" x14ac:dyDescent="0.25">
      <c r="A60" s="200">
        <v>59</v>
      </c>
      <c r="B60" s="201" t="s">
        <v>659</v>
      </c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T60">
        <f t="shared" si="0"/>
        <v>0</v>
      </c>
    </row>
    <row r="61" spans="1:20" x14ac:dyDescent="0.25">
      <c r="A61" s="200">
        <v>60</v>
      </c>
      <c r="B61" s="201" t="s">
        <v>660</v>
      </c>
      <c r="C61" s="201"/>
      <c r="D61" s="201"/>
      <c r="E61" s="201"/>
      <c r="F61" s="201"/>
      <c r="G61" s="201"/>
      <c r="H61" s="201"/>
      <c r="I61" s="201"/>
      <c r="J61" s="201"/>
      <c r="K61" s="201"/>
      <c r="L61" s="201"/>
      <c r="M61" s="201"/>
      <c r="N61" s="201"/>
      <c r="O61" s="201"/>
      <c r="P61" s="201"/>
      <c r="Q61" s="201"/>
      <c r="T61">
        <f t="shared" si="0"/>
        <v>0</v>
      </c>
    </row>
    <row r="62" spans="1:20" x14ac:dyDescent="0.25">
      <c r="A62" s="200">
        <v>61</v>
      </c>
      <c r="B62" s="201" t="s">
        <v>661</v>
      </c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T62">
        <f t="shared" si="0"/>
        <v>0</v>
      </c>
    </row>
    <row r="63" spans="1:20" x14ac:dyDescent="0.25">
      <c r="A63" s="200">
        <v>62</v>
      </c>
      <c r="B63" s="201" t="s">
        <v>662</v>
      </c>
      <c r="C63" s="201"/>
      <c r="D63" s="201"/>
      <c r="E63" s="201"/>
      <c r="F63" s="201"/>
      <c r="G63" s="201"/>
      <c r="H63" s="201"/>
      <c r="I63" s="201"/>
      <c r="J63" s="201"/>
      <c r="K63" s="201"/>
      <c r="L63" s="201"/>
      <c r="M63" s="201"/>
      <c r="N63" s="201"/>
      <c r="O63" s="201"/>
      <c r="P63" s="201"/>
      <c r="Q63" s="201"/>
      <c r="T63">
        <f t="shared" si="0"/>
        <v>0</v>
      </c>
    </row>
    <row r="64" spans="1:20" x14ac:dyDescent="0.25">
      <c r="A64" s="200">
        <v>63</v>
      </c>
      <c r="B64" s="201" t="s">
        <v>668</v>
      </c>
      <c r="C64" s="201"/>
      <c r="D64" s="201"/>
      <c r="E64" s="201"/>
      <c r="F64" s="201"/>
      <c r="G64" s="201"/>
      <c r="H64" s="201"/>
      <c r="I64" s="201"/>
      <c r="J64" s="201"/>
      <c r="K64" s="201"/>
      <c r="L64" s="201"/>
      <c r="M64" s="201"/>
      <c r="N64" s="201"/>
      <c r="O64" s="201"/>
      <c r="P64" s="201"/>
      <c r="Q64" s="201"/>
      <c r="T64">
        <f t="shared" si="0"/>
        <v>0</v>
      </c>
    </row>
    <row r="65" spans="1:20" x14ac:dyDescent="0.25">
      <c r="A65" s="199"/>
      <c r="B65" s="199"/>
      <c r="C65" s="199"/>
      <c r="D65" s="199"/>
      <c r="E65" s="199"/>
      <c r="F65" s="199"/>
      <c r="G65" s="199"/>
      <c r="H65" s="199"/>
      <c r="I65" s="199"/>
      <c r="J65" s="199"/>
      <c r="K65" s="199"/>
      <c r="L65" s="199"/>
      <c r="M65" s="199"/>
      <c r="N65" s="199"/>
      <c r="O65" s="199"/>
      <c r="P65" s="199"/>
      <c r="Q65" s="199"/>
      <c r="T65">
        <f t="shared" si="0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/>
  </sheetPr>
  <dimension ref="A1:T65"/>
  <sheetViews>
    <sheetView zoomScale="70" zoomScaleNormal="70" workbookViewId="0">
      <selection activeCell="T2" sqref="T2:T65"/>
    </sheetView>
  </sheetViews>
  <sheetFormatPr defaultRowHeight="15" x14ac:dyDescent="0.25"/>
  <sheetData>
    <row r="1" spans="1:20" x14ac:dyDescent="0.25">
      <c r="A1" s="213" t="s">
        <v>1</v>
      </c>
      <c r="B1" s="213" t="s">
        <v>6</v>
      </c>
      <c r="C1" s="213" t="s">
        <v>46</v>
      </c>
      <c r="D1" s="213" t="s">
        <v>47</v>
      </c>
      <c r="E1" s="213" t="s">
        <v>48</v>
      </c>
      <c r="F1" s="213" t="s">
        <v>49</v>
      </c>
      <c r="G1" s="213" t="s">
        <v>50</v>
      </c>
      <c r="H1" s="213" t="s">
        <v>51</v>
      </c>
      <c r="I1" s="213" t="s">
        <v>52</v>
      </c>
      <c r="J1" s="213" t="s">
        <v>53</v>
      </c>
      <c r="K1" s="213" t="s">
        <v>54</v>
      </c>
      <c r="L1" s="213" t="s">
        <v>55</v>
      </c>
      <c r="M1" s="213" t="s">
        <v>56</v>
      </c>
      <c r="N1" s="213" t="s">
        <v>57</v>
      </c>
      <c r="O1" s="213" t="s">
        <v>58</v>
      </c>
      <c r="P1" s="213" t="s">
        <v>59</v>
      </c>
      <c r="Q1" s="213" t="s">
        <v>667</v>
      </c>
    </row>
    <row r="2" spans="1:20" x14ac:dyDescent="0.25">
      <c r="A2" s="214">
        <v>1</v>
      </c>
      <c r="B2" s="215" t="s">
        <v>10</v>
      </c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T2">
        <f t="shared" ref="T2:T17" si="0">C2+D2+E2+F2+G2+H2+I2+J2+K2+L2+M2+N2+O2+P2+Q2</f>
        <v>0</v>
      </c>
    </row>
    <row r="3" spans="1:20" x14ac:dyDescent="0.25">
      <c r="A3" s="214">
        <v>2</v>
      </c>
      <c r="B3" s="215" t="s">
        <v>11</v>
      </c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5"/>
      <c r="P3" s="215"/>
      <c r="Q3" s="215"/>
      <c r="T3">
        <f t="shared" si="0"/>
        <v>0</v>
      </c>
    </row>
    <row r="4" spans="1:20" x14ac:dyDescent="0.25">
      <c r="A4" s="214">
        <v>3</v>
      </c>
      <c r="B4" s="215" t="s">
        <v>12</v>
      </c>
      <c r="C4" s="215"/>
      <c r="D4" s="215"/>
      <c r="E4" s="215"/>
      <c r="F4" s="215"/>
      <c r="G4" s="215"/>
      <c r="H4" s="215"/>
      <c r="I4" s="215"/>
      <c r="J4" s="215"/>
      <c r="K4" s="215"/>
      <c r="L4" s="215"/>
      <c r="M4" s="215"/>
      <c r="N4" s="215"/>
      <c r="O4" s="215"/>
      <c r="P4" s="215"/>
      <c r="Q4" s="215"/>
      <c r="T4">
        <f t="shared" si="0"/>
        <v>0</v>
      </c>
    </row>
    <row r="5" spans="1:20" x14ac:dyDescent="0.25">
      <c r="A5" s="214">
        <v>4</v>
      </c>
      <c r="B5" s="215" t="s">
        <v>651</v>
      </c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T5">
        <f t="shared" si="0"/>
        <v>0</v>
      </c>
    </row>
    <row r="6" spans="1:20" x14ac:dyDescent="0.25">
      <c r="A6" s="214">
        <v>5</v>
      </c>
      <c r="B6" s="215" t="s">
        <v>14</v>
      </c>
      <c r="C6" s="215"/>
      <c r="D6" s="215"/>
      <c r="E6" s="215"/>
      <c r="F6" s="215"/>
      <c r="G6" s="215"/>
      <c r="H6" s="215"/>
      <c r="I6" s="215"/>
      <c r="J6" s="215"/>
      <c r="K6" s="215"/>
      <c r="L6" s="215"/>
      <c r="M6" s="215"/>
      <c r="N6" s="215"/>
      <c r="O6" s="215"/>
      <c r="P6" s="215"/>
      <c r="Q6" s="215"/>
      <c r="T6">
        <f t="shared" si="0"/>
        <v>0</v>
      </c>
    </row>
    <row r="7" spans="1:20" x14ac:dyDescent="0.25">
      <c r="A7" s="214">
        <v>6</v>
      </c>
      <c r="B7" s="215" t="s">
        <v>15</v>
      </c>
      <c r="C7" s="215"/>
      <c r="D7" s="215"/>
      <c r="E7" s="215"/>
      <c r="F7" s="215"/>
      <c r="G7" s="215"/>
      <c r="H7" s="215"/>
      <c r="I7" s="215"/>
      <c r="J7" s="215"/>
      <c r="K7" s="215"/>
      <c r="L7" s="215"/>
      <c r="M7" s="215"/>
      <c r="N7" s="215"/>
      <c r="O7" s="215"/>
      <c r="P7" s="215"/>
      <c r="Q7" s="215"/>
      <c r="T7">
        <f t="shared" si="0"/>
        <v>0</v>
      </c>
    </row>
    <row r="8" spans="1:20" x14ac:dyDescent="0.25">
      <c r="A8" s="214">
        <v>7</v>
      </c>
      <c r="B8" s="215" t="s">
        <v>16</v>
      </c>
      <c r="C8" s="215"/>
      <c r="D8" s="215"/>
      <c r="E8" s="215"/>
      <c r="F8" s="215"/>
      <c r="G8" s="215"/>
      <c r="H8" s="215"/>
      <c r="I8" s="215"/>
      <c r="J8" s="215"/>
      <c r="K8" s="215"/>
      <c r="L8" s="215"/>
      <c r="M8" s="215"/>
      <c r="N8" s="215"/>
      <c r="O8" s="215"/>
      <c r="P8" s="215"/>
      <c r="Q8" s="215"/>
      <c r="T8">
        <f t="shared" si="0"/>
        <v>0</v>
      </c>
    </row>
    <row r="9" spans="1:20" x14ac:dyDescent="0.25">
      <c r="A9" s="214">
        <v>8</v>
      </c>
      <c r="B9" s="215" t="s">
        <v>4</v>
      </c>
      <c r="C9" s="215"/>
      <c r="D9" s="215"/>
      <c r="E9" s="215"/>
      <c r="F9" s="215"/>
      <c r="G9" s="215"/>
      <c r="H9" s="215"/>
      <c r="I9" s="215"/>
      <c r="J9" s="215"/>
      <c r="K9" s="215"/>
      <c r="L9" s="215"/>
      <c r="M9" s="215"/>
      <c r="N9" s="215"/>
      <c r="O9" s="215"/>
      <c r="P9" s="215"/>
      <c r="Q9" s="215"/>
      <c r="T9">
        <f t="shared" si="0"/>
        <v>0</v>
      </c>
    </row>
    <row r="10" spans="1:20" x14ac:dyDescent="0.25">
      <c r="A10" s="214">
        <v>9</v>
      </c>
      <c r="B10" s="215" t="s">
        <v>5</v>
      </c>
      <c r="C10" s="215"/>
      <c r="D10" s="215"/>
      <c r="E10" s="215"/>
      <c r="F10" s="215"/>
      <c r="G10" s="215"/>
      <c r="H10" s="215"/>
      <c r="I10" s="215"/>
      <c r="J10" s="215"/>
      <c r="K10" s="215"/>
      <c r="L10" s="215"/>
      <c r="M10" s="215"/>
      <c r="N10" s="215"/>
      <c r="O10" s="215"/>
      <c r="P10" s="215"/>
      <c r="Q10" s="215"/>
      <c r="T10">
        <f t="shared" si="0"/>
        <v>0</v>
      </c>
    </row>
    <row r="11" spans="1:20" x14ac:dyDescent="0.25">
      <c r="A11" s="214">
        <v>10</v>
      </c>
      <c r="B11" s="215" t="s">
        <v>38</v>
      </c>
      <c r="C11" s="215"/>
      <c r="D11" s="215"/>
      <c r="E11" s="215"/>
      <c r="F11" s="215"/>
      <c r="G11" s="215"/>
      <c r="H11" s="215"/>
      <c r="I11" s="215" t="s">
        <v>26</v>
      </c>
      <c r="J11" s="215" t="s">
        <v>26</v>
      </c>
      <c r="K11" s="215" t="s">
        <v>26</v>
      </c>
      <c r="L11" s="215" t="s">
        <v>26</v>
      </c>
      <c r="M11" s="215" t="s">
        <v>26</v>
      </c>
      <c r="N11" s="215" t="s">
        <v>84</v>
      </c>
      <c r="O11" s="215"/>
      <c r="P11" s="215" t="s">
        <v>26</v>
      </c>
      <c r="Q11" s="215" t="s">
        <v>26</v>
      </c>
      <c r="T11">
        <f t="shared" si="0"/>
        <v>83</v>
      </c>
    </row>
    <row r="12" spans="1:20" x14ac:dyDescent="0.25">
      <c r="A12" s="214">
        <v>11</v>
      </c>
      <c r="B12" s="215" t="s">
        <v>43</v>
      </c>
      <c r="C12" s="215"/>
      <c r="D12" s="215"/>
      <c r="E12" s="215"/>
      <c r="F12" s="215"/>
      <c r="G12" s="215"/>
      <c r="H12" s="215"/>
      <c r="I12" s="215"/>
      <c r="J12" s="215"/>
      <c r="K12" s="215"/>
      <c r="L12" s="215"/>
      <c r="M12" s="215"/>
      <c r="N12" s="215"/>
      <c r="O12" s="215"/>
      <c r="P12" s="215"/>
      <c r="Q12" s="215"/>
      <c r="T12">
        <f t="shared" si="0"/>
        <v>0</v>
      </c>
    </row>
    <row r="13" spans="1:20" x14ac:dyDescent="0.25">
      <c r="A13" s="214">
        <v>12</v>
      </c>
      <c r="B13" s="215" t="s">
        <v>639</v>
      </c>
      <c r="C13" s="215"/>
      <c r="D13" s="215"/>
      <c r="E13" s="215"/>
      <c r="F13" s="215"/>
      <c r="G13" s="215"/>
      <c r="H13" s="215"/>
      <c r="I13" s="215"/>
      <c r="J13" s="215"/>
      <c r="K13" s="215"/>
      <c r="L13" s="215"/>
      <c r="M13" s="215"/>
      <c r="N13" s="215"/>
      <c r="O13" s="215"/>
      <c r="P13" s="215"/>
      <c r="Q13" s="215"/>
      <c r="T13">
        <f t="shared" si="0"/>
        <v>0</v>
      </c>
    </row>
    <row r="14" spans="1:20" x14ac:dyDescent="0.25">
      <c r="A14" s="214">
        <v>13</v>
      </c>
      <c r="B14" s="215" t="s">
        <v>87</v>
      </c>
      <c r="C14" s="215"/>
      <c r="D14" s="215"/>
      <c r="E14" s="215"/>
      <c r="F14" s="215"/>
      <c r="G14" s="215"/>
      <c r="H14" s="215"/>
      <c r="I14" s="215"/>
      <c r="J14" s="215"/>
      <c r="K14" s="215"/>
      <c r="L14" s="215"/>
      <c r="M14" s="215"/>
      <c r="N14" s="215"/>
      <c r="O14" s="215"/>
      <c r="P14" s="215"/>
      <c r="Q14" s="215"/>
      <c r="T14">
        <f t="shared" si="0"/>
        <v>0</v>
      </c>
    </row>
    <row r="15" spans="1:20" x14ac:dyDescent="0.25">
      <c r="A15" s="214">
        <v>14</v>
      </c>
      <c r="B15" s="215" t="s">
        <v>95</v>
      </c>
      <c r="C15" s="215"/>
      <c r="D15" s="215"/>
      <c r="E15" s="215"/>
      <c r="F15" s="215"/>
      <c r="G15" s="215"/>
      <c r="H15" s="215"/>
      <c r="I15" s="215"/>
      <c r="J15" s="215"/>
      <c r="K15" s="215"/>
      <c r="L15" s="215"/>
      <c r="M15" s="215"/>
      <c r="N15" s="215"/>
      <c r="O15" s="215"/>
      <c r="P15" s="215"/>
      <c r="Q15" s="215"/>
      <c r="T15">
        <f t="shared" si="0"/>
        <v>0</v>
      </c>
    </row>
    <row r="16" spans="1:20" x14ac:dyDescent="0.25">
      <c r="A16" s="214">
        <v>15</v>
      </c>
      <c r="B16" s="215" t="s">
        <v>96</v>
      </c>
      <c r="C16" s="215"/>
      <c r="D16" s="215"/>
      <c r="E16" s="215"/>
      <c r="F16" s="215"/>
      <c r="G16" s="215"/>
      <c r="H16" s="215"/>
      <c r="I16" s="215"/>
      <c r="J16" s="215"/>
      <c r="K16" s="215" t="s">
        <v>26</v>
      </c>
      <c r="L16" s="215" t="s">
        <v>26</v>
      </c>
      <c r="M16" s="215"/>
      <c r="N16" s="215"/>
      <c r="O16" s="215"/>
      <c r="P16" s="215"/>
      <c r="Q16" s="215"/>
      <c r="T16">
        <f t="shared" si="0"/>
        <v>22</v>
      </c>
    </row>
    <row r="17" spans="1:20" x14ac:dyDescent="0.25">
      <c r="A17" s="214">
        <v>16</v>
      </c>
      <c r="B17" s="215" t="s">
        <v>97</v>
      </c>
      <c r="C17" s="215"/>
      <c r="D17" s="215"/>
      <c r="E17" s="215"/>
      <c r="F17" s="215"/>
      <c r="G17" s="215"/>
      <c r="H17" s="215"/>
      <c r="I17" s="215"/>
      <c r="J17" s="215"/>
      <c r="K17" s="215" t="s">
        <v>26</v>
      </c>
      <c r="L17" s="215" t="s">
        <v>25</v>
      </c>
      <c r="M17" s="215"/>
      <c r="N17" s="215"/>
      <c r="O17" s="215"/>
      <c r="P17" s="215"/>
      <c r="Q17" s="215"/>
      <c r="T17">
        <f t="shared" si="0"/>
        <v>20</v>
      </c>
    </row>
    <row r="18" spans="1:20" x14ac:dyDescent="0.25">
      <c r="A18" s="214">
        <v>17</v>
      </c>
      <c r="B18" s="215" t="s">
        <v>98</v>
      </c>
      <c r="C18" s="215"/>
      <c r="D18" s="215"/>
      <c r="E18" s="215"/>
      <c r="F18" s="215"/>
      <c r="G18" s="215"/>
      <c r="H18" s="215"/>
      <c r="I18" s="215" t="s">
        <v>26</v>
      </c>
      <c r="J18" s="215" t="s">
        <v>26</v>
      </c>
      <c r="K18" s="215" t="s">
        <v>26</v>
      </c>
      <c r="L18" s="215" t="s">
        <v>26</v>
      </c>
      <c r="M18" s="215" t="s">
        <v>26</v>
      </c>
      <c r="N18" s="215"/>
      <c r="O18" s="215"/>
      <c r="P18" s="215" t="s">
        <v>26</v>
      </c>
      <c r="Q18" s="215" t="s">
        <v>26</v>
      </c>
      <c r="T18">
        <f t="shared" ref="T18:T65" si="1">C18+D18+E18+F18+G18+H18+I18+J18+K18+L18+M18+N18+O18+P18+Q18</f>
        <v>77</v>
      </c>
    </row>
    <row r="19" spans="1:20" x14ac:dyDescent="0.25">
      <c r="A19" s="214">
        <v>18</v>
      </c>
      <c r="B19" s="215" t="s">
        <v>616</v>
      </c>
      <c r="C19" s="215"/>
      <c r="D19" s="215"/>
      <c r="E19" s="215"/>
      <c r="F19" s="215"/>
      <c r="G19" s="215"/>
      <c r="H19" s="215"/>
      <c r="I19" s="215"/>
      <c r="J19" s="215"/>
      <c r="K19" s="215"/>
      <c r="L19" s="215"/>
      <c r="M19" s="215"/>
      <c r="N19" s="215"/>
      <c r="O19" s="215"/>
      <c r="P19" s="215"/>
      <c r="Q19" s="215"/>
      <c r="T19">
        <f t="shared" si="1"/>
        <v>0</v>
      </c>
    </row>
    <row r="20" spans="1:20" x14ac:dyDescent="0.25">
      <c r="A20" s="214">
        <v>19</v>
      </c>
      <c r="B20" s="215" t="s">
        <v>617</v>
      </c>
      <c r="C20" s="215"/>
      <c r="D20" s="215"/>
      <c r="E20" s="215"/>
      <c r="F20" s="215"/>
      <c r="G20" s="215"/>
      <c r="H20" s="215"/>
      <c r="I20" s="215"/>
      <c r="J20" s="215"/>
      <c r="K20" s="215"/>
      <c r="L20" s="215"/>
      <c r="M20" s="215"/>
      <c r="N20" s="215"/>
      <c r="O20" s="215"/>
      <c r="P20" s="215"/>
      <c r="Q20" s="215"/>
      <c r="T20">
        <f t="shared" si="1"/>
        <v>0</v>
      </c>
    </row>
    <row r="21" spans="1:20" x14ac:dyDescent="0.25">
      <c r="A21" s="214">
        <v>20</v>
      </c>
      <c r="B21" s="215" t="s">
        <v>626</v>
      </c>
      <c r="C21" s="215"/>
      <c r="D21" s="215"/>
      <c r="E21" s="215"/>
      <c r="F21" s="215"/>
      <c r="G21" s="215"/>
      <c r="H21" s="215"/>
      <c r="I21" s="215"/>
      <c r="J21" s="215"/>
      <c r="K21" s="215"/>
      <c r="L21" s="215"/>
      <c r="M21" s="215"/>
      <c r="N21" s="215"/>
      <c r="O21" s="215"/>
      <c r="P21" s="215"/>
      <c r="Q21" s="215"/>
      <c r="T21">
        <f t="shared" si="1"/>
        <v>0</v>
      </c>
    </row>
    <row r="22" spans="1:20" x14ac:dyDescent="0.25">
      <c r="A22" s="214">
        <v>21</v>
      </c>
      <c r="B22" s="215" t="s">
        <v>618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5"/>
      <c r="O22" s="215"/>
      <c r="P22" s="215"/>
      <c r="Q22" s="215"/>
      <c r="T22">
        <f t="shared" si="1"/>
        <v>0</v>
      </c>
    </row>
    <row r="23" spans="1:20" x14ac:dyDescent="0.25">
      <c r="A23" s="214">
        <v>22</v>
      </c>
      <c r="B23" s="215" t="s">
        <v>619</v>
      </c>
      <c r="C23" s="215"/>
      <c r="D23" s="215"/>
      <c r="E23" s="215"/>
      <c r="F23" s="215"/>
      <c r="G23" s="215"/>
      <c r="H23" s="215"/>
      <c r="I23" s="215"/>
      <c r="J23" s="215"/>
      <c r="K23" s="215"/>
      <c r="L23" s="215"/>
      <c r="M23" s="215"/>
      <c r="N23" s="215"/>
      <c r="O23" s="215"/>
      <c r="P23" s="215"/>
      <c r="Q23" s="215"/>
      <c r="T23">
        <f t="shared" si="1"/>
        <v>0</v>
      </c>
    </row>
    <row r="24" spans="1:20" x14ac:dyDescent="0.25">
      <c r="A24" s="214">
        <v>23</v>
      </c>
      <c r="B24" s="215" t="s">
        <v>620</v>
      </c>
      <c r="C24" s="215"/>
      <c r="D24" s="215"/>
      <c r="E24" s="215"/>
      <c r="F24" s="215"/>
      <c r="G24" s="215"/>
      <c r="H24" s="215"/>
      <c r="I24" s="215"/>
      <c r="J24" s="215"/>
      <c r="K24" s="215"/>
      <c r="L24" s="215"/>
      <c r="M24" s="215"/>
      <c r="N24" s="215"/>
      <c r="O24" s="215"/>
      <c r="P24" s="215"/>
      <c r="Q24" s="215"/>
      <c r="T24">
        <f t="shared" si="1"/>
        <v>0</v>
      </c>
    </row>
    <row r="25" spans="1:20" x14ac:dyDescent="0.25">
      <c r="A25" s="214">
        <v>24</v>
      </c>
      <c r="B25" s="215" t="s">
        <v>650</v>
      </c>
      <c r="C25" s="215"/>
      <c r="D25" s="215"/>
      <c r="E25" s="215"/>
      <c r="F25" s="215"/>
      <c r="G25" s="215"/>
      <c r="H25" s="215"/>
      <c r="I25" s="215"/>
      <c r="J25" s="215"/>
      <c r="K25" s="215"/>
      <c r="L25" s="215"/>
      <c r="M25" s="215"/>
      <c r="N25" s="215"/>
      <c r="O25" s="215"/>
      <c r="P25" s="215"/>
      <c r="Q25" s="215"/>
      <c r="T25">
        <f t="shared" si="1"/>
        <v>0</v>
      </c>
    </row>
    <row r="26" spans="1:20" x14ac:dyDescent="0.25">
      <c r="A26" s="214">
        <v>25</v>
      </c>
      <c r="B26" s="215" t="s">
        <v>621</v>
      </c>
      <c r="C26" s="215"/>
      <c r="D26" s="215"/>
      <c r="E26" s="215"/>
      <c r="F26" s="215"/>
      <c r="G26" s="215"/>
      <c r="H26" s="215"/>
      <c r="I26" s="215"/>
      <c r="J26" s="215"/>
      <c r="K26" s="215"/>
      <c r="L26" s="215"/>
      <c r="M26" s="215"/>
      <c r="N26" s="215"/>
      <c r="O26" s="215"/>
      <c r="P26" s="215"/>
      <c r="Q26" s="215"/>
      <c r="T26">
        <f t="shared" si="1"/>
        <v>0</v>
      </c>
    </row>
    <row r="27" spans="1:20" x14ac:dyDescent="0.25">
      <c r="A27" s="214">
        <v>26</v>
      </c>
      <c r="B27" s="215" t="s">
        <v>622</v>
      </c>
      <c r="C27" s="215"/>
      <c r="D27" s="215"/>
      <c r="E27" s="215"/>
      <c r="F27" s="215"/>
      <c r="G27" s="215"/>
      <c r="H27" s="215"/>
      <c r="I27" s="215"/>
      <c r="J27" s="215"/>
      <c r="K27" s="215"/>
      <c r="L27" s="215"/>
      <c r="M27" s="215"/>
      <c r="N27" s="215"/>
      <c r="O27" s="215"/>
      <c r="P27" s="215"/>
      <c r="Q27" s="215"/>
      <c r="T27">
        <f t="shared" si="1"/>
        <v>0</v>
      </c>
    </row>
    <row r="28" spans="1:20" x14ac:dyDescent="0.25">
      <c r="A28" s="214">
        <v>27</v>
      </c>
      <c r="B28" s="215" t="s">
        <v>623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5"/>
      <c r="M28" s="215"/>
      <c r="N28" s="215"/>
      <c r="O28" s="215"/>
      <c r="P28" s="215"/>
      <c r="Q28" s="215"/>
      <c r="T28">
        <f t="shared" si="1"/>
        <v>0</v>
      </c>
    </row>
    <row r="29" spans="1:20" x14ac:dyDescent="0.25">
      <c r="A29" s="214">
        <v>28</v>
      </c>
      <c r="B29" s="215" t="s">
        <v>624</v>
      </c>
      <c r="C29" s="215"/>
      <c r="D29" s="215"/>
      <c r="E29" s="215"/>
      <c r="F29" s="215"/>
      <c r="G29" s="215"/>
      <c r="H29" s="215"/>
      <c r="I29" s="215"/>
      <c r="J29" s="215"/>
      <c r="K29" s="215"/>
      <c r="L29" s="215"/>
      <c r="M29" s="215"/>
      <c r="N29" s="215"/>
      <c r="O29" s="215"/>
      <c r="P29" s="215"/>
      <c r="Q29" s="215"/>
      <c r="T29">
        <f t="shared" si="1"/>
        <v>0</v>
      </c>
    </row>
    <row r="30" spans="1:20" x14ac:dyDescent="0.25">
      <c r="A30" s="214">
        <v>29</v>
      </c>
      <c r="B30" s="215" t="s">
        <v>627</v>
      </c>
      <c r="C30" s="215"/>
      <c r="D30" s="215"/>
      <c r="E30" s="215"/>
      <c r="F30" s="215"/>
      <c r="G30" s="215"/>
      <c r="H30" s="215"/>
      <c r="I30" s="215"/>
      <c r="J30" s="215"/>
      <c r="K30" s="215"/>
      <c r="L30" s="215"/>
      <c r="M30" s="215"/>
      <c r="N30" s="215"/>
      <c r="O30" s="215"/>
      <c r="P30" s="215"/>
      <c r="Q30" s="215"/>
      <c r="T30">
        <f t="shared" si="1"/>
        <v>0</v>
      </c>
    </row>
    <row r="31" spans="1:20" x14ac:dyDescent="0.25">
      <c r="A31" s="214">
        <v>30</v>
      </c>
      <c r="B31" s="215" t="s">
        <v>625</v>
      </c>
      <c r="C31" s="215"/>
      <c r="D31" s="215"/>
      <c r="E31" s="215"/>
      <c r="F31" s="215"/>
      <c r="G31" s="215"/>
      <c r="H31" s="215"/>
      <c r="I31" s="215"/>
      <c r="J31" s="215"/>
      <c r="K31" s="215"/>
      <c r="L31" s="215"/>
      <c r="M31" s="215"/>
      <c r="N31" s="215"/>
      <c r="O31" s="215"/>
      <c r="P31" s="215"/>
      <c r="Q31" s="215"/>
      <c r="T31">
        <f t="shared" si="1"/>
        <v>0</v>
      </c>
    </row>
    <row r="32" spans="1:20" x14ac:dyDescent="0.25">
      <c r="A32" s="214">
        <v>31</v>
      </c>
      <c r="B32" s="215" t="s">
        <v>34</v>
      </c>
      <c r="C32" s="215"/>
      <c r="D32" s="215"/>
      <c r="E32" s="215"/>
      <c r="F32" s="215"/>
      <c r="G32" s="215"/>
      <c r="H32" s="215"/>
      <c r="I32" s="215" t="s">
        <v>26</v>
      </c>
      <c r="J32" s="215" t="s">
        <v>26</v>
      </c>
      <c r="K32" s="215" t="s">
        <v>26</v>
      </c>
      <c r="L32" s="215" t="s">
        <v>26</v>
      </c>
      <c r="M32" s="215" t="s">
        <v>26</v>
      </c>
      <c r="N32" s="215" t="s">
        <v>84</v>
      </c>
      <c r="O32" s="215"/>
      <c r="P32" s="215" t="s">
        <v>25</v>
      </c>
      <c r="Q32" s="215" t="s">
        <v>24</v>
      </c>
      <c r="T32">
        <f t="shared" si="1"/>
        <v>78</v>
      </c>
    </row>
    <row r="33" spans="1:20" x14ac:dyDescent="0.25">
      <c r="A33" s="214">
        <v>32</v>
      </c>
      <c r="B33" s="215" t="s">
        <v>45</v>
      </c>
      <c r="C33" s="215"/>
      <c r="D33" s="215"/>
      <c r="E33" s="215"/>
      <c r="F33" s="215"/>
      <c r="G33" s="215"/>
      <c r="H33" s="215"/>
      <c r="I33" s="215"/>
      <c r="J33" s="215"/>
      <c r="K33" s="215"/>
      <c r="L33" s="215"/>
      <c r="M33" s="215"/>
      <c r="N33" s="215"/>
      <c r="O33" s="215"/>
      <c r="P33" s="215"/>
      <c r="Q33" s="215"/>
      <c r="T33">
        <f t="shared" si="1"/>
        <v>0</v>
      </c>
    </row>
    <row r="34" spans="1:20" x14ac:dyDescent="0.25">
      <c r="A34" s="214">
        <v>33</v>
      </c>
      <c r="B34" s="215" t="s">
        <v>630</v>
      </c>
      <c r="C34" s="215"/>
      <c r="D34" s="215"/>
      <c r="E34" s="215"/>
      <c r="F34" s="215"/>
      <c r="G34" s="215"/>
      <c r="H34" s="215"/>
      <c r="I34" s="215"/>
      <c r="J34" s="215"/>
      <c r="K34" s="215"/>
      <c r="L34" s="215"/>
      <c r="M34" s="215"/>
      <c r="N34" s="215"/>
      <c r="O34" s="215"/>
      <c r="P34" s="215"/>
      <c r="Q34" s="215"/>
      <c r="T34">
        <f t="shared" si="1"/>
        <v>0</v>
      </c>
    </row>
    <row r="35" spans="1:20" x14ac:dyDescent="0.25">
      <c r="A35" s="214">
        <v>34</v>
      </c>
      <c r="B35" s="215" t="s">
        <v>628</v>
      </c>
      <c r="C35" s="215"/>
      <c r="D35" s="215"/>
      <c r="E35" s="215"/>
      <c r="F35" s="215"/>
      <c r="G35" s="215"/>
      <c r="H35" s="215"/>
      <c r="I35" s="215"/>
      <c r="J35" s="215"/>
      <c r="K35" s="215"/>
      <c r="L35" s="215"/>
      <c r="M35" s="215"/>
      <c r="N35" s="215"/>
      <c r="O35" s="215"/>
      <c r="P35" s="215"/>
      <c r="Q35" s="215"/>
      <c r="T35">
        <f t="shared" si="1"/>
        <v>0</v>
      </c>
    </row>
    <row r="36" spans="1:20" x14ac:dyDescent="0.25">
      <c r="A36" s="214">
        <v>35</v>
      </c>
      <c r="B36" s="215" t="s">
        <v>629</v>
      </c>
      <c r="C36" s="215"/>
      <c r="D36" s="215"/>
      <c r="E36" s="215"/>
      <c r="F36" s="215"/>
      <c r="G36" s="215"/>
      <c r="H36" s="215"/>
      <c r="I36" s="215"/>
      <c r="J36" s="215"/>
      <c r="K36" s="215"/>
      <c r="L36" s="215"/>
      <c r="M36" s="215"/>
      <c r="N36" s="215"/>
      <c r="O36" s="215"/>
      <c r="P36" s="215"/>
      <c r="Q36" s="215"/>
      <c r="T36">
        <f t="shared" si="1"/>
        <v>0</v>
      </c>
    </row>
    <row r="37" spans="1:20" x14ac:dyDescent="0.25">
      <c r="A37" s="214">
        <v>36</v>
      </c>
      <c r="B37" s="215" t="s">
        <v>631</v>
      </c>
      <c r="C37" s="215"/>
      <c r="D37" s="215"/>
      <c r="E37" s="215"/>
      <c r="F37" s="215"/>
      <c r="G37" s="215"/>
      <c r="H37" s="215"/>
      <c r="I37" s="215"/>
      <c r="J37" s="215"/>
      <c r="K37" s="215"/>
      <c r="L37" s="215"/>
      <c r="M37" s="215"/>
      <c r="N37" s="215"/>
      <c r="O37" s="215"/>
      <c r="P37" s="215"/>
      <c r="Q37" s="215"/>
      <c r="T37">
        <f t="shared" si="1"/>
        <v>0</v>
      </c>
    </row>
    <row r="38" spans="1:20" x14ac:dyDescent="0.25">
      <c r="A38" s="214">
        <v>37</v>
      </c>
      <c r="B38" s="215" t="s">
        <v>632</v>
      </c>
      <c r="C38" s="215"/>
      <c r="D38" s="215"/>
      <c r="E38" s="215"/>
      <c r="F38" s="215"/>
      <c r="G38" s="215"/>
      <c r="H38" s="215"/>
      <c r="I38" s="215"/>
      <c r="J38" s="215"/>
      <c r="K38" s="215"/>
      <c r="L38" s="215"/>
      <c r="M38" s="215"/>
      <c r="N38" s="215"/>
      <c r="O38" s="215"/>
      <c r="P38" s="215"/>
      <c r="Q38" s="215"/>
      <c r="T38">
        <f t="shared" si="1"/>
        <v>0</v>
      </c>
    </row>
    <row r="39" spans="1:20" x14ac:dyDescent="0.25">
      <c r="A39" s="214">
        <v>38</v>
      </c>
      <c r="B39" s="215" t="s">
        <v>633</v>
      </c>
      <c r="C39" s="215"/>
      <c r="D39" s="215"/>
      <c r="E39" s="215"/>
      <c r="F39" s="215"/>
      <c r="G39" s="215"/>
      <c r="H39" s="215"/>
      <c r="I39" s="215"/>
      <c r="J39" s="215"/>
      <c r="K39" s="215"/>
      <c r="L39" s="215"/>
      <c r="M39" s="215"/>
      <c r="N39" s="215"/>
      <c r="O39" s="215"/>
      <c r="P39" s="215"/>
      <c r="Q39" s="215"/>
      <c r="T39">
        <f t="shared" si="1"/>
        <v>0</v>
      </c>
    </row>
    <row r="40" spans="1:20" x14ac:dyDescent="0.25">
      <c r="A40" s="214">
        <v>39</v>
      </c>
      <c r="B40" s="215" t="s">
        <v>634</v>
      </c>
      <c r="C40" s="215"/>
      <c r="D40" s="215"/>
      <c r="E40" s="215"/>
      <c r="F40" s="215"/>
      <c r="G40" s="215"/>
      <c r="H40" s="215"/>
      <c r="I40" s="215"/>
      <c r="J40" s="215"/>
      <c r="K40" s="215"/>
      <c r="L40" s="215"/>
      <c r="M40" s="215"/>
      <c r="N40" s="215"/>
      <c r="O40" s="215"/>
      <c r="P40" s="215"/>
      <c r="Q40" s="215"/>
      <c r="T40">
        <f t="shared" si="1"/>
        <v>0</v>
      </c>
    </row>
    <row r="41" spans="1:20" x14ac:dyDescent="0.25">
      <c r="A41" s="214">
        <v>40</v>
      </c>
      <c r="B41" s="215" t="s">
        <v>636</v>
      </c>
      <c r="C41" s="215"/>
      <c r="D41" s="215"/>
      <c r="E41" s="215"/>
      <c r="F41" s="215"/>
      <c r="G41" s="215"/>
      <c r="H41" s="215"/>
      <c r="I41" s="215"/>
      <c r="J41" s="215"/>
      <c r="K41" s="215"/>
      <c r="L41" s="215"/>
      <c r="M41" s="215"/>
      <c r="N41" s="215"/>
      <c r="O41" s="215"/>
      <c r="P41" s="215"/>
      <c r="Q41" s="215"/>
      <c r="T41">
        <f t="shared" si="1"/>
        <v>0</v>
      </c>
    </row>
    <row r="42" spans="1:20" x14ac:dyDescent="0.25">
      <c r="A42" s="214">
        <v>41</v>
      </c>
      <c r="B42" s="215" t="s">
        <v>637</v>
      </c>
      <c r="C42" s="215"/>
      <c r="D42" s="215"/>
      <c r="E42" s="215"/>
      <c r="F42" s="215"/>
      <c r="G42" s="215"/>
      <c r="H42" s="215"/>
      <c r="I42" s="215"/>
      <c r="J42" s="215"/>
      <c r="K42" s="215"/>
      <c r="L42" s="215"/>
      <c r="M42" s="215"/>
      <c r="N42" s="215"/>
      <c r="O42" s="215"/>
      <c r="P42" s="215"/>
      <c r="Q42" s="215"/>
      <c r="T42">
        <f t="shared" si="1"/>
        <v>0</v>
      </c>
    </row>
    <row r="43" spans="1:20" x14ac:dyDescent="0.25">
      <c r="A43" s="214">
        <v>42</v>
      </c>
      <c r="B43" s="215" t="s">
        <v>640</v>
      </c>
      <c r="C43" s="215"/>
      <c r="D43" s="215"/>
      <c r="E43" s="215"/>
      <c r="F43" s="215"/>
      <c r="G43" s="215"/>
      <c r="H43" s="215"/>
      <c r="I43" s="215"/>
      <c r="J43" s="215"/>
      <c r="K43" s="215"/>
      <c r="L43" s="215"/>
      <c r="M43" s="215"/>
      <c r="N43" s="215"/>
      <c r="O43" s="215"/>
      <c r="P43" s="215"/>
      <c r="Q43" s="215"/>
      <c r="T43">
        <f t="shared" si="1"/>
        <v>0</v>
      </c>
    </row>
    <row r="44" spans="1:20" x14ac:dyDescent="0.25">
      <c r="A44" s="214">
        <v>43</v>
      </c>
      <c r="B44" s="215" t="s">
        <v>638</v>
      </c>
      <c r="C44" s="215"/>
      <c r="D44" s="215"/>
      <c r="E44" s="215"/>
      <c r="F44" s="215"/>
      <c r="G44" s="215"/>
      <c r="H44" s="215"/>
      <c r="I44" s="215"/>
      <c r="J44" s="215"/>
      <c r="K44" s="215"/>
      <c r="L44" s="215"/>
      <c r="M44" s="215"/>
      <c r="N44" s="215"/>
      <c r="O44" s="215"/>
      <c r="P44" s="215"/>
      <c r="Q44" s="215"/>
      <c r="T44">
        <f t="shared" si="1"/>
        <v>0</v>
      </c>
    </row>
    <row r="45" spans="1:20" x14ac:dyDescent="0.25">
      <c r="A45" s="214">
        <v>44</v>
      </c>
      <c r="B45" s="215" t="s">
        <v>635</v>
      </c>
      <c r="C45" s="215"/>
      <c r="D45" s="215"/>
      <c r="E45" s="215"/>
      <c r="F45" s="215"/>
      <c r="G45" s="215"/>
      <c r="H45" s="215"/>
      <c r="I45" s="215"/>
      <c r="J45" s="215"/>
      <c r="K45" s="215"/>
      <c r="L45" s="215"/>
      <c r="M45" s="215"/>
      <c r="N45" s="215"/>
      <c r="O45" s="215"/>
      <c r="P45" s="215"/>
      <c r="Q45" s="215"/>
      <c r="T45">
        <f t="shared" si="1"/>
        <v>0</v>
      </c>
    </row>
    <row r="46" spans="1:20" x14ac:dyDescent="0.25">
      <c r="A46" s="214">
        <v>45</v>
      </c>
      <c r="B46" s="215" t="s">
        <v>641</v>
      </c>
      <c r="C46" s="215"/>
      <c r="D46" s="215"/>
      <c r="E46" s="215"/>
      <c r="F46" s="215"/>
      <c r="G46" s="215"/>
      <c r="H46" s="215"/>
      <c r="I46" s="215"/>
      <c r="J46" s="215"/>
      <c r="K46" s="215"/>
      <c r="L46" s="215"/>
      <c r="M46" s="215"/>
      <c r="N46" s="215"/>
      <c r="O46" s="215"/>
      <c r="P46" s="215"/>
      <c r="Q46" s="215"/>
      <c r="T46">
        <f t="shared" si="1"/>
        <v>0</v>
      </c>
    </row>
    <row r="47" spans="1:20" x14ac:dyDescent="0.25">
      <c r="A47" s="214">
        <v>46</v>
      </c>
      <c r="B47" s="215" t="s">
        <v>649</v>
      </c>
      <c r="C47" s="215"/>
      <c r="D47" s="215"/>
      <c r="E47" s="215"/>
      <c r="F47" s="215"/>
      <c r="G47" s="215"/>
      <c r="H47" s="215"/>
      <c r="I47" s="215"/>
      <c r="J47" s="215"/>
      <c r="K47" s="215"/>
      <c r="L47" s="215"/>
      <c r="M47" s="215"/>
      <c r="N47" s="215"/>
      <c r="O47" s="215"/>
      <c r="P47" s="215"/>
      <c r="Q47" s="215"/>
      <c r="T47">
        <f t="shared" si="1"/>
        <v>0</v>
      </c>
    </row>
    <row r="48" spans="1:20" x14ac:dyDescent="0.25">
      <c r="A48" s="214">
        <v>47</v>
      </c>
      <c r="B48" s="215" t="s">
        <v>642</v>
      </c>
      <c r="C48" s="215"/>
      <c r="D48" s="215"/>
      <c r="E48" s="215"/>
      <c r="F48" s="215"/>
      <c r="G48" s="215"/>
      <c r="H48" s="215"/>
      <c r="I48" s="215"/>
      <c r="J48" s="215"/>
      <c r="K48" s="215"/>
      <c r="L48" s="215"/>
      <c r="M48" s="215"/>
      <c r="N48" s="215"/>
      <c r="O48" s="215"/>
      <c r="P48" s="215"/>
      <c r="Q48" s="215"/>
      <c r="T48">
        <f t="shared" si="1"/>
        <v>0</v>
      </c>
    </row>
    <row r="49" spans="1:20" x14ac:dyDescent="0.25">
      <c r="A49" s="214">
        <v>48</v>
      </c>
      <c r="B49" s="215" t="s">
        <v>643</v>
      </c>
      <c r="C49" s="215"/>
      <c r="D49" s="215"/>
      <c r="E49" s="215"/>
      <c r="F49" s="215"/>
      <c r="G49" s="215"/>
      <c r="H49" s="215"/>
      <c r="I49" s="215"/>
      <c r="J49" s="215"/>
      <c r="K49" s="215"/>
      <c r="L49" s="215"/>
      <c r="M49" s="215"/>
      <c r="N49" s="215"/>
      <c r="O49" s="215"/>
      <c r="P49" s="215"/>
      <c r="Q49" s="215"/>
      <c r="T49">
        <f t="shared" si="1"/>
        <v>0</v>
      </c>
    </row>
    <row r="50" spans="1:20" x14ac:dyDescent="0.25">
      <c r="A50" s="214">
        <v>49</v>
      </c>
      <c r="B50" s="215" t="s">
        <v>644</v>
      </c>
      <c r="C50" s="215"/>
      <c r="D50" s="215"/>
      <c r="E50" s="215"/>
      <c r="F50" s="215"/>
      <c r="G50" s="215"/>
      <c r="H50" s="215"/>
      <c r="I50" s="215"/>
      <c r="J50" s="215"/>
      <c r="K50" s="215"/>
      <c r="L50" s="215"/>
      <c r="M50" s="215"/>
      <c r="N50" s="215"/>
      <c r="O50" s="215"/>
      <c r="P50" s="215"/>
      <c r="Q50" s="215"/>
      <c r="T50">
        <f t="shared" si="1"/>
        <v>0</v>
      </c>
    </row>
    <row r="51" spans="1:20" x14ac:dyDescent="0.25">
      <c r="A51" s="214">
        <v>50</v>
      </c>
      <c r="B51" s="215" t="s">
        <v>646</v>
      </c>
      <c r="C51" s="215"/>
      <c r="D51" s="215"/>
      <c r="E51" s="215"/>
      <c r="F51" s="215"/>
      <c r="G51" s="215"/>
      <c r="H51" s="215"/>
      <c r="I51" s="215"/>
      <c r="J51" s="215"/>
      <c r="K51" s="215"/>
      <c r="L51" s="215"/>
      <c r="M51" s="215"/>
      <c r="N51" s="215"/>
      <c r="O51" s="215"/>
      <c r="P51" s="215"/>
      <c r="Q51" s="215"/>
      <c r="T51">
        <f t="shared" si="1"/>
        <v>0</v>
      </c>
    </row>
    <row r="52" spans="1:20" x14ac:dyDescent="0.25">
      <c r="A52" s="214">
        <v>51</v>
      </c>
      <c r="B52" s="215" t="s">
        <v>647</v>
      </c>
      <c r="C52" s="215"/>
      <c r="D52" s="215"/>
      <c r="E52" s="215"/>
      <c r="F52" s="215"/>
      <c r="G52" s="215"/>
      <c r="H52" s="215"/>
      <c r="I52" s="215"/>
      <c r="J52" s="215"/>
      <c r="K52" s="215"/>
      <c r="L52" s="215"/>
      <c r="M52" s="215"/>
      <c r="N52" s="215"/>
      <c r="O52" s="215"/>
      <c r="P52" s="215"/>
      <c r="Q52" s="215"/>
      <c r="T52">
        <f t="shared" si="1"/>
        <v>0</v>
      </c>
    </row>
    <row r="53" spans="1:20" x14ac:dyDescent="0.25">
      <c r="A53" s="214">
        <v>52</v>
      </c>
      <c r="B53" s="215" t="s">
        <v>652</v>
      </c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P53" s="215"/>
      <c r="Q53" s="215"/>
      <c r="T53">
        <f t="shared" si="1"/>
        <v>0</v>
      </c>
    </row>
    <row r="54" spans="1:20" x14ac:dyDescent="0.25">
      <c r="A54" s="214">
        <v>53</v>
      </c>
      <c r="B54" s="215" t="s">
        <v>653</v>
      </c>
      <c r="C54" s="215"/>
      <c r="D54" s="215"/>
      <c r="E54" s="215"/>
      <c r="F54" s="215"/>
      <c r="G54" s="215"/>
      <c r="H54" s="215"/>
      <c r="I54" s="215"/>
      <c r="J54" s="215"/>
      <c r="K54" s="215"/>
      <c r="L54" s="215"/>
      <c r="M54" s="215"/>
      <c r="N54" s="215"/>
      <c r="O54" s="215"/>
      <c r="P54" s="215"/>
      <c r="Q54" s="215"/>
      <c r="T54">
        <f t="shared" si="1"/>
        <v>0</v>
      </c>
    </row>
    <row r="55" spans="1:20" x14ac:dyDescent="0.25">
      <c r="A55" s="214">
        <v>54</v>
      </c>
      <c r="B55" s="215" t="s">
        <v>654</v>
      </c>
      <c r="C55" s="215"/>
      <c r="D55" s="215"/>
      <c r="E55" s="215"/>
      <c r="F55" s="215"/>
      <c r="G55" s="215"/>
      <c r="H55" s="215"/>
      <c r="I55" s="215" t="s">
        <v>26</v>
      </c>
      <c r="J55" s="215" t="s">
        <v>26</v>
      </c>
      <c r="K55" s="215" t="s">
        <v>26</v>
      </c>
      <c r="L55" s="215" t="s">
        <v>26</v>
      </c>
      <c r="M55" s="215" t="s">
        <v>26</v>
      </c>
      <c r="N55" s="215" t="s">
        <v>84</v>
      </c>
      <c r="O55" s="215"/>
      <c r="P55" s="215" t="s">
        <v>26</v>
      </c>
      <c r="Q55" s="215" t="s">
        <v>26</v>
      </c>
      <c r="T55">
        <f t="shared" si="1"/>
        <v>83</v>
      </c>
    </row>
    <row r="56" spans="1:20" x14ac:dyDescent="0.25">
      <c r="A56" s="214">
        <v>55</v>
      </c>
      <c r="B56" s="215" t="s">
        <v>655</v>
      </c>
      <c r="C56" s="215"/>
      <c r="D56" s="215"/>
      <c r="E56" s="215"/>
      <c r="F56" s="215"/>
      <c r="G56" s="215"/>
      <c r="H56" s="215"/>
      <c r="I56" s="215"/>
      <c r="J56" s="215"/>
      <c r="K56" s="215"/>
      <c r="L56" s="215"/>
      <c r="M56" s="215"/>
      <c r="N56" s="215"/>
      <c r="O56" s="215"/>
      <c r="P56" s="215"/>
      <c r="Q56" s="215"/>
      <c r="T56">
        <f t="shared" si="1"/>
        <v>0</v>
      </c>
    </row>
    <row r="57" spans="1:20" x14ac:dyDescent="0.25">
      <c r="A57" s="214">
        <v>56</v>
      </c>
      <c r="B57" s="215" t="s">
        <v>656</v>
      </c>
      <c r="C57" s="215"/>
      <c r="D57" s="215"/>
      <c r="E57" s="215"/>
      <c r="F57" s="215"/>
      <c r="G57" s="215"/>
      <c r="H57" s="215"/>
      <c r="I57" s="215"/>
      <c r="J57" s="215"/>
      <c r="K57" s="215"/>
      <c r="L57" s="215"/>
      <c r="M57" s="215"/>
      <c r="N57" s="215"/>
      <c r="O57" s="215"/>
      <c r="P57" s="215"/>
      <c r="Q57" s="215"/>
      <c r="T57">
        <f t="shared" si="1"/>
        <v>0</v>
      </c>
    </row>
    <row r="58" spans="1:20" x14ac:dyDescent="0.25">
      <c r="A58" s="214">
        <v>57</v>
      </c>
      <c r="B58" s="215" t="s">
        <v>657</v>
      </c>
      <c r="C58" s="215"/>
      <c r="D58" s="215"/>
      <c r="E58" s="215"/>
      <c r="F58" s="215"/>
      <c r="G58" s="215"/>
      <c r="H58" s="215"/>
      <c r="I58" s="215"/>
      <c r="J58" s="215"/>
      <c r="K58" s="215"/>
      <c r="L58" s="215"/>
      <c r="M58" s="215"/>
      <c r="N58" s="215"/>
      <c r="O58" s="215"/>
      <c r="P58" s="215"/>
      <c r="Q58" s="215"/>
      <c r="T58">
        <f t="shared" si="1"/>
        <v>0</v>
      </c>
    </row>
    <row r="59" spans="1:20" x14ac:dyDescent="0.25">
      <c r="A59" s="214">
        <v>58</v>
      </c>
      <c r="B59" s="215" t="s">
        <v>658</v>
      </c>
      <c r="C59" s="215"/>
      <c r="D59" s="215"/>
      <c r="E59" s="215"/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T59">
        <f t="shared" si="1"/>
        <v>0</v>
      </c>
    </row>
    <row r="60" spans="1:20" x14ac:dyDescent="0.25">
      <c r="A60" s="214">
        <v>59</v>
      </c>
      <c r="B60" s="215" t="s">
        <v>659</v>
      </c>
      <c r="C60" s="215"/>
      <c r="D60" s="215"/>
      <c r="E60" s="215"/>
      <c r="F60" s="215"/>
      <c r="G60" s="215"/>
      <c r="H60" s="215"/>
      <c r="I60" s="215"/>
      <c r="J60" s="215"/>
      <c r="K60" s="215"/>
      <c r="L60" s="215"/>
      <c r="M60" s="215"/>
      <c r="N60" s="215"/>
      <c r="O60" s="215"/>
      <c r="P60" s="215"/>
      <c r="Q60" s="215"/>
      <c r="T60">
        <f t="shared" si="1"/>
        <v>0</v>
      </c>
    </row>
    <row r="61" spans="1:20" x14ac:dyDescent="0.25">
      <c r="A61" s="214">
        <v>60</v>
      </c>
      <c r="B61" s="215" t="s">
        <v>660</v>
      </c>
      <c r="C61" s="215"/>
      <c r="D61" s="215"/>
      <c r="E61" s="215"/>
      <c r="F61" s="215"/>
      <c r="G61" s="215"/>
      <c r="H61" s="215"/>
      <c r="I61" s="215"/>
      <c r="J61" s="215"/>
      <c r="K61" s="215"/>
      <c r="L61" s="215"/>
      <c r="M61" s="215"/>
      <c r="N61" s="215"/>
      <c r="O61" s="215"/>
      <c r="P61" s="215"/>
      <c r="Q61" s="215"/>
      <c r="T61">
        <f t="shared" si="1"/>
        <v>0</v>
      </c>
    </row>
    <row r="62" spans="1:20" x14ac:dyDescent="0.25">
      <c r="A62" s="214">
        <v>61</v>
      </c>
      <c r="B62" s="215" t="s">
        <v>661</v>
      </c>
      <c r="C62" s="215"/>
      <c r="D62" s="215"/>
      <c r="E62" s="215"/>
      <c r="F62" s="215"/>
      <c r="G62" s="215"/>
      <c r="H62" s="215"/>
      <c r="I62" s="215"/>
      <c r="J62" s="215"/>
      <c r="K62" s="215"/>
      <c r="L62" s="215"/>
      <c r="M62" s="215"/>
      <c r="N62" s="215"/>
      <c r="O62" s="215"/>
      <c r="P62" s="215"/>
      <c r="Q62" s="215"/>
      <c r="T62">
        <f t="shared" si="1"/>
        <v>0</v>
      </c>
    </row>
    <row r="63" spans="1:20" x14ac:dyDescent="0.25">
      <c r="A63" s="214">
        <v>62</v>
      </c>
      <c r="B63" s="215" t="s">
        <v>662</v>
      </c>
      <c r="C63" s="215"/>
      <c r="D63" s="215"/>
      <c r="E63" s="215"/>
      <c r="F63" s="215"/>
      <c r="G63" s="215"/>
      <c r="H63" s="215"/>
      <c r="I63" s="215"/>
      <c r="J63" s="215"/>
      <c r="K63" s="215"/>
      <c r="L63" s="215"/>
      <c r="M63" s="215"/>
      <c r="N63" s="215"/>
      <c r="O63" s="215"/>
      <c r="P63" s="215"/>
      <c r="Q63" s="215"/>
      <c r="T63">
        <f t="shared" si="1"/>
        <v>0</v>
      </c>
    </row>
    <row r="64" spans="1:20" x14ac:dyDescent="0.25">
      <c r="A64" s="214">
        <v>63</v>
      </c>
      <c r="B64" s="215" t="s">
        <v>668</v>
      </c>
      <c r="C64" s="215"/>
      <c r="D64" s="215"/>
      <c r="E64" s="215"/>
      <c r="F64" s="215"/>
      <c r="G64" s="215"/>
      <c r="H64" s="215"/>
      <c r="I64" s="215"/>
      <c r="J64" s="215"/>
      <c r="K64" s="215"/>
      <c r="L64" s="215"/>
      <c r="M64" s="215"/>
      <c r="N64" s="215"/>
      <c r="O64" s="215"/>
      <c r="P64" s="215"/>
      <c r="Q64" s="215"/>
      <c r="T64">
        <f t="shared" si="1"/>
        <v>0</v>
      </c>
    </row>
    <row r="65" spans="1:20" x14ac:dyDescent="0.25">
      <c r="A65" s="213"/>
      <c r="B65" s="213"/>
      <c r="C65" s="213"/>
      <c r="D65" s="213"/>
      <c r="E65" s="213"/>
      <c r="F65" s="213"/>
      <c r="G65" s="213"/>
      <c r="H65" s="213"/>
      <c r="I65" s="213"/>
      <c r="J65" s="213"/>
      <c r="K65" s="213"/>
      <c r="L65" s="213"/>
      <c r="M65" s="213"/>
      <c r="N65" s="213"/>
      <c r="O65" s="213"/>
      <c r="P65" s="213"/>
      <c r="Q65" s="213"/>
      <c r="T65">
        <f t="shared" si="1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/>
  </sheetPr>
  <dimension ref="A1:T130"/>
  <sheetViews>
    <sheetView zoomScale="55" zoomScaleNormal="55" workbookViewId="0">
      <selection activeCell="T59" sqref="T59"/>
    </sheetView>
  </sheetViews>
  <sheetFormatPr defaultRowHeight="15" x14ac:dyDescent="0.25"/>
  <cols>
    <col min="2" max="2" width="29.85546875" bestFit="1" customWidth="1"/>
  </cols>
  <sheetData>
    <row r="1" spans="1:20" x14ac:dyDescent="0.25">
      <c r="A1" s="181" t="s">
        <v>1</v>
      </c>
      <c r="B1" s="181" t="s">
        <v>6</v>
      </c>
      <c r="C1" s="181" t="s">
        <v>46</v>
      </c>
      <c r="D1" s="181" t="s">
        <v>47</v>
      </c>
      <c r="E1" s="181" t="s">
        <v>48</v>
      </c>
      <c r="F1" s="181" t="s">
        <v>49</v>
      </c>
      <c r="G1" s="181" t="s">
        <v>50</v>
      </c>
      <c r="H1" s="181" t="s">
        <v>51</v>
      </c>
      <c r="I1" s="181" t="s">
        <v>52</v>
      </c>
      <c r="J1" s="181" t="s">
        <v>53</v>
      </c>
      <c r="K1" s="181" t="s">
        <v>54</v>
      </c>
      <c r="L1" s="181" t="s">
        <v>55</v>
      </c>
      <c r="M1" s="181" t="s">
        <v>56</v>
      </c>
      <c r="N1" s="181" t="s">
        <v>57</v>
      </c>
      <c r="O1" s="181" t="s">
        <v>58</v>
      </c>
      <c r="P1" s="181" t="s">
        <v>59</v>
      </c>
      <c r="Q1" s="181" t="s">
        <v>667</v>
      </c>
      <c r="R1" s="181" t="s">
        <v>2</v>
      </c>
    </row>
    <row r="2" spans="1:20" x14ac:dyDescent="0.25">
      <c r="A2" s="147">
        <v>1</v>
      </c>
      <c r="B2" s="148" t="s">
        <v>10</v>
      </c>
      <c r="C2" s="148" t="s">
        <v>26</v>
      </c>
      <c r="D2" s="148" t="s">
        <v>26</v>
      </c>
      <c r="E2" s="148" t="s">
        <v>26</v>
      </c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204">
        <v>83</v>
      </c>
      <c r="T2">
        <f>C2+D2+E2+F2+G2+H2+I2+J2+K2+L2+M2+N2+O2+P2+Q2</f>
        <v>33</v>
      </c>
    </row>
    <row r="3" spans="1:20" x14ac:dyDescent="0.25">
      <c r="A3" s="147">
        <v>2</v>
      </c>
      <c r="B3" s="148" t="s">
        <v>11</v>
      </c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7">
        <v>0</v>
      </c>
      <c r="T3">
        <f t="shared" ref="T3:T64" si="0">C3+D3+E3+F3+G3+H3+I3+J3+K3+L3+M3+N3+O3+P3+Q3</f>
        <v>0</v>
      </c>
    </row>
    <row r="4" spans="1:20" x14ac:dyDescent="0.25">
      <c r="A4" s="147">
        <v>3</v>
      </c>
      <c r="B4" s="148" t="s">
        <v>12</v>
      </c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7">
        <v>0</v>
      </c>
      <c r="T4">
        <f t="shared" si="0"/>
        <v>0</v>
      </c>
    </row>
    <row r="5" spans="1:20" x14ac:dyDescent="0.25">
      <c r="A5" s="147">
        <v>4</v>
      </c>
      <c r="B5" s="148" t="s">
        <v>651</v>
      </c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7">
        <v>0</v>
      </c>
      <c r="T5">
        <f t="shared" si="0"/>
        <v>0</v>
      </c>
    </row>
    <row r="6" spans="1:20" x14ac:dyDescent="0.25">
      <c r="A6" s="147">
        <v>5</v>
      </c>
      <c r="B6" s="148" t="s">
        <v>14</v>
      </c>
      <c r="C6" s="148"/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7">
        <v>0</v>
      </c>
      <c r="T6">
        <f t="shared" si="0"/>
        <v>0</v>
      </c>
    </row>
    <row r="7" spans="1:20" x14ac:dyDescent="0.25">
      <c r="A7" s="147">
        <v>6</v>
      </c>
      <c r="B7" s="148" t="s">
        <v>15</v>
      </c>
      <c r="C7" s="148"/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204">
        <v>76</v>
      </c>
      <c r="T7">
        <f t="shared" si="0"/>
        <v>0</v>
      </c>
    </row>
    <row r="8" spans="1:20" x14ac:dyDescent="0.25">
      <c r="A8" s="147">
        <v>7</v>
      </c>
      <c r="B8" s="148" t="s">
        <v>16</v>
      </c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204">
        <v>11</v>
      </c>
      <c r="T8">
        <f t="shared" si="0"/>
        <v>0</v>
      </c>
    </row>
    <row r="9" spans="1:20" x14ac:dyDescent="0.25">
      <c r="A9" s="147">
        <v>8</v>
      </c>
      <c r="B9" s="148" t="s">
        <v>4</v>
      </c>
      <c r="C9" s="148"/>
      <c r="D9" s="148"/>
      <c r="E9" s="148"/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7">
        <v>0</v>
      </c>
      <c r="T9">
        <f t="shared" si="0"/>
        <v>0</v>
      </c>
    </row>
    <row r="10" spans="1:20" x14ac:dyDescent="0.25">
      <c r="A10" s="147">
        <v>9</v>
      </c>
      <c r="B10" s="148" t="s">
        <v>5</v>
      </c>
      <c r="C10" s="148"/>
      <c r="D10" s="148" t="s">
        <v>26</v>
      </c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  <c r="R10" s="204">
        <v>11</v>
      </c>
      <c r="T10">
        <f t="shared" si="0"/>
        <v>11</v>
      </c>
    </row>
    <row r="11" spans="1:20" x14ac:dyDescent="0.25">
      <c r="A11" s="147">
        <v>10</v>
      </c>
      <c r="B11" s="148" t="s">
        <v>38</v>
      </c>
      <c r="C11" s="148"/>
      <c r="D11" s="148"/>
      <c r="E11" s="148"/>
      <c r="F11" s="148"/>
      <c r="G11" s="148"/>
      <c r="H11" s="148"/>
      <c r="I11" s="148"/>
      <c r="J11" s="148"/>
      <c r="K11" s="148"/>
      <c r="L11" s="148"/>
      <c r="M11" s="148"/>
      <c r="N11" s="148"/>
      <c r="O11" s="148"/>
      <c r="P11" s="148"/>
      <c r="Q11" s="148"/>
      <c r="R11" s="147">
        <v>0</v>
      </c>
      <c r="T11">
        <f t="shared" si="0"/>
        <v>0</v>
      </c>
    </row>
    <row r="12" spans="1:20" x14ac:dyDescent="0.25">
      <c r="A12" s="147">
        <v>11</v>
      </c>
      <c r="B12" s="148" t="s">
        <v>43</v>
      </c>
      <c r="C12" s="148"/>
      <c r="D12" s="148"/>
      <c r="E12" s="148"/>
      <c r="F12" s="148"/>
      <c r="G12" s="148"/>
      <c r="H12" s="148"/>
      <c r="I12" s="148"/>
      <c r="J12" s="148"/>
      <c r="K12" s="148"/>
      <c r="L12" s="148"/>
      <c r="M12" s="148"/>
      <c r="N12" s="148"/>
      <c r="O12" s="148"/>
      <c r="P12" s="148"/>
      <c r="Q12" s="148"/>
      <c r="R12" s="147">
        <v>0</v>
      </c>
      <c r="T12">
        <f t="shared" si="0"/>
        <v>0</v>
      </c>
    </row>
    <row r="13" spans="1:20" x14ac:dyDescent="0.25">
      <c r="A13" s="147">
        <v>12</v>
      </c>
      <c r="B13" s="148" t="s">
        <v>639</v>
      </c>
      <c r="C13" s="148"/>
      <c r="D13" s="148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7">
        <v>0</v>
      </c>
      <c r="T13">
        <f t="shared" si="0"/>
        <v>0</v>
      </c>
    </row>
    <row r="14" spans="1:20" x14ac:dyDescent="0.25">
      <c r="A14" s="147">
        <v>13</v>
      </c>
      <c r="B14" s="148" t="s">
        <v>87</v>
      </c>
      <c r="C14" s="148"/>
      <c r="D14" s="148"/>
      <c r="E14" s="148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204">
        <v>33</v>
      </c>
      <c r="T14">
        <f t="shared" si="0"/>
        <v>0</v>
      </c>
    </row>
    <row r="15" spans="1:20" x14ac:dyDescent="0.25">
      <c r="A15" s="147">
        <v>14</v>
      </c>
      <c r="B15" s="148" t="s">
        <v>95</v>
      </c>
      <c r="C15" s="148"/>
      <c r="D15" s="148"/>
      <c r="E15" s="148"/>
      <c r="F15" s="148"/>
      <c r="G15" s="148"/>
      <c r="H15" s="148"/>
      <c r="I15" s="148"/>
      <c r="J15" s="148"/>
      <c r="K15" s="148"/>
      <c r="L15" s="148"/>
      <c r="M15" s="148"/>
      <c r="N15" s="148"/>
      <c r="O15" s="148"/>
      <c r="P15" s="148"/>
      <c r="Q15" s="148"/>
      <c r="R15" s="204">
        <v>57</v>
      </c>
      <c r="T15">
        <f t="shared" si="0"/>
        <v>0</v>
      </c>
    </row>
    <row r="16" spans="1:20" x14ac:dyDescent="0.25">
      <c r="A16" s="147">
        <v>15</v>
      </c>
      <c r="B16" s="148" t="s">
        <v>96</v>
      </c>
      <c r="C16" s="148"/>
      <c r="D16" s="148"/>
      <c r="E16" s="148"/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/>
      <c r="R16" s="147">
        <v>0</v>
      </c>
      <c r="T16">
        <f t="shared" si="0"/>
        <v>0</v>
      </c>
    </row>
    <row r="17" spans="1:20" x14ac:dyDescent="0.25">
      <c r="A17" s="147">
        <v>16</v>
      </c>
      <c r="B17" s="148" t="s">
        <v>97</v>
      </c>
      <c r="C17" s="148"/>
      <c r="D17" s="148"/>
      <c r="E17" s="148"/>
      <c r="F17" s="148"/>
      <c r="G17" s="148"/>
      <c r="H17" s="148"/>
      <c r="I17" s="148"/>
      <c r="J17" s="148"/>
      <c r="K17" s="148"/>
      <c r="L17" s="148"/>
      <c r="M17" s="148"/>
      <c r="N17" s="148"/>
      <c r="O17" s="148"/>
      <c r="P17" s="148"/>
      <c r="Q17" s="148"/>
      <c r="R17" s="147">
        <v>0</v>
      </c>
      <c r="T17">
        <f t="shared" si="0"/>
        <v>0</v>
      </c>
    </row>
    <row r="18" spans="1:20" x14ac:dyDescent="0.25">
      <c r="A18" s="147">
        <v>17</v>
      </c>
      <c r="B18" s="148" t="s">
        <v>98</v>
      </c>
      <c r="C18" s="148"/>
      <c r="D18" s="148"/>
      <c r="E18" s="148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  <c r="R18" s="147">
        <v>0</v>
      </c>
      <c r="T18">
        <f t="shared" si="0"/>
        <v>0</v>
      </c>
    </row>
    <row r="19" spans="1:20" x14ac:dyDescent="0.25">
      <c r="A19" s="147">
        <v>18</v>
      </c>
      <c r="B19" s="148" t="s">
        <v>616</v>
      </c>
      <c r="C19" s="148"/>
      <c r="D19" s="148"/>
      <c r="E19" s="148"/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  <c r="R19" s="147">
        <v>0</v>
      </c>
      <c r="T19">
        <f t="shared" si="0"/>
        <v>0</v>
      </c>
    </row>
    <row r="20" spans="1:20" x14ac:dyDescent="0.25">
      <c r="A20" s="147">
        <v>19</v>
      </c>
      <c r="B20" s="148" t="s">
        <v>617</v>
      </c>
      <c r="C20" s="148"/>
      <c r="D20" s="148"/>
      <c r="E20" s="148"/>
      <c r="F20" s="148"/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Q20" s="148"/>
      <c r="R20" s="147">
        <v>0</v>
      </c>
      <c r="T20">
        <f t="shared" si="0"/>
        <v>0</v>
      </c>
    </row>
    <row r="21" spans="1:20" x14ac:dyDescent="0.25">
      <c r="A21" s="147">
        <v>20</v>
      </c>
      <c r="B21" s="148" t="s">
        <v>626</v>
      </c>
      <c r="C21" s="148"/>
      <c r="D21" s="148"/>
      <c r="E21" s="148"/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8"/>
      <c r="R21" s="147">
        <v>0</v>
      </c>
      <c r="T21">
        <f t="shared" si="0"/>
        <v>0</v>
      </c>
    </row>
    <row r="22" spans="1:20" x14ac:dyDescent="0.25">
      <c r="A22" s="147">
        <v>21</v>
      </c>
      <c r="B22" s="148" t="s">
        <v>618</v>
      </c>
      <c r="C22" s="148"/>
      <c r="D22" s="148"/>
      <c r="E22" s="148"/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47">
        <v>0</v>
      </c>
      <c r="T22">
        <f t="shared" si="0"/>
        <v>0</v>
      </c>
    </row>
    <row r="23" spans="1:20" x14ac:dyDescent="0.25">
      <c r="A23" s="147">
        <v>22</v>
      </c>
      <c r="B23" s="148" t="s">
        <v>619</v>
      </c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7">
        <v>0</v>
      </c>
      <c r="T23">
        <f t="shared" si="0"/>
        <v>0</v>
      </c>
    </row>
    <row r="24" spans="1:20" x14ac:dyDescent="0.25">
      <c r="A24" s="147">
        <v>23</v>
      </c>
      <c r="B24" s="148" t="s">
        <v>620</v>
      </c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7">
        <v>0</v>
      </c>
      <c r="T24">
        <f t="shared" si="0"/>
        <v>0</v>
      </c>
    </row>
    <row r="25" spans="1:20" x14ac:dyDescent="0.25">
      <c r="A25" s="147">
        <v>24</v>
      </c>
      <c r="B25" s="148" t="s">
        <v>650</v>
      </c>
      <c r="C25" s="148"/>
      <c r="D25" s="148"/>
      <c r="E25" s="148" t="s">
        <v>26</v>
      </c>
      <c r="F25" s="148"/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8"/>
      <c r="R25" s="204">
        <v>39</v>
      </c>
      <c r="T25">
        <f t="shared" si="0"/>
        <v>11</v>
      </c>
    </row>
    <row r="26" spans="1:20" x14ac:dyDescent="0.25">
      <c r="A26" s="147">
        <v>25</v>
      </c>
      <c r="B26" s="148" t="s">
        <v>621</v>
      </c>
      <c r="C26" s="148"/>
      <c r="D26" s="148"/>
      <c r="E26" s="148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7">
        <v>0</v>
      </c>
      <c r="T26">
        <f t="shared" si="0"/>
        <v>0</v>
      </c>
    </row>
    <row r="27" spans="1:20" x14ac:dyDescent="0.25">
      <c r="A27" s="147">
        <v>26</v>
      </c>
      <c r="B27" s="148" t="s">
        <v>622</v>
      </c>
      <c r="C27" s="148"/>
      <c r="D27" s="148"/>
      <c r="E27" s="148"/>
      <c r="F27" s="148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R27" s="147">
        <v>0</v>
      </c>
      <c r="T27">
        <f t="shared" si="0"/>
        <v>0</v>
      </c>
    </row>
    <row r="28" spans="1:20" x14ac:dyDescent="0.25">
      <c r="A28" s="147">
        <v>27</v>
      </c>
      <c r="B28" s="148" t="s">
        <v>623</v>
      </c>
      <c r="C28" s="148" t="s">
        <v>26</v>
      </c>
      <c r="D28" s="148"/>
      <c r="E28" s="148" t="s">
        <v>25</v>
      </c>
      <c r="F28" s="148"/>
      <c r="G28" s="148"/>
      <c r="H28" s="148"/>
      <c r="I28" s="148"/>
      <c r="J28" s="148"/>
      <c r="K28" s="148"/>
      <c r="L28" s="148"/>
      <c r="M28" s="148"/>
      <c r="N28" s="148"/>
      <c r="O28" s="148"/>
      <c r="P28" s="148"/>
      <c r="Q28" s="148"/>
      <c r="R28" s="204">
        <v>58</v>
      </c>
      <c r="T28">
        <f t="shared" si="0"/>
        <v>20</v>
      </c>
    </row>
    <row r="29" spans="1:20" x14ac:dyDescent="0.25">
      <c r="A29" s="147">
        <v>28</v>
      </c>
      <c r="B29" s="148" t="s">
        <v>624</v>
      </c>
      <c r="C29" s="148"/>
      <c r="D29" s="148" t="s">
        <v>26</v>
      </c>
      <c r="E29" s="148"/>
      <c r="F29" s="148"/>
      <c r="G29" s="148"/>
      <c r="H29" s="148"/>
      <c r="I29" s="148"/>
      <c r="J29" s="148"/>
      <c r="K29" s="148"/>
      <c r="L29" s="148"/>
      <c r="M29" s="148"/>
      <c r="N29" s="148"/>
      <c r="O29" s="148"/>
      <c r="P29" s="148"/>
      <c r="Q29" s="148"/>
      <c r="R29" s="204">
        <v>33</v>
      </c>
      <c r="T29">
        <f t="shared" si="0"/>
        <v>11</v>
      </c>
    </row>
    <row r="30" spans="1:20" x14ac:dyDescent="0.25">
      <c r="A30" s="147">
        <v>29</v>
      </c>
      <c r="B30" s="148" t="s">
        <v>627</v>
      </c>
      <c r="C30" s="148"/>
      <c r="D30" s="148"/>
      <c r="E30" s="148"/>
      <c r="F30" s="148"/>
      <c r="G30" s="148"/>
      <c r="H30" s="148"/>
      <c r="I30" s="148"/>
      <c r="J30" s="148"/>
      <c r="K30" s="148"/>
      <c r="L30" s="148"/>
      <c r="M30" s="148"/>
      <c r="N30" s="148"/>
      <c r="O30" s="148"/>
      <c r="P30" s="148"/>
      <c r="Q30" s="148"/>
      <c r="R30" s="147">
        <v>0</v>
      </c>
      <c r="T30">
        <f t="shared" si="0"/>
        <v>0</v>
      </c>
    </row>
    <row r="31" spans="1:20" x14ac:dyDescent="0.25">
      <c r="A31" s="147">
        <v>30</v>
      </c>
      <c r="B31" s="148" t="s">
        <v>625</v>
      </c>
      <c r="C31" s="148"/>
      <c r="D31" s="148"/>
      <c r="E31" s="148"/>
      <c r="F31" s="148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7">
        <v>0</v>
      </c>
      <c r="T31">
        <f t="shared" si="0"/>
        <v>0</v>
      </c>
    </row>
    <row r="32" spans="1:20" x14ac:dyDescent="0.25">
      <c r="A32" s="147">
        <v>31</v>
      </c>
      <c r="B32" s="148" t="s">
        <v>34</v>
      </c>
      <c r="C32" s="148"/>
      <c r="D32" s="148"/>
      <c r="E32" s="148" t="s">
        <v>24</v>
      </c>
      <c r="F32" s="148"/>
      <c r="G32" s="148"/>
      <c r="H32" s="148"/>
      <c r="I32" s="148"/>
      <c r="J32" s="148"/>
      <c r="K32" s="148"/>
      <c r="L32" s="148"/>
      <c r="M32" s="148"/>
      <c r="N32" s="148"/>
      <c r="O32" s="148"/>
      <c r="P32" s="148"/>
      <c r="Q32" s="148"/>
      <c r="R32" s="204">
        <v>8</v>
      </c>
      <c r="T32">
        <f t="shared" si="0"/>
        <v>8</v>
      </c>
    </row>
    <row r="33" spans="1:20" x14ac:dyDescent="0.25">
      <c r="A33" s="147">
        <v>32</v>
      </c>
      <c r="B33" s="148" t="s">
        <v>45</v>
      </c>
      <c r="C33" s="148"/>
      <c r="D33" s="148"/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7">
        <v>0</v>
      </c>
      <c r="T33">
        <f t="shared" si="0"/>
        <v>0</v>
      </c>
    </row>
    <row r="34" spans="1:20" x14ac:dyDescent="0.25">
      <c r="A34" s="147">
        <v>33</v>
      </c>
      <c r="B34" s="148" t="s">
        <v>630</v>
      </c>
      <c r="C34" s="148"/>
      <c r="D34" s="148" t="s">
        <v>26</v>
      </c>
      <c r="E34" s="148" t="s">
        <v>26</v>
      </c>
      <c r="F34" s="148"/>
      <c r="G34" s="148"/>
      <c r="H34" s="148"/>
      <c r="I34" s="148"/>
      <c r="J34" s="148"/>
      <c r="K34" s="148"/>
      <c r="L34" s="148"/>
      <c r="M34" s="148"/>
      <c r="N34" s="148"/>
      <c r="O34" s="148"/>
      <c r="P34" s="148"/>
      <c r="Q34" s="148"/>
      <c r="R34" s="204">
        <v>50</v>
      </c>
      <c r="T34">
        <f t="shared" si="0"/>
        <v>22</v>
      </c>
    </row>
    <row r="35" spans="1:20" x14ac:dyDescent="0.25">
      <c r="A35" s="147">
        <v>34</v>
      </c>
      <c r="B35" s="148" t="s">
        <v>628</v>
      </c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7">
        <v>0</v>
      </c>
      <c r="T35">
        <f t="shared" si="0"/>
        <v>0</v>
      </c>
    </row>
    <row r="36" spans="1:20" x14ac:dyDescent="0.25">
      <c r="A36" s="147">
        <v>35</v>
      </c>
      <c r="B36" s="148" t="s">
        <v>629</v>
      </c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7">
        <v>0</v>
      </c>
      <c r="T36">
        <f t="shared" si="0"/>
        <v>0</v>
      </c>
    </row>
    <row r="37" spans="1:20" x14ac:dyDescent="0.25">
      <c r="A37" s="147">
        <v>36</v>
      </c>
      <c r="B37" s="148" t="s">
        <v>631</v>
      </c>
      <c r="C37" s="148"/>
      <c r="D37" s="148"/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148"/>
      <c r="R37" s="147">
        <v>0</v>
      </c>
      <c r="T37">
        <f t="shared" si="0"/>
        <v>0</v>
      </c>
    </row>
    <row r="38" spans="1:20" x14ac:dyDescent="0.25">
      <c r="A38" s="147">
        <v>37</v>
      </c>
      <c r="B38" s="148" t="s">
        <v>632</v>
      </c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8"/>
      <c r="P38" s="148"/>
      <c r="Q38" s="148"/>
      <c r="R38" s="147">
        <v>0</v>
      </c>
      <c r="T38">
        <f t="shared" si="0"/>
        <v>0</v>
      </c>
    </row>
    <row r="39" spans="1:20" x14ac:dyDescent="0.25">
      <c r="A39" s="147">
        <v>38</v>
      </c>
      <c r="B39" s="148" t="s">
        <v>633</v>
      </c>
      <c r="C39" s="148"/>
      <c r="D39" s="148" t="s">
        <v>26</v>
      </c>
      <c r="E39" s="148" t="s">
        <v>26</v>
      </c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148"/>
      <c r="Q39" s="148"/>
      <c r="R39" s="204">
        <v>66</v>
      </c>
      <c r="T39">
        <f t="shared" si="0"/>
        <v>22</v>
      </c>
    </row>
    <row r="40" spans="1:20" x14ac:dyDescent="0.25">
      <c r="A40" s="147">
        <v>39</v>
      </c>
      <c r="B40" s="148" t="s">
        <v>634</v>
      </c>
      <c r="C40" s="148"/>
      <c r="D40" s="148" t="s">
        <v>26</v>
      </c>
      <c r="E40" s="148"/>
      <c r="F40" s="148"/>
      <c r="G40" s="148"/>
      <c r="H40" s="148"/>
      <c r="I40" s="148"/>
      <c r="J40" s="148"/>
      <c r="K40" s="148"/>
      <c r="L40" s="148"/>
      <c r="M40" s="148"/>
      <c r="N40" s="148"/>
      <c r="O40" s="148"/>
      <c r="P40" s="148"/>
      <c r="Q40" s="148"/>
      <c r="R40" s="204">
        <v>22</v>
      </c>
      <c r="T40">
        <f t="shared" si="0"/>
        <v>11</v>
      </c>
    </row>
    <row r="41" spans="1:20" x14ac:dyDescent="0.25">
      <c r="A41" s="147">
        <v>40</v>
      </c>
      <c r="B41" s="148" t="s">
        <v>636</v>
      </c>
      <c r="C41" s="148"/>
      <c r="D41" s="148"/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7">
        <v>0</v>
      </c>
      <c r="T41">
        <f t="shared" si="0"/>
        <v>0</v>
      </c>
    </row>
    <row r="42" spans="1:20" x14ac:dyDescent="0.25">
      <c r="A42" s="147">
        <v>41</v>
      </c>
      <c r="B42" s="148" t="s">
        <v>637</v>
      </c>
      <c r="C42" s="148" t="s">
        <v>26</v>
      </c>
      <c r="D42" s="148"/>
      <c r="E42" s="148"/>
      <c r="F42" s="148"/>
      <c r="G42" s="148"/>
      <c r="H42" s="148"/>
      <c r="I42" s="148"/>
      <c r="J42" s="148"/>
      <c r="K42" s="148"/>
      <c r="L42" s="148"/>
      <c r="M42" s="148"/>
      <c r="N42" s="148"/>
      <c r="O42" s="148"/>
      <c r="P42" s="148"/>
      <c r="Q42" s="148"/>
      <c r="R42" s="204">
        <v>61</v>
      </c>
      <c r="T42">
        <f t="shared" si="0"/>
        <v>11</v>
      </c>
    </row>
    <row r="43" spans="1:20" x14ac:dyDescent="0.25">
      <c r="A43" s="147">
        <v>42</v>
      </c>
      <c r="B43" s="148" t="s">
        <v>640</v>
      </c>
      <c r="C43" s="148"/>
      <c r="D43" s="148"/>
      <c r="E43" s="148"/>
      <c r="F43" s="148"/>
      <c r="G43" s="148"/>
      <c r="H43" s="148"/>
      <c r="I43" s="148"/>
      <c r="J43" s="148"/>
      <c r="K43" s="148"/>
      <c r="L43" s="148"/>
      <c r="M43" s="148"/>
      <c r="N43" s="148"/>
      <c r="O43" s="148"/>
      <c r="P43" s="148"/>
      <c r="Q43" s="148"/>
      <c r="R43" s="147">
        <v>0</v>
      </c>
      <c r="T43">
        <f t="shared" si="0"/>
        <v>0</v>
      </c>
    </row>
    <row r="44" spans="1:20" x14ac:dyDescent="0.25">
      <c r="A44" s="147">
        <v>43</v>
      </c>
      <c r="B44" s="148" t="s">
        <v>638</v>
      </c>
      <c r="C44" s="148"/>
      <c r="D44" s="148" t="s">
        <v>25</v>
      </c>
      <c r="E44" s="148"/>
      <c r="F44" s="148"/>
      <c r="G44" s="148"/>
      <c r="H44" s="148"/>
      <c r="I44" s="148"/>
      <c r="J44" s="148"/>
      <c r="K44" s="148"/>
      <c r="L44" s="148"/>
      <c r="M44" s="148"/>
      <c r="N44" s="148"/>
      <c r="O44" s="148"/>
      <c r="P44" s="148"/>
      <c r="Q44" s="148"/>
      <c r="R44" s="204">
        <v>31</v>
      </c>
      <c r="T44">
        <f t="shared" si="0"/>
        <v>9</v>
      </c>
    </row>
    <row r="45" spans="1:20" x14ac:dyDescent="0.25">
      <c r="A45" s="147">
        <v>44</v>
      </c>
      <c r="B45" s="148" t="s">
        <v>635</v>
      </c>
      <c r="C45" s="148"/>
      <c r="D45" s="148"/>
      <c r="E45" s="148"/>
      <c r="F45" s="148"/>
      <c r="G45" s="148"/>
      <c r="H45" s="148"/>
      <c r="I45" s="148"/>
      <c r="J45" s="148"/>
      <c r="K45" s="148"/>
      <c r="L45" s="148"/>
      <c r="M45" s="148"/>
      <c r="N45" s="148"/>
      <c r="O45" s="148"/>
      <c r="P45" s="148"/>
      <c r="Q45" s="148"/>
      <c r="R45" s="147">
        <v>0</v>
      </c>
      <c r="T45">
        <f t="shared" si="0"/>
        <v>0</v>
      </c>
    </row>
    <row r="46" spans="1:20" x14ac:dyDescent="0.25">
      <c r="A46" s="147">
        <v>45</v>
      </c>
      <c r="B46" s="148" t="s">
        <v>641</v>
      </c>
      <c r="C46" s="148"/>
      <c r="D46" s="148"/>
      <c r="E46" s="148"/>
      <c r="F46" s="148"/>
      <c r="G46" s="148"/>
      <c r="H46" s="148"/>
      <c r="I46" s="148"/>
      <c r="J46" s="148"/>
      <c r="K46" s="148"/>
      <c r="L46" s="148"/>
      <c r="M46" s="148"/>
      <c r="N46" s="148"/>
      <c r="O46" s="148"/>
      <c r="P46" s="148"/>
      <c r="Q46" s="148"/>
      <c r="R46" s="147">
        <v>0</v>
      </c>
      <c r="T46">
        <f t="shared" si="0"/>
        <v>0</v>
      </c>
    </row>
    <row r="47" spans="1:20" x14ac:dyDescent="0.25">
      <c r="A47" s="147">
        <v>46</v>
      </c>
      <c r="B47" s="148" t="s">
        <v>649</v>
      </c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7">
        <v>0</v>
      </c>
      <c r="T47">
        <f t="shared" si="0"/>
        <v>0</v>
      </c>
    </row>
    <row r="48" spans="1:20" x14ac:dyDescent="0.25">
      <c r="A48" s="147">
        <v>47</v>
      </c>
      <c r="B48" s="148" t="s">
        <v>642</v>
      </c>
      <c r="C48" s="148"/>
      <c r="D48" s="148"/>
      <c r="E48" s="148"/>
      <c r="F48" s="148"/>
      <c r="G48" s="148"/>
      <c r="H48" s="148"/>
      <c r="I48" s="148"/>
      <c r="J48" s="148"/>
      <c r="K48" s="148"/>
      <c r="L48" s="148"/>
      <c r="M48" s="148"/>
      <c r="N48" s="148"/>
      <c r="O48" s="148"/>
      <c r="P48" s="148"/>
      <c r="Q48" s="148"/>
      <c r="R48" s="147">
        <v>0</v>
      </c>
      <c r="T48">
        <f t="shared" si="0"/>
        <v>0</v>
      </c>
    </row>
    <row r="49" spans="1:20" x14ac:dyDescent="0.25">
      <c r="A49" s="147">
        <v>48</v>
      </c>
      <c r="B49" s="148" t="s">
        <v>643</v>
      </c>
      <c r="C49" s="148"/>
      <c r="D49" s="148"/>
      <c r="E49" s="148"/>
      <c r="F49" s="148"/>
      <c r="G49" s="148"/>
      <c r="H49" s="148"/>
      <c r="I49" s="148"/>
      <c r="J49" s="148"/>
      <c r="K49" s="148"/>
      <c r="L49" s="148"/>
      <c r="M49" s="148"/>
      <c r="N49" s="148"/>
      <c r="O49" s="148"/>
      <c r="P49" s="148"/>
      <c r="Q49" s="148"/>
      <c r="R49" s="147">
        <v>0</v>
      </c>
      <c r="T49">
        <f t="shared" si="0"/>
        <v>0</v>
      </c>
    </row>
    <row r="50" spans="1:20" x14ac:dyDescent="0.25">
      <c r="A50" s="147">
        <v>49</v>
      </c>
      <c r="B50" s="148" t="s">
        <v>644</v>
      </c>
      <c r="C50" s="148"/>
      <c r="D50" s="148"/>
      <c r="E50" s="148"/>
      <c r="F50" s="148"/>
      <c r="G50" s="148"/>
      <c r="H50" s="148"/>
      <c r="I50" s="148"/>
      <c r="J50" s="148"/>
      <c r="K50" s="148"/>
      <c r="L50" s="148"/>
      <c r="M50" s="148"/>
      <c r="N50" s="148"/>
      <c r="O50" s="148"/>
      <c r="P50" s="148"/>
      <c r="Q50" s="148"/>
      <c r="R50" s="147">
        <v>0</v>
      </c>
      <c r="T50">
        <f t="shared" si="0"/>
        <v>0</v>
      </c>
    </row>
    <row r="51" spans="1:20" x14ac:dyDescent="0.25">
      <c r="A51" s="147">
        <v>50</v>
      </c>
      <c r="B51" s="148" t="s">
        <v>646</v>
      </c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148"/>
      <c r="P51" s="148"/>
      <c r="Q51" s="148"/>
      <c r="R51" s="147">
        <v>0</v>
      </c>
      <c r="T51">
        <f t="shared" si="0"/>
        <v>0</v>
      </c>
    </row>
    <row r="52" spans="1:20" x14ac:dyDescent="0.25">
      <c r="A52" s="147">
        <v>51</v>
      </c>
      <c r="B52" s="148" t="s">
        <v>647</v>
      </c>
      <c r="C52" s="148"/>
      <c r="D52" s="148"/>
      <c r="E52" s="148"/>
      <c r="F52" s="148"/>
      <c r="G52" s="148"/>
      <c r="H52" s="148"/>
      <c r="I52" s="148"/>
      <c r="J52" s="148"/>
      <c r="K52" s="148"/>
      <c r="L52" s="148"/>
      <c r="M52" s="148"/>
      <c r="N52" s="148"/>
      <c r="O52" s="148"/>
      <c r="P52" s="148"/>
      <c r="Q52" s="148"/>
      <c r="R52" s="204">
        <v>31</v>
      </c>
      <c r="T52">
        <f t="shared" si="0"/>
        <v>0</v>
      </c>
    </row>
    <row r="53" spans="1:20" x14ac:dyDescent="0.25">
      <c r="A53" s="147">
        <v>52</v>
      </c>
      <c r="B53" s="148" t="s">
        <v>652</v>
      </c>
      <c r="C53" s="148" t="s">
        <v>65</v>
      </c>
      <c r="D53" s="148"/>
      <c r="E53" s="148"/>
      <c r="F53" s="148"/>
      <c r="G53" s="148"/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204">
        <v>23</v>
      </c>
      <c r="T53">
        <f t="shared" si="0"/>
        <v>12</v>
      </c>
    </row>
    <row r="54" spans="1:20" x14ac:dyDescent="0.25">
      <c r="A54" s="147">
        <v>53</v>
      </c>
      <c r="B54" s="148" t="s">
        <v>653</v>
      </c>
      <c r="C54" s="148"/>
      <c r="D54" s="148"/>
      <c r="E54" s="148"/>
      <c r="F54" s="148"/>
      <c r="G54" s="148"/>
      <c r="H54" s="148"/>
      <c r="I54" s="148"/>
      <c r="J54" s="148"/>
      <c r="K54" s="148"/>
      <c r="L54" s="148"/>
      <c r="M54" s="148"/>
      <c r="N54" s="148"/>
      <c r="O54" s="148"/>
      <c r="P54" s="148"/>
      <c r="Q54" s="148"/>
      <c r="R54" s="147">
        <v>0</v>
      </c>
      <c r="T54">
        <f t="shared" si="0"/>
        <v>0</v>
      </c>
    </row>
    <row r="55" spans="1:20" x14ac:dyDescent="0.25">
      <c r="A55" s="147">
        <v>54</v>
      </c>
      <c r="B55" s="148" t="s">
        <v>654</v>
      </c>
      <c r="C55" s="148"/>
      <c r="D55" s="148"/>
      <c r="E55" s="148"/>
      <c r="F55" s="148"/>
      <c r="G55" s="148"/>
      <c r="H55" s="148"/>
      <c r="I55" s="148"/>
      <c r="J55" s="148"/>
      <c r="K55" s="148"/>
      <c r="L55" s="148"/>
      <c r="M55" s="148"/>
      <c r="N55" s="148"/>
      <c r="O55" s="148"/>
      <c r="P55" s="148"/>
      <c r="Q55" s="148"/>
      <c r="R55" s="147">
        <v>0</v>
      </c>
      <c r="T55">
        <f t="shared" si="0"/>
        <v>0</v>
      </c>
    </row>
    <row r="56" spans="1:20" x14ac:dyDescent="0.25">
      <c r="A56" s="147">
        <v>55</v>
      </c>
      <c r="B56" s="148" t="s">
        <v>655</v>
      </c>
      <c r="C56" s="148"/>
      <c r="D56" s="148" t="s">
        <v>26</v>
      </c>
      <c r="E56" s="148" t="s">
        <v>26</v>
      </c>
      <c r="F56" s="148"/>
      <c r="G56" s="148"/>
      <c r="H56" s="148"/>
      <c r="I56" s="148"/>
      <c r="J56" s="148"/>
      <c r="K56" s="148"/>
      <c r="L56" s="148"/>
      <c r="M56" s="148"/>
      <c r="N56" s="148"/>
      <c r="O56" s="148"/>
      <c r="P56" s="148"/>
      <c r="Q56" s="148"/>
      <c r="R56" s="204">
        <v>41</v>
      </c>
      <c r="T56">
        <f t="shared" si="0"/>
        <v>22</v>
      </c>
    </row>
    <row r="57" spans="1:20" x14ac:dyDescent="0.25">
      <c r="A57" s="147">
        <v>56</v>
      </c>
      <c r="B57" s="148" t="s">
        <v>656</v>
      </c>
      <c r="C57" s="148"/>
      <c r="D57" s="148"/>
      <c r="E57" s="148"/>
      <c r="F57" s="148"/>
      <c r="G57" s="148"/>
      <c r="H57" s="148"/>
      <c r="I57" s="148"/>
      <c r="J57" s="148"/>
      <c r="K57" s="148"/>
      <c r="L57" s="148"/>
      <c r="M57" s="148"/>
      <c r="N57" s="148"/>
      <c r="O57" s="148"/>
      <c r="P57" s="148"/>
      <c r="Q57" s="148"/>
      <c r="R57" s="204">
        <v>31</v>
      </c>
      <c r="T57">
        <f t="shared" si="0"/>
        <v>0</v>
      </c>
    </row>
    <row r="58" spans="1:20" x14ac:dyDescent="0.25">
      <c r="A58" s="147">
        <v>57</v>
      </c>
      <c r="B58" s="148" t="s">
        <v>657</v>
      </c>
      <c r="C58" s="148"/>
      <c r="D58" s="148" t="s">
        <v>26</v>
      </c>
      <c r="E58" s="148"/>
      <c r="F58" s="148"/>
      <c r="G58" s="148"/>
      <c r="H58" s="148"/>
      <c r="I58" s="148"/>
      <c r="J58" s="148"/>
      <c r="K58" s="148"/>
      <c r="L58" s="148"/>
      <c r="M58" s="148"/>
      <c r="N58" s="148"/>
      <c r="O58" s="148"/>
      <c r="P58" s="148"/>
      <c r="Q58" s="148"/>
      <c r="R58" s="204">
        <v>33</v>
      </c>
      <c r="T58">
        <f t="shared" si="0"/>
        <v>11</v>
      </c>
    </row>
    <row r="59" spans="1:20" x14ac:dyDescent="0.25">
      <c r="A59" s="147">
        <v>58</v>
      </c>
      <c r="B59" s="148" t="s">
        <v>658</v>
      </c>
      <c r="C59" s="148" t="s">
        <v>26</v>
      </c>
      <c r="D59" s="148" t="s">
        <v>26</v>
      </c>
      <c r="E59" s="148" t="s">
        <v>26</v>
      </c>
      <c r="F59" s="148"/>
      <c r="G59" s="148"/>
      <c r="H59" s="148"/>
      <c r="I59" s="148"/>
      <c r="J59" s="148"/>
      <c r="K59" s="148"/>
      <c r="L59" s="148"/>
      <c r="M59" s="148"/>
      <c r="N59" s="148"/>
      <c r="O59" s="148"/>
      <c r="P59" s="148"/>
      <c r="Q59" s="148"/>
      <c r="R59" s="204">
        <v>50</v>
      </c>
      <c r="T59">
        <f t="shared" si="0"/>
        <v>33</v>
      </c>
    </row>
    <row r="60" spans="1:20" x14ac:dyDescent="0.25">
      <c r="A60" s="147">
        <v>59</v>
      </c>
      <c r="B60" s="148" t="s">
        <v>659</v>
      </c>
      <c r="C60" s="148"/>
      <c r="D60" s="148"/>
      <c r="E60" s="148"/>
      <c r="F60" s="148"/>
      <c r="G60" s="148"/>
      <c r="H60" s="148"/>
      <c r="I60" s="148"/>
      <c r="J60" s="148"/>
      <c r="K60" s="148"/>
      <c r="L60" s="148"/>
      <c r="M60" s="148"/>
      <c r="N60" s="148"/>
      <c r="O60" s="148"/>
      <c r="P60" s="148"/>
      <c r="Q60" s="148"/>
      <c r="R60" s="147">
        <v>0</v>
      </c>
      <c r="T60">
        <f t="shared" si="0"/>
        <v>0</v>
      </c>
    </row>
    <row r="61" spans="1:20" x14ac:dyDescent="0.25">
      <c r="A61" s="147">
        <v>60</v>
      </c>
      <c r="B61" s="148" t="s">
        <v>660</v>
      </c>
      <c r="C61" s="148"/>
      <c r="D61" s="148"/>
      <c r="E61" s="148"/>
      <c r="F61" s="148"/>
      <c r="G61" s="148"/>
      <c r="H61" s="148"/>
      <c r="I61" s="148"/>
      <c r="J61" s="148"/>
      <c r="K61" s="148"/>
      <c r="L61" s="148"/>
      <c r="M61" s="148"/>
      <c r="N61" s="148"/>
      <c r="O61" s="148"/>
      <c r="P61" s="148"/>
      <c r="Q61" s="148"/>
      <c r="R61" s="147">
        <v>0</v>
      </c>
      <c r="T61">
        <f t="shared" si="0"/>
        <v>0</v>
      </c>
    </row>
    <row r="62" spans="1:20" x14ac:dyDescent="0.25">
      <c r="A62" s="147">
        <v>61</v>
      </c>
      <c r="B62" s="148" t="s">
        <v>661</v>
      </c>
      <c r="C62" s="148"/>
      <c r="D62" s="148"/>
      <c r="E62" s="148"/>
      <c r="F62" s="148"/>
      <c r="G62" s="148"/>
      <c r="H62" s="148"/>
      <c r="I62" s="148"/>
      <c r="J62" s="148"/>
      <c r="K62" s="148"/>
      <c r="L62" s="148"/>
      <c r="M62" s="148"/>
      <c r="N62" s="148"/>
      <c r="O62" s="148"/>
      <c r="P62" s="148"/>
      <c r="Q62" s="148"/>
      <c r="R62" s="147">
        <v>0</v>
      </c>
      <c r="T62">
        <f t="shared" si="0"/>
        <v>0</v>
      </c>
    </row>
    <row r="63" spans="1:20" x14ac:dyDescent="0.25">
      <c r="A63" s="147">
        <v>62</v>
      </c>
      <c r="B63" s="148" t="s">
        <v>662</v>
      </c>
      <c r="C63" s="148"/>
      <c r="D63" s="148"/>
      <c r="E63" s="148"/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/>
      <c r="R63" s="147">
        <v>0</v>
      </c>
      <c r="T63">
        <f t="shared" si="0"/>
        <v>0</v>
      </c>
    </row>
    <row r="64" spans="1:20" x14ac:dyDescent="0.25">
      <c r="A64" s="147">
        <v>63</v>
      </c>
      <c r="B64" s="148" t="s">
        <v>668</v>
      </c>
      <c r="C64" s="148"/>
      <c r="D64" s="148"/>
      <c r="E64" s="148"/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/>
      <c r="R64" s="147">
        <v>0</v>
      </c>
      <c r="T64">
        <f t="shared" si="0"/>
        <v>0</v>
      </c>
    </row>
    <row r="65" spans="1:18" x14ac:dyDescent="0.25">
      <c r="A65" s="181"/>
      <c r="B65" s="181"/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205">
        <v>848</v>
      </c>
    </row>
    <row r="66" spans="1:18" x14ac:dyDescent="0.25">
      <c r="A66" s="147"/>
      <c r="B66" s="148"/>
    </row>
    <row r="67" spans="1:18" x14ac:dyDescent="0.25">
      <c r="A67" s="147"/>
      <c r="B67" s="148"/>
    </row>
    <row r="68" spans="1:18" x14ac:dyDescent="0.25">
      <c r="A68" s="147"/>
      <c r="B68" s="148"/>
    </row>
    <row r="69" spans="1:18" x14ac:dyDescent="0.25">
      <c r="A69" s="147"/>
      <c r="B69" s="148"/>
    </row>
    <row r="70" spans="1:18" x14ac:dyDescent="0.25">
      <c r="A70" s="147"/>
      <c r="B70" s="148"/>
    </row>
    <row r="71" spans="1:18" x14ac:dyDescent="0.25">
      <c r="A71" s="181"/>
      <c r="B71" s="181"/>
    </row>
    <row r="72" spans="1:18" x14ac:dyDescent="0.25">
      <c r="A72" s="147"/>
      <c r="B72" s="148"/>
    </row>
    <row r="73" spans="1:18" x14ac:dyDescent="0.25">
      <c r="A73" s="147"/>
      <c r="B73" s="148"/>
    </row>
    <row r="74" spans="1:18" x14ac:dyDescent="0.25">
      <c r="A74" s="147"/>
      <c r="B74" s="148"/>
    </row>
    <row r="75" spans="1:18" x14ac:dyDescent="0.25">
      <c r="A75" s="147"/>
      <c r="B75" s="148"/>
    </row>
    <row r="76" spans="1:18" x14ac:dyDescent="0.25">
      <c r="A76" s="147"/>
      <c r="B76" s="148"/>
    </row>
    <row r="77" spans="1:18" x14ac:dyDescent="0.25">
      <c r="A77" s="181"/>
      <c r="B77" s="181"/>
    </row>
    <row r="78" spans="1:18" x14ac:dyDescent="0.25">
      <c r="A78" s="163"/>
      <c r="B78" s="163"/>
    </row>
    <row r="79" spans="1:18" x14ac:dyDescent="0.25">
      <c r="A79" s="146"/>
      <c r="B79" s="146"/>
    </row>
    <row r="80" spans="1:18" x14ac:dyDescent="0.25">
      <c r="A80" s="146"/>
      <c r="B80" s="146"/>
    </row>
    <row r="81" spans="1:2" x14ac:dyDescent="0.25">
      <c r="A81" s="146"/>
      <c r="B81" s="146"/>
    </row>
    <row r="82" spans="1:2" x14ac:dyDescent="0.25">
      <c r="A82" s="146"/>
      <c r="B82" s="146"/>
    </row>
    <row r="83" spans="1:2" x14ac:dyDescent="0.25">
      <c r="A83" s="146"/>
      <c r="B83" s="146"/>
    </row>
    <row r="84" spans="1:2" x14ac:dyDescent="0.25">
      <c r="A84" s="146"/>
      <c r="B84" s="146"/>
    </row>
    <row r="85" spans="1:2" x14ac:dyDescent="0.25">
      <c r="A85" s="146"/>
      <c r="B85" s="146"/>
    </row>
    <row r="86" spans="1:2" x14ac:dyDescent="0.25">
      <c r="A86" s="146"/>
      <c r="B86" s="146"/>
    </row>
    <row r="87" spans="1:2" x14ac:dyDescent="0.25">
      <c r="A87" s="146"/>
      <c r="B87" s="146"/>
    </row>
    <row r="88" spans="1:2" x14ac:dyDescent="0.25">
      <c r="A88" s="146"/>
      <c r="B88" s="146"/>
    </row>
    <row r="89" spans="1:2" x14ac:dyDescent="0.25">
      <c r="A89" s="146"/>
      <c r="B89" s="146"/>
    </row>
    <row r="90" spans="1:2" x14ac:dyDescent="0.25">
      <c r="A90" s="146"/>
      <c r="B90" s="146"/>
    </row>
    <row r="91" spans="1:2" x14ac:dyDescent="0.25">
      <c r="A91" s="146"/>
      <c r="B91" s="146"/>
    </row>
    <row r="92" spans="1:2" x14ac:dyDescent="0.25">
      <c r="A92" s="146"/>
      <c r="B92" s="146"/>
    </row>
    <row r="93" spans="1:2" x14ac:dyDescent="0.25">
      <c r="A93" s="146"/>
      <c r="B93" s="146"/>
    </row>
    <row r="94" spans="1:2" x14ac:dyDescent="0.25">
      <c r="A94" s="146"/>
      <c r="B94" s="146"/>
    </row>
    <row r="95" spans="1:2" x14ac:dyDescent="0.25">
      <c r="A95" s="146"/>
      <c r="B95" s="146"/>
    </row>
    <row r="96" spans="1:2" x14ac:dyDescent="0.25">
      <c r="A96" s="146"/>
      <c r="B96" s="146"/>
    </row>
    <row r="97" spans="1:2" x14ac:dyDescent="0.25">
      <c r="A97" s="146"/>
      <c r="B97" s="146"/>
    </row>
    <row r="98" spans="1:2" x14ac:dyDescent="0.25">
      <c r="A98" s="146"/>
      <c r="B98" s="146"/>
    </row>
    <row r="99" spans="1:2" x14ac:dyDescent="0.25">
      <c r="A99" s="146"/>
      <c r="B99" s="146"/>
    </row>
    <row r="100" spans="1:2" x14ac:dyDescent="0.25">
      <c r="A100" s="146"/>
      <c r="B100" s="146"/>
    </row>
    <row r="101" spans="1:2" x14ac:dyDescent="0.25">
      <c r="A101" s="146"/>
      <c r="B101" s="146"/>
    </row>
    <row r="102" spans="1:2" x14ac:dyDescent="0.25">
      <c r="A102" s="146"/>
      <c r="B102" s="146"/>
    </row>
    <row r="103" spans="1:2" x14ac:dyDescent="0.25">
      <c r="A103" s="146"/>
      <c r="B103" s="146"/>
    </row>
    <row r="104" spans="1:2" x14ac:dyDescent="0.25">
      <c r="A104" s="146"/>
      <c r="B104" s="146"/>
    </row>
    <row r="105" spans="1:2" x14ac:dyDescent="0.25">
      <c r="A105" s="146"/>
      <c r="B105" s="146"/>
    </row>
    <row r="106" spans="1:2" x14ac:dyDescent="0.25">
      <c r="A106" s="146"/>
      <c r="B106" s="146"/>
    </row>
    <row r="107" spans="1:2" x14ac:dyDescent="0.25">
      <c r="A107" s="146"/>
      <c r="B107" s="146"/>
    </row>
    <row r="108" spans="1:2" x14ac:dyDescent="0.25">
      <c r="A108" s="146"/>
      <c r="B108" s="146"/>
    </row>
    <row r="109" spans="1:2" x14ac:dyDescent="0.25">
      <c r="A109" s="146"/>
      <c r="B109" s="146"/>
    </row>
    <row r="110" spans="1:2" x14ac:dyDescent="0.25">
      <c r="A110" s="146"/>
      <c r="B110" s="146"/>
    </row>
    <row r="111" spans="1:2" x14ac:dyDescent="0.25">
      <c r="A111" s="146"/>
      <c r="B111" s="146"/>
    </row>
    <row r="112" spans="1:2" x14ac:dyDescent="0.25">
      <c r="A112" s="146"/>
      <c r="B112" s="146"/>
    </row>
    <row r="113" spans="1:2" x14ac:dyDescent="0.25">
      <c r="A113" s="146"/>
      <c r="B113" s="146"/>
    </row>
    <row r="114" spans="1:2" x14ac:dyDescent="0.25">
      <c r="A114" s="146"/>
      <c r="B114" s="146"/>
    </row>
    <row r="115" spans="1:2" x14ac:dyDescent="0.25">
      <c r="A115" s="146"/>
      <c r="B115" s="146"/>
    </row>
    <row r="116" spans="1:2" x14ac:dyDescent="0.25">
      <c r="A116" s="146"/>
      <c r="B116" s="146"/>
    </row>
    <row r="117" spans="1:2" x14ac:dyDescent="0.25">
      <c r="A117" s="146"/>
      <c r="B117" s="146"/>
    </row>
    <row r="118" spans="1:2" x14ac:dyDescent="0.25">
      <c r="A118" s="146"/>
      <c r="B118" s="146"/>
    </row>
    <row r="119" spans="1:2" x14ac:dyDescent="0.25">
      <c r="A119" s="146"/>
      <c r="B119" s="146"/>
    </row>
    <row r="120" spans="1:2" x14ac:dyDescent="0.25">
      <c r="A120" s="146"/>
      <c r="B120" s="146"/>
    </row>
    <row r="121" spans="1:2" x14ac:dyDescent="0.25">
      <c r="A121" s="146"/>
      <c r="B121" s="146"/>
    </row>
    <row r="122" spans="1:2" x14ac:dyDescent="0.25">
      <c r="A122" s="146"/>
      <c r="B122" s="146"/>
    </row>
    <row r="123" spans="1:2" x14ac:dyDescent="0.25">
      <c r="A123" s="146"/>
      <c r="B123" s="146"/>
    </row>
    <row r="124" spans="1:2" x14ac:dyDescent="0.25">
      <c r="A124" s="146"/>
      <c r="B124" s="146"/>
    </row>
    <row r="125" spans="1:2" x14ac:dyDescent="0.25">
      <c r="A125" s="146"/>
      <c r="B125" s="146"/>
    </row>
    <row r="126" spans="1:2" x14ac:dyDescent="0.25">
      <c r="A126" s="146"/>
      <c r="B126" s="146"/>
    </row>
    <row r="127" spans="1:2" x14ac:dyDescent="0.25">
      <c r="A127" s="146"/>
      <c r="B127" s="146"/>
    </row>
    <row r="128" spans="1:2" x14ac:dyDescent="0.25">
      <c r="A128" s="146"/>
      <c r="B128" s="146"/>
    </row>
    <row r="129" spans="1:2" x14ac:dyDescent="0.25">
      <c r="A129" s="146"/>
      <c r="B129" s="146"/>
    </row>
    <row r="130" spans="1:2" x14ac:dyDescent="0.25">
      <c r="A130" s="146"/>
      <c r="B130" s="14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/>
  </sheetPr>
  <dimension ref="A1:T65"/>
  <sheetViews>
    <sheetView zoomScale="80" zoomScaleNormal="80" workbookViewId="0">
      <selection activeCell="T2" sqref="T2:T64"/>
    </sheetView>
  </sheetViews>
  <sheetFormatPr defaultRowHeight="15" x14ac:dyDescent="0.25"/>
  <sheetData>
    <row r="1" spans="1:20" x14ac:dyDescent="0.25">
      <c r="A1" s="206" t="s">
        <v>1</v>
      </c>
      <c r="B1" s="206" t="s">
        <v>6</v>
      </c>
      <c r="C1" s="206" t="s">
        <v>46</v>
      </c>
      <c r="D1" s="206" t="s">
        <v>47</v>
      </c>
      <c r="E1" s="206" t="s">
        <v>48</v>
      </c>
      <c r="F1" s="206" t="s">
        <v>49</v>
      </c>
      <c r="G1" s="206" t="s">
        <v>50</v>
      </c>
      <c r="H1" s="206" t="s">
        <v>51</v>
      </c>
      <c r="I1" s="206" t="s">
        <v>52</v>
      </c>
      <c r="J1" s="206" t="s">
        <v>53</v>
      </c>
      <c r="K1" s="206" t="s">
        <v>54</v>
      </c>
      <c r="L1" s="206" t="s">
        <v>55</v>
      </c>
      <c r="M1" s="206" t="s">
        <v>56</v>
      </c>
      <c r="N1" s="206" t="s">
        <v>57</v>
      </c>
      <c r="O1" s="206" t="s">
        <v>58</v>
      </c>
      <c r="P1" s="206" t="s">
        <v>59</v>
      </c>
      <c r="Q1" s="206" t="s">
        <v>667</v>
      </c>
      <c r="R1" s="206" t="s">
        <v>2</v>
      </c>
    </row>
    <row r="2" spans="1:20" x14ac:dyDescent="0.25">
      <c r="A2" s="207">
        <v>1</v>
      </c>
      <c r="B2" s="208" t="s">
        <v>10</v>
      </c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7">
        <v>0</v>
      </c>
      <c r="T2">
        <f t="shared" ref="T2:T64" si="0">C2+D2+E2+F2+G2+H2+I2+J2+K2+L2+M2+N2+O2+P2+Q2</f>
        <v>0</v>
      </c>
    </row>
    <row r="3" spans="1:20" x14ac:dyDescent="0.25">
      <c r="A3" s="207">
        <v>2</v>
      </c>
      <c r="B3" s="208" t="s">
        <v>11</v>
      </c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207">
        <v>0</v>
      </c>
      <c r="T3">
        <f t="shared" si="0"/>
        <v>0</v>
      </c>
    </row>
    <row r="4" spans="1:20" x14ac:dyDescent="0.25">
      <c r="A4" s="207">
        <v>3</v>
      </c>
      <c r="B4" s="208" t="s">
        <v>12</v>
      </c>
      <c r="C4" s="208"/>
      <c r="D4" s="208"/>
      <c r="E4" s="208"/>
      <c r="F4" s="208"/>
      <c r="G4" s="208"/>
      <c r="H4" s="208"/>
      <c r="I4" s="208"/>
      <c r="J4" s="208"/>
      <c r="K4" s="208"/>
      <c r="L4" s="208"/>
      <c r="M4" s="208"/>
      <c r="N4" s="208"/>
      <c r="O4" s="208"/>
      <c r="P4" s="208"/>
      <c r="Q4" s="208"/>
      <c r="R4" s="207">
        <v>0</v>
      </c>
      <c r="T4">
        <f t="shared" si="0"/>
        <v>0</v>
      </c>
    </row>
    <row r="5" spans="1:20" x14ac:dyDescent="0.25">
      <c r="A5" s="207">
        <v>4</v>
      </c>
      <c r="B5" s="208" t="s">
        <v>651</v>
      </c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7">
        <v>0</v>
      </c>
      <c r="T5">
        <f t="shared" si="0"/>
        <v>0</v>
      </c>
    </row>
    <row r="6" spans="1:20" x14ac:dyDescent="0.25">
      <c r="A6" s="207">
        <v>5</v>
      </c>
      <c r="B6" s="208" t="s">
        <v>14</v>
      </c>
      <c r="C6" s="208"/>
      <c r="D6" s="208"/>
      <c r="E6" s="208"/>
      <c r="F6" s="208"/>
      <c r="G6" s="208"/>
      <c r="H6" s="208"/>
      <c r="I6" s="208"/>
      <c r="J6" s="208"/>
      <c r="K6" s="208"/>
      <c r="L6" s="208"/>
      <c r="M6" s="208"/>
      <c r="N6" s="208"/>
      <c r="O6" s="208"/>
      <c r="P6" s="208"/>
      <c r="Q6" s="208"/>
      <c r="R6" s="207">
        <v>0</v>
      </c>
      <c r="T6">
        <f t="shared" si="0"/>
        <v>0</v>
      </c>
    </row>
    <row r="7" spans="1:20" x14ac:dyDescent="0.25">
      <c r="A7" s="207">
        <v>6</v>
      </c>
      <c r="B7" s="208" t="s">
        <v>15</v>
      </c>
      <c r="C7" s="208"/>
      <c r="D7" s="208"/>
      <c r="E7" s="208"/>
      <c r="F7" s="208"/>
      <c r="G7" s="208"/>
      <c r="H7" s="208"/>
      <c r="I7" s="208"/>
      <c r="J7" s="208"/>
      <c r="K7" s="208"/>
      <c r="L7" s="208"/>
      <c r="M7" s="208"/>
      <c r="N7" s="208"/>
      <c r="O7" s="208"/>
      <c r="P7" s="208"/>
      <c r="Q7" s="208"/>
      <c r="R7" s="207">
        <v>0</v>
      </c>
      <c r="T7">
        <f t="shared" si="0"/>
        <v>0</v>
      </c>
    </row>
    <row r="8" spans="1:20" x14ac:dyDescent="0.25">
      <c r="A8" s="207">
        <v>7</v>
      </c>
      <c r="B8" s="208" t="s">
        <v>16</v>
      </c>
      <c r="C8" s="208"/>
      <c r="D8" s="208"/>
      <c r="E8" s="208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7">
        <v>0</v>
      </c>
      <c r="T8">
        <f t="shared" si="0"/>
        <v>0</v>
      </c>
    </row>
    <row r="9" spans="1:20" x14ac:dyDescent="0.25">
      <c r="A9" s="207">
        <v>8</v>
      </c>
      <c r="B9" s="208" t="s">
        <v>4</v>
      </c>
      <c r="C9" s="208"/>
      <c r="D9" s="208"/>
      <c r="E9" s="208"/>
      <c r="F9" s="208"/>
      <c r="G9" s="208"/>
      <c r="H9" s="208"/>
      <c r="I9" s="208"/>
      <c r="J9" s="208"/>
      <c r="K9" s="208"/>
      <c r="L9" s="208"/>
      <c r="M9" s="208"/>
      <c r="N9" s="208"/>
      <c r="O9" s="208"/>
      <c r="P9" s="208"/>
      <c r="Q9" s="208"/>
      <c r="R9" s="207">
        <v>0</v>
      </c>
      <c r="T9">
        <f t="shared" si="0"/>
        <v>0</v>
      </c>
    </row>
    <row r="10" spans="1:20" x14ac:dyDescent="0.25">
      <c r="A10" s="207">
        <v>9</v>
      </c>
      <c r="B10" s="208" t="s">
        <v>5</v>
      </c>
      <c r="C10" s="208"/>
      <c r="D10" s="208"/>
      <c r="E10" s="208"/>
      <c r="F10" s="208"/>
      <c r="G10" s="208"/>
      <c r="H10" s="208"/>
      <c r="I10" s="208"/>
      <c r="J10" s="208"/>
      <c r="K10" s="208"/>
      <c r="L10" s="208"/>
      <c r="M10" s="208"/>
      <c r="N10" s="208"/>
      <c r="O10" s="208"/>
      <c r="P10" s="208"/>
      <c r="Q10" s="208"/>
      <c r="R10" s="207">
        <v>0</v>
      </c>
      <c r="T10">
        <f t="shared" si="0"/>
        <v>0</v>
      </c>
    </row>
    <row r="11" spans="1:20" x14ac:dyDescent="0.25">
      <c r="A11" s="207">
        <v>10</v>
      </c>
      <c r="B11" s="208" t="s">
        <v>38</v>
      </c>
      <c r="C11" s="208"/>
      <c r="D11" s="208"/>
      <c r="E11" s="208"/>
      <c r="F11" s="208"/>
      <c r="G11" s="208"/>
      <c r="H11" s="208"/>
      <c r="I11" s="208"/>
      <c r="J11" s="208"/>
      <c r="K11" s="208"/>
      <c r="L11" s="208"/>
      <c r="M11" s="208"/>
      <c r="N11" s="208"/>
      <c r="O11" s="208"/>
      <c r="P11" s="208"/>
      <c r="Q11" s="208"/>
      <c r="R11" s="207">
        <v>0</v>
      </c>
      <c r="T11">
        <f t="shared" si="0"/>
        <v>0</v>
      </c>
    </row>
    <row r="12" spans="1:20" x14ac:dyDescent="0.25">
      <c r="A12" s="207">
        <v>11</v>
      </c>
      <c r="B12" s="208" t="s">
        <v>43</v>
      </c>
      <c r="C12" s="208"/>
      <c r="D12" s="208"/>
      <c r="E12" s="208"/>
      <c r="F12" s="208"/>
      <c r="G12" s="208"/>
      <c r="H12" s="208"/>
      <c r="I12" s="208"/>
      <c r="J12" s="208"/>
      <c r="K12" s="208"/>
      <c r="L12" s="208"/>
      <c r="M12" s="208"/>
      <c r="N12" s="208"/>
      <c r="O12" s="208"/>
      <c r="P12" s="208"/>
      <c r="Q12" s="208"/>
      <c r="R12" s="207">
        <v>0</v>
      </c>
      <c r="T12">
        <f t="shared" si="0"/>
        <v>0</v>
      </c>
    </row>
    <row r="13" spans="1:20" x14ac:dyDescent="0.25">
      <c r="A13" s="207">
        <v>12</v>
      </c>
      <c r="B13" s="208" t="s">
        <v>639</v>
      </c>
      <c r="C13" s="208"/>
      <c r="D13" s="208"/>
      <c r="E13" s="208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7">
        <v>0</v>
      </c>
      <c r="T13">
        <f t="shared" si="0"/>
        <v>0</v>
      </c>
    </row>
    <row r="14" spans="1:20" x14ac:dyDescent="0.25">
      <c r="A14" s="207">
        <v>13</v>
      </c>
      <c r="B14" s="208" t="s">
        <v>87</v>
      </c>
      <c r="C14" s="208"/>
      <c r="D14" s="208"/>
      <c r="E14" s="208"/>
      <c r="F14" s="208"/>
      <c r="G14" s="208"/>
      <c r="H14" s="208"/>
      <c r="I14" s="208"/>
      <c r="J14" s="208"/>
      <c r="K14" s="208"/>
      <c r="L14" s="208"/>
      <c r="M14" s="208"/>
      <c r="N14" s="208"/>
      <c r="O14" s="208"/>
      <c r="P14" s="208"/>
      <c r="Q14" s="208"/>
      <c r="R14" s="207">
        <v>0</v>
      </c>
      <c r="T14">
        <f t="shared" si="0"/>
        <v>0</v>
      </c>
    </row>
    <row r="15" spans="1:20" x14ac:dyDescent="0.25">
      <c r="A15" s="207">
        <v>14</v>
      </c>
      <c r="B15" s="208" t="s">
        <v>95</v>
      </c>
      <c r="C15" s="208"/>
      <c r="D15" s="208"/>
      <c r="E15" s="208"/>
      <c r="F15" s="208"/>
      <c r="G15" s="208"/>
      <c r="H15" s="208"/>
      <c r="I15" s="208"/>
      <c r="J15" s="208"/>
      <c r="K15" s="208"/>
      <c r="L15" s="208"/>
      <c r="M15" s="208"/>
      <c r="N15" s="208"/>
      <c r="O15" s="208"/>
      <c r="P15" s="208"/>
      <c r="Q15" s="208"/>
      <c r="R15" s="207">
        <v>0</v>
      </c>
      <c r="T15">
        <f t="shared" si="0"/>
        <v>0</v>
      </c>
    </row>
    <row r="16" spans="1:20" x14ac:dyDescent="0.25">
      <c r="A16" s="207">
        <v>15</v>
      </c>
      <c r="B16" s="208" t="s">
        <v>96</v>
      </c>
      <c r="C16" s="208"/>
      <c r="D16" s="208"/>
      <c r="E16" s="208"/>
      <c r="F16" s="208"/>
      <c r="G16" s="208"/>
      <c r="H16" s="208"/>
      <c r="I16" s="208"/>
      <c r="J16" s="208"/>
      <c r="K16" s="208"/>
      <c r="L16" s="208"/>
      <c r="M16" s="208"/>
      <c r="N16" s="208"/>
      <c r="O16" s="208"/>
      <c r="P16" s="208"/>
      <c r="Q16" s="208"/>
      <c r="R16" s="207">
        <v>0</v>
      </c>
      <c r="T16">
        <f t="shared" si="0"/>
        <v>0</v>
      </c>
    </row>
    <row r="17" spans="1:20" x14ac:dyDescent="0.25">
      <c r="A17" s="207">
        <v>16</v>
      </c>
      <c r="B17" s="208" t="s">
        <v>97</v>
      </c>
      <c r="C17" s="208"/>
      <c r="D17" s="208"/>
      <c r="E17" s="208"/>
      <c r="F17" s="208"/>
      <c r="G17" s="208"/>
      <c r="H17" s="208"/>
      <c r="I17" s="208"/>
      <c r="J17" s="208"/>
      <c r="K17" s="208"/>
      <c r="L17" s="208"/>
      <c r="M17" s="208"/>
      <c r="N17" s="208"/>
      <c r="O17" s="208"/>
      <c r="P17" s="208"/>
      <c r="Q17" s="208"/>
      <c r="R17" s="207">
        <v>0</v>
      </c>
      <c r="T17">
        <f t="shared" si="0"/>
        <v>0</v>
      </c>
    </row>
    <row r="18" spans="1:20" x14ac:dyDescent="0.25">
      <c r="A18" s="207">
        <v>17</v>
      </c>
      <c r="B18" s="208" t="s">
        <v>98</v>
      </c>
      <c r="C18" s="208"/>
      <c r="D18" s="208"/>
      <c r="E18" s="208"/>
      <c r="F18" s="208"/>
      <c r="G18" s="208"/>
      <c r="H18" s="208"/>
      <c r="I18" s="208"/>
      <c r="J18" s="208"/>
      <c r="K18" s="208"/>
      <c r="L18" s="208"/>
      <c r="M18" s="208"/>
      <c r="N18" s="208"/>
      <c r="O18" s="208"/>
      <c r="P18" s="208"/>
      <c r="Q18" s="208"/>
      <c r="R18" s="207">
        <v>0</v>
      </c>
      <c r="T18">
        <f t="shared" si="0"/>
        <v>0</v>
      </c>
    </row>
    <row r="19" spans="1:20" x14ac:dyDescent="0.25">
      <c r="A19" s="207">
        <v>18</v>
      </c>
      <c r="B19" s="208" t="s">
        <v>616</v>
      </c>
      <c r="C19" s="208"/>
      <c r="D19" s="208"/>
      <c r="E19" s="208"/>
      <c r="F19" s="208"/>
      <c r="G19" s="208"/>
      <c r="H19" s="208"/>
      <c r="I19" s="208"/>
      <c r="J19" s="208"/>
      <c r="K19" s="208"/>
      <c r="L19" s="208"/>
      <c r="M19" s="208"/>
      <c r="N19" s="208"/>
      <c r="O19" s="208"/>
      <c r="P19" s="208"/>
      <c r="Q19" s="208"/>
      <c r="R19" s="207">
        <v>0</v>
      </c>
      <c r="T19">
        <f t="shared" si="0"/>
        <v>0</v>
      </c>
    </row>
    <row r="20" spans="1:20" x14ac:dyDescent="0.25">
      <c r="A20" s="207">
        <v>19</v>
      </c>
      <c r="B20" s="208" t="s">
        <v>617</v>
      </c>
      <c r="C20" s="208"/>
      <c r="D20" s="208"/>
      <c r="E20" s="208"/>
      <c r="F20" s="208"/>
      <c r="G20" s="208"/>
      <c r="H20" s="208"/>
      <c r="I20" s="208"/>
      <c r="J20" s="208"/>
      <c r="K20" s="208"/>
      <c r="L20" s="208"/>
      <c r="M20" s="208"/>
      <c r="N20" s="208"/>
      <c r="O20" s="208"/>
      <c r="P20" s="208"/>
      <c r="Q20" s="208"/>
      <c r="R20" s="207">
        <v>0</v>
      </c>
      <c r="T20">
        <f t="shared" si="0"/>
        <v>0</v>
      </c>
    </row>
    <row r="21" spans="1:20" x14ac:dyDescent="0.25">
      <c r="A21" s="207">
        <v>20</v>
      </c>
      <c r="B21" s="208" t="s">
        <v>626</v>
      </c>
      <c r="C21" s="208"/>
      <c r="D21" s="208"/>
      <c r="E21" s="208"/>
      <c r="F21" s="208"/>
      <c r="G21" s="208"/>
      <c r="H21" s="208"/>
      <c r="I21" s="208"/>
      <c r="J21" s="208"/>
      <c r="K21" s="208"/>
      <c r="L21" s="208"/>
      <c r="M21" s="208"/>
      <c r="N21" s="208"/>
      <c r="O21" s="208"/>
      <c r="P21" s="208"/>
      <c r="Q21" s="208"/>
      <c r="R21" s="207">
        <v>0</v>
      </c>
      <c r="T21">
        <f t="shared" si="0"/>
        <v>0</v>
      </c>
    </row>
    <row r="22" spans="1:20" x14ac:dyDescent="0.25">
      <c r="A22" s="207">
        <v>21</v>
      </c>
      <c r="B22" s="208" t="s">
        <v>618</v>
      </c>
      <c r="C22" s="208"/>
      <c r="D22" s="208"/>
      <c r="E22" s="208"/>
      <c r="F22" s="208"/>
      <c r="G22" s="208"/>
      <c r="H22" s="208"/>
      <c r="I22" s="208"/>
      <c r="J22" s="208"/>
      <c r="K22" s="208"/>
      <c r="L22" s="208"/>
      <c r="M22" s="208"/>
      <c r="N22" s="208"/>
      <c r="O22" s="208"/>
      <c r="P22" s="208"/>
      <c r="Q22" s="208"/>
      <c r="R22" s="207">
        <v>0</v>
      </c>
      <c r="T22">
        <f t="shared" si="0"/>
        <v>0</v>
      </c>
    </row>
    <row r="23" spans="1:20" x14ac:dyDescent="0.25">
      <c r="A23" s="207">
        <v>22</v>
      </c>
      <c r="B23" s="208" t="s">
        <v>619</v>
      </c>
      <c r="C23" s="208"/>
      <c r="D23" s="208"/>
      <c r="E23" s="208"/>
      <c r="F23" s="208"/>
      <c r="G23" s="208"/>
      <c r="H23" s="208"/>
      <c r="I23" s="208"/>
      <c r="J23" s="208"/>
      <c r="K23" s="208"/>
      <c r="L23" s="208"/>
      <c r="M23" s="208"/>
      <c r="N23" s="208"/>
      <c r="O23" s="208"/>
      <c r="P23" s="208"/>
      <c r="Q23" s="208"/>
      <c r="R23" s="207">
        <v>0</v>
      </c>
      <c r="T23">
        <f t="shared" si="0"/>
        <v>0</v>
      </c>
    </row>
    <row r="24" spans="1:20" x14ac:dyDescent="0.25">
      <c r="A24" s="207">
        <v>23</v>
      </c>
      <c r="B24" s="208" t="s">
        <v>620</v>
      </c>
      <c r="C24" s="208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7">
        <v>0</v>
      </c>
      <c r="T24">
        <f t="shared" si="0"/>
        <v>0</v>
      </c>
    </row>
    <row r="25" spans="1:20" x14ac:dyDescent="0.25">
      <c r="A25" s="207">
        <v>24</v>
      </c>
      <c r="B25" s="208" t="s">
        <v>650</v>
      </c>
      <c r="C25" s="208"/>
      <c r="D25" s="208"/>
      <c r="E25" s="208"/>
      <c r="F25" s="208"/>
      <c r="G25" s="208"/>
      <c r="H25" s="208"/>
      <c r="I25" s="208"/>
      <c r="J25" s="208"/>
      <c r="K25" s="208"/>
      <c r="L25" s="208"/>
      <c r="M25" s="208"/>
      <c r="N25" s="208"/>
      <c r="O25" s="208"/>
      <c r="P25" s="208"/>
      <c r="Q25" s="208"/>
      <c r="R25" s="207">
        <v>0</v>
      </c>
      <c r="T25">
        <f t="shared" si="0"/>
        <v>0</v>
      </c>
    </row>
    <row r="26" spans="1:20" x14ac:dyDescent="0.25">
      <c r="A26" s="207">
        <v>25</v>
      </c>
      <c r="B26" s="208" t="s">
        <v>621</v>
      </c>
      <c r="C26" s="208"/>
      <c r="D26" s="208"/>
      <c r="E26" s="208"/>
      <c r="F26" s="208"/>
      <c r="G26" s="208"/>
      <c r="H26" s="208"/>
      <c r="I26" s="208"/>
      <c r="J26" s="208"/>
      <c r="K26" s="208"/>
      <c r="L26" s="208"/>
      <c r="M26" s="208" t="s">
        <v>54</v>
      </c>
      <c r="N26" s="208"/>
      <c r="O26" s="208"/>
      <c r="P26" s="208" t="s">
        <v>54</v>
      </c>
      <c r="Q26" s="208"/>
      <c r="R26" s="209">
        <v>48</v>
      </c>
      <c r="T26">
        <f t="shared" si="0"/>
        <v>48</v>
      </c>
    </row>
    <row r="27" spans="1:20" x14ac:dyDescent="0.25">
      <c r="A27" s="207">
        <v>26</v>
      </c>
      <c r="B27" s="208" t="s">
        <v>622</v>
      </c>
      <c r="C27" s="208"/>
      <c r="D27" s="208"/>
      <c r="E27" s="208"/>
      <c r="F27" s="208"/>
      <c r="G27" s="208"/>
      <c r="H27" s="208"/>
      <c r="I27" s="208"/>
      <c r="J27" s="208"/>
      <c r="K27" s="208"/>
      <c r="L27" s="208"/>
      <c r="M27" s="208" t="s">
        <v>54</v>
      </c>
      <c r="N27" s="208"/>
      <c r="O27" s="208"/>
      <c r="P27" s="208" t="s">
        <v>54</v>
      </c>
      <c r="Q27" s="208"/>
      <c r="R27" s="209">
        <v>48</v>
      </c>
      <c r="T27">
        <f t="shared" si="0"/>
        <v>48</v>
      </c>
    </row>
    <row r="28" spans="1:20" x14ac:dyDescent="0.25">
      <c r="A28" s="207">
        <v>27</v>
      </c>
      <c r="B28" s="208" t="s">
        <v>623</v>
      </c>
      <c r="C28" s="208"/>
      <c r="D28" s="208"/>
      <c r="E28" s="208"/>
      <c r="F28" s="208"/>
      <c r="G28" s="208"/>
      <c r="H28" s="208"/>
      <c r="I28" s="208"/>
      <c r="J28" s="208"/>
      <c r="K28" s="208"/>
      <c r="L28" s="208"/>
      <c r="M28" s="208"/>
      <c r="N28" s="208"/>
      <c r="O28" s="208"/>
      <c r="P28" s="208"/>
      <c r="Q28" s="208"/>
      <c r="R28" s="207">
        <v>0</v>
      </c>
      <c r="T28">
        <f t="shared" si="0"/>
        <v>0</v>
      </c>
    </row>
    <row r="29" spans="1:20" x14ac:dyDescent="0.25">
      <c r="A29" s="207">
        <v>28</v>
      </c>
      <c r="B29" s="208" t="s">
        <v>624</v>
      </c>
      <c r="C29" s="208"/>
      <c r="D29" s="208"/>
      <c r="E29" s="208"/>
      <c r="F29" s="208"/>
      <c r="G29" s="208"/>
      <c r="H29" s="208"/>
      <c r="I29" s="208"/>
      <c r="J29" s="208"/>
      <c r="K29" s="208"/>
      <c r="L29" s="208"/>
      <c r="M29" s="208"/>
      <c r="N29" s="208"/>
      <c r="O29" s="208"/>
      <c r="P29" s="208"/>
      <c r="Q29" s="208"/>
      <c r="R29" s="207">
        <v>0</v>
      </c>
      <c r="T29">
        <f t="shared" si="0"/>
        <v>0</v>
      </c>
    </row>
    <row r="30" spans="1:20" x14ac:dyDescent="0.25">
      <c r="A30" s="207">
        <v>29</v>
      </c>
      <c r="B30" s="208" t="s">
        <v>627</v>
      </c>
      <c r="C30" s="208"/>
      <c r="D30" s="208"/>
      <c r="E30" s="208"/>
      <c r="F30" s="208"/>
      <c r="G30" s="208"/>
      <c r="H30" s="208"/>
      <c r="I30" s="208"/>
      <c r="J30" s="208"/>
      <c r="K30" s="208"/>
      <c r="L30" s="208"/>
      <c r="M30" s="208"/>
      <c r="N30" s="208"/>
      <c r="O30" s="208"/>
      <c r="P30" s="208"/>
      <c r="Q30" s="208"/>
      <c r="R30" s="207">
        <v>0</v>
      </c>
      <c r="T30">
        <f t="shared" si="0"/>
        <v>0</v>
      </c>
    </row>
    <row r="31" spans="1:20" x14ac:dyDescent="0.25">
      <c r="A31" s="207">
        <v>30</v>
      </c>
      <c r="B31" s="208" t="s">
        <v>625</v>
      </c>
      <c r="C31" s="208"/>
      <c r="D31" s="208"/>
      <c r="E31" s="208"/>
      <c r="F31" s="208"/>
      <c r="G31" s="208"/>
      <c r="H31" s="208"/>
      <c r="I31" s="208"/>
      <c r="J31" s="208"/>
      <c r="K31" s="208"/>
      <c r="L31" s="208"/>
      <c r="M31" s="208"/>
      <c r="N31" s="208"/>
      <c r="O31" s="208"/>
      <c r="P31" s="208"/>
      <c r="Q31" s="208"/>
      <c r="R31" s="207">
        <v>0</v>
      </c>
      <c r="T31">
        <f t="shared" si="0"/>
        <v>0</v>
      </c>
    </row>
    <row r="32" spans="1:20" x14ac:dyDescent="0.25">
      <c r="A32" s="207">
        <v>31</v>
      </c>
      <c r="B32" s="208" t="s">
        <v>34</v>
      </c>
      <c r="C32" s="208"/>
      <c r="D32" s="208"/>
      <c r="E32" s="208"/>
      <c r="F32" s="208"/>
      <c r="G32" s="208"/>
      <c r="H32" s="208"/>
      <c r="I32" s="208"/>
      <c r="J32" s="208"/>
      <c r="K32" s="208"/>
      <c r="L32" s="208"/>
      <c r="M32" s="208"/>
      <c r="N32" s="208"/>
      <c r="O32" s="208"/>
      <c r="P32" s="208"/>
      <c r="Q32" s="208"/>
      <c r="R32" s="207">
        <v>0</v>
      </c>
      <c r="T32">
        <f t="shared" si="0"/>
        <v>0</v>
      </c>
    </row>
    <row r="33" spans="1:20" x14ac:dyDescent="0.25">
      <c r="A33" s="207">
        <v>32</v>
      </c>
      <c r="B33" s="208" t="s">
        <v>45</v>
      </c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7">
        <v>0</v>
      </c>
      <c r="T33">
        <f t="shared" si="0"/>
        <v>0</v>
      </c>
    </row>
    <row r="34" spans="1:20" x14ac:dyDescent="0.25">
      <c r="A34" s="207">
        <v>33</v>
      </c>
      <c r="B34" s="208" t="s">
        <v>630</v>
      </c>
      <c r="C34" s="208"/>
      <c r="D34" s="208"/>
      <c r="E34" s="208"/>
      <c r="F34" s="208"/>
      <c r="G34" s="208"/>
      <c r="H34" s="208"/>
      <c r="I34" s="208"/>
      <c r="J34" s="208"/>
      <c r="K34" s="208"/>
      <c r="L34" s="208"/>
      <c r="M34" s="208"/>
      <c r="N34" s="208"/>
      <c r="O34" s="208"/>
      <c r="P34" s="208"/>
      <c r="Q34" s="208"/>
      <c r="R34" s="207">
        <v>0</v>
      </c>
      <c r="T34">
        <f t="shared" si="0"/>
        <v>0</v>
      </c>
    </row>
    <row r="35" spans="1:20" x14ac:dyDescent="0.25">
      <c r="A35" s="207">
        <v>34</v>
      </c>
      <c r="B35" s="208" t="s">
        <v>628</v>
      </c>
      <c r="C35" s="208"/>
      <c r="D35" s="208"/>
      <c r="E35" s="208"/>
      <c r="F35" s="208"/>
      <c r="G35" s="208"/>
      <c r="H35" s="208"/>
      <c r="I35" s="208"/>
      <c r="J35" s="208"/>
      <c r="K35" s="208"/>
      <c r="L35" s="208"/>
      <c r="M35" s="208"/>
      <c r="N35" s="208"/>
      <c r="O35" s="208"/>
      <c r="P35" s="208"/>
      <c r="Q35" s="208"/>
      <c r="R35" s="207">
        <v>0</v>
      </c>
      <c r="T35">
        <f t="shared" si="0"/>
        <v>0</v>
      </c>
    </row>
    <row r="36" spans="1:20" x14ac:dyDescent="0.25">
      <c r="A36" s="207">
        <v>35</v>
      </c>
      <c r="B36" s="208" t="s">
        <v>629</v>
      </c>
      <c r="C36" s="208"/>
      <c r="D36" s="208"/>
      <c r="E36" s="208"/>
      <c r="F36" s="208"/>
      <c r="G36" s="208"/>
      <c r="H36" s="208"/>
      <c r="I36" s="208"/>
      <c r="J36" s="208"/>
      <c r="K36" s="208"/>
      <c r="L36" s="208"/>
      <c r="M36" s="208"/>
      <c r="N36" s="208"/>
      <c r="O36" s="208"/>
      <c r="P36" s="208"/>
      <c r="Q36" s="208"/>
      <c r="R36" s="207">
        <v>0</v>
      </c>
      <c r="T36">
        <f t="shared" si="0"/>
        <v>0</v>
      </c>
    </row>
    <row r="37" spans="1:20" x14ac:dyDescent="0.25">
      <c r="A37" s="207">
        <v>36</v>
      </c>
      <c r="B37" s="208" t="s">
        <v>631</v>
      </c>
      <c r="C37" s="208"/>
      <c r="D37" s="208"/>
      <c r="E37" s="208"/>
      <c r="F37" s="208"/>
      <c r="G37" s="208"/>
      <c r="H37" s="208"/>
      <c r="I37" s="208"/>
      <c r="J37" s="208"/>
      <c r="K37" s="208"/>
      <c r="L37" s="208"/>
      <c r="M37" s="208"/>
      <c r="N37" s="208"/>
      <c r="O37" s="208"/>
      <c r="P37" s="208"/>
      <c r="Q37" s="208"/>
      <c r="R37" s="207">
        <v>0</v>
      </c>
      <c r="T37">
        <f t="shared" si="0"/>
        <v>0</v>
      </c>
    </row>
    <row r="38" spans="1:20" x14ac:dyDescent="0.25">
      <c r="A38" s="207">
        <v>37</v>
      </c>
      <c r="B38" s="208" t="s">
        <v>632</v>
      </c>
      <c r="C38" s="208"/>
      <c r="D38" s="208"/>
      <c r="E38" s="208"/>
      <c r="F38" s="208"/>
      <c r="G38" s="208"/>
      <c r="H38" s="208"/>
      <c r="I38" s="208"/>
      <c r="J38" s="208"/>
      <c r="K38" s="208"/>
      <c r="L38" s="208"/>
      <c r="M38" s="208"/>
      <c r="N38" s="208"/>
      <c r="O38" s="208"/>
      <c r="P38" s="208"/>
      <c r="Q38" s="208"/>
      <c r="R38" s="207">
        <v>0</v>
      </c>
      <c r="T38">
        <f t="shared" si="0"/>
        <v>0</v>
      </c>
    </row>
    <row r="39" spans="1:20" x14ac:dyDescent="0.25">
      <c r="A39" s="207">
        <v>38</v>
      </c>
      <c r="B39" s="208" t="s">
        <v>633</v>
      </c>
      <c r="C39" s="208"/>
      <c r="D39" s="208"/>
      <c r="E39" s="208"/>
      <c r="F39" s="208"/>
      <c r="G39" s="208"/>
      <c r="H39" s="208"/>
      <c r="I39" s="208"/>
      <c r="J39" s="208"/>
      <c r="K39" s="208"/>
      <c r="L39" s="208"/>
      <c r="M39" s="208"/>
      <c r="N39" s="208"/>
      <c r="O39" s="208"/>
      <c r="P39" s="208"/>
      <c r="Q39" s="208"/>
      <c r="R39" s="207">
        <v>0</v>
      </c>
      <c r="T39">
        <f t="shared" si="0"/>
        <v>0</v>
      </c>
    </row>
    <row r="40" spans="1:20" x14ac:dyDescent="0.25">
      <c r="A40" s="207">
        <v>39</v>
      </c>
      <c r="B40" s="208" t="s">
        <v>634</v>
      </c>
      <c r="C40" s="208"/>
      <c r="D40" s="208"/>
      <c r="E40" s="208"/>
      <c r="F40" s="208"/>
      <c r="G40" s="208"/>
      <c r="H40" s="208"/>
      <c r="I40" s="208"/>
      <c r="J40" s="208"/>
      <c r="K40" s="208"/>
      <c r="L40" s="208"/>
      <c r="M40" s="208"/>
      <c r="N40" s="208"/>
      <c r="O40" s="208"/>
      <c r="P40" s="208"/>
      <c r="Q40" s="208"/>
      <c r="R40" s="207">
        <v>0</v>
      </c>
      <c r="T40">
        <f t="shared" si="0"/>
        <v>0</v>
      </c>
    </row>
    <row r="41" spans="1:20" x14ac:dyDescent="0.25">
      <c r="A41" s="207">
        <v>40</v>
      </c>
      <c r="B41" s="208" t="s">
        <v>636</v>
      </c>
      <c r="C41" s="208"/>
      <c r="D41" s="208"/>
      <c r="E41" s="208"/>
      <c r="F41" s="208"/>
      <c r="G41" s="208"/>
      <c r="H41" s="208"/>
      <c r="I41" s="208"/>
      <c r="J41" s="208"/>
      <c r="K41" s="208"/>
      <c r="L41" s="208"/>
      <c r="M41" s="208"/>
      <c r="N41" s="208"/>
      <c r="O41" s="208"/>
      <c r="P41" s="208"/>
      <c r="Q41" s="208"/>
      <c r="R41" s="207">
        <v>0</v>
      </c>
      <c r="T41">
        <f t="shared" si="0"/>
        <v>0</v>
      </c>
    </row>
    <row r="42" spans="1:20" x14ac:dyDescent="0.25">
      <c r="A42" s="207">
        <v>41</v>
      </c>
      <c r="B42" s="208" t="s">
        <v>637</v>
      </c>
      <c r="C42" s="208"/>
      <c r="D42" s="208"/>
      <c r="E42" s="208"/>
      <c r="F42" s="208"/>
      <c r="G42" s="208"/>
      <c r="H42" s="208"/>
      <c r="I42" s="208"/>
      <c r="J42" s="208"/>
      <c r="K42" s="208"/>
      <c r="L42" s="208"/>
      <c r="M42" s="208"/>
      <c r="N42" s="208"/>
      <c r="O42" s="208"/>
      <c r="P42" s="208"/>
      <c r="Q42" s="208"/>
      <c r="R42" s="207">
        <v>0</v>
      </c>
      <c r="T42">
        <f t="shared" si="0"/>
        <v>0</v>
      </c>
    </row>
    <row r="43" spans="1:20" x14ac:dyDescent="0.25">
      <c r="A43" s="207">
        <v>42</v>
      </c>
      <c r="B43" s="208" t="s">
        <v>640</v>
      </c>
      <c r="C43" s="208"/>
      <c r="D43" s="208"/>
      <c r="E43" s="208"/>
      <c r="F43" s="208"/>
      <c r="G43" s="208"/>
      <c r="H43" s="208"/>
      <c r="I43" s="208"/>
      <c r="J43" s="208"/>
      <c r="K43" s="208"/>
      <c r="L43" s="208"/>
      <c r="M43" s="208"/>
      <c r="N43" s="208"/>
      <c r="O43" s="208"/>
      <c r="P43" s="208"/>
      <c r="Q43" s="208"/>
      <c r="R43" s="207">
        <v>0</v>
      </c>
      <c r="T43">
        <f t="shared" si="0"/>
        <v>0</v>
      </c>
    </row>
    <row r="44" spans="1:20" x14ac:dyDescent="0.25">
      <c r="A44" s="207">
        <v>43</v>
      </c>
      <c r="B44" s="208" t="s">
        <v>638</v>
      </c>
      <c r="C44" s="208"/>
      <c r="D44" s="208"/>
      <c r="E44" s="208"/>
      <c r="F44" s="208"/>
      <c r="G44" s="208"/>
      <c r="H44" s="208"/>
      <c r="I44" s="208"/>
      <c r="J44" s="208"/>
      <c r="K44" s="208"/>
      <c r="L44" s="208"/>
      <c r="M44" s="208"/>
      <c r="N44" s="208"/>
      <c r="O44" s="208"/>
      <c r="P44" s="208"/>
      <c r="Q44" s="208"/>
      <c r="R44" s="207">
        <v>0</v>
      </c>
      <c r="T44">
        <f t="shared" si="0"/>
        <v>0</v>
      </c>
    </row>
    <row r="45" spans="1:20" x14ac:dyDescent="0.25">
      <c r="A45" s="207">
        <v>44</v>
      </c>
      <c r="B45" s="208" t="s">
        <v>635</v>
      </c>
      <c r="C45" s="208"/>
      <c r="D45" s="208"/>
      <c r="E45" s="208"/>
      <c r="F45" s="208"/>
      <c r="G45" s="208"/>
      <c r="H45" s="208"/>
      <c r="I45" s="208"/>
      <c r="J45" s="208"/>
      <c r="K45" s="208"/>
      <c r="L45" s="208"/>
      <c r="M45" s="208"/>
      <c r="N45" s="208"/>
      <c r="O45" s="208"/>
      <c r="P45" s="208"/>
      <c r="Q45" s="208"/>
      <c r="R45" s="207">
        <v>0</v>
      </c>
      <c r="T45">
        <f t="shared" si="0"/>
        <v>0</v>
      </c>
    </row>
    <row r="46" spans="1:20" x14ac:dyDescent="0.25">
      <c r="A46" s="207">
        <v>45</v>
      </c>
      <c r="B46" s="208" t="s">
        <v>641</v>
      </c>
      <c r="C46" s="208"/>
      <c r="D46" s="208"/>
      <c r="E46" s="208"/>
      <c r="F46" s="208"/>
      <c r="G46" s="208"/>
      <c r="H46" s="208"/>
      <c r="I46" s="208"/>
      <c r="J46" s="208"/>
      <c r="K46" s="208"/>
      <c r="L46" s="208"/>
      <c r="M46" s="208"/>
      <c r="N46" s="208"/>
      <c r="O46" s="208"/>
      <c r="P46" s="208"/>
      <c r="Q46" s="208"/>
      <c r="R46" s="207">
        <v>0</v>
      </c>
      <c r="T46">
        <f t="shared" si="0"/>
        <v>0</v>
      </c>
    </row>
    <row r="47" spans="1:20" x14ac:dyDescent="0.25">
      <c r="A47" s="207">
        <v>46</v>
      </c>
      <c r="B47" s="208" t="s">
        <v>649</v>
      </c>
      <c r="C47" s="208"/>
      <c r="D47" s="208"/>
      <c r="E47" s="208"/>
      <c r="F47" s="208"/>
      <c r="G47" s="208"/>
      <c r="H47" s="208"/>
      <c r="I47" s="208"/>
      <c r="J47" s="208"/>
      <c r="K47" s="208"/>
      <c r="L47" s="208"/>
      <c r="M47" s="208"/>
      <c r="N47" s="208"/>
      <c r="O47" s="208"/>
      <c r="P47" s="208"/>
      <c r="Q47" s="208"/>
      <c r="R47" s="207">
        <v>0</v>
      </c>
      <c r="T47">
        <f t="shared" si="0"/>
        <v>0</v>
      </c>
    </row>
    <row r="48" spans="1:20" x14ac:dyDescent="0.25">
      <c r="A48" s="207">
        <v>47</v>
      </c>
      <c r="B48" s="208" t="s">
        <v>642</v>
      </c>
      <c r="C48" s="208"/>
      <c r="D48" s="208"/>
      <c r="E48" s="208"/>
      <c r="F48" s="208"/>
      <c r="G48" s="208"/>
      <c r="H48" s="208"/>
      <c r="I48" s="208"/>
      <c r="J48" s="208"/>
      <c r="K48" s="208"/>
      <c r="L48" s="208"/>
      <c r="M48" s="208"/>
      <c r="N48" s="208"/>
      <c r="O48" s="208"/>
      <c r="P48" s="208"/>
      <c r="Q48" s="208"/>
      <c r="R48" s="207">
        <v>0</v>
      </c>
      <c r="T48">
        <f t="shared" si="0"/>
        <v>0</v>
      </c>
    </row>
    <row r="49" spans="1:20" x14ac:dyDescent="0.25">
      <c r="A49" s="207">
        <v>48</v>
      </c>
      <c r="B49" s="208" t="s">
        <v>643</v>
      </c>
      <c r="C49" s="208"/>
      <c r="D49" s="208"/>
      <c r="E49" s="208"/>
      <c r="F49" s="208"/>
      <c r="G49" s="208"/>
      <c r="H49" s="208"/>
      <c r="I49" s="208"/>
      <c r="J49" s="208"/>
      <c r="K49" s="208"/>
      <c r="L49" s="208"/>
      <c r="M49" s="208"/>
      <c r="N49" s="208"/>
      <c r="O49" s="208"/>
      <c r="P49" s="208"/>
      <c r="Q49" s="208"/>
      <c r="R49" s="207">
        <v>0</v>
      </c>
      <c r="T49">
        <f t="shared" si="0"/>
        <v>0</v>
      </c>
    </row>
    <row r="50" spans="1:20" x14ac:dyDescent="0.25">
      <c r="A50" s="207">
        <v>49</v>
      </c>
      <c r="B50" s="208" t="s">
        <v>644</v>
      </c>
      <c r="C50" s="208"/>
      <c r="D50" s="208"/>
      <c r="E50" s="208"/>
      <c r="F50" s="208"/>
      <c r="G50" s="208"/>
      <c r="H50" s="208"/>
      <c r="I50" s="208"/>
      <c r="J50" s="208"/>
      <c r="K50" s="208"/>
      <c r="L50" s="208"/>
      <c r="M50" s="208"/>
      <c r="N50" s="208"/>
      <c r="O50" s="208"/>
      <c r="P50" s="208"/>
      <c r="Q50" s="208"/>
      <c r="R50" s="207">
        <v>0</v>
      </c>
      <c r="T50">
        <f t="shared" si="0"/>
        <v>0</v>
      </c>
    </row>
    <row r="51" spans="1:20" x14ac:dyDescent="0.25">
      <c r="A51" s="207">
        <v>50</v>
      </c>
      <c r="B51" s="208" t="s">
        <v>646</v>
      </c>
      <c r="C51" s="208"/>
      <c r="D51" s="208"/>
      <c r="E51" s="208"/>
      <c r="F51" s="208"/>
      <c r="G51" s="208"/>
      <c r="H51" s="208"/>
      <c r="I51" s="208"/>
      <c r="J51" s="208"/>
      <c r="K51" s="208"/>
      <c r="L51" s="208"/>
      <c r="M51" s="208"/>
      <c r="N51" s="208"/>
      <c r="O51" s="208"/>
      <c r="P51" s="208"/>
      <c r="Q51" s="208"/>
      <c r="R51" s="207">
        <v>0</v>
      </c>
      <c r="T51">
        <f t="shared" si="0"/>
        <v>0</v>
      </c>
    </row>
    <row r="52" spans="1:20" x14ac:dyDescent="0.25">
      <c r="A52" s="207">
        <v>51</v>
      </c>
      <c r="B52" s="208" t="s">
        <v>647</v>
      </c>
      <c r="C52" s="208"/>
      <c r="D52" s="208"/>
      <c r="E52" s="208"/>
      <c r="F52" s="208"/>
      <c r="G52" s="208"/>
      <c r="H52" s="208"/>
      <c r="I52" s="208"/>
      <c r="J52" s="208"/>
      <c r="K52" s="208"/>
      <c r="L52" s="208"/>
      <c r="M52" s="208"/>
      <c r="N52" s="208"/>
      <c r="O52" s="208"/>
      <c r="P52" s="208"/>
      <c r="Q52" s="208"/>
      <c r="R52" s="207">
        <v>0</v>
      </c>
      <c r="T52">
        <f t="shared" si="0"/>
        <v>0</v>
      </c>
    </row>
    <row r="53" spans="1:20" x14ac:dyDescent="0.25">
      <c r="A53" s="207">
        <v>52</v>
      </c>
      <c r="B53" s="208" t="s">
        <v>652</v>
      </c>
      <c r="C53" s="208"/>
      <c r="D53" s="208"/>
      <c r="E53" s="208"/>
      <c r="F53" s="208"/>
      <c r="G53" s="208"/>
      <c r="H53" s="208"/>
      <c r="I53" s="208"/>
      <c r="J53" s="208"/>
      <c r="K53" s="208"/>
      <c r="L53" s="208"/>
      <c r="M53" s="208"/>
      <c r="N53" s="208"/>
      <c r="O53" s="208"/>
      <c r="P53" s="208"/>
      <c r="Q53" s="208"/>
      <c r="R53" s="207">
        <v>0</v>
      </c>
      <c r="T53">
        <f t="shared" si="0"/>
        <v>0</v>
      </c>
    </row>
    <row r="54" spans="1:20" x14ac:dyDescent="0.25">
      <c r="A54" s="207">
        <v>53</v>
      </c>
      <c r="B54" s="208" t="s">
        <v>653</v>
      </c>
      <c r="C54" s="208"/>
      <c r="D54" s="208"/>
      <c r="E54" s="208"/>
      <c r="F54" s="208"/>
      <c r="G54" s="208"/>
      <c r="H54" s="208"/>
      <c r="I54" s="208"/>
      <c r="J54" s="208"/>
      <c r="K54" s="208"/>
      <c r="L54" s="208"/>
      <c r="M54" s="208"/>
      <c r="N54" s="208"/>
      <c r="O54" s="208"/>
      <c r="P54" s="208"/>
      <c r="Q54" s="208"/>
      <c r="R54" s="207">
        <v>0</v>
      </c>
      <c r="T54">
        <f t="shared" si="0"/>
        <v>0</v>
      </c>
    </row>
    <row r="55" spans="1:20" x14ac:dyDescent="0.25">
      <c r="A55" s="207">
        <v>54</v>
      </c>
      <c r="B55" s="208" t="s">
        <v>654</v>
      </c>
      <c r="C55" s="208"/>
      <c r="D55" s="208"/>
      <c r="E55" s="208"/>
      <c r="F55" s="208"/>
      <c r="G55" s="208"/>
      <c r="H55" s="208"/>
      <c r="I55" s="208"/>
      <c r="J55" s="208"/>
      <c r="K55" s="208"/>
      <c r="L55" s="208"/>
      <c r="M55" s="208"/>
      <c r="N55" s="208"/>
      <c r="O55" s="208"/>
      <c r="P55" s="208"/>
      <c r="Q55" s="208"/>
      <c r="R55" s="207">
        <v>0</v>
      </c>
      <c r="T55">
        <f t="shared" si="0"/>
        <v>0</v>
      </c>
    </row>
    <row r="56" spans="1:20" x14ac:dyDescent="0.25">
      <c r="A56" s="207">
        <v>55</v>
      </c>
      <c r="B56" s="208" t="s">
        <v>655</v>
      </c>
      <c r="C56" s="208"/>
      <c r="D56" s="208"/>
      <c r="E56" s="208"/>
      <c r="F56" s="208"/>
      <c r="G56" s="208"/>
      <c r="H56" s="208"/>
      <c r="I56" s="208"/>
      <c r="J56" s="208"/>
      <c r="K56" s="208"/>
      <c r="L56" s="208"/>
      <c r="M56" s="208"/>
      <c r="N56" s="208"/>
      <c r="O56" s="208"/>
      <c r="P56" s="208"/>
      <c r="Q56" s="208"/>
      <c r="R56" s="207">
        <v>0</v>
      </c>
      <c r="T56">
        <f t="shared" si="0"/>
        <v>0</v>
      </c>
    </row>
    <row r="57" spans="1:20" x14ac:dyDescent="0.25">
      <c r="A57" s="207">
        <v>56</v>
      </c>
      <c r="B57" s="208" t="s">
        <v>656</v>
      </c>
      <c r="C57" s="208"/>
      <c r="D57" s="208"/>
      <c r="E57" s="208"/>
      <c r="F57" s="208"/>
      <c r="G57" s="208"/>
      <c r="H57" s="208"/>
      <c r="I57" s="208"/>
      <c r="J57" s="208"/>
      <c r="K57" s="208"/>
      <c r="L57" s="208"/>
      <c r="M57" s="208"/>
      <c r="N57" s="208"/>
      <c r="O57" s="208"/>
      <c r="P57" s="208"/>
      <c r="Q57" s="208"/>
      <c r="R57" s="207">
        <v>0</v>
      </c>
      <c r="T57">
        <f t="shared" si="0"/>
        <v>0</v>
      </c>
    </row>
    <row r="58" spans="1:20" x14ac:dyDescent="0.25">
      <c r="A58" s="207">
        <v>57</v>
      </c>
      <c r="B58" s="208" t="s">
        <v>657</v>
      </c>
      <c r="C58" s="208"/>
      <c r="D58" s="208"/>
      <c r="E58" s="208"/>
      <c r="F58" s="208"/>
      <c r="G58" s="208"/>
      <c r="H58" s="208"/>
      <c r="I58" s="208"/>
      <c r="J58" s="208"/>
      <c r="K58" s="208"/>
      <c r="L58" s="208"/>
      <c r="M58" s="208"/>
      <c r="N58" s="208"/>
      <c r="O58" s="208"/>
      <c r="P58" s="208"/>
      <c r="Q58" s="208"/>
      <c r="R58" s="207">
        <v>0</v>
      </c>
      <c r="T58">
        <f t="shared" si="0"/>
        <v>0</v>
      </c>
    </row>
    <row r="59" spans="1:20" x14ac:dyDescent="0.25">
      <c r="A59" s="207">
        <v>58</v>
      </c>
      <c r="B59" s="208" t="s">
        <v>658</v>
      </c>
      <c r="C59" s="208"/>
      <c r="D59" s="208"/>
      <c r="E59" s="208"/>
      <c r="F59" s="208"/>
      <c r="G59" s="208"/>
      <c r="H59" s="208"/>
      <c r="I59" s="208"/>
      <c r="J59" s="208"/>
      <c r="K59" s="208"/>
      <c r="L59" s="208"/>
      <c r="M59" s="208"/>
      <c r="N59" s="208"/>
      <c r="O59" s="208"/>
      <c r="P59" s="208"/>
      <c r="Q59" s="208"/>
      <c r="R59" s="207">
        <v>0</v>
      </c>
      <c r="T59">
        <f t="shared" si="0"/>
        <v>0</v>
      </c>
    </row>
    <row r="60" spans="1:20" x14ac:dyDescent="0.25">
      <c r="A60" s="207">
        <v>59</v>
      </c>
      <c r="B60" s="208" t="s">
        <v>659</v>
      </c>
      <c r="C60" s="208"/>
      <c r="D60" s="208"/>
      <c r="E60" s="208"/>
      <c r="F60" s="208"/>
      <c r="G60" s="208"/>
      <c r="H60" s="208"/>
      <c r="I60" s="208"/>
      <c r="J60" s="208"/>
      <c r="K60" s="208"/>
      <c r="L60" s="208"/>
      <c r="M60" s="208"/>
      <c r="N60" s="208"/>
      <c r="O60" s="208"/>
      <c r="P60" s="208"/>
      <c r="Q60" s="208"/>
      <c r="R60" s="207">
        <v>0</v>
      </c>
      <c r="T60">
        <f t="shared" si="0"/>
        <v>0</v>
      </c>
    </row>
    <row r="61" spans="1:20" x14ac:dyDescent="0.25">
      <c r="A61" s="207">
        <v>60</v>
      </c>
      <c r="B61" s="208" t="s">
        <v>660</v>
      </c>
      <c r="C61" s="208"/>
      <c r="D61" s="208"/>
      <c r="E61" s="208"/>
      <c r="F61" s="208"/>
      <c r="G61" s="208"/>
      <c r="H61" s="208"/>
      <c r="I61" s="208"/>
      <c r="J61" s="208"/>
      <c r="K61" s="208"/>
      <c r="L61" s="208"/>
      <c r="M61" s="208"/>
      <c r="N61" s="208"/>
      <c r="O61" s="208"/>
      <c r="P61" s="208"/>
      <c r="Q61" s="208"/>
      <c r="R61" s="207">
        <v>0</v>
      </c>
      <c r="T61">
        <f t="shared" si="0"/>
        <v>0</v>
      </c>
    </row>
    <row r="62" spans="1:20" x14ac:dyDescent="0.25">
      <c r="A62" s="207">
        <v>61</v>
      </c>
      <c r="B62" s="208" t="s">
        <v>661</v>
      </c>
      <c r="C62" s="208"/>
      <c r="D62" s="208"/>
      <c r="E62" s="208"/>
      <c r="F62" s="208"/>
      <c r="G62" s="208"/>
      <c r="H62" s="208"/>
      <c r="I62" s="208"/>
      <c r="J62" s="208"/>
      <c r="K62" s="208"/>
      <c r="L62" s="208"/>
      <c r="M62" s="208"/>
      <c r="N62" s="208"/>
      <c r="O62" s="208"/>
      <c r="P62" s="208"/>
      <c r="Q62" s="208"/>
      <c r="R62" s="207">
        <v>0</v>
      </c>
      <c r="T62">
        <f t="shared" si="0"/>
        <v>0</v>
      </c>
    </row>
    <row r="63" spans="1:20" x14ac:dyDescent="0.25">
      <c r="A63" s="207">
        <v>62</v>
      </c>
      <c r="B63" s="208" t="s">
        <v>662</v>
      </c>
      <c r="C63" s="208"/>
      <c r="D63" s="208"/>
      <c r="E63" s="208"/>
      <c r="F63" s="208"/>
      <c r="G63" s="208"/>
      <c r="H63" s="208"/>
      <c r="I63" s="208"/>
      <c r="J63" s="208"/>
      <c r="K63" s="208"/>
      <c r="L63" s="208"/>
      <c r="M63" s="208"/>
      <c r="N63" s="208"/>
      <c r="O63" s="208"/>
      <c r="P63" s="208"/>
      <c r="Q63" s="208"/>
      <c r="R63" s="207">
        <v>0</v>
      </c>
      <c r="T63">
        <f t="shared" si="0"/>
        <v>0</v>
      </c>
    </row>
    <row r="64" spans="1:20" x14ac:dyDescent="0.25">
      <c r="A64" s="207">
        <v>63</v>
      </c>
      <c r="B64" s="208" t="s">
        <v>668</v>
      </c>
      <c r="C64" s="208"/>
      <c r="D64" s="208"/>
      <c r="E64" s="208"/>
      <c r="F64" s="208"/>
      <c r="G64" s="208"/>
      <c r="H64" s="208"/>
      <c r="I64" s="208"/>
      <c r="J64" s="208"/>
      <c r="K64" s="208"/>
      <c r="L64" s="208"/>
      <c r="M64" s="208"/>
      <c r="N64" s="208"/>
      <c r="O64" s="208"/>
      <c r="P64" s="208"/>
      <c r="Q64" s="208"/>
      <c r="R64" s="207">
        <v>0</v>
      </c>
      <c r="T64">
        <f t="shared" si="0"/>
        <v>0</v>
      </c>
    </row>
    <row r="65" spans="1:18" x14ac:dyDescent="0.25">
      <c r="A65" s="206"/>
      <c r="B65" s="206"/>
      <c r="C65" s="206"/>
      <c r="D65" s="206"/>
      <c r="E65" s="206"/>
      <c r="F65" s="206"/>
      <c r="G65" s="206"/>
      <c r="H65" s="206"/>
      <c r="I65" s="206"/>
      <c r="J65" s="206"/>
      <c r="K65" s="206"/>
      <c r="L65" s="206"/>
      <c r="M65" s="206"/>
      <c r="N65" s="206"/>
      <c r="O65" s="206"/>
      <c r="P65" s="206"/>
      <c r="Q65" s="206"/>
      <c r="R65" s="210">
        <v>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/>
  </sheetPr>
  <dimension ref="A1:T78"/>
  <sheetViews>
    <sheetView topLeftCell="A19" zoomScale="55" zoomScaleNormal="55" workbookViewId="0">
      <selection activeCell="T2" sqref="T2:T64"/>
    </sheetView>
  </sheetViews>
  <sheetFormatPr defaultRowHeight="15" x14ac:dyDescent="0.25"/>
  <cols>
    <col min="2" max="2" width="29.85546875" bestFit="1" customWidth="1"/>
  </cols>
  <sheetData>
    <row r="1" spans="1:20" x14ac:dyDescent="0.25">
      <c r="A1" s="180" t="s">
        <v>1</v>
      </c>
      <c r="B1" s="180" t="s">
        <v>6</v>
      </c>
      <c r="C1" s="180" t="s">
        <v>46</v>
      </c>
      <c r="D1" s="180" t="s">
        <v>47</v>
      </c>
      <c r="E1" s="180" t="s">
        <v>48</v>
      </c>
      <c r="F1" s="180" t="s">
        <v>49</v>
      </c>
      <c r="G1" s="180" t="s">
        <v>50</v>
      </c>
      <c r="H1" s="180" t="s">
        <v>51</v>
      </c>
      <c r="I1" s="180" t="s">
        <v>52</v>
      </c>
      <c r="J1" s="180" t="s">
        <v>53</v>
      </c>
      <c r="K1" s="180" t="s">
        <v>54</v>
      </c>
      <c r="L1" s="180" t="s">
        <v>55</v>
      </c>
      <c r="M1" s="180" t="s">
        <v>56</v>
      </c>
      <c r="N1" s="180" t="s">
        <v>57</v>
      </c>
      <c r="O1" s="180" t="s">
        <v>58</v>
      </c>
      <c r="P1" s="180" t="s">
        <v>59</v>
      </c>
      <c r="Q1" s="180" t="s">
        <v>667</v>
      </c>
      <c r="R1" s="180" t="s">
        <v>2</v>
      </c>
    </row>
    <row r="2" spans="1:20" x14ac:dyDescent="0.25">
      <c r="A2" s="152">
        <v>1</v>
      </c>
      <c r="B2" s="153" t="s">
        <v>10</v>
      </c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2">
        <v>0</v>
      </c>
      <c r="T2">
        <f t="shared" ref="T2:T64" si="0">C2+D2+E2+F2+G2+H2+I2+J2+K2+L2+M2+N2+O2+P2+Q2</f>
        <v>0</v>
      </c>
    </row>
    <row r="3" spans="1:20" x14ac:dyDescent="0.25">
      <c r="A3" s="152">
        <v>2</v>
      </c>
      <c r="B3" s="153" t="s">
        <v>11</v>
      </c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2">
        <v>0</v>
      </c>
      <c r="T3">
        <f t="shared" si="0"/>
        <v>0</v>
      </c>
    </row>
    <row r="4" spans="1:20" x14ac:dyDescent="0.25">
      <c r="A4" s="152">
        <v>3</v>
      </c>
      <c r="B4" s="153" t="s">
        <v>12</v>
      </c>
      <c r="C4" s="153" t="s">
        <v>54</v>
      </c>
      <c r="D4" s="153" t="s">
        <v>54</v>
      </c>
      <c r="E4" s="153" t="s">
        <v>54</v>
      </c>
      <c r="F4" s="153" t="s">
        <v>54</v>
      </c>
      <c r="G4" s="153" t="s">
        <v>54</v>
      </c>
      <c r="H4" s="153" t="s">
        <v>54</v>
      </c>
      <c r="I4" s="153" t="s">
        <v>54</v>
      </c>
      <c r="J4" s="153" t="s">
        <v>54</v>
      </c>
      <c r="K4" s="153" t="s">
        <v>54</v>
      </c>
      <c r="L4" s="153" t="s">
        <v>54</v>
      </c>
      <c r="M4" s="153" t="s">
        <v>54</v>
      </c>
      <c r="N4" s="153" t="s">
        <v>54</v>
      </c>
      <c r="O4" s="153" t="s">
        <v>54</v>
      </c>
      <c r="P4" s="153" t="s">
        <v>54</v>
      </c>
      <c r="Q4" s="153" t="s">
        <v>54</v>
      </c>
      <c r="R4" s="202">
        <v>720</v>
      </c>
      <c r="T4">
        <f t="shared" si="0"/>
        <v>360</v>
      </c>
    </row>
    <row r="5" spans="1:20" x14ac:dyDescent="0.25">
      <c r="A5" s="152">
        <v>4</v>
      </c>
      <c r="B5" s="153" t="s">
        <v>651</v>
      </c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2">
        <v>0</v>
      </c>
      <c r="T5">
        <f t="shared" si="0"/>
        <v>0</v>
      </c>
    </row>
    <row r="6" spans="1:20" x14ac:dyDescent="0.25">
      <c r="A6" s="152">
        <v>5</v>
      </c>
      <c r="B6" s="153" t="s">
        <v>14</v>
      </c>
      <c r="C6" s="153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2">
        <v>0</v>
      </c>
      <c r="T6">
        <f t="shared" si="0"/>
        <v>0</v>
      </c>
    </row>
    <row r="7" spans="1:20" x14ac:dyDescent="0.25">
      <c r="A7" s="152">
        <v>6</v>
      </c>
      <c r="B7" s="153" t="s">
        <v>15</v>
      </c>
      <c r="C7" s="153"/>
      <c r="D7" s="153"/>
      <c r="E7" s="153"/>
      <c r="F7" s="153"/>
      <c r="G7" s="153"/>
      <c r="H7" s="153"/>
      <c r="I7" s="153"/>
      <c r="J7" s="153"/>
      <c r="K7" s="153"/>
      <c r="L7" s="153"/>
      <c r="M7" s="153"/>
      <c r="N7" s="153"/>
      <c r="O7" s="153"/>
      <c r="P7" s="153"/>
      <c r="Q7" s="153"/>
      <c r="R7" s="152">
        <v>0</v>
      </c>
      <c r="T7">
        <f t="shared" si="0"/>
        <v>0</v>
      </c>
    </row>
    <row r="8" spans="1:20" x14ac:dyDescent="0.25">
      <c r="A8" s="152">
        <v>7</v>
      </c>
      <c r="B8" s="153" t="s">
        <v>16</v>
      </c>
      <c r="C8" s="153"/>
      <c r="D8" s="153"/>
      <c r="E8" s="153"/>
      <c r="F8" s="153"/>
      <c r="G8" s="153"/>
      <c r="H8" s="153"/>
      <c r="I8" s="153"/>
      <c r="J8" s="153"/>
      <c r="K8" s="153"/>
      <c r="L8" s="153"/>
      <c r="M8" s="153"/>
      <c r="N8" s="153"/>
      <c r="O8" s="153"/>
      <c r="P8" s="153"/>
      <c r="Q8" s="153"/>
      <c r="R8" s="152">
        <v>0</v>
      </c>
      <c r="T8">
        <f t="shared" si="0"/>
        <v>0</v>
      </c>
    </row>
    <row r="9" spans="1:20" x14ac:dyDescent="0.25">
      <c r="A9" s="152">
        <v>8</v>
      </c>
      <c r="B9" s="153" t="s">
        <v>4</v>
      </c>
      <c r="C9" s="153" t="s">
        <v>54</v>
      </c>
      <c r="D9" s="153" t="s">
        <v>54</v>
      </c>
      <c r="E9" s="153" t="s">
        <v>54</v>
      </c>
      <c r="F9" s="153" t="s">
        <v>54</v>
      </c>
      <c r="G9" s="153" t="s">
        <v>54</v>
      </c>
      <c r="H9" s="153" t="s">
        <v>54</v>
      </c>
      <c r="I9" s="153" t="s">
        <v>54</v>
      </c>
      <c r="J9" s="153" t="s">
        <v>54</v>
      </c>
      <c r="K9" s="153" t="s">
        <v>54</v>
      </c>
      <c r="L9" s="153" t="s">
        <v>54</v>
      </c>
      <c r="M9" s="153" t="s">
        <v>54</v>
      </c>
      <c r="N9" s="153" t="s">
        <v>54</v>
      </c>
      <c r="O9" s="153" t="s">
        <v>54</v>
      </c>
      <c r="P9" s="153" t="s">
        <v>54</v>
      </c>
      <c r="Q9" s="153" t="s">
        <v>54</v>
      </c>
      <c r="R9" s="202">
        <v>720</v>
      </c>
      <c r="T9">
        <f t="shared" si="0"/>
        <v>360</v>
      </c>
    </row>
    <row r="10" spans="1:20" x14ac:dyDescent="0.25">
      <c r="A10" s="152">
        <v>9</v>
      </c>
      <c r="B10" s="153" t="s">
        <v>5</v>
      </c>
      <c r="C10" s="153"/>
      <c r="D10" s="153"/>
      <c r="E10" s="153"/>
      <c r="F10" s="153"/>
      <c r="G10" s="153"/>
      <c r="H10" s="153"/>
      <c r="I10" s="153"/>
      <c r="J10" s="153"/>
      <c r="K10" s="153"/>
      <c r="L10" s="153"/>
      <c r="M10" s="153"/>
      <c r="N10" s="153"/>
      <c r="O10" s="153"/>
      <c r="P10" s="153"/>
      <c r="Q10" s="153"/>
      <c r="R10" s="152">
        <v>0</v>
      </c>
      <c r="T10">
        <f t="shared" si="0"/>
        <v>0</v>
      </c>
    </row>
    <row r="11" spans="1:20" x14ac:dyDescent="0.25">
      <c r="A11" s="152">
        <v>10</v>
      </c>
      <c r="B11" s="153" t="s">
        <v>38</v>
      </c>
      <c r="C11" s="153"/>
      <c r="D11" s="153"/>
      <c r="E11" s="153"/>
      <c r="F11" s="153"/>
      <c r="G11" s="153"/>
      <c r="H11" s="153"/>
      <c r="I11" s="153"/>
      <c r="J11" s="153"/>
      <c r="K11" s="153"/>
      <c r="L11" s="153"/>
      <c r="M11" s="153"/>
      <c r="N11" s="153"/>
      <c r="O11" s="153"/>
      <c r="P11" s="153"/>
      <c r="Q11" s="153"/>
      <c r="R11" s="152">
        <v>0</v>
      </c>
      <c r="T11">
        <f t="shared" si="0"/>
        <v>0</v>
      </c>
    </row>
    <row r="12" spans="1:20" x14ac:dyDescent="0.25">
      <c r="A12" s="152">
        <v>11</v>
      </c>
      <c r="B12" s="153" t="s">
        <v>43</v>
      </c>
      <c r="C12" s="153"/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3"/>
      <c r="P12" s="153"/>
      <c r="Q12" s="153"/>
      <c r="R12" s="152">
        <v>0</v>
      </c>
      <c r="T12">
        <f t="shared" si="0"/>
        <v>0</v>
      </c>
    </row>
    <row r="13" spans="1:20" x14ac:dyDescent="0.25">
      <c r="A13" s="152">
        <v>12</v>
      </c>
      <c r="B13" s="153" t="s">
        <v>639</v>
      </c>
      <c r="C13" s="153" t="s">
        <v>54</v>
      </c>
      <c r="D13" s="153" t="s">
        <v>54</v>
      </c>
      <c r="E13" s="153" t="s">
        <v>54</v>
      </c>
      <c r="F13" s="153" t="s">
        <v>54</v>
      </c>
      <c r="G13" s="153" t="s">
        <v>54</v>
      </c>
      <c r="H13" s="153" t="s">
        <v>54</v>
      </c>
      <c r="I13" s="153" t="s">
        <v>54</v>
      </c>
      <c r="J13" s="153" t="s">
        <v>54</v>
      </c>
      <c r="K13" s="153" t="s">
        <v>54</v>
      </c>
      <c r="L13" s="153" t="s">
        <v>54</v>
      </c>
      <c r="M13" s="153" t="s">
        <v>54</v>
      </c>
      <c r="N13" s="153" t="s">
        <v>54</v>
      </c>
      <c r="O13" s="153" t="s">
        <v>54</v>
      </c>
      <c r="P13" s="153" t="s">
        <v>54</v>
      </c>
      <c r="Q13" s="153" t="s">
        <v>54</v>
      </c>
      <c r="R13" s="202">
        <v>720</v>
      </c>
      <c r="T13">
        <f t="shared" si="0"/>
        <v>360</v>
      </c>
    </row>
    <row r="14" spans="1:20" x14ac:dyDescent="0.25">
      <c r="A14" s="152">
        <v>13</v>
      </c>
      <c r="B14" s="153" t="s">
        <v>87</v>
      </c>
      <c r="C14" s="153"/>
      <c r="D14" s="153"/>
      <c r="E14" s="153"/>
      <c r="F14" s="153"/>
      <c r="G14" s="153"/>
      <c r="H14" s="153"/>
      <c r="I14" s="153"/>
      <c r="J14" s="153"/>
      <c r="K14" s="153"/>
      <c r="L14" s="153"/>
      <c r="M14" s="153"/>
      <c r="N14" s="153"/>
      <c r="O14" s="153"/>
      <c r="P14" s="153"/>
      <c r="Q14" s="153"/>
      <c r="R14" s="152">
        <v>0</v>
      </c>
      <c r="T14">
        <f t="shared" si="0"/>
        <v>0</v>
      </c>
    </row>
    <row r="15" spans="1:20" x14ac:dyDescent="0.25">
      <c r="A15" s="152">
        <v>14</v>
      </c>
      <c r="B15" s="153" t="s">
        <v>95</v>
      </c>
      <c r="C15" s="153"/>
      <c r="D15" s="153"/>
      <c r="E15" s="153"/>
      <c r="F15" s="153"/>
      <c r="G15" s="153"/>
      <c r="H15" s="153"/>
      <c r="I15" s="153"/>
      <c r="J15" s="153"/>
      <c r="K15" s="153"/>
      <c r="L15" s="153"/>
      <c r="M15" s="153"/>
      <c r="N15" s="153"/>
      <c r="O15" s="153"/>
      <c r="P15" s="153"/>
      <c r="Q15" s="153"/>
      <c r="R15" s="152">
        <v>0</v>
      </c>
      <c r="T15">
        <f t="shared" si="0"/>
        <v>0</v>
      </c>
    </row>
    <row r="16" spans="1:20" x14ac:dyDescent="0.25">
      <c r="A16" s="152">
        <v>15</v>
      </c>
      <c r="B16" s="153" t="s">
        <v>96</v>
      </c>
      <c r="C16" s="153"/>
      <c r="D16" s="153"/>
      <c r="E16" s="153"/>
      <c r="F16" s="153"/>
      <c r="G16" s="153"/>
      <c r="H16" s="153"/>
      <c r="I16" s="153"/>
      <c r="J16" s="153"/>
      <c r="K16" s="153"/>
      <c r="L16" s="153"/>
      <c r="M16" s="153"/>
      <c r="N16" s="153"/>
      <c r="O16" s="153"/>
      <c r="P16" s="153"/>
      <c r="Q16" s="153"/>
      <c r="R16" s="152">
        <v>0</v>
      </c>
      <c r="T16">
        <f t="shared" si="0"/>
        <v>0</v>
      </c>
    </row>
    <row r="17" spans="1:20" x14ac:dyDescent="0.25">
      <c r="A17" s="152">
        <v>16</v>
      </c>
      <c r="B17" s="153" t="s">
        <v>97</v>
      </c>
      <c r="C17" s="153"/>
      <c r="D17" s="153"/>
      <c r="E17" s="153"/>
      <c r="F17" s="153"/>
      <c r="G17" s="153"/>
      <c r="H17" s="153"/>
      <c r="I17" s="153"/>
      <c r="J17" s="153"/>
      <c r="K17" s="153"/>
      <c r="L17" s="153"/>
      <c r="M17" s="153"/>
      <c r="N17" s="153"/>
      <c r="O17" s="153"/>
      <c r="P17" s="153"/>
      <c r="Q17" s="153"/>
      <c r="R17" s="152">
        <v>0</v>
      </c>
      <c r="T17">
        <f t="shared" si="0"/>
        <v>0</v>
      </c>
    </row>
    <row r="18" spans="1:20" x14ac:dyDescent="0.25">
      <c r="A18" s="152">
        <v>17</v>
      </c>
      <c r="B18" s="153" t="s">
        <v>98</v>
      </c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3"/>
      <c r="N18" s="153"/>
      <c r="O18" s="153"/>
      <c r="P18" s="153"/>
      <c r="Q18" s="153"/>
      <c r="R18" s="152">
        <v>0</v>
      </c>
      <c r="T18">
        <f t="shared" si="0"/>
        <v>0</v>
      </c>
    </row>
    <row r="19" spans="1:20" x14ac:dyDescent="0.25">
      <c r="A19" s="152">
        <v>18</v>
      </c>
      <c r="B19" s="153" t="s">
        <v>616</v>
      </c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3"/>
      <c r="N19" s="153"/>
      <c r="O19" s="153"/>
      <c r="P19" s="153"/>
      <c r="Q19" s="153"/>
      <c r="R19" s="152">
        <v>0</v>
      </c>
      <c r="T19">
        <f t="shared" si="0"/>
        <v>0</v>
      </c>
    </row>
    <row r="20" spans="1:20" x14ac:dyDescent="0.25">
      <c r="A20" s="152">
        <v>19</v>
      </c>
      <c r="B20" s="153" t="s">
        <v>617</v>
      </c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3"/>
      <c r="N20" s="153"/>
      <c r="O20" s="153"/>
      <c r="P20" s="153"/>
      <c r="Q20" s="153"/>
      <c r="R20" s="152">
        <v>0</v>
      </c>
      <c r="T20">
        <f t="shared" si="0"/>
        <v>0</v>
      </c>
    </row>
    <row r="21" spans="1:20" x14ac:dyDescent="0.25">
      <c r="A21" s="152">
        <v>20</v>
      </c>
      <c r="B21" s="153" t="s">
        <v>626</v>
      </c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3"/>
      <c r="N21" s="153"/>
      <c r="O21" s="153"/>
      <c r="P21" s="153"/>
      <c r="Q21" s="153"/>
      <c r="R21" s="152">
        <v>0</v>
      </c>
      <c r="T21">
        <f t="shared" si="0"/>
        <v>0</v>
      </c>
    </row>
    <row r="22" spans="1:20" x14ac:dyDescent="0.25">
      <c r="A22" s="152">
        <v>21</v>
      </c>
      <c r="B22" s="153" t="s">
        <v>618</v>
      </c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3"/>
      <c r="N22" s="153"/>
      <c r="O22" s="153"/>
      <c r="P22" s="153"/>
      <c r="Q22" s="153"/>
      <c r="R22" s="152">
        <v>0</v>
      </c>
      <c r="T22">
        <f t="shared" si="0"/>
        <v>0</v>
      </c>
    </row>
    <row r="23" spans="1:20" x14ac:dyDescent="0.25">
      <c r="A23" s="152">
        <v>22</v>
      </c>
      <c r="B23" s="153" t="s">
        <v>619</v>
      </c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3"/>
      <c r="N23" s="153"/>
      <c r="O23" s="153"/>
      <c r="P23" s="153"/>
      <c r="Q23" s="153"/>
      <c r="R23" s="152">
        <v>0</v>
      </c>
      <c r="T23">
        <f t="shared" si="0"/>
        <v>0</v>
      </c>
    </row>
    <row r="24" spans="1:20" x14ac:dyDescent="0.25">
      <c r="A24" s="152">
        <v>23</v>
      </c>
      <c r="B24" s="153" t="s">
        <v>620</v>
      </c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53"/>
      <c r="P24" s="153"/>
      <c r="Q24" s="153"/>
      <c r="R24" s="152">
        <v>0</v>
      </c>
      <c r="T24">
        <f t="shared" si="0"/>
        <v>0</v>
      </c>
    </row>
    <row r="25" spans="1:20" x14ac:dyDescent="0.25">
      <c r="A25" s="152">
        <v>24</v>
      </c>
      <c r="B25" s="153" t="s">
        <v>650</v>
      </c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3"/>
      <c r="N25" s="153"/>
      <c r="O25" s="153"/>
      <c r="P25" s="153"/>
      <c r="Q25" s="153"/>
      <c r="R25" s="152">
        <v>0</v>
      </c>
      <c r="T25">
        <f t="shared" si="0"/>
        <v>0</v>
      </c>
    </row>
    <row r="26" spans="1:20" x14ac:dyDescent="0.25">
      <c r="A26" s="152">
        <v>25</v>
      </c>
      <c r="B26" s="153" t="s">
        <v>621</v>
      </c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3"/>
      <c r="N26" s="153"/>
      <c r="O26" s="153"/>
      <c r="P26" s="153"/>
      <c r="Q26" s="153"/>
      <c r="R26" s="152">
        <v>0</v>
      </c>
      <c r="T26">
        <f t="shared" si="0"/>
        <v>0</v>
      </c>
    </row>
    <row r="27" spans="1:20" x14ac:dyDescent="0.25">
      <c r="A27" s="152">
        <v>26</v>
      </c>
      <c r="B27" s="153" t="s">
        <v>622</v>
      </c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3"/>
      <c r="N27" s="153"/>
      <c r="O27" s="153"/>
      <c r="P27" s="153"/>
      <c r="Q27" s="153"/>
      <c r="R27" s="152">
        <v>0</v>
      </c>
      <c r="T27">
        <f t="shared" si="0"/>
        <v>0</v>
      </c>
    </row>
    <row r="28" spans="1:20" x14ac:dyDescent="0.25">
      <c r="A28" s="152">
        <v>27</v>
      </c>
      <c r="B28" s="153" t="s">
        <v>623</v>
      </c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2">
        <v>0</v>
      </c>
      <c r="T28">
        <f t="shared" si="0"/>
        <v>0</v>
      </c>
    </row>
    <row r="29" spans="1:20" x14ac:dyDescent="0.25">
      <c r="A29" s="152">
        <v>28</v>
      </c>
      <c r="B29" s="153" t="s">
        <v>624</v>
      </c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3"/>
      <c r="N29" s="153"/>
      <c r="O29" s="153"/>
      <c r="P29" s="153"/>
      <c r="Q29" s="153"/>
      <c r="R29" s="152">
        <v>0</v>
      </c>
      <c r="T29">
        <f t="shared" si="0"/>
        <v>0</v>
      </c>
    </row>
    <row r="30" spans="1:20" x14ac:dyDescent="0.25">
      <c r="A30" s="152">
        <v>29</v>
      </c>
      <c r="B30" s="153" t="s">
        <v>627</v>
      </c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3"/>
      <c r="N30" s="153"/>
      <c r="O30" s="153"/>
      <c r="P30" s="153"/>
      <c r="Q30" s="153"/>
      <c r="R30" s="152">
        <v>0</v>
      </c>
      <c r="T30">
        <f t="shared" si="0"/>
        <v>0</v>
      </c>
    </row>
    <row r="31" spans="1:20" x14ac:dyDescent="0.25">
      <c r="A31" s="152">
        <v>30</v>
      </c>
      <c r="B31" s="153" t="s">
        <v>625</v>
      </c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3"/>
      <c r="N31" s="153"/>
      <c r="O31" s="153"/>
      <c r="P31" s="153"/>
      <c r="Q31" s="153"/>
      <c r="R31" s="152">
        <v>0</v>
      </c>
      <c r="T31">
        <f t="shared" si="0"/>
        <v>0</v>
      </c>
    </row>
    <row r="32" spans="1:20" x14ac:dyDescent="0.25">
      <c r="A32" s="152">
        <v>31</v>
      </c>
      <c r="B32" s="153" t="s">
        <v>34</v>
      </c>
      <c r="C32" s="153"/>
      <c r="D32" s="153"/>
      <c r="E32" s="153"/>
      <c r="F32" s="153"/>
      <c r="G32" s="153"/>
      <c r="H32" s="153"/>
      <c r="I32" s="153"/>
      <c r="J32" s="153"/>
      <c r="K32" s="153"/>
      <c r="L32" s="153"/>
      <c r="M32" s="153"/>
      <c r="N32" s="153"/>
      <c r="O32" s="153"/>
      <c r="P32" s="153"/>
      <c r="Q32" s="153"/>
      <c r="R32" s="152">
        <v>0</v>
      </c>
      <c r="T32">
        <f t="shared" si="0"/>
        <v>0</v>
      </c>
    </row>
    <row r="33" spans="1:20" x14ac:dyDescent="0.25">
      <c r="A33" s="152">
        <v>32</v>
      </c>
      <c r="B33" s="153" t="s">
        <v>45</v>
      </c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3"/>
      <c r="N33" s="153"/>
      <c r="O33" s="153"/>
      <c r="P33" s="153"/>
      <c r="Q33" s="153"/>
      <c r="R33" s="152">
        <v>0</v>
      </c>
      <c r="T33">
        <f t="shared" si="0"/>
        <v>0</v>
      </c>
    </row>
    <row r="34" spans="1:20" x14ac:dyDescent="0.25">
      <c r="A34" s="152">
        <v>33</v>
      </c>
      <c r="B34" s="153" t="s">
        <v>630</v>
      </c>
      <c r="C34" s="153"/>
      <c r="D34" s="153"/>
      <c r="E34" s="153"/>
      <c r="F34" s="153"/>
      <c r="G34" s="153"/>
      <c r="H34" s="153"/>
      <c r="I34" s="153"/>
      <c r="J34" s="153"/>
      <c r="K34" s="153"/>
      <c r="L34" s="153"/>
      <c r="M34" s="153"/>
      <c r="N34" s="153"/>
      <c r="O34" s="153"/>
      <c r="P34" s="153"/>
      <c r="Q34" s="153"/>
      <c r="R34" s="152">
        <v>0</v>
      </c>
      <c r="T34">
        <f t="shared" si="0"/>
        <v>0</v>
      </c>
    </row>
    <row r="35" spans="1:20" x14ac:dyDescent="0.25">
      <c r="A35" s="152">
        <v>34</v>
      </c>
      <c r="B35" s="153" t="s">
        <v>628</v>
      </c>
      <c r="C35" s="153"/>
      <c r="D35" s="153"/>
      <c r="E35" s="153"/>
      <c r="F35" s="153"/>
      <c r="G35" s="153"/>
      <c r="H35" s="153"/>
      <c r="I35" s="153"/>
      <c r="J35" s="153"/>
      <c r="K35" s="153"/>
      <c r="L35" s="153"/>
      <c r="M35" s="153"/>
      <c r="N35" s="153"/>
      <c r="O35" s="153"/>
      <c r="P35" s="153"/>
      <c r="Q35" s="153"/>
      <c r="R35" s="152">
        <v>0</v>
      </c>
      <c r="T35">
        <f t="shared" si="0"/>
        <v>0</v>
      </c>
    </row>
    <row r="36" spans="1:20" x14ac:dyDescent="0.25">
      <c r="A36" s="152">
        <v>35</v>
      </c>
      <c r="B36" s="153" t="s">
        <v>629</v>
      </c>
      <c r="C36" s="153"/>
      <c r="D36" s="153"/>
      <c r="E36" s="153"/>
      <c r="F36" s="153"/>
      <c r="G36" s="153"/>
      <c r="H36" s="153"/>
      <c r="I36" s="153"/>
      <c r="J36" s="153"/>
      <c r="K36" s="153"/>
      <c r="L36" s="153"/>
      <c r="M36" s="153"/>
      <c r="N36" s="153"/>
      <c r="O36" s="153"/>
      <c r="P36" s="153"/>
      <c r="Q36" s="153"/>
      <c r="R36" s="152">
        <v>0</v>
      </c>
      <c r="T36">
        <f t="shared" si="0"/>
        <v>0</v>
      </c>
    </row>
    <row r="37" spans="1:20" x14ac:dyDescent="0.25">
      <c r="A37" s="152">
        <v>36</v>
      </c>
      <c r="B37" s="153" t="s">
        <v>631</v>
      </c>
      <c r="C37" s="153"/>
      <c r="D37" s="153"/>
      <c r="E37" s="153"/>
      <c r="F37" s="153"/>
      <c r="G37" s="153"/>
      <c r="H37" s="153"/>
      <c r="I37" s="153"/>
      <c r="J37" s="153"/>
      <c r="K37" s="153"/>
      <c r="L37" s="153"/>
      <c r="M37" s="153"/>
      <c r="N37" s="153"/>
      <c r="O37" s="153"/>
      <c r="P37" s="153"/>
      <c r="Q37" s="153"/>
      <c r="R37" s="152">
        <v>0</v>
      </c>
      <c r="T37">
        <f t="shared" si="0"/>
        <v>0</v>
      </c>
    </row>
    <row r="38" spans="1:20" x14ac:dyDescent="0.25">
      <c r="A38" s="152">
        <v>37</v>
      </c>
      <c r="B38" s="153" t="s">
        <v>632</v>
      </c>
      <c r="C38" s="153"/>
      <c r="D38" s="153"/>
      <c r="E38" s="153"/>
      <c r="F38" s="153"/>
      <c r="G38" s="153"/>
      <c r="H38" s="153"/>
      <c r="I38" s="153"/>
      <c r="J38" s="153"/>
      <c r="K38" s="153"/>
      <c r="L38" s="153"/>
      <c r="M38" s="153"/>
      <c r="N38" s="153"/>
      <c r="O38" s="153"/>
      <c r="P38" s="153"/>
      <c r="Q38" s="153"/>
      <c r="R38" s="152">
        <v>0</v>
      </c>
      <c r="T38">
        <f t="shared" si="0"/>
        <v>0</v>
      </c>
    </row>
    <row r="39" spans="1:20" x14ac:dyDescent="0.25">
      <c r="A39" s="152">
        <v>38</v>
      </c>
      <c r="B39" s="153" t="s">
        <v>633</v>
      </c>
      <c r="C39" s="153"/>
      <c r="D39" s="153"/>
      <c r="E39" s="153"/>
      <c r="F39" s="153"/>
      <c r="G39" s="153"/>
      <c r="H39" s="153"/>
      <c r="I39" s="153"/>
      <c r="J39" s="153"/>
      <c r="K39" s="153"/>
      <c r="L39" s="153"/>
      <c r="M39" s="153"/>
      <c r="N39" s="153"/>
      <c r="O39" s="153"/>
      <c r="P39" s="153"/>
      <c r="Q39" s="153"/>
      <c r="R39" s="152">
        <v>0</v>
      </c>
      <c r="T39">
        <f t="shared" si="0"/>
        <v>0</v>
      </c>
    </row>
    <row r="40" spans="1:20" x14ac:dyDescent="0.25">
      <c r="A40" s="152">
        <v>39</v>
      </c>
      <c r="B40" s="153" t="s">
        <v>634</v>
      </c>
      <c r="C40" s="153"/>
      <c r="D40" s="153"/>
      <c r="E40" s="153"/>
      <c r="F40" s="153"/>
      <c r="G40" s="153"/>
      <c r="H40" s="153"/>
      <c r="I40" s="153"/>
      <c r="J40" s="153"/>
      <c r="K40" s="153"/>
      <c r="L40" s="153"/>
      <c r="M40" s="153"/>
      <c r="N40" s="153"/>
      <c r="O40" s="153"/>
      <c r="P40" s="153"/>
      <c r="Q40" s="153"/>
      <c r="R40" s="152">
        <v>0</v>
      </c>
      <c r="T40">
        <f t="shared" si="0"/>
        <v>0</v>
      </c>
    </row>
    <row r="41" spans="1:20" x14ac:dyDescent="0.25">
      <c r="A41" s="152">
        <v>40</v>
      </c>
      <c r="B41" s="153" t="s">
        <v>636</v>
      </c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3"/>
      <c r="N41" s="153"/>
      <c r="O41" s="153"/>
      <c r="P41" s="153"/>
      <c r="Q41" s="153"/>
      <c r="R41" s="152">
        <v>0</v>
      </c>
      <c r="T41">
        <f t="shared" si="0"/>
        <v>0</v>
      </c>
    </row>
    <row r="42" spans="1:20" x14ac:dyDescent="0.25">
      <c r="A42" s="152">
        <v>41</v>
      </c>
      <c r="B42" s="153" t="s">
        <v>637</v>
      </c>
      <c r="C42" s="153"/>
      <c r="D42" s="153"/>
      <c r="E42" s="153"/>
      <c r="F42" s="153"/>
      <c r="G42" s="153"/>
      <c r="H42" s="153"/>
      <c r="I42" s="153"/>
      <c r="J42" s="153"/>
      <c r="K42" s="153"/>
      <c r="L42" s="153"/>
      <c r="M42" s="153"/>
      <c r="N42" s="153"/>
      <c r="O42" s="153"/>
      <c r="P42" s="153"/>
      <c r="Q42" s="153"/>
      <c r="R42" s="152">
        <v>0</v>
      </c>
      <c r="T42">
        <f t="shared" si="0"/>
        <v>0</v>
      </c>
    </row>
    <row r="43" spans="1:20" x14ac:dyDescent="0.25">
      <c r="A43" s="152">
        <v>42</v>
      </c>
      <c r="B43" s="153" t="s">
        <v>640</v>
      </c>
      <c r="C43" s="153" t="s">
        <v>54</v>
      </c>
      <c r="D43" s="153" t="s">
        <v>54</v>
      </c>
      <c r="E43" s="153" t="s">
        <v>54</v>
      </c>
      <c r="F43" s="153" t="s">
        <v>54</v>
      </c>
      <c r="G43" s="153" t="s">
        <v>54</v>
      </c>
      <c r="H43" s="153" t="s">
        <v>54</v>
      </c>
      <c r="I43" s="153" t="s">
        <v>54</v>
      </c>
      <c r="J43" s="153" t="s">
        <v>54</v>
      </c>
      <c r="K43" s="153" t="s">
        <v>54</v>
      </c>
      <c r="L43" s="153" t="s">
        <v>54</v>
      </c>
      <c r="M43" s="153" t="s">
        <v>54</v>
      </c>
      <c r="N43" s="153" t="s">
        <v>54</v>
      </c>
      <c r="O43" s="153" t="s">
        <v>54</v>
      </c>
      <c r="P43" s="153" t="s">
        <v>54</v>
      </c>
      <c r="Q43" s="153" t="s">
        <v>54</v>
      </c>
      <c r="R43" s="202">
        <v>576</v>
      </c>
      <c r="T43">
        <f t="shared" si="0"/>
        <v>360</v>
      </c>
    </row>
    <row r="44" spans="1:20" x14ac:dyDescent="0.25">
      <c r="A44" s="152">
        <v>43</v>
      </c>
      <c r="B44" s="153" t="s">
        <v>638</v>
      </c>
      <c r="C44" s="153"/>
      <c r="D44" s="153"/>
      <c r="E44" s="153"/>
      <c r="F44" s="153"/>
      <c r="G44" s="153"/>
      <c r="H44" s="153"/>
      <c r="I44" s="153"/>
      <c r="J44" s="153"/>
      <c r="K44" s="153"/>
      <c r="L44" s="153"/>
      <c r="M44" s="153"/>
      <c r="N44" s="153"/>
      <c r="O44" s="153"/>
      <c r="P44" s="153"/>
      <c r="Q44" s="153"/>
      <c r="R44" s="152">
        <v>0</v>
      </c>
      <c r="T44">
        <f t="shared" si="0"/>
        <v>0</v>
      </c>
    </row>
    <row r="45" spans="1:20" x14ac:dyDescent="0.25">
      <c r="A45" s="152">
        <v>44</v>
      </c>
      <c r="B45" s="153" t="s">
        <v>635</v>
      </c>
      <c r="C45" s="153"/>
      <c r="D45" s="153"/>
      <c r="E45" s="153"/>
      <c r="F45" s="153"/>
      <c r="G45" s="153"/>
      <c r="H45" s="153"/>
      <c r="I45" s="153"/>
      <c r="J45" s="153"/>
      <c r="K45" s="153"/>
      <c r="L45" s="153"/>
      <c r="M45" s="153"/>
      <c r="N45" s="153"/>
      <c r="O45" s="153"/>
      <c r="P45" s="153"/>
      <c r="Q45" s="153"/>
      <c r="R45" s="152">
        <v>0</v>
      </c>
      <c r="T45">
        <f t="shared" si="0"/>
        <v>0</v>
      </c>
    </row>
    <row r="46" spans="1:20" x14ac:dyDescent="0.25">
      <c r="A46" s="152">
        <v>45</v>
      </c>
      <c r="B46" s="153" t="s">
        <v>641</v>
      </c>
      <c r="C46" s="153"/>
      <c r="D46" s="153"/>
      <c r="E46" s="153"/>
      <c r="F46" s="153"/>
      <c r="G46" s="153"/>
      <c r="H46" s="153"/>
      <c r="I46" s="153"/>
      <c r="J46" s="153"/>
      <c r="K46" s="153"/>
      <c r="L46" s="153"/>
      <c r="M46" s="153"/>
      <c r="N46" s="153"/>
      <c r="O46" s="153"/>
      <c r="P46" s="153"/>
      <c r="Q46" s="153"/>
      <c r="R46" s="152">
        <v>0</v>
      </c>
      <c r="T46">
        <f t="shared" si="0"/>
        <v>0</v>
      </c>
    </row>
    <row r="47" spans="1:20" x14ac:dyDescent="0.25">
      <c r="A47" s="152">
        <v>46</v>
      </c>
      <c r="B47" s="153" t="s">
        <v>649</v>
      </c>
      <c r="C47" s="153"/>
      <c r="D47" s="153"/>
      <c r="E47" s="153"/>
      <c r="F47" s="153"/>
      <c r="G47" s="153"/>
      <c r="H47" s="153"/>
      <c r="I47" s="153"/>
      <c r="J47" s="153"/>
      <c r="K47" s="153"/>
      <c r="L47" s="153"/>
      <c r="M47" s="153"/>
      <c r="N47" s="153"/>
      <c r="O47" s="153"/>
      <c r="P47" s="153"/>
      <c r="Q47" s="153"/>
      <c r="R47" s="152">
        <v>0</v>
      </c>
      <c r="T47">
        <f t="shared" si="0"/>
        <v>0</v>
      </c>
    </row>
    <row r="48" spans="1:20" x14ac:dyDescent="0.25">
      <c r="A48" s="152">
        <v>47</v>
      </c>
      <c r="B48" s="153" t="s">
        <v>642</v>
      </c>
      <c r="C48" s="153"/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52">
        <v>0</v>
      </c>
      <c r="T48">
        <f t="shared" si="0"/>
        <v>0</v>
      </c>
    </row>
    <row r="49" spans="1:20" x14ac:dyDescent="0.25">
      <c r="A49" s="152">
        <v>48</v>
      </c>
      <c r="B49" s="153" t="s">
        <v>643</v>
      </c>
      <c r="C49" s="153"/>
      <c r="D49" s="153"/>
      <c r="E49" s="153"/>
      <c r="F49" s="153"/>
      <c r="G49" s="153"/>
      <c r="H49" s="153"/>
      <c r="I49" s="153"/>
      <c r="J49" s="153"/>
      <c r="K49" s="153"/>
      <c r="L49" s="153"/>
      <c r="M49" s="153"/>
      <c r="N49" s="153"/>
      <c r="O49" s="153"/>
      <c r="P49" s="153"/>
      <c r="Q49" s="153"/>
      <c r="R49" s="152">
        <v>0</v>
      </c>
      <c r="T49">
        <f t="shared" si="0"/>
        <v>0</v>
      </c>
    </row>
    <row r="50" spans="1:20" x14ac:dyDescent="0.25">
      <c r="A50" s="152">
        <v>49</v>
      </c>
      <c r="B50" s="153" t="s">
        <v>644</v>
      </c>
      <c r="C50" s="153"/>
      <c r="D50" s="153"/>
      <c r="E50" s="153"/>
      <c r="F50" s="153"/>
      <c r="G50" s="153"/>
      <c r="H50" s="153"/>
      <c r="I50" s="153"/>
      <c r="J50" s="153"/>
      <c r="K50" s="153"/>
      <c r="L50" s="153"/>
      <c r="M50" s="153"/>
      <c r="N50" s="153"/>
      <c r="O50" s="153"/>
      <c r="P50" s="153"/>
      <c r="Q50" s="153"/>
      <c r="R50" s="152">
        <v>0</v>
      </c>
      <c r="T50">
        <f t="shared" si="0"/>
        <v>0</v>
      </c>
    </row>
    <row r="51" spans="1:20" x14ac:dyDescent="0.25">
      <c r="A51" s="152">
        <v>50</v>
      </c>
      <c r="B51" s="153" t="s">
        <v>646</v>
      </c>
      <c r="C51" s="153"/>
      <c r="D51" s="153"/>
      <c r="E51" s="153"/>
      <c r="F51" s="153"/>
      <c r="G51" s="153"/>
      <c r="H51" s="153"/>
      <c r="I51" s="153"/>
      <c r="J51" s="153"/>
      <c r="K51" s="153"/>
      <c r="L51" s="153"/>
      <c r="M51" s="153"/>
      <c r="N51" s="153"/>
      <c r="O51" s="153"/>
      <c r="P51" s="153"/>
      <c r="Q51" s="153"/>
      <c r="R51" s="152">
        <v>0</v>
      </c>
      <c r="T51">
        <f t="shared" si="0"/>
        <v>0</v>
      </c>
    </row>
    <row r="52" spans="1:20" x14ac:dyDescent="0.25">
      <c r="A52" s="152">
        <v>51</v>
      </c>
      <c r="B52" s="153" t="s">
        <v>647</v>
      </c>
      <c r="C52" s="153"/>
      <c r="D52" s="153"/>
      <c r="E52" s="153"/>
      <c r="F52" s="153"/>
      <c r="G52" s="153"/>
      <c r="H52" s="153"/>
      <c r="I52" s="153"/>
      <c r="J52" s="153"/>
      <c r="K52" s="153"/>
      <c r="L52" s="153"/>
      <c r="M52" s="153"/>
      <c r="N52" s="153"/>
      <c r="O52" s="153"/>
      <c r="P52" s="153"/>
      <c r="Q52" s="153"/>
      <c r="R52" s="152">
        <v>0</v>
      </c>
      <c r="T52">
        <f t="shared" si="0"/>
        <v>0</v>
      </c>
    </row>
    <row r="53" spans="1:20" x14ac:dyDescent="0.25">
      <c r="A53" s="152">
        <v>52</v>
      </c>
      <c r="B53" s="153" t="s">
        <v>652</v>
      </c>
      <c r="C53" s="153"/>
      <c r="D53" s="153"/>
      <c r="E53" s="153"/>
      <c r="F53" s="153"/>
      <c r="G53" s="153"/>
      <c r="H53" s="153"/>
      <c r="I53" s="153"/>
      <c r="J53" s="153"/>
      <c r="K53" s="153"/>
      <c r="L53" s="153"/>
      <c r="M53" s="153"/>
      <c r="N53" s="153"/>
      <c r="O53" s="153"/>
      <c r="P53" s="153"/>
      <c r="Q53" s="153"/>
      <c r="R53" s="152">
        <v>0</v>
      </c>
      <c r="T53">
        <f t="shared" si="0"/>
        <v>0</v>
      </c>
    </row>
    <row r="54" spans="1:20" x14ac:dyDescent="0.25">
      <c r="A54" s="152">
        <v>53</v>
      </c>
      <c r="B54" s="153" t="s">
        <v>653</v>
      </c>
      <c r="C54" s="153"/>
      <c r="D54" s="153"/>
      <c r="E54" s="153"/>
      <c r="F54" s="153"/>
      <c r="G54" s="153"/>
      <c r="H54" s="153"/>
      <c r="I54" s="153"/>
      <c r="J54" s="153"/>
      <c r="K54" s="153"/>
      <c r="L54" s="153"/>
      <c r="M54" s="153"/>
      <c r="N54" s="153"/>
      <c r="O54" s="153"/>
      <c r="P54" s="153"/>
      <c r="Q54" s="153"/>
      <c r="R54" s="152">
        <v>0</v>
      </c>
      <c r="T54">
        <f t="shared" si="0"/>
        <v>0</v>
      </c>
    </row>
    <row r="55" spans="1:20" x14ac:dyDescent="0.25">
      <c r="A55" s="152">
        <v>54</v>
      </c>
      <c r="B55" s="153" t="s">
        <v>654</v>
      </c>
      <c r="C55" s="153"/>
      <c r="D55" s="153"/>
      <c r="E55" s="153"/>
      <c r="F55" s="153"/>
      <c r="G55" s="153"/>
      <c r="H55" s="153"/>
      <c r="I55" s="153"/>
      <c r="J55" s="153"/>
      <c r="K55" s="153"/>
      <c r="L55" s="153"/>
      <c r="M55" s="153"/>
      <c r="N55" s="153"/>
      <c r="O55" s="153"/>
      <c r="P55" s="153"/>
      <c r="Q55" s="153"/>
      <c r="R55" s="152">
        <v>0</v>
      </c>
      <c r="T55">
        <f t="shared" si="0"/>
        <v>0</v>
      </c>
    </row>
    <row r="56" spans="1:20" x14ac:dyDescent="0.25">
      <c r="A56" s="152">
        <v>55</v>
      </c>
      <c r="B56" s="153" t="s">
        <v>655</v>
      </c>
      <c r="C56" s="153"/>
      <c r="D56" s="153"/>
      <c r="E56" s="153"/>
      <c r="F56" s="153"/>
      <c r="G56" s="153"/>
      <c r="H56" s="153"/>
      <c r="I56" s="153"/>
      <c r="J56" s="153"/>
      <c r="K56" s="153"/>
      <c r="L56" s="153"/>
      <c r="M56" s="153"/>
      <c r="N56" s="153"/>
      <c r="O56" s="153"/>
      <c r="P56" s="153"/>
      <c r="Q56" s="153"/>
      <c r="R56" s="152">
        <v>0</v>
      </c>
      <c r="T56">
        <f t="shared" si="0"/>
        <v>0</v>
      </c>
    </row>
    <row r="57" spans="1:20" x14ac:dyDescent="0.25">
      <c r="A57" s="152">
        <v>56</v>
      </c>
      <c r="B57" s="153" t="s">
        <v>656</v>
      </c>
      <c r="C57" s="153"/>
      <c r="D57" s="153"/>
      <c r="E57" s="153"/>
      <c r="F57" s="153"/>
      <c r="G57" s="153"/>
      <c r="H57" s="153"/>
      <c r="I57" s="153"/>
      <c r="J57" s="153"/>
      <c r="K57" s="153"/>
      <c r="L57" s="153"/>
      <c r="M57" s="153"/>
      <c r="N57" s="153"/>
      <c r="O57" s="153"/>
      <c r="P57" s="153"/>
      <c r="Q57" s="153"/>
      <c r="R57" s="152">
        <v>0</v>
      </c>
      <c r="T57">
        <f t="shared" si="0"/>
        <v>0</v>
      </c>
    </row>
    <row r="58" spans="1:20" x14ac:dyDescent="0.25">
      <c r="A58" s="152">
        <v>57</v>
      </c>
      <c r="B58" s="153" t="s">
        <v>657</v>
      </c>
      <c r="C58" s="153"/>
      <c r="D58" s="153"/>
      <c r="E58" s="153"/>
      <c r="F58" s="153"/>
      <c r="G58" s="153"/>
      <c r="H58" s="153"/>
      <c r="I58" s="153"/>
      <c r="J58" s="153"/>
      <c r="K58" s="153"/>
      <c r="L58" s="153"/>
      <c r="M58" s="153"/>
      <c r="N58" s="153"/>
      <c r="O58" s="153"/>
      <c r="P58" s="153"/>
      <c r="Q58" s="153"/>
      <c r="R58" s="152">
        <v>0</v>
      </c>
      <c r="T58">
        <f t="shared" si="0"/>
        <v>0</v>
      </c>
    </row>
    <row r="59" spans="1:20" x14ac:dyDescent="0.25">
      <c r="A59" s="152">
        <v>58</v>
      </c>
      <c r="B59" s="153" t="s">
        <v>658</v>
      </c>
      <c r="C59" s="153"/>
      <c r="D59" s="153"/>
      <c r="E59" s="153"/>
      <c r="F59" s="153"/>
      <c r="G59" s="153"/>
      <c r="H59" s="153"/>
      <c r="I59" s="153"/>
      <c r="J59" s="153"/>
      <c r="K59" s="153"/>
      <c r="L59" s="153"/>
      <c r="M59" s="153"/>
      <c r="N59" s="153"/>
      <c r="O59" s="153"/>
      <c r="P59" s="153"/>
      <c r="Q59" s="153"/>
      <c r="R59" s="152">
        <v>0</v>
      </c>
      <c r="T59">
        <f t="shared" si="0"/>
        <v>0</v>
      </c>
    </row>
    <row r="60" spans="1:20" x14ac:dyDescent="0.25">
      <c r="A60" s="152">
        <v>59</v>
      </c>
      <c r="B60" s="153" t="s">
        <v>659</v>
      </c>
      <c r="C60" s="153"/>
      <c r="D60" s="153"/>
      <c r="E60" s="153"/>
      <c r="F60" s="153"/>
      <c r="G60" s="153"/>
      <c r="H60" s="153"/>
      <c r="I60" s="153"/>
      <c r="J60" s="153"/>
      <c r="K60" s="153"/>
      <c r="L60" s="153"/>
      <c r="M60" s="153"/>
      <c r="N60" s="153"/>
      <c r="O60" s="153"/>
      <c r="P60" s="153"/>
      <c r="Q60" s="153"/>
      <c r="R60" s="152">
        <v>0</v>
      </c>
      <c r="T60">
        <f t="shared" si="0"/>
        <v>0</v>
      </c>
    </row>
    <row r="61" spans="1:20" x14ac:dyDescent="0.25">
      <c r="A61" s="152">
        <v>60</v>
      </c>
      <c r="B61" s="153" t="s">
        <v>660</v>
      </c>
      <c r="C61" s="153"/>
      <c r="D61" s="153"/>
      <c r="E61" s="153"/>
      <c r="F61" s="153"/>
      <c r="G61" s="153"/>
      <c r="H61" s="153"/>
      <c r="I61" s="153"/>
      <c r="J61" s="153"/>
      <c r="K61" s="153"/>
      <c r="L61" s="153"/>
      <c r="M61" s="153"/>
      <c r="N61" s="153"/>
      <c r="O61" s="153"/>
      <c r="P61" s="153"/>
      <c r="Q61" s="153"/>
      <c r="R61" s="152">
        <v>0</v>
      </c>
      <c r="T61">
        <f t="shared" si="0"/>
        <v>0</v>
      </c>
    </row>
    <row r="62" spans="1:20" x14ac:dyDescent="0.25">
      <c r="A62" s="152">
        <v>61</v>
      </c>
      <c r="B62" s="153" t="s">
        <v>661</v>
      </c>
      <c r="C62" s="153"/>
      <c r="D62" s="153"/>
      <c r="E62" s="153"/>
      <c r="F62" s="153"/>
      <c r="G62" s="153"/>
      <c r="H62" s="153"/>
      <c r="I62" s="153"/>
      <c r="J62" s="153"/>
      <c r="K62" s="153"/>
      <c r="L62" s="153"/>
      <c r="M62" s="153"/>
      <c r="N62" s="153"/>
      <c r="O62" s="153"/>
      <c r="P62" s="153"/>
      <c r="Q62" s="153"/>
      <c r="R62" s="152">
        <v>0</v>
      </c>
      <c r="T62">
        <f t="shared" si="0"/>
        <v>0</v>
      </c>
    </row>
    <row r="63" spans="1:20" x14ac:dyDescent="0.25">
      <c r="A63" s="152">
        <v>62</v>
      </c>
      <c r="B63" s="153" t="s">
        <v>662</v>
      </c>
      <c r="C63" s="153"/>
      <c r="D63" s="153"/>
      <c r="E63" s="153"/>
      <c r="F63" s="153"/>
      <c r="G63" s="153"/>
      <c r="H63" s="153"/>
      <c r="I63" s="153"/>
      <c r="J63" s="153"/>
      <c r="K63" s="153"/>
      <c r="L63" s="153"/>
      <c r="M63" s="153"/>
      <c r="N63" s="153"/>
      <c r="O63" s="153"/>
      <c r="P63" s="153"/>
      <c r="Q63" s="153"/>
      <c r="R63" s="152">
        <v>0</v>
      </c>
      <c r="T63">
        <f t="shared" si="0"/>
        <v>0</v>
      </c>
    </row>
    <row r="64" spans="1:20" x14ac:dyDescent="0.25">
      <c r="A64" s="152">
        <v>63</v>
      </c>
      <c r="B64" s="153" t="s">
        <v>668</v>
      </c>
      <c r="C64" s="153"/>
      <c r="D64" s="153"/>
      <c r="E64" s="153"/>
      <c r="F64" s="153"/>
      <c r="G64" s="153"/>
      <c r="H64" s="153"/>
      <c r="I64" s="153"/>
      <c r="J64" s="153"/>
      <c r="K64" s="153"/>
      <c r="L64" s="153"/>
      <c r="M64" s="153"/>
      <c r="N64" s="153"/>
      <c r="O64" s="153"/>
      <c r="P64" s="153"/>
      <c r="Q64" s="153"/>
      <c r="R64" s="152">
        <v>0</v>
      </c>
      <c r="T64">
        <f t="shared" si="0"/>
        <v>0</v>
      </c>
    </row>
    <row r="65" spans="1:18" x14ac:dyDescent="0.25">
      <c r="A65" s="180"/>
      <c r="B65" s="180"/>
      <c r="C65" s="180"/>
      <c r="D65" s="180"/>
      <c r="E65" s="180"/>
      <c r="F65" s="180"/>
      <c r="G65" s="180"/>
      <c r="H65" s="180"/>
      <c r="I65" s="180"/>
      <c r="J65" s="180"/>
      <c r="K65" s="180"/>
      <c r="L65" s="180"/>
      <c r="M65" s="180"/>
      <c r="N65" s="180"/>
      <c r="O65" s="180"/>
      <c r="P65" s="180"/>
      <c r="Q65" s="180"/>
      <c r="R65" s="203">
        <v>2736</v>
      </c>
    </row>
    <row r="66" spans="1:18" x14ac:dyDescent="0.25">
      <c r="A66" s="152"/>
      <c r="B66" s="153"/>
    </row>
    <row r="67" spans="1:18" x14ac:dyDescent="0.25">
      <c r="A67" s="152"/>
      <c r="B67" s="153"/>
    </row>
    <row r="68" spans="1:18" x14ac:dyDescent="0.25">
      <c r="A68" s="152"/>
      <c r="B68" s="153"/>
    </row>
    <row r="69" spans="1:18" x14ac:dyDescent="0.25">
      <c r="A69" s="152"/>
      <c r="B69" s="153"/>
    </row>
    <row r="70" spans="1:18" x14ac:dyDescent="0.25">
      <c r="A70" s="152"/>
      <c r="B70" s="153"/>
    </row>
    <row r="71" spans="1:18" x14ac:dyDescent="0.25">
      <c r="A71" s="180"/>
      <c r="B71" s="180"/>
    </row>
    <row r="72" spans="1:18" x14ac:dyDescent="0.25">
      <c r="A72" s="152"/>
      <c r="B72" s="153"/>
    </row>
    <row r="73" spans="1:18" x14ac:dyDescent="0.25">
      <c r="A73" s="152"/>
      <c r="B73" s="153"/>
    </row>
    <row r="74" spans="1:18" x14ac:dyDescent="0.25">
      <c r="A74" s="152"/>
      <c r="B74" s="153"/>
    </row>
    <row r="75" spans="1:18" x14ac:dyDescent="0.25">
      <c r="A75" s="152"/>
      <c r="B75" s="153"/>
    </row>
    <row r="76" spans="1:18" x14ac:dyDescent="0.25">
      <c r="A76" s="152"/>
      <c r="B76" s="153"/>
    </row>
    <row r="77" spans="1:18" x14ac:dyDescent="0.25">
      <c r="A77" s="180"/>
      <c r="B77" s="180"/>
    </row>
    <row r="78" spans="1:18" x14ac:dyDescent="0.25">
      <c r="A78" s="164"/>
      <c r="B78" s="16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/>
  </sheetPr>
  <dimension ref="A1:T78"/>
  <sheetViews>
    <sheetView zoomScale="55" zoomScaleNormal="55" workbookViewId="0">
      <selection activeCell="T2" sqref="T2:T64"/>
    </sheetView>
  </sheetViews>
  <sheetFormatPr defaultRowHeight="15" x14ac:dyDescent="0.25"/>
  <cols>
    <col min="2" max="2" width="34.42578125" bestFit="1" customWidth="1"/>
  </cols>
  <sheetData>
    <row r="1" spans="1:20" x14ac:dyDescent="0.25">
      <c r="A1" s="182" t="s">
        <v>1</v>
      </c>
      <c r="B1" s="182" t="s">
        <v>6</v>
      </c>
      <c r="C1" s="182" t="s">
        <v>46</v>
      </c>
      <c r="D1" s="182" t="s">
        <v>47</v>
      </c>
      <c r="E1" s="182" t="s">
        <v>48</v>
      </c>
      <c r="F1" s="182" t="s">
        <v>49</v>
      </c>
      <c r="G1" s="182" t="s">
        <v>50</v>
      </c>
      <c r="H1" s="182" t="s">
        <v>51</v>
      </c>
      <c r="I1" s="182" t="s">
        <v>52</v>
      </c>
      <c r="J1" s="182" t="s">
        <v>53</v>
      </c>
      <c r="K1" s="182" t="s">
        <v>54</v>
      </c>
      <c r="L1" s="182" t="s">
        <v>55</v>
      </c>
      <c r="M1" s="182" t="s">
        <v>56</v>
      </c>
      <c r="N1" s="182" t="s">
        <v>57</v>
      </c>
      <c r="O1" s="182" t="s">
        <v>58</v>
      </c>
      <c r="P1" s="182" t="s">
        <v>59</v>
      </c>
      <c r="Q1" s="182" t="s">
        <v>667</v>
      </c>
      <c r="R1" s="182" t="s">
        <v>2</v>
      </c>
    </row>
    <row r="2" spans="1:20" x14ac:dyDescent="0.25">
      <c r="A2" s="160">
        <v>1</v>
      </c>
      <c r="B2" s="161" t="s">
        <v>10</v>
      </c>
      <c r="C2" s="161"/>
      <c r="D2" s="161"/>
      <c r="E2" s="161"/>
      <c r="F2" s="161"/>
      <c r="G2" s="161" t="s">
        <v>84</v>
      </c>
      <c r="H2" s="161"/>
      <c r="I2" s="161" t="s">
        <v>26</v>
      </c>
      <c r="J2" s="161" t="s">
        <v>26</v>
      </c>
      <c r="K2" s="161"/>
      <c r="L2" s="161"/>
      <c r="M2" s="161"/>
      <c r="N2" s="161"/>
      <c r="O2" s="161"/>
      <c r="P2" s="161"/>
      <c r="Q2" s="161"/>
      <c r="R2" s="211">
        <v>105</v>
      </c>
      <c r="T2">
        <f t="shared" ref="T2:T64" si="0">C2+D2+E2+F2+G2+H2+I2+J2+K2+L2+M2+N2+O2+P2+Q2</f>
        <v>28</v>
      </c>
    </row>
    <row r="3" spans="1:20" x14ac:dyDescent="0.25">
      <c r="A3" s="160">
        <v>2</v>
      </c>
      <c r="B3" s="161" t="s">
        <v>11</v>
      </c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0">
        <v>0</v>
      </c>
      <c r="T3">
        <f t="shared" si="0"/>
        <v>0</v>
      </c>
    </row>
    <row r="4" spans="1:20" x14ac:dyDescent="0.25">
      <c r="A4" s="160">
        <v>3</v>
      </c>
      <c r="B4" s="161" t="s">
        <v>12</v>
      </c>
      <c r="C4" s="161"/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1"/>
      <c r="P4" s="161"/>
      <c r="Q4" s="161"/>
      <c r="R4" s="160">
        <v>0</v>
      </c>
      <c r="T4">
        <f t="shared" si="0"/>
        <v>0</v>
      </c>
    </row>
    <row r="5" spans="1:20" x14ac:dyDescent="0.25">
      <c r="A5" s="160">
        <v>4</v>
      </c>
      <c r="B5" s="161" t="s">
        <v>651</v>
      </c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0">
        <v>0</v>
      </c>
      <c r="T5">
        <f t="shared" si="0"/>
        <v>0</v>
      </c>
    </row>
    <row r="6" spans="1:20" x14ac:dyDescent="0.25">
      <c r="A6" s="160">
        <v>5</v>
      </c>
      <c r="B6" s="161" t="s">
        <v>14</v>
      </c>
      <c r="C6" s="161"/>
      <c r="D6" s="161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0">
        <v>0</v>
      </c>
      <c r="T6">
        <f t="shared" si="0"/>
        <v>0</v>
      </c>
    </row>
    <row r="7" spans="1:20" x14ac:dyDescent="0.25">
      <c r="A7" s="160">
        <v>6</v>
      </c>
      <c r="B7" s="161" t="s">
        <v>15</v>
      </c>
      <c r="C7" s="161" t="s">
        <v>26</v>
      </c>
      <c r="D7" s="161" t="s">
        <v>26</v>
      </c>
      <c r="E7" s="161"/>
      <c r="F7" s="161"/>
      <c r="G7" s="161"/>
      <c r="H7" s="161"/>
      <c r="I7" s="161"/>
      <c r="J7" s="161" t="s">
        <v>26</v>
      </c>
      <c r="K7" s="161"/>
      <c r="L7" s="161"/>
      <c r="M7" s="161"/>
      <c r="N7" s="161"/>
      <c r="O7" s="161"/>
      <c r="P7" s="161"/>
      <c r="Q7" s="161"/>
      <c r="R7" s="211">
        <v>66</v>
      </c>
      <c r="T7">
        <f t="shared" si="0"/>
        <v>33</v>
      </c>
    </row>
    <row r="8" spans="1:20" x14ac:dyDescent="0.25">
      <c r="A8" s="160">
        <v>7</v>
      </c>
      <c r="B8" s="161" t="s">
        <v>16</v>
      </c>
      <c r="C8" s="161"/>
      <c r="D8" s="161" t="s">
        <v>26</v>
      </c>
      <c r="E8" s="161"/>
      <c r="F8" s="161" t="s">
        <v>26</v>
      </c>
      <c r="G8" s="161"/>
      <c r="H8" s="161"/>
      <c r="I8" s="161" t="s">
        <v>26</v>
      </c>
      <c r="J8" s="161" t="s">
        <v>26</v>
      </c>
      <c r="K8" s="161"/>
      <c r="L8" s="161"/>
      <c r="M8" s="161"/>
      <c r="N8" s="161"/>
      <c r="O8" s="161"/>
      <c r="P8" s="161"/>
      <c r="Q8" s="161"/>
      <c r="R8" s="211">
        <v>66</v>
      </c>
      <c r="T8">
        <f t="shared" si="0"/>
        <v>44</v>
      </c>
    </row>
    <row r="9" spans="1:20" x14ac:dyDescent="0.25">
      <c r="A9" s="160">
        <v>8</v>
      </c>
      <c r="B9" s="161" t="s">
        <v>4</v>
      </c>
      <c r="C9" s="161"/>
      <c r="D9" s="161"/>
      <c r="E9" s="161"/>
      <c r="F9" s="161"/>
      <c r="G9" s="161"/>
      <c r="H9" s="161"/>
      <c r="I9" s="161"/>
      <c r="J9" s="161"/>
      <c r="K9" s="161"/>
      <c r="L9" s="161"/>
      <c r="M9" s="161"/>
      <c r="N9" s="161"/>
      <c r="O9" s="161"/>
      <c r="P9" s="161"/>
      <c r="Q9" s="161"/>
      <c r="R9" s="160">
        <v>0</v>
      </c>
      <c r="T9">
        <f t="shared" si="0"/>
        <v>0</v>
      </c>
    </row>
    <row r="10" spans="1:20" x14ac:dyDescent="0.25">
      <c r="A10" s="160">
        <v>9</v>
      </c>
      <c r="B10" s="161" t="s">
        <v>5</v>
      </c>
      <c r="C10" s="161"/>
      <c r="D10" s="161"/>
      <c r="E10" s="161"/>
      <c r="F10" s="161"/>
      <c r="G10" s="161"/>
      <c r="H10" s="161"/>
      <c r="I10" s="161"/>
      <c r="J10" s="161"/>
      <c r="K10" s="161"/>
      <c r="L10" s="161"/>
      <c r="M10" s="161"/>
      <c r="N10" s="161"/>
      <c r="O10" s="161"/>
      <c r="P10" s="161"/>
      <c r="Q10" s="161"/>
      <c r="R10" s="160">
        <v>0</v>
      </c>
      <c r="T10">
        <f t="shared" si="0"/>
        <v>0</v>
      </c>
    </row>
    <row r="11" spans="1:20" x14ac:dyDescent="0.25">
      <c r="A11" s="160">
        <v>10</v>
      </c>
      <c r="B11" s="161" t="s">
        <v>38</v>
      </c>
      <c r="C11" s="161"/>
      <c r="D11" s="161"/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0">
        <v>0</v>
      </c>
      <c r="T11">
        <f t="shared" si="0"/>
        <v>0</v>
      </c>
    </row>
    <row r="12" spans="1:20" x14ac:dyDescent="0.25">
      <c r="A12" s="160">
        <v>11</v>
      </c>
      <c r="B12" s="161" t="s">
        <v>43</v>
      </c>
      <c r="C12" s="161"/>
      <c r="D12" s="161"/>
      <c r="E12" s="161"/>
      <c r="F12" s="161"/>
      <c r="G12" s="161"/>
      <c r="H12" s="161"/>
      <c r="I12" s="161"/>
      <c r="J12" s="161"/>
      <c r="K12" s="161"/>
      <c r="L12" s="161"/>
      <c r="M12" s="161"/>
      <c r="N12" s="161"/>
      <c r="O12" s="161"/>
      <c r="P12" s="161"/>
      <c r="Q12" s="161"/>
      <c r="R12" s="160">
        <v>0</v>
      </c>
      <c r="T12">
        <f t="shared" si="0"/>
        <v>0</v>
      </c>
    </row>
    <row r="13" spans="1:20" x14ac:dyDescent="0.25">
      <c r="A13" s="160">
        <v>12</v>
      </c>
      <c r="B13" s="161" t="s">
        <v>639</v>
      </c>
      <c r="C13" s="161"/>
      <c r="D13" s="161"/>
      <c r="E13" s="161"/>
      <c r="F13" s="161"/>
      <c r="G13" s="161"/>
      <c r="H13" s="161"/>
      <c r="I13" s="161"/>
      <c r="J13" s="161"/>
      <c r="K13" s="161"/>
      <c r="L13" s="161"/>
      <c r="M13" s="161"/>
      <c r="N13" s="161"/>
      <c r="O13" s="161"/>
      <c r="P13" s="161"/>
      <c r="Q13" s="161"/>
      <c r="R13" s="160">
        <v>0</v>
      </c>
      <c r="T13">
        <f t="shared" si="0"/>
        <v>0</v>
      </c>
    </row>
    <row r="14" spans="1:20" x14ac:dyDescent="0.25">
      <c r="A14" s="160">
        <v>13</v>
      </c>
      <c r="B14" s="161" t="s">
        <v>87</v>
      </c>
      <c r="C14" s="161"/>
      <c r="D14" s="161"/>
      <c r="E14" s="161"/>
      <c r="F14" s="161"/>
      <c r="G14" s="161"/>
      <c r="H14" s="161"/>
      <c r="I14" s="161" t="s">
        <v>26</v>
      </c>
      <c r="J14" s="161" t="s">
        <v>26</v>
      </c>
      <c r="K14" s="161"/>
      <c r="L14" s="161"/>
      <c r="M14" s="161"/>
      <c r="N14" s="161"/>
      <c r="O14" s="161"/>
      <c r="P14" s="161"/>
      <c r="Q14" s="161"/>
      <c r="R14" s="211">
        <v>59</v>
      </c>
      <c r="T14">
        <f t="shared" si="0"/>
        <v>22</v>
      </c>
    </row>
    <row r="15" spans="1:20" x14ac:dyDescent="0.25">
      <c r="A15" s="160">
        <v>14</v>
      </c>
      <c r="B15" s="161" t="s">
        <v>95</v>
      </c>
      <c r="C15" s="161" t="s">
        <v>26</v>
      </c>
      <c r="D15" s="161" t="s">
        <v>26</v>
      </c>
      <c r="E15" s="161"/>
      <c r="F15" s="161" t="s">
        <v>26</v>
      </c>
      <c r="G15" s="161"/>
      <c r="H15" s="161"/>
      <c r="I15" s="161" t="s">
        <v>26</v>
      </c>
      <c r="J15" s="161" t="s">
        <v>26</v>
      </c>
      <c r="K15" s="161"/>
      <c r="L15" s="161"/>
      <c r="M15" s="161"/>
      <c r="N15" s="161"/>
      <c r="O15" s="161"/>
      <c r="P15" s="161"/>
      <c r="Q15" s="161"/>
      <c r="R15" s="211">
        <v>105</v>
      </c>
      <c r="T15">
        <f t="shared" si="0"/>
        <v>55</v>
      </c>
    </row>
    <row r="16" spans="1:20" x14ac:dyDescent="0.25">
      <c r="A16" s="160">
        <v>15</v>
      </c>
      <c r="B16" s="161" t="s">
        <v>96</v>
      </c>
      <c r="C16" s="161"/>
      <c r="D16" s="161"/>
      <c r="E16" s="161"/>
      <c r="F16" s="161"/>
      <c r="G16" s="161"/>
      <c r="H16" s="161"/>
      <c r="I16" s="161"/>
      <c r="J16" s="161"/>
      <c r="K16" s="161"/>
      <c r="L16" s="161"/>
      <c r="M16" s="161"/>
      <c r="N16" s="161"/>
      <c r="O16" s="161"/>
      <c r="P16" s="161"/>
      <c r="Q16" s="161"/>
      <c r="R16" s="160">
        <v>0</v>
      </c>
      <c r="T16">
        <f t="shared" si="0"/>
        <v>0</v>
      </c>
    </row>
    <row r="17" spans="1:20" x14ac:dyDescent="0.25">
      <c r="A17" s="160">
        <v>16</v>
      </c>
      <c r="B17" s="161" t="s">
        <v>97</v>
      </c>
      <c r="C17" s="161"/>
      <c r="D17" s="161"/>
      <c r="E17" s="161"/>
      <c r="F17" s="161"/>
      <c r="G17" s="161"/>
      <c r="H17" s="161"/>
      <c r="I17" s="161"/>
      <c r="J17" s="161"/>
      <c r="K17" s="161"/>
      <c r="L17" s="161"/>
      <c r="M17" s="161"/>
      <c r="N17" s="161"/>
      <c r="O17" s="161"/>
      <c r="P17" s="161"/>
      <c r="Q17" s="161"/>
      <c r="R17" s="160">
        <v>0</v>
      </c>
      <c r="T17">
        <f t="shared" si="0"/>
        <v>0</v>
      </c>
    </row>
    <row r="18" spans="1:20" x14ac:dyDescent="0.25">
      <c r="A18" s="160">
        <v>17</v>
      </c>
      <c r="B18" s="161" t="s">
        <v>98</v>
      </c>
      <c r="C18" s="161"/>
      <c r="D18" s="161"/>
      <c r="E18" s="161"/>
      <c r="F18" s="161"/>
      <c r="G18" s="161"/>
      <c r="H18" s="161"/>
      <c r="I18" s="161"/>
      <c r="J18" s="161"/>
      <c r="K18" s="161"/>
      <c r="L18" s="161"/>
      <c r="M18" s="161"/>
      <c r="N18" s="161"/>
      <c r="O18" s="161"/>
      <c r="P18" s="161"/>
      <c r="Q18" s="161"/>
      <c r="R18" s="160">
        <v>0</v>
      </c>
      <c r="T18">
        <f t="shared" si="0"/>
        <v>0</v>
      </c>
    </row>
    <row r="19" spans="1:20" x14ac:dyDescent="0.25">
      <c r="A19" s="160">
        <v>18</v>
      </c>
      <c r="B19" s="161" t="s">
        <v>616</v>
      </c>
      <c r="C19" s="161"/>
      <c r="D19" s="161"/>
      <c r="E19" s="161"/>
      <c r="F19" s="161"/>
      <c r="G19" s="161"/>
      <c r="H19" s="161"/>
      <c r="I19" s="161"/>
      <c r="J19" s="161"/>
      <c r="K19" s="161"/>
      <c r="L19" s="161"/>
      <c r="M19" s="161"/>
      <c r="N19" s="161"/>
      <c r="O19" s="161"/>
      <c r="P19" s="161"/>
      <c r="Q19" s="161"/>
      <c r="R19" s="160">
        <v>0</v>
      </c>
      <c r="T19">
        <f t="shared" si="0"/>
        <v>0</v>
      </c>
    </row>
    <row r="20" spans="1:20" x14ac:dyDescent="0.25">
      <c r="A20" s="160">
        <v>19</v>
      </c>
      <c r="B20" s="161" t="s">
        <v>617</v>
      </c>
      <c r="C20" s="161"/>
      <c r="D20" s="161"/>
      <c r="E20" s="161"/>
      <c r="F20" s="161"/>
      <c r="G20" s="161"/>
      <c r="H20" s="161"/>
      <c r="I20" s="161"/>
      <c r="J20" s="161"/>
      <c r="K20" s="161"/>
      <c r="L20" s="161"/>
      <c r="M20" s="161"/>
      <c r="N20" s="161"/>
      <c r="O20" s="161"/>
      <c r="P20" s="161"/>
      <c r="Q20" s="161"/>
      <c r="R20" s="160">
        <v>0</v>
      </c>
      <c r="T20">
        <f t="shared" si="0"/>
        <v>0</v>
      </c>
    </row>
    <row r="21" spans="1:20" x14ac:dyDescent="0.25">
      <c r="A21" s="160">
        <v>20</v>
      </c>
      <c r="B21" s="161" t="s">
        <v>626</v>
      </c>
      <c r="C21" s="161"/>
      <c r="D21" s="161"/>
      <c r="E21" s="161"/>
      <c r="F21" s="161"/>
      <c r="G21" s="161"/>
      <c r="H21" s="161"/>
      <c r="I21" s="161"/>
      <c r="J21" s="161"/>
      <c r="K21" s="161"/>
      <c r="L21" s="161"/>
      <c r="M21" s="161"/>
      <c r="N21" s="161"/>
      <c r="O21" s="161"/>
      <c r="P21" s="161"/>
      <c r="Q21" s="161"/>
      <c r="R21" s="160">
        <v>0</v>
      </c>
      <c r="T21">
        <f t="shared" si="0"/>
        <v>0</v>
      </c>
    </row>
    <row r="22" spans="1:20" x14ac:dyDescent="0.25">
      <c r="A22" s="160">
        <v>21</v>
      </c>
      <c r="B22" s="161" t="s">
        <v>618</v>
      </c>
      <c r="C22" s="161"/>
      <c r="D22" s="161"/>
      <c r="E22" s="161"/>
      <c r="F22" s="161"/>
      <c r="G22" s="161"/>
      <c r="H22" s="161"/>
      <c r="I22" s="161"/>
      <c r="J22" s="161"/>
      <c r="K22" s="161"/>
      <c r="L22" s="161"/>
      <c r="M22" s="161"/>
      <c r="N22" s="161"/>
      <c r="O22" s="161"/>
      <c r="P22" s="161"/>
      <c r="Q22" s="161"/>
      <c r="R22" s="160">
        <v>0</v>
      </c>
      <c r="T22">
        <f t="shared" si="0"/>
        <v>0</v>
      </c>
    </row>
    <row r="23" spans="1:20" x14ac:dyDescent="0.25">
      <c r="A23" s="160">
        <v>22</v>
      </c>
      <c r="B23" s="161" t="s">
        <v>619</v>
      </c>
      <c r="C23" s="161"/>
      <c r="D23" s="161"/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1"/>
      <c r="P23" s="161"/>
      <c r="Q23" s="161"/>
      <c r="R23" s="160">
        <v>0</v>
      </c>
      <c r="T23">
        <f t="shared" si="0"/>
        <v>0</v>
      </c>
    </row>
    <row r="24" spans="1:20" x14ac:dyDescent="0.25">
      <c r="A24" s="160">
        <v>23</v>
      </c>
      <c r="B24" s="161" t="s">
        <v>620</v>
      </c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1"/>
      <c r="P24" s="161"/>
      <c r="Q24" s="161"/>
      <c r="R24" s="160">
        <v>0</v>
      </c>
      <c r="T24">
        <f t="shared" si="0"/>
        <v>0</v>
      </c>
    </row>
    <row r="25" spans="1:20" x14ac:dyDescent="0.25">
      <c r="A25" s="160">
        <v>24</v>
      </c>
      <c r="B25" s="161" t="s">
        <v>650</v>
      </c>
      <c r="C25" s="161" t="s">
        <v>26</v>
      </c>
      <c r="D25" s="161"/>
      <c r="E25" s="161"/>
      <c r="F25" s="161" t="s">
        <v>26</v>
      </c>
      <c r="G25" s="161" t="s">
        <v>84</v>
      </c>
      <c r="H25" s="161"/>
      <c r="I25" s="161" t="s">
        <v>26</v>
      </c>
      <c r="J25" s="161" t="s">
        <v>26</v>
      </c>
      <c r="K25" s="161"/>
      <c r="L25" s="161"/>
      <c r="M25" s="161"/>
      <c r="N25" s="161"/>
      <c r="O25" s="161"/>
      <c r="P25" s="161"/>
      <c r="Q25" s="161"/>
      <c r="R25" s="211">
        <v>109</v>
      </c>
      <c r="T25">
        <f t="shared" si="0"/>
        <v>50</v>
      </c>
    </row>
    <row r="26" spans="1:20" x14ac:dyDescent="0.25">
      <c r="A26" s="160">
        <v>25</v>
      </c>
      <c r="B26" s="161" t="s">
        <v>621</v>
      </c>
      <c r="C26" s="161"/>
      <c r="D26" s="161"/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0">
        <v>0</v>
      </c>
      <c r="T26">
        <f t="shared" si="0"/>
        <v>0</v>
      </c>
    </row>
    <row r="27" spans="1:20" x14ac:dyDescent="0.25">
      <c r="A27" s="160">
        <v>26</v>
      </c>
      <c r="B27" s="161" t="s">
        <v>622</v>
      </c>
      <c r="C27" s="161"/>
      <c r="D27" s="161"/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0">
        <v>0</v>
      </c>
      <c r="T27">
        <f t="shared" si="0"/>
        <v>0</v>
      </c>
    </row>
    <row r="28" spans="1:20" x14ac:dyDescent="0.25">
      <c r="A28" s="160">
        <v>27</v>
      </c>
      <c r="B28" s="161" t="s">
        <v>623</v>
      </c>
      <c r="C28" s="161"/>
      <c r="D28" s="161"/>
      <c r="E28" s="161"/>
      <c r="F28" s="161"/>
      <c r="G28" s="161"/>
      <c r="H28" s="161"/>
      <c r="I28" s="161" t="s">
        <v>26</v>
      </c>
      <c r="J28" s="161" t="s">
        <v>26</v>
      </c>
      <c r="K28" s="161"/>
      <c r="L28" s="161"/>
      <c r="M28" s="161"/>
      <c r="N28" s="161"/>
      <c r="O28" s="161"/>
      <c r="P28" s="161"/>
      <c r="Q28" s="161"/>
      <c r="R28" s="211">
        <v>78</v>
      </c>
      <c r="T28">
        <f t="shared" si="0"/>
        <v>22</v>
      </c>
    </row>
    <row r="29" spans="1:20" x14ac:dyDescent="0.25">
      <c r="A29" s="160">
        <v>28</v>
      </c>
      <c r="B29" s="161" t="s">
        <v>624</v>
      </c>
      <c r="C29" s="161" t="s">
        <v>26</v>
      </c>
      <c r="D29" s="161"/>
      <c r="E29" s="161"/>
      <c r="F29" s="161" t="s">
        <v>26</v>
      </c>
      <c r="G29" s="161" t="s">
        <v>84</v>
      </c>
      <c r="H29" s="161"/>
      <c r="I29" s="161" t="s">
        <v>26</v>
      </c>
      <c r="J29" s="161" t="s">
        <v>26</v>
      </c>
      <c r="K29" s="161"/>
      <c r="L29" s="161"/>
      <c r="M29" s="161"/>
      <c r="N29" s="161"/>
      <c r="O29" s="161"/>
      <c r="P29" s="161"/>
      <c r="Q29" s="161"/>
      <c r="R29" s="211">
        <v>128</v>
      </c>
      <c r="T29">
        <f t="shared" si="0"/>
        <v>50</v>
      </c>
    </row>
    <row r="30" spans="1:20" x14ac:dyDescent="0.25">
      <c r="A30" s="160">
        <v>29</v>
      </c>
      <c r="B30" s="161" t="s">
        <v>627</v>
      </c>
      <c r="C30" s="161"/>
      <c r="D30" s="161"/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0">
        <v>0</v>
      </c>
      <c r="T30">
        <f t="shared" si="0"/>
        <v>0</v>
      </c>
    </row>
    <row r="31" spans="1:20" x14ac:dyDescent="0.25">
      <c r="A31" s="160">
        <v>30</v>
      </c>
      <c r="B31" s="161" t="s">
        <v>625</v>
      </c>
      <c r="C31" s="161"/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0">
        <v>0</v>
      </c>
      <c r="T31">
        <f t="shared" si="0"/>
        <v>0</v>
      </c>
    </row>
    <row r="32" spans="1:20" x14ac:dyDescent="0.25">
      <c r="A32" s="160">
        <v>31</v>
      </c>
      <c r="B32" s="161" t="s">
        <v>34</v>
      </c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0">
        <v>0</v>
      </c>
      <c r="T32">
        <f t="shared" si="0"/>
        <v>0</v>
      </c>
    </row>
    <row r="33" spans="1:20" x14ac:dyDescent="0.25">
      <c r="A33" s="160">
        <v>32</v>
      </c>
      <c r="B33" s="161" t="s">
        <v>45</v>
      </c>
      <c r="C33" s="161" t="s">
        <v>26</v>
      </c>
      <c r="D33" s="161"/>
      <c r="E33" s="161"/>
      <c r="F33" s="161" t="s">
        <v>26</v>
      </c>
      <c r="G33" s="161"/>
      <c r="H33" s="161"/>
      <c r="I33" s="161" t="s">
        <v>26</v>
      </c>
      <c r="J33" s="161" t="s">
        <v>26</v>
      </c>
      <c r="K33" s="161"/>
      <c r="L33" s="161"/>
      <c r="M33" s="161"/>
      <c r="N33" s="161"/>
      <c r="O33" s="161"/>
      <c r="P33" s="161"/>
      <c r="Q33" s="161"/>
      <c r="R33" s="211">
        <v>92</v>
      </c>
      <c r="T33">
        <f t="shared" si="0"/>
        <v>44</v>
      </c>
    </row>
    <row r="34" spans="1:20" x14ac:dyDescent="0.25">
      <c r="A34" s="160">
        <v>33</v>
      </c>
      <c r="B34" s="161" t="s">
        <v>630</v>
      </c>
      <c r="C34" s="161" t="s">
        <v>26</v>
      </c>
      <c r="D34" s="161"/>
      <c r="E34" s="161"/>
      <c r="F34" s="161"/>
      <c r="G34" s="161"/>
      <c r="H34" s="161"/>
      <c r="I34" s="161" t="s">
        <v>26</v>
      </c>
      <c r="J34" s="161" t="s">
        <v>26</v>
      </c>
      <c r="K34" s="161"/>
      <c r="L34" s="161"/>
      <c r="M34" s="161"/>
      <c r="N34" s="161"/>
      <c r="O34" s="161"/>
      <c r="P34" s="161"/>
      <c r="Q34" s="161"/>
      <c r="R34" s="211">
        <v>116</v>
      </c>
      <c r="T34">
        <f t="shared" si="0"/>
        <v>33</v>
      </c>
    </row>
    <row r="35" spans="1:20" x14ac:dyDescent="0.25">
      <c r="A35" s="160">
        <v>34</v>
      </c>
      <c r="B35" s="161" t="s">
        <v>628</v>
      </c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0">
        <v>0</v>
      </c>
      <c r="T35">
        <f t="shared" si="0"/>
        <v>0</v>
      </c>
    </row>
    <row r="36" spans="1:20" x14ac:dyDescent="0.25">
      <c r="A36" s="160">
        <v>35</v>
      </c>
      <c r="B36" s="161" t="s">
        <v>629</v>
      </c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0">
        <v>0</v>
      </c>
      <c r="T36">
        <f t="shared" si="0"/>
        <v>0</v>
      </c>
    </row>
    <row r="37" spans="1:20" x14ac:dyDescent="0.25">
      <c r="A37" s="160">
        <v>36</v>
      </c>
      <c r="B37" s="161" t="s">
        <v>631</v>
      </c>
      <c r="C37" s="161"/>
      <c r="D37" s="161"/>
      <c r="E37" s="161"/>
      <c r="F37" s="161"/>
      <c r="G37" s="161"/>
      <c r="H37" s="161"/>
      <c r="I37" s="161"/>
      <c r="J37" s="161" t="s">
        <v>26</v>
      </c>
      <c r="K37" s="161"/>
      <c r="L37" s="161"/>
      <c r="M37" s="161"/>
      <c r="N37" s="161"/>
      <c r="O37" s="161"/>
      <c r="P37" s="161"/>
      <c r="Q37" s="161"/>
      <c r="R37" s="211">
        <v>11</v>
      </c>
      <c r="T37">
        <f t="shared" si="0"/>
        <v>11</v>
      </c>
    </row>
    <row r="38" spans="1:20" x14ac:dyDescent="0.25">
      <c r="A38" s="160">
        <v>37</v>
      </c>
      <c r="B38" s="161" t="s">
        <v>632</v>
      </c>
      <c r="C38" s="161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0">
        <v>0</v>
      </c>
      <c r="T38">
        <f t="shared" si="0"/>
        <v>0</v>
      </c>
    </row>
    <row r="39" spans="1:20" x14ac:dyDescent="0.25">
      <c r="A39" s="160">
        <v>38</v>
      </c>
      <c r="B39" s="161" t="s">
        <v>633</v>
      </c>
      <c r="C39" s="161" t="s">
        <v>26</v>
      </c>
      <c r="D39" s="161"/>
      <c r="E39" s="161"/>
      <c r="F39" s="161"/>
      <c r="G39" s="161" t="s">
        <v>84</v>
      </c>
      <c r="H39" s="161"/>
      <c r="I39" s="161" t="s">
        <v>26</v>
      </c>
      <c r="J39" s="161" t="s">
        <v>26</v>
      </c>
      <c r="K39" s="161"/>
      <c r="L39" s="161"/>
      <c r="M39" s="161"/>
      <c r="N39" s="161"/>
      <c r="O39" s="161"/>
      <c r="P39" s="161"/>
      <c r="Q39" s="161"/>
      <c r="R39" s="211">
        <v>117</v>
      </c>
      <c r="T39">
        <f t="shared" si="0"/>
        <v>39</v>
      </c>
    </row>
    <row r="40" spans="1:20" x14ac:dyDescent="0.25">
      <c r="A40" s="160">
        <v>39</v>
      </c>
      <c r="B40" s="161" t="s">
        <v>634</v>
      </c>
      <c r="C40" s="161" t="s">
        <v>26</v>
      </c>
      <c r="D40" s="161"/>
      <c r="E40" s="161" t="s">
        <v>26</v>
      </c>
      <c r="F40" s="161"/>
      <c r="G40" s="161" t="s">
        <v>84</v>
      </c>
      <c r="H40" s="161"/>
      <c r="I40" s="161" t="s">
        <v>26</v>
      </c>
      <c r="J40" s="161" t="s">
        <v>26</v>
      </c>
      <c r="K40" s="161"/>
      <c r="L40" s="161"/>
      <c r="M40" s="161"/>
      <c r="N40" s="161"/>
      <c r="O40" s="161"/>
      <c r="P40" s="161"/>
      <c r="Q40" s="161"/>
      <c r="R40" s="211">
        <v>126</v>
      </c>
      <c r="T40">
        <f t="shared" si="0"/>
        <v>50</v>
      </c>
    </row>
    <row r="41" spans="1:20" x14ac:dyDescent="0.25">
      <c r="A41" s="160">
        <v>40</v>
      </c>
      <c r="B41" s="161" t="s">
        <v>636</v>
      </c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0">
        <v>0</v>
      </c>
      <c r="T41">
        <f t="shared" si="0"/>
        <v>0</v>
      </c>
    </row>
    <row r="42" spans="1:20" x14ac:dyDescent="0.25">
      <c r="A42" s="160">
        <v>41</v>
      </c>
      <c r="B42" s="161" t="s">
        <v>637</v>
      </c>
      <c r="C42" s="161"/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211">
        <v>83</v>
      </c>
      <c r="T42">
        <f t="shared" si="0"/>
        <v>0</v>
      </c>
    </row>
    <row r="43" spans="1:20" x14ac:dyDescent="0.25">
      <c r="A43" s="160">
        <v>42</v>
      </c>
      <c r="B43" s="161" t="s">
        <v>640</v>
      </c>
      <c r="C43" s="161"/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0">
        <v>0</v>
      </c>
      <c r="T43">
        <f t="shared" si="0"/>
        <v>0</v>
      </c>
    </row>
    <row r="44" spans="1:20" x14ac:dyDescent="0.25">
      <c r="A44" s="160">
        <v>43</v>
      </c>
      <c r="B44" s="161" t="s">
        <v>638</v>
      </c>
      <c r="C44" s="161" t="s">
        <v>26</v>
      </c>
      <c r="D44" s="161"/>
      <c r="E44" s="161" t="s">
        <v>26</v>
      </c>
      <c r="F44" s="161" t="s">
        <v>26</v>
      </c>
      <c r="G44" s="161" t="s">
        <v>84</v>
      </c>
      <c r="H44" s="161"/>
      <c r="I44" s="161" t="s">
        <v>26</v>
      </c>
      <c r="J44" s="161" t="s">
        <v>26</v>
      </c>
      <c r="K44" s="161"/>
      <c r="L44" s="161"/>
      <c r="M44" s="161"/>
      <c r="N44" s="161"/>
      <c r="O44" s="161"/>
      <c r="P44" s="161"/>
      <c r="Q44" s="161"/>
      <c r="R44" s="211">
        <v>92</v>
      </c>
      <c r="T44">
        <f t="shared" si="0"/>
        <v>61</v>
      </c>
    </row>
    <row r="45" spans="1:20" x14ac:dyDescent="0.25">
      <c r="A45" s="160">
        <v>44</v>
      </c>
      <c r="B45" s="161" t="s">
        <v>635</v>
      </c>
      <c r="C45" s="161"/>
      <c r="D45" s="161"/>
      <c r="E45" s="161"/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0">
        <v>0</v>
      </c>
      <c r="T45">
        <f t="shared" si="0"/>
        <v>0</v>
      </c>
    </row>
    <row r="46" spans="1:20" x14ac:dyDescent="0.25">
      <c r="A46" s="160">
        <v>45</v>
      </c>
      <c r="B46" s="161" t="s">
        <v>641</v>
      </c>
      <c r="C46" s="161"/>
      <c r="D46" s="161"/>
      <c r="E46" s="161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0">
        <v>0</v>
      </c>
      <c r="T46">
        <f t="shared" si="0"/>
        <v>0</v>
      </c>
    </row>
    <row r="47" spans="1:20" x14ac:dyDescent="0.25">
      <c r="A47" s="160">
        <v>46</v>
      </c>
      <c r="B47" s="161" t="s">
        <v>649</v>
      </c>
      <c r="C47" s="161"/>
      <c r="D47" s="161"/>
      <c r="E47" s="161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0">
        <v>0</v>
      </c>
      <c r="T47">
        <f t="shared" si="0"/>
        <v>0</v>
      </c>
    </row>
    <row r="48" spans="1:20" x14ac:dyDescent="0.25">
      <c r="A48" s="160">
        <v>47</v>
      </c>
      <c r="B48" s="161" t="s">
        <v>642</v>
      </c>
      <c r="C48" s="161"/>
      <c r="D48" s="161"/>
      <c r="E48" s="161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0">
        <v>0</v>
      </c>
      <c r="T48">
        <f t="shared" si="0"/>
        <v>0</v>
      </c>
    </row>
    <row r="49" spans="1:20" x14ac:dyDescent="0.25">
      <c r="A49" s="160">
        <v>48</v>
      </c>
      <c r="B49" s="161" t="s">
        <v>643</v>
      </c>
      <c r="C49" s="161"/>
      <c r="D49" s="161"/>
      <c r="E49" s="161"/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0">
        <v>0</v>
      </c>
      <c r="T49">
        <f t="shared" si="0"/>
        <v>0</v>
      </c>
    </row>
    <row r="50" spans="1:20" x14ac:dyDescent="0.25">
      <c r="A50" s="160">
        <v>49</v>
      </c>
      <c r="B50" s="161" t="s">
        <v>644</v>
      </c>
      <c r="C50" s="161"/>
      <c r="D50" s="161"/>
      <c r="E50" s="161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0">
        <v>0</v>
      </c>
      <c r="T50">
        <f t="shared" si="0"/>
        <v>0</v>
      </c>
    </row>
    <row r="51" spans="1:20" x14ac:dyDescent="0.25">
      <c r="A51" s="160">
        <v>50</v>
      </c>
      <c r="B51" s="161" t="s">
        <v>646</v>
      </c>
      <c r="C51" s="161"/>
      <c r="D51" s="161"/>
      <c r="E51" s="161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0">
        <v>0</v>
      </c>
      <c r="T51">
        <f t="shared" si="0"/>
        <v>0</v>
      </c>
    </row>
    <row r="52" spans="1:20" x14ac:dyDescent="0.25">
      <c r="A52" s="160">
        <v>51</v>
      </c>
      <c r="B52" s="161" t="s">
        <v>647</v>
      </c>
      <c r="C52" s="161"/>
      <c r="D52" s="161"/>
      <c r="E52" s="161"/>
      <c r="F52" s="161" t="s">
        <v>26</v>
      </c>
      <c r="G52" s="161" t="s">
        <v>84</v>
      </c>
      <c r="H52" s="161"/>
      <c r="I52" s="161" t="s">
        <v>26</v>
      </c>
      <c r="J52" s="161" t="s">
        <v>26</v>
      </c>
      <c r="K52" s="161"/>
      <c r="L52" s="161"/>
      <c r="M52" s="161"/>
      <c r="N52" s="161"/>
      <c r="O52" s="161"/>
      <c r="P52" s="161"/>
      <c r="Q52" s="161"/>
      <c r="R52" s="211">
        <v>78</v>
      </c>
      <c r="T52">
        <f t="shared" si="0"/>
        <v>39</v>
      </c>
    </row>
    <row r="53" spans="1:20" x14ac:dyDescent="0.25">
      <c r="A53" s="160">
        <v>52</v>
      </c>
      <c r="B53" s="161" t="s">
        <v>652</v>
      </c>
      <c r="C53" s="161"/>
      <c r="D53" s="161"/>
      <c r="E53" s="161"/>
      <c r="F53" s="161" t="s">
        <v>65</v>
      </c>
      <c r="G53" s="161" t="s">
        <v>24</v>
      </c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211">
        <v>73</v>
      </c>
      <c r="T53">
        <f t="shared" si="0"/>
        <v>20</v>
      </c>
    </row>
    <row r="54" spans="1:20" x14ac:dyDescent="0.25">
      <c r="A54" s="160">
        <v>53</v>
      </c>
      <c r="B54" s="161" t="s">
        <v>653</v>
      </c>
      <c r="C54" s="161"/>
      <c r="D54" s="161"/>
      <c r="E54" s="161"/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0">
        <v>0</v>
      </c>
      <c r="T54">
        <f t="shared" si="0"/>
        <v>0</v>
      </c>
    </row>
    <row r="55" spans="1:20" x14ac:dyDescent="0.25">
      <c r="A55" s="160">
        <v>54</v>
      </c>
      <c r="B55" s="161" t="s">
        <v>654</v>
      </c>
      <c r="C55" s="161"/>
      <c r="D55" s="161"/>
      <c r="E55" s="161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0">
        <v>0</v>
      </c>
      <c r="T55">
        <f t="shared" si="0"/>
        <v>0</v>
      </c>
    </row>
    <row r="56" spans="1:20" x14ac:dyDescent="0.25">
      <c r="A56" s="160">
        <v>55</v>
      </c>
      <c r="B56" s="161" t="s">
        <v>655</v>
      </c>
      <c r="C56" s="161" t="s">
        <v>26</v>
      </c>
      <c r="D56" s="161"/>
      <c r="E56" s="161"/>
      <c r="F56" s="161" t="s">
        <v>26</v>
      </c>
      <c r="G56" s="161" t="s">
        <v>84</v>
      </c>
      <c r="H56" s="161"/>
      <c r="I56" s="161" t="s">
        <v>26</v>
      </c>
      <c r="J56" s="161"/>
      <c r="K56" s="161"/>
      <c r="L56" s="161"/>
      <c r="M56" s="161"/>
      <c r="N56" s="161"/>
      <c r="O56" s="161"/>
      <c r="P56" s="161"/>
      <c r="Q56" s="161"/>
      <c r="R56" s="211">
        <v>128</v>
      </c>
      <c r="T56">
        <f t="shared" si="0"/>
        <v>39</v>
      </c>
    </row>
    <row r="57" spans="1:20" x14ac:dyDescent="0.25">
      <c r="A57" s="160">
        <v>56</v>
      </c>
      <c r="B57" s="161" t="s">
        <v>656</v>
      </c>
      <c r="C57" s="161" t="s">
        <v>26</v>
      </c>
      <c r="D57" s="161" t="s">
        <v>25</v>
      </c>
      <c r="E57" s="161" t="s">
        <v>26</v>
      </c>
      <c r="F57" s="161" t="s">
        <v>26</v>
      </c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211">
        <v>103</v>
      </c>
      <c r="T57">
        <f t="shared" si="0"/>
        <v>42</v>
      </c>
    </row>
    <row r="58" spans="1:20" x14ac:dyDescent="0.25">
      <c r="A58" s="160">
        <v>57</v>
      </c>
      <c r="B58" s="161" t="s">
        <v>657</v>
      </c>
      <c r="C58" s="161" t="s">
        <v>26</v>
      </c>
      <c r="D58" s="161"/>
      <c r="E58" s="161" t="s">
        <v>26</v>
      </c>
      <c r="F58" s="161" t="s">
        <v>26</v>
      </c>
      <c r="G58" s="161"/>
      <c r="H58" s="161"/>
      <c r="I58" s="161" t="s">
        <v>26</v>
      </c>
      <c r="J58" s="161" t="s">
        <v>26</v>
      </c>
      <c r="K58" s="161"/>
      <c r="L58" s="161"/>
      <c r="M58" s="161"/>
      <c r="N58" s="161"/>
      <c r="O58" s="161"/>
      <c r="P58" s="161"/>
      <c r="Q58" s="161"/>
      <c r="R58" s="211">
        <v>127</v>
      </c>
      <c r="T58">
        <f t="shared" si="0"/>
        <v>55</v>
      </c>
    </row>
    <row r="59" spans="1:20" x14ac:dyDescent="0.25">
      <c r="A59" s="160">
        <v>58</v>
      </c>
      <c r="B59" s="161" t="s">
        <v>658</v>
      </c>
      <c r="C59" s="161"/>
      <c r="D59" s="161"/>
      <c r="E59" s="161"/>
      <c r="F59" s="161" t="s">
        <v>26</v>
      </c>
      <c r="G59" s="161" t="s">
        <v>84</v>
      </c>
      <c r="H59" s="161"/>
      <c r="I59" s="161" t="s">
        <v>26</v>
      </c>
      <c r="J59" s="161" t="s">
        <v>26</v>
      </c>
      <c r="K59" s="161"/>
      <c r="L59" s="161"/>
      <c r="M59" s="161"/>
      <c r="N59" s="161"/>
      <c r="O59" s="161"/>
      <c r="P59" s="161"/>
      <c r="Q59" s="161"/>
      <c r="R59" s="211">
        <v>61</v>
      </c>
      <c r="T59">
        <f t="shared" si="0"/>
        <v>39</v>
      </c>
    </row>
    <row r="60" spans="1:20" x14ac:dyDescent="0.25">
      <c r="A60" s="160">
        <v>59</v>
      </c>
      <c r="B60" s="161" t="s">
        <v>659</v>
      </c>
      <c r="C60" s="161"/>
      <c r="D60" s="161"/>
      <c r="E60" s="161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0">
        <v>0</v>
      </c>
      <c r="T60">
        <f t="shared" si="0"/>
        <v>0</v>
      </c>
    </row>
    <row r="61" spans="1:20" x14ac:dyDescent="0.25">
      <c r="A61" s="160">
        <v>60</v>
      </c>
      <c r="B61" s="161" t="s">
        <v>660</v>
      </c>
      <c r="C61" s="161"/>
      <c r="D61" s="161"/>
      <c r="E61" s="161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0">
        <v>0</v>
      </c>
      <c r="T61">
        <f t="shared" si="0"/>
        <v>0</v>
      </c>
    </row>
    <row r="62" spans="1:20" x14ac:dyDescent="0.25">
      <c r="A62" s="160">
        <v>61</v>
      </c>
      <c r="B62" s="161" t="s">
        <v>661</v>
      </c>
      <c r="C62" s="161"/>
      <c r="D62" s="161"/>
      <c r="E62" s="161" t="s">
        <v>26</v>
      </c>
      <c r="F62" s="161" t="s">
        <v>26</v>
      </c>
      <c r="G62" s="161" t="s">
        <v>25</v>
      </c>
      <c r="H62" s="161"/>
      <c r="I62" s="161" t="s">
        <v>26</v>
      </c>
      <c r="J62" s="161"/>
      <c r="K62" s="161"/>
      <c r="L62" s="161"/>
      <c r="M62" s="161"/>
      <c r="N62" s="161"/>
      <c r="O62" s="161"/>
      <c r="P62" s="161"/>
      <c r="Q62" s="161"/>
      <c r="R62" s="211">
        <v>42</v>
      </c>
      <c r="T62">
        <f t="shared" si="0"/>
        <v>42</v>
      </c>
    </row>
    <row r="63" spans="1:20" x14ac:dyDescent="0.25">
      <c r="A63" s="160">
        <v>62</v>
      </c>
      <c r="B63" s="161" t="s">
        <v>662</v>
      </c>
      <c r="C63" s="161"/>
      <c r="D63" s="161"/>
      <c r="E63" s="161"/>
      <c r="F63" s="161"/>
      <c r="G63" s="161"/>
      <c r="H63" s="161"/>
      <c r="I63" s="161" t="s">
        <v>26</v>
      </c>
      <c r="J63" s="161"/>
      <c r="K63" s="161"/>
      <c r="L63" s="161"/>
      <c r="M63" s="161"/>
      <c r="N63" s="161"/>
      <c r="O63" s="161"/>
      <c r="P63" s="161"/>
      <c r="Q63" s="161"/>
      <c r="R63" s="211">
        <v>11</v>
      </c>
      <c r="T63">
        <f t="shared" si="0"/>
        <v>11</v>
      </c>
    </row>
    <row r="64" spans="1:20" x14ac:dyDescent="0.25">
      <c r="A64" s="160">
        <v>63</v>
      </c>
      <c r="B64" s="161" t="s">
        <v>668</v>
      </c>
      <c r="C64" s="161"/>
      <c r="D64" s="161"/>
      <c r="E64" s="161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0">
        <v>0</v>
      </c>
      <c r="T64">
        <f t="shared" si="0"/>
        <v>0</v>
      </c>
    </row>
    <row r="65" spans="1:18" x14ac:dyDescent="0.25">
      <c r="A65" s="182"/>
      <c r="B65" s="182"/>
      <c r="C65" s="182"/>
      <c r="D65" s="182"/>
      <c r="E65" s="182"/>
      <c r="F65" s="182"/>
      <c r="G65" s="182"/>
      <c r="H65" s="182"/>
      <c r="I65" s="182"/>
      <c r="J65" s="182"/>
      <c r="K65" s="182"/>
      <c r="L65" s="182"/>
      <c r="M65" s="182"/>
      <c r="N65" s="182"/>
      <c r="O65" s="182"/>
      <c r="P65" s="182"/>
      <c r="Q65" s="182"/>
      <c r="R65" s="212">
        <v>1976</v>
      </c>
    </row>
    <row r="66" spans="1:18" x14ac:dyDescent="0.25">
      <c r="A66" s="160"/>
      <c r="B66" s="161"/>
    </row>
    <row r="67" spans="1:18" x14ac:dyDescent="0.25">
      <c r="A67" s="160"/>
      <c r="B67" s="161"/>
    </row>
    <row r="68" spans="1:18" x14ac:dyDescent="0.25">
      <c r="A68" s="160"/>
      <c r="B68" s="161"/>
    </row>
    <row r="69" spans="1:18" x14ac:dyDescent="0.25">
      <c r="A69" s="160"/>
      <c r="B69" s="161"/>
    </row>
    <row r="70" spans="1:18" x14ac:dyDescent="0.25">
      <c r="A70" s="160"/>
      <c r="B70" s="161"/>
    </row>
    <row r="71" spans="1:18" x14ac:dyDescent="0.25">
      <c r="A71" s="182"/>
      <c r="B71" s="182"/>
    </row>
    <row r="72" spans="1:18" x14ac:dyDescent="0.25">
      <c r="A72" s="160"/>
      <c r="B72" s="161"/>
    </row>
    <row r="73" spans="1:18" x14ac:dyDescent="0.25">
      <c r="A73" s="160"/>
      <c r="B73" s="161"/>
    </row>
    <row r="74" spans="1:18" x14ac:dyDescent="0.25">
      <c r="A74" s="160"/>
      <c r="B74" s="161"/>
    </row>
    <row r="75" spans="1:18" x14ac:dyDescent="0.25">
      <c r="A75" s="160"/>
      <c r="B75" s="161"/>
    </row>
    <row r="76" spans="1:18" x14ac:dyDescent="0.25">
      <c r="A76" s="160"/>
      <c r="B76" s="161"/>
    </row>
    <row r="77" spans="1:18" x14ac:dyDescent="0.25">
      <c r="A77" s="182"/>
      <c r="B77" s="182"/>
    </row>
    <row r="78" spans="1:18" x14ac:dyDescent="0.25">
      <c r="A78" s="159"/>
      <c r="B78" s="15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65"/>
  <sheetViews>
    <sheetView zoomScale="70" zoomScaleNormal="70" workbookViewId="0">
      <selection activeCell="T2" sqref="T2:T64"/>
    </sheetView>
  </sheetViews>
  <sheetFormatPr defaultRowHeight="15" x14ac:dyDescent="0.25"/>
  <sheetData>
    <row r="1" spans="1:20" x14ac:dyDescent="0.25">
      <c r="A1" s="187" t="s">
        <v>1</v>
      </c>
      <c r="B1" s="187" t="s">
        <v>6</v>
      </c>
      <c r="C1" s="187" t="s">
        <v>46</v>
      </c>
      <c r="D1" s="187" t="s">
        <v>47</v>
      </c>
      <c r="E1" s="187" t="s">
        <v>48</v>
      </c>
      <c r="F1" s="187" t="s">
        <v>49</v>
      </c>
      <c r="G1" s="187" t="s">
        <v>50</v>
      </c>
      <c r="H1" s="187" t="s">
        <v>51</v>
      </c>
      <c r="I1" s="187" t="s">
        <v>52</v>
      </c>
      <c r="J1" s="187" t="s">
        <v>53</v>
      </c>
      <c r="K1" s="187" t="s">
        <v>54</v>
      </c>
      <c r="L1" s="187" t="s">
        <v>55</v>
      </c>
      <c r="M1" s="187" t="s">
        <v>56</v>
      </c>
      <c r="N1" s="187" t="s">
        <v>57</v>
      </c>
      <c r="O1" s="187" t="s">
        <v>58</v>
      </c>
      <c r="P1" s="187" t="s">
        <v>59</v>
      </c>
      <c r="Q1" s="187" t="s">
        <v>667</v>
      </c>
      <c r="R1" s="187" t="s">
        <v>2</v>
      </c>
    </row>
    <row r="2" spans="1:20" x14ac:dyDescent="0.25">
      <c r="A2" s="188">
        <v>1</v>
      </c>
      <c r="B2" s="189" t="s">
        <v>10</v>
      </c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8">
        <v>0</v>
      </c>
      <c r="T2">
        <f t="shared" ref="T2:T64" si="0">C2+D2+E2+F2+G2+H2+I2+J2+K2+L2+M2+N2+O2+P2+Q2</f>
        <v>0</v>
      </c>
    </row>
    <row r="3" spans="1:20" x14ac:dyDescent="0.25">
      <c r="A3" s="188">
        <v>2</v>
      </c>
      <c r="B3" s="189" t="s">
        <v>11</v>
      </c>
      <c r="C3" s="189"/>
      <c r="D3" s="189"/>
      <c r="E3" s="189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89"/>
      <c r="Q3" s="189"/>
      <c r="R3" s="188">
        <v>0</v>
      </c>
      <c r="T3">
        <f t="shared" si="0"/>
        <v>0</v>
      </c>
    </row>
    <row r="4" spans="1:20" x14ac:dyDescent="0.25">
      <c r="A4" s="188">
        <v>3</v>
      </c>
      <c r="B4" s="189" t="s">
        <v>12</v>
      </c>
      <c r="C4" s="189"/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  <c r="Q4" s="189"/>
      <c r="R4" s="188">
        <v>0</v>
      </c>
      <c r="T4">
        <f t="shared" si="0"/>
        <v>0</v>
      </c>
    </row>
    <row r="5" spans="1:20" x14ac:dyDescent="0.25">
      <c r="A5" s="188">
        <v>4</v>
      </c>
      <c r="B5" s="189" t="s">
        <v>651</v>
      </c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  <c r="Q5" s="189"/>
      <c r="R5" s="188">
        <v>0</v>
      </c>
      <c r="T5">
        <f t="shared" si="0"/>
        <v>0</v>
      </c>
    </row>
    <row r="6" spans="1:20" x14ac:dyDescent="0.25">
      <c r="A6" s="188">
        <v>5</v>
      </c>
      <c r="B6" s="189" t="s">
        <v>14</v>
      </c>
      <c r="C6" s="189"/>
      <c r="D6" s="189"/>
      <c r="E6" s="189"/>
      <c r="F6" s="189"/>
      <c r="G6" s="189"/>
      <c r="H6" s="189"/>
      <c r="I6" s="189"/>
      <c r="J6" s="189"/>
      <c r="K6" s="189"/>
      <c r="L6" s="189"/>
      <c r="M6" s="189"/>
      <c r="N6" s="189"/>
      <c r="O6" s="189"/>
      <c r="P6" s="189"/>
      <c r="Q6" s="189"/>
      <c r="R6" s="188">
        <v>0</v>
      </c>
      <c r="T6">
        <f t="shared" si="0"/>
        <v>0</v>
      </c>
    </row>
    <row r="7" spans="1:20" x14ac:dyDescent="0.25">
      <c r="A7" s="188">
        <v>6</v>
      </c>
      <c r="B7" s="189" t="s">
        <v>15</v>
      </c>
      <c r="C7" s="189"/>
      <c r="D7" s="189"/>
      <c r="E7" s="189"/>
      <c r="F7" s="189"/>
      <c r="G7" s="189"/>
      <c r="H7" s="189"/>
      <c r="I7" s="189"/>
      <c r="J7" s="189"/>
      <c r="K7" s="189"/>
      <c r="L7" s="189"/>
      <c r="M7" s="189"/>
      <c r="N7" s="189"/>
      <c r="O7" s="189"/>
      <c r="P7" s="189"/>
      <c r="Q7" s="189"/>
      <c r="R7" s="188">
        <v>0</v>
      </c>
      <c r="T7">
        <f t="shared" si="0"/>
        <v>0</v>
      </c>
    </row>
    <row r="8" spans="1:20" x14ac:dyDescent="0.25">
      <c r="A8" s="188">
        <v>7</v>
      </c>
      <c r="B8" s="189" t="s">
        <v>16</v>
      </c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89"/>
      <c r="Q8" s="189"/>
      <c r="R8" s="188">
        <v>0</v>
      </c>
      <c r="T8">
        <f t="shared" si="0"/>
        <v>0</v>
      </c>
    </row>
    <row r="9" spans="1:20" x14ac:dyDescent="0.25">
      <c r="A9" s="188">
        <v>8</v>
      </c>
      <c r="B9" s="189" t="s">
        <v>4</v>
      </c>
      <c r="C9" s="189"/>
      <c r="D9" s="189"/>
      <c r="E9" s="189"/>
      <c r="F9" s="189"/>
      <c r="G9" s="189"/>
      <c r="H9" s="189"/>
      <c r="I9" s="189"/>
      <c r="J9" s="189"/>
      <c r="K9" s="189"/>
      <c r="L9" s="189"/>
      <c r="M9" s="189"/>
      <c r="N9" s="189"/>
      <c r="O9" s="189"/>
      <c r="P9" s="189"/>
      <c r="Q9" s="189"/>
      <c r="R9" s="188">
        <v>0</v>
      </c>
      <c r="T9">
        <f t="shared" si="0"/>
        <v>0</v>
      </c>
    </row>
    <row r="10" spans="1:20" x14ac:dyDescent="0.25">
      <c r="A10" s="188">
        <v>9</v>
      </c>
      <c r="B10" s="189" t="s">
        <v>5</v>
      </c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8">
        <v>0</v>
      </c>
      <c r="T10">
        <f t="shared" si="0"/>
        <v>0</v>
      </c>
    </row>
    <row r="11" spans="1:20" x14ac:dyDescent="0.25">
      <c r="A11" s="188">
        <v>10</v>
      </c>
      <c r="B11" s="189" t="s">
        <v>38</v>
      </c>
      <c r="C11" s="189"/>
      <c r="D11" s="189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189"/>
      <c r="P11" s="189"/>
      <c r="Q11" s="189"/>
      <c r="R11" s="188">
        <v>0</v>
      </c>
      <c r="T11">
        <f t="shared" si="0"/>
        <v>0</v>
      </c>
    </row>
    <row r="12" spans="1:20" x14ac:dyDescent="0.25">
      <c r="A12" s="188">
        <v>11</v>
      </c>
      <c r="B12" s="189" t="s">
        <v>43</v>
      </c>
      <c r="C12" s="189"/>
      <c r="D12" s="189"/>
      <c r="E12" s="189"/>
      <c r="F12" s="189"/>
      <c r="G12" s="189"/>
      <c r="H12" s="189"/>
      <c r="I12" s="189"/>
      <c r="J12" s="189"/>
      <c r="K12" s="189"/>
      <c r="L12" s="189"/>
      <c r="M12" s="189"/>
      <c r="N12" s="189"/>
      <c r="O12" s="189"/>
      <c r="P12" s="189"/>
      <c r="Q12" s="189"/>
      <c r="R12" s="188">
        <v>0</v>
      </c>
      <c r="T12">
        <f t="shared" si="0"/>
        <v>0</v>
      </c>
    </row>
    <row r="13" spans="1:20" x14ac:dyDescent="0.25">
      <c r="A13" s="188">
        <v>12</v>
      </c>
      <c r="B13" s="189" t="s">
        <v>639</v>
      </c>
      <c r="C13" s="189"/>
      <c r="D13" s="189"/>
      <c r="E13" s="189"/>
      <c r="F13" s="189"/>
      <c r="G13" s="189"/>
      <c r="H13" s="189"/>
      <c r="I13" s="189"/>
      <c r="J13" s="189"/>
      <c r="K13" s="189"/>
      <c r="L13" s="189"/>
      <c r="M13" s="189"/>
      <c r="N13" s="189"/>
      <c r="O13" s="189"/>
      <c r="P13" s="189"/>
      <c r="Q13" s="189"/>
      <c r="R13" s="188">
        <v>0</v>
      </c>
      <c r="T13">
        <f t="shared" si="0"/>
        <v>0</v>
      </c>
    </row>
    <row r="14" spans="1:20" x14ac:dyDescent="0.25">
      <c r="A14" s="188">
        <v>13</v>
      </c>
      <c r="B14" s="189" t="s">
        <v>87</v>
      </c>
      <c r="C14" s="189"/>
      <c r="D14" s="189"/>
      <c r="E14" s="189"/>
      <c r="F14" s="189"/>
      <c r="G14" s="189"/>
      <c r="H14" s="189"/>
      <c r="I14" s="189"/>
      <c r="J14" s="189"/>
      <c r="K14" s="189"/>
      <c r="L14" s="189"/>
      <c r="M14" s="189"/>
      <c r="N14" s="189"/>
      <c r="O14" s="189"/>
      <c r="P14" s="189"/>
      <c r="Q14" s="189"/>
      <c r="R14" s="188">
        <v>0</v>
      </c>
      <c r="T14">
        <f t="shared" si="0"/>
        <v>0</v>
      </c>
    </row>
    <row r="15" spans="1:20" x14ac:dyDescent="0.25">
      <c r="A15" s="188">
        <v>14</v>
      </c>
      <c r="B15" s="189" t="s">
        <v>95</v>
      </c>
      <c r="C15" s="189"/>
      <c r="D15" s="189"/>
      <c r="E15" s="189"/>
      <c r="F15" s="189"/>
      <c r="G15" s="189"/>
      <c r="H15" s="189"/>
      <c r="I15" s="189"/>
      <c r="J15" s="189"/>
      <c r="K15" s="189"/>
      <c r="L15" s="189"/>
      <c r="M15" s="189"/>
      <c r="N15" s="189"/>
      <c r="O15" s="189"/>
      <c r="P15" s="189"/>
      <c r="Q15" s="189"/>
      <c r="R15" s="188">
        <v>0</v>
      </c>
      <c r="T15">
        <f t="shared" si="0"/>
        <v>0</v>
      </c>
    </row>
    <row r="16" spans="1:20" x14ac:dyDescent="0.25">
      <c r="A16" s="188">
        <v>15</v>
      </c>
      <c r="B16" s="189" t="s">
        <v>96</v>
      </c>
      <c r="C16" s="189"/>
      <c r="D16" s="189"/>
      <c r="E16" s="189"/>
      <c r="F16" s="189"/>
      <c r="G16" s="189"/>
      <c r="H16" s="189"/>
      <c r="I16" s="189"/>
      <c r="J16" s="189"/>
      <c r="K16" s="189"/>
      <c r="L16" s="189"/>
      <c r="M16" s="189"/>
      <c r="N16" s="189"/>
      <c r="O16" s="189"/>
      <c r="P16" s="189"/>
      <c r="Q16" s="189"/>
      <c r="R16" s="188">
        <v>0</v>
      </c>
      <c r="T16">
        <f t="shared" si="0"/>
        <v>0</v>
      </c>
    </row>
    <row r="17" spans="1:20" x14ac:dyDescent="0.25">
      <c r="A17" s="188">
        <v>16</v>
      </c>
      <c r="B17" s="189" t="s">
        <v>97</v>
      </c>
      <c r="C17" s="189"/>
      <c r="D17" s="189"/>
      <c r="E17" s="189"/>
      <c r="F17" s="189"/>
      <c r="G17" s="189"/>
      <c r="H17" s="189"/>
      <c r="I17" s="189"/>
      <c r="J17" s="189"/>
      <c r="K17" s="189"/>
      <c r="L17" s="189"/>
      <c r="M17" s="189"/>
      <c r="N17" s="189"/>
      <c r="O17" s="189"/>
      <c r="P17" s="189"/>
      <c r="Q17" s="189"/>
      <c r="R17" s="188">
        <v>0</v>
      </c>
      <c r="T17">
        <f t="shared" si="0"/>
        <v>0</v>
      </c>
    </row>
    <row r="18" spans="1:20" x14ac:dyDescent="0.25">
      <c r="A18" s="188">
        <v>17</v>
      </c>
      <c r="B18" s="189" t="s">
        <v>98</v>
      </c>
      <c r="C18" s="189"/>
      <c r="D18" s="189"/>
      <c r="E18" s="189"/>
      <c r="F18" s="189"/>
      <c r="G18" s="189"/>
      <c r="H18" s="189"/>
      <c r="I18" s="189"/>
      <c r="J18" s="189"/>
      <c r="K18" s="189"/>
      <c r="L18" s="189"/>
      <c r="M18" s="189"/>
      <c r="N18" s="189"/>
      <c r="O18" s="189"/>
      <c r="P18" s="189"/>
      <c r="Q18" s="189"/>
      <c r="R18" s="188">
        <v>0</v>
      </c>
      <c r="T18">
        <f t="shared" si="0"/>
        <v>0</v>
      </c>
    </row>
    <row r="19" spans="1:20" x14ac:dyDescent="0.25">
      <c r="A19" s="188">
        <v>18</v>
      </c>
      <c r="B19" s="189" t="s">
        <v>616</v>
      </c>
      <c r="C19" s="189"/>
      <c r="D19" s="189"/>
      <c r="E19" s="189"/>
      <c r="F19" s="189"/>
      <c r="G19" s="189"/>
      <c r="H19" s="189"/>
      <c r="I19" s="189"/>
      <c r="J19" s="189"/>
      <c r="K19" s="189"/>
      <c r="L19" s="189"/>
      <c r="M19" s="189"/>
      <c r="N19" s="189"/>
      <c r="O19" s="189"/>
      <c r="P19" s="189"/>
      <c r="Q19" s="189"/>
      <c r="R19" s="188">
        <v>0</v>
      </c>
      <c r="T19">
        <f t="shared" si="0"/>
        <v>0</v>
      </c>
    </row>
    <row r="20" spans="1:20" x14ac:dyDescent="0.25">
      <c r="A20" s="188">
        <v>19</v>
      </c>
      <c r="B20" s="189" t="s">
        <v>617</v>
      </c>
      <c r="C20" s="189"/>
      <c r="D20" s="189"/>
      <c r="E20" s="189"/>
      <c r="F20" s="189"/>
      <c r="G20" s="189"/>
      <c r="H20" s="189"/>
      <c r="I20" s="189"/>
      <c r="J20" s="189"/>
      <c r="K20" s="189"/>
      <c r="L20" s="189"/>
      <c r="M20" s="189"/>
      <c r="N20" s="189"/>
      <c r="O20" s="189"/>
      <c r="P20" s="189"/>
      <c r="Q20" s="189"/>
      <c r="R20" s="188">
        <v>0</v>
      </c>
      <c r="T20">
        <f t="shared" si="0"/>
        <v>0</v>
      </c>
    </row>
    <row r="21" spans="1:20" x14ac:dyDescent="0.25">
      <c r="A21" s="188">
        <v>20</v>
      </c>
      <c r="B21" s="189" t="s">
        <v>626</v>
      </c>
      <c r="C21" s="189"/>
      <c r="D21" s="189"/>
      <c r="E21" s="189"/>
      <c r="F21" s="189"/>
      <c r="G21" s="189"/>
      <c r="H21" s="189"/>
      <c r="I21" s="189"/>
      <c r="J21" s="189"/>
      <c r="K21" s="189"/>
      <c r="L21" s="189"/>
      <c r="M21" s="189"/>
      <c r="N21" s="189"/>
      <c r="O21" s="189"/>
      <c r="P21" s="189"/>
      <c r="Q21" s="189"/>
      <c r="R21" s="188">
        <v>0</v>
      </c>
      <c r="T21">
        <f t="shared" si="0"/>
        <v>0</v>
      </c>
    </row>
    <row r="22" spans="1:20" x14ac:dyDescent="0.25">
      <c r="A22" s="188">
        <v>21</v>
      </c>
      <c r="B22" s="189" t="s">
        <v>618</v>
      </c>
      <c r="C22" s="189"/>
      <c r="D22" s="189"/>
      <c r="E22" s="189"/>
      <c r="F22" s="189"/>
      <c r="G22" s="189"/>
      <c r="H22" s="189"/>
      <c r="I22" s="189"/>
      <c r="J22" s="189"/>
      <c r="K22" s="189"/>
      <c r="L22" s="189"/>
      <c r="M22" s="189"/>
      <c r="N22" s="189"/>
      <c r="O22" s="189"/>
      <c r="P22" s="189"/>
      <c r="Q22" s="189"/>
      <c r="R22" s="188">
        <v>0</v>
      </c>
      <c r="T22">
        <f t="shared" si="0"/>
        <v>0</v>
      </c>
    </row>
    <row r="23" spans="1:20" x14ac:dyDescent="0.25">
      <c r="A23" s="188">
        <v>22</v>
      </c>
      <c r="B23" s="189" t="s">
        <v>619</v>
      </c>
      <c r="C23" s="189"/>
      <c r="D23" s="189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188">
        <v>0</v>
      </c>
      <c r="T23">
        <f t="shared" si="0"/>
        <v>0</v>
      </c>
    </row>
    <row r="24" spans="1:20" x14ac:dyDescent="0.25">
      <c r="A24" s="188">
        <v>23</v>
      </c>
      <c r="B24" s="189" t="s">
        <v>620</v>
      </c>
      <c r="C24" s="189"/>
      <c r="D24" s="189"/>
      <c r="E24" s="189"/>
      <c r="F24" s="189"/>
      <c r="G24" s="189"/>
      <c r="H24" s="189"/>
      <c r="I24" s="189"/>
      <c r="J24" s="189"/>
      <c r="K24" s="189"/>
      <c r="L24" s="189"/>
      <c r="M24" s="189"/>
      <c r="N24" s="189"/>
      <c r="O24" s="189"/>
      <c r="P24" s="189"/>
      <c r="Q24" s="189"/>
      <c r="R24" s="188">
        <v>0</v>
      </c>
      <c r="T24">
        <f t="shared" si="0"/>
        <v>0</v>
      </c>
    </row>
    <row r="25" spans="1:20" x14ac:dyDescent="0.25">
      <c r="A25" s="188">
        <v>24</v>
      </c>
      <c r="B25" s="189" t="s">
        <v>650</v>
      </c>
      <c r="C25" s="189"/>
      <c r="D25" s="189"/>
      <c r="E25" s="189"/>
      <c r="F25" s="189"/>
      <c r="G25" s="189"/>
      <c r="H25" s="189"/>
      <c r="I25" s="189"/>
      <c r="J25" s="189"/>
      <c r="K25" s="189"/>
      <c r="L25" s="189"/>
      <c r="M25" s="189"/>
      <c r="N25" s="189"/>
      <c r="O25" s="189"/>
      <c r="P25" s="189"/>
      <c r="Q25" s="189"/>
      <c r="R25" s="188">
        <v>0</v>
      </c>
      <c r="T25">
        <f t="shared" si="0"/>
        <v>0</v>
      </c>
    </row>
    <row r="26" spans="1:20" x14ac:dyDescent="0.25">
      <c r="A26" s="188">
        <v>25</v>
      </c>
      <c r="B26" s="189" t="s">
        <v>621</v>
      </c>
      <c r="C26" s="189"/>
      <c r="D26" s="189"/>
      <c r="E26" s="189"/>
      <c r="F26" s="189"/>
      <c r="G26" s="189"/>
      <c r="H26" s="189"/>
      <c r="I26" s="189"/>
      <c r="J26" s="189"/>
      <c r="K26" s="189"/>
      <c r="L26" s="189"/>
      <c r="M26" s="189" t="s">
        <v>65</v>
      </c>
      <c r="N26" s="189"/>
      <c r="O26" s="189" t="s">
        <v>54</v>
      </c>
      <c r="P26" s="189"/>
      <c r="Q26" s="189" t="s">
        <v>54</v>
      </c>
      <c r="R26" s="216">
        <v>60</v>
      </c>
      <c r="T26">
        <f t="shared" si="0"/>
        <v>60</v>
      </c>
    </row>
    <row r="27" spans="1:20" x14ac:dyDescent="0.25">
      <c r="A27" s="188">
        <v>26</v>
      </c>
      <c r="B27" s="189" t="s">
        <v>622</v>
      </c>
      <c r="C27" s="189"/>
      <c r="D27" s="189"/>
      <c r="E27" s="189"/>
      <c r="F27" s="189"/>
      <c r="G27" s="189"/>
      <c r="H27" s="189"/>
      <c r="I27" s="189"/>
      <c r="J27" s="189"/>
      <c r="K27" s="189"/>
      <c r="L27" s="189"/>
      <c r="M27" s="189" t="s">
        <v>65</v>
      </c>
      <c r="N27" s="189"/>
      <c r="O27" s="189" t="s">
        <v>54</v>
      </c>
      <c r="P27" s="189"/>
      <c r="Q27" s="189" t="s">
        <v>54</v>
      </c>
      <c r="R27" s="216">
        <v>60</v>
      </c>
      <c r="T27">
        <f t="shared" si="0"/>
        <v>60</v>
      </c>
    </row>
    <row r="28" spans="1:20" x14ac:dyDescent="0.25">
      <c r="A28" s="188">
        <v>27</v>
      </c>
      <c r="B28" s="189" t="s">
        <v>623</v>
      </c>
      <c r="C28" s="189"/>
      <c r="D28" s="189"/>
      <c r="E28" s="189"/>
      <c r="F28" s="189"/>
      <c r="G28" s="189"/>
      <c r="H28" s="189"/>
      <c r="I28" s="189"/>
      <c r="J28" s="189"/>
      <c r="K28" s="189"/>
      <c r="L28" s="189"/>
      <c r="M28" s="189"/>
      <c r="N28" s="189"/>
      <c r="O28" s="189"/>
      <c r="P28" s="189"/>
      <c r="Q28" s="189"/>
      <c r="R28" s="188">
        <v>0</v>
      </c>
      <c r="T28">
        <f t="shared" si="0"/>
        <v>0</v>
      </c>
    </row>
    <row r="29" spans="1:20" x14ac:dyDescent="0.25">
      <c r="A29" s="188">
        <v>28</v>
      </c>
      <c r="B29" s="189" t="s">
        <v>624</v>
      </c>
      <c r="C29" s="189"/>
      <c r="D29" s="189"/>
      <c r="E29" s="189"/>
      <c r="F29" s="189"/>
      <c r="G29" s="189"/>
      <c r="H29" s="189"/>
      <c r="I29" s="189"/>
      <c r="J29" s="189"/>
      <c r="K29" s="189"/>
      <c r="L29" s="189"/>
      <c r="M29" s="189"/>
      <c r="N29" s="189"/>
      <c r="O29" s="189"/>
      <c r="P29" s="189"/>
      <c r="Q29" s="189"/>
      <c r="R29" s="188">
        <v>0</v>
      </c>
      <c r="T29">
        <f t="shared" si="0"/>
        <v>0</v>
      </c>
    </row>
    <row r="30" spans="1:20" x14ac:dyDescent="0.25">
      <c r="A30" s="188">
        <v>29</v>
      </c>
      <c r="B30" s="189" t="s">
        <v>627</v>
      </c>
      <c r="C30" s="189"/>
      <c r="D30" s="189"/>
      <c r="E30" s="189"/>
      <c r="F30" s="189"/>
      <c r="G30" s="189"/>
      <c r="H30" s="189"/>
      <c r="I30" s="189"/>
      <c r="J30" s="189"/>
      <c r="K30" s="189"/>
      <c r="L30" s="189"/>
      <c r="M30" s="189"/>
      <c r="N30" s="189"/>
      <c r="O30" s="189"/>
      <c r="P30" s="189"/>
      <c r="Q30" s="189"/>
      <c r="R30" s="188">
        <v>0</v>
      </c>
      <c r="T30">
        <f t="shared" si="0"/>
        <v>0</v>
      </c>
    </row>
    <row r="31" spans="1:20" x14ac:dyDescent="0.25">
      <c r="A31" s="188">
        <v>30</v>
      </c>
      <c r="B31" s="189" t="s">
        <v>625</v>
      </c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89"/>
      <c r="O31" s="189"/>
      <c r="P31" s="189"/>
      <c r="Q31" s="189"/>
      <c r="R31" s="188">
        <v>0</v>
      </c>
      <c r="T31">
        <f t="shared" si="0"/>
        <v>0</v>
      </c>
    </row>
    <row r="32" spans="1:20" x14ac:dyDescent="0.25">
      <c r="A32" s="188">
        <v>31</v>
      </c>
      <c r="B32" s="189" t="s">
        <v>34</v>
      </c>
      <c r="C32" s="189"/>
      <c r="D32" s="189"/>
      <c r="E32" s="189"/>
      <c r="F32" s="189"/>
      <c r="G32" s="189"/>
      <c r="H32" s="189"/>
      <c r="I32" s="189"/>
      <c r="J32" s="189"/>
      <c r="K32" s="189"/>
      <c r="L32" s="189"/>
      <c r="M32" s="189"/>
      <c r="N32" s="189"/>
      <c r="O32" s="189"/>
      <c r="P32" s="189"/>
      <c r="Q32" s="189"/>
      <c r="R32" s="216">
        <v>120</v>
      </c>
      <c r="T32">
        <f t="shared" si="0"/>
        <v>0</v>
      </c>
    </row>
    <row r="33" spans="1:20" x14ac:dyDescent="0.25">
      <c r="A33" s="188">
        <v>32</v>
      </c>
      <c r="B33" s="189" t="s">
        <v>45</v>
      </c>
      <c r="C33" s="189"/>
      <c r="D33" s="189"/>
      <c r="E33" s="189"/>
      <c r="F33" s="189"/>
      <c r="G33" s="189"/>
      <c r="H33" s="189"/>
      <c r="I33" s="189"/>
      <c r="J33" s="189"/>
      <c r="K33" s="189"/>
      <c r="L33" s="189"/>
      <c r="M33" s="189"/>
      <c r="N33" s="189"/>
      <c r="O33" s="189"/>
      <c r="P33" s="189"/>
      <c r="Q33" s="189"/>
      <c r="R33" s="216">
        <v>120</v>
      </c>
      <c r="T33">
        <f t="shared" si="0"/>
        <v>0</v>
      </c>
    </row>
    <row r="34" spans="1:20" x14ac:dyDescent="0.25">
      <c r="A34" s="188">
        <v>33</v>
      </c>
      <c r="B34" s="189" t="s">
        <v>630</v>
      </c>
      <c r="C34" s="189"/>
      <c r="D34" s="189"/>
      <c r="E34" s="189"/>
      <c r="F34" s="189"/>
      <c r="G34" s="189"/>
      <c r="H34" s="189"/>
      <c r="I34" s="189"/>
      <c r="J34" s="189"/>
      <c r="K34" s="189"/>
      <c r="L34" s="189"/>
      <c r="M34" s="189"/>
      <c r="N34" s="189"/>
      <c r="O34" s="189"/>
      <c r="P34" s="189"/>
      <c r="Q34" s="189"/>
      <c r="R34" s="188">
        <v>0</v>
      </c>
      <c r="T34">
        <f t="shared" si="0"/>
        <v>0</v>
      </c>
    </row>
    <row r="35" spans="1:20" x14ac:dyDescent="0.25">
      <c r="A35" s="188">
        <v>34</v>
      </c>
      <c r="B35" s="189" t="s">
        <v>628</v>
      </c>
      <c r="C35" s="189"/>
      <c r="D35" s="189"/>
      <c r="E35" s="189"/>
      <c r="F35" s="189"/>
      <c r="G35" s="189"/>
      <c r="H35" s="189"/>
      <c r="I35" s="189"/>
      <c r="J35" s="189"/>
      <c r="K35" s="189"/>
      <c r="L35" s="189"/>
      <c r="M35" s="189"/>
      <c r="N35" s="189"/>
      <c r="O35" s="189"/>
      <c r="P35" s="189"/>
      <c r="Q35" s="189"/>
      <c r="R35" s="188">
        <v>0</v>
      </c>
      <c r="T35">
        <f t="shared" si="0"/>
        <v>0</v>
      </c>
    </row>
    <row r="36" spans="1:20" x14ac:dyDescent="0.25">
      <c r="A36" s="188">
        <v>35</v>
      </c>
      <c r="B36" s="189" t="s">
        <v>629</v>
      </c>
      <c r="C36" s="189"/>
      <c r="D36" s="189"/>
      <c r="E36" s="189"/>
      <c r="F36" s="189"/>
      <c r="G36" s="189"/>
      <c r="H36" s="189"/>
      <c r="I36" s="189"/>
      <c r="J36" s="189"/>
      <c r="K36" s="189"/>
      <c r="L36" s="189"/>
      <c r="M36" s="189"/>
      <c r="N36" s="189"/>
      <c r="O36" s="189"/>
      <c r="P36" s="189"/>
      <c r="Q36" s="189"/>
      <c r="R36" s="188">
        <v>0</v>
      </c>
      <c r="T36">
        <f t="shared" si="0"/>
        <v>0</v>
      </c>
    </row>
    <row r="37" spans="1:20" x14ac:dyDescent="0.25">
      <c r="A37" s="188">
        <v>36</v>
      </c>
      <c r="B37" s="189" t="s">
        <v>631</v>
      </c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89"/>
      <c r="N37" s="189"/>
      <c r="O37" s="189"/>
      <c r="P37" s="189"/>
      <c r="Q37" s="189"/>
      <c r="R37" s="188">
        <v>0</v>
      </c>
      <c r="T37">
        <f t="shared" si="0"/>
        <v>0</v>
      </c>
    </row>
    <row r="38" spans="1:20" x14ac:dyDescent="0.25">
      <c r="A38" s="188">
        <v>37</v>
      </c>
      <c r="B38" s="189" t="s">
        <v>632</v>
      </c>
      <c r="C38" s="189"/>
      <c r="D38" s="189"/>
      <c r="E38" s="189"/>
      <c r="F38" s="189"/>
      <c r="G38" s="189"/>
      <c r="H38" s="189"/>
      <c r="I38" s="189"/>
      <c r="J38" s="189"/>
      <c r="K38" s="189"/>
      <c r="L38" s="189"/>
      <c r="M38" s="189"/>
      <c r="N38" s="189"/>
      <c r="O38" s="189"/>
      <c r="P38" s="189"/>
      <c r="Q38" s="189"/>
      <c r="R38" s="188">
        <v>0</v>
      </c>
      <c r="T38">
        <f t="shared" si="0"/>
        <v>0</v>
      </c>
    </row>
    <row r="39" spans="1:20" x14ac:dyDescent="0.25">
      <c r="A39" s="188">
        <v>38</v>
      </c>
      <c r="B39" s="189" t="s">
        <v>633</v>
      </c>
      <c r="C39" s="189"/>
      <c r="D39" s="189"/>
      <c r="E39" s="189"/>
      <c r="F39" s="189"/>
      <c r="G39" s="189"/>
      <c r="H39" s="189"/>
      <c r="I39" s="189"/>
      <c r="J39" s="189"/>
      <c r="K39" s="189"/>
      <c r="L39" s="189"/>
      <c r="M39" s="189"/>
      <c r="N39" s="189"/>
      <c r="O39" s="189"/>
      <c r="P39" s="189"/>
      <c r="Q39" s="189"/>
      <c r="R39" s="188">
        <v>0</v>
      </c>
      <c r="T39">
        <f t="shared" si="0"/>
        <v>0</v>
      </c>
    </row>
    <row r="40" spans="1:20" x14ac:dyDescent="0.25">
      <c r="A40" s="188">
        <v>39</v>
      </c>
      <c r="B40" s="189" t="s">
        <v>634</v>
      </c>
      <c r="C40" s="189"/>
      <c r="D40" s="189"/>
      <c r="E40" s="189"/>
      <c r="F40" s="189"/>
      <c r="G40" s="189"/>
      <c r="H40" s="189"/>
      <c r="I40" s="189"/>
      <c r="J40" s="189"/>
      <c r="K40" s="189"/>
      <c r="L40" s="189"/>
      <c r="M40" s="189"/>
      <c r="N40" s="189"/>
      <c r="O40" s="189"/>
      <c r="P40" s="189"/>
      <c r="Q40" s="189"/>
      <c r="R40" s="188">
        <v>0</v>
      </c>
      <c r="T40">
        <f t="shared" si="0"/>
        <v>0</v>
      </c>
    </row>
    <row r="41" spans="1:20" x14ac:dyDescent="0.25">
      <c r="A41" s="188">
        <v>40</v>
      </c>
      <c r="B41" s="189" t="s">
        <v>636</v>
      </c>
      <c r="C41" s="189"/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  <c r="R41" s="188">
        <v>0</v>
      </c>
      <c r="T41">
        <f t="shared" si="0"/>
        <v>0</v>
      </c>
    </row>
    <row r="42" spans="1:20" x14ac:dyDescent="0.25">
      <c r="A42" s="188">
        <v>41</v>
      </c>
      <c r="B42" s="189" t="s">
        <v>637</v>
      </c>
      <c r="C42" s="189"/>
      <c r="D42" s="189"/>
      <c r="E42" s="189"/>
      <c r="F42" s="189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  <c r="R42" s="188">
        <v>0</v>
      </c>
      <c r="T42">
        <f t="shared" si="0"/>
        <v>0</v>
      </c>
    </row>
    <row r="43" spans="1:20" x14ac:dyDescent="0.25">
      <c r="A43" s="188">
        <v>42</v>
      </c>
      <c r="B43" s="189" t="s">
        <v>640</v>
      </c>
      <c r="C43" s="189"/>
      <c r="D43" s="189"/>
      <c r="E43" s="189"/>
      <c r="F43" s="189"/>
      <c r="G43" s="189"/>
      <c r="H43" s="189"/>
      <c r="I43" s="189"/>
      <c r="J43" s="189"/>
      <c r="K43" s="189"/>
      <c r="L43" s="189"/>
      <c r="M43" s="189"/>
      <c r="N43" s="189"/>
      <c r="O43" s="189"/>
      <c r="P43" s="189"/>
      <c r="Q43" s="189"/>
      <c r="R43" s="188">
        <v>0</v>
      </c>
      <c r="T43">
        <f t="shared" si="0"/>
        <v>0</v>
      </c>
    </row>
    <row r="44" spans="1:20" x14ac:dyDescent="0.25">
      <c r="A44" s="188">
        <v>43</v>
      </c>
      <c r="B44" s="189" t="s">
        <v>638</v>
      </c>
      <c r="C44" s="189"/>
      <c r="D44" s="189"/>
      <c r="E44" s="189"/>
      <c r="F44" s="189"/>
      <c r="G44" s="189"/>
      <c r="H44" s="189"/>
      <c r="I44" s="189"/>
      <c r="J44" s="189"/>
      <c r="K44" s="189"/>
      <c r="L44" s="189"/>
      <c r="M44" s="189"/>
      <c r="N44" s="189"/>
      <c r="O44" s="189"/>
      <c r="P44" s="189"/>
      <c r="Q44" s="189"/>
      <c r="R44" s="188">
        <v>0</v>
      </c>
      <c r="T44">
        <f t="shared" si="0"/>
        <v>0</v>
      </c>
    </row>
    <row r="45" spans="1:20" x14ac:dyDescent="0.25">
      <c r="A45" s="188">
        <v>44</v>
      </c>
      <c r="B45" s="189" t="s">
        <v>635</v>
      </c>
      <c r="C45" s="189"/>
      <c r="D45" s="189"/>
      <c r="E45" s="189"/>
      <c r="F45" s="189"/>
      <c r="G45" s="189"/>
      <c r="H45" s="189"/>
      <c r="I45" s="189"/>
      <c r="J45" s="189"/>
      <c r="K45" s="189"/>
      <c r="L45" s="189"/>
      <c r="M45" s="189"/>
      <c r="N45" s="189"/>
      <c r="O45" s="189"/>
      <c r="P45" s="189"/>
      <c r="Q45" s="189"/>
      <c r="R45" s="188">
        <v>0</v>
      </c>
      <c r="T45">
        <f t="shared" si="0"/>
        <v>0</v>
      </c>
    </row>
    <row r="46" spans="1:20" x14ac:dyDescent="0.25">
      <c r="A46" s="188">
        <v>45</v>
      </c>
      <c r="B46" s="189" t="s">
        <v>641</v>
      </c>
      <c r="C46" s="189"/>
      <c r="D46" s="189"/>
      <c r="E46" s="189"/>
      <c r="F46" s="189"/>
      <c r="G46" s="189"/>
      <c r="H46" s="189"/>
      <c r="I46" s="189"/>
      <c r="J46" s="189"/>
      <c r="K46" s="189"/>
      <c r="L46" s="189"/>
      <c r="M46" s="189"/>
      <c r="N46" s="189"/>
      <c r="O46" s="189"/>
      <c r="P46" s="189"/>
      <c r="Q46" s="189"/>
      <c r="R46" s="188">
        <v>0</v>
      </c>
      <c r="T46">
        <f t="shared" si="0"/>
        <v>0</v>
      </c>
    </row>
    <row r="47" spans="1:20" x14ac:dyDescent="0.25">
      <c r="A47" s="188">
        <v>46</v>
      </c>
      <c r="B47" s="189" t="s">
        <v>649</v>
      </c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89"/>
      <c r="O47" s="189"/>
      <c r="P47" s="189"/>
      <c r="Q47" s="189"/>
      <c r="R47" s="188">
        <v>0</v>
      </c>
      <c r="T47">
        <f t="shared" si="0"/>
        <v>0</v>
      </c>
    </row>
    <row r="48" spans="1:20" x14ac:dyDescent="0.25">
      <c r="A48" s="188">
        <v>47</v>
      </c>
      <c r="B48" s="189" t="s">
        <v>642</v>
      </c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89"/>
      <c r="O48" s="189"/>
      <c r="P48" s="189"/>
      <c r="Q48" s="189"/>
      <c r="R48" s="188">
        <v>0</v>
      </c>
      <c r="T48">
        <f t="shared" si="0"/>
        <v>0</v>
      </c>
    </row>
    <row r="49" spans="1:20" x14ac:dyDescent="0.25">
      <c r="A49" s="188">
        <v>48</v>
      </c>
      <c r="B49" s="189" t="s">
        <v>643</v>
      </c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89"/>
      <c r="O49" s="189"/>
      <c r="P49" s="189"/>
      <c r="Q49" s="189"/>
      <c r="R49" s="188">
        <v>0</v>
      </c>
      <c r="T49">
        <f t="shared" si="0"/>
        <v>0</v>
      </c>
    </row>
    <row r="50" spans="1:20" x14ac:dyDescent="0.25">
      <c r="A50" s="188">
        <v>49</v>
      </c>
      <c r="B50" s="189" t="s">
        <v>644</v>
      </c>
      <c r="C50" s="189"/>
      <c r="D50" s="189"/>
      <c r="E50" s="189"/>
      <c r="F50" s="189"/>
      <c r="G50" s="189"/>
      <c r="H50" s="189"/>
      <c r="I50" s="189"/>
      <c r="J50" s="189"/>
      <c r="K50" s="189"/>
      <c r="L50" s="189"/>
      <c r="M50" s="189"/>
      <c r="N50" s="189"/>
      <c r="O50" s="189"/>
      <c r="P50" s="189"/>
      <c r="Q50" s="189"/>
      <c r="R50" s="188">
        <v>0</v>
      </c>
      <c r="T50">
        <f t="shared" si="0"/>
        <v>0</v>
      </c>
    </row>
    <row r="51" spans="1:20" x14ac:dyDescent="0.25">
      <c r="A51" s="188">
        <v>50</v>
      </c>
      <c r="B51" s="189" t="s">
        <v>646</v>
      </c>
      <c r="C51" s="189"/>
      <c r="D51" s="189"/>
      <c r="E51" s="189"/>
      <c r="F51" s="189"/>
      <c r="G51" s="189"/>
      <c r="H51" s="189"/>
      <c r="I51" s="189"/>
      <c r="J51" s="189"/>
      <c r="K51" s="189"/>
      <c r="L51" s="189"/>
      <c r="M51" s="189"/>
      <c r="N51" s="189"/>
      <c r="O51" s="189"/>
      <c r="P51" s="189"/>
      <c r="Q51" s="189"/>
      <c r="R51" s="188">
        <v>0</v>
      </c>
      <c r="T51">
        <f t="shared" si="0"/>
        <v>0</v>
      </c>
    </row>
    <row r="52" spans="1:20" x14ac:dyDescent="0.25">
      <c r="A52" s="188">
        <v>51</v>
      </c>
      <c r="B52" s="189" t="s">
        <v>647</v>
      </c>
      <c r="C52" s="189"/>
      <c r="D52" s="189"/>
      <c r="E52" s="189"/>
      <c r="F52" s="189"/>
      <c r="G52" s="189"/>
      <c r="H52" s="189"/>
      <c r="I52" s="189"/>
      <c r="J52" s="189"/>
      <c r="K52" s="189"/>
      <c r="L52" s="189"/>
      <c r="M52" s="189"/>
      <c r="N52" s="189"/>
      <c r="O52" s="189"/>
      <c r="P52" s="189"/>
      <c r="Q52" s="189"/>
      <c r="R52" s="188">
        <v>0</v>
      </c>
      <c r="T52">
        <f t="shared" si="0"/>
        <v>0</v>
      </c>
    </row>
    <row r="53" spans="1:20" x14ac:dyDescent="0.25">
      <c r="A53" s="188">
        <v>52</v>
      </c>
      <c r="B53" s="189" t="s">
        <v>652</v>
      </c>
      <c r="C53" s="189"/>
      <c r="D53" s="189"/>
      <c r="E53" s="189"/>
      <c r="F53" s="189"/>
      <c r="G53" s="189"/>
      <c r="H53" s="189"/>
      <c r="I53" s="189"/>
      <c r="J53" s="189"/>
      <c r="K53" s="189"/>
      <c r="L53" s="189"/>
      <c r="M53" s="189"/>
      <c r="N53" s="189"/>
      <c r="O53" s="189"/>
      <c r="P53" s="189"/>
      <c r="Q53" s="189"/>
      <c r="R53" s="188">
        <v>0</v>
      </c>
      <c r="T53">
        <f t="shared" si="0"/>
        <v>0</v>
      </c>
    </row>
    <row r="54" spans="1:20" x14ac:dyDescent="0.25">
      <c r="A54" s="188">
        <v>53</v>
      </c>
      <c r="B54" s="189" t="s">
        <v>653</v>
      </c>
      <c r="C54" s="189"/>
      <c r="D54" s="189"/>
      <c r="E54" s="189"/>
      <c r="F54" s="189"/>
      <c r="G54" s="189"/>
      <c r="H54" s="189"/>
      <c r="I54" s="189"/>
      <c r="J54" s="189"/>
      <c r="K54" s="189"/>
      <c r="L54" s="189"/>
      <c r="M54" s="189"/>
      <c r="N54" s="189"/>
      <c r="O54" s="189"/>
      <c r="P54" s="189"/>
      <c r="Q54" s="189"/>
      <c r="R54" s="188">
        <v>0</v>
      </c>
      <c r="T54">
        <f t="shared" si="0"/>
        <v>0</v>
      </c>
    </row>
    <row r="55" spans="1:20" x14ac:dyDescent="0.25">
      <c r="A55" s="188">
        <v>54</v>
      </c>
      <c r="B55" s="189" t="s">
        <v>654</v>
      </c>
      <c r="C55" s="189"/>
      <c r="D55" s="189"/>
      <c r="E55" s="189"/>
      <c r="F55" s="189"/>
      <c r="G55" s="189"/>
      <c r="H55" s="189"/>
      <c r="I55" s="189"/>
      <c r="J55" s="189"/>
      <c r="K55" s="189"/>
      <c r="L55" s="189"/>
      <c r="M55" s="189"/>
      <c r="N55" s="189"/>
      <c r="O55" s="189"/>
      <c r="P55" s="189"/>
      <c r="Q55" s="189"/>
      <c r="R55" s="188">
        <v>0</v>
      </c>
      <c r="T55">
        <f t="shared" si="0"/>
        <v>0</v>
      </c>
    </row>
    <row r="56" spans="1:20" x14ac:dyDescent="0.25">
      <c r="A56" s="188">
        <v>55</v>
      </c>
      <c r="B56" s="189" t="s">
        <v>655</v>
      </c>
      <c r="C56" s="189"/>
      <c r="D56" s="189"/>
      <c r="E56" s="189"/>
      <c r="F56" s="189"/>
      <c r="G56" s="189"/>
      <c r="H56" s="189"/>
      <c r="I56" s="189"/>
      <c r="J56" s="189"/>
      <c r="K56" s="189"/>
      <c r="L56" s="189"/>
      <c r="M56" s="189"/>
      <c r="N56" s="189"/>
      <c r="O56" s="189"/>
      <c r="P56" s="189"/>
      <c r="Q56" s="189"/>
      <c r="R56" s="188">
        <v>0</v>
      </c>
      <c r="T56">
        <f t="shared" si="0"/>
        <v>0</v>
      </c>
    </row>
    <row r="57" spans="1:20" x14ac:dyDescent="0.25">
      <c r="A57" s="188">
        <v>56</v>
      </c>
      <c r="B57" s="189" t="s">
        <v>656</v>
      </c>
      <c r="C57" s="189"/>
      <c r="D57" s="189"/>
      <c r="E57" s="189"/>
      <c r="F57" s="189"/>
      <c r="G57" s="189"/>
      <c r="H57" s="189"/>
      <c r="I57" s="189"/>
      <c r="J57" s="189"/>
      <c r="K57" s="189"/>
      <c r="L57" s="189"/>
      <c r="M57" s="189"/>
      <c r="N57" s="189"/>
      <c r="O57" s="189"/>
      <c r="P57" s="189"/>
      <c r="Q57" s="189"/>
      <c r="R57" s="188">
        <v>0</v>
      </c>
      <c r="T57">
        <f t="shared" si="0"/>
        <v>0</v>
      </c>
    </row>
    <row r="58" spans="1:20" x14ac:dyDescent="0.25">
      <c r="A58" s="188">
        <v>57</v>
      </c>
      <c r="B58" s="189" t="s">
        <v>657</v>
      </c>
      <c r="C58" s="189"/>
      <c r="D58" s="189"/>
      <c r="E58" s="189"/>
      <c r="F58" s="189"/>
      <c r="G58" s="189"/>
      <c r="H58" s="189"/>
      <c r="I58" s="189"/>
      <c r="J58" s="189"/>
      <c r="K58" s="189"/>
      <c r="L58" s="189"/>
      <c r="M58" s="189"/>
      <c r="N58" s="189"/>
      <c r="O58" s="189"/>
      <c r="P58" s="189"/>
      <c r="Q58" s="189"/>
      <c r="R58" s="188">
        <v>0</v>
      </c>
      <c r="T58">
        <f t="shared" si="0"/>
        <v>0</v>
      </c>
    </row>
    <row r="59" spans="1:20" x14ac:dyDescent="0.25">
      <c r="A59" s="188">
        <v>58</v>
      </c>
      <c r="B59" s="189" t="s">
        <v>658</v>
      </c>
      <c r="C59" s="189"/>
      <c r="D59" s="189"/>
      <c r="E59" s="189"/>
      <c r="F59" s="189"/>
      <c r="G59" s="189"/>
      <c r="H59" s="189"/>
      <c r="I59" s="189"/>
      <c r="J59" s="189"/>
      <c r="K59" s="189"/>
      <c r="L59" s="189"/>
      <c r="M59" s="189"/>
      <c r="N59" s="189"/>
      <c r="O59" s="189"/>
      <c r="P59" s="189"/>
      <c r="Q59" s="189"/>
      <c r="R59" s="188">
        <v>0</v>
      </c>
      <c r="T59">
        <f t="shared" si="0"/>
        <v>0</v>
      </c>
    </row>
    <row r="60" spans="1:20" x14ac:dyDescent="0.25">
      <c r="A60" s="188">
        <v>59</v>
      </c>
      <c r="B60" s="189" t="s">
        <v>659</v>
      </c>
      <c r="C60" s="189"/>
      <c r="D60" s="189"/>
      <c r="E60" s="189"/>
      <c r="F60" s="189"/>
      <c r="G60" s="189"/>
      <c r="H60" s="189"/>
      <c r="I60" s="189"/>
      <c r="J60" s="189"/>
      <c r="K60" s="189"/>
      <c r="L60" s="189"/>
      <c r="M60" s="189"/>
      <c r="N60" s="189"/>
      <c r="O60" s="189"/>
      <c r="P60" s="189"/>
      <c r="Q60" s="189"/>
      <c r="R60" s="188">
        <v>0</v>
      </c>
      <c r="T60">
        <f t="shared" si="0"/>
        <v>0</v>
      </c>
    </row>
    <row r="61" spans="1:20" x14ac:dyDescent="0.25">
      <c r="A61" s="188">
        <v>60</v>
      </c>
      <c r="B61" s="189" t="s">
        <v>660</v>
      </c>
      <c r="C61" s="189"/>
      <c r="D61" s="189"/>
      <c r="E61" s="189"/>
      <c r="F61" s="189"/>
      <c r="G61" s="189"/>
      <c r="H61" s="189"/>
      <c r="I61" s="189"/>
      <c r="J61" s="189"/>
      <c r="K61" s="189"/>
      <c r="L61" s="189"/>
      <c r="M61" s="189"/>
      <c r="N61" s="189"/>
      <c r="O61" s="189"/>
      <c r="P61" s="189"/>
      <c r="Q61" s="189"/>
      <c r="R61" s="188">
        <v>0</v>
      </c>
      <c r="T61">
        <f t="shared" si="0"/>
        <v>0</v>
      </c>
    </row>
    <row r="62" spans="1:20" x14ac:dyDescent="0.25">
      <c r="A62" s="188">
        <v>61</v>
      </c>
      <c r="B62" s="189" t="s">
        <v>661</v>
      </c>
      <c r="C62" s="189"/>
      <c r="D62" s="189"/>
      <c r="E62" s="189"/>
      <c r="F62" s="189"/>
      <c r="G62" s="189"/>
      <c r="H62" s="189"/>
      <c r="I62" s="189"/>
      <c r="J62" s="189"/>
      <c r="K62" s="189"/>
      <c r="L62" s="189"/>
      <c r="M62" s="189"/>
      <c r="N62" s="189"/>
      <c r="O62" s="189"/>
      <c r="P62" s="189"/>
      <c r="Q62" s="189"/>
      <c r="R62" s="188">
        <v>0</v>
      </c>
      <c r="T62">
        <f t="shared" si="0"/>
        <v>0</v>
      </c>
    </row>
    <row r="63" spans="1:20" x14ac:dyDescent="0.25">
      <c r="A63" s="188">
        <v>62</v>
      </c>
      <c r="B63" s="189" t="s">
        <v>662</v>
      </c>
      <c r="C63" s="189"/>
      <c r="D63" s="189"/>
      <c r="E63" s="189"/>
      <c r="F63" s="189"/>
      <c r="G63" s="189"/>
      <c r="H63" s="189"/>
      <c r="I63" s="189"/>
      <c r="J63" s="189"/>
      <c r="K63" s="189"/>
      <c r="L63" s="189"/>
      <c r="M63" s="189"/>
      <c r="N63" s="189"/>
      <c r="O63" s="189"/>
      <c r="P63" s="189"/>
      <c r="Q63" s="189"/>
      <c r="R63" s="188">
        <v>0</v>
      </c>
      <c r="T63">
        <f t="shared" si="0"/>
        <v>0</v>
      </c>
    </row>
    <row r="64" spans="1:20" x14ac:dyDescent="0.25">
      <c r="A64" s="188">
        <v>63</v>
      </c>
      <c r="B64" s="189" t="s">
        <v>668</v>
      </c>
      <c r="C64" s="189"/>
      <c r="D64" s="189"/>
      <c r="E64" s="189"/>
      <c r="F64" s="189"/>
      <c r="G64" s="189"/>
      <c r="H64" s="189"/>
      <c r="I64" s="189"/>
      <c r="J64" s="189"/>
      <c r="K64" s="189"/>
      <c r="L64" s="189"/>
      <c r="M64" s="189"/>
      <c r="N64" s="189"/>
      <c r="O64" s="189"/>
      <c r="P64" s="189"/>
      <c r="Q64" s="189"/>
      <c r="R64" s="188">
        <v>0</v>
      </c>
      <c r="T64">
        <f t="shared" si="0"/>
        <v>0</v>
      </c>
    </row>
    <row r="65" spans="1:18" x14ac:dyDescent="0.25">
      <c r="A65" s="187"/>
      <c r="B65" s="187"/>
      <c r="C65" s="187"/>
      <c r="D65" s="187"/>
      <c r="E65" s="187"/>
      <c r="F65" s="187"/>
      <c r="G65" s="187"/>
      <c r="H65" s="187"/>
      <c r="I65" s="187"/>
      <c r="J65" s="187"/>
      <c r="K65" s="187"/>
      <c r="L65" s="187"/>
      <c r="M65" s="187"/>
      <c r="N65" s="187"/>
      <c r="O65" s="187"/>
      <c r="P65" s="187"/>
      <c r="Q65" s="187"/>
      <c r="R65" s="217">
        <v>360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65"/>
  <sheetViews>
    <sheetView topLeftCell="K1" workbookViewId="0">
      <selection activeCell="T2" sqref="T2:T64"/>
    </sheetView>
  </sheetViews>
  <sheetFormatPr defaultRowHeight="15" x14ac:dyDescent="0.25"/>
  <sheetData>
    <row r="1" spans="1:20" x14ac:dyDescent="0.25">
      <c r="A1" s="218" t="s">
        <v>1</v>
      </c>
      <c r="B1" s="218" t="s">
        <v>6</v>
      </c>
      <c r="C1" s="218" t="s">
        <v>46</v>
      </c>
      <c r="D1" s="218" t="s">
        <v>47</v>
      </c>
      <c r="E1" s="218" t="s">
        <v>48</v>
      </c>
      <c r="F1" s="218" t="s">
        <v>49</v>
      </c>
      <c r="G1" s="218" t="s">
        <v>50</v>
      </c>
      <c r="H1" s="218" t="s">
        <v>51</v>
      </c>
      <c r="I1" s="218" t="s">
        <v>52</v>
      </c>
      <c r="J1" s="218" t="s">
        <v>53</v>
      </c>
      <c r="K1" s="218" t="s">
        <v>54</v>
      </c>
      <c r="L1" s="218" t="s">
        <v>55</v>
      </c>
      <c r="M1" s="218" t="s">
        <v>56</v>
      </c>
      <c r="N1" s="218" t="s">
        <v>57</v>
      </c>
      <c r="O1" s="218" t="s">
        <v>58</v>
      </c>
      <c r="P1" s="218" t="s">
        <v>59</v>
      </c>
      <c r="Q1" s="218" t="s">
        <v>667</v>
      </c>
      <c r="R1" s="218" t="s">
        <v>2</v>
      </c>
    </row>
    <row r="2" spans="1:20" x14ac:dyDescent="0.25">
      <c r="A2" s="219">
        <v>1</v>
      </c>
      <c r="B2" s="220" t="s">
        <v>10</v>
      </c>
      <c r="C2" s="220"/>
      <c r="D2" s="220"/>
      <c r="E2" s="220"/>
      <c r="F2" s="220"/>
      <c r="G2" s="220"/>
      <c r="H2" s="220"/>
      <c r="I2" s="220"/>
      <c r="J2" s="220"/>
      <c r="K2" s="220"/>
      <c r="L2" s="220"/>
      <c r="M2" s="220"/>
      <c r="N2" s="220"/>
      <c r="O2" s="220"/>
      <c r="P2" s="220"/>
      <c r="Q2" s="220"/>
      <c r="R2" s="219">
        <v>0</v>
      </c>
      <c r="T2">
        <f t="shared" ref="T2:T64" si="0">C2+D2+E2+F2+G2+H2+I2+J2+K2+L2+M2+N2+O2+P2+Q2</f>
        <v>0</v>
      </c>
    </row>
    <row r="3" spans="1:20" x14ac:dyDescent="0.25">
      <c r="A3" s="219">
        <v>2</v>
      </c>
      <c r="B3" s="220" t="s">
        <v>11</v>
      </c>
      <c r="C3" s="220"/>
      <c r="D3" s="220"/>
      <c r="E3" s="220"/>
      <c r="F3" s="220"/>
      <c r="G3" s="220"/>
      <c r="H3" s="220"/>
      <c r="I3" s="220"/>
      <c r="J3" s="220"/>
      <c r="K3" s="220"/>
      <c r="L3" s="220"/>
      <c r="M3" s="220"/>
      <c r="N3" s="220"/>
      <c r="O3" s="220"/>
      <c r="P3" s="220"/>
      <c r="Q3" s="220"/>
      <c r="R3" s="219">
        <v>0</v>
      </c>
      <c r="T3">
        <f t="shared" si="0"/>
        <v>0</v>
      </c>
    </row>
    <row r="4" spans="1:20" x14ac:dyDescent="0.25">
      <c r="A4" s="219">
        <v>3</v>
      </c>
      <c r="B4" s="220" t="s">
        <v>12</v>
      </c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19">
        <v>0</v>
      </c>
      <c r="T4">
        <f t="shared" si="0"/>
        <v>0</v>
      </c>
    </row>
    <row r="5" spans="1:20" x14ac:dyDescent="0.25">
      <c r="A5" s="219">
        <v>4</v>
      </c>
      <c r="B5" s="220" t="s">
        <v>651</v>
      </c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19">
        <v>0</v>
      </c>
      <c r="T5">
        <f t="shared" si="0"/>
        <v>0</v>
      </c>
    </row>
    <row r="6" spans="1:20" x14ac:dyDescent="0.25">
      <c r="A6" s="219">
        <v>5</v>
      </c>
      <c r="B6" s="220" t="s">
        <v>14</v>
      </c>
      <c r="C6" s="220"/>
      <c r="D6" s="220"/>
      <c r="E6" s="220"/>
      <c r="F6" s="220"/>
      <c r="G6" s="220"/>
      <c r="H6" s="220"/>
      <c r="I6" s="220"/>
      <c r="J6" s="220"/>
      <c r="K6" s="220"/>
      <c r="L6" s="220"/>
      <c r="M6" s="220"/>
      <c r="N6" s="220"/>
      <c r="O6" s="220"/>
      <c r="P6" s="220"/>
      <c r="Q6" s="220"/>
      <c r="R6" s="219">
        <v>0</v>
      </c>
      <c r="T6">
        <f t="shared" si="0"/>
        <v>0</v>
      </c>
    </row>
    <row r="7" spans="1:20" x14ac:dyDescent="0.25">
      <c r="A7" s="219">
        <v>6</v>
      </c>
      <c r="B7" s="220" t="s">
        <v>15</v>
      </c>
      <c r="C7" s="220"/>
      <c r="D7" s="220"/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0"/>
      <c r="P7" s="220"/>
      <c r="Q7" s="220"/>
      <c r="R7" s="219">
        <v>0</v>
      </c>
      <c r="T7">
        <f t="shared" si="0"/>
        <v>0</v>
      </c>
    </row>
    <row r="8" spans="1:20" x14ac:dyDescent="0.25">
      <c r="A8" s="219">
        <v>7</v>
      </c>
      <c r="B8" s="220" t="s">
        <v>16</v>
      </c>
      <c r="C8" s="220"/>
      <c r="D8" s="220"/>
      <c r="E8" s="220"/>
      <c r="F8" s="220"/>
      <c r="G8" s="220"/>
      <c r="H8" s="220"/>
      <c r="I8" s="220"/>
      <c r="J8" s="220"/>
      <c r="K8" s="220"/>
      <c r="L8" s="220"/>
      <c r="M8" s="220"/>
      <c r="N8" s="220"/>
      <c r="O8" s="220"/>
      <c r="P8" s="220"/>
      <c r="Q8" s="220"/>
      <c r="R8" s="219">
        <v>0</v>
      </c>
      <c r="T8">
        <f t="shared" si="0"/>
        <v>0</v>
      </c>
    </row>
    <row r="9" spans="1:20" x14ac:dyDescent="0.25">
      <c r="A9" s="219">
        <v>8</v>
      </c>
      <c r="B9" s="220" t="s">
        <v>4</v>
      </c>
      <c r="C9" s="220"/>
      <c r="D9" s="220"/>
      <c r="E9" s="220"/>
      <c r="F9" s="220"/>
      <c r="G9" s="220"/>
      <c r="H9" s="220"/>
      <c r="I9" s="220"/>
      <c r="J9" s="220"/>
      <c r="K9" s="220"/>
      <c r="L9" s="220"/>
      <c r="M9" s="220"/>
      <c r="N9" s="220"/>
      <c r="O9" s="220"/>
      <c r="P9" s="220"/>
      <c r="Q9" s="220"/>
      <c r="R9" s="219">
        <v>0</v>
      </c>
      <c r="T9">
        <f t="shared" si="0"/>
        <v>0</v>
      </c>
    </row>
    <row r="10" spans="1:20" x14ac:dyDescent="0.25">
      <c r="A10" s="219">
        <v>9</v>
      </c>
      <c r="B10" s="220" t="s">
        <v>5</v>
      </c>
      <c r="C10" s="220"/>
      <c r="D10" s="220"/>
      <c r="E10" s="220"/>
      <c r="F10" s="220"/>
      <c r="G10" s="220"/>
      <c r="H10" s="220"/>
      <c r="I10" s="220"/>
      <c r="J10" s="220"/>
      <c r="K10" s="220"/>
      <c r="L10" s="220"/>
      <c r="M10" s="220"/>
      <c r="N10" s="220"/>
      <c r="O10" s="220"/>
      <c r="P10" s="220"/>
      <c r="Q10" s="220"/>
      <c r="R10" s="219">
        <v>0</v>
      </c>
      <c r="T10">
        <f t="shared" si="0"/>
        <v>0</v>
      </c>
    </row>
    <row r="11" spans="1:20" x14ac:dyDescent="0.25">
      <c r="A11" s="219">
        <v>10</v>
      </c>
      <c r="B11" s="220" t="s">
        <v>38</v>
      </c>
      <c r="C11" s="220"/>
      <c r="D11" s="220"/>
      <c r="E11" s="220"/>
      <c r="F11" s="220"/>
      <c r="G11" s="220"/>
      <c r="H11" s="220"/>
      <c r="I11" s="220"/>
      <c r="J11" s="220"/>
      <c r="K11" s="220"/>
      <c r="L11" s="220"/>
      <c r="M11" s="220"/>
      <c r="N11" s="220"/>
      <c r="O11" s="220"/>
      <c r="P11" s="220"/>
      <c r="Q11" s="220"/>
      <c r="R11" s="219">
        <v>0</v>
      </c>
      <c r="T11">
        <f t="shared" si="0"/>
        <v>0</v>
      </c>
    </row>
    <row r="12" spans="1:20" x14ac:dyDescent="0.25">
      <c r="A12" s="219">
        <v>11</v>
      </c>
      <c r="B12" s="220" t="s">
        <v>43</v>
      </c>
      <c r="C12" s="220"/>
      <c r="D12" s="220"/>
      <c r="E12" s="220"/>
      <c r="F12" s="220"/>
      <c r="G12" s="220"/>
      <c r="H12" s="220"/>
      <c r="I12" s="220"/>
      <c r="J12" s="220"/>
      <c r="K12" s="220"/>
      <c r="L12" s="220"/>
      <c r="M12" s="220"/>
      <c r="N12" s="220"/>
      <c r="O12" s="220"/>
      <c r="P12" s="220"/>
      <c r="Q12" s="220"/>
      <c r="R12" s="219">
        <v>0</v>
      </c>
      <c r="T12">
        <f t="shared" si="0"/>
        <v>0</v>
      </c>
    </row>
    <row r="13" spans="1:20" x14ac:dyDescent="0.25">
      <c r="A13" s="219">
        <v>12</v>
      </c>
      <c r="B13" s="220" t="s">
        <v>639</v>
      </c>
      <c r="C13" s="220"/>
      <c r="D13" s="220"/>
      <c r="E13" s="220"/>
      <c r="F13" s="220"/>
      <c r="G13" s="220"/>
      <c r="H13" s="220"/>
      <c r="I13" s="220"/>
      <c r="J13" s="220"/>
      <c r="K13" s="220"/>
      <c r="L13" s="220"/>
      <c r="M13" s="220"/>
      <c r="N13" s="220"/>
      <c r="O13" s="220"/>
      <c r="P13" s="220"/>
      <c r="Q13" s="220"/>
      <c r="R13" s="219">
        <v>0</v>
      </c>
      <c r="T13">
        <f t="shared" si="0"/>
        <v>0</v>
      </c>
    </row>
    <row r="14" spans="1:20" x14ac:dyDescent="0.25">
      <c r="A14" s="219">
        <v>13</v>
      </c>
      <c r="B14" s="220" t="s">
        <v>87</v>
      </c>
      <c r="C14" s="220"/>
      <c r="D14" s="220"/>
      <c r="E14" s="220"/>
      <c r="F14" s="220"/>
      <c r="G14" s="220"/>
      <c r="H14" s="220"/>
      <c r="I14" s="220"/>
      <c r="J14" s="220"/>
      <c r="K14" s="220"/>
      <c r="L14" s="220"/>
      <c r="M14" s="220"/>
      <c r="N14" s="220"/>
      <c r="O14" s="220"/>
      <c r="P14" s="220"/>
      <c r="Q14" s="220"/>
      <c r="R14" s="219">
        <v>0</v>
      </c>
      <c r="T14">
        <f t="shared" si="0"/>
        <v>0</v>
      </c>
    </row>
    <row r="15" spans="1:20" x14ac:dyDescent="0.25">
      <c r="A15" s="219">
        <v>14</v>
      </c>
      <c r="B15" s="220" t="s">
        <v>95</v>
      </c>
      <c r="C15" s="220"/>
      <c r="D15" s="220"/>
      <c r="E15" s="220"/>
      <c r="F15" s="220"/>
      <c r="G15" s="220"/>
      <c r="H15" s="220"/>
      <c r="I15" s="220"/>
      <c r="J15" s="220"/>
      <c r="K15" s="220"/>
      <c r="L15" s="220"/>
      <c r="M15" s="220"/>
      <c r="N15" s="220"/>
      <c r="O15" s="220"/>
      <c r="P15" s="220"/>
      <c r="Q15" s="220"/>
      <c r="R15" s="219">
        <v>0</v>
      </c>
      <c r="T15">
        <f t="shared" si="0"/>
        <v>0</v>
      </c>
    </row>
    <row r="16" spans="1:20" x14ac:dyDescent="0.25">
      <c r="A16" s="219">
        <v>15</v>
      </c>
      <c r="B16" s="220" t="s">
        <v>96</v>
      </c>
      <c r="C16" s="220"/>
      <c r="D16" s="220"/>
      <c r="E16" s="220"/>
      <c r="F16" s="220"/>
      <c r="G16" s="220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19">
        <v>0</v>
      </c>
      <c r="T16">
        <f t="shared" si="0"/>
        <v>0</v>
      </c>
    </row>
    <row r="17" spans="1:20" x14ac:dyDescent="0.25">
      <c r="A17" s="219">
        <v>16</v>
      </c>
      <c r="B17" s="220" t="s">
        <v>97</v>
      </c>
      <c r="C17" s="220"/>
      <c r="D17" s="220"/>
      <c r="E17" s="220"/>
      <c r="F17" s="220"/>
      <c r="G17" s="220"/>
      <c r="H17" s="220"/>
      <c r="I17" s="220"/>
      <c r="J17" s="220"/>
      <c r="K17" s="220"/>
      <c r="L17" s="220"/>
      <c r="M17" s="220"/>
      <c r="N17" s="220"/>
      <c r="O17" s="220"/>
      <c r="P17" s="220"/>
      <c r="Q17" s="220"/>
      <c r="R17" s="219">
        <v>0</v>
      </c>
      <c r="T17">
        <f t="shared" si="0"/>
        <v>0</v>
      </c>
    </row>
    <row r="18" spans="1:20" x14ac:dyDescent="0.25">
      <c r="A18" s="219">
        <v>17</v>
      </c>
      <c r="B18" s="220" t="s">
        <v>98</v>
      </c>
      <c r="C18" s="220"/>
      <c r="D18" s="220"/>
      <c r="E18" s="220"/>
      <c r="F18" s="220"/>
      <c r="G18" s="220"/>
      <c r="H18" s="220"/>
      <c r="I18" s="220"/>
      <c r="J18" s="220"/>
      <c r="K18" s="220"/>
      <c r="L18" s="220"/>
      <c r="M18" s="220"/>
      <c r="N18" s="220"/>
      <c r="O18" s="220"/>
      <c r="P18" s="220"/>
      <c r="Q18" s="220"/>
      <c r="R18" s="219">
        <v>0</v>
      </c>
      <c r="T18">
        <f t="shared" si="0"/>
        <v>0</v>
      </c>
    </row>
    <row r="19" spans="1:20" x14ac:dyDescent="0.25">
      <c r="A19" s="219">
        <v>18</v>
      </c>
      <c r="B19" s="220" t="s">
        <v>616</v>
      </c>
      <c r="C19" s="220"/>
      <c r="D19" s="220"/>
      <c r="E19" s="220"/>
      <c r="F19" s="220"/>
      <c r="G19" s="220"/>
      <c r="H19" s="220"/>
      <c r="I19" s="220"/>
      <c r="J19" s="220"/>
      <c r="K19" s="220"/>
      <c r="L19" s="220"/>
      <c r="M19" s="220"/>
      <c r="N19" s="220"/>
      <c r="O19" s="220"/>
      <c r="P19" s="220"/>
      <c r="Q19" s="220"/>
      <c r="R19" s="219">
        <v>0</v>
      </c>
      <c r="T19">
        <f t="shared" si="0"/>
        <v>0</v>
      </c>
    </row>
    <row r="20" spans="1:20" x14ac:dyDescent="0.25">
      <c r="A20" s="219">
        <v>19</v>
      </c>
      <c r="B20" s="220" t="s">
        <v>617</v>
      </c>
      <c r="C20" s="220"/>
      <c r="D20" s="220" t="s">
        <v>54</v>
      </c>
      <c r="E20" s="220"/>
      <c r="F20" s="220"/>
      <c r="G20" s="220"/>
      <c r="H20" s="220"/>
      <c r="I20" s="220"/>
      <c r="J20" s="220"/>
      <c r="K20" s="220"/>
      <c r="L20" s="220"/>
      <c r="M20" s="220"/>
      <c r="N20" s="220"/>
      <c r="O20" s="220"/>
      <c r="P20" s="220"/>
      <c r="Q20" s="220"/>
      <c r="R20" s="221">
        <v>24</v>
      </c>
      <c r="T20">
        <f t="shared" si="0"/>
        <v>24</v>
      </c>
    </row>
    <row r="21" spans="1:20" x14ac:dyDescent="0.25">
      <c r="A21" s="219">
        <v>20</v>
      </c>
      <c r="B21" s="220" t="s">
        <v>626</v>
      </c>
      <c r="C21" s="220"/>
      <c r="D21" s="220"/>
      <c r="E21" s="220"/>
      <c r="F21" s="220"/>
      <c r="G21" s="220"/>
      <c r="H21" s="220"/>
      <c r="I21" s="220"/>
      <c r="J21" s="220"/>
      <c r="K21" s="220"/>
      <c r="L21" s="220"/>
      <c r="M21" s="220"/>
      <c r="N21" s="220"/>
      <c r="O21" s="220"/>
      <c r="P21" s="220"/>
      <c r="Q21" s="220"/>
      <c r="R21" s="219">
        <v>0</v>
      </c>
      <c r="T21">
        <f t="shared" si="0"/>
        <v>0</v>
      </c>
    </row>
    <row r="22" spans="1:20" x14ac:dyDescent="0.25">
      <c r="A22" s="219">
        <v>21</v>
      </c>
      <c r="B22" s="220" t="s">
        <v>618</v>
      </c>
      <c r="C22" s="220"/>
      <c r="D22" s="220" t="s">
        <v>54</v>
      </c>
      <c r="E22" s="220"/>
      <c r="F22" s="220"/>
      <c r="G22" s="220"/>
      <c r="H22" s="220"/>
      <c r="I22" s="220"/>
      <c r="J22" s="220"/>
      <c r="K22" s="220"/>
      <c r="L22" s="220"/>
      <c r="M22" s="220"/>
      <c r="N22" s="220"/>
      <c r="O22" s="220"/>
      <c r="P22" s="220"/>
      <c r="Q22" s="220"/>
      <c r="R22" s="221">
        <v>24</v>
      </c>
      <c r="T22">
        <f t="shared" si="0"/>
        <v>24</v>
      </c>
    </row>
    <row r="23" spans="1:20" x14ac:dyDescent="0.25">
      <c r="A23" s="219">
        <v>22</v>
      </c>
      <c r="B23" s="220" t="s">
        <v>619</v>
      </c>
      <c r="C23" s="220"/>
      <c r="D23" s="220"/>
      <c r="E23" s="220"/>
      <c r="F23" s="220"/>
      <c r="G23" s="220"/>
      <c r="H23" s="220"/>
      <c r="I23" s="220"/>
      <c r="J23" s="220"/>
      <c r="K23" s="220"/>
      <c r="L23" s="220"/>
      <c r="M23" s="220"/>
      <c r="N23" s="220"/>
      <c r="O23" s="220"/>
      <c r="P23" s="220"/>
      <c r="Q23" s="220"/>
      <c r="R23" s="219">
        <v>0</v>
      </c>
      <c r="T23">
        <f t="shared" si="0"/>
        <v>0</v>
      </c>
    </row>
    <row r="24" spans="1:20" x14ac:dyDescent="0.25">
      <c r="A24" s="219">
        <v>23</v>
      </c>
      <c r="B24" s="220" t="s">
        <v>620</v>
      </c>
      <c r="C24" s="220"/>
      <c r="D24" s="220"/>
      <c r="E24" s="220"/>
      <c r="F24" s="220"/>
      <c r="G24" s="220"/>
      <c r="H24" s="220"/>
      <c r="I24" s="220"/>
      <c r="J24" s="220"/>
      <c r="K24" s="220"/>
      <c r="L24" s="220"/>
      <c r="M24" s="220"/>
      <c r="N24" s="220"/>
      <c r="O24" s="220"/>
      <c r="P24" s="220"/>
      <c r="Q24" s="220"/>
      <c r="R24" s="219">
        <v>0</v>
      </c>
      <c r="T24">
        <f t="shared" si="0"/>
        <v>0</v>
      </c>
    </row>
    <row r="25" spans="1:20" x14ac:dyDescent="0.25">
      <c r="A25" s="219">
        <v>24</v>
      </c>
      <c r="B25" s="220" t="s">
        <v>650</v>
      </c>
      <c r="C25" s="220"/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220"/>
      <c r="O25" s="220"/>
      <c r="P25" s="220"/>
      <c r="Q25" s="220"/>
      <c r="R25" s="219">
        <v>0</v>
      </c>
      <c r="T25">
        <f t="shared" si="0"/>
        <v>0</v>
      </c>
    </row>
    <row r="26" spans="1:20" x14ac:dyDescent="0.25">
      <c r="A26" s="219">
        <v>25</v>
      </c>
      <c r="B26" s="220" t="s">
        <v>621</v>
      </c>
      <c r="C26" s="220"/>
      <c r="D26" s="220"/>
      <c r="E26" s="220"/>
      <c r="F26" s="220"/>
      <c r="G26" s="220"/>
      <c r="H26" s="220"/>
      <c r="I26" s="220"/>
      <c r="J26" s="220"/>
      <c r="K26" s="220"/>
      <c r="L26" s="220"/>
      <c r="M26" s="220"/>
      <c r="N26" s="220"/>
      <c r="O26" s="220"/>
      <c r="P26" s="220"/>
      <c r="Q26" s="220"/>
      <c r="R26" s="219">
        <v>0</v>
      </c>
      <c r="T26">
        <f t="shared" si="0"/>
        <v>0</v>
      </c>
    </row>
    <row r="27" spans="1:20" x14ac:dyDescent="0.25">
      <c r="A27" s="219">
        <v>26</v>
      </c>
      <c r="B27" s="220" t="s">
        <v>622</v>
      </c>
      <c r="C27" s="220"/>
      <c r="D27" s="220"/>
      <c r="E27" s="220"/>
      <c r="F27" s="220"/>
      <c r="G27" s="220"/>
      <c r="H27" s="220"/>
      <c r="I27" s="220"/>
      <c r="J27" s="220"/>
      <c r="K27" s="220"/>
      <c r="L27" s="220"/>
      <c r="M27" s="220"/>
      <c r="N27" s="220"/>
      <c r="O27" s="220"/>
      <c r="P27" s="220"/>
      <c r="Q27" s="220"/>
      <c r="R27" s="219">
        <v>0</v>
      </c>
      <c r="T27">
        <f t="shared" si="0"/>
        <v>0</v>
      </c>
    </row>
    <row r="28" spans="1:20" x14ac:dyDescent="0.25">
      <c r="A28" s="219">
        <v>27</v>
      </c>
      <c r="B28" s="220" t="s">
        <v>623</v>
      </c>
      <c r="C28" s="220"/>
      <c r="D28" s="220"/>
      <c r="E28" s="220"/>
      <c r="F28" s="220"/>
      <c r="G28" s="220"/>
      <c r="H28" s="220"/>
      <c r="I28" s="220"/>
      <c r="J28" s="220"/>
      <c r="K28" s="220"/>
      <c r="L28" s="220"/>
      <c r="M28" s="220"/>
      <c r="N28" s="220"/>
      <c r="O28" s="220"/>
      <c r="P28" s="220"/>
      <c r="Q28" s="220"/>
      <c r="R28" s="219">
        <v>0</v>
      </c>
      <c r="T28">
        <f t="shared" si="0"/>
        <v>0</v>
      </c>
    </row>
    <row r="29" spans="1:20" x14ac:dyDescent="0.25">
      <c r="A29" s="219">
        <v>28</v>
      </c>
      <c r="B29" s="220" t="s">
        <v>624</v>
      </c>
      <c r="C29" s="220"/>
      <c r="D29" s="220"/>
      <c r="E29" s="220"/>
      <c r="F29" s="220"/>
      <c r="G29" s="220"/>
      <c r="H29" s="220"/>
      <c r="I29" s="220"/>
      <c r="J29" s="220"/>
      <c r="K29" s="220"/>
      <c r="L29" s="220"/>
      <c r="M29" s="220"/>
      <c r="N29" s="220"/>
      <c r="O29" s="220"/>
      <c r="P29" s="220"/>
      <c r="Q29" s="220"/>
      <c r="R29" s="219">
        <v>0</v>
      </c>
      <c r="T29">
        <f t="shared" si="0"/>
        <v>0</v>
      </c>
    </row>
    <row r="30" spans="1:20" x14ac:dyDescent="0.25">
      <c r="A30" s="219">
        <v>29</v>
      </c>
      <c r="B30" s="220" t="s">
        <v>627</v>
      </c>
      <c r="C30" s="220"/>
      <c r="D30" s="220"/>
      <c r="E30" s="220"/>
      <c r="F30" s="220"/>
      <c r="G30" s="220"/>
      <c r="H30" s="220"/>
      <c r="I30" s="220"/>
      <c r="J30" s="220"/>
      <c r="K30" s="220"/>
      <c r="L30" s="220"/>
      <c r="M30" s="220"/>
      <c r="N30" s="220"/>
      <c r="O30" s="220"/>
      <c r="P30" s="220"/>
      <c r="Q30" s="220"/>
      <c r="R30" s="219">
        <v>0</v>
      </c>
      <c r="T30">
        <f t="shared" si="0"/>
        <v>0</v>
      </c>
    </row>
    <row r="31" spans="1:20" x14ac:dyDescent="0.25">
      <c r="A31" s="219">
        <v>30</v>
      </c>
      <c r="B31" s="220" t="s">
        <v>625</v>
      </c>
      <c r="C31" s="220"/>
      <c r="D31" s="220"/>
      <c r="E31" s="220"/>
      <c r="F31" s="220"/>
      <c r="G31" s="220"/>
      <c r="H31" s="220"/>
      <c r="I31" s="220"/>
      <c r="J31" s="220"/>
      <c r="K31" s="220"/>
      <c r="L31" s="220"/>
      <c r="M31" s="220"/>
      <c r="N31" s="220"/>
      <c r="O31" s="220"/>
      <c r="P31" s="220"/>
      <c r="Q31" s="220"/>
      <c r="R31" s="219">
        <v>0</v>
      </c>
      <c r="T31">
        <f t="shared" si="0"/>
        <v>0</v>
      </c>
    </row>
    <row r="32" spans="1:20" x14ac:dyDescent="0.25">
      <c r="A32" s="219">
        <v>31</v>
      </c>
      <c r="B32" s="220" t="s">
        <v>34</v>
      </c>
      <c r="C32" s="220"/>
      <c r="D32" s="220"/>
      <c r="E32" s="220"/>
      <c r="F32" s="220"/>
      <c r="G32" s="220"/>
      <c r="H32" s="220"/>
      <c r="I32" s="220"/>
      <c r="J32" s="220"/>
      <c r="K32" s="220"/>
      <c r="L32" s="220"/>
      <c r="M32" s="220"/>
      <c r="N32" s="220"/>
      <c r="O32" s="220"/>
      <c r="P32" s="220"/>
      <c r="Q32" s="220"/>
      <c r="R32" s="219">
        <v>0</v>
      </c>
      <c r="T32">
        <f t="shared" si="0"/>
        <v>0</v>
      </c>
    </row>
    <row r="33" spans="1:20" x14ac:dyDescent="0.25">
      <c r="A33" s="219">
        <v>32</v>
      </c>
      <c r="B33" s="220" t="s">
        <v>45</v>
      </c>
      <c r="C33" s="220"/>
      <c r="D33" s="220"/>
      <c r="E33" s="220"/>
      <c r="F33" s="220"/>
      <c r="G33" s="220"/>
      <c r="H33" s="220"/>
      <c r="I33" s="220"/>
      <c r="J33" s="220"/>
      <c r="K33" s="220"/>
      <c r="L33" s="220"/>
      <c r="M33" s="220"/>
      <c r="N33" s="220"/>
      <c r="O33" s="220"/>
      <c r="P33" s="220"/>
      <c r="Q33" s="220"/>
      <c r="R33" s="219">
        <v>0</v>
      </c>
      <c r="T33">
        <f t="shared" si="0"/>
        <v>0</v>
      </c>
    </row>
    <row r="34" spans="1:20" x14ac:dyDescent="0.25">
      <c r="A34" s="219">
        <v>33</v>
      </c>
      <c r="B34" s="220" t="s">
        <v>630</v>
      </c>
      <c r="C34" s="220"/>
      <c r="D34" s="220"/>
      <c r="E34" s="220"/>
      <c r="F34" s="220"/>
      <c r="G34" s="220"/>
      <c r="H34" s="220"/>
      <c r="I34" s="220"/>
      <c r="J34" s="220"/>
      <c r="K34" s="220"/>
      <c r="L34" s="220"/>
      <c r="M34" s="220"/>
      <c r="N34" s="220"/>
      <c r="O34" s="220"/>
      <c r="P34" s="220"/>
      <c r="Q34" s="220"/>
      <c r="R34" s="219">
        <v>0</v>
      </c>
      <c r="T34">
        <f t="shared" si="0"/>
        <v>0</v>
      </c>
    </row>
    <row r="35" spans="1:20" x14ac:dyDescent="0.25">
      <c r="A35" s="219">
        <v>34</v>
      </c>
      <c r="B35" s="220" t="s">
        <v>628</v>
      </c>
      <c r="C35" s="220"/>
      <c r="D35" s="220"/>
      <c r="E35" s="220"/>
      <c r="F35" s="220"/>
      <c r="G35" s="220"/>
      <c r="H35" s="220"/>
      <c r="I35" s="220"/>
      <c r="J35" s="220"/>
      <c r="K35" s="220"/>
      <c r="L35" s="220"/>
      <c r="M35" s="220"/>
      <c r="N35" s="220"/>
      <c r="O35" s="220"/>
      <c r="P35" s="220"/>
      <c r="Q35" s="220"/>
      <c r="R35" s="219">
        <v>0</v>
      </c>
      <c r="T35">
        <f t="shared" si="0"/>
        <v>0</v>
      </c>
    </row>
    <row r="36" spans="1:20" x14ac:dyDescent="0.25">
      <c r="A36" s="219">
        <v>35</v>
      </c>
      <c r="B36" s="220" t="s">
        <v>629</v>
      </c>
      <c r="C36" s="220"/>
      <c r="D36" s="220"/>
      <c r="E36" s="220"/>
      <c r="F36" s="220"/>
      <c r="G36" s="220"/>
      <c r="H36" s="220"/>
      <c r="I36" s="220"/>
      <c r="J36" s="220"/>
      <c r="K36" s="220"/>
      <c r="L36" s="220"/>
      <c r="M36" s="220"/>
      <c r="N36" s="220"/>
      <c r="O36" s="220"/>
      <c r="P36" s="220"/>
      <c r="Q36" s="220"/>
      <c r="R36" s="219">
        <v>0</v>
      </c>
      <c r="T36">
        <f t="shared" si="0"/>
        <v>0</v>
      </c>
    </row>
    <row r="37" spans="1:20" x14ac:dyDescent="0.25">
      <c r="A37" s="219">
        <v>36</v>
      </c>
      <c r="B37" s="220" t="s">
        <v>631</v>
      </c>
      <c r="C37" s="220"/>
      <c r="D37" s="220"/>
      <c r="E37" s="220"/>
      <c r="F37" s="220"/>
      <c r="G37" s="220"/>
      <c r="H37" s="220"/>
      <c r="I37" s="220"/>
      <c r="J37" s="220"/>
      <c r="K37" s="220"/>
      <c r="L37" s="220"/>
      <c r="M37" s="220"/>
      <c r="N37" s="220"/>
      <c r="O37" s="220"/>
      <c r="P37" s="220"/>
      <c r="Q37" s="220"/>
      <c r="R37" s="219">
        <v>0</v>
      </c>
      <c r="T37">
        <f t="shared" si="0"/>
        <v>0</v>
      </c>
    </row>
    <row r="38" spans="1:20" x14ac:dyDescent="0.25">
      <c r="A38" s="219">
        <v>37</v>
      </c>
      <c r="B38" s="220" t="s">
        <v>632</v>
      </c>
      <c r="C38" s="220"/>
      <c r="D38" s="220"/>
      <c r="E38" s="220"/>
      <c r="F38" s="220"/>
      <c r="G38" s="220"/>
      <c r="H38" s="220"/>
      <c r="I38" s="220"/>
      <c r="J38" s="220"/>
      <c r="K38" s="220"/>
      <c r="L38" s="220"/>
      <c r="M38" s="220"/>
      <c r="N38" s="220"/>
      <c r="O38" s="220"/>
      <c r="P38" s="220"/>
      <c r="Q38" s="220"/>
      <c r="R38" s="219">
        <v>0</v>
      </c>
      <c r="T38">
        <f t="shared" si="0"/>
        <v>0</v>
      </c>
    </row>
    <row r="39" spans="1:20" x14ac:dyDescent="0.25">
      <c r="A39" s="219">
        <v>38</v>
      </c>
      <c r="B39" s="220" t="s">
        <v>633</v>
      </c>
      <c r="C39" s="220"/>
      <c r="D39" s="220"/>
      <c r="E39" s="220"/>
      <c r="F39" s="220"/>
      <c r="G39" s="220"/>
      <c r="H39" s="220"/>
      <c r="I39" s="220"/>
      <c r="J39" s="220"/>
      <c r="K39" s="220"/>
      <c r="L39" s="220"/>
      <c r="M39" s="220"/>
      <c r="N39" s="220"/>
      <c r="O39" s="220"/>
      <c r="P39" s="220"/>
      <c r="Q39" s="220"/>
      <c r="R39" s="219">
        <v>0</v>
      </c>
      <c r="T39">
        <f t="shared" si="0"/>
        <v>0</v>
      </c>
    </row>
    <row r="40" spans="1:20" x14ac:dyDescent="0.25">
      <c r="A40" s="219">
        <v>39</v>
      </c>
      <c r="B40" s="220" t="s">
        <v>634</v>
      </c>
      <c r="C40" s="220"/>
      <c r="D40" s="220"/>
      <c r="E40" s="220"/>
      <c r="F40" s="220"/>
      <c r="G40" s="220"/>
      <c r="H40" s="220"/>
      <c r="I40" s="220"/>
      <c r="J40" s="220"/>
      <c r="K40" s="220"/>
      <c r="L40" s="220"/>
      <c r="M40" s="220"/>
      <c r="N40" s="220"/>
      <c r="O40" s="220"/>
      <c r="P40" s="220"/>
      <c r="Q40" s="220"/>
      <c r="R40" s="219">
        <v>0</v>
      </c>
      <c r="T40">
        <f t="shared" si="0"/>
        <v>0</v>
      </c>
    </row>
    <row r="41" spans="1:20" x14ac:dyDescent="0.25">
      <c r="A41" s="219">
        <v>40</v>
      </c>
      <c r="B41" s="220" t="s">
        <v>636</v>
      </c>
      <c r="C41" s="220"/>
      <c r="D41" s="220"/>
      <c r="E41" s="220"/>
      <c r="F41" s="220"/>
      <c r="G41" s="220"/>
      <c r="H41" s="220"/>
      <c r="I41" s="220"/>
      <c r="J41" s="220"/>
      <c r="K41" s="220"/>
      <c r="L41" s="220"/>
      <c r="M41" s="220"/>
      <c r="N41" s="220"/>
      <c r="O41" s="220"/>
      <c r="P41" s="220"/>
      <c r="Q41" s="220"/>
      <c r="R41" s="219">
        <v>0</v>
      </c>
      <c r="T41">
        <f t="shared" si="0"/>
        <v>0</v>
      </c>
    </row>
    <row r="42" spans="1:20" x14ac:dyDescent="0.25">
      <c r="A42" s="219">
        <v>41</v>
      </c>
      <c r="B42" s="220" t="s">
        <v>637</v>
      </c>
      <c r="C42" s="220"/>
      <c r="D42" s="220"/>
      <c r="E42" s="220"/>
      <c r="F42" s="220"/>
      <c r="G42" s="220"/>
      <c r="H42" s="220"/>
      <c r="I42" s="220"/>
      <c r="J42" s="220"/>
      <c r="K42" s="220"/>
      <c r="L42" s="220"/>
      <c r="M42" s="220"/>
      <c r="N42" s="220"/>
      <c r="O42" s="220"/>
      <c r="P42" s="220"/>
      <c r="Q42" s="220"/>
      <c r="R42" s="219">
        <v>0</v>
      </c>
      <c r="T42">
        <f t="shared" si="0"/>
        <v>0</v>
      </c>
    </row>
    <row r="43" spans="1:20" x14ac:dyDescent="0.25">
      <c r="A43" s="219">
        <v>42</v>
      </c>
      <c r="B43" s="220" t="s">
        <v>640</v>
      </c>
      <c r="C43" s="220"/>
      <c r="D43" s="220"/>
      <c r="E43" s="220"/>
      <c r="F43" s="220"/>
      <c r="G43" s="220"/>
      <c r="H43" s="220"/>
      <c r="I43" s="220"/>
      <c r="J43" s="220"/>
      <c r="K43" s="220"/>
      <c r="L43" s="220"/>
      <c r="M43" s="220"/>
      <c r="N43" s="220"/>
      <c r="O43" s="220"/>
      <c r="P43" s="220"/>
      <c r="Q43" s="220"/>
      <c r="R43" s="219">
        <v>0</v>
      </c>
      <c r="T43">
        <f t="shared" si="0"/>
        <v>0</v>
      </c>
    </row>
    <row r="44" spans="1:20" x14ac:dyDescent="0.25">
      <c r="A44" s="219">
        <v>43</v>
      </c>
      <c r="B44" s="220" t="s">
        <v>638</v>
      </c>
      <c r="C44" s="220"/>
      <c r="D44" s="220"/>
      <c r="E44" s="220"/>
      <c r="F44" s="220"/>
      <c r="G44" s="220"/>
      <c r="H44" s="220"/>
      <c r="I44" s="220"/>
      <c r="J44" s="220"/>
      <c r="K44" s="220"/>
      <c r="L44" s="220"/>
      <c r="M44" s="220"/>
      <c r="N44" s="220"/>
      <c r="O44" s="220"/>
      <c r="P44" s="220"/>
      <c r="Q44" s="220"/>
      <c r="R44" s="219">
        <v>0</v>
      </c>
      <c r="T44">
        <f t="shared" si="0"/>
        <v>0</v>
      </c>
    </row>
    <row r="45" spans="1:20" x14ac:dyDescent="0.25">
      <c r="A45" s="219">
        <v>44</v>
      </c>
      <c r="B45" s="220" t="s">
        <v>635</v>
      </c>
      <c r="C45" s="220"/>
      <c r="D45" s="220"/>
      <c r="E45" s="220"/>
      <c r="F45" s="220"/>
      <c r="G45" s="220"/>
      <c r="H45" s="220"/>
      <c r="I45" s="220"/>
      <c r="J45" s="220"/>
      <c r="K45" s="220"/>
      <c r="L45" s="220"/>
      <c r="M45" s="220"/>
      <c r="N45" s="220"/>
      <c r="O45" s="220"/>
      <c r="P45" s="220"/>
      <c r="Q45" s="220"/>
      <c r="R45" s="219">
        <v>0</v>
      </c>
      <c r="T45">
        <f t="shared" si="0"/>
        <v>0</v>
      </c>
    </row>
    <row r="46" spans="1:20" x14ac:dyDescent="0.25">
      <c r="A46" s="219">
        <v>45</v>
      </c>
      <c r="B46" s="220" t="s">
        <v>641</v>
      </c>
      <c r="C46" s="220"/>
      <c r="D46" s="220"/>
      <c r="E46" s="220"/>
      <c r="F46" s="220"/>
      <c r="G46" s="220"/>
      <c r="H46" s="220"/>
      <c r="I46" s="220"/>
      <c r="J46" s="220"/>
      <c r="K46" s="220"/>
      <c r="L46" s="220"/>
      <c r="M46" s="220"/>
      <c r="N46" s="220"/>
      <c r="O46" s="220"/>
      <c r="P46" s="220"/>
      <c r="Q46" s="220"/>
      <c r="R46" s="219">
        <v>0</v>
      </c>
      <c r="T46">
        <f t="shared" si="0"/>
        <v>0</v>
      </c>
    </row>
    <row r="47" spans="1:20" x14ac:dyDescent="0.25">
      <c r="A47" s="219">
        <v>46</v>
      </c>
      <c r="B47" s="220" t="s">
        <v>649</v>
      </c>
      <c r="C47" s="220"/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19">
        <v>0</v>
      </c>
      <c r="T47">
        <f t="shared" si="0"/>
        <v>0</v>
      </c>
    </row>
    <row r="48" spans="1:20" x14ac:dyDescent="0.25">
      <c r="A48" s="219">
        <v>47</v>
      </c>
      <c r="B48" s="220" t="s">
        <v>642</v>
      </c>
      <c r="C48" s="220"/>
      <c r="D48" s="220"/>
      <c r="E48" s="220"/>
      <c r="F48" s="220"/>
      <c r="G48" s="220"/>
      <c r="H48" s="220"/>
      <c r="I48" s="220"/>
      <c r="J48" s="220"/>
      <c r="K48" s="220"/>
      <c r="L48" s="220"/>
      <c r="M48" s="220"/>
      <c r="N48" s="220"/>
      <c r="O48" s="220"/>
      <c r="P48" s="220"/>
      <c r="Q48" s="220"/>
      <c r="R48" s="219">
        <v>0</v>
      </c>
      <c r="T48">
        <f t="shared" si="0"/>
        <v>0</v>
      </c>
    </row>
    <row r="49" spans="1:20" x14ac:dyDescent="0.25">
      <c r="A49" s="219">
        <v>48</v>
      </c>
      <c r="B49" s="220" t="s">
        <v>643</v>
      </c>
      <c r="C49" s="220"/>
      <c r="D49" s="220"/>
      <c r="E49" s="220"/>
      <c r="F49" s="220"/>
      <c r="G49" s="220"/>
      <c r="H49" s="220"/>
      <c r="I49" s="220"/>
      <c r="J49" s="220"/>
      <c r="K49" s="220"/>
      <c r="L49" s="220"/>
      <c r="M49" s="220"/>
      <c r="N49" s="220"/>
      <c r="O49" s="220"/>
      <c r="P49" s="220"/>
      <c r="Q49" s="220"/>
      <c r="R49" s="219">
        <v>0</v>
      </c>
      <c r="T49">
        <f t="shared" si="0"/>
        <v>0</v>
      </c>
    </row>
    <row r="50" spans="1:20" x14ac:dyDescent="0.25">
      <c r="A50" s="219">
        <v>49</v>
      </c>
      <c r="B50" s="220" t="s">
        <v>644</v>
      </c>
      <c r="C50" s="220"/>
      <c r="D50" s="220"/>
      <c r="E50" s="220"/>
      <c r="F50" s="220"/>
      <c r="G50" s="220"/>
      <c r="H50" s="220"/>
      <c r="I50" s="220"/>
      <c r="J50" s="220"/>
      <c r="K50" s="220"/>
      <c r="L50" s="220"/>
      <c r="M50" s="220"/>
      <c r="N50" s="220"/>
      <c r="O50" s="220"/>
      <c r="P50" s="220"/>
      <c r="Q50" s="220"/>
      <c r="R50" s="219">
        <v>0</v>
      </c>
      <c r="T50">
        <f t="shared" si="0"/>
        <v>0</v>
      </c>
    </row>
    <row r="51" spans="1:20" x14ac:dyDescent="0.25">
      <c r="A51" s="219">
        <v>50</v>
      </c>
      <c r="B51" s="220" t="s">
        <v>646</v>
      </c>
      <c r="C51" s="220"/>
      <c r="D51" s="220"/>
      <c r="E51" s="220"/>
      <c r="F51" s="220"/>
      <c r="G51" s="220"/>
      <c r="H51" s="220"/>
      <c r="I51" s="220"/>
      <c r="J51" s="220"/>
      <c r="K51" s="220"/>
      <c r="L51" s="220"/>
      <c r="M51" s="220"/>
      <c r="N51" s="220"/>
      <c r="O51" s="220"/>
      <c r="P51" s="220"/>
      <c r="Q51" s="220"/>
      <c r="R51" s="219">
        <v>0</v>
      </c>
      <c r="T51">
        <f t="shared" si="0"/>
        <v>0</v>
      </c>
    </row>
    <row r="52" spans="1:20" x14ac:dyDescent="0.25">
      <c r="A52" s="219">
        <v>51</v>
      </c>
      <c r="B52" s="220" t="s">
        <v>647</v>
      </c>
      <c r="C52" s="220"/>
      <c r="D52" s="220"/>
      <c r="E52" s="220"/>
      <c r="F52" s="220"/>
      <c r="G52" s="220"/>
      <c r="H52" s="220"/>
      <c r="I52" s="220"/>
      <c r="J52" s="220"/>
      <c r="K52" s="220"/>
      <c r="L52" s="220"/>
      <c r="M52" s="220"/>
      <c r="N52" s="220"/>
      <c r="O52" s="220"/>
      <c r="P52" s="220"/>
      <c r="Q52" s="220"/>
      <c r="R52" s="219">
        <v>0</v>
      </c>
      <c r="T52">
        <f t="shared" si="0"/>
        <v>0</v>
      </c>
    </row>
    <row r="53" spans="1:20" x14ac:dyDescent="0.25">
      <c r="A53" s="219">
        <v>52</v>
      </c>
      <c r="B53" s="220" t="s">
        <v>652</v>
      </c>
      <c r="C53" s="220"/>
      <c r="D53" s="220"/>
      <c r="E53" s="220"/>
      <c r="F53" s="220"/>
      <c r="G53" s="220"/>
      <c r="H53" s="220"/>
      <c r="I53" s="220"/>
      <c r="J53" s="220"/>
      <c r="K53" s="220"/>
      <c r="L53" s="220"/>
      <c r="M53" s="220"/>
      <c r="N53" s="220"/>
      <c r="O53" s="220"/>
      <c r="P53" s="220"/>
      <c r="Q53" s="220"/>
      <c r="R53" s="219">
        <v>0</v>
      </c>
      <c r="T53">
        <f t="shared" si="0"/>
        <v>0</v>
      </c>
    </row>
    <row r="54" spans="1:20" x14ac:dyDescent="0.25">
      <c r="A54" s="219">
        <v>53</v>
      </c>
      <c r="B54" s="220" t="s">
        <v>653</v>
      </c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19">
        <v>0</v>
      </c>
      <c r="T54">
        <f t="shared" si="0"/>
        <v>0</v>
      </c>
    </row>
    <row r="55" spans="1:20" x14ac:dyDescent="0.25">
      <c r="A55" s="219">
        <v>54</v>
      </c>
      <c r="B55" s="220" t="s">
        <v>654</v>
      </c>
      <c r="C55" s="220"/>
      <c r="D55" s="220"/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19">
        <v>0</v>
      </c>
      <c r="T55">
        <f t="shared" si="0"/>
        <v>0</v>
      </c>
    </row>
    <row r="56" spans="1:20" x14ac:dyDescent="0.25">
      <c r="A56" s="219">
        <v>55</v>
      </c>
      <c r="B56" s="220" t="s">
        <v>655</v>
      </c>
      <c r="C56" s="220"/>
      <c r="D56" s="220"/>
      <c r="E56" s="220"/>
      <c r="F56" s="220"/>
      <c r="G56" s="220"/>
      <c r="H56" s="220"/>
      <c r="I56" s="220"/>
      <c r="J56" s="220"/>
      <c r="K56" s="220"/>
      <c r="L56" s="220"/>
      <c r="M56" s="220"/>
      <c r="N56" s="220"/>
      <c r="O56" s="220"/>
      <c r="P56" s="220"/>
      <c r="Q56" s="220"/>
      <c r="R56" s="219">
        <v>0</v>
      </c>
      <c r="T56">
        <f t="shared" si="0"/>
        <v>0</v>
      </c>
    </row>
    <row r="57" spans="1:20" x14ac:dyDescent="0.25">
      <c r="A57" s="219">
        <v>56</v>
      </c>
      <c r="B57" s="220" t="s">
        <v>656</v>
      </c>
      <c r="C57" s="220"/>
      <c r="D57" s="220"/>
      <c r="E57" s="220"/>
      <c r="F57" s="220"/>
      <c r="G57" s="220"/>
      <c r="H57" s="220"/>
      <c r="I57" s="220"/>
      <c r="J57" s="220"/>
      <c r="K57" s="220"/>
      <c r="L57" s="220"/>
      <c r="M57" s="220"/>
      <c r="N57" s="220"/>
      <c r="O57" s="220"/>
      <c r="P57" s="220"/>
      <c r="Q57" s="220"/>
      <c r="R57" s="219">
        <v>0</v>
      </c>
      <c r="T57">
        <f t="shared" si="0"/>
        <v>0</v>
      </c>
    </row>
    <row r="58" spans="1:20" x14ac:dyDescent="0.25">
      <c r="A58" s="219">
        <v>57</v>
      </c>
      <c r="B58" s="220" t="s">
        <v>657</v>
      </c>
      <c r="C58" s="220"/>
      <c r="D58" s="220"/>
      <c r="E58" s="220"/>
      <c r="F58" s="220"/>
      <c r="G58" s="220"/>
      <c r="H58" s="220"/>
      <c r="I58" s="220"/>
      <c r="J58" s="220"/>
      <c r="K58" s="220"/>
      <c r="L58" s="220"/>
      <c r="M58" s="220"/>
      <c r="N58" s="220"/>
      <c r="O58" s="220"/>
      <c r="P58" s="220"/>
      <c r="Q58" s="220"/>
      <c r="R58" s="219">
        <v>0</v>
      </c>
      <c r="T58">
        <f t="shared" si="0"/>
        <v>0</v>
      </c>
    </row>
    <row r="59" spans="1:20" x14ac:dyDescent="0.25">
      <c r="A59" s="219">
        <v>58</v>
      </c>
      <c r="B59" s="220" t="s">
        <v>658</v>
      </c>
      <c r="C59" s="220"/>
      <c r="D59" s="220"/>
      <c r="E59" s="220"/>
      <c r="F59" s="220"/>
      <c r="G59" s="220"/>
      <c r="H59" s="220"/>
      <c r="I59" s="220"/>
      <c r="J59" s="220"/>
      <c r="K59" s="220"/>
      <c r="L59" s="220"/>
      <c r="M59" s="220"/>
      <c r="N59" s="220"/>
      <c r="O59" s="220"/>
      <c r="P59" s="220"/>
      <c r="Q59" s="220"/>
      <c r="R59" s="219">
        <v>0</v>
      </c>
      <c r="T59">
        <f t="shared" si="0"/>
        <v>0</v>
      </c>
    </row>
    <row r="60" spans="1:20" x14ac:dyDescent="0.25">
      <c r="A60" s="219">
        <v>59</v>
      </c>
      <c r="B60" s="220" t="s">
        <v>659</v>
      </c>
      <c r="C60" s="220"/>
      <c r="D60" s="220" t="s">
        <v>54</v>
      </c>
      <c r="E60" s="220"/>
      <c r="F60" s="220"/>
      <c r="G60" s="220"/>
      <c r="H60" s="220"/>
      <c r="I60" s="220"/>
      <c r="J60" s="220"/>
      <c r="K60" s="220"/>
      <c r="L60" s="220"/>
      <c r="M60" s="220"/>
      <c r="N60" s="220"/>
      <c r="O60" s="220"/>
      <c r="P60" s="220"/>
      <c r="Q60" s="220"/>
      <c r="R60" s="221">
        <v>24</v>
      </c>
      <c r="T60">
        <f t="shared" si="0"/>
        <v>24</v>
      </c>
    </row>
    <row r="61" spans="1:20" x14ac:dyDescent="0.25">
      <c r="A61" s="219">
        <v>60</v>
      </c>
      <c r="B61" s="220" t="s">
        <v>660</v>
      </c>
      <c r="C61" s="220"/>
      <c r="D61" s="220" t="s">
        <v>54</v>
      </c>
      <c r="E61" s="220"/>
      <c r="F61" s="220"/>
      <c r="G61" s="220"/>
      <c r="H61" s="220"/>
      <c r="I61" s="220"/>
      <c r="J61" s="220"/>
      <c r="K61" s="220"/>
      <c r="L61" s="220"/>
      <c r="M61" s="220"/>
      <c r="N61" s="220"/>
      <c r="O61" s="220"/>
      <c r="P61" s="220"/>
      <c r="Q61" s="220"/>
      <c r="R61" s="221">
        <v>24</v>
      </c>
      <c r="T61">
        <f t="shared" si="0"/>
        <v>24</v>
      </c>
    </row>
    <row r="62" spans="1:20" x14ac:dyDescent="0.25">
      <c r="A62" s="219">
        <v>61</v>
      </c>
      <c r="B62" s="220" t="s">
        <v>661</v>
      </c>
      <c r="C62" s="220"/>
      <c r="D62" s="220"/>
      <c r="E62" s="220"/>
      <c r="F62" s="220"/>
      <c r="G62" s="220"/>
      <c r="H62" s="220"/>
      <c r="I62" s="220"/>
      <c r="J62" s="220"/>
      <c r="K62" s="220"/>
      <c r="L62" s="220"/>
      <c r="M62" s="220"/>
      <c r="N62" s="220"/>
      <c r="O62" s="220"/>
      <c r="P62" s="220"/>
      <c r="Q62" s="220"/>
      <c r="R62" s="219">
        <v>0</v>
      </c>
      <c r="T62">
        <f t="shared" si="0"/>
        <v>0</v>
      </c>
    </row>
    <row r="63" spans="1:20" x14ac:dyDescent="0.25">
      <c r="A63" s="219">
        <v>62</v>
      </c>
      <c r="B63" s="220" t="s">
        <v>662</v>
      </c>
      <c r="C63" s="220"/>
      <c r="D63" s="220"/>
      <c r="E63" s="220"/>
      <c r="F63" s="220"/>
      <c r="G63" s="220"/>
      <c r="H63" s="220"/>
      <c r="I63" s="220"/>
      <c r="J63" s="220"/>
      <c r="K63" s="220"/>
      <c r="L63" s="220"/>
      <c r="M63" s="220"/>
      <c r="N63" s="220"/>
      <c r="O63" s="220"/>
      <c r="P63" s="220"/>
      <c r="Q63" s="220"/>
      <c r="R63" s="219">
        <v>0</v>
      </c>
      <c r="T63">
        <f t="shared" si="0"/>
        <v>0</v>
      </c>
    </row>
    <row r="64" spans="1:20" x14ac:dyDescent="0.25">
      <c r="A64" s="219">
        <v>63</v>
      </c>
      <c r="B64" s="220" t="s">
        <v>668</v>
      </c>
      <c r="C64" s="220"/>
      <c r="D64" s="220"/>
      <c r="E64" s="220"/>
      <c r="F64" s="220"/>
      <c r="G64" s="220"/>
      <c r="H64" s="220"/>
      <c r="I64" s="220"/>
      <c r="J64" s="220"/>
      <c r="K64" s="220"/>
      <c r="L64" s="220"/>
      <c r="M64" s="220"/>
      <c r="N64" s="220"/>
      <c r="O64" s="220"/>
      <c r="P64" s="220"/>
      <c r="Q64" s="220"/>
      <c r="R64" s="219">
        <v>0</v>
      </c>
      <c r="T64">
        <f t="shared" si="0"/>
        <v>0</v>
      </c>
    </row>
    <row r="65" spans="1:18" x14ac:dyDescent="0.25">
      <c r="A65" s="218"/>
      <c r="B65" s="218"/>
      <c r="C65" s="218"/>
      <c r="D65" s="218"/>
      <c r="E65" s="218"/>
      <c r="F65" s="218"/>
      <c r="G65" s="218"/>
      <c r="H65" s="218"/>
      <c r="I65" s="218"/>
      <c r="J65" s="218"/>
      <c r="K65" s="218"/>
      <c r="L65" s="218"/>
      <c r="M65" s="218"/>
      <c r="N65" s="218"/>
      <c r="O65" s="218"/>
      <c r="P65" s="218"/>
      <c r="Q65" s="218"/>
      <c r="R65" s="222">
        <v>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65"/>
  <sheetViews>
    <sheetView topLeftCell="K1" workbookViewId="0">
      <selection activeCell="T2" sqref="T2:T64"/>
    </sheetView>
  </sheetViews>
  <sheetFormatPr defaultRowHeight="15" x14ac:dyDescent="0.25"/>
  <sheetData>
    <row r="1" spans="1:20" x14ac:dyDescent="0.25">
      <c r="A1" s="223" t="s">
        <v>1</v>
      </c>
      <c r="B1" s="223" t="s">
        <v>6</v>
      </c>
      <c r="C1" s="223" t="s">
        <v>46</v>
      </c>
      <c r="D1" s="223" t="s">
        <v>47</v>
      </c>
      <c r="E1" s="223" t="s">
        <v>48</v>
      </c>
      <c r="F1" s="223" t="s">
        <v>49</v>
      </c>
      <c r="G1" s="223" t="s">
        <v>50</v>
      </c>
      <c r="H1" s="223" t="s">
        <v>51</v>
      </c>
      <c r="I1" s="223" t="s">
        <v>52</v>
      </c>
      <c r="J1" s="223" t="s">
        <v>53</v>
      </c>
      <c r="K1" s="223" t="s">
        <v>54</v>
      </c>
      <c r="L1" s="223" t="s">
        <v>55</v>
      </c>
      <c r="M1" s="223" t="s">
        <v>56</v>
      </c>
      <c r="N1" s="223" t="s">
        <v>57</v>
      </c>
      <c r="O1" s="223" t="s">
        <v>58</v>
      </c>
      <c r="P1" s="223" t="s">
        <v>59</v>
      </c>
      <c r="Q1" s="223" t="s">
        <v>667</v>
      </c>
      <c r="R1" s="223" t="s">
        <v>2</v>
      </c>
    </row>
    <row r="2" spans="1:20" x14ac:dyDescent="0.25">
      <c r="A2" s="224">
        <v>1</v>
      </c>
      <c r="B2" s="225" t="s">
        <v>10</v>
      </c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4">
        <v>0</v>
      </c>
      <c r="T2">
        <f t="shared" ref="T2:T64" si="0">C2+D2+E2+F2+G2+H2+I2+J2+K2+L2+M2+N2+O2+P2+Q2</f>
        <v>0</v>
      </c>
    </row>
    <row r="3" spans="1:20" x14ac:dyDescent="0.25">
      <c r="A3" s="224">
        <v>2</v>
      </c>
      <c r="B3" s="225" t="s">
        <v>11</v>
      </c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4">
        <v>0</v>
      </c>
      <c r="T3">
        <f t="shared" si="0"/>
        <v>0</v>
      </c>
    </row>
    <row r="4" spans="1:20" x14ac:dyDescent="0.25">
      <c r="A4" s="224">
        <v>3</v>
      </c>
      <c r="B4" s="225" t="s">
        <v>12</v>
      </c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O4" s="225"/>
      <c r="P4" s="225"/>
      <c r="Q4" s="225"/>
      <c r="R4" s="224">
        <v>0</v>
      </c>
      <c r="T4">
        <f t="shared" si="0"/>
        <v>0</v>
      </c>
    </row>
    <row r="5" spans="1:20" x14ac:dyDescent="0.25">
      <c r="A5" s="224">
        <v>4</v>
      </c>
      <c r="B5" s="225" t="s">
        <v>651</v>
      </c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4">
        <v>0</v>
      </c>
      <c r="T5">
        <f t="shared" si="0"/>
        <v>0</v>
      </c>
    </row>
    <row r="6" spans="1:20" x14ac:dyDescent="0.25">
      <c r="A6" s="224">
        <v>5</v>
      </c>
      <c r="B6" s="225" t="s">
        <v>14</v>
      </c>
      <c r="C6" s="225"/>
      <c r="D6" s="225"/>
      <c r="E6" s="225"/>
      <c r="F6" s="225"/>
      <c r="G6" s="225"/>
      <c r="H6" s="225"/>
      <c r="I6" s="225"/>
      <c r="J6" s="225"/>
      <c r="K6" s="225"/>
      <c r="L6" s="225"/>
      <c r="M6" s="225"/>
      <c r="N6" s="225"/>
      <c r="O6" s="225"/>
      <c r="P6" s="225"/>
      <c r="Q6" s="225"/>
      <c r="R6" s="224">
        <v>0</v>
      </c>
      <c r="T6">
        <f t="shared" si="0"/>
        <v>0</v>
      </c>
    </row>
    <row r="7" spans="1:20" x14ac:dyDescent="0.25">
      <c r="A7" s="224">
        <v>6</v>
      </c>
      <c r="B7" s="225" t="s">
        <v>15</v>
      </c>
      <c r="C7" s="225"/>
      <c r="D7" s="225"/>
      <c r="E7" s="225"/>
      <c r="F7" s="225"/>
      <c r="G7" s="225"/>
      <c r="H7" s="225"/>
      <c r="I7" s="225"/>
      <c r="J7" s="225"/>
      <c r="K7" s="225"/>
      <c r="L7" s="225"/>
      <c r="M7" s="225"/>
      <c r="N7" s="225"/>
      <c r="O7" s="225"/>
      <c r="P7" s="225"/>
      <c r="Q7" s="225"/>
      <c r="R7" s="224">
        <v>0</v>
      </c>
      <c r="T7">
        <f t="shared" si="0"/>
        <v>0</v>
      </c>
    </row>
    <row r="8" spans="1:20" x14ac:dyDescent="0.25">
      <c r="A8" s="224">
        <v>7</v>
      </c>
      <c r="B8" s="225" t="s">
        <v>16</v>
      </c>
      <c r="C8" s="225"/>
      <c r="D8" s="225"/>
      <c r="E8" s="225"/>
      <c r="F8" s="225"/>
      <c r="G8" s="225"/>
      <c r="H8" s="225"/>
      <c r="I8" s="225"/>
      <c r="J8" s="225"/>
      <c r="K8" s="225"/>
      <c r="L8" s="225"/>
      <c r="M8" s="225"/>
      <c r="N8" s="225"/>
      <c r="O8" s="225"/>
      <c r="P8" s="225"/>
      <c r="Q8" s="225"/>
      <c r="R8" s="224">
        <v>0</v>
      </c>
      <c r="T8">
        <f t="shared" si="0"/>
        <v>0</v>
      </c>
    </row>
    <row r="9" spans="1:20" x14ac:dyDescent="0.25">
      <c r="A9" s="224">
        <v>8</v>
      </c>
      <c r="B9" s="225" t="s">
        <v>4</v>
      </c>
      <c r="C9" s="225"/>
      <c r="D9" s="225"/>
      <c r="E9" s="225"/>
      <c r="F9" s="225"/>
      <c r="G9" s="225"/>
      <c r="H9" s="225"/>
      <c r="I9" s="225"/>
      <c r="J9" s="225"/>
      <c r="K9" s="225"/>
      <c r="L9" s="225"/>
      <c r="M9" s="225"/>
      <c r="N9" s="225"/>
      <c r="O9" s="225"/>
      <c r="P9" s="225"/>
      <c r="Q9" s="225"/>
      <c r="R9" s="224">
        <v>0</v>
      </c>
      <c r="T9">
        <f t="shared" si="0"/>
        <v>0</v>
      </c>
    </row>
    <row r="10" spans="1:20" x14ac:dyDescent="0.25">
      <c r="A10" s="224">
        <v>9</v>
      </c>
      <c r="B10" s="225" t="s">
        <v>5</v>
      </c>
      <c r="C10" s="225"/>
      <c r="D10" s="225"/>
      <c r="E10" s="225"/>
      <c r="F10" s="225"/>
      <c r="G10" s="225"/>
      <c r="H10" s="225"/>
      <c r="I10" s="225"/>
      <c r="J10" s="225"/>
      <c r="K10" s="225"/>
      <c r="L10" s="225"/>
      <c r="M10" s="225"/>
      <c r="N10" s="225"/>
      <c r="O10" s="225"/>
      <c r="P10" s="225"/>
      <c r="Q10" s="225"/>
      <c r="R10" s="224">
        <v>0</v>
      </c>
      <c r="T10">
        <f t="shared" si="0"/>
        <v>0</v>
      </c>
    </row>
    <row r="11" spans="1:20" x14ac:dyDescent="0.25">
      <c r="A11" s="224">
        <v>10</v>
      </c>
      <c r="B11" s="225" t="s">
        <v>38</v>
      </c>
      <c r="C11" s="225"/>
      <c r="D11" s="225"/>
      <c r="E11" s="225"/>
      <c r="F11" s="225"/>
      <c r="G11" s="225"/>
      <c r="H11" s="225"/>
      <c r="I11" s="225"/>
      <c r="J11" s="225"/>
      <c r="K11" s="225"/>
      <c r="L11" s="225"/>
      <c r="M11" s="225"/>
      <c r="N11" s="225"/>
      <c r="O11" s="225"/>
      <c r="P11" s="225"/>
      <c r="Q11" s="225"/>
      <c r="R11" s="224">
        <v>0</v>
      </c>
      <c r="T11">
        <f t="shared" si="0"/>
        <v>0</v>
      </c>
    </row>
    <row r="12" spans="1:20" x14ac:dyDescent="0.25">
      <c r="A12" s="224">
        <v>11</v>
      </c>
      <c r="B12" s="225" t="s">
        <v>43</v>
      </c>
      <c r="C12" s="225"/>
      <c r="D12" s="225"/>
      <c r="E12" s="225"/>
      <c r="F12" s="225"/>
      <c r="G12" s="225"/>
      <c r="H12" s="225"/>
      <c r="I12" s="225"/>
      <c r="J12" s="225"/>
      <c r="K12" s="225"/>
      <c r="L12" s="225"/>
      <c r="M12" s="225"/>
      <c r="N12" s="225"/>
      <c r="O12" s="225"/>
      <c r="P12" s="225"/>
      <c r="Q12" s="225"/>
      <c r="R12" s="224">
        <v>0</v>
      </c>
      <c r="T12">
        <f t="shared" si="0"/>
        <v>0</v>
      </c>
    </row>
    <row r="13" spans="1:20" x14ac:dyDescent="0.25">
      <c r="A13" s="224">
        <v>12</v>
      </c>
      <c r="B13" s="225" t="s">
        <v>639</v>
      </c>
      <c r="C13" s="225"/>
      <c r="D13" s="225"/>
      <c r="E13" s="225"/>
      <c r="F13" s="225"/>
      <c r="G13" s="225"/>
      <c r="H13" s="225"/>
      <c r="I13" s="225"/>
      <c r="J13" s="225"/>
      <c r="K13" s="225"/>
      <c r="L13" s="225"/>
      <c r="M13" s="225"/>
      <c r="N13" s="225"/>
      <c r="O13" s="225"/>
      <c r="P13" s="225"/>
      <c r="Q13" s="225"/>
      <c r="R13" s="224">
        <v>0</v>
      </c>
      <c r="T13">
        <f t="shared" si="0"/>
        <v>0</v>
      </c>
    </row>
    <row r="14" spans="1:20" x14ac:dyDescent="0.25">
      <c r="A14" s="224">
        <v>13</v>
      </c>
      <c r="B14" s="225" t="s">
        <v>87</v>
      </c>
      <c r="C14" s="225"/>
      <c r="D14" s="225"/>
      <c r="E14" s="225"/>
      <c r="F14" s="225"/>
      <c r="G14" s="225"/>
      <c r="H14" s="225"/>
      <c r="I14" s="225"/>
      <c r="J14" s="225"/>
      <c r="K14" s="225"/>
      <c r="L14" s="225"/>
      <c r="M14" s="225"/>
      <c r="N14" s="225"/>
      <c r="O14" s="225"/>
      <c r="P14" s="225"/>
      <c r="Q14" s="225"/>
      <c r="R14" s="224">
        <v>0</v>
      </c>
      <c r="T14">
        <f t="shared" si="0"/>
        <v>0</v>
      </c>
    </row>
    <row r="15" spans="1:20" x14ac:dyDescent="0.25">
      <c r="A15" s="224">
        <v>14</v>
      </c>
      <c r="B15" s="225" t="s">
        <v>95</v>
      </c>
      <c r="C15" s="225"/>
      <c r="D15" s="225"/>
      <c r="E15" s="225"/>
      <c r="F15" s="225"/>
      <c r="G15" s="225"/>
      <c r="H15" s="225"/>
      <c r="I15" s="225"/>
      <c r="J15" s="225"/>
      <c r="K15" s="225"/>
      <c r="L15" s="225"/>
      <c r="M15" s="225"/>
      <c r="N15" s="225"/>
      <c r="O15" s="225"/>
      <c r="P15" s="225"/>
      <c r="Q15" s="225"/>
      <c r="R15" s="224">
        <v>0</v>
      </c>
      <c r="T15">
        <f t="shared" si="0"/>
        <v>0</v>
      </c>
    </row>
    <row r="16" spans="1:20" x14ac:dyDescent="0.25">
      <c r="A16" s="224">
        <v>15</v>
      </c>
      <c r="B16" s="225" t="s">
        <v>96</v>
      </c>
      <c r="C16" s="225"/>
      <c r="D16" s="225"/>
      <c r="E16" s="225"/>
      <c r="F16" s="225"/>
      <c r="G16" s="225"/>
      <c r="H16" s="225"/>
      <c r="I16" s="225"/>
      <c r="J16" s="225"/>
      <c r="K16" s="225"/>
      <c r="L16" s="225"/>
      <c r="M16" s="225"/>
      <c r="N16" s="225"/>
      <c r="O16" s="225"/>
      <c r="P16" s="225"/>
      <c r="Q16" s="225"/>
      <c r="R16" s="224">
        <v>0</v>
      </c>
      <c r="T16">
        <f t="shared" si="0"/>
        <v>0</v>
      </c>
    </row>
    <row r="17" spans="1:20" x14ac:dyDescent="0.25">
      <c r="A17" s="224">
        <v>16</v>
      </c>
      <c r="B17" s="225" t="s">
        <v>97</v>
      </c>
      <c r="C17" s="225"/>
      <c r="D17" s="225"/>
      <c r="E17" s="225"/>
      <c r="F17" s="225"/>
      <c r="G17" s="225"/>
      <c r="H17" s="225"/>
      <c r="I17" s="225"/>
      <c r="J17" s="225"/>
      <c r="K17" s="225"/>
      <c r="L17" s="225"/>
      <c r="M17" s="225"/>
      <c r="N17" s="225"/>
      <c r="O17" s="225"/>
      <c r="P17" s="225"/>
      <c r="Q17" s="225"/>
      <c r="R17" s="224">
        <v>0</v>
      </c>
      <c r="T17">
        <f t="shared" si="0"/>
        <v>0</v>
      </c>
    </row>
    <row r="18" spans="1:20" x14ac:dyDescent="0.25">
      <c r="A18" s="224">
        <v>17</v>
      </c>
      <c r="B18" s="225" t="s">
        <v>98</v>
      </c>
      <c r="C18" s="225"/>
      <c r="D18" s="225"/>
      <c r="E18" s="225"/>
      <c r="F18" s="225"/>
      <c r="G18" s="225"/>
      <c r="H18" s="225"/>
      <c r="I18" s="225"/>
      <c r="J18" s="225"/>
      <c r="K18" s="225"/>
      <c r="L18" s="225"/>
      <c r="M18" s="225"/>
      <c r="N18" s="225"/>
      <c r="O18" s="225"/>
      <c r="P18" s="225"/>
      <c r="Q18" s="225"/>
      <c r="R18" s="224">
        <v>0</v>
      </c>
      <c r="T18">
        <f t="shared" si="0"/>
        <v>0</v>
      </c>
    </row>
    <row r="19" spans="1:20" x14ac:dyDescent="0.25">
      <c r="A19" s="224">
        <v>18</v>
      </c>
      <c r="B19" s="225" t="s">
        <v>616</v>
      </c>
      <c r="C19" s="225"/>
      <c r="D19" s="225"/>
      <c r="E19" s="225"/>
      <c r="F19" s="225"/>
      <c r="G19" s="225"/>
      <c r="H19" s="225"/>
      <c r="I19" s="225"/>
      <c r="J19" s="225"/>
      <c r="K19" s="225"/>
      <c r="L19" s="225"/>
      <c r="M19" s="225"/>
      <c r="N19" s="225"/>
      <c r="O19" s="225"/>
      <c r="P19" s="225"/>
      <c r="Q19" s="225"/>
      <c r="R19" s="224">
        <v>0</v>
      </c>
      <c r="T19">
        <f t="shared" si="0"/>
        <v>0</v>
      </c>
    </row>
    <row r="20" spans="1:20" x14ac:dyDescent="0.25">
      <c r="A20" s="224">
        <v>19</v>
      </c>
      <c r="B20" s="225" t="s">
        <v>617</v>
      </c>
      <c r="C20" s="225"/>
      <c r="D20" s="225"/>
      <c r="E20" s="225" t="s">
        <v>54</v>
      </c>
      <c r="F20" s="225"/>
      <c r="G20" s="225"/>
      <c r="H20" s="225"/>
      <c r="I20" s="225"/>
      <c r="J20" s="225"/>
      <c r="K20" s="225"/>
      <c r="L20" s="225"/>
      <c r="M20" s="225"/>
      <c r="N20" s="225"/>
      <c r="O20" s="225"/>
      <c r="P20" s="225"/>
      <c r="Q20" s="225"/>
      <c r="R20" s="226">
        <v>24</v>
      </c>
      <c r="T20">
        <f t="shared" si="0"/>
        <v>24</v>
      </c>
    </row>
    <row r="21" spans="1:20" x14ac:dyDescent="0.25">
      <c r="A21" s="224">
        <v>20</v>
      </c>
      <c r="B21" s="225" t="s">
        <v>626</v>
      </c>
      <c r="C21" s="225"/>
      <c r="D21" s="225"/>
      <c r="E21" s="225"/>
      <c r="F21" s="225"/>
      <c r="G21" s="225"/>
      <c r="H21" s="225"/>
      <c r="I21" s="225"/>
      <c r="J21" s="225"/>
      <c r="K21" s="225"/>
      <c r="L21" s="225"/>
      <c r="M21" s="225"/>
      <c r="N21" s="225"/>
      <c r="O21" s="225"/>
      <c r="P21" s="225"/>
      <c r="Q21" s="225"/>
      <c r="R21" s="224">
        <v>0</v>
      </c>
      <c r="T21">
        <f t="shared" si="0"/>
        <v>0</v>
      </c>
    </row>
    <row r="22" spans="1:20" x14ac:dyDescent="0.25">
      <c r="A22" s="224">
        <v>21</v>
      </c>
      <c r="B22" s="225" t="s">
        <v>618</v>
      </c>
      <c r="C22" s="225"/>
      <c r="D22" s="225"/>
      <c r="E22" s="225" t="s">
        <v>54</v>
      </c>
      <c r="F22" s="225"/>
      <c r="G22" s="225"/>
      <c r="H22" s="225"/>
      <c r="I22" s="225"/>
      <c r="J22" s="225"/>
      <c r="K22" s="225"/>
      <c r="L22" s="225"/>
      <c r="M22" s="225"/>
      <c r="N22" s="225"/>
      <c r="O22" s="225"/>
      <c r="P22" s="225"/>
      <c r="Q22" s="225"/>
      <c r="R22" s="226">
        <v>24</v>
      </c>
      <c r="T22">
        <f t="shared" si="0"/>
        <v>24</v>
      </c>
    </row>
    <row r="23" spans="1:20" x14ac:dyDescent="0.25">
      <c r="A23" s="224">
        <v>22</v>
      </c>
      <c r="B23" s="225" t="s">
        <v>619</v>
      </c>
      <c r="C23" s="225"/>
      <c r="D23" s="225"/>
      <c r="E23" s="225"/>
      <c r="F23" s="225"/>
      <c r="G23" s="225"/>
      <c r="H23" s="225"/>
      <c r="I23" s="225"/>
      <c r="J23" s="225"/>
      <c r="K23" s="225"/>
      <c r="L23" s="225"/>
      <c r="M23" s="225"/>
      <c r="N23" s="225"/>
      <c r="O23" s="225"/>
      <c r="P23" s="225"/>
      <c r="Q23" s="225"/>
      <c r="R23" s="224">
        <v>0</v>
      </c>
      <c r="T23">
        <f t="shared" si="0"/>
        <v>0</v>
      </c>
    </row>
    <row r="24" spans="1:20" x14ac:dyDescent="0.25">
      <c r="A24" s="224">
        <v>23</v>
      </c>
      <c r="B24" s="225" t="s">
        <v>620</v>
      </c>
      <c r="C24" s="225"/>
      <c r="D24" s="225"/>
      <c r="E24" s="225"/>
      <c r="F24" s="225"/>
      <c r="G24" s="225"/>
      <c r="H24" s="225"/>
      <c r="I24" s="225"/>
      <c r="J24" s="225"/>
      <c r="K24" s="225"/>
      <c r="L24" s="225"/>
      <c r="M24" s="225"/>
      <c r="N24" s="225"/>
      <c r="O24" s="225"/>
      <c r="P24" s="225"/>
      <c r="Q24" s="225"/>
      <c r="R24" s="224">
        <v>0</v>
      </c>
      <c r="T24">
        <f t="shared" si="0"/>
        <v>0</v>
      </c>
    </row>
    <row r="25" spans="1:20" x14ac:dyDescent="0.25">
      <c r="A25" s="224">
        <v>24</v>
      </c>
      <c r="B25" s="225" t="s">
        <v>650</v>
      </c>
      <c r="C25" s="225"/>
      <c r="D25" s="225"/>
      <c r="E25" s="225"/>
      <c r="F25" s="225"/>
      <c r="G25" s="225"/>
      <c r="H25" s="225"/>
      <c r="I25" s="225"/>
      <c r="J25" s="225"/>
      <c r="K25" s="225"/>
      <c r="L25" s="225"/>
      <c r="M25" s="225"/>
      <c r="N25" s="225"/>
      <c r="O25" s="225"/>
      <c r="P25" s="225"/>
      <c r="Q25" s="225"/>
      <c r="R25" s="224">
        <v>0</v>
      </c>
      <c r="T25">
        <f t="shared" si="0"/>
        <v>0</v>
      </c>
    </row>
    <row r="26" spans="1:20" x14ac:dyDescent="0.25">
      <c r="A26" s="224">
        <v>25</v>
      </c>
      <c r="B26" s="225" t="s">
        <v>621</v>
      </c>
      <c r="C26" s="225"/>
      <c r="D26" s="225"/>
      <c r="E26" s="225"/>
      <c r="F26" s="225"/>
      <c r="G26" s="225"/>
      <c r="H26" s="225"/>
      <c r="I26" s="225"/>
      <c r="J26" s="225"/>
      <c r="K26" s="225"/>
      <c r="L26" s="225"/>
      <c r="M26" s="225"/>
      <c r="N26" s="225"/>
      <c r="O26" s="225"/>
      <c r="P26" s="225"/>
      <c r="Q26" s="225"/>
      <c r="R26" s="224">
        <v>0</v>
      </c>
      <c r="T26">
        <f t="shared" si="0"/>
        <v>0</v>
      </c>
    </row>
    <row r="27" spans="1:20" x14ac:dyDescent="0.25">
      <c r="A27" s="224">
        <v>26</v>
      </c>
      <c r="B27" s="225" t="s">
        <v>622</v>
      </c>
      <c r="C27" s="225"/>
      <c r="D27" s="225"/>
      <c r="E27" s="225"/>
      <c r="F27" s="225"/>
      <c r="G27" s="225"/>
      <c r="H27" s="225"/>
      <c r="I27" s="225"/>
      <c r="J27" s="225"/>
      <c r="K27" s="225"/>
      <c r="L27" s="225"/>
      <c r="M27" s="225"/>
      <c r="N27" s="225"/>
      <c r="O27" s="225"/>
      <c r="P27" s="225"/>
      <c r="Q27" s="225"/>
      <c r="R27" s="224">
        <v>0</v>
      </c>
      <c r="T27">
        <f t="shared" si="0"/>
        <v>0</v>
      </c>
    </row>
    <row r="28" spans="1:20" x14ac:dyDescent="0.25">
      <c r="A28" s="224">
        <v>27</v>
      </c>
      <c r="B28" s="225" t="s">
        <v>623</v>
      </c>
      <c r="C28" s="225"/>
      <c r="D28" s="225"/>
      <c r="E28" s="225"/>
      <c r="F28" s="225"/>
      <c r="G28" s="225"/>
      <c r="H28" s="225"/>
      <c r="I28" s="225"/>
      <c r="J28" s="225"/>
      <c r="K28" s="225"/>
      <c r="L28" s="225"/>
      <c r="M28" s="225"/>
      <c r="N28" s="225"/>
      <c r="O28" s="225"/>
      <c r="P28" s="225"/>
      <c r="Q28" s="225"/>
      <c r="R28" s="224">
        <v>0</v>
      </c>
      <c r="T28">
        <f t="shared" si="0"/>
        <v>0</v>
      </c>
    </row>
    <row r="29" spans="1:20" x14ac:dyDescent="0.25">
      <c r="A29" s="224">
        <v>28</v>
      </c>
      <c r="B29" s="225" t="s">
        <v>624</v>
      </c>
      <c r="C29" s="225"/>
      <c r="D29" s="225"/>
      <c r="E29" s="225"/>
      <c r="F29" s="225"/>
      <c r="G29" s="225"/>
      <c r="H29" s="225"/>
      <c r="I29" s="225"/>
      <c r="J29" s="225"/>
      <c r="K29" s="225"/>
      <c r="L29" s="225"/>
      <c r="M29" s="225"/>
      <c r="N29" s="225"/>
      <c r="O29" s="225"/>
      <c r="P29" s="225"/>
      <c r="Q29" s="225"/>
      <c r="R29" s="224">
        <v>0</v>
      </c>
      <c r="T29">
        <f t="shared" si="0"/>
        <v>0</v>
      </c>
    </row>
    <row r="30" spans="1:20" x14ac:dyDescent="0.25">
      <c r="A30" s="224">
        <v>29</v>
      </c>
      <c r="B30" s="225" t="s">
        <v>627</v>
      </c>
      <c r="C30" s="225"/>
      <c r="D30" s="225"/>
      <c r="E30" s="225"/>
      <c r="F30" s="225"/>
      <c r="G30" s="225"/>
      <c r="H30" s="225"/>
      <c r="I30" s="225"/>
      <c r="J30" s="225"/>
      <c r="K30" s="225"/>
      <c r="L30" s="225"/>
      <c r="M30" s="225"/>
      <c r="N30" s="225"/>
      <c r="O30" s="225"/>
      <c r="P30" s="225"/>
      <c r="Q30" s="225"/>
      <c r="R30" s="224">
        <v>0</v>
      </c>
      <c r="T30">
        <f t="shared" si="0"/>
        <v>0</v>
      </c>
    </row>
    <row r="31" spans="1:20" x14ac:dyDescent="0.25">
      <c r="A31" s="224">
        <v>30</v>
      </c>
      <c r="B31" s="225" t="s">
        <v>625</v>
      </c>
      <c r="C31" s="225"/>
      <c r="D31" s="225"/>
      <c r="E31" s="225"/>
      <c r="F31" s="225"/>
      <c r="G31" s="225"/>
      <c r="H31" s="225"/>
      <c r="I31" s="225"/>
      <c r="J31" s="225"/>
      <c r="K31" s="225"/>
      <c r="L31" s="225"/>
      <c r="M31" s="225"/>
      <c r="N31" s="225"/>
      <c r="O31" s="225"/>
      <c r="P31" s="225"/>
      <c r="Q31" s="225"/>
      <c r="R31" s="224">
        <v>0</v>
      </c>
      <c r="T31">
        <f t="shared" si="0"/>
        <v>0</v>
      </c>
    </row>
    <row r="32" spans="1:20" x14ac:dyDescent="0.25">
      <c r="A32" s="224">
        <v>31</v>
      </c>
      <c r="B32" s="225" t="s">
        <v>34</v>
      </c>
      <c r="C32" s="225"/>
      <c r="D32" s="225"/>
      <c r="E32" s="225"/>
      <c r="F32" s="225"/>
      <c r="G32" s="225"/>
      <c r="H32" s="225"/>
      <c r="I32" s="225"/>
      <c r="J32" s="225"/>
      <c r="K32" s="225"/>
      <c r="L32" s="225"/>
      <c r="M32" s="225"/>
      <c r="N32" s="225"/>
      <c r="O32" s="225"/>
      <c r="P32" s="225"/>
      <c r="Q32" s="225"/>
      <c r="R32" s="224">
        <v>0</v>
      </c>
      <c r="T32">
        <f t="shared" si="0"/>
        <v>0</v>
      </c>
    </row>
    <row r="33" spans="1:20" x14ac:dyDescent="0.25">
      <c r="A33" s="224">
        <v>32</v>
      </c>
      <c r="B33" s="225" t="s">
        <v>45</v>
      </c>
      <c r="C33" s="225"/>
      <c r="D33" s="225"/>
      <c r="E33" s="225"/>
      <c r="F33" s="225"/>
      <c r="G33" s="225"/>
      <c r="H33" s="225"/>
      <c r="I33" s="225"/>
      <c r="J33" s="225"/>
      <c r="K33" s="225"/>
      <c r="L33" s="225"/>
      <c r="M33" s="225"/>
      <c r="N33" s="225"/>
      <c r="O33" s="225"/>
      <c r="P33" s="225"/>
      <c r="Q33" s="225"/>
      <c r="R33" s="224">
        <v>0</v>
      </c>
      <c r="T33">
        <f t="shared" si="0"/>
        <v>0</v>
      </c>
    </row>
    <row r="34" spans="1:20" x14ac:dyDescent="0.25">
      <c r="A34" s="224">
        <v>33</v>
      </c>
      <c r="B34" s="225" t="s">
        <v>630</v>
      </c>
      <c r="C34" s="225"/>
      <c r="D34" s="225"/>
      <c r="E34" s="225"/>
      <c r="F34" s="225"/>
      <c r="G34" s="225"/>
      <c r="H34" s="225"/>
      <c r="I34" s="225"/>
      <c r="J34" s="225"/>
      <c r="K34" s="225"/>
      <c r="L34" s="225"/>
      <c r="M34" s="225"/>
      <c r="N34" s="225"/>
      <c r="O34" s="225"/>
      <c r="P34" s="225"/>
      <c r="Q34" s="225"/>
      <c r="R34" s="224">
        <v>0</v>
      </c>
      <c r="T34">
        <f t="shared" si="0"/>
        <v>0</v>
      </c>
    </row>
    <row r="35" spans="1:20" x14ac:dyDescent="0.25">
      <c r="A35" s="224">
        <v>34</v>
      </c>
      <c r="B35" s="225" t="s">
        <v>628</v>
      </c>
      <c r="C35" s="225"/>
      <c r="D35" s="225"/>
      <c r="E35" s="225"/>
      <c r="F35" s="225"/>
      <c r="G35" s="225"/>
      <c r="H35" s="225"/>
      <c r="I35" s="225"/>
      <c r="J35" s="225"/>
      <c r="K35" s="225"/>
      <c r="L35" s="225"/>
      <c r="M35" s="225"/>
      <c r="N35" s="225"/>
      <c r="O35" s="225"/>
      <c r="P35" s="225"/>
      <c r="Q35" s="225"/>
      <c r="R35" s="224">
        <v>0</v>
      </c>
      <c r="T35">
        <f t="shared" si="0"/>
        <v>0</v>
      </c>
    </row>
    <row r="36" spans="1:20" x14ac:dyDescent="0.25">
      <c r="A36" s="224">
        <v>35</v>
      </c>
      <c r="B36" s="225" t="s">
        <v>629</v>
      </c>
      <c r="C36" s="225"/>
      <c r="D36" s="225"/>
      <c r="E36" s="225"/>
      <c r="F36" s="225"/>
      <c r="G36" s="225"/>
      <c r="H36" s="225"/>
      <c r="I36" s="225"/>
      <c r="J36" s="225"/>
      <c r="K36" s="225"/>
      <c r="L36" s="225"/>
      <c r="M36" s="225"/>
      <c r="N36" s="225"/>
      <c r="O36" s="225"/>
      <c r="P36" s="225"/>
      <c r="Q36" s="225"/>
      <c r="R36" s="224">
        <v>0</v>
      </c>
      <c r="T36">
        <f t="shared" si="0"/>
        <v>0</v>
      </c>
    </row>
    <row r="37" spans="1:20" x14ac:dyDescent="0.25">
      <c r="A37" s="224">
        <v>36</v>
      </c>
      <c r="B37" s="225" t="s">
        <v>631</v>
      </c>
      <c r="C37" s="225"/>
      <c r="D37" s="225"/>
      <c r="E37" s="225"/>
      <c r="F37" s="225"/>
      <c r="G37" s="225"/>
      <c r="H37" s="225"/>
      <c r="I37" s="225"/>
      <c r="J37" s="225"/>
      <c r="K37" s="225"/>
      <c r="L37" s="225"/>
      <c r="M37" s="225"/>
      <c r="N37" s="225"/>
      <c r="O37" s="225"/>
      <c r="P37" s="225"/>
      <c r="Q37" s="225"/>
      <c r="R37" s="224">
        <v>0</v>
      </c>
      <c r="T37">
        <f t="shared" si="0"/>
        <v>0</v>
      </c>
    </row>
    <row r="38" spans="1:20" x14ac:dyDescent="0.25">
      <c r="A38" s="224">
        <v>37</v>
      </c>
      <c r="B38" s="225" t="s">
        <v>632</v>
      </c>
      <c r="C38" s="225"/>
      <c r="D38" s="225"/>
      <c r="E38" s="225"/>
      <c r="F38" s="225"/>
      <c r="G38" s="225"/>
      <c r="H38" s="225"/>
      <c r="I38" s="225"/>
      <c r="J38" s="225"/>
      <c r="K38" s="225"/>
      <c r="L38" s="225"/>
      <c r="M38" s="225"/>
      <c r="N38" s="225"/>
      <c r="O38" s="225"/>
      <c r="P38" s="225"/>
      <c r="Q38" s="225"/>
      <c r="R38" s="224">
        <v>0</v>
      </c>
      <c r="T38">
        <f t="shared" si="0"/>
        <v>0</v>
      </c>
    </row>
    <row r="39" spans="1:20" x14ac:dyDescent="0.25">
      <c r="A39" s="224">
        <v>38</v>
      </c>
      <c r="B39" s="225" t="s">
        <v>633</v>
      </c>
      <c r="C39" s="225"/>
      <c r="D39" s="225"/>
      <c r="E39" s="225"/>
      <c r="F39" s="225"/>
      <c r="G39" s="225"/>
      <c r="H39" s="225"/>
      <c r="I39" s="225"/>
      <c r="J39" s="225"/>
      <c r="K39" s="225"/>
      <c r="L39" s="225"/>
      <c r="M39" s="225"/>
      <c r="N39" s="225"/>
      <c r="O39" s="225"/>
      <c r="P39" s="225"/>
      <c r="Q39" s="225"/>
      <c r="R39" s="224">
        <v>0</v>
      </c>
      <c r="T39">
        <f t="shared" si="0"/>
        <v>0</v>
      </c>
    </row>
    <row r="40" spans="1:20" x14ac:dyDescent="0.25">
      <c r="A40" s="224">
        <v>39</v>
      </c>
      <c r="B40" s="225" t="s">
        <v>634</v>
      </c>
      <c r="C40" s="225"/>
      <c r="D40" s="225"/>
      <c r="E40" s="225"/>
      <c r="F40" s="225"/>
      <c r="G40" s="225"/>
      <c r="H40" s="225"/>
      <c r="I40" s="225"/>
      <c r="J40" s="225"/>
      <c r="K40" s="225"/>
      <c r="L40" s="225"/>
      <c r="M40" s="225"/>
      <c r="N40" s="225"/>
      <c r="O40" s="225"/>
      <c r="P40" s="225"/>
      <c r="Q40" s="225"/>
      <c r="R40" s="224">
        <v>0</v>
      </c>
      <c r="T40">
        <f t="shared" si="0"/>
        <v>0</v>
      </c>
    </row>
    <row r="41" spans="1:20" x14ac:dyDescent="0.25">
      <c r="A41" s="224">
        <v>40</v>
      </c>
      <c r="B41" s="225" t="s">
        <v>636</v>
      </c>
      <c r="C41" s="225"/>
      <c r="D41" s="225"/>
      <c r="E41" s="225"/>
      <c r="F41" s="225"/>
      <c r="G41" s="225"/>
      <c r="H41" s="225"/>
      <c r="I41" s="225"/>
      <c r="J41" s="225"/>
      <c r="K41" s="225"/>
      <c r="L41" s="225"/>
      <c r="M41" s="225"/>
      <c r="N41" s="225"/>
      <c r="O41" s="225"/>
      <c r="P41" s="225"/>
      <c r="Q41" s="225"/>
      <c r="R41" s="224">
        <v>0</v>
      </c>
      <c r="T41">
        <f t="shared" si="0"/>
        <v>0</v>
      </c>
    </row>
    <row r="42" spans="1:20" x14ac:dyDescent="0.25">
      <c r="A42" s="224">
        <v>41</v>
      </c>
      <c r="B42" s="225" t="s">
        <v>637</v>
      </c>
      <c r="C42" s="225"/>
      <c r="D42" s="225"/>
      <c r="E42" s="225"/>
      <c r="F42" s="225"/>
      <c r="G42" s="225"/>
      <c r="H42" s="225"/>
      <c r="I42" s="225"/>
      <c r="J42" s="225"/>
      <c r="K42" s="225"/>
      <c r="L42" s="225"/>
      <c r="M42" s="225"/>
      <c r="N42" s="225"/>
      <c r="O42" s="225"/>
      <c r="P42" s="225"/>
      <c r="Q42" s="225"/>
      <c r="R42" s="224">
        <v>0</v>
      </c>
      <c r="T42">
        <f t="shared" si="0"/>
        <v>0</v>
      </c>
    </row>
    <row r="43" spans="1:20" x14ac:dyDescent="0.25">
      <c r="A43" s="224">
        <v>42</v>
      </c>
      <c r="B43" s="225" t="s">
        <v>640</v>
      </c>
      <c r="C43" s="225"/>
      <c r="D43" s="225"/>
      <c r="E43" s="225"/>
      <c r="F43" s="225"/>
      <c r="G43" s="225"/>
      <c r="H43" s="225"/>
      <c r="I43" s="225"/>
      <c r="J43" s="225"/>
      <c r="K43" s="225"/>
      <c r="L43" s="225"/>
      <c r="M43" s="225"/>
      <c r="N43" s="225"/>
      <c r="O43" s="225"/>
      <c r="P43" s="225"/>
      <c r="Q43" s="225"/>
      <c r="R43" s="224">
        <v>0</v>
      </c>
      <c r="T43">
        <f t="shared" si="0"/>
        <v>0</v>
      </c>
    </row>
    <row r="44" spans="1:20" x14ac:dyDescent="0.25">
      <c r="A44" s="224">
        <v>43</v>
      </c>
      <c r="B44" s="225" t="s">
        <v>638</v>
      </c>
      <c r="C44" s="225"/>
      <c r="D44" s="225"/>
      <c r="E44" s="225"/>
      <c r="F44" s="225"/>
      <c r="G44" s="225"/>
      <c r="H44" s="225"/>
      <c r="I44" s="225"/>
      <c r="J44" s="225"/>
      <c r="K44" s="225"/>
      <c r="L44" s="225"/>
      <c r="M44" s="225"/>
      <c r="N44" s="225"/>
      <c r="O44" s="225"/>
      <c r="P44" s="225"/>
      <c r="Q44" s="225"/>
      <c r="R44" s="224">
        <v>0</v>
      </c>
      <c r="T44">
        <f t="shared" si="0"/>
        <v>0</v>
      </c>
    </row>
    <row r="45" spans="1:20" x14ac:dyDescent="0.25">
      <c r="A45" s="224">
        <v>44</v>
      </c>
      <c r="B45" s="225" t="s">
        <v>635</v>
      </c>
      <c r="C45" s="225"/>
      <c r="D45" s="225"/>
      <c r="E45" s="225"/>
      <c r="F45" s="225"/>
      <c r="G45" s="225"/>
      <c r="H45" s="225"/>
      <c r="I45" s="225"/>
      <c r="J45" s="225"/>
      <c r="K45" s="225"/>
      <c r="L45" s="225"/>
      <c r="M45" s="225"/>
      <c r="N45" s="225"/>
      <c r="O45" s="225"/>
      <c r="P45" s="225"/>
      <c r="Q45" s="225"/>
      <c r="R45" s="224">
        <v>0</v>
      </c>
      <c r="T45">
        <f t="shared" si="0"/>
        <v>0</v>
      </c>
    </row>
    <row r="46" spans="1:20" x14ac:dyDescent="0.25">
      <c r="A46" s="224">
        <v>45</v>
      </c>
      <c r="B46" s="225" t="s">
        <v>641</v>
      </c>
      <c r="C46" s="225"/>
      <c r="D46" s="225"/>
      <c r="E46" s="225"/>
      <c r="F46" s="225"/>
      <c r="G46" s="225"/>
      <c r="H46" s="225"/>
      <c r="I46" s="225"/>
      <c r="J46" s="225"/>
      <c r="K46" s="225"/>
      <c r="L46" s="225"/>
      <c r="M46" s="225"/>
      <c r="N46" s="225"/>
      <c r="O46" s="225"/>
      <c r="P46" s="225"/>
      <c r="Q46" s="225"/>
      <c r="R46" s="224">
        <v>0</v>
      </c>
      <c r="T46">
        <f t="shared" si="0"/>
        <v>0</v>
      </c>
    </row>
    <row r="47" spans="1:20" x14ac:dyDescent="0.25">
      <c r="A47" s="224">
        <v>46</v>
      </c>
      <c r="B47" s="225" t="s">
        <v>649</v>
      </c>
      <c r="C47" s="225"/>
      <c r="D47" s="225"/>
      <c r="E47" s="225"/>
      <c r="F47" s="225"/>
      <c r="G47" s="225"/>
      <c r="H47" s="225"/>
      <c r="I47" s="225"/>
      <c r="J47" s="225"/>
      <c r="K47" s="225"/>
      <c r="L47" s="225"/>
      <c r="M47" s="225"/>
      <c r="N47" s="225"/>
      <c r="O47" s="225"/>
      <c r="P47" s="225"/>
      <c r="Q47" s="225"/>
      <c r="R47" s="224">
        <v>0</v>
      </c>
      <c r="T47">
        <f t="shared" si="0"/>
        <v>0</v>
      </c>
    </row>
    <row r="48" spans="1:20" x14ac:dyDescent="0.25">
      <c r="A48" s="224">
        <v>47</v>
      </c>
      <c r="B48" s="225" t="s">
        <v>642</v>
      </c>
      <c r="C48" s="225"/>
      <c r="D48" s="225"/>
      <c r="E48" s="225"/>
      <c r="F48" s="225"/>
      <c r="G48" s="225"/>
      <c r="H48" s="225"/>
      <c r="I48" s="225"/>
      <c r="J48" s="225"/>
      <c r="K48" s="225"/>
      <c r="L48" s="225"/>
      <c r="M48" s="225"/>
      <c r="N48" s="225"/>
      <c r="O48" s="225"/>
      <c r="P48" s="225"/>
      <c r="Q48" s="225"/>
      <c r="R48" s="224">
        <v>0</v>
      </c>
      <c r="T48">
        <f t="shared" si="0"/>
        <v>0</v>
      </c>
    </row>
    <row r="49" spans="1:20" x14ac:dyDescent="0.25">
      <c r="A49" s="224">
        <v>48</v>
      </c>
      <c r="B49" s="225" t="s">
        <v>643</v>
      </c>
      <c r="C49" s="225"/>
      <c r="D49" s="225"/>
      <c r="E49" s="225"/>
      <c r="F49" s="225"/>
      <c r="G49" s="225"/>
      <c r="H49" s="225"/>
      <c r="I49" s="225"/>
      <c r="J49" s="225"/>
      <c r="K49" s="225"/>
      <c r="L49" s="225"/>
      <c r="M49" s="225"/>
      <c r="N49" s="225"/>
      <c r="O49" s="225"/>
      <c r="P49" s="225"/>
      <c r="Q49" s="225"/>
      <c r="R49" s="224">
        <v>0</v>
      </c>
      <c r="T49">
        <f t="shared" si="0"/>
        <v>0</v>
      </c>
    </row>
    <row r="50" spans="1:20" x14ac:dyDescent="0.25">
      <c r="A50" s="224">
        <v>49</v>
      </c>
      <c r="B50" s="225" t="s">
        <v>644</v>
      </c>
      <c r="C50" s="225"/>
      <c r="D50" s="225"/>
      <c r="E50" s="225"/>
      <c r="F50" s="225"/>
      <c r="G50" s="225"/>
      <c r="H50" s="225"/>
      <c r="I50" s="225"/>
      <c r="J50" s="225"/>
      <c r="K50" s="225"/>
      <c r="L50" s="225"/>
      <c r="M50" s="225"/>
      <c r="N50" s="225"/>
      <c r="O50" s="225"/>
      <c r="P50" s="225"/>
      <c r="Q50" s="225"/>
      <c r="R50" s="224">
        <v>0</v>
      </c>
      <c r="T50">
        <f t="shared" si="0"/>
        <v>0</v>
      </c>
    </row>
    <row r="51" spans="1:20" x14ac:dyDescent="0.25">
      <c r="A51" s="224">
        <v>50</v>
      </c>
      <c r="B51" s="225" t="s">
        <v>646</v>
      </c>
      <c r="C51" s="225"/>
      <c r="D51" s="225"/>
      <c r="E51" s="225"/>
      <c r="F51" s="225"/>
      <c r="G51" s="225"/>
      <c r="H51" s="225"/>
      <c r="I51" s="225"/>
      <c r="J51" s="225"/>
      <c r="K51" s="225"/>
      <c r="L51" s="225"/>
      <c r="M51" s="225"/>
      <c r="N51" s="225"/>
      <c r="O51" s="225"/>
      <c r="P51" s="225"/>
      <c r="Q51" s="225"/>
      <c r="R51" s="224">
        <v>0</v>
      </c>
      <c r="T51">
        <f t="shared" si="0"/>
        <v>0</v>
      </c>
    </row>
    <row r="52" spans="1:20" x14ac:dyDescent="0.25">
      <c r="A52" s="224">
        <v>51</v>
      </c>
      <c r="B52" s="225" t="s">
        <v>647</v>
      </c>
      <c r="C52" s="225"/>
      <c r="D52" s="225"/>
      <c r="E52" s="225"/>
      <c r="F52" s="225"/>
      <c r="G52" s="225"/>
      <c r="H52" s="225"/>
      <c r="I52" s="225"/>
      <c r="J52" s="225"/>
      <c r="K52" s="225"/>
      <c r="L52" s="225"/>
      <c r="M52" s="225"/>
      <c r="N52" s="225"/>
      <c r="O52" s="225"/>
      <c r="P52" s="225"/>
      <c r="Q52" s="225"/>
      <c r="R52" s="224">
        <v>0</v>
      </c>
      <c r="T52">
        <f t="shared" si="0"/>
        <v>0</v>
      </c>
    </row>
    <row r="53" spans="1:20" x14ac:dyDescent="0.25">
      <c r="A53" s="224">
        <v>52</v>
      </c>
      <c r="B53" s="225" t="s">
        <v>652</v>
      </c>
      <c r="C53" s="225"/>
      <c r="D53" s="225"/>
      <c r="E53" s="225"/>
      <c r="F53" s="225"/>
      <c r="G53" s="225"/>
      <c r="H53" s="225"/>
      <c r="I53" s="225"/>
      <c r="J53" s="225"/>
      <c r="K53" s="225"/>
      <c r="L53" s="225"/>
      <c r="M53" s="225"/>
      <c r="N53" s="225"/>
      <c r="O53" s="225"/>
      <c r="P53" s="225"/>
      <c r="Q53" s="225"/>
      <c r="R53" s="224">
        <v>0</v>
      </c>
      <c r="T53">
        <f t="shared" si="0"/>
        <v>0</v>
      </c>
    </row>
    <row r="54" spans="1:20" x14ac:dyDescent="0.25">
      <c r="A54" s="224">
        <v>53</v>
      </c>
      <c r="B54" s="225" t="s">
        <v>653</v>
      </c>
      <c r="C54" s="225"/>
      <c r="D54" s="225"/>
      <c r="E54" s="225"/>
      <c r="F54" s="225"/>
      <c r="G54" s="225"/>
      <c r="H54" s="225"/>
      <c r="I54" s="225"/>
      <c r="J54" s="225"/>
      <c r="K54" s="225"/>
      <c r="L54" s="225"/>
      <c r="M54" s="225"/>
      <c r="N54" s="225"/>
      <c r="O54" s="225"/>
      <c r="P54" s="225"/>
      <c r="Q54" s="225"/>
      <c r="R54" s="224">
        <v>0</v>
      </c>
      <c r="T54">
        <f t="shared" si="0"/>
        <v>0</v>
      </c>
    </row>
    <row r="55" spans="1:20" x14ac:dyDescent="0.25">
      <c r="A55" s="224">
        <v>54</v>
      </c>
      <c r="B55" s="225" t="s">
        <v>654</v>
      </c>
      <c r="C55" s="225"/>
      <c r="D55" s="225"/>
      <c r="E55" s="225"/>
      <c r="F55" s="225"/>
      <c r="G55" s="225"/>
      <c r="H55" s="225"/>
      <c r="I55" s="225"/>
      <c r="J55" s="225"/>
      <c r="K55" s="225"/>
      <c r="L55" s="225"/>
      <c r="M55" s="225"/>
      <c r="N55" s="225"/>
      <c r="O55" s="225"/>
      <c r="P55" s="225"/>
      <c r="Q55" s="225"/>
      <c r="R55" s="224">
        <v>0</v>
      </c>
      <c r="T55">
        <f t="shared" si="0"/>
        <v>0</v>
      </c>
    </row>
    <row r="56" spans="1:20" x14ac:dyDescent="0.25">
      <c r="A56" s="224">
        <v>55</v>
      </c>
      <c r="B56" s="225" t="s">
        <v>655</v>
      </c>
      <c r="C56" s="225"/>
      <c r="D56" s="225"/>
      <c r="E56" s="225"/>
      <c r="F56" s="225"/>
      <c r="G56" s="225"/>
      <c r="H56" s="225"/>
      <c r="I56" s="225"/>
      <c r="J56" s="225"/>
      <c r="K56" s="225"/>
      <c r="L56" s="225"/>
      <c r="M56" s="225"/>
      <c r="N56" s="225"/>
      <c r="O56" s="225"/>
      <c r="P56" s="225"/>
      <c r="Q56" s="225"/>
      <c r="R56" s="224">
        <v>0</v>
      </c>
      <c r="T56">
        <f t="shared" si="0"/>
        <v>0</v>
      </c>
    </row>
    <row r="57" spans="1:20" x14ac:dyDescent="0.25">
      <c r="A57" s="224">
        <v>56</v>
      </c>
      <c r="B57" s="225" t="s">
        <v>656</v>
      </c>
      <c r="C57" s="225"/>
      <c r="D57" s="225"/>
      <c r="E57" s="225"/>
      <c r="F57" s="225"/>
      <c r="G57" s="225"/>
      <c r="H57" s="225"/>
      <c r="I57" s="225"/>
      <c r="J57" s="225"/>
      <c r="K57" s="225"/>
      <c r="L57" s="225"/>
      <c r="M57" s="225"/>
      <c r="N57" s="225"/>
      <c r="O57" s="225"/>
      <c r="P57" s="225"/>
      <c r="Q57" s="225"/>
      <c r="R57" s="224">
        <v>0</v>
      </c>
      <c r="T57">
        <f t="shared" si="0"/>
        <v>0</v>
      </c>
    </row>
    <row r="58" spans="1:20" x14ac:dyDescent="0.25">
      <c r="A58" s="224">
        <v>57</v>
      </c>
      <c r="B58" s="225" t="s">
        <v>657</v>
      </c>
      <c r="C58" s="225"/>
      <c r="D58" s="225"/>
      <c r="E58" s="225"/>
      <c r="F58" s="225"/>
      <c r="G58" s="225"/>
      <c r="H58" s="225"/>
      <c r="I58" s="225"/>
      <c r="J58" s="225"/>
      <c r="K58" s="225"/>
      <c r="L58" s="225"/>
      <c r="M58" s="225"/>
      <c r="N58" s="225"/>
      <c r="O58" s="225"/>
      <c r="P58" s="225"/>
      <c r="Q58" s="225"/>
      <c r="R58" s="224">
        <v>0</v>
      </c>
      <c r="T58">
        <f t="shared" si="0"/>
        <v>0</v>
      </c>
    </row>
    <row r="59" spans="1:20" x14ac:dyDescent="0.25">
      <c r="A59" s="224">
        <v>58</v>
      </c>
      <c r="B59" s="225" t="s">
        <v>658</v>
      </c>
      <c r="C59" s="225"/>
      <c r="D59" s="225"/>
      <c r="E59" s="225"/>
      <c r="F59" s="225"/>
      <c r="G59" s="225"/>
      <c r="H59" s="225"/>
      <c r="I59" s="225"/>
      <c r="J59" s="225"/>
      <c r="K59" s="225"/>
      <c r="L59" s="225"/>
      <c r="M59" s="225"/>
      <c r="N59" s="225"/>
      <c r="O59" s="225"/>
      <c r="P59" s="225"/>
      <c r="Q59" s="225"/>
      <c r="R59" s="224">
        <v>0</v>
      </c>
      <c r="T59">
        <f t="shared" si="0"/>
        <v>0</v>
      </c>
    </row>
    <row r="60" spans="1:20" x14ac:dyDescent="0.25">
      <c r="A60" s="224">
        <v>59</v>
      </c>
      <c r="B60" s="225" t="s">
        <v>659</v>
      </c>
      <c r="C60" s="225"/>
      <c r="D60" s="225"/>
      <c r="E60" s="225" t="s">
        <v>54</v>
      </c>
      <c r="F60" s="225"/>
      <c r="G60" s="225"/>
      <c r="H60" s="225"/>
      <c r="I60" s="225"/>
      <c r="J60" s="225"/>
      <c r="K60" s="225"/>
      <c r="L60" s="225"/>
      <c r="M60" s="225"/>
      <c r="N60" s="225"/>
      <c r="O60" s="225"/>
      <c r="P60" s="225"/>
      <c r="Q60" s="225"/>
      <c r="R60" s="226">
        <v>24</v>
      </c>
      <c r="T60">
        <f t="shared" si="0"/>
        <v>24</v>
      </c>
    </row>
    <row r="61" spans="1:20" x14ac:dyDescent="0.25">
      <c r="A61" s="224">
        <v>60</v>
      </c>
      <c r="B61" s="225" t="s">
        <v>660</v>
      </c>
      <c r="C61" s="225"/>
      <c r="D61" s="225"/>
      <c r="E61" s="225" t="s">
        <v>54</v>
      </c>
      <c r="F61" s="225"/>
      <c r="G61" s="225"/>
      <c r="H61" s="225"/>
      <c r="I61" s="225"/>
      <c r="J61" s="225"/>
      <c r="K61" s="225"/>
      <c r="L61" s="225"/>
      <c r="M61" s="225"/>
      <c r="N61" s="225"/>
      <c r="O61" s="225"/>
      <c r="P61" s="225"/>
      <c r="Q61" s="225"/>
      <c r="R61" s="226">
        <v>24</v>
      </c>
      <c r="T61">
        <f t="shared" si="0"/>
        <v>24</v>
      </c>
    </row>
    <row r="62" spans="1:20" x14ac:dyDescent="0.25">
      <c r="A62" s="224">
        <v>61</v>
      </c>
      <c r="B62" s="225" t="s">
        <v>661</v>
      </c>
      <c r="C62" s="225"/>
      <c r="D62" s="225"/>
      <c r="E62" s="225"/>
      <c r="F62" s="225"/>
      <c r="G62" s="225"/>
      <c r="H62" s="225"/>
      <c r="I62" s="225"/>
      <c r="J62" s="225"/>
      <c r="K62" s="225"/>
      <c r="L62" s="225"/>
      <c r="M62" s="225"/>
      <c r="N62" s="225"/>
      <c r="O62" s="225"/>
      <c r="P62" s="225"/>
      <c r="Q62" s="225"/>
      <c r="R62" s="224">
        <v>0</v>
      </c>
      <c r="T62">
        <f t="shared" si="0"/>
        <v>0</v>
      </c>
    </row>
    <row r="63" spans="1:20" x14ac:dyDescent="0.25">
      <c r="A63" s="224">
        <v>62</v>
      </c>
      <c r="B63" s="225" t="s">
        <v>662</v>
      </c>
      <c r="C63" s="225"/>
      <c r="D63" s="225"/>
      <c r="E63" s="225"/>
      <c r="F63" s="225"/>
      <c r="G63" s="225"/>
      <c r="H63" s="225"/>
      <c r="I63" s="225"/>
      <c r="J63" s="225"/>
      <c r="K63" s="225"/>
      <c r="L63" s="225"/>
      <c r="M63" s="225"/>
      <c r="N63" s="225"/>
      <c r="O63" s="225"/>
      <c r="P63" s="225"/>
      <c r="Q63" s="225"/>
      <c r="R63" s="224">
        <v>0</v>
      </c>
      <c r="T63">
        <f t="shared" si="0"/>
        <v>0</v>
      </c>
    </row>
    <row r="64" spans="1:20" x14ac:dyDescent="0.25">
      <c r="A64" s="224">
        <v>63</v>
      </c>
      <c r="B64" s="225" t="s">
        <v>668</v>
      </c>
      <c r="C64" s="225"/>
      <c r="D64" s="225"/>
      <c r="E64" s="225"/>
      <c r="F64" s="225"/>
      <c r="G64" s="225"/>
      <c r="H64" s="225"/>
      <c r="I64" s="225"/>
      <c r="J64" s="225"/>
      <c r="K64" s="225"/>
      <c r="L64" s="225"/>
      <c r="M64" s="225"/>
      <c r="N64" s="225"/>
      <c r="O64" s="225"/>
      <c r="P64" s="225"/>
      <c r="Q64" s="225"/>
      <c r="R64" s="224">
        <v>0</v>
      </c>
      <c r="T64">
        <f t="shared" si="0"/>
        <v>0</v>
      </c>
    </row>
    <row r="65" spans="1:18" x14ac:dyDescent="0.25">
      <c r="A65" s="223"/>
      <c r="B65" s="223"/>
      <c r="C65" s="223"/>
      <c r="D65" s="223"/>
      <c r="E65" s="223"/>
      <c r="F65" s="223"/>
      <c r="G65" s="223"/>
      <c r="H65" s="223"/>
      <c r="I65" s="223"/>
      <c r="J65" s="223"/>
      <c r="K65" s="223"/>
      <c r="L65" s="223"/>
      <c r="M65" s="223"/>
      <c r="N65" s="223"/>
      <c r="O65" s="223"/>
      <c r="P65" s="223"/>
      <c r="Q65" s="223"/>
      <c r="R65" s="227">
        <v>96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65"/>
  <sheetViews>
    <sheetView topLeftCell="K1" workbookViewId="0">
      <selection activeCell="T2" sqref="T2:T64"/>
    </sheetView>
  </sheetViews>
  <sheetFormatPr defaultRowHeight="15" x14ac:dyDescent="0.25"/>
  <sheetData>
    <row r="1" spans="1:20" x14ac:dyDescent="0.25">
      <c r="A1" s="228" t="s">
        <v>1</v>
      </c>
      <c r="B1" s="228" t="s">
        <v>6</v>
      </c>
      <c r="C1" s="228" t="s">
        <v>46</v>
      </c>
      <c r="D1" s="228" t="s">
        <v>47</v>
      </c>
      <c r="E1" s="228" t="s">
        <v>48</v>
      </c>
      <c r="F1" s="228" t="s">
        <v>49</v>
      </c>
      <c r="G1" s="228" t="s">
        <v>50</v>
      </c>
      <c r="H1" s="228" t="s">
        <v>51</v>
      </c>
      <c r="I1" s="228" t="s">
        <v>52</v>
      </c>
      <c r="J1" s="228" t="s">
        <v>53</v>
      </c>
      <c r="K1" s="228" t="s">
        <v>54</v>
      </c>
      <c r="L1" s="228" t="s">
        <v>55</v>
      </c>
      <c r="M1" s="228" t="s">
        <v>56</v>
      </c>
      <c r="N1" s="228" t="s">
        <v>57</v>
      </c>
      <c r="O1" s="228" t="s">
        <v>58</v>
      </c>
      <c r="P1" s="228" t="s">
        <v>59</v>
      </c>
      <c r="Q1" s="228" t="s">
        <v>667</v>
      </c>
      <c r="R1" s="228" t="s">
        <v>2</v>
      </c>
    </row>
    <row r="2" spans="1:20" x14ac:dyDescent="0.25">
      <c r="A2" s="229">
        <v>1</v>
      </c>
      <c r="B2" s="230" t="s">
        <v>10</v>
      </c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29">
        <v>0</v>
      </c>
      <c r="T2">
        <f t="shared" ref="T2:T64" si="0">C2+D2+E2+F2+G2+H2+I2+J2+K2+L2+M2+N2+O2+P2+Q2</f>
        <v>0</v>
      </c>
    </row>
    <row r="3" spans="1:20" x14ac:dyDescent="0.25">
      <c r="A3" s="229">
        <v>2</v>
      </c>
      <c r="B3" s="230" t="s">
        <v>11</v>
      </c>
      <c r="C3" s="230"/>
      <c r="D3" s="230"/>
      <c r="E3" s="230"/>
      <c r="F3" s="230"/>
      <c r="G3" s="230"/>
      <c r="H3" s="230"/>
      <c r="I3" s="230"/>
      <c r="J3" s="230"/>
      <c r="K3" s="230"/>
      <c r="L3" s="230"/>
      <c r="M3" s="230"/>
      <c r="N3" s="230"/>
      <c r="O3" s="230"/>
      <c r="P3" s="230"/>
      <c r="Q3" s="230"/>
      <c r="R3" s="229">
        <v>0</v>
      </c>
      <c r="T3">
        <f t="shared" si="0"/>
        <v>0</v>
      </c>
    </row>
    <row r="4" spans="1:20" x14ac:dyDescent="0.25">
      <c r="A4" s="229">
        <v>3</v>
      </c>
      <c r="B4" s="230" t="s">
        <v>12</v>
      </c>
      <c r="C4" s="230"/>
      <c r="D4" s="230"/>
      <c r="E4" s="230"/>
      <c r="F4" s="230"/>
      <c r="G4" s="230"/>
      <c r="H4" s="230"/>
      <c r="I4" s="230"/>
      <c r="J4" s="230"/>
      <c r="K4" s="230"/>
      <c r="L4" s="230"/>
      <c r="M4" s="230"/>
      <c r="N4" s="230"/>
      <c r="O4" s="230"/>
      <c r="P4" s="230"/>
      <c r="Q4" s="230"/>
      <c r="R4" s="229">
        <v>0</v>
      </c>
      <c r="T4">
        <f t="shared" si="0"/>
        <v>0</v>
      </c>
    </row>
    <row r="5" spans="1:20" x14ac:dyDescent="0.25">
      <c r="A5" s="229">
        <v>4</v>
      </c>
      <c r="B5" s="230" t="s">
        <v>651</v>
      </c>
      <c r="C5" s="230"/>
      <c r="D5" s="230"/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0"/>
      <c r="P5" s="230"/>
      <c r="Q5" s="230"/>
      <c r="R5" s="229">
        <v>0</v>
      </c>
      <c r="T5">
        <f t="shared" si="0"/>
        <v>0</v>
      </c>
    </row>
    <row r="6" spans="1:20" x14ac:dyDescent="0.25">
      <c r="A6" s="229">
        <v>5</v>
      </c>
      <c r="B6" s="230" t="s">
        <v>14</v>
      </c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0"/>
      <c r="O6" s="230"/>
      <c r="P6" s="230"/>
      <c r="Q6" s="230"/>
      <c r="R6" s="229">
        <v>0</v>
      </c>
      <c r="T6">
        <f t="shared" si="0"/>
        <v>0</v>
      </c>
    </row>
    <row r="7" spans="1:20" x14ac:dyDescent="0.25">
      <c r="A7" s="229">
        <v>6</v>
      </c>
      <c r="B7" s="230" t="s">
        <v>15</v>
      </c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0"/>
      <c r="Q7" s="230"/>
      <c r="R7" s="229">
        <v>0</v>
      </c>
      <c r="T7">
        <f t="shared" si="0"/>
        <v>0</v>
      </c>
    </row>
    <row r="8" spans="1:20" x14ac:dyDescent="0.25">
      <c r="A8" s="229">
        <v>7</v>
      </c>
      <c r="B8" s="230" t="s">
        <v>16</v>
      </c>
      <c r="C8" s="230"/>
      <c r="D8" s="230"/>
      <c r="E8" s="230"/>
      <c r="F8" s="230"/>
      <c r="G8" s="230"/>
      <c r="H8" s="230"/>
      <c r="I8" s="230"/>
      <c r="J8" s="230"/>
      <c r="K8" s="230"/>
      <c r="L8" s="230"/>
      <c r="M8" s="230"/>
      <c r="N8" s="230"/>
      <c r="O8" s="230"/>
      <c r="P8" s="230"/>
      <c r="Q8" s="230"/>
      <c r="R8" s="229">
        <v>0</v>
      </c>
      <c r="T8">
        <f t="shared" si="0"/>
        <v>0</v>
      </c>
    </row>
    <row r="9" spans="1:20" x14ac:dyDescent="0.25">
      <c r="A9" s="229">
        <v>8</v>
      </c>
      <c r="B9" s="230" t="s">
        <v>4</v>
      </c>
      <c r="C9" s="230"/>
      <c r="D9" s="230"/>
      <c r="E9" s="230"/>
      <c r="F9" s="230"/>
      <c r="G9" s="230"/>
      <c r="H9" s="230"/>
      <c r="I9" s="230"/>
      <c r="J9" s="230"/>
      <c r="K9" s="230"/>
      <c r="L9" s="230"/>
      <c r="M9" s="230"/>
      <c r="N9" s="230"/>
      <c r="O9" s="230"/>
      <c r="P9" s="230"/>
      <c r="Q9" s="230"/>
      <c r="R9" s="229">
        <v>0</v>
      </c>
      <c r="T9">
        <f t="shared" si="0"/>
        <v>0</v>
      </c>
    </row>
    <row r="10" spans="1:20" x14ac:dyDescent="0.25">
      <c r="A10" s="229">
        <v>9</v>
      </c>
      <c r="B10" s="230" t="s">
        <v>5</v>
      </c>
      <c r="C10" s="230"/>
      <c r="D10" s="230"/>
      <c r="E10" s="230"/>
      <c r="F10" s="230"/>
      <c r="G10" s="230"/>
      <c r="H10" s="230"/>
      <c r="I10" s="230"/>
      <c r="J10" s="230"/>
      <c r="K10" s="230"/>
      <c r="L10" s="230"/>
      <c r="M10" s="230"/>
      <c r="N10" s="230"/>
      <c r="O10" s="230"/>
      <c r="P10" s="230"/>
      <c r="Q10" s="230"/>
      <c r="R10" s="229">
        <v>0</v>
      </c>
      <c r="T10">
        <f t="shared" si="0"/>
        <v>0</v>
      </c>
    </row>
    <row r="11" spans="1:20" x14ac:dyDescent="0.25">
      <c r="A11" s="229">
        <v>10</v>
      </c>
      <c r="B11" s="230" t="s">
        <v>38</v>
      </c>
      <c r="C11" s="230"/>
      <c r="D11" s="230"/>
      <c r="E11" s="230"/>
      <c r="F11" s="230"/>
      <c r="G11" s="230"/>
      <c r="H11" s="230"/>
      <c r="I11" s="230"/>
      <c r="J11" s="230"/>
      <c r="K11" s="230"/>
      <c r="L11" s="230"/>
      <c r="M11" s="230"/>
      <c r="N11" s="230"/>
      <c r="O11" s="230"/>
      <c r="P11" s="230"/>
      <c r="Q11" s="230"/>
      <c r="R11" s="229">
        <v>0</v>
      </c>
      <c r="T11">
        <f t="shared" si="0"/>
        <v>0</v>
      </c>
    </row>
    <row r="12" spans="1:20" x14ac:dyDescent="0.25">
      <c r="A12" s="229">
        <v>11</v>
      </c>
      <c r="B12" s="230" t="s">
        <v>43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0"/>
      <c r="N12" s="230"/>
      <c r="O12" s="230"/>
      <c r="P12" s="230"/>
      <c r="Q12" s="230"/>
      <c r="R12" s="229">
        <v>0</v>
      </c>
      <c r="T12">
        <f t="shared" si="0"/>
        <v>0</v>
      </c>
    </row>
    <row r="13" spans="1:20" x14ac:dyDescent="0.25">
      <c r="A13" s="229">
        <v>12</v>
      </c>
      <c r="B13" s="230" t="s">
        <v>639</v>
      </c>
      <c r="C13" s="230"/>
      <c r="D13" s="230"/>
      <c r="E13" s="230"/>
      <c r="F13" s="230"/>
      <c r="G13" s="230"/>
      <c r="H13" s="230"/>
      <c r="I13" s="230"/>
      <c r="J13" s="230"/>
      <c r="K13" s="230"/>
      <c r="L13" s="230"/>
      <c r="M13" s="230"/>
      <c r="N13" s="230"/>
      <c r="O13" s="230"/>
      <c r="P13" s="230"/>
      <c r="Q13" s="230"/>
      <c r="R13" s="229">
        <v>0</v>
      </c>
      <c r="T13">
        <f t="shared" si="0"/>
        <v>0</v>
      </c>
    </row>
    <row r="14" spans="1:20" x14ac:dyDescent="0.25">
      <c r="A14" s="229">
        <v>13</v>
      </c>
      <c r="B14" s="230" t="s">
        <v>87</v>
      </c>
      <c r="C14" s="230"/>
      <c r="D14" s="230"/>
      <c r="E14" s="230"/>
      <c r="F14" s="230"/>
      <c r="G14" s="230"/>
      <c r="H14" s="230"/>
      <c r="I14" s="230"/>
      <c r="J14" s="230"/>
      <c r="K14" s="230"/>
      <c r="L14" s="230"/>
      <c r="M14" s="230"/>
      <c r="N14" s="230"/>
      <c r="O14" s="230"/>
      <c r="P14" s="230"/>
      <c r="Q14" s="230"/>
      <c r="R14" s="229">
        <v>0</v>
      </c>
      <c r="T14">
        <f t="shared" si="0"/>
        <v>0</v>
      </c>
    </row>
    <row r="15" spans="1:20" x14ac:dyDescent="0.25">
      <c r="A15" s="229">
        <v>14</v>
      </c>
      <c r="B15" s="230" t="s">
        <v>95</v>
      </c>
      <c r="C15" s="230"/>
      <c r="D15" s="230"/>
      <c r="E15" s="230"/>
      <c r="F15" s="230"/>
      <c r="G15" s="230"/>
      <c r="H15" s="230"/>
      <c r="I15" s="230"/>
      <c r="J15" s="230"/>
      <c r="K15" s="230"/>
      <c r="L15" s="230"/>
      <c r="M15" s="230"/>
      <c r="N15" s="230"/>
      <c r="O15" s="230"/>
      <c r="P15" s="230"/>
      <c r="Q15" s="230"/>
      <c r="R15" s="229">
        <v>0</v>
      </c>
      <c r="T15">
        <f t="shared" si="0"/>
        <v>0</v>
      </c>
    </row>
    <row r="16" spans="1:20" x14ac:dyDescent="0.25">
      <c r="A16" s="229">
        <v>15</v>
      </c>
      <c r="B16" s="230" t="s">
        <v>96</v>
      </c>
      <c r="C16" s="230"/>
      <c r="D16" s="230"/>
      <c r="E16" s="230"/>
      <c r="F16" s="230"/>
      <c r="G16" s="230"/>
      <c r="H16" s="230"/>
      <c r="I16" s="230"/>
      <c r="J16" s="230"/>
      <c r="K16" s="230"/>
      <c r="L16" s="230"/>
      <c r="M16" s="230"/>
      <c r="N16" s="230"/>
      <c r="O16" s="230"/>
      <c r="P16" s="230"/>
      <c r="Q16" s="230"/>
      <c r="R16" s="229">
        <v>0</v>
      </c>
      <c r="T16">
        <f t="shared" si="0"/>
        <v>0</v>
      </c>
    </row>
    <row r="17" spans="1:20" x14ac:dyDescent="0.25">
      <c r="A17" s="229">
        <v>16</v>
      </c>
      <c r="B17" s="230" t="s">
        <v>97</v>
      </c>
      <c r="C17" s="230"/>
      <c r="D17" s="230"/>
      <c r="E17" s="230"/>
      <c r="F17" s="230"/>
      <c r="G17" s="230"/>
      <c r="H17" s="230"/>
      <c r="I17" s="230"/>
      <c r="J17" s="230"/>
      <c r="K17" s="230"/>
      <c r="L17" s="230"/>
      <c r="M17" s="230"/>
      <c r="N17" s="230"/>
      <c r="O17" s="230"/>
      <c r="P17" s="230"/>
      <c r="Q17" s="230"/>
      <c r="R17" s="229">
        <v>0</v>
      </c>
      <c r="T17">
        <f t="shared" si="0"/>
        <v>0</v>
      </c>
    </row>
    <row r="18" spans="1:20" x14ac:dyDescent="0.25">
      <c r="A18" s="229">
        <v>17</v>
      </c>
      <c r="B18" s="230" t="s">
        <v>98</v>
      </c>
      <c r="C18" s="230"/>
      <c r="D18" s="230"/>
      <c r="E18" s="230"/>
      <c r="F18" s="230"/>
      <c r="G18" s="230"/>
      <c r="H18" s="230"/>
      <c r="I18" s="230"/>
      <c r="J18" s="230"/>
      <c r="K18" s="230"/>
      <c r="L18" s="230"/>
      <c r="M18" s="230"/>
      <c r="N18" s="230"/>
      <c r="O18" s="230"/>
      <c r="P18" s="230"/>
      <c r="Q18" s="230"/>
      <c r="R18" s="229">
        <v>0</v>
      </c>
      <c r="T18">
        <f t="shared" si="0"/>
        <v>0</v>
      </c>
    </row>
    <row r="19" spans="1:20" x14ac:dyDescent="0.25">
      <c r="A19" s="229">
        <v>18</v>
      </c>
      <c r="B19" s="230" t="s">
        <v>616</v>
      </c>
      <c r="C19" s="230"/>
      <c r="D19" s="230"/>
      <c r="E19" s="230"/>
      <c r="F19" s="230"/>
      <c r="G19" s="230"/>
      <c r="H19" s="230"/>
      <c r="I19" s="230"/>
      <c r="J19" s="230"/>
      <c r="K19" s="230"/>
      <c r="L19" s="230"/>
      <c r="M19" s="230"/>
      <c r="N19" s="230"/>
      <c r="O19" s="230"/>
      <c r="P19" s="230"/>
      <c r="Q19" s="230"/>
      <c r="R19" s="229">
        <v>0</v>
      </c>
      <c r="T19">
        <f t="shared" si="0"/>
        <v>0</v>
      </c>
    </row>
    <row r="20" spans="1:20" x14ac:dyDescent="0.25">
      <c r="A20" s="229">
        <v>19</v>
      </c>
      <c r="B20" s="230" t="s">
        <v>617</v>
      </c>
      <c r="C20" s="230"/>
      <c r="D20" s="230"/>
      <c r="E20" s="230"/>
      <c r="F20" s="230"/>
      <c r="G20" s="230"/>
      <c r="H20" s="230"/>
      <c r="I20" s="230"/>
      <c r="J20" s="230" t="s">
        <v>54</v>
      </c>
      <c r="K20" s="230"/>
      <c r="L20" s="230"/>
      <c r="M20" s="230"/>
      <c r="N20" s="230"/>
      <c r="O20" s="230"/>
      <c r="P20" s="230"/>
      <c r="Q20" s="230"/>
      <c r="R20" s="231">
        <v>24</v>
      </c>
      <c r="T20">
        <f t="shared" si="0"/>
        <v>24</v>
      </c>
    </row>
    <row r="21" spans="1:20" x14ac:dyDescent="0.25">
      <c r="A21" s="229">
        <v>20</v>
      </c>
      <c r="B21" s="230" t="s">
        <v>626</v>
      </c>
      <c r="C21" s="230"/>
      <c r="D21" s="230"/>
      <c r="E21" s="230"/>
      <c r="F21" s="230"/>
      <c r="G21" s="230"/>
      <c r="H21" s="230"/>
      <c r="I21" s="230"/>
      <c r="J21" s="230"/>
      <c r="K21" s="230"/>
      <c r="L21" s="230"/>
      <c r="M21" s="230"/>
      <c r="N21" s="230"/>
      <c r="O21" s="230"/>
      <c r="P21" s="230"/>
      <c r="Q21" s="230"/>
      <c r="R21" s="229">
        <v>0</v>
      </c>
      <c r="T21">
        <f t="shared" si="0"/>
        <v>0</v>
      </c>
    </row>
    <row r="22" spans="1:20" x14ac:dyDescent="0.25">
      <c r="A22" s="229">
        <v>21</v>
      </c>
      <c r="B22" s="230" t="s">
        <v>618</v>
      </c>
      <c r="C22" s="230"/>
      <c r="D22" s="230"/>
      <c r="E22" s="230"/>
      <c r="F22" s="230"/>
      <c r="G22" s="230"/>
      <c r="H22" s="230"/>
      <c r="I22" s="230"/>
      <c r="J22" s="230" t="s">
        <v>54</v>
      </c>
      <c r="K22" s="230"/>
      <c r="L22" s="230"/>
      <c r="M22" s="230"/>
      <c r="N22" s="230"/>
      <c r="O22" s="230"/>
      <c r="P22" s="230"/>
      <c r="Q22" s="230"/>
      <c r="R22" s="231">
        <v>24</v>
      </c>
      <c r="T22">
        <f t="shared" si="0"/>
        <v>24</v>
      </c>
    </row>
    <row r="23" spans="1:20" x14ac:dyDescent="0.25">
      <c r="A23" s="229">
        <v>22</v>
      </c>
      <c r="B23" s="230" t="s">
        <v>619</v>
      </c>
      <c r="C23" s="230"/>
      <c r="D23" s="230"/>
      <c r="E23" s="230"/>
      <c r="F23" s="230"/>
      <c r="G23" s="230"/>
      <c r="H23" s="230"/>
      <c r="I23" s="230"/>
      <c r="J23" s="230"/>
      <c r="K23" s="230"/>
      <c r="L23" s="230"/>
      <c r="M23" s="230"/>
      <c r="N23" s="230"/>
      <c r="O23" s="230"/>
      <c r="P23" s="230"/>
      <c r="Q23" s="230"/>
      <c r="R23" s="229">
        <v>0</v>
      </c>
      <c r="T23">
        <f t="shared" si="0"/>
        <v>0</v>
      </c>
    </row>
    <row r="24" spans="1:20" x14ac:dyDescent="0.25">
      <c r="A24" s="229">
        <v>23</v>
      </c>
      <c r="B24" s="230" t="s">
        <v>620</v>
      </c>
      <c r="C24" s="230"/>
      <c r="D24" s="230"/>
      <c r="E24" s="230"/>
      <c r="F24" s="230"/>
      <c r="G24" s="230"/>
      <c r="H24" s="230"/>
      <c r="I24" s="230"/>
      <c r="J24" s="230"/>
      <c r="K24" s="230"/>
      <c r="L24" s="230"/>
      <c r="M24" s="230"/>
      <c r="N24" s="230"/>
      <c r="O24" s="230"/>
      <c r="P24" s="230"/>
      <c r="Q24" s="230"/>
      <c r="R24" s="229">
        <v>0</v>
      </c>
      <c r="T24">
        <f t="shared" si="0"/>
        <v>0</v>
      </c>
    </row>
    <row r="25" spans="1:20" x14ac:dyDescent="0.25">
      <c r="A25" s="229">
        <v>24</v>
      </c>
      <c r="B25" s="230" t="s">
        <v>650</v>
      </c>
      <c r="C25" s="230"/>
      <c r="D25" s="230"/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  <c r="Q25" s="230"/>
      <c r="R25" s="229">
        <v>0</v>
      </c>
      <c r="T25">
        <f t="shared" si="0"/>
        <v>0</v>
      </c>
    </row>
    <row r="26" spans="1:20" x14ac:dyDescent="0.25">
      <c r="A26" s="229">
        <v>25</v>
      </c>
      <c r="B26" s="230" t="s">
        <v>621</v>
      </c>
      <c r="C26" s="230"/>
      <c r="D26" s="230"/>
      <c r="E26" s="230"/>
      <c r="F26" s="230"/>
      <c r="G26" s="230"/>
      <c r="H26" s="230"/>
      <c r="I26" s="230"/>
      <c r="J26" s="230"/>
      <c r="K26" s="230"/>
      <c r="L26" s="230"/>
      <c r="M26" s="230"/>
      <c r="N26" s="230"/>
      <c r="O26" s="230"/>
      <c r="P26" s="230"/>
      <c r="Q26" s="230"/>
      <c r="R26" s="229">
        <v>0</v>
      </c>
      <c r="T26">
        <f t="shared" si="0"/>
        <v>0</v>
      </c>
    </row>
    <row r="27" spans="1:20" x14ac:dyDescent="0.25">
      <c r="A27" s="229">
        <v>26</v>
      </c>
      <c r="B27" s="230" t="s">
        <v>622</v>
      </c>
      <c r="C27" s="230"/>
      <c r="D27" s="230"/>
      <c r="E27" s="230"/>
      <c r="F27" s="230"/>
      <c r="G27" s="230"/>
      <c r="H27" s="230"/>
      <c r="I27" s="230"/>
      <c r="J27" s="230"/>
      <c r="K27" s="230"/>
      <c r="L27" s="230"/>
      <c r="M27" s="230"/>
      <c r="N27" s="230"/>
      <c r="O27" s="230"/>
      <c r="P27" s="230"/>
      <c r="Q27" s="230"/>
      <c r="R27" s="229">
        <v>0</v>
      </c>
      <c r="T27">
        <f t="shared" si="0"/>
        <v>0</v>
      </c>
    </row>
    <row r="28" spans="1:20" x14ac:dyDescent="0.25">
      <c r="A28" s="229">
        <v>27</v>
      </c>
      <c r="B28" s="230" t="s">
        <v>623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0"/>
      <c r="M28" s="230"/>
      <c r="N28" s="230"/>
      <c r="O28" s="230"/>
      <c r="P28" s="230"/>
      <c r="Q28" s="230"/>
      <c r="R28" s="229">
        <v>0</v>
      </c>
      <c r="T28">
        <f t="shared" si="0"/>
        <v>0</v>
      </c>
    </row>
    <row r="29" spans="1:20" x14ac:dyDescent="0.25">
      <c r="A29" s="229">
        <v>28</v>
      </c>
      <c r="B29" s="230" t="s">
        <v>624</v>
      </c>
      <c r="C29" s="230"/>
      <c r="D29" s="230"/>
      <c r="E29" s="230"/>
      <c r="F29" s="230"/>
      <c r="G29" s="230"/>
      <c r="H29" s="230"/>
      <c r="I29" s="230"/>
      <c r="J29" s="230"/>
      <c r="K29" s="230"/>
      <c r="L29" s="230"/>
      <c r="M29" s="230"/>
      <c r="N29" s="230"/>
      <c r="O29" s="230"/>
      <c r="P29" s="230"/>
      <c r="Q29" s="230"/>
      <c r="R29" s="229">
        <v>0</v>
      </c>
      <c r="T29">
        <f t="shared" si="0"/>
        <v>0</v>
      </c>
    </row>
    <row r="30" spans="1:20" x14ac:dyDescent="0.25">
      <c r="A30" s="229">
        <v>29</v>
      </c>
      <c r="B30" s="230" t="s">
        <v>627</v>
      </c>
      <c r="C30" s="230"/>
      <c r="D30" s="230"/>
      <c r="E30" s="230"/>
      <c r="F30" s="230"/>
      <c r="G30" s="230"/>
      <c r="H30" s="230"/>
      <c r="I30" s="230"/>
      <c r="J30" s="230"/>
      <c r="K30" s="230"/>
      <c r="L30" s="230"/>
      <c r="M30" s="230"/>
      <c r="N30" s="230"/>
      <c r="O30" s="230"/>
      <c r="P30" s="230"/>
      <c r="Q30" s="230"/>
      <c r="R30" s="229">
        <v>0</v>
      </c>
      <c r="T30">
        <f t="shared" si="0"/>
        <v>0</v>
      </c>
    </row>
    <row r="31" spans="1:20" x14ac:dyDescent="0.25">
      <c r="A31" s="229">
        <v>30</v>
      </c>
      <c r="B31" s="230" t="s">
        <v>625</v>
      </c>
      <c r="C31" s="230"/>
      <c r="D31" s="230"/>
      <c r="E31" s="230"/>
      <c r="F31" s="230"/>
      <c r="G31" s="230"/>
      <c r="H31" s="230"/>
      <c r="I31" s="230"/>
      <c r="J31" s="230"/>
      <c r="K31" s="230"/>
      <c r="L31" s="230"/>
      <c r="M31" s="230"/>
      <c r="N31" s="230"/>
      <c r="O31" s="230"/>
      <c r="P31" s="230"/>
      <c r="Q31" s="230"/>
      <c r="R31" s="229">
        <v>0</v>
      </c>
      <c r="T31">
        <f t="shared" si="0"/>
        <v>0</v>
      </c>
    </row>
    <row r="32" spans="1:20" x14ac:dyDescent="0.25">
      <c r="A32" s="229">
        <v>31</v>
      </c>
      <c r="B32" s="230" t="s">
        <v>34</v>
      </c>
      <c r="C32" s="230"/>
      <c r="D32" s="230"/>
      <c r="E32" s="230"/>
      <c r="F32" s="230"/>
      <c r="G32" s="230"/>
      <c r="H32" s="230"/>
      <c r="I32" s="230"/>
      <c r="J32" s="230"/>
      <c r="K32" s="230"/>
      <c r="L32" s="230"/>
      <c r="M32" s="230"/>
      <c r="N32" s="230"/>
      <c r="O32" s="230"/>
      <c r="P32" s="230"/>
      <c r="Q32" s="230"/>
      <c r="R32" s="229">
        <v>0</v>
      </c>
      <c r="T32">
        <f t="shared" si="0"/>
        <v>0</v>
      </c>
    </row>
    <row r="33" spans="1:20" x14ac:dyDescent="0.25">
      <c r="A33" s="229">
        <v>32</v>
      </c>
      <c r="B33" s="230" t="s">
        <v>45</v>
      </c>
      <c r="C33" s="230"/>
      <c r="D33" s="230"/>
      <c r="E33" s="230"/>
      <c r="F33" s="230"/>
      <c r="G33" s="230"/>
      <c r="H33" s="230"/>
      <c r="I33" s="230"/>
      <c r="J33" s="230"/>
      <c r="K33" s="230"/>
      <c r="L33" s="230"/>
      <c r="M33" s="230"/>
      <c r="N33" s="230"/>
      <c r="O33" s="230"/>
      <c r="P33" s="230"/>
      <c r="Q33" s="230"/>
      <c r="R33" s="229">
        <v>0</v>
      </c>
      <c r="T33">
        <f t="shared" si="0"/>
        <v>0</v>
      </c>
    </row>
    <row r="34" spans="1:20" x14ac:dyDescent="0.25">
      <c r="A34" s="229">
        <v>33</v>
      </c>
      <c r="B34" s="230" t="s">
        <v>630</v>
      </c>
      <c r="C34" s="230"/>
      <c r="D34" s="230"/>
      <c r="E34" s="230"/>
      <c r="F34" s="230"/>
      <c r="G34" s="230"/>
      <c r="H34" s="230"/>
      <c r="I34" s="230"/>
      <c r="J34" s="230"/>
      <c r="K34" s="230"/>
      <c r="L34" s="230"/>
      <c r="M34" s="230"/>
      <c r="N34" s="230"/>
      <c r="O34" s="230"/>
      <c r="P34" s="230"/>
      <c r="Q34" s="230"/>
      <c r="R34" s="229">
        <v>0</v>
      </c>
      <c r="T34">
        <f t="shared" si="0"/>
        <v>0</v>
      </c>
    </row>
    <row r="35" spans="1:20" x14ac:dyDescent="0.25">
      <c r="A35" s="229">
        <v>34</v>
      </c>
      <c r="B35" s="230" t="s">
        <v>628</v>
      </c>
      <c r="C35" s="230"/>
      <c r="D35" s="230"/>
      <c r="E35" s="230"/>
      <c r="F35" s="230"/>
      <c r="G35" s="230"/>
      <c r="H35" s="230"/>
      <c r="I35" s="230"/>
      <c r="J35" s="230"/>
      <c r="K35" s="230"/>
      <c r="L35" s="230"/>
      <c r="M35" s="230"/>
      <c r="N35" s="230"/>
      <c r="O35" s="230"/>
      <c r="P35" s="230"/>
      <c r="Q35" s="230"/>
      <c r="R35" s="229">
        <v>0</v>
      </c>
      <c r="T35">
        <f t="shared" si="0"/>
        <v>0</v>
      </c>
    </row>
    <row r="36" spans="1:20" x14ac:dyDescent="0.25">
      <c r="A36" s="229">
        <v>35</v>
      </c>
      <c r="B36" s="230" t="s">
        <v>629</v>
      </c>
      <c r="C36" s="230"/>
      <c r="D36" s="230"/>
      <c r="E36" s="230"/>
      <c r="F36" s="230"/>
      <c r="G36" s="230"/>
      <c r="H36" s="230"/>
      <c r="I36" s="230"/>
      <c r="J36" s="230"/>
      <c r="K36" s="230"/>
      <c r="L36" s="230"/>
      <c r="M36" s="230"/>
      <c r="N36" s="230"/>
      <c r="O36" s="230"/>
      <c r="P36" s="230"/>
      <c r="Q36" s="230"/>
      <c r="R36" s="229">
        <v>0</v>
      </c>
      <c r="T36">
        <f t="shared" si="0"/>
        <v>0</v>
      </c>
    </row>
    <row r="37" spans="1:20" x14ac:dyDescent="0.25">
      <c r="A37" s="229">
        <v>36</v>
      </c>
      <c r="B37" s="230" t="s">
        <v>631</v>
      </c>
      <c r="C37" s="230"/>
      <c r="D37" s="230"/>
      <c r="E37" s="230"/>
      <c r="F37" s="230"/>
      <c r="G37" s="230"/>
      <c r="H37" s="230"/>
      <c r="I37" s="230"/>
      <c r="J37" s="230"/>
      <c r="K37" s="230"/>
      <c r="L37" s="230"/>
      <c r="M37" s="230"/>
      <c r="N37" s="230"/>
      <c r="O37" s="230"/>
      <c r="P37" s="230"/>
      <c r="Q37" s="230"/>
      <c r="R37" s="229">
        <v>0</v>
      </c>
      <c r="T37">
        <f t="shared" si="0"/>
        <v>0</v>
      </c>
    </row>
    <row r="38" spans="1:20" x14ac:dyDescent="0.25">
      <c r="A38" s="229">
        <v>37</v>
      </c>
      <c r="B38" s="230" t="s">
        <v>632</v>
      </c>
      <c r="C38" s="230"/>
      <c r="D38" s="230"/>
      <c r="E38" s="230"/>
      <c r="F38" s="230"/>
      <c r="G38" s="230"/>
      <c r="H38" s="230"/>
      <c r="I38" s="230"/>
      <c r="J38" s="230"/>
      <c r="K38" s="230"/>
      <c r="L38" s="230"/>
      <c r="M38" s="230"/>
      <c r="N38" s="230"/>
      <c r="O38" s="230"/>
      <c r="P38" s="230"/>
      <c r="Q38" s="230"/>
      <c r="R38" s="229">
        <v>0</v>
      </c>
      <c r="T38">
        <f t="shared" si="0"/>
        <v>0</v>
      </c>
    </row>
    <row r="39" spans="1:20" x14ac:dyDescent="0.25">
      <c r="A39" s="229">
        <v>38</v>
      </c>
      <c r="B39" s="230" t="s">
        <v>633</v>
      </c>
      <c r="C39" s="230"/>
      <c r="D39" s="230"/>
      <c r="E39" s="230"/>
      <c r="F39" s="230"/>
      <c r="G39" s="230"/>
      <c r="H39" s="230"/>
      <c r="I39" s="230"/>
      <c r="J39" s="230"/>
      <c r="K39" s="230"/>
      <c r="L39" s="230"/>
      <c r="M39" s="230"/>
      <c r="N39" s="230"/>
      <c r="O39" s="230"/>
      <c r="P39" s="230"/>
      <c r="Q39" s="230"/>
      <c r="R39" s="229">
        <v>0</v>
      </c>
      <c r="T39">
        <f t="shared" si="0"/>
        <v>0</v>
      </c>
    </row>
    <row r="40" spans="1:20" x14ac:dyDescent="0.25">
      <c r="A40" s="229">
        <v>39</v>
      </c>
      <c r="B40" s="230" t="s">
        <v>634</v>
      </c>
      <c r="C40" s="230"/>
      <c r="D40" s="230"/>
      <c r="E40" s="230"/>
      <c r="F40" s="230"/>
      <c r="G40" s="230"/>
      <c r="H40" s="230"/>
      <c r="I40" s="230"/>
      <c r="J40" s="230"/>
      <c r="K40" s="230"/>
      <c r="L40" s="230"/>
      <c r="M40" s="230"/>
      <c r="N40" s="230"/>
      <c r="O40" s="230"/>
      <c r="P40" s="230"/>
      <c r="Q40" s="230"/>
      <c r="R40" s="229">
        <v>0</v>
      </c>
      <c r="T40">
        <f t="shared" si="0"/>
        <v>0</v>
      </c>
    </row>
    <row r="41" spans="1:20" x14ac:dyDescent="0.25">
      <c r="A41" s="229">
        <v>40</v>
      </c>
      <c r="B41" s="230" t="s">
        <v>636</v>
      </c>
      <c r="C41" s="230"/>
      <c r="D41" s="230"/>
      <c r="E41" s="230"/>
      <c r="F41" s="230"/>
      <c r="G41" s="230"/>
      <c r="H41" s="230"/>
      <c r="I41" s="230"/>
      <c r="J41" s="230"/>
      <c r="K41" s="230"/>
      <c r="L41" s="230"/>
      <c r="M41" s="230"/>
      <c r="N41" s="230"/>
      <c r="O41" s="230"/>
      <c r="P41" s="230"/>
      <c r="Q41" s="230"/>
      <c r="R41" s="229">
        <v>0</v>
      </c>
      <c r="T41">
        <f t="shared" si="0"/>
        <v>0</v>
      </c>
    </row>
    <row r="42" spans="1:20" x14ac:dyDescent="0.25">
      <c r="A42" s="229">
        <v>41</v>
      </c>
      <c r="B42" s="230" t="s">
        <v>637</v>
      </c>
      <c r="C42" s="230"/>
      <c r="D42" s="230"/>
      <c r="E42" s="230"/>
      <c r="F42" s="230"/>
      <c r="G42" s="230"/>
      <c r="H42" s="230"/>
      <c r="I42" s="230"/>
      <c r="J42" s="230"/>
      <c r="K42" s="230"/>
      <c r="L42" s="230"/>
      <c r="M42" s="230"/>
      <c r="N42" s="230"/>
      <c r="O42" s="230"/>
      <c r="P42" s="230"/>
      <c r="Q42" s="230"/>
      <c r="R42" s="229">
        <v>0</v>
      </c>
      <c r="T42">
        <f t="shared" si="0"/>
        <v>0</v>
      </c>
    </row>
    <row r="43" spans="1:20" x14ac:dyDescent="0.25">
      <c r="A43" s="229">
        <v>42</v>
      </c>
      <c r="B43" s="230" t="s">
        <v>640</v>
      </c>
      <c r="C43" s="230"/>
      <c r="D43" s="230"/>
      <c r="E43" s="230"/>
      <c r="F43" s="230"/>
      <c r="G43" s="230"/>
      <c r="H43" s="230"/>
      <c r="I43" s="230"/>
      <c r="J43" s="230"/>
      <c r="K43" s="230"/>
      <c r="L43" s="230"/>
      <c r="M43" s="230"/>
      <c r="N43" s="230"/>
      <c r="O43" s="230"/>
      <c r="P43" s="230"/>
      <c r="Q43" s="230"/>
      <c r="R43" s="229">
        <v>0</v>
      </c>
      <c r="T43">
        <f t="shared" si="0"/>
        <v>0</v>
      </c>
    </row>
    <row r="44" spans="1:20" x14ac:dyDescent="0.25">
      <c r="A44" s="229">
        <v>43</v>
      </c>
      <c r="B44" s="230" t="s">
        <v>638</v>
      </c>
      <c r="C44" s="230"/>
      <c r="D44" s="230"/>
      <c r="E44" s="230"/>
      <c r="F44" s="230"/>
      <c r="G44" s="230"/>
      <c r="H44" s="230"/>
      <c r="I44" s="230"/>
      <c r="J44" s="230"/>
      <c r="K44" s="230"/>
      <c r="L44" s="230"/>
      <c r="M44" s="230"/>
      <c r="N44" s="230"/>
      <c r="O44" s="230"/>
      <c r="P44" s="230"/>
      <c r="Q44" s="230"/>
      <c r="R44" s="229">
        <v>0</v>
      </c>
      <c r="T44">
        <f t="shared" si="0"/>
        <v>0</v>
      </c>
    </row>
    <row r="45" spans="1:20" x14ac:dyDescent="0.25">
      <c r="A45" s="229">
        <v>44</v>
      </c>
      <c r="B45" s="230" t="s">
        <v>635</v>
      </c>
      <c r="C45" s="230"/>
      <c r="D45" s="230"/>
      <c r="E45" s="230"/>
      <c r="F45" s="230"/>
      <c r="G45" s="230"/>
      <c r="H45" s="230"/>
      <c r="I45" s="230"/>
      <c r="J45" s="230"/>
      <c r="K45" s="230"/>
      <c r="L45" s="230"/>
      <c r="M45" s="230"/>
      <c r="N45" s="230"/>
      <c r="O45" s="230"/>
      <c r="P45" s="230"/>
      <c r="Q45" s="230"/>
      <c r="R45" s="229">
        <v>0</v>
      </c>
      <c r="T45">
        <f t="shared" si="0"/>
        <v>0</v>
      </c>
    </row>
    <row r="46" spans="1:20" x14ac:dyDescent="0.25">
      <c r="A46" s="229">
        <v>45</v>
      </c>
      <c r="B46" s="230" t="s">
        <v>641</v>
      </c>
      <c r="C46" s="230"/>
      <c r="D46" s="230"/>
      <c r="E46" s="230"/>
      <c r="F46" s="230"/>
      <c r="G46" s="230"/>
      <c r="H46" s="230"/>
      <c r="I46" s="230"/>
      <c r="J46" s="230"/>
      <c r="K46" s="230"/>
      <c r="L46" s="230"/>
      <c r="M46" s="230"/>
      <c r="N46" s="230"/>
      <c r="O46" s="230"/>
      <c r="P46" s="230"/>
      <c r="Q46" s="230"/>
      <c r="R46" s="229">
        <v>0</v>
      </c>
      <c r="T46">
        <f t="shared" si="0"/>
        <v>0</v>
      </c>
    </row>
    <row r="47" spans="1:20" x14ac:dyDescent="0.25">
      <c r="A47" s="229">
        <v>46</v>
      </c>
      <c r="B47" s="230" t="s">
        <v>649</v>
      </c>
      <c r="C47" s="230"/>
      <c r="D47" s="230"/>
      <c r="E47" s="230"/>
      <c r="F47" s="230"/>
      <c r="G47" s="230"/>
      <c r="H47" s="230"/>
      <c r="I47" s="230"/>
      <c r="J47" s="230"/>
      <c r="K47" s="230"/>
      <c r="L47" s="230"/>
      <c r="M47" s="230"/>
      <c r="N47" s="230"/>
      <c r="O47" s="230"/>
      <c r="P47" s="230"/>
      <c r="Q47" s="230"/>
      <c r="R47" s="229">
        <v>0</v>
      </c>
      <c r="T47">
        <f t="shared" si="0"/>
        <v>0</v>
      </c>
    </row>
    <row r="48" spans="1:20" x14ac:dyDescent="0.25">
      <c r="A48" s="229">
        <v>47</v>
      </c>
      <c r="B48" s="230" t="s">
        <v>642</v>
      </c>
      <c r="C48" s="230"/>
      <c r="D48" s="230"/>
      <c r="E48" s="230"/>
      <c r="F48" s="230"/>
      <c r="G48" s="230"/>
      <c r="H48" s="230"/>
      <c r="I48" s="230"/>
      <c r="J48" s="230"/>
      <c r="K48" s="230"/>
      <c r="L48" s="230"/>
      <c r="M48" s="230"/>
      <c r="N48" s="230"/>
      <c r="O48" s="230"/>
      <c r="P48" s="230"/>
      <c r="Q48" s="230"/>
      <c r="R48" s="229">
        <v>0</v>
      </c>
      <c r="T48">
        <f t="shared" si="0"/>
        <v>0</v>
      </c>
    </row>
    <row r="49" spans="1:20" x14ac:dyDescent="0.25">
      <c r="A49" s="229">
        <v>48</v>
      </c>
      <c r="B49" s="230" t="s">
        <v>643</v>
      </c>
      <c r="C49" s="230"/>
      <c r="D49" s="230"/>
      <c r="E49" s="230"/>
      <c r="F49" s="230"/>
      <c r="G49" s="230"/>
      <c r="H49" s="230"/>
      <c r="I49" s="230"/>
      <c r="J49" s="230"/>
      <c r="K49" s="230"/>
      <c r="L49" s="230"/>
      <c r="M49" s="230"/>
      <c r="N49" s="230"/>
      <c r="O49" s="230"/>
      <c r="P49" s="230"/>
      <c r="Q49" s="230"/>
      <c r="R49" s="229">
        <v>0</v>
      </c>
      <c r="T49">
        <f t="shared" si="0"/>
        <v>0</v>
      </c>
    </row>
    <row r="50" spans="1:20" x14ac:dyDescent="0.25">
      <c r="A50" s="229">
        <v>49</v>
      </c>
      <c r="B50" s="230" t="s">
        <v>644</v>
      </c>
      <c r="C50" s="230"/>
      <c r="D50" s="230"/>
      <c r="E50" s="230"/>
      <c r="F50" s="230"/>
      <c r="G50" s="230"/>
      <c r="H50" s="230"/>
      <c r="I50" s="230"/>
      <c r="J50" s="230"/>
      <c r="K50" s="230"/>
      <c r="L50" s="230"/>
      <c r="M50" s="230"/>
      <c r="N50" s="230"/>
      <c r="O50" s="230"/>
      <c r="P50" s="230"/>
      <c r="Q50" s="230"/>
      <c r="R50" s="229">
        <v>0</v>
      </c>
      <c r="T50">
        <f t="shared" si="0"/>
        <v>0</v>
      </c>
    </row>
    <row r="51" spans="1:20" x14ac:dyDescent="0.25">
      <c r="A51" s="229">
        <v>50</v>
      </c>
      <c r="B51" s="230" t="s">
        <v>646</v>
      </c>
      <c r="C51" s="230"/>
      <c r="D51" s="230"/>
      <c r="E51" s="230"/>
      <c r="F51" s="230"/>
      <c r="G51" s="230"/>
      <c r="H51" s="230"/>
      <c r="I51" s="230"/>
      <c r="J51" s="230"/>
      <c r="K51" s="230"/>
      <c r="L51" s="230"/>
      <c r="M51" s="230"/>
      <c r="N51" s="230"/>
      <c r="O51" s="230"/>
      <c r="P51" s="230"/>
      <c r="Q51" s="230"/>
      <c r="R51" s="229">
        <v>0</v>
      </c>
      <c r="T51">
        <f t="shared" si="0"/>
        <v>0</v>
      </c>
    </row>
    <row r="52" spans="1:20" x14ac:dyDescent="0.25">
      <c r="A52" s="229">
        <v>51</v>
      </c>
      <c r="B52" s="230" t="s">
        <v>647</v>
      </c>
      <c r="C52" s="230"/>
      <c r="D52" s="230"/>
      <c r="E52" s="230"/>
      <c r="F52" s="230"/>
      <c r="G52" s="230"/>
      <c r="H52" s="230"/>
      <c r="I52" s="230"/>
      <c r="J52" s="230"/>
      <c r="K52" s="230"/>
      <c r="L52" s="230"/>
      <c r="M52" s="230"/>
      <c r="N52" s="230"/>
      <c r="O52" s="230"/>
      <c r="P52" s="230"/>
      <c r="Q52" s="230"/>
      <c r="R52" s="229">
        <v>0</v>
      </c>
      <c r="T52">
        <f t="shared" si="0"/>
        <v>0</v>
      </c>
    </row>
    <row r="53" spans="1:20" x14ac:dyDescent="0.25">
      <c r="A53" s="229">
        <v>52</v>
      </c>
      <c r="B53" s="230" t="s">
        <v>652</v>
      </c>
      <c r="C53" s="230"/>
      <c r="D53" s="230"/>
      <c r="E53" s="230"/>
      <c r="F53" s="230"/>
      <c r="G53" s="230"/>
      <c r="H53" s="230"/>
      <c r="I53" s="230"/>
      <c r="J53" s="230"/>
      <c r="K53" s="230"/>
      <c r="L53" s="230"/>
      <c r="M53" s="230"/>
      <c r="N53" s="230"/>
      <c r="O53" s="230"/>
      <c r="P53" s="230"/>
      <c r="Q53" s="230"/>
      <c r="R53" s="229">
        <v>0</v>
      </c>
      <c r="T53">
        <f t="shared" si="0"/>
        <v>0</v>
      </c>
    </row>
    <row r="54" spans="1:20" x14ac:dyDescent="0.25">
      <c r="A54" s="229">
        <v>53</v>
      </c>
      <c r="B54" s="230" t="s">
        <v>653</v>
      </c>
      <c r="C54" s="230"/>
      <c r="D54" s="230"/>
      <c r="E54" s="230"/>
      <c r="F54" s="230"/>
      <c r="G54" s="230"/>
      <c r="H54" s="230"/>
      <c r="I54" s="230"/>
      <c r="J54" s="230"/>
      <c r="K54" s="230"/>
      <c r="L54" s="230"/>
      <c r="M54" s="230"/>
      <c r="N54" s="230"/>
      <c r="O54" s="230"/>
      <c r="P54" s="230"/>
      <c r="Q54" s="230"/>
      <c r="R54" s="229">
        <v>0</v>
      </c>
      <c r="T54">
        <f t="shared" si="0"/>
        <v>0</v>
      </c>
    </row>
    <row r="55" spans="1:20" x14ac:dyDescent="0.25">
      <c r="A55" s="229">
        <v>54</v>
      </c>
      <c r="B55" s="230" t="s">
        <v>654</v>
      </c>
      <c r="C55" s="230"/>
      <c r="D55" s="230"/>
      <c r="E55" s="230"/>
      <c r="F55" s="230"/>
      <c r="G55" s="230"/>
      <c r="H55" s="230"/>
      <c r="I55" s="230"/>
      <c r="J55" s="230"/>
      <c r="K55" s="230"/>
      <c r="L55" s="230"/>
      <c r="M55" s="230"/>
      <c r="N55" s="230"/>
      <c r="O55" s="230"/>
      <c r="P55" s="230"/>
      <c r="Q55" s="230"/>
      <c r="R55" s="229">
        <v>0</v>
      </c>
      <c r="T55">
        <f t="shared" si="0"/>
        <v>0</v>
      </c>
    </row>
    <row r="56" spans="1:20" x14ac:dyDescent="0.25">
      <c r="A56" s="229">
        <v>55</v>
      </c>
      <c r="B56" s="230" t="s">
        <v>655</v>
      </c>
      <c r="C56" s="230"/>
      <c r="D56" s="230"/>
      <c r="E56" s="230"/>
      <c r="F56" s="230"/>
      <c r="G56" s="230"/>
      <c r="H56" s="230"/>
      <c r="I56" s="230"/>
      <c r="J56" s="230"/>
      <c r="K56" s="230"/>
      <c r="L56" s="230"/>
      <c r="M56" s="230"/>
      <c r="N56" s="230"/>
      <c r="O56" s="230"/>
      <c r="P56" s="230"/>
      <c r="Q56" s="230"/>
      <c r="R56" s="229">
        <v>0</v>
      </c>
      <c r="T56">
        <f t="shared" si="0"/>
        <v>0</v>
      </c>
    </row>
    <row r="57" spans="1:20" x14ac:dyDescent="0.25">
      <c r="A57" s="229">
        <v>56</v>
      </c>
      <c r="B57" s="230" t="s">
        <v>656</v>
      </c>
      <c r="C57" s="230"/>
      <c r="D57" s="230"/>
      <c r="E57" s="230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29">
        <v>0</v>
      </c>
      <c r="T57">
        <f t="shared" si="0"/>
        <v>0</v>
      </c>
    </row>
    <row r="58" spans="1:20" x14ac:dyDescent="0.25">
      <c r="A58" s="229">
        <v>57</v>
      </c>
      <c r="B58" s="230" t="s">
        <v>657</v>
      </c>
      <c r="C58" s="230"/>
      <c r="D58" s="230"/>
      <c r="E58" s="230"/>
      <c r="F58" s="230"/>
      <c r="G58" s="230"/>
      <c r="H58" s="230"/>
      <c r="I58" s="230"/>
      <c r="J58" s="230"/>
      <c r="K58" s="230"/>
      <c r="L58" s="230"/>
      <c r="M58" s="230"/>
      <c r="N58" s="230"/>
      <c r="O58" s="230"/>
      <c r="P58" s="230"/>
      <c r="Q58" s="230"/>
      <c r="R58" s="229">
        <v>0</v>
      </c>
      <c r="T58">
        <f t="shared" si="0"/>
        <v>0</v>
      </c>
    </row>
    <row r="59" spans="1:20" x14ac:dyDescent="0.25">
      <c r="A59" s="229">
        <v>58</v>
      </c>
      <c r="B59" s="230" t="s">
        <v>658</v>
      </c>
      <c r="C59" s="230"/>
      <c r="D59" s="230"/>
      <c r="E59" s="230"/>
      <c r="F59" s="230"/>
      <c r="G59" s="230"/>
      <c r="H59" s="230"/>
      <c r="I59" s="230"/>
      <c r="J59" s="230"/>
      <c r="K59" s="230"/>
      <c r="L59" s="230"/>
      <c r="M59" s="230"/>
      <c r="N59" s="230"/>
      <c r="O59" s="230"/>
      <c r="P59" s="230"/>
      <c r="Q59" s="230"/>
      <c r="R59" s="229">
        <v>0</v>
      </c>
      <c r="T59">
        <f t="shared" si="0"/>
        <v>0</v>
      </c>
    </row>
    <row r="60" spans="1:20" x14ac:dyDescent="0.25">
      <c r="A60" s="229">
        <v>59</v>
      </c>
      <c r="B60" s="230" t="s">
        <v>659</v>
      </c>
      <c r="C60" s="230"/>
      <c r="D60" s="230"/>
      <c r="E60" s="230"/>
      <c r="F60" s="230"/>
      <c r="G60" s="230"/>
      <c r="H60" s="230"/>
      <c r="I60" s="230"/>
      <c r="J60" s="230" t="s">
        <v>54</v>
      </c>
      <c r="K60" s="230"/>
      <c r="L60" s="230"/>
      <c r="M60" s="230"/>
      <c r="N60" s="230"/>
      <c r="O60" s="230"/>
      <c r="P60" s="230"/>
      <c r="Q60" s="230"/>
      <c r="R60" s="231">
        <v>24</v>
      </c>
      <c r="T60">
        <f t="shared" si="0"/>
        <v>24</v>
      </c>
    </row>
    <row r="61" spans="1:20" x14ac:dyDescent="0.25">
      <c r="A61" s="229">
        <v>60</v>
      </c>
      <c r="B61" s="230" t="s">
        <v>660</v>
      </c>
      <c r="C61" s="230"/>
      <c r="D61" s="230"/>
      <c r="E61" s="230"/>
      <c r="F61" s="230"/>
      <c r="G61" s="230"/>
      <c r="H61" s="230"/>
      <c r="I61" s="230"/>
      <c r="J61" s="230" t="s">
        <v>54</v>
      </c>
      <c r="K61" s="230"/>
      <c r="L61" s="230"/>
      <c r="M61" s="230"/>
      <c r="N61" s="230"/>
      <c r="O61" s="230"/>
      <c r="P61" s="230"/>
      <c r="Q61" s="230"/>
      <c r="R61" s="231">
        <v>24</v>
      </c>
      <c r="T61">
        <f t="shared" si="0"/>
        <v>24</v>
      </c>
    </row>
    <row r="62" spans="1:20" x14ac:dyDescent="0.25">
      <c r="A62" s="229">
        <v>61</v>
      </c>
      <c r="B62" s="230" t="s">
        <v>661</v>
      </c>
      <c r="C62" s="230"/>
      <c r="D62" s="230"/>
      <c r="E62" s="230"/>
      <c r="F62" s="230"/>
      <c r="G62" s="230"/>
      <c r="H62" s="230"/>
      <c r="I62" s="230"/>
      <c r="J62" s="230"/>
      <c r="K62" s="230"/>
      <c r="L62" s="230"/>
      <c r="M62" s="230"/>
      <c r="N62" s="230"/>
      <c r="O62" s="230"/>
      <c r="P62" s="230"/>
      <c r="Q62" s="230"/>
      <c r="R62" s="229">
        <v>0</v>
      </c>
      <c r="T62">
        <f t="shared" si="0"/>
        <v>0</v>
      </c>
    </row>
    <row r="63" spans="1:20" x14ac:dyDescent="0.25">
      <c r="A63" s="229">
        <v>62</v>
      </c>
      <c r="B63" s="230" t="s">
        <v>662</v>
      </c>
      <c r="C63" s="230"/>
      <c r="D63" s="230"/>
      <c r="E63" s="230"/>
      <c r="F63" s="230"/>
      <c r="G63" s="230"/>
      <c r="H63" s="230"/>
      <c r="I63" s="230"/>
      <c r="J63" s="230"/>
      <c r="K63" s="230"/>
      <c r="L63" s="230"/>
      <c r="M63" s="230"/>
      <c r="N63" s="230"/>
      <c r="O63" s="230"/>
      <c r="P63" s="230"/>
      <c r="Q63" s="230"/>
      <c r="R63" s="229">
        <v>0</v>
      </c>
      <c r="T63">
        <f t="shared" si="0"/>
        <v>0</v>
      </c>
    </row>
    <row r="64" spans="1:20" x14ac:dyDescent="0.25">
      <c r="A64" s="229">
        <v>63</v>
      </c>
      <c r="B64" s="230" t="s">
        <v>668</v>
      </c>
      <c r="C64" s="230"/>
      <c r="D64" s="230"/>
      <c r="E64" s="230"/>
      <c r="F64" s="230"/>
      <c r="G64" s="230"/>
      <c r="H64" s="230"/>
      <c r="I64" s="230"/>
      <c r="J64" s="230"/>
      <c r="K64" s="230"/>
      <c r="L64" s="230"/>
      <c r="M64" s="230"/>
      <c r="N64" s="230"/>
      <c r="O64" s="230"/>
      <c r="P64" s="230"/>
      <c r="Q64" s="230"/>
      <c r="R64" s="229">
        <v>0</v>
      </c>
      <c r="T64">
        <f t="shared" si="0"/>
        <v>0</v>
      </c>
    </row>
    <row r="65" spans="1:18" x14ac:dyDescent="0.25">
      <c r="A65" s="228"/>
      <c r="B65" s="228"/>
      <c r="C65" s="228"/>
      <c r="D65" s="228"/>
      <c r="E65" s="228"/>
      <c r="F65" s="228"/>
      <c r="G65" s="228"/>
      <c r="H65" s="228"/>
      <c r="I65" s="228"/>
      <c r="J65" s="228"/>
      <c r="K65" s="228"/>
      <c r="L65" s="228"/>
      <c r="M65" s="228"/>
      <c r="N65" s="228"/>
      <c r="O65" s="228"/>
      <c r="P65" s="228"/>
      <c r="Q65" s="228"/>
      <c r="R65" s="232">
        <v>96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65"/>
  <sheetViews>
    <sheetView topLeftCell="K1" workbookViewId="0">
      <selection activeCell="T2" sqref="T2:T64"/>
    </sheetView>
  </sheetViews>
  <sheetFormatPr defaultRowHeight="15" x14ac:dyDescent="0.25"/>
  <sheetData>
    <row r="1" spans="1:20" x14ac:dyDescent="0.25">
      <c r="A1" s="233" t="s">
        <v>1</v>
      </c>
      <c r="B1" s="233" t="s">
        <v>6</v>
      </c>
      <c r="C1" s="233" t="s">
        <v>46</v>
      </c>
      <c r="D1" s="233" t="s">
        <v>47</v>
      </c>
      <c r="E1" s="233" t="s">
        <v>48</v>
      </c>
      <c r="F1" s="233" t="s">
        <v>49</v>
      </c>
      <c r="G1" s="233" t="s">
        <v>50</v>
      </c>
      <c r="H1" s="233" t="s">
        <v>51</v>
      </c>
      <c r="I1" s="233" t="s">
        <v>52</v>
      </c>
      <c r="J1" s="233" t="s">
        <v>53</v>
      </c>
      <c r="K1" s="233" t="s">
        <v>54</v>
      </c>
      <c r="L1" s="233" t="s">
        <v>55</v>
      </c>
      <c r="M1" s="233" t="s">
        <v>56</v>
      </c>
      <c r="N1" s="233" t="s">
        <v>57</v>
      </c>
      <c r="O1" s="233" t="s">
        <v>58</v>
      </c>
      <c r="P1" s="233" t="s">
        <v>59</v>
      </c>
      <c r="Q1" s="233" t="s">
        <v>667</v>
      </c>
      <c r="R1" s="233" t="s">
        <v>2</v>
      </c>
    </row>
    <row r="2" spans="1:20" x14ac:dyDescent="0.25">
      <c r="A2" s="234">
        <v>1</v>
      </c>
      <c r="B2" s="235" t="s">
        <v>10</v>
      </c>
      <c r="C2" s="235"/>
      <c r="D2" s="235"/>
      <c r="E2" s="235"/>
      <c r="F2" s="235"/>
      <c r="G2" s="235"/>
      <c r="H2" s="235"/>
      <c r="I2" s="235"/>
      <c r="J2" s="235"/>
      <c r="K2" s="235"/>
      <c r="L2" s="235"/>
      <c r="M2" s="235"/>
      <c r="N2" s="235"/>
      <c r="O2" s="235"/>
      <c r="P2" s="235"/>
      <c r="Q2" s="235"/>
      <c r="R2" s="234">
        <v>0</v>
      </c>
      <c r="T2">
        <f t="shared" ref="T2:T64" si="0">C2+D2+E2+F2+G2+H2+I2+J2+K2+L2+M2+N2+O2+P2+Q2</f>
        <v>0</v>
      </c>
    </row>
    <row r="3" spans="1:20" x14ac:dyDescent="0.25">
      <c r="A3" s="234">
        <v>2</v>
      </c>
      <c r="B3" s="235" t="s">
        <v>11</v>
      </c>
      <c r="C3" s="235"/>
      <c r="D3" s="235"/>
      <c r="E3" s="235"/>
      <c r="F3" s="235"/>
      <c r="G3" s="235"/>
      <c r="H3" s="235"/>
      <c r="I3" s="235"/>
      <c r="J3" s="235"/>
      <c r="K3" s="235"/>
      <c r="L3" s="235"/>
      <c r="M3" s="235"/>
      <c r="N3" s="235"/>
      <c r="O3" s="235"/>
      <c r="P3" s="235"/>
      <c r="Q3" s="235"/>
      <c r="R3" s="234">
        <v>0</v>
      </c>
      <c r="T3">
        <f t="shared" si="0"/>
        <v>0</v>
      </c>
    </row>
    <row r="4" spans="1:20" x14ac:dyDescent="0.25">
      <c r="A4" s="234">
        <v>3</v>
      </c>
      <c r="B4" s="235" t="s">
        <v>12</v>
      </c>
      <c r="C4" s="235"/>
      <c r="D4" s="235"/>
      <c r="E4" s="235"/>
      <c r="F4" s="235"/>
      <c r="G4" s="235"/>
      <c r="H4" s="235"/>
      <c r="I4" s="235"/>
      <c r="J4" s="235"/>
      <c r="K4" s="235"/>
      <c r="L4" s="235"/>
      <c r="M4" s="235"/>
      <c r="N4" s="235"/>
      <c r="O4" s="235"/>
      <c r="P4" s="235"/>
      <c r="Q4" s="235"/>
      <c r="R4" s="234">
        <v>0</v>
      </c>
      <c r="T4">
        <f t="shared" si="0"/>
        <v>0</v>
      </c>
    </row>
    <row r="5" spans="1:20" x14ac:dyDescent="0.25">
      <c r="A5" s="234">
        <v>4</v>
      </c>
      <c r="B5" s="235" t="s">
        <v>651</v>
      </c>
      <c r="C5" s="235"/>
      <c r="D5" s="235"/>
      <c r="E5" s="235"/>
      <c r="F5" s="235"/>
      <c r="G5" s="235"/>
      <c r="H5" s="235"/>
      <c r="I5" s="235"/>
      <c r="J5" s="235"/>
      <c r="K5" s="235"/>
      <c r="L5" s="235"/>
      <c r="M5" s="235"/>
      <c r="N5" s="235"/>
      <c r="O5" s="235"/>
      <c r="P5" s="235"/>
      <c r="Q5" s="235"/>
      <c r="R5" s="234">
        <v>0</v>
      </c>
      <c r="T5">
        <f t="shared" si="0"/>
        <v>0</v>
      </c>
    </row>
    <row r="6" spans="1:20" x14ac:dyDescent="0.25">
      <c r="A6" s="234">
        <v>5</v>
      </c>
      <c r="B6" s="235" t="s">
        <v>14</v>
      </c>
      <c r="C6" s="235"/>
      <c r="D6" s="235"/>
      <c r="E6" s="235"/>
      <c r="F6" s="235"/>
      <c r="G6" s="235"/>
      <c r="H6" s="235"/>
      <c r="I6" s="235"/>
      <c r="J6" s="235"/>
      <c r="K6" s="235"/>
      <c r="L6" s="235"/>
      <c r="M6" s="235"/>
      <c r="N6" s="235"/>
      <c r="O6" s="235"/>
      <c r="P6" s="235"/>
      <c r="Q6" s="235"/>
      <c r="R6" s="234">
        <v>0</v>
      </c>
      <c r="T6">
        <f t="shared" si="0"/>
        <v>0</v>
      </c>
    </row>
    <row r="7" spans="1:20" x14ac:dyDescent="0.25">
      <c r="A7" s="234">
        <v>6</v>
      </c>
      <c r="B7" s="235" t="s">
        <v>15</v>
      </c>
      <c r="C7" s="235"/>
      <c r="D7" s="235"/>
      <c r="E7" s="235"/>
      <c r="F7" s="235"/>
      <c r="G7" s="235"/>
      <c r="H7" s="235"/>
      <c r="I7" s="235"/>
      <c r="J7" s="235"/>
      <c r="K7" s="235"/>
      <c r="L7" s="235"/>
      <c r="M7" s="235"/>
      <c r="N7" s="235"/>
      <c r="O7" s="235"/>
      <c r="P7" s="235"/>
      <c r="Q7" s="235"/>
      <c r="R7" s="234">
        <v>0</v>
      </c>
      <c r="T7">
        <f t="shared" si="0"/>
        <v>0</v>
      </c>
    </row>
    <row r="8" spans="1:20" x14ac:dyDescent="0.25">
      <c r="A8" s="234">
        <v>7</v>
      </c>
      <c r="B8" s="235" t="s">
        <v>16</v>
      </c>
      <c r="C8" s="235"/>
      <c r="D8" s="235"/>
      <c r="E8" s="235"/>
      <c r="F8" s="235"/>
      <c r="G8" s="235"/>
      <c r="H8" s="235"/>
      <c r="I8" s="235"/>
      <c r="J8" s="235"/>
      <c r="K8" s="235"/>
      <c r="L8" s="235"/>
      <c r="M8" s="235"/>
      <c r="N8" s="235"/>
      <c r="O8" s="235"/>
      <c r="P8" s="235"/>
      <c r="Q8" s="235"/>
      <c r="R8" s="234">
        <v>0</v>
      </c>
      <c r="T8">
        <f t="shared" si="0"/>
        <v>0</v>
      </c>
    </row>
    <row r="9" spans="1:20" x14ac:dyDescent="0.25">
      <c r="A9" s="234">
        <v>8</v>
      </c>
      <c r="B9" s="235" t="s">
        <v>4</v>
      </c>
      <c r="C9" s="235"/>
      <c r="D9" s="235"/>
      <c r="E9" s="235"/>
      <c r="F9" s="235"/>
      <c r="G9" s="235"/>
      <c r="H9" s="235"/>
      <c r="I9" s="235"/>
      <c r="J9" s="235"/>
      <c r="K9" s="235"/>
      <c r="L9" s="235"/>
      <c r="M9" s="235"/>
      <c r="N9" s="235"/>
      <c r="O9" s="235"/>
      <c r="P9" s="235"/>
      <c r="Q9" s="235"/>
      <c r="R9" s="234">
        <v>0</v>
      </c>
      <c r="T9">
        <f t="shared" si="0"/>
        <v>0</v>
      </c>
    </row>
    <row r="10" spans="1:20" x14ac:dyDescent="0.25">
      <c r="A10" s="234">
        <v>9</v>
      </c>
      <c r="B10" s="235" t="s">
        <v>5</v>
      </c>
      <c r="C10" s="235"/>
      <c r="D10" s="235"/>
      <c r="E10" s="235"/>
      <c r="F10" s="235"/>
      <c r="G10" s="235"/>
      <c r="H10" s="235"/>
      <c r="I10" s="235"/>
      <c r="J10" s="235"/>
      <c r="K10" s="235"/>
      <c r="L10" s="235"/>
      <c r="M10" s="235"/>
      <c r="N10" s="235"/>
      <c r="O10" s="235"/>
      <c r="P10" s="235"/>
      <c r="Q10" s="235"/>
      <c r="R10" s="234">
        <v>0</v>
      </c>
      <c r="T10">
        <f t="shared" si="0"/>
        <v>0</v>
      </c>
    </row>
    <row r="11" spans="1:20" x14ac:dyDescent="0.25">
      <c r="A11" s="234">
        <v>10</v>
      </c>
      <c r="B11" s="235" t="s">
        <v>38</v>
      </c>
      <c r="C11" s="235"/>
      <c r="D11" s="235"/>
      <c r="E11" s="235"/>
      <c r="F11" s="235"/>
      <c r="G11" s="235"/>
      <c r="H11" s="235"/>
      <c r="I11" s="235"/>
      <c r="J11" s="235"/>
      <c r="K11" s="235"/>
      <c r="L11" s="235"/>
      <c r="M11" s="235"/>
      <c r="N11" s="235"/>
      <c r="O11" s="235"/>
      <c r="P11" s="235"/>
      <c r="Q11" s="235"/>
      <c r="R11" s="234">
        <v>0</v>
      </c>
      <c r="T11">
        <f t="shared" si="0"/>
        <v>0</v>
      </c>
    </row>
    <row r="12" spans="1:20" x14ac:dyDescent="0.25">
      <c r="A12" s="234">
        <v>11</v>
      </c>
      <c r="B12" s="235" t="s">
        <v>43</v>
      </c>
      <c r="C12" s="235"/>
      <c r="D12" s="235"/>
      <c r="E12" s="235"/>
      <c r="F12" s="235"/>
      <c r="G12" s="235"/>
      <c r="H12" s="235"/>
      <c r="I12" s="235"/>
      <c r="J12" s="235"/>
      <c r="K12" s="235"/>
      <c r="L12" s="235"/>
      <c r="M12" s="235"/>
      <c r="N12" s="235"/>
      <c r="O12" s="235"/>
      <c r="P12" s="235"/>
      <c r="Q12" s="235"/>
      <c r="R12" s="234">
        <v>0</v>
      </c>
      <c r="T12">
        <f t="shared" si="0"/>
        <v>0</v>
      </c>
    </row>
    <row r="13" spans="1:20" x14ac:dyDescent="0.25">
      <c r="A13" s="234">
        <v>12</v>
      </c>
      <c r="B13" s="235" t="s">
        <v>639</v>
      </c>
      <c r="C13" s="235"/>
      <c r="D13" s="235"/>
      <c r="E13" s="235"/>
      <c r="F13" s="235"/>
      <c r="G13" s="235"/>
      <c r="H13" s="235"/>
      <c r="I13" s="235"/>
      <c r="J13" s="235"/>
      <c r="K13" s="235"/>
      <c r="L13" s="235"/>
      <c r="M13" s="235"/>
      <c r="N13" s="235"/>
      <c r="O13" s="235"/>
      <c r="P13" s="235"/>
      <c r="Q13" s="235"/>
      <c r="R13" s="234">
        <v>0</v>
      </c>
      <c r="T13">
        <f t="shared" si="0"/>
        <v>0</v>
      </c>
    </row>
    <row r="14" spans="1:20" x14ac:dyDescent="0.25">
      <c r="A14" s="234">
        <v>13</v>
      </c>
      <c r="B14" s="235" t="s">
        <v>87</v>
      </c>
      <c r="C14" s="235"/>
      <c r="D14" s="235"/>
      <c r="E14" s="235"/>
      <c r="F14" s="235"/>
      <c r="G14" s="235"/>
      <c r="H14" s="235"/>
      <c r="I14" s="235"/>
      <c r="J14" s="235"/>
      <c r="K14" s="235"/>
      <c r="L14" s="235"/>
      <c r="M14" s="235"/>
      <c r="N14" s="235"/>
      <c r="O14" s="235"/>
      <c r="P14" s="235"/>
      <c r="Q14" s="235"/>
      <c r="R14" s="234">
        <v>0</v>
      </c>
      <c r="T14">
        <f t="shared" si="0"/>
        <v>0</v>
      </c>
    </row>
    <row r="15" spans="1:20" x14ac:dyDescent="0.25">
      <c r="A15" s="234">
        <v>14</v>
      </c>
      <c r="B15" s="235" t="s">
        <v>95</v>
      </c>
      <c r="C15" s="235"/>
      <c r="D15" s="235"/>
      <c r="E15" s="235"/>
      <c r="F15" s="235"/>
      <c r="G15" s="235"/>
      <c r="H15" s="235"/>
      <c r="I15" s="235"/>
      <c r="J15" s="235"/>
      <c r="K15" s="235"/>
      <c r="L15" s="235"/>
      <c r="M15" s="235"/>
      <c r="N15" s="235"/>
      <c r="O15" s="235"/>
      <c r="P15" s="235"/>
      <c r="Q15" s="235"/>
      <c r="R15" s="234">
        <v>0</v>
      </c>
      <c r="T15">
        <f t="shared" si="0"/>
        <v>0</v>
      </c>
    </row>
    <row r="16" spans="1:20" x14ac:dyDescent="0.25">
      <c r="A16" s="234">
        <v>15</v>
      </c>
      <c r="B16" s="235" t="s">
        <v>96</v>
      </c>
      <c r="C16" s="235"/>
      <c r="D16" s="235"/>
      <c r="E16" s="235"/>
      <c r="F16" s="235"/>
      <c r="G16" s="235"/>
      <c r="H16" s="235"/>
      <c r="I16" s="235"/>
      <c r="J16" s="235"/>
      <c r="K16" s="235"/>
      <c r="L16" s="235"/>
      <c r="M16" s="235"/>
      <c r="N16" s="235"/>
      <c r="O16" s="235"/>
      <c r="P16" s="235"/>
      <c r="Q16" s="235"/>
      <c r="R16" s="234">
        <v>0</v>
      </c>
      <c r="T16">
        <f t="shared" si="0"/>
        <v>0</v>
      </c>
    </row>
    <row r="17" spans="1:20" x14ac:dyDescent="0.25">
      <c r="A17" s="234">
        <v>16</v>
      </c>
      <c r="B17" s="235" t="s">
        <v>97</v>
      </c>
      <c r="C17" s="235"/>
      <c r="D17" s="235"/>
      <c r="E17" s="235"/>
      <c r="F17" s="235"/>
      <c r="G17" s="235"/>
      <c r="H17" s="235"/>
      <c r="I17" s="235"/>
      <c r="J17" s="235"/>
      <c r="K17" s="235"/>
      <c r="L17" s="235"/>
      <c r="M17" s="235"/>
      <c r="N17" s="235"/>
      <c r="O17" s="235"/>
      <c r="P17" s="235"/>
      <c r="Q17" s="235"/>
      <c r="R17" s="234">
        <v>0</v>
      </c>
      <c r="T17">
        <f t="shared" si="0"/>
        <v>0</v>
      </c>
    </row>
    <row r="18" spans="1:20" x14ac:dyDescent="0.25">
      <c r="A18" s="234">
        <v>17</v>
      </c>
      <c r="B18" s="235" t="s">
        <v>98</v>
      </c>
      <c r="C18" s="235"/>
      <c r="D18" s="235"/>
      <c r="E18" s="235"/>
      <c r="F18" s="235"/>
      <c r="G18" s="235"/>
      <c r="H18" s="235"/>
      <c r="I18" s="235"/>
      <c r="J18" s="235"/>
      <c r="K18" s="235"/>
      <c r="L18" s="235"/>
      <c r="M18" s="235"/>
      <c r="N18" s="235"/>
      <c r="O18" s="235"/>
      <c r="P18" s="235"/>
      <c r="Q18" s="235"/>
      <c r="R18" s="234">
        <v>0</v>
      </c>
      <c r="T18">
        <f t="shared" si="0"/>
        <v>0</v>
      </c>
    </row>
    <row r="19" spans="1:20" x14ac:dyDescent="0.25">
      <c r="A19" s="234">
        <v>18</v>
      </c>
      <c r="B19" s="235" t="s">
        <v>616</v>
      </c>
      <c r="C19" s="235"/>
      <c r="D19" s="235"/>
      <c r="E19" s="235"/>
      <c r="F19" s="235"/>
      <c r="G19" s="235"/>
      <c r="H19" s="235"/>
      <c r="I19" s="235"/>
      <c r="J19" s="235"/>
      <c r="K19" s="235"/>
      <c r="L19" s="235"/>
      <c r="M19" s="235"/>
      <c r="N19" s="235"/>
      <c r="O19" s="235"/>
      <c r="P19" s="235"/>
      <c r="Q19" s="235"/>
      <c r="R19" s="234">
        <v>0</v>
      </c>
      <c r="T19">
        <f t="shared" si="0"/>
        <v>0</v>
      </c>
    </row>
    <row r="20" spans="1:20" x14ac:dyDescent="0.25">
      <c r="A20" s="234">
        <v>19</v>
      </c>
      <c r="B20" s="235" t="s">
        <v>617</v>
      </c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 t="s">
        <v>54</v>
      </c>
      <c r="N20" s="235"/>
      <c r="O20" s="235"/>
      <c r="P20" s="235"/>
      <c r="Q20" s="235"/>
      <c r="R20" s="236">
        <v>24</v>
      </c>
      <c r="T20">
        <f t="shared" si="0"/>
        <v>24</v>
      </c>
    </row>
    <row r="21" spans="1:20" x14ac:dyDescent="0.25">
      <c r="A21" s="234">
        <v>20</v>
      </c>
      <c r="B21" s="235" t="s">
        <v>626</v>
      </c>
      <c r="C21" s="235"/>
      <c r="D21" s="235"/>
      <c r="E21" s="235"/>
      <c r="F21" s="235"/>
      <c r="G21" s="235"/>
      <c r="H21" s="235"/>
      <c r="I21" s="235"/>
      <c r="J21" s="235"/>
      <c r="K21" s="235"/>
      <c r="L21" s="235"/>
      <c r="M21" s="235"/>
      <c r="N21" s="235"/>
      <c r="O21" s="235"/>
      <c r="P21" s="235"/>
      <c r="Q21" s="235"/>
      <c r="R21" s="234">
        <v>0</v>
      </c>
      <c r="T21">
        <f t="shared" si="0"/>
        <v>0</v>
      </c>
    </row>
    <row r="22" spans="1:20" x14ac:dyDescent="0.25">
      <c r="A22" s="234">
        <v>21</v>
      </c>
      <c r="B22" s="235" t="s">
        <v>618</v>
      </c>
      <c r="C22" s="235"/>
      <c r="D22" s="235"/>
      <c r="E22" s="235"/>
      <c r="F22" s="235"/>
      <c r="G22" s="235"/>
      <c r="H22" s="235"/>
      <c r="I22" s="235"/>
      <c r="J22" s="235"/>
      <c r="K22" s="235"/>
      <c r="L22" s="235"/>
      <c r="M22" s="235" t="s">
        <v>54</v>
      </c>
      <c r="N22" s="235"/>
      <c r="O22" s="235"/>
      <c r="P22" s="235"/>
      <c r="Q22" s="235"/>
      <c r="R22" s="236">
        <v>24</v>
      </c>
      <c r="T22">
        <f t="shared" si="0"/>
        <v>24</v>
      </c>
    </row>
    <row r="23" spans="1:20" x14ac:dyDescent="0.25">
      <c r="A23" s="234">
        <v>22</v>
      </c>
      <c r="B23" s="235" t="s">
        <v>619</v>
      </c>
      <c r="C23" s="235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Q23" s="235"/>
      <c r="R23" s="234">
        <v>0</v>
      </c>
      <c r="T23">
        <f t="shared" si="0"/>
        <v>0</v>
      </c>
    </row>
    <row r="24" spans="1:20" x14ac:dyDescent="0.25">
      <c r="A24" s="234">
        <v>23</v>
      </c>
      <c r="B24" s="235" t="s">
        <v>620</v>
      </c>
      <c r="C24" s="235"/>
      <c r="D24" s="235"/>
      <c r="E24" s="235"/>
      <c r="F24" s="235"/>
      <c r="G24" s="235"/>
      <c r="H24" s="235"/>
      <c r="I24" s="235"/>
      <c r="J24" s="235"/>
      <c r="K24" s="235"/>
      <c r="L24" s="235"/>
      <c r="M24" s="235"/>
      <c r="N24" s="235"/>
      <c r="O24" s="235"/>
      <c r="P24" s="235"/>
      <c r="Q24" s="235"/>
      <c r="R24" s="234">
        <v>0</v>
      </c>
      <c r="T24">
        <f t="shared" si="0"/>
        <v>0</v>
      </c>
    </row>
    <row r="25" spans="1:20" x14ac:dyDescent="0.25">
      <c r="A25" s="234">
        <v>24</v>
      </c>
      <c r="B25" s="235" t="s">
        <v>650</v>
      </c>
      <c r="C25" s="235"/>
      <c r="D25" s="235"/>
      <c r="E25" s="235"/>
      <c r="F25" s="235"/>
      <c r="G25" s="235"/>
      <c r="H25" s="235"/>
      <c r="I25" s="235"/>
      <c r="J25" s="235"/>
      <c r="K25" s="235"/>
      <c r="L25" s="235"/>
      <c r="M25" s="235"/>
      <c r="N25" s="235"/>
      <c r="O25" s="235"/>
      <c r="P25" s="235"/>
      <c r="Q25" s="235"/>
      <c r="R25" s="234">
        <v>0</v>
      </c>
      <c r="T25">
        <f t="shared" si="0"/>
        <v>0</v>
      </c>
    </row>
    <row r="26" spans="1:20" x14ac:dyDescent="0.25">
      <c r="A26" s="234">
        <v>25</v>
      </c>
      <c r="B26" s="235" t="s">
        <v>621</v>
      </c>
      <c r="C26" s="235"/>
      <c r="D26" s="235"/>
      <c r="E26" s="235"/>
      <c r="F26" s="235"/>
      <c r="G26" s="235"/>
      <c r="H26" s="235"/>
      <c r="I26" s="235"/>
      <c r="J26" s="235"/>
      <c r="K26" s="235"/>
      <c r="L26" s="235"/>
      <c r="M26" s="235"/>
      <c r="N26" s="235"/>
      <c r="O26" s="235"/>
      <c r="P26" s="235"/>
      <c r="Q26" s="235"/>
      <c r="R26" s="234">
        <v>0</v>
      </c>
      <c r="T26">
        <f t="shared" si="0"/>
        <v>0</v>
      </c>
    </row>
    <row r="27" spans="1:20" x14ac:dyDescent="0.25">
      <c r="A27" s="234">
        <v>26</v>
      </c>
      <c r="B27" s="235" t="s">
        <v>622</v>
      </c>
      <c r="C27" s="235"/>
      <c r="D27" s="235"/>
      <c r="E27" s="235"/>
      <c r="F27" s="235"/>
      <c r="G27" s="235"/>
      <c r="H27" s="235"/>
      <c r="I27" s="235"/>
      <c r="J27" s="235"/>
      <c r="K27" s="235"/>
      <c r="L27" s="235"/>
      <c r="M27" s="235"/>
      <c r="N27" s="235"/>
      <c r="O27" s="235"/>
      <c r="P27" s="235"/>
      <c r="Q27" s="235"/>
      <c r="R27" s="234">
        <v>0</v>
      </c>
      <c r="T27">
        <f t="shared" si="0"/>
        <v>0</v>
      </c>
    </row>
    <row r="28" spans="1:20" x14ac:dyDescent="0.25">
      <c r="A28" s="234">
        <v>27</v>
      </c>
      <c r="B28" s="235" t="s">
        <v>623</v>
      </c>
      <c r="C28" s="235"/>
      <c r="D28" s="235"/>
      <c r="E28" s="235"/>
      <c r="F28" s="235"/>
      <c r="G28" s="235"/>
      <c r="H28" s="235"/>
      <c r="I28" s="235"/>
      <c r="J28" s="235"/>
      <c r="K28" s="235"/>
      <c r="L28" s="235"/>
      <c r="M28" s="235"/>
      <c r="N28" s="235"/>
      <c r="O28" s="235"/>
      <c r="P28" s="235"/>
      <c r="Q28" s="235"/>
      <c r="R28" s="234">
        <v>0</v>
      </c>
      <c r="T28">
        <f t="shared" si="0"/>
        <v>0</v>
      </c>
    </row>
    <row r="29" spans="1:20" x14ac:dyDescent="0.25">
      <c r="A29" s="234">
        <v>28</v>
      </c>
      <c r="B29" s="235" t="s">
        <v>624</v>
      </c>
      <c r="C29" s="235"/>
      <c r="D29" s="235"/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5"/>
      <c r="P29" s="235"/>
      <c r="Q29" s="235"/>
      <c r="R29" s="234">
        <v>0</v>
      </c>
      <c r="T29">
        <f t="shared" si="0"/>
        <v>0</v>
      </c>
    </row>
    <row r="30" spans="1:20" x14ac:dyDescent="0.25">
      <c r="A30" s="234">
        <v>29</v>
      </c>
      <c r="B30" s="235" t="s">
        <v>627</v>
      </c>
      <c r="C30" s="235"/>
      <c r="D30" s="235"/>
      <c r="E30" s="235"/>
      <c r="F30" s="235"/>
      <c r="G30" s="235"/>
      <c r="H30" s="235"/>
      <c r="I30" s="235"/>
      <c r="J30" s="235"/>
      <c r="K30" s="235"/>
      <c r="L30" s="235"/>
      <c r="M30" s="235"/>
      <c r="N30" s="235"/>
      <c r="O30" s="235"/>
      <c r="P30" s="235"/>
      <c r="Q30" s="235"/>
      <c r="R30" s="234">
        <v>0</v>
      </c>
      <c r="T30">
        <f t="shared" si="0"/>
        <v>0</v>
      </c>
    </row>
    <row r="31" spans="1:20" x14ac:dyDescent="0.25">
      <c r="A31" s="234">
        <v>30</v>
      </c>
      <c r="B31" s="235" t="s">
        <v>625</v>
      </c>
      <c r="C31" s="235"/>
      <c r="D31" s="235"/>
      <c r="E31" s="235"/>
      <c r="F31" s="235"/>
      <c r="G31" s="235"/>
      <c r="H31" s="235"/>
      <c r="I31" s="235"/>
      <c r="J31" s="235"/>
      <c r="K31" s="235"/>
      <c r="L31" s="235"/>
      <c r="M31" s="235"/>
      <c r="N31" s="235"/>
      <c r="O31" s="235"/>
      <c r="P31" s="235"/>
      <c r="Q31" s="235"/>
      <c r="R31" s="234">
        <v>0</v>
      </c>
      <c r="T31">
        <f t="shared" si="0"/>
        <v>0</v>
      </c>
    </row>
    <row r="32" spans="1:20" x14ac:dyDescent="0.25">
      <c r="A32" s="234">
        <v>31</v>
      </c>
      <c r="B32" s="235" t="s">
        <v>34</v>
      </c>
      <c r="C32" s="235"/>
      <c r="D32" s="235"/>
      <c r="E32" s="235"/>
      <c r="F32" s="235"/>
      <c r="G32" s="235"/>
      <c r="H32" s="235"/>
      <c r="I32" s="235"/>
      <c r="J32" s="235"/>
      <c r="K32" s="235"/>
      <c r="L32" s="235"/>
      <c r="M32" s="235"/>
      <c r="N32" s="235"/>
      <c r="O32" s="235"/>
      <c r="P32" s="235"/>
      <c r="Q32" s="235"/>
      <c r="R32" s="234">
        <v>0</v>
      </c>
      <c r="T32">
        <f t="shared" si="0"/>
        <v>0</v>
      </c>
    </row>
    <row r="33" spans="1:20" x14ac:dyDescent="0.25">
      <c r="A33" s="234">
        <v>32</v>
      </c>
      <c r="B33" s="235" t="s">
        <v>45</v>
      </c>
      <c r="C33" s="235"/>
      <c r="D33" s="235"/>
      <c r="E33" s="235"/>
      <c r="F33" s="235"/>
      <c r="G33" s="235"/>
      <c r="H33" s="235"/>
      <c r="I33" s="235"/>
      <c r="J33" s="235"/>
      <c r="K33" s="235"/>
      <c r="L33" s="235"/>
      <c r="M33" s="235"/>
      <c r="N33" s="235"/>
      <c r="O33" s="235"/>
      <c r="P33" s="235"/>
      <c r="Q33" s="235"/>
      <c r="R33" s="234">
        <v>0</v>
      </c>
      <c r="T33">
        <f t="shared" si="0"/>
        <v>0</v>
      </c>
    </row>
    <row r="34" spans="1:20" x14ac:dyDescent="0.25">
      <c r="A34" s="234">
        <v>33</v>
      </c>
      <c r="B34" s="235" t="s">
        <v>630</v>
      </c>
      <c r="C34" s="235"/>
      <c r="D34" s="235"/>
      <c r="E34" s="235"/>
      <c r="F34" s="235"/>
      <c r="G34" s="235"/>
      <c r="H34" s="235"/>
      <c r="I34" s="235"/>
      <c r="J34" s="235"/>
      <c r="K34" s="235"/>
      <c r="L34" s="235"/>
      <c r="M34" s="235"/>
      <c r="N34" s="235"/>
      <c r="O34" s="235"/>
      <c r="P34" s="235"/>
      <c r="Q34" s="235"/>
      <c r="R34" s="234">
        <v>0</v>
      </c>
      <c r="T34">
        <f t="shared" si="0"/>
        <v>0</v>
      </c>
    </row>
    <row r="35" spans="1:20" x14ac:dyDescent="0.25">
      <c r="A35" s="234">
        <v>34</v>
      </c>
      <c r="B35" s="235" t="s">
        <v>628</v>
      </c>
      <c r="C35" s="235"/>
      <c r="D35" s="235"/>
      <c r="E35" s="235"/>
      <c r="F35" s="235"/>
      <c r="G35" s="235"/>
      <c r="H35" s="235"/>
      <c r="I35" s="235"/>
      <c r="J35" s="235"/>
      <c r="K35" s="235"/>
      <c r="L35" s="235"/>
      <c r="M35" s="235"/>
      <c r="N35" s="235"/>
      <c r="O35" s="235"/>
      <c r="P35" s="235"/>
      <c r="Q35" s="235"/>
      <c r="R35" s="234">
        <v>0</v>
      </c>
      <c r="T35">
        <f t="shared" si="0"/>
        <v>0</v>
      </c>
    </row>
    <row r="36" spans="1:20" x14ac:dyDescent="0.25">
      <c r="A36" s="234">
        <v>35</v>
      </c>
      <c r="B36" s="235" t="s">
        <v>629</v>
      </c>
      <c r="C36" s="235"/>
      <c r="D36" s="235"/>
      <c r="E36" s="235"/>
      <c r="F36" s="235"/>
      <c r="G36" s="235"/>
      <c r="H36" s="235"/>
      <c r="I36" s="235"/>
      <c r="J36" s="235"/>
      <c r="K36" s="235"/>
      <c r="L36" s="235"/>
      <c r="M36" s="235"/>
      <c r="N36" s="235"/>
      <c r="O36" s="235"/>
      <c r="P36" s="235"/>
      <c r="Q36" s="235"/>
      <c r="R36" s="234">
        <v>0</v>
      </c>
      <c r="T36">
        <f t="shared" si="0"/>
        <v>0</v>
      </c>
    </row>
    <row r="37" spans="1:20" x14ac:dyDescent="0.25">
      <c r="A37" s="234">
        <v>36</v>
      </c>
      <c r="B37" s="235" t="s">
        <v>631</v>
      </c>
      <c r="C37" s="235"/>
      <c r="D37" s="235"/>
      <c r="E37" s="235"/>
      <c r="F37" s="235"/>
      <c r="G37" s="235"/>
      <c r="H37" s="235"/>
      <c r="I37" s="235"/>
      <c r="J37" s="235"/>
      <c r="K37" s="235"/>
      <c r="L37" s="235"/>
      <c r="M37" s="235"/>
      <c r="N37" s="235"/>
      <c r="O37" s="235"/>
      <c r="P37" s="235"/>
      <c r="Q37" s="235"/>
      <c r="R37" s="234">
        <v>0</v>
      </c>
      <c r="T37">
        <f t="shared" si="0"/>
        <v>0</v>
      </c>
    </row>
    <row r="38" spans="1:20" x14ac:dyDescent="0.25">
      <c r="A38" s="234">
        <v>37</v>
      </c>
      <c r="B38" s="235" t="s">
        <v>632</v>
      </c>
      <c r="C38" s="235"/>
      <c r="D38" s="235"/>
      <c r="E38" s="235"/>
      <c r="F38" s="235"/>
      <c r="G38" s="235"/>
      <c r="H38" s="235"/>
      <c r="I38" s="235"/>
      <c r="J38" s="235"/>
      <c r="K38" s="235"/>
      <c r="L38" s="235"/>
      <c r="M38" s="235"/>
      <c r="N38" s="235"/>
      <c r="O38" s="235"/>
      <c r="P38" s="235"/>
      <c r="Q38" s="235"/>
      <c r="R38" s="234">
        <v>0</v>
      </c>
      <c r="T38">
        <f t="shared" si="0"/>
        <v>0</v>
      </c>
    </row>
    <row r="39" spans="1:20" x14ac:dyDescent="0.25">
      <c r="A39" s="234">
        <v>38</v>
      </c>
      <c r="B39" s="235" t="s">
        <v>633</v>
      </c>
      <c r="C39" s="235"/>
      <c r="D39" s="235"/>
      <c r="E39" s="235"/>
      <c r="F39" s="235"/>
      <c r="G39" s="235"/>
      <c r="H39" s="235"/>
      <c r="I39" s="235"/>
      <c r="J39" s="235"/>
      <c r="K39" s="235"/>
      <c r="L39" s="235"/>
      <c r="M39" s="235"/>
      <c r="N39" s="235"/>
      <c r="O39" s="235"/>
      <c r="P39" s="235"/>
      <c r="Q39" s="235"/>
      <c r="R39" s="234">
        <v>0</v>
      </c>
      <c r="T39">
        <f t="shared" si="0"/>
        <v>0</v>
      </c>
    </row>
    <row r="40" spans="1:20" x14ac:dyDescent="0.25">
      <c r="A40" s="234">
        <v>39</v>
      </c>
      <c r="B40" s="235" t="s">
        <v>634</v>
      </c>
      <c r="C40" s="235"/>
      <c r="D40" s="235"/>
      <c r="E40" s="235"/>
      <c r="F40" s="235"/>
      <c r="G40" s="235"/>
      <c r="H40" s="235"/>
      <c r="I40" s="235"/>
      <c r="J40" s="235"/>
      <c r="K40" s="235"/>
      <c r="L40" s="235"/>
      <c r="M40" s="235"/>
      <c r="N40" s="235"/>
      <c r="O40" s="235"/>
      <c r="P40" s="235"/>
      <c r="Q40" s="235"/>
      <c r="R40" s="234">
        <v>0</v>
      </c>
      <c r="T40">
        <f t="shared" si="0"/>
        <v>0</v>
      </c>
    </row>
    <row r="41" spans="1:20" x14ac:dyDescent="0.25">
      <c r="A41" s="234">
        <v>40</v>
      </c>
      <c r="B41" s="235" t="s">
        <v>636</v>
      </c>
      <c r="C41" s="235"/>
      <c r="D41" s="235"/>
      <c r="E41" s="235"/>
      <c r="F41" s="235"/>
      <c r="G41" s="235"/>
      <c r="H41" s="235"/>
      <c r="I41" s="235"/>
      <c r="J41" s="235"/>
      <c r="K41" s="235"/>
      <c r="L41" s="235"/>
      <c r="M41" s="235"/>
      <c r="N41" s="235"/>
      <c r="O41" s="235"/>
      <c r="P41" s="235"/>
      <c r="Q41" s="235"/>
      <c r="R41" s="234">
        <v>0</v>
      </c>
      <c r="T41">
        <f t="shared" si="0"/>
        <v>0</v>
      </c>
    </row>
    <row r="42" spans="1:20" x14ac:dyDescent="0.25">
      <c r="A42" s="234">
        <v>41</v>
      </c>
      <c r="B42" s="235" t="s">
        <v>637</v>
      </c>
      <c r="C42" s="235"/>
      <c r="D42" s="235"/>
      <c r="E42" s="235"/>
      <c r="F42" s="235"/>
      <c r="G42" s="235"/>
      <c r="H42" s="235"/>
      <c r="I42" s="235"/>
      <c r="J42" s="235"/>
      <c r="K42" s="235"/>
      <c r="L42" s="235"/>
      <c r="M42" s="235"/>
      <c r="N42" s="235"/>
      <c r="O42" s="235"/>
      <c r="P42" s="235"/>
      <c r="Q42" s="235"/>
      <c r="R42" s="234">
        <v>0</v>
      </c>
      <c r="T42">
        <f t="shared" si="0"/>
        <v>0</v>
      </c>
    </row>
    <row r="43" spans="1:20" x14ac:dyDescent="0.25">
      <c r="A43" s="234">
        <v>42</v>
      </c>
      <c r="B43" s="235" t="s">
        <v>640</v>
      </c>
      <c r="C43" s="235"/>
      <c r="D43" s="235"/>
      <c r="E43" s="235"/>
      <c r="F43" s="235"/>
      <c r="G43" s="235"/>
      <c r="H43" s="235"/>
      <c r="I43" s="235"/>
      <c r="J43" s="235"/>
      <c r="K43" s="235"/>
      <c r="L43" s="235"/>
      <c r="M43" s="235"/>
      <c r="N43" s="235"/>
      <c r="O43" s="235"/>
      <c r="P43" s="235"/>
      <c r="Q43" s="235"/>
      <c r="R43" s="234">
        <v>0</v>
      </c>
      <c r="T43">
        <f t="shared" si="0"/>
        <v>0</v>
      </c>
    </row>
    <row r="44" spans="1:20" x14ac:dyDescent="0.25">
      <c r="A44" s="234">
        <v>43</v>
      </c>
      <c r="B44" s="235" t="s">
        <v>638</v>
      </c>
      <c r="C44" s="235"/>
      <c r="D44" s="235"/>
      <c r="E44" s="235"/>
      <c r="F44" s="235"/>
      <c r="G44" s="235"/>
      <c r="H44" s="235"/>
      <c r="I44" s="235"/>
      <c r="J44" s="235"/>
      <c r="K44" s="235"/>
      <c r="L44" s="235"/>
      <c r="M44" s="235"/>
      <c r="N44" s="235"/>
      <c r="O44" s="235"/>
      <c r="P44" s="235"/>
      <c r="Q44" s="235"/>
      <c r="R44" s="234">
        <v>0</v>
      </c>
      <c r="T44">
        <f t="shared" si="0"/>
        <v>0</v>
      </c>
    </row>
    <row r="45" spans="1:20" x14ac:dyDescent="0.25">
      <c r="A45" s="234">
        <v>44</v>
      </c>
      <c r="B45" s="235" t="s">
        <v>635</v>
      </c>
      <c r="C45" s="235"/>
      <c r="D45" s="235"/>
      <c r="E45" s="235"/>
      <c r="F45" s="235"/>
      <c r="G45" s="235"/>
      <c r="H45" s="235"/>
      <c r="I45" s="235"/>
      <c r="J45" s="235"/>
      <c r="K45" s="235"/>
      <c r="L45" s="235"/>
      <c r="M45" s="235"/>
      <c r="N45" s="235"/>
      <c r="O45" s="235"/>
      <c r="P45" s="235"/>
      <c r="Q45" s="235"/>
      <c r="R45" s="234">
        <v>0</v>
      </c>
      <c r="T45">
        <f t="shared" si="0"/>
        <v>0</v>
      </c>
    </row>
    <row r="46" spans="1:20" x14ac:dyDescent="0.25">
      <c r="A46" s="234">
        <v>45</v>
      </c>
      <c r="B46" s="235" t="s">
        <v>641</v>
      </c>
      <c r="C46" s="235"/>
      <c r="D46" s="235"/>
      <c r="E46" s="235"/>
      <c r="F46" s="235"/>
      <c r="G46" s="235"/>
      <c r="H46" s="235"/>
      <c r="I46" s="235"/>
      <c r="J46" s="235"/>
      <c r="K46" s="235"/>
      <c r="L46" s="235"/>
      <c r="M46" s="235"/>
      <c r="N46" s="235"/>
      <c r="O46" s="235"/>
      <c r="P46" s="235"/>
      <c r="Q46" s="235"/>
      <c r="R46" s="234">
        <v>0</v>
      </c>
      <c r="T46">
        <f t="shared" si="0"/>
        <v>0</v>
      </c>
    </row>
    <row r="47" spans="1:20" x14ac:dyDescent="0.25">
      <c r="A47" s="234">
        <v>46</v>
      </c>
      <c r="B47" s="235" t="s">
        <v>649</v>
      </c>
      <c r="C47" s="235"/>
      <c r="D47" s="235"/>
      <c r="E47" s="235"/>
      <c r="F47" s="235"/>
      <c r="G47" s="235"/>
      <c r="H47" s="235"/>
      <c r="I47" s="235"/>
      <c r="J47" s="235"/>
      <c r="K47" s="235"/>
      <c r="L47" s="235"/>
      <c r="M47" s="235"/>
      <c r="N47" s="235"/>
      <c r="O47" s="235"/>
      <c r="P47" s="235"/>
      <c r="Q47" s="235"/>
      <c r="R47" s="234">
        <v>0</v>
      </c>
      <c r="T47">
        <f t="shared" si="0"/>
        <v>0</v>
      </c>
    </row>
    <row r="48" spans="1:20" x14ac:dyDescent="0.25">
      <c r="A48" s="234">
        <v>47</v>
      </c>
      <c r="B48" s="235" t="s">
        <v>642</v>
      </c>
      <c r="C48" s="235"/>
      <c r="D48" s="235"/>
      <c r="E48" s="235"/>
      <c r="F48" s="235"/>
      <c r="G48" s="235"/>
      <c r="H48" s="235"/>
      <c r="I48" s="235"/>
      <c r="J48" s="235"/>
      <c r="K48" s="235"/>
      <c r="L48" s="235"/>
      <c r="M48" s="235"/>
      <c r="N48" s="235"/>
      <c r="O48" s="235"/>
      <c r="P48" s="235"/>
      <c r="Q48" s="235"/>
      <c r="R48" s="234">
        <v>0</v>
      </c>
      <c r="T48">
        <f t="shared" si="0"/>
        <v>0</v>
      </c>
    </row>
    <row r="49" spans="1:20" x14ac:dyDescent="0.25">
      <c r="A49" s="234">
        <v>48</v>
      </c>
      <c r="B49" s="235" t="s">
        <v>643</v>
      </c>
      <c r="C49" s="235"/>
      <c r="D49" s="235"/>
      <c r="E49" s="235"/>
      <c r="F49" s="235"/>
      <c r="G49" s="235"/>
      <c r="H49" s="235"/>
      <c r="I49" s="235"/>
      <c r="J49" s="235"/>
      <c r="K49" s="235"/>
      <c r="L49" s="235"/>
      <c r="M49" s="235"/>
      <c r="N49" s="235"/>
      <c r="O49" s="235"/>
      <c r="P49" s="235"/>
      <c r="Q49" s="235"/>
      <c r="R49" s="234">
        <v>0</v>
      </c>
      <c r="T49">
        <f t="shared" si="0"/>
        <v>0</v>
      </c>
    </row>
    <row r="50" spans="1:20" x14ac:dyDescent="0.25">
      <c r="A50" s="234">
        <v>49</v>
      </c>
      <c r="B50" s="235" t="s">
        <v>644</v>
      </c>
      <c r="C50" s="235"/>
      <c r="D50" s="235"/>
      <c r="E50" s="235"/>
      <c r="F50" s="235"/>
      <c r="G50" s="235"/>
      <c r="H50" s="235"/>
      <c r="I50" s="235"/>
      <c r="J50" s="235"/>
      <c r="K50" s="235"/>
      <c r="L50" s="235"/>
      <c r="M50" s="235"/>
      <c r="N50" s="235"/>
      <c r="O50" s="235"/>
      <c r="P50" s="235"/>
      <c r="Q50" s="235"/>
      <c r="R50" s="234">
        <v>0</v>
      </c>
      <c r="T50">
        <f t="shared" si="0"/>
        <v>0</v>
      </c>
    </row>
    <row r="51" spans="1:20" x14ac:dyDescent="0.25">
      <c r="A51" s="234">
        <v>50</v>
      </c>
      <c r="B51" s="235" t="s">
        <v>646</v>
      </c>
      <c r="C51" s="235"/>
      <c r="D51" s="235"/>
      <c r="E51" s="235"/>
      <c r="F51" s="235"/>
      <c r="G51" s="235"/>
      <c r="H51" s="235"/>
      <c r="I51" s="235"/>
      <c r="J51" s="235"/>
      <c r="K51" s="235"/>
      <c r="L51" s="235"/>
      <c r="M51" s="235"/>
      <c r="N51" s="235"/>
      <c r="O51" s="235"/>
      <c r="P51" s="235"/>
      <c r="Q51" s="235"/>
      <c r="R51" s="234">
        <v>0</v>
      </c>
      <c r="T51">
        <f t="shared" si="0"/>
        <v>0</v>
      </c>
    </row>
    <row r="52" spans="1:20" x14ac:dyDescent="0.25">
      <c r="A52" s="234">
        <v>51</v>
      </c>
      <c r="B52" s="235" t="s">
        <v>647</v>
      </c>
      <c r="C52" s="235"/>
      <c r="D52" s="235"/>
      <c r="E52" s="235"/>
      <c r="F52" s="235"/>
      <c r="G52" s="235"/>
      <c r="H52" s="235"/>
      <c r="I52" s="235"/>
      <c r="J52" s="235"/>
      <c r="K52" s="235"/>
      <c r="L52" s="235"/>
      <c r="M52" s="235"/>
      <c r="N52" s="235"/>
      <c r="O52" s="235"/>
      <c r="P52" s="235"/>
      <c r="Q52" s="235"/>
      <c r="R52" s="234">
        <v>0</v>
      </c>
      <c r="T52">
        <f t="shared" si="0"/>
        <v>0</v>
      </c>
    </row>
    <row r="53" spans="1:20" x14ac:dyDescent="0.25">
      <c r="A53" s="234">
        <v>52</v>
      </c>
      <c r="B53" s="235" t="s">
        <v>652</v>
      </c>
      <c r="C53" s="235"/>
      <c r="D53" s="235"/>
      <c r="E53" s="235"/>
      <c r="F53" s="235"/>
      <c r="G53" s="235"/>
      <c r="H53" s="235"/>
      <c r="I53" s="235"/>
      <c r="J53" s="235"/>
      <c r="K53" s="235"/>
      <c r="L53" s="235"/>
      <c r="M53" s="235"/>
      <c r="N53" s="235"/>
      <c r="O53" s="235"/>
      <c r="P53" s="235"/>
      <c r="Q53" s="235"/>
      <c r="R53" s="234">
        <v>0</v>
      </c>
      <c r="T53">
        <f t="shared" si="0"/>
        <v>0</v>
      </c>
    </row>
    <row r="54" spans="1:20" x14ac:dyDescent="0.25">
      <c r="A54" s="234">
        <v>53</v>
      </c>
      <c r="B54" s="235" t="s">
        <v>653</v>
      </c>
      <c r="C54" s="235"/>
      <c r="D54" s="235"/>
      <c r="E54" s="235"/>
      <c r="F54" s="235"/>
      <c r="G54" s="235"/>
      <c r="H54" s="235"/>
      <c r="I54" s="235"/>
      <c r="J54" s="235"/>
      <c r="K54" s="235"/>
      <c r="L54" s="235"/>
      <c r="M54" s="235"/>
      <c r="N54" s="235"/>
      <c r="O54" s="235"/>
      <c r="P54" s="235"/>
      <c r="Q54" s="235"/>
      <c r="R54" s="234">
        <v>0</v>
      </c>
      <c r="T54">
        <f t="shared" si="0"/>
        <v>0</v>
      </c>
    </row>
    <row r="55" spans="1:20" x14ac:dyDescent="0.25">
      <c r="A55" s="234">
        <v>54</v>
      </c>
      <c r="B55" s="235" t="s">
        <v>654</v>
      </c>
      <c r="C55" s="235"/>
      <c r="D55" s="235"/>
      <c r="E55" s="235"/>
      <c r="F55" s="235"/>
      <c r="G55" s="235"/>
      <c r="H55" s="235"/>
      <c r="I55" s="235"/>
      <c r="J55" s="235"/>
      <c r="K55" s="235"/>
      <c r="L55" s="235"/>
      <c r="M55" s="235"/>
      <c r="N55" s="235"/>
      <c r="O55" s="235"/>
      <c r="P55" s="235"/>
      <c r="Q55" s="235"/>
      <c r="R55" s="234">
        <v>0</v>
      </c>
      <c r="T55">
        <f t="shared" si="0"/>
        <v>0</v>
      </c>
    </row>
    <row r="56" spans="1:20" x14ac:dyDescent="0.25">
      <c r="A56" s="234">
        <v>55</v>
      </c>
      <c r="B56" s="235" t="s">
        <v>655</v>
      </c>
      <c r="C56" s="235"/>
      <c r="D56" s="235"/>
      <c r="E56" s="235"/>
      <c r="F56" s="235"/>
      <c r="G56" s="235"/>
      <c r="H56" s="235"/>
      <c r="I56" s="235"/>
      <c r="J56" s="235"/>
      <c r="K56" s="235"/>
      <c r="L56" s="235"/>
      <c r="M56" s="235"/>
      <c r="N56" s="235"/>
      <c r="O56" s="235"/>
      <c r="P56" s="235"/>
      <c r="Q56" s="235"/>
      <c r="R56" s="234">
        <v>0</v>
      </c>
      <c r="T56">
        <f t="shared" si="0"/>
        <v>0</v>
      </c>
    </row>
    <row r="57" spans="1:20" x14ac:dyDescent="0.25">
      <c r="A57" s="234">
        <v>56</v>
      </c>
      <c r="B57" s="235" t="s">
        <v>656</v>
      </c>
      <c r="C57" s="235"/>
      <c r="D57" s="235"/>
      <c r="E57" s="235"/>
      <c r="F57" s="235"/>
      <c r="G57" s="235"/>
      <c r="H57" s="235"/>
      <c r="I57" s="235"/>
      <c r="J57" s="235"/>
      <c r="K57" s="235"/>
      <c r="L57" s="235"/>
      <c r="M57" s="235"/>
      <c r="N57" s="235"/>
      <c r="O57" s="235"/>
      <c r="P57" s="235"/>
      <c r="Q57" s="235"/>
      <c r="R57" s="234">
        <v>0</v>
      </c>
      <c r="T57">
        <f t="shared" si="0"/>
        <v>0</v>
      </c>
    </row>
    <row r="58" spans="1:20" x14ac:dyDescent="0.25">
      <c r="A58" s="234">
        <v>57</v>
      </c>
      <c r="B58" s="235" t="s">
        <v>657</v>
      </c>
      <c r="C58" s="235"/>
      <c r="D58" s="235"/>
      <c r="E58" s="235"/>
      <c r="F58" s="235"/>
      <c r="G58" s="235"/>
      <c r="H58" s="235"/>
      <c r="I58" s="235"/>
      <c r="J58" s="235"/>
      <c r="K58" s="235"/>
      <c r="L58" s="235"/>
      <c r="M58" s="235"/>
      <c r="N58" s="235"/>
      <c r="O58" s="235"/>
      <c r="P58" s="235"/>
      <c r="Q58" s="235"/>
      <c r="R58" s="234">
        <v>0</v>
      </c>
      <c r="T58">
        <f t="shared" si="0"/>
        <v>0</v>
      </c>
    </row>
    <row r="59" spans="1:20" x14ac:dyDescent="0.25">
      <c r="A59" s="234">
        <v>58</v>
      </c>
      <c r="B59" s="235" t="s">
        <v>658</v>
      </c>
      <c r="C59" s="235"/>
      <c r="D59" s="235"/>
      <c r="E59" s="235"/>
      <c r="F59" s="235"/>
      <c r="G59" s="235"/>
      <c r="H59" s="235"/>
      <c r="I59" s="235"/>
      <c r="J59" s="235"/>
      <c r="K59" s="235"/>
      <c r="L59" s="235"/>
      <c r="M59" s="235"/>
      <c r="N59" s="235"/>
      <c r="O59" s="235"/>
      <c r="P59" s="235"/>
      <c r="Q59" s="235"/>
      <c r="R59" s="234">
        <v>0</v>
      </c>
      <c r="T59">
        <f t="shared" si="0"/>
        <v>0</v>
      </c>
    </row>
    <row r="60" spans="1:20" x14ac:dyDescent="0.25">
      <c r="A60" s="234">
        <v>59</v>
      </c>
      <c r="B60" s="235" t="s">
        <v>659</v>
      </c>
      <c r="C60" s="235"/>
      <c r="D60" s="235"/>
      <c r="E60" s="235"/>
      <c r="F60" s="235"/>
      <c r="G60" s="235"/>
      <c r="H60" s="235"/>
      <c r="I60" s="235"/>
      <c r="J60" s="235"/>
      <c r="K60" s="235"/>
      <c r="L60" s="235"/>
      <c r="M60" s="235" t="s">
        <v>54</v>
      </c>
      <c r="N60" s="235"/>
      <c r="O60" s="235"/>
      <c r="P60" s="235"/>
      <c r="Q60" s="235"/>
      <c r="R60" s="236">
        <v>24</v>
      </c>
      <c r="T60">
        <f t="shared" si="0"/>
        <v>24</v>
      </c>
    </row>
    <row r="61" spans="1:20" x14ac:dyDescent="0.25">
      <c r="A61" s="234">
        <v>60</v>
      </c>
      <c r="B61" s="235" t="s">
        <v>660</v>
      </c>
      <c r="C61" s="235"/>
      <c r="D61" s="235"/>
      <c r="E61" s="235"/>
      <c r="F61" s="235"/>
      <c r="G61" s="235"/>
      <c r="H61" s="235"/>
      <c r="I61" s="235"/>
      <c r="J61" s="235"/>
      <c r="K61" s="235"/>
      <c r="L61" s="235"/>
      <c r="M61" s="235" t="s">
        <v>54</v>
      </c>
      <c r="N61" s="235"/>
      <c r="O61" s="235"/>
      <c r="P61" s="235"/>
      <c r="Q61" s="235"/>
      <c r="R61" s="236">
        <v>24</v>
      </c>
      <c r="T61">
        <f t="shared" si="0"/>
        <v>24</v>
      </c>
    </row>
    <row r="62" spans="1:20" x14ac:dyDescent="0.25">
      <c r="A62" s="234">
        <v>61</v>
      </c>
      <c r="B62" s="235" t="s">
        <v>661</v>
      </c>
      <c r="C62" s="235"/>
      <c r="D62" s="235"/>
      <c r="E62" s="235"/>
      <c r="F62" s="235"/>
      <c r="G62" s="235"/>
      <c r="H62" s="235"/>
      <c r="I62" s="235"/>
      <c r="J62" s="235"/>
      <c r="K62" s="235"/>
      <c r="L62" s="235"/>
      <c r="M62" s="235"/>
      <c r="N62" s="235"/>
      <c r="O62" s="235"/>
      <c r="P62" s="235"/>
      <c r="Q62" s="235"/>
      <c r="R62" s="234">
        <v>0</v>
      </c>
      <c r="T62">
        <f t="shared" si="0"/>
        <v>0</v>
      </c>
    </row>
    <row r="63" spans="1:20" x14ac:dyDescent="0.25">
      <c r="A63" s="234">
        <v>62</v>
      </c>
      <c r="B63" s="235" t="s">
        <v>662</v>
      </c>
      <c r="C63" s="235"/>
      <c r="D63" s="235"/>
      <c r="E63" s="235"/>
      <c r="F63" s="235"/>
      <c r="G63" s="235"/>
      <c r="H63" s="235"/>
      <c r="I63" s="235"/>
      <c r="J63" s="235"/>
      <c r="K63" s="235"/>
      <c r="L63" s="235"/>
      <c r="M63" s="235"/>
      <c r="N63" s="235"/>
      <c r="O63" s="235"/>
      <c r="P63" s="235"/>
      <c r="Q63" s="235"/>
      <c r="R63" s="234">
        <v>0</v>
      </c>
      <c r="T63">
        <f t="shared" si="0"/>
        <v>0</v>
      </c>
    </row>
    <row r="64" spans="1:20" x14ac:dyDescent="0.25">
      <c r="A64" s="234">
        <v>63</v>
      </c>
      <c r="B64" s="235" t="s">
        <v>668</v>
      </c>
      <c r="C64" s="235"/>
      <c r="D64" s="235"/>
      <c r="E64" s="235"/>
      <c r="F64" s="235"/>
      <c r="G64" s="235"/>
      <c r="H64" s="235"/>
      <c r="I64" s="235"/>
      <c r="J64" s="235"/>
      <c r="K64" s="235"/>
      <c r="L64" s="235"/>
      <c r="M64" s="235"/>
      <c r="N64" s="235"/>
      <c r="O64" s="235"/>
      <c r="P64" s="235"/>
      <c r="Q64" s="235"/>
      <c r="R64" s="234">
        <v>0</v>
      </c>
      <c r="T64">
        <f t="shared" si="0"/>
        <v>0</v>
      </c>
    </row>
    <row r="65" spans="1:18" x14ac:dyDescent="0.25">
      <c r="A65" s="233"/>
      <c r="B65" s="233"/>
      <c r="C65" s="233"/>
      <c r="D65" s="233"/>
      <c r="E65" s="233"/>
      <c r="F65" s="233"/>
      <c r="G65" s="233"/>
      <c r="H65" s="233"/>
      <c r="I65" s="233"/>
      <c r="J65" s="233"/>
      <c r="K65" s="233"/>
      <c r="L65" s="233"/>
      <c r="M65" s="233"/>
      <c r="N65" s="233"/>
      <c r="O65" s="233"/>
      <c r="P65" s="233"/>
      <c r="Q65" s="233"/>
      <c r="R65" s="237">
        <v>96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T65"/>
  <sheetViews>
    <sheetView topLeftCell="K1" workbookViewId="0">
      <selection activeCell="T2" sqref="T2:T64"/>
    </sheetView>
  </sheetViews>
  <sheetFormatPr defaultRowHeight="15" x14ac:dyDescent="0.25"/>
  <sheetData>
    <row r="1" spans="1:20" x14ac:dyDescent="0.25">
      <c r="A1" s="238" t="s">
        <v>1</v>
      </c>
      <c r="B1" s="238" t="s">
        <v>6</v>
      </c>
      <c r="C1" s="238" t="s">
        <v>46</v>
      </c>
      <c r="D1" s="238" t="s">
        <v>47</v>
      </c>
      <c r="E1" s="238" t="s">
        <v>48</v>
      </c>
      <c r="F1" s="238" t="s">
        <v>49</v>
      </c>
      <c r="G1" s="238" t="s">
        <v>50</v>
      </c>
      <c r="H1" s="238" t="s">
        <v>51</v>
      </c>
      <c r="I1" s="238" t="s">
        <v>52</v>
      </c>
      <c r="J1" s="238" t="s">
        <v>53</v>
      </c>
      <c r="K1" s="238" t="s">
        <v>54</v>
      </c>
      <c r="L1" s="238" t="s">
        <v>55</v>
      </c>
      <c r="M1" s="238" t="s">
        <v>56</v>
      </c>
      <c r="N1" s="238" t="s">
        <v>57</v>
      </c>
      <c r="O1" s="238" t="s">
        <v>58</v>
      </c>
      <c r="P1" s="238" t="s">
        <v>59</v>
      </c>
      <c r="Q1" s="238" t="s">
        <v>667</v>
      </c>
      <c r="R1" s="238" t="s">
        <v>2</v>
      </c>
    </row>
    <row r="2" spans="1:20" x14ac:dyDescent="0.25">
      <c r="A2" s="239">
        <v>1</v>
      </c>
      <c r="B2" s="240" t="s">
        <v>10</v>
      </c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39">
        <v>0</v>
      </c>
      <c r="T2">
        <f t="shared" ref="T2:T64" si="0">C2+D2+E2+F2+G2+H2+I2+J2+K2+L2+M2+N2+O2+P2+Q2</f>
        <v>0</v>
      </c>
    </row>
    <row r="3" spans="1:20" x14ac:dyDescent="0.25">
      <c r="A3" s="239">
        <v>2</v>
      </c>
      <c r="B3" s="240" t="s">
        <v>11</v>
      </c>
      <c r="C3" s="240"/>
      <c r="D3" s="240"/>
      <c r="E3" s="240"/>
      <c r="F3" s="240"/>
      <c r="G3" s="240"/>
      <c r="H3" s="240"/>
      <c r="I3" s="240"/>
      <c r="J3" s="240"/>
      <c r="K3" s="240"/>
      <c r="L3" s="240"/>
      <c r="M3" s="240"/>
      <c r="N3" s="240"/>
      <c r="O3" s="240"/>
      <c r="P3" s="240"/>
      <c r="Q3" s="240"/>
      <c r="R3" s="239">
        <v>0</v>
      </c>
      <c r="T3">
        <f t="shared" si="0"/>
        <v>0</v>
      </c>
    </row>
    <row r="4" spans="1:20" x14ac:dyDescent="0.25">
      <c r="A4" s="239">
        <v>3</v>
      </c>
      <c r="B4" s="240" t="s">
        <v>12</v>
      </c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39">
        <v>0</v>
      </c>
      <c r="T4">
        <f t="shared" si="0"/>
        <v>0</v>
      </c>
    </row>
    <row r="5" spans="1:20" x14ac:dyDescent="0.25">
      <c r="A5" s="239">
        <v>4</v>
      </c>
      <c r="B5" s="240" t="s">
        <v>651</v>
      </c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240"/>
      <c r="P5" s="240"/>
      <c r="Q5" s="240"/>
      <c r="R5" s="239">
        <v>0</v>
      </c>
      <c r="T5">
        <f t="shared" si="0"/>
        <v>0</v>
      </c>
    </row>
    <row r="6" spans="1:20" x14ac:dyDescent="0.25">
      <c r="A6" s="239">
        <v>5</v>
      </c>
      <c r="B6" s="240" t="s">
        <v>14</v>
      </c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39">
        <v>0</v>
      </c>
      <c r="T6">
        <f t="shared" si="0"/>
        <v>0</v>
      </c>
    </row>
    <row r="7" spans="1:20" x14ac:dyDescent="0.25">
      <c r="A7" s="239">
        <v>6</v>
      </c>
      <c r="B7" s="240" t="s">
        <v>15</v>
      </c>
      <c r="C7" s="240"/>
      <c r="D7" s="240"/>
      <c r="E7" s="240"/>
      <c r="F7" s="240"/>
      <c r="G7" s="240"/>
      <c r="H7" s="240"/>
      <c r="I7" s="240"/>
      <c r="J7" s="240"/>
      <c r="K7" s="240"/>
      <c r="L7" s="240"/>
      <c r="M7" s="240"/>
      <c r="N7" s="240"/>
      <c r="O7" s="240"/>
      <c r="P7" s="240"/>
      <c r="Q7" s="240"/>
      <c r="R7" s="239">
        <v>0</v>
      </c>
      <c r="T7">
        <f t="shared" si="0"/>
        <v>0</v>
      </c>
    </row>
    <row r="8" spans="1:20" x14ac:dyDescent="0.25">
      <c r="A8" s="239">
        <v>7</v>
      </c>
      <c r="B8" s="240" t="s">
        <v>16</v>
      </c>
      <c r="C8" s="240"/>
      <c r="D8" s="240"/>
      <c r="E8" s="240"/>
      <c r="F8" s="240"/>
      <c r="G8" s="240"/>
      <c r="H8" s="240"/>
      <c r="I8" s="240"/>
      <c r="J8" s="240"/>
      <c r="K8" s="240"/>
      <c r="L8" s="240"/>
      <c r="M8" s="240"/>
      <c r="N8" s="240"/>
      <c r="O8" s="240"/>
      <c r="P8" s="240"/>
      <c r="Q8" s="240"/>
      <c r="R8" s="239">
        <v>0</v>
      </c>
      <c r="T8">
        <f t="shared" si="0"/>
        <v>0</v>
      </c>
    </row>
    <row r="9" spans="1:20" x14ac:dyDescent="0.25">
      <c r="A9" s="239">
        <v>8</v>
      </c>
      <c r="B9" s="240" t="s">
        <v>4</v>
      </c>
      <c r="C9" s="240"/>
      <c r="D9" s="240"/>
      <c r="E9" s="240"/>
      <c r="F9" s="240"/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0"/>
      <c r="R9" s="239">
        <v>0</v>
      </c>
      <c r="T9">
        <f t="shared" si="0"/>
        <v>0</v>
      </c>
    </row>
    <row r="10" spans="1:20" x14ac:dyDescent="0.25">
      <c r="A10" s="239">
        <v>9</v>
      </c>
      <c r="B10" s="240" t="s">
        <v>5</v>
      </c>
      <c r="C10" s="240"/>
      <c r="D10" s="240"/>
      <c r="E10" s="240"/>
      <c r="F10" s="240"/>
      <c r="G10" s="240"/>
      <c r="H10" s="240"/>
      <c r="I10" s="240"/>
      <c r="J10" s="240"/>
      <c r="K10" s="240"/>
      <c r="L10" s="240"/>
      <c r="M10" s="240"/>
      <c r="N10" s="240"/>
      <c r="O10" s="240"/>
      <c r="P10" s="240"/>
      <c r="Q10" s="240"/>
      <c r="R10" s="239">
        <v>0</v>
      </c>
      <c r="T10">
        <f t="shared" si="0"/>
        <v>0</v>
      </c>
    </row>
    <row r="11" spans="1:20" x14ac:dyDescent="0.25">
      <c r="A11" s="239">
        <v>10</v>
      </c>
      <c r="B11" s="240" t="s">
        <v>38</v>
      </c>
      <c r="C11" s="240"/>
      <c r="D11" s="240"/>
      <c r="E11" s="240"/>
      <c r="F11" s="240"/>
      <c r="G11" s="240"/>
      <c r="H11" s="240"/>
      <c r="I11" s="240"/>
      <c r="J11" s="240"/>
      <c r="K11" s="240"/>
      <c r="L11" s="240"/>
      <c r="M11" s="240"/>
      <c r="N11" s="240"/>
      <c r="O11" s="240"/>
      <c r="P11" s="240"/>
      <c r="Q11" s="240"/>
      <c r="R11" s="239">
        <v>0</v>
      </c>
      <c r="T11">
        <f t="shared" si="0"/>
        <v>0</v>
      </c>
    </row>
    <row r="12" spans="1:20" x14ac:dyDescent="0.25">
      <c r="A12" s="239">
        <v>11</v>
      </c>
      <c r="B12" s="240" t="s">
        <v>43</v>
      </c>
      <c r="C12" s="240"/>
      <c r="D12" s="240"/>
      <c r="E12" s="240"/>
      <c r="F12" s="240"/>
      <c r="G12" s="240"/>
      <c r="H12" s="240"/>
      <c r="I12" s="240"/>
      <c r="J12" s="240"/>
      <c r="K12" s="240"/>
      <c r="L12" s="240"/>
      <c r="M12" s="240"/>
      <c r="N12" s="240"/>
      <c r="O12" s="240"/>
      <c r="P12" s="240"/>
      <c r="Q12" s="240"/>
      <c r="R12" s="239">
        <v>0</v>
      </c>
      <c r="T12">
        <f t="shared" si="0"/>
        <v>0</v>
      </c>
    </row>
    <row r="13" spans="1:20" x14ac:dyDescent="0.25">
      <c r="A13" s="239">
        <v>12</v>
      </c>
      <c r="B13" s="240" t="s">
        <v>639</v>
      </c>
      <c r="C13" s="240"/>
      <c r="D13" s="240"/>
      <c r="E13" s="240"/>
      <c r="F13" s="240"/>
      <c r="G13" s="240"/>
      <c r="H13" s="240"/>
      <c r="I13" s="240"/>
      <c r="J13" s="240"/>
      <c r="K13" s="240"/>
      <c r="L13" s="240"/>
      <c r="M13" s="240"/>
      <c r="N13" s="240"/>
      <c r="O13" s="240"/>
      <c r="P13" s="240"/>
      <c r="Q13" s="240"/>
      <c r="R13" s="239">
        <v>0</v>
      </c>
      <c r="T13">
        <f t="shared" si="0"/>
        <v>0</v>
      </c>
    </row>
    <row r="14" spans="1:20" x14ac:dyDescent="0.25">
      <c r="A14" s="239">
        <v>13</v>
      </c>
      <c r="B14" s="240" t="s">
        <v>87</v>
      </c>
      <c r="C14" s="240"/>
      <c r="D14" s="240"/>
      <c r="E14" s="240"/>
      <c r="F14" s="240"/>
      <c r="G14" s="240"/>
      <c r="H14" s="240"/>
      <c r="I14" s="240"/>
      <c r="J14" s="240"/>
      <c r="K14" s="240"/>
      <c r="L14" s="240"/>
      <c r="M14" s="240"/>
      <c r="N14" s="240"/>
      <c r="O14" s="240"/>
      <c r="P14" s="240"/>
      <c r="Q14" s="240"/>
      <c r="R14" s="239">
        <v>0</v>
      </c>
      <c r="T14">
        <f t="shared" si="0"/>
        <v>0</v>
      </c>
    </row>
    <row r="15" spans="1:20" x14ac:dyDescent="0.25">
      <c r="A15" s="239">
        <v>14</v>
      </c>
      <c r="B15" s="240" t="s">
        <v>95</v>
      </c>
      <c r="C15" s="240"/>
      <c r="D15" s="240"/>
      <c r="E15" s="240"/>
      <c r="F15" s="240"/>
      <c r="G15" s="240"/>
      <c r="H15" s="240"/>
      <c r="I15" s="240"/>
      <c r="J15" s="240"/>
      <c r="K15" s="240"/>
      <c r="L15" s="240"/>
      <c r="M15" s="240"/>
      <c r="N15" s="240"/>
      <c r="O15" s="240"/>
      <c r="P15" s="240"/>
      <c r="Q15" s="240"/>
      <c r="R15" s="239">
        <v>0</v>
      </c>
      <c r="T15">
        <f t="shared" si="0"/>
        <v>0</v>
      </c>
    </row>
    <row r="16" spans="1:20" x14ac:dyDescent="0.25">
      <c r="A16" s="239">
        <v>15</v>
      </c>
      <c r="B16" s="240" t="s">
        <v>96</v>
      </c>
      <c r="C16" s="240"/>
      <c r="D16" s="240"/>
      <c r="E16" s="240"/>
      <c r="F16" s="240"/>
      <c r="G16" s="240"/>
      <c r="H16" s="240"/>
      <c r="I16" s="240"/>
      <c r="J16" s="240"/>
      <c r="K16" s="240"/>
      <c r="L16" s="240"/>
      <c r="M16" s="240"/>
      <c r="N16" s="240"/>
      <c r="O16" s="240"/>
      <c r="P16" s="240"/>
      <c r="Q16" s="240"/>
      <c r="R16" s="239">
        <v>0</v>
      </c>
      <c r="T16">
        <f t="shared" si="0"/>
        <v>0</v>
      </c>
    </row>
    <row r="17" spans="1:20" x14ac:dyDescent="0.25">
      <c r="A17" s="239">
        <v>16</v>
      </c>
      <c r="B17" s="240" t="s">
        <v>97</v>
      </c>
      <c r="C17" s="240"/>
      <c r="D17" s="240"/>
      <c r="E17" s="240"/>
      <c r="F17" s="240"/>
      <c r="G17" s="240"/>
      <c r="H17" s="240"/>
      <c r="I17" s="240"/>
      <c r="J17" s="240"/>
      <c r="K17" s="240"/>
      <c r="L17" s="240"/>
      <c r="M17" s="240"/>
      <c r="N17" s="240"/>
      <c r="O17" s="240"/>
      <c r="P17" s="240"/>
      <c r="Q17" s="240"/>
      <c r="R17" s="239">
        <v>0</v>
      </c>
      <c r="T17">
        <f t="shared" si="0"/>
        <v>0</v>
      </c>
    </row>
    <row r="18" spans="1:20" x14ac:dyDescent="0.25">
      <c r="A18" s="239">
        <v>17</v>
      </c>
      <c r="B18" s="240" t="s">
        <v>98</v>
      </c>
      <c r="C18" s="240"/>
      <c r="D18" s="240"/>
      <c r="E18" s="240"/>
      <c r="F18" s="240"/>
      <c r="G18" s="240"/>
      <c r="H18" s="240"/>
      <c r="I18" s="240"/>
      <c r="J18" s="240"/>
      <c r="K18" s="240"/>
      <c r="L18" s="240"/>
      <c r="M18" s="240"/>
      <c r="N18" s="240"/>
      <c r="O18" s="240"/>
      <c r="P18" s="240"/>
      <c r="Q18" s="240"/>
      <c r="R18" s="239">
        <v>0</v>
      </c>
      <c r="T18">
        <f t="shared" si="0"/>
        <v>0</v>
      </c>
    </row>
    <row r="19" spans="1:20" x14ac:dyDescent="0.25">
      <c r="A19" s="239">
        <v>18</v>
      </c>
      <c r="B19" s="240" t="s">
        <v>616</v>
      </c>
      <c r="C19" s="240"/>
      <c r="D19" s="240"/>
      <c r="E19" s="240"/>
      <c r="F19" s="240"/>
      <c r="G19" s="240"/>
      <c r="H19" s="240"/>
      <c r="I19" s="240"/>
      <c r="J19" s="240"/>
      <c r="K19" s="240"/>
      <c r="L19" s="240"/>
      <c r="M19" s="240"/>
      <c r="N19" s="240"/>
      <c r="O19" s="240"/>
      <c r="P19" s="240"/>
      <c r="Q19" s="240"/>
      <c r="R19" s="239">
        <v>0</v>
      </c>
      <c r="T19">
        <f t="shared" si="0"/>
        <v>0</v>
      </c>
    </row>
    <row r="20" spans="1:20" x14ac:dyDescent="0.25">
      <c r="A20" s="239">
        <v>19</v>
      </c>
      <c r="B20" s="240" t="s">
        <v>617</v>
      </c>
      <c r="C20" s="240"/>
      <c r="D20" s="240"/>
      <c r="E20" s="240"/>
      <c r="F20" s="240" t="s">
        <v>54</v>
      </c>
      <c r="G20" s="240"/>
      <c r="H20" s="240"/>
      <c r="I20" s="240" t="s">
        <v>54</v>
      </c>
      <c r="J20" s="240"/>
      <c r="K20" s="240"/>
      <c r="L20" s="240"/>
      <c r="M20" s="240"/>
      <c r="N20" s="240"/>
      <c r="O20" s="240"/>
      <c r="P20" s="240"/>
      <c r="Q20" s="240"/>
      <c r="R20" s="241">
        <v>48</v>
      </c>
      <c r="T20">
        <f t="shared" si="0"/>
        <v>48</v>
      </c>
    </row>
    <row r="21" spans="1:20" x14ac:dyDescent="0.25">
      <c r="A21" s="239">
        <v>20</v>
      </c>
      <c r="B21" s="240" t="s">
        <v>626</v>
      </c>
      <c r="C21" s="240"/>
      <c r="D21" s="240"/>
      <c r="E21" s="240"/>
      <c r="F21" s="240"/>
      <c r="G21" s="240"/>
      <c r="H21" s="240"/>
      <c r="I21" s="240"/>
      <c r="J21" s="240"/>
      <c r="K21" s="240"/>
      <c r="L21" s="240"/>
      <c r="M21" s="240"/>
      <c r="N21" s="240"/>
      <c r="O21" s="240"/>
      <c r="P21" s="240"/>
      <c r="Q21" s="240"/>
      <c r="R21" s="239">
        <v>0</v>
      </c>
      <c r="T21">
        <f t="shared" si="0"/>
        <v>0</v>
      </c>
    </row>
    <row r="22" spans="1:20" x14ac:dyDescent="0.25">
      <c r="A22" s="239">
        <v>21</v>
      </c>
      <c r="B22" s="240" t="s">
        <v>618</v>
      </c>
      <c r="C22" s="240"/>
      <c r="D22" s="240"/>
      <c r="E22" s="240"/>
      <c r="F22" s="240" t="s">
        <v>54</v>
      </c>
      <c r="G22" s="240"/>
      <c r="H22" s="240"/>
      <c r="I22" s="240" t="s">
        <v>54</v>
      </c>
      <c r="J22" s="240"/>
      <c r="K22" s="240"/>
      <c r="L22" s="240"/>
      <c r="M22" s="240"/>
      <c r="N22" s="240"/>
      <c r="O22" s="240"/>
      <c r="P22" s="240"/>
      <c r="Q22" s="240"/>
      <c r="R22" s="241">
        <v>48</v>
      </c>
      <c r="T22">
        <f t="shared" si="0"/>
        <v>48</v>
      </c>
    </row>
    <row r="23" spans="1:20" x14ac:dyDescent="0.25">
      <c r="A23" s="239">
        <v>22</v>
      </c>
      <c r="B23" s="240" t="s">
        <v>619</v>
      </c>
      <c r="C23" s="240"/>
      <c r="D23" s="240"/>
      <c r="E23" s="240"/>
      <c r="F23" s="240"/>
      <c r="G23" s="240"/>
      <c r="H23" s="240"/>
      <c r="I23" s="240"/>
      <c r="J23" s="240"/>
      <c r="K23" s="240"/>
      <c r="L23" s="240"/>
      <c r="M23" s="240"/>
      <c r="N23" s="240"/>
      <c r="O23" s="240"/>
      <c r="P23" s="240"/>
      <c r="Q23" s="240"/>
      <c r="R23" s="239">
        <v>0</v>
      </c>
      <c r="T23">
        <f t="shared" si="0"/>
        <v>0</v>
      </c>
    </row>
    <row r="24" spans="1:20" x14ac:dyDescent="0.25">
      <c r="A24" s="239">
        <v>23</v>
      </c>
      <c r="B24" s="240" t="s">
        <v>620</v>
      </c>
      <c r="C24" s="240"/>
      <c r="D24" s="240"/>
      <c r="E24" s="240"/>
      <c r="F24" s="240"/>
      <c r="G24" s="240"/>
      <c r="H24" s="240"/>
      <c r="I24" s="240"/>
      <c r="J24" s="240"/>
      <c r="K24" s="240"/>
      <c r="L24" s="240"/>
      <c r="M24" s="240"/>
      <c r="N24" s="240"/>
      <c r="O24" s="240"/>
      <c r="P24" s="240"/>
      <c r="Q24" s="240"/>
      <c r="R24" s="239">
        <v>0</v>
      </c>
      <c r="T24">
        <f t="shared" si="0"/>
        <v>0</v>
      </c>
    </row>
    <row r="25" spans="1:20" x14ac:dyDescent="0.25">
      <c r="A25" s="239">
        <v>24</v>
      </c>
      <c r="B25" s="240" t="s">
        <v>650</v>
      </c>
      <c r="C25" s="240"/>
      <c r="D25" s="240"/>
      <c r="E25" s="240"/>
      <c r="F25" s="240"/>
      <c r="G25" s="240"/>
      <c r="H25" s="240"/>
      <c r="I25" s="240"/>
      <c r="J25" s="240"/>
      <c r="K25" s="240"/>
      <c r="L25" s="240"/>
      <c r="M25" s="240"/>
      <c r="N25" s="240"/>
      <c r="O25" s="240"/>
      <c r="P25" s="240"/>
      <c r="Q25" s="240"/>
      <c r="R25" s="239">
        <v>0</v>
      </c>
      <c r="T25">
        <f t="shared" si="0"/>
        <v>0</v>
      </c>
    </row>
    <row r="26" spans="1:20" x14ac:dyDescent="0.25">
      <c r="A26" s="239">
        <v>25</v>
      </c>
      <c r="B26" s="240" t="s">
        <v>621</v>
      </c>
      <c r="C26" s="240"/>
      <c r="D26" s="240"/>
      <c r="E26" s="240"/>
      <c r="F26" s="240"/>
      <c r="G26" s="240"/>
      <c r="H26" s="240"/>
      <c r="I26" s="240"/>
      <c r="J26" s="240"/>
      <c r="K26" s="240"/>
      <c r="L26" s="240"/>
      <c r="M26" s="240"/>
      <c r="N26" s="240"/>
      <c r="O26" s="240"/>
      <c r="P26" s="240"/>
      <c r="Q26" s="240"/>
      <c r="R26" s="239">
        <v>0</v>
      </c>
      <c r="T26">
        <f t="shared" si="0"/>
        <v>0</v>
      </c>
    </row>
    <row r="27" spans="1:20" x14ac:dyDescent="0.25">
      <c r="A27" s="239">
        <v>26</v>
      </c>
      <c r="B27" s="240" t="s">
        <v>622</v>
      </c>
      <c r="C27" s="240"/>
      <c r="D27" s="240"/>
      <c r="E27" s="240"/>
      <c r="F27" s="240"/>
      <c r="G27" s="240"/>
      <c r="H27" s="240"/>
      <c r="I27" s="240"/>
      <c r="J27" s="240"/>
      <c r="K27" s="240"/>
      <c r="L27" s="240"/>
      <c r="M27" s="240"/>
      <c r="N27" s="240"/>
      <c r="O27" s="240"/>
      <c r="P27" s="240"/>
      <c r="Q27" s="240"/>
      <c r="R27" s="239">
        <v>0</v>
      </c>
      <c r="T27">
        <f t="shared" si="0"/>
        <v>0</v>
      </c>
    </row>
    <row r="28" spans="1:20" x14ac:dyDescent="0.25">
      <c r="A28" s="239">
        <v>27</v>
      </c>
      <c r="B28" s="240" t="s">
        <v>623</v>
      </c>
      <c r="C28" s="240"/>
      <c r="D28" s="240"/>
      <c r="E28" s="240"/>
      <c r="F28" s="240"/>
      <c r="G28" s="240"/>
      <c r="H28" s="240"/>
      <c r="I28" s="240"/>
      <c r="J28" s="240"/>
      <c r="K28" s="240"/>
      <c r="L28" s="240"/>
      <c r="M28" s="240"/>
      <c r="N28" s="240"/>
      <c r="O28" s="240"/>
      <c r="P28" s="240"/>
      <c r="Q28" s="240"/>
      <c r="R28" s="239">
        <v>0</v>
      </c>
      <c r="T28">
        <f t="shared" si="0"/>
        <v>0</v>
      </c>
    </row>
    <row r="29" spans="1:20" x14ac:dyDescent="0.25">
      <c r="A29" s="239">
        <v>28</v>
      </c>
      <c r="B29" s="240" t="s">
        <v>624</v>
      </c>
      <c r="C29" s="240"/>
      <c r="D29" s="240"/>
      <c r="E29" s="240"/>
      <c r="F29" s="240"/>
      <c r="G29" s="240"/>
      <c r="H29" s="240"/>
      <c r="I29" s="240"/>
      <c r="J29" s="240"/>
      <c r="K29" s="240"/>
      <c r="L29" s="240"/>
      <c r="M29" s="240"/>
      <c r="N29" s="240"/>
      <c r="O29" s="240"/>
      <c r="P29" s="240"/>
      <c r="Q29" s="240"/>
      <c r="R29" s="239">
        <v>0</v>
      </c>
      <c r="T29">
        <f t="shared" si="0"/>
        <v>0</v>
      </c>
    </row>
    <row r="30" spans="1:20" x14ac:dyDescent="0.25">
      <c r="A30" s="239">
        <v>29</v>
      </c>
      <c r="B30" s="240" t="s">
        <v>627</v>
      </c>
      <c r="C30" s="240"/>
      <c r="D30" s="240"/>
      <c r="E30" s="240"/>
      <c r="F30" s="240"/>
      <c r="G30" s="240"/>
      <c r="H30" s="240"/>
      <c r="I30" s="240"/>
      <c r="J30" s="240"/>
      <c r="K30" s="240"/>
      <c r="L30" s="240"/>
      <c r="M30" s="240"/>
      <c r="N30" s="240"/>
      <c r="O30" s="240"/>
      <c r="P30" s="240"/>
      <c r="Q30" s="240"/>
      <c r="R30" s="239">
        <v>0</v>
      </c>
      <c r="T30">
        <f t="shared" si="0"/>
        <v>0</v>
      </c>
    </row>
    <row r="31" spans="1:20" x14ac:dyDescent="0.25">
      <c r="A31" s="239">
        <v>30</v>
      </c>
      <c r="B31" s="240" t="s">
        <v>625</v>
      </c>
      <c r="C31" s="240"/>
      <c r="D31" s="240"/>
      <c r="E31" s="240"/>
      <c r="F31" s="240"/>
      <c r="G31" s="240"/>
      <c r="H31" s="240"/>
      <c r="I31" s="240"/>
      <c r="J31" s="240"/>
      <c r="K31" s="240"/>
      <c r="L31" s="240"/>
      <c r="M31" s="240"/>
      <c r="N31" s="240"/>
      <c r="O31" s="240"/>
      <c r="P31" s="240"/>
      <c r="Q31" s="240"/>
      <c r="R31" s="239">
        <v>0</v>
      </c>
      <c r="T31">
        <f t="shared" si="0"/>
        <v>0</v>
      </c>
    </row>
    <row r="32" spans="1:20" x14ac:dyDescent="0.25">
      <c r="A32" s="239">
        <v>31</v>
      </c>
      <c r="B32" s="240" t="s">
        <v>34</v>
      </c>
      <c r="C32" s="240"/>
      <c r="D32" s="240"/>
      <c r="E32" s="240"/>
      <c r="F32" s="240"/>
      <c r="G32" s="240"/>
      <c r="H32" s="240"/>
      <c r="I32" s="240"/>
      <c r="J32" s="240"/>
      <c r="K32" s="240"/>
      <c r="L32" s="240"/>
      <c r="M32" s="240"/>
      <c r="N32" s="240"/>
      <c r="O32" s="240"/>
      <c r="P32" s="240"/>
      <c r="Q32" s="240"/>
      <c r="R32" s="239">
        <v>0</v>
      </c>
      <c r="T32">
        <f t="shared" si="0"/>
        <v>0</v>
      </c>
    </row>
    <row r="33" spans="1:20" x14ac:dyDescent="0.25">
      <c r="A33" s="239">
        <v>32</v>
      </c>
      <c r="B33" s="240" t="s">
        <v>45</v>
      </c>
      <c r="C33" s="240"/>
      <c r="D33" s="240"/>
      <c r="E33" s="240"/>
      <c r="F33" s="240"/>
      <c r="G33" s="240"/>
      <c r="H33" s="240"/>
      <c r="I33" s="240"/>
      <c r="J33" s="240"/>
      <c r="K33" s="240"/>
      <c r="L33" s="240"/>
      <c r="M33" s="240"/>
      <c r="N33" s="240"/>
      <c r="O33" s="240"/>
      <c r="P33" s="240"/>
      <c r="Q33" s="240"/>
      <c r="R33" s="239">
        <v>0</v>
      </c>
      <c r="T33">
        <f t="shared" si="0"/>
        <v>0</v>
      </c>
    </row>
    <row r="34" spans="1:20" x14ac:dyDescent="0.25">
      <c r="A34" s="239">
        <v>33</v>
      </c>
      <c r="B34" s="240" t="s">
        <v>630</v>
      </c>
      <c r="C34" s="240"/>
      <c r="D34" s="240"/>
      <c r="E34" s="240"/>
      <c r="F34" s="240"/>
      <c r="G34" s="240"/>
      <c r="H34" s="240"/>
      <c r="I34" s="240"/>
      <c r="J34" s="240"/>
      <c r="K34" s="240"/>
      <c r="L34" s="240"/>
      <c r="M34" s="240"/>
      <c r="N34" s="240"/>
      <c r="O34" s="240"/>
      <c r="P34" s="240"/>
      <c r="Q34" s="240"/>
      <c r="R34" s="239">
        <v>0</v>
      </c>
      <c r="T34">
        <f t="shared" si="0"/>
        <v>0</v>
      </c>
    </row>
    <row r="35" spans="1:20" x14ac:dyDescent="0.25">
      <c r="A35" s="239">
        <v>34</v>
      </c>
      <c r="B35" s="240" t="s">
        <v>628</v>
      </c>
      <c r="C35" s="240"/>
      <c r="D35" s="240"/>
      <c r="E35" s="240"/>
      <c r="F35" s="240"/>
      <c r="G35" s="240"/>
      <c r="H35" s="240"/>
      <c r="I35" s="240"/>
      <c r="J35" s="240"/>
      <c r="K35" s="240"/>
      <c r="L35" s="240"/>
      <c r="M35" s="240"/>
      <c r="N35" s="240"/>
      <c r="O35" s="240"/>
      <c r="P35" s="240"/>
      <c r="Q35" s="240"/>
      <c r="R35" s="239">
        <v>0</v>
      </c>
      <c r="T35">
        <f t="shared" si="0"/>
        <v>0</v>
      </c>
    </row>
    <row r="36" spans="1:20" x14ac:dyDescent="0.25">
      <c r="A36" s="239">
        <v>35</v>
      </c>
      <c r="B36" s="240" t="s">
        <v>629</v>
      </c>
      <c r="C36" s="240"/>
      <c r="D36" s="240"/>
      <c r="E36" s="240"/>
      <c r="F36" s="240"/>
      <c r="G36" s="240"/>
      <c r="H36" s="240"/>
      <c r="I36" s="240"/>
      <c r="J36" s="240"/>
      <c r="K36" s="240"/>
      <c r="L36" s="240"/>
      <c r="M36" s="240"/>
      <c r="N36" s="240"/>
      <c r="O36" s="240"/>
      <c r="P36" s="240"/>
      <c r="Q36" s="240"/>
      <c r="R36" s="239">
        <v>0</v>
      </c>
      <c r="T36">
        <f t="shared" si="0"/>
        <v>0</v>
      </c>
    </row>
    <row r="37" spans="1:20" x14ac:dyDescent="0.25">
      <c r="A37" s="239">
        <v>36</v>
      </c>
      <c r="B37" s="240" t="s">
        <v>631</v>
      </c>
      <c r="C37" s="240"/>
      <c r="D37" s="240"/>
      <c r="E37" s="240"/>
      <c r="F37" s="240"/>
      <c r="G37" s="240"/>
      <c r="H37" s="240"/>
      <c r="I37" s="240"/>
      <c r="J37" s="240"/>
      <c r="K37" s="240"/>
      <c r="L37" s="240"/>
      <c r="M37" s="240"/>
      <c r="N37" s="240"/>
      <c r="O37" s="240"/>
      <c r="P37" s="240"/>
      <c r="Q37" s="240"/>
      <c r="R37" s="239">
        <v>0</v>
      </c>
      <c r="T37">
        <f t="shared" si="0"/>
        <v>0</v>
      </c>
    </row>
    <row r="38" spans="1:20" x14ac:dyDescent="0.25">
      <c r="A38" s="239">
        <v>37</v>
      </c>
      <c r="B38" s="240" t="s">
        <v>632</v>
      </c>
      <c r="C38" s="240"/>
      <c r="D38" s="240"/>
      <c r="E38" s="240"/>
      <c r="F38" s="240"/>
      <c r="G38" s="240"/>
      <c r="H38" s="240"/>
      <c r="I38" s="240"/>
      <c r="J38" s="240"/>
      <c r="K38" s="240"/>
      <c r="L38" s="240"/>
      <c r="M38" s="240"/>
      <c r="N38" s="240"/>
      <c r="O38" s="240"/>
      <c r="P38" s="240"/>
      <c r="Q38" s="240"/>
      <c r="R38" s="239">
        <v>0</v>
      </c>
      <c r="T38">
        <f t="shared" si="0"/>
        <v>0</v>
      </c>
    </row>
    <row r="39" spans="1:20" x14ac:dyDescent="0.25">
      <c r="A39" s="239">
        <v>38</v>
      </c>
      <c r="B39" s="240" t="s">
        <v>633</v>
      </c>
      <c r="C39" s="240"/>
      <c r="D39" s="240"/>
      <c r="E39" s="240"/>
      <c r="F39" s="240"/>
      <c r="G39" s="240"/>
      <c r="H39" s="240"/>
      <c r="I39" s="240"/>
      <c r="J39" s="240"/>
      <c r="K39" s="240"/>
      <c r="L39" s="240"/>
      <c r="M39" s="240"/>
      <c r="N39" s="240"/>
      <c r="O39" s="240"/>
      <c r="P39" s="240"/>
      <c r="Q39" s="240"/>
      <c r="R39" s="239">
        <v>0</v>
      </c>
      <c r="T39">
        <f t="shared" si="0"/>
        <v>0</v>
      </c>
    </row>
    <row r="40" spans="1:20" x14ac:dyDescent="0.25">
      <c r="A40" s="239">
        <v>39</v>
      </c>
      <c r="B40" s="240" t="s">
        <v>634</v>
      </c>
      <c r="C40" s="240"/>
      <c r="D40" s="240"/>
      <c r="E40" s="240"/>
      <c r="F40" s="240"/>
      <c r="G40" s="240"/>
      <c r="H40" s="240"/>
      <c r="I40" s="240"/>
      <c r="J40" s="240"/>
      <c r="K40" s="240"/>
      <c r="L40" s="240"/>
      <c r="M40" s="240"/>
      <c r="N40" s="240"/>
      <c r="O40" s="240"/>
      <c r="P40" s="240"/>
      <c r="Q40" s="240"/>
      <c r="R40" s="239">
        <v>0</v>
      </c>
      <c r="T40">
        <f t="shared" si="0"/>
        <v>0</v>
      </c>
    </row>
    <row r="41" spans="1:20" x14ac:dyDescent="0.25">
      <c r="A41" s="239">
        <v>40</v>
      </c>
      <c r="B41" s="240" t="s">
        <v>636</v>
      </c>
      <c r="C41" s="240"/>
      <c r="D41" s="240"/>
      <c r="E41" s="240"/>
      <c r="F41" s="240"/>
      <c r="G41" s="240"/>
      <c r="H41" s="240"/>
      <c r="I41" s="240"/>
      <c r="J41" s="240"/>
      <c r="K41" s="240"/>
      <c r="L41" s="240"/>
      <c r="M41" s="240"/>
      <c r="N41" s="240"/>
      <c r="O41" s="240"/>
      <c r="P41" s="240"/>
      <c r="Q41" s="240"/>
      <c r="R41" s="239">
        <v>0</v>
      </c>
      <c r="T41">
        <f t="shared" si="0"/>
        <v>0</v>
      </c>
    </row>
    <row r="42" spans="1:20" x14ac:dyDescent="0.25">
      <c r="A42" s="239">
        <v>41</v>
      </c>
      <c r="B42" s="240" t="s">
        <v>637</v>
      </c>
      <c r="C42" s="240"/>
      <c r="D42" s="240"/>
      <c r="E42" s="240"/>
      <c r="F42" s="240"/>
      <c r="G42" s="240"/>
      <c r="H42" s="240"/>
      <c r="I42" s="240"/>
      <c r="J42" s="240"/>
      <c r="K42" s="240"/>
      <c r="L42" s="240"/>
      <c r="M42" s="240"/>
      <c r="N42" s="240"/>
      <c r="O42" s="240"/>
      <c r="P42" s="240"/>
      <c r="Q42" s="240"/>
      <c r="R42" s="239">
        <v>0</v>
      </c>
      <c r="T42">
        <f t="shared" si="0"/>
        <v>0</v>
      </c>
    </row>
    <row r="43" spans="1:20" x14ac:dyDescent="0.25">
      <c r="A43" s="239">
        <v>42</v>
      </c>
      <c r="B43" s="240" t="s">
        <v>640</v>
      </c>
      <c r="C43" s="240"/>
      <c r="D43" s="240"/>
      <c r="E43" s="240"/>
      <c r="F43" s="240"/>
      <c r="G43" s="240"/>
      <c r="H43" s="240"/>
      <c r="I43" s="240"/>
      <c r="J43" s="240"/>
      <c r="K43" s="240"/>
      <c r="L43" s="240"/>
      <c r="M43" s="240"/>
      <c r="N43" s="240"/>
      <c r="O43" s="240"/>
      <c r="P43" s="240"/>
      <c r="Q43" s="240"/>
      <c r="R43" s="239">
        <v>0</v>
      </c>
      <c r="T43">
        <f t="shared" si="0"/>
        <v>0</v>
      </c>
    </row>
    <row r="44" spans="1:20" x14ac:dyDescent="0.25">
      <c r="A44" s="239">
        <v>43</v>
      </c>
      <c r="B44" s="240" t="s">
        <v>638</v>
      </c>
      <c r="C44" s="240"/>
      <c r="D44" s="240"/>
      <c r="E44" s="240"/>
      <c r="F44" s="240"/>
      <c r="G44" s="240"/>
      <c r="H44" s="240"/>
      <c r="I44" s="240"/>
      <c r="J44" s="240"/>
      <c r="K44" s="240"/>
      <c r="L44" s="240"/>
      <c r="M44" s="240"/>
      <c r="N44" s="240"/>
      <c r="O44" s="240"/>
      <c r="P44" s="240"/>
      <c r="Q44" s="240"/>
      <c r="R44" s="239">
        <v>0</v>
      </c>
      <c r="T44">
        <f t="shared" si="0"/>
        <v>0</v>
      </c>
    </row>
    <row r="45" spans="1:20" x14ac:dyDescent="0.25">
      <c r="A45" s="239">
        <v>44</v>
      </c>
      <c r="B45" s="240" t="s">
        <v>635</v>
      </c>
      <c r="C45" s="240"/>
      <c r="D45" s="240"/>
      <c r="E45" s="240"/>
      <c r="F45" s="240"/>
      <c r="G45" s="240"/>
      <c r="H45" s="240"/>
      <c r="I45" s="240"/>
      <c r="J45" s="240"/>
      <c r="K45" s="240"/>
      <c r="L45" s="240"/>
      <c r="M45" s="240"/>
      <c r="N45" s="240"/>
      <c r="O45" s="240"/>
      <c r="P45" s="240"/>
      <c r="Q45" s="240"/>
      <c r="R45" s="239">
        <v>0</v>
      </c>
      <c r="T45">
        <f t="shared" si="0"/>
        <v>0</v>
      </c>
    </row>
    <row r="46" spans="1:20" x14ac:dyDescent="0.25">
      <c r="A46" s="239">
        <v>45</v>
      </c>
      <c r="B46" s="240" t="s">
        <v>641</v>
      </c>
      <c r="C46" s="240"/>
      <c r="D46" s="240"/>
      <c r="E46" s="240"/>
      <c r="F46" s="240"/>
      <c r="G46" s="240"/>
      <c r="H46" s="240"/>
      <c r="I46" s="240"/>
      <c r="J46" s="240"/>
      <c r="K46" s="240"/>
      <c r="L46" s="240"/>
      <c r="M46" s="240"/>
      <c r="N46" s="240"/>
      <c r="O46" s="240"/>
      <c r="P46" s="240"/>
      <c r="Q46" s="240"/>
      <c r="R46" s="239">
        <v>0</v>
      </c>
      <c r="T46">
        <f t="shared" si="0"/>
        <v>0</v>
      </c>
    </row>
    <row r="47" spans="1:20" x14ac:dyDescent="0.25">
      <c r="A47" s="239">
        <v>46</v>
      </c>
      <c r="B47" s="240" t="s">
        <v>649</v>
      </c>
      <c r="C47" s="240"/>
      <c r="D47" s="240"/>
      <c r="E47" s="240"/>
      <c r="F47" s="240"/>
      <c r="G47" s="240"/>
      <c r="H47" s="240"/>
      <c r="I47" s="240"/>
      <c r="J47" s="240"/>
      <c r="K47" s="240"/>
      <c r="L47" s="240"/>
      <c r="M47" s="240"/>
      <c r="N47" s="240"/>
      <c r="O47" s="240"/>
      <c r="P47" s="240"/>
      <c r="Q47" s="240"/>
      <c r="R47" s="239">
        <v>0</v>
      </c>
      <c r="T47">
        <f t="shared" si="0"/>
        <v>0</v>
      </c>
    </row>
    <row r="48" spans="1:20" x14ac:dyDescent="0.25">
      <c r="A48" s="239">
        <v>47</v>
      </c>
      <c r="B48" s="240" t="s">
        <v>642</v>
      </c>
      <c r="C48" s="240"/>
      <c r="D48" s="240"/>
      <c r="E48" s="240"/>
      <c r="F48" s="240"/>
      <c r="G48" s="240"/>
      <c r="H48" s="240"/>
      <c r="I48" s="240"/>
      <c r="J48" s="240"/>
      <c r="K48" s="240"/>
      <c r="L48" s="240"/>
      <c r="M48" s="240"/>
      <c r="N48" s="240"/>
      <c r="O48" s="240"/>
      <c r="P48" s="240"/>
      <c r="Q48" s="240"/>
      <c r="R48" s="239">
        <v>0</v>
      </c>
      <c r="T48">
        <f t="shared" si="0"/>
        <v>0</v>
      </c>
    </row>
    <row r="49" spans="1:20" x14ac:dyDescent="0.25">
      <c r="A49" s="239">
        <v>48</v>
      </c>
      <c r="B49" s="240" t="s">
        <v>643</v>
      </c>
      <c r="C49" s="240"/>
      <c r="D49" s="240"/>
      <c r="E49" s="240"/>
      <c r="F49" s="240"/>
      <c r="G49" s="240"/>
      <c r="H49" s="240"/>
      <c r="I49" s="240"/>
      <c r="J49" s="240"/>
      <c r="K49" s="240"/>
      <c r="L49" s="240"/>
      <c r="M49" s="240"/>
      <c r="N49" s="240"/>
      <c r="O49" s="240"/>
      <c r="P49" s="240"/>
      <c r="Q49" s="240"/>
      <c r="R49" s="239">
        <v>0</v>
      </c>
      <c r="T49">
        <f t="shared" si="0"/>
        <v>0</v>
      </c>
    </row>
    <row r="50" spans="1:20" x14ac:dyDescent="0.25">
      <c r="A50" s="239">
        <v>49</v>
      </c>
      <c r="B50" s="240" t="s">
        <v>644</v>
      </c>
      <c r="C50" s="240"/>
      <c r="D50" s="240"/>
      <c r="E50" s="240"/>
      <c r="F50" s="240"/>
      <c r="G50" s="240"/>
      <c r="H50" s="240"/>
      <c r="I50" s="240"/>
      <c r="J50" s="240"/>
      <c r="K50" s="240"/>
      <c r="L50" s="240"/>
      <c r="M50" s="240"/>
      <c r="N50" s="240"/>
      <c r="O50" s="240"/>
      <c r="P50" s="240"/>
      <c r="Q50" s="240"/>
      <c r="R50" s="239">
        <v>0</v>
      </c>
      <c r="T50">
        <f t="shared" si="0"/>
        <v>0</v>
      </c>
    </row>
    <row r="51" spans="1:20" x14ac:dyDescent="0.25">
      <c r="A51" s="239">
        <v>50</v>
      </c>
      <c r="B51" s="240" t="s">
        <v>646</v>
      </c>
      <c r="C51" s="240"/>
      <c r="D51" s="240"/>
      <c r="E51" s="240"/>
      <c r="F51" s="240"/>
      <c r="G51" s="240"/>
      <c r="H51" s="240"/>
      <c r="I51" s="240"/>
      <c r="J51" s="240"/>
      <c r="K51" s="240"/>
      <c r="L51" s="240"/>
      <c r="M51" s="240"/>
      <c r="N51" s="240"/>
      <c r="O51" s="240"/>
      <c r="P51" s="240"/>
      <c r="Q51" s="240"/>
      <c r="R51" s="239">
        <v>0</v>
      </c>
      <c r="T51">
        <f t="shared" si="0"/>
        <v>0</v>
      </c>
    </row>
    <row r="52" spans="1:20" x14ac:dyDescent="0.25">
      <c r="A52" s="239">
        <v>51</v>
      </c>
      <c r="B52" s="240" t="s">
        <v>647</v>
      </c>
      <c r="C52" s="240"/>
      <c r="D52" s="240"/>
      <c r="E52" s="240"/>
      <c r="F52" s="240"/>
      <c r="G52" s="240"/>
      <c r="H52" s="240"/>
      <c r="I52" s="240"/>
      <c r="J52" s="240"/>
      <c r="K52" s="240"/>
      <c r="L52" s="240"/>
      <c r="M52" s="240"/>
      <c r="N52" s="240"/>
      <c r="O52" s="240"/>
      <c r="P52" s="240"/>
      <c r="Q52" s="240"/>
      <c r="R52" s="239">
        <v>0</v>
      </c>
      <c r="T52">
        <f t="shared" si="0"/>
        <v>0</v>
      </c>
    </row>
    <row r="53" spans="1:20" x14ac:dyDescent="0.25">
      <c r="A53" s="239">
        <v>52</v>
      </c>
      <c r="B53" s="240" t="s">
        <v>652</v>
      </c>
      <c r="C53" s="240"/>
      <c r="D53" s="240"/>
      <c r="E53" s="240"/>
      <c r="F53" s="240"/>
      <c r="G53" s="240"/>
      <c r="H53" s="240"/>
      <c r="I53" s="240"/>
      <c r="J53" s="240"/>
      <c r="K53" s="240"/>
      <c r="L53" s="240"/>
      <c r="M53" s="240"/>
      <c r="N53" s="240"/>
      <c r="O53" s="240"/>
      <c r="P53" s="240"/>
      <c r="Q53" s="240"/>
      <c r="R53" s="239">
        <v>0</v>
      </c>
      <c r="T53">
        <f t="shared" si="0"/>
        <v>0</v>
      </c>
    </row>
    <row r="54" spans="1:20" x14ac:dyDescent="0.25">
      <c r="A54" s="239">
        <v>53</v>
      </c>
      <c r="B54" s="240" t="s">
        <v>653</v>
      </c>
      <c r="C54" s="240"/>
      <c r="D54" s="240"/>
      <c r="E54" s="240"/>
      <c r="F54" s="240"/>
      <c r="G54" s="240"/>
      <c r="H54" s="240"/>
      <c r="I54" s="240"/>
      <c r="J54" s="240"/>
      <c r="K54" s="240"/>
      <c r="L54" s="240"/>
      <c r="M54" s="240"/>
      <c r="N54" s="240"/>
      <c r="O54" s="240"/>
      <c r="P54" s="240"/>
      <c r="Q54" s="240"/>
      <c r="R54" s="239">
        <v>0</v>
      </c>
      <c r="T54">
        <f t="shared" si="0"/>
        <v>0</v>
      </c>
    </row>
    <row r="55" spans="1:20" x14ac:dyDescent="0.25">
      <c r="A55" s="239">
        <v>54</v>
      </c>
      <c r="B55" s="240" t="s">
        <v>654</v>
      </c>
      <c r="C55" s="240"/>
      <c r="D55" s="240"/>
      <c r="E55" s="240"/>
      <c r="F55" s="240"/>
      <c r="G55" s="240"/>
      <c r="H55" s="240"/>
      <c r="I55" s="240"/>
      <c r="J55" s="240"/>
      <c r="K55" s="240"/>
      <c r="L55" s="240"/>
      <c r="M55" s="240"/>
      <c r="N55" s="240"/>
      <c r="O55" s="240"/>
      <c r="P55" s="240"/>
      <c r="Q55" s="240"/>
      <c r="R55" s="239">
        <v>0</v>
      </c>
      <c r="T55">
        <f t="shared" si="0"/>
        <v>0</v>
      </c>
    </row>
    <row r="56" spans="1:20" x14ac:dyDescent="0.25">
      <c r="A56" s="239">
        <v>55</v>
      </c>
      <c r="B56" s="240" t="s">
        <v>655</v>
      </c>
      <c r="C56" s="240"/>
      <c r="D56" s="240"/>
      <c r="E56" s="240"/>
      <c r="F56" s="240"/>
      <c r="G56" s="240"/>
      <c r="H56" s="240"/>
      <c r="I56" s="240"/>
      <c r="J56" s="240"/>
      <c r="K56" s="240"/>
      <c r="L56" s="240"/>
      <c r="M56" s="240"/>
      <c r="N56" s="240"/>
      <c r="O56" s="240"/>
      <c r="P56" s="240"/>
      <c r="Q56" s="240"/>
      <c r="R56" s="239">
        <v>0</v>
      </c>
      <c r="T56">
        <f t="shared" si="0"/>
        <v>0</v>
      </c>
    </row>
    <row r="57" spans="1:20" x14ac:dyDescent="0.25">
      <c r="A57" s="239">
        <v>56</v>
      </c>
      <c r="B57" s="240" t="s">
        <v>656</v>
      </c>
      <c r="C57" s="240"/>
      <c r="D57" s="240"/>
      <c r="E57" s="240"/>
      <c r="F57" s="240"/>
      <c r="G57" s="240"/>
      <c r="H57" s="240"/>
      <c r="I57" s="240"/>
      <c r="J57" s="240"/>
      <c r="K57" s="240"/>
      <c r="L57" s="240"/>
      <c r="M57" s="240"/>
      <c r="N57" s="240"/>
      <c r="O57" s="240"/>
      <c r="P57" s="240"/>
      <c r="Q57" s="240"/>
      <c r="R57" s="239">
        <v>0</v>
      </c>
      <c r="T57">
        <f t="shared" si="0"/>
        <v>0</v>
      </c>
    </row>
    <row r="58" spans="1:20" x14ac:dyDescent="0.25">
      <c r="A58" s="239">
        <v>57</v>
      </c>
      <c r="B58" s="240" t="s">
        <v>657</v>
      </c>
      <c r="C58" s="240"/>
      <c r="D58" s="240"/>
      <c r="E58" s="240"/>
      <c r="F58" s="240"/>
      <c r="G58" s="240"/>
      <c r="H58" s="240"/>
      <c r="I58" s="240"/>
      <c r="J58" s="240"/>
      <c r="K58" s="240"/>
      <c r="L58" s="240"/>
      <c r="M58" s="240"/>
      <c r="N58" s="240"/>
      <c r="O58" s="240"/>
      <c r="P58" s="240"/>
      <c r="Q58" s="240"/>
      <c r="R58" s="239">
        <v>0</v>
      </c>
      <c r="T58">
        <f t="shared" si="0"/>
        <v>0</v>
      </c>
    </row>
    <row r="59" spans="1:20" x14ac:dyDescent="0.25">
      <c r="A59" s="239">
        <v>58</v>
      </c>
      <c r="B59" s="240" t="s">
        <v>658</v>
      </c>
      <c r="C59" s="240"/>
      <c r="D59" s="240"/>
      <c r="E59" s="240"/>
      <c r="F59" s="240"/>
      <c r="G59" s="240"/>
      <c r="H59" s="240"/>
      <c r="I59" s="240"/>
      <c r="J59" s="240"/>
      <c r="K59" s="240"/>
      <c r="L59" s="240"/>
      <c r="M59" s="240"/>
      <c r="N59" s="240"/>
      <c r="O59" s="240"/>
      <c r="P59" s="240"/>
      <c r="Q59" s="240"/>
      <c r="R59" s="239">
        <v>0</v>
      </c>
      <c r="T59">
        <f t="shared" si="0"/>
        <v>0</v>
      </c>
    </row>
    <row r="60" spans="1:20" x14ac:dyDescent="0.25">
      <c r="A60" s="239">
        <v>59</v>
      </c>
      <c r="B60" s="240" t="s">
        <v>659</v>
      </c>
      <c r="C60" s="240"/>
      <c r="D60" s="240"/>
      <c r="E60" s="240"/>
      <c r="F60" s="240" t="s">
        <v>54</v>
      </c>
      <c r="G60" s="240"/>
      <c r="H60" s="240"/>
      <c r="I60" s="240" t="s">
        <v>54</v>
      </c>
      <c r="J60" s="240"/>
      <c r="K60" s="240"/>
      <c r="L60" s="240"/>
      <c r="M60" s="240"/>
      <c r="N60" s="240"/>
      <c r="O60" s="240"/>
      <c r="P60" s="240"/>
      <c r="Q60" s="240"/>
      <c r="R60" s="241">
        <v>48</v>
      </c>
      <c r="T60">
        <f t="shared" si="0"/>
        <v>48</v>
      </c>
    </row>
    <row r="61" spans="1:20" x14ac:dyDescent="0.25">
      <c r="A61" s="239">
        <v>60</v>
      </c>
      <c r="B61" s="240" t="s">
        <v>660</v>
      </c>
      <c r="C61" s="240"/>
      <c r="D61" s="240"/>
      <c r="E61" s="240"/>
      <c r="F61" s="240" t="s">
        <v>54</v>
      </c>
      <c r="G61" s="240"/>
      <c r="H61" s="240"/>
      <c r="I61" s="240" t="s">
        <v>54</v>
      </c>
      <c r="J61" s="240"/>
      <c r="K61" s="240"/>
      <c r="L61" s="240"/>
      <c r="M61" s="240"/>
      <c r="N61" s="240"/>
      <c r="O61" s="240"/>
      <c r="P61" s="240"/>
      <c r="Q61" s="240"/>
      <c r="R61" s="241">
        <v>48</v>
      </c>
      <c r="T61">
        <f t="shared" si="0"/>
        <v>48</v>
      </c>
    </row>
    <row r="62" spans="1:20" x14ac:dyDescent="0.25">
      <c r="A62" s="239">
        <v>61</v>
      </c>
      <c r="B62" s="240" t="s">
        <v>661</v>
      </c>
      <c r="C62" s="240"/>
      <c r="D62" s="240"/>
      <c r="E62" s="240"/>
      <c r="F62" s="240"/>
      <c r="G62" s="240"/>
      <c r="H62" s="240"/>
      <c r="I62" s="240"/>
      <c r="J62" s="240"/>
      <c r="K62" s="240"/>
      <c r="L62" s="240"/>
      <c r="M62" s="240"/>
      <c r="N62" s="240"/>
      <c r="O62" s="240"/>
      <c r="P62" s="240"/>
      <c r="Q62" s="240"/>
      <c r="R62" s="239">
        <v>0</v>
      </c>
      <c r="T62">
        <f t="shared" si="0"/>
        <v>0</v>
      </c>
    </row>
    <row r="63" spans="1:20" x14ac:dyDescent="0.25">
      <c r="A63" s="239">
        <v>62</v>
      </c>
      <c r="B63" s="240" t="s">
        <v>662</v>
      </c>
      <c r="C63" s="240"/>
      <c r="D63" s="240"/>
      <c r="E63" s="240"/>
      <c r="F63" s="240"/>
      <c r="G63" s="240"/>
      <c r="H63" s="240"/>
      <c r="I63" s="240"/>
      <c r="J63" s="240"/>
      <c r="K63" s="240"/>
      <c r="L63" s="240"/>
      <c r="M63" s="240"/>
      <c r="N63" s="240"/>
      <c r="O63" s="240"/>
      <c r="P63" s="240"/>
      <c r="Q63" s="240"/>
      <c r="R63" s="239">
        <v>0</v>
      </c>
      <c r="T63">
        <f t="shared" si="0"/>
        <v>0</v>
      </c>
    </row>
    <row r="64" spans="1:20" x14ac:dyDescent="0.25">
      <c r="A64" s="239">
        <v>63</v>
      </c>
      <c r="B64" s="240" t="s">
        <v>668</v>
      </c>
      <c r="C64" s="240"/>
      <c r="D64" s="240"/>
      <c r="E64" s="240"/>
      <c r="F64" s="240"/>
      <c r="G64" s="240"/>
      <c r="H64" s="240"/>
      <c r="I64" s="240"/>
      <c r="J64" s="240"/>
      <c r="K64" s="240"/>
      <c r="L64" s="240"/>
      <c r="M64" s="240"/>
      <c r="N64" s="240"/>
      <c r="O64" s="240"/>
      <c r="P64" s="240"/>
      <c r="Q64" s="240"/>
      <c r="R64" s="239">
        <v>0</v>
      </c>
      <c r="T64">
        <f t="shared" si="0"/>
        <v>0</v>
      </c>
    </row>
    <row r="65" spans="1:18" x14ac:dyDescent="0.25">
      <c r="A65" s="238"/>
      <c r="B65" s="238"/>
      <c r="C65" s="238"/>
      <c r="D65" s="238"/>
      <c r="E65" s="238"/>
      <c r="F65" s="238"/>
      <c r="G65" s="238"/>
      <c r="H65" s="238"/>
      <c r="I65" s="238"/>
      <c r="J65" s="238"/>
      <c r="K65" s="238"/>
      <c r="L65" s="238"/>
      <c r="M65" s="238"/>
      <c r="N65" s="238"/>
      <c r="O65" s="238"/>
      <c r="P65" s="238"/>
      <c r="Q65" s="238"/>
      <c r="R65" s="242">
        <v>192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T65"/>
  <sheetViews>
    <sheetView zoomScale="70" zoomScaleNormal="70" workbookViewId="0">
      <selection activeCell="W17" sqref="W17"/>
    </sheetView>
  </sheetViews>
  <sheetFormatPr defaultRowHeight="15" x14ac:dyDescent="0.25"/>
  <cols>
    <col min="2" max="2" width="29.85546875" bestFit="1" customWidth="1"/>
  </cols>
  <sheetData>
    <row r="1" spans="1:20" x14ac:dyDescent="0.25">
      <c r="A1" s="190" t="s">
        <v>1</v>
      </c>
      <c r="B1" s="190" t="s">
        <v>6</v>
      </c>
      <c r="C1" s="190" t="s">
        <v>46</v>
      </c>
      <c r="D1" s="190" t="s">
        <v>47</v>
      </c>
      <c r="E1" s="190" t="s">
        <v>48</v>
      </c>
      <c r="F1" s="190" t="s">
        <v>49</v>
      </c>
      <c r="G1" s="190" t="s">
        <v>50</v>
      </c>
      <c r="H1" s="190" t="s">
        <v>51</v>
      </c>
      <c r="I1" s="190" t="s">
        <v>52</v>
      </c>
      <c r="J1" s="190" t="s">
        <v>53</v>
      </c>
      <c r="K1" s="190" t="s">
        <v>54</v>
      </c>
      <c r="L1" s="190" t="s">
        <v>55</v>
      </c>
      <c r="M1" s="190" t="s">
        <v>56</v>
      </c>
      <c r="N1" s="190" t="s">
        <v>57</v>
      </c>
      <c r="O1" s="190" t="s">
        <v>58</v>
      </c>
      <c r="P1" s="190" t="s">
        <v>59</v>
      </c>
      <c r="Q1" s="190" t="s">
        <v>667</v>
      </c>
      <c r="R1" s="190" t="s">
        <v>2</v>
      </c>
    </row>
    <row r="2" spans="1:20" x14ac:dyDescent="0.25">
      <c r="A2" s="191">
        <v>1</v>
      </c>
      <c r="B2" s="192" t="s">
        <v>10</v>
      </c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1">
        <v>0</v>
      </c>
      <c r="T2">
        <f t="shared" ref="T2:T64" si="0">C2+D2+E2+F2+G2+H2+I2+J2+K2+L2+M2+N2+O2+P2+Q2</f>
        <v>0</v>
      </c>
    </row>
    <row r="3" spans="1:20" x14ac:dyDescent="0.25">
      <c r="A3" s="191">
        <v>2</v>
      </c>
      <c r="B3" s="192" t="s">
        <v>11</v>
      </c>
      <c r="C3" s="192"/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192"/>
      <c r="O3" s="192"/>
      <c r="P3" s="192"/>
      <c r="Q3" s="192"/>
      <c r="R3" s="191">
        <v>0</v>
      </c>
      <c r="T3">
        <f t="shared" si="0"/>
        <v>0</v>
      </c>
    </row>
    <row r="4" spans="1:20" x14ac:dyDescent="0.25">
      <c r="A4" s="191">
        <v>3</v>
      </c>
      <c r="B4" s="192" t="s">
        <v>12</v>
      </c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  <c r="Q4" s="192"/>
      <c r="R4" s="191">
        <v>0</v>
      </c>
      <c r="T4">
        <f t="shared" si="0"/>
        <v>0</v>
      </c>
    </row>
    <row r="5" spans="1:20" x14ac:dyDescent="0.25">
      <c r="A5" s="191">
        <v>4</v>
      </c>
      <c r="B5" s="192" t="s">
        <v>651</v>
      </c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1">
        <v>0</v>
      </c>
      <c r="T5">
        <f t="shared" si="0"/>
        <v>0</v>
      </c>
    </row>
    <row r="6" spans="1:20" x14ac:dyDescent="0.25">
      <c r="A6" s="191">
        <v>5</v>
      </c>
      <c r="B6" s="192" t="s">
        <v>14</v>
      </c>
      <c r="C6" s="192"/>
      <c r="D6" s="192"/>
      <c r="E6" s="192"/>
      <c r="F6" s="192"/>
      <c r="G6" s="192"/>
      <c r="H6" s="192"/>
      <c r="I6" s="192"/>
      <c r="J6" s="192"/>
      <c r="K6" s="192"/>
      <c r="L6" s="192"/>
      <c r="M6" s="192"/>
      <c r="N6" s="192"/>
      <c r="O6" s="192"/>
      <c r="P6" s="192"/>
      <c r="Q6" s="192"/>
      <c r="R6" s="191">
        <v>0</v>
      </c>
      <c r="T6">
        <f t="shared" si="0"/>
        <v>0</v>
      </c>
    </row>
    <row r="7" spans="1:20" x14ac:dyDescent="0.25">
      <c r="A7" s="191">
        <v>6</v>
      </c>
      <c r="B7" s="192" t="s">
        <v>15</v>
      </c>
      <c r="C7" s="192"/>
      <c r="D7" s="192"/>
      <c r="E7" s="192"/>
      <c r="F7" s="192"/>
      <c r="G7" s="192"/>
      <c r="H7" s="192"/>
      <c r="I7" s="192"/>
      <c r="J7" s="192"/>
      <c r="K7" s="192"/>
      <c r="L7" s="192"/>
      <c r="M7" s="192"/>
      <c r="N7" s="192"/>
      <c r="O7" s="192"/>
      <c r="P7" s="192"/>
      <c r="Q7" s="192"/>
      <c r="R7" s="191">
        <v>0</v>
      </c>
      <c r="T7">
        <f t="shared" si="0"/>
        <v>0</v>
      </c>
    </row>
    <row r="8" spans="1:20" x14ac:dyDescent="0.25">
      <c r="A8" s="191">
        <v>7</v>
      </c>
      <c r="B8" s="192" t="s">
        <v>16</v>
      </c>
      <c r="C8" s="192"/>
      <c r="D8" s="192"/>
      <c r="E8" s="192"/>
      <c r="F8" s="192"/>
      <c r="G8" s="192"/>
      <c r="H8" s="192"/>
      <c r="I8" s="192"/>
      <c r="J8" s="192"/>
      <c r="K8" s="192"/>
      <c r="L8" s="192"/>
      <c r="M8" s="192"/>
      <c r="N8" s="192"/>
      <c r="O8" s="192"/>
      <c r="P8" s="192"/>
      <c r="Q8" s="192"/>
      <c r="R8" s="191">
        <v>0</v>
      </c>
      <c r="T8">
        <f t="shared" si="0"/>
        <v>0</v>
      </c>
    </row>
    <row r="9" spans="1:20" x14ac:dyDescent="0.25">
      <c r="A9" s="191">
        <v>8</v>
      </c>
      <c r="B9" s="192" t="s">
        <v>4</v>
      </c>
      <c r="C9" s="192"/>
      <c r="D9" s="192"/>
      <c r="E9" s="192"/>
      <c r="F9" s="192"/>
      <c r="G9" s="192"/>
      <c r="H9" s="192"/>
      <c r="I9" s="192"/>
      <c r="J9" s="192"/>
      <c r="K9" s="192"/>
      <c r="L9" s="192"/>
      <c r="M9" s="192"/>
      <c r="N9" s="192"/>
      <c r="O9" s="192"/>
      <c r="P9" s="192"/>
      <c r="Q9" s="192"/>
      <c r="R9" s="191">
        <v>0</v>
      </c>
      <c r="T9">
        <f t="shared" si="0"/>
        <v>0</v>
      </c>
    </row>
    <row r="10" spans="1:20" x14ac:dyDescent="0.25">
      <c r="A10" s="191">
        <v>9</v>
      </c>
      <c r="B10" s="192" t="s">
        <v>5</v>
      </c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1">
        <v>0</v>
      </c>
      <c r="T10">
        <f t="shared" si="0"/>
        <v>0</v>
      </c>
    </row>
    <row r="11" spans="1:20" x14ac:dyDescent="0.25">
      <c r="A11" s="191">
        <v>10</v>
      </c>
      <c r="B11" s="192" t="s">
        <v>38</v>
      </c>
      <c r="C11" s="192"/>
      <c r="D11" s="192"/>
      <c r="E11" s="192"/>
      <c r="F11" s="192"/>
      <c r="G11" s="192"/>
      <c r="H11" s="192"/>
      <c r="I11" s="192"/>
      <c r="J11" s="192"/>
      <c r="K11" s="192"/>
      <c r="L11" s="192"/>
      <c r="M11" s="192"/>
      <c r="N11" s="192"/>
      <c r="O11" s="192"/>
      <c r="P11" s="192"/>
      <c r="Q11" s="192"/>
      <c r="R11" s="191">
        <v>0</v>
      </c>
      <c r="T11">
        <f t="shared" si="0"/>
        <v>0</v>
      </c>
    </row>
    <row r="12" spans="1:20" x14ac:dyDescent="0.25">
      <c r="A12" s="191">
        <v>11</v>
      </c>
      <c r="B12" s="192" t="s">
        <v>43</v>
      </c>
      <c r="C12" s="192"/>
      <c r="D12" s="192"/>
      <c r="E12" s="192"/>
      <c r="F12" s="192"/>
      <c r="G12" s="192"/>
      <c r="H12" s="192"/>
      <c r="I12" s="192"/>
      <c r="J12" s="192"/>
      <c r="K12" s="192"/>
      <c r="L12" s="192"/>
      <c r="M12" s="192"/>
      <c r="N12" s="192"/>
      <c r="O12" s="192"/>
      <c r="P12" s="192"/>
      <c r="Q12" s="192"/>
      <c r="R12" s="191">
        <v>0</v>
      </c>
      <c r="T12">
        <f t="shared" si="0"/>
        <v>0</v>
      </c>
    </row>
    <row r="13" spans="1:20" x14ac:dyDescent="0.25">
      <c r="A13" s="191">
        <v>12</v>
      </c>
      <c r="B13" s="192" t="s">
        <v>639</v>
      </c>
      <c r="C13" s="192"/>
      <c r="D13" s="192"/>
      <c r="E13" s="192"/>
      <c r="F13" s="192"/>
      <c r="G13" s="192"/>
      <c r="H13" s="192"/>
      <c r="I13" s="192"/>
      <c r="J13" s="192"/>
      <c r="K13" s="192"/>
      <c r="L13" s="192"/>
      <c r="M13" s="192"/>
      <c r="N13" s="192"/>
      <c r="O13" s="192"/>
      <c r="P13" s="192"/>
      <c r="Q13" s="192"/>
      <c r="R13" s="191">
        <v>0</v>
      </c>
      <c r="T13">
        <f t="shared" si="0"/>
        <v>0</v>
      </c>
    </row>
    <row r="14" spans="1:20" x14ac:dyDescent="0.25">
      <c r="A14" s="191">
        <v>13</v>
      </c>
      <c r="B14" s="192" t="s">
        <v>87</v>
      </c>
      <c r="C14" s="192"/>
      <c r="D14" s="192"/>
      <c r="E14" s="192"/>
      <c r="F14" s="192"/>
      <c r="G14" s="192"/>
      <c r="H14" s="192"/>
      <c r="I14" s="192"/>
      <c r="J14" s="192"/>
      <c r="K14" s="192"/>
      <c r="L14" s="192"/>
      <c r="M14" s="192"/>
      <c r="N14" s="192"/>
      <c r="O14" s="192"/>
      <c r="P14" s="192"/>
      <c r="Q14" s="192"/>
      <c r="R14" s="191">
        <v>0</v>
      </c>
      <c r="T14">
        <f t="shared" si="0"/>
        <v>0</v>
      </c>
    </row>
    <row r="15" spans="1:20" x14ac:dyDescent="0.25">
      <c r="A15" s="191">
        <v>14</v>
      </c>
      <c r="B15" s="192" t="s">
        <v>95</v>
      </c>
      <c r="C15" s="192"/>
      <c r="D15" s="192"/>
      <c r="E15" s="192"/>
      <c r="F15" s="192"/>
      <c r="G15" s="192"/>
      <c r="H15" s="192"/>
      <c r="I15" s="192"/>
      <c r="J15" s="192"/>
      <c r="K15" s="192"/>
      <c r="L15" s="192"/>
      <c r="M15" s="192"/>
      <c r="N15" s="192"/>
      <c r="O15" s="192"/>
      <c r="P15" s="192"/>
      <c r="Q15" s="192"/>
      <c r="R15" s="191">
        <v>0</v>
      </c>
      <c r="T15">
        <f t="shared" si="0"/>
        <v>0</v>
      </c>
    </row>
    <row r="16" spans="1:20" x14ac:dyDescent="0.25">
      <c r="A16" s="191">
        <v>15</v>
      </c>
      <c r="B16" s="192" t="s">
        <v>96</v>
      </c>
      <c r="C16" s="192"/>
      <c r="D16" s="192"/>
      <c r="E16" s="192"/>
      <c r="F16" s="192"/>
      <c r="G16" s="192"/>
      <c r="H16" s="192"/>
      <c r="I16" s="192"/>
      <c r="J16" s="192"/>
      <c r="K16" s="192"/>
      <c r="L16" s="192"/>
      <c r="M16" s="192"/>
      <c r="N16" s="192"/>
      <c r="O16" s="192"/>
      <c r="P16" s="192"/>
      <c r="Q16" s="192"/>
      <c r="R16" s="191">
        <v>0</v>
      </c>
      <c r="T16">
        <f t="shared" si="0"/>
        <v>0</v>
      </c>
    </row>
    <row r="17" spans="1:20" x14ac:dyDescent="0.25">
      <c r="A17" s="191">
        <v>16</v>
      </c>
      <c r="B17" s="192" t="s">
        <v>97</v>
      </c>
      <c r="C17" s="192"/>
      <c r="D17" s="192"/>
      <c r="E17" s="192"/>
      <c r="F17" s="192"/>
      <c r="G17" s="192"/>
      <c r="H17" s="192"/>
      <c r="I17" s="192"/>
      <c r="J17" s="192"/>
      <c r="K17" s="192"/>
      <c r="L17" s="192"/>
      <c r="M17" s="192"/>
      <c r="N17" s="192"/>
      <c r="O17" s="192"/>
      <c r="P17" s="192"/>
      <c r="Q17" s="192"/>
      <c r="R17" s="191">
        <v>0</v>
      </c>
      <c r="T17">
        <f t="shared" si="0"/>
        <v>0</v>
      </c>
    </row>
    <row r="18" spans="1:20" x14ac:dyDescent="0.25">
      <c r="A18" s="191">
        <v>17</v>
      </c>
      <c r="B18" s="192" t="s">
        <v>98</v>
      </c>
      <c r="C18" s="192"/>
      <c r="D18" s="192"/>
      <c r="E18" s="192"/>
      <c r="F18" s="192"/>
      <c r="G18" s="192"/>
      <c r="H18" s="192"/>
      <c r="I18" s="192"/>
      <c r="J18" s="192"/>
      <c r="K18" s="192"/>
      <c r="L18" s="192"/>
      <c r="M18" s="192"/>
      <c r="N18" s="192"/>
      <c r="O18" s="192"/>
      <c r="P18" s="192"/>
      <c r="Q18" s="192"/>
      <c r="R18" s="191">
        <v>0</v>
      </c>
      <c r="T18">
        <f t="shared" si="0"/>
        <v>0</v>
      </c>
    </row>
    <row r="19" spans="1:20" x14ac:dyDescent="0.25">
      <c r="A19" s="191">
        <v>18</v>
      </c>
      <c r="B19" s="192" t="s">
        <v>616</v>
      </c>
      <c r="C19" s="192"/>
      <c r="D19" s="192"/>
      <c r="E19" s="192"/>
      <c r="F19" s="192"/>
      <c r="G19" s="192"/>
      <c r="H19" s="192"/>
      <c r="I19" s="192"/>
      <c r="J19" s="192"/>
      <c r="K19" s="192"/>
      <c r="L19" s="192"/>
      <c r="M19" s="192"/>
      <c r="N19" s="192"/>
      <c r="O19" s="192"/>
      <c r="P19" s="192"/>
      <c r="Q19" s="192"/>
      <c r="R19" s="191">
        <v>0</v>
      </c>
      <c r="T19">
        <f t="shared" si="0"/>
        <v>0</v>
      </c>
    </row>
    <row r="20" spans="1:20" x14ac:dyDescent="0.25">
      <c r="A20" s="191">
        <v>19</v>
      </c>
      <c r="B20" s="192" t="s">
        <v>617</v>
      </c>
      <c r="C20" s="192"/>
      <c r="D20" s="192"/>
      <c r="E20" s="192"/>
      <c r="F20" s="192"/>
      <c r="G20" s="192"/>
      <c r="H20" s="192" t="s">
        <v>54</v>
      </c>
      <c r="I20" s="192"/>
      <c r="J20" s="192"/>
      <c r="K20" s="192"/>
      <c r="L20" s="192"/>
      <c r="M20" s="192"/>
      <c r="N20" s="192"/>
      <c r="O20" s="192"/>
      <c r="P20" s="192"/>
      <c r="Q20" s="192"/>
      <c r="R20" s="248">
        <v>24</v>
      </c>
      <c r="T20">
        <f t="shared" si="0"/>
        <v>24</v>
      </c>
    </row>
    <row r="21" spans="1:20" x14ac:dyDescent="0.25">
      <c r="A21" s="191">
        <v>20</v>
      </c>
      <c r="B21" s="192" t="s">
        <v>626</v>
      </c>
      <c r="C21" s="192"/>
      <c r="D21" s="192"/>
      <c r="E21" s="192"/>
      <c r="F21" s="192"/>
      <c r="G21" s="192"/>
      <c r="H21" s="192"/>
      <c r="I21" s="192"/>
      <c r="J21" s="192"/>
      <c r="K21" s="192"/>
      <c r="L21" s="192"/>
      <c r="M21" s="192"/>
      <c r="N21" s="192"/>
      <c r="O21" s="192"/>
      <c r="P21" s="192"/>
      <c r="Q21" s="192"/>
      <c r="R21" s="191">
        <v>0</v>
      </c>
      <c r="T21">
        <f t="shared" si="0"/>
        <v>0</v>
      </c>
    </row>
    <row r="22" spans="1:20" x14ac:dyDescent="0.25">
      <c r="A22" s="191">
        <v>21</v>
      </c>
      <c r="B22" s="192" t="s">
        <v>618</v>
      </c>
      <c r="C22" s="192"/>
      <c r="D22" s="192"/>
      <c r="E22" s="192"/>
      <c r="F22" s="192"/>
      <c r="G22" s="192"/>
      <c r="H22" s="192" t="s">
        <v>54</v>
      </c>
      <c r="I22" s="192"/>
      <c r="J22" s="192"/>
      <c r="K22" s="192"/>
      <c r="L22" s="192"/>
      <c r="M22" s="192"/>
      <c r="N22" s="192"/>
      <c r="O22" s="192"/>
      <c r="P22" s="192"/>
      <c r="Q22" s="192"/>
      <c r="R22" s="248">
        <v>24</v>
      </c>
      <c r="T22">
        <f t="shared" si="0"/>
        <v>24</v>
      </c>
    </row>
    <row r="23" spans="1:20" x14ac:dyDescent="0.25">
      <c r="A23" s="191">
        <v>22</v>
      </c>
      <c r="B23" s="192" t="s">
        <v>619</v>
      </c>
      <c r="C23" s="192" t="s">
        <v>26</v>
      </c>
      <c r="D23" s="192"/>
      <c r="E23" s="192"/>
      <c r="F23" s="192"/>
      <c r="G23" s="192"/>
      <c r="H23" s="192"/>
      <c r="I23" s="192"/>
      <c r="J23" s="192"/>
      <c r="K23" s="192"/>
      <c r="L23" s="192"/>
      <c r="M23" s="192"/>
      <c r="N23" s="192"/>
      <c r="O23" s="192"/>
      <c r="P23" s="192"/>
      <c r="Q23" s="192"/>
      <c r="R23" s="248">
        <v>22</v>
      </c>
      <c r="T23">
        <f t="shared" si="0"/>
        <v>11</v>
      </c>
    </row>
    <row r="24" spans="1:20" x14ac:dyDescent="0.25">
      <c r="A24" s="191">
        <v>23</v>
      </c>
      <c r="B24" s="192" t="s">
        <v>620</v>
      </c>
      <c r="C24" s="192" t="s">
        <v>26</v>
      </c>
      <c r="D24" s="192"/>
      <c r="E24" s="192"/>
      <c r="F24" s="192"/>
      <c r="G24" s="192"/>
      <c r="H24" s="192"/>
      <c r="I24" s="192"/>
      <c r="J24" s="192"/>
      <c r="K24" s="192"/>
      <c r="L24" s="192"/>
      <c r="M24" s="192"/>
      <c r="N24" s="192"/>
      <c r="O24" s="192"/>
      <c r="P24" s="192"/>
      <c r="Q24" s="192"/>
      <c r="R24" s="248">
        <v>22</v>
      </c>
      <c r="T24">
        <f t="shared" si="0"/>
        <v>11</v>
      </c>
    </row>
    <row r="25" spans="1:20" x14ac:dyDescent="0.25">
      <c r="A25" s="191">
        <v>24</v>
      </c>
      <c r="B25" s="192" t="s">
        <v>650</v>
      </c>
      <c r="C25" s="192"/>
      <c r="D25" s="192"/>
      <c r="E25" s="192"/>
      <c r="F25" s="192"/>
      <c r="G25" s="192"/>
      <c r="H25" s="192"/>
      <c r="I25" s="192"/>
      <c r="J25" s="192"/>
      <c r="K25" s="192"/>
      <c r="L25" s="192"/>
      <c r="M25" s="192"/>
      <c r="N25" s="192"/>
      <c r="O25" s="192"/>
      <c r="P25" s="192"/>
      <c r="Q25" s="192"/>
      <c r="R25" s="191">
        <v>0</v>
      </c>
      <c r="T25">
        <f t="shared" si="0"/>
        <v>0</v>
      </c>
    </row>
    <row r="26" spans="1:20" x14ac:dyDescent="0.25">
      <c r="A26" s="191">
        <v>25</v>
      </c>
      <c r="B26" s="192" t="s">
        <v>621</v>
      </c>
      <c r="C26" s="192"/>
      <c r="D26" s="192"/>
      <c r="E26" s="192"/>
      <c r="F26" s="192"/>
      <c r="G26" s="192"/>
      <c r="H26" s="192"/>
      <c r="I26" s="192"/>
      <c r="J26" s="192"/>
      <c r="K26" s="192"/>
      <c r="L26" s="192"/>
      <c r="M26" s="192"/>
      <c r="N26" s="192"/>
      <c r="O26" s="192"/>
      <c r="P26" s="192"/>
      <c r="Q26" s="192"/>
      <c r="R26" s="191">
        <v>0</v>
      </c>
      <c r="T26">
        <f t="shared" si="0"/>
        <v>0</v>
      </c>
    </row>
    <row r="27" spans="1:20" x14ac:dyDescent="0.25">
      <c r="A27" s="191">
        <v>26</v>
      </c>
      <c r="B27" s="192" t="s">
        <v>622</v>
      </c>
      <c r="C27" s="192"/>
      <c r="D27" s="192"/>
      <c r="E27" s="192"/>
      <c r="F27" s="192"/>
      <c r="G27" s="192"/>
      <c r="H27" s="192"/>
      <c r="I27" s="192"/>
      <c r="J27" s="192"/>
      <c r="K27" s="192"/>
      <c r="L27" s="192"/>
      <c r="M27" s="192"/>
      <c r="N27" s="192"/>
      <c r="O27" s="192"/>
      <c r="P27" s="192"/>
      <c r="Q27" s="192"/>
      <c r="R27" s="191">
        <v>0</v>
      </c>
      <c r="T27">
        <f t="shared" si="0"/>
        <v>0</v>
      </c>
    </row>
    <row r="28" spans="1:20" x14ac:dyDescent="0.25">
      <c r="A28" s="191">
        <v>27</v>
      </c>
      <c r="B28" s="192" t="s">
        <v>623</v>
      </c>
      <c r="C28" s="192"/>
      <c r="D28" s="192"/>
      <c r="E28" s="192"/>
      <c r="F28" s="192"/>
      <c r="G28" s="192"/>
      <c r="H28" s="192"/>
      <c r="I28" s="192"/>
      <c r="J28" s="192"/>
      <c r="K28" s="192"/>
      <c r="L28" s="192"/>
      <c r="M28" s="192"/>
      <c r="N28" s="192"/>
      <c r="O28" s="192"/>
      <c r="P28" s="192"/>
      <c r="Q28" s="192"/>
      <c r="R28" s="191">
        <v>0</v>
      </c>
      <c r="T28">
        <f t="shared" si="0"/>
        <v>0</v>
      </c>
    </row>
    <row r="29" spans="1:20" x14ac:dyDescent="0.25">
      <c r="A29" s="191">
        <v>28</v>
      </c>
      <c r="B29" s="192" t="s">
        <v>624</v>
      </c>
      <c r="C29" s="192"/>
      <c r="D29" s="192"/>
      <c r="E29" s="192"/>
      <c r="F29" s="192"/>
      <c r="G29" s="192"/>
      <c r="H29" s="192"/>
      <c r="I29" s="192"/>
      <c r="J29" s="192"/>
      <c r="K29" s="192"/>
      <c r="L29" s="192"/>
      <c r="M29" s="192"/>
      <c r="N29" s="192"/>
      <c r="O29" s="192"/>
      <c r="P29" s="192"/>
      <c r="Q29" s="192"/>
      <c r="R29" s="191">
        <v>0</v>
      </c>
      <c r="T29">
        <f t="shared" si="0"/>
        <v>0</v>
      </c>
    </row>
    <row r="30" spans="1:20" x14ac:dyDescent="0.25">
      <c r="A30" s="191">
        <v>29</v>
      </c>
      <c r="B30" s="192" t="s">
        <v>627</v>
      </c>
      <c r="C30" s="192"/>
      <c r="D30" s="192"/>
      <c r="E30" s="192"/>
      <c r="F30" s="192"/>
      <c r="G30" s="192"/>
      <c r="H30" s="192"/>
      <c r="I30" s="192"/>
      <c r="J30" s="192"/>
      <c r="K30" s="192"/>
      <c r="L30" s="192"/>
      <c r="M30" s="192"/>
      <c r="N30" s="192"/>
      <c r="O30" s="192"/>
      <c r="P30" s="192"/>
      <c r="Q30" s="192"/>
      <c r="R30" s="191">
        <v>0</v>
      </c>
      <c r="T30">
        <f t="shared" si="0"/>
        <v>0</v>
      </c>
    </row>
    <row r="31" spans="1:20" x14ac:dyDescent="0.25">
      <c r="A31" s="191">
        <v>30</v>
      </c>
      <c r="B31" s="192" t="s">
        <v>625</v>
      </c>
      <c r="C31" s="192"/>
      <c r="D31" s="192"/>
      <c r="E31" s="192"/>
      <c r="F31" s="192"/>
      <c r="G31" s="192"/>
      <c r="H31" s="192"/>
      <c r="I31" s="192"/>
      <c r="J31" s="192"/>
      <c r="K31" s="192"/>
      <c r="L31" s="192"/>
      <c r="M31" s="192"/>
      <c r="N31" s="192"/>
      <c r="O31" s="192"/>
      <c r="P31" s="192"/>
      <c r="Q31" s="192"/>
      <c r="R31" s="191">
        <v>0</v>
      </c>
      <c r="T31">
        <f t="shared" si="0"/>
        <v>0</v>
      </c>
    </row>
    <row r="32" spans="1:20" x14ac:dyDescent="0.25">
      <c r="A32" s="191">
        <v>31</v>
      </c>
      <c r="B32" s="192" t="s">
        <v>34</v>
      </c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2"/>
      <c r="O32" s="192"/>
      <c r="P32" s="192"/>
      <c r="Q32" s="192"/>
      <c r="R32" s="191">
        <v>0</v>
      </c>
      <c r="T32">
        <f t="shared" si="0"/>
        <v>0</v>
      </c>
    </row>
    <row r="33" spans="1:20" x14ac:dyDescent="0.25">
      <c r="A33" s="191">
        <v>32</v>
      </c>
      <c r="B33" s="192" t="s">
        <v>45</v>
      </c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2"/>
      <c r="O33" s="192"/>
      <c r="P33" s="192"/>
      <c r="Q33" s="192"/>
      <c r="R33" s="191">
        <v>0</v>
      </c>
      <c r="T33">
        <f t="shared" si="0"/>
        <v>0</v>
      </c>
    </row>
    <row r="34" spans="1:20" x14ac:dyDescent="0.25">
      <c r="A34" s="191">
        <v>33</v>
      </c>
      <c r="B34" s="192" t="s">
        <v>630</v>
      </c>
      <c r="C34" s="192"/>
      <c r="D34" s="192"/>
      <c r="E34" s="192"/>
      <c r="F34" s="192"/>
      <c r="G34" s="192"/>
      <c r="H34" s="192"/>
      <c r="I34" s="192"/>
      <c r="J34" s="192"/>
      <c r="K34" s="192"/>
      <c r="L34" s="192"/>
      <c r="M34" s="192"/>
      <c r="N34" s="192"/>
      <c r="O34" s="192"/>
      <c r="P34" s="192"/>
      <c r="Q34" s="192"/>
      <c r="R34" s="191">
        <v>0</v>
      </c>
      <c r="T34">
        <f t="shared" si="0"/>
        <v>0</v>
      </c>
    </row>
    <row r="35" spans="1:20" x14ac:dyDescent="0.25">
      <c r="A35" s="191">
        <v>34</v>
      </c>
      <c r="B35" s="192" t="s">
        <v>628</v>
      </c>
      <c r="C35" s="192"/>
      <c r="D35" s="192"/>
      <c r="E35" s="192"/>
      <c r="F35" s="192"/>
      <c r="G35" s="192"/>
      <c r="H35" s="192"/>
      <c r="I35" s="192"/>
      <c r="J35" s="192"/>
      <c r="K35" s="192"/>
      <c r="L35" s="192"/>
      <c r="M35" s="192"/>
      <c r="N35" s="192"/>
      <c r="O35" s="192"/>
      <c r="P35" s="192"/>
      <c r="Q35" s="192"/>
      <c r="R35" s="191">
        <v>0</v>
      </c>
      <c r="T35">
        <f t="shared" si="0"/>
        <v>0</v>
      </c>
    </row>
    <row r="36" spans="1:20" x14ac:dyDescent="0.25">
      <c r="A36" s="191">
        <v>35</v>
      </c>
      <c r="B36" s="192" t="s">
        <v>629</v>
      </c>
      <c r="C36" s="192"/>
      <c r="D36" s="192"/>
      <c r="E36" s="192"/>
      <c r="F36" s="192"/>
      <c r="G36" s="192"/>
      <c r="H36" s="192"/>
      <c r="I36" s="192"/>
      <c r="J36" s="192"/>
      <c r="K36" s="192"/>
      <c r="L36" s="192"/>
      <c r="M36" s="192"/>
      <c r="N36" s="192"/>
      <c r="O36" s="192"/>
      <c r="P36" s="192"/>
      <c r="Q36" s="192"/>
      <c r="R36" s="191">
        <v>0</v>
      </c>
      <c r="T36">
        <f t="shared" si="0"/>
        <v>0</v>
      </c>
    </row>
    <row r="37" spans="1:20" x14ac:dyDescent="0.25">
      <c r="A37" s="191">
        <v>36</v>
      </c>
      <c r="B37" s="192" t="s">
        <v>631</v>
      </c>
      <c r="C37" s="192"/>
      <c r="D37" s="192"/>
      <c r="E37" s="192"/>
      <c r="F37" s="192"/>
      <c r="G37" s="192"/>
      <c r="H37" s="192"/>
      <c r="I37" s="192"/>
      <c r="J37" s="192"/>
      <c r="K37" s="192"/>
      <c r="L37" s="192"/>
      <c r="M37" s="192"/>
      <c r="N37" s="192"/>
      <c r="O37" s="192"/>
      <c r="P37" s="192"/>
      <c r="Q37" s="192"/>
      <c r="R37" s="191">
        <v>0</v>
      </c>
      <c r="T37">
        <f t="shared" si="0"/>
        <v>0</v>
      </c>
    </row>
    <row r="38" spans="1:20" x14ac:dyDescent="0.25">
      <c r="A38" s="191">
        <v>37</v>
      </c>
      <c r="B38" s="192" t="s">
        <v>632</v>
      </c>
      <c r="C38" s="192"/>
      <c r="D38" s="192"/>
      <c r="E38" s="192"/>
      <c r="F38" s="192"/>
      <c r="G38" s="192"/>
      <c r="H38" s="192"/>
      <c r="I38" s="192"/>
      <c r="J38" s="192"/>
      <c r="K38" s="192"/>
      <c r="L38" s="192"/>
      <c r="M38" s="192"/>
      <c r="N38" s="192"/>
      <c r="O38" s="192"/>
      <c r="P38" s="192"/>
      <c r="Q38" s="192"/>
      <c r="R38" s="191">
        <v>0</v>
      </c>
      <c r="T38">
        <f t="shared" si="0"/>
        <v>0</v>
      </c>
    </row>
    <row r="39" spans="1:20" x14ac:dyDescent="0.25">
      <c r="A39" s="191">
        <v>38</v>
      </c>
      <c r="B39" s="192" t="s">
        <v>633</v>
      </c>
      <c r="C39" s="192"/>
      <c r="D39" s="192"/>
      <c r="E39" s="192"/>
      <c r="F39" s="192"/>
      <c r="G39" s="192"/>
      <c r="H39" s="192"/>
      <c r="I39" s="192"/>
      <c r="J39" s="192"/>
      <c r="K39" s="192"/>
      <c r="L39" s="192"/>
      <c r="M39" s="192"/>
      <c r="N39" s="192"/>
      <c r="O39" s="192"/>
      <c r="P39" s="192"/>
      <c r="Q39" s="192"/>
      <c r="R39" s="191">
        <v>0</v>
      </c>
      <c r="T39">
        <f t="shared" si="0"/>
        <v>0</v>
      </c>
    </row>
    <row r="40" spans="1:20" x14ac:dyDescent="0.25">
      <c r="A40" s="191">
        <v>39</v>
      </c>
      <c r="B40" s="192" t="s">
        <v>634</v>
      </c>
      <c r="C40" s="192"/>
      <c r="D40" s="192"/>
      <c r="E40" s="192"/>
      <c r="F40" s="192"/>
      <c r="G40" s="192"/>
      <c r="H40" s="192"/>
      <c r="I40" s="192"/>
      <c r="J40" s="192"/>
      <c r="K40" s="192"/>
      <c r="L40" s="192"/>
      <c r="M40" s="192"/>
      <c r="N40" s="192"/>
      <c r="O40" s="192"/>
      <c r="P40" s="192"/>
      <c r="Q40" s="192"/>
      <c r="R40" s="191">
        <v>0</v>
      </c>
      <c r="T40">
        <f t="shared" si="0"/>
        <v>0</v>
      </c>
    </row>
    <row r="41" spans="1:20" x14ac:dyDescent="0.25">
      <c r="A41" s="191">
        <v>40</v>
      </c>
      <c r="B41" s="192" t="s">
        <v>636</v>
      </c>
      <c r="C41" s="192"/>
      <c r="D41" s="192"/>
      <c r="E41" s="192"/>
      <c r="F41" s="192"/>
      <c r="G41" s="192"/>
      <c r="H41" s="192"/>
      <c r="I41" s="192"/>
      <c r="J41" s="192"/>
      <c r="K41" s="192"/>
      <c r="L41" s="192"/>
      <c r="M41" s="192"/>
      <c r="N41" s="192"/>
      <c r="O41" s="192"/>
      <c r="P41" s="192"/>
      <c r="Q41" s="192"/>
      <c r="R41" s="248">
        <v>11</v>
      </c>
      <c r="T41">
        <f t="shared" si="0"/>
        <v>0</v>
      </c>
    </row>
    <row r="42" spans="1:20" x14ac:dyDescent="0.25">
      <c r="A42" s="191">
        <v>41</v>
      </c>
      <c r="B42" s="192" t="s">
        <v>637</v>
      </c>
      <c r="C42" s="192"/>
      <c r="D42" s="192"/>
      <c r="E42" s="192"/>
      <c r="F42" s="192"/>
      <c r="G42" s="192"/>
      <c r="H42" s="192"/>
      <c r="I42" s="192"/>
      <c r="J42" s="192"/>
      <c r="K42" s="192"/>
      <c r="L42" s="192"/>
      <c r="M42" s="192"/>
      <c r="N42" s="192"/>
      <c r="O42" s="192"/>
      <c r="P42" s="192"/>
      <c r="Q42" s="192"/>
      <c r="R42" s="191">
        <v>0</v>
      </c>
      <c r="T42">
        <f t="shared" si="0"/>
        <v>0</v>
      </c>
    </row>
    <row r="43" spans="1:20" x14ac:dyDescent="0.25">
      <c r="A43" s="191">
        <v>42</v>
      </c>
      <c r="B43" s="192" t="s">
        <v>640</v>
      </c>
      <c r="C43" s="192"/>
      <c r="D43" s="192"/>
      <c r="E43" s="192"/>
      <c r="F43" s="192"/>
      <c r="G43" s="192"/>
      <c r="H43" s="192"/>
      <c r="I43" s="192"/>
      <c r="J43" s="192"/>
      <c r="K43" s="192"/>
      <c r="L43" s="192"/>
      <c r="M43" s="192"/>
      <c r="N43" s="192"/>
      <c r="O43" s="192"/>
      <c r="P43" s="192"/>
      <c r="Q43" s="192"/>
      <c r="R43" s="191">
        <v>0</v>
      </c>
      <c r="T43">
        <f t="shared" si="0"/>
        <v>0</v>
      </c>
    </row>
    <row r="44" spans="1:20" x14ac:dyDescent="0.25">
      <c r="A44" s="191">
        <v>43</v>
      </c>
      <c r="B44" s="192" t="s">
        <v>638</v>
      </c>
      <c r="C44" s="192"/>
      <c r="D44" s="192"/>
      <c r="E44" s="192"/>
      <c r="F44" s="192"/>
      <c r="G44" s="192"/>
      <c r="H44" s="192"/>
      <c r="I44" s="192"/>
      <c r="J44" s="192"/>
      <c r="K44" s="192"/>
      <c r="L44" s="192"/>
      <c r="M44" s="192"/>
      <c r="N44" s="192"/>
      <c r="O44" s="192"/>
      <c r="P44" s="192"/>
      <c r="Q44" s="192"/>
      <c r="R44" s="191">
        <v>0</v>
      </c>
      <c r="T44">
        <f t="shared" si="0"/>
        <v>0</v>
      </c>
    </row>
    <row r="45" spans="1:20" x14ac:dyDescent="0.25">
      <c r="A45" s="191">
        <v>44</v>
      </c>
      <c r="B45" s="192" t="s">
        <v>635</v>
      </c>
      <c r="C45" s="192"/>
      <c r="D45" s="192"/>
      <c r="E45" s="192"/>
      <c r="F45" s="192"/>
      <c r="G45" s="192"/>
      <c r="H45" s="192"/>
      <c r="I45" s="192"/>
      <c r="J45" s="192"/>
      <c r="K45" s="192"/>
      <c r="L45" s="192"/>
      <c r="M45" s="192"/>
      <c r="N45" s="192"/>
      <c r="O45" s="192"/>
      <c r="P45" s="192"/>
      <c r="Q45" s="192"/>
      <c r="R45" s="191">
        <v>0</v>
      </c>
      <c r="T45">
        <f t="shared" si="0"/>
        <v>0</v>
      </c>
    </row>
    <row r="46" spans="1:20" x14ac:dyDescent="0.25">
      <c r="A46" s="191">
        <v>45</v>
      </c>
      <c r="B46" s="192" t="s">
        <v>641</v>
      </c>
      <c r="C46" s="192"/>
      <c r="D46" s="192"/>
      <c r="E46" s="192"/>
      <c r="F46" s="192"/>
      <c r="G46" s="192"/>
      <c r="H46" s="192"/>
      <c r="I46" s="192"/>
      <c r="J46" s="192"/>
      <c r="K46" s="192"/>
      <c r="L46" s="192"/>
      <c r="M46" s="192"/>
      <c r="N46" s="192"/>
      <c r="O46" s="192"/>
      <c r="P46" s="192"/>
      <c r="Q46" s="192"/>
      <c r="R46" s="191">
        <v>0</v>
      </c>
      <c r="T46">
        <f t="shared" si="0"/>
        <v>0</v>
      </c>
    </row>
    <row r="47" spans="1:20" x14ac:dyDescent="0.25">
      <c r="A47" s="191">
        <v>46</v>
      </c>
      <c r="B47" s="192" t="s">
        <v>649</v>
      </c>
      <c r="C47" s="192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1">
        <v>0</v>
      </c>
      <c r="T47">
        <f t="shared" si="0"/>
        <v>0</v>
      </c>
    </row>
    <row r="48" spans="1:20" x14ac:dyDescent="0.25">
      <c r="A48" s="191">
        <v>47</v>
      </c>
      <c r="B48" s="192" t="s">
        <v>642</v>
      </c>
      <c r="C48" s="192"/>
      <c r="D48" s="192"/>
      <c r="E48" s="192"/>
      <c r="F48" s="192"/>
      <c r="G48" s="192"/>
      <c r="H48" s="192"/>
      <c r="I48" s="192"/>
      <c r="J48" s="192"/>
      <c r="K48" s="192"/>
      <c r="L48" s="192"/>
      <c r="M48" s="192"/>
      <c r="N48" s="192"/>
      <c r="O48" s="192"/>
      <c r="P48" s="192"/>
      <c r="Q48" s="192"/>
      <c r="R48" s="191">
        <v>0</v>
      </c>
      <c r="T48">
        <f t="shared" si="0"/>
        <v>0</v>
      </c>
    </row>
    <row r="49" spans="1:20" x14ac:dyDescent="0.25">
      <c r="A49" s="191">
        <v>48</v>
      </c>
      <c r="B49" s="192" t="s">
        <v>643</v>
      </c>
      <c r="C49" s="192"/>
      <c r="D49" s="192"/>
      <c r="E49" s="192"/>
      <c r="F49" s="192"/>
      <c r="G49" s="192"/>
      <c r="H49" s="192"/>
      <c r="I49" s="192"/>
      <c r="J49" s="192"/>
      <c r="K49" s="192"/>
      <c r="L49" s="192"/>
      <c r="M49" s="192"/>
      <c r="N49" s="192"/>
      <c r="O49" s="192"/>
      <c r="P49" s="192"/>
      <c r="Q49" s="192"/>
      <c r="R49" s="191">
        <v>0</v>
      </c>
      <c r="T49">
        <f t="shared" si="0"/>
        <v>0</v>
      </c>
    </row>
    <row r="50" spans="1:20" x14ac:dyDescent="0.25">
      <c r="A50" s="191">
        <v>49</v>
      </c>
      <c r="B50" s="192" t="s">
        <v>644</v>
      </c>
      <c r="C50" s="192"/>
      <c r="D50" s="192"/>
      <c r="E50" s="192"/>
      <c r="F50" s="192"/>
      <c r="G50" s="192"/>
      <c r="H50" s="192"/>
      <c r="I50" s="192"/>
      <c r="J50" s="192"/>
      <c r="K50" s="192"/>
      <c r="L50" s="192"/>
      <c r="M50" s="192"/>
      <c r="N50" s="192"/>
      <c r="O50" s="192"/>
      <c r="P50" s="192"/>
      <c r="Q50" s="192"/>
      <c r="R50" s="191">
        <v>0</v>
      </c>
      <c r="T50">
        <f t="shared" si="0"/>
        <v>0</v>
      </c>
    </row>
    <row r="51" spans="1:20" x14ac:dyDescent="0.25">
      <c r="A51" s="191">
        <v>50</v>
      </c>
      <c r="B51" s="192" t="s">
        <v>646</v>
      </c>
      <c r="C51" s="192"/>
      <c r="D51" s="192"/>
      <c r="E51" s="192"/>
      <c r="F51" s="192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1">
        <v>0</v>
      </c>
      <c r="T51">
        <f t="shared" si="0"/>
        <v>0</v>
      </c>
    </row>
    <row r="52" spans="1:20" x14ac:dyDescent="0.25">
      <c r="A52" s="191">
        <v>51</v>
      </c>
      <c r="B52" s="192" t="s">
        <v>647</v>
      </c>
      <c r="C52" s="192"/>
      <c r="D52" s="192"/>
      <c r="E52" s="192"/>
      <c r="F52" s="192"/>
      <c r="G52" s="192"/>
      <c r="H52" s="192"/>
      <c r="I52" s="192"/>
      <c r="J52" s="192"/>
      <c r="K52" s="192"/>
      <c r="L52" s="192"/>
      <c r="M52" s="192"/>
      <c r="N52" s="192"/>
      <c r="O52" s="192"/>
      <c r="P52" s="192"/>
      <c r="Q52" s="192"/>
      <c r="R52" s="191">
        <v>0</v>
      </c>
      <c r="T52">
        <f t="shared" si="0"/>
        <v>0</v>
      </c>
    </row>
    <row r="53" spans="1:20" x14ac:dyDescent="0.25">
      <c r="A53" s="191">
        <v>52</v>
      </c>
      <c r="B53" s="192" t="s">
        <v>652</v>
      </c>
      <c r="C53" s="192"/>
      <c r="D53" s="192"/>
      <c r="E53" s="192"/>
      <c r="F53" s="192"/>
      <c r="G53" s="192"/>
      <c r="H53" s="192"/>
      <c r="I53" s="192"/>
      <c r="J53" s="192"/>
      <c r="K53" s="192"/>
      <c r="L53" s="192"/>
      <c r="M53" s="192"/>
      <c r="N53" s="192"/>
      <c r="O53" s="192"/>
      <c r="P53" s="192"/>
      <c r="Q53" s="192"/>
      <c r="R53" s="191">
        <v>0</v>
      </c>
      <c r="T53">
        <f t="shared" si="0"/>
        <v>0</v>
      </c>
    </row>
    <row r="54" spans="1:20" x14ac:dyDescent="0.25">
      <c r="A54" s="191">
        <v>53</v>
      </c>
      <c r="B54" s="192" t="s">
        <v>653</v>
      </c>
      <c r="C54" s="192"/>
      <c r="D54" s="192"/>
      <c r="E54" s="192"/>
      <c r="F54" s="192"/>
      <c r="G54" s="192"/>
      <c r="H54" s="192"/>
      <c r="I54" s="192"/>
      <c r="J54" s="192"/>
      <c r="K54" s="192"/>
      <c r="L54" s="192"/>
      <c r="M54" s="192"/>
      <c r="N54" s="192"/>
      <c r="O54" s="192"/>
      <c r="P54" s="192"/>
      <c r="Q54" s="192"/>
      <c r="R54" s="191">
        <v>0</v>
      </c>
      <c r="T54">
        <f t="shared" si="0"/>
        <v>0</v>
      </c>
    </row>
    <row r="55" spans="1:20" x14ac:dyDescent="0.25">
      <c r="A55" s="191">
        <v>54</v>
      </c>
      <c r="B55" s="192" t="s">
        <v>654</v>
      </c>
      <c r="C55" s="192"/>
      <c r="D55" s="192"/>
      <c r="E55" s="192"/>
      <c r="F55" s="192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1">
        <v>0</v>
      </c>
      <c r="T55">
        <f t="shared" si="0"/>
        <v>0</v>
      </c>
    </row>
    <row r="56" spans="1:20" x14ac:dyDescent="0.25">
      <c r="A56" s="191">
        <v>55</v>
      </c>
      <c r="B56" s="192" t="s">
        <v>655</v>
      </c>
      <c r="C56" s="192"/>
      <c r="D56" s="192"/>
      <c r="E56" s="192"/>
      <c r="F56" s="192"/>
      <c r="G56" s="192"/>
      <c r="H56" s="192"/>
      <c r="I56" s="192"/>
      <c r="J56" s="192"/>
      <c r="K56" s="192"/>
      <c r="L56" s="192"/>
      <c r="M56" s="192"/>
      <c r="N56" s="192"/>
      <c r="O56" s="192"/>
      <c r="P56" s="192"/>
      <c r="Q56" s="192"/>
      <c r="R56" s="191">
        <v>0</v>
      </c>
      <c r="T56">
        <f t="shared" si="0"/>
        <v>0</v>
      </c>
    </row>
    <row r="57" spans="1:20" x14ac:dyDescent="0.25">
      <c r="A57" s="191">
        <v>56</v>
      </c>
      <c r="B57" s="192" t="s">
        <v>656</v>
      </c>
      <c r="C57" s="192"/>
      <c r="D57" s="192"/>
      <c r="E57" s="192"/>
      <c r="F57" s="192"/>
      <c r="G57" s="192"/>
      <c r="H57" s="192"/>
      <c r="I57" s="192"/>
      <c r="J57" s="192"/>
      <c r="K57" s="192"/>
      <c r="L57" s="192"/>
      <c r="M57" s="192"/>
      <c r="N57" s="192"/>
      <c r="O57" s="192"/>
      <c r="P57" s="192"/>
      <c r="Q57" s="192"/>
      <c r="R57" s="191">
        <v>0</v>
      </c>
      <c r="T57">
        <f t="shared" si="0"/>
        <v>0</v>
      </c>
    </row>
    <row r="58" spans="1:20" x14ac:dyDescent="0.25">
      <c r="A58" s="191">
        <v>57</v>
      </c>
      <c r="B58" s="192" t="s">
        <v>657</v>
      </c>
      <c r="C58" s="192"/>
      <c r="D58" s="192"/>
      <c r="E58" s="192"/>
      <c r="F58" s="192"/>
      <c r="G58" s="192"/>
      <c r="H58" s="192"/>
      <c r="I58" s="192"/>
      <c r="J58" s="192"/>
      <c r="K58" s="192"/>
      <c r="L58" s="192"/>
      <c r="M58" s="192"/>
      <c r="N58" s="192"/>
      <c r="O58" s="192"/>
      <c r="P58" s="192"/>
      <c r="Q58" s="192"/>
      <c r="R58" s="191">
        <v>0</v>
      </c>
      <c r="T58">
        <f t="shared" si="0"/>
        <v>0</v>
      </c>
    </row>
    <row r="59" spans="1:20" x14ac:dyDescent="0.25">
      <c r="A59" s="191">
        <v>58</v>
      </c>
      <c r="B59" s="192" t="s">
        <v>658</v>
      </c>
      <c r="C59" s="192"/>
      <c r="D59" s="192"/>
      <c r="E59" s="192"/>
      <c r="F59" s="192"/>
      <c r="G59" s="192"/>
      <c r="H59" s="192"/>
      <c r="I59" s="192"/>
      <c r="J59" s="192"/>
      <c r="K59" s="192"/>
      <c r="L59" s="192"/>
      <c r="M59" s="192"/>
      <c r="N59" s="192"/>
      <c r="O59" s="192"/>
      <c r="P59" s="192"/>
      <c r="Q59" s="192"/>
      <c r="R59" s="191">
        <v>0</v>
      </c>
      <c r="T59">
        <f t="shared" si="0"/>
        <v>0</v>
      </c>
    </row>
    <row r="60" spans="1:20" x14ac:dyDescent="0.25">
      <c r="A60" s="191">
        <v>59</v>
      </c>
      <c r="B60" s="192" t="s">
        <v>659</v>
      </c>
      <c r="C60" s="192"/>
      <c r="D60" s="192"/>
      <c r="E60" s="192"/>
      <c r="F60" s="192"/>
      <c r="G60" s="192"/>
      <c r="H60" s="192" t="s">
        <v>54</v>
      </c>
      <c r="I60" s="192"/>
      <c r="J60" s="192"/>
      <c r="K60" s="192"/>
      <c r="L60" s="192"/>
      <c r="M60" s="192"/>
      <c r="N60" s="192"/>
      <c r="O60" s="192"/>
      <c r="P60" s="192"/>
      <c r="Q60" s="192"/>
      <c r="R60" s="248">
        <v>24</v>
      </c>
      <c r="T60">
        <f t="shared" si="0"/>
        <v>24</v>
      </c>
    </row>
    <row r="61" spans="1:20" x14ac:dyDescent="0.25">
      <c r="A61" s="191">
        <v>60</v>
      </c>
      <c r="B61" s="192" t="s">
        <v>660</v>
      </c>
      <c r="C61" s="192"/>
      <c r="D61" s="192"/>
      <c r="E61" s="192"/>
      <c r="F61" s="192"/>
      <c r="G61" s="192"/>
      <c r="H61" s="192" t="s">
        <v>54</v>
      </c>
      <c r="I61" s="192"/>
      <c r="J61" s="192"/>
      <c r="K61" s="192"/>
      <c r="L61" s="192"/>
      <c r="M61" s="192"/>
      <c r="N61" s="192"/>
      <c r="O61" s="192"/>
      <c r="P61" s="192"/>
      <c r="Q61" s="192"/>
      <c r="R61" s="248">
        <v>24</v>
      </c>
      <c r="T61">
        <f t="shared" si="0"/>
        <v>24</v>
      </c>
    </row>
    <row r="62" spans="1:20" x14ac:dyDescent="0.25">
      <c r="A62" s="191">
        <v>61</v>
      </c>
      <c r="B62" s="192" t="s">
        <v>661</v>
      </c>
      <c r="C62" s="192"/>
      <c r="D62" s="192"/>
      <c r="E62" s="192"/>
      <c r="F62" s="192"/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1">
        <v>0</v>
      </c>
      <c r="T62">
        <f t="shared" si="0"/>
        <v>0</v>
      </c>
    </row>
    <row r="63" spans="1:20" x14ac:dyDescent="0.25">
      <c r="A63" s="191">
        <v>62</v>
      </c>
      <c r="B63" s="192" t="s">
        <v>662</v>
      </c>
      <c r="C63" s="192"/>
      <c r="D63" s="192"/>
      <c r="E63" s="192"/>
      <c r="F63" s="192"/>
      <c r="G63" s="192"/>
      <c r="H63" s="192"/>
      <c r="I63" s="192"/>
      <c r="J63" s="192"/>
      <c r="K63" s="192"/>
      <c r="L63" s="192"/>
      <c r="M63" s="192"/>
      <c r="N63" s="192"/>
      <c r="O63" s="192"/>
      <c r="P63" s="192"/>
      <c r="Q63" s="192"/>
      <c r="R63" s="191">
        <v>0</v>
      </c>
      <c r="T63">
        <f t="shared" si="0"/>
        <v>0</v>
      </c>
    </row>
    <row r="64" spans="1:20" x14ac:dyDescent="0.25">
      <c r="A64" s="191">
        <v>63</v>
      </c>
      <c r="B64" s="192" t="s">
        <v>668</v>
      </c>
      <c r="C64" s="192"/>
      <c r="D64" s="192"/>
      <c r="E64" s="192"/>
      <c r="F64" s="192"/>
      <c r="G64" s="192"/>
      <c r="H64" s="192"/>
      <c r="I64" s="192"/>
      <c r="J64" s="192"/>
      <c r="K64" s="192"/>
      <c r="L64" s="192"/>
      <c r="M64" s="192"/>
      <c r="N64" s="192"/>
      <c r="O64" s="192"/>
      <c r="P64" s="192"/>
      <c r="Q64" s="192"/>
      <c r="R64" s="191">
        <v>0</v>
      </c>
      <c r="T64">
        <f t="shared" si="0"/>
        <v>0</v>
      </c>
    </row>
    <row r="65" spans="1:18" x14ac:dyDescent="0.25">
      <c r="A65" s="190"/>
      <c r="B65" s="190"/>
      <c r="C65" s="190"/>
      <c r="D65" s="190"/>
      <c r="E65" s="190"/>
      <c r="F65" s="190"/>
      <c r="G65" s="190"/>
      <c r="H65" s="190"/>
      <c r="I65" s="190"/>
      <c r="J65" s="190"/>
      <c r="K65" s="190"/>
      <c r="L65" s="190"/>
      <c r="M65" s="190"/>
      <c r="N65" s="190"/>
      <c r="O65" s="190"/>
      <c r="P65" s="190"/>
      <c r="Q65" s="190"/>
      <c r="R65" s="249">
        <v>162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T65"/>
  <sheetViews>
    <sheetView topLeftCell="K1" workbookViewId="0">
      <selection activeCell="T2" sqref="T2:T64"/>
    </sheetView>
  </sheetViews>
  <sheetFormatPr defaultRowHeight="15" x14ac:dyDescent="0.25"/>
  <sheetData>
    <row r="1" spans="1:20" x14ac:dyDescent="0.25">
      <c r="A1" s="193" t="s">
        <v>1</v>
      </c>
      <c r="B1" s="193" t="s">
        <v>6</v>
      </c>
      <c r="C1" s="193" t="s">
        <v>46</v>
      </c>
      <c r="D1" s="193" t="s">
        <v>47</v>
      </c>
      <c r="E1" s="193" t="s">
        <v>48</v>
      </c>
      <c r="F1" s="193" t="s">
        <v>49</v>
      </c>
      <c r="G1" s="193" t="s">
        <v>50</v>
      </c>
      <c r="H1" s="193" t="s">
        <v>51</v>
      </c>
      <c r="I1" s="193" t="s">
        <v>52</v>
      </c>
      <c r="J1" s="193" t="s">
        <v>53</v>
      </c>
      <c r="K1" s="193" t="s">
        <v>54</v>
      </c>
      <c r="L1" s="193" t="s">
        <v>55</v>
      </c>
      <c r="M1" s="193" t="s">
        <v>56</v>
      </c>
      <c r="N1" s="193" t="s">
        <v>57</v>
      </c>
      <c r="O1" s="193" t="s">
        <v>58</v>
      </c>
      <c r="P1" s="193" t="s">
        <v>59</v>
      </c>
      <c r="Q1" s="193" t="s">
        <v>667</v>
      </c>
      <c r="R1" s="193" t="s">
        <v>2</v>
      </c>
    </row>
    <row r="2" spans="1:20" x14ac:dyDescent="0.25">
      <c r="A2" s="194">
        <v>1</v>
      </c>
      <c r="B2" s="195" t="s">
        <v>10</v>
      </c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4">
        <v>0</v>
      </c>
      <c r="T2">
        <f t="shared" ref="T2:T64" si="0">C2+D2+E2+F2+G2+H2+I2+J2+K2+L2+M2+N2+O2+P2+Q2</f>
        <v>0</v>
      </c>
    </row>
    <row r="3" spans="1:20" x14ac:dyDescent="0.25">
      <c r="A3" s="194">
        <v>2</v>
      </c>
      <c r="B3" s="195" t="s">
        <v>11</v>
      </c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4">
        <v>0</v>
      </c>
      <c r="T3">
        <f t="shared" si="0"/>
        <v>0</v>
      </c>
    </row>
    <row r="4" spans="1:20" x14ac:dyDescent="0.25">
      <c r="A4" s="194">
        <v>3</v>
      </c>
      <c r="B4" s="195" t="s">
        <v>12</v>
      </c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4">
        <v>0</v>
      </c>
      <c r="T4">
        <f t="shared" si="0"/>
        <v>0</v>
      </c>
    </row>
    <row r="5" spans="1:20" x14ac:dyDescent="0.25">
      <c r="A5" s="194">
        <v>4</v>
      </c>
      <c r="B5" s="195" t="s">
        <v>651</v>
      </c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4">
        <v>0</v>
      </c>
      <c r="T5">
        <f t="shared" si="0"/>
        <v>0</v>
      </c>
    </row>
    <row r="6" spans="1:20" x14ac:dyDescent="0.25">
      <c r="A6" s="194">
        <v>5</v>
      </c>
      <c r="B6" s="195" t="s">
        <v>14</v>
      </c>
      <c r="C6" s="195"/>
      <c r="D6" s="195"/>
      <c r="E6" s="195"/>
      <c r="F6" s="195"/>
      <c r="G6" s="195"/>
      <c r="H6" s="195"/>
      <c r="I6" s="195"/>
      <c r="J6" s="195"/>
      <c r="K6" s="195"/>
      <c r="L6" s="195"/>
      <c r="M6" s="195"/>
      <c r="N6" s="195"/>
      <c r="O6" s="195"/>
      <c r="P6" s="195"/>
      <c r="Q6" s="195"/>
      <c r="R6" s="194">
        <v>0</v>
      </c>
      <c r="T6">
        <f t="shared" si="0"/>
        <v>0</v>
      </c>
    </row>
    <row r="7" spans="1:20" x14ac:dyDescent="0.25">
      <c r="A7" s="194">
        <v>6</v>
      </c>
      <c r="B7" s="195" t="s">
        <v>15</v>
      </c>
      <c r="C7" s="195"/>
      <c r="D7" s="195"/>
      <c r="E7" s="195"/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4">
        <v>0</v>
      </c>
      <c r="T7">
        <f t="shared" si="0"/>
        <v>0</v>
      </c>
    </row>
    <row r="8" spans="1:20" x14ac:dyDescent="0.25">
      <c r="A8" s="194">
        <v>7</v>
      </c>
      <c r="B8" s="195" t="s">
        <v>16</v>
      </c>
      <c r="C8" s="195"/>
      <c r="D8" s="195"/>
      <c r="E8" s="195"/>
      <c r="F8" s="195"/>
      <c r="G8" s="195"/>
      <c r="H8" s="195"/>
      <c r="I8" s="195"/>
      <c r="J8" s="195"/>
      <c r="K8" s="195"/>
      <c r="L8" s="195"/>
      <c r="M8" s="195"/>
      <c r="N8" s="195"/>
      <c r="O8" s="195"/>
      <c r="P8" s="195"/>
      <c r="Q8" s="195"/>
      <c r="R8" s="194">
        <v>0</v>
      </c>
      <c r="T8">
        <f t="shared" si="0"/>
        <v>0</v>
      </c>
    </row>
    <row r="9" spans="1:20" x14ac:dyDescent="0.25">
      <c r="A9" s="194">
        <v>8</v>
      </c>
      <c r="B9" s="195" t="s">
        <v>4</v>
      </c>
      <c r="C9" s="195"/>
      <c r="D9" s="195"/>
      <c r="E9" s="195"/>
      <c r="F9" s="195"/>
      <c r="G9" s="195"/>
      <c r="H9" s="195"/>
      <c r="I9" s="195"/>
      <c r="J9" s="195"/>
      <c r="K9" s="195"/>
      <c r="L9" s="195"/>
      <c r="M9" s="195"/>
      <c r="N9" s="195"/>
      <c r="O9" s="195"/>
      <c r="P9" s="195"/>
      <c r="Q9" s="195"/>
      <c r="R9" s="194">
        <v>0</v>
      </c>
      <c r="T9">
        <f t="shared" si="0"/>
        <v>0</v>
      </c>
    </row>
    <row r="10" spans="1:20" x14ac:dyDescent="0.25">
      <c r="A10" s="194">
        <v>9</v>
      </c>
      <c r="B10" s="195" t="s">
        <v>5</v>
      </c>
      <c r="C10" s="195" t="s">
        <v>26</v>
      </c>
      <c r="D10" s="195" t="s">
        <v>26</v>
      </c>
      <c r="E10" s="195"/>
      <c r="F10" s="195"/>
      <c r="G10" s="195"/>
      <c r="H10" s="195"/>
      <c r="I10" s="195"/>
      <c r="J10" s="195"/>
      <c r="K10" s="195"/>
      <c r="L10" s="195"/>
      <c r="M10" s="195"/>
      <c r="N10" s="195"/>
      <c r="O10" s="195"/>
      <c r="P10" s="195"/>
      <c r="Q10" s="195"/>
      <c r="R10" s="250">
        <v>22</v>
      </c>
      <c r="T10">
        <f t="shared" si="0"/>
        <v>22</v>
      </c>
    </row>
    <row r="11" spans="1:20" x14ac:dyDescent="0.25">
      <c r="A11" s="194">
        <v>10</v>
      </c>
      <c r="B11" s="195" t="s">
        <v>38</v>
      </c>
      <c r="C11" s="195" t="s">
        <v>26</v>
      </c>
      <c r="D11" s="195" t="s">
        <v>26</v>
      </c>
      <c r="E11" s="195"/>
      <c r="F11" s="195"/>
      <c r="G11" s="195"/>
      <c r="H11" s="195"/>
      <c r="I11" s="195"/>
      <c r="J11" s="195"/>
      <c r="K11" s="195"/>
      <c r="L11" s="195"/>
      <c r="M11" s="195"/>
      <c r="N11" s="195"/>
      <c r="O11" s="195"/>
      <c r="P11" s="195"/>
      <c r="Q11" s="195"/>
      <c r="R11" s="250">
        <v>33</v>
      </c>
      <c r="T11">
        <f t="shared" si="0"/>
        <v>22</v>
      </c>
    </row>
    <row r="12" spans="1:20" x14ac:dyDescent="0.25">
      <c r="A12" s="194">
        <v>11</v>
      </c>
      <c r="B12" s="195" t="s">
        <v>43</v>
      </c>
      <c r="C12" s="195"/>
      <c r="D12" s="195"/>
      <c r="E12" s="195"/>
      <c r="F12" s="195"/>
      <c r="G12" s="195"/>
      <c r="H12" s="195"/>
      <c r="I12" s="195"/>
      <c r="J12" s="195"/>
      <c r="K12" s="195"/>
      <c r="L12" s="195"/>
      <c r="M12" s="195"/>
      <c r="N12" s="195"/>
      <c r="O12" s="195"/>
      <c r="P12" s="195"/>
      <c r="Q12" s="195"/>
      <c r="R12" s="250">
        <v>11</v>
      </c>
      <c r="T12">
        <f t="shared" si="0"/>
        <v>0</v>
      </c>
    </row>
    <row r="13" spans="1:20" x14ac:dyDescent="0.25">
      <c r="A13" s="194">
        <v>12</v>
      </c>
      <c r="B13" s="195" t="s">
        <v>639</v>
      </c>
      <c r="C13" s="195"/>
      <c r="D13" s="195"/>
      <c r="E13" s="195"/>
      <c r="F13" s="195"/>
      <c r="G13" s="195"/>
      <c r="H13" s="195"/>
      <c r="I13" s="195"/>
      <c r="J13" s="195"/>
      <c r="K13" s="195"/>
      <c r="L13" s="195"/>
      <c r="M13" s="195"/>
      <c r="N13" s="195"/>
      <c r="O13" s="195"/>
      <c r="P13" s="195"/>
      <c r="Q13" s="195"/>
      <c r="R13" s="194">
        <v>0</v>
      </c>
      <c r="T13">
        <f t="shared" si="0"/>
        <v>0</v>
      </c>
    </row>
    <row r="14" spans="1:20" x14ac:dyDescent="0.25">
      <c r="A14" s="194">
        <v>13</v>
      </c>
      <c r="B14" s="195" t="s">
        <v>87</v>
      </c>
      <c r="C14" s="195"/>
      <c r="D14" s="195"/>
      <c r="E14" s="195"/>
      <c r="F14" s="195"/>
      <c r="G14" s="195"/>
      <c r="H14" s="195"/>
      <c r="I14" s="195"/>
      <c r="J14" s="195"/>
      <c r="K14" s="195"/>
      <c r="L14" s="195"/>
      <c r="M14" s="195"/>
      <c r="N14" s="195"/>
      <c r="O14" s="195"/>
      <c r="P14" s="195"/>
      <c r="Q14" s="195"/>
      <c r="R14" s="194">
        <v>0</v>
      </c>
      <c r="T14">
        <f t="shared" si="0"/>
        <v>0</v>
      </c>
    </row>
    <row r="15" spans="1:20" x14ac:dyDescent="0.25">
      <c r="A15" s="194">
        <v>14</v>
      </c>
      <c r="B15" s="195" t="s">
        <v>95</v>
      </c>
      <c r="C15" s="195"/>
      <c r="D15" s="195"/>
      <c r="E15" s="195"/>
      <c r="F15" s="195"/>
      <c r="G15" s="195"/>
      <c r="H15" s="195"/>
      <c r="I15" s="195"/>
      <c r="J15" s="195"/>
      <c r="K15" s="195"/>
      <c r="L15" s="195"/>
      <c r="M15" s="195"/>
      <c r="N15" s="195"/>
      <c r="O15" s="195"/>
      <c r="P15" s="195"/>
      <c r="Q15" s="195"/>
      <c r="R15" s="194">
        <v>0</v>
      </c>
      <c r="T15">
        <f t="shared" si="0"/>
        <v>0</v>
      </c>
    </row>
    <row r="16" spans="1:20" x14ac:dyDescent="0.25">
      <c r="A16" s="194">
        <v>15</v>
      </c>
      <c r="B16" s="195" t="s">
        <v>96</v>
      </c>
      <c r="C16" s="195" t="s">
        <v>26</v>
      </c>
      <c r="D16" s="195" t="s">
        <v>26</v>
      </c>
      <c r="E16" s="195"/>
      <c r="F16" s="195"/>
      <c r="G16" s="195"/>
      <c r="H16" s="195"/>
      <c r="I16" s="195"/>
      <c r="J16" s="195"/>
      <c r="K16" s="195"/>
      <c r="L16" s="195"/>
      <c r="M16" s="195"/>
      <c r="N16" s="195"/>
      <c r="O16" s="195"/>
      <c r="P16" s="195"/>
      <c r="Q16" s="195"/>
      <c r="R16" s="250">
        <v>33</v>
      </c>
      <c r="T16">
        <f t="shared" si="0"/>
        <v>22</v>
      </c>
    </row>
    <row r="17" spans="1:20" x14ac:dyDescent="0.25">
      <c r="A17" s="194">
        <v>16</v>
      </c>
      <c r="B17" s="195" t="s">
        <v>97</v>
      </c>
      <c r="C17" s="195" t="s">
        <v>25</v>
      </c>
      <c r="D17" s="195" t="s">
        <v>25</v>
      </c>
      <c r="E17" s="195"/>
      <c r="F17" s="195"/>
      <c r="G17" s="195"/>
      <c r="H17" s="195"/>
      <c r="I17" s="195"/>
      <c r="J17" s="195"/>
      <c r="K17" s="195"/>
      <c r="L17" s="195"/>
      <c r="M17" s="195"/>
      <c r="N17" s="195"/>
      <c r="O17" s="195"/>
      <c r="P17" s="195"/>
      <c r="Q17" s="195"/>
      <c r="R17" s="250">
        <v>18</v>
      </c>
      <c r="T17">
        <f t="shared" si="0"/>
        <v>18</v>
      </c>
    </row>
    <row r="18" spans="1:20" x14ac:dyDescent="0.25">
      <c r="A18" s="194">
        <v>17</v>
      </c>
      <c r="B18" s="195" t="s">
        <v>98</v>
      </c>
      <c r="C18" s="195" t="s">
        <v>26</v>
      </c>
      <c r="D18" s="195" t="s">
        <v>25</v>
      </c>
      <c r="E18" s="195"/>
      <c r="F18" s="195"/>
      <c r="G18" s="195"/>
      <c r="H18" s="195"/>
      <c r="I18" s="195"/>
      <c r="J18" s="195"/>
      <c r="K18" s="195"/>
      <c r="L18" s="195"/>
      <c r="M18" s="195"/>
      <c r="N18" s="195"/>
      <c r="O18" s="195"/>
      <c r="P18" s="195"/>
      <c r="Q18" s="195"/>
      <c r="R18" s="250">
        <v>31</v>
      </c>
      <c r="T18">
        <f t="shared" si="0"/>
        <v>20</v>
      </c>
    </row>
    <row r="19" spans="1:20" x14ac:dyDescent="0.25">
      <c r="A19" s="194">
        <v>18</v>
      </c>
      <c r="B19" s="195" t="s">
        <v>616</v>
      </c>
      <c r="C19" s="195" t="s">
        <v>26</v>
      </c>
      <c r="D19" s="195"/>
      <c r="E19" s="195"/>
      <c r="F19" s="195"/>
      <c r="G19" s="195"/>
      <c r="H19" s="195"/>
      <c r="I19" s="195"/>
      <c r="J19" s="195"/>
      <c r="K19" s="195"/>
      <c r="L19" s="195"/>
      <c r="M19" s="195"/>
      <c r="N19" s="195"/>
      <c r="O19" s="195"/>
      <c r="P19" s="195"/>
      <c r="Q19" s="195"/>
      <c r="R19" s="250">
        <v>11</v>
      </c>
      <c r="T19">
        <f t="shared" si="0"/>
        <v>11</v>
      </c>
    </row>
    <row r="20" spans="1:20" x14ac:dyDescent="0.25">
      <c r="A20" s="194">
        <v>19</v>
      </c>
      <c r="B20" s="195" t="s">
        <v>617</v>
      </c>
      <c r="C20" s="195"/>
      <c r="D20" s="195"/>
      <c r="E20" s="195"/>
      <c r="F20" s="195"/>
      <c r="G20" s="195"/>
      <c r="H20" s="195"/>
      <c r="I20" s="195"/>
      <c r="J20" s="195"/>
      <c r="K20" s="195"/>
      <c r="L20" s="195"/>
      <c r="M20" s="195"/>
      <c r="N20" s="195"/>
      <c r="O20" s="195"/>
      <c r="P20" s="195"/>
      <c r="Q20" s="195"/>
      <c r="R20" s="194">
        <v>0</v>
      </c>
      <c r="T20">
        <f t="shared" si="0"/>
        <v>0</v>
      </c>
    </row>
    <row r="21" spans="1:20" x14ac:dyDescent="0.25">
      <c r="A21" s="194">
        <v>20</v>
      </c>
      <c r="B21" s="195" t="s">
        <v>626</v>
      </c>
      <c r="C21" s="195"/>
      <c r="D21" s="195"/>
      <c r="E21" s="195"/>
      <c r="F21" s="195"/>
      <c r="G21" s="195"/>
      <c r="H21" s="195"/>
      <c r="I21" s="195"/>
      <c r="J21" s="195"/>
      <c r="K21" s="195"/>
      <c r="L21" s="195"/>
      <c r="M21" s="195"/>
      <c r="N21" s="195"/>
      <c r="O21" s="195"/>
      <c r="P21" s="195"/>
      <c r="Q21" s="195"/>
      <c r="R21" s="194">
        <v>0</v>
      </c>
      <c r="T21">
        <f t="shared" si="0"/>
        <v>0</v>
      </c>
    </row>
    <row r="22" spans="1:20" x14ac:dyDescent="0.25">
      <c r="A22" s="194">
        <v>21</v>
      </c>
      <c r="B22" s="195" t="s">
        <v>618</v>
      </c>
      <c r="C22" s="195"/>
      <c r="D22" s="195"/>
      <c r="E22" s="195"/>
      <c r="F22" s="195"/>
      <c r="G22" s="19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4">
        <v>0</v>
      </c>
      <c r="T22">
        <f t="shared" si="0"/>
        <v>0</v>
      </c>
    </row>
    <row r="23" spans="1:20" x14ac:dyDescent="0.25">
      <c r="A23" s="194">
        <v>22</v>
      </c>
      <c r="B23" s="195" t="s">
        <v>619</v>
      </c>
      <c r="C23" s="195"/>
      <c r="D23" s="195" t="s">
        <v>26</v>
      </c>
      <c r="E23" s="195"/>
      <c r="F23" s="195"/>
      <c r="G23" s="195"/>
      <c r="H23" s="195"/>
      <c r="I23" s="195"/>
      <c r="J23" s="195"/>
      <c r="K23" s="195"/>
      <c r="L23" s="195"/>
      <c r="M23" s="195"/>
      <c r="N23" s="195"/>
      <c r="O23" s="195"/>
      <c r="P23" s="195"/>
      <c r="Q23" s="195"/>
      <c r="R23" s="250">
        <v>11</v>
      </c>
      <c r="T23">
        <f t="shared" si="0"/>
        <v>11</v>
      </c>
    </row>
    <row r="24" spans="1:20" x14ac:dyDescent="0.25">
      <c r="A24" s="194">
        <v>23</v>
      </c>
      <c r="B24" s="195" t="s">
        <v>620</v>
      </c>
      <c r="C24" s="195"/>
      <c r="D24" s="195" t="s">
        <v>26</v>
      </c>
      <c r="E24" s="195"/>
      <c r="F24" s="195"/>
      <c r="G24" s="195"/>
      <c r="H24" s="195"/>
      <c r="I24" s="195"/>
      <c r="J24" s="195"/>
      <c r="K24" s="195"/>
      <c r="L24" s="195"/>
      <c r="M24" s="195"/>
      <c r="N24" s="195"/>
      <c r="O24" s="195"/>
      <c r="P24" s="195"/>
      <c r="Q24" s="195"/>
      <c r="R24" s="250">
        <v>11</v>
      </c>
      <c r="T24">
        <f t="shared" si="0"/>
        <v>11</v>
      </c>
    </row>
    <row r="25" spans="1:20" x14ac:dyDescent="0.25">
      <c r="A25" s="194">
        <v>24</v>
      </c>
      <c r="B25" s="195" t="s">
        <v>650</v>
      </c>
      <c r="C25" s="195"/>
      <c r="D25" s="195"/>
      <c r="E25" s="195"/>
      <c r="F25" s="195"/>
      <c r="G25" s="195"/>
      <c r="H25" s="195"/>
      <c r="I25" s="195"/>
      <c r="J25" s="195"/>
      <c r="K25" s="195"/>
      <c r="L25" s="195"/>
      <c r="M25" s="195"/>
      <c r="N25" s="195"/>
      <c r="O25" s="195"/>
      <c r="P25" s="195"/>
      <c r="Q25" s="195"/>
      <c r="R25" s="194">
        <v>0</v>
      </c>
      <c r="T25">
        <f t="shared" si="0"/>
        <v>0</v>
      </c>
    </row>
    <row r="26" spans="1:20" x14ac:dyDescent="0.25">
      <c r="A26" s="194">
        <v>25</v>
      </c>
      <c r="B26" s="195" t="s">
        <v>621</v>
      </c>
      <c r="C26" s="195"/>
      <c r="D26" s="195"/>
      <c r="E26" s="195"/>
      <c r="F26" s="195"/>
      <c r="G26" s="195"/>
      <c r="H26" s="195"/>
      <c r="I26" s="195"/>
      <c r="J26" s="195"/>
      <c r="K26" s="195"/>
      <c r="L26" s="195"/>
      <c r="M26" s="195"/>
      <c r="N26" s="195"/>
      <c r="O26" s="195"/>
      <c r="P26" s="195"/>
      <c r="Q26" s="195"/>
      <c r="R26" s="194">
        <v>0</v>
      </c>
      <c r="T26">
        <f t="shared" si="0"/>
        <v>0</v>
      </c>
    </row>
    <row r="27" spans="1:20" x14ac:dyDescent="0.25">
      <c r="A27" s="194">
        <v>26</v>
      </c>
      <c r="B27" s="195" t="s">
        <v>622</v>
      </c>
      <c r="C27" s="195"/>
      <c r="D27" s="195"/>
      <c r="E27" s="195"/>
      <c r="F27" s="195"/>
      <c r="G27" s="195"/>
      <c r="H27" s="195"/>
      <c r="I27" s="195"/>
      <c r="J27" s="195"/>
      <c r="K27" s="195"/>
      <c r="L27" s="195"/>
      <c r="M27" s="195"/>
      <c r="N27" s="195"/>
      <c r="O27" s="195"/>
      <c r="P27" s="195"/>
      <c r="Q27" s="195"/>
      <c r="R27" s="194">
        <v>0</v>
      </c>
      <c r="T27">
        <f t="shared" si="0"/>
        <v>0</v>
      </c>
    </row>
    <row r="28" spans="1:20" x14ac:dyDescent="0.25">
      <c r="A28" s="194">
        <v>27</v>
      </c>
      <c r="B28" s="195" t="s">
        <v>623</v>
      </c>
      <c r="C28" s="195"/>
      <c r="D28" s="195"/>
      <c r="E28" s="195"/>
      <c r="F28" s="195"/>
      <c r="G28" s="195"/>
      <c r="H28" s="195"/>
      <c r="I28" s="195"/>
      <c r="J28" s="195"/>
      <c r="K28" s="195"/>
      <c r="L28" s="195"/>
      <c r="M28" s="195"/>
      <c r="N28" s="195"/>
      <c r="O28" s="195"/>
      <c r="P28" s="195"/>
      <c r="Q28" s="195"/>
      <c r="R28" s="194">
        <v>0</v>
      </c>
      <c r="T28">
        <f t="shared" si="0"/>
        <v>0</v>
      </c>
    </row>
    <row r="29" spans="1:20" x14ac:dyDescent="0.25">
      <c r="A29" s="194">
        <v>28</v>
      </c>
      <c r="B29" s="195" t="s">
        <v>624</v>
      </c>
      <c r="C29" s="195"/>
      <c r="D29" s="195"/>
      <c r="E29" s="195"/>
      <c r="F29" s="195"/>
      <c r="G29" s="195"/>
      <c r="H29" s="195"/>
      <c r="I29" s="195"/>
      <c r="J29" s="195"/>
      <c r="K29" s="195"/>
      <c r="L29" s="195"/>
      <c r="M29" s="195"/>
      <c r="N29" s="195"/>
      <c r="O29" s="195"/>
      <c r="P29" s="195"/>
      <c r="Q29" s="195"/>
      <c r="R29" s="194">
        <v>0</v>
      </c>
      <c r="T29">
        <f t="shared" si="0"/>
        <v>0</v>
      </c>
    </row>
    <row r="30" spans="1:20" x14ac:dyDescent="0.25">
      <c r="A30" s="194">
        <v>29</v>
      </c>
      <c r="B30" s="195" t="s">
        <v>627</v>
      </c>
      <c r="C30" s="195"/>
      <c r="D30" s="195"/>
      <c r="E30" s="195"/>
      <c r="F30" s="195"/>
      <c r="G30" s="195"/>
      <c r="H30" s="195"/>
      <c r="I30" s="195"/>
      <c r="J30" s="195"/>
      <c r="K30" s="195"/>
      <c r="L30" s="195"/>
      <c r="M30" s="195"/>
      <c r="N30" s="195"/>
      <c r="O30" s="195"/>
      <c r="P30" s="195"/>
      <c r="Q30" s="195"/>
      <c r="R30" s="194">
        <v>0</v>
      </c>
      <c r="T30">
        <f t="shared" si="0"/>
        <v>0</v>
      </c>
    </row>
    <row r="31" spans="1:20" x14ac:dyDescent="0.25">
      <c r="A31" s="194">
        <v>30</v>
      </c>
      <c r="B31" s="195" t="s">
        <v>625</v>
      </c>
      <c r="C31" s="195"/>
      <c r="D31" s="195"/>
      <c r="E31" s="195"/>
      <c r="F31" s="195"/>
      <c r="G31" s="195"/>
      <c r="H31" s="195"/>
      <c r="I31" s="195"/>
      <c r="J31" s="195"/>
      <c r="K31" s="195"/>
      <c r="L31" s="195"/>
      <c r="M31" s="195"/>
      <c r="N31" s="195"/>
      <c r="O31" s="195"/>
      <c r="P31" s="195"/>
      <c r="Q31" s="195"/>
      <c r="R31" s="194">
        <v>0</v>
      </c>
      <c r="T31">
        <f t="shared" si="0"/>
        <v>0</v>
      </c>
    </row>
    <row r="32" spans="1:20" x14ac:dyDescent="0.25">
      <c r="A32" s="194">
        <v>31</v>
      </c>
      <c r="B32" s="195" t="s">
        <v>34</v>
      </c>
      <c r="C32" s="195"/>
      <c r="D32" s="195"/>
      <c r="E32" s="195"/>
      <c r="F32" s="195"/>
      <c r="G32" s="195"/>
      <c r="H32" s="195"/>
      <c r="I32" s="195"/>
      <c r="J32" s="195"/>
      <c r="K32" s="195"/>
      <c r="L32" s="195"/>
      <c r="M32" s="195"/>
      <c r="N32" s="195"/>
      <c r="O32" s="195"/>
      <c r="P32" s="195"/>
      <c r="Q32" s="195"/>
      <c r="R32" s="194">
        <v>0</v>
      </c>
      <c r="T32">
        <f t="shared" si="0"/>
        <v>0</v>
      </c>
    </row>
    <row r="33" spans="1:20" x14ac:dyDescent="0.25">
      <c r="A33" s="194">
        <v>32</v>
      </c>
      <c r="B33" s="195" t="s">
        <v>45</v>
      </c>
      <c r="C33" s="195"/>
      <c r="D33" s="195"/>
      <c r="E33" s="195"/>
      <c r="F33" s="195"/>
      <c r="G33" s="195"/>
      <c r="H33" s="195"/>
      <c r="I33" s="195"/>
      <c r="J33" s="195"/>
      <c r="K33" s="195"/>
      <c r="L33" s="195"/>
      <c r="M33" s="195"/>
      <c r="N33" s="195"/>
      <c r="O33" s="195"/>
      <c r="P33" s="195"/>
      <c r="Q33" s="195"/>
      <c r="R33" s="194">
        <v>0</v>
      </c>
      <c r="T33">
        <f t="shared" si="0"/>
        <v>0</v>
      </c>
    </row>
    <row r="34" spans="1:20" x14ac:dyDescent="0.25">
      <c r="A34" s="194">
        <v>33</v>
      </c>
      <c r="B34" s="195" t="s">
        <v>630</v>
      </c>
      <c r="C34" s="195"/>
      <c r="D34" s="195"/>
      <c r="E34" s="195"/>
      <c r="F34" s="195"/>
      <c r="G34" s="195"/>
      <c r="H34" s="195"/>
      <c r="I34" s="195"/>
      <c r="J34" s="195"/>
      <c r="K34" s="195"/>
      <c r="L34" s="195"/>
      <c r="M34" s="195"/>
      <c r="N34" s="195"/>
      <c r="O34" s="195"/>
      <c r="P34" s="195"/>
      <c r="Q34" s="195"/>
      <c r="R34" s="194">
        <v>0</v>
      </c>
      <c r="T34">
        <f t="shared" si="0"/>
        <v>0</v>
      </c>
    </row>
    <row r="35" spans="1:20" x14ac:dyDescent="0.25">
      <c r="A35" s="194">
        <v>34</v>
      </c>
      <c r="B35" s="195" t="s">
        <v>628</v>
      </c>
      <c r="C35" s="195"/>
      <c r="D35" s="195" t="s">
        <v>26</v>
      </c>
      <c r="E35" s="195"/>
      <c r="F35" s="195"/>
      <c r="G35" s="195"/>
      <c r="H35" s="195"/>
      <c r="I35" s="195"/>
      <c r="J35" s="195"/>
      <c r="K35" s="195"/>
      <c r="L35" s="195"/>
      <c r="M35" s="195"/>
      <c r="N35" s="195"/>
      <c r="O35" s="195"/>
      <c r="P35" s="195"/>
      <c r="Q35" s="195"/>
      <c r="R35" s="250">
        <v>11</v>
      </c>
      <c r="T35">
        <f t="shared" si="0"/>
        <v>11</v>
      </c>
    </row>
    <row r="36" spans="1:20" x14ac:dyDescent="0.25">
      <c r="A36" s="194">
        <v>35</v>
      </c>
      <c r="B36" s="195" t="s">
        <v>629</v>
      </c>
      <c r="C36" s="195"/>
      <c r="D36" s="195"/>
      <c r="E36" s="195"/>
      <c r="F36" s="195"/>
      <c r="G36" s="195"/>
      <c r="H36" s="195"/>
      <c r="I36" s="195"/>
      <c r="J36" s="195"/>
      <c r="K36" s="195"/>
      <c r="L36" s="195"/>
      <c r="M36" s="195"/>
      <c r="N36" s="195"/>
      <c r="O36" s="195"/>
      <c r="P36" s="195"/>
      <c r="Q36" s="195"/>
      <c r="R36" s="194">
        <v>0</v>
      </c>
      <c r="T36">
        <f t="shared" si="0"/>
        <v>0</v>
      </c>
    </row>
    <row r="37" spans="1:20" x14ac:dyDescent="0.25">
      <c r="A37" s="194">
        <v>36</v>
      </c>
      <c r="B37" s="195" t="s">
        <v>631</v>
      </c>
      <c r="C37" s="195"/>
      <c r="D37" s="195"/>
      <c r="E37" s="195"/>
      <c r="F37" s="195"/>
      <c r="G37" s="195"/>
      <c r="H37" s="195"/>
      <c r="I37" s="195"/>
      <c r="J37" s="195"/>
      <c r="K37" s="195"/>
      <c r="L37" s="195"/>
      <c r="M37" s="195"/>
      <c r="N37" s="195"/>
      <c r="O37" s="195"/>
      <c r="P37" s="195"/>
      <c r="Q37" s="195"/>
      <c r="R37" s="194">
        <v>0</v>
      </c>
      <c r="T37">
        <f t="shared" si="0"/>
        <v>0</v>
      </c>
    </row>
    <row r="38" spans="1:20" x14ac:dyDescent="0.25">
      <c r="A38" s="194">
        <v>37</v>
      </c>
      <c r="B38" s="195" t="s">
        <v>632</v>
      </c>
      <c r="C38" s="195"/>
      <c r="D38" s="195"/>
      <c r="E38" s="195"/>
      <c r="F38" s="195"/>
      <c r="G38" s="195"/>
      <c r="H38" s="195"/>
      <c r="I38" s="195"/>
      <c r="J38" s="195"/>
      <c r="K38" s="195"/>
      <c r="L38" s="195"/>
      <c r="M38" s="195"/>
      <c r="N38" s="195"/>
      <c r="O38" s="195"/>
      <c r="P38" s="195"/>
      <c r="Q38" s="195"/>
      <c r="R38" s="250">
        <v>11</v>
      </c>
      <c r="T38">
        <f t="shared" si="0"/>
        <v>0</v>
      </c>
    </row>
    <row r="39" spans="1:20" x14ac:dyDescent="0.25">
      <c r="A39" s="194">
        <v>38</v>
      </c>
      <c r="B39" s="195" t="s">
        <v>633</v>
      </c>
      <c r="C39" s="195"/>
      <c r="D39" s="195"/>
      <c r="E39" s="195"/>
      <c r="F39" s="195"/>
      <c r="G39" s="195"/>
      <c r="H39" s="195"/>
      <c r="I39" s="195"/>
      <c r="J39" s="195"/>
      <c r="K39" s="195"/>
      <c r="L39" s="195"/>
      <c r="M39" s="195"/>
      <c r="N39" s="195"/>
      <c r="O39" s="195"/>
      <c r="P39" s="195"/>
      <c r="Q39" s="195"/>
      <c r="R39" s="194">
        <v>0</v>
      </c>
      <c r="T39">
        <f t="shared" si="0"/>
        <v>0</v>
      </c>
    </row>
    <row r="40" spans="1:20" x14ac:dyDescent="0.25">
      <c r="A40" s="194">
        <v>39</v>
      </c>
      <c r="B40" s="195" t="s">
        <v>634</v>
      </c>
      <c r="C40" s="195"/>
      <c r="D40" s="195"/>
      <c r="E40" s="195"/>
      <c r="F40" s="195"/>
      <c r="G40" s="195"/>
      <c r="H40" s="195"/>
      <c r="I40" s="195"/>
      <c r="J40" s="195"/>
      <c r="K40" s="195"/>
      <c r="L40" s="195"/>
      <c r="M40" s="195"/>
      <c r="N40" s="195"/>
      <c r="O40" s="195"/>
      <c r="P40" s="195"/>
      <c r="Q40" s="195"/>
      <c r="R40" s="194">
        <v>0</v>
      </c>
      <c r="T40">
        <f t="shared" si="0"/>
        <v>0</v>
      </c>
    </row>
    <row r="41" spans="1:20" x14ac:dyDescent="0.25">
      <c r="A41" s="194">
        <v>40</v>
      </c>
      <c r="B41" s="195" t="s">
        <v>636</v>
      </c>
      <c r="C41" s="195"/>
      <c r="D41" s="195"/>
      <c r="E41" s="195"/>
      <c r="F41" s="195"/>
      <c r="G41" s="195"/>
      <c r="H41" s="195"/>
      <c r="I41" s="195"/>
      <c r="J41" s="195"/>
      <c r="K41" s="195"/>
      <c r="L41" s="195"/>
      <c r="M41" s="195"/>
      <c r="N41" s="195"/>
      <c r="O41" s="195"/>
      <c r="P41" s="195"/>
      <c r="Q41" s="195"/>
      <c r="R41" s="194">
        <v>0</v>
      </c>
      <c r="T41">
        <f t="shared" si="0"/>
        <v>0</v>
      </c>
    </row>
    <row r="42" spans="1:20" x14ac:dyDescent="0.25">
      <c r="A42" s="194">
        <v>41</v>
      </c>
      <c r="B42" s="195" t="s">
        <v>637</v>
      </c>
      <c r="C42" s="195"/>
      <c r="D42" s="195"/>
      <c r="E42" s="195"/>
      <c r="F42" s="195"/>
      <c r="G42" s="195"/>
      <c r="H42" s="195"/>
      <c r="I42" s="195"/>
      <c r="J42" s="195"/>
      <c r="K42" s="195"/>
      <c r="L42" s="195"/>
      <c r="M42" s="195"/>
      <c r="N42" s="195"/>
      <c r="O42" s="195"/>
      <c r="P42" s="195"/>
      <c r="Q42" s="195"/>
      <c r="R42" s="194">
        <v>0</v>
      </c>
      <c r="T42">
        <f t="shared" si="0"/>
        <v>0</v>
      </c>
    </row>
    <row r="43" spans="1:20" x14ac:dyDescent="0.25">
      <c r="A43" s="194">
        <v>42</v>
      </c>
      <c r="B43" s="195" t="s">
        <v>640</v>
      </c>
      <c r="C43" s="195"/>
      <c r="D43" s="195"/>
      <c r="E43" s="195"/>
      <c r="F43" s="195"/>
      <c r="G43" s="195"/>
      <c r="H43" s="195"/>
      <c r="I43" s="195"/>
      <c r="J43" s="195"/>
      <c r="K43" s="195"/>
      <c r="L43" s="195"/>
      <c r="M43" s="195"/>
      <c r="N43" s="195"/>
      <c r="O43" s="195"/>
      <c r="P43" s="195"/>
      <c r="Q43" s="195"/>
      <c r="R43" s="194">
        <v>0</v>
      </c>
      <c r="T43">
        <f t="shared" si="0"/>
        <v>0</v>
      </c>
    </row>
    <row r="44" spans="1:20" x14ac:dyDescent="0.25">
      <c r="A44" s="194">
        <v>43</v>
      </c>
      <c r="B44" s="195" t="s">
        <v>638</v>
      </c>
      <c r="C44" s="195"/>
      <c r="D44" s="195"/>
      <c r="E44" s="195"/>
      <c r="F44" s="195"/>
      <c r="G44" s="195"/>
      <c r="H44" s="195"/>
      <c r="I44" s="195"/>
      <c r="J44" s="195"/>
      <c r="K44" s="195"/>
      <c r="L44" s="195"/>
      <c r="M44" s="195"/>
      <c r="N44" s="195"/>
      <c r="O44" s="195"/>
      <c r="P44" s="195"/>
      <c r="Q44" s="195"/>
      <c r="R44" s="194">
        <v>0</v>
      </c>
      <c r="T44">
        <f t="shared" si="0"/>
        <v>0</v>
      </c>
    </row>
    <row r="45" spans="1:20" x14ac:dyDescent="0.25">
      <c r="A45" s="194">
        <v>44</v>
      </c>
      <c r="B45" s="195" t="s">
        <v>635</v>
      </c>
      <c r="C45" s="195"/>
      <c r="D45" s="195"/>
      <c r="E45" s="195"/>
      <c r="F45" s="195"/>
      <c r="G45" s="195"/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94">
        <v>0</v>
      </c>
      <c r="T45">
        <f t="shared" si="0"/>
        <v>0</v>
      </c>
    </row>
    <row r="46" spans="1:20" x14ac:dyDescent="0.25">
      <c r="A46" s="194">
        <v>45</v>
      </c>
      <c r="B46" s="195" t="s">
        <v>641</v>
      </c>
      <c r="C46" s="195"/>
      <c r="D46" s="195"/>
      <c r="E46" s="195"/>
      <c r="F46" s="195"/>
      <c r="G46" s="195"/>
      <c r="H46" s="195"/>
      <c r="I46" s="195"/>
      <c r="J46" s="195"/>
      <c r="K46" s="195"/>
      <c r="L46" s="195"/>
      <c r="M46" s="195"/>
      <c r="N46" s="195"/>
      <c r="O46" s="195"/>
      <c r="P46" s="195"/>
      <c r="Q46" s="195"/>
      <c r="R46" s="194">
        <v>0</v>
      </c>
      <c r="T46">
        <f t="shared" si="0"/>
        <v>0</v>
      </c>
    </row>
    <row r="47" spans="1:20" x14ac:dyDescent="0.25">
      <c r="A47" s="194">
        <v>46</v>
      </c>
      <c r="B47" s="195" t="s">
        <v>649</v>
      </c>
      <c r="C47" s="195"/>
      <c r="D47" s="195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4">
        <v>0</v>
      </c>
      <c r="T47">
        <f t="shared" si="0"/>
        <v>0</v>
      </c>
    </row>
    <row r="48" spans="1:20" x14ac:dyDescent="0.25">
      <c r="A48" s="194">
        <v>47</v>
      </c>
      <c r="B48" s="195" t="s">
        <v>642</v>
      </c>
      <c r="C48" s="195"/>
      <c r="D48" s="195"/>
      <c r="E48" s="195"/>
      <c r="F48" s="195"/>
      <c r="G48" s="195"/>
      <c r="H48" s="195"/>
      <c r="I48" s="195"/>
      <c r="J48" s="195"/>
      <c r="K48" s="195"/>
      <c r="L48" s="195"/>
      <c r="M48" s="195"/>
      <c r="N48" s="195"/>
      <c r="O48" s="195"/>
      <c r="P48" s="195"/>
      <c r="Q48" s="195"/>
      <c r="R48" s="194">
        <v>0</v>
      </c>
      <c r="T48">
        <f t="shared" si="0"/>
        <v>0</v>
      </c>
    </row>
    <row r="49" spans="1:20" x14ac:dyDescent="0.25">
      <c r="A49" s="194">
        <v>48</v>
      </c>
      <c r="B49" s="195" t="s">
        <v>643</v>
      </c>
      <c r="C49" s="195"/>
      <c r="D49" s="195"/>
      <c r="E49" s="195"/>
      <c r="F49" s="195"/>
      <c r="G49" s="195"/>
      <c r="H49" s="195"/>
      <c r="I49" s="195"/>
      <c r="J49" s="195"/>
      <c r="K49" s="195"/>
      <c r="L49" s="195"/>
      <c r="M49" s="195"/>
      <c r="N49" s="195"/>
      <c r="O49" s="195"/>
      <c r="P49" s="195"/>
      <c r="Q49" s="195"/>
      <c r="R49" s="194">
        <v>0</v>
      </c>
      <c r="T49">
        <f t="shared" si="0"/>
        <v>0</v>
      </c>
    </row>
    <row r="50" spans="1:20" x14ac:dyDescent="0.25">
      <c r="A50" s="194">
        <v>49</v>
      </c>
      <c r="B50" s="195" t="s">
        <v>644</v>
      </c>
      <c r="C50" s="195"/>
      <c r="D50" s="195"/>
      <c r="E50" s="195"/>
      <c r="F50" s="195"/>
      <c r="G50" s="195"/>
      <c r="H50" s="195"/>
      <c r="I50" s="195"/>
      <c r="J50" s="195"/>
      <c r="K50" s="195"/>
      <c r="L50" s="195"/>
      <c r="M50" s="195"/>
      <c r="N50" s="195"/>
      <c r="O50" s="195"/>
      <c r="P50" s="195"/>
      <c r="Q50" s="195"/>
      <c r="R50" s="194">
        <v>0</v>
      </c>
      <c r="T50">
        <f t="shared" si="0"/>
        <v>0</v>
      </c>
    </row>
    <row r="51" spans="1:20" x14ac:dyDescent="0.25">
      <c r="A51" s="194">
        <v>50</v>
      </c>
      <c r="B51" s="195" t="s">
        <v>646</v>
      </c>
      <c r="C51" s="195"/>
      <c r="D51" s="195"/>
      <c r="E51" s="195"/>
      <c r="F51" s="195"/>
      <c r="G51" s="195"/>
      <c r="H51" s="195"/>
      <c r="I51" s="195"/>
      <c r="J51" s="195"/>
      <c r="K51" s="195"/>
      <c r="L51" s="195"/>
      <c r="M51" s="195"/>
      <c r="N51" s="195"/>
      <c r="O51" s="195"/>
      <c r="P51" s="195"/>
      <c r="Q51" s="195"/>
      <c r="R51" s="194">
        <v>0</v>
      </c>
      <c r="T51">
        <f t="shared" si="0"/>
        <v>0</v>
      </c>
    </row>
    <row r="52" spans="1:20" x14ac:dyDescent="0.25">
      <c r="A52" s="194">
        <v>51</v>
      </c>
      <c r="B52" s="195" t="s">
        <v>647</v>
      </c>
      <c r="C52" s="195"/>
      <c r="D52" s="195"/>
      <c r="E52" s="195"/>
      <c r="F52" s="195"/>
      <c r="G52" s="195"/>
      <c r="H52" s="195"/>
      <c r="I52" s="195"/>
      <c r="J52" s="195"/>
      <c r="K52" s="195"/>
      <c r="L52" s="195"/>
      <c r="M52" s="195"/>
      <c r="N52" s="195"/>
      <c r="O52" s="195"/>
      <c r="P52" s="195"/>
      <c r="Q52" s="195"/>
      <c r="R52" s="194">
        <v>0</v>
      </c>
      <c r="T52">
        <f t="shared" si="0"/>
        <v>0</v>
      </c>
    </row>
    <row r="53" spans="1:20" x14ac:dyDescent="0.25">
      <c r="A53" s="194">
        <v>52</v>
      </c>
      <c r="B53" s="195" t="s">
        <v>652</v>
      </c>
      <c r="C53" s="195"/>
      <c r="D53" s="195"/>
      <c r="E53" s="195"/>
      <c r="F53" s="195"/>
      <c r="G53" s="195"/>
      <c r="H53" s="195"/>
      <c r="I53" s="195"/>
      <c r="J53" s="195"/>
      <c r="K53" s="195"/>
      <c r="L53" s="195"/>
      <c r="M53" s="195"/>
      <c r="N53" s="195"/>
      <c r="O53" s="195"/>
      <c r="P53" s="195"/>
      <c r="Q53" s="195"/>
      <c r="R53" s="194">
        <v>0</v>
      </c>
      <c r="T53">
        <f t="shared" si="0"/>
        <v>0</v>
      </c>
    </row>
    <row r="54" spans="1:20" x14ac:dyDescent="0.25">
      <c r="A54" s="194">
        <v>53</v>
      </c>
      <c r="B54" s="195" t="s">
        <v>653</v>
      </c>
      <c r="C54" s="195"/>
      <c r="D54" s="195"/>
      <c r="E54" s="195"/>
      <c r="F54" s="195"/>
      <c r="G54" s="195"/>
      <c r="H54" s="195"/>
      <c r="I54" s="195"/>
      <c r="J54" s="195"/>
      <c r="K54" s="195"/>
      <c r="L54" s="195"/>
      <c r="M54" s="195"/>
      <c r="N54" s="195"/>
      <c r="O54" s="195"/>
      <c r="P54" s="195"/>
      <c r="Q54" s="195"/>
      <c r="R54" s="194">
        <v>0</v>
      </c>
      <c r="T54">
        <f t="shared" si="0"/>
        <v>0</v>
      </c>
    </row>
    <row r="55" spans="1:20" x14ac:dyDescent="0.25">
      <c r="A55" s="194">
        <v>54</v>
      </c>
      <c r="B55" s="195" t="s">
        <v>654</v>
      </c>
      <c r="C55" s="195" t="s">
        <v>26</v>
      </c>
      <c r="D55" s="195"/>
      <c r="E55" s="195"/>
      <c r="F55" s="195"/>
      <c r="G55" s="195"/>
      <c r="H55" s="195"/>
      <c r="I55" s="195"/>
      <c r="J55" s="195"/>
      <c r="K55" s="195"/>
      <c r="L55" s="195"/>
      <c r="M55" s="195"/>
      <c r="N55" s="195"/>
      <c r="O55" s="195"/>
      <c r="P55" s="195"/>
      <c r="Q55" s="195"/>
      <c r="R55" s="250">
        <v>22</v>
      </c>
      <c r="T55">
        <f t="shared" si="0"/>
        <v>11</v>
      </c>
    </row>
    <row r="56" spans="1:20" x14ac:dyDescent="0.25">
      <c r="A56" s="194">
        <v>55</v>
      </c>
      <c r="B56" s="195" t="s">
        <v>655</v>
      </c>
      <c r="C56" s="195"/>
      <c r="D56" s="195"/>
      <c r="E56" s="195"/>
      <c r="F56" s="195"/>
      <c r="G56" s="195"/>
      <c r="H56" s="195"/>
      <c r="I56" s="195"/>
      <c r="J56" s="195"/>
      <c r="K56" s="195"/>
      <c r="L56" s="195"/>
      <c r="M56" s="195"/>
      <c r="N56" s="195"/>
      <c r="O56" s="195"/>
      <c r="P56" s="195"/>
      <c r="Q56" s="195"/>
      <c r="R56" s="194">
        <v>0</v>
      </c>
      <c r="T56">
        <f t="shared" si="0"/>
        <v>0</v>
      </c>
    </row>
    <row r="57" spans="1:20" x14ac:dyDescent="0.25">
      <c r="A57" s="194">
        <v>56</v>
      </c>
      <c r="B57" s="195" t="s">
        <v>656</v>
      </c>
      <c r="C57" s="195"/>
      <c r="D57" s="195"/>
      <c r="E57" s="195"/>
      <c r="F57" s="195"/>
      <c r="G57" s="195"/>
      <c r="H57" s="195"/>
      <c r="I57" s="195"/>
      <c r="J57" s="195"/>
      <c r="K57" s="195"/>
      <c r="L57" s="195"/>
      <c r="M57" s="195"/>
      <c r="N57" s="195"/>
      <c r="O57" s="195"/>
      <c r="P57" s="195"/>
      <c r="Q57" s="195"/>
      <c r="R57" s="194">
        <v>0</v>
      </c>
      <c r="T57">
        <f t="shared" si="0"/>
        <v>0</v>
      </c>
    </row>
    <row r="58" spans="1:20" x14ac:dyDescent="0.25">
      <c r="A58" s="194">
        <v>57</v>
      </c>
      <c r="B58" s="195" t="s">
        <v>657</v>
      </c>
      <c r="C58" s="195"/>
      <c r="D58" s="195"/>
      <c r="E58" s="195"/>
      <c r="F58" s="195"/>
      <c r="G58" s="195"/>
      <c r="H58" s="195"/>
      <c r="I58" s="195"/>
      <c r="J58" s="195"/>
      <c r="K58" s="195"/>
      <c r="L58" s="195"/>
      <c r="M58" s="195"/>
      <c r="N58" s="195"/>
      <c r="O58" s="195"/>
      <c r="P58" s="195"/>
      <c r="Q58" s="195"/>
      <c r="R58" s="194">
        <v>0</v>
      </c>
      <c r="T58">
        <f t="shared" si="0"/>
        <v>0</v>
      </c>
    </row>
    <row r="59" spans="1:20" x14ac:dyDescent="0.25">
      <c r="A59" s="194">
        <v>58</v>
      </c>
      <c r="B59" s="195" t="s">
        <v>658</v>
      </c>
      <c r="C59" s="195"/>
      <c r="D59" s="195"/>
      <c r="E59" s="195"/>
      <c r="F59" s="195"/>
      <c r="G59" s="195"/>
      <c r="H59" s="195"/>
      <c r="I59" s="195"/>
      <c r="J59" s="195"/>
      <c r="K59" s="195"/>
      <c r="L59" s="195"/>
      <c r="M59" s="195"/>
      <c r="N59" s="195"/>
      <c r="O59" s="195"/>
      <c r="P59" s="195"/>
      <c r="Q59" s="195"/>
      <c r="R59" s="194">
        <v>0</v>
      </c>
      <c r="T59">
        <f t="shared" si="0"/>
        <v>0</v>
      </c>
    </row>
    <row r="60" spans="1:20" x14ac:dyDescent="0.25">
      <c r="A60" s="194">
        <v>59</v>
      </c>
      <c r="B60" s="195" t="s">
        <v>659</v>
      </c>
      <c r="C60" s="195"/>
      <c r="D60" s="195"/>
      <c r="E60" s="195"/>
      <c r="F60" s="195"/>
      <c r="G60" s="195"/>
      <c r="H60" s="195"/>
      <c r="I60" s="195"/>
      <c r="J60" s="195"/>
      <c r="K60" s="195"/>
      <c r="L60" s="195"/>
      <c r="M60" s="195"/>
      <c r="N60" s="195"/>
      <c r="O60" s="195"/>
      <c r="P60" s="195"/>
      <c r="Q60" s="195"/>
      <c r="R60" s="194">
        <v>0</v>
      </c>
      <c r="T60">
        <f t="shared" si="0"/>
        <v>0</v>
      </c>
    </row>
    <row r="61" spans="1:20" x14ac:dyDescent="0.25">
      <c r="A61" s="194">
        <v>60</v>
      </c>
      <c r="B61" s="195" t="s">
        <v>660</v>
      </c>
      <c r="C61" s="195"/>
      <c r="D61" s="195"/>
      <c r="E61" s="195"/>
      <c r="F61" s="195"/>
      <c r="G61" s="195"/>
      <c r="H61" s="195"/>
      <c r="I61" s="195"/>
      <c r="J61" s="195"/>
      <c r="K61" s="195"/>
      <c r="L61" s="195"/>
      <c r="M61" s="195"/>
      <c r="N61" s="195"/>
      <c r="O61" s="195"/>
      <c r="P61" s="195"/>
      <c r="Q61" s="195"/>
      <c r="R61" s="194">
        <v>0</v>
      </c>
      <c r="T61">
        <f t="shared" si="0"/>
        <v>0</v>
      </c>
    </row>
    <row r="62" spans="1:20" x14ac:dyDescent="0.25">
      <c r="A62" s="194">
        <v>61</v>
      </c>
      <c r="B62" s="195" t="s">
        <v>661</v>
      </c>
      <c r="C62" s="195"/>
      <c r="D62" s="195"/>
      <c r="E62" s="195"/>
      <c r="F62" s="195"/>
      <c r="G62" s="195"/>
      <c r="H62" s="195"/>
      <c r="I62" s="195"/>
      <c r="J62" s="195"/>
      <c r="K62" s="195"/>
      <c r="L62" s="195"/>
      <c r="M62" s="195"/>
      <c r="N62" s="195"/>
      <c r="O62" s="195"/>
      <c r="P62" s="195"/>
      <c r="Q62" s="195"/>
      <c r="R62" s="194">
        <v>0</v>
      </c>
      <c r="T62">
        <f t="shared" si="0"/>
        <v>0</v>
      </c>
    </row>
    <row r="63" spans="1:20" x14ac:dyDescent="0.25">
      <c r="A63" s="194">
        <v>62</v>
      </c>
      <c r="B63" s="195" t="s">
        <v>662</v>
      </c>
      <c r="C63" s="195"/>
      <c r="D63" s="195"/>
      <c r="E63" s="195"/>
      <c r="F63" s="195"/>
      <c r="G63" s="195"/>
      <c r="H63" s="195"/>
      <c r="I63" s="195"/>
      <c r="J63" s="195"/>
      <c r="K63" s="195"/>
      <c r="L63" s="195"/>
      <c r="M63" s="195"/>
      <c r="N63" s="195"/>
      <c r="O63" s="195"/>
      <c r="P63" s="195"/>
      <c r="Q63" s="195"/>
      <c r="R63" s="194">
        <v>0</v>
      </c>
      <c r="T63">
        <f t="shared" si="0"/>
        <v>0</v>
      </c>
    </row>
    <row r="64" spans="1:20" x14ac:dyDescent="0.25">
      <c r="A64" s="194">
        <v>63</v>
      </c>
      <c r="B64" s="195" t="s">
        <v>668</v>
      </c>
      <c r="C64" s="195"/>
      <c r="D64" s="195"/>
      <c r="E64" s="195"/>
      <c r="F64" s="195"/>
      <c r="G64" s="195"/>
      <c r="H64" s="195"/>
      <c r="I64" s="195"/>
      <c r="J64" s="195"/>
      <c r="K64" s="195"/>
      <c r="L64" s="195"/>
      <c r="M64" s="195"/>
      <c r="N64" s="195"/>
      <c r="O64" s="195"/>
      <c r="P64" s="195"/>
      <c r="Q64" s="195"/>
      <c r="R64" s="194">
        <v>0</v>
      </c>
      <c r="T64">
        <f t="shared" si="0"/>
        <v>0</v>
      </c>
    </row>
    <row r="65" spans="1:18" x14ac:dyDescent="0.25">
      <c r="A65" s="193"/>
      <c r="B65" s="193"/>
      <c r="C65" s="193"/>
      <c r="D65" s="193"/>
      <c r="E65" s="193"/>
      <c r="F65" s="193"/>
      <c r="G65" s="193"/>
      <c r="H65" s="193"/>
      <c r="I65" s="193"/>
      <c r="J65" s="193"/>
      <c r="K65" s="193"/>
      <c r="L65" s="193"/>
      <c r="M65" s="193"/>
      <c r="N65" s="193"/>
      <c r="O65" s="193"/>
      <c r="P65" s="193"/>
      <c r="Q65" s="193"/>
      <c r="R65" s="251">
        <v>225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V65"/>
  <sheetViews>
    <sheetView zoomScale="70" zoomScaleNormal="70" workbookViewId="0">
      <selection activeCell="V2" sqref="V2:V64"/>
    </sheetView>
  </sheetViews>
  <sheetFormatPr defaultRowHeight="15" x14ac:dyDescent="0.25"/>
  <sheetData>
    <row r="1" spans="1:22" x14ac:dyDescent="0.25">
      <c r="A1" s="196" t="s">
        <v>1</v>
      </c>
      <c r="B1" s="196" t="s">
        <v>6</v>
      </c>
      <c r="C1" s="196" t="s">
        <v>67</v>
      </c>
      <c r="D1" s="196" t="s">
        <v>86</v>
      </c>
      <c r="E1" s="196" t="s">
        <v>46</v>
      </c>
      <c r="F1" s="196" t="s">
        <v>47</v>
      </c>
      <c r="G1" s="196" t="s">
        <v>48</v>
      </c>
      <c r="H1" s="196" t="s">
        <v>49</v>
      </c>
      <c r="I1" s="196" t="s">
        <v>50</v>
      </c>
      <c r="J1" s="196" t="s">
        <v>51</v>
      </c>
      <c r="K1" s="196" t="s">
        <v>52</v>
      </c>
      <c r="L1" s="196" t="s">
        <v>53</v>
      </c>
      <c r="M1" s="196" t="s">
        <v>54</v>
      </c>
      <c r="N1" s="196" t="s">
        <v>55</v>
      </c>
      <c r="O1" s="196" t="s">
        <v>56</v>
      </c>
      <c r="P1" s="196" t="s">
        <v>57</v>
      </c>
      <c r="Q1" s="196" t="s">
        <v>58</v>
      </c>
      <c r="R1" s="196" t="s">
        <v>59</v>
      </c>
      <c r="S1" s="196" t="s">
        <v>667</v>
      </c>
      <c r="T1" s="196" t="s">
        <v>2</v>
      </c>
    </row>
    <row r="2" spans="1:22" x14ac:dyDescent="0.25">
      <c r="A2" s="197">
        <v>1</v>
      </c>
      <c r="B2" s="198" t="s">
        <v>10</v>
      </c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7">
        <v>0</v>
      </c>
      <c r="V2">
        <f t="shared" ref="V2:V64" si="0">E2+F2+G2+H2+I2+J2+K2+L2+M2+N2+O2+P2+Q2+R2+S2</f>
        <v>0</v>
      </c>
    </row>
    <row r="3" spans="1:22" x14ac:dyDescent="0.25">
      <c r="A3" s="197">
        <v>2</v>
      </c>
      <c r="B3" s="198" t="s">
        <v>11</v>
      </c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8"/>
      <c r="P3" s="198"/>
      <c r="Q3" s="198"/>
      <c r="R3" s="198"/>
      <c r="S3" s="198"/>
      <c r="T3" s="197">
        <v>0</v>
      </c>
      <c r="V3">
        <f t="shared" si="0"/>
        <v>0</v>
      </c>
    </row>
    <row r="4" spans="1:22" x14ac:dyDescent="0.25">
      <c r="A4" s="197">
        <v>3</v>
      </c>
      <c r="B4" s="198" t="s">
        <v>12</v>
      </c>
      <c r="C4" s="198"/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197">
        <v>0</v>
      </c>
      <c r="V4">
        <f t="shared" si="0"/>
        <v>0</v>
      </c>
    </row>
    <row r="5" spans="1:22" x14ac:dyDescent="0.25">
      <c r="A5" s="197">
        <v>4</v>
      </c>
      <c r="B5" s="198" t="s">
        <v>651</v>
      </c>
      <c r="C5" s="198"/>
      <c r="D5" s="198" t="s">
        <v>26</v>
      </c>
      <c r="E5" s="198" t="s">
        <v>26</v>
      </c>
      <c r="F5" s="198" t="s">
        <v>26</v>
      </c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252">
        <v>33</v>
      </c>
      <c r="V5">
        <f t="shared" si="0"/>
        <v>22</v>
      </c>
    </row>
    <row r="6" spans="1:22" x14ac:dyDescent="0.25">
      <c r="A6" s="197">
        <v>5</v>
      </c>
      <c r="B6" s="198" t="s">
        <v>14</v>
      </c>
      <c r="C6" s="198"/>
      <c r="D6" s="198" t="s">
        <v>26</v>
      </c>
      <c r="E6" s="198" t="s">
        <v>26</v>
      </c>
      <c r="F6" s="198" t="s">
        <v>26</v>
      </c>
      <c r="G6" s="198"/>
      <c r="H6" s="198"/>
      <c r="I6" s="198"/>
      <c r="J6" s="198"/>
      <c r="K6" s="198"/>
      <c r="L6" s="198"/>
      <c r="M6" s="198"/>
      <c r="N6" s="198"/>
      <c r="O6" s="198"/>
      <c r="P6" s="198"/>
      <c r="Q6" s="198"/>
      <c r="R6" s="198"/>
      <c r="S6" s="198"/>
      <c r="T6" s="252">
        <v>33</v>
      </c>
      <c r="V6">
        <f t="shared" si="0"/>
        <v>22</v>
      </c>
    </row>
    <row r="7" spans="1:22" x14ac:dyDescent="0.25">
      <c r="A7" s="197">
        <v>6</v>
      </c>
      <c r="B7" s="198" t="s">
        <v>15</v>
      </c>
      <c r="C7" s="198"/>
      <c r="D7" s="198"/>
      <c r="E7" s="198"/>
      <c r="F7" s="198"/>
      <c r="G7" s="198"/>
      <c r="H7" s="198"/>
      <c r="I7" s="198"/>
      <c r="J7" s="198"/>
      <c r="K7" s="198"/>
      <c r="L7" s="198"/>
      <c r="M7" s="198"/>
      <c r="N7" s="198"/>
      <c r="O7" s="198"/>
      <c r="P7" s="198"/>
      <c r="Q7" s="198"/>
      <c r="R7" s="198"/>
      <c r="S7" s="198"/>
      <c r="T7" s="197">
        <v>0</v>
      </c>
      <c r="V7">
        <f t="shared" si="0"/>
        <v>0</v>
      </c>
    </row>
    <row r="8" spans="1:22" x14ac:dyDescent="0.25">
      <c r="A8" s="197">
        <v>7</v>
      </c>
      <c r="B8" s="198" t="s">
        <v>16</v>
      </c>
      <c r="C8" s="198"/>
      <c r="D8" s="198"/>
      <c r="E8" s="198"/>
      <c r="F8" s="198"/>
      <c r="G8" s="198"/>
      <c r="H8" s="198"/>
      <c r="I8" s="198"/>
      <c r="J8" s="198"/>
      <c r="K8" s="198"/>
      <c r="L8" s="198"/>
      <c r="M8" s="198"/>
      <c r="N8" s="198"/>
      <c r="O8" s="198"/>
      <c r="P8" s="198"/>
      <c r="Q8" s="198"/>
      <c r="R8" s="198"/>
      <c r="S8" s="198"/>
      <c r="T8" s="197">
        <v>0</v>
      </c>
      <c r="V8">
        <f t="shared" si="0"/>
        <v>0</v>
      </c>
    </row>
    <row r="9" spans="1:22" x14ac:dyDescent="0.25">
      <c r="A9" s="197">
        <v>8</v>
      </c>
      <c r="B9" s="198" t="s">
        <v>4</v>
      </c>
      <c r="C9" s="198"/>
      <c r="D9" s="198"/>
      <c r="E9" s="198"/>
      <c r="F9" s="198"/>
      <c r="G9" s="198"/>
      <c r="H9" s="198"/>
      <c r="I9" s="198"/>
      <c r="J9" s="198"/>
      <c r="K9" s="198"/>
      <c r="L9" s="198"/>
      <c r="M9" s="198"/>
      <c r="N9" s="198"/>
      <c r="O9" s="198"/>
      <c r="P9" s="198"/>
      <c r="Q9" s="198"/>
      <c r="R9" s="198"/>
      <c r="S9" s="198"/>
      <c r="T9" s="197">
        <v>0</v>
      </c>
      <c r="V9">
        <f t="shared" si="0"/>
        <v>0</v>
      </c>
    </row>
    <row r="10" spans="1:22" x14ac:dyDescent="0.25">
      <c r="A10" s="197">
        <v>9</v>
      </c>
      <c r="B10" s="198" t="s">
        <v>5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7">
        <v>0</v>
      </c>
      <c r="V10">
        <f t="shared" si="0"/>
        <v>0</v>
      </c>
    </row>
    <row r="11" spans="1:22" x14ac:dyDescent="0.25">
      <c r="A11" s="197">
        <v>10</v>
      </c>
      <c r="B11" s="198" t="s">
        <v>38</v>
      </c>
      <c r="C11" s="198"/>
      <c r="D11" s="198"/>
      <c r="E11" s="198"/>
      <c r="F11" s="198"/>
      <c r="G11" s="198" t="s">
        <v>26</v>
      </c>
      <c r="H11" s="198" t="s">
        <v>26</v>
      </c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252">
        <v>22</v>
      </c>
      <c r="V11">
        <f t="shared" si="0"/>
        <v>22</v>
      </c>
    </row>
    <row r="12" spans="1:22" x14ac:dyDescent="0.25">
      <c r="A12" s="197">
        <v>11</v>
      </c>
      <c r="B12" s="198" t="s">
        <v>43</v>
      </c>
      <c r="C12" s="198"/>
      <c r="D12" s="198"/>
      <c r="E12" s="198" t="s">
        <v>26</v>
      </c>
      <c r="F12" s="198" t="s">
        <v>26</v>
      </c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252">
        <v>22</v>
      </c>
      <c r="V12">
        <f t="shared" si="0"/>
        <v>22</v>
      </c>
    </row>
    <row r="13" spans="1:22" x14ac:dyDescent="0.25">
      <c r="A13" s="197">
        <v>12</v>
      </c>
      <c r="B13" s="198" t="s">
        <v>639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7">
        <v>0</v>
      </c>
      <c r="V13">
        <f t="shared" si="0"/>
        <v>0</v>
      </c>
    </row>
    <row r="14" spans="1:22" x14ac:dyDescent="0.25">
      <c r="A14" s="197">
        <v>13</v>
      </c>
      <c r="B14" s="198" t="s">
        <v>87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7">
        <v>0</v>
      </c>
      <c r="V14">
        <f t="shared" si="0"/>
        <v>0</v>
      </c>
    </row>
    <row r="15" spans="1:22" x14ac:dyDescent="0.25">
      <c r="A15" s="197">
        <v>14</v>
      </c>
      <c r="B15" s="198" t="s">
        <v>95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7">
        <v>0</v>
      </c>
      <c r="V15">
        <f t="shared" si="0"/>
        <v>0</v>
      </c>
    </row>
    <row r="16" spans="1:22" x14ac:dyDescent="0.25">
      <c r="A16" s="197">
        <v>15</v>
      </c>
      <c r="B16" s="198" t="s">
        <v>96</v>
      </c>
      <c r="C16" s="198"/>
      <c r="D16" s="198"/>
      <c r="E16" s="198"/>
      <c r="F16" s="198"/>
      <c r="G16" s="198"/>
      <c r="H16" s="198"/>
      <c r="I16" s="198"/>
      <c r="J16" s="198"/>
      <c r="K16" s="198"/>
      <c r="L16" s="198"/>
      <c r="M16" s="198"/>
      <c r="N16" s="198"/>
      <c r="O16" s="198"/>
      <c r="P16" s="198"/>
      <c r="Q16" s="198"/>
      <c r="R16" s="198"/>
      <c r="S16" s="198"/>
      <c r="T16" s="197">
        <v>0</v>
      </c>
      <c r="V16">
        <f t="shared" si="0"/>
        <v>0</v>
      </c>
    </row>
    <row r="17" spans="1:22" x14ac:dyDescent="0.25">
      <c r="A17" s="197">
        <v>16</v>
      </c>
      <c r="B17" s="198" t="s">
        <v>97</v>
      </c>
      <c r="C17" s="198"/>
      <c r="D17" s="198"/>
      <c r="E17" s="198"/>
      <c r="F17" s="198"/>
      <c r="G17" s="198" t="s">
        <v>25</v>
      </c>
      <c r="H17" s="198" t="s">
        <v>25</v>
      </c>
      <c r="I17" s="198"/>
      <c r="J17" s="198"/>
      <c r="K17" s="198"/>
      <c r="L17" s="198"/>
      <c r="M17" s="198"/>
      <c r="N17" s="198"/>
      <c r="O17" s="198"/>
      <c r="P17" s="198"/>
      <c r="Q17" s="198"/>
      <c r="R17" s="198"/>
      <c r="S17" s="198"/>
      <c r="T17" s="252">
        <v>18</v>
      </c>
      <c r="V17">
        <f t="shared" si="0"/>
        <v>18</v>
      </c>
    </row>
    <row r="18" spans="1:22" x14ac:dyDescent="0.25">
      <c r="A18" s="197">
        <v>17</v>
      </c>
      <c r="B18" s="198" t="s">
        <v>98</v>
      </c>
      <c r="C18" s="198"/>
      <c r="D18" s="198"/>
      <c r="E18" s="198"/>
      <c r="F18" s="198"/>
      <c r="G18" s="198" t="s">
        <v>26</v>
      </c>
      <c r="H18" s="198" t="s">
        <v>26</v>
      </c>
      <c r="I18" s="198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252">
        <v>22</v>
      </c>
      <c r="V18">
        <f t="shared" si="0"/>
        <v>22</v>
      </c>
    </row>
    <row r="19" spans="1:22" x14ac:dyDescent="0.25">
      <c r="A19" s="197">
        <v>18</v>
      </c>
      <c r="B19" s="198" t="s">
        <v>616</v>
      </c>
      <c r="C19" s="198"/>
      <c r="D19" s="198"/>
      <c r="E19" s="198"/>
      <c r="F19" s="198" t="s">
        <v>26</v>
      </c>
      <c r="G19" s="198"/>
      <c r="H19" s="198"/>
      <c r="I19" s="198"/>
      <c r="J19" s="198"/>
      <c r="K19" s="198"/>
      <c r="L19" s="198"/>
      <c r="M19" s="198"/>
      <c r="N19" s="198"/>
      <c r="O19" s="198"/>
      <c r="P19" s="198"/>
      <c r="Q19" s="198"/>
      <c r="R19" s="198"/>
      <c r="S19" s="198"/>
      <c r="T19" s="252">
        <v>11</v>
      </c>
      <c r="V19">
        <f t="shared" si="0"/>
        <v>11</v>
      </c>
    </row>
    <row r="20" spans="1:22" x14ac:dyDescent="0.25">
      <c r="A20" s="197">
        <v>19</v>
      </c>
      <c r="B20" s="198" t="s">
        <v>617</v>
      </c>
      <c r="C20" s="198"/>
      <c r="D20" s="198"/>
      <c r="E20" s="198"/>
      <c r="F20" s="198"/>
      <c r="G20" s="198"/>
      <c r="H20" s="198"/>
      <c r="I20" s="198"/>
      <c r="J20" s="198"/>
      <c r="K20" s="198"/>
      <c r="L20" s="198"/>
      <c r="M20" s="198"/>
      <c r="N20" s="198"/>
      <c r="O20" s="198"/>
      <c r="P20" s="198"/>
      <c r="Q20" s="198"/>
      <c r="R20" s="198"/>
      <c r="S20" s="198"/>
      <c r="T20" s="197">
        <v>0</v>
      </c>
      <c r="V20">
        <f t="shared" si="0"/>
        <v>0</v>
      </c>
    </row>
    <row r="21" spans="1:22" x14ac:dyDescent="0.25">
      <c r="A21" s="197">
        <v>20</v>
      </c>
      <c r="B21" s="198" t="s">
        <v>626</v>
      </c>
      <c r="C21" s="198"/>
      <c r="D21" s="198"/>
      <c r="E21" s="198"/>
      <c r="F21" s="198"/>
      <c r="G21" s="198"/>
      <c r="H21" s="198"/>
      <c r="I21" s="198"/>
      <c r="J21" s="198"/>
      <c r="K21" s="198"/>
      <c r="L21" s="198"/>
      <c r="M21" s="198"/>
      <c r="N21" s="198"/>
      <c r="O21" s="198"/>
      <c r="P21" s="198"/>
      <c r="Q21" s="198"/>
      <c r="R21" s="198"/>
      <c r="S21" s="198"/>
      <c r="T21" s="197">
        <v>0</v>
      </c>
      <c r="V21">
        <f t="shared" si="0"/>
        <v>0</v>
      </c>
    </row>
    <row r="22" spans="1:22" x14ac:dyDescent="0.25">
      <c r="A22" s="197">
        <v>21</v>
      </c>
      <c r="B22" s="198" t="s">
        <v>618</v>
      </c>
      <c r="C22" s="198"/>
      <c r="D22" s="198"/>
      <c r="E22" s="198"/>
      <c r="F22" s="198"/>
      <c r="G22" s="198"/>
      <c r="H22" s="198"/>
      <c r="I22" s="198"/>
      <c r="J22" s="198"/>
      <c r="K22" s="198"/>
      <c r="L22" s="198"/>
      <c r="M22" s="198"/>
      <c r="N22" s="198"/>
      <c r="O22" s="198"/>
      <c r="P22" s="198"/>
      <c r="Q22" s="198"/>
      <c r="R22" s="198"/>
      <c r="S22" s="198"/>
      <c r="T22" s="197">
        <v>0</v>
      </c>
      <c r="V22">
        <f t="shared" si="0"/>
        <v>0</v>
      </c>
    </row>
    <row r="23" spans="1:22" x14ac:dyDescent="0.25">
      <c r="A23" s="197">
        <v>22</v>
      </c>
      <c r="B23" s="198" t="s">
        <v>619</v>
      </c>
      <c r="C23" s="198"/>
      <c r="D23" s="198"/>
      <c r="E23" s="198"/>
      <c r="F23" s="198"/>
      <c r="G23" s="198"/>
      <c r="H23" s="198"/>
      <c r="I23" s="198"/>
      <c r="J23" s="198"/>
      <c r="K23" s="198"/>
      <c r="L23" s="198"/>
      <c r="M23" s="198"/>
      <c r="N23" s="198"/>
      <c r="O23" s="198"/>
      <c r="P23" s="198"/>
      <c r="Q23" s="198"/>
      <c r="R23" s="198"/>
      <c r="S23" s="198"/>
      <c r="T23" s="197">
        <v>0</v>
      </c>
      <c r="V23">
        <f t="shared" si="0"/>
        <v>0</v>
      </c>
    </row>
    <row r="24" spans="1:22" x14ac:dyDescent="0.25">
      <c r="A24" s="197">
        <v>23</v>
      </c>
      <c r="B24" s="198" t="s">
        <v>620</v>
      </c>
      <c r="C24" s="198"/>
      <c r="D24" s="198"/>
      <c r="E24" s="198"/>
      <c r="F24" s="198"/>
      <c r="G24" s="198" t="s">
        <v>26</v>
      </c>
      <c r="H24" s="198" t="s">
        <v>26</v>
      </c>
      <c r="I24" s="198"/>
      <c r="J24" s="198"/>
      <c r="K24" s="198"/>
      <c r="L24" s="198"/>
      <c r="M24" s="198"/>
      <c r="N24" s="198"/>
      <c r="O24" s="198"/>
      <c r="P24" s="198"/>
      <c r="Q24" s="198"/>
      <c r="R24" s="198"/>
      <c r="S24" s="198"/>
      <c r="T24" s="252">
        <v>22</v>
      </c>
      <c r="V24">
        <f t="shared" si="0"/>
        <v>22</v>
      </c>
    </row>
    <row r="25" spans="1:22" x14ac:dyDescent="0.25">
      <c r="A25" s="197">
        <v>24</v>
      </c>
      <c r="B25" s="198" t="s">
        <v>650</v>
      </c>
      <c r="C25" s="198"/>
      <c r="D25" s="198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198"/>
      <c r="S25" s="198"/>
      <c r="T25" s="197">
        <v>0</v>
      </c>
      <c r="V25">
        <f t="shared" si="0"/>
        <v>0</v>
      </c>
    </row>
    <row r="26" spans="1:22" x14ac:dyDescent="0.25">
      <c r="A26" s="197">
        <v>25</v>
      </c>
      <c r="B26" s="198" t="s">
        <v>621</v>
      </c>
      <c r="C26" s="198"/>
      <c r="D26" s="198"/>
      <c r="E26" s="198"/>
      <c r="F26" s="198"/>
      <c r="G26" s="198"/>
      <c r="H26" s="198"/>
      <c r="I26" s="198"/>
      <c r="J26" s="198"/>
      <c r="K26" s="198"/>
      <c r="L26" s="198"/>
      <c r="M26" s="198"/>
      <c r="N26" s="198"/>
      <c r="O26" s="198"/>
      <c r="P26" s="198"/>
      <c r="Q26" s="198"/>
      <c r="R26" s="198"/>
      <c r="S26" s="198"/>
      <c r="T26" s="197">
        <v>0</v>
      </c>
      <c r="V26">
        <f t="shared" si="0"/>
        <v>0</v>
      </c>
    </row>
    <row r="27" spans="1:22" x14ac:dyDescent="0.25">
      <c r="A27" s="197">
        <v>26</v>
      </c>
      <c r="B27" s="198" t="s">
        <v>622</v>
      </c>
      <c r="C27" s="198"/>
      <c r="D27" s="198"/>
      <c r="E27" s="198"/>
      <c r="F27" s="198"/>
      <c r="G27" s="198"/>
      <c r="H27" s="198"/>
      <c r="I27" s="198"/>
      <c r="J27" s="198"/>
      <c r="K27" s="198"/>
      <c r="L27" s="198"/>
      <c r="M27" s="198"/>
      <c r="N27" s="198"/>
      <c r="O27" s="198"/>
      <c r="P27" s="198"/>
      <c r="Q27" s="198"/>
      <c r="R27" s="198"/>
      <c r="S27" s="198"/>
      <c r="T27" s="197">
        <v>0</v>
      </c>
      <c r="V27">
        <f t="shared" si="0"/>
        <v>0</v>
      </c>
    </row>
    <row r="28" spans="1:22" x14ac:dyDescent="0.25">
      <c r="A28" s="197">
        <v>27</v>
      </c>
      <c r="B28" s="198" t="s">
        <v>623</v>
      </c>
      <c r="C28" s="198"/>
      <c r="D28" s="198"/>
      <c r="E28" s="198"/>
      <c r="F28" s="198"/>
      <c r="G28" s="198"/>
      <c r="H28" s="198"/>
      <c r="I28" s="198"/>
      <c r="J28" s="198"/>
      <c r="K28" s="198"/>
      <c r="L28" s="198"/>
      <c r="M28" s="198"/>
      <c r="N28" s="198"/>
      <c r="O28" s="198"/>
      <c r="P28" s="198"/>
      <c r="Q28" s="198"/>
      <c r="R28" s="198"/>
      <c r="S28" s="198"/>
      <c r="T28" s="197">
        <v>0</v>
      </c>
      <c r="V28">
        <f t="shared" si="0"/>
        <v>0</v>
      </c>
    </row>
    <row r="29" spans="1:22" x14ac:dyDescent="0.25">
      <c r="A29" s="197">
        <v>28</v>
      </c>
      <c r="B29" s="198" t="s">
        <v>624</v>
      </c>
      <c r="C29" s="198"/>
      <c r="D29" s="198"/>
      <c r="E29" s="198"/>
      <c r="F29" s="198"/>
      <c r="G29" s="198" t="s">
        <v>26</v>
      </c>
      <c r="H29" s="198"/>
      <c r="I29" s="198"/>
      <c r="J29" s="198"/>
      <c r="K29" s="198"/>
      <c r="L29" s="198"/>
      <c r="M29" s="198"/>
      <c r="N29" s="198"/>
      <c r="O29" s="198"/>
      <c r="P29" s="198"/>
      <c r="Q29" s="198"/>
      <c r="R29" s="198"/>
      <c r="S29" s="198"/>
      <c r="T29" s="252">
        <v>11</v>
      </c>
      <c r="V29">
        <f t="shared" si="0"/>
        <v>11</v>
      </c>
    </row>
    <row r="30" spans="1:22" x14ac:dyDescent="0.25">
      <c r="A30" s="197">
        <v>29</v>
      </c>
      <c r="B30" s="198" t="s">
        <v>627</v>
      </c>
      <c r="C30" s="198"/>
      <c r="D30" s="198"/>
      <c r="E30" s="198"/>
      <c r="F30" s="198"/>
      <c r="G30" s="198"/>
      <c r="H30" s="198"/>
      <c r="I30" s="198"/>
      <c r="J30" s="198"/>
      <c r="K30" s="198"/>
      <c r="L30" s="198"/>
      <c r="M30" s="198"/>
      <c r="N30" s="198"/>
      <c r="O30" s="198"/>
      <c r="P30" s="198"/>
      <c r="Q30" s="198"/>
      <c r="R30" s="198"/>
      <c r="S30" s="198"/>
      <c r="T30" s="197">
        <v>0</v>
      </c>
      <c r="V30">
        <f t="shared" si="0"/>
        <v>0</v>
      </c>
    </row>
    <row r="31" spans="1:22" x14ac:dyDescent="0.25">
      <c r="A31" s="197">
        <v>30</v>
      </c>
      <c r="B31" s="198" t="s">
        <v>625</v>
      </c>
      <c r="C31" s="198"/>
      <c r="D31" s="198"/>
      <c r="E31" s="198"/>
      <c r="F31" s="198"/>
      <c r="G31" s="198"/>
      <c r="H31" s="198"/>
      <c r="I31" s="198"/>
      <c r="J31" s="198"/>
      <c r="K31" s="198"/>
      <c r="L31" s="198"/>
      <c r="M31" s="198"/>
      <c r="N31" s="198"/>
      <c r="O31" s="198"/>
      <c r="P31" s="198"/>
      <c r="Q31" s="198"/>
      <c r="R31" s="198"/>
      <c r="S31" s="198"/>
      <c r="T31" s="197">
        <v>0</v>
      </c>
      <c r="V31">
        <f t="shared" si="0"/>
        <v>0</v>
      </c>
    </row>
    <row r="32" spans="1:22" x14ac:dyDescent="0.25">
      <c r="A32" s="197">
        <v>31</v>
      </c>
      <c r="B32" s="198" t="s">
        <v>34</v>
      </c>
      <c r="C32" s="198"/>
      <c r="D32" s="198"/>
      <c r="E32" s="198" t="s">
        <v>26</v>
      </c>
      <c r="F32" s="198"/>
      <c r="G32" s="198"/>
      <c r="H32" s="198"/>
      <c r="I32" s="198"/>
      <c r="J32" s="198"/>
      <c r="K32" s="198"/>
      <c r="L32" s="198"/>
      <c r="M32" s="198"/>
      <c r="N32" s="198"/>
      <c r="O32" s="198"/>
      <c r="P32" s="198"/>
      <c r="Q32" s="198"/>
      <c r="R32" s="198"/>
      <c r="S32" s="198"/>
      <c r="T32" s="252">
        <v>11</v>
      </c>
      <c r="V32">
        <f t="shared" si="0"/>
        <v>11</v>
      </c>
    </row>
    <row r="33" spans="1:22" x14ac:dyDescent="0.25">
      <c r="A33" s="197">
        <v>32</v>
      </c>
      <c r="B33" s="198" t="s">
        <v>45</v>
      </c>
      <c r="C33" s="198"/>
      <c r="D33" s="198"/>
      <c r="E33" s="198"/>
      <c r="F33" s="198"/>
      <c r="G33" s="198"/>
      <c r="H33" s="198"/>
      <c r="I33" s="198"/>
      <c r="J33" s="198"/>
      <c r="K33" s="198"/>
      <c r="L33" s="198"/>
      <c r="M33" s="198"/>
      <c r="N33" s="198"/>
      <c r="O33" s="198"/>
      <c r="P33" s="198"/>
      <c r="Q33" s="198"/>
      <c r="R33" s="198"/>
      <c r="S33" s="198"/>
      <c r="T33" s="197">
        <v>0</v>
      </c>
      <c r="V33">
        <f t="shared" si="0"/>
        <v>0</v>
      </c>
    </row>
    <row r="34" spans="1:22" x14ac:dyDescent="0.25">
      <c r="A34" s="197">
        <v>33</v>
      </c>
      <c r="B34" s="198" t="s">
        <v>630</v>
      </c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7">
        <v>0</v>
      </c>
      <c r="V34">
        <f t="shared" si="0"/>
        <v>0</v>
      </c>
    </row>
    <row r="35" spans="1:22" x14ac:dyDescent="0.25">
      <c r="A35" s="197">
        <v>34</v>
      </c>
      <c r="B35" s="198" t="s">
        <v>628</v>
      </c>
      <c r="C35" s="198"/>
      <c r="D35" s="198" t="s">
        <v>26</v>
      </c>
      <c r="E35" s="198" t="s">
        <v>26</v>
      </c>
      <c r="F35" s="198"/>
      <c r="G35" s="198" t="s">
        <v>26</v>
      </c>
      <c r="H35" s="198"/>
      <c r="I35" s="198"/>
      <c r="J35" s="198"/>
      <c r="K35" s="198"/>
      <c r="L35" s="198"/>
      <c r="M35" s="198"/>
      <c r="N35" s="198"/>
      <c r="O35" s="198"/>
      <c r="P35" s="198"/>
      <c r="Q35" s="198"/>
      <c r="R35" s="198"/>
      <c r="S35" s="198"/>
      <c r="T35" s="252">
        <v>33</v>
      </c>
      <c r="V35">
        <f t="shared" si="0"/>
        <v>22</v>
      </c>
    </row>
    <row r="36" spans="1:22" x14ac:dyDescent="0.25">
      <c r="A36" s="197">
        <v>35</v>
      </c>
      <c r="B36" s="198" t="s">
        <v>629</v>
      </c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7">
        <v>0</v>
      </c>
      <c r="V36">
        <f t="shared" si="0"/>
        <v>0</v>
      </c>
    </row>
    <row r="37" spans="1:22" x14ac:dyDescent="0.25">
      <c r="A37" s="197">
        <v>36</v>
      </c>
      <c r="B37" s="198" t="s">
        <v>631</v>
      </c>
      <c r="C37" s="198"/>
      <c r="D37" s="198" t="s">
        <v>26</v>
      </c>
      <c r="E37" s="198"/>
      <c r="F37" s="198" t="s">
        <v>26</v>
      </c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252">
        <v>22</v>
      </c>
      <c r="V37">
        <f t="shared" si="0"/>
        <v>11</v>
      </c>
    </row>
    <row r="38" spans="1:22" x14ac:dyDescent="0.25">
      <c r="A38" s="197">
        <v>37</v>
      </c>
      <c r="B38" s="198" t="s">
        <v>632</v>
      </c>
      <c r="C38" s="198"/>
      <c r="D38" s="198"/>
      <c r="E38" s="198"/>
      <c r="F38" s="198" t="s">
        <v>26</v>
      </c>
      <c r="G38" s="198" t="s">
        <v>26</v>
      </c>
      <c r="H38" s="198" t="s">
        <v>26</v>
      </c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252">
        <v>33</v>
      </c>
      <c r="V38">
        <f t="shared" si="0"/>
        <v>33</v>
      </c>
    </row>
    <row r="39" spans="1:22" x14ac:dyDescent="0.25">
      <c r="A39" s="197">
        <v>38</v>
      </c>
      <c r="B39" s="198" t="s">
        <v>633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7">
        <v>0</v>
      </c>
      <c r="V39">
        <f t="shared" si="0"/>
        <v>0</v>
      </c>
    </row>
    <row r="40" spans="1:22" x14ac:dyDescent="0.25">
      <c r="A40" s="197">
        <v>39</v>
      </c>
      <c r="B40" s="198" t="s">
        <v>634</v>
      </c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7">
        <v>0</v>
      </c>
      <c r="V40">
        <f t="shared" si="0"/>
        <v>0</v>
      </c>
    </row>
    <row r="41" spans="1:22" x14ac:dyDescent="0.25">
      <c r="A41" s="197">
        <v>40</v>
      </c>
      <c r="B41" s="198" t="s">
        <v>636</v>
      </c>
      <c r="C41" s="198"/>
      <c r="D41" s="198"/>
      <c r="E41" s="198" t="s">
        <v>26</v>
      </c>
      <c r="F41" s="198" t="s">
        <v>26</v>
      </c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252">
        <v>22</v>
      </c>
      <c r="V41">
        <f t="shared" si="0"/>
        <v>22</v>
      </c>
    </row>
    <row r="42" spans="1:22" x14ac:dyDescent="0.25">
      <c r="A42" s="197">
        <v>41</v>
      </c>
      <c r="B42" s="198" t="s">
        <v>637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7">
        <v>0</v>
      </c>
      <c r="V42">
        <f t="shared" si="0"/>
        <v>0</v>
      </c>
    </row>
    <row r="43" spans="1:22" x14ac:dyDescent="0.25">
      <c r="A43" s="197">
        <v>42</v>
      </c>
      <c r="B43" s="198" t="s">
        <v>640</v>
      </c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7">
        <v>0</v>
      </c>
      <c r="V43">
        <f t="shared" si="0"/>
        <v>0</v>
      </c>
    </row>
    <row r="44" spans="1:22" x14ac:dyDescent="0.25">
      <c r="A44" s="197">
        <v>43</v>
      </c>
      <c r="B44" s="198" t="s">
        <v>638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7">
        <v>0</v>
      </c>
      <c r="V44">
        <f t="shared" si="0"/>
        <v>0</v>
      </c>
    </row>
    <row r="45" spans="1:22" x14ac:dyDescent="0.25">
      <c r="A45" s="197">
        <v>44</v>
      </c>
      <c r="B45" s="198" t="s">
        <v>635</v>
      </c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7">
        <v>0</v>
      </c>
      <c r="V45">
        <f t="shared" si="0"/>
        <v>0</v>
      </c>
    </row>
    <row r="46" spans="1:22" x14ac:dyDescent="0.25">
      <c r="A46" s="197">
        <v>45</v>
      </c>
      <c r="B46" s="198" t="s">
        <v>641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7">
        <v>0</v>
      </c>
      <c r="V46">
        <f t="shared" si="0"/>
        <v>0</v>
      </c>
    </row>
    <row r="47" spans="1:22" x14ac:dyDescent="0.25">
      <c r="A47" s="197">
        <v>46</v>
      </c>
      <c r="B47" s="198" t="s">
        <v>649</v>
      </c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7">
        <v>0</v>
      </c>
      <c r="V47">
        <f t="shared" si="0"/>
        <v>0</v>
      </c>
    </row>
    <row r="48" spans="1:22" x14ac:dyDescent="0.25">
      <c r="A48" s="197">
        <v>47</v>
      </c>
      <c r="B48" s="198" t="s">
        <v>642</v>
      </c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7">
        <v>0</v>
      </c>
      <c r="V48">
        <f t="shared" si="0"/>
        <v>0</v>
      </c>
    </row>
    <row r="49" spans="1:22" x14ac:dyDescent="0.25">
      <c r="A49" s="197">
        <v>48</v>
      </c>
      <c r="B49" s="198" t="s">
        <v>643</v>
      </c>
      <c r="C49" s="198"/>
      <c r="D49" s="198"/>
      <c r="E49" s="198"/>
      <c r="F49" s="198"/>
      <c r="G49" s="198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7">
        <v>0</v>
      </c>
      <c r="V49">
        <f t="shared" si="0"/>
        <v>0</v>
      </c>
    </row>
    <row r="50" spans="1:22" x14ac:dyDescent="0.25">
      <c r="A50" s="197">
        <v>49</v>
      </c>
      <c r="B50" s="198" t="s">
        <v>644</v>
      </c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7">
        <v>0</v>
      </c>
      <c r="V50">
        <f t="shared" si="0"/>
        <v>0</v>
      </c>
    </row>
    <row r="51" spans="1:22" x14ac:dyDescent="0.25">
      <c r="A51" s="197">
        <v>50</v>
      </c>
      <c r="B51" s="198" t="s">
        <v>646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7">
        <v>0</v>
      </c>
      <c r="V51">
        <f t="shared" si="0"/>
        <v>0</v>
      </c>
    </row>
    <row r="52" spans="1:22" x14ac:dyDescent="0.25">
      <c r="A52" s="197">
        <v>51</v>
      </c>
      <c r="B52" s="198" t="s">
        <v>647</v>
      </c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7">
        <v>0</v>
      </c>
      <c r="V52">
        <f t="shared" si="0"/>
        <v>0</v>
      </c>
    </row>
    <row r="53" spans="1:22" x14ac:dyDescent="0.25">
      <c r="A53" s="197">
        <v>52</v>
      </c>
      <c r="B53" s="198" t="s">
        <v>652</v>
      </c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7">
        <v>0</v>
      </c>
      <c r="V53">
        <f t="shared" si="0"/>
        <v>0</v>
      </c>
    </row>
    <row r="54" spans="1:22" x14ac:dyDescent="0.25">
      <c r="A54" s="197">
        <v>53</v>
      </c>
      <c r="B54" s="198" t="s">
        <v>653</v>
      </c>
      <c r="C54" s="198"/>
      <c r="D54" s="198" t="s">
        <v>26</v>
      </c>
      <c r="E54" s="198"/>
      <c r="F54" s="198" t="s">
        <v>26</v>
      </c>
      <c r="G54" s="198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252">
        <v>22</v>
      </c>
      <c r="V54">
        <f t="shared" si="0"/>
        <v>11</v>
      </c>
    </row>
    <row r="55" spans="1:22" x14ac:dyDescent="0.25">
      <c r="A55" s="197">
        <v>54</v>
      </c>
      <c r="B55" s="198" t="s">
        <v>654</v>
      </c>
      <c r="C55" s="198"/>
      <c r="D55" s="198"/>
      <c r="E55" s="198"/>
      <c r="F55" s="198" t="s">
        <v>26</v>
      </c>
      <c r="G55" s="198" t="s">
        <v>26</v>
      </c>
      <c r="H55" s="198" t="s">
        <v>26</v>
      </c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252">
        <v>33</v>
      </c>
      <c r="V55">
        <f t="shared" si="0"/>
        <v>33</v>
      </c>
    </row>
    <row r="56" spans="1:22" x14ac:dyDescent="0.25">
      <c r="A56" s="197">
        <v>55</v>
      </c>
      <c r="B56" s="198" t="s">
        <v>655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7">
        <v>0</v>
      </c>
      <c r="V56">
        <f t="shared" si="0"/>
        <v>0</v>
      </c>
    </row>
    <row r="57" spans="1:22" x14ac:dyDescent="0.25">
      <c r="A57" s="197">
        <v>56</v>
      </c>
      <c r="B57" s="198" t="s">
        <v>656</v>
      </c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7">
        <v>0</v>
      </c>
      <c r="V57">
        <f t="shared" si="0"/>
        <v>0</v>
      </c>
    </row>
    <row r="58" spans="1:22" x14ac:dyDescent="0.25">
      <c r="A58" s="197">
        <v>57</v>
      </c>
      <c r="B58" s="198" t="s">
        <v>657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7">
        <v>0</v>
      </c>
      <c r="V58">
        <f t="shared" si="0"/>
        <v>0</v>
      </c>
    </row>
    <row r="59" spans="1:22" x14ac:dyDescent="0.25">
      <c r="A59" s="197">
        <v>58</v>
      </c>
      <c r="B59" s="198" t="s">
        <v>658</v>
      </c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7">
        <v>0</v>
      </c>
      <c r="V59">
        <f t="shared" si="0"/>
        <v>0</v>
      </c>
    </row>
    <row r="60" spans="1:22" x14ac:dyDescent="0.25">
      <c r="A60" s="197">
        <v>59</v>
      </c>
      <c r="B60" s="198" t="s">
        <v>659</v>
      </c>
      <c r="C60" s="198"/>
      <c r="D60" s="198"/>
      <c r="E60" s="198"/>
      <c r="F60" s="198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7">
        <v>0</v>
      </c>
      <c r="V60">
        <f t="shared" si="0"/>
        <v>0</v>
      </c>
    </row>
    <row r="61" spans="1:22" x14ac:dyDescent="0.25">
      <c r="A61" s="197">
        <v>60</v>
      </c>
      <c r="B61" s="198" t="s">
        <v>660</v>
      </c>
      <c r="C61" s="198"/>
      <c r="D61" s="198"/>
      <c r="E61" s="198"/>
      <c r="F61" s="198"/>
      <c r="G61" s="198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7">
        <v>0</v>
      </c>
      <c r="V61">
        <f t="shared" si="0"/>
        <v>0</v>
      </c>
    </row>
    <row r="62" spans="1:22" x14ac:dyDescent="0.25">
      <c r="A62" s="197">
        <v>61</v>
      </c>
      <c r="B62" s="198" t="s">
        <v>661</v>
      </c>
      <c r="C62" s="198"/>
      <c r="D62" s="198"/>
      <c r="E62" s="198"/>
      <c r="F62" s="198"/>
      <c r="G62" s="198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7">
        <v>0</v>
      </c>
      <c r="V62">
        <f t="shared" si="0"/>
        <v>0</v>
      </c>
    </row>
    <row r="63" spans="1:22" x14ac:dyDescent="0.25">
      <c r="A63" s="197">
        <v>62</v>
      </c>
      <c r="B63" s="198" t="s">
        <v>662</v>
      </c>
      <c r="C63" s="198"/>
      <c r="D63" s="198"/>
      <c r="E63" s="198"/>
      <c r="F63" s="198"/>
      <c r="G63" s="198"/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7">
        <v>0</v>
      </c>
      <c r="V63">
        <f t="shared" si="0"/>
        <v>0</v>
      </c>
    </row>
    <row r="64" spans="1:22" x14ac:dyDescent="0.25">
      <c r="A64" s="197">
        <v>63</v>
      </c>
      <c r="B64" s="198" t="s">
        <v>668</v>
      </c>
      <c r="C64" s="198"/>
      <c r="D64" s="198"/>
      <c r="E64" s="198"/>
      <c r="F64" s="198"/>
      <c r="G64" s="198"/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7">
        <v>0</v>
      </c>
      <c r="V64">
        <f t="shared" si="0"/>
        <v>0</v>
      </c>
    </row>
    <row r="65" spans="1:20" x14ac:dyDescent="0.25">
      <c r="A65" s="196"/>
      <c r="B65" s="196"/>
      <c r="C65" s="196"/>
      <c r="D65" s="196"/>
      <c r="E65" s="196"/>
      <c r="F65" s="196"/>
      <c r="G65" s="196"/>
      <c r="H65" s="196"/>
      <c r="I65" s="196"/>
      <c r="J65" s="196"/>
      <c r="K65" s="196"/>
      <c r="L65" s="196"/>
      <c r="M65" s="196"/>
      <c r="N65" s="196"/>
      <c r="O65" s="196"/>
      <c r="P65" s="196"/>
      <c r="Q65" s="196"/>
      <c r="R65" s="196"/>
      <c r="S65" s="196"/>
      <c r="T65" s="253">
        <v>370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T65"/>
  <sheetViews>
    <sheetView zoomScale="85" zoomScaleNormal="85" workbookViewId="0">
      <selection activeCell="T2" sqref="T2:T64"/>
    </sheetView>
  </sheetViews>
  <sheetFormatPr defaultRowHeight="15" x14ac:dyDescent="0.25"/>
  <sheetData>
    <row r="1" spans="1:20" x14ac:dyDescent="0.25">
      <c r="A1" s="254" t="s">
        <v>1</v>
      </c>
      <c r="B1" s="254" t="s">
        <v>6</v>
      </c>
      <c r="C1" s="254" t="s">
        <v>46</v>
      </c>
      <c r="D1" s="254" t="s">
        <v>47</v>
      </c>
      <c r="E1" s="254" t="s">
        <v>48</v>
      </c>
      <c r="F1" s="254" t="s">
        <v>49</v>
      </c>
      <c r="G1" s="254" t="s">
        <v>50</v>
      </c>
      <c r="H1" s="254" t="s">
        <v>51</v>
      </c>
      <c r="I1" s="254" t="s">
        <v>52</v>
      </c>
      <c r="J1" s="254" t="s">
        <v>53</v>
      </c>
      <c r="K1" s="254" t="s">
        <v>54</v>
      </c>
      <c r="L1" s="254" t="s">
        <v>55</v>
      </c>
      <c r="M1" s="254" t="s">
        <v>56</v>
      </c>
      <c r="N1" s="254" t="s">
        <v>57</v>
      </c>
      <c r="O1" s="254" t="s">
        <v>58</v>
      </c>
      <c r="P1" s="254" t="s">
        <v>59</v>
      </c>
      <c r="Q1" s="254" t="s">
        <v>667</v>
      </c>
      <c r="R1" s="254" t="s">
        <v>2</v>
      </c>
    </row>
    <row r="2" spans="1:20" x14ac:dyDescent="0.25">
      <c r="A2" s="255">
        <v>1</v>
      </c>
      <c r="B2" s="256" t="s">
        <v>10</v>
      </c>
      <c r="C2" s="256"/>
      <c r="D2" s="256"/>
      <c r="E2" s="256"/>
      <c r="F2" s="256" t="s">
        <v>26</v>
      </c>
      <c r="G2" s="256"/>
      <c r="H2" s="256"/>
      <c r="I2" s="256"/>
      <c r="J2" s="256"/>
      <c r="K2" s="256"/>
      <c r="L2" s="256"/>
      <c r="M2" s="256"/>
      <c r="N2" s="256"/>
      <c r="O2" s="256"/>
      <c r="P2" s="256"/>
      <c r="Q2" s="256"/>
      <c r="R2" s="257">
        <v>11</v>
      </c>
      <c r="T2">
        <f t="shared" ref="T2:T64" si="0">C2+D2+E2+F2+G2+H2+I2+J2+K2+L2+M2+N2+O2+P2+Q2</f>
        <v>11</v>
      </c>
    </row>
    <row r="3" spans="1:20" x14ac:dyDescent="0.25">
      <c r="A3" s="255">
        <v>2</v>
      </c>
      <c r="B3" s="256" t="s">
        <v>11</v>
      </c>
      <c r="C3" s="256"/>
      <c r="D3" s="256"/>
      <c r="E3" s="256"/>
      <c r="F3" s="256"/>
      <c r="G3" s="256"/>
      <c r="H3" s="256"/>
      <c r="I3" s="256"/>
      <c r="J3" s="256"/>
      <c r="K3" s="256"/>
      <c r="L3" s="256"/>
      <c r="M3" s="256"/>
      <c r="N3" s="256"/>
      <c r="O3" s="256"/>
      <c r="P3" s="256"/>
      <c r="Q3" s="256"/>
      <c r="R3" s="255">
        <v>0</v>
      </c>
      <c r="T3">
        <f t="shared" si="0"/>
        <v>0</v>
      </c>
    </row>
    <row r="4" spans="1:20" x14ac:dyDescent="0.25">
      <c r="A4" s="255">
        <v>3</v>
      </c>
      <c r="B4" s="256" t="s">
        <v>12</v>
      </c>
      <c r="C4" s="256"/>
      <c r="D4" s="256"/>
      <c r="E4" s="256"/>
      <c r="F4" s="256"/>
      <c r="G4" s="256"/>
      <c r="H4" s="256"/>
      <c r="I4" s="256"/>
      <c r="J4" s="256"/>
      <c r="K4" s="256"/>
      <c r="L4" s="256"/>
      <c r="M4" s="256"/>
      <c r="N4" s="256"/>
      <c r="O4" s="256"/>
      <c r="P4" s="256"/>
      <c r="Q4" s="256"/>
      <c r="R4" s="255">
        <v>0</v>
      </c>
      <c r="T4">
        <f t="shared" si="0"/>
        <v>0</v>
      </c>
    </row>
    <row r="5" spans="1:20" x14ac:dyDescent="0.25">
      <c r="A5" s="255">
        <v>4</v>
      </c>
      <c r="B5" s="256" t="s">
        <v>651</v>
      </c>
      <c r="C5" s="256"/>
      <c r="D5" s="256"/>
      <c r="E5" s="256"/>
      <c r="F5" s="256"/>
      <c r="G5" s="256"/>
      <c r="H5" s="256"/>
      <c r="I5" s="256" t="s">
        <v>26</v>
      </c>
      <c r="J5" s="256" t="s">
        <v>26</v>
      </c>
      <c r="K5" s="256" t="s">
        <v>26</v>
      </c>
      <c r="L5" s="256" t="s">
        <v>26</v>
      </c>
      <c r="M5" s="256"/>
      <c r="N5" s="256"/>
      <c r="O5" s="256"/>
      <c r="P5" s="256"/>
      <c r="Q5" s="256"/>
      <c r="R5" s="257">
        <v>44</v>
      </c>
      <c r="T5">
        <f t="shared" si="0"/>
        <v>44</v>
      </c>
    </row>
    <row r="6" spans="1:20" x14ac:dyDescent="0.25">
      <c r="A6" s="255">
        <v>5</v>
      </c>
      <c r="B6" s="256" t="s">
        <v>14</v>
      </c>
      <c r="C6" s="256"/>
      <c r="D6" s="256"/>
      <c r="E6" s="256"/>
      <c r="F6" s="256"/>
      <c r="G6" s="256"/>
      <c r="H6" s="256"/>
      <c r="I6" s="256" t="s">
        <v>26</v>
      </c>
      <c r="J6" s="256" t="s">
        <v>26</v>
      </c>
      <c r="K6" s="256" t="s">
        <v>26</v>
      </c>
      <c r="L6" s="256" t="s">
        <v>26</v>
      </c>
      <c r="M6" s="256"/>
      <c r="N6" s="256"/>
      <c r="O6" s="256"/>
      <c r="P6" s="256"/>
      <c r="Q6" s="256"/>
      <c r="R6" s="257">
        <v>44</v>
      </c>
      <c r="T6">
        <f t="shared" si="0"/>
        <v>44</v>
      </c>
    </row>
    <row r="7" spans="1:20" x14ac:dyDescent="0.25">
      <c r="A7" s="255">
        <v>6</v>
      </c>
      <c r="B7" s="256" t="s">
        <v>15</v>
      </c>
      <c r="C7" s="256"/>
      <c r="D7" s="256"/>
      <c r="E7" s="256"/>
      <c r="F7" s="256"/>
      <c r="G7" s="256"/>
      <c r="H7" s="256"/>
      <c r="I7" s="256"/>
      <c r="J7" s="256"/>
      <c r="K7" s="256"/>
      <c r="L7" s="256"/>
      <c r="M7" s="256"/>
      <c r="N7" s="256"/>
      <c r="O7" s="256"/>
      <c r="P7" s="256"/>
      <c r="Q7" s="256"/>
      <c r="R7" s="255">
        <v>0</v>
      </c>
      <c r="T7">
        <f t="shared" si="0"/>
        <v>0</v>
      </c>
    </row>
    <row r="8" spans="1:20" x14ac:dyDescent="0.25">
      <c r="A8" s="255">
        <v>7</v>
      </c>
      <c r="B8" s="256" t="s">
        <v>16</v>
      </c>
      <c r="C8" s="256"/>
      <c r="D8" s="256"/>
      <c r="E8" s="256"/>
      <c r="F8" s="256"/>
      <c r="G8" s="256"/>
      <c r="H8" s="256"/>
      <c r="I8" s="256"/>
      <c r="J8" s="256"/>
      <c r="K8" s="256"/>
      <c r="L8" s="256"/>
      <c r="M8" s="256"/>
      <c r="N8" s="256"/>
      <c r="O8" s="256"/>
      <c r="P8" s="256"/>
      <c r="Q8" s="256"/>
      <c r="R8" s="255">
        <v>0</v>
      </c>
      <c r="T8">
        <f t="shared" si="0"/>
        <v>0</v>
      </c>
    </row>
    <row r="9" spans="1:20" x14ac:dyDescent="0.25">
      <c r="A9" s="255">
        <v>8</v>
      </c>
      <c r="B9" s="256" t="s">
        <v>4</v>
      </c>
      <c r="C9" s="256"/>
      <c r="D9" s="256"/>
      <c r="E9" s="256"/>
      <c r="F9" s="256"/>
      <c r="G9" s="256"/>
      <c r="H9" s="256"/>
      <c r="I9" s="256"/>
      <c r="J9" s="256"/>
      <c r="K9" s="256"/>
      <c r="L9" s="256"/>
      <c r="M9" s="256"/>
      <c r="N9" s="256"/>
      <c r="O9" s="256"/>
      <c r="P9" s="256"/>
      <c r="Q9" s="256"/>
      <c r="R9" s="255">
        <v>0</v>
      </c>
      <c r="T9">
        <f t="shared" si="0"/>
        <v>0</v>
      </c>
    </row>
    <row r="10" spans="1:20" x14ac:dyDescent="0.25">
      <c r="A10" s="255">
        <v>9</v>
      </c>
      <c r="B10" s="256" t="s">
        <v>5</v>
      </c>
      <c r="C10" s="256"/>
      <c r="D10" s="256"/>
      <c r="E10" s="256"/>
      <c r="F10" s="256"/>
      <c r="G10" s="256"/>
      <c r="H10" s="256"/>
      <c r="I10" s="256" t="s">
        <v>26</v>
      </c>
      <c r="J10" s="256" t="s">
        <v>26</v>
      </c>
      <c r="K10" s="256"/>
      <c r="L10" s="256"/>
      <c r="M10" s="256"/>
      <c r="N10" s="256"/>
      <c r="O10" s="256"/>
      <c r="P10" s="256" t="s">
        <v>26</v>
      </c>
      <c r="Q10" s="256" t="s">
        <v>26</v>
      </c>
      <c r="R10" s="257">
        <v>44</v>
      </c>
      <c r="T10">
        <f t="shared" si="0"/>
        <v>44</v>
      </c>
    </row>
    <row r="11" spans="1:20" x14ac:dyDescent="0.25">
      <c r="A11" s="255">
        <v>10</v>
      </c>
      <c r="B11" s="256" t="s">
        <v>38</v>
      </c>
      <c r="C11" s="256"/>
      <c r="D11" s="256"/>
      <c r="E11" s="256"/>
      <c r="F11" s="256"/>
      <c r="G11" s="256"/>
      <c r="H11" s="256"/>
      <c r="I11" s="256"/>
      <c r="J11" s="256"/>
      <c r="K11" s="256"/>
      <c r="L11" s="256"/>
      <c r="M11" s="256"/>
      <c r="N11" s="256"/>
      <c r="O11" s="256"/>
      <c r="P11" s="256"/>
      <c r="Q11" s="256"/>
      <c r="R11" s="255">
        <v>0</v>
      </c>
      <c r="T11">
        <f t="shared" si="0"/>
        <v>0</v>
      </c>
    </row>
    <row r="12" spans="1:20" x14ac:dyDescent="0.25">
      <c r="A12" s="255">
        <v>11</v>
      </c>
      <c r="B12" s="256" t="s">
        <v>43</v>
      </c>
      <c r="C12" s="256"/>
      <c r="D12" s="256"/>
      <c r="E12" s="256"/>
      <c r="F12" s="256"/>
      <c r="G12" s="256" t="s">
        <v>84</v>
      </c>
      <c r="H12" s="256"/>
      <c r="I12" s="256" t="s">
        <v>26</v>
      </c>
      <c r="J12" s="256"/>
      <c r="K12" s="256"/>
      <c r="L12" s="256"/>
      <c r="M12" s="256"/>
      <c r="N12" s="256"/>
      <c r="O12" s="256"/>
      <c r="P12" s="256" t="s">
        <v>26</v>
      </c>
      <c r="Q12" s="256" t="s">
        <v>26</v>
      </c>
      <c r="R12" s="257">
        <v>39</v>
      </c>
      <c r="T12">
        <f t="shared" si="0"/>
        <v>39</v>
      </c>
    </row>
    <row r="13" spans="1:20" x14ac:dyDescent="0.25">
      <c r="A13" s="255">
        <v>12</v>
      </c>
      <c r="B13" s="256" t="s">
        <v>639</v>
      </c>
      <c r="C13" s="256"/>
      <c r="D13" s="256"/>
      <c r="E13" s="256"/>
      <c r="F13" s="256"/>
      <c r="G13" s="256"/>
      <c r="H13" s="256"/>
      <c r="I13" s="256"/>
      <c r="J13" s="256"/>
      <c r="K13" s="256"/>
      <c r="L13" s="256"/>
      <c r="M13" s="256"/>
      <c r="N13" s="256"/>
      <c r="O13" s="256"/>
      <c r="P13" s="256"/>
      <c r="Q13" s="256"/>
      <c r="R13" s="255">
        <v>0</v>
      </c>
      <c r="T13">
        <f t="shared" si="0"/>
        <v>0</v>
      </c>
    </row>
    <row r="14" spans="1:20" x14ac:dyDescent="0.25">
      <c r="A14" s="255">
        <v>13</v>
      </c>
      <c r="B14" s="256" t="s">
        <v>87</v>
      </c>
      <c r="C14" s="256"/>
      <c r="D14" s="256"/>
      <c r="E14" s="256"/>
      <c r="F14" s="256" t="s">
        <v>26</v>
      </c>
      <c r="G14" s="256"/>
      <c r="H14" s="256"/>
      <c r="I14" s="256"/>
      <c r="J14" s="256"/>
      <c r="K14" s="256"/>
      <c r="L14" s="256"/>
      <c r="M14" s="256"/>
      <c r="N14" s="256"/>
      <c r="O14" s="256"/>
      <c r="P14" s="256"/>
      <c r="Q14" s="256"/>
      <c r="R14" s="257">
        <v>11</v>
      </c>
      <c r="T14">
        <f t="shared" si="0"/>
        <v>11</v>
      </c>
    </row>
    <row r="15" spans="1:20" x14ac:dyDescent="0.25">
      <c r="A15" s="255">
        <v>14</v>
      </c>
      <c r="B15" s="256" t="s">
        <v>95</v>
      </c>
      <c r="C15" s="256"/>
      <c r="D15" s="256"/>
      <c r="E15" s="256"/>
      <c r="F15" s="256"/>
      <c r="G15" s="256"/>
      <c r="H15" s="256"/>
      <c r="I15" s="256"/>
      <c r="J15" s="256"/>
      <c r="K15" s="256"/>
      <c r="L15" s="256"/>
      <c r="M15" s="256"/>
      <c r="N15" s="256"/>
      <c r="O15" s="256"/>
      <c r="P15" s="256"/>
      <c r="Q15" s="256"/>
      <c r="R15" s="255">
        <v>0</v>
      </c>
      <c r="T15">
        <f t="shared" si="0"/>
        <v>0</v>
      </c>
    </row>
    <row r="16" spans="1:20" x14ac:dyDescent="0.25">
      <c r="A16" s="255">
        <v>15</v>
      </c>
      <c r="B16" s="256" t="s">
        <v>96</v>
      </c>
      <c r="C16" s="256"/>
      <c r="D16" s="256"/>
      <c r="E16" s="256"/>
      <c r="F16" s="256"/>
      <c r="G16" s="256"/>
      <c r="H16" s="256"/>
      <c r="I16" s="256" t="s">
        <v>26</v>
      </c>
      <c r="J16" s="256" t="s">
        <v>26</v>
      </c>
      <c r="K16" s="256"/>
      <c r="L16" s="256"/>
      <c r="M16" s="256"/>
      <c r="N16" s="256"/>
      <c r="O16" s="256"/>
      <c r="P16" s="256" t="s">
        <v>26</v>
      </c>
      <c r="Q16" s="256" t="s">
        <v>26</v>
      </c>
      <c r="R16" s="257">
        <v>44</v>
      </c>
      <c r="T16">
        <f t="shared" si="0"/>
        <v>44</v>
      </c>
    </row>
    <row r="17" spans="1:20" x14ac:dyDescent="0.25">
      <c r="A17" s="255">
        <v>16</v>
      </c>
      <c r="B17" s="256" t="s">
        <v>97</v>
      </c>
      <c r="C17" s="256"/>
      <c r="D17" s="256"/>
      <c r="E17" s="256"/>
      <c r="F17" s="256"/>
      <c r="G17" s="256"/>
      <c r="H17" s="256"/>
      <c r="I17" s="256" t="s">
        <v>25</v>
      </c>
      <c r="J17" s="256"/>
      <c r="K17" s="256"/>
      <c r="L17" s="256"/>
      <c r="M17" s="256"/>
      <c r="N17" s="256"/>
      <c r="O17" s="256"/>
      <c r="P17" s="256" t="s">
        <v>25</v>
      </c>
      <c r="Q17" s="256"/>
      <c r="R17" s="257">
        <v>18</v>
      </c>
      <c r="T17">
        <f t="shared" si="0"/>
        <v>18</v>
      </c>
    </row>
    <row r="18" spans="1:20" x14ac:dyDescent="0.25">
      <c r="A18" s="255">
        <v>17</v>
      </c>
      <c r="B18" s="256" t="s">
        <v>98</v>
      </c>
      <c r="C18" s="256"/>
      <c r="D18" s="256"/>
      <c r="E18" s="256"/>
      <c r="F18" s="256"/>
      <c r="G18" s="256"/>
      <c r="H18" s="256"/>
      <c r="I18" s="256"/>
      <c r="J18" s="256"/>
      <c r="K18" s="256"/>
      <c r="L18" s="256"/>
      <c r="M18" s="256"/>
      <c r="N18" s="256"/>
      <c r="O18" s="256"/>
      <c r="P18" s="256"/>
      <c r="Q18" s="256"/>
      <c r="R18" s="255">
        <v>0</v>
      </c>
      <c r="T18">
        <f t="shared" si="0"/>
        <v>0</v>
      </c>
    </row>
    <row r="19" spans="1:20" x14ac:dyDescent="0.25">
      <c r="A19" s="255">
        <v>18</v>
      </c>
      <c r="B19" s="256" t="s">
        <v>616</v>
      </c>
      <c r="C19" s="256"/>
      <c r="D19" s="256"/>
      <c r="E19" s="256"/>
      <c r="F19" s="256"/>
      <c r="G19" s="256"/>
      <c r="H19" s="256"/>
      <c r="I19" s="256" t="s">
        <v>25</v>
      </c>
      <c r="J19" s="256"/>
      <c r="K19" s="256"/>
      <c r="L19" s="256" t="s">
        <v>26</v>
      </c>
      <c r="M19" s="256"/>
      <c r="N19" s="256"/>
      <c r="O19" s="256"/>
      <c r="P19" s="256"/>
      <c r="Q19" s="256"/>
      <c r="R19" s="257">
        <v>20</v>
      </c>
      <c r="T19">
        <f t="shared" si="0"/>
        <v>20</v>
      </c>
    </row>
    <row r="20" spans="1:20" x14ac:dyDescent="0.25">
      <c r="A20" s="255">
        <v>19</v>
      </c>
      <c r="B20" s="256" t="s">
        <v>617</v>
      </c>
      <c r="C20" s="256"/>
      <c r="D20" s="256"/>
      <c r="E20" s="256"/>
      <c r="F20" s="256"/>
      <c r="G20" s="256"/>
      <c r="H20" s="256"/>
      <c r="I20" s="256"/>
      <c r="J20" s="256"/>
      <c r="K20" s="256"/>
      <c r="L20" s="256"/>
      <c r="M20" s="256"/>
      <c r="N20" s="256"/>
      <c r="O20" s="256"/>
      <c r="P20" s="256"/>
      <c r="Q20" s="256"/>
      <c r="R20" s="255">
        <v>0</v>
      </c>
      <c r="T20">
        <f t="shared" si="0"/>
        <v>0</v>
      </c>
    </row>
    <row r="21" spans="1:20" x14ac:dyDescent="0.25">
      <c r="A21" s="255">
        <v>20</v>
      </c>
      <c r="B21" s="256" t="s">
        <v>626</v>
      </c>
      <c r="C21" s="256"/>
      <c r="D21" s="256"/>
      <c r="E21" s="256"/>
      <c r="F21" s="256"/>
      <c r="G21" s="256"/>
      <c r="H21" s="256"/>
      <c r="I21" s="256"/>
      <c r="J21" s="256"/>
      <c r="K21" s="256"/>
      <c r="L21" s="256"/>
      <c r="M21" s="256"/>
      <c r="N21" s="256"/>
      <c r="O21" s="256"/>
      <c r="P21" s="256"/>
      <c r="Q21" s="256"/>
      <c r="R21" s="255">
        <v>0</v>
      </c>
      <c r="T21">
        <f t="shared" si="0"/>
        <v>0</v>
      </c>
    </row>
    <row r="22" spans="1:20" x14ac:dyDescent="0.25">
      <c r="A22" s="255">
        <v>21</v>
      </c>
      <c r="B22" s="256" t="s">
        <v>618</v>
      </c>
      <c r="C22" s="256"/>
      <c r="D22" s="256"/>
      <c r="E22" s="256"/>
      <c r="F22" s="256"/>
      <c r="G22" s="256"/>
      <c r="H22" s="256"/>
      <c r="I22" s="256"/>
      <c r="J22" s="256"/>
      <c r="K22" s="256"/>
      <c r="L22" s="256"/>
      <c r="M22" s="256"/>
      <c r="N22" s="256"/>
      <c r="O22" s="256"/>
      <c r="P22" s="256"/>
      <c r="Q22" s="256"/>
      <c r="R22" s="255">
        <v>0</v>
      </c>
      <c r="T22">
        <f t="shared" si="0"/>
        <v>0</v>
      </c>
    </row>
    <row r="23" spans="1:20" x14ac:dyDescent="0.25">
      <c r="A23" s="255">
        <v>22</v>
      </c>
      <c r="B23" s="256" t="s">
        <v>619</v>
      </c>
      <c r="C23" s="256"/>
      <c r="D23" s="256"/>
      <c r="E23" s="256"/>
      <c r="F23" s="256"/>
      <c r="G23" s="256" t="s">
        <v>85</v>
      </c>
      <c r="H23" s="256"/>
      <c r="I23" s="256" t="s">
        <v>26</v>
      </c>
      <c r="J23" s="256" t="s">
        <v>26</v>
      </c>
      <c r="K23" s="256"/>
      <c r="L23" s="256" t="s">
        <v>26</v>
      </c>
      <c r="M23" s="256"/>
      <c r="N23" s="256"/>
      <c r="O23" s="256"/>
      <c r="P23" s="256" t="s">
        <v>26</v>
      </c>
      <c r="Q23" s="256" t="s">
        <v>26</v>
      </c>
      <c r="R23" s="257">
        <v>62</v>
      </c>
      <c r="T23">
        <f t="shared" si="0"/>
        <v>62</v>
      </c>
    </row>
    <row r="24" spans="1:20" x14ac:dyDescent="0.25">
      <c r="A24" s="255">
        <v>23</v>
      </c>
      <c r="B24" s="256" t="s">
        <v>620</v>
      </c>
      <c r="C24" s="256"/>
      <c r="D24" s="256"/>
      <c r="E24" s="256"/>
      <c r="F24" s="256"/>
      <c r="G24" s="256"/>
      <c r="H24" s="256"/>
      <c r="I24" s="256"/>
      <c r="J24" s="256"/>
      <c r="K24" s="256"/>
      <c r="L24" s="256" t="s">
        <v>26</v>
      </c>
      <c r="M24" s="256"/>
      <c r="N24" s="256"/>
      <c r="O24" s="256"/>
      <c r="P24" s="256" t="s">
        <v>26</v>
      </c>
      <c r="Q24" s="256" t="s">
        <v>26</v>
      </c>
      <c r="R24" s="257">
        <v>33</v>
      </c>
      <c r="T24">
        <f t="shared" si="0"/>
        <v>33</v>
      </c>
    </row>
    <row r="25" spans="1:20" x14ac:dyDescent="0.25">
      <c r="A25" s="255">
        <v>24</v>
      </c>
      <c r="B25" s="256" t="s">
        <v>650</v>
      </c>
      <c r="C25" s="256"/>
      <c r="D25" s="256"/>
      <c r="E25" s="256"/>
      <c r="F25" s="256"/>
      <c r="G25" s="256"/>
      <c r="H25" s="256"/>
      <c r="I25" s="256"/>
      <c r="J25" s="256"/>
      <c r="K25" s="256"/>
      <c r="L25" s="256"/>
      <c r="M25" s="256"/>
      <c r="N25" s="256"/>
      <c r="O25" s="256"/>
      <c r="P25" s="256"/>
      <c r="Q25" s="256"/>
      <c r="R25" s="255">
        <v>0</v>
      </c>
      <c r="T25">
        <f t="shared" si="0"/>
        <v>0</v>
      </c>
    </row>
    <row r="26" spans="1:20" x14ac:dyDescent="0.25">
      <c r="A26" s="255">
        <v>25</v>
      </c>
      <c r="B26" s="256" t="s">
        <v>621</v>
      </c>
      <c r="C26" s="256"/>
      <c r="D26" s="256"/>
      <c r="E26" s="256"/>
      <c r="F26" s="256"/>
      <c r="G26" s="256"/>
      <c r="H26" s="256"/>
      <c r="I26" s="256"/>
      <c r="J26" s="256"/>
      <c r="K26" s="256"/>
      <c r="L26" s="256"/>
      <c r="M26" s="256"/>
      <c r="N26" s="256"/>
      <c r="O26" s="256"/>
      <c r="P26" s="256"/>
      <c r="Q26" s="256"/>
      <c r="R26" s="255">
        <v>0</v>
      </c>
      <c r="T26">
        <f t="shared" si="0"/>
        <v>0</v>
      </c>
    </row>
    <row r="27" spans="1:20" x14ac:dyDescent="0.25">
      <c r="A27" s="255">
        <v>26</v>
      </c>
      <c r="B27" s="256" t="s">
        <v>622</v>
      </c>
      <c r="C27" s="256"/>
      <c r="D27" s="256"/>
      <c r="E27" s="256"/>
      <c r="F27" s="256"/>
      <c r="G27" s="256"/>
      <c r="H27" s="256"/>
      <c r="I27" s="256"/>
      <c r="J27" s="256"/>
      <c r="K27" s="256"/>
      <c r="L27" s="256"/>
      <c r="M27" s="256"/>
      <c r="N27" s="256"/>
      <c r="O27" s="256"/>
      <c r="P27" s="256"/>
      <c r="Q27" s="256"/>
      <c r="R27" s="255">
        <v>0</v>
      </c>
      <c r="T27">
        <f t="shared" si="0"/>
        <v>0</v>
      </c>
    </row>
    <row r="28" spans="1:20" x14ac:dyDescent="0.25">
      <c r="A28" s="255">
        <v>27</v>
      </c>
      <c r="B28" s="256" t="s">
        <v>623</v>
      </c>
      <c r="C28" s="256"/>
      <c r="D28" s="256"/>
      <c r="E28" s="256"/>
      <c r="F28" s="256" t="s">
        <v>25</v>
      </c>
      <c r="G28" s="256"/>
      <c r="H28" s="256"/>
      <c r="I28" s="256"/>
      <c r="J28" s="256"/>
      <c r="K28" s="256"/>
      <c r="L28" s="256"/>
      <c r="M28" s="256"/>
      <c r="N28" s="256"/>
      <c r="O28" s="256"/>
      <c r="P28" s="256"/>
      <c r="Q28" s="256"/>
      <c r="R28" s="257">
        <v>9</v>
      </c>
      <c r="T28">
        <f t="shared" si="0"/>
        <v>9</v>
      </c>
    </row>
    <row r="29" spans="1:20" x14ac:dyDescent="0.25">
      <c r="A29" s="255">
        <v>28</v>
      </c>
      <c r="B29" s="256" t="s">
        <v>624</v>
      </c>
      <c r="C29" s="256"/>
      <c r="D29" s="256"/>
      <c r="E29" s="256"/>
      <c r="F29" s="256"/>
      <c r="G29" s="256"/>
      <c r="H29" s="256"/>
      <c r="I29" s="256"/>
      <c r="J29" s="256"/>
      <c r="K29" s="256"/>
      <c r="L29" s="256"/>
      <c r="M29" s="256"/>
      <c r="N29" s="256"/>
      <c r="O29" s="256"/>
      <c r="P29" s="256"/>
      <c r="Q29" s="256"/>
      <c r="R29" s="255">
        <v>0</v>
      </c>
      <c r="T29">
        <f t="shared" si="0"/>
        <v>0</v>
      </c>
    </row>
    <row r="30" spans="1:20" x14ac:dyDescent="0.25">
      <c r="A30" s="255">
        <v>29</v>
      </c>
      <c r="B30" s="256" t="s">
        <v>627</v>
      </c>
      <c r="C30" s="256"/>
      <c r="D30" s="256"/>
      <c r="E30" s="256"/>
      <c r="F30" s="256"/>
      <c r="G30" s="256"/>
      <c r="H30" s="256"/>
      <c r="I30" s="256"/>
      <c r="J30" s="256"/>
      <c r="K30" s="256"/>
      <c r="L30" s="256"/>
      <c r="M30" s="256"/>
      <c r="N30" s="256"/>
      <c r="O30" s="256"/>
      <c r="P30" s="256"/>
      <c r="Q30" s="256"/>
      <c r="R30" s="255">
        <v>0</v>
      </c>
      <c r="T30">
        <f t="shared" si="0"/>
        <v>0</v>
      </c>
    </row>
    <row r="31" spans="1:20" x14ac:dyDescent="0.25">
      <c r="A31" s="255">
        <v>30</v>
      </c>
      <c r="B31" s="256" t="s">
        <v>625</v>
      </c>
      <c r="C31" s="256"/>
      <c r="D31" s="256"/>
      <c r="E31" s="256"/>
      <c r="F31" s="256"/>
      <c r="G31" s="256"/>
      <c r="H31" s="256"/>
      <c r="I31" s="256"/>
      <c r="J31" s="256"/>
      <c r="K31" s="256"/>
      <c r="L31" s="256"/>
      <c r="M31" s="256"/>
      <c r="N31" s="256"/>
      <c r="O31" s="256"/>
      <c r="P31" s="256"/>
      <c r="Q31" s="256"/>
      <c r="R31" s="255">
        <v>0</v>
      </c>
      <c r="T31">
        <f t="shared" si="0"/>
        <v>0</v>
      </c>
    </row>
    <row r="32" spans="1:20" x14ac:dyDescent="0.25">
      <c r="A32" s="255">
        <v>31</v>
      </c>
      <c r="B32" s="256" t="s">
        <v>34</v>
      </c>
      <c r="C32" s="256"/>
      <c r="D32" s="256"/>
      <c r="E32" s="256"/>
      <c r="F32" s="256"/>
      <c r="G32" s="256"/>
      <c r="H32" s="256"/>
      <c r="I32" s="256"/>
      <c r="J32" s="256"/>
      <c r="K32" s="256"/>
      <c r="L32" s="256"/>
      <c r="M32" s="256"/>
      <c r="N32" s="256"/>
      <c r="O32" s="256"/>
      <c r="P32" s="256"/>
      <c r="Q32" s="256"/>
      <c r="R32" s="255">
        <v>0</v>
      </c>
      <c r="T32">
        <f t="shared" si="0"/>
        <v>0</v>
      </c>
    </row>
    <row r="33" spans="1:20" x14ac:dyDescent="0.25">
      <c r="A33" s="255">
        <v>32</v>
      </c>
      <c r="B33" s="256" t="s">
        <v>45</v>
      </c>
      <c r="C33" s="256"/>
      <c r="D33" s="256"/>
      <c r="E33" s="256"/>
      <c r="F33" s="256"/>
      <c r="G33" s="256"/>
      <c r="H33" s="256"/>
      <c r="I33" s="256"/>
      <c r="J33" s="256"/>
      <c r="K33" s="256"/>
      <c r="L33" s="256"/>
      <c r="M33" s="256"/>
      <c r="N33" s="256"/>
      <c r="O33" s="256"/>
      <c r="P33" s="256"/>
      <c r="Q33" s="256"/>
      <c r="R33" s="255">
        <v>0</v>
      </c>
      <c r="T33">
        <f t="shared" si="0"/>
        <v>0</v>
      </c>
    </row>
    <row r="34" spans="1:20" x14ac:dyDescent="0.25">
      <c r="A34" s="255">
        <v>33</v>
      </c>
      <c r="B34" s="256" t="s">
        <v>630</v>
      </c>
      <c r="C34" s="256"/>
      <c r="D34" s="256"/>
      <c r="E34" s="256"/>
      <c r="F34" s="256"/>
      <c r="G34" s="256"/>
      <c r="H34" s="256"/>
      <c r="I34" s="256"/>
      <c r="J34" s="256"/>
      <c r="K34" s="256"/>
      <c r="L34" s="256"/>
      <c r="M34" s="256"/>
      <c r="N34" s="256"/>
      <c r="O34" s="256"/>
      <c r="P34" s="256"/>
      <c r="Q34" s="256"/>
      <c r="R34" s="255">
        <v>0</v>
      </c>
      <c r="T34">
        <f t="shared" si="0"/>
        <v>0</v>
      </c>
    </row>
    <row r="35" spans="1:20" x14ac:dyDescent="0.25">
      <c r="A35" s="255">
        <v>34</v>
      </c>
      <c r="B35" s="256" t="s">
        <v>628</v>
      </c>
      <c r="C35" s="256"/>
      <c r="D35" s="256"/>
      <c r="E35" s="256"/>
      <c r="F35" s="256"/>
      <c r="G35" s="256" t="s">
        <v>85</v>
      </c>
      <c r="H35" s="256"/>
      <c r="I35" s="256" t="s">
        <v>26</v>
      </c>
      <c r="J35" s="256" t="s">
        <v>26</v>
      </c>
      <c r="K35" s="256"/>
      <c r="L35" s="256"/>
      <c r="M35" s="256"/>
      <c r="N35" s="256"/>
      <c r="O35" s="256"/>
      <c r="P35" s="256" t="s">
        <v>26</v>
      </c>
      <c r="Q35" s="256"/>
      <c r="R35" s="257">
        <v>40</v>
      </c>
      <c r="T35">
        <f t="shared" si="0"/>
        <v>40</v>
      </c>
    </row>
    <row r="36" spans="1:20" x14ac:dyDescent="0.25">
      <c r="A36" s="255">
        <v>35</v>
      </c>
      <c r="B36" s="256" t="s">
        <v>629</v>
      </c>
      <c r="C36" s="256"/>
      <c r="D36" s="256"/>
      <c r="E36" s="256"/>
      <c r="F36" s="256"/>
      <c r="G36" s="256"/>
      <c r="H36" s="256"/>
      <c r="I36" s="256"/>
      <c r="J36" s="256"/>
      <c r="K36" s="256"/>
      <c r="L36" s="256"/>
      <c r="M36" s="256"/>
      <c r="N36" s="256"/>
      <c r="O36" s="256"/>
      <c r="P36" s="256"/>
      <c r="Q36" s="256"/>
      <c r="R36" s="255">
        <v>0</v>
      </c>
      <c r="T36">
        <f t="shared" si="0"/>
        <v>0</v>
      </c>
    </row>
    <row r="37" spans="1:20" x14ac:dyDescent="0.25">
      <c r="A37" s="255">
        <v>36</v>
      </c>
      <c r="B37" s="256" t="s">
        <v>631</v>
      </c>
      <c r="C37" s="256"/>
      <c r="D37" s="256"/>
      <c r="E37" s="256"/>
      <c r="F37" s="256"/>
      <c r="G37" s="256"/>
      <c r="H37" s="256"/>
      <c r="I37" s="256" t="s">
        <v>26</v>
      </c>
      <c r="J37" s="256"/>
      <c r="K37" s="256"/>
      <c r="L37" s="256"/>
      <c r="M37" s="256"/>
      <c r="N37" s="256"/>
      <c r="O37" s="256"/>
      <c r="P37" s="256"/>
      <c r="Q37" s="256"/>
      <c r="R37" s="257">
        <v>11</v>
      </c>
      <c r="T37">
        <f t="shared" si="0"/>
        <v>11</v>
      </c>
    </row>
    <row r="38" spans="1:20" x14ac:dyDescent="0.25">
      <c r="A38" s="255">
        <v>37</v>
      </c>
      <c r="B38" s="256" t="s">
        <v>632</v>
      </c>
      <c r="C38" s="256" t="s">
        <v>26</v>
      </c>
      <c r="D38" s="256"/>
      <c r="E38" s="256"/>
      <c r="F38" s="256"/>
      <c r="G38" s="256"/>
      <c r="H38" s="256"/>
      <c r="I38" s="256"/>
      <c r="J38" s="256"/>
      <c r="K38" s="256"/>
      <c r="L38" s="256"/>
      <c r="M38" s="256"/>
      <c r="N38" s="256"/>
      <c r="O38" s="256"/>
      <c r="P38" s="256"/>
      <c r="Q38" s="256"/>
      <c r="R38" s="257">
        <v>11</v>
      </c>
      <c r="T38">
        <f t="shared" si="0"/>
        <v>11</v>
      </c>
    </row>
    <row r="39" spans="1:20" x14ac:dyDescent="0.25">
      <c r="A39" s="255">
        <v>38</v>
      </c>
      <c r="B39" s="256" t="s">
        <v>633</v>
      </c>
      <c r="C39" s="256"/>
      <c r="D39" s="256"/>
      <c r="E39" s="256"/>
      <c r="F39" s="256" t="s">
        <v>26</v>
      </c>
      <c r="G39" s="256"/>
      <c r="H39" s="256"/>
      <c r="I39" s="256"/>
      <c r="J39" s="256"/>
      <c r="K39" s="256"/>
      <c r="L39" s="256"/>
      <c r="M39" s="256"/>
      <c r="N39" s="256"/>
      <c r="O39" s="256"/>
      <c r="P39" s="256"/>
      <c r="Q39" s="256"/>
      <c r="R39" s="257">
        <v>11</v>
      </c>
      <c r="T39">
        <f t="shared" si="0"/>
        <v>11</v>
      </c>
    </row>
    <row r="40" spans="1:20" x14ac:dyDescent="0.25">
      <c r="A40" s="255">
        <v>39</v>
      </c>
      <c r="B40" s="256" t="s">
        <v>634</v>
      </c>
      <c r="C40" s="256"/>
      <c r="D40" s="256"/>
      <c r="E40" s="256"/>
      <c r="F40" s="256" t="s">
        <v>26</v>
      </c>
      <c r="G40" s="256"/>
      <c r="H40" s="256"/>
      <c r="I40" s="256"/>
      <c r="J40" s="256"/>
      <c r="K40" s="256"/>
      <c r="L40" s="256"/>
      <c r="M40" s="256"/>
      <c r="N40" s="256"/>
      <c r="O40" s="256"/>
      <c r="P40" s="256"/>
      <c r="Q40" s="256"/>
      <c r="R40" s="257">
        <v>11</v>
      </c>
      <c r="T40">
        <f t="shared" si="0"/>
        <v>11</v>
      </c>
    </row>
    <row r="41" spans="1:20" x14ac:dyDescent="0.25">
      <c r="A41" s="255">
        <v>40</v>
      </c>
      <c r="B41" s="256" t="s">
        <v>636</v>
      </c>
      <c r="C41" s="256"/>
      <c r="D41" s="256"/>
      <c r="E41" s="256"/>
      <c r="F41" s="256"/>
      <c r="G41" s="256"/>
      <c r="H41" s="256"/>
      <c r="I41" s="256" t="s">
        <v>26</v>
      </c>
      <c r="J41" s="256"/>
      <c r="K41" s="256"/>
      <c r="L41" s="256"/>
      <c r="M41" s="256"/>
      <c r="N41" s="256"/>
      <c r="O41" s="256"/>
      <c r="P41" s="256"/>
      <c r="Q41" s="256"/>
      <c r="R41" s="257">
        <v>11</v>
      </c>
      <c r="T41">
        <f t="shared" si="0"/>
        <v>11</v>
      </c>
    </row>
    <row r="42" spans="1:20" x14ac:dyDescent="0.25">
      <c r="A42" s="255">
        <v>41</v>
      </c>
      <c r="B42" s="256" t="s">
        <v>637</v>
      </c>
      <c r="C42" s="256"/>
      <c r="D42" s="256"/>
      <c r="E42" s="256"/>
      <c r="F42" s="256" t="s">
        <v>26</v>
      </c>
      <c r="G42" s="256"/>
      <c r="H42" s="256"/>
      <c r="I42" s="256" t="s">
        <v>26</v>
      </c>
      <c r="J42" s="256"/>
      <c r="K42" s="256"/>
      <c r="L42" s="256"/>
      <c r="M42" s="256"/>
      <c r="N42" s="256"/>
      <c r="O42" s="256"/>
      <c r="P42" s="256"/>
      <c r="Q42" s="256"/>
      <c r="R42" s="257">
        <v>22</v>
      </c>
      <c r="T42">
        <f t="shared" si="0"/>
        <v>22</v>
      </c>
    </row>
    <row r="43" spans="1:20" x14ac:dyDescent="0.25">
      <c r="A43" s="255">
        <v>42</v>
      </c>
      <c r="B43" s="256" t="s">
        <v>640</v>
      </c>
      <c r="C43" s="256"/>
      <c r="D43" s="256"/>
      <c r="E43" s="256"/>
      <c r="F43" s="256"/>
      <c r="G43" s="256"/>
      <c r="H43" s="256"/>
      <c r="I43" s="256"/>
      <c r="J43" s="256"/>
      <c r="K43" s="256"/>
      <c r="L43" s="256"/>
      <c r="M43" s="256"/>
      <c r="N43" s="256"/>
      <c r="O43" s="256"/>
      <c r="P43" s="256"/>
      <c r="Q43" s="256"/>
      <c r="R43" s="255">
        <v>0</v>
      </c>
      <c r="T43">
        <f t="shared" si="0"/>
        <v>0</v>
      </c>
    </row>
    <row r="44" spans="1:20" x14ac:dyDescent="0.25">
      <c r="A44" s="255">
        <v>43</v>
      </c>
      <c r="B44" s="256" t="s">
        <v>638</v>
      </c>
      <c r="C44" s="256"/>
      <c r="D44" s="256"/>
      <c r="E44" s="256"/>
      <c r="F44" s="256"/>
      <c r="G44" s="256"/>
      <c r="H44" s="256"/>
      <c r="I44" s="256"/>
      <c r="J44" s="256"/>
      <c r="K44" s="256"/>
      <c r="L44" s="256"/>
      <c r="M44" s="256"/>
      <c r="N44" s="256"/>
      <c r="O44" s="256"/>
      <c r="P44" s="256"/>
      <c r="Q44" s="256"/>
      <c r="R44" s="255">
        <v>0</v>
      </c>
      <c r="T44">
        <f t="shared" si="0"/>
        <v>0</v>
      </c>
    </row>
    <row r="45" spans="1:20" x14ac:dyDescent="0.25">
      <c r="A45" s="255">
        <v>44</v>
      </c>
      <c r="B45" s="256" t="s">
        <v>635</v>
      </c>
      <c r="C45" s="256"/>
      <c r="D45" s="256"/>
      <c r="E45" s="256"/>
      <c r="F45" s="256"/>
      <c r="G45" s="256"/>
      <c r="H45" s="256"/>
      <c r="I45" s="256"/>
      <c r="J45" s="256"/>
      <c r="K45" s="256"/>
      <c r="L45" s="256"/>
      <c r="M45" s="256"/>
      <c r="N45" s="256"/>
      <c r="O45" s="256"/>
      <c r="P45" s="256"/>
      <c r="Q45" s="256"/>
      <c r="R45" s="255">
        <v>0</v>
      </c>
      <c r="T45">
        <f t="shared" si="0"/>
        <v>0</v>
      </c>
    </row>
    <row r="46" spans="1:20" x14ac:dyDescent="0.25">
      <c r="A46" s="255">
        <v>45</v>
      </c>
      <c r="B46" s="256" t="s">
        <v>641</v>
      </c>
      <c r="C46" s="256"/>
      <c r="D46" s="256"/>
      <c r="E46" s="256"/>
      <c r="F46" s="256"/>
      <c r="G46" s="256"/>
      <c r="H46" s="256"/>
      <c r="I46" s="256"/>
      <c r="J46" s="256"/>
      <c r="K46" s="256"/>
      <c r="L46" s="256"/>
      <c r="M46" s="256"/>
      <c r="N46" s="256"/>
      <c r="O46" s="256"/>
      <c r="P46" s="256"/>
      <c r="Q46" s="256"/>
      <c r="R46" s="255">
        <v>0</v>
      </c>
      <c r="T46">
        <f t="shared" si="0"/>
        <v>0</v>
      </c>
    </row>
    <row r="47" spans="1:20" x14ac:dyDescent="0.25">
      <c r="A47" s="255">
        <v>46</v>
      </c>
      <c r="B47" s="256" t="s">
        <v>649</v>
      </c>
      <c r="C47" s="256"/>
      <c r="D47" s="256"/>
      <c r="E47" s="256"/>
      <c r="F47" s="256"/>
      <c r="G47" s="256"/>
      <c r="H47" s="256"/>
      <c r="I47" s="256"/>
      <c r="J47" s="256"/>
      <c r="K47" s="256"/>
      <c r="L47" s="256"/>
      <c r="M47" s="256"/>
      <c r="N47" s="256"/>
      <c r="O47" s="256"/>
      <c r="P47" s="256"/>
      <c r="Q47" s="256"/>
      <c r="R47" s="255">
        <v>0</v>
      </c>
      <c r="T47">
        <f t="shared" si="0"/>
        <v>0</v>
      </c>
    </row>
    <row r="48" spans="1:20" x14ac:dyDescent="0.25">
      <c r="A48" s="255">
        <v>47</v>
      </c>
      <c r="B48" s="256" t="s">
        <v>642</v>
      </c>
      <c r="C48" s="256"/>
      <c r="D48" s="256"/>
      <c r="E48" s="256"/>
      <c r="F48" s="256"/>
      <c r="G48" s="256"/>
      <c r="H48" s="256"/>
      <c r="I48" s="256"/>
      <c r="J48" s="256"/>
      <c r="K48" s="256"/>
      <c r="L48" s="256"/>
      <c r="M48" s="256"/>
      <c r="N48" s="256"/>
      <c r="O48" s="256"/>
      <c r="P48" s="256"/>
      <c r="Q48" s="256"/>
      <c r="R48" s="255">
        <v>0</v>
      </c>
      <c r="T48">
        <f t="shared" si="0"/>
        <v>0</v>
      </c>
    </row>
    <row r="49" spans="1:20" x14ac:dyDescent="0.25">
      <c r="A49" s="255">
        <v>48</v>
      </c>
      <c r="B49" s="256" t="s">
        <v>643</v>
      </c>
      <c r="C49" s="256"/>
      <c r="D49" s="256"/>
      <c r="E49" s="256"/>
      <c r="F49" s="256"/>
      <c r="G49" s="256"/>
      <c r="H49" s="256"/>
      <c r="I49" s="256"/>
      <c r="J49" s="256"/>
      <c r="K49" s="256"/>
      <c r="L49" s="256"/>
      <c r="M49" s="256"/>
      <c r="N49" s="256"/>
      <c r="O49" s="256"/>
      <c r="P49" s="256"/>
      <c r="Q49" s="256"/>
      <c r="R49" s="255">
        <v>0</v>
      </c>
      <c r="T49">
        <f t="shared" si="0"/>
        <v>0</v>
      </c>
    </row>
    <row r="50" spans="1:20" x14ac:dyDescent="0.25">
      <c r="A50" s="255">
        <v>49</v>
      </c>
      <c r="B50" s="256" t="s">
        <v>644</v>
      </c>
      <c r="C50" s="256"/>
      <c r="D50" s="256"/>
      <c r="E50" s="256"/>
      <c r="F50" s="256"/>
      <c r="G50" s="256"/>
      <c r="H50" s="256"/>
      <c r="I50" s="256"/>
      <c r="J50" s="256" t="s">
        <v>26</v>
      </c>
      <c r="K50" s="256"/>
      <c r="L50" s="256"/>
      <c r="M50" s="256"/>
      <c r="N50" s="256"/>
      <c r="O50" s="256"/>
      <c r="P50" s="256"/>
      <c r="Q50" s="256"/>
      <c r="R50" s="257">
        <v>11</v>
      </c>
      <c r="T50">
        <f t="shared" si="0"/>
        <v>11</v>
      </c>
    </row>
    <row r="51" spans="1:20" x14ac:dyDescent="0.25">
      <c r="A51" s="255">
        <v>50</v>
      </c>
      <c r="B51" s="256" t="s">
        <v>646</v>
      </c>
      <c r="C51" s="256"/>
      <c r="D51" s="256"/>
      <c r="E51" s="256"/>
      <c r="F51" s="256"/>
      <c r="G51" s="256"/>
      <c r="H51" s="256"/>
      <c r="I51" s="256"/>
      <c r="J51" s="256"/>
      <c r="K51" s="256"/>
      <c r="L51" s="256"/>
      <c r="M51" s="256"/>
      <c r="N51" s="256"/>
      <c r="O51" s="256"/>
      <c r="P51" s="256"/>
      <c r="Q51" s="256"/>
      <c r="R51" s="255">
        <v>0</v>
      </c>
      <c r="T51">
        <f t="shared" si="0"/>
        <v>0</v>
      </c>
    </row>
    <row r="52" spans="1:20" x14ac:dyDescent="0.25">
      <c r="A52" s="255">
        <v>51</v>
      </c>
      <c r="B52" s="256" t="s">
        <v>647</v>
      </c>
      <c r="C52" s="256"/>
      <c r="D52" s="256"/>
      <c r="E52" s="256"/>
      <c r="F52" s="256"/>
      <c r="G52" s="256"/>
      <c r="H52" s="256"/>
      <c r="I52" s="256"/>
      <c r="J52" s="256"/>
      <c r="K52" s="256"/>
      <c r="L52" s="256"/>
      <c r="M52" s="256"/>
      <c r="N52" s="256"/>
      <c r="O52" s="256"/>
      <c r="P52" s="256"/>
      <c r="Q52" s="256"/>
      <c r="R52" s="255">
        <v>0</v>
      </c>
      <c r="T52">
        <f t="shared" si="0"/>
        <v>0</v>
      </c>
    </row>
    <row r="53" spans="1:20" x14ac:dyDescent="0.25">
      <c r="A53" s="255">
        <v>52</v>
      </c>
      <c r="B53" s="256" t="s">
        <v>652</v>
      </c>
      <c r="C53" s="256"/>
      <c r="D53" s="256"/>
      <c r="E53" s="256"/>
      <c r="F53" s="256"/>
      <c r="G53" s="256"/>
      <c r="H53" s="256"/>
      <c r="I53" s="256"/>
      <c r="J53" s="256"/>
      <c r="K53" s="256"/>
      <c r="L53" s="256"/>
      <c r="M53" s="256"/>
      <c r="N53" s="256"/>
      <c r="O53" s="256"/>
      <c r="P53" s="256"/>
      <c r="Q53" s="256"/>
      <c r="R53" s="255">
        <v>0</v>
      </c>
      <c r="T53">
        <f t="shared" si="0"/>
        <v>0</v>
      </c>
    </row>
    <row r="54" spans="1:20" x14ac:dyDescent="0.25">
      <c r="A54" s="255">
        <v>53</v>
      </c>
      <c r="B54" s="256" t="s">
        <v>653</v>
      </c>
      <c r="C54" s="256"/>
      <c r="D54" s="256"/>
      <c r="E54" s="256"/>
      <c r="F54" s="256"/>
      <c r="G54" s="256"/>
      <c r="H54" s="256"/>
      <c r="I54" s="256"/>
      <c r="J54" s="256"/>
      <c r="K54" s="256"/>
      <c r="L54" s="256"/>
      <c r="M54" s="256"/>
      <c r="N54" s="256"/>
      <c r="O54" s="256"/>
      <c r="P54" s="256"/>
      <c r="Q54" s="256"/>
      <c r="R54" s="255">
        <v>0</v>
      </c>
      <c r="T54">
        <f t="shared" si="0"/>
        <v>0</v>
      </c>
    </row>
    <row r="55" spans="1:20" x14ac:dyDescent="0.25">
      <c r="A55" s="255">
        <v>54</v>
      </c>
      <c r="B55" s="256" t="s">
        <v>654</v>
      </c>
      <c r="C55" s="256"/>
      <c r="D55" s="256"/>
      <c r="E55" s="256"/>
      <c r="F55" s="256"/>
      <c r="G55" s="256"/>
      <c r="H55" s="256"/>
      <c r="I55" s="256"/>
      <c r="J55" s="256"/>
      <c r="K55" s="256"/>
      <c r="L55" s="256"/>
      <c r="M55" s="256"/>
      <c r="N55" s="256"/>
      <c r="O55" s="256"/>
      <c r="P55" s="256"/>
      <c r="Q55" s="256"/>
      <c r="R55" s="255">
        <v>0</v>
      </c>
      <c r="T55">
        <f t="shared" si="0"/>
        <v>0</v>
      </c>
    </row>
    <row r="56" spans="1:20" x14ac:dyDescent="0.25">
      <c r="A56" s="255">
        <v>55</v>
      </c>
      <c r="B56" s="256" t="s">
        <v>655</v>
      </c>
      <c r="C56" s="256"/>
      <c r="D56" s="256"/>
      <c r="E56" s="256"/>
      <c r="F56" s="256"/>
      <c r="G56" s="256"/>
      <c r="H56" s="256"/>
      <c r="I56" s="256"/>
      <c r="J56" s="256"/>
      <c r="K56" s="256"/>
      <c r="L56" s="256"/>
      <c r="M56" s="256"/>
      <c r="N56" s="256"/>
      <c r="O56" s="256"/>
      <c r="P56" s="256"/>
      <c r="Q56" s="256"/>
      <c r="R56" s="255">
        <v>0</v>
      </c>
      <c r="T56">
        <f t="shared" si="0"/>
        <v>0</v>
      </c>
    </row>
    <row r="57" spans="1:20" x14ac:dyDescent="0.25">
      <c r="A57" s="255">
        <v>56</v>
      </c>
      <c r="B57" s="256" t="s">
        <v>656</v>
      </c>
      <c r="C57" s="256"/>
      <c r="D57" s="256"/>
      <c r="E57" s="256"/>
      <c r="F57" s="256"/>
      <c r="G57" s="256"/>
      <c r="H57" s="256"/>
      <c r="I57" s="256"/>
      <c r="J57" s="256"/>
      <c r="K57" s="256"/>
      <c r="L57" s="256"/>
      <c r="M57" s="256"/>
      <c r="N57" s="256"/>
      <c r="O57" s="256"/>
      <c r="P57" s="256"/>
      <c r="Q57" s="256"/>
      <c r="R57" s="255">
        <v>0</v>
      </c>
      <c r="T57">
        <f t="shared" si="0"/>
        <v>0</v>
      </c>
    </row>
    <row r="58" spans="1:20" x14ac:dyDescent="0.25">
      <c r="A58" s="255">
        <v>57</v>
      </c>
      <c r="B58" s="256" t="s">
        <v>657</v>
      </c>
      <c r="C58" s="256"/>
      <c r="D58" s="256"/>
      <c r="E58" s="256"/>
      <c r="F58" s="256"/>
      <c r="G58" s="256"/>
      <c r="H58" s="256"/>
      <c r="I58" s="256"/>
      <c r="J58" s="256"/>
      <c r="K58" s="256"/>
      <c r="L58" s="256"/>
      <c r="M58" s="256"/>
      <c r="N58" s="256"/>
      <c r="O58" s="256"/>
      <c r="P58" s="256"/>
      <c r="Q58" s="256"/>
      <c r="R58" s="255">
        <v>0</v>
      </c>
      <c r="T58">
        <f t="shared" si="0"/>
        <v>0</v>
      </c>
    </row>
    <row r="59" spans="1:20" x14ac:dyDescent="0.25">
      <c r="A59" s="255">
        <v>58</v>
      </c>
      <c r="B59" s="256" t="s">
        <v>658</v>
      </c>
      <c r="C59" s="256"/>
      <c r="D59" s="256"/>
      <c r="E59" s="256"/>
      <c r="F59" s="256"/>
      <c r="G59" s="256"/>
      <c r="H59" s="256"/>
      <c r="I59" s="256"/>
      <c r="J59" s="256"/>
      <c r="K59" s="256"/>
      <c r="L59" s="256"/>
      <c r="M59" s="256"/>
      <c r="N59" s="256"/>
      <c r="O59" s="256"/>
      <c r="P59" s="256"/>
      <c r="Q59" s="256"/>
      <c r="R59" s="255">
        <v>0</v>
      </c>
      <c r="T59">
        <f t="shared" si="0"/>
        <v>0</v>
      </c>
    </row>
    <row r="60" spans="1:20" x14ac:dyDescent="0.25">
      <c r="A60" s="255">
        <v>59</v>
      </c>
      <c r="B60" s="256" t="s">
        <v>659</v>
      </c>
      <c r="C60" s="256"/>
      <c r="D60" s="256"/>
      <c r="E60" s="256"/>
      <c r="F60" s="256"/>
      <c r="G60" s="256"/>
      <c r="H60" s="256"/>
      <c r="I60" s="256"/>
      <c r="J60" s="256"/>
      <c r="K60" s="256"/>
      <c r="L60" s="256"/>
      <c r="M60" s="256"/>
      <c r="N60" s="256"/>
      <c r="O60" s="256"/>
      <c r="P60" s="256"/>
      <c r="Q60" s="256"/>
      <c r="R60" s="255">
        <v>0</v>
      </c>
      <c r="T60">
        <f t="shared" si="0"/>
        <v>0</v>
      </c>
    </row>
    <row r="61" spans="1:20" x14ac:dyDescent="0.25">
      <c r="A61" s="255">
        <v>60</v>
      </c>
      <c r="B61" s="256" t="s">
        <v>660</v>
      </c>
      <c r="C61" s="256"/>
      <c r="D61" s="256"/>
      <c r="E61" s="256"/>
      <c r="F61" s="256"/>
      <c r="G61" s="256"/>
      <c r="H61" s="256"/>
      <c r="I61" s="256"/>
      <c r="J61" s="256"/>
      <c r="K61" s="256"/>
      <c r="L61" s="256"/>
      <c r="M61" s="256"/>
      <c r="N61" s="256"/>
      <c r="O61" s="256"/>
      <c r="P61" s="256"/>
      <c r="Q61" s="256"/>
      <c r="R61" s="255">
        <v>0</v>
      </c>
      <c r="T61">
        <f t="shared" si="0"/>
        <v>0</v>
      </c>
    </row>
    <row r="62" spans="1:20" x14ac:dyDescent="0.25">
      <c r="A62" s="255">
        <v>61</v>
      </c>
      <c r="B62" s="256" t="s">
        <v>661</v>
      </c>
      <c r="C62" s="256"/>
      <c r="D62" s="256"/>
      <c r="E62" s="256"/>
      <c r="F62" s="256"/>
      <c r="G62" s="256"/>
      <c r="H62" s="256"/>
      <c r="I62" s="256"/>
      <c r="J62" s="256"/>
      <c r="K62" s="256"/>
      <c r="L62" s="256"/>
      <c r="M62" s="256"/>
      <c r="N62" s="256"/>
      <c r="O62" s="256"/>
      <c r="P62" s="256"/>
      <c r="Q62" s="256"/>
      <c r="R62" s="255">
        <v>0</v>
      </c>
      <c r="T62">
        <f t="shared" si="0"/>
        <v>0</v>
      </c>
    </row>
    <row r="63" spans="1:20" x14ac:dyDescent="0.25">
      <c r="A63" s="255">
        <v>62</v>
      </c>
      <c r="B63" s="256" t="s">
        <v>662</v>
      </c>
      <c r="C63" s="256"/>
      <c r="D63" s="256"/>
      <c r="E63" s="256"/>
      <c r="F63" s="256"/>
      <c r="G63" s="256" t="s">
        <v>85</v>
      </c>
      <c r="H63" s="256"/>
      <c r="I63" s="256"/>
      <c r="J63" s="256"/>
      <c r="K63" s="256"/>
      <c r="L63" s="256"/>
      <c r="M63" s="256"/>
      <c r="N63" s="256"/>
      <c r="O63" s="256"/>
      <c r="P63" s="256"/>
      <c r="Q63" s="256" t="s">
        <v>26</v>
      </c>
      <c r="R63" s="257">
        <v>18</v>
      </c>
      <c r="T63">
        <f t="shared" si="0"/>
        <v>18</v>
      </c>
    </row>
    <row r="64" spans="1:20" x14ac:dyDescent="0.25">
      <c r="A64" s="255">
        <v>63</v>
      </c>
      <c r="B64" s="256" t="s">
        <v>668</v>
      </c>
      <c r="C64" s="256"/>
      <c r="D64" s="256"/>
      <c r="E64" s="256"/>
      <c r="F64" s="256"/>
      <c r="G64" s="256"/>
      <c r="H64" s="256"/>
      <c r="I64" s="256"/>
      <c r="J64" s="256"/>
      <c r="K64" s="256"/>
      <c r="L64" s="256"/>
      <c r="M64" s="256"/>
      <c r="N64" s="256"/>
      <c r="O64" s="256"/>
      <c r="P64" s="256"/>
      <c r="Q64" s="256"/>
      <c r="R64" s="255">
        <v>0</v>
      </c>
      <c r="T64">
        <f t="shared" si="0"/>
        <v>0</v>
      </c>
    </row>
    <row r="65" spans="1:18" x14ac:dyDescent="0.25">
      <c r="A65" s="254"/>
      <c r="B65" s="254"/>
      <c r="C65" s="254"/>
      <c r="D65" s="254"/>
      <c r="E65" s="254"/>
      <c r="F65" s="254"/>
      <c r="G65" s="254"/>
      <c r="H65" s="254"/>
      <c r="I65" s="254"/>
      <c r="J65" s="254"/>
      <c r="K65" s="254"/>
      <c r="L65" s="254"/>
      <c r="M65" s="254"/>
      <c r="N65" s="254"/>
      <c r="O65" s="254"/>
      <c r="P65" s="254"/>
      <c r="Q65" s="254"/>
      <c r="R65" s="258">
        <v>525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T65"/>
  <sheetViews>
    <sheetView zoomScale="85" zoomScaleNormal="85" workbookViewId="0">
      <selection activeCell="T2" sqref="T2:T64"/>
    </sheetView>
  </sheetViews>
  <sheetFormatPr defaultRowHeight="15" x14ac:dyDescent="0.25"/>
  <sheetData>
    <row r="1" spans="1:20" x14ac:dyDescent="0.25">
      <c r="A1" s="259" t="s">
        <v>1</v>
      </c>
      <c r="B1" s="259" t="s">
        <v>6</v>
      </c>
      <c r="C1" s="259" t="s">
        <v>46</v>
      </c>
      <c r="D1" s="259" t="s">
        <v>47</v>
      </c>
      <c r="E1" s="259" t="s">
        <v>48</v>
      </c>
      <c r="F1" s="259" t="s">
        <v>49</v>
      </c>
      <c r="G1" s="259" t="s">
        <v>50</v>
      </c>
      <c r="H1" s="259" t="s">
        <v>51</v>
      </c>
      <c r="I1" s="259" t="s">
        <v>52</v>
      </c>
      <c r="J1" s="259" t="s">
        <v>53</v>
      </c>
      <c r="K1" s="259" t="s">
        <v>54</v>
      </c>
      <c r="L1" s="259" t="s">
        <v>55</v>
      </c>
      <c r="M1" s="259" t="s">
        <v>56</v>
      </c>
      <c r="N1" s="259" t="s">
        <v>57</v>
      </c>
      <c r="O1" s="259" t="s">
        <v>58</v>
      </c>
      <c r="P1" s="259" t="s">
        <v>59</v>
      </c>
      <c r="Q1" s="259" t="s">
        <v>667</v>
      </c>
      <c r="R1" s="259" t="s">
        <v>2</v>
      </c>
    </row>
    <row r="2" spans="1:20" x14ac:dyDescent="0.25">
      <c r="A2" s="260">
        <v>1</v>
      </c>
      <c r="B2" s="261" t="s">
        <v>10</v>
      </c>
      <c r="C2" s="261"/>
      <c r="D2" s="261"/>
      <c r="E2" s="261"/>
      <c r="F2" s="261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261"/>
      <c r="R2" s="260">
        <v>0</v>
      </c>
      <c r="T2">
        <f t="shared" ref="T2:T64" si="0">C2+D2+E2+F2+G2+H2+I2+J2+K2+L2+M2+N2+O2+P2+Q2</f>
        <v>0</v>
      </c>
    </row>
    <row r="3" spans="1:20" x14ac:dyDescent="0.25">
      <c r="A3" s="260">
        <v>2</v>
      </c>
      <c r="B3" s="261" t="s">
        <v>11</v>
      </c>
      <c r="C3" s="261"/>
      <c r="D3" s="261"/>
      <c r="E3" s="261"/>
      <c r="F3" s="261"/>
      <c r="G3" s="261"/>
      <c r="H3" s="261"/>
      <c r="I3" s="261"/>
      <c r="J3" s="261"/>
      <c r="K3" s="261"/>
      <c r="L3" s="261"/>
      <c r="M3" s="261"/>
      <c r="N3" s="261"/>
      <c r="O3" s="261"/>
      <c r="P3" s="261"/>
      <c r="Q3" s="261"/>
      <c r="R3" s="260">
        <v>0</v>
      </c>
      <c r="T3">
        <f t="shared" si="0"/>
        <v>0</v>
      </c>
    </row>
    <row r="4" spans="1:20" x14ac:dyDescent="0.25">
      <c r="A4" s="260">
        <v>3</v>
      </c>
      <c r="B4" s="261" t="s">
        <v>12</v>
      </c>
      <c r="C4" s="261"/>
      <c r="D4" s="261"/>
      <c r="E4" s="261"/>
      <c r="F4" s="261"/>
      <c r="G4" s="261"/>
      <c r="H4" s="261"/>
      <c r="I4" s="261"/>
      <c r="J4" s="261"/>
      <c r="K4" s="261"/>
      <c r="L4" s="261"/>
      <c r="M4" s="261"/>
      <c r="N4" s="261"/>
      <c r="O4" s="261"/>
      <c r="P4" s="261"/>
      <c r="Q4" s="261"/>
      <c r="R4" s="260">
        <v>0</v>
      </c>
      <c r="T4">
        <f t="shared" si="0"/>
        <v>0</v>
      </c>
    </row>
    <row r="5" spans="1:20" x14ac:dyDescent="0.25">
      <c r="A5" s="260">
        <v>4</v>
      </c>
      <c r="B5" s="261" t="s">
        <v>651</v>
      </c>
      <c r="C5" s="261"/>
      <c r="D5" s="261"/>
      <c r="E5" s="261" t="s">
        <v>26</v>
      </c>
      <c r="F5" s="261" t="s">
        <v>26</v>
      </c>
      <c r="G5" s="261"/>
      <c r="H5" s="261"/>
      <c r="I5" s="261"/>
      <c r="J5" s="261"/>
      <c r="K5" s="261"/>
      <c r="L5" s="261"/>
      <c r="M5" s="261"/>
      <c r="N5" s="261"/>
      <c r="O5" s="261"/>
      <c r="P5" s="261" t="s">
        <v>26</v>
      </c>
      <c r="Q5" s="261" t="s">
        <v>26</v>
      </c>
      <c r="R5" s="262">
        <v>44</v>
      </c>
      <c r="T5">
        <f t="shared" si="0"/>
        <v>44</v>
      </c>
    </row>
    <row r="6" spans="1:20" x14ac:dyDescent="0.25">
      <c r="A6" s="260">
        <v>5</v>
      </c>
      <c r="B6" s="261" t="s">
        <v>14</v>
      </c>
      <c r="C6" s="261"/>
      <c r="D6" s="261"/>
      <c r="E6" s="261" t="s">
        <v>26</v>
      </c>
      <c r="F6" s="261" t="s">
        <v>26</v>
      </c>
      <c r="G6" s="261"/>
      <c r="H6" s="261"/>
      <c r="I6" s="261"/>
      <c r="J6" s="261"/>
      <c r="K6" s="261"/>
      <c r="L6" s="261"/>
      <c r="M6" s="261"/>
      <c r="N6" s="261"/>
      <c r="O6" s="261"/>
      <c r="P6" s="261" t="s">
        <v>26</v>
      </c>
      <c r="Q6" s="261" t="s">
        <v>26</v>
      </c>
      <c r="R6" s="262">
        <v>44</v>
      </c>
      <c r="T6">
        <f t="shared" si="0"/>
        <v>44</v>
      </c>
    </row>
    <row r="7" spans="1:20" x14ac:dyDescent="0.25">
      <c r="A7" s="260">
        <v>6</v>
      </c>
      <c r="B7" s="261" t="s">
        <v>15</v>
      </c>
      <c r="C7" s="261"/>
      <c r="D7" s="261"/>
      <c r="E7" s="261"/>
      <c r="F7" s="261"/>
      <c r="G7" s="261"/>
      <c r="H7" s="261"/>
      <c r="I7" s="261"/>
      <c r="J7" s="261"/>
      <c r="K7" s="261"/>
      <c r="L7" s="261"/>
      <c r="M7" s="261"/>
      <c r="N7" s="261"/>
      <c r="O7" s="261"/>
      <c r="P7" s="261"/>
      <c r="Q7" s="261"/>
      <c r="R7" s="260">
        <v>0</v>
      </c>
      <c r="T7">
        <f t="shared" si="0"/>
        <v>0</v>
      </c>
    </row>
    <row r="8" spans="1:20" x14ac:dyDescent="0.25">
      <c r="A8" s="260">
        <v>7</v>
      </c>
      <c r="B8" s="261" t="s">
        <v>16</v>
      </c>
      <c r="C8" s="261"/>
      <c r="D8" s="261"/>
      <c r="E8" s="261"/>
      <c r="F8" s="261"/>
      <c r="G8" s="261"/>
      <c r="H8" s="261"/>
      <c r="I8" s="261"/>
      <c r="J8" s="261"/>
      <c r="K8" s="261"/>
      <c r="L8" s="261"/>
      <c r="M8" s="261"/>
      <c r="N8" s="261"/>
      <c r="O8" s="261"/>
      <c r="P8" s="261"/>
      <c r="Q8" s="261"/>
      <c r="R8" s="260">
        <v>0</v>
      </c>
      <c r="T8">
        <f t="shared" si="0"/>
        <v>0</v>
      </c>
    </row>
    <row r="9" spans="1:20" x14ac:dyDescent="0.25">
      <c r="A9" s="260">
        <v>8</v>
      </c>
      <c r="B9" s="261" t="s">
        <v>4</v>
      </c>
      <c r="C9" s="261"/>
      <c r="D9" s="261"/>
      <c r="E9" s="261"/>
      <c r="F9" s="261"/>
      <c r="G9" s="261"/>
      <c r="H9" s="261"/>
      <c r="I9" s="261"/>
      <c r="J9" s="261"/>
      <c r="K9" s="261"/>
      <c r="L9" s="261"/>
      <c r="M9" s="261"/>
      <c r="N9" s="261"/>
      <c r="O9" s="261"/>
      <c r="P9" s="261"/>
      <c r="Q9" s="261"/>
      <c r="R9" s="260">
        <v>0</v>
      </c>
      <c r="T9">
        <f t="shared" si="0"/>
        <v>0</v>
      </c>
    </row>
    <row r="10" spans="1:20" x14ac:dyDescent="0.25">
      <c r="A10" s="260">
        <v>9</v>
      </c>
      <c r="B10" s="261" t="s">
        <v>5</v>
      </c>
      <c r="C10" s="261"/>
      <c r="D10" s="261"/>
      <c r="E10" s="261" t="s">
        <v>26</v>
      </c>
      <c r="F10" s="261" t="s">
        <v>26</v>
      </c>
      <c r="G10" s="261"/>
      <c r="H10" s="261"/>
      <c r="I10" s="261"/>
      <c r="J10" s="261"/>
      <c r="K10" s="261" t="s">
        <v>26</v>
      </c>
      <c r="L10" s="261" t="s">
        <v>26</v>
      </c>
      <c r="M10" s="261" t="s">
        <v>26</v>
      </c>
      <c r="N10" s="261" t="s">
        <v>84</v>
      </c>
      <c r="O10" s="261"/>
      <c r="P10" s="261"/>
      <c r="Q10" s="261"/>
      <c r="R10" s="262">
        <v>61</v>
      </c>
      <c r="T10">
        <f t="shared" si="0"/>
        <v>61</v>
      </c>
    </row>
    <row r="11" spans="1:20" x14ac:dyDescent="0.25">
      <c r="A11" s="260">
        <v>10</v>
      </c>
      <c r="B11" s="261" t="s">
        <v>38</v>
      </c>
      <c r="C11" s="261"/>
      <c r="D11" s="261"/>
      <c r="E11" s="261"/>
      <c r="F11" s="261"/>
      <c r="G11" s="261"/>
      <c r="H11" s="261"/>
      <c r="I11" s="261"/>
      <c r="J11" s="261"/>
      <c r="K11" s="261"/>
      <c r="L11" s="261"/>
      <c r="M11" s="261"/>
      <c r="N11" s="261"/>
      <c r="O11" s="261"/>
      <c r="P11" s="261"/>
      <c r="Q11" s="261"/>
      <c r="R11" s="260">
        <v>0</v>
      </c>
      <c r="T11">
        <f t="shared" si="0"/>
        <v>0</v>
      </c>
    </row>
    <row r="12" spans="1:20" x14ac:dyDescent="0.25">
      <c r="A12" s="260">
        <v>11</v>
      </c>
      <c r="B12" s="261" t="s">
        <v>43</v>
      </c>
      <c r="C12" s="261"/>
      <c r="D12" s="261"/>
      <c r="E12" s="261" t="s">
        <v>26</v>
      </c>
      <c r="F12" s="261" t="s">
        <v>26</v>
      </c>
      <c r="G12" s="261"/>
      <c r="H12" s="261"/>
      <c r="I12" s="261"/>
      <c r="J12" s="261" t="s">
        <v>26</v>
      </c>
      <c r="K12" s="261" t="s">
        <v>26</v>
      </c>
      <c r="L12" s="261" t="s">
        <v>26</v>
      </c>
      <c r="M12" s="261"/>
      <c r="N12" s="261"/>
      <c r="O12" s="261"/>
      <c r="P12" s="261"/>
      <c r="Q12" s="261"/>
      <c r="R12" s="262">
        <v>55</v>
      </c>
      <c r="T12">
        <f t="shared" si="0"/>
        <v>55</v>
      </c>
    </row>
    <row r="13" spans="1:20" x14ac:dyDescent="0.25">
      <c r="A13" s="260">
        <v>12</v>
      </c>
      <c r="B13" s="261" t="s">
        <v>639</v>
      </c>
      <c r="C13" s="261"/>
      <c r="D13" s="261"/>
      <c r="E13" s="261"/>
      <c r="F13" s="261"/>
      <c r="G13" s="261"/>
      <c r="H13" s="261"/>
      <c r="I13" s="261"/>
      <c r="J13" s="261"/>
      <c r="K13" s="261"/>
      <c r="L13" s="261"/>
      <c r="M13" s="261"/>
      <c r="N13" s="261"/>
      <c r="O13" s="261"/>
      <c r="P13" s="261"/>
      <c r="Q13" s="261"/>
      <c r="R13" s="260">
        <v>0</v>
      </c>
      <c r="T13">
        <f t="shared" si="0"/>
        <v>0</v>
      </c>
    </row>
    <row r="14" spans="1:20" x14ac:dyDescent="0.25">
      <c r="A14" s="260">
        <v>13</v>
      </c>
      <c r="B14" s="261" t="s">
        <v>87</v>
      </c>
      <c r="C14" s="261"/>
      <c r="D14" s="261"/>
      <c r="E14" s="261"/>
      <c r="F14" s="261"/>
      <c r="G14" s="261"/>
      <c r="H14" s="261"/>
      <c r="I14" s="261"/>
      <c r="J14" s="261"/>
      <c r="K14" s="261"/>
      <c r="L14" s="261"/>
      <c r="M14" s="261"/>
      <c r="N14" s="261"/>
      <c r="O14" s="261"/>
      <c r="P14" s="261"/>
      <c r="Q14" s="261"/>
      <c r="R14" s="260">
        <v>0</v>
      </c>
      <c r="T14">
        <f t="shared" si="0"/>
        <v>0</v>
      </c>
    </row>
    <row r="15" spans="1:20" x14ac:dyDescent="0.25">
      <c r="A15" s="260">
        <v>14</v>
      </c>
      <c r="B15" s="261" t="s">
        <v>95</v>
      </c>
      <c r="C15" s="261"/>
      <c r="D15" s="261"/>
      <c r="E15" s="261"/>
      <c r="F15" s="261"/>
      <c r="G15" s="261"/>
      <c r="H15" s="261"/>
      <c r="I15" s="261"/>
      <c r="J15" s="261"/>
      <c r="K15" s="261"/>
      <c r="L15" s="261"/>
      <c r="M15" s="261"/>
      <c r="N15" s="261"/>
      <c r="O15" s="261"/>
      <c r="P15" s="261"/>
      <c r="Q15" s="261"/>
      <c r="R15" s="260">
        <v>0</v>
      </c>
      <c r="T15">
        <f t="shared" si="0"/>
        <v>0</v>
      </c>
    </row>
    <row r="16" spans="1:20" x14ac:dyDescent="0.25">
      <c r="A16" s="260">
        <v>15</v>
      </c>
      <c r="B16" s="261" t="s">
        <v>96</v>
      </c>
      <c r="C16" s="261"/>
      <c r="D16" s="261"/>
      <c r="E16" s="261" t="s">
        <v>26</v>
      </c>
      <c r="F16" s="261" t="s">
        <v>26</v>
      </c>
      <c r="G16" s="261"/>
      <c r="H16" s="261"/>
      <c r="I16" s="261"/>
      <c r="J16" s="261"/>
      <c r="K16" s="261"/>
      <c r="L16" s="261"/>
      <c r="M16" s="261"/>
      <c r="N16" s="261"/>
      <c r="O16" s="261"/>
      <c r="P16" s="261"/>
      <c r="Q16" s="261"/>
      <c r="R16" s="262">
        <v>22</v>
      </c>
      <c r="T16">
        <f t="shared" si="0"/>
        <v>22</v>
      </c>
    </row>
    <row r="17" spans="1:20" x14ac:dyDescent="0.25">
      <c r="A17" s="260">
        <v>16</v>
      </c>
      <c r="B17" s="261" t="s">
        <v>97</v>
      </c>
      <c r="C17" s="261"/>
      <c r="D17" s="261"/>
      <c r="E17" s="261"/>
      <c r="F17" s="261"/>
      <c r="G17" s="261"/>
      <c r="H17" s="261"/>
      <c r="I17" s="261"/>
      <c r="J17" s="261" t="s">
        <v>25</v>
      </c>
      <c r="K17" s="261"/>
      <c r="L17" s="261"/>
      <c r="M17" s="261"/>
      <c r="N17" s="261"/>
      <c r="O17" s="261"/>
      <c r="P17" s="261"/>
      <c r="Q17" s="261"/>
      <c r="R17" s="262">
        <v>9</v>
      </c>
      <c r="T17">
        <f t="shared" si="0"/>
        <v>9</v>
      </c>
    </row>
    <row r="18" spans="1:20" x14ac:dyDescent="0.25">
      <c r="A18" s="260">
        <v>17</v>
      </c>
      <c r="B18" s="261" t="s">
        <v>98</v>
      </c>
      <c r="C18" s="261"/>
      <c r="D18" s="261"/>
      <c r="E18" s="261"/>
      <c r="F18" s="261"/>
      <c r="G18" s="261"/>
      <c r="H18" s="261"/>
      <c r="I18" s="261"/>
      <c r="J18" s="261"/>
      <c r="K18" s="261"/>
      <c r="L18" s="261"/>
      <c r="M18" s="261"/>
      <c r="N18" s="261"/>
      <c r="O18" s="261"/>
      <c r="P18" s="261"/>
      <c r="Q18" s="261"/>
      <c r="R18" s="260">
        <v>0</v>
      </c>
      <c r="T18">
        <f t="shared" si="0"/>
        <v>0</v>
      </c>
    </row>
    <row r="19" spans="1:20" x14ac:dyDescent="0.25">
      <c r="A19" s="260">
        <v>18</v>
      </c>
      <c r="B19" s="261" t="s">
        <v>616</v>
      </c>
      <c r="C19" s="261"/>
      <c r="D19" s="261"/>
      <c r="E19" s="261" t="s">
        <v>26</v>
      </c>
      <c r="F19" s="261"/>
      <c r="G19" s="261"/>
      <c r="H19" s="261"/>
      <c r="I19" s="261"/>
      <c r="J19" s="261" t="s">
        <v>63</v>
      </c>
      <c r="K19" s="261" t="s">
        <v>26</v>
      </c>
      <c r="L19" s="261"/>
      <c r="M19" s="261"/>
      <c r="N19" s="261"/>
      <c r="O19" s="261"/>
      <c r="P19" s="261"/>
      <c r="Q19" s="261"/>
      <c r="R19" s="262">
        <v>26</v>
      </c>
      <c r="T19">
        <f t="shared" si="0"/>
        <v>26</v>
      </c>
    </row>
    <row r="20" spans="1:20" x14ac:dyDescent="0.25">
      <c r="A20" s="260">
        <v>19</v>
      </c>
      <c r="B20" s="261" t="s">
        <v>617</v>
      </c>
      <c r="C20" s="261"/>
      <c r="D20" s="261"/>
      <c r="E20" s="261"/>
      <c r="F20" s="261"/>
      <c r="G20" s="261"/>
      <c r="H20" s="261"/>
      <c r="I20" s="261"/>
      <c r="J20" s="261"/>
      <c r="K20" s="261"/>
      <c r="L20" s="261"/>
      <c r="M20" s="261"/>
      <c r="N20" s="261"/>
      <c r="O20" s="261"/>
      <c r="P20" s="261"/>
      <c r="Q20" s="261"/>
      <c r="R20" s="260">
        <v>0</v>
      </c>
      <c r="T20">
        <f t="shared" si="0"/>
        <v>0</v>
      </c>
    </row>
    <row r="21" spans="1:20" x14ac:dyDescent="0.25">
      <c r="A21" s="260">
        <v>20</v>
      </c>
      <c r="B21" s="261" t="s">
        <v>626</v>
      </c>
      <c r="C21" s="261"/>
      <c r="D21" s="261"/>
      <c r="E21" s="261"/>
      <c r="F21" s="261"/>
      <c r="G21" s="261"/>
      <c r="H21" s="261"/>
      <c r="I21" s="261"/>
      <c r="J21" s="261"/>
      <c r="K21" s="261"/>
      <c r="L21" s="261"/>
      <c r="M21" s="261"/>
      <c r="N21" s="261"/>
      <c r="O21" s="261"/>
      <c r="P21" s="261"/>
      <c r="Q21" s="261"/>
      <c r="R21" s="260">
        <v>0</v>
      </c>
      <c r="T21">
        <f t="shared" si="0"/>
        <v>0</v>
      </c>
    </row>
    <row r="22" spans="1:20" x14ac:dyDescent="0.25">
      <c r="A22" s="260">
        <v>21</v>
      </c>
      <c r="B22" s="261" t="s">
        <v>618</v>
      </c>
      <c r="C22" s="261"/>
      <c r="D22" s="261"/>
      <c r="E22" s="261"/>
      <c r="F22" s="261"/>
      <c r="G22" s="26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0">
        <v>0</v>
      </c>
      <c r="T22">
        <f t="shared" si="0"/>
        <v>0</v>
      </c>
    </row>
    <row r="23" spans="1:20" x14ac:dyDescent="0.25">
      <c r="A23" s="260">
        <v>22</v>
      </c>
      <c r="B23" s="261" t="s">
        <v>619</v>
      </c>
      <c r="C23" s="261"/>
      <c r="D23" s="261"/>
      <c r="E23" s="261" t="s">
        <v>26</v>
      </c>
      <c r="F23" s="261" t="s">
        <v>26</v>
      </c>
      <c r="G23" s="261"/>
      <c r="H23" s="261"/>
      <c r="I23" s="261"/>
      <c r="J23" s="261"/>
      <c r="K23" s="261" t="s">
        <v>26</v>
      </c>
      <c r="L23" s="261"/>
      <c r="M23" s="261" t="s">
        <v>26</v>
      </c>
      <c r="N23" s="261" t="s">
        <v>84</v>
      </c>
      <c r="O23" s="261"/>
      <c r="P23" s="261"/>
      <c r="Q23" s="261"/>
      <c r="R23" s="262">
        <v>50</v>
      </c>
      <c r="T23">
        <f t="shared" si="0"/>
        <v>50</v>
      </c>
    </row>
    <row r="24" spans="1:20" x14ac:dyDescent="0.25">
      <c r="A24" s="260">
        <v>23</v>
      </c>
      <c r="B24" s="261" t="s">
        <v>620</v>
      </c>
      <c r="C24" s="261"/>
      <c r="D24" s="261"/>
      <c r="E24" s="261"/>
      <c r="F24" s="261"/>
      <c r="G24" s="261"/>
      <c r="H24" s="261"/>
      <c r="I24" s="261"/>
      <c r="J24" s="261" t="s">
        <v>26</v>
      </c>
      <c r="K24" s="261" t="s">
        <v>26</v>
      </c>
      <c r="L24" s="261"/>
      <c r="M24" s="261"/>
      <c r="N24" s="261"/>
      <c r="O24" s="261"/>
      <c r="P24" s="261"/>
      <c r="Q24" s="261"/>
      <c r="R24" s="262">
        <v>22</v>
      </c>
      <c r="T24">
        <f t="shared" si="0"/>
        <v>22</v>
      </c>
    </row>
    <row r="25" spans="1:20" x14ac:dyDescent="0.25">
      <c r="A25" s="260">
        <v>24</v>
      </c>
      <c r="B25" s="261" t="s">
        <v>650</v>
      </c>
      <c r="C25" s="261"/>
      <c r="D25" s="261"/>
      <c r="E25" s="261"/>
      <c r="F25" s="261"/>
      <c r="G25" s="261"/>
      <c r="H25" s="261"/>
      <c r="I25" s="261"/>
      <c r="J25" s="261"/>
      <c r="K25" s="261"/>
      <c r="L25" s="261"/>
      <c r="M25" s="261"/>
      <c r="N25" s="261"/>
      <c r="O25" s="261"/>
      <c r="P25" s="261"/>
      <c r="Q25" s="261"/>
      <c r="R25" s="260">
        <v>0</v>
      </c>
      <c r="T25">
        <f t="shared" si="0"/>
        <v>0</v>
      </c>
    </row>
    <row r="26" spans="1:20" x14ac:dyDescent="0.25">
      <c r="A26" s="260">
        <v>25</v>
      </c>
      <c r="B26" s="261" t="s">
        <v>621</v>
      </c>
      <c r="C26" s="261"/>
      <c r="D26" s="261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260">
        <v>0</v>
      </c>
      <c r="T26">
        <f t="shared" si="0"/>
        <v>0</v>
      </c>
    </row>
    <row r="27" spans="1:20" x14ac:dyDescent="0.25">
      <c r="A27" s="260">
        <v>26</v>
      </c>
      <c r="B27" s="261" t="s">
        <v>622</v>
      </c>
      <c r="C27" s="261"/>
      <c r="D27" s="261"/>
      <c r="E27" s="261"/>
      <c r="F27" s="261"/>
      <c r="G27" s="261"/>
      <c r="H27" s="261"/>
      <c r="I27" s="261"/>
      <c r="J27" s="261"/>
      <c r="K27" s="261"/>
      <c r="L27" s="261"/>
      <c r="M27" s="261"/>
      <c r="N27" s="261"/>
      <c r="O27" s="261"/>
      <c r="P27" s="261"/>
      <c r="Q27" s="261"/>
      <c r="R27" s="260">
        <v>0</v>
      </c>
      <c r="T27">
        <f t="shared" si="0"/>
        <v>0</v>
      </c>
    </row>
    <row r="28" spans="1:20" x14ac:dyDescent="0.25">
      <c r="A28" s="260">
        <v>27</v>
      </c>
      <c r="B28" s="261" t="s">
        <v>623</v>
      </c>
      <c r="C28" s="261"/>
      <c r="D28" s="261"/>
      <c r="E28" s="261"/>
      <c r="F28" s="261"/>
      <c r="G28" s="261"/>
      <c r="H28" s="261"/>
      <c r="I28" s="261"/>
      <c r="J28" s="261"/>
      <c r="K28" s="261"/>
      <c r="L28" s="261"/>
      <c r="M28" s="261"/>
      <c r="N28" s="261"/>
      <c r="O28" s="261"/>
      <c r="P28" s="261"/>
      <c r="Q28" s="261"/>
      <c r="R28" s="260">
        <v>0</v>
      </c>
      <c r="T28">
        <f t="shared" si="0"/>
        <v>0</v>
      </c>
    </row>
    <row r="29" spans="1:20" x14ac:dyDescent="0.25">
      <c r="A29" s="260">
        <v>28</v>
      </c>
      <c r="B29" s="261" t="s">
        <v>624</v>
      </c>
      <c r="C29" s="261"/>
      <c r="D29" s="261"/>
      <c r="E29" s="261"/>
      <c r="F29" s="261"/>
      <c r="G29" s="261"/>
      <c r="H29" s="261"/>
      <c r="I29" s="261"/>
      <c r="J29" s="261"/>
      <c r="K29" s="261"/>
      <c r="L29" s="261"/>
      <c r="M29" s="261"/>
      <c r="N29" s="261"/>
      <c r="O29" s="261"/>
      <c r="P29" s="261"/>
      <c r="Q29" s="261"/>
      <c r="R29" s="260">
        <v>0</v>
      </c>
      <c r="T29">
        <f t="shared" si="0"/>
        <v>0</v>
      </c>
    </row>
    <row r="30" spans="1:20" x14ac:dyDescent="0.25">
      <c r="A30" s="260">
        <v>29</v>
      </c>
      <c r="B30" s="261" t="s">
        <v>627</v>
      </c>
      <c r="C30" s="261"/>
      <c r="D30" s="261"/>
      <c r="E30" s="261"/>
      <c r="F30" s="261"/>
      <c r="G30" s="261"/>
      <c r="H30" s="261"/>
      <c r="I30" s="261"/>
      <c r="J30" s="261"/>
      <c r="K30" s="261"/>
      <c r="L30" s="261"/>
      <c r="M30" s="261"/>
      <c r="N30" s="261"/>
      <c r="O30" s="261"/>
      <c r="P30" s="261"/>
      <c r="Q30" s="261"/>
      <c r="R30" s="260">
        <v>0</v>
      </c>
      <c r="T30">
        <f t="shared" si="0"/>
        <v>0</v>
      </c>
    </row>
    <row r="31" spans="1:20" x14ac:dyDescent="0.25">
      <c r="A31" s="260">
        <v>30</v>
      </c>
      <c r="B31" s="261" t="s">
        <v>625</v>
      </c>
      <c r="C31" s="261"/>
      <c r="D31" s="261"/>
      <c r="E31" s="261"/>
      <c r="F31" s="261"/>
      <c r="G31" s="261"/>
      <c r="H31" s="261"/>
      <c r="I31" s="261"/>
      <c r="J31" s="261"/>
      <c r="K31" s="261"/>
      <c r="L31" s="261"/>
      <c r="M31" s="261"/>
      <c r="N31" s="261"/>
      <c r="O31" s="261"/>
      <c r="P31" s="261"/>
      <c r="Q31" s="261"/>
      <c r="R31" s="260">
        <v>0</v>
      </c>
      <c r="T31">
        <f t="shared" si="0"/>
        <v>0</v>
      </c>
    </row>
    <row r="32" spans="1:20" x14ac:dyDescent="0.25">
      <c r="A32" s="260">
        <v>31</v>
      </c>
      <c r="B32" s="261" t="s">
        <v>34</v>
      </c>
      <c r="C32" s="261"/>
      <c r="D32" s="261"/>
      <c r="E32" s="261"/>
      <c r="F32" s="261"/>
      <c r="G32" s="261"/>
      <c r="H32" s="261"/>
      <c r="I32" s="261"/>
      <c r="J32" s="261"/>
      <c r="K32" s="261"/>
      <c r="L32" s="261"/>
      <c r="M32" s="261"/>
      <c r="N32" s="261"/>
      <c r="O32" s="261"/>
      <c r="P32" s="261"/>
      <c r="Q32" s="261"/>
      <c r="R32" s="260">
        <v>0</v>
      </c>
      <c r="T32">
        <f t="shared" si="0"/>
        <v>0</v>
      </c>
    </row>
    <row r="33" spans="1:20" x14ac:dyDescent="0.25">
      <c r="A33" s="260">
        <v>32</v>
      </c>
      <c r="B33" s="261" t="s">
        <v>45</v>
      </c>
      <c r="C33" s="261"/>
      <c r="D33" s="261"/>
      <c r="E33" s="261" t="s">
        <v>26</v>
      </c>
      <c r="F33" s="261"/>
      <c r="G33" s="261"/>
      <c r="H33" s="261"/>
      <c r="I33" s="261"/>
      <c r="J33" s="261"/>
      <c r="K33" s="261"/>
      <c r="L33" s="261"/>
      <c r="M33" s="261"/>
      <c r="N33" s="261"/>
      <c r="O33" s="261"/>
      <c r="P33" s="261"/>
      <c r="Q33" s="261"/>
      <c r="R33" s="262">
        <v>11</v>
      </c>
      <c r="T33">
        <f t="shared" si="0"/>
        <v>11</v>
      </c>
    </row>
    <row r="34" spans="1:20" x14ac:dyDescent="0.25">
      <c r="A34" s="260">
        <v>33</v>
      </c>
      <c r="B34" s="261" t="s">
        <v>630</v>
      </c>
      <c r="C34" s="261"/>
      <c r="D34" s="261"/>
      <c r="E34" s="261"/>
      <c r="F34" s="261"/>
      <c r="G34" s="261"/>
      <c r="H34" s="261"/>
      <c r="I34" s="261"/>
      <c r="J34" s="261"/>
      <c r="K34" s="261"/>
      <c r="L34" s="261"/>
      <c r="M34" s="261"/>
      <c r="N34" s="261"/>
      <c r="O34" s="261"/>
      <c r="P34" s="261"/>
      <c r="Q34" s="261"/>
      <c r="R34" s="260">
        <v>0</v>
      </c>
      <c r="T34">
        <f t="shared" si="0"/>
        <v>0</v>
      </c>
    </row>
    <row r="35" spans="1:20" x14ac:dyDescent="0.25">
      <c r="A35" s="260">
        <v>34</v>
      </c>
      <c r="B35" s="261" t="s">
        <v>628</v>
      </c>
      <c r="C35" s="261"/>
      <c r="D35" s="261"/>
      <c r="E35" s="261"/>
      <c r="F35" s="261" t="s">
        <v>26</v>
      </c>
      <c r="G35" s="261"/>
      <c r="H35" s="261"/>
      <c r="I35" s="261"/>
      <c r="J35" s="261"/>
      <c r="K35" s="261" t="s">
        <v>64</v>
      </c>
      <c r="L35" s="261" t="s">
        <v>26</v>
      </c>
      <c r="M35" s="261" t="s">
        <v>64</v>
      </c>
      <c r="N35" s="261" t="s">
        <v>84</v>
      </c>
      <c r="O35" s="261"/>
      <c r="P35" s="261"/>
      <c r="Q35" s="261" t="s">
        <v>26</v>
      </c>
      <c r="R35" s="262">
        <v>59</v>
      </c>
      <c r="T35">
        <f t="shared" si="0"/>
        <v>59</v>
      </c>
    </row>
    <row r="36" spans="1:20" x14ac:dyDescent="0.25">
      <c r="A36" s="260">
        <v>35</v>
      </c>
      <c r="B36" s="261" t="s">
        <v>629</v>
      </c>
      <c r="C36" s="261"/>
      <c r="D36" s="261"/>
      <c r="E36" s="261"/>
      <c r="F36" s="261"/>
      <c r="G36" s="261"/>
      <c r="H36" s="261"/>
      <c r="I36" s="261"/>
      <c r="J36" s="261"/>
      <c r="K36" s="261"/>
      <c r="L36" s="261"/>
      <c r="M36" s="261"/>
      <c r="N36" s="261"/>
      <c r="O36" s="261"/>
      <c r="P36" s="261"/>
      <c r="Q36" s="261"/>
      <c r="R36" s="260">
        <v>0</v>
      </c>
      <c r="T36">
        <f t="shared" si="0"/>
        <v>0</v>
      </c>
    </row>
    <row r="37" spans="1:20" x14ac:dyDescent="0.25">
      <c r="A37" s="260">
        <v>36</v>
      </c>
      <c r="B37" s="261" t="s">
        <v>631</v>
      </c>
      <c r="C37" s="261" t="s">
        <v>26</v>
      </c>
      <c r="D37" s="261"/>
      <c r="E37" s="261" t="s">
        <v>26</v>
      </c>
      <c r="F37" s="261"/>
      <c r="G37" s="261"/>
      <c r="H37" s="261"/>
      <c r="I37" s="261"/>
      <c r="J37" s="261"/>
      <c r="K37" s="261"/>
      <c r="L37" s="261"/>
      <c r="M37" s="261"/>
      <c r="N37" s="261"/>
      <c r="O37" s="261"/>
      <c r="P37" s="261"/>
      <c r="Q37" s="261"/>
      <c r="R37" s="262">
        <v>22</v>
      </c>
      <c r="T37">
        <f t="shared" si="0"/>
        <v>22</v>
      </c>
    </row>
    <row r="38" spans="1:20" x14ac:dyDescent="0.25">
      <c r="A38" s="260">
        <v>37</v>
      </c>
      <c r="B38" s="261" t="s">
        <v>632</v>
      </c>
      <c r="C38" s="261"/>
      <c r="D38" s="261"/>
      <c r="E38" s="261"/>
      <c r="F38" s="261"/>
      <c r="G38" s="261"/>
      <c r="H38" s="261"/>
      <c r="I38" s="261"/>
      <c r="J38" s="261" t="s">
        <v>85</v>
      </c>
      <c r="K38" s="261" t="s">
        <v>26</v>
      </c>
      <c r="L38" s="261" t="s">
        <v>26</v>
      </c>
      <c r="M38" s="261" t="s">
        <v>64</v>
      </c>
      <c r="N38" s="261"/>
      <c r="O38" s="261"/>
      <c r="P38" s="261"/>
      <c r="Q38" s="261"/>
      <c r="R38" s="262">
        <v>39</v>
      </c>
      <c r="T38">
        <f t="shared" si="0"/>
        <v>39</v>
      </c>
    </row>
    <row r="39" spans="1:20" x14ac:dyDescent="0.25">
      <c r="A39" s="260">
        <v>38</v>
      </c>
      <c r="B39" s="261" t="s">
        <v>633</v>
      </c>
      <c r="C39" s="261"/>
      <c r="D39" s="261"/>
      <c r="E39" s="261"/>
      <c r="F39" s="261"/>
      <c r="G39" s="261"/>
      <c r="H39" s="261"/>
      <c r="I39" s="261"/>
      <c r="J39" s="261"/>
      <c r="K39" s="261"/>
      <c r="L39" s="261"/>
      <c r="M39" s="261"/>
      <c r="N39" s="261"/>
      <c r="O39" s="261"/>
      <c r="P39" s="261"/>
      <c r="Q39" s="261"/>
      <c r="R39" s="260">
        <v>0</v>
      </c>
      <c r="T39">
        <f t="shared" si="0"/>
        <v>0</v>
      </c>
    </row>
    <row r="40" spans="1:20" x14ac:dyDescent="0.25">
      <c r="A40" s="260">
        <v>39</v>
      </c>
      <c r="B40" s="261" t="s">
        <v>634</v>
      </c>
      <c r="C40" s="261"/>
      <c r="D40" s="261"/>
      <c r="E40" s="261"/>
      <c r="F40" s="261"/>
      <c r="G40" s="261"/>
      <c r="H40" s="261"/>
      <c r="I40" s="261"/>
      <c r="J40" s="261"/>
      <c r="K40" s="261"/>
      <c r="L40" s="261"/>
      <c r="M40" s="261"/>
      <c r="N40" s="261"/>
      <c r="O40" s="261"/>
      <c r="P40" s="261"/>
      <c r="Q40" s="261"/>
      <c r="R40" s="260">
        <v>0</v>
      </c>
      <c r="T40">
        <f t="shared" si="0"/>
        <v>0</v>
      </c>
    </row>
    <row r="41" spans="1:20" x14ac:dyDescent="0.25">
      <c r="A41" s="260">
        <v>40</v>
      </c>
      <c r="B41" s="261" t="s">
        <v>636</v>
      </c>
      <c r="C41" s="261"/>
      <c r="D41" s="261"/>
      <c r="E41" s="261" t="s">
        <v>26</v>
      </c>
      <c r="F41" s="261"/>
      <c r="G41" s="261"/>
      <c r="H41" s="261"/>
      <c r="I41" s="261"/>
      <c r="J41" s="261" t="s">
        <v>26</v>
      </c>
      <c r="K41" s="261"/>
      <c r="L41" s="261" t="s">
        <v>26</v>
      </c>
      <c r="M41" s="261"/>
      <c r="N41" s="261"/>
      <c r="O41" s="261"/>
      <c r="P41" s="261"/>
      <c r="Q41" s="261"/>
      <c r="R41" s="262">
        <v>33</v>
      </c>
      <c r="T41">
        <f t="shared" si="0"/>
        <v>33</v>
      </c>
    </row>
    <row r="42" spans="1:20" x14ac:dyDescent="0.25">
      <c r="A42" s="260">
        <v>41</v>
      </c>
      <c r="B42" s="261" t="s">
        <v>637</v>
      </c>
      <c r="C42" s="261"/>
      <c r="D42" s="261" t="s">
        <v>26</v>
      </c>
      <c r="E42" s="261"/>
      <c r="F42" s="261"/>
      <c r="G42" s="261"/>
      <c r="H42" s="261"/>
      <c r="I42" s="261"/>
      <c r="J42" s="261"/>
      <c r="K42" s="261"/>
      <c r="L42" s="261"/>
      <c r="M42" s="261"/>
      <c r="N42" s="261"/>
      <c r="O42" s="261"/>
      <c r="P42" s="261"/>
      <c r="Q42" s="261"/>
      <c r="R42" s="262">
        <v>11</v>
      </c>
      <c r="T42">
        <f t="shared" si="0"/>
        <v>11</v>
      </c>
    </row>
    <row r="43" spans="1:20" x14ac:dyDescent="0.25">
      <c r="A43" s="260">
        <v>42</v>
      </c>
      <c r="B43" s="261" t="s">
        <v>640</v>
      </c>
      <c r="C43" s="261"/>
      <c r="D43" s="261"/>
      <c r="E43" s="261"/>
      <c r="F43" s="261"/>
      <c r="G43" s="261"/>
      <c r="H43" s="261"/>
      <c r="I43" s="261"/>
      <c r="J43" s="261"/>
      <c r="K43" s="261"/>
      <c r="L43" s="261"/>
      <c r="M43" s="261"/>
      <c r="N43" s="261"/>
      <c r="O43" s="261"/>
      <c r="P43" s="261"/>
      <c r="Q43" s="261"/>
      <c r="R43" s="260">
        <v>0</v>
      </c>
      <c r="T43">
        <f t="shared" si="0"/>
        <v>0</v>
      </c>
    </row>
    <row r="44" spans="1:20" x14ac:dyDescent="0.25">
      <c r="A44" s="260">
        <v>43</v>
      </c>
      <c r="B44" s="261" t="s">
        <v>638</v>
      </c>
      <c r="C44" s="261"/>
      <c r="D44" s="261"/>
      <c r="E44" s="261"/>
      <c r="F44" s="261"/>
      <c r="G44" s="261"/>
      <c r="H44" s="261"/>
      <c r="I44" s="261"/>
      <c r="J44" s="261"/>
      <c r="K44" s="261"/>
      <c r="L44" s="261"/>
      <c r="M44" s="261"/>
      <c r="N44" s="261"/>
      <c r="O44" s="261"/>
      <c r="P44" s="261"/>
      <c r="Q44" s="261"/>
      <c r="R44" s="260">
        <v>0</v>
      </c>
      <c r="T44">
        <f t="shared" si="0"/>
        <v>0</v>
      </c>
    </row>
    <row r="45" spans="1:20" x14ac:dyDescent="0.25">
      <c r="A45" s="260">
        <v>44</v>
      </c>
      <c r="B45" s="261" t="s">
        <v>635</v>
      </c>
      <c r="C45" s="261"/>
      <c r="D45" s="261"/>
      <c r="E45" s="261"/>
      <c r="F45" s="261"/>
      <c r="G45" s="261"/>
      <c r="H45" s="261"/>
      <c r="I45" s="261"/>
      <c r="J45" s="261"/>
      <c r="K45" s="261"/>
      <c r="L45" s="261"/>
      <c r="M45" s="261"/>
      <c r="N45" s="261"/>
      <c r="O45" s="261"/>
      <c r="P45" s="261"/>
      <c r="Q45" s="261"/>
      <c r="R45" s="260">
        <v>0</v>
      </c>
      <c r="T45">
        <f t="shared" si="0"/>
        <v>0</v>
      </c>
    </row>
    <row r="46" spans="1:20" x14ac:dyDescent="0.25">
      <c r="A46" s="260">
        <v>45</v>
      </c>
      <c r="B46" s="261" t="s">
        <v>641</v>
      </c>
      <c r="C46" s="261"/>
      <c r="D46" s="261"/>
      <c r="E46" s="261"/>
      <c r="F46" s="261"/>
      <c r="G46" s="261"/>
      <c r="H46" s="261"/>
      <c r="I46" s="261"/>
      <c r="J46" s="261"/>
      <c r="K46" s="261"/>
      <c r="L46" s="261"/>
      <c r="M46" s="261"/>
      <c r="N46" s="261"/>
      <c r="O46" s="261"/>
      <c r="P46" s="261"/>
      <c r="Q46" s="261"/>
      <c r="R46" s="260">
        <v>0</v>
      </c>
      <c r="T46">
        <f t="shared" si="0"/>
        <v>0</v>
      </c>
    </row>
    <row r="47" spans="1:20" x14ac:dyDescent="0.25">
      <c r="A47" s="260">
        <v>46</v>
      </c>
      <c r="B47" s="261" t="s">
        <v>649</v>
      </c>
      <c r="C47" s="261"/>
      <c r="D47" s="261"/>
      <c r="E47" s="261"/>
      <c r="F47" s="261"/>
      <c r="G47" s="261"/>
      <c r="H47" s="261"/>
      <c r="I47" s="261"/>
      <c r="J47" s="261"/>
      <c r="K47" s="261"/>
      <c r="L47" s="261"/>
      <c r="M47" s="261"/>
      <c r="N47" s="261"/>
      <c r="O47" s="261"/>
      <c r="P47" s="261"/>
      <c r="Q47" s="261"/>
      <c r="R47" s="260">
        <v>0</v>
      </c>
      <c r="T47">
        <f t="shared" si="0"/>
        <v>0</v>
      </c>
    </row>
    <row r="48" spans="1:20" x14ac:dyDescent="0.25">
      <c r="A48" s="260">
        <v>47</v>
      </c>
      <c r="B48" s="261" t="s">
        <v>642</v>
      </c>
      <c r="C48" s="261"/>
      <c r="D48" s="261"/>
      <c r="E48" s="261"/>
      <c r="F48" s="261"/>
      <c r="G48" s="261"/>
      <c r="H48" s="261"/>
      <c r="I48" s="261"/>
      <c r="J48" s="261"/>
      <c r="K48" s="261"/>
      <c r="L48" s="261"/>
      <c r="M48" s="261"/>
      <c r="N48" s="261"/>
      <c r="O48" s="261"/>
      <c r="P48" s="261"/>
      <c r="Q48" s="261"/>
      <c r="R48" s="260">
        <v>0</v>
      </c>
      <c r="T48">
        <f t="shared" si="0"/>
        <v>0</v>
      </c>
    </row>
    <row r="49" spans="1:20" x14ac:dyDescent="0.25">
      <c r="A49" s="260">
        <v>48</v>
      </c>
      <c r="B49" s="261" t="s">
        <v>643</v>
      </c>
      <c r="C49" s="261"/>
      <c r="D49" s="261"/>
      <c r="E49" s="261"/>
      <c r="F49" s="261"/>
      <c r="G49" s="261"/>
      <c r="H49" s="261"/>
      <c r="I49" s="261"/>
      <c r="J49" s="261"/>
      <c r="K49" s="261"/>
      <c r="L49" s="261"/>
      <c r="M49" s="261"/>
      <c r="N49" s="261"/>
      <c r="O49" s="261"/>
      <c r="P49" s="261"/>
      <c r="Q49" s="261"/>
      <c r="R49" s="260">
        <v>0</v>
      </c>
      <c r="T49">
        <f t="shared" si="0"/>
        <v>0</v>
      </c>
    </row>
    <row r="50" spans="1:20" x14ac:dyDescent="0.25">
      <c r="A50" s="260">
        <v>49</v>
      </c>
      <c r="B50" s="261" t="s">
        <v>644</v>
      </c>
      <c r="C50" s="261"/>
      <c r="D50" s="261"/>
      <c r="E50" s="261"/>
      <c r="F50" s="261"/>
      <c r="G50" s="261"/>
      <c r="H50" s="261"/>
      <c r="I50" s="261"/>
      <c r="J50" s="261"/>
      <c r="K50" s="261" t="s">
        <v>63</v>
      </c>
      <c r="L50" s="261" t="s">
        <v>26</v>
      </c>
      <c r="M50" s="261"/>
      <c r="N50" s="261"/>
      <c r="O50" s="261"/>
      <c r="P50" s="261"/>
      <c r="Q50" s="261"/>
      <c r="R50" s="262">
        <v>15</v>
      </c>
      <c r="T50">
        <f t="shared" si="0"/>
        <v>15</v>
      </c>
    </row>
    <row r="51" spans="1:20" x14ac:dyDescent="0.25">
      <c r="A51" s="260">
        <v>50</v>
      </c>
      <c r="B51" s="261" t="s">
        <v>646</v>
      </c>
      <c r="C51" s="261"/>
      <c r="D51" s="261"/>
      <c r="E51" s="261"/>
      <c r="F51" s="261"/>
      <c r="G51" s="261"/>
      <c r="H51" s="261"/>
      <c r="I51" s="261"/>
      <c r="J51" s="261"/>
      <c r="K51" s="261"/>
      <c r="L51" s="261"/>
      <c r="M51" s="261"/>
      <c r="N51" s="261"/>
      <c r="O51" s="261"/>
      <c r="P51" s="261"/>
      <c r="Q51" s="261"/>
      <c r="R51" s="260">
        <v>0</v>
      </c>
      <c r="T51">
        <f t="shared" si="0"/>
        <v>0</v>
      </c>
    </row>
    <row r="52" spans="1:20" x14ac:dyDescent="0.25">
      <c r="A52" s="260">
        <v>51</v>
      </c>
      <c r="B52" s="261" t="s">
        <v>647</v>
      </c>
      <c r="C52" s="261"/>
      <c r="D52" s="261"/>
      <c r="E52" s="261"/>
      <c r="F52" s="261"/>
      <c r="G52" s="261"/>
      <c r="H52" s="261"/>
      <c r="I52" s="261"/>
      <c r="J52" s="261"/>
      <c r="K52" s="261"/>
      <c r="L52" s="261"/>
      <c r="M52" s="261"/>
      <c r="N52" s="261"/>
      <c r="O52" s="261"/>
      <c r="P52" s="261"/>
      <c r="Q52" s="261"/>
      <c r="R52" s="260">
        <v>0</v>
      </c>
      <c r="T52">
        <f t="shared" si="0"/>
        <v>0</v>
      </c>
    </row>
    <row r="53" spans="1:20" x14ac:dyDescent="0.25">
      <c r="A53" s="260">
        <v>52</v>
      </c>
      <c r="B53" s="261" t="s">
        <v>652</v>
      </c>
      <c r="C53" s="261"/>
      <c r="D53" s="261" t="s">
        <v>65</v>
      </c>
      <c r="E53" s="261"/>
      <c r="F53" s="261"/>
      <c r="G53" s="261"/>
      <c r="H53" s="261"/>
      <c r="I53" s="261"/>
      <c r="J53" s="261" t="s">
        <v>65</v>
      </c>
      <c r="K53" s="261"/>
      <c r="L53" s="261"/>
      <c r="M53" s="261"/>
      <c r="N53" s="261"/>
      <c r="O53" s="261"/>
      <c r="P53" s="261"/>
      <c r="Q53" s="261"/>
      <c r="R53" s="262">
        <v>24</v>
      </c>
      <c r="T53">
        <f t="shared" si="0"/>
        <v>24</v>
      </c>
    </row>
    <row r="54" spans="1:20" x14ac:dyDescent="0.25">
      <c r="A54" s="260">
        <v>53</v>
      </c>
      <c r="B54" s="261" t="s">
        <v>653</v>
      </c>
      <c r="C54" s="261" t="s">
        <v>26</v>
      </c>
      <c r="D54" s="261"/>
      <c r="E54" s="261" t="s">
        <v>26</v>
      </c>
      <c r="F54" s="261"/>
      <c r="G54" s="261"/>
      <c r="H54" s="261"/>
      <c r="I54" s="261"/>
      <c r="J54" s="261"/>
      <c r="K54" s="261"/>
      <c r="L54" s="261"/>
      <c r="M54" s="261"/>
      <c r="N54" s="261"/>
      <c r="O54" s="261"/>
      <c r="P54" s="261"/>
      <c r="Q54" s="261"/>
      <c r="R54" s="262">
        <v>22</v>
      </c>
      <c r="T54">
        <f t="shared" si="0"/>
        <v>22</v>
      </c>
    </row>
    <row r="55" spans="1:20" x14ac:dyDescent="0.25">
      <c r="A55" s="260">
        <v>54</v>
      </c>
      <c r="B55" s="261" t="s">
        <v>654</v>
      </c>
      <c r="C55" s="261"/>
      <c r="D55" s="261"/>
      <c r="E55" s="261"/>
      <c r="F55" s="261"/>
      <c r="G55" s="261"/>
      <c r="H55" s="261"/>
      <c r="I55" s="261"/>
      <c r="J55" s="261"/>
      <c r="K55" s="261"/>
      <c r="L55" s="261"/>
      <c r="M55" s="261"/>
      <c r="N55" s="261"/>
      <c r="O55" s="261"/>
      <c r="P55" s="261"/>
      <c r="Q55" s="261"/>
      <c r="R55" s="260">
        <v>0</v>
      </c>
      <c r="T55">
        <f t="shared" si="0"/>
        <v>0</v>
      </c>
    </row>
    <row r="56" spans="1:20" x14ac:dyDescent="0.25">
      <c r="A56" s="260">
        <v>55</v>
      </c>
      <c r="B56" s="261" t="s">
        <v>655</v>
      </c>
      <c r="C56" s="261"/>
      <c r="D56" s="261"/>
      <c r="E56" s="261"/>
      <c r="F56" s="261"/>
      <c r="G56" s="261"/>
      <c r="H56" s="261"/>
      <c r="I56" s="261"/>
      <c r="J56" s="261" t="s">
        <v>26</v>
      </c>
      <c r="K56" s="261"/>
      <c r="L56" s="261"/>
      <c r="M56" s="261"/>
      <c r="N56" s="261"/>
      <c r="O56" s="261"/>
      <c r="P56" s="261"/>
      <c r="Q56" s="261"/>
      <c r="R56" s="262">
        <v>11</v>
      </c>
      <c r="T56">
        <f t="shared" si="0"/>
        <v>11</v>
      </c>
    </row>
    <row r="57" spans="1:20" x14ac:dyDescent="0.25">
      <c r="A57" s="260">
        <v>56</v>
      </c>
      <c r="B57" s="261" t="s">
        <v>656</v>
      </c>
      <c r="C57" s="261"/>
      <c r="D57" s="261"/>
      <c r="E57" s="261"/>
      <c r="F57" s="261"/>
      <c r="G57" s="261"/>
      <c r="H57" s="261"/>
      <c r="I57" s="261"/>
      <c r="J57" s="261"/>
      <c r="K57" s="261"/>
      <c r="L57" s="261"/>
      <c r="M57" s="261"/>
      <c r="N57" s="261"/>
      <c r="O57" s="261"/>
      <c r="P57" s="261"/>
      <c r="Q57" s="261"/>
      <c r="R57" s="260">
        <v>0</v>
      </c>
      <c r="T57">
        <f t="shared" si="0"/>
        <v>0</v>
      </c>
    </row>
    <row r="58" spans="1:20" x14ac:dyDescent="0.25">
      <c r="A58" s="260">
        <v>57</v>
      </c>
      <c r="B58" s="261" t="s">
        <v>657</v>
      </c>
      <c r="C58" s="261"/>
      <c r="D58" s="261"/>
      <c r="E58" s="261"/>
      <c r="F58" s="261"/>
      <c r="G58" s="261"/>
      <c r="H58" s="261"/>
      <c r="I58" s="261"/>
      <c r="J58" s="261"/>
      <c r="K58" s="261"/>
      <c r="L58" s="261"/>
      <c r="M58" s="261"/>
      <c r="N58" s="261"/>
      <c r="O58" s="261"/>
      <c r="P58" s="261"/>
      <c r="Q58" s="261"/>
      <c r="R58" s="260">
        <v>0</v>
      </c>
      <c r="T58">
        <f t="shared" si="0"/>
        <v>0</v>
      </c>
    </row>
    <row r="59" spans="1:20" x14ac:dyDescent="0.25">
      <c r="A59" s="260">
        <v>58</v>
      </c>
      <c r="B59" s="261" t="s">
        <v>658</v>
      </c>
      <c r="C59" s="261"/>
      <c r="D59" s="261"/>
      <c r="E59" s="261"/>
      <c r="F59" s="261"/>
      <c r="G59" s="261"/>
      <c r="H59" s="261"/>
      <c r="I59" s="261"/>
      <c r="J59" s="261"/>
      <c r="K59" s="261"/>
      <c r="L59" s="261"/>
      <c r="M59" s="261"/>
      <c r="N59" s="261"/>
      <c r="O59" s="261"/>
      <c r="P59" s="261"/>
      <c r="Q59" s="261"/>
      <c r="R59" s="260">
        <v>0</v>
      </c>
      <c r="T59">
        <f t="shared" si="0"/>
        <v>0</v>
      </c>
    </row>
    <row r="60" spans="1:20" x14ac:dyDescent="0.25">
      <c r="A60" s="260">
        <v>59</v>
      </c>
      <c r="B60" s="261" t="s">
        <v>659</v>
      </c>
      <c r="C60" s="261"/>
      <c r="D60" s="261"/>
      <c r="E60" s="261"/>
      <c r="F60" s="261"/>
      <c r="G60" s="261"/>
      <c r="H60" s="261"/>
      <c r="I60" s="261"/>
      <c r="J60" s="261"/>
      <c r="K60" s="261"/>
      <c r="L60" s="261"/>
      <c r="M60" s="261"/>
      <c r="N60" s="261"/>
      <c r="O60" s="261"/>
      <c r="P60" s="261"/>
      <c r="Q60" s="261"/>
      <c r="R60" s="260">
        <v>0</v>
      </c>
      <c r="T60">
        <f t="shared" si="0"/>
        <v>0</v>
      </c>
    </row>
    <row r="61" spans="1:20" x14ac:dyDescent="0.25">
      <c r="A61" s="260">
        <v>60</v>
      </c>
      <c r="B61" s="261" t="s">
        <v>660</v>
      </c>
      <c r="C61" s="261"/>
      <c r="D61" s="261"/>
      <c r="E61" s="261"/>
      <c r="F61" s="261"/>
      <c r="G61" s="261"/>
      <c r="H61" s="261"/>
      <c r="I61" s="261"/>
      <c r="J61" s="261"/>
      <c r="K61" s="261"/>
      <c r="L61" s="261"/>
      <c r="M61" s="261"/>
      <c r="N61" s="261"/>
      <c r="O61" s="261"/>
      <c r="P61" s="261"/>
      <c r="Q61" s="261"/>
      <c r="R61" s="260">
        <v>0</v>
      </c>
      <c r="T61">
        <f t="shared" si="0"/>
        <v>0</v>
      </c>
    </row>
    <row r="62" spans="1:20" x14ac:dyDescent="0.25">
      <c r="A62" s="260">
        <v>61</v>
      </c>
      <c r="B62" s="261" t="s">
        <v>661</v>
      </c>
      <c r="C62" s="261"/>
      <c r="D62" s="261"/>
      <c r="E62" s="261"/>
      <c r="F62" s="261"/>
      <c r="G62" s="261"/>
      <c r="H62" s="261"/>
      <c r="I62" s="261"/>
      <c r="J62" s="261" t="s">
        <v>26</v>
      </c>
      <c r="K62" s="261"/>
      <c r="L62" s="261"/>
      <c r="M62" s="261"/>
      <c r="N62" s="261"/>
      <c r="O62" s="261"/>
      <c r="P62" s="261"/>
      <c r="Q62" s="261"/>
      <c r="R62" s="262">
        <v>11</v>
      </c>
      <c r="T62">
        <f t="shared" si="0"/>
        <v>11</v>
      </c>
    </row>
    <row r="63" spans="1:20" x14ac:dyDescent="0.25">
      <c r="A63" s="260">
        <v>62</v>
      </c>
      <c r="B63" s="261" t="s">
        <v>662</v>
      </c>
      <c r="C63" s="261"/>
      <c r="D63" s="261"/>
      <c r="E63" s="261"/>
      <c r="F63" s="261" t="s">
        <v>26</v>
      </c>
      <c r="G63" s="261"/>
      <c r="H63" s="261"/>
      <c r="I63" s="261"/>
      <c r="J63" s="261" t="s">
        <v>26</v>
      </c>
      <c r="K63" s="261" t="s">
        <v>26</v>
      </c>
      <c r="L63" s="261" t="s">
        <v>26</v>
      </c>
      <c r="M63" s="261"/>
      <c r="N63" s="261"/>
      <c r="O63" s="261"/>
      <c r="P63" s="261"/>
      <c r="Q63" s="261"/>
      <c r="R63" s="262">
        <v>44</v>
      </c>
      <c r="T63">
        <f t="shared" si="0"/>
        <v>44</v>
      </c>
    </row>
    <row r="64" spans="1:20" x14ac:dyDescent="0.25">
      <c r="A64" s="260">
        <v>63</v>
      </c>
      <c r="B64" s="261" t="s">
        <v>668</v>
      </c>
      <c r="C64" s="261"/>
      <c r="D64" s="261"/>
      <c r="E64" s="261"/>
      <c r="F64" s="261"/>
      <c r="G64" s="261"/>
      <c r="H64" s="261"/>
      <c r="I64" s="261"/>
      <c r="J64" s="261"/>
      <c r="K64" s="261"/>
      <c r="L64" s="261" t="s">
        <v>26</v>
      </c>
      <c r="M64" s="261"/>
      <c r="N64" s="261"/>
      <c r="O64" s="261"/>
      <c r="P64" s="261"/>
      <c r="Q64" s="261"/>
      <c r="R64" s="262">
        <v>11</v>
      </c>
      <c r="T64">
        <f t="shared" si="0"/>
        <v>11</v>
      </c>
    </row>
    <row r="65" spans="1:18" x14ac:dyDescent="0.25">
      <c r="A65" s="259"/>
      <c r="B65" s="259"/>
      <c r="C65" s="259"/>
      <c r="D65" s="259"/>
      <c r="E65" s="259"/>
      <c r="F65" s="259"/>
      <c r="G65" s="259"/>
      <c r="H65" s="259"/>
      <c r="I65" s="259"/>
      <c r="J65" s="259"/>
      <c r="K65" s="259"/>
      <c r="L65" s="259"/>
      <c r="M65" s="259"/>
      <c r="N65" s="259"/>
      <c r="O65" s="259"/>
      <c r="P65" s="259"/>
      <c r="Q65" s="259"/>
      <c r="R65" s="263">
        <v>646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T65"/>
  <sheetViews>
    <sheetView zoomScale="85" zoomScaleNormal="85" workbookViewId="0">
      <selection activeCell="T2" sqref="T2:T64"/>
    </sheetView>
  </sheetViews>
  <sheetFormatPr defaultRowHeight="15" x14ac:dyDescent="0.25"/>
  <sheetData>
    <row r="1" spans="1:20" x14ac:dyDescent="0.25">
      <c r="A1" s="264" t="s">
        <v>1</v>
      </c>
      <c r="B1" s="264" t="s">
        <v>6</v>
      </c>
      <c r="C1" s="264" t="s">
        <v>46</v>
      </c>
      <c r="D1" s="264" t="s">
        <v>47</v>
      </c>
      <c r="E1" s="264" t="s">
        <v>48</v>
      </c>
      <c r="F1" s="264" t="s">
        <v>49</v>
      </c>
      <c r="G1" s="264" t="s">
        <v>50</v>
      </c>
      <c r="H1" s="264" t="s">
        <v>51</v>
      </c>
      <c r="I1" s="264" t="s">
        <v>52</v>
      </c>
      <c r="J1" s="264" t="s">
        <v>53</v>
      </c>
      <c r="K1" s="264" t="s">
        <v>54</v>
      </c>
      <c r="L1" s="264" t="s">
        <v>55</v>
      </c>
      <c r="M1" s="264" t="s">
        <v>56</v>
      </c>
      <c r="N1" s="264" t="s">
        <v>57</v>
      </c>
      <c r="O1" s="264" t="s">
        <v>58</v>
      </c>
      <c r="P1" s="264" t="s">
        <v>59</v>
      </c>
      <c r="Q1" s="264" t="s">
        <v>667</v>
      </c>
      <c r="R1" s="264" t="s">
        <v>2</v>
      </c>
    </row>
    <row r="2" spans="1:20" x14ac:dyDescent="0.25">
      <c r="A2" s="265">
        <v>1</v>
      </c>
      <c r="B2" s="266" t="s">
        <v>10</v>
      </c>
      <c r="C2" s="266"/>
      <c r="D2" s="266"/>
      <c r="E2" s="266"/>
      <c r="F2" s="266"/>
      <c r="G2" s="266"/>
      <c r="H2" s="266"/>
      <c r="I2" s="266"/>
      <c r="J2" s="266"/>
      <c r="K2" s="266"/>
      <c r="L2" s="266"/>
      <c r="M2" s="266"/>
      <c r="N2" s="266"/>
      <c r="O2" s="266"/>
      <c r="P2" s="266"/>
      <c r="Q2" s="266"/>
      <c r="R2" s="265">
        <v>0</v>
      </c>
      <c r="T2">
        <f t="shared" ref="T2:T64" si="0">C2+D2+E2+F2+G2+H2+I2+J2+K2+L2+M2+N2+O2+P2+Q2</f>
        <v>0</v>
      </c>
    </row>
    <row r="3" spans="1:20" x14ac:dyDescent="0.25">
      <c r="A3" s="265">
        <v>2</v>
      </c>
      <c r="B3" s="266" t="s">
        <v>11</v>
      </c>
      <c r="C3" s="266"/>
      <c r="D3" s="266"/>
      <c r="E3" s="266"/>
      <c r="F3" s="266"/>
      <c r="G3" s="266"/>
      <c r="H3" s="266"/>
      <c r="I3" s="266"/>
      <c r="J3" s="266"/>
      <c r="K3" s="266"/>
      <c r="L3" s="266"/>
      <c r="M3" s="266"/>
      <c r="N3" s="266"/>
      <c r="O3" s="266"/>
      <c r="P3" s="266"/>
      <c r="Q3" s="266"/>
      <c r="R3" s="265">
        <v>0</v>
      </c>
      <c r="T3">
        <f t="shared" si="0"/>
        <v>0</v>
      </c>
    </row>
    <row r="4" spans="1:20" x14ac:dyDescent="0.25">
      <c r="A4" s="265">
        <v>3</v>
      </c>
      <c r="B4" s="266" t="s">
        <v>12</v>
      </c>
      <c r="C4" s="266"/>
      <c r="D4" s="266"/>
      <c r="E4" s="266"/>
      <c r="F4" s="266"/>
      <c r="G4" s="266"/>
      <c r="H4" s="266"/>
      <c r="I4" s="266"/>
      <c r="J4" s="266"/>
      <c r="K4" s="266"/>
      <c r="L4" s="266"/>
      <c r="M4" s="266"/>
      <c r="N4" s="266"/>
      <c r="O4" s="266"/>
      <c r="P4" s="266"/>
      <c r="Q4" s="266"/>
      <c r="R4" s="265">
        <v>0</v>
      </c>
      <c r="T4">
        <f t="shared" si="0"/>
        <v>0</v>
      </c>
    </row>
    <row r="5" spans="1:20" x14ac:dyDescent="0.25">
      <c r="A5" s="265">
        <v>4</v>
      </c>
      <c r="B5" s="266" t="s">
        <v>651</v>
      </c>
      <c r="C5" s="266"/>
      <c r="D5" s="266"/>
      <c r="E5" s="266"/>
      <c r="F5" s="266"/>
      <c r="G5" s="266"/>
      <c r="H5" s="266"/>
      <c r="I5" s="266"/>
      <c r="J5" s="266"/>
      <c r="K5" s="266"/>
      <c r="L5" s="266"/>
      <c r="M5" s="266" t="s">
        <v>26</v>
      </c>
      <c r="N5" s="266"/>
      <c r="O5" s="266"/>
      <c r="P5" s="266"/>
      <c r="Q5" s="266"/>
      <c r="R5" s="267">
        <v>11</v>
      </c>
      <c r="T5">
        <f t="shared" si="0"/>
        <v>11</v>
      </c>
    </row>
    <row r="6" spans="1:20" x14ac:dyDescent="0.25">
      <c r="A6" s="265">
        <v>5</v>
      </c>
      <c r="B6" s="266" t="s">
        <v>14</v>
      </c>
      <c r="C6" s="266"/>
      <c r="D6" s="266"/>
      <c r="E6" s="266"/>
      <c r="F6" s="266"/>
      <c r="G6" s="266"/>
      <c r="H6" s="266"/>
      <c r="I6" s="266"/>
      <c r="J6" s="266"/>
      <c r="K6" s="266"/>
      <c r="L6" s="266"/>
      <c r="M6" s="266" t="s">
        <v>26</v>
      </c>
      <c r="N6" s="266" t="s">
        <v>84</v>
      </c>
      <c r="O6" s="266"/>
      <c r="P6" s="266"/>
      <c r="Q6" s="266"/>
      <c r="R6" s="267">
        <v>17</v>
      </c>
      <c r="T6">
        <f t="shared" si="0"/>
        <v>17</v>
      </c>
    </row>
    <row r="7" spans="1:20" x14ac:dyDescent="0.25">
      <c r="A7" s="265">
        <v>6</v>
      </c>
      <c r="B7" s="266" t="s">
        <v>15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6"/>
      <c r="N7" s="266"/>
      <c r="O7" s="266"/>
      <c r="P7" s="266"/>
      <c r="Q7" s="266"/>
      <c r="R7" s="265">
        <v>0</v>
      </c>
      <c r="T7">
        <f t="shared" si="0"/>
        <v>0</v>
      </c>
    </row>
    <row r="8" spans="1:20" x14ac:dyDescent="0.25">
      <c r="A8" s="265">
        <v>7</v>
      </c>
      <c r="B8" s="266" t="s">
        <v>16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266"/>
      <c r="N8" s="266"/>
      <c r="O8" s="266"/>
      <c r="P8" s="266"/>
      <c r="Q8" s="266"/>
      <c r="R8" s="265">
        <v>0</v>
      </c>
      <c r="T8">
        <f t="shared" si="0"/>
        <v>0</v>
      </c>
    </row>
    <row r="9" spans="1:20" x14ac:dyDescent="0.25">
      <c r="A9" s="265">
        <v>8</v>
      </c>
      <c r="B9" s="266" t="s">
        <v>4</v>
      </c>
      <c r="C9" s="266"/>
      <c r="D9" s="266"/>
      <c r="E9" s="266"/>
      <c r="F9" s="266"/>
      <c r="G9" s="266"/>
      <c r="H9" s="266"/>
      <c r="I9" s="266"/>
      <c r="J9" s="266"/>
      <c r="K9" s="266"/>
      <c r="L9" s="266"/>
      <c r="M9" s="266"/>
      <c r="N9" s="266"/>
      <c r="O9" s="266"/>
      <c r="P9" s="266"/>
      <c r="Q9" s="266"/>
      <c r="R9" s="265">
        <v>0</v>
      </c>
      <c r="T9">
        <f t="shared" si="0"/>
        <v>0</v>
      </c>
    </row>
    <row r="10" spans="1:20" x14ac:dyDescent="0.25">
      <c r="A10" s="265">
        <v>9</v>
      </c>
      <c r="B10" s="266" t="s">
        <v>5</v>
      </c>
      <c r="C10" s="266"/>
      <c r="D10" s="266"/>
      <c r="E10" s="266"/>
      <c r="F10" s="266"/>
      <c r="G10" s="266"/>
      <c r="H10" s="266"/>
      <c r="I10" s="266"/>
      <c r="J10" s="266"/>
      <c r="K10" s="266"/>
      <c r="L10" s="266"/>
      <c r="M10" s="266"/>
      <c r="N10" s="266"/>
      <c r="O10" s="266"/>
      <c r="P10" s="266"/>
      <c r="Q10" s="266"/>
      <c r="R10" s="265">
        <v>0</v>
      </c>
      <c r="T10">
        <f t="shared" si="0"/>
        <v>0</v>
      </c>
    </row>
    <row r="11" spans="1:20" x14ac:dyDescent="0.25">
      <c r="A11" s="265">
        <v>10</v>
      </c>
      <c r="B11" s="266" t="s">
        <v>38</v>
      </c>
      <c r="C11" s="266"/>
      <c r="D11" s="266"/>
      <c r="E11" s="266"/>
      <c r="F11" s="266"/>
      <c r="G11" s="266"/>
      <c r="H11" s="266"/>
      <c r="I11" s="266"/>
      <c r="J11" s="266"/>
      <c r="K11" s="266"/>
      <c r="L11" s="266"/>
      <c r="M11" s="266"/>
      <c r="N11" s="266"/>
      <c r="O11" s="266"/>
      <c r="P11" s="266"/>
      <c r="Q11" s="266"/>
      <c r="R11" s="265">
        <v>0</v>
      </c>
      <c r="T11">
        <f t="shared" si="0"/>
        <v>0</v>
      </c>
    </row>
    <row r="12" spans="1:20" x14ac:dyDescent="0.25">
      <c r="A12" s="265">
        <v>11</v>
      </c>
      <c r="B12" s="266" t="s">
        <v>43</v>
      </c>
      <c r="C12" s="266"/>
      <c r="D12" s="266"/>
      <c r="E12" s="266"/>
      <c r="F12" s="266"/>
      <c r="G12" s="266"/>
      <c r="H12" s="266"/>
      <c r="I12" s="266"/>
      <c r="J12" s="266"/>
      <c r="K12" s="266"/>
      <c r="L12" s="266"/>
      <c r="M12" s="266" t="s">
        <v>64</v>
      </c>
      <c r="N12" s="266" t="s">
        <v>84</v>
      </c>
      <c r="O12" s="266"/>
      <c r="P12" s="266"/>
      <c r="Q12" s="266"/>
      <c r="R12" s="267">
        <v>16</v>
      </c>
      <c r="T12">
        <f t="shared" si="0"/>
        <v>16</v>
      </c>
    </row>
    <row r="13" spans="1:20" x14ac:dyDescent="0.25">
      <c r="A13" s="265">
        <v>12</v>
      </c>
      <c r="B13" s="266" t="s">
        <v>639</v>
      </c>
      <c r="C13" s="266"/>
      <c r="D13" s="266"/>
      <c r="E13" s="266"/>
      <c r="F13" s="266"/>
      <c r="G13" s="266"/>
      <c r="H13" s="266"/>
      <c r="I13" s="266"/>
      <c r="J13" s="266"/>
      <c r="K13" s="266"/>
      <c r="L13" s="266"/>
      <c r="M13" s="266"/>
      <c r="N13" s="266"/>
      <c r="O13" s="266"/>
      <c r="P13" s="266"/>
      <c r="Q13" s="266"/>
      <c r="R13" s="265">
        <v>0</v>
      </c>
      <c r="T13">
        <f t="shared" si="0"/>
        <v>0</v>
      </c>
    </row>
    <row r="14" spans="1:20" x14ac:dyDescent="0.25">
      <c r="A14" s="265">
        <v>13</v>
      </c>
      <c r="B14" s="266" t="s">
        <v>87</v>
      </c>
      <c r="C14" s="266"/>
      <c r="D14" s="266"/>
      <c r="E14" s="266"/>
      <c r="F14" s="266"/>
      <c r="G14" s="266"/>
      <c r="H14" s="266"/>
      <c r="I14" s="266"/>
      <c r="J14" s="266"/>
      <c r="K14" s="266"/>
      <c r="L14" s="266"/>
      <c r="M14" s="266"/>
      <c r="N14" s="266"/>
      <c r="O14" s="266"/>
      <c r="P14" s="266"/>
      <c r="Q14" s="266"/>
      <c r="R14" s="265">
        <v>0</v>
      </c>
      <c r="T14">
        <f t="shared" si="0"/>
        <v>0</v>
      </c>
    </row>
    <row r="15" spans="1:20" x14ac:dyDescent="0.25">
      <c r="A15" s="265">
        <v>14</v>
      </c>
      <c r="B15" s="266" t="s">
        <v>95</v>
      </c>
      <c r="C15" s="266"/>
      <c r="D15" s="266"/>
      <c r="E15" s="266"/>
      <c r="F15" s="266"/>
      <c r="G15" s="266"/>
      <c r="H15" s="266"/>
      <c r="I15" s="266"/>
      <c r="J15" s="266"/>
      <c r="K15" s="266"/>
      <c r="L15" s="266"/>
      <c r="M15" s="266"/>
      <c r="N15" s="266"/>
      <c r="O15" s="266"/>
      <c r="P15" s="266"/>
      <c r="Q15" s="266"/>
      <c r="R15" s="265">
        <v>0</v>
      </c>
      <c r="T15">
        <f t="shared" si="0"/>
        <v>0</v>
      </c>
    </row>
    <row r="16" spans="1:20" x14ac:dyDescent="0.25">
      <c r="A16" s="265">
        <v>15</v>
      </c>
      <c r="B16" s="266" t="s">
        <v>96</v>
      </c>
      <c r="C16" s="266"/>
      <c r="D16" s="266"/>
      <c r="E16" s="266"/>
      <c r="F16" s="266"/>
      <c r="G16" s="266"/>
      <c r="H16" s="266"/>
      <c r="I16" s="266"/>
      <c r="J16" s="266"/>
      <c r="K16" s="266"/>
      <c r="L16" s="266"/>
      <c r="M16" s="266" t="s">
        <v>26</v>
      </c>
      <c r="N16" s="266" t="s">
        <v>84</v>
      </c>
      <c r="O16" s="266"/>
      <c r="P16" s="266"/>
      <c r="Q16" s="266"/>
      <c r="R16" s="267">
        <v>17</v>
      </c>
      <c r="T16">
        <f t="shared" si="0"/>
        <v>17</v>
      </c>
    </row>
    <row r="17" spans="1:20" x14ac:dyDescent="0.25">
      <c r="A17" s="265">
        <v>16</v>
      </c>
      <c r="B17" s="266" t="s">
        <v>97</v>
      </c>
      <c r="C17" s="266"/>
      <c r="D17" s="266"/>
      <c r="E17" s="266"/>
      <c r="F17" s="266"/>
      <c r="G17" s="266"/>
      <c r="H17" s="266"/>
      <c r="I17" s="266"/>
      <c r="J17" s="266"/>
      <c r="K17" s="266"/>
      <c r="L17" s="266"/>
      <c r="M17" s="266" t="s">
        <v>25</v>
      </c>
      <c r="N17" s="266" t="s">
        <v>84</v>
      </c>
      <c r="O17" s="266"/>
      <c r="P17" s="266"/>
      <c r="Q17" s="266"/>
      <c r="R17" s="267">
        <v>15</v>
      </c>
      <c r="T17">
        <f t="shared" si="0"/>
        <v>15</v>
      </c>
    </row>
    <row r="18" spans="1:20" x14ac:dyDescent="0.25">
      <c r="A18" s="265">
        <v>17</v>
      </c>
      <c r="B18" s="266" t="s">
        <v>98</v>
      </c>
      <c r="C18" s="266"/>
      <c r="D18" s="266"/>
      <c r="E18" s="266"/>
      <c r="F18" s="266"/>
      <c r="G18" s="266"/>
      <c r="H18" s="266"/>
      <c r="I18" s="266"/>
      <c r="J18" s="266"/>
      <c r="K18" s="266"/>
      <c r="L18" s="266"/>
      <c r="M18" s="266"/>
      <c r="N18" s="266"/>
      <c r="O18" s="266"/>
      <c r="P18" s="266"/>
      <c r="Q18" s="266"/>
      <c r="R18" s="265">
        <v>0</v>
      </c>
      <c r="T18">
        <f t="shared" si="0"/>
        <v>0</v>
      </c>
    </row>
    <row r="19" spans="1:20" x14ac:dyDescent="0.25">
      <c r="A19" s="265">
        <v>18</v>
      </c>
      <c r="B19" s="266" t="s">
        <v>616</v>
      </c>
      <c r="C19" s="266"/>
      <c r="D19" s="266"/>
      <c r="E19" s="266"/>
      <c r="F19" s="266"/>
      <c r="G19" s="266"/>
      <c r="H19" s="266"/>
      <c r="I19" s="266"/>
      <c r="J19" s="266"/>
      <c r="K19" s="266"/>
      <c r="L19" s="266"/>
      <c r="M19" s="266"/>
      <c r="N19" s="266"/>
      <c r="O19" s="266"/>
      <c r="P19" s="266"/>
      <c r="Q19" s="266"/>
      <c r="R19" s="265">
        <v>0</v>
      </c>
      <c r="T19">
        <f t="shared" si="0"/>
        <v>0</v>
      </c>
    </row>
    <row r="20" spans="1:20" x14ac:dyDescent="0.25">
      <c r="A20" s="265">
        <v>19</v>
      </c>
      <c r="B20" s="266" t="s">
        <v>617</v>
      </c>
      <c r="C20" s="266"/>
      <c r="D20" s="266"/>
      <c r="E20" s="266"/>
      <c r="F20" s="266"/>
      <c r="G20" s="266"/>
      <c r="H20" s="266"/>
      <c r="I20" s="266"/>
      <c r="J20" s="266"/>
      <c r="K20" s="266"/>
      <c r="L20" s="266"/>
      <c r="M20" s="266"/>
      <c r="N20" s="266"/>
      <c r="O20" s="266"/>
      <c r="P20" s="266"/>
      <c r="Q20" s="266"/>
      <c r="R20" s="265">
        <v>0</v>
      </c>
      <c r="T20">
        <f t="shared" si="0"/>
        <v>0</v>
      </c>
    </row>
    <row r="21" spans="1:20" x14ac:dyDescent="0.25">
      <c r="A21" s="265">
        <v>20</v>
      </c>
      <c r="B21" s="266" t="s">
        <v>626</v>
      </c>
      <c r="C21" s="266"/>
      <c r="D21" s="266"/>
      <c r="E21" s="266"/>
      <c r="F21" s="266"/>
      <c r="G21" s="266"/>
      <c r="H21" s="266"/>
      <c r="I21" s="266"/>
      <c r="J21" s="266"/>
      <c r="K21" s="266"/>
      <c r="L21" s="266"/>
      <c r="M21" s="266"/>
      <c r="N21" s="266"/>
      <c r="O21" s="266"/>
      <c r="P21" s="266"/>
      <c r="Q21" s="266"/>
      <c r="R21" s="265">
        <v>0</v>
      </c>
      <c r="T21">
        <f t="shared" si="0"/>
        <v>0</v>
      </c>
    </row>
    <row r="22" spans="1:20" x14ac:dyDescent="0.25">
      <c r="A22" s="265">
        <v>21</v>
      </c>
      <c r="B22" s="266" t="s">
        <v>618</v>
      </c>
      <c r="C22" s="266"/>
      <c r="D22" s="266"/>
      <c r="E22" s="266"/>
      <c r="F22" s="266"/>
      <c r="G22" s="266"/>
      <c r="H22" s="266"/>
      <c r="I22" s="266"/>
      <c r="J22" s="266"/>
      <c r="K22" s="266"/>
      <c r="L22" s="266"/>
      <c r="M22" s="266"/>
      <c r="N22" s="266"/>
      <c r="O22" s="266"/>
      <c r="P22" s="266"/>
      <c r="Q22" s="266"/>
      <c r="R22" s="265">
        <v>0</v>
      </c>
      <c r="T22">
        <f t="shared" si="0"/>
        <v>0</v>
      </c>
    </row>
    <row r="23" spans="1:20" x14ac:dyDescent="0.25">
      <c r="A23" s="265">
        <v>22</v>
      </c>
      <c r="B23" s="266" t="s">
        <v>619</v>
      </c>
      <c r="C23" s="266"/>
      <c r="D23" s="266"/>
      <c r="E23" s="266"/>
      <c r="F23" s="266"/>
      <c r="G23" s="266"/>
      <c r="H23" s="266"/>
      <c r="I23" s="266"/>
      <c r="J23" s="266"/>
      <c r="K23" s="266"/>
      <c r="L23" s="266"/>
      <c r="M23" s="266"/>
      <c r="N23" s="266"/>
      <c r="O23" s="266"/>
      <c r="P23" s="266"/>
      <c r="Q23" s="266"/>
      <c r="R23" s="265">
        <v>0</v>
      </c>
      <c r="T23">
        <f t="shared" si="0"/>
        <v>0</v>
      </c>
    </row>
    <row r="24" spans="1:20" x14ac:dyDescent="0.25">
      <c r="A24" s="265">
        <v>23</v>
      </c>
      <c r="B24" s="266" t="s">
        <v>620</v>
      </c>
      <c r="C24" s="266"/>
      <c r="D24" s="266"/>
      <c r="E24" s="266"/>
      <c r="F24" s="266"/>
      <c r="G24" s="266"/>
      <c r="H24" s="266"/>
      <c r="I24" s="266"/>
      <c r="J24" s="266"/>
      <c r="K24" s="266"/>
      <c r="L24" s="266"/>
      <c r="M24" s="266"/>
      <c r="N24" s="266"/>
      <c r="O24" s="266"/>
      <c r="P24" s="266"/>
      <c r="Q24" s="266"/>
      <c r="R24" s="265">
        <v>0</v>
      </c>
      <c r="T24">
        <f t="shared" si="0"/>
        <v>0</v>
      </c>
    </row>
    <row r="25" spans="1:20" x14ac:dyDescent="0.25">
      <c r="A25" s="265">
        <v>24</v>
      </c>
      <c r="B25" s="266" t="s">
        <v>650</v>
      </c>
      <c r="C25" s="266"/>
      <c r="D25" s="266"/>
      <c r="E25" s="266"/>
      <c r="F25" s="266"/>
      <c r="G25" s="266"/>
      <c r="H25" s="266"/>
      <c r="I25" s="266"/>
      <c r="J25" s="266"/>
      <c r="K25" s="266"/>
      <c r="L25" s="266"/>
      <c r="M25" s="266"/>
      <c r="N25" s="266"/>
      <c r="O25" s="266"/>
      <c r="P25" s="266"/>
      <c r="Q25" s="266"/>
      <c r="R25" s="265">
        <v>0</v>
      </c>
      <c r="T25">
        <f t="shared" si="0"/>
        <v>0</v>
      </c>
    </row>
    <row r="26" spans="1:20" x14ac:dyDescent="0.25">
      <c r="A26" s="265">
        <v>25</v>
      </c>
      <c r="B26" s="266" t="s">
        <v>621</v>
      </c>
      <c r="C26" s="266"/>
      <c r="D26" s="266"/>
      <c r="E26" s="266"/>
      <c r="F26" s="266"/>
      <c r="G26" s="266"/>
      <c r="H26" s="266"/>
      <c r="I26" s="266"/>
      <c r="J26" s="266"/>
      <c r="K26" s="266"/>
      <c r="L26" s="266"/>
      <c r="M26" s="266"/>
      <c r="N26" s="266"/>
      <c r="O26" s="266"/>
      <c r="P26" s="266"/>
      <c r="Q26" s="266"/>
      <c r="R26" s="265">
        <v>0</v>
      </c>
      <c r="T26">
        <f t="shared" si="0"/>
        <v>0</v>
      </c>
    </row>
    <row r="27" spans="1:20" x14ac:dyDescent="0.25">
      <c r="A27" s="265">
        <v>26</v>
      </c>
      <c r="B27" s="266" t="s">
        <v>622</v>
      </c>
      <c r="C27" s="266"/>
      <c r="D27" s="266"/>
      <c r="E27" s="266"/>
      <c r="F27" s="266"/>
      <c r="G27" s="266"/>
      <c r="H27" s="266"/>
      <c r="I27" s="266"/>
      <c r="J27" s="266"/>
      <c r="K27" s="266"/>
      <c r="L27" s="266"/>
      <c r="M27" s="266"/>
      <c r="N27" s="266"/>
      <c r="O27" s="266"/>
      <c r="P27" s="266"/>
      <c r="Q27" s="266"/>
      <c r="R27" s="265">
        <v>0</v>
      </c>
      <c r="T27">
        <f t="shared" si="0"/>
        <v>0</v>
      </c>
    </row>
    <row r="28" spans="1:20" x14ac:dyDescent="0.25">
      <c r="A28" s="265">
        <v>27</v>
      </c>
      <c r="B28" s="266" t="s">
        <v>623</v>
      </c>
      <c r="C28" s="266"/>
      <c r="D28" s="266"/>
      <c r="E28" s="266"/>
      <c r="F28" s="266"/>
      <c r="G28" s="266"/>
      <c r="H28" s="266"/>
      <c r="I28" s="266"/>
      <c r="J28" s="266"/>
      <c r="K28" s="266"/>
      <c r="L28" s="266"/>
      <c r="M28" s="266"/>
      <c r="N28" s="266"/>
      <c r="O28" s="266"/>
      <c r="P28" s="266"/>
      <c r="Q28" s="266"/>
      <c r="R28" s="265">
        <v>0</v>
      </c>
      <c r="T28">
        <f t="shared" si="0"/>
        <v>0</v>
      </c>
    </row>
    <row r="29" spans="1:20" x14ac:dyDescent="0.25">
      <c r="A29" s="265">
        <v>28</v>
      </c>
      <c r="B29" s="266" t="s">
        <v>624</v>
      </c>
      <c r="C29" s="266"/>
      <c r="D29" s="266"/>
      <c r="E29" s="266"/>
      <c r="F29" s="266"/>
      <c r="G29" s="266"/>
      <c r="H29" s="266"/>
      <c r="I29" s="266"/>
      <c r="J29" s="266"/>
      <c r="K29" s="266"/>
      <c r="L29" s="266"/>
      <c r="M29" s="266"/>
      <c r="N29" s="266"/>
      <c r="O29" s="266"/>
      <c r="P29" s="266"/>
      <c r="Q29" s="266"/>
      <c r="R29" s="265">
        <v>0</v>
      </c>
      <c r="T29">
        <f t="shared" si="0"/>
        <v>0</v>
      </c>
    </row>
    <row r="30" spans="1:20" x14ac:dyDescent="0.25">
      <c r="A30" s="265">
        <v>29</v>
      </c>
      <c r="B30" s="266" t="s">
        <v>627</v>
      </c>
      <c r="C30" s="266"/>
      <c r="D30" s="266"/>
      <c r="E30" s="266"/>
      <c r="F30" s="266"/>
      <c r="G30" s="266"/>
      <c r="H30" s="266"/>
      <c r="I30" s="266"/>
      <c r="J30" s="266"/>
      <c r="K30" s="266"/>
      <c r="L30" s="266"/>
      <c r="M30" s="266"/>
      <c r="N30" s="266"/>
      <c r="O30" s="266"/>
      <c r="P30" s="266"/>
      <c r="Q30" s="266"/>
      <c r="R30" s="265">
        <v>0</v>
      </c>
      <c r="T30">
        <f t="shared" si="0"/>
        <v>0</v>
      </c>
    </row>
    <row r="31" spans="1:20" x14ac:dyDescent="0.25">
      <c r="A31" s="265">
        <v>30</v>
      </c>
      <c r="B31" s="266" t="s">
        <v>625</v>
      </c>
      <c r="C31" s="266"/>
      <c r="D31" s="266"/>
      <c r="E31" s="266"/>
      <c r="F31" s="266"/>
      <c r="G31" s="266"/>
      <c r="H31" s="266"/>
      <c r="I31" s="266"/>
      <c r="J31" s="266"/>
      <c r="K31" s="266"/>
      <c r="L31" s="266"/>
      <c r="M31" s="266"/>
      <c r="N31" s="266"/>
      <c r="O31" s="266"/>
      <c r="P31" s="266"/>
      <c r="Q31" s="266"/>
      <c r="R31" s="265">
        <v>0</v>
      </c>
      <c r="T31">
        <f t="shared" si="0"/>
        <v>0</v>
      </c>
    </row>
    <row r="32" spans="1:20" x14ac:dyDescent="0.25">
      <c r="A32" s="265">
        <v>31</v>
      </c>
      <c r="B32" s="266" t="s">
        <v>34</v>
      </c>
      <c r="C32" s="266"/>
      <c r="D32" s="266"/>
      <c r="E32" s="266"/>
      <c r="F32" s="266"/>
      <c r="G32" s="266"/>
      <c r="H32" s="266"/>
      <c r="I32" s="266"/>
      <c r="J32" s="266"/>
      <c r="K32" s="266"/>
      <c r="L32" s="266"/>
      <c r="M32" s="266"/>
      <c r="N32" s="266"/>
      <c r="O32" s="266"/>
      <c r="P32" s="266"/>
      <c r="Q32" s="266"/>
      <c r="R32" s="265">
        <v>0</v>
      </c>
      <c r="T32">
        <f t="shared" si="0"/>
        <v>0</v>
      </c>
    </row>
    <row r="33" spans="1:20" x14ac:dyDescent="0.25">
      <c r="A33" s="265">
        <v>32</v>
      </c>
      <c r="B33" s="266" t="s">
        <v>45</v>
      </c>
      <c r="C33" s="266"/>
      <c r="D33" s="266"/>
      <c r="E33" s="266"/>
      <c r="F33" s="266"/>
      <c r="G33" s="266"/>
      <c r="H33" s="266"/>
      <c r="I33" s="266"/>
      <c r="J33" s="266"/>
      <c r="K33" s="266"/>
      <c r="L33" s="266"/>
      <c r="M33" s="266"/>
      <c r="N33" s="266"/>
      <c r="O33" s="266"/>
      <c r="P33" s="266"/>
      <c r="Q33" s="266"/>
      <c r="R33" s="265">
        <v>0</v>
      </c>
      <c r="T33">
        <f t="shared" si="0"/>
        <v>0</v>
      </c>
    </row>
    <row r="34" spans="1:20" x14ac:dyDescent="0.25">
      <c r="A34" s="265">
        <v>33</v>
      </c>
      <c r="B34" s="266" t="s">
        <v>630</v>
      </c>
      <c r="C34" s="266"/>
      <c r="D34" s="266"/>
      <c r="E34" s="266"/>
      <c r="F34" s="266"/>
      <c r="G34" s="266"/>
      <c r="H34" s="266"/>
      <c r="I34" s="266"/>
      <c r="J34" s="266"/>
      <c r="K34" s="266"/>
      <c r="L34" s="266"/>
      <c r="M34" s="266"/>
      <c r="N34" s="266"/>
      <c r="O34" s="266"/>
      <c r="P34" s="266"/>
      <c r="Q34" s="266"/>
      <c r="R34" s="265">
        <v>0</v>
      </c>
      <c r="T34">
        <f t="shared" si="0"/>
        <v>0</v>
      </c>
    </row>
    <row r="35" spans="1:20" x14ac:dyDescent="0.25">
      <c r="A35" s="265">
        <v>34</v>
      </c>
      <c r="B35" s="266" t="s">
        <v>628</v>
      </c>
      <c r="C35" s="266"/>
      <c r="D35" s="266"/>
      <c r="E35" s="266"/>
      <c r="F35" s="266"/>
      <c r="G35" s="266"/>
      <c r="H35" s="266"/>
      <c r="I35" s="266"/>
      <c r="J35" s="266"/>
      <c r="K35" s="266"/>
      <c r="L35" s="266"/>
      <c r="M35" s="266"/>
      <c r="N35" s="266"/>
      <c r="O35" s="266"/>
      <c r="P35" s="266"/>
      <c r="Q35" s="266"/>
      <c r="R35" s="265">
        <v>0</v>
      </c>
      <c r="T35">
        <f t="shared" si="0"/>
        <v>0</v>
      </c>
    </row>
    <row r="36" spans="1:20" x14ac:dyDescent="0.25">
      <c r="A36" s="265">
        <v>35</v>
      </c>
      <c r="B36" s="266" t="s">
        <v>629</v>
      </c>
      <c r="C36" s="266"/>
      <c r="D36" s="266"/>
      <c r="E36" s="266"/>
      <c r="F36" s="266"/>
      <c r="G36" s="266"/>
      <c r="H36" s="266"/>
      <c r="I36" s="266"/>
      <c r="J36" s="266"/>
      <c r="K36" s="266"/>
      <c r="L36" s="266"/>
      <c r="M36" s="266"/>
      <c r="N36" s="266"/>
      <c r="O36" s="266"/>
      <c r="P36" s="266"/>
      <c r="Q36" s="266"/>
      <c r="R36" s="265">
        <v>0</v>
      </c>
      <c r="T36">
        <f t="shared" si="0"/>
        <v>0</v>
      </c>
    </row>
    <row r="37" spans="1:20" x14ac:dyDescent="0.25">
      <c r="A37" s="265">
        <v>36</v>
      </c>
      <c r="B37" s="266" t="s">
        <v>631</v>
      </c>
      <c r="C37" s="266"/>
      <c r="D37" s="266"/>
      <c r="E37" s="266"/>
      <c r="F37" s="266" t="s">
        <v>26</v>
      </c>
      <c r="G37" s="266"/>
      <c r="H37" s="266"/>
      <c r="I37" s="266"/>
      <c r="J37" s="266"/>
      <c r="K37" s="266"/>
      <c r="L37" s="266"/>
      <c r="M37" s="266"/>
      <c r="N37" s="266"/>
      <c r="O37" s="266"/>
      <c r="P37" s="266"/>
      <c r="Q37" s="266"/>
      <c r="R37" s="267">
        <v>11</v>
      </c>
      <c r="T37">
        <f t="shared" si="0"/>
        <v>11</v>
      </c>
    </row>
    <row r="38" spans="1:20" x14ac:dyDescent="0.25">
      <c r="A38" s="265">
        <v>37</v>
      </c>
      <c r="B38" s="266" t="s">
        <v>632</v>
      </c>
      <c r="C38" s="266"/>
      <c r="D38" s="266"/>
      <c r="E38" s="266"/>
      <c r="F38" s="266"/>
      <c r="G38" s="266"/>
      <c r="H38" s="266"/>
      <c r="I38" s="266"/>
      <c r="J38" s="266"/>
      <c r="K38" s="266"/>
      <c r="L38" s="266"/>
      <c r="M38" s="266"/>
      <c r="N38" s="266"/>
      <c r="O38" s="266"/>
      <c r="P38" s="266"/>
      <c r="Q38" s="266"/>
      <c r="R38" s="265">
        <v>0</v>
      </c>
      <c r="T38">
        <f t="shared" si="0"/>
        <v>0</v>
      </c>
    </row>
    <row r="39" spans="1:20" x14ac:dyDescent="0.25">
      <c r="A39" s="265">
        <v>38</v>
      </c>
      <c r="B39" s="266" t="s">
        <v>633</v>
      </c>
      <c r="C39" s="266"/>
      <c r="D39" s="266"/>
      <c r="E39" s="266"/>
      <c r="F39" s="266"/>
      <c r="G39" s="266"/>
      <c r="H39" s="266"/>
      <c r="I39" s="266"/>
      <c r="J39" s="266"/>
      <c r="K39" s="266"/>
      <c r="L39" s="266"/>
      <c r="M39" s="266"/>
      <c r="N39" s="266"/>
      <c r="O39" s="266"/>
      <c r="P39" s="266"/>
      <c r="Q39" s="266"/>
      <c r="R39" s="265">
        <v>0</v>
      </c>
      <c r="T39">
        <f t="shared" si="0"/>
        <v>0</v>
      </c>
    </row>
    <row r="40" spans="1:20" x14ac:dyDescent="0.25">
      <c r="A40" s="265">
        <v>39</v>
      </c>
      <c r="B40" s="266" t="s">
        <v>634</v>
      </c>
      <c r="C40" s="266"/>
      <c r="D40" s="266"/>
      <c r="E40" s="266"/>
      <c r="F40" s="266"/>
      <c r="G40" s="266"/>
      <c r="H40" s="266"/>
      <c r="I40" s="266"/>
      <c r="J40" s="266"/>
      <c r="K40" s="266" t="s">
        <v>26</v>
      </c>
      <c r="L40" s="266"/>
      <c r="M40" s="266"/>
      <c r="N40" s="266"/>
      <c r="O40" s="266"/>
      <c r="P40" s="266"/>
      <c r="Q40" s="266"/>
      <c r="R40" s="267">
        <v>11</v>
      </c>
      <c r="T40">
        <f t="shared" si="0"/>
        <v>11</v>
      </c>
    </row>
    <row r="41" spans="1:20" x14ac:dyDescent="0.25">
      <c r="A41" s="265">
        <v>40</v>
      </c>
      <c r="B41" s="266" t="s">
        <v>636</v>
      </c>
      <c r="C41" s="266"/>
      <c r="D41" s="266"/>
      <c r="E41" s="266"/>
      <c r="F41" s="266" t="s">
        <v>26</v>
      </c>
      <c r="G41" s="266"/>
      <c r="H41" s="266"/>
      <c r="I41" s="266"/>
      <c r="J41" s="266"/>
      <c r="K41" s="266"/>
      <c r="L41" s="266"/>
      <c r="M41" s="266" t="s">
        <v>26</v>
      </c>
      <c r="N41" s="266"/>
      <c r="O41" s="266"/>
      <c r="P41" s="266"/>
      <c r="Q41" s="266"/>
      <c r="R41" s="267">
        <v>22</v>
      </c>
      <c r="T41">
        <f t="shared" si="0"/>
        <v>22</v>
      </c>
    </row>
    <row r="42" spans="1:20" x14ac:dyDescent="0.25">
      <c r="A42" s="265">
        <v>41</v>
      </c>
      <c r="B42" s="266" t="s">
        <v>637</v>
      </c>
      <c r="C42" s="266"/>
      <c r="D42" s="266"/>
      <c r="E42" s="266"/>
      <c r="F42" s="266"/>
      <c r="G42" s="266"/>
      <c r="H42" s="266"/>
      <c r="I42" s="266"/>
      <c r="J42" s="266"/>
      <c r="K42" s="266" t="s">
        <v>26</v>
      </c>
      <c r="L42" s="266"/>
      <c r="M42" s="266"/>
      <c r="N42" s="266"/>
      <c r="O42" s="266"/>
      <c r="P42" s="266"/>
      <c r="Q42" s="266"/>
      <c r="R42" s="267">
        <v>11</v>
      </c>
      <c r="T42">
        <f t="shared" si="0"/>
        <v>11</v>
      </c>
    </row>
    <row r="43" spans="1:20" x14ac:dyDescent="0.25">
      <c r="A43" s="265">
        <v>42</v>
      </c>
      <c r="B43" s="266" t="s">
        <v>640</v>
      </c>
      <c r="C43" s="266"/>
      <c r="D43" s="266"/>
      <c r="E43" s="266"/>
      <c r="F43" s="266"/>
      <c r="G43" s="266"/>
      <c r="H43" s="266"/>
      <c r="I43" s="266"/>
      <c r="J43" s="266"/>
      <c r="K43" s="266"/>
      <c r="L43" s="266"/>
      <c r="M43" s="266"/>
      <c r="N43" s="266"/>
      <c r="O43" s="266"/>
      <c r="P43" s="266"/>
      <c r="Q43" s="266"/>
      <c r="R43" s="265">
        <v>0</v>
      </c>
      <c r="T43">
        <f t="shared" si="0"/>
        <v>0</v>
      </c>
    </row>
    <row r="44" spans="1:20" x14ac:dyDescent="0.25">
      <c r="A44" s="265">
        <v>43</v>
      </c>
      <c r="B44" s="266" t="s">
        <v>638</v>
      </c>
      <c r="C44" s="266"/>
      <c r="D44" s="266"/>
      <c r="E44" s="266"/>
      <c r="F44" s="266"/>
      <c r="G44" s="266"/>
      <c r="H44" s="266"/>
      <c r="I44" s="266"/>
      <c r="J44" s="266"/>
      <c r="K44" s="266"/>
      <c r="L44" s="266"/>
      <c r="M44" s="266"/>
      <c r="N44" s="266"/>
      <c r="O44" s="266"/>
      <c r="P44" s="266"/>
      <c r="Q44" s="266"/>
      <c r="R44" s="265">
        <v>0</v>
      </c>
      <c r="T44">
        <f t="shared" si="0"/>
        <v>0</v>
      </c>
    </row>
    <row r="45" spans="1:20" x14ac:dyDescent="0.25">
      <c r="A45" s="265">
        <v>44</v>
      </c>
      <c r="B45" s="266" t="s">
        <v>635</v>
      </c>
      <c r="C45" s="266"/>
      <c r="D45" s="266"/>
      <c r="E45" s="266"/>
      <c r="F45" s="266"/>
      <c r="G45" s="266"/>
      <c r="H45" s="266"/>
      <c r="I45" s="266"/>
      <c r="J45" s="266"/>
      <c r="K45" s="266"/>
      <c r="L45" s="266"/>
      <c r="M45" s="266"/>
      <c r="N45" s="266"/>
      <c r="O45" s="266"/>
      <c r="P45" s="266"/>
      <c r="Q45" s="266"/>
      <c r="R45" s="265">
        <v>0</v>
      </c>
      <c r="T45">
        <f t="shared" si="0"/>
        <v>0</v>
      </c>
    </row>
    <row r="46" spans="1:20" x14ac:dyDescent="0.25">
      <c r="A46" s="265">
        <v>45</v>
      </c>
      <c r="B46" s="266" t="s">
        <v>641</v>
      </c>
      <c r="C46" s="266"/>
      <c r="D46" s="266"/>
      <c r="E46" s="266"/>
      <c r="F46" s="266"/>
      <c r="G46" s="266"/>
      <c r="H46" s="266"/>
      <c r="I46" s="266"/>
      <c r="J46" s="266"/>
      <c r="K46" s="266"/>
      <c r="L46" s="266"/>
      <c r="M46" s="266"/>
      <c r="N46" s="266"/>
      <c r="O46" s="266"/>
      <c r="P46" s="266"/>
      <c r="Q46" s="266"/>
      <c r="R46" s="265">
        <v>0</v>
      </c>
      <c r="T46">
        <f t="shared" si="0"/>
        <v>0</v>
      </c>
    </row>
    <row r="47" spans="1:20" x14ac:dyDescent="0.25">
      <c r="A47" s="265">
        <v>46</v>
      </c>
      <c r="B47" s="266" t="s">
        <v>649</v>
      </c>
      <c r="C47" s="266"/>
      <c r="D47" s="266"/>
      <c r="E47" s="266"/>
      <c r="F47" s="266"/>
      <c r="G47" s="266"/>
      <c r="H47" s="266"/>
      <c r="I47" s="266"/>
      <c r="J47" s="266"/>
      <c r="K47" s="266"/>
      <c r="L47" s="266"/>
      <c r="M47" s="266"/>
      <c r="N47" s="266"/>
      <c r="O47" s="266"/>
      <c r="P47" s="266"/>
      <c r="Q47" s="266"/>
      <c r="R47" s="265">
        <v>0</v>
      </c>
      <c r="T47">
        <f t="shared" si="0"/>
        <v>0</v>
      </c>
    </row>
    <row r="48" spans="1:20" x14ac:dyDescent="0.25">
      <c r="A48" s="265">
        <v>47</v>
      </c>
      <c r="B48" s="266" t="s">
        <v>642</v>
      </c>
      <c r="C48" s="266"/>
      <c r="D48" s="266"/>
      <c r="E48" s="266"/>
      <c r="F48" s="266"/>
      <c r="G48" s="266"/>
      <c r="H48" s="266"/>
      <c r="I48" s="266"/>
      <c r="J48" s="266"/>
      <c r="K48" s="266"/>
      <c r="L48" s="266"/>
      <c r="M48" s="266"/>
      <c r="N48" s="266"/>
      <c r="O48" s="266"/>
      <c r="P48" s="266" t="s">
        <v>26</v>
      </c>
      <c r="Q48" s="266" t="s">
        <v>26</v>
      </c>
      <c r="R48" s="267">
        <v>22</v>
      </c>
      <c r="T48">
        <f t="shared" si="0"/>
        <v>22</v>
      </c>
    </row>
    <row r="49" spans="1:20" x14ac:dyDescent="0.25">
      <c r="A49" s="265">
        <v>48</v>
      </c>
      <c r="B49" s="266" t="s">
        <v>643</v>
      </c>
      <c r="C49" s="266"/>
      <c r="D49" s="266"/>
      <c r="E49" s="266"/>
      <c r="F49" s="266"/>
      <c r="G49" s="266"/>
      <c r="H49" s="266"/>
      <c r="I49" s="266"/>
      <c r="J49" s="266"/>
      <c r="K49" s="266"/>
      <c r="L49" s="266"/>
      <c r="M49" s="266"/>
      <c r="N49" s="266"/>
      <c r="O49" s="266"/>
      <c r="P49" s="266" t="s">
        <v>26</v>
      </c>
      <c r="Q49" s="266" t="s">
        <v>26</v>
      </c>
      <c r="R49" s="267">
        <v>22</v>
      </c>
      <c r="T49">
        <f t="shared" si="0"/>
        <v>22</v>
      </c>
    </row>
    <row r="50" spans="1:20" x14ac:dyDescent="0.25">
      <c r="A50" s="265">
        <v>49</v>
      </c>
      <c r="B50" s="266" t="s">
        <v>644</v>
      </c>
      <c r="C50" s="266"/>
      <c r="D50" s="266"/>
      <c r="E50" s="266"/>
      <c r="F50" s="266"/>
      <c r="G50" s="266"/>
      <c r="H50" s="266"/>
      <c r="I50" s="266"/>
      <c r="J50" s="266"/>
      <c r="K50" s="266"/>
      <c r="L50" s="266"/>
      <c r="M50" s="266" t="s">
        <v>26</v>
      </c>
      <c r="N50" s="266" t="s">
        <v>84</v>
      </c>
      <c r="O50" s="266"/>
      <c r="P50" s="266" t="s">
        <v>26</v>
      </c>
      <c r="Q50" s="266" t="s">
        <v>26</v>
      </c>
      <c r="R50" s="267">
        <v>39</v>
      </c>
      <c r="T50">
        <f t="shared" si="0"/>
        <v>39</v>
      </c>
    </row>
    <row r="51" spans="1:20" x14ac:dyDescent="0.25">
      <c r="A51" s="265">
        <v>50</v>
      </c>
      <c r="B51" s="266" t="s">
        <v>646</v>
      </c>
      <c r="C51" s="266"/>
      <c r="D51" s="266"/>
      <c r="E51" s="266"/>
      <c r="F51" s="266"/>
      <c r="G51" s="266"/>
      <c r="H51" s="266"/>
      <c r="I51" s="266"/>
      <c r="J51" s="266"/>
      <c r="K51" s="266"/>
      <c r="L51" s="266"/>
      <c r="M51" s="266"/>
      <c r="N51" s="266"/>
      <c r="O51" s="266"/>
      <c r="P51" s="266"/>
      <c r="Q51" s="266"/>
      <c r="R51" s="265">
        <v>0</v>
      </c>
      <c r="T51">
        <f t="shared" si="0"/>
        <v>0</v>
      </c>
    </row>
    <row r="52" spans="1:20" x14ac:dyDescent="0.25">
      <c r="A52" s="265">
        <v>51</v>
      </c>
      <c r="B52" s="266" t="s">
        <v>647</v>
      </c>
      <c r="C52" s="266"/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6"/>
      <c r="O52" s="266"/>
      <c r="P52" s="266"/>
      <c r="Q52" s="266"/>
      <c r="R52" s="265">
        <v>0</v>
      </c>
      <c r="T52">
        <f t="shared" si="0"/>
        <v>0</v>
      </c>
    </row>
    <row r="53" spans="1:20" x14ac:dyDescent="0.25">
      <c r="A53" s="265">
        <v>52</v>
      </c>
      <c r="B53" s="266" t="s">
        <v>652</v>
      </c>
      <c r="C53" s="266"/>
      <c r="D53" s="266"/>
      <c r="E53" s="266"/>
      <c r="F53" s="266"/>
      <c r="G53" s="266"/>
      <c r="H53" s="266"/>
      <c r="I53" s="266"/>
      <c r="J53" s="266"/>
      <c r="K53" s="266"/>
      <c r="L53" s="266"/>
      <c r="M53" s="266"/>
      <c r="N53" s="266"/>
      <c r="O53" s="266"/>
      <c r="P53" s="266"/>
      <c r="Q53" s="266"/>
      <c r="R53" s="265">
        <v>0</v>
      </c>
      <c r="T53">
        <f t="shared" si="0"/>
        <v>0</v>
      </c>
    </row>
    <row r="54" spans="1:20" x14ac:dyDescent="0.25">
      <c r="A54" s="265">
        <v>53</v>
      </c>
      <c r="B54" s="266" t="s">
        <v>653</v>
      </c>
      <c r="C54" s="266"/>
      <c r="D54" s="266"/>
      <c r="E54" s="266"/>
      <c r="F54" s="266" t="s">
        <v>26</v>
      </c>
      <c r="G54" s="266"/>
      <c r="H54" s="266"/>
      <c r="I54" s="266"/>
      <c r="J54" s="266"/>
      <c r="K54" s="266"/>
      <c r="L54" s="266"/>
      <c r="M54" s="266"/>
      <c r="N54" s="266"/>
      <c r="O54" s="266"/>
      <c r="P54" s="266"/>
      <c r="Q54" s="266"/>
      <c r="R54" s="267">
        <v>11</v>
      </c>
      <c r="T54">
        <f t="shared" si="0"/>
        <v>11</v>
      </c>
    </row>
    <row r="55" spans="1:20" x14ac:dyDescent="0.25">
      <c r="A55" s="265">
        <v>54</v>
      </c>
      <c r="B55" s="266" t="s">
        <v>654</v>
      </c>
      <c r="C55" s="266"/>
      <c r="D55" s="266"/>
      <c r="E55" s="266"/>
      <c r="F55" s="266"/>
      <c r="G55" s="266"/>
      <c r="H55" s="266"/>
      <c r="I55" s="266"/>
      <c r="J55" s="266"/>
      <c r="K55" s="266"/>
      <c r="L55" s="266"/>
      <c r="M55" s="266"/>
      <c r="N55" s="266"/>
      <c r="O55" s="266"/>
      <c r="P55" s="266"/>
      <c r="Q55" s="266"/>
      <c r="R55" s="265">
        <v>0</v>
      </c>
      <c r="T55">
        <f t="shared" si="0"/>
        <v>0</v>
      </c>
    </row>
    <row r="56" spans="1:20" x14ac:dyDescent="0.25">
      <c r="A56" s="265">
        <v>55</v>
      </c>
      <c r="B56" s="266" t="s">
        <v>655</v>
      </c>
      <c r="C56" s="266"/>
      <c r="D56" s="266"/>
      <c r="E56" s="266"/>
      <c r="F56" s="266"/>
      <c r="G56" s="266"/>
      <c r="H56" s="266"/>
      <c r="I56" s="266"/>
      <c r="J56" s="266"/>
      <c r="K56" s="266"/>
      <c r="L56" s="266"/>
      <c r="M56" s="266"/>
      <c r="N56" s="266"/>
      <c r="O56" s="266"/>
      <c r="P56" s="266"/>
      <c r="Q56" s="266"/>
      <c r="R56" s="265">
        <v>0</v>
      </c>
      <c r="T56">
        <f t="shared" si="0"/>
        <v>0</v>
      </c>
    </row>
    <row r="57" spans="1:20" x14ac:dyDescent="0.25">
      <c r="A57" s="265">
        <v>56</v>
      </c>
      <c r="B57" s="266" t="s">
        <v>656</v>
      </c>
      <c r="C57" s="266"/>
      <c r="D57" s="266"/>
      <c r="E57" s="266"/>
      <c r="F57" s="266"/>
      <c r="G57" s="266"/>
      <c r="H57" s="266"/>
      <c r="I57" s="266"/>
      <c r="J57" s="266"/>
      <c r="K57" s="266"/>
      <c r="L57" s="266"/>
      <c r="M57" s="266"/>
      <c r="N57" s="266"/>
      <c r="O57" s="266"/>
      <c r="P57" s="266"/>
      <c r="Q57" s="266"/>
      <c r="R57" s="265">
        <v>0</v>
      </c>
      <c r="T57">
        <f t="shared" si="0"/>
        <v>0</v>
      </c>
    </row>
    <row r="58" spans="1:20" x14ac:dyDescent="0.25">
      <c r="A58" s="265">
        <v>57</v>
      </c>
      <c r="B58" s="266" t="s">
        <v>657</v>
      </c>
      <c r="C58" s="266"/>
      <c r="D58" s="266"/>
      <c r="E58" s="266"/>
      <c r="F58" s="266"/>
      <c r="G58" s="266"/>
      <c r="H58" s="266"/>
      <c r="I58" s="266"/>
      <c r="J58" s="266"/>
      <c r="K58" s="266"/>
      <c r="L58" s="266"/>
      <c r="M58" s="266"/>
      <c r="N58" s="266"/>
      <c r="O58" s="266"/>
      <c r="P58" s="266"/>
      <c r="Q58" s="266"/>
      <c r="R58" s="265">
        <v>0</v>
      </c>
      <c r="T58">
        <f t="shared" si="0"/>
        <v>0</v>
      </c>
    </row>
    <row r="59" spans="1:20" x14ac:dyDescent="0.25">
      <c r="A59" s="265">
        <v>58</v>
      </c>
      <c r="B59" s="266" t="s">
        <v>658</v>
      </c>
      <c r="C59" s="266"/>
      <c r="D59" s="266"/>
      <c r="E59" s="266"/>
      <c r="F59" s="266"/>
      <c r="G59" s="266"/>
      <c r="H59" s="266"/>
      <c r="I59" s="266"/>
      <c r="J59" s="266"/>
      <c r="K59" s="266"/>
      <c r="L59" s="266"/>
      <c r="M59" s="266"/>
      <c r="N59" s="266"/>
      <c r="O59" s="266"/>
      <c r="P59" s="266"/>
      <c r="Q59" s="266"/>
      <c r="R59" s="265">
        <v>0</v>
      </c>
      <c r="T59">
        <f t="shared" si="0"/>
        <v>0</v>
      </c>
    </row>
    <row r="60" spans="1:20" x14ac:dyDescent="0.25">
      <c r="A60" s="265">
        <v>59</v>
      </c>
      <c r="B60" s="266" t="s">
        <v>659</v>
      </c>
      <c r="C60" s="266"/>
      <c r="D60" s="266"/>
      <c r="E60" s="266"/>
      <c r="F60" s="266"/>
      <c r="G60" s="266"/>
      <c r="H60" s="266"/>
      <c r="I60" s="266"/>
      <c r="J60" s="266"/>
      <c r="K60" s="266"/>
      <c r="L60" s="266"/>
      <c r="M60" s="266"/>
      <c r="N60" s="266"/>
      <c r="O60" s="266"/>
      <c r="P60" s="266"/>
      <c r="Q60" s="266"/>
      <c r="R60" s="265">
        <v>0</v>
      </c>
      <c r="T60">
        <f t="shared" si="0"/>
        <v>0</v>
      </c>
    </row>
    <row r="61" spans="1:20" x14ac:dyDescent="0.25">
      <c r="A61" s="265">
        <v>60</v>
      </c>
      <c r="B61" s="266" t="s">
        <v>660</v>
      </c>
      <c r="C61" s="266"/>
      <c r="D61" s="266"/>
      <c r="E61" s="266"/>
      <c r="F61" s="266"/>
      <c r="G61" s="266"/>
      <c r="H61" s="266"/>
      <c r="I61" s="266"/>
      <c r="J61" s="266"/>
      <c r="K61" s="266"/>
      <c r="L61" s="266"/>
      <c r="M61" s="266"/>
      <c r="N61" s="266"/>
      <c r="O61" s="266"/>
      <c r="P61" s="266"/>
      <c r="Q61" s="266"/>
      <c r="R61" s="265">
        <v>0</v>
      </c>
      <c r="T61">
        <f t="shared" si="0"/>
        <v>0</v>
      </c>
    </row>
    <row r="62" spans="1:20" x14ac:dyDescent="0.25">
      <c r="A62" s="265">
        <v>61</v>
      </c>
      <c r="B62" s="266" t="s">
        <v>661</v>
      </c>
      <c r="C62" s="266"/>
      <c r="D62" s="266"/>
      <c r="E62" s="266"/>
      <c r="F62" s="266"/>
      <c r="G62" s="266"/>
      <c r="H62" s="266"/>
      <c r="I62" s="266"/>
      <c r="J62" s="266"/>
      <c r="K62" s="266"/>
      <c r="L62" s="266"/>
      <c r="M62" s="266"/>
      <c r="N62" s="266"/>
      <c r="O62" s="266"/>
      <c r="P62" s="266"/>
      <c r="Q62" s="266"/>
      <c r="R62" s="265">
        <v>0</v>
      </c>
      <c r="T62">
        <f t="shared" si="0"/>
        <v>0</v>
      </c>
    </row>
    <row r="63" spans="1:20" x14ac:dyDescent="0.25">
      <c r="A63" s="265">
        <v>62</v>
      </c>
      <c r="B63" s="266" t="s">
        <v>662</v>
      </c>
      <c r="C63" s="266"/>
      <c r="D63" s="266"/>
      <c r="E63" s="266"/>
      <c r="F63" s="266"/>
      <c r="G63" s="266"/>
      <c r="H63" s="266"/>
      <c r="I63" s="266"/>
      <c r="J63" s="266"/>
      <c r="K63" s="266"/>
      <c r="L63" s="266"/>
      <c r="M63" s="266" t="s">
        <v>26</v>
      </c>
      <c r="N63" s="266" t="s">
        <v>84</v>
      </c>
      <c r="O63" s="266"/>
      <c r="P63" s="266" t="s">
        <v>26</v>
      </c>
      <c r="Q63" s="266"/>
      <c r="R63" s="267">
        <v>28</v>
      </c>
      <c r="T63">
        <f t="shared" si="0"/>
        <v>28</v>
      </c>
    </row>
    <row r="64" spans="1:20" x14ac:dyDescent="0.25">
      <c r="A64" s="265">
        <v>63</v>
      </c>
      <c r="B64" s="266" t="s">
        <v>668</v>
      </c>
      <c r="C64" s="266"/>
      <c r="D64" s="266"/>
      <c r="E64" s="266"/>
      <c r="F64" s="266"/>
      <c r="G64" s="266"/>
      <c r="H64" s="266"/>
      <c r="I64" s="266"/>
      <c r="J64" s="266"/>
      <c r="K64" s="266"/>
      <c r="L64" s="266"/>
      <c r="M64" s="266" t="s">
        <v>64</v>
      </c>
      <c r="N64" s="266" t="s">
        <v>84</v>
      </c>
      <c r="O64" s="266"/>
      <c r="P64" s="266" t="s">
        <v>26</v>
      </c>
      <c r="Q64" s="266" t="s">
        <v>26</v>
      </c>
      <c r="R64" s="267">
        <v>38</v>
      </c>
      <c r="T64">
        <f t="shared" si="0"/>
        <v>38</v>
      </c>
    </row>
    <row r="65" spans="1:18" x14ac:dyDescent="0.25">
      <c r="A65" s="264"/>
      <c r="B65" s="264"/>
      <c r="C65" s="264"/>
      <c r="D65" s="264"/>
      <c r="E65" s="264"/>
      <c r="F65" s="264"/>
      <c r="G65" s="264"/>
      <c r="H65" s="264"/>
      <c r="I65" s="264"/>
      <c r="J65" s="264"/>
      <c r="K65" s="264"/>
      <c r="L65" s="264"/>
      <c r="M65" s="264"/>
      <c r="N65" s="264"/>
      <c r="O65" s="264"/>
      <c r="P65" s="264"/>
      <c r="Q65" s="264"/>
      <c r="R65" s="268">
        <v>291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T65"/>
  <sheetViews>
    <sheetView zoomScale="85" zoomScaleNormal="85" workbookViewId="0">
      <selection activeCell="T2" sqref="T2:T64"/>
    </sheetView>
  </sheetViews>
  <sheetFormatPr defaultRowHeight="15" x14ac:dyDescent="0.25"/>
  <sheetData>
    <row r="1" spans="1:20" x14ac:dyDescent="0.25">
      <c r="A1" s="269" t="s">
        <v>1</v>
      </c>
      <c r="B1" s="269" t="s">
        <v>6</v>
      </c>
      <c r="C1" s="269" t="s">
        <v>46</v>
      </c>
      <c r="D1" s="269" t="s">
        <v>47</v>
      </c>
      <c r="E1" s="269" t="s">
        <v>48</v>
      </c>
      <c r="F1" s="269" t="s">
        <v>49</v>
      </c>
      <c r="G1" s="269" t="s">
        <v>50</v>
      </c>
      <c r="H1" s="269" t="s">
        <v>51</v>
      </c>
      <c r="I1" s="269" t="s">
        <v>52</v>
      </c>
      <c r="J1" s="269" t="s">
        <v>53</v>
      </c>
      <c r="K1" s="269" t="s">
        <v>54</v>
      </c>
      <c r="L1" s="269" t="s">
        <v>55</v>
      </c>
      <c r="M1" s="269" t="s">
        <v>56</v>
      </c>
      <c r="N1" s="269" t="s">
        <v>57</v>
      </c>
      <c r="O1" s="269" t="s">
        <v>58</v>
      </c>
      <c r="P1" s="269" t="s">
        <v>59</v>
      </c>
      <c r="Q1" s="269" t="s">
        <v>667</v>
      </c>
      <c r="R1" s="269" t="s">
        <v>2</v>
      </c>
    </row>
    <row r="2" spans="1:20" x14ac:dyDescent="0.25">
      <c r="A2" s="270">
        <v>1</v>
      </c>
      <c r="B2" s="271" t="s">
        <v>10</v>
      </c>
      <c r="C2" s="271"/>
      <c r="D2" s="271"/>
      <c r="E2" s="271"/>
      <c r="F2" s="271"/>
      <c r="G2" s="271"/>
      <c r="H2" s="271"/>
      <c r="I2" s="271"/>
      <c r="J2" s="271"/>
      <c r="K2" s="271"/>
      <c r="L2" s="271"/>
      <c r="M2" s="271"/>
      <c r="N2" s="271"/>
      <c r="O2" s="271"/>
      <c r="P2" s="271"/>
      <c r="Q2" s="271"/>
      <c r="R2" s="270">
        <v>0</v>
      </c>
      <c r="T2">
        <f t="shared" ref="T2:T64" si="0">C2+D2+E2+F2+G2+H2+I2+J2+K2+L2+M2+N2+O2+P2+Q2</f>
        <v>0</v>
      </c>
    </row>
    <row r="3" spans="1:20" x14ac:dyDescent="0.25">
      <c r="A3" s="270">
        <v>2</v>
      </c>
      <c r="B3" s="271" t="s">
        <v>11</v>
      </c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1"/>
      <c r="P3" s="271"/>
      <c r="Q3" s="271"/>
      <c r="R3" s="270">
        <v>0</v>
      </c>
      <c r="T3">
        <f t="shared" si="0"/>
        <v>0</v>
      </c>
    </row>
    <row r="4" spans="1:20" x14ac:dyDescent="0.25">
      <c r="A4" s="270">
        <v>3</v>
      </c>
      <c r="B4" s="271" t="s">
        <v>12</v>
      </c>
      <c r="C4" s="271"/>
      <c r="D4" s="271"/>
      <c r="E4" s="271"/>
      <c r="F4" s="271"/>
      <c r="G4" s="271"/>
      <c r="H4" s="271"/>
      <c r="I4" s="271"/>
      <c r="J4" s="271"/>
      <c r="K4" s="271"/>
      <c r="L4" s="271"/>
      <c r="M4" s="271"/>
      <c r="N4" s="271"/>
      <c r="O4" s="271"/>
      <c r="P4" s="271"/>
      <c r="Q4" s="271"/>
      <c r="R4" s="270">
        <v>0</v>
      </c>
      <c r="T4">
        <f t="shared" si="0"/>
        <v>0</v>
      </c>
    </row>
    <row r="5" spans="1:20" x14ac:dyDescent="0.25">
      <c r="A5" s="270">
        <v>4</v>
      </c>
      <c r="B5" s="271" t="s">
        <v>651</v>
      </c>
      <c r="C5" s="271"/>
      <c r="D5" s="271"/>
      <c r="E5" s="271"/>
      <c r="F5" s="271"/>
      <c r="G5" s="271"/>
      <c r="H5" s="271"/>
      <c r="I5" s="271"/>
      <c r="J5" s="271"/>
      <c r="K5" s="271"/>
      <c r="L5" s="271"/>
      <c r="M5" s="271"/>
      <c r="N5" s="271"/>
      <c r="O5" s="271"/>
      <c r="P5" s="271"/>
      <c r="Q5" s="271"/>
      <c r="R5" s="270">
        <v>0</v>
      </c>
      <c r="T5">
        <f t="shared" si="0"/>
        <v>0</v>
      </c>
    </row>
    <row r="6" spans="1:20" x14ac:dyDescent="0.25">
      <c r="A6" s="270">
        <v>5</v>
      </c>
      <c r="B6" s="271" t="s">
        <v>14</v>
      </c>
      <c r="C6" s="271"/>
      <c r="D6" s="271"/>
      <c r="E6" s="271"/>
      <c r="F6" s="271"/>
      <c r="G6" s="271"/>
      <c r="H6" s="271"/>
      <c r="I6" s="271"/>
      <c r="J6" s="271"/>
      <c r="K6" s="271"/>
      <c r="L6" s="271"/>
      <c r="M6" s="271"/>
      <c r="N6" s="271"/>
      <c r="O6" s="271"/>
      <c r="P6" s="271"/>
      <c r="Q6" s="271"/>
      <c r="R6" s="270">
        <v>0</v>
      </c>
      <c r="T6">
        <f t="shared" si="0"/>
        <v>0</v>
      </c>
    </row>
    <row r="7" spans="1:20" x14ac:dyDescent="0.25">
      <c r="A7" s="270">
        <v>6</v>
      </c>
      <c r="B7" s="271" t="s">
        <v>15</v>
      </c>
      <c r="C7" s="271"/>
      <c r="D7" s="271"/>
      <c r="E7" s="271"/>
      <c r="F7" s="271"/>
      <c r="G7" s="271"/>
      <c r="H7" s="271"/>
      <c r="I7" s="271"/>
      <c r="J7" s="271"/>
      <c r="K7" s="271"/>
      <c r="L7" s="271"/>
      <c r="M7" s="271"/>
      <c r="N7" s="271"/>
      <c r="O7" s="271"/>
      <c r="P7" s="271"/>
      <c r="Q7" s="271"/>
      <c r="R7" s="270">
        <v>0</v>
      </c>
      <c r="T7">
        <f t="shared" si="0"/>
        <v>0</v>
      </c>
    </row>
    <row r="8" spans="1:20" x14ac:dyDescent="0.25">
      <c r="A8" s="270">
        <v>7</v>
      </c>
      <c r="B8" s="271" t="s">
        <v>16</v>
      </c>
      <c r="C8" s="271"/>
      <c r="D8" s="271"/>
      <c r="E8" s="271"/>
      <c r="F8" s="271"/>
      <c r="G8" s="271"/>
      <c r="H8" s="271"/>
      <c r="I8" s="271"/>
      <c r="J8" s="271"/>
      <c r="K8" s="271"/>
      <c r="L8" s="271"/>
      <c r="M8" s="271"/>
      <c r="N8" s="271"/>
      <c r="O8" s="271"/>
      <c r="P8" s="271"/>
      <c r="Q8" s="271"/>
      <c r="R8" s="270">
        <v>0</v>
      </c>
      <c r="T8">
        <f t="shared" si="0"/>
        <v>0</v>
      </c>
    </row>
    <row r="9" spans="1:20" x14ac:dyDescent="0.25">
      <c r="A9" s="270">
        <v>8</v>
      </c>
      <c r="B9" s="271" t="s">
        <v>4</v>
      </c>
      <c r="C9" s="271"/>
      <c r="D9" s="271"/>
      <c r="E9" s="271"/>
      <c r="F9" s="271"/>
      <c r="G9" s="271"/>
      <c r="H9" s="271"/>
      <c r="I9" s="271"/>
      <c r="J9" s="271"/>
      <c r="K9" s="271"/>
      <c r="L9" s="271"/>
      <c r="M9" s="271"/>
      <c r="N9" s="271"/>
      <c r="O9" s="271"/>
      <c r="P9" s="271"/>
      <c r="Q9" s="271"/>
      <c r="R9" s="270">
        <v>0</v>
      </c>
      <c r="T9">
        <f t="shared" si="0"/>
        <v>0</v>
      </c>
    </row>
    <row r="10" spans="1:20" x14ac:dyDescent="0.25">
      <c r="A10" s="270">
        <v>9</v>
      </c>
      <c r="B10" s="271" t="s">
        <v>5</v>
      </c>
      <c r="C10" s="271"/>
      <c r="D10" s="271"/>
      <c r="E10" s="271"/>
      <c r="F10" s="271"/>
      <c r="G10" s="271"/>
      <c r="H10" s="271"/>
      <c r="I10" s="271"/>
      <c r="J10" s="271"/>
      <c r="K10" s="271"/>
      <c r="L10" s="271"/>
      <c r="M10" s="271"/>
      <c r="N10" s="271"/>
      <c r="O10" s="271"/>
      <c r="P10" s="271"/>
      <c r="Q10" s="271"/>
      <c r="R10" s="270">
        <v>0</v>
      </c>
      <c r="T10">
        <f t="shared" si="0"/>
        <v>0</v>
      </c>
    </row>
    <row r="11" spans="1:20" x14ac:dyDescent="0.25">
      <c r="A11" s="270">
        <v>10</v>
      </c>
      <c r="B11" s="271" t="s">
        <v>38</v>
      </c>
      <c r="C11" s="271"/>
      <c r="D11" s="271"/>
      <c r="E11" s="271"/>
      <c r="F11" s="271"/>
      <c r="G11" s="271"/>
      <c r="H11" s="271"/>
      <c r="I11" s="271"/>
      <c r="J11" s="271"/>
      <c r="K11" s="271"/>
      <c r="L11" s="271"/>
      <c r="M11" s="271"/>
      <c r="N11" s="271"/>
      <c r="O11" s="271"/>
      <c r="P11" s="271"/>
      <c r="Q11" s="271"/>
      <c r="R11" s="270">
        <v>0</v>
      </c>
      <c r="T11">
        <f t="shared" si="0"/>
        <v>0</v>
      </c>
    </row>
    <row r="12" spans="1:20" x14ac:dyDescent="0.25">
      <c r="A12" s="270">
        <v>11</v>
      </c>
      <c r="B12" s="271" t="s">
        <v>43</v>
      </c>
      <c r="C12" s="271"/>
      <c r="D12" s="271"/>
      <c r="E12" s="271"/>
      <c r="F12" s="271"/>
      <c r="G12" s="271"/>
      <c r="H12" s="271"/>
      <c r="I12" s="271"/>
      <c r="J12" s="271"/>
      <c r="K12" s="271"/>
      <c r="L12" s="271"/>
      <c r="M12" s="271"/>
      <c r="N12" s="271"/>
      <c r="O12" s="271"/>
      <c r="P12" s="271"/>
      <c r="Q12" s="271"/>
      <c r="R12" s="270">
        <v>0</v>
      </c>
      <c r="T12">
        <f t="shared" si="0"/>
        <v>0</v>
      </c>
    </row>
    <row r="13" spans="1:20" x14ac:dyDescent="0.25">
      <c r="A13" s="270">
        <v>12</v>
      </c>
      <c r="B13" s="271" t="s">
        <v>639</v>
      </c>
      <c r="C13" s="271"/>
      <c r="D13" s="271"/>
      <c r="E13" s="271"/>
      <c r="F13" s="271"/>
      <c r="G13" s="271"/>
      <c r="H13" s="271"/>
      <c r="I13" s="271"/>
      <c r="J13" s="271"/>
      <c r="K13" s="271"/>
      <c r="L13" s="271"/>
      <c r="M13" s="271"/>
      <c r="N13" s="271"/>
      <c r="O13" s="271"/>
      <c r="P13" s="271"/>
      <c r="Q13" s="271"/>
      <c r="R13" s="270">
        <v>0</v>
      </c>
      <c r="T13">
        <f t="shared" si="0"/>
        <v>0</v>
      </c>
    </row>
    <row r="14" spans="1:20" x14ac:dyDescent="0.25">
      <c r="A14" s="270">
        <v>13</v>
      </c>
      <c r="B14" s="271" t="s">
        <v>87</v>
      </c>
      <c r="C14" s="271"/>
      <c r="D14" s="271"/>
      <c r="E14" s="271"/>
      <c r="F14" s="271"/>
      <c r="G14" s="271"/>
      <c r="H14" s="271"/>
      <c r="I14" s="271"/>
      <c r="J14" s="271"/>
      <c r="K14" s="271"/>
      <c r="L14" s="271"/>
      <c r="M14" s="271"/>
      <c r="N14" s="271"/>
      <c r="O14" s="271"/>
      <c r="P14" s="271"/>
      <c r="Q14" s="271"/>
      <c r="R14" s="270">
        <v>0</v>
      </c>
      <c r="T14">
        <f t="shared" si="0"/>
        <v>0</v>
      </c>
    </row>
    <row r="15" spans="1:20" x14ac:dyDescent="0.25">
      <c r="A15" s="270">
        <v>14</v>
      </c>
      <c r="B15" s="271" t="s">
        <v>95</v>
      </c>
      <c r="C15" s="271"/>
      <c r="D15" s="271"/>
      <c r="E15" s="271"/>
      <c r="F15" s="271"/>
      <c r="G15" s="271"/>
      <c r="H15" s="271"/>
      <c r="I15" s="271"/>
      <c r="J15" s="271"/>
      <c r="K15" s="271"/>
      <c r="L15" s="271"/>
      <c r="M15" s="271"/>
      <c r="N15" s="271"/>
      <c r="O15" s="271"/>
      <c r="P15" s="271"/>
      <c r="Q15" s="271"/>
      <c r="R15" s="270">
        <v>0</v>
      </c>
      <c r="T15">
        <f t="shared" si="0"/>
        <v>0</v>
      </c>
    </row>
    <row r="16" spans="1:20" x14ac:dyDescent="0.25">
      <c r="A16" s="270">
        <v>15</v>
      </c>
      <c r="B16" s="271" t="s">
        <v>96</v>
      </c>
      <c r="C16" s="271"/>
      <c r="D16" s="271"/>
      <c r="E16" s="271"/>
      <c r="F16" s="271"/>
      <c r="G16" s="271"/>
      <c r="H16" s="271"/>
      <c r="I16" s="271"/>
      <c r="J16" s="271"/>
      <c r="K16" s="271"/>
      <c r="L16" s="271"/>
      <c r="M16" s="271"/>
      <c r="N16" s="271"/>
      <c r="O16" s="271"/>
      <c r="P16" s="271"/>
      <c r="Q16" s="271"/>
      <c r="R16" s="270">
        <v>0</v>
      </c>
      <c r="T16">
        <f t="shared" si="0"/>
        <v>0</v>
      </c>
    </row>
    <row r="17" spans="1:20" x14ac:dyDescent="0.25">
      <c r="A17" s="270">
        <v>16</v>
      </c>
      <c r="B17" s="271" t="s">
        <v>97</v>
      </c>
      <c r="C17" s="271"/>
      <c r="D17" s="271"/>
      <c r="E17" s="271"/>
      <c r="F17" s="271"/>
      <c r="G17" s="271"/>
      <c r="H17" s="271"/>
      <c r="I17" s="271"/>
      <c r="J17" s="271"/>
      <c r="K17" s="271"/>
      <c r="L17" s="271"/>
      <c r="M17" s="271"/>
      <c r="N17" s="271"/>
      <c r="O17" s="271"/>
      <c r="P17" s="271"/>
      <c r="Q17" s="271"/>
      <c r="R17" s="270">
        <v>0</v>
      </c>
      <c r="T17">
        <f t="shared" si="0"/>
        <v>0</v>
      </c>
    </row>
    <row r="18" spans="1:20" x14ac:dyDescent="0.25">
      <c r="A18" s="270">
        <v>17</v>
      </c>
      <c r="B18" s="271" t="s">
        <v>98</v>
      </c>
      <c r="C18" s="271"/>
      <c r="D18" s="271"/>
      <c r="E18" s="271"/>
      <c r="F18" s="271"/>
      <c r="G18" s="271"/>
      <c r="H18" s="271"/>
      <c r="I18" s="271"/>
      <c r="J18" s="271"/>
      <c r="K18" s="271"/>
      <c r="L18" s="271"/>
      <c r="M18" s="271"/>
      <c r="N18" s="271"/>
      <c r="O18" s="271"/>
      <c r="P18" s="271"/>
      <c r="Q18" s="271"/>
      <c r="R18" s="270">
        <v>0</v>
      </c>
      <c r="T18">
        <f t="shared" si="0"/>
        <v>0</v>
      </c>
    </row>
    <row r="19" spans="1:20" x14ac:dyDescent="0.25">
      <c r="A19" s="270">
        <v>18</v>
      </c>
      <c r="B19" s="271" t="s">
        <v>616</v>
      </c>
      <c r="C19" s="271"/>
      <c r="D19" s="271"/>
      <c r="E19" s="271"/>
      <c r="F19" s="271"/>
      <c r="G19" s="271"/>
      <c r="H19" s="271"/>
      <c r="I19" s="271"/>
      <c r="J19" s="271"/>
      <c r="K19" s="271"/>
      <c r="L19" s="271"/>
      <c r="M19" s="271"/>
      <c r="N19" s="271"/>
      <c r="O19" s="271"/>
      <c r="P19" s="271"/>
      <c r="Q19" s="271"/>
      <c r="R19" s="270">
        <v>0</v>
      </c>
      <c r="T19">
        <f t="shared" si="0"/>
        <v>0</v>
      </c>
    </row>
    <row r="20" spans="1:20" x14ac:dyDescent="0.25">
      <c r="A20" s="270">
        <v>19</v>
      </c>
      <c r="B20" s="271" t="s">
        <v>617</v>
      </c>
      <c r="C20" s="271"/>
      <c r="D20" s="271"/>
      <c r="E20" s="271"/>
      <c r="F20" s="271"/>
      <c r="G20" s="271"/>
      <c r="H20" s="271"/>
      <c r="I20" s="271"/>
      <c r="J20" s="271"/>
      <c r="K20" s="271"/>
      <c r="L20" s="271"/>
      <c r="M20" s="271"/>
      <c r="N20" s="271"/>
      <c r="O20" s="271"/>
      <c r="P20" s="271"/>
      <c r="Q20" s="271"/>
      <c r="R20" s="270">
        <v>0</v>
      </c>
      <c r="T20">
        <f t="shared" si="0"/>
        <v>0</v>
      </c>
    </row>
    <row r="21" spans="1:20" x14ac:dyDescent="0.25">
      <c r="A21" s="270">
        <v>20</v>
      </c>
      <c r="B21" s="271" t="s">
        <v>626</v>
      </c>
      <c r="C21" s="271"/>
      <c r="D21" s="271"/>
      <c r="E21" s="271"/>
      <c r="F21" s="271"/>
      <c r="G21" s="271"/>
      <c r="H21" s="271"/>
      <c r="I21" s="271"/>
      <c r="J21" s="271"/>
      <c r="K21" s="271"/>
      <c r="L21" s="271"/>
      <c r="M21" s="271"/>
      <c r="N21" s="271"/>
      <c r="O21" s="271"/>
      <c r="P21" s="271"/>
      <c r="Q21" s="271"/>
      <c r="R21" s="270">
        <v>0</v>
      </c>
      <c r="T21">
        <f t="shared" si="0"/>
        <v>0</v>
      </c>
    </row>
    <row r="22" spans="1:20" x14ac:dyDescent="0.25">
      <c r="A22" s="270">
        <v>21</v>
      </c>
      <c r="B22" s="271" t="s">
        <v>618</v>
      </c>
      <c r="C22" s="271"/>
      <c r="D22" s="271"/>
      <c r="E22" s="271"/>
      <c r="F22" s="271"/>
      <c r="G22" s="271"/>
      <c r="H22" s="271"/>
      <c r="I22" s="271"/>
      <c r="J22" s="271"/>
      <c r="K22" s="271"/>
      <c r="L22" s="271"/>
      <c r="M22" s="271"/>
      <c r="N22" s="271"/>
      <c r="O22" s="271"/>
      <c r="P22" s="271"/>
      <c r="Q22" s="271"/>
      <c r="R22" s="270">
        <v>0</v>
      </c>
      <c r="T22">
        <f t="shared" si="0"/>
        <v>0</v>
      </c>
    </row>
    <row r="23" spans="1:20" x14ac:dyDescent="0.25">
      <c r="A23" s="270">
        <v>22</v>
      </c>
      <c r="B23" s="271" t="s">
        <v>619</v>
      </c>
      <c r="C23" s="271"/>
      <c r="D23" s="271"/>
      <c r="E23" s="271"/>
      <c r="F23" s="271"/>
      <c r="G23" s="271"/>
      <c r="H23" s="271"/>
      <c r="I23" s="271"/>
      <c r="J23" s="271"/>
      <c r="K23" s="271"/>
      <c r="L23" s="271"/>
      <c r="M23" s="271"/>
      <c r="N23" s="271"/>
      <c r="O23" s="271"/>
      <c r="P23" s="271"/>
      <c r="Q23" s="271"/>
      <c r="R23" s="270">
        <v>0</v>
      </c>
      <c r="T23">
        <f t="shared" si="0"/>
        <v>0</v>
      </c>
    </row>
    <row r="24" spans="1:20" x14ac:dyDescent="0.25">
      <c r="A24" s="270">
        <v>23</v>
      </c>
      <c r="B24" s="271" t="s">
        <v>620</v>
      </c>
      <c r="C24" s="271"/>
      <c r="D24" s="271"/>
      <c r="E24" s="271"/>
      <c r="F24" s="271"/>
      <c r="G24" s="271"/>
      <c r="H24" s="271"/>
      <c r="I24" s="271"/>
      <c r="J24" s="271"/>
      <c r="K24" s="271"/>
      <c r="L24" s="271"/>
      <c r="M24" s="271"/>
      <c r="N24" s="271"/>
      <c r="O24" s="271"/>
      <c r="P24" s="271"/>
      <c r="Q24" s="271"/>
      <c r="R24" s="270">
        <v>0</v>
      </c>
      <c r="T24">
        <f t="shared" si="0"/>
        <v>0</v>
      </c>
    </row>
    <row r="25" spans="1:20" x14ac:dyDescent="0.25">
      <c r="A25" s="270">
        <v>24</v>
      </c>
      <c r="B25" s="271" t="s">
        <v>650</v>
      </c>
      <c r="C25" s="271"/>
      <c r="D25" s="271"/>
      <c r="E25" s="271"/>
      <c r="F25" s="271"/>
      <c r="G25" s="271"/>
      <c r="H25" s="271"/>
      <c r="I25" s="271"/>
      <c r="J25" s="271"/>
      <c r="K25" s="271"/>
      <c r="L25" s="271"/>
      <c r="M25" s="271"/>
      <c r="N25" s="271"/>
      <c r="O25" s="271"/>
      <c r="P25" s="271"/>
      <c r="Q25" s="271"/>
      <c r="R25" s="270">
        <v>0</v>
      </c>
      <c r="T25">
        <f t="shared" si="0"/>
        <v>0</v>
      </c>
    </row>
    <row r="26" spans="1:20" x14ac:dyDescent="0.25">
      <c r="A26" s="270">
        <v>25</v>
      </c>
      <c r="B26" s="271" t="s">
        <v>621</v>
      </c>
      <c r="C26" s="271"/>
      <c r="D26" s="271"/>
      <c r="E26" s="271"/>
      <c r="F26" s="271"/>
      <c r="G26" s="271"/>
      <c r="H26" s="271"/>
      <c r="I26" s="271"/>
      <c r="J26" s="271"/>
      <c r="K26" s="271"/>
      <c r="L26" s="271"/>
      <c r="M26" s="271"/>
      <c r="N26" s="271"/>
      <c r="O26" s="271"/>
      <c r="P26" s="271"/>
      <c r="Q26" s="271"/>
      <c r="R26" s="270">
        <v>0</v>
      </c>
      <c r="T26">
        <f t="shared" si="0"/>
        <v>0</v>
      </c>
    </row>
    <row r="27" spans="1:20" x14ac:dyDescent="0.25">
      <c r="A27" s="270">
        <v>26</v>
      </c>
      <c r="B27" s="271" t="s">
        <v>622</v>
      </c>
      <c r="C27" s="271"/>
      <c r="D27" s="271"/>
      <c r="E27" s="271"/>
      <c r="F27" s="271"/>
      <c r="G27" s="271"/>
      <c r="H27" s="271"/>
      <c r="I27" s="271"/>
      <c r="J27" s="271"/>
      <c r="K27" s="271"/>
      <c r="L27" s="271"/>
      <c r="M27" s="271"/>
      <c r="N27" s="271"/>
      <c r="O27" s="271"/>
      <c r="P27" s="271"/>
      <c r="Q27" s="271"/>
      <c r="R27" s="270">
        <v>0</v>
      </c>
      <c r="T27">
        <f t="shared" si="0"/>
        <v>0</v>
      </c>
    </row>
    <row r="28" spans="1:20" x14ac:dyDescent="0.25">
      <c r="A28" s="270">
        <v>27</v>
      </c>
      <c r="B28" s="271" t="s">
        <v>623</v>
      </c>
      <c r="C28" s="271"/>
      <c r="D28" s="271"/>
      <c r="E28" s="271"/>
      <c r="F28" s="271"/>
      <c r="G28" s="271"/>
      <c r="H28" s="271"/>
      <c r="I28" s="271"/>
      <c r="J28" s="271"/>
      <c r="K28" s="271"/>
      <c r="L28" s="271"/>
      <c r="M28" s="271"/>
      <c r="N28" s="271"/>
      <c r="O28" s="271"/>
      <c r="P28" s="271"/>
      <c r="Q28" s="271"/>
      <c r="R28" s="270">
        <v>0</v>
      </c>
      <c r="T28">
        <f t="shared" si="0"/>
        <v>0</v>
      </c>
    </row>
    <row r="29" spans="1:20" x14ac:dyDescent="0.25">
      <c r="A29" s="270">
        <v>28</v>
      </c>
      <c r="B29" s="271" t="s">
        <v>624</v>
      </c>
      <c r="C29" s="271"/>
      <c r="D29" s="271"/>
      <c r="E29" s="271"/>
      <c r="F29" s="271"/>
      <c r="G29" s="271"/>
      <c r="H29" s="271"/>
      <c r="I29" s="271"/>
      <c r="J29" s="271"/>
      <c r="K29" s="271"/>
      <c r="L29" s="271"/>
      <c r="M29" s="271"/>
      <c r="N29" s="271"/>
      <c r="O29" s="271"/>
      <c r="P29" s="271"/>
      <c r="Q29" s="271"/>
      <c r="R29" s="270">
        <v>0</v>
      </c>
      <c r="T29">
        <f t="shared" si="0"/>
        <v>0</v>
      </c>
    </row>
    <row r="30" spans="1:20" x14ac:dyDescent="0.25">
      <c r="A30" s="270">
        <v>29</v>
      </c>
      <c r="B30" s="271" t="s">
        <v>627</v>
      </c>
      <c r="C30" s="271"/>
      <c r="D30" s="271"/>
      <c r="E30" s="271"/>
      <c r="F30" s="271"/>
      <c r="G30" s="271"/>
      <c r="H30" s="271"/>
      <c r="I30" s="271"/>
      <c r="J30" s="271"/>
      <c r="K30" s="271"/>
      <c r="L30" s="271"/>
      <c r="M30" s="271"/>
      <c r="N30" s="271"/>
      <c r="O30" s="271"/>
      <c r="P30" s="271"/>
      <c r="Q30" s="271"/>
      <c r="R30" s="270">
        <v>0</v>
      </c>
      <c r="T30">
        <f t="shared" si="0"/>
        <v>0</v>
      </c>
    </row>
    <row r="31" spans="1:20" x14ac:dyDescent="0.25">
      <c r="A31" s="270">
        <v>30</v>
      </c>
      <c r="B31" s="271" t="s">
        <v>625</v>
      </c>
      <c r="C31" s="271"/>
      <c r="D31" s="271"/>
      <c r="E31" s="271"/>
      <c r="F31" s="271"/>
      <c r="G31" s="271"/>
      <c r="H31" s="271"/>
      <c r="I31" s="271"/>
      <c r="J31" s="271"/>
      <c r="K31" s="271"/>
      <c r="L31" s="271"/>
      <c r="M31" s="271"/>
      <c r="N31" s="271"/>
      <c r="O31" s="271"/>
      <c r="P31" s="271"/>
      <c r="Q31" s="271"/>
      <c r="R31" s="270">
        <v>0</v>
      </c>
      <c r="T31">
        <f t="shared" si="0"/>
        <v>0</v>
      </c>
    </row>
    <row r="32" spans="1:20" x14ac:dyDescent="0.25">
      <c r="A32" s="270">
        <v>31</v>
      </c>
      <c r="B32" s="271" t="s">
        <v>34</v>
      </c>
      <c r="C32" s="271"/>
      <c r="D32" s="271"/>
      <c r="E32" s="271"/>
      <c r="F32" s="271"/>
      <c r="G32" s="271"/>
      <c r="H32" s="271"/>
      <c r="I32" s="271"/>
      <c r="J32" s="271"/>
      <c r="K32" s="271"/>
      <c r="L32" s="271"/>
      <c r="M32" s="271"/>
      <c r="N32" s="271"/>
      <c r="O32" s="271"/>
      <c r="P32" s="271"/>
      <c r="Q32" s="271"/>
      <c r="R32" s="270">
        <v>0</v>
      </c>
      <c r="T32">
        <f t="shared" si="0"/>
        <v>0</v>
      </c>
    </row>
    <row r="33" spans="1:20" x14ac:dyDescent="0.25">
      <c r="A33" s="270">
        <v>32</v>
      </c>
      <c r="B33" s="271" t="s">
        <v>45</v>
      </c>
      <c r="C33" s="271"/>
      <c r="D33" s="271"/>
      <c r="E33" s="271"/>
      <c r="F33" s="271"/>
      <c r="G33" s="271"/>
      <c r="H33" s="271"/>
      <c r="I33" s="271"/>
      <c r="J33" s="271"/>
      <c r="K33" s="271"/>
      <c r="L33" s="271"/>
      <c r="M33" s="271"/>
      <c r="N33" s="271"/>
      <c r="O33" s="271"/>
      <c r="P33" s="271"/>
      <c r="Q33" s="271"/>
      <c r="R33" s="270">
        <v>0</v>
      </c>
      <c r="T33">
        <f t="shared" si="0"/>
        <v>0</v>
      </c>
    </row>
    <row r="34" spans="1:20" x14ac:dyDescent="0.25">
      <c r="A34" s="270">
        <v>33</v>
      </c>
      <c r="B34" s="271" t="s">
        <v>630</v>
      </c>
      <c r="C34" s="271"/>
      <c r="D34" s="271"/>
      <c r="E34" s="271"/>
      <c r="F34" s="271"/>
      <c r="G34" s="271"/>
      <c r="H34" s="271"/>
      <c r="I34" s="271"/>
      <c r="J34" s="271"/>
      <c r="K34" s="271"/>
      <c r="L34" s="271" t="s">
        <v>26</v>
      </c>
      <c r="M34" s="271"/>
      <c r="N34" s="271"/>
      <c r="O34" s="271"/>
      <c r="P34" s="271"/>
      <c r="Q34" s="271"/>
      <c r="R34" s="272">
        <v>11</v>
      </c>
      <c r="T34">
        <f t="shared" si="0"/>
        <v>11</v>
      </c>
    </row>
    <row r="35" spans="1:20" x14ac:dyDescent="0.25">
      <c r="A35" s="270">
        <v>34</v>
      </c>
      <c r="B35" s="271" t="s">
        <v>628</v>
      </c>
      <c r="C35" s="271"/>
      <c r="D35" s="271"/>
      <c r="E35" s="271"/>
      <c r="F35" s="271"/>
      <c r="G35" s="271"/>
      <c r="H35" s="271"/>
      <c r="I35" s="271"/>
      <c r="J35" s="271"/>
      <c r="K35" s="271"/>
      <c r="L35" s="271"/>
      <c r="M35" s="271"/>
      <c r="N35" s="271"/>
      <c r="O35" s="271"/>
      <c r="P35" s="271"/>
      <c r="Q35" s="271"/>
      <c r="R35" s="270">
        <v>0</v>
      </c>
      <c r="T35">
        <f t="shared" si="0"/>
        <v>0</v>
      </c>
    </row>
    <row r="36" spans="1:20" x14ac:dyDescent="0.25">
      <c r="A36" s="270">
        <v>35</v>
      </c>
      <c r="B36" s="271" t="s">
        <v>629</v>
      </c>
      <c r="C36" s="271"/>
      <c r="D36" s="271"/>
      <c r="E36" s="271"/>
      <c r="F36" s="271"/>
      <c r="G36" s="271"/>
      <c r="H36" s="271"/>
      <c r="I36" s="271"/>
      <c r="J36" s="271"/>
      <c r="K36" s="271"/>
      <c r="L36" s="271"/>
      <c r="M36" s="271"/>
      <c r="N36" s="271"/>
      <c r="O36" s="271"/>
      <c r="P36" s="271"/>
      <c r="Q36" s="271"/>
      <c r="R36" s="270">
        <v>0</v>
      </c>
      <c r="T36">
        <f t="shared" si="0"/>
        <v>0</v>
      </c>
    </row>
    <row r="37" spans="1:20" x14ac:dyDescent="0.25">
      <c r="A37" s="270">
        <v>36</v>
      </c>
      <c r="B37" s="271" t="s">
        <v>631</v>
      </c>
      <c r="C37" s="271"/>
      <c r="D37" s="271"/>
      <c r="E37" s="271"/>
      <c r="F37" s="271"/>
      <c r="G37" s="271"/>
      <c r="H37" s="271"/>
      <c r="I37" s="271"/>
      <c r="J37" s="271"/>
      <c r="K37" s="271"/>
      <c r="L37" s="271"/>
      <c r="M37" s="271"/>
      <c r="N37" s="271"/>
      <c r="O37" s="271"/>
      <c r="P37" s="271"/>
      <c r="Q37" s="271"/>
      <c r="R37" s="270">
        <v>0</v>
      </c>
      <c r="T37">
        <f t="shared" si="0"/>
        <v>0</v>
      </c>
    </row>
    <row r="38" spans="1:20" x14ac:dyDescent="0.25">
      <c r="A38" s="270">
        <v>37</v>
      </c>
      <c r="B38" s="271" t="s">
        <v>632</v>
      </c>
      <c r="C38" s="271"/>
      <c r="D38" s="271"/>
      <c r="E38" s="271"/>
      <c r="F38" s="271"/>
      <c r="G38" s="271"/>
      <c r="H38" s="271"/>
      <c r="I38" s="271"/>
      <c r="J38" s="271"/>
      <c r="K38" s="271"/>
      <c r="L38" s="271"/>
      <c r="M38" s="271"/>
      <c r="N38" s="271"/>
      <c r="O38" s="271"/>
      <c r="P38" s="271"/>
      <c r="Q38" s="271"/>
      <c r="R38" s="270">
        <v>0</v>
      </c>
      <c r="T38">
        <f t="shared" si="0"/>
        <v>0</v>
      </c>
    </row>
    <row r="39" spans="1:20" x14ac:dyDescent="0.25">
      <c r="A39" s="270">
        <v>38</v>
      </c>
      <c r="B39" s="271" t="s">
        <v>633</v>
      </c>
      <c r="C39" s="271"/>
      <c r="D39" s="271"/>
      <c r="E39" s="271"/>
      <c r="F39" s="271"/>
      <c r="G39" s="271"/>
      <c r="H39" s="271"/>
      <c r="I39" s="271"/>
      <c r="J39" s="271"/>
      <c r="K39" s="271"/>
      <c r="L39" s="271"/>
      <c r="M39" s="271"/>
      <c r="N39" s="271"/>
      <c r="O39" s="271"/>
      <c r="P39" s="271"/>
      <c r="Q39" s="271"/>
      <c r="R39" s="270">
        <v>0</v>
      </c>
      <c r="T39">
        <f t="shared" si="0"/>
        <v>0</v>
      </c>
    </row>
    <row r="40" spans="1:20" x14ac:dyDescent="0.25">
      <c r="A40" s="270">
        <v>39</v>
      </c>
      <c r="B40" s="271" t="s">
        <v>634</v>
      </c>
      <c r="C40" s="271"/>
      <c r="D40" s="271"/>
      <c r="E40" s="271"/>
      <c r="F40" s="271"/>
      <c r="G40" s="271"/>
      <c r="H40" s="271"/>
      <c r="I40" s="271"/>
      <c r="J40" s="271"/>
      <c r="K40" s="271"/>
      <c r="L40" s="271" t="s">
        <v>26</v>
      </c>
      <c r="M40" s="271"/>
      <c r="N40" s="271"/>
      <c r="O40" s="271"/>
      <c r="P40" s="271"/>
      <c r="Q40" s="271"/>
      <c r="R40" s="272">
        <v>11</v>
      </c>
      <c r="T40">
        <f t="shared" si="0"/>
        <v>11</v>
      </c>
    </row>
    <row r="41" spans="1:20" x14ac:dyDescent="0.25">
      <c r="A41" s="270">
        <v>40</v>
      </c>
      <c r="B41" s="271" t="s">
        <v>636</v>
      </c>
      <c r="C41" s="271"/>
      <c r="D41" s="271"/>
      <c r="E41" s="271"/>
      <c r="F41" s="271"/>
      <c r="G41" s="271"/>
      <c r="H41" s="271"/>
      <c r="I41" s="271"/>
      <c r="J41" s="271"/>
      <c r="K41" s="271"/>
      <c r="L41" s="271"/>
      <c r="M41" s="271"/>
      <c r="N41" s="271"/>
      <c r="O41" s="271"/>
      <c r="P41" s="271"/>
      <c r="Q41" s="271"/>
      <c r="R41" s="270">
        <v>0</v>
      </c>
      <c r="T41">
        <f t="shared" si="0"/>
        <v>0</v>
      </c>
    </row>
    <row r="42" spans="1:20" x14ac:dyDescent="0.25">
      <c r="A42" s="270">
        <v>41</v>
      </c>
      <c r="B42" s="271" t="s">
        <v>637</v>
      </c>
      <c r="C42" s="271"/>
      <c r="D42" s="271"/>
      <c r="E42" s="271"/>
      <c r="F42" s="271"/>
      <c r="G42" s="271"/>
      <c r="H42" s="271"/>
      <c r="I42" s="271"/>
      <c r="J42" s="271"/>
      <c r="K42" s="271"/>
      <c r="L42" s="271"/>
      <c r="M42" s="271"/>
      <c r="N42" s="271"/>
      <c r="O42" s="271"/>
      <c r="P42" s="271"/>
      <c r="Q42" s="271"/>
      <c r="R42" s="270">
        <v>0</v>
      </c>
      <c r="T42">
        <f t="shared" si="0"/>
        <v>0</v>
      </c>
    </row>
    <row r="43" spans="1:20" x14ac:dyDescent="0.25">
      <c r="A43" s="270">
        <v>42</v>
      </c>
      <c r="B43" s="271" t="s">
        <v>640</v>
      </c>
      <c r="C43" s="271"/>
      <c r="D43" s="271"/>
      <c r="E43" s="271"/>
      <c r="F43" s="271"/>
      <c r="G43" s="271"/>
      <c r="H43" s="271"/>
      <c r="I43" s="271"/>
      <c r="J43" s="271"/>
      <c r="K43" s="271"/>
      <c r="L43" s="271"/>
      <c r="M43" s="271"/>
      <c r="N43" s="271"/>
      <c r="O43" s="271"/>
      <c r="P43" s="271"/>
      <c r="Q43" s="271"/>
      <c r="R43" s="270">
        <v>0</v>
      </c>
      <c r="T43">
        <f t="shared" si="0"/>
        <v>0</v>
      </c>
    </row>
    <row r="44" spans="1:20" x14ac:dyDescent="0.25">
      <c r="A44" s="270">
        <v>43</v>
      </c>
      <c r="B44" s="271" t="s">
        <v>638</v>
      </c>
      <c r="C44" s="271"/>
      <c r="D44" s="271"/>
      <c r="E44" s="271"/>
      <c r="F44" s="271"/>
      <c r="G44" s="271"/>
      <c r="H44" s="271"/>
      <c r="I44" s="271"/>
      <c r="J44" s="271"/>
      <c r="K44" s="271"/>
      <c r="L44" s="271"/>
      <c r="M44" s="271"/>
      <c r="N44" s="271"/>
      <c r="O44" s="271"/>
      <c r="P44" s="271"/>
      <c r="Q44" s="271"/>
      <c r="R44" s="270">
        <v>0</v>
      </c>
      <c r="T44">
        <f t="shared" si="0"/>
        <v>0</v>
      </c>
    </row>
    <row r="45" spans="1:20" x14ac:dyDescent="0.25">
      <c r="A45" s="270">
        <v>44</v>
      </c>
      <c r="B45" s="271" t="s">
        <v>635</v>
      </c>
      <c r="C45" s="271"/>
      <c r="D45" s="271"/>
      <c r="E45" s="271"/>
      <c r="F45" s="271"/>
      <c r="G45" s="271"/>
      <c r="H45" s="271"/>
      <c r="I45" s="271"/>
      <c r="J45" s="271"/>
      <c r="K45" s="271"/>
      <c r="L45" s="271"/>
      <c r="M45" s="271"/>
      <c r="N45" s="271"/>
      <c r="O45" s="271"/>
      <c r="P45" s="271"/>
      <c r="Q45" s="271"/>
      <c r="R45" s="270">
        <v>0</v>
      </c>
      <c r="T45">
        <f t="shared" si="0"/>
        <v>0</v>
      </c>
    </row>
    <row r="46" spans="1:20" x14ac:dyDescent="0.25">
      <c r="A46" s="270">
        <v>45</v>
      </c>
      <c r="B46" s="271" t="s">
        <v>641</v>
      </c>
      <c r="C46" s="271"/>
      <c r="D46" s="271"/>
      <c r="E46" s="271"/>
      <c r="F46" s="271"/>
      <c r="G46" s="271"/>
      <c r="H46" s="271"/>
      <c r="I46" s="271"/>
      <c r="J46" s="271"/>
      <c r="K46" s="271"/>
      <c r="L46" s="271"/>
      <c r="M46" s="271"/>
      <c r="N46" s="271"/>
      <c r="O46" s="271"/>
      <c r="P46" s="271"/>
      <c r="Q46" s="271"/>
      <c r="R46" s="270">
        <v>0</v>
      </c>
      <c r="T46">
        <f t="shared" si="0"/>
        <v>0</v>
      </c>
    </row>
    <row r="47" spans="1:20" x14ac:dyDescent="0.25">
      <c r="A47" s="270">
        <v>46</v>
      </c>
      <c r="B47" s="271" t="s">
        <v>649</v>
      </c>
      <c r="C47" s="271"/>
      <c r="D47" s="271"/>
      <c r="E47" s="271"/>
      <c r="F47" s="271"/>
      <c r="G47" s="271"/>
      <c r="H47" s="271"/>
      <c r="I47" s="271"/>
      <c r="J47" s="271"/>
      <c r="K47" s="271"/>
      <c r="L47" s="271"/>
      <c r="M47" s="271"/>
      <c r="N47" s="271"/>
      <c r="O47" s="271"/>
      <c r="P47" s="271"/>
      <c r="Q47" s="271"/>
      <c r="R47" s="270">
        <v>0</v>
      </c>
      <c r="T47">
        <f t="shared" si="0"/>
        <v>0</v>
      </c>
    </row>
    <row r="48" spans="1:20" x14ac:dyDescent="0.25">
      <c r="A48" s="270">
        <v>47</v>
      </c>
      <c r="B48" s="271" t="s">
        <v>642</v>
      </c>
      <c r="C48" s="271"/>
      <c r="D48" s="271"/>
      <c r="E48" s="271"/>
      <c r="F48" s="271"/>
      <c r="G48" s="271"/>
      <c r="H48" s="271"/>
      <c r="I48" s="271"/>
      <c r="J48" s="271"/>
      <c r="K48" s="271"/>
      <c r="L48" s="271"/>
      <c r="M48" s="271"/>
      <c r="N48" s="271"/>
      <c r="O48" s="271"/>
      <c r="P48" s="271"/>
      <c r="Q48" s="271"/>
      <c r="R48" s="270">
        <v>0</v>
      </c>
      <c r="T48">
        <f t="shared" si="0"/>
        <v>0</v>
      </c>
    </row>
    <row r="49" spans="1:20" x14ac:dyDescent="0.25">
      <c r="A49" s="270">
        <v>48</v>
      </c>
      <c r="B49" s="271" t="s">
        <v>643</v>
      </c>
      <c r="C49" s="271"/>
      <c r="D49" s="271"/>
      <c r="E49" s="271"/>
      <c r="F49" s="271"/>
      <c r="G49" s="271"/>
      <c r="H49" s="271"/>
      <c r="I49" s="271"/>
      <c r="J49" s="271"/>
      <c r="K49" s="271"/>
      <c r="L49" s="271"/>
      <c r="M49" s="271"/>
      <c r="N49" s="271"/>
      <c r="O49" s="271"/>
      <c r="P49" s="271"/>
      <c r="Q49" s="271"/>
      <c r="R49" s="270">
        <v>0</v>
      </c>
      <c r="T49">
        <f t="shared" si="0"/>
        <v>0</v>
      </c>
    </row>
    <row r="50" spans="1:20" x14ac:dyDescent="0.25">
      <c r="A50" s="270">
        <v>49</v>
      </c>
      <c r="B50" s="271" t="s">
        <v>644</v>
      </c>
      <c r="C50" s="271"/>
      <c r="D50" s="271"/>
      <c r="E50" s="271"/>
      <c r="F50" s="271"/>
      <c r="G50" s="271"/>
      <c r="H50" s="271"/>
      <c r="I50" s="271"/>
      <c r="J50" s="271"/>
      <c r="K50" s="271"/>
      <c r="L50" s="271"/>
      <c r="M50" s="271"/>
      <c r="N50" s="271"/>
      <c r="O50" s="271"/>
      <c r="P50" s="271"/>
      <c r="Q50" s="271"/>
      <c r="R50" s="270">
        <v>0</v>
      </c>
      <c r="T50">
        <f t="shared" si="0"/>
        <v>0</v>
      </c>
    </row>
    <row r="51" spans="1:20" x14ac:dyDescent="0.25">
      <c r="A51" s="270">
        <v>50</v>
      </c>
      <c r="B51" s="271" t="s">
        <v>646</v>
      </c>
      <c r="C51" s="271"/>
      <c r="D51" s="271"/>
      <c r="E51" s="271"/>
      <c r="F51" s="271"/>
      <c r="G51" s="271"/>
      <c r="H51" s="271"/>
      <c r="I51" s="271"/>
      <c r="J51" s="271"/>
      <c r="K51" s="271"/>
      <c r="L51" s="271"/>
      <c r="M51" s="271"/>
      <c r="N51" s="271"/>
      <c r="O51" s="271"/>
      <c r="P51" s="271"/>
      <c r="Q51" s="271"/>
      <c r="R51" s="270">
        <v>0</v>
      </c>
      <c r="T51">
        <f t="shared" si="0"/>
        <v>0</v>
      </c>
    </row>
    <row r="52" spans="1:20" x14ac:dyDescent="0.25">
      <c r="A52" s="270">
        <v>51</v>
      </c>
      <c r="B52" s="271" t="s">
        <v>647</v>
      </c>
      <c r="C52" s="271"/>
      <c r="D52" s="271"/>
      <c r="E52" s="271"/>
      <c r="F52" s="271"/>
      <c r="G52" s="271"/>
      <c r="H52" s="271"/>
      <c r="I52" s="271"/>
      <c r="J52" s="271"/>
      <c r="K52" s="271"/>
      <c r="L52" s="271"/>
      <c r="M52" s="271"/>
      <c r="N52" s="271"/>
      <c r="O52" s="271"/>
      <c r="P52" s="271"/>
      <c r="Q52" s="271"/>
      <c r="R52" s="270">
        <v>0</v>
      </c>
      <c r="T52">
        <f t="shared" si="0"/>
        <v>0</v>
      </c>
    </row>
    <row r="53" spans="1:20" x14ac:dyDescent="0.25">
      <c r="A53" s="270">
        <v>52</v>
      </c>
      <c r="B53" s="271" t="s">
        <v>652</v>
      </c>
      <c r="C53" s="271"/>
      <c r="D53" s="271"/>
      <c r="E53" s="271"/>
      <c r="F53" s="271"/>
      <c r="G53" s="271"/>
      <c r="H53" s="271"/>
      <c r="I53" s="271"/>
      <c r="J53" s="271"/>
      <c r="K53" s="271" t="s">
        <v>65</v>
      </c>
      <c r="L53" s="271"/>
      <c r="M53" s="271"/>
      <c r="N53" s="271"/>
      <c r="O53" s="271"/>
      <c r="P53" s="271"/>
      <c r="Q53" s="271"/>
      <c r="R53" s="272">
        <v>12</v>
      </c>
      <c r="T53">
        <f t="shared" si="0"/>
        <v>12</v>
      </c>
    </row>
    <row r="54" spans="1:20" x14ac:dyDescent="0.25">
      <c r="A54" s="270">
        <v>53</v>
      </c>
      <c r="B54" s="271" t="s">
        <v>653</v>
      </c>
      <c r="C54" s="271"/>
      <c r="D54" s="271"/>
      <c r="E54" s="271"/>
      <c r="F54" s="271"/>
      <c r="G54" s="271"/>
      <c r="H54" s="271"/>
      <c r="I54" s="271"/>
      <c r="J54" s="271"/>
      <c r="K54" s="271"/>
      <c r="L54" s="271"/>
      <c r="M54" s="271"/>
      <c r="N54" s="271"/>
      <c r="O54" s="271"/>
      <c r="P54" s="271"/>
      <c r="Q54" s="271"/>
      <c r="R54" s="270">
        <v>0</v>
      </c>
      <c r="T54">
        <f t="shared" si="0"/>
        <v>0</v>
      </c>
    </row>
    <row r="55" spans="1:20" x14ac:dyDescent="0.25">
      <c r="A55" s="270">
        <v>54</v>
      </c>
      <c r="B55" s="271" t="s">
        <v>654</v>
      </c>
      <c r="C55" s="271"/>
      <c r="D55" s="271"/>
      <c r="E55" s="271"/>
      <c r="F55" s="271"/>
      <c r="G55" s="271"/>
      <c r="H55" s="271"/>
      <c r="I55" s="271"/>
      <c r="J55" s="271"/>
      <c r="K55" s="271"/>
      <c r="L55" s="271"/>
      <c r="M55" s="271"/>
      <c r="N55" s="271"/>
      <c r="O55" s="271"/>
      <c r="P55" s="271"/>
      <c r="Q55" s="271"/>
      <c r="R55" s="270">
        <v>0</v>
      </c>
      <c r="T55">
        <f t="shared" si="0"/>
        <v>0</v>
      </c>
    </row>
    <row r="56" spans="1:20" x14ac:dyDescent="0.25">
      <c r="A56" s="270">
        <v>55</v>
      </c>
      <c r="B56" s="271" t="s">
        <v>655</v>
      </c>
      <c r="C56" s="271"/>
      <c r="D56" s="271"/>
      <c r="E56" s="271"/>
      <c r="F56" s="271"/>
      <c r="G56" s="271"/>
      <c r="H56" s="271"/>
      <c r="I56" s="271"/>
      <c r="J56" s="271"/>
      <c r="K56" s="271"/>
      <c r="L56" s="271"/>
      <c r="M56" s="271"/>
      <c r="N56" s="271"/>
      <c r="O56" s="271"/>
      <c r="P56" s="271"/>
      <c r="Q56" s="271"/>
      <c r="R56" s="270">
        <v>0</v>
      </c>
      <c r="T56">
        <f t="shared" si="0"/>
        <v>0</v>
      </c>
    </row>
    <row r="57" spans="1:20" x14ac:dyDescent="0.25">
      <c r="A57" s="270">
        <v>56</v>
      </c>
      <c r="B57" s="271" t="s">
        <v>656</v>
      </c>
      <c r="C57" s="271"/>
      <c r="D57" s="271"/>
      <c r="E57" s="271"/>
      <c r="F57" s="271"/>
      <c r="G57" s="271"/>
      <c r="H57" s="271"/>
      <c r="I57" s="271"/>
      <c r="J57" s="271"/>
      <c r="K57" s="271"/>
      <c r="L57" s="271"/>
      <c r="M57" s="271"/>
      <c r="N57" s="271"/>
      <c r="O57" s="271"/>
      <c r="P57" s="271"/>
      <c r="Q57" s="271"/>
      <c r="R57" s="270">
        <v>0</v>
      </c>
      <c r="T57">
        <f t="shared" si="0"/>
        <v>0</v>
      </c>
    </row>
    <row r="58" spans="1:20" x14ac:dyDescent="0.25">
      <c r="A58" s="270">
        <v>57</v>
      </c>
      <c r="B58" s="271" t="s">
        <v>657</v>
      </c>
      <c r="C58" s="271"/>
      <c r="D58" s="271"/>
      <c r="E58" s="271"/>
      <c r="F58" s="271"/>
      <c r="G58" s="271"/>
      <c r="H58" s="271"/>
      <c r="I58" s="271"/>
      <c r="J58" s="271"/>
      <c r="K58" s="271"/>
      <c r="L58" s="271"/>
      <c r="M58" s="271"/>
      <c r="N58" s="271"/>
      <c r="O58" s="271"/>
      <c r="P58" s="271"/>
      <c r="Q58" s="271"/>
      <c r="R58" s="270">
        <v>0</v>
      </c>
      <c r="T58">
        <f t="shared" si="0"/>
        <v>0</v>
      </c>
    </row>
    <row r="59" spans="1:20" x14ac:dyDescent="0.25">
      <c r="A59" s="270">
        <v>58</v>
      </c>
      <c r="B59" s="271" t="s">
        <v>658</v>
      </c>
      <c r="C59" s="271"/>
      <c r="D59" s="271"/>
      <c r="E59" s="271"/>
      <c r="F59" s="271"/>
      <c r="G59" s="271"/>
      <c r="H59" s="271"/>
      <c r="I59" s="271"/>
      <c r="J59" s="271"/>
      <c r="K59" s="271"/>
      <c r="L59" s="271"/>
      <c r="M59" s="271"/>
      <c r="N59" s="271"/>
      <c r="O59" s="271"/>
      <c r="P59" s="271"/>
      <c r="Q59" s="271"/>
      <c r="R59" s="270">
        <v>0</v>
      </c>
      <c r="T59">
        <f t="shared" si="0"/>
        <v>0</v>
      </c>
    </row>
    <row r="60" spans="1:20" x14ac:dyDescent="0.25">
      <c r="A60" s="270">
        <v>59</v>
      </c>
      <c r="B60" s="271" t="s">
        <v>659</v>
      </c>
      <c r="C60" s="271"/>
      <c r="D60" s="271"/>
      <c r="E60" s="271"/>
      <c r="F60" s="271"/>
      <c r="G60" s="271"/>
      <c r="H60" s="271"/>
      <c r="I60" s="271"/>
      <c r="J60" s="271"/>
      <c r="K60" s="271"/>
      <c r="L60" s="271"/>
      <c r="M60" s="271"/>
      <c r="N60" s="271"/>
      <c r="O60" s="271"/>
      <c r="P60" s="271"/>
      <c r="Q60" s="271"/>
      <c r="R60" s="270">
        <v>0</v>
      </c>
      <c r="T60">
        <f t="shared" si="0"/>
        <v>0</v>
      </c>
    </row>
    <row r="61" spans="1:20" x14ac:dyDescent="0.25">
      <c r="A61" s="270">
        <v>60</v>
      </c>
      <c r="B61" s="271" t="s">
        <v>660</v>
      </c>
      <c r="C61" s="271"/>
      <c r="D61" s="271"/>
      <c r="E61" s="271"/>
      <c r="F61" s="271"/>
      <c r="G61" s="271"/>
      <c r="H61" s="271"/>
      <c r="I61" s="271"/>
      <c r="J61" s="271"/>
      <c r="K61" s="271"/>
      <c r="L61" s="271"/>
      <c r="M61" s="271"/>
      <c r="N61" s="271"/>
      <c r="O61" s="271"/>
      <c r="P61" s="271"/>
      <c r="Q61" s="271"/>
      <c r="R61" s="270">
        <v>0</v>
      </c>
      <c r="T61">
        <f t="shared" si="0"/>
        <v>0</v>
      </c>
    </row>
    <row r="62" spans="1:20" x14ac:dyDescent="0.25">
      <c r="A62" s="270">
        <v>61</v>
      </c>
      <c r="B62" s="271" t="s">
        <v>661</v>
      </c>
      <c r="C62" s="271"/>
      <c r="D62" s="271"/>
      <c r="E62" s="271"/>
      <c r="F62" s="271"/>
      <c r="G62" s="271"/>
      <c r="H62" s="271"/>
      <c r="I62" s="271"/>
      <c r="J62" s="271"/>
      <c r="K62" s="271"/>
      <c r="L62" s="271"/>
      <c r="M62" s="271"/>
      <c r="N62" s="271"/>
      <c r="O62" s="271"/>
      <c r="P62" s="271"/>
      <c r="Q62" s="271"/>
      <c r="R62" s="270">
        <v>0</v>
      </c>
      <c r="T62">
        <f t="shared" si="0"/>
        <v>0</v>
      </c>
    </row>
    <row r="63" spans="1:20" x14ac:dyDescent="0.25">
      <c r="A63" s="270">
        <v>62</v>
      </c>
      <c r="B63" s="271" t="s">
        <v>662</v>
      </c>
      <c r="C63" s="271"/>
      <c r="D63" s="271"/>
      <c r="E63" s="271"/>
      <c r="F63" s="271"/>
      <c r="G63" s="271"/>
      <c r="H63" s="271"/>
      <c r="I63" s="271"/>
      <c r="J63" s="271"/>
      <c r="K63" s="271"/>
      <c r="L63" s="271"/>
      <c r="M63" s="271"/>
      <c r="N63" s="271"/>
      <c r="O63" s="271"/>
      <c r="P63" s="271"/>
      <c r="Q63" s="271"/>
      <c r="R63" s="270">
        <v>0</v>
      </c>
      <c r="T63">
        <f t="shared" si="0"/>
        <v>0</v>
      </c>
    </row>
    <row r="64" spans="1:20" x14ac:dyDescent="0.25">
      <c r="A64" s="270">
        <v>63</v>
      </c>
      <c r="B64" s="271" t="s">
        <v>668</v>
      </c>
      <c r="C64" s="271"/>
      <c r="D64" s="271"/>
      <c r="E64" s="271"/>
      <c r="F64" s="271"/>
      <c r="G64" s="271"/>
      <c r="H64" s="271"/>
      <c r="I64" s="271"/>
      <c r="J64" s="271"/>
      <c r="K64" s="271"/>
      <c r="L64" s="271"/>
      <c r="M64" s="271"/>
      <c r="N64" s="271"/>
      <c r="O64" s="271"/>
      <c r="P64" s="271"/>
      <c r="Q64" s="271"/>
      <c r="R64" s="270">
        <v>0</v>
      </c>
      <c r="T64">
        <f t="shared" si="0"/>
        <v>0</v>
      </c>
    </row>
    <row r="65" spans="1:18" x14ac:dyDescent="0.25">
      <c r="A65" s="269"/>
      <c r="B65" s="269"/>
      <c r="C65" s="269"/>
      <c r="D65" s="269"/>
      <c r="E65" s="269"/>
      <c r="F65" s="269"/>
      <c r="G65" s="269"/>
      <c r="H65" s="269"/>
      <c r="I65" s="269"/>
      <c r="J65" s="269"/>
      <c r="K65" s="269"/>
      <c r="L65" s="269"/>
      <c r="M65" s="269"/>
      <c r="N65" s="269"/>
      <c r="O65" s="269"/>
      <c r="P65" s="269"/>
      <c r="Q65" s="269"/>
      <c r="R65" s="273">
        <v>34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T65"/>
  <sheetViews>
    <sheetView zoomScale="85" zoomScaleNormal="85" workbookViewId="0">
      <selection activeCell="T2" sqref="T2:T64"/>
    </sheetView>
  </sheetViews>
  <sheetFormatPr defaultRowHeight="15" x14ac:dyDescent="0.25"/>
  <sheetData>
    <row r="1" spans="1:20" x14ac:dyDescent="0.25">
      <c r="A1" s="274" t="s">
        <v>1</v>
      </c>
      <c r="B1" s="274" t="s">
        <v>6</v>
      </c>
      <c r="C1" s="274" t="s">
        <v>46</v>
      </c>
      <c r="D1" s="274" t="s">
        <v>47</v>
      </c>
      <c r="E1" s="274" t="s">
        <v>48</v>
      </c>
      <c r="F1" s="274" t="s">
        <v>49</v>
      </c>
      <c r="G1" s="274" t="s">
        <v>50</v>
      </c>
      <c r="H1" s="274" t="s">
        <v>51</v>
      </c>
      <c r="I1" s="274" t="s">
        <v>52</v>
      </c>
      <c r="J1" s="274" t="s">
        <v>53</v>
      </c>
      <c r="K1" s="274" t="s">
        <v>54</v>
      </c>
      <c r="L1" s="274" t="s">
        <v>55</v>
      </c>
      <c r="M1" s="274" t="s">
        <v>56</v>
      </c>
      <c r="N1" s="274" t="s">
        <v>57</v>
      </c>
      <c r="O1" s="274" t="s">
        <v>58</v>
      </c>
      <c r="P1" s="274" t="s">
        <v>59</v>
      </c>
      <c r="Q1" s="274" t="s">
        <v>667</v>
      </c>
      <c r="R1" s="274" t="s">
        <v>2</v>
      </c>
    </row>
    <row r="2" spans="1:20" x14ac:dyDescent="0.25">
      <c r="A2" s="275">
        <v>1</v>
      </c>
      <c r="B2" s="276" t="s">
        <v>10</v>
      </c>
      <c r="C2" s="276"/>
      <c r="D2" s="276"/>
      <c r="E2" s="276"/>
      <c r="F2" s="276"/>
      <c r="G2" s="276"/>
      <c r="H2" s="276"/>
      <c r="I2" s="276"/>
      <c r="J2" s="276"/>
      <c r="K2" s="276"/>
      <c r="L2" s="276"/>
      <c r="M2" s="276"/>
      <c r="N2" s="276"/>
      <c r="O2" s="276"/>
      <c r="P2" s="276"/>
      <c r="Q2" s="276"/>
      <c r="R2" s="275">
        <v>0</v>
      </c>
      <c r="T2">
        <f t="shared" ref="T2:T64" si="0">C2+D2+E2+F2+G2+H2+I2+J2+K2+L2+M2+N2+O2+P2+Q2</f>
        <v>0</v>
      </c>
    </row>
    <row r="3" spans="1:20" x14ac:dyDescent="0.25">
      <c r="A3" s="275">
        <v>2</v>
      </c>
      <c r="B3" s="276" t="s">
        <v>11</v>
      </c>
      <c r="C3" s="276"/>
      <c r="D3" s="276"/>
      <c r="E3" s="276"/>
      <c r="F3" s="276"/>
      <c r="G3" s="276"/>
      <c r="H3" s="276"/>
      <c r="I3" s="276"/>
      <c r="J3" s="276"/>
      <c r="K3" s="276"/>
      <c r="L3" s="276"/>
      <c r="M3" s="276"/>
      <c r="N3" s="276"/>
      <c r="O3" s="276"/>
      <c r="P3" s="276"/>
      <c r="Q3" s="276"/>
      <c r="R3" s="275">
        <v>0</v>
      </c>
      <c r="T3">
        <f t="shared" si="0"/>
        <v>0</v>
      </c>
    </row>
    <row r="4" spans="1:20" x14ac:dyDescent="0.25">
      <c r="A4" s="275">
        <v>3</v>
      </c>
      <c r="B4" s="276" t="s">
        <v>12</v>
      </c>
      <c r="C4" s="276"/>
      <c r="D4" s="276"/>
      <c r="E4" s="276"/>
      <c r="F4" s="276"/>
      <c r="G4" s="276"/>
      <c r="H4" s="276"/>
      <c r="I4" s="276"/>
      <c r="J4" s="276"/>
      <c r="K4" s="276"/>
      <c r="L4" s="276"/>
      <c r="M4" s="276"/>
      <c r="N4" s="276"/>
      <c r="O4" s="276"/>
      <c r="P4" s="276"/>
      <c r="Q4" s="276"/>
      <c r="R4" s="275">
        <v>0</v>
      </c>
      <c r="T4">
        <f t="shared" si="0"/>
        <v>0</v>
      </c>
    </row>
    <row r="5" spans="1:20" x14ac:dyDescent="0.25">
      <c r="A5" s="275">
        <v>4</v>
      </c>
      <c r="B5" s="276" t="s">
        <v>651</v>
      </c>
      <c r="C5" s="276"/>
      <c r="D5" s="276"/>
      <c r="E5" s="276"/>
      <c r="F5" s="276"/>
      <c r="G5" s="276"/>
      <c r="H5" s="276"/>
      <c r="I5" s="276"/>
      <c r="J5" s="276"/>
      <c r="K5" s="276"/>
      <c r="L5" s="276"/>
      <c r="M5" s="276"/>
      <c r="N5" s="276"/>
      <c r="O5" s="276"/>
      <c r="P5" s="276"/>
      <c r="Q5" s="276"/>
      <c r="R5" s="275">
        <v>0</v>
      </c>
      <c r="T5">
        <f t="shared" si="0"/>
        <v>0</v>
      </c>
    </row>
    <row r="6" spans="1:20" x14ac:dyDescent="0.25">
      <c r="A6" s="275">
        <v>5</v>
      </c>
      <c r="B6" s="276" t="s">
        <v>14</v>
      </c>
      <c r="C6" s="276"/>
      <c r="D6" s="276"/>
      <c r="E6" s="276"/>
      <c r="F6" s="276"/>
      <c r="G6" s="276"/>
      <c r="H6" s="276"/>
      <c r="I6" s="276"/>
      <c r="J6" s="276"/>
      <c r="K6" s="276"/>
      <c r="L6" s="276"/>
      <c r="M6" s="276"/>
      <c r="N6" s="276"/>
      <c r="O6" s="276"/>
      <c r="P6" s="276"/>
      <c r="Q6" s="276"/>
      <c r="R6" s="275">
        <v>0</v>
      </c>
      <c r="T6">
        <f t="shared" si="0"/>
        <v>0</v>
      </c>
    </row>
    <row r="7" spans="1:20" x14ac:dyDescent="0.25">
      <c r="A7" s="275">
        <v>6</v>
      </c>
      <c r="B7" s="276" t="s">
        <v>15</v>
      </c>
      <c r="C7" s="276"/>
      <c r="D7" s="276"/>
      <c r="E7" s="276"/>
      <c r="F7" s="276"/>
      <c r="G7" s="276"/>
      <c r="H7" s="276"/>
      <c r="I7" s="276"/>
      <c r="J7" s="276"/>
      <c r="K7" s="276"/>
      <c r="L7" s="276"/>
      <c r="M7" s="276"/>
      <c r="N7" s="276"/>
      <c r="O7" s="276"/>
      <c r="P7" s="276"/>
      <c r="Q7" s="276"/>
      <c r="R7" s="275">
        <v>0</v>
      </c>
      <c r="T7">
        <f t="shared" si="0"/>
        <v>0</v>
      </c>
    </row>
    <row r="8" spans="1:20" x14ac:dyDescent="0.25">
      <c r="A8" s="275">
        <v>7</v>
      </c>
      <c r="B8" s="276" t="s">
        <v>16</v>
      </c>
      <c r="C8" s="276"/>
      <c r="D8" s="276"/>
      <c r="E8" s="276"/>
      <c r="F8" s="276"/>
      <c r="G8" s="276"/>
      <c r="H8" s="276"/>
      <c r="I8" s="276"/>
      <c r="J8" s="276"/>
      <c r="K8" s="276"/>
      <c r="L8" s="276"/>
      <c r="M8" s="276"/>
      <c r="N8" s="276"/>
      <c r="O8" s="276"/>
      <c r="P8" s="276"/>
      <c r="Q8" s="276"/>
      <c r="R8" s="275">
        <v>0</v>
      </c>
      <c r="T8">
        <f t="shared" si="0"/>
        <v>0</v>
      </c>
    </row>
    <row r="9" spans="1:20" x14ac:dyDescent="0.25">
      <c r="A9" s="275">
        <v>8</v>
      </c>
      <c r="B9" s="276" t="s">
        <v>4</v>
      </c>
      <c r="C9" s="276"/>
      <c r="D9" s="276"/>
      <c r="E9" s="276"/>
      <c r="F9" s="276"/>
      <c r="G9" s="276"/>
      <c r="H9" s="276"/>
      <c r="I9" s="276"/>
      <c r="J9" s="276"/>
      <c r="K9" s="276"/>
      <c r="L9" s="276"/>
      <c r="M9" s="276"/>
      <c r="N9" s="276"/>
      <c r="O9" s="276"/>
      <c r="P9" s="276"/>
      <c r="Q9" s="276"/>
      <c r="R9" s="275">
        <v>0</v>
      </c>
      <c r="T9">
        <f t="shared" si="0"/>
        <v>0</v>
      </c>
    </row>
    <row r="10" spans="1:20" x14ac:dyDescent="0.25">
      <c r="A10" s="275">
        <v>9</v>
      </c>
      <c r="B10" s="276" t="s">
        <v>5</v>
      </c>
      <c r="C10" s="276"/>
      <c r="D10" s="276"/>
      <c r="E10" s="276"/>
      <c r="F10" s="276"/>
      <c r="G10" s="276"/>
      <c r="H10" s="276"/>
      <c r="I10" s="276"/>
      <c r="J10" s="276"/>
      <c r="K10" s="276"/>
      <c r="L10" s="276"/>
      <c r="M10" s="276"/>
      <c r="N10" s="276"/>
      <c r="O10" s="276"/>
      <c r="P10" s="276"/>
      <c r="Q10" s="276"/>
      <c r="R10" s="275">
        <v>0</v>
      </c>
      <c r="T10">
        <f t="shared" si="0"/>
        <v>0</v>
      </c>
    </row>
    <row r="11" spans="1:20" x14ac:dyDescent="0.25">
      <c r="A11" s="275">
        <v>10</v>
      </c>
      <c r="B11" s="276" t="s">
        <v>38</v>
      </c>
      <c r="C11" s="276"/>
      <c r="D11" s="276"/>
      <c r="E11" s="276"/>
      <c r="F11" s="276"/>
      <c r="G11" s="276"/>
      <c r="H11" s="276"/>
      <c r="I11" s="276"/>
      <c r="J11" s="276"/>
      <c r="K11" s="276"/>
      <c r="L11" s="276"/>
      <c r="M11" s="276"/>
      <c r="N11" s="276"/>
      <c r="O11" s="276"/>
      <c r="P11" s="276"/>
      <c r="Q11" s="276"/>
      <c r="R11" s="275">
        <v>0</v>
      </c>
      <c r="T11">
        <f t="shared" si="0"/>
        <v>0</v>
      </c>
    </row>
    <row r="12" spans="1:20" x14ac:dyDescent="0.25">
      <c r="A12" s="275">
        <v>11</v>
      </c>
      <c r="B12" s="276" t="s">
        <v>43</v>
      </c>
      <c r="C12" s="276"/>
      <c r="D12" s="276"/>
      <c r="E12" s="276"/>
      <c r="F12" s="276"/>
      <c r="G12" s="276"/>
      <c r="H12" s="276"/>
      <c r="I12" s="276"/>
      <c r="J12" s="276"/>
      <c r="K12" s="276"/>
      <c r="L12" s="276"/>
      <c r="M12" s="276"/>
      <c r="N12" s="276"/>
      <c r="O12" s="276"/>
      <c r="P12" s="276"/>
      <c r="Q12" s="276"/>
      <c r="R12" s="275">
        <v>0</v>
      </c>
      <c r="T12">
        <f t="shared" si="0"/>
        <v>0</v>
      </c>
    </row>
    <row r="13" spans="1:20" x14ac:dyDescent="0.25">
      <c r="A13" s="275">
        <v>12</v>
      </c>
      <c r="B13" s="276" t="s">
        <v>639</v>
      </c>
      <c r="C13" s="276"/>
      <c r="D13" s="276"/>
      <c r="E13" s="276"/>
      <c r="F13" s="276"/>
      <c r="G13" s="276"/>
      <c r="H13" s="276"/>
      <c r="I13" s="276"/>
      <c r="J13" s="276"/>
      <c r="K13" s="276"/>
      <c r="L13" s="276"/>
      <c r="M13" s="276"/>
      <c r="N13" s="276"/>
      <c r="O13" s="276"/>
      <c r="P13" s="276"/>
      <c r="Q13" s="276"/>
      <c r="R13" s="275">
        <v>0</v>
      </c>
      <c r="T13">
        <f t="shared" si="0"/>
        <v>0</v>
      </c>
    </row>
    <row r="14" spans="1:20" x14ac:dyDescent="0.25">
      <c r="A14" s="275">
        <v>13</v>
      </c>
      <c r="B14" s="276" t="s">
        <v>87</v>
      </c>
      <c r="C14" s="276"/>
      <c r="D14" s="276"/>
      <c r="E14" s="276"/>
      <c r="F14" s="276"/>
      <c r="G14" s="276"/>
      <c r="H14" s="276"/>
      <c r="I14" s="276"/>
      <c r="J14" s="276"/>
      <c r="K14" s="276"/>
      <c r="L14" s="276"/>
      <c r="M14" s="276"/>
      <c r="N14" s="276"/>
      <c r="O14" s="276"/>
      <c r="P14" s="276"/>
      <c r="Q14" s="276"/>
      <c r="R14" s="275">
        <v>0</v>
      </c>
      <c r="T14">
        <f t="shared" si="0"/>
        <v>0</v>
      </c>
    </row>
    <row r="15" spans="1:20" x14ac:dyDescent="0.25">
      <c r="A15" s="275">
        <v>14</v>
      </c>
      <c r="B15" s="276" t="s">
        <v>95</v>
      </c>
      <c r="C15" s="276"/>
      <c r="D15" s="276"/>
      <c r="E15" s="276"/>
      <c r="F15" s="276"/>
      <c r="G15" s="276"/>
      <c r="H15" s="276"/>
      <c r="I15" s="276"/>
      <c r="J15" s="276"/>
      <c r="K15" s="276"/>
      <c r="L15" s="276"/>
      <c r="M15" s="276"/>
      <c r="N15" s="276"/>
      <c r="O15" s="276"/>
      <c r="P15" s="276"/>
      <c r="Q15" s="276"/>
      <c r="R15" s="275">
        <v>0</v>
      </c>
      <c r="T15">
        <f t="shared" si="0"/>
        <v>0</v>
      </c>
    </row>
    <row r="16" spans="1:20" x14ac:dyDescent="0.25">
      <c r="A16" s="275">
        <v>15</v>
      </c>
      <c r="B16" s="276" t="s">
        <v>96</v>
      </c>
      <c r="C16" s="276"/>
      <c r="D16" s="276"/>
      <c r="E16" s="276"/>
      <c r="F16" s="276"/>
      <c r="G16" s="276"/>
      <c r="H16" s="276"/>
      <c r="I16" s="276"/>
      <c r="J16" s="276"/>
      <c r="K16" s="276"/>
      <c r="L16" s="276"/>
      <c r="M16" s="276"/>
      <c r="N16" s="276"/>
      <c r="O16" s="276"/>
      <c r="P16" s="276"/>
      <c r="Q16" s="276"/>
      <c r="R16" s="275">
        <v>0</v>
      </c>
      <c r="T16">
        <f t="shared" si="0"/>
        <v>0</v>
      </c>
    </row>
    <row r="17" spans="1:20" x14ac:dyDescent="0.25">
      <c r="A17" s="275">
        <v>16</v>
      </c>
      <c r="B17" s="276" t="s">
        <v>97</v>
      </c>
      <c r="C17" s="276"/>
      <c r="D17" s="276"/>
      <c r="E17" s="276"/>
      <c r="F17" s="276"/>
      <c r="G17" s="276"/>
      <c r="H17" s="276"/>
      <c r="I17" s="276"/>
      <c r="J17" s="276"/>
      <c r="K17" s="276"/>
      <c r="L17" s="276"/>
      <c r="M17" s="276"/>
      <c r="N17" s="276"/>
      <c r="O17" s="276"/>
      <c r="P17" s="276"/>
      <c r="Q17" s="276"/>
      <c r="R17" s="275">
        <v>0</v>
      </c>
      <c r="T17">
        <f t="shared" si="0"/>
        <v>0</v>
      </c>
    </row>
    <row r="18" spans="1:20" x14ac:dyDescent="0.25">
      <c r="A18" s="275">
        <v>17</v>
      </c>
      <c r="B18" s="276" t="s">
        <v>98</v>
      </c>
      <c r="C18" s="276"/>
      <c r="D18" s="276"/>
      <c r="E18" s="276"/>
      <c r="F18" s="276"/>
      <c r="G18" s="276"/>
      <c r="H18" s="276"/>
      <c r="I18" s="276"/>
      <c r="J18" s="276"/>
      <c r="K18" s="276"/>
      <c r="L18" s="276"/>
      <c r="M18" s="276"/>
      <c r="N18" s="276"/>
      <c r="O18" s="276"/>
      <c r="P18" s="276"/>
      <c r="Q18" s="276"/>
      <c r="R18" s="275">
        <v>0</v>
      </c>
      <c r="T18">
        <f t="shared" si="0"/>
        <v>0</v>
      </c>
    </row>
    <row r="19" spans="1:20" x14ac:dyDescent="0.25">
      <c r="A19" s="275">
        <v>18</v>
      </c>
      <c r="B19" s="276" t="s">
        <v>616</v>
      </c>
      <c r="C19" s="276"/>
      <c r="D19" s="276"/>
      <c r="E19" s="276"/>
      <c r="F19" s="276"/>
      <c r="G19" s="276"/>
      <c r="H19" s="276"/>
      <c r="I19" s="276"/>
      <c r="J19" s="276"/>
      <c r="K19" s="276"/>
      <c r="L19" s="276"/>
      <c r="M19" s="276"/>
      <c r="N19" s="276"/>
      <c r="O19" s="276"/>
      <c r="P19" s="276"/>
      <c r="Q19" s="276"/>
      <c r="R19" s="275">
        <v>0</v>
      </c>
      <c r="T19">
        <f t="shared" si="0"/>
        <v>0</v>
      </c>
    </row>
    <row r="20" spans="1:20" x14ac:dyDescent="0.25">
      <c r="A20" s="275">
        <v>19</v>
      </c>
      <c r="B20" s="276" t="s">
        <v>617</v>
      </c>
      <c r="C20" s="276"/>
      <c r="D20" s="276"/>
      <c r="E20" s="276"/>
      <c r="F20" s="276"/>
      <c r="G20" s="276"/>
      <c r="H20" s="276"/>
      <c r="I20" s="276"/>
      <c r="J20" s="276"/>
      <c r="K20" s="276"/>
      <c r="L20" s="276"/>
      <c r="M20" s="276"/>
      <c r="N20" s="276"/>
      <c r="O20" s="276"/>
      <c r="P20" s="276"/>
      <c r="Q20" s="276"/>
      <c r="R20" s="275">
        <v>0</v>
      </c>
      <c r="T20">
        <f t="shared" si="0"/>
        <v>0</v>
      </c>
    </row>
    <row r="21" spans="1:20" x14ac:dyDescent="0.25">
      <c r="A21" s="275">
        <v>20</v>
      </c>
      <c r="B21" s="276" t="s">
        <v>626</v>
      </c>
      <c r="C21" s="276"/>
      <c r="D21" s="276"/>
      <c r="E21" s="276"/>
      <c r="F21" s="276"/>
      <c r="G21" s="276"/>
      <c r="H21" s="276"/>
      <c r="I21" s="276"/>
      <c r="J21" s="276"/>
      <c r="K21" s="276"/>
      <c r="L21" s="276"/>
      <c r="M21" s="276"/>
      <c r="N21" s="276"/>
      <c r="O21" s="276"/>
      <c r="P21" s="276"/>
      <c r="Q21" s="276"/>
      <c r="R21" s="275">
        <v>0</v>
      </c>
      <c r="T21">
        <f t="shared" si="0"/>
        <v>0</v>
      </c>
    </row>
    <row r="22" spans="1:20" x14ac:dyDescent="0.25">
      <c r="A22" s="275">
        <v>21</v>
      </c>
      <c r="B22" s="276" t="s">
        <v>618</v>
      </c>
      <c r="C22" s="276"/>
      <c r="D22" s="276"/>
      <c r="E22" s="276"/>
      <c r="F22" s="276"/>
      <c r="G22" s="276"/>
      <c r="H22" s="276"/>
      <c r="I22" s="276"/>
      <c r="J22" s="276"/>
      <c r="K22" s="276"/>
      <c r="L22" s="276"/>
      <c r="M22" s="276"/>
      <c r="N22" s="276"/>
      <c r="O22" s="276"/>
      <c r="P22" s="276"/>
      <c r="Q22" s="276"/>
      <c r="R22" s="275">
        <v>0</v>
      </c>
      <c r="T22">
        <f t="shared" si="0"/>
        <v>0</v>
      </c>
    </row>
    <row r="23" spans="1:20" x14ac:dyDescent="0.25">
      <c r="A23" s="275">
        <v>22</v>
      </c>
      <c r="B23" s="276" t="s">
        <v>619</v>
      </c>
      <c r="C23" s="276"/>
      <c r="D23" s="276"/>
      <c r="E23" s="276"/>
      <c r="F23" s="276"/>
      <c r="G23" s="276"/>
      <c r="H23" s="276"/>
      <c r="I23" s="276"/>
      <c r="J23" s="276"/>
      <c r="K23" s="276"/>
      <c r="L23" s="276"/>
      <c r="M23" s="276"/>
      <c r="N23" s="276"/>
      <c r="O23" s="276"/>
      <c r="P23" s="276"/>
      <c r="Q23" s="276"/>
      <c r="R23" s="275">
        <v>0</v>
      </c>
      <c r="T23">
        <f t="shared" si="0"/>
        <v>0</v>
      </c>
    </row>
    <row r="24" spans="1:20" x14ac:dyDescent="0.25">
      <c r="A24" s="275">
        <v>23</v>
      </c>
      <c r="B24" s="276" t="s">
        <v>620</v>
      </c>
      <c r="C24" s="276"/>
      <c r="D24" s="276"/>
      <c r="E24" s="276"/>
      <c r="F24" s="276"/>
      <c r="G24" s="276"/>
      <c r="H24" s="276"/>
      <c r="I24" s="276"/>
      <c r="J24" s="276"/>
      <c r="K24" s="276"/>
      <c r="L24" s="276"/>
      <c r="M24" s="276"/>
      <c r="N24" s="276"/>
      <c r="O24" s="276"/>
      <c r="P24" s="276"/>
      <c r="Q24" s="276"/>
      <c r="R24" s="275">
        <v>0</v>
      </c>
      <c r="T24">
        <f t="shared" si="0"/>
        <v>0</v>
      </c>
    </row>
    <row r="25" spans="1:20" x14ac:dyDescent="0.25">
      <c r="A25" s="275">
        <v>24</v>
      </c>
      <c r="B25" s="276" t="s">
        <v>650</v>
      </c>
      <c r="C25" s="276"/>
      <c r="D25" s="276"/>
      <c r="E25" s="276"/>
      <c r="F25" s="276"/>
      <c r="G25" s="276"/>
      <c r="H25" s="276"/>
      <c r="I25" s="276"/>
      <c r="J25" s="276"/>
      <c r="K25" s="276"/>
      <c r="L25" s="276"/>
      <c r="M25" s="276"/>
      <c r="N25" s="276"/>
      <c r="O25" s="276"/>
      <c r="P25" s="276"/>
      <c r="Q25" s="276"/>
      <c r="R25" s="275">
        <v>0</v>
      </c>
      <c r="T25">
        <f t="shared" si="0"/>
        <v>0</v>
      </c>
    </row>
    <row r="26" spans="1:20" x14ac:dyDescent="0.25">
      <c r="A26" s="275">
        <v>25</v>
      </c>
      <c r="B26" s="276" t="s">
        <v>621</v>
      </c>
      <c r="C26" s="276"/>
      <c r="D26" s="276"/>
      <c r="E26" s="276"/>
      <c r="F26" s="276"/>
      <c r="G26" s="276"/>
      <c r="H26" s="276"/>
      <c r="I26" s="276"/>
      <c r="J26" s="276"/>
      <c r="K26" s="276"/>
      <c r="L26" s="276"/>
      <c r="M26" s="276"/>
      <c r="N26" s="276"/>
      <c r="O26" s="276"/>
      <c r="P26" s="276"/>
      <c r="Q26" s="276"/>
      <c r="R26" s="275">
        <v>0</v>
      </c>
      <c r="T26">
        <f t="shared" si="0"/>
        <v>0</v>
      </c>
    </row>
    <row r="27" spans="1:20" x14ac:dyDescent="0.25">
      <c r="A27" s="275">
        <v>26</v>
      </c>
      <c r="B27" s="276" t="s">
        <v>622</v>
      </c>
      <c r="C27" s="276"/>
      <c r="D27" s="276"/>
      <c r="E27" s="276"/>
      <c r="F27" s="276"/>
      <c r="G27" s="276"/>
      <c r="H27" s="276"/>
      <c r="I27" s="276"/>
      <c r="J27" s="276"/>
      <c r="K27" s="276"/>
      <c r="L27" s="276"/>
      <c r="M27" s="276"/>
      <c r="N27" s="276"/>
      <c r="O27" s="276"/>
      <c r="P27" s="276"/>
      <c r="Q27" s="276"/>
      <c r="R27" s="275">
        <v>0</v>
      </c>
      <c r="T27">
        <f t="shared" si="0"/>
        <v>0</v>
      </c>
    </row>
    <row r="28" spans="1:20" x14ac:dyDescent="0.25">
      <c r="A28" s="275">
        <v>27</v>
      </c>
      <c r="B28" s="276" t="s">
        <v>623</v>
      </c>
      <c r="C28" s="276"/>
      <c r="D28" s="276"/>
      <c r="E28" s="276"/>
      <c r="F28" s="276"/>
      <c r="G28" s="276"/>
      <c r="H28" s="276"/>
      <c r="I28" s="276"/>
      <c r="J28" s="276"/>
      <c r="K28" s="276"/>
      <c r="L28" s="276"/>
      <c r="M28" s="276"/>
      <c r="N28" s="276"/>
      <c r="O28" s="276"/>
      <c r="P28" s="276"/>
      <c r="Q28" s="276"/>
      <c r="R28" s="275">
        <v>0</v>
      </c>
      <c r="T28">
        <f t="shared" si="0"/>
        <v>0</v>
      </c>
    </row>
    <row r="29" spans="1:20" x14ac:dyDescent="0.25">
      <c r="A29" s="275">
        <v>28</v>
      </c>
      <c r="B29" s="276" t="s">
        <v>624</v>
      </c>
      <c r="C29" s="276"/>
      <c r="D29" s="276"/>
      <c r="E29" s="276"/>
      <c r="F29" s="276"/>
      <c r="G29" s="276"/>
      <c r="H29" s="276"/>
      <c r="I29" s="276"/>
      <c r="J29" s="276"/>
      <c r="K29" s="276"/>
      <c r="L29" s="276"/>
      <c r="M29" s="276"/>
      <c r="N29" s="276"/>
      <c r="O29" s="276"/>
      <c r="P29" s="276"/>
      <c r="Q29" s="276"/>
      <c r="R29" s="275">
        <v>0</v>
      </c>
      <c r="T29">
        <f t="shared" si="0"/>
        <v>0</v>
      </c>
    </row>
    <row r="30" spans="1:20" x14ac:dyDescent="0.25">
      <c r="A30" s="275">
        <v>29</v>
      </c>
      <c r="B30" s="276" t="s">
        <v>627</v>
      </c>
      <c r="C30" s="276"/>
      <c r="D30" s="276"/>
      <c r="E30" s="276"/>
      <c r="F30" s="276"/>
      <c r="G30" s="276"/>
      <c r="H30" s="276"/>
      <c r="I30" s="276"/>
      <c r="J30" s="276"/>
      <c r="K30" s="276"/>
      <c r="L30" s="276"/>
      <c r="M30" s="276"/>
      <c r="N30" s="276"/>
      <c r="O30" s="276"/>
      <c r="P30" s="276"/>
      <c r="Q30" s="276"/>
      <c r="R30" s="275">
        <v>0</v>
      </c>
      <c r="T30">
        <f t="shared" si="0"/>
        <v>0</v>
      </c>
    </row>
    <row r="31" spans="1:20" x14ac:dyDescent="0.25">
      <c r="A31" s="275">
        <v>30</v>
      </c>
      <c r="B31" s="276" t="s">
        <v>625</v>
      </c>
      <c r="C31" s="276"/>
      <c r="D31" s="276"/>
      <c r="E31" s="276"/>
      <c r="F31" s="276"/>
      <c r="G31" s="276"/>
      <c r="H31" s="276"/>
      <c r="I31" s="276"/>
      <c r="J31" s="276"/>
      <c r="K31" s="276"/>
      <c r="L31" s="276"/>
      <c r="M31" s="276"/>
      <c r="N31" s="276"/>
      <c r="O31" s="276"/>
      <c r="P31" s="276"/>
      <c r="Q31" s="276"/>
      <c r="R31" s="275">
        <v>0</v>
      </c>
      <c r="T31">
        <f t="shared" si="0"/>
        <v>0</v>
      </c>
    </row>
    <row r="32" spans="1:20" x14ac:dyDescent="0.25">
      <c r="A32" s="275">
        <v>31</v>
      </c>
      <c r="B32" s="276" t="s">
        <v>34</v>
      </c>
      <c r="C32" s="276"/>
      <c r="D32" s="276"/>
      <c r="E32" s="276"/>
      <c r="F32" s="276"/>
      <c r="G32" s="276"/>
      <c r="H32" s="276"/>
      <c r="I32" s="276"/>
      <c r="J32" s="276"/>
      <c r="K32" s="276"/>
      <c r="L32" s="276"/>
      <c r="M32" s="276"/>
      <c r="N32" s="276"/>
      <c r="O32" s="276"/>
      <c r="P32" s="276"/>
      <c r="Q32" s="276"/>
      <c r="R32" s="275">
        <v>0</v>
      </c>
      <c r="T32">
        <f t="shared" si="0"/>
        <v>0</v>
      </c>
    </row>
    <row r="33" spans="1:20" x14ac:dyDescent="0.25">
      <c r="A33" s="275">
        <v>32</v>
      </c>
      <c r="B33" s="276" t="s">
        <v>45</v>
      </c>
      <c r="C33" s="276"/>
      <c r="D33" s="276"/>
      <c r="E33" s="276"/>
      <c r="F33" s="276"/>
      <c r="G33" s="276"/>
      <c r="H33" s="276"/>
      <c r="I33" s="276"/>
      <c r="J33" s="276"/>
      <c r="K33" s="276"/>
      <c r="L33" s="276"/>
      <c r="M33" s="276"/>
      <c r="N33" s="276"/>
      <c r="O33" s="276"/>
      <c r="P33" s="276"/>
      <c r="Q33" s="276"/>
      <c r="R33" s="275">
        <v>0</v>
      </c>
      <c r="T33">
        <f t="shared" si="0"/>
        <v>0</v>
      </c>
    </row>
    <row r="34" spans="1:20" x14ac:dyDescent="0.25">
      <c r="A34" s="275">
        <v>33</v>
      </c>
      <c r="B34" s="276" t="s">
        <v>630</v>
      </c>
      <c r="C34" s="276"/>
      <c r="D34" s="276"/>
      <c r="E34" s="276"/>
      <c r="F34" s="276"/>
      <c r="G34" s="276"/>
      <c r="H34" s="276"/>
      <c r="I34" s="276"/>
      <c r="J34" s="276"/>
      <c r="K34" s="276"/>
      <c r="L34" s="276"/>
      <c r="M34" s="276"/>
      <c r="N34" s="276"/>
      <c r="O34" s="276"/>
      <c r="P34" s="276"/>
      <c r="Q34" s="276"/>
      <c r="R34" s="275">
        <v>0</v>
      </c>
      <c r="T34">
        <f t="shared" si="0"/>
        <v>0</v>
      </c>
    </row>
    <row r="35" spans="1:20" x14ac:dyDescent="0.25">
      <c r="A35" s="275">
        <v>34</v>
      </c>
      <c r="B35" s="276" t="s">
        <v>628</v>
      </c>
      <c r="C35" s="276"/>
      <c r="D35" s="276"/>
      <c r="E35" s="276"/>
      <c r="F35" s="276"/>
      <c r="G35" s="276"/>
      <c r="H35" s="276"/>
      <c r="I35" s="276"/>
      <c r="J35" s="276"/>
      <c r="K35" s="276"/>
      <c r="L35" s="276"/>
      <c r="M35" s="276"/>
      <c r="N35" s="276"/>
      <c r="O35" s="276"/>
      <c r="P35" s="276"/>
      <c r="Q35" s="276"/>
      <c r="R35" s="275">
        <v>0</v>
      </c>
      <c r="T35">
        <f t="shared" si="0"/>
        <v>0</v>
      </c>
    </row>
    <row r="36" spans="1:20" x14ac:dyDescent="0.25">
      <c r="A36" s="275">
        <v>35</v>
      </c>
      <c r="B36" s="276" t="s">
        <v>629</v>
      </c>
      <c r="C36" s="276"/>
      <c r="D36" s="276"/>
      <c r="E36" s="276"/>
      <c r="F36" s="276"/>
      <c r="G36" s="276"/>
      <c r="H36" s="276"/>
      <c r="I36" s="276"/>
      <c r="J36" s="276"/>
      <c r="K36" s="276"/>
      <c r="L36" s="276"/>
      <c r="M36" s="276"/>
      <c r="N36" s="276"/>
      <c r="O36" s="276"/>
      <c r="P36" s="276"/>
      <c r="Q36" s="276"/>
      <c r="R36" s="275">
        <v>0</v>
      </c>
      <c r="T36">
        <f t="shared" si="0"/>
        <v>0</v>
      </c>
    </row>
    <row r="37" spans="1:20" x14ac:dyDescent="0.25">
      <c r="A37" s="275">
        <v>36</v>
      </c>
      <c r="B37" s="276" t="s">
        <v>631</v>
      </c>
      <c r="C37" s="276"/>
      <c r="D37" s="276"/>
      <c r="E37" s="276"/>
      <c r="F37" s="276"/>
      <c r="G37" s="276"/>
      <c r="H37" s="276"/>
      <c r="I37" s="276"/>
      <c r="J37" s="276"/>
      <c r="K37" s="276"/>
      <c r="L37" s="276"/>
      <c r="M37" s="276"/>
      <c r="N37" s="276"/>
      <c r="O37" s="276"/>
      <c r="P37" s="276"/>
      <c r="Q37" s="276"/>
      <c r="R37" s="275">
        <v>0</v>
      </c>
      <c r="T37">
        <f t="shared" si="0"/>
        <v>0</v>
      </c>
    </row>
    <row r="38" spans="1:20" x14ac:dyDescent="0.25">
      <c r="A38" s="275">
        <v>37</v>
      </c>
      <c r="B38" s="276" t="s">
        <v>632</v>
      </c>
      <c r="C38" s="276"/>
      <c r="D38" s="276"/>
      <c r="E38" s="276"/>
      <c r="F38" s="276"/>
      <c r="G38" s="276"/>
      <c r="H38" s="276"/>
      <c r="I38" s="276"/>
      <c r="J38" s="276"/>
      <c r="K38" s="276"/>
      <c r="L38" s="276"/>
      <c r="M38" s="276"/>
      <c r="N38" s="276"/>
      <c r="O38" s="276"/>
      <c r="P38" s="276"/>
      <c r="Q38" s="276"/>
      <c r="R38" s="275">
        <v>0</v>
      </c>
      <c r="T38">
        <f t="shared" si="0"/>
        <v>0</v>
      </c>
    </row>
    <row r="39" spans="1:20" x14ac:dyDescent="0.25">
      <c r="A39" s="275">
        <v>38</v>
      </c>
      <c r="B39" s="276" t="s">
        <v>633</v>
      </c>
      <c r="C39" s="276"/>
      <c r="D39" s="276"/>
      <c r="E39" s="276"/>
      <c r="F39" s="276"/>
      <c r="G39" s="276"/>
      <c r="H39" s="276"/>
      <c r="I39" s="276"/>
      <c r="J39" s="276"/>
      <c r="K39" s="276"/>
      <c r="L39" s="276"/>
      <c r="M39" s="276"/>
      <c r="N39" s="276"/>
      <c r="O39" s="276"/>
      <c r="P39" s="276"/>
      <c r="Q39" s="276"/>
      <c r="R39" s="275">
        <v>0</v>
      </c>
      <c r="T39">
        <f t="shared" si="0"/>
        <v>0</v>
      </c>
    </row>
    <row r="40" spans="1:20" x14ac:dyDescent="0.25">
      <c r="A40" s="275">
        <v>39</v>
      </c>
      <c r="B40" s="276" t="s">
        <v>634</v>
      </c>
      <c r="C40" s="276"/>
      <c r="D40" s="276"/>
      <c r="E40" s="276"/>
      <c r="F40" s="276"/>
      <c r="G40" s="276"/>
      <c r="H40" s="276"/>
      <c r="I40" s="276"/>
      <c r="J40" s="276"/>
      <c r="K40" s="276"/>
      <c r="L40" s="276"/>
      <c r="M40" s="276" t="s">
        <v>26</v>
      </c>
      <c r="N40" s="276" t="s">
        <v>84</v>
      </c>
      <c r="O40" s="276"/>
      <c r="P40" s="276"/>
      <c r="Q40" s="276" t="s">
        <v>26</v>
      </c>
      <c r="R40" s="277">
        <v>28</v>
      </c>
      <c r="T40">
        <f t="shared" si="0"/>
        <v>28</v>
      </c>
    </row>
    <row r="41" spans="1:20" x14ac:dyDescent="0.25">
      <c r="A41" s="275">
        <v>40</v>
      </c>
      <c r="B41" s="276" t="s">
        <v>636</v>
      </c>
      <c r="C41" s="276"/>
      <c r="D41" s="276"/>
      <c r="E41" s="276"/>
      <c r="F41" s="276"/>
      <c r="G41" s="276"/>
      <c r="H41" s="276"/>
      <c r="I41" s="276"/>
      <c r="J41" s="276"/>
      <c r="K41" s="276"/>
      <c r="L41" s="276"/>
      <c r="M41" s="276"/>
      <c r="N41" s="276"/>
      <c r="O41" s="276"/>
      <c r="P41" s="276"/>
      <c r="Q41" s="276"/>
      <c r="R41" s="275">
        <v>0</v>
      </c>
      <c r="T41">
        <f t="shared" si="0"/>
        <v>0</v>
      </c>
    </row>
    <row r="42" spans="1:20" x14ac:dyDescent="0.25">
      <c r="A42" s="275">
        <v>41</v>
      </c>
      <c r="B42" s="276" t="s">
        <v>637</v>
      </c>
      <c r="C42" s="276"/>
      <c r="D42" s="276"/>
      <c r="E42" s="276"/>
      <c r="F42" s="276"/>
      <c r="G42" s="276"/>
      <c r="H42" s="276"/>
      <c r="I42" s="276"/>
      <c r="J42" s="276"/>
      <c r="K42" s="276"/>
      <c r="L42" s="276"/>
      <c r="M42" s="276"/>
      <c r="N42" s="276"/>
      <c r="O42" s="276"/>
      <c r="P42" s="276"/>
      <c r="Q42" s="276"/>
      <c r="R42" s="275">
        <v>0</v>
      </c>
      <c r="T42">
        <f t="shared" si="0"/>
        <v>0</v>
      </c>
    </row>
    <row r="43" spans="1:20" x14ac:dyDescent="0.25">
      <c r="A43" s="275">
        <v>42</v>
      </c>
      <c r="B43" s="276" t="s">
        <v>640</v>
      </c>
      <c r="C43" s="276"/>
      <c r="D43" s="276"/>
      <c r="E43" s="276"/>
      <c r="F43" s="276"/>
      <c r="G43" s="276"/>
      <c r="H43" s="276"/>
      <c r="I43" s="276"/>
      <c r="J43" s="276"/>
      <c r="K43" s="276"/>
      <c r="L43" s="276"/>
      <c r="M43" s="276"/>
      <c r="N43" s="276"/>
      <c r="O43" s="276"/>
      <c r="P43" s="276"/>
      <c r="Q43" s="276"/>
      <c r="R43" s="275">
        <v>0</v>
      </c>
      <c r="T43">
        <f t="shared" si="0"/>
        <v>0</v>
      </c>
    </row>
    <row r="44" spans="1:20" x14ac:dyDescent="0.25">
      <c r="A44" s="275">
        <v>43</v>
      </c>
      <c r="B44" s="276" t="s">
        <v>638</v>
      </c>
      <c r="C44" s="276"/>
      <c r="D44" s="276"/>
      <c r="E44" s="276"/>
      <c r="F44" s="276"/>
      <c r="G44" s="276"/>
      <c r="H44" s="276"/>
      <c r="I44" s="276"/>
      <c r="J44" s="276"/>
      <c r="K44" s="276"/>
      <c r="L44" s="276"/>
      <c r="M44" s="276"/>
      <c r="N44" s="276"/>
      <c r="O44" s="276"/>
      <c r="P44" s="276"/>
      <c r="Q44" s="276"/>
      <c r="R44" s="275">
        <v>0</v>
      </c>
      <c r="T44">
        <f t="shared" si="0"/>
        <v>0</v>
      </c>
    </row>
    <row r="45" spans="1:20" x14ac:dyDescent="0.25">
      <c r="A45" s="275">
        <v>44</v>
      </c>
      <c r="B45" s="276" t="s">
        <v>635</v>
      </c>
      <c r="C45" s="276"/>
      <c r="D45" s="276"/>
      <c r="E45" s="276"/>
      <c r="F45" s="276"/>
      <c r="G45" s="276"/>
      <c r="H45" s="276"/>
      <c r="I45" s="276"/>
      <c r="J45" s="276"/>
      <c r="K45" s="276"/>
      <c r="L45" s="276"/>
      <c r="M45" s="276"/>
      <c r="N45" s="276"/>
      <c r="O45" s="276"/>
      <c r="P45" s="276"/>
      <c r="Q45" s="276"/>
      <c r="R45" s="275">
        <v>0</v>
      </c>
      <c r="T45">
        <f t="shared" si="0"/>
        <v>0</v>
      </c>
    </row>
    <row r="46" spans="1:20" x14ac:dyDescent="0.25">
      <c r="A46" s="275">
        <v>45</v>
      </c>
      <c r="B46" s="276" t="s">
        <v>641</v>
      </c>
      <c r="C46" s="276"/>
      <c r="D46" s="276"/>
      <c r="E46" s="276"/>
      <c r="F46" s="276"/>
      <c r="G46" s="276"/>
      <c r="H46" s="276"/>
      <c r="I46" s="276"/>
      <c r="J46" s="276"/>
      <c r="K46" s="276"/>
      <c r="L46" s="276"/>
      <c r="M46" s="276"/>
      <c r="N46" s="276"/>
      <c r="O46" s="276"/>
      <c r="P46" s="276"/>
      <c r="Q46" s="276"/>
      <c r="R46" s="275">
        <v>0</v>
      </c>
      <c r="T46">
        <f t="shared" si="0"/>
        <v>0</v>
      </c>
    </row>
    <row r="47" spans="1:20" x14ac:dyDescent="0.25">
      <c r="A47" s="275">
        <v>46</v>
      </c>
      <c r="B47" s="276" t="s">
        <v>649</v>
      </c>
      <c r="C47" s="276"/>
      <c r="D47" s="276"/>
      <c r="E47" s="276"/>
      <c r="F47" s="276"/>
      <c r="G47" s="276"/>
      <c r="H47" s="276"/>
      <c r="I47" s="276"/>
      <c r="J47" s="276"/>
      <c r="K47" s="276"/>
      <c r="L47" s="276"/>
      <c r="M47" s="276"/>
      <c r="N47" s="276"/>
      <c r="O47" s="276"/>
      <c r="P47" s="276"/>
      <c r="Q47" s="276"/>
      <c r="R47" s="275">
        <v>0</v>
      </c>
      <c r="T47">
        <f t="shared" si="0"/>
        <v>0</v>
      </c>
    </row>
    <row r="48" spans="1:20" x14ac:dyDescent="0.25">
      <c r="A48" s="275">
        <v>47</v>
      </c>
      <c r="B48" s="276" t="s">
        <v>642</v>
      </c>
      <c r="C48" s="276"/>
      <c r="D48" s="276"/>
      <c r="E48" s="276"/>
      <c r="F48" s="276"/>
      <c r="G48" s="276"/>
      <c r="H48" s="276"/>
      <c r="I48" s="276"/>
      <c r="J48" s="276"/>
      <c r="K48" s="276"/>
      <c r="L48" s="276"/>
      <c r="M48" s="276"/>
      <c r="N48" s="276"/>
      <c r="O48" s="276"/>
      <c r="P48" s="276"/>
      <c r="Q48" s="276"/>
      <c r="R48" s="275">
        <v>0</v>
      </c>
      <c r="T48">
        <f t="shared" si="0"/>
        <v>0</v>
      </c>
    </row>
    <row r="49" spans="1:20" x14ac:dyDescent="0.25">
      <c r="A49" s="275">
        <v>48</v>
      </c>
      <c r="B49" s="276" t="s">
        <v>643</v>
      </c>
      <c r="C49" s="276"/>
      <c r="D49" s="276"/>
      <c r="E49" s="276"/>
      <c r="F49" s="276"/>
      <c r="G49" s="276"/>
      <c r="H49" s="276"/>
      <c r="I49" s="276"/>
      <c r="J49" s="276"/>
      <c r="K49" s="276"/>
      <c r="L49" s="276"/>
      <c r="M49" s="276"/>
      <c r="N49" s="276"/>
      <c r="O49" s="276"/>
      <c r="P49" s="276"/>
      <c r="Q49" s="276"/>
      <c r="R49" s="275">
        <v>0</v>
      </c>
      <c r="T49">
        <f t="shared" si="0"/>
        <v>0</v>
      </c>
    </row>
    <row r="50" spans="1:20" x14ac:dyDescent="0.25">
      <c r="A50" s="275">
        <v>49</v>
      </c>
      <c r="B50" s="276" t="s">
        <v>644</v>
      </c>
      <c r="C50" s="276"/>
      <c r="D50" s="276"/>
      <c r="E50" s="276"/>
      <c r="F50" s="276"/>
      <c r="G50" s="276"/>
      <c r="H50" s="276"/>
      <c r="I50" s="276"/>
      <c r="J50" s="276"/>
      <c r="K50" s="276"/>
      <c r="L50" s="276"/>
      <c r="M50" s="276"/>
      <c r="N50" s="276"/>
      <c r="O50" s="276"/>
      <c r="P50" s="276"/>
      <c r="Q50" s="276"/>
      <c r="R50" s="275">
        <v>0</v>
      </c>
      <c r="T50">
        <f t="shared" si="0"/>
        <v>0</v>
      </c>
    </row>
    <row r="51" spans="1:20" x14ac:dyDescent="0.25">
      <c r="A51" s="275">
        <v>50</v>
      </c>
      <c r="B51" s="276" t="s">
        <v>646</v>
      </c>
      <c r="C51" s="276"/>
      <c r="D51" s="276"/>
      <c r="E51" s="276"/>
      <c r="F51" s="276"/>
      <c r="G51" s="276"/>
      <c r="H51" s="276"/>
      <c r="I51" s="276"/>
      <c r="J51" s="276"/>
      <c r="K51" s="276"/>
      <c r="L51" s="276"/>
      <c r="M51" s="276"/>
      <c r="N51" s="276"/>
      <c r="O51" s="276"/>
      <c r="P51" s="276"/>
      <c r="Q51" s="276"/>
      <c r="R51" s="275">
        <v>0</v>
      </c>
      <c r="T51">
        <f t="shared" si="0"/>
        <v>0</v>
      </c>
    </row>
    <row r="52" spans="1:20" x14ac:dyDescent="0.25">
      <c r="A52" s="275">
        <v>51</v>
      </c>
      <c r="B52" s="276" t="s">
        <v>647</v>
      </c>
      <c r="C52" s="276"/>
      <c r="D52" s="276"/>
      <c r="E52" s="276"/>
      <c r="F52" s="276"/>
      <c r="G52" s="276"/>
      <c r="H52" s="276"/>
      <c r="I52" s="276"/>
      <c r="J52" s="276"/>
      <c r="K52" s="276"/>
      <c r="L52" s="276"/>
      <c r="M52" s="276"/>
      <c r="N52" s="276"/>
      <c r="O52" s="276"/>
      <c r="P52" s="276"/>
      <c r="Q52" s="276"/>
      <c r="R52" s="275">
        <v>0</v>
      </c>
      <c r="T52">
        <f t="shared" si="0"/>
        <v>0</v>
      </c>
    </row>
    <row r="53" spans="1:20" x14ac:dyDescent="0.25">
      <c r="A53" s="275">
        <v>52</v>
      </c>
      <c r="B53" s="276" t="s">
        <v>652</v>
      </c>
      <c r="C53" s="276"/>
      <c r="D53" s="276"/>
      <c r="E53" s="276"/>
      <c r="F53" s="276"/>
      <c r="G53" s="276"/>
      <c r="H53" s="276"/>
      <c r="I53" s="276"/>
      <c r="J53" s="276"/>
      <c r="K53" s="276"/>
      <c r="L53" s="276"/>
      <c r="M53" s="276"/>
      <c r="N53" s="276"/>
      <c r="O53" s="276"/>
      <c r="P53" s="276"/>
      <c r="Q53" s="276"/>
      <c r="R53" s="275">
        <v>0</v>
      </c>
      <c r="T53">
        <f t="shared" si="0"/>
        <v>0</v>
      </c>
    </row>
    <row r="54" spans="1:20" x14ac:dyDescent="0.25">
      <c r="A54" s="275">
        <v>53</v>
      </c>
      <c r="B54" s="276" t="s">
        <v>653</v>
      </c>
      <c r="C54" s="276"/>
      <c r="D54" s="276"/>
      <c r="E54" s="276"/>
      <c r="F54" s="276"/>
      <c r="G54" s="276"/>
      <c r="H54" s="276"/>
      <c r="I54" s="276"/>
      <c r="J54" s="276"/>
      <c r="K54" s="276"/>
      <c r="L54" s="276"/>
      <c r="M54" s="276"/>
      <c r="N54" s="276"/>
      <c r="O54" s="276"/>
      <c r="P54" s="276"/>
      <c r="Q54" s="276"/>
      <c r="R54" s="275">
        <v>0</v>
      </c>
      <c r="T54">
        <f t="shared" si="0"/>
        <v>0</v>
      </c>
    </row>
    <row r="55" spans="1:20" x14ac:dyDescent="0.25">
      <c r="A55" s="275">
        <v>54</v>
      </c>
      <c r="B55" s="276" t="s">
        <v>654</v>
      </c>
      <c r="C55" s="276"/>
      <c r="D55" s="276"/>
      <c r="E55" s="276"/>
      <c r="F55" s="276"/>
      <c r="G55" s="276"/>
      <c r="H55" s="276"/>
      <c r="I55" s="276"/>
      <c r="J55" s="276"/>
      <c r="K55" s="276"/>
      <c r="L55" s="276"/>
      <c r="M55" s="276"/>
      <c r="N55" s="276"/>
      <c r="O55" s="276"/>
      <c r="P55" s="276"/>
      <c r="Q55" s="276"/>
      <c r="R55" s="275">
        <v>0</v>
      </c>
      <c r="T55">
        <f t="shared" si="0"/>
        <v>0</v>
      </c>
    </row>
    <row r="56" spans="1:20" x14ac:dyDescent="0.25">
      <c r="A56" s="275">
        <v>55</v>
      </c>
      <c r="B56" s="276" t="s">
        <v>655</v>
      </c>
      <c r="C56" s="276"/>
      <c r="D56" s="276"/>
      <c r="E56" s="276"/>
      <c r="F56" s="276"/>
      <c r="G56" s="276"/>
      <c r="H56" s="276"/>
      <c r="I56" s="276"/>
      <c r="J56" s="276"/>
      <c r="K56" s="276"/>
      <c r="L56" s="276"/>
      <c r="M56" s="276"/>
      <c r="N56" s="276"/>
      <c r="O56" s="276"/>
      <c r="P56" s="276"/>
      <c r="Q56" s="276"/>
      <c r="R56" s="275">
        <v>0</v>
      </c>
      <c r="T56">
        <f t="shared" si="0"/>
        <v>0</v>
      </c>
    </row>
    <row r="57" spans="1:20" x14ac:dyDescent="0.25">
      <c r="A57" s="275">
        <v>56</v>
      </c>
      <c r="B57" s="276" t="s">
        <v>656</v>
      </c>
      <c r="C57" s="276"/>
      <c r="D57" s="276"/>
      <c r="E57" s="276"/>
      <c r="F57" s="276"/>
      <c r="G57" s="276"/>
      <c r="H57" s="276"/>
      <c r="I57" s="276"/>
      <c r="J57" s="276"/>
      <c r="K57" s="276"/>
      <c r="L57" s="276"/>
      <c r="M57" s="276"/>
      <c r="N57" s="276"/>
      <c r="O57" s="276"/>
      <c r="P57" s="276"/>
      <c r="Q57" s="276"/>
      <c r="R57" s="275">
        <v>0</v>
      </c>
      <c r="T57">
        <f t="shared" si="0"/>
        <v>0</v>
      </c>
    </row>
    <row r="58" spans="1:20" x14ac:dyDescent="0.25">
      <c r="A58" s="275">
        <v>57</v>
      </c>
      <c r="B58" s="276" t="s">
        <v>657</v>
      </c>
      <c r="C58" s="276"/>
      <c r="D58" s="276"/>
      <c r="E58" s="276"/>
      <c r="F58" s="276"/>
      <c r="G58" s="276"/>
      <c r="H58" s="276"/>
      <c r="I58" s="276"/>
      <c r="J58" s="276"/>
      <c r="K58" s="276"/>
      <c r="L58" s="276"/>
      <c r="M58" s="276"/>
      <c r="N58" s="276"/>
      <c r="O58" s="276"/>
      <c r="P58" s="276"/>
      <c r="Q58" s="276"/>
      <c r="R58" s="275">
        <v>0</v>
      </c>
      <c r="T58">
        <f t="shared" si="0"/>
        <v>0</v>
      </c>
    </row>
    <row r="59" spans="1:20" x14ac:dyDescent="0.25">
      <c r="A59" s="275">
        <v>58</v>
      </c>
      <c r="B59" s="276" t="s">
        <v>658</v>
      </c>
      <c r="C59" s="276"/>
      <c r="D59" s="276"/>
      <c r="E59" s="276"/>
      <c r="F59" s="276"/>
      <c r="G59" s="276"/>
      <c r="H59" s="276"/>
      <c r="I59" s="276"/>
      <c r="J59" s="276"/>
      <c r="K59" s="276"/>
      <c r="L59" s="276"/>
      <c r="M59" s="276"/>
      <c r="N59" s="276"/>
      <c r="O59" s="276"/>
      <c r="P59" s="276"/>
      <c r="Q59" s="276"/>
      <c r="R59" s="275">
        <v>0</v>
      </c>
      <c r="T59">
        <f t="shared" si="0"/>
        <v>0</v>
      </c>
    </row>
    <row r="60" spans="1:20" x14ac:dyDescent="0.25">
      <c r="A60" s="275">
        <v>59</v>
      </c>
      <c r="B60" s="276" t="s">
        <v>659</v>
      </c>
      <c r="C60" s="276"/>
      <c r="D60" s="276"/>
      <c r="E60" s="276"/>
      <c r="F60" s="276"/>
      <c r="G60" s="276"/>
      <c r="H60" s="276"/>
      <c r="I60" s="276"/>
      <c r="J60" s="276"/>
      <c r="K60" s="276"/>
      <c r="L60" s="276"/>
      <c r="M60" s="276"/>
      <c r="N60" s="276"/>
      <c r="O60" s="276"/>
      <c r="P60" s="276"/>
      <c r="Q60" s="276"/>
      <c r="R60" s="275">
        <v>0</v>
      </c>
      <c r="T60">
        <f t="shared" si="0"/>
        <v>0</v>
      </c>
    </row>
    <row r="61" spans="1:20" x14ac:dyDescent="0.25">
      <c r="A61" s="275">
        <v>60</v>
      </c>
      <c r="B61" s="276" t="s">
        <v>660</v>
      </c>
      <c r="C61" s="276"/>
      <c r="D61" s="276"/>
      <c r="E61" s="276"/>
      <c r="F61" s="276"/>
      <c r="G61" s="276"/>
      <c r="H61" s="276"/>
      <c r="I61" s="276"/>
      <c r="J61" s="276"/>
      <c r="K61" s="276"/>
      <c r="L61" s="276"/>
      <c r="M61" s="276"/>
      <c r="N61" s="276"/>
      <c r="O61" s="276"/>
      <c r="P61" s="276"/>
      <c r="Q61" s="276"/>
      <c r="R61" s="275">
        <v>0</v>
      </c>
      <c r="T61">
        <f t="shared" si="0"/>
        <v>0</v>
      </c>
    </row>
    <row r="62" spans="1:20" x14ac:dyDescent="0.25">
      <c r="A62" s="275">
        <v>61</v>
      </c>
      <c r="B62" s="276" t="s">
        <v>661</v>
      </c>
      <c r="C62" s="276"/>
      <c r="D62" s="276"/>
      <c r="E62" s="276"/>
      <c r="F62" s="276"/>
      <c r="G62" s="276"/>
      <c r="H62" s="276"/>
      <c r="I62" s="276"/>
      <c r="J62" s="276"/>
      <c r="K62" s="276"/>
      <c r="L62" s="276"/>
      <c r="M62" s="276"/>
      <c r="N62" s="276"/>
      <c r="O62" s="276"/>
      <c r="P62" s="276"/>
      <c r="Q62" s="276"/>
      <c r="R62" s="275">
        <v>0</v>
      </c>
      <c r="T62">
        <f t="shared" si="0"/>
        <v>0</v>
      </c>
    </row>
    <row r="63" spans="1:20" x14ac:dyDescent="0.25">
      <c r="A63" s="275">
        <v>62</v>
      </c>
      <c r="B63" s="276" t="s">
        <v>662</v>
      </c>
      <c r="C63" s="276"/>
      <c r="D63" s="276"/>
      <c r="E63" s="276"/>
      <c r="F63" s="276"/>
      <c r="G63" s="276"/>
      <c r="H63" s="276"/>
      <c r="I63" s="276"/>
      <c r="J63" s="276"/>
      <c r="K63" s="276"/>
      <c r="L63" s="276"/>
      <c r="M63" s="276"/>
      <c r="N63" s="276"/>
      <c r="O63" s="276"/>
      <c r="P63" s="276"/>
      <c r="Q63" s="276"/>
      <c r="R63" s="275">
        <v>0</v>
      </c>
      <c r="T63">
        <f t="shared" si="0"/>
        <v>0</v>
      </c>
    </row>
    <row r="64" spans="1:20" x14ac:dyDescent="0.25">
      <c r="A64" s="275">
        <v>63</v>
      </c>
      <c r="B64" s="276" t="s">
        <v>668</v>
      </c>
      <c r="C64" s="276"/>
      <c r="D64" s="276"/>
      <c r="E64" s="276"/>
      <c r="F64" s="276"/>
      <c r="G64" s="276"/>
      <c r="H64" s="276"/>
      <c r="I64" s="276"/>
      <c r="J64" s="276"/>
      <c r="K64" s="276"/>
      <c r="L64" s="276"/>
      <c r="M64" s="276"/>
      <c r="N64" s="276"/>
      <c r="O64" s="276"/>
      <c r="P64" s="276"/>
      <c r="Q64" s="276"/>
      <c r="R64" s="275">
        <v>0</v>
      </c>
      <c r="T64">
        <f t="shared" si="0"/>
        <v>0</v>
      </c>
    </row>
    <row r="65" spans="1:18" x14ac:dyDescent="0.25">
      <c r="A65" s="274"/>
      <c r="B65" s="274"/>
      <c r="C65" s="274"/>
      <c r="D65" s="274"/>
      <c r="E65" s="274"/>
      <c r="F65" s="274"/>
      <c r="G65" s="274"/>
      <c r="H65" s="274"/>
      <c r="I65" s="274"/>
      <c r="J65" s="274"/>
      <c r="K65" s="274"/>
      <c r="L65" s="274"/>
      <c r="M65" s="274"/>
      <c r="N65" s="274"/>
      <c r="O65" s="274"/>
      <c r="P65" s="274"/>
      <c r="Q65" s="274"/>
      <c r="R65" s="278">
        <v>28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T65"/>
  <sheetViews>
    <sheetView zoomScale="70" zoomScaleNormal="70" workbookViewId="0">
      <selection activeCell="T2" sqref="T2:T64"/>
    </sheetView>
  </sheetViews>
  <sheetFormatPr defaultRowHeight="15" x14ac:dyDescent="0.25"/>
  <sheetData>
    <row r="1" spans="1:20" x14ac:dyDescent="0.25">
      <c r="A1" s="279" t="s">
        <v>1</v>
      </c>
      <c r="B1" s="279" t="s">
        <v>6</v>
      </c>
      <c r="C1" s="279" t="s">
        <v>46</v>
      </c>
      <c r="D1" s="279" t="s">
        <v>47</v>
      </c>
      <c r="E1" s="279" t="s">
        <v>48</v>
      </c>
      <c r="F1" s="279" t="s">
        <v>49</v>
      </c>
      <c r="G1" s="279" t="s">
        <v>50</v>
      </c>
      <c r="H1" s="279" t="s">
        <v>51</v>
      </c>
      <c r="I1" s="279" t="s">
        <v>52</v>
      </c>
      <c r="J1" s="279" t="s">
        <v>53</v>
      </c>
      <c r="K1" s="279" t="s">
        <v>54</v>
      </c>
      <c r="L1" s="279" t="s">
        <v>55</v>
      </c>
      <c r="M1" s="279" t="s">
        <v>56</v>
      </c>
      <c r="N1" s="279" t="s">
        <v>57</v>
      </c>
      <c r="O1" s="279" t="s">
        <v>58</v>
      </c>
      <c r="P1" s="279" t="s">
        <v>59</v>
      </c>
      <c r="Q1" s="279" t="s">
        <v>667</v>
      </c>
      <c r="R1" s="279" t="s">
        <v>2</v>
      </c>
    </row>
    <row r="2" spans="1:20" x14ac:dyDescent="0.25">
      <c r="A2" s="280">
        <v>1</v>
      </c>
      <c r="B2" s="281" t="s">
        <v>10</v>
      </c>
      <c r="C2" s="281"/>
      <c r="D2" s="281"/>
      <c r="E2" s="281"/>
      <c r="F2" s="281"/>
      <c r="G2" s="281"/>
      <c r="H2" s="281"/>
      <c r="I2" s="281"/>
      <c r="J2" s="281"/>
      <c r="K2" s="281"/>
      <c r="L2" s="281"/>
      <c r="M2" s="281"/>
      <c r="N2" s="281"/>
      <c r="O2" s="281"/>
      <c r="P2" s="281"/>
      <c r="Q2" s="281"/>
      <c r="R2" s="280">
        <v>0</v>
      </c>
      <c r="T2">
        <f t="shared" ref="T2:T64" si="0">C2+D2+E2+F2+G2+H2+I2+J2+K2+L2+M2+N2+O2+P2+Q2</f>
        <v>0</v>
      </c>
    </row>
    <row r="3" spans="1:20" x14ac:dyDescent="0.25">
      <c r="A3" s="280">
        <v>2</v>
      </c>
      <c r="B3" s="281" t="s">
        <v>11</v>
      </c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0">
        <v>0</v>
      </c>
      <c r="T3">
        <f t="shared" si="0"/>
        <v>0</v>
      </c>
    </row>
    <row r="4" spans="1:20" x14ac:dyDescent="0.25">
      <c r="A4" s="280">
        <v>3</v>
      </c>
      <c r="B4" s="281" t="s">
        <v>12</v>
      </c>
      <c r="C4" s="281"/>
      <c r="D4" s="281"/>
      <c r="E4" s="281"/>
      <c r="F4" s="281"/>
      <c r="G4" s="281"/>
      <c r="H4" s="281"/>
      <c r="I4" s="281"/>
      <c r="J4" s="281"/>
      <c r="K4" s="281"/>
      <c r="L4" s="281"/>
      <c r="M4" s="281"/>
      <c r="N4" s="281"/>
      <c r="O4" s="281"/>
      <c r="P4" s="281"/>
      <c r="Q4" s="281"/>
      <c r="R4" s="280">
        <v>0</v>
      </c>
      <c r="T4">
        <f t="shared" si="0"/>
        <v>0</v>
      </c>
    </row>
    <row r="5" spans="1:20" x14ac:dyDescent="0.25">
      <c r="A5" s="280">
        <v>4</v>
      </c>
      <c r="B5" s="281" t="s">
        <v>651</v>
      </c>
      <c r="C5" s="281"/>
      <c r="D5" s="281"/>
      <c r="E5" s="281"/>
      <c r="F5" s="281"/>
      <c r="G5" s="281"/>
      <c r="H5" s="281"/>
      <c r="I5" s="281"/>
      <c r="J5" s="281"/>
      <c r="K5" s="281"/>
      <c r="L5" s="281"/>
      <c r="M5" s="281"/>
      <c r="N5" s="281"/>
      <c r="O5" s="281"/>
      <c r="P5" s="281"/>
      <c r="Q5" s="281"/>
      <c r="R5" s="280">
        <v>0</v>
      </c>
      <c r="T5">
        <f t="shared" si="0"/>
        <v>0</v>
      </c>
    </row>
    <row r="6" spans="1:20" x14ac:dyDescent="0.25">
      <c r="A6" s="280">
        <v>5</v>
      </c>
      <c r="B6" s="281" t="s">
        <v>14</v>
      </c>
      <c r="C6" s="281"/>
      <c r="D6" s="281"/>
      <c r="E6" s="281"/>
      <c r="F6" s="281"/>
      <c r="G6" s="281"/>
      <c r="H6" s="281"/>
      <c r="I6" s="281"/>
      <c r="J6" s="281"/>
      <c r="K6" s="281"/>
      <c r="L6" s="281"/>
      <c r="M6" s="281"/>
      <c r="N6" s="281"/>
      <c r="O6" s="281"/>
      <c r="P6" s="281"/>
      <c r="Q6" s="281"/>
      <c r="R6" s="280">
        <v>0</v>
      </c>
      <c r="T6">
        <f t="shared" si="0"/>
        <v>0</v>
      </c>
    </row>
    <row r="7" spans="1:20" x14ac:dyDescent="0.25">
      <c r="A7" s="280">
        <v>6</v>
      </c>
      <c r="B7" s="281" t="s">
        <v>15</v>
      </c>
      <c r="C7" s="281"/>
      <c r="D7" s="281"/>
      <c r="E7" s="281"/>
      <c r="F7" s="281"/>
      <c r="G7" s="281"/>
      <c r="H7" s="281"/>
      <c r="I7" s="281"/>
      <c r="J7" s="281"/>
      <c r="K7" s="281"/>
      <c r="L7" s="281"/>
      <c r="M7" s="281"/>
      <c r="N7" s="281"/>
      <c r="O7" s="281"/>
      <c r="P7" s="281"/>
      <c r="Q7" s="281"/>
      <c r="R7" s="280">
        <v>0</v>
      </c>
      <c r="T7">
        <f t="shared" si="0"/>
        <v>0</v>
      </c>
    </row>
    <row r="8" spans="1:20" x14ac:dyDescent="0.25">
      <c r="A8" s="280">
        <v>7</v>
      </c>
      <c r="B8" s="281" t="s">
        <v>16</v>
      </c>
      <c r="C8" s="281"/>
      <c r="D8" s="281"/>
      <c r="E8" s="281"/>
      <c r="F8" s="281"/>
      <c r="G8" s="281"/>
      <c r="H8" s="281"/>
      <c r="I8" s="281"/>
      <c r="J8" s="281"/>
      <c r="K8" s="281"/>
      <c r="L8" s="281"/>
      <c r="M8" s="281"/>
      <c r="N8" s="281"/>
      <c r="O8" s="281"/>
      <c r="P8" s="281"/>
      <c r="Q8" s="281"/>
      <c r="R8" s="280">
        <v>0</v>
      </c>
      <c r="T8">
        <f t="shared" si="0"/>
        <v>0</v>
      </c>
    </row>
    <row r="9" spans="1:20" x14ac:dyDescent="0.25">
      <c r="A9" s="280">
        <v>8</v>
      </c>
      <c r="B9" s="281" t="s">
        <v>4</v>
      </c>
      <c r="C9" s="281"/>
      <c r="D9" s="281"/>
      <c r="E9" s="281"/>
      <c r="F9" s="281"/>
      <c r="G9" s="281"/>
      <c r="H9" s="281"/>
      <c r="I9" s="281"/>
      <c r="J9" s="281"/>
      <c r="K9" s="281"/>
      <c r="L9" s="281"/>
      <c r="M9" s="281"/>
      <c r="N9" s="281"/>
      <c r="O9" s="281"/>
      <c r="P9" s="281"/>
      <c r="Q9" s="281"/>
      <c r="R9" s="280">
        <v>0</v>
      </c>
      <c r="T9">
        <f t="shared" si="0"/>
        <v>0</v>
      </c>
    </row>
    <row r="10" spans="1:20" x14ac:dyDescent="0.25">
      <c r="A10" s="280">
        <v>9</v>
      </c>
      <c r="B10" s="281" t="s">
        <v>5</v>
      </c>
      <c r="C10" s="281"/>
      <c r="D10" s="281"/>
      <c r="E10" s="281"/>
      <c r="F10" s="281"/>
      <c r="G10" s="281"/>
      <c r="H10" s="281"/>
      <c r="I10" s="281"/>
      <c r="J10" s="281"/>
      <c r="K10" s="281"/>
      <c r="L10" s="281"/>
      <c r="M10" s="281"/>
      <c r="N10" s="281"/>
      <c r="O10" s="281"/>
      <c r="P10" s="281"/>
      <c r="Q10" s="281"/>
      <c r="R10" s="280">
        <v>0</v>
      </c>
      <c r="T10">
        <f t="shared" si="0"/>
        <v>0</v>
      </c>
    </row>
    <row r="11" spans="1:20" x14ac:dyDescent="0.25">
      <c r="A11" s="280">
        <v>10</v>
      </c>
      <c r="B11" s="281" t="s">
        <v>38</v>
      </c>
      <c r="C11" s="281"/>
      <c r="D11" s="281"/>
      <c r="E11" s="281"/>
      <c r="F11" s="281"/>
      <c r="G11" s="281"/>
      <c r="H11" s="281"/>
      <c r="I11" s="281"/>
      <c r="J11" s="281"/>
      <c r="K11" s="281"/>
      <c r="L11" s="281"/>
      <c r="M11" s="281"/>
      <c r="N11" s="281"/>
      <c r="O11" s="281"/>
      <c r="P11" s="281"/>
      <c r="Q11" s="281"/>
      <c r="R11" s="280">
        <v>0</v>
      </c>
      <c r="T11">
        <f t="shared" si="0"/>
        <v>0</v>
      </c>
    </row>
    <row r="12" spans="1:20" x14ac:dyDescent="0.25">
      <c r="A12" s="280">
        <v>11</v>
      </c>
      <c r="B12" s="281" t="s">
        <v>43</v>
      </c>
      <c r="C12" s="281"/>
      <c r="D12" s="281"/>
      <c r="E12" s="281"/>
      <c r="F12" s="281"/>
      <c r="G12" s="281"/>
      <c r="H12" s="281"/>
      <c r="I12" s="281"/>
      <c r="J12" s="281"/>
      <c r="K12" s="281"/>
      <c r="L12" s="281"/>
      <c r="M12" s="281"/>
      <c r="N12" s="281"/>
      <c r="O12" s="281"/>
      <c r="P12" s="281"/>
      <c r="Q12" s="281"/>
      <c r="R12" s="280">
        <v>0</v>
      </c>
      <c r="T12">
        <f t="shared" si="0"/>
        <v>0</v>
      </c>
    </row>
    <row r="13" spans="1:20" x14ac:dyDescent="0.25">
      <c r="A13" s="280">
        <v>12</v>
      </c>
      <c r="B13" s="281" t="s">
        <v>639</v>
      </c>
      <c r="C13" s="281"/>
      <c r="D13" s="281"/>
      <c r="E13" s="281"/>
      <c r="F13" s="281"/>
      <c r="G13" s="281"/>
      <c r="H13" s="281"/>
      <c r="I13" s="281"/>
      <c r="J13" s="281"/>
      <c r="K13" s="281"/>
      <c r="L13" s="281"/>
      <c r="M13" s="281"/>
      <c r="N13" s="281"/>
      <c r="O13" s="281"/>
      <c r="P13" s="281"/>
      <c r="Q13" s="281"/>
      <c r="R13" s="280">
        <v>0</v>
      </c>
      <c r="T13">
        <f t="shared" si="0"/>
        <v>0</v>
      </c>
    </row>
    <row r="14" spans="1:20" x14ac:dyDescent="0.25">
      <c r="A14" s="280">
        <v>13</v>
      </c>
      <c r="B14" s="281" t="s">
        <v>87</v>
      </c>
      <c r="C14" s="281"/>
      <c r="D14" s="281"/>
      <c r="E14" s="281"/>
      <c r="F14" s="281"/>
      <c r="G14" s="281"/>
      <c r="H14" s="281"/>
      <c r="I14" s="281"/>
      <c r="J14" s="281"/>
      <c r="K14" s="281"/>
      <c r="L14" s="281"/>
      <c r="M14" s="281"/>
      <c r="N14" s="281"/>
      <c r="O14" s="281"/>
      <c r="P14" s="281"/>
      <c r="Q14" s="281"/>
      <c r="R14" s="280">
        <v>0</v>
      </c>
      <c r="T14">
        <f t="shared" si="0"/>
        <v>0</v>
      </c>
    </row>
    <row r="15" spans="1:20" x14ac:dyDescent="0.25">
      <c r="A15" s="280">
        <v>14</v>
      </c>
      <c r="B15" s="281" t="s">
        <v>95</v>
      </c>
      <c r="C15" s="281"/>
      <c r="D15" s="281"/>
      <c r="E15" s="281"/>
      <c r="F15" s="281"/>
      <c r="G15" s="281"/>
      <c r="H15" s="281"/>
      <c r="I15" s="281"/>
      <c r="J15" s="281"/>
      <c r="K15" s="281"/>
      <c r="L15" s="281"/>
      <c r="M15" s="281"/>
      <c r="N15" s="281"/>
      <c r="O15" s="281"/>
      <c r="P15" s="281"/>
      <c r="Q15" s="281"/>
      <c r="R15" s="280">
        <v>0</v>
      </c>
      <c r="T15">
        <f t="shared" si="0"/>
        <v>0</v>
      </c>
    </row>
    <row r="16" spans="1:20" x14ac:dyDescent="0.25">
      <c r="A16" s="280">
        <v>15</v>
      </c>
      <c r="B16" s="281" t="s">
        <v>96</v>
      </c>
      <c r="C16" s="281"/>
      <c r="D16" s="281"/>
      <c r="E16" s="281"/>
      <c r="F16" s="281"/>
      <c r="G16" s="281"/>
      <c r="H16" s="281"/>
      <c r="I16" s="281"/>
      <c r="J16" s="281"/>
      <c r="K16" s="281"/>
      <c r="L16" s="281"/>
      <c r="M16" s="281"/>
      <c r="N16" s="281"/>
      <c r="O16" s="281"/>
      <c r="P16" s="281"/>
      <c r="Q16" s="281"/>
      <c r="R16" s="280">
        <v>0</v>
      </c>
      <c r="T16">
        <f t="shared" si="0"/>
        <v>0</v>
      </c>
    </row>
    <row r="17" spans="1:20" x14ac:dyDescent="0.25">
      <c r="A17" s="280">
        <v>16</v>
      </c>
      <c r="B17" s="281" t="s">
        <v>97</v>
      </c>
      <c r="C17" s="281"/>
      <c r="D17" s="281"/>
      <c r="E17" s="281"/>
      <c r="F17" s="281"/>
      <c r="G17" s="281"/>
      <c r="H17" s="281"/>
      <c r="I17" s="281"/>
      <c r="J17" s="281"/>
      <c r="K17" s="281"/>
      <c r="L17" s="281"/>
      <c r="M17" s="281"/>
      <c r="N17" s="281"/>
      <c r="O17" s="281"/>
      <c r="P17" s="281"/>
      <c r="Q17" s="281"/>
      <c r="R17" s="280">
        <v>0</v>
      </c>
      <c r="T17">
        <f t="shared" si="0"/>
        <v>0</v>
      </c>
    </row>
    <row r="18" spans="1:20" x14ac:dyDescent="0.25">
      <c r="A18" s="280">
        <v>17</v>
      </c>
      <c r="B18" s="281" t="s">
        <v>98</v>
      </c>
      <c r="C18" s="281"/>
      <c r="D18" s="281"/>
      <c r="E18" s="281"/>
      <c r="F18" s="281"/>
      <c r="G18" s="281"/>
      <c r="H18" s="281"/>
      <c r="I18" s="281"/>
      <c r="J18" s="281"/>
      <c r="K18" s="281"/>
      <c r="L18" s="281"/>
      <c r="M18" s="281"/>
      <c r="N18" s="281"/>
      <c r="O18" s="281"/>
      <c r="P18" s="281"/>
      <c r="Q18" s="281"/>
      <c r="R18" s="280">
        <v>0</v>
      </c>
      <c r="T18">
        <f t="shared" si="0"/>
        <v>0</v>
      </c>
    </row>
    <row r="19" spans="1:20" x14ac:dyDescent="0.25">
      <c r="A19" s="280">
        <v>18</v>
      </c>
      <c r="B19" s="281" t="s">
        <v>616</v>
      </c>
      <c r="C19" s="281"/>
      <c r="D19" s="281"/>
      <c r="E19" s="281"/>
      <c r="F19" s="281"/>
      <c r="G19" s="281"/>
      <c r="H19" s="281"/>
      <c r="I19" s="281"/>
      <c r="J19" s="281"/>
      <c r="K19" s="281"/>
      <c r="L19" s="281"/>
      <c r="M19" s="281"/>
      <c r="N19" s="281"/>
      <c r="O19" s="281"/>
      <c r="P19" s="281"/>
      <c r="Q19" s="281"/>
      <c r="R19" s="280">
        <v>0</v>
      </c>
      <c r="T19">
        <f t="shared" si="0"/>
        <v>0</v>
      </c>
    </row>
    <row r="20" spans="1:20" x14ac:dyDescent="0.25">
      <c r="A20" s="280">
        <v>19</v>
      </c>
      <c r="B20" s="281" t="s">
        <v>617</v>
      </c>
      <c r="C20" s="281"/>
      <c r="D20" s="281"/>
      <c r="E20" s="281"/>
      <c r="F20" s="281"/>
      <c r="G20" s="281"/>
      <c r="H20" s="281"/>
      <c r="I20" s="281"/>
      <c r="J20" s="281"/>
      <c r="K20" s="281"/>
      <c r="L20" s="281"/>
      <c r="M20" s="281"/>
      <c r="N20" s="281"/>
      <c r="O20" s="281"/>
      <c r="P20" s="281"/>
      <c r="Q20" s="281"/>
      <c r="R20" s="280">
        <v>0</v>
      </c>
      <c r="T20">
        <f t="shared" si="0"/>
        <v>0</v>
      </c>
    </row>
    <row r="21" spans="1:20" x14ac:dyDescent="0.25">
      <c r="A21" s="280">
        <v>20</v>
      </c>
      <c r="B21" s="281" t="s">
        <v>626</v>
      </c>
      <c r="C21" s="281"/>
      <c r="D21" s="281"/>
      <c r="E21" s="281"/>
      <c r="F21" s="281"/>
      <c r="G21" s="281"/>
      <c r="H21" s="281"/>
      <c r="I21" s="281"/>
      <c r="J21" s="281"/>
      <c r="K21" s="281"/>
      <c r="L21" s="281"/>
      <c r="M21" s="281"/>
      <c r="N21" s="281"/>
      <c r="O21" s="281"/>
      <c r="P21" s="281"/>
      <c r="Q21" s="281"/>
      <c r="R21" s="280">
        <v>0</v>
      </c>
      <c r="T21">
        <f t="shared" si="0"/>
        <v>0</v>
      </c>
    </row>
    <row r="22" spans="1:20" x14ac:dyDescent="0.25">
      <c r="A22" s="280">
        <v>21</v>
      </c>
      <c r="B22" s="281" t="s">
        <v>618</v>
      </c>
      <c r="C22" s="281"/>
      <c r="D22" s="281"/>
      <c r="E22" s="281"/>
      <c r="F22" s="281"/>
      <c r="G22" s="281"/>
      <c r="H22" s="281"/>
      <c r="I22" s="281"/>
      <c r="J22" s="281"/>
      <c r="K22" s="281"/>
      <c r="L22" s="281"/>
      <c r="M22" s="281"/>
      <c r="N22" s="281"/>
      <c r="O22" s="281"/>
      <c r="P22" s="281"/>
      <c r="Q22" s="281"/>
      <c r="R22" s="280">
        <v>0</v>
      </c>
      <c r="T22">
        <f t="shared" si="0"/>
        <v>0</v>
      </c>
    </row>
    <row r="23" spans="1:20" x14ac:dyDescent="0.25">
      <c r="A23" s="280">
        <v>22</v>
      </c>
      <c r="B23" s="281" t="s">
        <v>619</v>
      </c>
      <c r="C23" s="281"/>
      <c r="D23" s="281"/>
      <c r="E23" s="281"/>
      <c r="F23" s="281"/>
      <c r="G23" s="281"/>
      <c r="H23" s="281"/>
      <c r="I23" s="281"/>
      <c r="J23" s="281"/>
      <c r="K23" s="281"/>
      <c r="L23" s="281"/>
      <c r="M23" s="281"/>
      <c r="N23" s="281"/>
      <c r="O23" s="281"/>
      <c r="P23" s="281"/>
      <c r="Q23" s="281"/>
      <c r="R23" s="280">
        <v>0</v>
      </c>
      <c r="T23">
        <f t="shared" si="0"/>
        <v>0</v>
      </c>
    </row>
    <row r="24" spans="1:20" x14ac:dyDescent="0.25">
      <c r="A24" s="280">
        <v>23</v>
      </c>
      <c r="B24" s="281" t="s">
        <v>620</v>
      </c>
      <c r="C24" s="281"/>
      <c r="D24" s="281"/>
      <c r="E24" s="281"/>
      <c r="F24" s="281"/>
      <c r="G24" s="281"/>
      <c r="H24" s="281"/>
      <c r="I24" s="281"/>
      <c r="J24" s="281"/>
      <c r="K24" s="281"/>
      <c r="L24" s="281"/>
      <c r="M24" s="281"/>
      <c r="N24" s="281"/>
      <c r="O24" s="281"/>
      <c r="P24" s="281"/>
      <c r="Q24" s="281"/>
      <c r="R24" s="280">
        <v>0</v>
      </c>
      <c r="T24">
        <f t="shared" si="0"/>
        <v>0</v>
      </c>
    </row>
    <row r="25" spans="1:20" x14ac:dyDescent="0.25">
      <c r="A25" s="280">
        <v>24</v>
      </c>
      <c r="B25" s="281" t="s">
        <v>650</v>
      </c>
      <c r="C25" s="281"/>
      <c r="D25" s="281"/>
      <c r="E25" s="281"/>
      <c r="F25" s="281"/>
      <c r="G25" s="281"/>
      <c r="H25" s="281"/>
      <c r="I25" s="281"/>
      <c r="J25" s="281"/>
      <c r="K25" s="281"/>
      <c r="L25" s="281"/>
      <c r="M25" s="281"/>
      <c r="N25" s="281"/>
      <c r="O25" s="281"/>
      <c r="P25" s="281"/>
      <c r="Q25" s="281"/>
      <c r="R25" s="280">
        <v>0</v>
      </c>
      <c r="T25">
        <f t="shared" si="0"/>
        <v>0</v>
      </c>
    </row>
    <row r="26" spans="1:20" x14ac:dyDescent="0.25">
      <c r="A26" s="280">
        <v>25</v>
      </c>
      <c r="B26" s="281" t="s">
        <v>621</v>
      </c>
      <c r="C26" s="281"/>
      <c r="D26" s="281"/>
      <c r="E26" s="281"/>
      <c r="F26" s="281"/>
      <c r="G26" s="281"/>
      <c r="H26" s="281"/>
      <c r="I26" s="281"/>
      <c r="J26" s="281"/>
      <c r="K26" s="281"/>
      <c r="L26" s="281"/>
      <c r="M26" s="281"/>
      <c r="N26" s="281"/>
      <c r="O26" s="281"/>
      <c r="P26" s="281"/>
      <c r="Q26" s="281"/>
      <c r="R26" s="280">
        <v>0</v>
      </c>
      <c r="T26">
        <f t="shared" si="0"/>
        <v>0</v>
      </c>
    </row>
    <row r="27" spans="1:20" x14ac:dyDescent="0.25">
      <c r="A27" s="280">
        <v>26</v>
      </c>
      <c r="B27" s="281" t="s">
        <v>622</v>
      </c>
      <c r="C27" s="281"/>
      <c r="D27" s="281"/>
      <c r="E27" s="281"/>
      <c r="F27" s="281"/>
      <c r="G27" s="281"/>
      <c r="H27" s="281"/>
      <c r="I27" s="281"/>
      <c r="J27" s="281"/>
      <c r="K27" s="281"/>
      <c r="L27" s="281"/>
      <c r="M27" s="281"/>
      <c r="N27" s="281"/>
      <c r="O27" s="281"/>
      <c r="P27" s="281"/>
      <c r="Q27" s="281"/>
      <c r="R27" s="280">
        <v>0</v>
      </c>
      <c r="T27">
        <f t="shared" si="0"/>
        <v>0</v>
      </c>
    </row>
    <row r="28" spans="1:20" x14ac:dyDescent="0.25">
      <c r="A28" s="280">
        <v>27</v>
      </c>
      <c r="B28" s="281" t="s">
        <v>623</v>
      </c>
      <c r="C28" s="281"/>
      <c r="D28" s="281"/>
      <c r="E28" s="281"/>
      <c r="F28" s="281"/>
      <c r="G28" s="281"/>
      <c r="H28" s="281"/>
      <c r="I28" s="281"/>
      <c r="J28" s="281"/>
      <c r="K28" s="281"/>
      <c r="L28" s="281"/>
      <c r="M28" s="281"/>
      <c r="N28" s="281"/>
      <c r="O28" s="281"/>
      <c r="P28" s="281"/>
      <c r="Q28" s="281"/>
      <c r="R28" s="280">
        <v>0</v>
      </c>
      <c r="T28">
        <f t="shared" si="0"/>
        <v>0</v>
      </c>
    </row>
    <row r="29" spans="1:20" x14ac:dyDescent="0.25">
      <c r="A29" s="280">
        <v>28</v>
      </c>
      <c r="B29" s="281" t="s">
        <v>624</v>
      </c>
      <c r="C29" s="281"/>
      <c r="D29" s="281"/>
      <c r="E29" s="281"/>
      <c r="F29" s="281"/>
      <c r="G29" s="281"/>
      <c r="H29" s="281"/>
      <c r="I29" s="281"/>
      <c r="J29" s="281"/>
      <c r="K29" s="281"/>
      <c r="L29" s="281"/>
      <c r="M29" s="281"/>
      <c r="N29" s="281"/>
      <c r="O29" s="281"/>
      <c r="P29" s="281"/>
      <c r="Q29" s="281"/>
      <c r="R29" s="280">
        <v>0</v>
      </c>
      <c r="T29">
        <f t="shared" si="0"/>
        <v>0</v>
      </c>
    </row>
    <row r="30" spans="1:20" x14ac:dyDescent="0.25">
      <c r="A30" s="280">
        <v>29</v>
      </c>
      <c r="B30" s="281" t="s">
        <v>627</v>
      </c>
      <c r="C30" s="281"/>
      <c r="D30" s="281"/>
      <c r="E30" s="281"/>
      <c r="F30" s="281"/>
      <c r="G30" s="281"/>
      <c r="H30" s="281"/>
      <c r="I30" s="281"/>
      <c r="J30" s="281"/>
      <c r="K30" s="281"/>
      <c r="L30" s="281"/>
      <c r="M30" s="281"/>
      <c r="N30" s="281"/>
      <c r="O30" s="281"/>
      <c r="P30" s="281"/>
      <c r="Q30" s="281"/>
      <c r="R30" s="280">
        <v>0</v>
      </c>
      <c r="T30">
        <f t="shared" si="0"/>
        <v>0</v>
      </c>
    </row>
    <row r="31" spans="1:20" x14ac:dyDescent="0.25">
      <c r="A31" s="280">
        <v>30</v>
      </c>
      <c r="B31" s="281" t="s">
        <v>625</v>
      </c>
      <c r="C31" s="281"/>
      <c r="D31" s="281"/>
      <c r="E31" s="281"/>
      <c r="F31" s="281"/>
      <c r="G31" s="281"/>
      <c r="H31" s="281"/>
      <c r="I31" s="281"/>
      <c r="J31" s="281"/>
      <c r="K31" s="281"/>
      <c r="L31" s="281"/>
      <c r="M31" s="281"/>
      <c r="N31" s="281"/>
      <c r="O31" s="281"/>
      <c r="P31" s="281"/>
      <c r="Q31" s="281"/>
      <c r="R31" s="280">
        <v>0</v>
      </c>
      <c r="T31">
        <f t="shared" si="0"/>
        <v>0</v>
      </c>
    </row>
    <row r="32" spans="1:20" x14ac:dyDescent="0.25">
      <c r="A32" s="280">
        <v>31</v>
      </c>
      <c r="B32" s="281" t="s">
        <v>34</v>
      </c>
      <c r="C32" s="281"/>
      <c r="D32" s="281"/>
      <c r="E32" s="281"/>
      <c r="F32" s="281"/>
      <c r="G32" s="281"/>
      <c r="H32" s="281"/>
      <c r="I32" s="281"/>
      <c r="J32" s="281"/>
      <c r="K32" s="281"/>
      <c r="L32" s="281"/>
      <c r="M32" s="281"/>
      <c r="N32" s="281"/>
      <c r="O32" s="281"/>
      <c r="P32" s="281"/>
      <c r="Q32" s="281"/>
      <c r="R32" s="280">
        <v>0</v>
      </c>
      <c r="T32">
        <f t="shared" si="0"/>
        <v>0</v>
      </c>
    </row>
    <row r="33" spans="1:20" x14ac:dyDescent="0.25">
      <c r="A33" s="280">
        <v>32</v>
      </c>
      <c r="B33" s="281" t="s">
        <v>45</v>
      </c>
      <c r="C33" s="281"/>
      <c r="D33" s="281"/>
      <c r="E33" s="281"/>
      <c r="F33" s="281"/>
      <c r="G33" s="281"/>
      <c r="H33" s="281"/>
      <c r="I33" s="281"/>
      <c r="J33" s="281"/>
      <c r="K33" s="281"/>
      <c r="L33" s="281"/>
      <c r="M33" s="281"/>
      <c r="N33" s="281"/>
      <c r="O33" s="281"/>
      <c r="P33" s="281"/>
      <c r="Q33" s="281"/>
      <c r="R33" s="280">
        <v>0</v>
      </c>
      <c r="T33">
        <f t="shared" si="0"/>
        <v>0</v>
      </c>
    </row>
    <row r="34" spans="1:20" x14ac:dyDescent="0.25">
      <c r="A34" s="280">
        <v>33</v>
      </c>
      <c r="B34" s="281" t="s">
        <v>630</v>
      </c>
      <c r="C34" s="281"/>
      <c r="D34" s="281"/>
      <c r="E34" s="281"/>
      <c r="F34" s="281"/>
      <c r="G34" s="281"/>
      <c r="H34" s="281"/>
      <c r="I34" s="281"/>
      <c r="J34" s="281"/>
      <c r="K34" s="281"/>
      <c r="L34" s="281"/>
      <c r="M34" s="281"/>
      <c r="N34" s="281"/>
      <c r="O34" s="281"/>
      <c r="P34" s="281"/>
      <c r="Q34" s="281"/>
      <c r="R34" s="280">
        <v>0</v>
      </c>
      <c r="T34">
        <f t="shared" si="0"/>
        <v>0</v>
      </c>
    </row>
    <row r="35" spans="1:20" x14ac:dyDescent="0.25">
      <c r="A35" s="280">
        <v>34</v>
      </c>
      <c r="B35" s="281" t="s">
        <v>628</v>
      </c>
      <c r="C35" s="281"/>
      <c r="D35" s="281"/>
      <c r="E35" s="281"/>
      <c r="F35" s="281"/>
      <c r="G35" s="281"/>
      <c r="H35" s="281"/>
      <c r="I35" s="281"/>
      <c r="J35" s="281"/>
      <c r="K35" s="281"/>
      <c r="L35" s="281"/>
      <c r="M35" s="281"/>
      <c r="N35" s="281"/>
      <c r="O35" s="281"/>
      <c r="P35" s="281"/>
      <c r="Q35" s="281"/>
      <c r="R35" s="280">
        <v>0</v>
      </c>
      <c r="T35">
        <f t="shared" si="0"/>
        <v>0</v>
      </c>
    </row>
    <row r="36" spans="1:20" x14ac:dyDescent="0.25">
      <c r="A36" s="280">
        <v>35</v>
      </c>
      <c r="B36" s="281" t="s">
        <v>629</v>
      </c>
      <c r="C36" s="281"/>
      <c r="D36" s="281"/>
      <c r="E36" s="281"/>
      <c r="F36" s="281"/>
      <c r="G36" s="281"/>
      <c r="H36" s="281"/>
      <c r="I36" s="281"/>
      <c r="J36" s="281"/>
      <c r="K36" s="281"/>
      <c r="L36" s="281"/>
      <c r="M36" s="281"/>
      <c r="N36" s="281"/>
      <c r="O36" s="281"/>
      <c r="P36" s="281"/>
      <c r="Q36" s="281"/>
      <c r="R36" s="280">
        <v>0</v>
      </c>
      <c r="T36">
        <f t="shared" si="0"/>
        <v>0</v>
      </c>
    </row>
    <row r="37" spans="1:20" x14ac:dyDescent="0.25">
      <c r="A37" s="280">
        <v>36</v>
      </c>
      <c r="B37" s="281" t="s">
        <v>631</v>
      </c>
      <c r="C37" s="281"/>
      <c r="D37" s="281"/>
      <c r="E37" s="281"/>
      <c r="F37" s="281"/>
      <c r="G37" s="281"/>
      <c r="H37" s="281"/>
      <c r="I37" s="281"/>
      <c r="J37" s="281"/>
      <c r="K37" s="281"/>
      <c r="L37" s="281"/>
      <c r="M37" s="281"/>
      <c r="N37" s="281"/>
      <c r="O37" s="281"/>
      <c r="P37" s="281"/>
      <c r="Q37" s="281"/>
      <c r="R37" s="280">
        <v>0</v>
      </c>
      <c r="T37">
        <f t="shared" si="0"/>
        <v>0</v>
      </c>
    </row>
    <row r="38" spans="1:20" x14ac:dyDescent="0.25">
      <c r="A38" s="280">
        <v>37</v>
      </c>
      <c r="B38" s="281" t="s">
        <v>632</v>
      </c>
      <c r="C38" s="281"/>
      <c r="D38" s="281"/>
      <c r="E38" s="281"/>
      <c r="F38" s="281"/>
      <c r="G38" s="281"/>
      <c r="H38" s="281"/>
      <c r="I38" s="281"/>
      <c r="J38" s="281"/>
      <c r="K38" s="281"/>
      <c r="L38" s="281"/>
      <c r="M38" s="281"/>
      <c r="N38" s="281"/>
      <c r="O38" s="281"/>
      <c r="P38" s="281"/>
      <c r="Q38" s="281"/>
      <c r="R38" s="280">
        <v>0</v>
      </c>
      <c r="T38">
        <f t="shared" si="0"/>
        <v>0</v>
      </c>
    </row>
    <row r="39" spans="1:20" x14ac:dyDescent="0.25">
      <c r="A39" s="280">
        <v>38</v>
      </c>
      <c r="B39" s="281" t="s">
        <v>633</v>
      </c>
      <c r="C39" s="281"/>
      <c r="D39" s="281"/>
      <c r="E39" s="281"/>
      <c r="F39" s="281"/>
      <c r="G39" s="281"/>
      <c r="H39" s="281"/>
      <c r="I39" s="281"/>
      <c r="J39" s="281"/>
      <c r="K39" s="281"/>
      <c r="L39" s="281"/>
      <c r="M39" s="281"/>
      <c r="N39" s="281"/>
      <c r="O39" s="281"/>
      <c r="P39" s="281"/>
      <c r="Q39" s="281"/>
      <c r="R39" s="280">
        <v>0</v>
      </c>
      <c r="T39">
        <f t="shared" si="0"/>
        <v>0</v>
      </c>
    </row>
    <row r="40" spans="1:20" x14ac:dyDescent="0.25">
      <c r="A40" s="280">
        <v>39</v>
      </c>
      <c r="B40" s="281" t="s">
        <v>634</v>
      </c>
      <c r="C40" s="281"/>
      <c r="D40" s="281"/>
      <c r="E40" s="281"/>
      <c r="F40" s="281"/>
      <c r="G40" s="281"/>
      <c r="H40" s="281"/>
      <c r="I40" s="281"/>
      <c r="J40" s="281"/>
      <c r="K40" s="281"/>
      <c r="L40" s="281"/>
      <c r="M40" s="281"/>
      <c r="N40" s="281"/>
      <c r="O40" s="281"/>
      <c r="P40" s="281"/>
      <c r="Q40" s="281"/>
      <c r="R40" s="280">
        <v>0</v>
      </c>
      <c r="T40">
        <f t="shared" si="0"/>
        <v>0</v>
      </c>
    </row>
    <row r="41" spans="1:20" x14ac:dyDescent="0.25">
      <c r="A41" s="280">
        <v>40</v>
      </c>
      <c r="B41" s="281" t="s">
        <v>636</v>
      </c>
      <c r="C41" s="281"/>
      <c r="D41" s="281"/>
      <c r="E41" s="281"/>
      <c r="F41" s="281"/>
      <c r="G41" s="281"/>
      <c r="H41" s="281"/>
      <c r="I41" s="281"/>
      <c r="J41" s="281"/>
      <c r="K41" s="281"/>
      <c r="L41" s="281"/>
      <c r="M41" s="281"/>
      <c r="N41" s="281"/>
      <c r="O41" s="281"/>
      <c r="P41" s="281"/>
      <c r="Q41" s="281"/>
      <c r="R41" s="280">
        <v>0</v>
      </c>
      <c r="T41">
        <f t="shared" si="0"/>
        <v>0</v>
      </c>
    </row>
    <row r="42" spans="1:20" x14ac:dyDescent="0.25">
      <c r="A42" s="280">
        <v>41</v>
      </c>
      <c r="B42" s="281" t="s">
        <v>637</v>
      </c>
      <c r="C42" s="281"/>
      <c r="D42" s="281"/>
      <c r="E42" s="281"/>
      <c r="F42" s="281"/>
      <c r="G42" s="281"/>
      <c r="H42" s="281"/>
      <c r="I42" s="281"/>
      <c r="J42" s="281"/>
      <c r="K42" s="281"/>
      <c r="L42" s="281"/>
      <c r="M42" s="281" t="s">
        <v>26</v>
      </c>
      <c r="N42" s="281"/>
      <c r="O42" s="281"/>
      <c r="P42" s="281"/>
      <c r="Q42" s="281"/>
      <c r="R42" s="282">
        <v>11</v>
      </c>
      <c r="T42">
        <f t="shared" si="0"/>
        <v>11</v>
      </c>
    </row>
    <row r="43" spans="1:20" x14ac:dyDescent="0.25">
      <c r="A43" s="280">
        <v>42</v>
      </c>
      <c r="B43" s="281" t="s">
        <v>640</v>
      </c>
      <c r="C43" s="281"/>
      <c r="D43" s="281"/>
      <c r="E43" s="281"/>
      <c r="F43" s="281"/>
      <c r="G43" s="281"/>
      <c r="H43" s="281"/>
      <c r="I43" s="281"/>
      <c r="J43" s="281"/>
      <c r="K43" s="281"/>
      <c r="L43" s="281"/>
      <c r="M43" s="281"/>
      <c r="N43" s="281"/>
      <c r="O43" s="281"/>
      <c r="P43" s="281"/>
      <c r="Q43" s="281"/>
      <c r="R43" s="280">
        <v>0</v>
      </c>
      <c r="T43">
        <f t="shared" si="0"/>
        <v>0</v>
      </c>
    </row>
    <row r="44" spans="1:20" x14ac:dyDescent="0.25">
      <c r="A44" s="280">
        <v>43</v>
      </c>
      <c r="B44" s="281" t="s">
        <v>638</v>
      </c>
      <c r="C44" s="281"/>
      <c r="D44" s="281"/>
      <c r="E44" s="281"/>
      <c r="F44" s="281"/>
      <c r="G44" s="281"/>
      <c r="H44" s="281"/>
      <c r="I44" s="281"/>
      <c r="J44" s="281"/>
      <c r="K44" s="281"/>
      <c r="L44" s="281"/>
      <c r="M44" s="281"/>
      <c r="N44" s="281"/>
      <c r="O44" s="281"/>
      <c r="P44" s="281"/>
      <c r="Q44" s="281"/>
      <c r="R44" s="280">
        <v>0</v>
      </c>
      <c r="T44">
        <f t="shared" si="0"/>
        <v>0</v>
      </c>
    </row>
    <row r="45" spans="1:20" x14ac:dyDescent="0.25">
      <c r="A45" s="280">
        <v>44</v>
      </c>
      <c r="B45" s="281" t="s">
        <v>635</v>
      </c>
      <c r="C45" s="281"/>
      <c r="D45" s="281"/>
      <c r="E45" s="281"/>
      <c r="F45" s="281"/>
      <c r="G45" s="281"/>
      <c r="H45" s="281"/>
      <c r="I45" s="281"/>
      <c r="J45" s="281"/>
      <c r="K45" s="281"/>
      <c r="L45" s="281"/>
      <c r="M45" s="281"/>
      <c r="N45" s="281"/>
      <c r="O45" s="281"/>
      <c r="P45" s="281"/>
      <c r="Q45" s="281"/>
      <c r="R45" s="280">
        <v>0</v>
      </c>
      <c r="T45">
        <f t="shared" si="0"/>
        <v>0</v>
      </c>
    </row>
    <row r="46" spans="1:20" x14ac:dyDescent="0.25">
      <c r="A46" s="280">
        <v>45</v>
      </c>
      <c r="B46" s="281" t="s">
        <v>641</v>
      </c>
      <c r="C46" s="281"/>
      <c r="D46" s="281"/>
      <c r="E46" s="281"/>
      <c r="F46" s="281"/>
      <c r="G46" s="281"/>
      <c r="H46" s="281"/>
      <c r="I46" s="281"/>
      <c r="J46" s="281"/>
      <c r="K46" s="281"/>
      <c r="L46" s="281"/>
      <c r="M46" s="281"/>
      <c r="N46" s="281"/>
      <c r="O46" s="281"/>
      <c r="P46" s="281"/>
      <c r="Q46" s="281"/>
      <c r="R46" s="280">
        <v>0</v>
      </c>
      <c r="T46">
        <f t="shared" si="0"/>
        <v>0</v>
      </c>
    </row>
    <row r="47" spans="1:20" x14ac:dyDescent="0.25">
      <c r="A47" s="280">
        <v>46</v>
      </c>
      <c r="B47" s="281" t="s">
        <v>649</v>
      </c>
      <c r="C47" s="281"/>
      <c r="D47" s="281"/>
      <c r="E47" s="281"/>
      <c r="F47" s="281"/>
      <c r="G47" s="281"/>
      <c r="H47" s="281"/>
      <c r="I47" s="281"/>
      <c r="J47" s="281"/>
      <c r="K47" s="281"/>
      <c r="L47" s="281"/>
      <c r="M47" s="281"/>
      <c r="N47" s="281"/>
      <c r="O47" s="281"/>
      <c r="P47" s="281"/>
      <c r="Q47" s="281"/>
      <c r="R47" s="280">
        <v>0</v>
      </c>
      <c r="T47">
        <f t="shared" si="0"/>
        <v>0</v>
      </c>
    </row>
    <row r="48" spans="1:20" x14ac:dyDescent="0.25">
      <c r="A48" s="280">
        <v>47</v>
      </c>
      <c r="B48" s="281" t="s">
        <v>642</v>
      </c>
      <c r="C48" s="281"/>
      <c r="D48" s="281"/>
      <c r="E48" s="281"/>
      <c r="F48" s="281"/>
      <c r="G48" s="281"/>
      <c r="H48" s="281"/>
      <c r="I48" s="281"/>
      <c r="J48" s="281"/>
      <c r="K48" s="281"/>
      <c r="L48" s="281"/>
      <c r="M48" s="281"/>
      <c r="N48" s="281"/>
      <c r="O48" s="281"/>
      <c r="P48" s="281"/>
      <c r="Q48" s="281"/>
      <c r="R48" s="280">
        <v>0</v>
      </c>
      <c r="T48">
        <f t="shared" si="0"/>
        <v>0</v>
      </c>
    </row>
    <row r="49" spans="1:20" x14ac:dyDescent="0.25">
      <c r="A49" s="280">
        <v>48</v>
      </c>
      <c r="B49" s="281" t="s">
        <v>643</v>
      </c>
      <c r="C49" s="281"/>
      <c r="D49" s="281"/>
      <c r="E49" s="281"/>
      <c r="F49" s="281"/>
      <c r="G49" s="281"/>
      <c r="H49" s="281"/>
      <c r="I49" s="281"/>
      <c r="J49" s="281"/>
      <c r="K49" s="281"/>
      <c r="L49" s="281"/>
      <c r="M49" s="281"/>
      <c r="N49" s="281"/>
      <c r="O49" s="281"/>
      <c r="P49" s="281"/>
      <c r="Q49" s="281"/>
      <c r="R49" s="280">
        <v>0</v>
      </c>
      <c r="T49">
        <f t="shared" si="0"/>
        <v>0</v>
      </c>
    </row>
    <row r="50" spans="1:20" x14ac:dyDescent="0.25">
      <c r="A50" s="280">
        <v>49</v>
      </c>
      <c r="B50" s="281" t="s">
        <v>644</v>
      </c>
      <c r="C50" s="281"/>
      <c r="D50" s="281"/>
      <c r="E50" s="281"/>
      <c r="F50" s="281"/>
      <c r="G50" s="281"/>
      <c r="H50" s="281"/>
      <c r="I50" s="281"/>
      <c r="J50" s="281"/>
      <c r="K50" s="281"/>
      <c r="L50" s="281"/>
      <c r="M50" s="281"/>
      <c r="N50" s="281"/>
      <c r="O50" s="281"/>
      <c r="P50" s="281"/>
      <c r="Q50" s="281"/>
      <c r="R50" s="280">
        <v>0</v>
      </c>
      <c r="T50">
        <f t="shared" si="0"/>
        <v>0</v>
      </c>
    </row>
    <row r="51" spans="1:20" x14ac:dyDescent="0.25">
      <c r="A51" s="280">
        <v>50</v>
      </c>
      <c r="B51" s="281" t="s">
        <v>646</v>
      </c>
      <c r="C51" s="281"/>
      <c r="D51" s="281"/>
      <c r="E51" s="281"/>
      <c r="F51" s="281"/>
      <c r="G51" s="281"/>
      <c r="H51" s="281"/>
      <c r="I51" s="281"/>
      <c r="J51" s="281"/>
      <c r="K51" s="281"/>
      <c r="L51" s="281"/>
      <c r="M51" s="281"/>
      <c r="N51" s="281"/>
      <c r="O51" s="281"/>
      <c r="P51" s="281"/>
      <c r="Q51" s="281"/>
      <c r="R51" s="280">
        <v>0</v>
      </c>
      <c r="T51">
        <f t="shared" si="0"/>
        <v>0</v>
      </c>
    </row>
    <row r="52" spans="1:20" x14ac:dyDescent="0.25">
      <c r="A52" s="280">
        <v>51</v>
      </c>
      <c r="B52" s="281" t="s">
        <v>647</v>
      </c>
      <c r="C52" s="281"/>
      <c r="D52" s="281"/>
      <c r="E52" s="281"/>
      <c r="F52" s="281"/>
      <c r="G52" s="281"/>
      <c r="H52" s="281"/>
      <c r="I52" s="281"/>
      <c r="J52" s="281"/>
      <c r="K52" s="281"/>
      <c r="L52" s="281"/>
      <c r="M52" s="281"/>
      <c r="N52" s="281"/>
      <c r="O52" s="281"/>
      <c r="P52" s="281"/>
      <c r="Q52" s="281"/>
      <c r="R52" s="280">
        <v>0</v>
      </c>
      <c r="T52">
        <f t="shared" si="0"/>
        <v>0</v>
      </c>
    </row>
    <row r="53" spans="1:20" x14ac:dyDescent="0.25">
      <c r="A53" s="280">
        <v>52</v>
      </c>
      <c r="B53" s="281" t="s">
        <v>652</v>
      </c>
      <c r="C53" s="281"/>
      <c r="D53" s="281"/>
      <c r="E53" s="281"/>
      <c r="F53" s="281"/>
      <c r="G53" s="281"/>
      <c r="H53" s="281"/>
      <c r="I53" s="281"/>
      <c r="J53" s="281"/>
      <c r="K53" s="281"/>
      <c r="L53" s="281"/>
      <c r="M53" s="281"/>
      <c r="N53" s="281"/>
      <c r="O53" s="281"/>
      <c r="P53" s="281"/>
      <c r="Q53" s="281"/>
      <c r="R53" s="280">
        <v>0</v>
      </c>
      <c r="T53">
        <f t="shared" si="0"/>
        <v>0</v>
      </c>
    </row>
    <row r="54" spans="1:20" x14ac:dyDescent="0.25">
      <c r="A54" s="280">
        <v>53</v>
      </c>
      <c r="B54" s="281" t="s">
        <v>653</v>
      </c>
      <c r="C54" s="281"/>
      <c r="D54" s="281"/>
      <c r="E54" s="281"/>
      <c r="F54" s="281"/>
      <c r="G54" s="281"/>
      <c r="H54" s="281"/>
      <c r="I54" s="281"/>
      <c r="J54" s="281"/>
      <c r="K54" s="281"/>
      <c r="L54" s="281"/>
      <c r="M54" s="281"/>
      <c r="N54" s="281"/>
      <c r="O54" s="281"/>
      <c r="P54" s="281"/>
      <c r="Q54" s="281"/>
      <c r="R54" s="280">
        <v>0</v>
      </c>
      <c r="T54">
        <f t="shared" si="0"/>
        <v>0</v>
      </c>
    </row>
    <row r="55" spans="1:20" x14ac:dyDescent="0.25">
      <c r="A55" s="280">
        <v>54</v>
      </c>
      <c r="B55" s="281" t="s">
        <v>654</v>
      </c>
      <c r="C55" s="281"/>
      <c r="D55" s="281"/>
      <c r="E55" s="281"/>
      <c r="F55" s="281"/>
      <c r="G55" s="281"/>
      <c r="H55" s="281"/>
      <c r="I55" s="281"/>
      <c r="J55" s="281"/>
      <c r="K55" s="281"/>
      <c r="L55" s="281"/>
      <c r="M55" s="281"/>
      <c r="N55" s="281"/>
      <c r="O55" s="281"/>
      <c r="P55" s="281"/>
      <c r="Q55" s="281"/>
      <c r="R55" s="280">
        <v>0</v>
      </c>
      <c r="T55">
        <f t="shared" si="0"/>
        <v>0</v>
      </c>
    </row>
    <row r="56" spans="1:20" x14ac:dyDescent="0.25">
      <c r="A56" s="280">
        <v>55</v>
      </c>
      <c r="B56" s="281" t="s">
        <v>655</v>
      </c>
      <c r="C56" s="281"/>
      <c r="D56" s="281"/>
      <c r="E56" s="281"/>
      <c r="F56" s="281"/>
      <c r="G56" s="281"/>
      <c r="H56" s="281"/>
      <c r="I56" s="281"/>
      <c r="J56" s="281"/>
      <c r="K56" s="281"/>
      <c r="L56" s="281"/>
      <c r="M56" s="281"/>
      <c r="N56" s="281"/>
      <c r="O56" s="281"/>
      <c r="P56" s="281"/>
      <c r="Q56" s="281"/>
      <c r="R56" s="280">
        <v>0</v>
      </c>
      <c r="T56">
        <f t="shared" si="0"/>
        <v>0</v>
      </c>
    </row>
    <row r="57" spans="1:20" x14ac:dyDescent="0.25">
      <c r="A57" s="280">
        <v>56</v>
      </c>
      <c r="B57" s="281" t="s">
        <v>656</v>
      </c>
      <c r="C57" s="281"/>
      <c r="D57" s="281"/>
      <c r="E57" s="281"/>
      <c r="F57" s="281"/>
      <c r="G57" s="281"/>
      <c r="H57" s="281"/>
      <c r="I57" s="281"/>
      <c r="J57" s="281"/>
      <c r="K57" s="281"/>
      <c r="L57" s="281"/>
      <c r="M57" s="281"/>
      <c r="N57" s="281"/>
      <c r="O57" s="281"/>
      <c r="P57" s="281"/>
      <c r="Q57" s="281"/>
      <c r="R57" s="280">
        <v>0</v>
      </c>
      <c r="T57">
        <f t="shared" si="0"/>
        <v>0</v>
      </c>
    </row>
    <row r="58" spans="1:20" x14ac:dyDescent="0.25">
      <c r="A58" s="280">
        <v>57</v>
      </c>
      <c r="B58" s="281" t="s">
        <v>657</v>
      </c>
      <c r="C58" s="281"/>
      <c r="D58" s="281"/>
      <c r="E58" s="281"/>
      <c r="F58" s="281"/>
      <c r="G58" s="281"/>
      <c r="H58" s="281"/>
      <c r="I58" s="281"/>
      <c r="J58" s="281"/>
      <c r="K58" s="281"/>
      <c r="L58" s="281"/>
      <c r="M58" s="281"/>
      <c r="N58" s="281"/>
      <c r="O58" s="281"/>
      <c r="P58" s="281"/>
      <c r="Q58" s="281"/>
      <c r="R58" s="280">
        <v>0</v>
      </c>
      <c r="T58">
        <f t="shared" si="0"/>
        <v>0</v>
      </c>
    </row>
    <row r="59" spans="1:20" x14ac:dyDescent="0.25">
      <c r="A59" s="280">
        <v>58</v>
      </c>
      <c r="B59" s="281" t="s">
        <v>658</v>
      </c>
      <c r="C59" s="281"/>
      <c r="D59" s="281"/>
      <c r="E59" s="281"/>
      <c r="F59" s="281"/>
      <c r="G59" s="281"/>
      <c r="H59" s="281"/>
      <c r="I59" s="281"/>
      <c r="J59" s="281"/>
      <c r="K59" s="281"/>
      <c r="L59" s="281"/>
      <c r="M59" s="281"/>
      <c r="N59" s="281"/>
      <c r="O59" s="281"/>
      <c r="P59" s="281"/>
      <c r="Q59" s="281"/>
      <c r="R59" s="280">
        <v>0</v>
      </c>
      <c r="T59">
        <f t="shared" si="0"/>
        <v>0</v>
      </c>
    </row>
    <row r="60" spans="1:20" x14ac:dyDescent="0.25">
      <c r="A60" s="280">
        <v>59</v>
      </c>
      <c r="B60" s="281" t="s">
        <v>659</v>
      </c>
      <c r="C60" s="281"/>
      <c r="D60" s="281"/>
      <c r="E60" s="281"/>
      <c r="F60" s="281"/>
      <c r="G60" s="281"/>
      <c r="H60" s="281"/>
      <c r="I60" s="281"/>
      <c r="J60" s="281"/>
      <c r="K60" s="281"/>
      <c r="L60" s="281"/>
      <c r="M60" s="281"/>
      <c r="N60" s="281"/>
      <c r="O60" s="281"/>
      <c r="P60" s="281"/>
      <c r="Q60" s="281"/>
      <c r="R60" s="280">
        <v>0</v>
      </c>
      <c r="T60">
        <f t="shared" si="0"/>
        <v>0</v>
      </c>
    </row>
    <row r="61" spans="1:20" x14ac:dyDescent="0.25">
      <c r="A61" s="280">
        <v>60</v>
      </c>
      <c r="B61" s="281" t="s">
        <v>660</v>
      </c>
      <c r="C61" s="281"/>
      <c r="D61" s="281"/>
      <c r="E61" s="281"/>
      <c r="F61" s="281"/>
      <c r="G61" s="281"/>
      <c r="H61" s="281"/>
      <c r="I61" s="281"/>
      <c r="J61" s="281"/>
      <c r="K61" s="281"/>
      <c r="L61" s="281"/>
      <c r="M61" s="281"/>
      <c r="N61" s="281"/>
      <c r="O61" s="281"/>
      <c r="P61" s="281"/>
      <c r="Q61" s="281"/>
      <c r="R61" s="280">
        <v>0</v>
      </c>
      <c r="T61">
        <f t="shared" si="0"/>
        <v>0</v>
      </c>
    </row>
    <row r="62" spans="1:20" x14ac:dyDescent="0.25">
      <c r="A62" s="280">
        <v>61</v>
      </c>
      <c r="B62" s="281" t="s">
        <v>661</v>
      </c>
      <c r="C62" s="281"/>
      <c r="D62" s="281"/>
      <c r="E62" s="281"/>
      <c r="F62" s="281"/>
      <c r="G62" s="281"/>
      <c r="H62" s="281"/>
      <c r="I62" s="281"/>
      <c r="J62" s="281"/>
      <c r="K62" s="281"/>
      <c r="L62" s="281"/>
      <c r="M62" s="281"/>
      <c r="N62" s="281"/>
      <c r="O62" s="281"/>
      <c r="P62" s="281"/>
      <c r="Q62" s="281"/>
      <c r="R62" s="280">
        <v>0</v>
      </c>
      <c r="T62">
        <f t="shared" si="0"/>
        <v>0</v>
      </c>
    </row>
    <row r="63" spans="1:20" x14ac:dyDescent="0.25">
      <c r="A63" s="280">
        <v>62</v>
      </c>
      <c r="B63" s="281" t="s">
        <v>662</v>
      </c>
      <c r="C63" s="281"/>
      <c r="D63" s="281"/>
      <c r="E63" s="281"/>
      <c r="F63" s="281"/>
      <c r="G63" s="281"/>
      <c r="H63" s="281"/>
      <c r="I63" s="281"/>
      <c r="J63" s="281"/>
      <c r="K63" s="281"/>
      <c r="L63" s="281"/>
      <c r="M63" s="281"/>
      <c r="N63" s="281"/>
      <c r="O63" s="281"/>
      <c r="P63" s="281"/>
      <c r="Q63" s="281"/>
      <c r="R63" s="280">
        <v>0</v>
      </c>
      <c r="T63">
        <f t="shared" si="0"/>
        <v>0</v>
      </c>
    </row>
    <row r="64" spans="1:20" x14ac:dyDescent="0.25">
      <c r="A64" s="280">
        <v>63</v>
      </c>
      <c r="B64" s="281" t="s">
        <v>668</v>
      </c>
      <c r="C64" s="281"/>
      <c r="D64" s="281"/>
      <c r="E64" s="281"/>
      <c r="F64" s="281"/>
      <c r="G64" s="281"/>
      <c r="H64" s="281"/>
      <c r="I64" s="281"/>
      <c r="J64" s="281"/>
      <c r="K64" s="281"/>
      <c r="L64" s="281"/>
      <c r="M64" s="281"/>
      <c r="N64" s="281"/>
      <c r="O64" s="281"/>
      <c r="P64" s="281"/>
      <c r="Q64" s="281"/>
      <c r="R64" s="280">
        <v>0</v>
      </c>
      <c r="T64">
        <f t="shared" si="0"/>
        <v>0</v>
      </c>
    </row>
    <row r="65" spans="1:18" x14ac:dyDescent="0.25">
      <c r="A65" s="279"/>
      <c r="B65" s="279"/>
      <c r="C65" s="279"/>
      <c r="D65" s="279"/>
      <c r="E65" s="279"/>
      <c r="F65" s="279"/>
      <c r="G65" s="279"/>
      <c r="H65" s="279"/>
      <c r="I65" s="279"/>
      <c r="J65" s="279"/>
      <c r="K65" s="279"/>
      <c r="L65" s="279"/>
      <c r="M65" s="279"/>
      <c r="N65" s="279"/>
      <c r="O65" s="279"/>
      <c r="P65" s="279"/>
      <c r="Q65" s="279"/>
      <c r="R65" s="283">
        <v>11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T65"/>
  <sheetViews>
    <sheetView zoomScale="85" zoomScaleNormal="85" workbookViewId="0">
      <selection activeCell="T2" sqref="T2:T64"/>
    </sheetView>
  </sheetViews>
  <sheetFormatPr defaultRowHeight="15" x14ac:dyDescent="0.25"/>
  <sheetData>
    <row r="1" spans="1:20" x14ac:dyDescent="0.25">
      <c r="A1" s="284" t="s">
        <v>1</v>
      </c>
      <c r="B1" s="284" t="s">
        <v>6</v>
      </c>
      <c r="C1" s="284" t="s">
        <v>46</v>
      </c>
      <c r="D1" s="284" t="s">
        <v>47</v>
      </c>
      <c r="E1" s="284" t="s">
        <v>48</v>
      </c>
      <c r="F1" s="284" t="s">
        <v>49</v>
      </c>
      <c r="G1" s="284" t="s">
        <v>50</v>
      </c>
      <c r="H1" s="284" t="s">
        <v>51</v>
      </c>
      <c r="I1" s="284" t="s">
        <v>52</v>
      </c>
      <c r="J1" s="284" t="s">
        <v>53</v>
      </c>
      <c r="K1" s="284" t="s">
        <v>54</v>
      </c>
      <c r="L1" s="284" t="s">
        <v>55</v>
      </c>
      <c r="M1" s="284" t="s">
        <v>56</v>
      </c>
      <c r="N1" s="284" t="s">
        <v>57</v>
      </c>
      <c r="O1" s="284" t="s">
        <v>58</v>
      </c>
      <c r="P1" s="284" t="s">
        <v>59</v>
      </c>
      <c r="Q1" s="284" t="s">
        <v>667</v>
      </c>
      <c r="R1" s="284" t="s">
        <v>2</v>
      </c>
    </row>
    <row r="2" spans="1:20" x14ac:dyDescent="0.25">
      <c r="A2" s="285">
        <v>1</v>
      </c>
      <c r="B2" s="286" t="s">
        <v>10</v>
      </c>
      <c r="C2" s="286"/>
      <c r="D2" s="286"/>
      <c r="E2" s="286"/>
      <c r="F2" s="286"/>
      <c r="G2" s="286"/>
      <c r="H2" s="286"/>
      <c r="I2" s="286"/>
      <c r="J2" s="286"/>
      <c r="K2" s="286"/>
      <c r="L2" s="286"/>
      <c r="M2" s="286"/>
      <c r="N2" s="286"/>
      <c r="O2" s="286"/>
      <c r="P2" s="286"/>
      <c r="Q2" s="286"/>
      <c r="R2" s="285">
        <v>0</v>
      </c>
      <c r="T2">
        <f t="shared" ref="T2:T64" si="0">C2+D2+E2+F2+G2+H2+I2+J2+K2+L2+M2+N2+O2+P2+Q2</f>
        <v>0</v>
      </c>
    </row>
    <row r="3" spans="1:20" x14ac:dyDescent="0.25">
      <c r="A3" s="285">
        <v>2</v>
      </c>
      <c r="B3" s="286" t="s">
        <v>11</v>
      </c>
      <c r="C3" s="286"/>
      <c r="D3" s="286"/>
      <c r="E3" s="286"/>
      <c r="F3" s="286"/>
      <c r="G3" s="286"/>
      <c r="H3" s="286"/>
      <c r="I3" s="286"/>
      <c r="J3" s="286"/>
      <c r="K3" s="286"/>
      <c r="L3" s="286"/>
      <c r="M3" s="286"/>
      <c r="N3" s="286"/>
      <c r="O3" s="286"/>
      <c r="P3" s="286"/>
      <c r="Q3" s="286"/>
      <c r="R3" s="285">
        <v>0</v>
      </c>
      <c r="T3">
        <f t="shared" si="0"/>
        <v>0</v>
      </c>
    </row>
    <row r="4" spans="1:20" x14ac:dyDescent="0.25">
      <c r="A4" s="285">
        <v>3</v>
      </c>
      <c r="B4" s="286" t="s">
        <v>12</v>
      </c>
      <c r="C4" s="286"/>
      <c r="D4" s="286"/>
      <c r="E4" s="286"/>
      <c r="F4" s="286"/>
      <c r="G4" s="286"/>
      <c r="H4" s="286"/>
      <c r="I4" s="286"/>
      <c r="J4" s="286"/>
      <c r="K4" s="286"/>
      <c r="L4" s="286"/>
      <c r="M4" s="286"/>
      <c r="N4" s="286"/>
      <c r="O4" s="286"/>
      <c r="P4" s="286"/>
      <c r="Q4" s="286"/>
      <c r="R4" s="285">
        <v>0</v>
      </c>
      <c r="T4">
        <f t="shared" si="0"/>
        <v>0</v>
      </c>
    </row>
    <row r="5" spans="1:20" x14ac:dyDescent="0.25">
      <c r="A5" s="285">
        <v>4</v>
      </c>
      <c r="B5" s="286" t="s">
        <v>651</v>
      </c>
      <c r="C5" s="286"/>
      <c r="D5" s="286"/>
      <c r="E5" s="286"/>
      <c r="F5" s="286"/>
      <c r="G5" s="286"/>
      <c r="H5" s="286"/>
      <c r="I5" s="286"/>
      <c r="J5" s="286"/>
      <c r="K5" s="286"/>
      <c r="L5" s="286"/>
      <c r="M5" s="286"/>
      <c r="N5" s="286"/>
      <c r="O5" s="286"/>
      <c r="P5" s="286"/>
      <c r="Q5" s="286"/>
      <c r="R5" s="285">
        <v>0</v>
      </c>
      <c r="T5">
        <f t="shared" si="0"/>
        <v>0</v>
      </c>
    </row>
    <row r="6" spans="1:20" x14ac:dyDescent="0.25">
      <c r="A6" s="285">
        <v>5</v>
      </c>
      <c r="B6" s="286" t="s">
        <v>14</v>
      </c>
      <c r="C6" s="286"/>
      <c r="D6" s="286"/>
      <c r="E6" s="286"/>
      <c r="F6" s="286"/>
      <c r="G6" s="286"/>
      <c r="H6" s="286"/>
      <c r="I6" s="286"/>
      <c r="J6" s="286"/>
      <c r="K6" s="286"/>
      <c r="L6" s="286"/>
      <c r="M6" s="286"/>
      <c r="N6" s="286"/>
      <c r="O6" s="286"/>
      <c r="P6" s="286"/>
      <c r="Q6" s="286"/>
      <c r="R6" s="285">
        <v>0</v>
      </c>
      <c r="T6">
        <f t="shared" si="0"/>
        <v>0</v>
      </c>
    </row>
    <row r="7" spans="1:20" x14ac:dyDescent="0.25">
      <c r="A7" s="285">
        <v>6</v>
      </c>
      <c r="B7" s="286" t="s">
        <v>15</v>
      </c>
      <c r="C7" s="286"/>
      <c r="D7" s="286"/>
      <c r="E7" s="286" t="s">
        <v>26</v>
      </c>
      <c r="F7" s="286"/>
      <c r="G7" s="286"/>
      <c r="H7" s="286"/>
      <c r="I7" s="286"/>
      <c r="J7" s="286"/>
      <c r="K7" s="286"/>
      <c r="L7" s="286"/>
      <c r="M7" s="286"/>
      <c r="N7" s="286"/>
      <c r="O7" s="286"/>
      <c r="P7" s="286"/>
      <c r="Q7" s="286"/>
      <c r="R7" s="287">
        <v>11</v>
      </c>
      <c r="T7">
        <f t="shared" si="0"/>
        <v>11</v>
      </c>
    </row>
    <row r="8" spans="1:20" x14ac:dyDescent="0.25">
      <c r="A8" s="285">
        <v>7</v>
      </c>
      <c r="B8" s="286" t="s">
        <v>16</v>
      </c>
      <c r="C8" s="286" t="s">
        <v>26</v>
      </c>
      <c r="D8" s="286"/>
      <c r="E8" s="286" t="s">
        <v>26</v>
      </c>
      <c r="F8" s="286"/>
      <c r="G8" s="286"/>
      <c r="H8" s="286"/>
      <c r="I8" s="286"/>
      <c r="J8" s="286"/>
      <c r="K8" s="286"/>
      <c r="L8" s="286"/>
      <c r="M8" s="286"/>
      <c r="N8" s="286"/>
      <c r="O8" s="286"/>
      <c r="P8" s="286"/>
      <c r="Q8" s="286"/>
      <c r="R8" s="287">
        <v>33</v>
      </c>
      <c r="T8">
        <f t="shared" si="0"/>
        <v>22</v>
      </c>
    </row>
    <row r="9" spans="1:20" x14ac:dyDescent="0.25">
      <c r="A9" s="285">
        <v>8</v>
      </c>
      <c r="B9" s="286" t="s">
        <v>4</v>
      </c>
      <c r="C9" s="286"/>
      <c r="D9" s="286"/>
      <c r="E9" s="286"/>
      <c r="F9" s="286"/>
      <c r="G9" s="286"/>
      <c r="H9" s="286"/>
      <c r="I9" s="286"/>
      <c r="J9" s="286"/>
      <c r="K9" s="286"/>
      <c r="L9" s="286"/>
      <c r="M9" s="286"/>
      <c r="N9" s="286"/>
      <c r="O9" s="286"/>
      <c r="P9" s="286"/>
      <c r="Q9" s="286"/>
      <c r="R9" s="285">
        <v>0</v>
      </c>
      <c r="T9">
        <f t="shared" si="0"/>
        <v>0</v>
      </c>
    </row>
    <row r="10" spans="1:20" x14ac:dyDescent="0.25">
      <c r="A10" s="285">
        <v>9</v>
      </c>
      <c r="B10" s="286" t="s">
        <v>5</v>
      </c>
      <c r="C10" s="286"/>
      <c r="D10" s="286"/>
      <c r="E10" s="286"/>
      <c r="F10" s="286"/>
      <c r="G10" s="286"/>
      <c r="H10" s="286"/>
      <c r="I10" s="286"/>
      <c r="J10" s="286"/>
      <c r="K10" s="286"/>
      <c r="L10" s="286"/>
      <c r="M10" s="286"/>
      <c r="N10" s="286"/>
      <c r="O10" s="286"/>
      <c r="P10" s="286"/>
      <c r="Q10" s="286"/>
      <c r="R10" s="285">
        <v>0</v>
      </c>
      <c r="T10">
        <f t="shared" si="0"/>
        <v>0</v>
      </c>
    </row>
    <row r="11" spans="1:20" x14ac:dyDescent="0.25">
      <c r="A11" s="285">
        <v>10</v>
      </c>
      <c r="B11" s="286" t="s">
        <v>38</v>
      </c>
      <c r="C11" s="286"/>
      <c r="D11" s="286"/>
      <c r="E11" s="286"/>
      <c r="F11" s="286"/>
      <c r="G11" s="286"/>
      <c r="H11" s="286"/>
      <c r="I11" s="286"/>
      <c r="J11" s="286"/>
      <c r="K11" s="286"/>
      <c r="L11" s="286"/>
      <c r="M11" s="286"/>
      <c r="N11" s="286"/>
      <c r="O11" s="286"/>
      <c r="P11" s="286"/>
      <c r="Q11" s="286"/>
      <c r="R11" s="285">
        <v>0</v>
      </c>
      <c r="T11">
        <f t="shared" si="0"/>
        <v>0</v>
      </c>
    </row>
    <row r="12" spans="1:20" x14ac:dyDescent="0.25">
      <c r="A12" s="285">
        <v>11</v>
      </c>
      <c r="B12" s="286" t="s">
        <v>43</v>
      </c>
      <c r="C12" s="286"/>
      <c r="D12" s="286"/>
      <c r="E12" s="286"/>
      <c r="F12" s="286"/>
      <c r="G12" s="286"/>
      <c r="H12" s="286"/>
      <c r="I12" s="286"/>
      <c r="J12" s="286"/>
      <c r="K12" s="286"/>
      <c r="L12" s="286"/>
      <c r="M12" s="286"/>
      <c r="N12" s="286"/>
      <c r="O12" s="286"/>
      <c r="P12" s="286"/>
      <c r="Q12" s="286"/>
      <c r="R12" s="285">
        <v>0</v>
      </c>
      <c r="T12">
        <f t="shared" si="0"/>
        <v>0</v>
      </c>
    </row>
    <row r="13" spans="1:20" x14ac:dyDescent="0.25">
      <c r="A13" s="285">
        <v>12</v>
      </c>
      <c r="B13" s="286" t="s">
        <v>639</v>
      </c>
      <c r="C13" s="286"/>
      <c r="D13" s="286"/>
      <c r="E13" s="286"/>
      <c r="F13" s="286"/>
      <c r="G13" s="286"/>
      <c r="H13" s="286"/>
      <c r="I13" s="286"/>
      <c r="J13" s="286"/>
      <c r="K13" s="286"/>
      <c r="L13" s="286"/>
      <c r="M13" s="286"/>
      <c r="N13" s="286"/>
      <c r="O13" s="286"/>
      <c r="P13" s="286"/>
      <c r="Q13" s="286"/>
      <c r="R13" s="285">
        <v>0</v>
      </c>
      <c r="T13">
        <f t="shared" si="0"/>
        <v>0</v>
      </c>
    </row>
    <row r="14" spans="1:20" x14ac:dyDescent="0.25">
      <c r="A14" s="285">
        <v>13</v>
      </c>
      <c r="B14" s="286" t="s">
        <v>87</v>
      </c>
      <c r="C14" s="286"/>
      <c r="D14" s="286"/>
      <c r="E14" s="286"/>
      <c r="F14" s="286"/>
      <c r="G14" s="286"/>
      <c r="H14" s="286"/>
      <c r="I14" s="286"/>
      <c r="J14" s="286"/>
      <c r="K14" s="286"/>
      <c r="L14" s="286"/>
      <c r="M14" s="286"/>
      <c r="N14" s="286"/>
      <c r="O14" s="286"/>
      <c r="P14" s="286"/>
      <c r="Q14" s="286"/>
      <c r="R14" s="285">
        <v>0</v>
      </c>
      <c r="T14">
        <f t="shared" si="0"/>
        <v>0</v>
      </c>
    </row>
    <row r="15" spans="1:20" x14ac:dyDescent="0.25">
      <c r="A15" s="285">
        <v>14</v>
      </c>
      <c r="B15" s="286" t="s">
        <v>95</v>
      </c>
      <c r="C15" s="286"/>
      <c r="D15" s="286"/>
      <c r="E15" s="286" t="s">
        <v>26</v>
      </c>
      <c r="F15" s="286"/>
      <c r="G15" s="286"/>
      <c r="H15" s="286"/>
      <c r="I15" s="286"/>
      <c r="J15" s="286"/>
      <c r="K15" s="286"/>
      <c r="L15" s="286"/>
      <c r="M15" s="286"/>
      <c r="N15" s="286"/>
      <c r="O15" s="286"/>
      <c r="P15" s="286"/>
      <c r="Q15" s="286"/>
      <c r="R15" s="287">
        <v>11</v>
      </c>
      <c r="T15">
        <f t="shared" si="0"/>
        <v>11</v>
      </c>
    </row>
    <row r="16" spans="1:20" x14ac:dyDescent="0.25">
      <c r="A16" s="285">
        <v>15</v>
      </c>
      <c r="B16" s="286" t="s">
        <v>96</v>
      </c>
      <c r="C16" s="286"/>
      <c r="D16" s="286"/>
      <c r="E16" s="286"/>
      <c r="F16" s="286"/>
      <c r="G16" s="286"/>
      <c r="H16" s="286"/>
      <c r="I16" s="286"/>
      <c r="J16" s="286"/>
      <c r="K16" s="286"/>
      <c r="L16" s="286"/>
      <c r="M16" s="286"/>
      <c r="N16" s="286"/>
      <c r="O16" s="286"/>
      <c r="P16" s="286"/>
      <c r="Q16" s="286"/>
      <c r="R16" s="285">
        <v>0</v>
      </c>
      <c r="T16">
        <f t="shared" si="0"/>
        <v>0</v>
      </c>
    </row>
    <row r="17" spans="1:20" x14ac:dyDescent="0.25">
      <c r="A17" s="285">
        <v>16</v>
      </c>
      <c r="B17" s="286" t="s">
        <v>97</v>
      </c>
      <c r="C17" s="286"/>
      <c r="D17" s="286"/>
      <c r="E17" s="286"/>
      <c r="F17" s="286"/>
      <c r="G17" s="286"/>
      <c r="H17" s="286"/>
      <c r="I17" s="286"/>
      <c r="J17" s="286"/>
      <c r="K17" s="286"/>
      <c r="L17" s="286"/>
      <c r="M17" s="286"/>
      <c r="N17" s="286"/>
      <c r="O17" s="286"/>
      <c r="P17" s="286"/>
      <c r="Q17" s="286"/>
      <c r="R17" s="285">
        <v>0</v>
      </c>
      <c r="T17">
        <f t="shared" si="0"/>
        <v>0</v>
      </c>
    </row>
    <row r="18" spans="1:20" x14ac:dyDescent="0.25">
      <c r="A18" s="285">
        <v>17</v>
      </c>
      <c r="B18" s="286" t="s">
        <v>98</v>
      </c>
      <c r="C18" s="286"/>
      <c r="D18" s="286"/>
      <c r="E18" s="286"/>
      <c r="F18" s="286"/>
      <c r="G18" s="286"/>
      <c r="H18" s="286"/>
      <c r="I18" s="286"/>
      <c r="J18" s="286"/>
      <c r="K18" s="286"/>
      <c r="L18" s="286"/>
      <c r="M18" s="286"/>
      <c r="N18" s="286"/>
      <c r="O18" s="286"/>
      <c r="P18" s="286"/>
      <c r="Q18" s="286"/>
      <c r="R18" s="285">
        <v>0</v>
      </c>
      <c r="T18">
        <f t="shared" si="0"/>
        <v>0</v>
      </c>
    </row>
    <row r="19" spans="1:20" x14ac:dyDescent="0.25">
      <c r="A19" s="285">
        <v>18</v>
      </c>
      <c r="B19" s="286" t="s">
        <v>616</v>
      </c>
      <c r="C19" s="286"/>
      <c r="D19" s="286"/>
      <c r="E19" s="286"/>
      <c r="F19" s="286"/>
      <c r="G19" s="286"/>
      <c r="H19" s="286"/>
      <c r="I19" s="286"/>
      <c r="J19" s="286"/>
      <c r="K19" s="286"/>
      <c r="L19" s="286"/>
      <c r="M19" s="286"/>
      <c r="N19" s="286"/>
      <c r="O19" s="286"/>
      <c r="P19" s="286"/>
      <c r="Q19" s="286"/>
      <c r="R19" s="285">
        <v>0</v>
      </c>
      <c r="T19">
        <f t="shared" si="0"/>
        <v>0</v>
      </c>
    </row>
    <row r="20" spans="1:20" x14ac:dyDescent="0.25">
      <c r="A20" s="285">
        <v>19</v>
      </c>
      <c r="B20" s="286" t="s">
        <v>617</v>
      </c>
      <c r="C20" s="286"/>
      <c r="D20" s="286"/>
      <c r="E20" s="286"/>
      <c r="F20" s="286"/>
      <c r="G20" s="286"/>
      <c r="H20" s="286"/>
      <c r="I20" s="286"/>
      <c r="J20" s="286"/>
      <c r="K20" s="286"/>
      <c r="L20" s="286"/>
      <c r="M20" s="286"/>
      <c r="N20" s="286"/>
      <c r="O20" s="286"/>
      <c r="P20" s="286"/>
      <c r="Q20" s="286"/>
      <c r="R20" s="285">
        <v>0</v>
      </c>
      <c r="T20">
        <f t="shared" si="0"/>
        <v>0</v>
      </c>
    </row>
    <row r="21" spans="1:20" x14ac:dyDescent="0.25">
      <c r="A21" s="285">
        <v>20</v>
      </c>
      <c r="B21" s="286" t="s">
        <v>626</v>
      </c>
      <c r="C21" s="286"/>
      <c r="D21" s="286"/>
      <c r="E21" s="286"/>
      <c r="F21" s="286"/>
      <c r="G21" s="286"/>
      <c r="H21" s="286"/>
      <c r="I21" s="286"/>
      <c r="J21" s="286"/>
      <c r="K21" s="286"/>
      <c r="L21" s="286"/>
      <c r="M21" s="286"/>
      <c r="N21" s="286"/>
      <c r="O21" s="286"/>
      <c r="P21" s="286"/>
      <c r="Q21" s="286"/>
      <c r="R21" s="285">
        <v>0</v>
      </c>
      <c r="T21">
        <f t="shared" si="0"/>
        <v>0</v>
      </c>
    </row>
    <row r="22" spans="1:20" x14ac:dyDescent="0.25">
      <c r="A22" s="285">
        <v>21</v>
      </c>
      <c r="B22" s="286" t="s">
        <v>618</v>
      </c>
      <c r="C22" s="286"/>
      <c r="D22" s="286"/>
      <c r="E22" s="286"/>
      <c r="F22" s="286"/>
      <c r="G22" s="286"/>
      <c r="H22" s="286"/>
      <c r="I22" s="286"/>
      <c r="J22" s="286"/>
      <c r="K22" s="286"/>
      <c r="L22" s="286"/>
      <c r="M22" s="286"/>
      <c r="N22" s="286"/>
      <c r="O22" s="286"/>
      <c r="P22" s="286"/>
      <c r="Q22" s="286"/>
      <c r="R22" s="285">
        <v>0</v>
      </c>
      <c r="T22">
        <f t="shared" si="0"/>
        <v>0</v>
      </c>
    </row>
    <row r="23" spans="1:20" x14ac:dyDescent="0.25">
      <c r="A23" s="285">
        <v>22</v>
      </c>
      <c r="B23" s="286" t="s">
        <v>619</v>
      </c>
      <c r="C23" s="286"/>
      <c r="D23" s="286"/>
      <c r="E23" s="286"/>
      <c r="F23" s="286"/>
      <c r="G23" s="286"/>
      <c r="H23" s="286"/>
      <c r="I23" s="286"/>
      <c r="J23" s="286"/>
      <c r="K23" s="286"/>
      <c r="L23" s="286"/>
      <c r="M23" s="286"/>
      <c r="N23" s="286"/>
      <c r="O23" s="286"/>
      <c r="P23" s="286"/>
      <c r="Q23" s="286"/>
      <c r="R23" s="285">
        <v>0</v>
      </c>
      <c r="T23">
        <f t="shared" si="0"/>
        <v>0</v>
      </c>
    </row>
    <row r="24" spans="1:20" x14ac:dyDescent="0.25">
      <c r="A24" s="285">
        <v>23</v>
      </c>
      <c r="B24" s="286" t="s">
        <v>620</v>
      </c>
      <c r="C24" s="286"/>
      <c r="D24" s="286"/>
      <c r="E24" s="286"/>
      <c r="F24" s="286"/>
      <c r="G24" s="286"/>
      <c r="H24" s="286"/>
      <c r="I24" s="286"/>
      <c r="J24" s="286"/>
      <c r="K24" s="286"/>
      <c r="L24" s="286"/>
      <c r="M24" s="286"/>
      <c r="N24" s="286"/>
      <c r="O24" s="286"/>
      <c r="P24" s="286"/>
      <c r="Q24" s="286"/>
      <c r="R24" s="285">
        <v>0</v>
      </c>
      <c r="T24">
        <f t="shared" si="0"/>
        <v>0</v>
      </c>
    </row>
    <row r="25" spans="1:20" x14ac:dyDescent="0.25">
      <c r="A25" s="285">
        <v>24</v>
      </c>
      <c r="B25" s="286" t="s">
        <v>650</v>
      </c>
      <c r="C25" s="286"/>
      <c r="D25" s="286"/>
      <c r="E25" s="286"/>
      <c r="F25" s="286"/>
      <c r="G25" s="286"/>
      <c r="H25" s="286"/>
      <c r="I25" s="286"/>
      <c r="J25" s="286"/>
      <c r="K25" s="286"/>
      <c r="L25" s="286"/>
      <c r="M25" s="286"/>
      <c r="N25" s="286"/>
      <c r="O25" s="286"/>
      <c r="P25" s="286"/>
      <c r="Q25" s="286"/>
      <c r="R25" s="285">
        <v>0</v>
      </c>
      <c r="T25">
        <f t="shared" si="0"/>
        <v>0</v>
      </c>
    </row>
    <row r="26" spans="1:20" x14ac:dyDescent="0.25">
      <c r="A26" s="285">
        <v>25</v>
      </c>
      <c r="B26" s="286" t="s">
        <v>621</v>
      </c>
      <c r="C26" s="286"/>
      <c r="D26" s="286"/>
      <c r="E26" s="286"/>
      <c r="F26" s="286"/>
      <c r="G26" s="286"/>
      <c r="H26" s="286"/>
      <c r="I26" s="286"/>
      <c r="J26" s="286"/>
      <c r="K26" s="286"/>
      <c r="L26" s="286"/>
      <c r="M26" s="286"/>
      <c r="N26" s="286"/>
      <c r="O26" s="286"/>
      <c r="P26" s="286"/>
      <c r="Q26" s="286"/>
      <c r="R26" s="285">
        <v>0</v>
      </c>
      <c r="T26">
        <f t="shared" si="0"/>
        <v>0</v>
      </c>
    </row>
    <row r="27" spans="1:20" x14ac:dyDescent="0.25">
      <c r="A27" s="285">
        <v>26</v>
      </c>
      <c r="B27" s="286" t="s">
        <v>622</v>
      </c>
      <c r="C27" s="286"/>
      <c r="D27" s="286"/>
      <c r="E27" s="286"/>
      <c r="F27" s="286"/>
      <c r="G27" s="286"/>
      <c r="H27" s="286"/>
      <c r="I27" s="286"/>
      <c r="J27" s="286"/>
      <c r="K27" s="286"/>
      <c r="L27" s="286"/>
      <c r="M27" s="286"/>
      <c r="N27" s="286"/>
      <c r="O27" s="286"/>
      <c r="P27" s="286"/>
      <c r="Q27" s="286"/>
      <c r="R27" s="285">
        <v>0</v>
      </c>
      <c r="T27">
        <f t="shared" si="0"/>
        <v>0</v>
      </c>
    </row>
    <row r="28" spans="1:20" x14ac:dyDescent="0.25">
      <c r="A28" s="285">
        <v>27</v>
      </c>
      <c r="B28" s="286" t="s">
        <v>623</v>
      </c>
      <c r="C28" s="286"/>
      <c r="D28" s="286"/>
      <c r="E28" s="286"/>
      <c r="F28" s="286"/>
      <c r="G28" s="286"/>
      <c r="H28" s="286"/>
      <c r="I28" s="286"/>
      <c r="J28" s="286"/>
      <c r="K28" s="286"/>
      <c r="L28" s="286"/>
      <c r="M28" s="286"/>
      <c r="N28" s="286"/>
      <c r="O28" s="286"/>
      <c r="P28" s="286"/>
      <c r="Q28" s="286"/>
      <c r="R28" s="285">
        <v>0</v>
      </c>
      <c r="T28">
        <f t="shared" si="0"/>
        <v>0</v>
      </c>
    </row>
    <row r="29" spans="1:20" x14ac:dyDescent="0.25">
      <c r="A29" s="285">
        <v>28</v>
      </c>
      <c r="B29" s="286" t="s">
        <v>624</v>
      </c>
      <c r="C29" s="286"/>
      <c r="D29" s="286"/>
      <c r="E29" s="286"/>
      <c r="F29" s="286"/>
      <c r="G29" s="286"/>
      <c r="H29" s="286"/>
      <c r="I29" s="286"/>
      <c r="J29" s="286"/>
      <c r="K29" s="286"/>
      <c r="L29" s="286"/>
      <c r="M29" s="286"/>
      <c r="N29" s="286"/>
      <c r="O29" s="286"/>
      <c r="P29" s="286"/>
      <c r="Q29" s="286"/>
      <c r="R29" s="285">
        <v>0</v>
      </c>
      <c r="T29">
        <f t="shared" si="0"/>
        <v>0</v>
      </c>
    </row>
    <row r="30" spans="1:20" x14ac:dyDescent="0.25">
      <c r="A30" s="285">
        <v>29</v>
      </c>
      <c r="B30" s="286" t="s">
        <v>627</v>
      </c>
      <c r="C30" s="286"/>
      <c r="D30" s="286"/>
      <c r="E30" s="286"/>
      <c r="F30" s="286"/>
      <c r="G30" s="286"/>
      <c r="H30" s="286"/>
      <c r="I30" s="286"/>
      <c r="J30" s="286"/>
      <c r="K30" s="286"/>
      <c r="L30" s="286"/>
      <c r="M30" s="286"/>
      <c r="N30" s="286"/>
      <c r="O30" s="286"/>
      <c r="P30" s="286"/>
      <c r="Q30" s="286"/>
      <c r="R30" s="285">
        <v>0</v>
      </c>
      <c r="T30">
        <f t="shared" si="0"/>
        <v>0</v>
      </c>
    </row>
    <row r="31" spans="1:20" x14ac:dyDescent="0.25">
      <c r="A31" s="285">
        <v>30</v>
      </c>
      <c r="B31" s="286" t="s">
        <v>625</v>
      </c>
      <c r="C31" s="286"/>
      <c r="D31" s="286"/>
      <c r="E31" s="286"/>
      <c r="F31" s="286"/>
      <c r="G31" s="286"/>
      <c r="H31" s="286"/>
      <c r="I31" s="286"/>
      <c r="J31" s="286"/>
      <c r="K31" s="286"/>
      <c r="L31" s="286"/>
      <c r="M31" s="286"/>
      <c r="N31" s="286"/>
      <c r="O31" s="286"/>
      <c r="P31" s="286"/>
      <c r="Q31" s="286"/>
      <c r="R31" s="285">
        <v>0</v>
      </c>
      <c r="T31">
        <f t="shared" si="0"/>
        <v>0</v>
      </c>
    </row>
    <row r="32" spans="1:20" x14ac:dyDescent="0.25">
      <c r="A32" s="285">
        <v>31</v>
      </c>
      <c r="B32" s="286" t="s">
        <v>34</v>
      </c>
      <c r="C32" s="286"/>
      <c r="D32" s="286"/>
      <c r="E32" s="286"/>
      <c r="F32" s="286"/>
      <c r="G32" s="286"/>
      <c r="H32" s="286"/>
      <c r="I32" s="286"/>
      <c r="J32" s="286"/>
      <c r="K32" s="286"/>
      <c r="L32" s="286"/>
      <c r="M32" s="286"/>
      <c r="N32" s="286"/>
      <c r="O32" s="286"/>
      <c r="P32" s="286"/>
      <c r="Q32" s="286"/>
      <c r="R32" s="285">
        <v>0</v>
      </c>
      <c r="T32">
        <f t="shared" si="0"/>
        <v>0</v>
      </c>
    </row>
    <row r="33" spans="1:20" x14ac:dyDescent="0.25">
      <c r="A33" s="285">
        <v>32</v>
      </c>
      <c r="B33" s="286" t="s">
        <v>45</v>
      </c>
      <c r="C33" s="286"/>
      <c r="D33" s="286"/>
      <c r="E33" s="286"/>
      <c r="F33" s="286"/>
      <c r="G33" s="286"/>
      <c r="H33" s="286"/>
      <c r="I33" s="286"/>
      <c r="J33" s="286"/>
      <c r="K33" s="286"/>
      <c r="L33" s="286"/>
      <c r="M33" s="286"/>
      <c r="N33" s="286"/>
      <c r="O33" s="286"/>
      <c r="P33" s="286"/>
      <c r="Q33" s="286"/>
      <c r="R33" s="285">
        <v>0</v>
      </c>
      <c r="T33">
        <f t="shared" si="0"/>
        <v>0</v>
      </c>
    </row>
    <row r="34" spans="1:20" x14ac:dyDescent="0.25">
      <c r="A34" s="285">
        <v>33</v>
      </c>
      <c r="B34" s="286" t="s">
        <v>630</v>
      </c>
      <c r="C34" s="286"/>
      <c r="D34" s="286"/>
      <c r="E34" s="286"/>
      <c r="F34" s="286"/>
      <c r="G34" s="286"/>
      <c r="H34" s="286"/>
      <c r="I34" s="286"/>
      <c r="J34" s="286"/>
      <c r="K34" s="286"/>
      <c r="L34" s="286"/>
      <c r="M34" s="286"/>
      <c r="N34" s="286"/>
      <c r="O34" s="286"/>
      <c r="P34" s="286"/>
      <c r="Q34" s="286"/>
      <c r="R34" s="285">
        <v>0</v>
      </c>
      <c r="T34">
        <f t="shared" si="0"/>
        <v>0</v>
      </c>
    </row>
    <row r="35" spans="1:20" x14ac:dyDescent="0.25">
      <c r="A35" s="285">
        <v>34</v>
      </c>
      <c r="B35" s="286" t="s">
        <v>628</v>
      </c>
      <c r="C35" s="286"/>
      <c r="D35" s="286"/>
      <c r="E35" s="286"/>
      <c r="F35" s="286"/>
      <c r="G35" s="286"/>
      <c r="H35" s="286"/>
      <c r="I35" s="286"/>
      <c r="J35" s="286"/>
      <c r="K35" s="286"/>
      <c r="L35" s="286"/>
      <c r="M35" s="286"/>
      <c r="N35" s="286"/>
      <c r="O35" s="286"/>
      <c r="P35" s="286"/>
      <c r="Q35" s="286"/>
      <c r="R35" s="285">
        <v>0</v>
      </c>
      <c r="T35">
        <f t="shared" si="0"/>
        <v>0</v>
      </c>
    </row>
    <row r="36" spans="1:20" x14ac:dyDescent="0.25">
      <c r="A36" s="285">
        <v>35</v>
      </c>
      <c r="B36" s="286" t="s">
        <v>629</v>
      </c>
      <c r="C36" s="286"/>
      <c r="D36" s="286"/>
      <c r="E36" s="286"/>
      <c r="F36" s="286"/>
      <c r="G36" s="286"/>
      <c r="H36" s="286"/>
      <c r="I36" s="286"/>
      <c r="J36" s="286"/>
      <c r="K36" s="286"/>
      <c r="L36" s="286"/>
      <c r="M36" s="286"/>
      <c r="N36" s="286"/>
      <c r="O36" s="286"/>
      <c r="P36" s="286"/>
      <c r="Q36" s="286"/>
      <c r="R36" s="285">
        <v>0</v>
      </c>
      <c r="T36">
        <f t="shared" si="0"/>
        <v>0</v>
      </c>
    </row>
    <row r="37" spans="1:20" x14ac:dyDescent="0.25">
      <c r="A37" s="285">
        <v>36</v>
      </c>
      <c r="B37" s="286" t="s">
        <v>631</v>
      </c>
      <c r="C37" s="286"/>
      <c r="D37" s="286"/>
      <c r="E37" s="286"/>
      <c r="F37" s="286"/>
      <c r="G37" s="286"/>
      <c r="H37" s="286"/>
      <c r="I37" s="286"/>
      <c r="J37" s="286"/>
      <c r="K37" s="286"/>
      <c r="L37" s="286"/>
      <c r="M37" s="286"/>
      <c r="N37" s="286"/>
      <c r="O37" s="286"/>
      <c r="P37" s="286"/>
      <c r="Q37" s="286"/>
      <c r="R37" s="285">
        <v>0</v>
      </c>
      <c r="T37">
        <f t="shared" si="0"/>
        <v>0</v>
      </c>
    </row>
    <row r="38" spans="1:20" x14ac:dyDescent="0.25">
      <c r="A38" s="285">
        <v>37</v>
      </c>
      <c r="B38" s="286" t="s">
        <v>632</v>
      </c>
      <c r="C38" s="286"/>
      <c r="D38" s="286"/>
      <c r="E38" s="286"/>
      <c r="F38" s="286"/>
      <c r="G38" s="286"/>
      <c r="H38" s="286"/>
      <c r="I38" s="286"/>
      <c r="J38" s="286"/>
      <c r="K38" s="286"/>
      <c r="L38" s="286"/>
      <c r="M38" s="286"/>
      <c r="N38" s="286"/>
      <c r="O38" s="286"/>
      <c r="P38" s="286"/>
      <c r="Q38" s="286"/>
      <c r="R38" s="285">
        <v>0</v>
      </c>
      <c r="T38">
        <f t="shared" si="0"/>
        <v>0</v>
      </c>
    </row>
    <row r="39" spans="1:20" x14ac:dyDescent="0.25">
      <c r="A39" s="285">
        <v>38</v>
      </c>
      <c r="B39" s="286" t="s">
        <v>633</v>
      </c>
      <c r="C39" s="286"/>
      <c r="D39" s="286"/>
      <c r="E39" s="286"/>
      <c r="F39" s="286"/>
      <c r="G39" s="286"/>
      <c r="H39" s="286"/>
      <c r="I39" s="286"/>
      <c r="J39" s="286"/>
      <c r="K39" s="286"/>
      <c r="L39" s="286"/>
      <c r="M39" s="286"/>
      <c r="N39" s="286"/>
      <c r="O39" s="286"/>
      <c r="P39" s="286"/>
      <c r="Q39" s="286"/>
      <c r="R39" s="285">
        <v>0</v>
      </c>
      <c r="T39">
        <f t="shared" si="0"/>
        <v>0</v>
      </c>
    </row>
    <row r="40" spans="1:20" x14ac:dyDescent="0.25">
      <c r="A40" s="285">
        <v>39</v>
      </c>
      <c r="B40" s="286" t="s">
        <v>634</v>
      </c>
      <c r="C40" s="286"/>
      <c r="D40" s="286"/>
      <c r="E40" s="286"/>
      <c r="F40" s="286"/>
      <c r="G40" s="286"/>
      <c r="H40" s="286"/>
      <c r="I40" s="286"/>
      <c r="J40" s="286"/>
      <c r="K40" s="286"/>
      <c r="L40" s="286"/>
      <c r="M40" s="286"/>
      <c r="N40" s="286"/>
      <c r="O40" s="286"/>
      <c r="P40" s="286"/>
      <c r="Q40" s="286"/>
      <c r="R40" s="285">
        <v>0</v>
      </c>
      <c r="T40">
        <f t="shared" si="0"/>
        <v>0</v>
      </c>
    </row>
    <row r="41" spans="1:20" x14ac:dyDescent="0.25">
      <c r="A41" s="285">
        <v>40</v>
      </c>
      <c r="B41" s="286" t="s">
        <v>636</v>
      </c>
      <c r="C41" s="286"/>
      <c r="D41" s="286"/>
      <c r="E41" s="286"/>
      <c r="F41" s="286"/>
      <c r="G41" s="286"/>
      <c r="H41" s="286"/>
      <c r="I41" s="286"/>
      <c r="J41" s="286"/>
      <c r="K41" s="286"/>
      <c r="L41" s="286"/>
      <c r="M41" s="286"/>
      <c r="N41" s="286"/>
      <c r="O41" s="286"/>
      <c r="P41" s="286"/>
      <c r="Q41" s="286"/>
      <c r="R41" s="285">
        <v>0</v>
      </c>
      <c r="T41">
        <f t="shared" si="0"/>
        <v>0</v>
      </c>
    </row>
    <row r="42" spans="1:20" x14ac:dyDescent="0.25">
      <c r="A42" s="285">
        <v>41</v>
      </c>
      <c r="B42" s="286" t="s">
        <v>637</v>
      </c>
      <c r="C42" s="286"/>
      <c r="D42" s="286"/>
      <c r="E42" s="286" t="s">
        <v>26</v>
      </c>
      <c r="F42" s="286"/>
      <c r="G42" s="286"/>
      <c r="H42" s="286"/>
      <c r="I42" s="286"/>
      <c r="J42" s="286"/>
      <c r="K42" s="286"/>
      <c r="L42" s="286"/>
      <c r="M42" s="286"/>
      <c r="N42" s="286"/>
      <c r="O42" s="286"/>
      <c r="P42" s="286"/>
      <c r="Q42" s="286"/>
      <c r="R42" s="287">
        <v>11</v>
      </c>
      <c r="T42">
        <f t="shared" si="0"/>
        <v>11</v>
      </c>
    </row>
    <row r="43" spans="1:20" x14ac:dyDescent="0.25">
      <c r="A43" s="285">
        <v>42</v>
      </c>
      <c r="B43" s="286" t="s">
        <v>640</v>
      </c>
      <c r="C43" s="286"/>
      <c r="D43" s="286"/>
      <c r="E43" s="286"/>
      <c r="F43" s="286"/>
      <c r="G43" s="286"/>
      <c r="H43" s="286"/>
      <c r="I43" s="286"/>
      <c r="J43" s="286"/>
      <c r="K43" s="286"/>
      <c r="L43" s="286"/>
      <c r="M43" s="286"/>
      <c r="N43" s="286"/>
      <c r="O43" s="286"/>
      <c r="P43" s="286"/>
      <c r="Q43" s="286"/>
      <c r="R43" s="285">
        <v>0</v>
      </c>
      <c r="T43">
        <f t="shared" si="0"/>
        <v>0</v>
      </c>
    </row>
    <row r="44" spans="1:20" x14ac:dyDescent="0.25">
      <c r="A44" s="285">
        <v>43</v>
      </c>
      <c r="B44" s="286" t="s">
        <v>638</v>
      </c>
      <c r="C44" s="286"/>
      <c r="D44" s="286"/>
      <c r="E44" s="286"/>
      <c r="F44" s="286"/>
      <c r="G44" s="286"/>
      <c r="H44" s="286"/>
      <c r="I44" s="286"/>
      <c r="J44" s="286"/>
      <c r="K44" s="286"/>
      <c r="L44" s="286"/>
      <c r="M44" s="286"/>
      <c r="N44" s="286"/>
      <c r="O44" s="286"/>
      <c r="P44" s="286"/>
      <c r="Q44" s="286"/>
      <c r="R44" s="285">
        <v>0</v>
      </c>
      <c r="T44">
        <f t="shared" si="0"/>
        <v>0</v>
      </c>
    </row>
    <row r="45" spans="1:20" x14ac:dyDescent="0.25">
      <c r="A45" s="285">
        <v>44</v>
      </c>
      <c r="B45" s="286" t="s">
        <v>635</v>
      </c>
      <c r="C45" s="286"/>
      <c r="D45" s="286"/>
      <c r="E45" s="286"/>
      <c r="F45" s="286"/>
      <c r="G45" s="286"/>
      <c r="H45" s="286"/>
      <c r="I45" s="286"/>
      <c r="J45" s="286"/>
      <c r="K45" s="286"/>
      <c r="L45" s="286"/>
      <c r="M45" s="286"/>
      <c r="N45" s="286"/>
      <c r="O45" s="286"/>
      <c r="P45" s="286"/>
      <c r="Q45" s="286"/>
      <c r="R45" s="285">
        <v>0</v>
      </c>
      <c r="T45">
        <f t="shared" si="0"/>
        <v>0</v>
      </c>
    </row>
    <row r="46" spans="1:20" x14ac:dyDescent="0.25">
      <c r="A46" s="285">
        <v>45</v>
      </c>
      <c r="B46" s="286" t="s">
        <v>641</v>
      </c>
      <c r="C46" s="286"/>
      <c r="D46" s="286"/>
      <c r="E46" s="286"/>
      <c r="F46" s="286"/>
      <c r="G46" s="286"/>
      <c r="H46" s="286"/>
      <c r="I46" s="286"/>
      <c r="J46" s="286"/>
      <c r="K46" s="286"/>
      <c r="L46" s="286"/>
      <c r="M46" s="286"/>
      <c r="N46" s="286"/>
      <c r="O46" s="286"/>
      <c r="P46" s="286"/>
      <c r="Q46" s="286"/>
      <c r="R46" s="285">
        <v>0</v>
      </c>
      <c r="T46">
        <f t="shared" si="0"/>
        <v>0</v>
      </c>
    </row>
    <row r="47" spans="1:20" x14ac:dyDescent="0.25">
      <c r="A47" s="285">
        <v>46</v>
      </c>
      <c r="B47" s="286" t="s">
        <v>649</v>
      </c>
      <c r="C47" s="286"/>
      <c r="D47" s="286"/>
      <c r="E47" s="286"/>
      <c r="F47" s="286"/>
      <c r="G47" s="286"/>
      <c r="H47" s="286"/>
      <c r="I47" s="286"/>
      <c r="J47" s="286"/>
      <c r="K47" s="286"/>
      <c r="L47" s="286"/>
      <c r="M47" s="286"/>
      <c r="N47" s="286"/>
      <c r="O47" s="286"/>
      <c r="P47" s="286"/>
      <c r="Q47" s="286"/>
      <c r="R47" s="285">
        <v>0</v>
      </c>
      <c r="T47">
        <f t="shared" si="0"/>
        <v>0</v>
      </c>
    </row>
    <row r="48" spans="1:20" x14ac:dyDescent="0.25">
      <c r="A48" s="285">
        <v>47</v>
      </c>
      <c r="B48" s="286" t="s">
        <v>642</v>
      </c>
      <c r="C48" s="286"/>
      <c r="D48" s="286"/>
      <c r="E48" s="286"/>
      <c r="F48" s="286"/>
      <c r="G48" s="286"/>
      <c r="H48" s="286"/>
      <c r="I48" s="286"/>
      <c r="J48" s="286"/>
      <c r="K48" s="286"/>
      <c r="L48" s="286"/>
      <c r="M48" s="286"/>
      <c r="N48" s="286"/>
      <c r="O48" s="286"/>
      <c r="P48" s="286"/>
      <c r="Q48" s="286"/>
      <c r="R48" s="285">
        <v>0</v>
      </c>
      <c r="T48">
        <f t="shared" si="0"/>
        <v>0</v>
      </c>
    </row>
    <row r="49" spans="1:20" x14ac:dyDescent="0.25">
      <c r="A49" s="285">
        <v>48</v>
      </c>
      <c r="B49" s="286" t="s">
        <v>643</v>
      </c>
      <c r="C49" s="286"/>
      <c r="D49" s="286"/>
      <c r="E49" s="286"/>
      <c r="F49" s="286"/>
      <c r="G49" s="286"/>
      <c r="H49" s="286"/>
      <c r="I49" s="286"/>
      <c r="J49" s="286"/>
      <c r="K49" s="286"/>
      <c r="L49" s="286"/>
      <c r="M49" s="286"/>
      <c r="N49" s="286"/>
      <c r="O49" s="286"/>
      <c r="P49" s="286"/>
      <c r="Q49" s="286"/>
      <c r="R49" s="285">
        <v>0</v>
      </c>
      <c r="T49">
        <f t="shared" si="0"/>
        <v>0</v>
      </c>
    </row>
    <row r="50" spans="1:20" x14ac:dyDescent="0.25">
      <c r="A50" s="285">
        <v>49</v>
      </c>
      <c r="B50" s="286" t="s">
        <v>644</v>
      </c>
      <c r="C50" s="286"/>
      <c r="D50" s="286"/>
      <c r="E50" s="286"/>
      <c r="F50" s="286"/>
      <c r="G50" s="286"/>
      <c r="H50" s="286"/>
      <c r="I50" s="286"/>
      <c r="J50" s="286"/>
      <c r="K50" s="286"/>
      <c r="L50" s="286"/>
      <c r="M50" s="286"/>
      <c r="N50" s="286"/>
      <c r="O50" s="286"/>
      <c r="P50" s="286"/>
      <c r="Q50" s="286"/>
      <c r="R50" s="285">
        <v>0</v>
      </c>
      <c r="T50">
        <f t="shared" si="0"/>
        <v>0</v>
      </c>
    </row>
    <row r="51" spans="1:20" x14ac:dyDescent="0.25">
      <c r="A51" s="285">
        <v>50</v>
      </c>
      <c r="B51" s="286" t="s">
        <v>646</v>
      </c>
      <c r="C51" s="286"/>
      <c r="D51" s="286"/>
      <c r="E51" s="286"/>
      <c r="F51" s="286"/>
      <c r="G51" s="286"/>
      <c r="H51" s="286"/>
      <c r="I51" s="286"/>
      <c r="J51" s="286"/>
      <c r="K51" s="286"/>
      <c r="L51" s="286"/>
      <c r="M51" s="286"/>
      <c r="N51" s="286"/>
      <c r="O51" s="286"/>
      <c r="P51" s="286"/>
      <c r="Q51" s="286"/>
      <c r="R51" s="285">
        <v>0</v>
      </c>
      <c r="T51">
        <f t="shared" si="0"/>
        <v>0</v>
      </c>
    </row>
    <row r="52" spans="1:20" x14ac:dyDescent="0.25">
      <c r="A52" s="285">
        <v>51</v>
      </c>
      <c r="B52" s="286" t="s">
        <v>647</v>
      </c>
      <c r="C52" s="286" t="s">
        <v>26</v>
      </c>
      <c r="D52" s="286" t="s">
        <v>26</v>
      </c>
      <c r="E52" s="286"/>
      <c r="F52" s="286"/>
      <c r="G52" s="286"/>
      <c r="H52" s="286"/>
      <c r="I52" s="286"/>
      <c r="J52" s="286"/>
      <c r="K52" s="286"/>
      <c r="L52" s="286"/>
      <c r="M52" s="286"/>
      <c r="N52" s="286"/>
      <c r="O52" s="286"/>
      <c r="P52" s="286"/>
      <c r="Q52" s="286"/>
      <c r="R52" s="287">
        <v>22</v>
      </c>
      <c r="T52">
        <f t="shared" si="0"/>
        <v>22</v>
      </c>
    </row>
    <row r="53" spans="1:20" x14ac:dyDescent="0.25">
      <c r="A53" s="285">
        <v>52</v>
      </c>
      <c r="B53" s="286" t="s">
        <v>652</v>
      </c>
      <c r="C53" s="286"/>
      <c r="D53" s="286"/>
      <c r="E53" s="286" t="s">
        <v>65</v>
      </c>
      <c r="F53" s="286"/>
      <c r="G53" s="286"/>
      <c r="H53" s="286"/>
      <c r="I53" s="286"/>
      <c r="J53" s="286"/>
      <c r="K53" s="286"/>
      <c r="L53" s="286"/>
      <c r="M53" s="286"/>
      <c r="N53" s="286"/>
      <c r="O53" s="286"/>
      <c r="P53" s="286"/>
      <c r="Q53" s="286"/>
      <c r="R53" s="287">
        <v>12</v>
      </c>
      <c r="T53">
        <f t="shared" si="0"/>
        <v>12</v>
      </c>
    </row>
    <row r="54" spans="1:20" x14ac:dyDescent="0.25">
      <c r="A54" s="285">
        <v>53</v>
      </c>
      <c r="B54" s="286" t="s">
        <v>653</v>
      </c>
      <c r="C54" s="286"/>
      <c r="D54" s="286"/>
      <c r="E54" s="286"/>
      <c r="F54" s="286"/>
      <c r="G54" s="286"/>
      <c r="H54" s="286"/>
      <c r="I54" s="286"/>
      <c r="J54" s="286"/>
      <c r="K54" s="286"/>
      <c r="L54" s="286"/>
      <c r="M54" s="286"/>
      <c r="N54" s="286"/>
      <c r="O54" s="286"/>
      <c r="P54" s="286"/>
      <c r="Q54" s="286"/>
      <c r="R54" s="285">
        <v>0</v>
      </c>
      <c r="T54">
        <f t="shared" si="0"/>
        <v>0</v>
      </c>
    </row>
    <row r="55" spans="1:20" x14ac:dyDescent="0.25">
      <c r="A55" s="285">
        <v>54</v>
      </c>
      <c r="B55" s="286" t="s">
        <v>654</v>
      </c>
      <c r="C55" s="286"/>
      <c r="D55" s="286"/>
      <c r="E55" s="286"/>
      <c r="F55" s="286"/>
      <c r="G55" s="286"/>
      <c r="H55" s="286"/>
      <c r="I55" s="286"/>
      <c r="J55" s="286"/>
      <c r="K55" s="286"/>
      <c r="L55" s="286"/>
      <c r="M55" s="286"/>
      <c r="N55" s="286"/>
      <c r="O55" s="286"/>
      <c r="P55" s="286"/>
      <c r="Q55" s="286"/>
      <c r="R55" s="285">
        <v>0</v>
      </c>
      <c r="T55">
        <f t="shared" si="0"/>
        <v>0</v>
      </c>
    </row>
    <row r="56" spans="1:20" x14ac:dyDescent="0.25">
      <c r="A56" s="285">
        <v>55</v>
      </c>
      <c r="B56" s="286" t="s">
        <v>655</v>
      </c>
      <c r="C56" s="286"/>
      <c r="D56" s="286"/>
      <c r="E56" s="286"/>
      <c r="F56" s="286"/>
      <c r="G56" s="286"/>
      <c r="H56" s="286"/>
      <c r="I56" s="286"/>
      <c r="J56" s="286"/>
      <c r="K56" s="286"/>
      <c r="L56" s="286"/>
      <c r="M56" s="286"/>
      <c r="N56" s="286"/>
      <c r="O56" s="286"/>
      <c r="P56" s="286"/>
      <c r="Q56" s="286"/>
      <c r="R56" s="285">
        <v>0</v>
      </c>
      <c r="T56">
        <f t="shared" si="0"/>
        <v>0</v>
      </c>
    </row>
    <row r="57" spans="1:20" x14ac:dyDescent="0.25">
      <c r="A57" s="285">
        <v>56</v>
      </c>
      <c r="B57" s="286" t="s">
        <v>656</v>
      </c>
      <c r="C57" s="286"/>
      <c r="D57" s="286"/>
      <c r="E57" s="286"/>
      <c r="F57" s="286"/>
      <c r="G57" s="286"/>
      <c r="H57" s="286"/>
      <c r="I57" s="286"/>
      <c r="J57" s="286"/>
      <c r="K57" s="286"/>
      <c r="L57" s="286"/>
      <c r="M57" s="286"/>
      <c r="N57" s="286"/>
      <c r="O57" s="286"/>
      <c r="P57" s="286"/>
      <c r="Q57" s="286"/>
      <c r="R57" s="285">
        <v>0</v>
      </c>
      <c r="T57">
        <f t="shared" si="0"/>
        <v>0</v>
      </c>
    </row>
    <row r="58" spans="1:20" x14ac:dyDescent="0.25">
      <c r="A58" s="285">
        <v>57</v>
      </c>
      <c r="B58" s="286" t="s">
        <v>657</v>
      </c>
      <c r="C58" s="286"/>
      <c r="D58" s="286"/>
      <c r="E58" s="286"/>
      <c r="F58" s="286"/>
      <c r="G58" s="286"/>
      <c r="H58" s="286"/>
      <c r="I58" s="286"/>
      <c r="J58" s="286"/>
      <c r="K58" s="286"/>
      <c r="L58" s="286"/>
      <c r="M58" s="286"/>
      <c r="N58" s="286"/>
      <c r="O58" s="286"/>
      <c r="P58" s="286"/>
      <c r="Q58" s="286"/>
      <c r="R58" s="285">
        <v>0</v>
      </c>
      <c r="T58">
        <f t="shared" si="0"/>
        <v>0</v>
      </c>
    </row>
    <row r="59" spans="1:20" x14ac:dyDescent="0.25">
      <c r="A59" s="285">
        <v>58</v>
      </c>
      <c r="B59" s="286" t="s">
        <v>658</v>
      </c>
      <c r="C59" s="286"/>
      <c r="D59" s="286"/>
      <c r="E59" s="286"/>
      <c r="F59" s="286"/>
      <c r="G59" s="286"/>
      <c r="H59" s="286"/>
      <c r="I59" s="286"/>
      <c r="J59" s="286"/>
      <c r="K59" s="286"/>
      <c r="L59" s="286"/>
      <c r="M59" s="286"/>
      <c r="N59" s="286"/>
      <c r="O59" s="286"/>
      <c r="P59" s="286"/>
      <c r="Q59" s="286"/>
      <c r="R59" s="285">
        <v>0</v>
      </c>
      <c r="T59">
        <f t="shared" si="0"/>
        <v>0</v>
      </c>
    </row>
    <row r="60" spans="1:20" x14ac:dyDescent="0.25">
      <c r="A60" s="285">
        <v>59</v>
      </c>
      <c r="B60" s="286" t="s">
        <v>659</v>
      </c>
      <c r="C60" s="286"/>
      <c r="D60" s="286"/>
      <c r="E60" s="286"/>
      <c r="F60" s="286"/>
      <c r="G60" s="286"/>
      <c r="H60" s="286"/>
      <c r="I60" s="286"/>
      <c r="J60" s="286"/>
      <c r="K60" s="286"/>
      <c r="L60" s="286"/>
      <c r="M60" s="286"/>
      <c r="N60" s="286"/>
      <c r="O60" s="286"/>
      <c r="P60" s="286"/>
      <c r="Q60" s="286"/>
      <c r="R60" s="285">
        <v>0</v>
      </c>
      <c r="T60">
        <f t="shared" si="0"/>
        <v>0</v>
      </c>
    </row>
    <row r="61" spans="1:20" x14ac:dyDescent="0.25">
      <c r="A61" s="285">
        <v>60</v>
      </c>
      <c r="B61" s="286" t="s">
        <v>660</v>
      </c>
      <c r="C61" s="286"/>
      <c r="D61" s="286"/>
      <c r="E61" s="286"/>
      <c r="F61" s="286"/>
      <c r="G61" s="286"/>
      <c r="H61" s="286"/>
      <c r="I61" s="286"/>
      <c r="J61" s="286"/>
      <c r="K61" s="286"/>
      <c r="L61" s="286"/>
      <c r="M61" s="286"/>
      <c r="N61" s="286"/>
      <c r="O61" s="286"/>
      <c r="P61" s="286"/>
      <c r="Q61" s="286"/>
      <c r="R61" s="285">
        <v>0</v>
      </c>
      <c r="T61">
        <f t="shared" si="0"/>
        <v>0</v>
      </c>
    </row>
    <row r="62" spans="1:20" x14ac:dyDescent="0.25">
      <c r="A62" s="285">
        <v>61</v>
      </c>
      <c r="B62" s="286" t="s">
        <v>661</v>
      </c>
      <c r="C62" s="286"/>
      <c r="D62" s="286"/>
      <c r="E62" s="286"/>
      <c r="F62" s="286"/>
      <c r="G62" s="286"/>
      <c r="H62" s="286"/>
      <c r="I62" s="286"/>
      <c r="J62" s="286"/>
      <c r="K62" s="286"/>
      <c r="L62" s="286"/>
      <c r="M62" s="286"/>
      <c r="N62" s="286"/>
      <c r="O62" s="286"/>
      <c r="P62" s="286"/>
      <c r="Q62" s="286"/>
      <c r="R62" s="285">
        <v>0</v>
      </c>
      <c r="T62">
        <f t="shared" si="0"/>
        <v>0</v>
      </c>
    </row>
    <row r="63" spans="1:20" x14ac:dyDescent="0.25">
      <c r="A63" s="285">
        <v>62</v>
      </c>
      <c r="B63" s="286" t="s">
        <v>662</v>
      </c>
      <c r="C63" s="286"/>
      <c r="D63" s="286"/>
      <c r="E63" s="286"/>
      <c r="F63" s="286"/>
      <c r="G63" s="286"/>
      <c r="H63" s="286"/>
      <c r="I63" s="286"/>
      <c r="J63" s="286"/>
      <c r="K63" s="286"/>
      <c r="L63" s="286"/>
      <c r="M63" s="286"/>
      <c r="N63" s="286"/>
      <c r="O63" s="286"/>
      <c r="P63" s="286"/>
      <c r="Q63" s="286"/>
      <c r="R63" s="285">
        <v>0</v>
      </c>
      <c r="T63">
        <f t="shared" si="0"/>
        <v>0</v>
      </c>
    </row>
    <row r="64" spans="1:20" x14ac:dyDescent="0.25">
      <c r="A64" s="285">
        <v>63</v>
      </c>
      <c r="B64" s="286" t="s">
        <v>668</v>
      </c>
      <c r="C64" s="286"/>
      <c r="D64" s="286"/>
      <c r="E64" s="286"/>
      <c r="F64" s="286"/>
      <c r="G64" s="286"/>
      <c r="H64" s="286"/>
      <c r="I64" s="286"/>
      <c r="J64" s="286"/>
      <c r="K64" s="286"/>
      <c r="L64" s="286"/>
      <c r="M64" s="286"/>
      <c r="N64" s="286"/>
      <c r="O64" s="286"/>
      <c r="P64" s="286"/>
      <c r="Q64" s="286"/>
      <c r="R64" s="285">
        <v>0</v>
      </c>
      <c r="T64">
        <f t="shared" si="0"/>
        <v>0</v>
      </c>
    </row>
    <row r="65" spans="1:18" x14ac:dyDescent="0.2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4"/>
      <c r="N65" s="284"/>
      <c r="O65" s="284"/>
      <c r="P65" s="284"/>
      <c r="Q65" s="284"/>
      <c r="R65" s="288">
        <v>100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T65"/>
  <sheetViews>
    <sheetView zoomScale="70" zoomScaleNormal="70" workbookViewId="0">
      <selection activeCell="T2" sqref="T2:T64"/>
    </sheetView>
  </sheetViews>
  <sheetFormatPr defaultRowHeight="15" x14ac:dyDescent="0.25"/>
  <sheetData>
    <row r="1" spans="1:20" x14ac:dyDescent="0.25">
      <c r="A1" s="289" t="s">
        <v>1</v>
      </c>
      <c r="B1" s="289" t="s">
        <v>6</v>
      </c>
      <c r="C1" s="289" t="s">
        <v>46</v>
      </c>
      <c r="D1" s="289" t="s">
        <v>47</v>
      </c>
      <c r="E1" s="289" t="s">
        <v>48</v>
      </c>
      <c r="F1" s="289" t="s">
        <v>49</v>
      </c>
      <c r="G1" s="289" t="s">
        <v>50</v>
      </c>
      <c r="H1" s="289" t="s">
        <v>51</v>
      </c>
      <c r="I1" s="289" t="s">
        <v>52</v>
      </c>
      <c r="J1" s="289" t="s">
        <v>53</v>
      </c>
      <c r="K1" s="289" t="s">
        <v>54</v>
      </c>
      <c r="L1" s="289" t="s">
        <v>55</v>
      </c>
      <c r="M1" s="289" t="s">
        <v>56</v>
      </c>
      <c r="N1" s="289" t="s">
        <v>57</v>
      </c>
      <c r="O1" s="289" t="s">
        <v>58</v>
      </c>
      <c r="P1" s="289" t="s">
        <v>59</v>
      </c>
      <c r="Q1" s="289" t="s">
        <v>667</v>
      </c>
      <c r="R1" s="289" t="s">
        <v>2</v>
      </c>
    </row>
    <row r="2" spans="1:20" x14ac:dyDescent="0.25">
      <c r="A2" s="290">
        <v>1</v>
      </c>
      <c r="B2" s="291" t="s">
        <v>10</v>
      </c>
      <c r="C2" s="291"/>
      <c r="D2" s="291"/>
      <c r="E2" s="291"/>
      <c r="F2" s="291"/>
      <c r="G2" s="291"/>
      <c r="H2" s="291"/>
      <c r="I2" s="291"/>
      <c r="J2" s="291"/>
      <c r="K2" s="291"/>
      <c r="L2" s="291"/>
      <c r="M2" s="291"/>
      <c r="N2" s="291"/>
      <c r="O2" s="291"/>
      <c r="P2" s="291"/>
      <c r="Q2" s="291"/>
      <c r="R2" s="290">
        <v>0</v>
      </c>
      <c r="T2">
        <f t="shared" ref="T2:T64" si="0">C2+D2+E2+F2+G2+H2+I2+J2+K2+L2+M2+N2+O2+P2+Q2</f>
        <v>0</v>
      </c>
    </row>
    <row r="3" spans="1:20" x14ac:dyDescent="0.25">
      <c r="A3" s="290">
        <v>2</v>
      </c>
      <c r="B3" s="291" t="s">
        <v>11</v>
      </c>
      <c r="C3" s="291"/>
      <c r="D3" s="291"/>
      <c r="E3" s="291"/>
      <c r="F3" s="291"/>
      <c r="G3" s="291"/>
      <c r="H3" s="291"/>
      <c r="I3" s="291"/>
      <c r="J3" s="291"/>
      <c r="K3" s="291"/>
      <c r="L3" s="291"/>
      <c r="M3" s="291"/>
      <c r="N3" s="291"/>
      <c r="O3" s="291"/>
      <c r="P3" s="291"/>
      <c r="Q3" s="291"/>
      <c r="R3" s="290">
        <v>0</v>
      </c>
      <c r="T3">
        <f t="shared" si="0"/>
        <v>0</v>
      </c>
    </row>
    <row r="4" spans="1:20" x14ac:dyDescent="0.25">
      <c r="A4" s="290">
        <v>3</v>
      </c>
      <c r="B4" s="291" t="s">
        <v>12</v>
      </c>
      <c r="C4" s="291"/>
      <c r="D4" s="291"/>
      <c r="E4" s="291"/>
      <c r="F4" s="291"/>
      <c r="G4" s="291"/>
      <c r="H4" s="291"/>
      <c r="I4" s="291"/>
      <c r="J4" s="291"/>
      <c r="K4" s="291"/>
      <c r="L4" s="291"/>
      <c r="M4" s="291"/>
      <c r="N4" s="291"/>
      <c r="O4" s="291"/>
      <c r="P4" s="291"/>
      <c r="Q4" s="291"/>
      <c r="R4" s="290">
        <v>0</v>
      </c>
      <c r="T4">
        <f t="shared" si="0"/>
        <v>0</v>
      </c>
    </row>
    <row r="5" spans="1:20" x14ac:dyDescent="0.25">
      <c r="A5" s="290">
        <v>4</v>
      </c>
      <c r="B5" s="291" t="s">
        <v>651</v>
      </c>
      <c r="C5" s="291"/>
      <c r="D5" s="291"/>
      <c r="E5" s="291"/>
      <c r="F5" s="291"/>
      <c r="G5" s="291"/>
      <c r="H5" s="291"/>
      <c r="I5" s="291"/>
      <c r="J5" s="291"/>
      <c r="K5" s="291"/>
      <c r="L5" s="291"/>
      <c r="M5" s="291"/>
      <c r="N5" s="291"/>
      <c r="O5" s="291"/>
      <c r="P5" s="291"/>
      <c r="Q5" s="291"/>
      <c r="R5" s="290">
        <v>0</v>
      </c>
      <c r="T5">
        <f t="shared" si="0"/>
        <v>0</v>
      </c>
    </row>
    <row r="6" spans="1:20" x14ac:dyDescent="0.25">
      <c r="A6" s="290">
        <v>5</v>
      </c>
      <c r="B6" s="291" t="s">
        <v>14</v>
      </c>
      <c r="C6" s="291"/>
      <c r="D6" s="291"/>
      <c r="E6" s="291"/>
      <c r="F6" s="291"/>
      <c r="G6" s="291"/>
      <c r="H6" s="291"/>
      <c r="I6" s="291"/>
      <c r="J6" s="291"/>
      <c r="K6" s="291"/>
      <c r="L6" s="291"/>
      <c r="M6" s="291"/>
      <c r="N6" s="291"/>
      <c r="O6" s="291"/>
      <c r="P6" s="291"/>
      <c r="Q6" s="291"/>
      <c r="R6" s="290">
        <v>0</v>
      </c>
      <c r="T6">
        <f t="shared" si="0"/>
        <v>0</v>
      </c>
    </row>
    <row r="7" spans="1:20" x14ac:dyDescent="0.25">
      <c r="A7" s="290">
        <v>6</v>
      </c>
      <c r="B7" s="291" t="s">
        <v>15</v>
      </c>
      <c r="C7" s="291" t="s">
        <v>26</v>
      </c>
      <c r="D7" s="291" t="s">
        <v>26</v>
      </c>
      <c r="E7" s="291"/>
      <c r="F7" s="291"/>
      <c r="G7" s="291"/>
      <c r="H7" s="291"/>
      <c r="I7" s="291"/>
      <c r="J7" s="291"/>
      <c r="K7" s="291"/>
      <c r="L7" s="291"/>
      <c r="M7" s="291"/>
      <c r="N7" s="291"/>
      <c r="O7" s="291"/>
      <c r="P7" s="291"/>
      <c r="Q7" s="291"/>
      <c r="R7" s="292">
        <v>33</v>
      </c>
      <c r="T7">
        <f t="shared" si="0"/>
        <v>22</v>
      </c>
    </row>
    <row r="8" spans="1:20" x14ac:dyDescent="0.25">
      <c r="A8" s="290">
        <v>7</v>
      </c>
      <c r="B8" s="291" t="s">
        <v>16</v>
      </c>
      <c r="C8" s="291"/>
      <c r="D8" s="291" t="s">
        <v>26</v>
      </c>
      <c r="E8" s="291"/>
      <c r="F8" s="291" t="s">
        <v>26</v>
      </c>
      <c r="G8" s="291"/>
      <c r="H8" s="291"/>
      <c r="I8" s="291"/>
      <c r="J8" s="291"/>
      <c r="K8" s="291"/>
      <c r="L8" s="291"/>
      <c r="M8" s="291"/>
      <c r="N8" s="291"/>
      <c r="O8" s="291"/>
      <c r="P8" s="291"/>
      <c r="Q8" s="291"/>
      <c r="R8" s="292">
        <v>22</v>
      </c>
      <c r="T8">
        <f t="shared" si="0"/>
        <v>22</v>
      </c>
    </row>
    <row r="9" spans="1:20" x14ac:dyDescent="0.25">
      <c r="A9" s="290">
        <v>8</v>
      </c>
      <c r="B9" s="291" t="s">
        <v>4</v>
      </c>
      <c r="C9" s="291"/>
      <c r="D9" s="291"/>
      <c r="E9" s="291"/>
      <c r="F9" s="291"/>
      <c r="G9" s="291"/>
      <c r="H9" s="291"/>
      <c r="I9" s="291"/>
      <c r="J9" s="291"/>
      <c r="K9" s="291"/>
      <c r="L9" s="291"/>
      <c r="M9" s="291"/>
      <c r="N9" s="291"/>
      <c r="O9" s="291"/>
      <c r="P9" s="291"/>
      <c r="Q9" s="291"/>
      <c r="R9" s="290">
        <v>0</v>
      </c>
      <c r="T9">
        <f t="shared" si="0"/>
        <v>0</v>
      </c>
    </row>
    <row r="10" spans="1:20" x14ac:dyDescent="0.25">
      <c r="A10" s="290">
        <v>9</v>
      </c>
      <c r="B10" s="291" t="s">
        <v>5</v>
      </c>
      <c r="C10" s="291"/>
      <c r="D10" s="291"/>
      <c r="E10" s="291"/>
      <c r="F10" s="291"/>
      <c r="G10" s="291"/>
      <c r="H10" s="291"/>
      <c r="I10" s="291"/>
      <c r="J10" s="291"/>
      <c r="K10" s="291"/>
      <c r="L10" s="291"/>
      <c r="M10" s="291"/>
      <c r="N10" s="291"/>
      <c r="O10" s="291"/>
      <c r="P10" s="291"/>
      <c r="Q10" s="291"/>
      <c r="R10" s="290">
        <v>0</v>
      </c>
      <c r="T10">
        <f t="shared" si="0"/>
        <v>0</v>
      </c>
    </row>
    <row r="11" spans="1:20" x14ac:dyDescent="0.25">
      <c r="A11" s="290">
        <v>10</v>
      </c>
      <c r="B11" s="291" t="s">
        <v>38</v>
      </c>
      <c r="C11" s="291"/>
      <c r="D11" s="291"/>
      <c r="E11" s="291"/>
      <c r="F11" s="291"/>
      <c r="G11" s="291"/>
      <c r="H11" s="291"/>
      <c r="I11" s="291"/>
      <c r="J11" s="291"/>
      <c r="K11" s="291"/>
      <c r="L11" s="291"/>
      <c r="M11" s="291"/>
      <c r="N11" s="291"/>
      <c r="O11" s="291"/>
      <c r="P11" s="291"/>
      <c r="Q11" s="291"/>
      <c r="R11" s="290">
        <v>0</v>
      </c>
      <c r="T11">
        <f t="shared" si="0"/>
        <v>0</v>
      </c>
    </row>
    <row r="12" spans="1:20" x14ac:dyDescent="0.25">
      <c r="A12" s="290">
        <v>11</v>
      </c>
      <c r="B12" s="291" t="s">
        <v>43</v>
      </c>
      <c r="C12" s="291"/>
      <c r="D12" s="291"/>
      <c r="E12" s="291"/>
      <c r="F12" s="291"/>
      <c r="G12" s="291"/>
      <c r="H12" s="291"/>
      <c r="I12" s="291"/>
      <c r="J12" s="291"/>
      <c r="K12" s="291"/>
      <c r="L12" s="291"/>
      <c r="M12" s="291"/>
      <c r="N12" s="291"/>
      <c r="O12" s="291"/>
      <c r="P12" s="291"/>
      <c r="Q12" s="291"/>
      <c r="R12" s="290">
        <v>0</v>
      </c>
      <c r="T12">
        <f t="shared" si="0"/>
        <v>0</v>
      </c>
    </row>
    <row r="13" spans="1:20" x14ac:dyDescent="0.25">
      <c r="A13" s="290">
        <v>12</v>
      </c>
      <c r="B13" s="291" t="s">
        <v>639</v>
      </c>
      <c r="C13" s="291"/>
      <c r="D13" s="291"/>
      <c r="E13" s="291"/>
      <c r="F13" s="291"/>
      <c r="G13" s="291"/>
      <c r="H13" s="291"/>
      <c r="I13" s="291"/>
      <c r="J13" s="291"/>
      <c r="K13" s="291"/>
      <c r="L13" s="291"/>
      <c r="M13" s="291"/>
      <c r="N13" s="291"/>
      <c r="O13" s="291"/>
      <c r="P13" s="291"/>
      <c r="Q13" s="291"/>
      <c r="R13" s="290">
        <v>0</v>
      </c>
      <c r="T13">
        <f t="shared" si="0"/>
        <v>0</v>
      </c>
    </row>
    <row r="14" spans="1:20" x14ac:dyDescent="0.25">
      <c r="A14" s="290">
        <v>13</v>
      </c>
      <c r="B14" s="291" t="s">
        <v>87</v>
      </c>
      <c r="C14" s="291"/>
      <c r="D14" s="291"/>
      <c r="E14" s="291"/>
      <c r="F14" s="291"/>
      <c r="G14" s="291"/>
      <c r="H14" s="291"/>
      <c r="I14" s="291"/>
      <c r="J14" s="291"/>
      <c r="K14" s="291"/>
      <c r="L14" s="291"/>
      <c r="M14" s="291"/>
      <c r="N14" s="291"/>
      <c r="O14" s="291"/>
      <c r="P14" s="291"/>
      <c r="Q14" s="291"/>
      <c r="R14" s="290">
        <v>0</v>
      </c>
      <c r="T14">
        <f t="shared" si="0"/>
        <v>0</v>
      </c>
    </row>
    <row r="15" spans="1:20" x14ac:dyDescent="0.25">
      <c r="A15" s="290">
        <v>14</v>
      </c>
      <c r="B15" s="291" t="s">
        <v>95</v>
      </c>
      <c r="C15" s="291" t="s">
        <v>26</v>
      </c>
      <c r="D15" s="291" t="s">
        <v>26</v>
      </c>
      <c r="E15" s="291"/>
      <c r="F15" s="291" t="s">
        <v>26</v>
      </c>
      <c r="G15" s="291"/>
      <c r="H15" s="291"/>
      <c r="I15" s="291" t="s">
        <v>26</v>
      </c>
      <c r="J15" s="291" t="s">
        <v>26</v>
      </c>
      <c r="K15" s="291"/>
      <c r="L15" s="291" t="s">
        <v>26</v>
      </c>
      <c r="M15" s="291" t="s">
        <v>26</v>
      </c>
      <c r="N15" s="291" t="s">
        <v>84</v>
      </c>
      <c r="O15" s="291"/>
      <c r="P15" s="291"/>
      <c r="Q15" s="291" t="s">
        <v>26</v>
      </c>
      <c r="R15" s="292">
        <v>105</v>
      </c>
      <c r="T15">
        <f t="shared" si="0"/>
        <v>94</v>
      </c>
    </row>
    <row r="16" spans="1:20" x14ac:dyDescent="0.25">
      <c r="A16" s="290">
        <v>15</v>
      </c>
      <c r="B16" s="291" t="s">
        <v>96</v>
      </c>
      <c r="C16" s="291"/>
      <c r="D16" s="291"/>
      <c r="E16" s="291"/>
      <c r="F16" s="291"/>
      <c r="G16" s="291"/>
      <c r="H16" s="291"/>
      <c r="I16" s="291"/>
      <c r="J16" s="291"/>
      <c r="K16" s="291"/>
      <c r="L16" s="291"/>
      <c r="M16" s="291"/>
      <c r="N16" s="291"/>
      <c r="O16" s="291"/>
      <c r="P16" s="291"/>
      <c r="Q16" s="291"/>
      <c r="R16" s="290">
        <v>0</v>
      </c>
      <c r="T16">
        <f t="shared" si="0"/>
        <v>0</v>
      </c>
    </row>
    <row r="17" spans="1:20" x14ac:dyDescent="0.25">
      <c r="A17" s="290">
        <v>16</v>
      </c>
      <c r="B17" s="291" t="s">
        <v>97</v>
      </c>
      <c r="C17" s="291"/>
      <c r="D17" s="291"/>
      <c r="E17" s="291"/>
      <c r="F17" s="291"/>
      <c r="G17" s="291"/>
      <c r="H17" s="291"/>
      <c r="I17" s="291"/>
      <c r="J17" s="291"/>
      <c r="K17" s="291"/>
      <c r="L17" s="291"/>
      <c r="M17" s="291"/>
      <c r="N17" s="291"/>
      <c r="O17" s="291"/>
      <c r="P17" s="291"/>
      <c r="Q17" s="291"/>
      <c r="R17" s="290">
        <v>0</v>
      </c>
      <c r="T17">
        <f t="shared" si="0"/>
        <v>0</v>
      </c>
    </row>
    <row r="18" spans="1:20" x14ac:dyDescent="0.25">
      <c r="A18" s="290">
        <v>17</v>
      </c>
      <c r="B18" s="291" t="s">
        <v>98</v>
      </c>
      <c r="C18" s="291"/>
      <c r="D18" s="291"/>
      <c r="E18" s="291"/>
      <c r="F18" s="291"/>
      <c r="G18" s="291"/>
      <c r="H18" s="291"/>
      <c r="I18" s="291"/>
      <c r="J18" s="291"/>
      <c r="K18" s="291"/>
      <c r="L18" s="291"/>
      <c r="M18" s="291"/>
      <c r="N18" s="291"/>
      <c r="O18" s="291"/>
      <c r="P18" s="291"/>
      <c r="Q18" s="291"/>
      <c r="R18" s="290">
        <v>0</v>
      </c>
      <c r="T18">
        <f t="shared" si="0"/>
        <v>0</v>
      </c>
    </row>
    <row r="19" spans="1:20" x14ac:dyDescent="0.25">
      <c r="A19" s="290">
        <v>18</v>
      </c>
      <c r="B19" s="291" t="s">
        <v>616</v>
      </c>
      <c r="C19" s="291"/>
      <c r="D19" s="291"/>
      <c r="E19" s="291"/>
      <c r="F19" s="291"/>
      <c r="G19" s="291"/>
      <c r="H19" s="291"/>
      <c r="I19" s="291"/>
      <c r="J19" s="291"/>
      <c r="K19" s="291"/>
      <c r="L19" s="291"/>
      <c r="M19" s="291"/>
      <c r="N19" s="291"/>
      <c r="O19" s="291"/>
      <c r="P19" s="291"/>
      <c r="Q19" s="291"/>
      <c r="R19" s="290">
        <v>0</v>
      </c>
      <c r="T19">
        <f t="shared" si="0"/>
        <v>0</v>
      </c>
    </row>
    <row r="20" spans="1:20" x14ac:dyDescent="0.25">
      <c r="A20" s="290">
        <v>19</v>
      </c>
      <c r="B20" s="291" t="s">
        <v>617</v>
      </c>
      <c r="C20" s="291"/>
      <c r="D20" s="291"/>
      <c r="E20" s="291"/>
      <c r="F20" s="291"/>
      <c r="G20" s="291"/>
      <c r="H20" s="291"/>
      <c r="I20" s="291"/>
      <c r="J20" s="291"/>
      <c r="K20" s="291"/>
      <c r="L20" s="291"/>
      <c r="M20" s="291"/>
      <c r="N20" s="291"/>
      <c r="O20" s="291"/>
      <c r="P20" s="291"/>
      <c r="Q20" s="291"/>
      <c r="R20" s="290">
        <v>0</v>
      </c>
      <c r="T20">
        <f t="shared" si="0"/>
        <v>0</v>
      </c>
    </row>
    <row r="21" spans="1:20" x14ac:dyDescent="0.25">
      <c r="A21" s="290">
        <v>20</v>
      </c>
      <c r="B21" s="291" t="s">
        <v>626</v>
      </c>
      <c r="C21" s="291"/>
      <c r="D21" s="291"/>
      <c r="E21" s="291"/>
      <c r="F21" s="291"/>
      <c r="G21" s="291"/>
      <c r="H21" s="291"/>
      <c r="I21" s="291"/>
      <c r="J21" s="291"/>
      <c r="K21" s="291"/>
      <c r="L21" s="291"/>
      <c r="M21" s="291"/>
      <c r="N21" s="291"/>
      <c r="O21" s="291"/>
      <c r="P21" s="291"/>
      <c r="Q21" s="291"/>
      <c r="R21" s="290">
        <v>0</v>
      </c>
      <c r="T21">
        <f t="shared" si="0"/>
        <v>0</v>
      </c>
    </row>
    <row r="22" spans="1:20" x14ac:dyDescent="0.25">
      <c r="A22" s="290">
        <v>21</v>
      </c>
      <c r="B22" s="291" t="s">
        <v>618</v>
      </c>
      <c r="C22" s="291"/>
      <c r="D22" s="291"/>
      <c r="E22" s="291"/>
      <c r="F22" s="291"/>
      <c r="G22" s="291"/>
      <c r="H22" s="291"/>
      <c r="I22" s="291"/>
      <c r="J22" s="291"/>
      <c r="K22" s="291"/>
      <c r="L22" s="291"/>
      <c r="M22" s="291"/>
      <c r="N22" s="291"/>
      <c r="O22" s="291"/>
      <c r="P22" s="291"/>
      <c r="Q22" s="291"/>
      <c r="R22" s="290">
        <v>0</v>
      </c>
      <c r="T22">
        <f t="shared" si="0"/>
        <v>0</v>
      </c>
    </row>
    <row r="23" spans="1:20" x14ac:dyDescent="0.25">
      <c r="A23" s="290">
        <v>22</v>
      </c>
      <c r="B23" s="291" t="s">
        <v>619</v>
      </c>
      <c r="C23" s="291"/>
      <c r="D23" s="291"/>
      <c r="E23" s="291"/>
      <c r="F23" s="291"/>
      <c r="G23" s="291"/>
      <c r="H23" s="291"/>
      <c r="I23" s="291"/>
      <c r="J23" s="291"/>
      <c r="K23" s="291"/>
      <c r="L23" s="291"/>
      <c r="M23" s="291"/>
      <c r="N23" s="291"/>
      <c r="O23" s="291"/>
      <c r="P23" s="291"/>
      <c r="Q23" s="291"/>
      <c r="R23" s="290">
        <v>0</v>
      </c>
      <c r="T23">
        <f t="shared" si="0"/>
        <v>0</v>
      </c>
    </row>
    <row r="24" spans="1:20" x14ac:dyDescent="0.25">
      <c r="A24" s="290">
        <v>23</v>
      </c>
      <c r="B24" s="291" t="s">
        <v>620</v>
      </c>
      <c r="C24" s="291"/>
      <c r="D24" s="291"/>
      <c r="E24" s="291"/>
      <c r="F24" s="291"/>
      <c r="G24" s="291"/>
      <c r="H24" s="291"/>
      <c r="I24" s="291"/>
      <c r="J24" s="291"/>
      <c r="K24" s="291"/>
      <c r="L24" s="291"/>
      <c r="M24" s="291"/>
      <c r="N24" s="291"/>
      <c r="O24" s="291"/>
      <c r="P24" s="291"/>
      <c r="Q24" s="291"/>
      <c r="R24" s="290">
        <v>0</v>
      </c>
      <c r="T24">
        <f t="shared" si="0"/>
        <v>0</v>
      </c>
    </row>
    <row r="25" spans="1:20" x14ac:dyDescent="0.25">
      <c r="A25" s="290">
        <v>24</v>
      </c>
      <c r="B25" s="291" t="s">
        <v>650</v>
      </c>
      <c r="C25" s="291" t="s">
        <v>26</v>
      </c>
      <c r="D25" s="291"/>
      <c r="E25" s="291"/>
      <c r="F25" s="291"/>
      <c r="G25" s="291"/>
      <c r="H25" s="291"/>
      <c r="I25" s="291"/>
      <c r="J25" s="291"/>
      <c r="K25" s="291"/>
      <c r="L25" s="291"/>
      <c r="M25" s="291" t="s">
        <v>26</v>
      </c>
      <c r="N25" s="291" t="s">
        <v>84</v>
      </c>
      <c r="O25" s="291"/>
      <c r="P25" s="291" t="s">
        <v>26</v>
      </c>
      <c r="Q25" s="291"/>
      <c r="R25" s="292">
        <v>50</v>
      </c>
      <c r="T25">
        <f t="shared" si="0"/>
        <v>39</v>
      </c>
    </row>
    <row r="26" spans="1:20" x14ac:dyDescent="0.25">
      <c r="A26" s="290">
        <v>25</v>
      </c>
      <c r="B26" s="291" t="s">
        <v>621</v>
      </c>
      <c r="C26" s="291"/>
      <c r="D26" s="291"/>
      <c r="E26" s="291"/>
      <c r="F26" s="291"/>
      <c r="G26" s="291"/>
      <c r="H26" s="291"/>
      <c r="I26" s="291"/>
      <c r="J26" s="291"/>
      <c r="K26" s="291"/>
      <c r="L26" s="291"/>
      <c r="M26" s="291"/>
      <c r="N26" s="291"/>
      <c r="O26" s="291"/>
      <c r="P26" s="291"/>
      <c r="Q26" s="291"/>
      <c r="R26" s="290">
        <v>0</v>
      </c>
      <c r="T26">
        <f t="shared" si="0"/>
        <v>0</v>
      </c>
    </row>
    <row r="27" spans="1:20" x14ac:dyDescent="0.25">
      <c r="A27" s="290">
        <v>26</v>
      </c>
      <c r="B27" s="291" t="s">
        <v>622</v>
      </c>
      <c r="C27" s="291"/>
      <c r="D27" s="291"/>
      <c r="E27" s="291"/>
      <c r="F27" s="291"/>
      <c r="G27" s="291"/>
      <c r="H27" s="291"/>
      <c r="I27" s="291"/>
      <c r="J27" s="291"/>
      <c r="K27" s="291"/>
      <c r="L27" s="291"/>
      <c r="M27" s="291"/>
      <c r="N27" s="291"/>
      <c r="O27" s="291"/>
      <c r="P27" s="291"/>
      <c r="Q27" s="291"/>
      <c r="R27" s="290">
        <v>0</v>
      </c>
      <c r="T27">
        <f t="shared" si="0"/>
        <v>0</v>
      </c>
    </row>
    <row r="28" spans="1:20" x14ac:dyDescent="0.25">
      <c r="A28" s="290">
        <v>27</v>
      </c>
      <c r="B28" s="291" t="s">
        <v>623</v>
      </c>
      <c r="C28" s="291"/>
      <c r="D28" s="291"/>
      <c r="E28" s="291"/>
      <c r="F28" s="291"/>
      <c r="G28" s="291"/>
      <c r="H28" s="291"/>
      <c r="I28" s="291" t="s">
        <v>26</v>
      </c>
      <c r="J28" s="291" t="s">
        <v>26</v>
      </c>
      <c r="K28" s="291"/>
      <c r="L28" s="291"/>
      <c r="M28" s="291"/>
      <c r="N28" s="291"/>
      <c r="O28" s="291"/>
      <c r="P28" s="291"/>
      <c r="Q28" s="291"/>
      <c r="R28" s="292">
        <v>22</v>
      </c>
      <c r="T28">
        <f t="shared" si="0"/>
        <v>22</v>
      </c>
    </row>
    <row r="29" spans="1:20" x14ac:dyDescent="0.25">
      <c r="A29" s="290">
        <v>28</v>
      </c>
      <c r="B29" s="291" t="s">
        <v>624</v>
      </c>
      <c r="C29" s="291" t="s">
        <v>26</v>
      </c>
      <c r="D29" s="291"/>
      <c r="E29" s="291"/>
      <c r="F29" s="291" t="s">
        <v>26</v>
      </c>
      <c r="G29" s="291" t="s">
        <v>24</v>
      </c>
      <c r="H29" s="291"/>
      <c r="I29" s="291" t="s">
        <v>26</v>
      </c>
      <c r="J29" s="291" t="s">
        <v>26</v>
      </c>
      <c r="K29" s="291"/>
      <c r="L29" s="291" t="s">
        <v>26</v>
      </c>
      <c r="M29" s="291" t="s">
        <v>26</v>
      </c>
      <c r="N29" s="291" t="s">
        <v>84</v>
      </c>
      <c r="O29" s="291" t="s">
        <v>64</v>
      </c>
      <c r="P29" s="291" t="s">
        <v>26</v>
      </c>
      <c r="Q29" s="291" t="s">
        <v>26</v>
      </c>
      <c r="R29" s="292">
        <v>123</v>
      </c>
      <c r="T29">
        <f t="shared" si="0"/>
        <v>112</v>
      </c>
    </row>
    <row r="30" spans="1:20" x14ac:dyDescent="0.25">
      <c r="A30" s="290">
        <v>29</v>
      </c>
      <c r="B30" s="291" t="s">
        <v>627</v>
      </c>
      <c r="C30" s="291"/>
      <c r="D30" s="291"/>
      <c r="E30" s="291"/>
      <c r="F30" s="291"/>
      <c r="G30" s="291"/>
      <c r="H30" s="291"/>
      <c r="I30" s="291"/>
      <c r="J30" s="291"/>
      <c r="K30" s="291"/>
      <c r="L30" s="291"/>
      <c r="M30" s="291"/>
      <c r="N30" s="291"/>
      <c r="O30" s="291"/>
      <c r="P30" s="291"/>
      <c r="Q30" s="291"/>
      <c r="R30" s="290">
        <v>0</v>
      </c>
      <c r="T30">
        <f t="shared" si="0"/>
        <v>0</v>
      </c>
    </row>
    <row r="31" spans="1:20" x14ac:dyDescent="0.25">
      <c r="A31" s="290">
        <v>30</v>
      </c>
      <c r="B31" s="291" t="s">
        <v>625</v>
      </c>
      <c r="C31" s="291"/>
      <c r="D31" s="291"/>
      <c r="E31" s="291"/>
      <c r="F31" s="291"/>
      <c r="G31" s="291"/>
      <c r="H31" s="291"/>
      <c r="I31" s="291"/>
      <c r="J31" s="291"/>
      <c r="K31" s="291"/>
      <c r="L31" s="291"/>
      <c r="M31" s="291"/>
      <c r="N31" s="291"/>
      <c r="O31" s="291"/>
      <c r="P31" s="291"/>
      <c r="Q31" s="291"/>
      <c r="R31" s="290">
        <v>0</v>
      </c>
      <c r="T31">
        <f t="shared" si="0"/>
        <v>0</v>
      </c>
    </row>
    <row r="32" spans="1:20" x14ac:dyDescent="0.25">
      <c r="A32" s="290">
        <v>31</v>
      </c>
      <c r="B32" s="291" t="s">
        <v>34</v>
      </c>
      <c r="C32" s="291"/>
      <c r="D32" s="291"/>
      <c r="E32" s="291"/>
      <c r="F32" s="291"/>
      <c r="G32" s="291"/>
      <c r="H32" s="291"/>
      <c r="I32" s="291"/>
      <c r="J32" s="291"/>
      <c r="K32" s="291"/>
      <c r="L32" s="291"/>
      <c r="M32" s="291"/>
      <c r="N32" s="291"/>
      <c r="O32" s="291"/>
      <c r="P32" s="291"/>
      <c r="Q32" s="291"/>
      <c r="R32" s="290">
        <v>0</v>
      </c>
      <c r="T32">
        <f t="shared" si="0"/>
        <v>0</v>
      </c>
    </row>
    <row r="33" spans="1:20" x14ac:dyDescent="0.25">
      <c r="A33" s="290">
        <v>32</v>
      </c>
      <c r="B33" s="291" t="s">
        <v>45</v>
      </c>
      <c r="C33" s="291" t="s">
        <v>26</v>
      </c>
      <c r="D33" s="291"/>
      <c r="E33" s="291"/>
      <c r="F33" s="291" t="s">
        <v>26</v>
      </c>
      <c r="G33" s="291"/>
      <c r="H33" s="291"/>
      <c r="I33" s="291"/>
      <c r="J33" s="291"/>
      <c r="K33" s="291"/>
      <c r="L33" s="291"/>
      <c r="M33" s="291"/>
      <c r="N33" s="291"/>
      <c r="O33" s="291"/>
      <c r="P33" s="291"/>
      <c r="Q33" s="291"/>
      <c r="R33" s="292">
        <v>22</v>
      </c>
      <c r="T33">
        <f t="shared" si="0"/>
        <v>22</v>
      </c>
    </row>
    <row r="34" spans="1:20" x14ac:dyDescent="0.25">
      <c r="A34" s="290">
        <v>33</v>
      </c>
      <c r="B34" s="291" t="s">
        <v>630</v>
      </c>
      <c r="C34" s="291" t="s">
        <v>26</v>
      </c>
      <c r="D34" s="291"/>
      <c r="E34" s="291"/>
      <c r="F34" s="291"/>
      <c r="G34" s="291"/>
      <c r="H34" s="291"/>
      <c r="I34" s="291"/>
      <c r="J34" s="291"/>
      <c r="K34" s="291"/>
      <c r="L34" s="291"/>
      <c r="M34" s="291"/>
      <c r="N34" s="291"/>
      <c r="O34" s="291"/>
      <c r="P34" s="291"/>
      <c r="Q34" s="291"/>
      <c r="R34" s="292">
        <v>22</v>
      </c>
      <c r="T34">
        <f t="shared" si="0"/>
        <v>11</v>
      </c>
    </row>
    <row r="35" spans="1:20" x14ac:dyDescent="0.25">
      <c r="A35" s="290">
        <v>34</v>
      </c>
      <c r="B35" s="291" t="s">
        <v>628</v>
      </c>
      <c r="C35" s="291"/>
      <c r="D35" s="291"/>
      <c r="E35" s="291"/>
      <c r="F35" s="291"/>
      <c r="G35" s="291"/>
      <c r="H35" s="291"/>
      <c r="I35" s="291"/>
      <c r="J35" s="291"/>
      <c r="K35" s="291"/>
      <c r="L35" s="291"/>
      <c r="M35" s="291"/>
      <c r="N35" s="291"/>
      <c r="O35" s="291"/>
      <c r="P35" s="291"/>
      <c r="Q35" s="291"/>
      <c r="R35" s="290">
        <v>0</v>
      </c>
      <c r="T35">
        <f t="shared" si="0"/>
        <v>0</v>
      </c>
    </row>
    <row r="36" spans="1:20" x14ac:dyDescent="0.25">
      <c r="A36" s="290">
        <v>35</v>
      </c>
      <c r="B36" s="291" t="s">
        <v>629</v>
      </c>
      <c r="C36" s="291"/>
      <c r="D36" s="291"/>
      <c r="E36" s="291"/>
      <c r="F36" s="291"/>
      <c r="G36" s="291"/>
      <c r="H36" s="291"/>
      <c r="I36" s="291"/>
      <c r="J36" s="291"/>
      <c r="K36" s="291"/>
      <c r="L36" s="291"/>
      <c r="M36" s="291"/>
      <c r="N36" s="291"/>
      <c r="O36" s="291"/>
      <c r="P36" s="291"/>
      <c r="Q36" s="291"/>
      <c r="R36" s="290">
        <v>0</v>
      </c>
      <c r="T36">
        <f t="shared" si="0"/>
        <v>0</v>
      </c>
    </row>
    <row r="37" spans="1:20" x14ac:dyDescent="0.25">
      <c r="A37" s="290">
        <v>36</v>
      </c>
      <c r="B37" s="291" t="s">
        <v>631</v>
      </c>
      <c r="C37" s="291"/>
      <c r="D37" s="291"/>
      <c r="E37" s="291"/>
      <c r="F37" s="291"/>
      <c r="G37" s="291"/>
      <c r="H37" s="291"/>
      <c r="I37" s="291"/>
      <c r="J37" s="291"/>
      <c r="K37" s="291"/>
      <c r="L37" s="291"/>
      <c r="M37" s="291"/>
      <c r="N37" s="291"/>
      <c r="O37" s="291"/>
      <c r="P37" s="291"/>
      <c r="Q37" s="291"/>
      <c r="R37" s="290">
        <v>0</v>
      </c>
      <c r="T37">
        <f t="shared" si="0"/>
        <v>0</v>
      </c>
    </row>
    <row r="38" spans="1:20" x14ac:dyDescent="0.25">
      <c r="A38" s="290">
        <v>37</v>
      </c>
      <c r="B38" s="291" t="s">
        <v>632</v>
      </c>
      <c r="C38" s="291"/>
      <c r="D38" s="291"/>
      <c r="E38" s="291"/>
      <c r="F38" s="291"/>
      <c r="G38" s="291"/>
      <c r="H38" s="291"/>
      <c r="I38" s="291"/>
      <c r="J38" s="291"/>
      <c r="K38" s="291"/>
      <c r="L38" s="291"/>
      <c r="M38" s="291"/>
      <c r="N38" s="291"/>
      <c r="O38" s="291"/>
      <c r="P38" s="291"/>
      <c r="Q38" s="291"/>
      <c r="R38" s="290">
        <v>0</v>
      </c>
      <c r="T38">
        <f t="shared" si="0"/>
        <v>0</v>
      </c>
    </row>
    <row r="39" spans="1:20" x14ac:dyDescent="0.25">
      <c r="A39" s="290">
        <v>38</v>
      </c>
      <c r="B39" s="291" t="s">
        <v>633</v>
      </c>
      <c r="C39" s="291" t="s">
        <v>26</v>
      </c>
      <c r="D39" s="291"/>
      <c r="E39" s="291"/>
      <c r="F39" s="291"/>
      <c r="G39" s="291"/>
      <c r="H39" s="291"/>
      <c r="I39" s="291"/>
      <c r="J39" s="291"/>
      <c r="K39" s="291"/>
      <c r="L39" s="291" t="s">
        <v>26</v>
      </c>
      <c r="M39" s="291"/>
      <c r="N39" s="291"/>
      <c r="O39" s="291"/>
      <c r="P39" s="291"/>
      <c r="Q39" s="291"/>
      <c r="R39" s="292">
        <v>33</v>
      </c>
      <c r="T39">
        <f t="shared" si="0"/>
        <v>22</v>
      </c>
    </row>
    <row r="40" spans="1:20" x14ac:dyDescent="0.25">
      <c r="A40" s="290">
        <v>39</v>
      </c>
      <c r="B40" s="291" t="s">
        <v>634</v>
      </c>
      <c r="C40" s="291" t="s">
        <v>26</v>
      </c>
      <c r="D40" s="291"/>
      <c r="E40" s="291" t="s">
        <v>26</v>
      </c>
      <c r="F40" s="291"/>
      <c r="G40" s="291" t="s">
        <v>84</v>
      </c>
      <c r="H40" s="291"/>
      <c r="I40" s="291" t="s">
        <v>26</v>
      </c>
      <c r="J40" s="291" t="s">
        <v>26</v>
      </c>
      <c r="K40" s="291"/>
      <c r="L40" s="291"/>
      <c r="M40" s="291"/>
      <c r="N40" s="291"/>
      <c r="O40" s="291"/>
      <c r="P40" s="291"/>
      <c r="Q40" s="291"/>
      <c r="R40" s="292">
        <v>61</v>
      </c>
      <c r="T40">
        <f t="shared" si="0"/>
        <v>50</v>
      </c>
    </row>
    <row r="41" spans="1:20" x14ac:dyDescent="0.25">
      <c r="A41" s="290">
        <v>40</v>
      </c>
      <c r="B41" s="291" t="s">
        <v>636</v>
      </c>
      <c r="C41" s="291"/>
      <c r="D41" s="291"/>
      <c r="E41" s="291"/>
      <c r="F41" s="291"/>
      <c r="G41" s="291"/>
      <c r="H41" s="291"/>
      <c r="I41" s="291"/>
      <c r="J41" s="291"/>
      <c r="K41" s="291"/>
      <c r="L41" s="291"/>
      <c r="M41" s="291"/>
      <c r="N41" s="291"/>
      <c r="O41" s="291"/>
      <c r="P41" s="291"/>
      <c r="Q41" s="291"/>
      <c r="R41" s="290">
        <v>0</v>
      </c>
      <c r="T41">
        <f t="shared" si="0"/>
        <v>0</v>
      </c>
    </row>
    <row r="42" spans="1:20" x14ac:dyDescent="0.25">
      <c r="A42" s="290">
        <v>41</v>
      </c>
      <c r="B42" s="291" t="s">
        <v>637</v>
      </c>
      <c r="C42" s="291"/>
      <c r="D42" s="291"/>
      <c r="E42" s="291"/>
      <c r="F42" s="291"/>
      <c r="G42" s="291"/>
      <c r="H42" s="291"/>
      <c r="I42" s="291"/>
      <c r="J42" s="291"/>
      <c r="K42" s="291"/>
      <c r="L42" s="291" t="s">
        <v>26</v>
      </c>
      <c r="M42" s="291"/>
      <c r="N42" s="291"/>
      <c r="O42" s="291"/>
      <c r="P42" s="291"/>
      <c r="Q42" s="291"/>
      <c r="R42" s="292">
        <v>11</v>
      </c>
      <c r="T42">
        <f t="shared" si="0"/>
        <v>11</v>
      </c>
    </row>
    <row r="43" spans="1:20" x14ac:dyDescent="0.25">
      <c r="A43" s="290">
        <v>42</v>
      </c>
      <c r="B43" s="291" t="s">
        <v>640</v>
      </c>
      <c r="C43" s="291"/>
      <c r="D43" s="291"/>
      <c r="E43" s="291"/>
      <c r="F43" s="291"/>
      <c r="G43" s="291"/>
      <c r="H43" s="291"/>
      <c r="I43" s="291"/>
      <c r="J43" s="291"/>
      <c r="K43" s="291"/>
      <c r="L43" s="291"/>
      <c r="M43" s="291"/>
      <c r="N43" s="291"/>
      <c r="O43" s="291"/>
      <c r="P43" s="291"/>
      <c r="Q43" s="291"/>
      <c r="R43" s="290">
        <v>0</v>
      </c>
      <c r="T43">
        <f t="shared" si="0"/>
        <v>0</v>
      </c>
    </row>
    <row r="44" spans="1:20" x14ac:dyDescent="0.25">
      <c r="A44" s="290">
        <v>43</v>
      </c>
      <c r="B44" s="291" t="s">
        <v>638</v>
      </c>
      <c r="C44" s="291" t="s">
        <v>26</v>
      </c>
      <c r="D44" s="291"/>
      <c r="E44" s="291" t="s">
        <v>26</v>
      </c>
      <c r="F44" s="291"/>
      <c r="G44" s="291"/>
      <c r="H44" s="291"/>
      <c r="I44" s="291"/>
      <c r="J44" s="291"/>
      <c r="K44" s="291"/>
      <c r="L44" s="291" t="s">
        <v>26</v>
      </c>
      <c r="M44" s="291"/>
      <c r="N44" s="291"/>
      <c r="O44" s="291"/>
      <c r="P44" s="291"/>
      <c r="Q44" s="291"/>
      <c r="R44" s="292">
        <v>44</v>
      </c>
      <c r="T44">
        <f t="shared" si="0"/>
        <v>33</v>
      </c>
    </row>
    <row r="45" spans="1:20" x14ac:dyDescent="0.25">
      <c r="A45" s="290">
        <v>44</v>
      </c>
      <c r="B45" s="291" t="s">
        <v>635</v>
      </c>
      <c r="C45" s="291"/>
      <c r="D45" s="291"/>
      <c r="E45" s="291"/>
      <c r="F45" s="291"/>
      <c r="G45" s="291"/>
      <c r="H45" s="291"/>
      <c r="I45" s="291"/>
      <c r="J45" s="291"/>
      <c r="K45" s="291"/>
      <c r="L45" s="291"/>
      <c r="M45" s="291"/>
      <c r="N45" s="291"/>
      <c r="O45" s="291"/>
      <c r="P45" s="291"/>
      <c r="Q45" s="291"/>
      <c r="R45" s="290">
        <v>0</v>
      </c>
      <c r="T45">
        <f t="shared" si="0"/>
        <v>0</v>
      </c>
    </row>
    <row r="46" spans="1:20" x14ac:dyDescent="0.25">
      <c r="A46" s="290">
        <v>45</v>
      </c>
      <c r="B46" s="291" t="s">
        <v>641</v>
      </c>
      <c r="C46" s="291"/>
      <c r="D46" s="291"/>
      <c r="E46" s="291"/>
      <c r="F46" s="291"/>
      <c r="G46" s="291"/>
      <c r="H46" s="291"/>
      <c r="I46" s="291"/>
      <c r="J46" s="291"/>
      <c r="K46" s="291"/>
      <c r="L46" s="291"/>
      <c r="M46" s="291"/>
      <c r="N46" s="291"/>
      <c r="O46" s="291"/>
      <c r="P46" s="291"/>
      <c r="Q46" s="291"/>
      <c r="R46" s="290">
        <v>0</v>
      </c>
      <c r="T46">
        <f t="shared" si="0"/>
        <v>0</v>
      </c>
    </row>
    <row r="47" spans="1:20" x14ac:dyDescent="0.25">
      <c r="A47" s="290">
        <v>46</v>
      </c>
      <c r="B47" s="291" t="s">
        <v>649</v>
      </c>
      <c r="C47" s="291"/>
      <c r="D47" s="291"/>
      <c r="E47" s="291"/>
      <c r="F47" s="291"/>
      <c r="G47" s="291"/>
      <c r="H47" s="291"/>
      <c r="I47" s="291"/>
      <c r="J47" s="291"/>
      <c r="K47" s="291"/>
      <c r="L47" s="291"/>
      <c r="M47" s="291"/>
      <c r="N47" s="291"/>
      <c r="O47" s="291"/>
      <c r="P47" s="291"/>
      <c r="Q47" s="291"/>
      <c r="R47" s="290">
        <v>0</v>
      </c>
      <c r="T47">
        <f t="shared" si="0"/>
        <v>0</v>
      </c>
    </row>
    <row r="48" spans="1:20" x14ac:dyDescent="0.25">
      <c r="A48" s="290">
        <v>47</v>
      </c>
      <c r="B48" s="291" t="s">
        <v>642</v>
      </c>
      <c r="C48" s="291"/>
      <c r="D48" s="291"/>
      <c r="E48" s="291"/>
      <c r="F48" s="291"/>
      <c r="G48" s="291"/>
      <c r="H48" s="291"/>
      <c r="I48" s="291"/>
      <c r="J48" s="291"/>
      <c r="K48" s="291"/>
      <c r="L48" s="291"/>
      <c r="M48" s="291"/>
      <c r="N48" s="291"/>
      <c r="O48" s="291"/>
      <c r="P48" s="291"/>
      <c r="Q48" s="291"/>
      <c r="R48" s="290">
        <v>0</v>
      </c>
      <c r="T48">
        <f t="shared" si="0"/>
        <v>0</v>
      </c>
    </row>
    <row r="49" spans="1:20" x14ac:dyDescent="0.25">
      <c r="A49" s="290">
        <v>48</v>
      </c>
      <c r="B49" s="291" t="s">
        <v>643</v>
      </c>
      <c r="C49" s="291"/>
      <c r="D49" s="291"/>
      <c r="E49" s="291"/>
      <c r="F49" s="291"/>
      <c r="G49" s="291"/>
      <c r="H49" s="291"/>
      <c r="I49" s="291"/>
      <c r="J49" s="291"/>
      <c r="K49" s="291"/>
      <c r="L49" s="291"/>
      <c r="M49" s="291"/>
      <c r="N49" s="291"/>
      <c r="O49" s="291"/>
      <c r="P49" s="291"/>
      <c r="Q49" s="291"/>
      <c r="R49" s="290">
        <v>0</v>
      </c>
      <c r="T49">
        <f t="shared" si="0"/>
        <v>0</v>
      </c>
    </row>
    <row r="50" spans="1:20" x14ac:dyDescent="0.25">
      <c r="A50" s="290">
        <v>49</v>
      </c>
      <c r="B50" s="291" t="s">
        <v>644</v>
      </c>
      <c r="C50" s="291"/>
      <c r="D50" s="291"/>
      <c r="E50" s="291"/>
      <c r="F50" s="291"/>
      <c r="G50" s="291"/>
      <c r="H50" s="291"/>
      <c r="I50" s="291"/>
      <c r="J50" s="291"/>
      <c r="K50" s="291"/>
      <c r="L50" s="291"/>
      <c r="M50" s="291"/>
      <c r="N50" s="291"/>
      <c r="O50" s="291"/>
      <c r="P50" s="291"/>
      <c r="Q50" s="291"/>
      <c r="R50" s="290">
        <v>0</v>
      </c>
      <c r="T50">
        <f t="shared" si="0"/>
        <v>0</v>
      </c>
    </row>
    <row r="51" spans="1:20" x14ac:dyDescent="0.25">
      <c r="A51" s="290">
        <v>50</v>
      </c>
      <c r="B51" s="291" t="s">
        <v>646</v>
      </c>
      <c r="C51" s="291"/>
      <c r="D51" s="291"/>
      <c r="E51" s="291"/>
      <c r="F51" s="291"/>
      <c r="G51" s="291"/>
      <c r="H51" s="291"/>
      <c r="I51" s="291"/>
      <c r="J51" s="291"/>
      <c r="K51" s="291"/>
      <c r="L51" s="291"/>
      <c r="M51" s="291"/>
      <c r="N51" s="291"/>
      <c r="O51" s="291"/>
      <c r="P51" s="291"/>
      <c r="Q51" s="291"/>
      <c r="R51" s="290">
        <v>0</v>
      </c>
      <c r="T51">
        <f t="shared" si="0"/>
        <v>0</v>
      </c>
    </row>
    <row r="52" spans="1:20" x14ac:dyDescent="0.25">
      <c r="A52" s="290">
        <v>51</v>
      </c>
      <c r="B52" s="291" t="s">
        <v>647</v>
      </c>
      <c r="C52" s="291"/>
      <c r="D52" s="291"/>
      <c r="E52" s="291"/>
      <c r="F52" s="291"/>
      <c r="G52" s="291"/>
      <c r="H52" s="291"/>
      <c r="I52" s="291"/>
      <c r="J52" s="291"/>
      <c r="K52" s="291"/>
      <c r="L52" s="291"/>
      <c r="M52" s="291"/>
      <c r="N52" s="291"/>
      <c r="O52" s="291"/>
      <c r="P52" s="291"/>
      <c r="Q52" s="291"/>
      <c r="R52" s="290">
        <v>0</v>
      </c>
      <c r="T52">
        <f t="shared" si="0"/>
        <v>0</v>
      </c>
    </row>
    <row r="53" spans="1:20" x14ac:dyDescent="0.25">
      <c r="A53" s="290">
        <v>52</v>
      </c>
      <c r="B53" s="291" t="s">
        <v>652</v>
      </c>
      <c r="C53" s="291"/>
      <c r="D53" s="291"/>
      <c r="E53" s="291"/>
      <c r="F53" s="291"/>
      <c r="G53" s="291"/>
      <c r="H53" s="291"/>
      <c r="I53" s="291"/>
      <c r="J53" s="291"/>
      <c r="K53" s="291"/>
      <c r="L53" s="291"/>
      <c r="M53" s="291"/>
      <c r="N53" s="291"/>
      <c r="O53" s="291"/>
      <c r="P53" s="291"/>
      <c r="Q53" s="291"/>
      <c r="R53" s="290">
        <v>0</v>
      </c>
      <c r="T53">
        <f t="shared" si="0"/>
        <v>0</v>
      </c>
    </row>
    <row r="54" spans="1:20" x14ac:dyDescent="0.25">
      <c r="A54" s="290">
        <v>53</v>
      </c>
      <c r="B54" s="291" t="s">
        <v>653</v>
      </c>
      <c r="C54" s="291"/>
      <c r="D54" s="291"/>
      <c r="E54" s="291"/>
      <c r="F54" s="291"/>
      <c r="G54" s="291"/>
      <c r="H54" s="291"/>
      <c r="I54" s="291"/>
      <c r="J54" s="291"/>
      <c r="K54" s="291"/>
      <c r="L54" s="291"/>
      <c r="M54" s="291"/>
      <c r="N54" s="291"/>
      <c r="O54" s="291"/>
      <c r="P54" s="291"/>
      <c r="Q54" s="291"/>
      <c r="R54" s="290">
        <v>0</v>
      </c>
      <c r="T54">
        <f t="shared" si="0"/>
        <v>0</v>
      </c>
    </row>
    <row r="55" spans="1:20" x14ac:dyDescent="0.25">
      <c r="A55" s="290">
        <v>54</v>
      </c>
      <c r="B55" s="291" t="s">
        <v>654</v>
      </c>
      <c r="C55" s="291"/>
      <c r="D55" s="291"/>
      <c r="E55" s="291"/>
      <c r="F55" s="291"/>
      <c r="G55" s="291"/>
      <c r="H55" s="291"/>
      <c r="I55" s="291"/>
      <c r="J55" s="291"/>
      <c r="K55" s="291"/>
      <c r="L55" s="291"/>
      <c r="M55" s="291"/>
      <c r="N55" s="291"/>
      <c r="O55" s="291"/>
      <c r="P55" s="291"/>
      <c r="Q55" s="291"/>
      <c r="R55" s="290">
        <v>0</v>
      </c>
      <c r="T55">
        <f t="shared" si="0"/>
        <v>0</v>
      </c>
    </row>
    <row r="56" spans="1:20" x14ac:dyDescent="0.25">
      <c r="A56" s="290">
        <v>55</v>
      </c>
      <c r="B56" s="291" t="s">
        <v>655</v>
      </c>
      <c r="C56" s="291" t="s">
        <v>26</v>
      </c>
      <c r="D56" s="291"/>
      <c r="E56" s="291"/>
      <c r="F56" s="291"/>
      <c r="G56" s="291"/>
      <c r="H56" s="291"/>
      <c r="I56" s="291"/>
      <c r="J56" s="291"/>
      <c r="K56" s="291"/>
      <c r="L56" s="291" t="s">
        <v>26</v>
      </c>
      <c r="M56" s="291"/>
      <c r="N56" s="291"/>
      <c r="O56" s="291"/>
      <c r="P56" s="291"/>
      <c r="Q56" s="291"/>
      <c r="R56" s="292">
        <v>33</v>
      </c>
      <c r="T56">
        <f t="shared" si="0"/>
        <v>22</v>
      </c>
    </row>
    <row r="57" spans="1:20" x14ac:dyDescent="0.25">
      <c r="A57" s="290">
        <v>56</v>
      </c>
      <c r="B57" s="291" t="s">
        <v>656</v>
      </c>
      <c r="C57" s="291" t="s">
        <v>26</v>
      </c>
      <c r="D57" s="291" t="s">
        <v>25</v>
      </c>
      <c r="E57" s="291" t="s">
        <v>26</v>
      </c>
      <c r="F57" s="291" t="s">
        <v>26</v>
      </c>
      <c r="G57" s="291"/>
      <c r="H57" s="291"/>
      <c r="I57" s="291"/>
      <c r="J57" s="291"/>
      <c r="K57" s="291"/>
      <c r="L57" s="291"/>
      <c r="M57" s="291"/>
      <c r="N57" s="291"/>
      <c r="O57" s="291"/>
      <c r="P57" s="291"/>
      <c r="Q57" s="291"/>
      <c r="R57" s="292">
        <v>42</v>
      </c>
      <c r="T57">
        <f t="shared" si="0"/>
        <v>42</v>
      </c>
    </row>
    <row r="58" spans="1:20" x14ac:dyDescent="0.25">
      <c r="A58" s="290">
        <v>57</v>
      </c>
      <c r="B58" s="291" t="s">
        <v>657</v>
      </c>
      <c r="C58" s="291" t="s">
        <v>26</v>
      </c>
      <c r="D58" s="291"/>
      <c r="E58" s="291"/>
      <c r="F58" s="291"/>
      <c r="G58" s="291"/>
      <c r="H58" s="291"/>
      <c r="I58" s="291"/>
      <c r="J58" s="291"/>
      <c r="K58" s="291"/>
      <c r="L58" s="291" t="s">
        <v>26</v>
      </c>
      <c r="M58" s="291" t="s">
        <v>26</v>
      </c>
      <c r="N58" s="291" t="s">
        <v>84</v>
      </c>
      <c r="O58" s="291"/>
      <c r="P58" s="291" t="s">
        <v>26</v>
      </c>
      <c r="Q58" s="291"/>
      <c r="R58" s="292">
        <v>61</v>
      </c>
      <c r="T58">
        <f t="shared" si="0"/>
        <v>50</v>
      </c>
    </row>
    <row r="59" spans="1:20" x14ac:dyDescent="0.25">
      <c r="A59" s="290">
        <v>58</v>
      </c>
      <c r="B59" s="291" t="s">
        <v>658</v>
      </c>
      <c r="C59" s="291"/>
      <c r="D59" s="291"/>
      <c r="E59" s="291"/>
      <c r="F59" s="291"/>
      <c r="G59" s="291"/>
      <c r="H59" s="291"/>
      <c r="I59" s="291"/>
      <c r="J59" s="291"/>
      <c r="K59" s="291"/>
      <c r="L59" s="291"/>
      <c r="M59" s="291" t="s">
        <v>26</v>
      </c>
      <c r="N59" s="291"/>
      <c r="O59" s="291"/>
      <c r="P59" s="291" t="s">
        <v>26</v>
      </c>
      <c r="Q59" s="291" t="s">
        <v>26</v>
      </c>
      <c r="R59" s="292">
        <v>44</v>
      </c>
      <c r="T59">
        <f t="shared" si="0"/>
        <v>33</v>
      </c>
    </row>
    <row r="60" spans="1:20" x14ac:dyDescent="0.25">
      <c r="A60" s="290">
        <v>59</v>
      </c>
      <c r="B60" s="291" t="s">
        <v>659</v>
      </c>
      <c r="C60" s="291"/>
      <c r="D60" s="291"/>
      <c r="E60" s="291"/>
      <c r="F60" s="291"/>
      <c r="G60" s="291"/>
      <c r="H60" s="291"/>
      <c r="I60" s="291"/>
      <c r="J60" s="291"/>
      <c r="K60" s="291"/>
      <c r="L60" s="291"/>
      <c r="M60" s="291"/>
      <c r="N60" s="291"/>
      <c r="O60" s="291"/>
      <c r="P60" s="291"/>
      <c r="Q60" s="291"/>
      <c r="R60" s="290">
        <v>0</v>
      </c>
      <c r="T60">
        <f t="shared" si="0"/>
        <v>0</v>
      </c>
    </row>
    <row r="61" spans="1:20" x14ac:dyDescent="0.25">
      <c r="A61" s="290">
        <v>60</v>
      </c>
      <c r="B61" s="291" t="s">
        <v>660</v>
      </c>
      <c r="C61" s="291"/>
      <c r="D61" s="291"/>
      <c r="E61" s="291"/>
      <c r="F61" s="291"/>
      <c r="G61" s="291"/>
      <c r="H61" s="291"/>
      <c r="I61" s="291"/>
      <c r="J61" s="291"/>
      <c r="K61" s="291"/>
      <c r="L61" s="291"/>
      <c r="M61" s="291"/>
      <c r="N61" s="291"/>
      <c r="O61" s="291"/>
      <c r="P61" s="291"/>
      <c r="Q61" s="291"/>
      <c r="R61" s="290">
        <v>0</v>
      </c>
      <c r="T61">
        <f t="shared" si="0"/>
        <v>0</v>
      </c>
    </row>
    <row r="62" spans="1:20" x14ac:dyDescent="0.25">
      <c r="A62" s="290">
        <v>61</v>
      </c>
      <c r="B62" s="291" t="s">
        <v>661</v>
      </c>
      <c r="C62" s="291"/>
      <c r="D62" s="291"/>
      <c r="E62" s="291"/>
      <c r="F62" s="291"/>
      <c r="G62" s="291"/>
      <c r="H62" s="291"/>
      <c r="I62" s="291"/>
      <c r="J62" s="291"/>
      <c r="K62" s="291"/>
      <c r="L62" s="291"/>
      <c r="M62" s="291"/>
      <c r="N62" s="291"/>
      <c r="O62" s="291"/>
      <c r="P62" s="291"/>
      <c r="Q62" s="291"/>
      <c r="R62" s="290">
        <v>0</v>
      </c>
      <c r="T62">
        <f t="shared" si="0"/>
        <v>0</v>
      </c>
    </row>
    <row r="63" spans="1:20" x14ac:dyDescent="0.25">
      <c r="A63" s="290">
        <v>62</v>
      </c>
      <c r="B63" s="291" t="s">
        <v>662</v>
      </c>
      <c r="C63" s="291"/>
      <c r="D63" s="291"/>
      <c r="E63" s="291"/>
      <c r="F63" s="291"/>
      <c r="G63" s="291"/>
      <c r="H63" s="291"/>
      <c r="I63" s="291" t="s">
        <v>26</v>
      </c>
      <c r="J63" s="291"/>
      <c r="K63" s="291"/>
      <c r="L63" s="291"/>
      <c r="M63" s="291"/>
      <c r="N63" s="291"/>
      <c r="O63" s="291"/>
      <c r="P63" s="291"/>
      <c r="Q63" s="291"/>
      <c r="R63" s="292">
        <v>11</v>
      </c>
      <c r="T63">
        <f t="shared" si="0"/>
        <v>11</v>
      </c>
    </row>
    <row r="64" spans="1:20" x14ac:dyDescent="0.25">
      <c r="A64" s="290">
        <v>63</v>
      </c>
      <c r="B64" s="291" t="s">
        <v>668</v>
      </c>
      <c r="C64" s="291"/>
      <c r="D64" s="291"/>
      <c r="E64" s="291"/>
      <c r="F64" s="291"/>
      <c r="G64" s="291"/>
      <c r="H64" s="291"/>
      <c r="I64" s="291"/>
      <c r="J64" s="291"/>
      <c r="K64" s="291"/>
      <c r="L64" s="291"/>
      <c r="M64" s="291"/>
      <c r="N64" s="291"/>
      <c r="O64" s="291"/>
      <c r="P64" s="291"/>
      <c r="Q64" s="291"/>
      <c r="R64" s="290">
        <v>0</v>
      </c>
      <c r="T64">
        <f t="shared" si="0"/>
        <v>0</v>
      </c>
    </row>
    <row r="65" spans="1:18" x14ac:dyDescent="0.25">
      <c r="A65" s="289"/>
      <c r="B65" s="289"/>
      <c r="C65" s="289"/>
      <c r="D65" s="289"/>
      <c r="E65" s="289"/>
      <c r="F65" s="289"/>
      <c r="G65" s="289"/>
      <c r="H65" s="289"/>
      <c r="I65" s="289"/>
      <c r="J65" s="289"/>
      <c r="K65" s="289"/>
      <c r="L65" s="289"/>
      <c r="M65" s="289"/>
      <c r="N65" s="289"/>
      <c r="O65" s="289"/>
      <c r="P65" s="289"/>
      <c r="Q65" s="289"/>
      <c r="R65" s="293">
        <v>739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I65"/>
  <sheetViews>
    <sheetView zoomScale="55" zoomScaleNormal="55" workbookViewId="0">
      <selection activeCell="AI2" sqref="AI2:AI64"/>
    </sheetView>
  </sheetViews>
  <sheetFormatPr defaultRowHeight="15" x14ac:dyDescent="0.25"/>
  <sheetData>
    <row r="1" spans="1:35" x14ac:dyDescent="0.25">
      <c r="A1" s="294" t="s">
        <v>1</v>
      </c>
      <c r="B1" s="294" t="s">
        <v>6</v>
      </c>
      <c r="C1" s="294" t="s">
        <v>60</v>
      </c>
      <c r="D1" s="294" t="s">
        <v>61</v>
      </c>
      <c r="E1" s="294" t="s">
        <v>62</v>
      </c>
      <c r="F1" s="294" t="s">
        <v>63</v>
      </c>
      <c r="G1" s="294" t="s">
        <v>83</v>
      </c>
      <c r="H1" s="294" t="s">
        <v>84</v>
      </c>
      <c r="I1" s="294" t="s">
        <v>85</v>
      </c>
      <c r="J1" s="294" t="s">
        <v>24</v>
      </c>
      <c r="K1" s="294" t="s">
        <v>25</v>
      </c>
      <c r="L1" s="294" t="s">
        <v>64</v>
      </c>
      <c r="M1" s="294" t="s">
        <v>26</v>
      </c>
      <c r="N1" s="294" t="s">
        <v>65</v>
      </c>
      <c r="O1" s="294" t="s">
        <v>66</v>
      </c>
      <c r="P1" s="294" t="s">
        <v>67</v>
      </c>
      <c r="Q1" s="294" t="s">
        <v>86</v>
      </c>
      <c r="R1" s="294" t="s">
        <v>46</v>
      </c>
      <c r="S1" s="294" t="s">
        <v>47</v>
      </c>
      <c r="T1" s="294" t="s">
        <v>48</v>
      </c>
      <c r="U1" s="294" t="s">
        <v>49</v>
      </c>
      <c r="V1" s="294" t="s">
        <v>50</v>
      </c>
      <c r="W1" s="294" t="s">
        <v>51</v>
      </c>
      <c r="X1" s="294" t="s">
        <v>52</v>
      </c>
      <c r="Y1" s="294" t="s">
        <v>53</v>
      </c>
      <c r="Z1" s="294" t="s">
        <v>54</v>
      </c>
      <c r="AA1" s="294" t="s">
        <v>55</v>
      </c>
      <c r="AB1" s="294" t="s">
        <v>56</v>
      </c>
      <c r="AC1" s="294" t="s">
        <v>57</v>
      </c>
      <c r="AD1" s="294" t="s">
        <v>58</v>
      </c>
      <c r="AE1" s="294" t="s">
        <v>59</v>
      </c>
      <c r="AF1" s="294" t="s">
        <v>667</v>
      </c>
      <c r="AG1" s="294" t="s">
        <v>2</v>
      </c>
    </row>
    <row r="2" spans="1:35" x14ac:dyDescent="0.25">
      <c r="A2" s="295">
        <v>1</v>
      </c>
      <c r="B2" s="296" t="s">
        <v>10</v>
      </c>
      <c r="C2" s="296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 t="s">
        <v>84</v>
      </c>
      <c r="W2" s="296"/>
      <c r="X2" s="296" t="s">
        <v>26</v>
      </c>
      <c r="Y2" s="296" t="s">
        <v>26</v>
      </c>
      <c r="Z2" s="296" t="s">
        <v>26</v>
      </c>
      <c r="AA2" s="296"/>
      <c r="AB2" s="296"/>
      <c r="AC2" s="296"/>
      <c r="AD2" s="296"/>
      <c r="AE2" s="296"/>
      <c r="AF2" s="296"/>
      <c r="AG2" s="297">
        <v>39</v>
      </c>
      <c r="AI2">
        <f t="shared" ref="AI2:AI64" si="0">R2+S2+T2+U2+V2+W2+X2+Y2+Z2+AA2+AB2+AC2+AD2+AE2+AF2</f>
        <v>39</v>
      </c>
    </row>
    <row r="3" spans="1:35" x14ac:dyDescent="0.25">
      <c r="A3" s="295">
        <v>2</v>
      </c>
      <c r="B3" s="296" t="s">
        <v>11</v>
      </c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S3" s="296"/>
      <c r="T3" s="296"/>
      <c r="U3" s="296"/>
      <c r="V3" s="296"/>
      <c r="W3" s="296"/>
      <c r="X3" s="296"/>
      <c r="Y3" s="296"/>
      <c r="Z3" s="296"/>
      <c r="AA3" s="296"/>
      <c r="AB3" s="296"/>
      <c r="AC3" s="296"/>
      <c r="AD3" s="296"/>
      <c r="AE3" s="296"/>
      <c r="AF3" s="296"/>
      <c r="AG3" s="295">
        <v>0</v>
      </c>
      <c r="AI3">
        <f t="shared" si="0"/>
        <v>0</v>
      </c>
    </row>
    <row r="4" spans="1:35" x14ac:dyDescent="0.25">
      <c r="A4" s="295">
        <v>3</v>
      </c>
      <c r="B4" s="296" t="s">
        <v>12</v>
      </c>
      <c r="C4" s="296"/>
      <c r="D4" s="296"/>
      <c r="E4" s="296"/>
      <c r="F4" s="296"/>
      <c r="G4" s="296"/>
      <c r="H4" s="296"/>
      <c r="I4" s="296"/>
      <c r="J4" s="296"/>
      <c r="K4" s="296"/>
      <c r="L4" s="296"/>
      <c r="M4" s="296"/>
      <c r="N4" s="296"/>
      <c r="O4" s="296"/>
      <c r="P4" s="296"/>
      <c r="Q4" s="296"/>
      <c r="R4" s="296"/>
      <c r="S4" s="296"/>
      <c r="T4" s="296"/>
      <c r="U4" s="296"/>
      <c r="V4" s="296"/>
      <c r="W4" s="296"/>
      <c r="X4" s="296"/>
      <c r="Y4" s="296"/>
      <c r="Z4" s="296"/>
      <c r="AA4" s="296"/>
      <c r="AB4" s="296"/>
      <c r="AC4" s="296"/>
      <c r="AD4" s="296"/>
      <c r="AE4" s="296"/>
      <c r="AF4" s="296"/>
      <c r="AG4" s="295">
        <v>0</v>
      </c>
      <c r="AI4">
        <f t="shared" si="0"/>
        <v>0</v>
      </c>
    </row>
    <row r="5" spans="1:35" x14ac:dyDescent="0.25">
      <c r="A5" s="295">
        <v>4</v>
      </c>
      <c r="B5" s="296" t="s">
        <v>651</v>
      </c>
      <c r="C5" s="296"/>
      <c r="D5" s="296"/>
      <c r="E5" s="296"/>
      <c r="F5" s="296"/>
      <c r="G5" s="296"/>
      <c r="H5" s="296"/>
      <c r="I5" s="296"/>
      <c r="J5" s="296"/>
      <c r="K5" s="296"/>
      <c r="L5" s="296"/>
      <c r="M5" s="296"/>
      <c r="N5" s="296"/>
      <c r="O5" s="296"/>
      <c r="P5" s="296"/>
      <c r="Q5" s="296"/>
      <c r="R5" s="296"/>
      <c r="S5" s="296"/>
      <c r="T5" s="296"/>
      <c r="U5" s="296"/>
      <c r="V5" s="296"/>
      <c r="W5" s="296"/>
      <c r="X5" s="296"/>
      <c r="Y5" s="296"/>
      <c r="Z5" s="296"/>
      <c r="AA5" s="296"/>
      <c r="AB5" s="296"/>
      <c r="AC5" s="296"/>
      <c r="AD5" s="296"/>
      <c r="AE5" s="296"/>
      <c r="AF5" s="296"/>
      <c r="AG5" s="295">
        <v>0</v>
      </c>
      <c r="AI5">
        <f t="shared" si="0"/>
        <v>0</v>
      </c>
    </row>
    <row r="6" spans="1:35" x14ac:dyDescent="0.25">
      <c r="A6" s="295">
        <v>5</v>
      </c>
      <c r="B6" s="296" t="s">
        <v>14</v>
      </c>
      <c r="C6" s="296"/>
      <c r="D6" s="296"/>
      <c r="E6" s="296"/>
      <c r="F6" s="296"/>
      <c r="G6" s="296"/>
      <c r="H6" s="296"/>
      <c r="I6" s="296"/>
      <c r="J6" s="296"/>
      <c r="K6" s="296"/>
      <c r="L6" s="296"/>
      <c r="M6" s="296"/>
      <c r="N6" s="296"/>
      <c r="O6" s="296"/>
      <c r="P6" s="296"/>
      <c r="Q6" s="296"/>
      <c r="R6" s="296"/>
      <c r="S6" s="296"/>
      <c r="T6" s="296"/>
      <c r="U6" s="296"/>
      <c r="V6" s="296"/>
      <c r="W6" s="296"/>
      <c r="X6" s="296"/>
      <c r="Y6" s="296"/>
      <c r="Z6" s="296"/>
      <c r="AA6" s="296"/>
      <c r="AB6" s="296"/>
      <c r="AC6" s="296"/>
      <c r="AD6" s="296"/>
      <c r="AE6" s="296"/>
      <c r="AF6" s="296"/>
      <c r="AG6" s="295">
        <v>0</v>
      </c>
      <c r="AI6">
        <f t="shared" si="0"/>
        <v>0</v>
      </c>
    </row>
    <row r="7" spans="1:35" x14ac:dyDescent="0.25">
      <c r="A7" s="295">
        <v>6</v>
      </c>
      <c r="B7" s="296" t="s">
        <v>15</v>
      </c>
      <c r="C7" s="296"/>
      <c r="D7" s="296"/>
      <c r="E7" s="296"/>
      <c r="F7" s="296"/>
      <c r="G7" s="296"/>
      <c r="H7" s="296"/>
      <c r="I7" s="296"/>
      <c r="J7" s="296"/>
      <c r="K7" s="296"/>
      <c r="L7" s="296"/>
      <c r="M7" s="296"/>
      <c r="N7" s="296"/>
      <c r="O7" s="296"/>
      <c r="P7" s="296"/>
      <c r="Q7" s="296"/>
      <c r="R7" s="296"/>
      <c r="S7" s="296"/>
      <c r="T7" s="296"/>
      <c r="U7" s="296"/>
      <c r="V7" s="296"/>
      <c r="W7" s="296"/>
      <c r="X7" s="296"/>
      <c r="Y7" s="296" t="s">
        <v>26</v>
      </c>
      <c r="Z7" s="296"/>
      <c r="AA7" s="296"/>
      <c r="AB7" s="296"/>
      <c r="AC7" s="296"/>
      <c r="AD7" s="296"/>
      <c r="AE7" s="296"/>
      <c r="AF7" s="296"/>
      <c r="AG7" s="297">
        <v>11</v>
      </c>
      <c r="AI7">
        <f t="shared" si="0"/>
        <v>11</v>
      </c>
    </row>
    <row r="8" spans="1:35" x14ac:dyDescent="0.25">
      <c r="A8" s="295">
        <v>7</v>
      </c>
      <c r="B8" s="296" t="s">
        <v>16</v>
      </c>
      <c r="C8" s="296"/>
      <c r="D8" s="296"/>
      <c r="E8" s="296"/>
      <c r="F8" s="296"/>
      <c r="G8" s="296"/>
      <c r="H8" s="296"/>
      <c r="I8" s="296"/>
      <c r="J8" s="296"/>
      <c r="K8" s="296"/>
      <c r="L8" s="296"/>
      <c r="M8" s="296"/>
      <c r="N8" s="296"/>
      <c r="O8" s="296"/>
      <c r="P8" s="296"/>
      <c r="Q8" s="296"/>
      <c r="R8" s="296"/>
      <c r="S8" s="296"/>
      <c r="T8" s="296"/>
      <c r="U8" s="296"/>
      <c r="V8" s="296"/>
      <c r="W8" s="296"/>
      <c r="X8" s="296" t="s">
        <v>26</v>
      </c>
      <c r="Y8" s="296" t="s">
        <v>26</v>
      </c>
      <c r="Z8" s="296"/>
      <c r="AA8" s="296"/>
      <c r="AB8" s="296"/>
      <c r="AC8" s="296"/>
      <c r="AD8" s="296"/>
      <c r="AE8" s="296"/>
      <c r="AF8" s="296"/>
      <c r="AG8" s="297">
        <v>22</v>
      </c>
      <c r="AI8">
        <f t="shared" si="0"/>
        <v>22</v>
      </c>
    </row>
    <row r="9" spans="1:35" x14ac:dyDescent="0.25">
      <c r="A9" s="295">
        <v>8</v>
      </c>
      <c r="B9" s="296" t="s">
        <v>4</v>
      </c>
      <c r="C9" s="296"/>
      <c r="D9" s="296"/>
      <c r="E9" s="296"/>
      <c r="F9" s="296"/>
      <c r="G9" s="296"/>
      <c r="H9" s="296"/>
      <c r="I9" s="296"/>
      <c r="J9" s="296"/>
      <c r="K9" s="296"/>
      <c r="L9" s="296"/>
      <c r="M9" s="296"/>
      <c r="N9" s="296"/>
      <c r="O9" s="296"/>
      <c r="P9" s="296"/>
      <c r="Q9" s="296"/>
      <c r="R9" s="296"/>
      <c r="S9" s="296"/>
      <c r="T9" s="296"/>
      <c r="U9" s="296"/>
      <c r="V9" s="296"/>
      <c r="W9" s="296"/>
      <c r="X9" s="296"/>
      <c r="Y9" s="296"/>
      <c r="Z9" s="296"/>
      <c r="AA9" s="296"/>
      <c r="AB9" s="296"/>
      <c r="AC9" s="296"/>
      <c r="AD9" s="296"/>
      <c r="AE9" s="296"/>
      <c r="AF9" s="296"/>
      <c r="AG9" s="295">
        <v>0</v>
      </c>
      <c r="AI9">
        <f t="shared" si="0"/>
        <v>0</v>
      </c>
    </row>
    <row r="10" spans="1:35" x14ac:dyDescent="0.25">
      <c r="A10" s="295">
        <v>9</v>
      </c>
      <c r="B10" s="296" t="s">
        <v>5</v>
      </c>
      <c r="C10" s="296"/>
      <c r="D10" s="296"/>
      <c r="E10" s="296"/>
      <c r="F10" s="296"/>
      <c r="G10" s="296"/>
      <c r="H10" s="296"/>
      <c r="I10" s="296"/>
      <c r="J10" s="296"/>
      <c r="K10" s="296"/>
      <c r="L10" s="296"/>
      <c r="M10" s="296"/>
      <c r="N10" s="296"/>
      <c r="O10" s="296"/>
      <c r="P10" s="296"/>
      <c r="Q10" s="296"/>
      <c r="R10" s="296"/>
      <c r="S10" s="296"/>
      <c r="T10" s="296"/>
      <c r="U10" s="296"/>
      <c r="V10" s="296"/>
      <c r="W10" s="296"/>
      <c r="X10" s="296"/>
      <c r="Y10" s="296"/>
      <c r="Z10" s="296"/>
      <c r="AA10" s="296"/>
      <c r="AB10" s="296"/>
      <c r="AC10" s="296"/>
      <c r="AD10" s="296"/>
      <c r="AE10" s="296"/>
      <c r="AF10" s="296"/>
      <c r="AG10" s="295">
        <v>0</v>
      </c>
      <c r="AI10">
        <f t="shared" si="0"/>
        <v>0</v>
      </c>
    </row>
    <row r="11" spans="1:35" x14ac:dyDescent="0.25">
      <c r="A11" s="295">
        <v>10</v>
      </c>
      <c r="B11" s="296" t="s">
        <v>38</v>
      </c>
      <c r="C11" s="296"/>
      <c r="D11" s="296"/>
      <c r="E11" s="296"/>
      <c r="F11" s="296"/>
      <c r="G11" s="296"/>
      <c r="H11" s="296"/>
      <c r="I11" s="296"/>
      <c r="J11" s="296"/>
      <c r="K11" s="296"/>
      <c r="L11" s="296"/>
      <c r="M11" s="296"/>
      <c r="N11" s="296"/>
      <c r="O11" s="296"/>
      <c r="P11" s="296"/>
      <c r="Q11" s="296"/>
      <c r="R11" s="296"/>
      <c r="S11" s="296"/>
      <c r="T11" s="296"/>
      <c r="U11" s="296"/>
      <c r="V11" s="296"/>
      <c r="W11" s="296"/>
      <c r="X11" s="296"/>
      <c r="Y11" s="296"/>
      <c r="Z11" s="296"/>
      <c r="AA11" s="296"/>
      <c r="AB11" s="296"/>
      <c r="AC11" s="296"/>
      <c r="AD11" s="296"/>
      <c r="AE11" s="296"/>
      <c r="AF11" s="296"/>
      <c r="AG11" s="295">
        <v>0</v>
      </c>
      <c r="AI11">
        <f t="shared" si="0"/>
        <v>0</v>
      </c>
    </row>
    <row r="12" spans="1:35" x14ac:dyDescent="0.25">
      <c r="A12" s="295">
        <v>11</v>
      </c>
      <c r="B12" s="296" t="s">
        <v>43</v>
      </c>
      <c r="C12" s="296"/>
      <c r="D12" s="296"/>
      <c r="E12" s="296"/>
      <c r="F12" s="296"/>
      <c r="G12" s="296"/>
      <c r="H12" s="296"/>
      <c r="I12" s="296"/>
      <c r="J12" s="296"/>
      <c r="K12" s="296"/>
      <c r="L12" s="296"/>
      <c r="M12" s="296"/>
      <c r="N12" s="296"/>
      <c r="O12" s="296"/>
      <c r="P12" s="296"/>
      <c r="Q12" s="296"/>
      <c r="R12" s="296"/>
      <c r="S12" s="296"/>
      <c r="T12" s="296"/>
      <c r="U12" s="296"/>
      <c r="V12" s="296"/>
      <c r="W12" s="296"/>
      <c r="X12" s="296"/>
      <c r="Y12" s="296"/>
      <c r="Z12" s="296"/>
      <c r="AA12" s="296"/>
      <c r="AB12" s="296"/>
      <c r="AC12" s="296"/>
      <c r="AD12" s="296"/>
      <c r="AE12" s="296"/>
      <c r="AF12" s="296"/>
      <c r="AG12" s="295">
        <v>0</v>
      </c>
      <c r="AI12">
        <f t="shared" si="0"/>
        <v>0</v>
      </c>
    </row>
    <row r="13" spans="1:35" x14ac:dyDescent="0.25">
      <c r="A13" s="295">
        <v>12</v>
      </c>
      <c r="B13" s="296" t="s">
        <v>639</v>
      </c>
      <c r="C13" s="296"/>
      <c r="D13" s="296"/>
      <c r="E13" s="296"/>
      <c r="F13" s="296"/>
      <c r="G13" s="296"/>
      <c r="H13" s="296"/>
      <c r="I13" s="296"/>
      <c r="J13" s="296"/>
      <c r="K13" s="296"/>
      <c r="L13" s="296"/>
      <c r="M13" s="296"/>
      <c r="N13" s="296"/>
      <c r="O13" s="296"/>
      <c r="P13" s="296"/>
      <c r="Q13" s="296"/>
      <c r="R13" s="296"/>
      <c r="S13" s="296"/>
      <c r="T13" s="296"/>
      <c r="U13" s="296"/>
      <c r="V13" s="296"/>
      <c r="W13" s="296"/>
      <c r="X13" s="296"/>
      <c r="Y13" s="296"/>
      <c r="Z13" s="296"/>
      <c r="AA13" s="296"/>
      <c r="AB13" s="296"/>
      <c r="AC13" s="296"/>
      <c r="AD13" s="296"/>
      <c r="AE13" s="296"/>
      <c r="AF13" s="296"/>
      <c r="AG13" s="295">
        <v>0</v>
      </c>
      <c r="AI13">
        <f t="shared" si="0"/>
        <v>0</v>
      </c>
    </row>
    <row r="14" spans="1:35" x14ac:dyDescent="0.25">
      <c r="A14" s="295">
        <v>13</v>
      </c>
      <c r="B14" s="296" t="s">
        <v>87</v>
      </c>
      <c r="C14" s="296"/>
      <c r="D14" s="296"/>
      <c r="E14" s="296"/>
      <c r="F14" s="296"/>
      <c r="G14" s="296"/>
      <c r="H14" s="296"/>
      <c r="I14" s="296"/>
      <c r="J14" s="296"/>
      <c r="K14" s="296"/>
      <c r="L14" s="296"/>
      <c r="M14" s="296"/>
      <c r="N14" s="296"/>
      <c r="O14" s="296"/>
      <c r="P14" s="296"/>
      <c r="Q14" s="296"/>
      <c r="R14" s="296"/>
      <c r="S14" s="296"/>
      <c r="T14" s="296"/>
      <c r="U14" s="296"/>
      <c r="V14" s="296"/>
      <c r="W14" s="296"/>
      <c r="X14" s="296" t="s">
        <v>26</v>
      </c>
      <c r="Y14" s="296" t="s">
        <v>26</v>
      </c>
      <c r="Z14" s="296"/>
      <c r="AA14" s="296"/>
      <c r="AB14" s="296"/>
      <c r="AC14" s="296"/>
      <c r="AD14" s="296"/>
      <c r="AE14" s="296"/>
      <c r="AF14" s="296"/>
      <c r="AG14" s="297">
        <v>22</v>
      </c>
      <c r="AI14">
        <f t="shared" si="0"/>
        <v>22</v>
      </c>
    </row>
    <row r="15" spans="1:35" x14ac:dyDescent="0.25">
      <c r="A15" s="295">
        <v>14</v>
      </c>
      <c r="B15" s="296" t="s">
        <v>95</v>
      </c>
      <c r="C15" s="296"/>
      <c r="D15" s="296"/>
      <c r="E15" s="296"/>
      <c r="F15" s="296"/>
      <c r="G15" s="296"/>
      <c r="H15" s="296"/>
      <c r="I15" s="296"/>
      <c r="J15" s="296"/>
      <c r="K15" s="296"/>
      <c r="L15" s="296"/>
      <c r="M15" s="296"/>
      <c r="N15" s="296"/>
      <c r="O15" s="296"/>
      <c r="P15" s="296"/>
      <c r="Q15" s="296"/>
      <c r="R15" s="296"/>
      <c r="S15" s="296"/>
      <c r="T15" s="296"/>
      <c r="U15" s="296"/>
      <c r="V15" s="296"/>
      <c r="W15" s="296"/>
      <c r="X15" s="296"/>
      <c r="Y15" s="296"/>
      <c r="Z15" s="296"/>
      <c r="AA15" s="296"/>
      <c r="AB15" s="296"/>
      <c r="AC15" s="296"/>
      <c r="AD15" s="296"/>
      <c r="AE15" s="296"/>
      <c r="AF15" s="296"/>
      <c r="AG15" s="295">
        <v>0</v>
      </c>
      <c r="AI15">
        <f t="shared" si="0"/>
        <v>0</v>
      </c>
    </row>
    <row r="16" spans="1:35" x14ac:dyDescent="0.25">
      <c r="A16" s="295">
        <v>15</v>
      </c>
      <c r="B16" s="296" t="s">
        <v>96</v>
      </c>
      <c r="C16" s="296"/>
      <c r="D16" s="296"/>
      <c r="E16" s="296"/>
      <c r="F16" s="296"/>
      <c r="G16" s="296"/>
      <c r="H16" s="296"/>
      <c r="I16" s="296"/>
      <c r="J16" s="296"/>
      <c r="K16" s="296"/>
      <c r="L16" s="296"/>
      <c r="M16" s="296"/>
      <c r="N16" s="296"/>
      <c r="O16" s="296"/>
      <c r="P16" s="296"/>
      <c r="Q16" s="296"/>
      <c r="R16" s="296"/>
      <c r="S16" s="296"/>
      <c r="T16" s="296"/>
      <c r="U16" s="296"/>
      <c r="V16" s="296"/>
      <c r="W16" s="296"/>
      <c r="X16" s="296"/>
      <c r="Y16" s="296"/>
      <c r="Z16" s="296"/>
      <c r="AA16" s="296"/>
      <c r="AB16" s="296"/>
      <c r="AC16" s="296"/>
      <c r="AD16" s="296"/>
      <c r="AE16" s="296"/>
      <c r="AF16" s="296"/>
      <c r="AG16" s="295">
        <v>0</v>
      </c>
      <c r="AI16">
        <f t="shared" si="0"/>
        <v>0</v>
      </c>
    </row>
    <row r="17" spans="1:35" x14ac:dyDescent="0.25">
      <c r="A17" s="295">
        <v>16</v>
      </c>
      <c r="B17" s="296" t="s">
        <v>97</v>
      </c>
      <c r="C17" s="296"/>
      <c r="D17" s="296"/>
      <c r="E17" s="296"/>
      <c r="F17" s="296"/>
      <c r="G17" s="296"/>
      <c r="H17" s="296"/>
      <c r="I17" s="296"/>
      <c r="J17" s="296"/>
      <c r="K17" s="296"/>
      <c r="L17" s="296"/>
      <c r="M17" s="296"/>
      <c r="N17" s="296"/>
      <c r="O17" s="296"/>
      <c r="P17" s="296"/>
      <c r="Q17" s="296"/>
      <c r="R17" s="296"/>
      <c r="S17" s="296"/>
      <c r="T17" s="296"/>
      <c r="U17" s="296"/>
      <c r="V17" s="296"/>
      <c r="W17" s="296"/>
      <c r="X17" s="296"/>
      <c r="Y17" s="296"/>
      <c r="Z17" s="296"/>
      <c r="AA17" s="296"/>
      <c r="AB17" s="296"/>
      <c r="AC17" s="296"/>
      <c r="AD17" s="296"/>
      <c r="AE17" s="296"/>
      <c r="AF17" s="296"/>
      <c r="AG17" s="295">
        <v>0</v>
      </c>
      <c r="AI17">
        <f t="shared" si="0"/>
        <v>0</v>
      </c>
    </row>
    <row r="18" spans="1:35" x14ac:dyDescent="0.25">
      <c r="A18" s="295">
        <v>17</v>
      </c>
      <c r="B18" s="296" t="s">
        <v>98</v>
      </c>
      <c r="C18" s="296"/>
      <c r="D18" s="296"/>
      <c r="E18" s="296"/>
      <c r="F18" s="296"/>
      <c r="G18" s="296"/>
      <c r="H18" s="296"/>
      <c r="I18" s="296"/>
      <c r="J18" s="296"/>
      <c r="K18" s="296"/>
      <c r="L18" s="296"/>
      <c r="M18" s="296"/>
      <c r="N18" s="296"/>
      <c r="O18" s="296"/>
      <c r="P18" s="296"/>
      <c r="Q18" s="296"/>
      <c r="R18" s="296"/>
      <c r="S18" s="296"/>
      <c r="T18" s="296"/>
      <c r="U18" s="296"/>
      <c r="V18" s="296"/>
      <c r="W18" s="296"/>
      <c r="X18" s="296"/>
      <c r="Y18" s="296"/>
      <c r="Z18" s="296"/>
      <c r="AA18" s="296"/>
      <c r="AB18" s="296"/>
      <c r="AC18" s="296"/>
      <c r="AD18" s="296"/>
      <c r="AE18" s="296"/>
      <c r="AF18" s="296"/>
      <c r="AG18" s="295">
        <v>0</v>
      </c>
      <c r="AI18">
        <f t="shared" si="0"/>
        <v>0</v>
      </c>
    </row>
    <row r="19" spans="1:35" x14ac:dyDescent="0.25">
      <c r="A19" s="295">
        <v>18</v>
      </c>
      <c r="B19" s="296" t="s">
        <v>616</v>
      </c>
      <c r="C19" s="296"/>
      <c r="D19" s="296"/>
      <c r="E19" s="296"/>
      <c r="F19" s="296"/>
      <c r="G19" s="296"/>
      <c r="H19" s="296"/>
      <c r="I19" s="296"/>
      <c r="J19" s="296"/>
      <c r="K19" s="296"/>
      <c r="L19" s="296"/>
      <c r="M19" s="296"/>
      <c r="N19" s="296"/>
      <c r="O19" s="296"/>
      <c r="P19" s="296"/>
      <c r="Q19" s="296"/>
      <c r="R19" s="296"/>
      <c r="S19" s="296"/>
      <c r="T19" s="296"/>
      <c r="U19" s="296"/>
      <c r="V19" s="296"/>
      <c r="W19" s="296"/>
      <c r="X19" s="296"/>
      <c r="Y19" s="296"/>
      <c r="Z19" s="296"/>
      <c r="AA19" s="296"/>
      <c r="AB19" s="296"/>
      <c r="AC19" s="296"/>
      <c r="AD19" s="296"/>
      <c r="AE19" s="296"/>
      <c r="AF19" s="296"/>
      <c r="AG19" s="295">
        <v>0</v>
      </c>
      <c r="AI19">
        <f t="shared" si="0"/>
        <v>0</v>
      </c>
    </row>
    <row r="20" spans="1:35" x14ac:dyDescent="0.25">
      <c r="A20" s="295">
        <v>19</v>
      </c>
      <c r="B20" s="296" t="s">
        <v>617</v>
      </c>
      <c r="C20" s="296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296"/>
      <c r="O20" s="296"/>
      <c r="P20" s="296"/>
      <c r="Q20" s="296"/>
      <c r="R20" s="296"/>
      <c r="S20" s="296"/>
      <c r="T20" s="296"/>
      <c r="U20" s="296"/>
      <c r="V20" s="296"/>
      <c r="W20" s="296"/>
      <c r="X20" s="296"/>
      <c r="Y20" s="296"/>
      <c r="Z20" s="296"/>
      <c r="AA20" s="296"/>
      <c r="AB20" s="296"/>
      <c r="AC20" s="296"/>
      <c r="AD20" s="296"/>
      <c r="AE20" s="296"/>
      <c r="AF20" s="296"/>
      <c r="AG20" s="295">
        <v>0</v>
      </c>
      <c r="AI20">
        <f t="shared" si="0"/>
        <v>0</v>
      </c>
    </row>
    <row r="21" spans="1:35" x14ac:dyDescent="0.25">
      <c r="A21" s="295">
        <v>20</v>
      </c>
      <c r="B21" s="296" t="s">
        <v>626</v>
      </c>
      <c r="C21" s="296"/>
      <c r="D21" s="296"/>
      <c r="E21" s="296"/>
      <c r="F21" s="296"/>
      <c r="G21" s="296"/>
      <c r="H21" s="296"/>
      <c r="I21" s="296"/>
      <c r="J21" s="296"/>
      <c r="K21" s="296"/>
      <c r="L21" s="296"/>
      <c r="M21" s="296"/>
      <c r="N21" s="296"/>
      <c r="O21" s="296"/>
      <c r="P21" s="296"/>
      <c r="Q21" s="296"/>
      <c r="R21" s="296"/>
      <c r="S21" s="296"/>
      <c r="T21" s="296"/>
      <c r="U21" s="296"/>
      <c r="V21" s="296"/>
      <c r="W21" s="296"/>
      <c r="X21" s="296"/>
      <c r="Y21" s="296"/>
      <c r="Z21" s="296"/>
      <c r="AA21" s="296"/>
      <c r="AB21" s="296"/>
      <c r="AC21" s="296"/>
      <c r="AD21" s="296"/>
      <c r="AE21" s="296"/>
      <c r="AF21" s="296"/>
      <c r="AG21" s="295">
        <v>0</v>
      </c>
      <c r="AI21">
        <f t="shared" si="0"/>
        <v>0</v>
      </c>
    </row>
    <row r="22" spans="1:35" x14ac:dyDescent="0.25">
      <c r="A22" s="295">
        <v>21</v>
      </c>
      <c r="B22" s="296" t="s">
        <v>618</v>
      </c>
      <c r="C22" s="296"/>
      <c r="D22" s="296"/>
      <c r="E22" s="296"/>
      <c r="F22" s="296"/>
      <c r="G22" s="296"/>
      <c r="H22" s="296"/>
      <c r="I22" s="296"/>
      <c r="J22" s="296"/>
      <c r="K22" s="296"/>
      <c r="L22" s="296"/>
      <c r="M22" s="296"/>
      <c r="N22" s="296"/>
      <c r="O22" s="296"/>
      <c r="P22" s="296"/>
      <c r="Q22" s="296"/>
      <c r="R22" s="296"/>
      <c r="S22" s="296"/>
      <c r="T22" s="296"/>
      <c r="U22" s="296"/>
      <c r="V22" s="296"/>
      <c r="W22" s="296"/>
      <c r="X22" s="296"/>
      <c r="Y22" s="296"/>
      <c r="Z22" s="296"/>
      <c r="AA22" s="296"/>
      <c r="AB22" s="296"/>
      <c r="AC22" s="296"/>
      <c r="AD22" s="296"/>
      <c r="AE22" s="296"/>
      <c r="AF22" s="296"/>
      <c r="AG22" s="295">
        <v>0</v>
      </c>
      <c r="AI22">
        <f t="shared" si="0"/>
        <v>0</v>
      </c>
    </row>
    <row r="23" spans="1:35" x14ac:dyDescent="0.25">
      <c r="A23" s="295">
        <v>22</v>
      </c>
      <c r="B23" s="296" t="s">
        <v>619</v>
      </c>
      <c r="C23" s="296"/>
      <c r="D23" s="296"/>
      <c r="E23" s="296"/>
      <c r="F23" s="296"/>
      <c r="G23" s="296"/>
      <c r="H23" s="296"/>
      <c r="I23" s="296"/>
      <c r="J23" s="296"/>
      <c r="K23" s="296"/>
      <c r="L23" s="296"/>
      <c r="M23" s="296"/>
      <c r="N23" s="296"/>
      <c r="O23" s="296"/>
      <c r="P23" s="296"/>
      <c r="Q23" s="296"/>
      <c r="R23" s="296"/>
      <c r="S23" s="296"/>
      <c r="T23" s="296"/>
      <c r="U23" s="296"/>
      <c r="V23" s="296"/>
      <c r="W23" s="296"/>
      <c r="X23" s="296"/>
      <c r="Y23" s="296"/>
      <c r="Z23" s="296"/>
      <c r="AA23" s="296"/>
      <c r="AB23" s="296"/>
      <c r="AC23" s="296"/>
      <c r="AD23" s="296"/>
      <c r="AE23" s="296"/>
      <c r="AF23" s="296"/>
      <c r="AG23" s="295">
        <v>0</v>
      </c>
      <c r="AI23">
        <f t="shared" si="0"/>
        <v>0</v>
      </c>
    </row>
    <row r="24" spans="1:35" x14ac:dyDescent="0.25">
      <c r="A24" s="295">
        <v>23</v>
      </c>
      <c r="B24" s="296" t="s">
        <v>620</v>
      </c>
      <c r="C24" s="296"/>
      <c r="D24" s="296"/>
      <c r="E24" s="296"/>
      <c r="F24" s="296"/>
      <c r="G24" s="296"/>
      <c r="H24" s="296"/>
      <c r="I24" s="296"/>
      <c r="J24" s="296"/>
      <c r="K24" s="296"/>
      <c r="L24" s="296"/>
      <c r="M24" s="296"/>
      <c r="N24" s="296"/>
      <c r="O24" s="296"/>
      <c r="P24" s="296"/>
      <c r="Q24" s="296"/>
      <c r="R24" s="296"/>
      <c r="S24" s="296"/>
      <c r="T24" s="296"/>
      <c r="U24" s="296"/>
      <c r="V24" s="296"/>
      <c r="W24" s="296"/>
      <c r="X24" s="296"/>
      <c r="Y24" s="296"/>
      <c r="Z24" s="296"/>
      <c r="AA24" s="296"/>
      <c r="AB24" s="296"/>
      <c r="AC24" s="296"/>
      <c r="AD24" s="296"/>
      <c r="AE24" s="296"/>
      <c r="AF24" s="296"/>
      <c r="AG24" s="295">
        <v>0</v>
      </c>
      <c r="AI24">
        <f t="shared" si="0"/>
        <v>0</v>
      </c>
    </row>
    <row r="25" spans="1:35" x14ac:dyDescent="0.25">
      <c r="A25" s="295">
        <v>24</v>
      </c>
      <c r="B25" s="296" t="s">
        <v>650</v>
      </c>
      <c r="C25" s="296"/>
      <c r="D25" s="296"/>
      <c r="E25" s="296"/>
      <c r="F25" s="296"/>
      <c r="G25" s="296"/>
      <c r="H25" s="296"/>
      <c r="I25" s="296"/>
      <c r="J25" s="296"/>
      <c r="K25" s="296"/>
      <c r="L25" s="296"/>
      <c r="M25" s="296"/>
      <c r="N25" s="296"/>
      <c r="O25" s="296"/>
      <c r="P25" s="296"/>
      <c r="Q25" s="296"/>
      <c r="R25" s="296"/>
      <c r="S25" s="296"/>
      <c r="T25" s="296"/>
      <c r="U25" s="296" t="s">
        <v>26</v>
      </c>
      <c r="V25" s="296" t="s">
        <v>84</v>
      </c>
      <c r="W25" s="296"/>
      <c r="X25" s="296" t="s">
        <v>26</v>
      </c>
      <c r="Y25" s="296"/>
      <c r="Z25" s="296"/>
      <c r="AA25" s="296"/>
      <c r="AB25" s="296"/>
      <c r="AC25" s="296"/>
      <c r="AD25" s="296"/>
      <c r="AE25" s="296"/>
      <c r="AF25" s="296"/>
      <c r="AG25" s="297">
        <v>28</v>
      </c>
      <c r="AI25">
        <f t="shared" si="0"/>
        <v>28</v>
      </c>
    </row>
    <row r="26" spans="1:35" x14ac:dyDescent="0.25">
      <c r="A26" s="295">
        <v>25</v>
      </c>
      <c r="B26" s="296" t="s">
        <v>621</v>
      </c>
      <c r="C26" s="296"/>
      <c r="D26" s="296"/>
      <c r="E26" s="296"/>
      <c r="F26" s="296"/>
      <c r="G26" s="296"/>
      <c r="H26" s="296"/>
      <c r="I26" s="296"/>
      <c r="J26" s="296"/>
      <c r="K26" s="296"/>
      <c r="L26" s="296"/>
      <c r="M26" s="296"/>
      <c r="N26" s="296"/>
      <c r="O26" s="296"/>
      <c r="P26" s="296"/>
      <c r="Q26" s="296"/>
      <c r="R26" s="296"/>
      <c r="S26" s="296"/>
      <c r="T26" s="296"/>
      <c r="U26" s="296"/>
      <c r="V26" s="296"/>
      <c r="W26" s="296"/>
      <c r="X26" s="296"/>
      <c r="Y26" s="296"/>
      <c r="Z26" s="296"/>
      <c r="AA26" s="296"/>
      <c r="AB26" s="296"/>
      <c r="AC26" s="296"/>
      <c r="AD26" s="296"/>
      <c r="AE26" s="296"/>
      <c r="AF26" s="296"/>
      <c r="AG26" s="295">
        <v>0</v>
      </c>
      <c r="AI26">
        <f t="shared" si="0"/>
        <v>0</v>
      </c>
    </row>
    <row r="27" spans="1:35" x14ac:dyDescent="0.25">
      <c r="A27" s="295">
        <v>26</v>
      </c>
      <c r="B27" s="296" t="s">
        <v>622</v>
      </c>
      <c r="C27" s="296"/>
      <c r="D27" s="296"/>
      <c r="E27" s="296"/>
      <c r="F27" s="296"/>
      <c r="G27" s="296"/>
      <c r="H27" s="296"/>
      <c r="I27" s="296"/>
      <c r="J27" s="296"/>
      <c r="K27" s="296"/>
      <c r="L27" s="296"/>
      <c r="M27" s="296"/>
      <c r="N27" s="296"/>
      <c r="O27" s="296"/>
      <c r="P27" s="296"/>
      <c r="Q27" s="296"/>
      <c r="R27" s="296"/>
      <c r="S27" s="296"/>
      <c r="T27" s="296"/>
      <c r="U27" s="296"/>
      <c r="V27" s="296"/>
      <c r="W27" s="296"/>
      <c r="X27" s="296"/>
      <c r="Y27" s="296"/>
      <c r="Z27" s="296"/>
      <c r="AA27" s="296"/>
      <c r="AB27" s="296"/>
      <c r="AC27" s="296"/>
      <c r="AD27" s="296"/>
      <c r="AE27" s="296"/>
      <c r="AF27" s="296"/>
      <c r="AG27" s="295">
        <v>0</v>
      </c>
      <c r="AI27">
        <f t="shared" si="0"/>
        <v>0</v>
      </c>
    </row>
    <row r="28" spans="1:35" x14ac:dyDescent="0.25">
      <c r="A28" s="295">
        <v>27</v>
      </c>
      <c r="B28" s="296" t="s">
        <v>623</v>
      </c>
      <c r="C28" s="296"/>
      <c r="D28" s="296"/>
      <c r="E28" s="296"/>
      <c r="F28" s="296"/>
      <c r="G28" s="296"/>
      <c r="H28" s="296"/>
      <c r="I28" s="296"/>
      <c r="J28" s="296"/>
      <c r="K28" s="296"/>
      <c r="L28" s="296"/>
      <c r="M28" s="296"/>
      <c r="N28" s="296"/>
      <c r="O28" s="296"/>
      <c r="P28" s="296"/>
      <c r="Q28" s="296"/>
      <c r="R28" s="296"/>
      <c r="S28" s="296"/>
      <c r="T28" s="296"/>
      <c r="U28" s="296"/>
      <c r="V28" s="296"/>
      <c r="W28" s="296"/>
      <c r="X28" s="296" t="s">
        <v>26</v>
      </c>
      <c r="Y28" s="296" t="s">
        <v>26</v>
      </c>
      <c r="Z28" s="296"/>
      <c r="AA28" s="296"/>
      <c r="AB28" s="296"/>
      <c r="AC28" s="296"/>
      <c r="AD28" s="296"/>
      <c r="AE28" s="296"/>
      <c r="AF28" s="296"/>
      <c r="AG28" s="297">
        <v>22</v>
      </c>
      <c r="AI28">
        <f t="shared" si="0"/>
        <v>22</v>
      </c>
    </row>
    <row r="29" spans="1:35" x14ac:dyDescent="0.25">
      <c r="A29" s="295">
        <v>28</v>
      </c>
      <c r="B29" s="296" t="s">
        <v>624</v>
      </c>
      <c r="C29" s="296"/>
      <c r="D29" s="296"/>
      <c r="E29" s="296"/>
      <c r="F29" s="296"/>
      <c r="G29" s="296"/>
      <c r="H29" s="296"/>
      <c r="I29" s="296"/>
      <c r="J29" s="296"/>
      <c r="K29" s="296"/>
      <c r="L29" s="296"/>
      <c r="M29" s="296"/>
      <c r="N29" s="296"/>
      <c r="O29" s="296"/>
      <c r="P29" s="296"/>
      <c r="Q29" s="296"/>
      <c r="R29" s="296"/>
      <c r="S29" s="296"/>
      <c r="T29" s="296"/>
      <c r="U29" s="296"/>
      <c r="V29" s="296"/>
      <c r="W29" s="296"/>
      <c r="X29" s="296"/>
      <c r="Y29" s="296"/>
      <c r="Z29" s="296"/>
      <c r="AA29" s="296"/>
      <c r="AB29" s="296"/>
      <c r="AC29" s="296"/>
      <c r="AD29" s="296"/>
      <c r="AE29" s="296"/>
      <c r="AF29" s="296"/>
      <c r="AG29" s="295">
        <v>0</v>
      </c>
      <c r="AI29">
        <f t="shared" si="0"/>
        <v>0</v>
      </c>
    </row>
    <row r="30" spans="1:35" x14ac:dyDescent="0.25">
      <c r="A30" s="295">
        <v>29</v>
      </c>
      <c r="B30" s="296" t="s">
        <v>627</v>
      </c>
      <c r="C30" s="296"/>
      <c r="D30" s="296"/>
      <c r="E30" s="296"/>
      <c r="F30" s="296"/>
      <c r="G30" s="296"/>
      <c r="H30" s="296"/>
      <c r="I30" s="296"/>
      <c r="J30" s="296"/>
      <c r="K30" s="296"/>
      <c r="L30" s="296"/>
      <c r="M30" s="296"/>
      <c r="N30" s="296"/>
      <c r="O30" s="296"/>
      <c r="P30" s="296"/>
      <c r="Q30" s="296"/>
      <c r="R30" s="296"/>
      <c r="S30" s="296"/>
      <c r="T30" s="296"/>
      <c r="U30" s="296"/>
      <c r="V30" s="296"/>
      <c r="W30" s="296"/>
      <c r="X30" s="296"/>
      <c r="Y30" s="296"/>
      <c r="Z30" s="296"/>
      <c r="AA30" s="296"/>
      <c r="AB30" s="296"/>
      <c r="AC30" s="296"/>
      <c r="AD30" s="296"/>
      <c r="AE30" s="296"/>
      <c r="AF30" s="296"/>
      <c r="AG30" s="295">
        <v>0</v>
      </c>
      <c r="AI30">
        <f t="shared" si="0"/>
        <v>0</v>
      </c>
    </row>
    <row r="31" spans="1:35" x14ac:dyDescent="0.25">
      <c r="A31" s="295">
        <v>30</v>
      </c>
      <c r="B31" s="296" t="s">
        <v>625</v>
      </c>
      <c r="C31" s="296"/>
      <c r="D31" s="296"/>
      <c r="E31" s="296"/>
      <c r="F31" s="296"/>
      <c r="G31" s="296"/>
      <c r="H31" s="296"/>
      <c r="I31" s="296"/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296"/>
      <c r="V31" s="296"/>
      <c r="W31" s="296"/>
      <c r="X31" s="296"/>
      <c r="Y31" s="296"/>
      <c r="Z31" s="296"/>
      <c r="AA31" s="296"/>
      <c r="AB31" s="296"/>
      <c r="AC31" s="296"/>
      <c r="AD31" s="296"/>
      <c r="AE31" s="296"/>
      <c r="AF31" s="296"/>
      <c r="AG31" s="295">
        <v>0</v>
      </c>
      <c r="AI31">
        <f t="shared" si="0"/>
        <v>0</v>
      </c>
    </row>
    <row r="32" spans="1:35" x14ac:dyDescent="0.25">
      <c r="A32" s="295">
        <v>31</v>
      </c>
      <c r="B32" s="296" t="s">
        <v>34</v>
      </c>
      <c r="C32" s="296"/>
      <c r="D32" s="296"/>
      <c r="E32" s="296"/>
      <c r="F32" s="296"/>
      <c r="G32" s="296"/>
      <c r="H32" s="296"/>
      <c r="I32" s="296"/>
      <c r="J32" s="296"/>
      <c r="K32" s="296"/>
      <c r="L32" s="296"/>
      <c r="M32" s="296"/>
      <c r="N32" s="296"/>
      <c r="O32" s="296"/>
      <c r="P32" s="296"/>
      <c r="Q32" s="296"/>
      <c r="R32" s="296"/>
      <c r="S32" s="296"/>
      <c r="T32" s="296"/>
      <c r="U32" s="296"/>
      <c r="V32" s="296"/>
      <c r="W32" s="296"/>
      <c r="X32" s="296"/>
      <c r="Y32" s="296"/>
      <c r="Z32" s="296"/>
      <c r="AA32" s="296"/>
      <c r="AB32" s="296"/>
      <c r="AC32" s="296"/>
      <c r="AD32" s="296"/>
      <c r="AE32" s="296"/>
      <c r="AF32" s="296"/>
      <c r="AG32" s="295">
        <v>0</v>
      </c>
      <c r="AI32">
        <f t="shared" si="0"/>
        <v>0</v>
      </c>
    </row>
    <row r="33" spans="1:35" x14ac:dyDescent="0.25">
      <c r="A33" s="295">
        <v>32</v>
      </c>
      <c r="B33" s="296" t="s">
        <v>45</v>
      </c>
      <c r="C33" s="296"/>
      <c r="D33" s="296"/>
      <c r="E33" s="296"/>
      <c r="F33" s="296"/>
      <c r="G33" s="296"/>
      <c r="H33" s="296"/>
      <c r="I33" s="296"/>
      <c r="J33" s="296"/>
      <c r="K33" s="296"/>
      <c r="L33" s="296"/>
      <c r="M33" s="296"/>
      <c r="N33" s="296"/>
      <c r="O33" s="296"/>
      <c r="P33" s="296"/>
      <c r="Q33" s="296"/>
      <c r="R33" s="296"/>
      <c r="S33" s="296"/>
      <c r="T33" s="296"/>
      <c r="U33" s="296"/>
      <c r="V33" s="296"/>
      <c r="W33" s="296"/>
      <c r="X33" s="296" t="s">
        <v>26</v>
      </c>
      <c r="Y33" s="296" t="s">
        <v>26</v>
      </c>
      <c r="Z33" s="296"/>
      <c r="AA33" s="296"/>
      <c r="AB33" s="296"/>
      <c r="AC33" s="296"/>
      <c r="AD33" s="296"/>
      <c r="AE33" s="296"/>
      <c r="AF33" s="296"/>
      <c r="AG33" s="297">
        <v>22</v>
      </c>
      <c r="AI33">
        <f t="shared" si="0"/>
        <v>22</v>
      </c>
    </row>
    <row r="34" spans="1:35" x14ac:dyDescent="0.25">
      <c r="A34" s="295">
        <v>33</v>
      </c>
      <c r="B34" s="296" t="s">
        <v>630</v>
      </c>
      <c r="C34" s="296"/>
      <c r="D34" s="296"/>
      <c r="E34" s="296"/>
      <c r="F34" s="296"/>
      <c r="G34" s="296"/>
      <c r="H34" s="296"/>
      <c r="I34" s="296"/>
      <c r="J34" s="296"/>
      <c r="K34" s="296"/>
      <c r="L34" s="296"/>
      <c r="M34" s="296"/>
      <c r="N34" s="296"/>
      <c r="O34" s="296"/>
      <c r="P34" s="296"/>
      <c r="Q34" s="296"/>
      <c r="R34" s="296"/>
      <c r="S34" s="296"/>
      <c r="T34" s="296"/>
      <c r="U34" s="296"/>
      <c r="V34" s="296"/>
      <c r="W34" s="296"/>
      <c r="X34" s="296" t="s">
        <v>26</v>
      </c>
      <c r="Y34" s="296" t="s">
        <v>26</v>
      </c>
      <c r="Z34" s="296"/>
      <c r="AA34" s="296"/>
      <c r="AB34" s="296"/>
      <c r="AC34" s="296"/>
      <c r="AD34" s="296"/>
      <c r="AE34" s="296"/>
      <c r="AF34" s="296"/>
      <c r="AG34" s="297">
        <v>22</v>
      </c>
      <c r="AI34">
        <f t="shared" si="0"/>
        <v>22</v>
      </c>
    </row>
    <row r="35" spans="1:35" x14ac:dyDescent="0.25">
      <c r="A35" s="295">
        <v>34</v>
      </c>
      <c r="B35" s="296" t="s">
        <v>628</v>
      </c>
      <c r="C35" s="296"/>
      <c r="D35" s="296"/>
      <c r="E35" s="296"/>
      <c r="F35" s="296"/>
      <c r="G35" s="296"/>
      <c r="H35" s="296"/>
      <c r="I35" s="296"/>
      <c r="J35" s="296"/>
      <c r="K35" s="296"/>
      <c r="L35" s="296"/>
      <c r="M35" s="296"/>
      <c r="N35" s="296"/>
      <c r="O35" s="296"/>
      <c r="P35" s="296"/>
      <c r="Q35" s="296"/>
      <c r="R35" s="296"/>
      <c r="S35" s="296"/>
      <c r="T35" s="296"/>
      <c r="U35" s="296"/>
      <c r="V35" s="296"/>
      <c r="W35" s="296"/>
      <c r="X35" s="296"/>
      <c r="Y35" s="296"/>
      <c r="Z35" s="296"/>
      <c r="AA35" s="296"/>
      <c r="AB35" s="296"/>
      <c r="AC35" s="296"/>
      <c r="AD35" s="296"/>
      <c r="AE35" s="296"/>
      <c r="AF35" s="296"/>
      <c r="AG35" s="295">
        <v>0</v>
      </c>
      <c r="AI35">
        <f t="shared" si="0"/>
        <v>0</v>
      </c>
    </row>
    <row r="36" spans="1:35" x14ac:dyDescent="0.25">
      <c r="A36" s="295">
        <v>35</v>
      </c>
      <c r="B36" s="296" t="s">
        <v>629</v>
      </c>
      <c r="C36" s="296"/>
      <c r="D36" s="296"/>
      <c r="E36" s="296"/>
      <c r="F36" s="296"/>
      <c r="G36" s="296"/>
      <c r="H36" s="296"/>
      <c r="I36" s="296"/>
      <c r="J36" s="296"/>
      <c r="K36" s="296"/>
      <c r="L36" s="296"/>
      <c r="M36" s="296"/>
      <c r="N36" s="296"/>
      <c r="O36" s="296"/>
      <c r="P36" s="296"/>
      <c r="Q36" s="296"/>
      <c r="R36" s="296"/>
      <c r="S36" s="296"/>
      <c r="T36" s="296"/>
      <c r="U36" s="296"/>
      <c r="V36" s="296"/>
      <c r="W36" s="296"/>
      <c r="X36" s="296"/>
      <c r="Y36" s="296"/>
      <c r="Z36" s="296"/>
      <c r="AA36" s="296"/>
      <c r="AB36" s="296"/>
      <c r="AC36" s="296"/>
      <c r="AD36" s="296"/>
      <c r="AE36" s="296"/>
      <c r="AF36" s="296"/>
      <c r="AG36" s="295">
        <v>0</v>
      </c>
      <c r="AI36">
        <f t="shared" si="0"/>
        <v>0</v>
      </c>
    </row>
    <row r="37" spans="1:35" x14ac:dyDescent="0.25">
      <c r="A37" s="295">
        <v>36</v>
      </c>
      <c r="B37" s="296" t="s">
        <v>631</v>
      </c>
      <c r="C37" s="296"/>
      <c r="D37" s="296"/>
      <c r="E37" s="296"/>
      <c r="F37" s="296"/>
      <c r="G37" s="296"/>
      <c r="H37" s="296"/>
      <c r="I37" s="296"/>
      <c r="J37" s="296"/>
      <c r="K37" s="296"/>
      <c r="L37" s="296"/>
      <c r="M37" s="296"/>
      <c r="N37" s="296"/>
      <c r="O37" s="296"/>
      <c r="P37" s="296"/>
      <c r="Q37" s="296"/>
      <c r="R37" s="296"/>
      <c r="S37" s="296"/>
      <c r="T37" s="296"/>
      <c r="U37" s="296"/>
      <c r="V37" s="296"/>
      <c r="W37" s="296"/>
      <c r="X37" s="296"/>
      <c r="Y37" s="296" t="s">
        <v>26</v>
      </c>
      <c r="Z37" s="296"/>
      <c r="AA37" s="296"/>
      <c r="AB37" s="296"/>
      <c r="AC37" s="296"/>
      <c r="AD37" s="296"/>
      <c r="AE37" s="296"/>
      <c r="AF37" s="296"/>
      <c r="AG37" s="297">
        <v>11</v>
      </c>
      <c r="AI37">
        <f t="shared" si="0"/>
        <v>11</v>
      </c>
    </row>
    <row r="38" spans="1:35" x14ac:dyDescent="0.25">
      <c r="A38" s="295">
        <v>37</v>
      </c>
      <c r="B38" s="296" t="s">
        <v>632</v>
      </c>
      <c r="C38" s="296"/>
      <c r="D38" s="296"/>
      <c r="E38" s="296"/>
      <c r="F38" s="296"/>
      <c r="G38" s="296"/>
      <c r="H38" s="296"/>
      <c r="I38" s="296"/>
      <c r="J38" s="296"/>
      <c r="K38" s="296"/>
      <c r="L38" s="296"/>
      <c r="M38" s="296"/>
      <c r="N38" s="296"/>
      <c r="O38" s="296"/>
      <c r="P38" s="296"/>
      <c r="Q38" s="296"/>
      <c r="R38" s="296"/>
      <c r="S38" s="296"/>
      <c r="T38" s="296"/>
      <c r="U38" s="296"/>
      <c r="V38" s="296"/>
      <c r="W38" s="296"/>
      <c r="X38" s="296"/>
      <c r="Y38" s="296"/>
      <c r="Z38" s="296"/>
      <c r="AA38" s="296"/>
      <c r="AB38" s="296"/>
      <c r="AC38" s="296"/>
      <c r="AD38" s="296"/>
      <c r="AE38" s="296"/>
      <c r="AF38" s="296"/>
      <c r="AG38" s="295">
        <v>0</v>
      </c>
      <c r="AI38">
        <f t="shared" si="0"/>
        <v>0</v>
      </c>
    </row>
    <row r="39" spans="1:35" x14ac:dyDescent="0.25">
      <c r="A39" s="295">
        <v>38</v>
      </c>
      <c r="B39" s="296" t="s">
        <v>633</v>
      </c>
      <c r="C39" s="296"/>
      <c r="D39" s="296"/>
      <c r="E39" s="296"/>
      <c r="F39" s="296"/>
      <c r="G39" s="296"/>
      <c r="H39" s="296"/>
      <c r="I39" s="296"/>
      <c r="J39" s="296"/>
      <c r="K39" s="296"/>
      <c r="L39" s="296"/>
      <c r="M39" s="296"/>
      <c r="N39" s="296"/>
      <c r="O39" s="296"/>
      <c r="P39" s="296"/>
      <c r="Q39" s="296"/>
      <c r="R39" s="296"/>
      <c r="S39" s="296"/>
      <c r="T39" s="296"/>
      <c r="U39" s="296"/>
      <c r="V39" s="296" t="s">
        <v>84</v>
      </c>
      <c r="W39" s="296"/>
      <c r="X39" s="296"/>
      <c r="Y39" s="296"/>
      <c r="Z39" s="296"/>
      <c r="AA39" s="296"/>
      <c r="AB39" s="296"/>
      <c r="AC39" s="296"/>
      <c r="AD39" s="296"/>
      <c r="AE39" s="296"/>
      <c r="AF39" s="296"/>
      <c r="AG39" s="297">
        <v>6</v>
      </c>
      <c r="AI39">
        <f t="shared" si="0"/>
        <v>6</v>
      </c>
    </row>
    <row r="40" spans="1:35" x14ac:dyDescent="0.25">
      <c r="A40" s="295">
        <v>39</v>
      </c>
      <c r="B40" s="296" t="s">
        <v>634</v>
      </c>
      <c r="C40" s="296"/>
      <c r="D40" s="296"/>
      <c r="E40" s="296"/>
      <c r="F40" s="296"/>
      <c r="G40" s="296"/>
      <c r="H40" s="296"/>
      <c r="I40" s="296"/>
      <c r="J40" s="296"/>
      <c r="K40" s="296"/>
      <c r="L40" s="296"/>
      <c r="M40" s="296"/>
      <c r="N40" s="296"/>
      <c r="O40" s="296"/>
      <c r="P40" s="296"/>
      <c r="Q40" s="296"/>
      <c r="R40" s="296"/>
      <c r="S40" s="296"/>
      <c r="T40" s="296"/>
      <c r="U40" s="296"/>
      <c r="V40" s="296"/>
      <c r="W40" s="296"/>
      <c r="X40" s="296"/>
      <c r="Y40" s="296"/>
      <c r="Z40" s="296"/>
      <c r="AA40" s="296"/>
      <c r="AB40" s="296"/>
      <c r="AC40" s="296"/>
      <c r="AD40" s="296"/>
      <c r="AE40" s="296"/>
      <c r="AF40" s="296"/>
      <c r="AG40" s="295">
        <v>0</v>
      </c>
      <c r="AI40">
        <f t="shared" si="0"/>
        <v>0</v>
      </c>
    </row>
    <row r="41" spans="1:35" x14ac:dyDescent="0.25">
      <c r="A41" s="295">
        <v>40</v>
      </c>
      <c r="B41" s="296" t="s">
        <v>636</v>
      </c>
      <c r="C41" s="296"/>
      <c r="D41" s="296"/>
      <c r="E41" s="296"/>
      <c r="F41" s="296"/>
      <c r="G41" s="296"/>
      <c r="H41" s="296"/>
      <c r="I41" s="296"/>
      <c r="J41" s="296"/>
      <c r="K41" s="296"/>
      <c r="L41" s="296"/>
      <c r="M41" s="296"/>
      <c r="N41" s="296"/>
      <c r="O41" s="296"/>
      <c r="P41" s="296"/>
      <c r="Q41" s="296"/>
      <c r="R41" s="296"/>
      <c r="S41" s="296"/>
      <c r="T41" s="296"/>
      <c r="U41" s="296"/>
      <c r="V41" s="296"/>
      <c r="W41" s="296"/>
      <c r="X41" s="296"/>
      <c r="Y41" s="296"/>
      <c r="Z41" s="296"/>
      <c r="AA41" s="296"/>
      <c r="AB41" s="296"/>
      <c r="AC41" s="296"/>
      <c r="AD41" s="296"/>
      <c r="AE41" s="296"/>
      <c r="AF41" s="296"/>
      <c r="AG41" s="295">
        <v>0</v>
      </c>
      <c r="AI41">
        <f t="shared" si="0"/>
        <v>0</v>
      </c>
    </row>
    <row r="42" spans="1:35" x14ac:dyDescent="0.25">
      <c r="A42" s="295">
        <v>41</v>
      </c>
      <c r="B42" s="296" t="s">
        <v>637</v>
      </c>
      <c r="C42" s="296"/>
      <c r="D42" s="296"/>
      <c r="E42" s="296"/>
      <c r="F42" s="296"/>
      <c r="G42" s="296"/>
      <c r="H42" s="296"/>
      <c r="I42" s="296"/>
      <c r="J42" s="296"/>
      <c r="K42" s="296"/>
      <c r="L42" s="296"/>
      <c r="M42" s="296"/>
      <c r="N42" s="296"/>
      <c r="O42" s="296"/>
      <c r="P42" s="296"/>
      <c r="Q42" s="296"/>
      <c r="R42" s="296"/>
      <c r="S42" s="296"/>
      <c r="T42" s="296"/>
      <c r="U42" s="296"/>
      <c r="V42" s="296"/>
      <c r="W42" s="296"/>
      <c r="X42" s="296"/>
      <c r="Y42" s="296"/>
      <c r="Z42" s="296"/>
      <c r="AA42" s="296"/>
      <c r="AB42" s="296"/>
      <c r="AC42" s="296"/>
      <c r="AD42" s="296"/>
      <c r="AE42" s="296"/>
      <c r="AF42" s="296"/>
      <c r="AG42" s="295">
        <v>0</v>
      </c>
      <c r="AI42">
        <f t="shared" si="0"/>
        <v>0</v>
      </c>
    </row>
    <row r="43" spans="1:35" x14ac:dyDescent="0.25">
      <c r="A43" s="295">
        <v>42</v>
      </c>
      <c r="B43" s="296" t="s">
        <v>640</v>
      </c>
      <c r="C43" s="296"/>
      <c r="D43" s="296"/>
      <c r="E43" s="296"/>
      <c r="F43" s="296"/>
      <c r="G43" s="296"/>
      <c r="H43" s="296"/>
      <c r="I43" s="296"/>
      <c r="J43" s="296"/>
      <c r="K43" s="296"/>
      <c r="L43" s="296"/>
      <c r="M43" s="296"/>
      <c r="N43" s="296"/>
      <c r="O43" s="296"/>
      <c r="P43" s="296"/>
      <c r="Q43" s="296"/>
      <c r="R43" s="296"/>
      <c r="S43" s="296"/>
      <c r="T43" s="296"/>
      <c r="U43" s="296"/>
      <c r="V43" s="296"/>
      <c r="W43" s="296"/>
      <c r="X43" s="296"/>
      <c r="Y43" s="296"/>
      <c r="Z43" s="296"/>
      <c r="AA43" s="296"/>
      <c r="AB43" s="296"/>
      <c r="AC43" s="296"/>
      <c r="AD43" s="296"/>
      <c r="AE43" s="296"/>
      <c r="AF43" s="296"/>
      <c r="AG43" s="295">
        <v>0</v>
      </c>
      <c r="AI43">
        <f t="shared" si="0"/>
        <v>0</v>
      </c>
    </row>
    <row r="44" spans="1:35" x14ac:dyDescent="0.25">
      <c r="A44" s="295">
        <v>43</v>
      </c>
      <c r="B44" s="296" t="s">
        <v>638</v>
      </c>
      <c r="C44" s="296"/>
      <c r="D44" s="296"/>
      <c r="E44" s="296"/>
      <c r="F44" s="296"/>
      <c r="G44" s="296"/>
      <c r="H44" s="296"/>
      <c r="I44" s="296"/>
      <c r="J44" s="296"/>
      <c r="K44" s="296"/>
      <c r="L44" s="296"/>
      <c r="M44" s="296"/>
      <c r="N44" s="296"/>
      <c r="O44" s="296"/>
      <c r="P44" s="296"/>
      <c r="Q44" s="296"/>
      <c r="R44" s="296"/>
      <c r="S44" s="296"/>
      <c r="T44" s="296"/>
      <c r="U44" s="296" t="s">
        <v>26</v>
      </c>
      <c r="V44" s="296"/>
      <c r="W44" s="296"/>
      <c r="X44" s="296"/>
      <c r="Y44" s="296"/>
      <c r="Z44" s="296"/>
      <c r="AA44" s="296"/>
      <c r="AB44" s="296"/>
      <c r="AC44" s="296"/>
      <c r="AD44" s="296"/>
      <c r="AE44" s="296"/>
      <c r="AF44" s="296"/>
      <c r="AG44" s="297">
        <v>11</v>
      </c>
      <c r="AI44">
        <f t="shared" si="0"/>
        <v>11</v>
      </c>
    </row>
    <row r="45" spans="1:35" x14ac:dyDescent="0.25">
      <c r="A45" s="295">
        <v>44</v>
      </c>
      <c r="B45" s="296" t="s">
        <v>635</v>
      </c>
      <c r="C45" s="296"/>
      <c r="D45" s="296"/>
      <c r="E45" s="296"/>
      <c r="F45" s="296"/>
      <c r="G45" s="296"/>
      <c r="H45" s="296"/>
      <c r="I45" s="296"/>
      <c r="J45" s="296"/>
      <c r="K45" s="296"/>
      <c r="L45" s="296"/>
      <c r="M45" s="296"/>
      <c r="N45" s="296"/>
      <c r="O45" s="296"/>
      <c r="P45" s="296"/>
      <c r="Q45" s="296"/>
      <c r="R45" s="296"/>
      <c r="S45" s="296"/>
      <c r="T45" s="296"/>
      <c r="U45" s="296"/>
      <c r="V45" s="296"/>
      <c r="W45" s="296"/>
      <c r="X45" s="296"/>
      <c r="Y45" s="296"/>
      <c r="Z45" s="296"/>
      <c r="AA45" s="296"/>
      <c r="AB45" s="296"/>
      <c r="AC45" s="296"/>
      <c r="AD45" s="296"/>
      <c r="AE45" s="296"/>
      <c r="AF45" s="296"/>
      <c r="AG45" s="295">
        <v>0</v>
      </c>
      <c r="AI45">
        <f t="shared" si="0"/>
        <v>0</v>
      </c>
    </row>
    <row r="46" spans="1:35" x14ac:dyDescent="0.25">
      <c r="A46" s="295">
        <v>45</v>
      </c>
      <c r="B46" s="296" t="s">
        <v>641</v>
      </c>
      <c r="C46" s="296"/>
      <c r="D46" s="296"/>
      <c r="E46" s="296"/>
      <c r="F46" s="296"/>
      <c r="G46" s="296"/>
      <c r="H46" s="296"/>
      <c r="I46" s="296"/>
      <c r="J46" s="296"/>
      <c r="K46" s="296"/>
      <c r="L46" s="296"/>
      <c r="M46" s="296"/>
      <c r="N46" s="296"/>
      <c r="O46" s="296"/>
      <c r="P46" s="296"/>
      <c r="Q46" s="296"/>
      <c r="R46" s="296"/>
      <c r="S46" s="296"/>
      <c r="T46" s="296"/>
      <c r="U46" s="296"/>
      <c r="V46" s="296"/>
      <c r="W46" s="296"/>
      <c r="X46" s="296"/>
      <c r="Y46" s="296"/>
      <c r="Z46" s="296"/>
      <c r="AA46" s="296"/>
      <c r="AB46" s="296"/>
      <c r="AC46" s="296"/>
      <c r="AD46" s="296"/>
      <c r="AE46" s="296"/>
      <c r="AF46" s="296"/>
      <c r="AG46" s="295">
        <v>0</v>
      </c>
      <c r="AI46">
        <f t="shared" si="0"/>
        <v>0</v>
      </c>
    </row>
    <row r="47" spans="1:35" x14ac:dyDescent="0.25">
      <c r="A47" s="295">
        <v>46</v>
      </c>
      <c r="B47" s="296" t="s">
        <v>649</v>
      </c>
      <c r="C47" s="296"/>
      <c r="D47" s="296"/>
      <c r="E47" s="296"/>
      <c r="F47" s="296"/>
      <c r="G47" s="296"/>
      <c r="H47" s="296"/>
      <c r="I47" s="296"/>
      <c r="J47" s="296"/>
      <c r="K47" s="296"/>
      <c r="L47" s="296"/>
      <c r="M47" s="296"/>
      <c r="N47" s="296"/>
      <c r="O47" s="296"/>
      <c r="P47" s="296"/>
      <c r="Q47" s="296"/>
      <c r="R47" s="296"/>
      <c r="S47" s="296"/>
      <c r="T47" s="296"/>
      <c r="U47" s="296"/>
      <c r="V47" s="296"/>
      <c r="W47" s="296"/>
      <c r="X47" s="296"/>
      <c r="Y47" s="296"/>
      <c r="Z47" s="296" t="s">
        <v>26</v>
      </c>
      <c r="AA47" s="296"/>
      <c r="AB47" s="296"/>
      <c r="AC47" s="296"/>
      <c r="AD47" s="296"/>
      <c r="AE47" s="296"/>
      <c r="AF47" s="296"/>
      <c r="AG47" s="297">
        <v>11</v>
      </c>
      <c r="AI47">
        <f t="shared" si="0"/>
        <v>11</v>
      </c>
    </row>
    <row r="48" spans="1:35" x14ac:dyDescent="0.25">
      <c r="A48" s="295">
        <v>47</v>
      </c>
      <c r="B48" s="296" t="s">
        <v>642</v>
      </c>
      <c r="C48" s="296"/>
      <c r="D48" s="296"/>
      <c r="E48" s="296"/>
      <c r="F48" s="296"/>
      <c r="G48" s="296"/>
      <c r="H48" s="296"/>
      <c r="I48" s="296"/>
      <c r="J48" s="296"/>
      <c r="K48" s="296"/>
      <c r="L48" s="296"/>
      <c r="M48" s="296"/>
      <c r="N48" s="296"/>
      <c r="O48" s="296"/>
      <c r="P48" s="296"/>
      <c r="Q48" s="296"/>
      <c r="R48" s="296"/>
      <c r="S48" s="296"/>
      <c r="T48" s="296"/>
      <c r="U48" s="296"/>
      <c r="V48" s="296"/>
      <c r="W48" s="296"/>
      <c r="X48" s="296"/>
      <c r="Y48" s="296"/>
      <c r="Z48" s="296"/>
      <c r="AA48" s="296"/>
      <c r="AB48" s="296"/>
      <c r="AC48" s="296"/>
      <c r="AD48" s="296"/>
      <c r="AE48" s="296"/>
      <c r="AF48" s="296"/>
      <c r="AG48" s="295">
        <v>0</v>
      </c>
      <c r="AI48">
        <f t="shared" si="0"/>
        <v>0</v>
      </c>
    </row>
    <row r="49" spans="1:35" x14ac:dyDescent="0.25">
      <c r="A49" s="295">
        <v>48</v>
      </c>
      <c r="B49" s="296" t="s">
        <v>643</v>
      </c>
      <c r="C49" s="296"/>
      <c r="D49" s="296"/>
      <c r="E49" s="296"/>
      <c r="F49" s="296"/>
      <c r="G49" s="296"/>
      <c r="H49" s="296"/>
      <c r="I49" s="296"/>
      <c r="J49" s="296"/>
      <c r="K49" s="296"/>
      <c r="L49" s="296"/>
      <c r="M49" s="296"/>
      <c r="N49" s="296"/>
      <c r="O49" s="296"/>
      <c r="P49" s="296"/>
      <c r="Q49" s="296"/>
      <c r="R49" s="296"/>
      <c r="S49" s="296"/>
      <c r="T49" s="296"/>
      <c r="U49" s="296"/>
      <c r="V49" s="296"/>
      <c r="W49" s="296"/>
      <c r="X49" s="296"/>
      <c r="Y49" s="296"/>
      <c r="Z49" s="296"/>
      <c r="AA49" s="296"/>
      <c r="AB49" s="296"/>
      <c r="AC49" s="296"/>
      <c r="AD49" s="296"/>
      <c r="AE49" s="296"/>
      <c r="AF49" s="296"/>
      <c r="AG49" s="295">
        <v>0</v>
      </c>
      <c r="AI49">
        <f t="shared" si="0"/>
        <v>0</v>
      </c>
    </row>
    <row r="50" spans="1:35" x14ac:dyDescent="0.25">
      <c r="A50" s="295">
        <v>49</v>
      </c>
      <c r="B50" s="296" t="s">
        <v>644</v>
      </c>
      <c r="C50" s="296"/>
      <c r="D50" s="296"/>
      <c r="E50" s="296"/>
      <c r="F50" s="296"/>
      <c r="G50" s="296"/>
      <c r="H50" s="296"/>
      <c r="I50" s="296"/>
      <c r="J50" s="296"/>
      <c r="K50" s="296"/>
      <c r="L50" s="296"/>
      <c r="M50" s="296"/>
      <c r="N50" s="296"/>
      <c r="O50" s="296"/>
      <c r="P50" s="296"/>
      <c r="Q50" s="296"/>
      <c r="R50" s="296"/>
      <c r="S50" s="296"/>
      <c r="T50" s="296"/>
      <c r="U50" s="296"/>
      <c r="V50" s="296"/>
      <c r="W50" s="296"/>
      <c r="X50" s="296"/>
      <c r="Y50" s="296"/>
      <c r="Z50" s="296"/>
      <c r="AA50" s="296"/>
      <c r="AB50" s="296"/>
      <c r="AC50" s="296"/>
      <c r="AD50" s="296"/>
      <c r="AE50" s="296"/>
      <c r="AF50" s="296"/>
      <c r="AG50" s="295">
        <v>0</v>
      </c>
      <c r="AI50">
        <f t="shared" si="0"/>
        <v>0</v>
      </c>
    </row>
    <row r="51" spans="1:35" x14ac:dyDescent="0.25">
      <c r="A51" s="295">
        <v>50</v>
      </c>
      <c r="B51" s="296" t="s">
        <v>646</v>
      </c>
      <c r="C51" s="296"/>
      <c r="D51" s="296"/>
      <c r="E51" s="296"/>
      <c r="F51" s="296"/>
      <c r="G51" s="296"/>
      <c r="H51" s="296"/>
      <c r="I51" s="296"/>
      <c r="J51" s="296"/>
      <c r="K51" s="296"/>
      <c r="L51" s="296"/>
      <c r="M51" s="296"/>
      <c r="N51" s="296"/>
      <c r="O51" s="296"/>
      <c r="P51" s="296"/>
      <c r="Q51" s="296"/>
      <c r="R51" s="296"/>
      <c r="S51" s="296"/>
      <c r="T51" s="296"/>
      <c r="U51" s="296"/>
      <c r="V51" s="296"/>
      <c r="W51" s="296"/>
      <c r="X51" s="296"/>
      <c r="Y51" s="296"/>
      <c r="Z51" s="296"/>
      <c r="AA51" s="296"/>
      <c r="AB51" s="296"/>
      <c r="AC51" s="296"/>
      <c r="AD51" s="296"/>
      <c r="AE51" s="296"/>
      <c r="AF51" s="296"/>
      <c r="AG51" s="295">
        <v>0</v>
      </c>
      <c r="AI51">
        <f t="shared" si="0"/>
        <v>0</v>
      </c>
    </row>
    <row r="52" spans="1:35" x14ac:dyDescent="0.25">
      <c r="A52" s="295">
        <v>51</v>
      </c>
      <c r="B52" s="296" t="s">
        <v>647</v>
      </c>
      <c r="C52" s="296"/>
      <c r="D52" s="296"/>
      <c r="E52" s="296"/>
      <c r="F52" s="296"/>
      <c r="G52" s="296"/>
      <c r="H52" s="296"/>
      <c r="I52" s="296"/>
      <c r="J52" s="296"/>
      <c r="K52" s="296"/>
      <c r="L52" s="296"/>
      <c r="M52" s="296"/>
      <c r="N52" s="296"/>
      <c r="O52" s="296"/>
      <c r="P52" s="296"/>
      <c r="Q52" s="296"/>
      <c r="R52" s="296"/>
      <c r="S52" s="296"/>
      <c r="T52" s="296"/>
      <c r="U52" s="296" t="s">
        <v>26</v>
      </c>
      <c r="V52" s="296" t="s">
        <v>84</v>
      </c>
      <c r="W52" s="296"/>
      <c r="X52" s="296" t="s">
        <v>26</v>
      </c>
      <c r="Y52" s="296" t="s">
        <v>26</v>
      </c>
      <c r="Z52" s="296"/>
      <c r="AA52" s="296"/>
      <c r="AB52" s="296"/>
      <c r="AC52" s="296"/>
      <c r="AD52" s="296"/>
      <c r="AE52" s="296"/>
      <c r="AF52" s="296"/>
      <c r="AG52" s="297">
        <v>39</v>
      </c>
      <c r="AI52">
        <f t="shared" si="0"/>
        <v>39</v>
      </c>
    </row>
    <row r="53" spans="1:35" x14ac:dyDescent="0.25">
      <c r="A53" s="295">
        <v>52</v>
      </c>
      <c r="B53" s="296" t="s">
        <v>652</v>
      </c>
      <c r="C53" s="296"/>
      <c r="D53" s="296"/>
      <c r="E53" s="296"/>
      <c r="F53" s="296"/>
      <c r="G53" s="296"/>
      <c r="H53" s="296"/>
      <c r="I53" s="296"/>
      <c r="J53" s="296"/>
      <c r="K53" s="296"/>
      <c r="L53" s="296"/>
      <c r="M53" s="296"/>
      <c r="N53" s="296"/>
      <c r="O53" s="296"/>
      <c r="P53" s="296"/>
      <c r="Q53" s="296"/>
      <c r="R53" s="296"/>
      <c r="S53" s="296"/>
      <c r="T53" s="296"/>
      <c r="U53" s="296" t="s">
        <v>65</v>
      </c>
      <c r="V53" s="296" t="s">
        <v>24</v>
      </c>
      <c r="W53" s="296"/>
      <c r="X53" s="296"/>
      <c r="Y53" s="296"/>
      <c r="Z53" s="296"/>
      <c r="AA53" s="296"/>
      <c r="AB53" s="296"/>
      <c r="AC53" s="296"/>
      <c r="AD53" s="296"/>
      <c r="AE53" s="296"/>
      <c r="AF53" s="296"/>
      <c r="AG53" s="297">
        <v>20</v>
      </c>
      <c r="AI53">
        <f t="shared" si="0"/>
        <v>20</v>
      </c>
    </row>
    <row r="54" spans="1:35" x14ac:dyDescent="0.25">
      <c r="A54" s="295">
        <v>53</v>
      </c>
      <c r="B54" s="296" t="s">
        <v>653</v>
      </c>
      <c r="C54" s="296"/>
      <c r="D54" s="296"/>
      <c r="E54" s="296"/>
      <c r="F54" s="296"/>
      <c r="G54" s="296"/>
      <c r="H54" s="296"/>
      <c r="I54" s="296"/>
      <c r="J54" s="296"/>
      <c r="K54" s="296"/>
      <c r="L54" s="296"/>
      <c r="M54" s="296"/>
      <c r="N54" s="296"/>
      <c r="O54" s="296"/>
      <c r="P54" s="296"/>
      <c r="Q54" s="296"/>
      <c r="R54" s="296"/>
      <c r="S54" s="296"/>
      <c r="T54" s="296"/>
      <c r="U54" s="296"/>
      <c r="V54" s="296"/>
      <c r="W54" s="296"/>
      <c r="X54" s="296"/>
      <c r="Y54" s="296"/>
      <c r="Z54" s="296"/>
      <c r="AA54" s="296"/>
      <c r="AB54" s="296"/>
      <c r="AC54" s="296"/>
      <c r="AD54" s="296"/>
      <c r="AE54" s="296"/>
      <c r="AF54" s="296"/>
      <c r="AG54" s="295">
        <v>0</v>
      </c>
      <c r="AI54">
        <f t="shared" si="0"/>
        <v>0</v>
      </c>
    </row>
    <row r="55" spans="1:35" x14ac:dyDescent="0.25">
      <c r="A55" s="295">
        <v>54</v>
      </c>
      <c r="B55" s="296" t="s">
        <v>654</v>
      </c>
      <c r="C55" s="296"/>
      <c r="D55" s="296"/>
      <c r="E55" s="296"/>
      <c r="F55" s="296"/>
      <c r="G55" s="296"/>
      <c r="H55" s="296"/>
      <c r="I55" s="296"/>
      <c r="J55" s="296"/>
      <c r="K55" s="296"/>
      <c r="L55" s="296"/>
      <c r="M55" s="296"/>
      <c r="N55" s="296"/>
      <c r="O55" s="296"/>
      <c r="P55" s="296"/>
      <c r="Q55" s="296"/>
      <c r="R55" s="296"/>
      <c r="S55" s="296"/>
      <c r="T55" s="296"/>
      <c r="U55" s="296"/>
      <c r="V55" s="296"/>
      <c r="W55" s="296"/>
      <c r="X55" s="296"/>
      <c r="Y55" s="296"/>
      <c r="Z55" s="296"/>
      <c r="AA55" s="296"/>
      <c r="AB55" s="296"/>
      <c r="AC55" s="296"/>
      <c r="AD55" s="296"/>
      <c r="AE55" s="296"/>
      <c r="AF55" s="296"/>
      <c r="AG55" s="295">
        <v>0</v>
      </c>
      <c r="AI55">
        <f t="shared" si="0"/>
        <v>0</v>
      </c>
    </row>
    <row r="56" spans="1:35" x14ac:dyDescent="0.25">
      <c r="A56" s="295">
        <v>55</v>
      </c>
      <c r="B56" s="296" t="s">
        <v>655</v>
      </c>
      <c r="C56" s="296"/>
      <c r="D56" s="296"/>
      <c r="E56" s="296"/>
      <c r="F56" s="296"/>
      <c r="G56" s="296"/>
      <c r="H56" s="296"/>
      <c r="I56" s="296"/>
      <c r="J56" s="296"/>
      <c r="K56" s="296"/>
      <c r="L56" s="296"/>
      <c r="M56" s="296"/>
      <c r="N56" s="296"/>
      <c r="O56" s="296"/>
      <c r="P56" s="296"/>
      <c r="Q56" s="296"/>
      <c r="R56" s="296"/>
      <c r="S56" s="296"/>
      <c r="T56" s="296"/>
      <c r="U56" s="296" t="s">
        <v>26</v>
      </c>
      <c r="V56" s="296" t="s">
        <v>84</v>
      </c>
      <c r="W56" s="296"/>
      <c r="X56" s="296" t="s">
        <v>26</v>
      </c>
      <c r="Y56" s="296"/>
      <c r="Z56" s="296" t="s">
        <v>26</v>
      </c>
      <c r="AA56" s="296"/>
      <c r="AB56" s="296"/>
      <c r="AC56" s="296"/>
      <c r="AD56" s="296"/>
      <c r="AE56" s="296"/>
      <c r="AF56" s="296"/>
      <c r="AG56" s="297">
        <v>39</v>
      </c>
      <c r="AI56">
        <f t="shared" si="0"/>
        <v>39</v>
      </c>
    </row>
    <row r="57" spans="1:35" x14ac:dyDescent="0.25">
      <c r="A57" s="295">
        <v>56</v>
      </c>
      <c r="B57" s="296" t="s">
        <v>656</v>
      </c>
      <c r="C57" s="296"/>
      <c r="D57" s="296"/>
      <c r="E57" s="296"/>
      <c r="F57" s="296"/>
      <c r="G57" s="296"/>
      <c r="H57" s="296"/>
      <c r="I57" s="296"/>
      <c r="J57" s="296"/>
      <c r="K57" s="296"/>
      <c r="L57" s="296"/>
      <c r="M57" s="296"/>
      <c r="N57" s="296"/>
      <c r="O57" s="296"/>
      <c r="P57" s="296"/>
      <c r="Q57" s="296"/>
      <c r="R57" s="296"/>
      <c r="S57" s="296"/>
      <c r="T57" s="296"/>
      <c r="U57" s="296"/>
      <c r="V57" s="296"/>
      <c r="W57" s="296"/>
      <c r="X57" s="296"/>
      <c r="Y57" s="296"/>
      <c r="Z57" s="296" t="s">
        <v>26</v>
      </c>
      <c r="AA57" s="296"/>
      <c r="AB57" s="296"/>
      <c r="AC57" s="296"/>
      <c r="AD57" s="296"/>
      <c r="AE57" s="296"/>
      <c r="AF57" s="296"/>
      <c r="AG57" s="297">
        <v>11</v>
      </c>
      <c r="AI57">
        <f t="shared" si="0"/>
        <v>11</v>
      </c>
    </row>
    <row r="58" spans="1:35" x14ac:dyDescent="0.25">
      <c r="A58" s="295">
        <v>57</v>
      </c>
      <c r="B58" s="296" t="s">
        <v>657</v>
      </c>
      <c r="C58" s="296"/>
      <c r="D58" s="296"/>
      <c r="E58" s="296"/>
      <c r="F58" s="296"/>
      <c r="G58" s="296"/>
      <c r="H58" s="296"/>
      <c r="I58" s="296"/>
      <c r="J58" s="296"/>
      <c r="K58" s="296"/>
      <c r="L58" s="296"/>
      <c r="M58" s="296"/>
      <c r="N58" s="296"/>
      <c r="O58" s="296"/>
      <c r="P58" s="296"/>
      <c r="Q58" s="296"/>
      <c r="R58" s="296"/>
      <c r="S58" s="296"/>
      <c r="T58" s="296" t="s">
        <v>26</v>
      </c>
      <c r="U58" s="296" t="s">
        <v>26</v>
      </c>
      <c r="V58" s="296"/>
      <c r="W58" s="296"/>
      <c r="X58" s="296"/>
      <c r="Y58" s="296"/>
      <c r="Z58" s="296"/>
      <c r="AA58" s="296"/>
      <c r="AB58" s="296"/>
      <c r="AC58" s="296"/>
      <c r="AD58" s="296"/>
      <c r="AE58" s="296"/>
      <c r="AF58" s="296"/>
      <c r="AG58" s="297">
        <v>22</v>
      </c>
      <c r="AI58">
        <f t="shared" si="0"/>
        <v>22</v>
      </c>
    </row>
    <row r="59" spans="1:35" x14ac:dyDescent="0.25">
      <c r="A59" s="295">
        <v>58</v>
      </c>
      <c r="B59" s="296" t="s">
        <v>658</v>
      </c>
      <c r="C59" s="296"/>
      <c r="D59" s="296"/>
      <c r="E59" s="296"/>
      <c r="F59" s="296"/>
      <c r="G59" s="296"/>
      <c r="H59" s="296"/>
      <c r="I59" s="296"/>
      <c r="J59" s="296"/>
      <c r="K59" s="296"/>
      <c r="L59" s="296"/>
      <c r="M59" s="296"/>
      <c r="N59" s="296"/>
      <c r="O59" s="296"/>
      <c r="P59" s="296"/>
      <c r="Q59" s="296"/>
      <c r="R59" s="296"/>
      <c r="S59" s="296"/>
      <c r="T59" s="296"/>
      <c r="U59" s="296" t="s">
        <v>26</v>
      </c>
      <c r="V59" s="296" t="s">
        <v>84</v>
      </c>
      <c r="W59" s="296"/>
      <c r="X59" s="296"/>
      <c r="Y59" s="296"/>
      <c r="Z59" s="296"/>
      <c r="AA59" s="296"/>
      <c r="AB59" s="296"/>
      <c r="AC59" s="296"/>
      <c r="AD59" s="296"/>
      <c r="AE59" s="296"/>
      <c r="AF59" s="296"/>
      <c r="AG59" s="297">
        <v>17</v>
      </c>
      <c r="AI59">
        <f t="shared" si="0"/>
        <v>17</v>
      </c>
    </row>
    <row r="60" spans="1:35" x14ac:dyDescent="0.25">
      <c r="A60" s="295">
        <v>59</v>
      </c>
      <c r="B60" s="296" t="s">
        <v>659</v>
      </c>
      <c r="C60" s="296"/>
      <c r="D60" s="296"/>
      <c r="E60" s="296"/>
      <c r="F60" s="296"/>
      <c r="G60" s="296"/>
      <c r="H60" s="296"/>
      <c r="I60" s="296"/>
      <c r="J60" s="296"/>
      <c r="K60" s="296"/>
      <c r="L60" s="296"/>
      <c r="M60" s="296"/>
      <c r="N60" s="296"/>
      <c r="O60" s="296"/>
      <c r="P60" s="296"/>
      <c r="Q60" s="296"/>
      <c r="R60" s="296"/>
      <c r="S60" s="296"/>
      <c r="T60" s="296"/>
      <c r="U60" s="296"/>
      <c r="V60" s="296"/>
      <c r="W60" s="296"/>
      <c r="X60" s="296"/>
      <c r="Y60" s="296"/>
      <c r="Z60" s="296"/>
      <c r="AA60" s="296"/>
      <c r="AB60" s="296"/>
      <c r="AC60" s="296"/>
      <c r="AD60" s="296"/>
      <c r="AE60" s="296"/>
      <c r="AF60" s="296"/>
      <c r="AG60" s="295">
        <v>0</v>
      </c>
      <c r="AI60">
        <f t="shared" si="0"/>
        <v>0</v>
      </c>
    </row>
    <row r="61" spans="1:35" x14ac:dyDescent="0.25">
      <c r="A61" s="295">
        <v>60</v>
      </c>
      <c r="B61" s="296" t="s">
        <v>660</v>
      </c>
      <c r="C61" s="296"/>
      <c r="D61" s="296"/>
      <c r="E61" s="296"/>
      <c r="F61" s="296"/>
      <c r="G61" s="296"/>
      <c r="H61" s="296"/>
      <c r="I61" s="296"/>
      <c r="J61" s="296"/>
      <c r="K61" s="296"/>
      <c r="L61" s="296"/>
      <c r="M61" s="296"/>
      <c r="N61" s="296"/>
      <c r="O61" s="296"/>
      <c r="P61" s="296"/>
      <c r="Q61" s="296"/>
      <c r="R61" s="296"/>
      <c r="S61" s="296"/>
      <c r="T61" s="296"/>
      <c r="U61" s="296"/>
      <c r="V61" s="296"/>
      <c r="W61" s="296"/>
      <c r="X61" s="296"/>
      <c r="Y61" s="296"/>
      <c r="Z61" s="296"/>
      <c r="AA61" s="296"/>
      <c r="AB61" s="296"/>
      <c r="AC61" s="296"/>
      <c r="AD61" s="296"/>
      <c r="AE61" s="296"/>
      <c r="AF61" s="296"/>
      <c r="AG61" s="295">
        <v>0</v>
      </c>
      <c r="AI61">
        <f t="shared" si="0"/>
        <v>0</v>
      </c>
    </row>
    <row r="62" spans="1:35" x14ac:dyDescent="0.25">
      <c r="A62" s="295">
        <v>61</v>
      </c>
      <c r="B62" s="296" t="s">
        <v>661</v>
      </c>
      <c r="C62" s="296"/>
      <c r="D62" s="296"/>
      <c r="E62" s="296"/>
      <c r="F62" s="296"/>
      <c r="G62" s="296"/>
      <c r="H62" s="296"/>
      <c r="I62" s="296"/>
      <c r="J62" s="296"/>
      <c r="K62" s="296"/>
      <c r="L62" s="296"/>
      <c r="M62" s="296"/>
      <c r="N62" s="296"/>
      <c r="O62" s="296"/>
      <c r="P62" s="296"/>
      <c r="Q62" s="296"/>
      <c r="R62" s="296"/>
      <c r="S62" s="296"/>
      <c r="T62" s="296" t="s">
        <v>26</v>
      </c>
      <c r="U62" s="296" t="s">
        <v>26</v>
      </c>
      <c r="V62" s="296" t="s">
        <v>25</v>
      </c>
      <c r="W62" s="296"/>
      <c r="X62" s="296" t="s">
        <v>26</v>
      </c>
      <c r="Y62" s="296"/>
      <c r="Z62" s="296"/>
      <c r="AA62" s="296"/>
      <c r="AB62" s="296"/>
      <c r="AC62" s="296"/>
      <c r="AD62" s="296"/>
      <c r="AE62" s="296"/>
      <c r="AF62" s="296"/>
      <c r="AG62" s="297">
        <v>42</v>
      </c>
      <c r="AI62">
        <f t="shared" si="0"/>
        <v>42</v>
      </c>
    </row>
    <row r="63" spans="1:35" x14ac:dyDescent="0.25">
      <c r="A63" s="295">
        <v>62</v>
      </c>
      <c r="B63" s="296" t="s">
        <v>662</v>
      </c>
      <c r="C63" s="296"/>
      <c r="D63" s="296"/>
      <c r="E63" s="296"/>
      <c r="F63" s="296"/>
      <c r="G63" s="296"/>
      <c r="H63" s="296"/>
      <c r="I63" s="296"/>
      <c r="J63" s="296"/>
      <c r="K63" s="296"/>
      <c r="L63" s="296"/>
      <c r="M63" s="296"/>
      <c r="N63" s="296"/>
      <c r="O63" s="296"/>
      <c r="P63" s="296"/>
      <c r="Q63" s="296"/>
      <c r="R63" s="296"/>
      <c r="S63" s="296"/>
      <c r="T63" s="296"/>
      <c r="U63" s="296"/>
      <c r="V63" s="296"/>
      <c r="W63" s="296"/>
      <c r="X63" s="296"/>
      <c r="Y63" s="296"/>
      <c r="Z63" s="296"/>
      <c r="AA63" s="296"/>
      <c r="AB63" s="296"/>
      <c r="AC63" s="296"/>
      <c r="AD63" s="296"/>
      <c r="AE63" s="296"/>
      <c r="AF63" s="296"/>
      <c r="AG63" s="295">
        <v>0</v>
      </c>
      <c r="AI63">
        <f t="shared" si="0"/>
        <v>0</v>
      </c>
    </row>
    <row r="64" spans="1:35" x14ac:dyDescent="0.25">
      <c r="A64" s="295">
        <v>63</v>
      </c>
      <c r="B64" s="296" t="s">
        <v>668</v>
      </c>
      <c r="C64" s="296"/>
      <c r="D64" s="296"/>
      <c r="E64" s="296"/>
      <c r="F64" s="296"/>
      <c r="G64" s="296"/>
      <c r="H64" s="296"/>
      <c r="I64" s="296"/>
      <c r="J64" s="296"/>
      <c r="K64" s="296"/>
      <c r="L64" s="296"/>
      <c r="M64" s="296"/>
      <c r="N64" s="296"/>
      <c r="O64" s="296"/>
      <c r="P64" s="296"/>
      <c r="Q64" s="296"/>
      <c r="R64" s="296"/>
      <c r="S64" s="296"/>
      <c r="T64" s="296"/>
      <c r="U64" s="296"/>
      <c r="V64" s="296"/>
      <c r="W64" s="296"/>
      <c r="X64" s="296"/>
      <c r="Y64" s="296"/>
      <c r="Z64" s="296"/>
      <c r="AA64" s="296"/>
      <c r="AB64" s="296"/>
      <c r="AC64" s="296"/>
      <c r="AD64" s="296"/>
      <c r="AE64" s="296"/>
      <c r="AF64" s="296"/>
      <c r="AG64" s="295">
        <v>0</v>
      </c>
      <c r="AI64">
        <f t="shared" si="0"/>
        <v>0</v>
      </c>
    </row>
    <row r="65" spans="1:33" x14ac:dyDescent="0.25">
      <c r="A65" s="294"/>
      <c r="B65" s="294"/>
      <c r="C65" s="294"/>
      <c r="D65" s="294"/>
      <c r="E65" s="294"/>
      <c r="F65" s="294"/>
      <c r="G65" s="294"/>
      <c r="H65" s="294"/>
      <c r="I65" s="294"/>
      <c r="J65" s="294"/>
      <c r="K65" s="294"/>
      <c r="L65" s="294"/>
      <c r="M65" s="294"/>
      <c r="N65" s="294"/>
      <c r="O65" s="294"/>
      <c r="P65" s="294"/>
      <c r="Q65" s="294"/>
      <c r="R65" s="294"/>
      <c r="S65" s="294"/>
      <c r="T65" s="294"/>
      <c r="U65" s="294"/>
      <c r="V65" s="294"/>
      <c r="W65" s="294"/>
      <c r="X65" s="294"/>
      <c r="Y65" s="294"/>
      <c r="Z65" s="294"/>
      <c r="AA65" s="294"/>
      <c r="AB65" s="294"/>
      <c r="AC65" s="294"/>
      <c r="AD65" s="294"/>
      <c r="AE65" s="294"/>
      <c r="AF65" s="294"/>
      <c r="AG65" s="298">
        <v>417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T65"/>
  <sheetViews>
    <sheetView zoomScale="85" zoomScaleNormal="85" workbookViewId="0">
      <selection activeCell="T2" sqref="T2:T64"/>
    </sheetView>
  </sheetViews>
  <sheetFormatPr defaultRowHeight="15" x14ac:dyDescent="0.25"/>
  <sheetData>
    <row r="1" spans="1:20" x14ac:dyDescent="0.25">
      <c r="A1" s="299" t="s">
        <v>1</v>
      </c>
      <c r="B1" s="299" t="s">
        <v>6</v>
      </c>
      <c r="C1" s="299" t="s">
        <v>46</v>
      </c>
      <c r="D1" s="299" t="s">
        <v>47</v>
      </c>
      <c r="E1" s="299" t="s">
        <v>48</v>
      </c>
      <c r="F1" s="299" t="s">
        <v>49</v>
      </c>
      <c r="G1" s="299" t="s">
        <v>50</v>
      </c>
      <c r="H1" s="299" t="s">
        <v>51</v>
      </c>
      <c r="I1" s="299" t="s">
        <v>52</v>
      </c>
      <c r="J1" s="299" t="s">
        <v>53</v>
      </c>
      <c r="K1" s="299" t="s">
        <v>54</v>
      </c>
      <c r="L1" s="299" t="s">
        <v>55</v>
      </c>
      <c r="M1" s="299" t="s">
        <v>56</v>
      </c>
      <c r="N1" s="299" t="s">
        <v>57</v>
      </c>
      <c r="O1" s="299" t="s">
        <v>58</v>
      </c>
      <c r="P1" s="299" t="s">
        <v>59</v>
      </c>
      <c r="Q1" s="299" t="s">
        <v>667</v>
      </c>
      <c r="R1" s="299" t="s">
        <v>2</v>
      </c>
    </row>
    <row r="2" spans="1:20" x14ac:dyDescent="0.25">
      <c r="A2" s="300">
        <v>1</v>
      </c>
      <c r="B2" s="301" t="s">
        <v>10</v>
      </c>
      <c r="C2" s="301"/>
      <c r="D2" s="301"/>
      <c r="E2" s="301"/>
      <c r="F2" s="301"/>
      <c r="G2" s="301"/>
      <c r="H2" s="301"/>
      <c r="I2" s="301"/>
      <c r="J2" s="301"/>
      <c r="K2" s="301"/>
      <c r="L2" s="301" t="s">
        <v>26</v>
      </c>
      <c r="M2" s="301" t="s">
        <v>26</v>
      </c>
      <c r="N2" s="301" t="s">
        <v>84</v>
      </c>
      <c r="O2" s="301"/>
      <c r="P2" s="301" t="s">
        <v>26</v>
      </c>
      <c r="Q2" s="301" t="s">
        <v>26</v>
      </c>
      <c r="R2" s="302">
        <v>50</v>
      </c>
      <c r="T2">
        <f t="shared" ref="T2:T64" si="0">C2+D2+E2+F2+G2+H2+I2+J2+K2+L2+M2+N2+O2+P2+Q2</f>
        <v>50</v>
      </c>
    </row>
    <row r="3" spans="1:20" x14ac:dyDescent="0.25">
      <c r="A3" s="300">
        <v>2</v>
      </c>
      <c r="B3" s="301" t="s">
        <v>11</v>
      </c>
      <c r="C3" s="301"/>
      <c r="D3" s="301"/>
      <c r="E3" s="301"/>
      <c r="F3" s="301"/>
      <c r="G3" s="301"/>
      <c r="H3" s="301"/>
      <c r="I3" s="301"/>
      <c r="J3" s="301"/>
      <c r="K3" s="301"/>
      <c r="L3" s="301"/>
      <c r="M3" s="301"/>
      <c r="N3" s="301"/>
      <c r="O3" s="301"/>
      <c r="P3" s="301"/>
      <c r="Q3" s="301"/>
      <c r="R3" s="300">
        <v>0</v>
      </c>
      <c r="T3">
        <f t="shared" si="0"/>
        <v>0</v>
      </c>
    </row>
    <row r="4" spans="1:20" x14ac:dyDescent="0.25">
      <c r="A4" s="300">
        <v>3</v>
      </c>
      <c r="B4" s="301" t="s">
        <v>12</v>
      </c>
      <c r="C4" s="301"/>
      <c r="D4" s="301"/>
      <c r="E4" s="301"/>
      <c r="F4" s="301"/>
      <c r="G4" s="301"/>
      <c r="H4" s="301"/>
      <c r="I4" s="301"/>
      <c r="J4" s="301"/>
      <c r="K4" s="301"/>
      <c r="L4" s="301"/>
      <c r="M4" s="301"/>
      <c r="N4" s="301"/>
      <c r="O4" s="301"/>
      <c r="P4" s="301"/>
      <c r="Q4" s="301"/>
      <c r="R4" s="300">
        <v>0</v>
      </c>
      <c r="T4">
        <f t="shared" si="0"/>
        <v>0</v>
      </c>
    </row>
    <row r="5" spans="1:20" x14ac:dyDescent="0.25">
      <c r="A5" s="300">
        <v>4</v>
      </c>
      <c r="B5" s="301" t="s">
        <v>651</v>
      </c>
      <c r="C5" s="301"/>
      <c r="D5" s="301"/>
      <c r="E5" s="301"/>
      <c r="F5" s="301"/>
      <c r="G5" s="301"/>
      <c r="H5" s="301"/>
      <c r="I5" s="301"/>
      <c r="J5" s="301"/>
      <c r="K5" s="301"/>
      <c r="L5" s="301"/>
      <c r="M5" s="301"/>
      <c r="N5" s="301"/>
      <c r="O5" s="301"/>
      <c r="P5" s="301"/>
      <c r="Q5" s="301"/>
      <c r="R5" s="300">
        <v>0</v>
      </c>
      <c r="T5">
        <f t="shared" si="0"/>
        <v>0</v>
      </c>
    </row>
    <row r="6" spans="1:20" x14ac:dyDescent="0.25">
      <c r="A6" s="300">
        <v>5</v>
      </c>
      <c r="B6" s="301" t="s">
        <v>14</v>
      </c>
      <c r="C6" s="301"/>
      <c r="D6" s="301"/>
      <c r="E6" s="301"/>
      <c r="F6" s="301"/>
      <c r="G6" s="301"/>
      <c r="H6" s="301"/>
      <c r="I6" s="301"/>
      <c r="J6" s="301"/>
      <c r="K6" s="301"/>
      <c r="L6" s="301"/>
      <c r="M6" s="301"/>
      <c r="N6" s="301"/>
      <c r="O6" s="301"/>
      <c r="P6" s="301"/>
      <c r="Q6" s="301"/>
      <c r="R6" s="300">
        <v>0</v>
      </c>
      <c r="T6">
        <f t="shared" si="0"/>
        <v>0</v>
      </c>
    </row>
    <row r="7" spans="1:20" x14ac:dyDescent="0.25">
      <c r="A7" s="300">
        <v>6</v>
      </c>
      <c r="B7" s="301" t="s">
        <v>15</v>
      </c>
      <c r="C7" s="301"/>
      <c r="D7" s="301"/>
      <c r="E7" s="301"/>
      <c r="F7" s="301"/>
      <c r="G7" s="301"/>
      <c r="H7" s="301"/>
      <c r="I7" s="301"/>
      <c r="J7" s="301"/>
      <c r="K7" s="301" t="s">
        <v>26</v>
      </c>
      <c r="L7" s="301" t="s">
        <v>26</v>
      </c>
      <c r="M7" s="301" t="s">
        <v>26</v>
      </c>
      <c r="N7" s="301" t="s">
        <v>84</v>
      </c>
      <c r="O7" s="301"/>
      <c r="P7" s="301" t="s">
        <v>26</v>
      </c>
      <c r="Q7" s="301"/>
      <c r="R7" s="302">
        <v>50</v>
      </c>
      <c r="T7">
        <f t="shared" si="0"/>
        <v>50</v>
      </c>
    </row>
    <row r="8" spans="1:20" x14ac:dyDescent="0.25">
      <c r="A8" s="300">
        <v>7</v>
      </c>
      <c r="B8" s="301" t="s">
        <v>16</v>
      </c>
      <c r="C8" s="301"/>
      <c r="D8" s="301"/>
      <c r="E8" s="301"/>
      <c r="F8" s="301"/>
      <c r="G8" s="301"/>
      <c r="H8" s="301"/>
      <c r="I8" s="301"/>
      <c r="J8" s="301"/>
      <c r="K8" s="301" t="s">
        <v>24</v>
      </c>
      <c r="L8" s="301" t="s">
        <v>26</v>
      </c>
      <c r="M8" s="301" t="s">
        <v>25</v>
      </c>
      <c r="N8" s="301"/>
      <c r="O8" s="301"/>
      <c r="P8" s="301" t="s">
        <v>25</v>
      </c>
      <c r="Q8" s="301" t="s">
        <v>25</v>
      </c>
      <c r="R8" s="302">
        <v>46</v>
      </c>
      <c r="T8">
        <f t="shared" si="0"/>
        <v>46</v>
      </c>
    </row>
    <row r="9" spans="1:20" x14ac:dyDescent="0.25">
      <c r="A9" s="300">
        <v>8</v>
      </c>
      <c r="B9" s="301" t="s">
        <v>4</v>
      </c>
      <c r="C9" s="301"/>
      <c r="D9" s="301"/>
      <c r="E9" s="301"/>
      <c r="F9" s="301"/>
      <c r="G9" s="301"/>
      <c r="H9" s="301"/>
      <c r="I9" s="301"/>
      <c r="J9" s="301"/>
      <c r="K9" s="301"/>
      <c r="L9" s="301"/>
      <c r="M9" s="301"/>
      <c r="N9" s="301"/>
      <c r="O9" s="301"/>
      <c r="P9" s="301"/>
      <c r="Q9" s="301"/>
      <c r="R9" s="300">
        <v>0</v>
      </c>
      <c r="T9">
        <f t="shared" si="0"/>
        <v>0</v>
      </c>
    </row>
    <row r="10" spans="1:20" x14ac:dyDescent="0.25">
      <c r="A10" s="300">
        <v>9</v>
      </c>
      <c r="B10" s="301" t="s">
        <v>5</v>
      </c>
      <c r="C10" s="301"/>
      <c r="D10" s="301"/>
      <c r="E10" s="301"/>
      <c r="F10" s="301"/>
      <c r="G10" s="301"/>
      <c r="H10" s="301"/>
      <c r="I10" s="301"/>
      <c r="J10" s="301"/>
      <c r="K10" s="301"/>
      <c r="L10" s="301"/>
      <c r="M10" s="301"/>
      <c r="N10" s="301"/>
      <c r="O10" s="301"/>
      <c r="P10" s="301"/>
      <c r="Q10" s="301"/>
      <c r="R10" s="300">
        <v>0</v>
      </c>
      <c r="T10">
        <f t="shared" si="0"/>
        <v>0</v>
      </c>
    </row>
    <row r="11" spans="1:20" x14ac:dyDescent="0.25">
      <c r="A11" s="300">
        <v>10</v>
      </c>
      <c r="B11" s="301" t="s">
        <v>38</v>
      </c>
      <c r="C11" s="301"/>
      <c r="D11" s="301"/>
      <c r="E11" s="301"/>
      <c r="F11" s="301"/>
      <c r="G11" s="301"/>
      <c r="H11" s="301"/>
      <c r="I11" s="301"/>
      <c r="J11" s="301"/>
      <c r="K11" s="301"/>
      <c r="L11" s="301"/>
      <c r="M11" s="301"/>
      <c r="N11" s="301"/>
      <c r="O11" s="301"/>
      <c r="P11" s="301"/>
      <c r="Q11" s="301"/>
      <c r="R11" s="300">
        <v>0</v>
      </c>
      <c r="T11">
        <f t="shared" si="0"/>
        <v>0</v>
      </c>
    </row>
    <row r="12" spans="1:20" x14ac:dyDescent="0.25">
      <c r="A12" s="300">
        <v>11</v>
      </c>
      <c r="B12" s="301" t="s">
        <v>43</v>
      </c>
      <c r="C12" s="301"/>
      <c r="D12" s="301"/>
      <c r="E12" s="301"/>
      <c r="F12" s="301"/>
      <c r="G12" s="301"/>
      <c r="H12" s="301"/>
      <c r="I12" s="301"/>
      <c r="J12" s="301"/>
      <c r="K12" s="301"/>
      <c r="L12" s="301"/>
      <c r="M12" s="301"/>
      <c r="N12" s="301"/>
      <c r="O12" s="301"/>
      <c r="P12" s="301"/>
      <c r="Q12" s="301"/>
      <c r="R12" s="300">
        <v>0</v>
      </c>
      <c r="T12">
        <f t="shared" si="0"/>
        <v>0</v>
      </c>
    </row>
    <row r="13" spans="1:20" x14ac:dyDescent="0.25">
      <c r="A13" s="300">
        <v>12</v>
      </c>
      <c r="B13" s="301" t="s">
        <v>639</v>
      </c>
      <c r="C13" s="301"/>
      <c r="D13" s="301"/>
      <c r="E13" s="301"/>
      <c r="F13" s="301"/>
      <c r="G13" s="301"/>
      <c r="H13" s="301"/>
      <c r="I13" s="301"/>
      <c r="J13" s="301"/>
      <c r="K13" s="301"/>
      <c r="L13" s="301"/>
      <c r="M13" s="301"/>
      <c r="N13" s="301"/>
      <c r="O13" s="301"/>
      <c r="P13" s="301"/>
      <c r="Q13" s="301"/>
      <c r="R13" s="300">
        <v>0</v>
      </c>
      <c r="T13">
        <f t="shared" si="0"/>
        <v>0</v>
      </c>
    </row>
    <row r="14" spans="1:20" x14ac:dyDescent="0.25">
      <c r="A14" s="300">
        <v>13</v>
      </c>
      <c r="B14" s="301" t="s">
        <v>87</v>
      </c>
      <c r="C14" s="301"/>
      <c r="D14" s="301"/>
      <c r="E14" s="301"/>
      <c r="F14" s="301"/>
      <c r="G14" s="301"/>
      <c r="H14" s="301"/>
      <c r="I14" s="301"/>
      <c r="J14" s="301"/>
      <c r="K14" s="301" t="s">
        <v>26</v>
      </c>
      <c r="L14" s="301" t="s">
        <v>26</v>
      </c>
      <c r="M14" s="301" t="s">
        <v>26</v>
      </c>
      <c r="N14" s="301" t="s">
        <v>84</v>
      </c>
      <c r="O14" s="301"/>
      <c r="P14" s="301" t="s">
        <v>26</v>
      </c>
      <c r="Q14" s="301" t="s">
        <v>26</v>
      </c>
      <c r="R14" s="302">
        <v>61</v>
      </c>
      <c r="T14">
        <f t="shared" si="0"/>
        <v>61</v>
      </c>
    </row>
    <row r="15" spans="1:20" x14ac:dyDescent="0.25">
      <c r="A15" s="300">
        <v>14</v>
      </c>
      <c r="B15" s="301" t="s">
        <v>95</v>
      </c>
      <c r="C15" s="301"/>
      <c r="D15" s="301"/>
      <c r="E15" s="301"/>
      <c r="F15" s="301"/>
      <c r="G15" s="301"/>
      <c r="H15" s="301"/>
      <c r="I15" s="301"/>
      <c r="J15" s="301"/>
      <c r="K15" s="301" t="s">
        <v>26</v>
      </c>
      <c r="L15" s="301"/>
      <c r="M15" s="301"/>
      <c r="N15" s="301"/>
      <c r="O15" s="301"/>
      <c r="P15" s="301" t="s">
        <v>26</v>
      </c>
      <c r="Q15" s="301"/>
      <c r="R15" s="302">
        <v>22</v>
      </c>
      <c r="T15">
        <f t="shared" si="0"/>
        <v>22</v>
      </c>
    </row>
    <row r="16" spans="1:20" x14ac:dyDescent="0.25">
      <c r="A16" s="300">
        <v>15</v>
      </c>
      <c r="B16" s="301" t="s">
        <v>96</v>
      </c>
      <c r="C16" s="301"/>
      <c r="D16" s="301"/>
      <c r="E16" s="301"/>
      <c r="F16" s="301"/>
      <c r="G16" s="301"/>
      <c r="H16" s="301"/>
      <c r="I16" s="301"/>
      <c r="J16" s="301"/>
      <c r="K16" s="301"/>
      <c r="L16" s="301"/>
      <c r="M16" s="301"/>
      <c r="N16" s="301"/>
      <c r="O16" s="301"/>
      <c r="P16" s="301"/>
      <c r="Q16" s="301"/>
      <c r="R16" s="300">
        <v>0</v>
      </c>
      <c r="T16">
        <f t="shared" si="0"/>
        <v>0</v>
      </c>
    </row>
    <row r="17" spans="1:20" x14ac:dyDescent="0.25">
      <c r="A17" s="300">
        <v>16</v>
      </c>
      <c r="B17" s="301" t="s">
        <v>97</v>
      </c>
      <c r="C17" s="301"/>
      <c r="D17" s="301"/>
      <c r="E17" s="301"/>
      <c r="F17" s="301"/>
      <c r="G17" s="301"/>
      <c r="H17" s="301"/>
      <c r="I17" s="301"/>
      <c r="J17" s="301"/>
      <c r="K17" s="301"/>
      <c r="L17" s="301"/>
      <c r="M17" s="301"/>
      <c r="N17" s="301"/>
      <c r="O17" s="301"/>
      <c r="P17" s="301"/>
      <c r="Q17" s="301"/>
      <c r="R17" s="300">
        <v>0</v>
      </c>
      <c r="T17">
        <f t="shared" si="0"/>
        <v>0</v>
      </c>
    </row>
    <row r="18" spans="1:20" x14ac:dyDescent="0.25">
      <c r="A18" s="300">
        <v>17</v>
      </c>
      <c r="B18" s="301" t="s">
        <v>98</v>
      </c>
      <c r="C18" s="301"/>
      <c r="D18" s="301"/>
      <c r="E18" s="301"/>
      <c r="F18" s="301"/>
      <c r="G18" s="301"/>
      <c r="H18" s="301"/>
      <c r="I18" s="301"/>
      <c r="J18" s="301"/>
      <c r="K18" s="301"/>
      <c r="L18" s="301"/>
      <c r="M18" s="301"/>
      <c r="N18" s="301"/>
      <c r="O18" s="301"/>
      <c r="P18" s="301"/>
      <c r="Q18" s="301"/>
      <c r="R18" s="300">
        <v>0</v>
      </c>
      <c r="T18">
        <f t="shared" si="0"/>
        <v>0</v>
      </c>
    </row>
    <row r="19" spans="1:20" x14ac:dyDescent="0.25">
      <c r="A19" s="300">
        <v>18</v>
      </c>
      <c r="B19" s="301" t="s">
        <v>616</v>
      </c>
      <c r="C19" s="301"/>
      <c r="D19" s="301"/>
      <c r="E19" s="301"/>
      <c r="F19" s="301"/>
      <c r="G19" s="301"/>
      <c r="H19" s="301"/>
      <c r="I19" s="301"/>
      <c r="J19" s="301"/>
      <c r="K19" s="301"/>
      <c r="L19" s="301"/>
      <c r="M19" s="301"/>
      <c r="N19" s="301"/>
      <c r="O19" s="301"/>
      <c r="P19" s="301"/>
      <c r="Q19" s="301"/>
      <c r="R19" s="300">
        <v>0</v>
      </c>
      <c r="T19">
        <f t="shared" si="0"/>
        <v>0</v>
      </c>
    </row>
    <row r="20" spans="1:20" x14ac:dyDescent="0.25">
      <c r="A20" s="300">
        <v>19</v>
      </c>
      <c r="B20" s="301" t="s">
        <v>617</v>
      </c>
      <c r="C20" s="301"/>
      <c r="D20" s="301"/>
      <c r="E20" s="301"/>
      <c r="F20" s="301"/>
      <c r="G20" s="301"/>
      <c r="H20" s="301"/>
      <c r="I20" s="301"/>
      <c r="J20" s="301"/>
      <c r="K20" s="301"/>
      <c r="L20" s="301"/>
      <c r="M20" s="301"/>
      <c r="N20" s="301"/>
      <c r="O20" s="301"/>
      <c r="P20" s="301"/>
      <c r="Q20" s="301"/>
      <c r="R20" s="300">
        <v>0</v>
      </c>
      <c r="T20">
        <f t="shared" si="0"/>
        <v>0</v>
      </c>
    </row>
    <row r="21" spans="1:20" x14ac:dyDescent="0.25">
      <c r="A21" s="300">
        <v>20</v>
      </c>
      <c r="B21" s="301" t="s">
        <v>626</v>
      </c>
      <c r="C21" s="301"/>
      <c r="D21" s="301"/>
      <c r="E21" s="301"/>
      <c r="F21" s="301"/>
      <c r="G21" s="301"/>
      <c r="H21" s="301"/>
      <c r="I21" s="301"/>
      <c r="J21" s="301"/>
      <c r="K21" s="301"/>
      <c r="L21" s="301"/>
      <c r="M21" s="301"/>
      <c r="N21" s="301"/>
      <c r="O21" s="301"/>
      <c r="P21" s="301"/>
      <c r="Q21" s="301"/>
      <c r="R21" s="300">
        <v>0</v>
      </c>
      <c r="T21">
        <f t="shared" si="0"/>
        <v>0</v>
      </c>
    </row>
    <row r="22" spans="1:20" x14ac:dyDescent="0.25">
      <c r="A22" s="300">
        <v>21</v>
      </c>
      <c r="B22" s="301" t="s">
        <v>618</v>
      </c>
      <c r="C22" s="301"/>
      <c r="D22" s="301"/>
      <c r="E22" s="301"/>
      <c r="F22" s="301"/>
      <c r="G22" s="301"/>
      <c r="H22" s="301"/>
      <c r="I22" s="301"/>
      <c r="J22" s="301"/>
      <c r="K22" s="301"/>
      <c r="L22" s="301"/>
      <c r="M22" s="301"/>
      <c r="N22" s="301"/>
      <c r="O22" s="301"/>
      <c r="P22" s="301"/>
      <c r="Q22" s="301"/>
      <c r="R22" s="300">
        <v>0</v>
      </c>
      <c r="T22">
        <f t="shared" si="0"/>
        <v>0</v>
      </c>
    </row>
    <row r="23" spans="1:20" x14ac:dyDescent="0.25">
      <c r="A23" s="300">
        <v>22</v>
      </c>
      <c r="B23" s="301" t="s">
        <v>619</v>
      </c>
      <c r="C23" s="301"/>
      <c r="D23" s="301"/>
      <c r="E23" s="301"/>
      <c r="F23" s="301"/>
      <c r="G23" s="301"/>
      <c r="H23" s="301"/>
      <c r="I23" s="301"/>
      <c r="J23" s="301"/>
      <c r="K23" s="301"/>
      <c r="L23" s="301"/>
      <c r="M23" s="301"/>
      <c r="N23" s="301"/>
      <c r="O23" s="301"/>
      <c r="P23" s="301"/>
      <c r="Q23" s="301"/>
      <c r="R23" s="300">
        <v>0</v>
      </c>
      <c r="T23">
        <f t="shared" si="0"/>
        <v>0</v>
      </c>
    </row>
    <row r="24" spans="1:20" x14ac:dyDescent="0.25">
      <c r="A24" s="300">
        <v>23</v>
      </c>
      <c r="B24" s="301" t="s">
        <v>620</v>
      </c>
      <c r="C24" s="301"/>
      <c r="D24" s="301"/>
      <c r="E24" s="301"/>
      <c r="F24" s="301"/>
      <c r="G24" s="301"/>
      <c r="H24" s="301"/>
      <c r="I24" s="301"/>
      <c r="J24" s="301"/>
      <c r="K24" s="301"/>
      <c r="L24" s="301"/>
      <c r="M24" s="301"/>
      <c r="N24" s="301"/>
      <c r="O24" s="301"/>
      <c r="P24" s="301"/>
      <c r="Q24" s="301"/>
      <c r="R24" s="300">
        <v>0</v>
      </c>
      <c r="T24">
        <f t="shared" si="0"/>
        <v>0</v>
      </c>
    </row>
    <row r="25" spans="1:20" x14ac:dyDescent="0.25">
      <c r="A25" s="300">
        <v>24</v>
      </c>
      <c r="B25" s="301" t="s">
        <v>650</v>
      </c>
      <c r="C25" s="301"/>
      <c r="D25" s="301"/>
      <c r="E25" s="301"/>
      <c r="F25" s="301"/>
      <c r="G25" s="301"/>
      <c r="H25" s="301"/>
      <c r="I25" s="301"/>
      <c r="J25" s="301" t="s">
        <v>26</v>
      </c>
      <c r="K25" s="301" t="s">
        <v>26</v>
      </c>
      <c r="L25" s="301" t="s">
        <v>26</v>
      </c>
      <c r="M25" s="301"/>
      <c r="N25" s="301"/>
      <c r="O25" s="301"/>
      <c r="P25" s="301"/>
      <c r="Q25" s="301" t="s">
        <v>26</v>
      </c>
      <c r="R25" s="302">
        <v>44</v>
      </c>
      <c r="T25">
        <f t="shared" si="0"/>
        <v>44</v>
      </c>
    </row>
    <row r="26" spans="1:20" x14ac:dyDescent="0.25">
      <c r="A26" s="300">
        <v>25</v>
      </c>
      <c r="B26" s="301" t="s">
        <v>621</v>
      </c>
      <c r="C26" s="301"/>
      <c r="D26" s="301"/>
      <c r="E26" s="301"/>
      <c r="F26" s="301"/>
      <c r="G26" s="301"/>
      <c r="H26" s="301"/>
      <c r="I26" s="301"/>
      <c r="J26" s="301"/>
      <c r="K26" s="301"/>
      <c r="L26" s="301"/>
      <c r="M26" s="301"/>
      <c r="N26" s="301"/>
      <c r="O26" s="301"/>
      <c r="P26" s="301"/>
      <c r="Q26" s="301"/>
      <c r="R26" s="300">
        <v>0</v>
      </c>
      <c r="T26">
        <f t="shared" si="0"/>
        <v>0</v>
      </c>
    </row>
    <row r="27" spans="1:20" x14ac:dyDescent="0.25">
      <c r="A27" s="300">
        <v>26</v>
      </c>
      <c r="B27" s="301" t="s">
        <v>622</v>
      </c>
      <c r="C27" s="301"/>
      <c r="D27" s="301"/>
      <c r="E27" s="301"/>
      <c r="F27" s="301"/>
      <c r="G27" s="301"/>
      <c r="H27" s="301"/>
      <c r="I27" s="301"/>
      <c r="J27" s="301"/>
      <c r="K27" s="301"/>
      <c r="L27" s="301"/>
      <c r="M27" s="301"/>
      <c r="N27" s="301"/>
      <c r="O27" s="301"/>
      <c r="P27" s="301"/>
      <c r="Q27" s="301"/>
      <c r="R27" s="300">
        <v>0</v>
      </c>
      <c r="T27">
        <f t="shared" si="0"/>
        <v>0</v>
      </c>
    </row>
    <row r="28" spans="1:20" x14ac:dyDescent="0.25">
      <c r="A28" s="300">
        <v>27</v>
      </c>
      <c r="B28" s="301" t="s">
        <v>623</v>
      </c>
      <c r="C28" s="301"/>
      <c r="D28" s="301"/>
      <c r="E28" s="301"/>
      <c r="F28" s="301"/>
      <c r="G28" s="301"/>
      <c r="H28" s="301"/>
      <c r="I28" s="301"/>
      <c r="J28" s="301"/>
      <c r="K28" s="301" t="s">
        <v>26</v>
      </c>
      <c r="L28" s="301" t="s">
        <v>26</v>
      </c>
      <c r="M28" s="301" t="s">
        <v>26</v>
      </c>
      <c r="N28" s="301"/>
      <c r="O28" s="301"/>
      <c r="P28" s="301" t="s">
        <v>26</v>
      </c>
      <c r="Q28" s="301" t="s">
        <v>24</v>
      </c>
      <c r="R28" s="302">
        <v>52</v>
      </c>
      <c r="T28">
        <f t="shared" si="0"/>
        <v>52</v>
      </c>
    </row>
    <row r="29" spans="1:20" x14ac:dyDescent="0.25">
      <c r="A29" s="300">
        <v>28</v>
      </c>
      <c r="B29" s="301" t="s">
        <v>624</v>
      </c>
      <c r="C29" s="301"/>
      <c r="D29" s="301"/>
      <c r="E29" s="301"/>
      <c r="F29" s="301"/>
      <c r="G29" s="301"/>
      <c r="H29" s="301"/>
      <c r="I29" s="301"/>
      <c r="J29" s="301"/>
      <c r="K29" s="301" t="s">
        <v>26</v>
      </c>
      <c r="L29" s="301"/>
      <c r="M29" s="301"/>
      <c r="N29" s="301"/>
      <c r="O29" s="301"/>
      <c r="P29" s="301"/>
      <c r="Q29" s="301"/>
      <c r="R29" s="302">
        <v>11</v>
      </c>
      <c r="T29">
        <f t="shared" si="0"/>
        <v>11</v>
      </c>
    </row>
    <row r="30" spans="1:20" x14ac:dyDescent="0.25">
      <c r="A30" s="300">
        <v>29</v>
      </c>
      <c r="B30" s="301" t="s">
        <v>627</v>
      </c>
      <c r="C30" s="301"/>
      <c r="D30" s="301"/>
      <c r="E30" s="301"/>
      <c r="F30" s="301"/>
      <c r="G30" s="301"/>
      <c r="H30" s="301"/>
      <c r="I30" s="301"/>
      <c r="J30" s="301"/>
      <c r="K30" s="301"/>
      <c r="L30" s="301"/>
      <c r="M30" s="301"/>
      <c r="N30" s="301"/>
      <c r="O30" s="301"/>
      <c r="P30" s="301"/>
      <c r="Q30" s="301"/>
      <c r="R30" s="300">
        <v>0</v>
      </c>
      <c r="T30">
        <f t="shared" si="0"/>
        <v>0</v>
      </c>
    </row>
    <row r="31" spans="1:20" x14ac:dyDescent="0.25">
      <c r="A31" s="300">
        <v>30</v>
      </c>
      <c r="B31" s="301" t="s">
        <v>625</v>
      </c>
      <c r="C31" s="301"/>
      <c r="D31" s="301"/>
      <c r="E31" s="301"/>
      <c r="F31" s="301"/>
      <c r="G31" s="301"/>
      <c r="H31" s="301"/>
      <c r="I31" s="301"/>
      <c r="J31" s="301"/>
      <c r="K31" s="301"/>
      <c r="L31" s="301"/>
      <c r="M31" s="301"/>
      <c r="N31" s="301"/>
      <c r="O31" s="301"/>
      <c r="P31" s="301"/>
      <c r="Q31" s="301"/>
      <c r="R31" s="300">
        <v>0</v>
      </c>
      <c r="T31">
        <f t="shared" si="0"/>
        <v>0</v>
      </c>
    </row>
    <row r="32" spans="1:20" x14ac:dyDescent="0.25">
      <c r="A32" s="300">
        <v>31</v>
      </c>
      <c r="B32" s="301" t="s">
        <v>34</v>
      </c>
      <c r="C32" s="301"/>
      <c r="D32" s="301"/>
      <c r="E32" s="301"/>
      <c r="F32" s="301"/>
      <c r="G32" s="301"/>
      <c r="H32" s="301"/>
      <c r="I32" s="301"/>
      <c r="J32" s="301"/>
      <c r="K32" s="301"/>
      <c r="L32" s="301"/>
      <c r="M32" s="301"/>
      <c r="N32" s="301"/>
      <c r="O32" s="301"/>
      <c r="P32" s="301"/>
      <c r="Q32" s="301"/>
      <c r="R32" s="300">
        <v>0</v>
      </c>
      <c r="T32">
        <f t="shared" si="0"/>
        <v>0</v>
      </c>
    </row>
    <row r="33" spans="1:20" x14ac:dyDescent="0.25">
      <c r="A33" s="300">
        <v>32</v>
      </c>
      <c r="B33" s="301" t="s">
        <v>45</v>
      </c>
      <c r="C33" s="301"/>
      <c r="D33" s="301"/>
      <c r="E33" s="301"/>
      <c r="F33" s="301"/>
      <c r="G33" s="301"/>
      <c r="H33" s="301"/>
      <c r="I33" s="301"/>
      <c r="J33" s="301"/>
      <c r="K33" s="301" t="s">
        <v>26</v>
      </c>
      <c r="L33" s="301" t="s">
        <v>26</v>
      </c>
      <c r="M33" s="301" t="s">
        <v>26</v>
      </c>
      <c r="N33" s="301"/>
      <c r="O33" s="301"/>
      <c r="P33" s="301"/>
      <c r="Q33" s="301"/>
      <c r="R33" s="302">
        <v>33</v>
      </c>
      <c r="T33">
        <f t="shared" si="0"/>
        <v>33</v>
      </c>
    </row>
    <row r="34" spans="1:20" x14ac:dyDescent="0.25">
      <c r="A34" s="300">
        <v>33</v>
      </c>
      <c r="B34" s="301" t="s">
        <v>630</v>
      </c>
      <c r="C34" s="301"/>
      <c r="D34" s="301"/>
      <c r="E34" s="301"/>
      <c r="F34" s="301"/>
      <c r="G34" s="301"/>
      <c r="H34" s="301"/>
      <c r="I34" s="301"/>
      <c r="J34" s="301"/>
      <c r="K34" s="301" t="s">
        <v>26</v>
      </c>
      <c r="L34" s="301"/>
      <c r="M34" s="301" t="s">
        <v>26</v>
      </c>
      <c r="N34" s="301" t="s">
        <v>84</v>
      </c>
      <c r="O34" s="301"/>
      <c r="P34" s="301" t="s">
        <v>26</v>
      </c>
      <c r="Q34" s="301" t="s">
        <v>26</v>
      </c>
      <c r="R34" s="302">
        <v>50</v>
      </c>
      <c r="T34">
        <f t="shared" si="0"/>
        <v>50</v>
      </c>
    </row>
    <row r="35" spans="1:20" x14ac:dyDescent="0.25">
      <c r="A35" s="300">
        <v>34</v>
      </c>
      <c r="B35" s="301" t="s">
        <v>628</v>
      </c>
      <c r="C35" s="301"/>
      <c r="D35" s="301"/>
      <c r="E35" s="301"/>
      <c r="F35" s="301"/>
      <c r="G35" s="301"/>
      <c r="H35" s="301"/>
      <c r="I35" s="301"/>
      <c r="J35" s="301"/>
      <c r="K35" s="301"/>
      <c r="L35" s="301"/>
      <c r="M35" s="301"/>
      <c r="N35" s="301"/>
      <c r="O35" s="301"/>
      <c r="P35" s="301"/>
      <c r="Q35" s="301"/>
      <c r="R35" s="300">
        <v>0</v>
      </c>
      <c r="T35">
        <f t="shared" si="0"/>
        <v>0</v>
      </c>
    </row>
    <row r="36" spans="1:20" x14ac:dyDescent="0.25">
      <c r="A36" s="300">
        <v>35</v>
      </c>
      <c r="B36" s="301" t="s">
        <v>629</v>
      </c>
      <c r="C36" s="301"/>
      <c r="D36" s="301"/>
      <c r="E36" s="301"/>
      <c r="F36" s="301"/>
      <c r="G36" s="301"/>
      <c r="H36" s="301"/>
      <c r="I36" s="301"/>
      <c r="J36" s="301"/>
      <c r="K36" s="301"/>
      <c r="L36" s="301"/>
      <c r="M36" s="301"/>
      <c r="N36" s="301"/>
      <c r="O36" s="301"/>
      <c r="P36" s="301"/>
      <c r="Q36" s="301"/>
      <c r="R36" s="300">
        <v>0</v>
      </c>
      <c r="T36">
        <f t="shared" si="0"/>
        <v>0</v>
      </c>
    </row>
    <row r="37" spans="1:20" x14ac:dyDescent="0.25">
      <c r="A37" s="300">
        <v>36</v>
      </c>
      <c r="B37" s="301" t="s">
        <v>631</v>
      </c>
      <c r="C37" s="301"/>
      <c r="D37" s="301"/>
      <c r="E37" s="301"/>
      <c r="F37" s="301"/>
      <c r="G37" s="301"/>
      <c r="H37" s="301"/>
      <c r="I37" s="301"/>
      <c r="J37" s="301"/>
      <c r="K37" s="301" t="s">
        <v>26</v>
      </c>
      <c r="L37" s="301" t="s">
        <v>26</v>
      </c>
      <c r="M37" s="301" t="s">
        <v>26</v>
      </c>
      <c r="N37" s="301" t="s">
        <v>84</v>
      </c>
      <c r="O37" s="301"/>
      <c r="P37" s="301" t="s">
        <v>64</v>
      </c>
      <c r="Q37" s="301"/>
      <c r="R37" s="302">
        <v>49</v>
      </c>
      <c r="T37">
        <f t="shared" si="0"/>
        <v>49</v>
      </c>
    </row>
    <row r="38" spans="1:20" x14ac:dyDescent="0.25">
      <c r="A38" s="300">
        <v>37</v>
      </c>
      <c r="B38" s="301" t="s">
        <v>632</v>
      </c>
      <c r="C38" s="301"/>
      <c r="D38" s="301"/>
      <c r="E38" s="301"/>
      <c r="F38" s="301"/>
      <c r="G38" s="301"/>
      <c r="H38" s="301"/>
      <c r="I38" s="301"/>
      <c r="J38" s="301"/>
      <c r="K38" s="301"/>
      <c r="L38" s="301"/>
      <c r="M38" s="301"/>
      <c r="N38" s="301"/>
      <c r="O38" s="301"/>
      <c r="P38" s="301"/>
      <c r="Q38" s="301"/>
      <c r="R38" s="300">
        <v>0</v>
      </c>
      <c r="T38">
        <f t="shared" si="0"/>
        <v>0</v>
      </c>
    </row>
    <row r="39" spans="1:20" x14ac:dyDescent="0.25">
      <c r="A39" s="300">
        <v>38</v>
      </c>
      <c r="B39" s="301" t="s">
        <v>633</v>
      </c>
      <c r="C39" s="301"/>
      <c r="D39" s="301"/>
      <c r="E39" s="301"/>
      <c r="F39" s="301"/>
      <c r="G39" s="301"/>
      <c r="H39" s="301"/>
      <c r="I39" s="301"/>
      <c r="J39" s="301" t="s">
        <v>26</v>
      </c>
      <c r="K39" s="301" t="s">
        <v>26</v>
      </c>
      <c r="L39" s="301"/>
      <c r="M39" s="301"/>
      <c r="N39" s="301"/>
      <c r="O39" s="301"/>
      <c r="P39" s="301"/>
      <c r="Q39" s="301"/>
      <c r="R39" s="302">
        <v>22</v>
      </c>
      <c r="T39">
        <f t="shared" si="0"/>
        <v>22</v>
      </c>
    </row>
    <row r="40" spans="1:20" x14ac:dyDescent="0.25">
      <c r="A40" s="300">
        <v>39</v>
      </c>
      <c r="B40" s="301" t="s">
        <v>634</v>
      </c>
      <c r="C40" s="301"/>
      <c r="D40" s="301"/>
      <c r="E40" s="301"/>
      <c r="F40" s="301"/>
      <c r="G40" s="301"/>
      <c r="H40" s="301"/>
      <c r="I40" s="301"/>
      <c r="J40" s="301"/>
      <c r="K40" s="301"/>
      <c r="L40" s="301"/>
      <c r="M40" s="301"/>
      <c r="N40" s="301"/>
      <c r="O40" s="301"/>
      <c r="P40" s="301" t="s">
        <v>26</v>
      </c>
      <c r="Q40" s="301"/>
      <c r="R40" s="302">
        <v>11</v>
      </c>
      <c r="T40">
        <f t="shared" si="0"/>
        <v>11</v>
      </c>
    </row>
    <row r="41" spans="1:20" x14ac:dyDescent="0.25">
      <c r="A41" s="300">
        <v>40</v>
      </c>
      <c r="B41" s="301" t="s">
        <v>636</v>
      </c>
      <c r="C41" s="301"/>
      <c r="D41" s="301"/>
      <c r="E41" s="301"/>
      <c r="F41" s="301"/>
      <c r="G41" s="301"/>
      <c r="H41" s="301"/>
      <c r="I41" s="301"/>
      <c r="J41" s="301"/>
      <c r="K41" s="301"/>
      <c r="L41" s="301"/>
      <c r="M41" s="301"/>
      <c r="N41" s="301"/>
      <c r="O41" s="301"/>
      <c r="P41" s="301"/>
      <c r="Q41" s="301"/>
      <c r="R41" s="300">
        <v>0</v>
      </c>
      <c r="T41">
        <f t="shared" si="0"/>
        <v>0</v>
      </c>
    </row>
    <row r="42" spans="1:20" x14ac:dyDescent="0.25">
      <c r="A42" s="300">
        <v>41</v>
      </c>
      <c r="B42" s="301" t="s">
        <v>637</v>
      </c>
      <c r="C42" s="301"/>
      <c r="D42" s="301"/>
      <c r="E42" s="301"/>
      <c r="F42" s="301"/>
      <c r="G42" s="301"/>
      <c r="H42" s="301"/>
      <c r="I42" s="301"/>
      <c r="J42" s="301"/>
      <c r="K42" s="301"/>
      <c r="L42" s="301"/>
      <c r="M42" s="301"/>
      <c r="N42" s="301"/>
      <c r="O42" s="301"/>
      <c r="P42" s="301"/>
      <c r="Q42" s="301"/>
      <c r="R42" s="300">
        <v>0</v>
      </c>
      <c r="T42">
        <f t="shared" si="0"/>
        <v>0</v>
      </c>
    </row>
    <row r="43" spans="1:20" x14ac:dyDescent="0.25">
      <c r="A43" s="300">
        <v>42</v>
      </c>
      <c r="B43" s="301" t="s">
        <v>640</v>
      </c>
      <c r="C43" s="301"/>
      <c r="D43" s="301"/>
      <c r="E43" s="301"/>
      <c r="F43" s="301"/>
      <c r="G43" s="301"/>
      <c r="H43" s="301"/>
      <c r="I43" s="301"/>
      <c r="J43" s="301"/>
      <c r="K43" s="301"/>
      <c r="L43" s="301"/>
      <c r="M43" s="301"/>
      <c r="N43" s="301"/>
      <c r="O43" s="301"/>
      <c r="P43" s="301"/>
      <c r="Q43" s="301"/>
      <c r="R43" s="300">
        <v>0</v>
      </c>
      <c r="T43">
        <f t="shared" si="0"/>
        <v>0</v>
      </c>
    </row>
    <row r="44" spans="1:20" x14ac:dyDescent="0.25">
      <c r="A44" s="300">
        <v>43</v>
      </c>
      <c r="B44" s="301" t="s">
        <v>638</v>
      </c>
      <c r="C44" s="301"/>
      <c r="D44" s="301"/>
      <c r="E44" s="301"/>
      <c r="F44" s="301"/>
      <c r="G44" s="301" t="s">
        <v>84</v>
      </c>
      <c r="H44" s="301"/>
      <c r="I44" s="301" t="s">
        <v>26</v>
      </c>
      <c r="J44" s="301" t="s">
        <v>26</v>
      </c>
      <c r="K44" s="301"/>
      <c r="L44" s="301"/>
      <c r="M44" s="301" t="s">
        <v>26</v>
      </c>
      <c r="N44" s="301" t="s">
        <v>84</v>
      </c>
      <c r="O44" s="301"/>
      <c r="P44" s="301" t="s">
        <v>26</v>
      </c>
      <c r="Q44" s="301" t="s">
        <v>26</v>
      </c>
      <c r="R44" s="302">
        <v>67</v>
      </c>
      <c r="T44">
        <f t="shared" si="0"/>
        <v>67</v>
      </c>
    </row>
    <row r="45" spans="1:20" x14ac:dyDescent="0.25">
      <c r="A45" s="300">
        <v>44</v>
      </c>
      <c r="B45" s="301" t="s">
        <v>635</v>
      </c>
      <c r="C45" s="301"/>
      <c r="D45" s="301"/>
      <c r="E45" s="301"/>
      <c r="F45" s="301"/>
      <c r="G45" s="301"/>
      <c r="H45" s="301"/>
      <c r="I45" s="301"/>
      <c r="J45" s="301"/>
      <c r="K45" s="301"/>
      <c r="L45" s="301"/>
      <c r="M45" s="301"/>
      <c r="N45" s="301"/>
      <c r="O45" s="301"/>
      <c r="P45" s="301"/>
      <c r="Q45" s="301"/>
      <c r="R45" s="300">
        <v>0</v>
      </c>
      <c r="T45">
        <f t="shared" si="0"/>
        <v>0</v>
      </c>
    </row>
    <row r="46" spans="1:20" x14ac:dyDescent="0.25">
      <c r="A46" s="300">
        <v>45</v>
      </c>
      <c r="B46" s="301" t="s">
        <v>641</v>
      </c>
      <c r="C46" s="301"/>
      <c r="D46" s="301"/>
      <c r="E46" s="301"/>
      <c r="F46" s="301"/>
      <c r="G46" s="301"/>
      <c r="H46" s="301"/>
      <c r="I46" s="301"/>
      <c r="J46" s="301"/>
      <c r="K46" s="301"/>
      <c r="L46" s="301"/>
      <c r="M46" s="301"/>
      <c r="N46" s="301"/>
      <c r="O46" s="301"/>
      <c r="P46" s="301"/>
      <c r="Q46" s="301"/>
      <c r="R46" s="300">
        <v>0</v>
      </c>
      <c r="T46">
        <f t="shared" si="0"/>
        <v>0</v>
      </c>
    </row>
    <row r="47" spans="1:20" x14ac:dyDescent="0.25">
      <c r="A47" s="300">
        <v>46</v>
      </c>
      <c r="B47" s="301" t="s">
        <v>649</v>
      </c>
      <c r="C47" s="301"/>
      <c r="D47" s="301"/>
      <c r="E47" s="301"/>
      <c r="F47" s="301"/>
      <c r="G47" s="301"/>
      <c r="H47" s="301"/>
      <c r="I47" s="301"/>
      <c r="J47" s="301"/>
      <c r="K47" s="301"/>
      <c r="L47" s="301"/>
      <c r="M47" s="301"/>
      <c r="N47" s="301"/>
      <c r="O47" s="301"/>
      <c r="P47" s="301"/>
      <c r="Q47" s="301"/>
      <c r="R47" s="300">
        <v>0</v>
      </c>
      <c r="T47">
        <f t="shared" si="0"/>
        <v>0</v>
      </c>
    </row>
    <row r="48" spans="1:20" x14ac:dyDescent="0.25">
      <c r="A48" s="300">
        <v>47</v>
      </c>
      <c r="B48" s="301" t="s">
        <v>642</v>
      </c>
      <c r="C48" s="301"/>
      <c r="D48" s="301"/>
      <c r="E48" s="301"/>
      <c r="F48" s="301"/>
      <c r="G48" s="301"/>
      <c r="H48" s="301"/>
      <c r="I48" s="301"/>
      <c r="J48" s="301"/>
      <c r="K48" s="301"/>
      <c r="L48" s="301"/>
      <c r="M48" s="301"/>
      <c r="N48" s="301"/>
      <c r="O48" s="301"/>
      <c r="P48" s="301"/>
      <c r="Q48" s="301"/>
      <c r="R48" s="300">
        <v>0</v>
      </c>
      <c r="T48">
        <f t="shared" si="0"/>
        <v>0</v>
      </c>
    </row>
    <row r="49" spans="1:20" x14ac:dyDescent="0.25">
      <c r="A49" s="300">
        <v>48</v>
      </c>
      <c r="B49" s="301" t="s">
        <v>643</v>
      </c>
      <c r="C49" s="301"/>
      <c r="D49" s="301"/>
      <c r="E49" s="301"/>
      <c r="F49" s="301"/>
      <c r="G49" s="301"/>
      <c r="H49" s="301"/>
      <c r="I49" s="301"/>
      <c r="J49" s="301"/>
      <c r="K49" s="301"/>
      <c r="L49" s="301"/>
      <c r="M49" s="301"/>
      <c r="N49" s="301"/>
      <c r="O49" s="301"/>
      <c r="P49" s="301"/>
      <c r="Q49" s="301"/>
      <c r="R49" s="300">
        <v>0</v>
      </c>
      <c r="T49">
        <f t="shared" si="0"/>
        <v>0</v>
      </c>
    </row>
    <row r="50" spans="1:20" x14ac:dyDescent="0.25">
      <c r="A50" s="300">
        <v>49</v>
      </c>
      <c r="B50" s="301" t="s">
        <v>644</v>
      </c>
      <c r="C50" s="301"/>
      <c r="D50" s="301"/>
      <c r="E50" s="301"/>
      <c r="F50" s="301"/>
      <c r="G50" s="301"/>
      <c r="H50" s="301"/>
      <c r="I50" s="301"/>
      <c r="J50" s="301"/>
      <c r="K50" s="301"/>
      <c r="L50" s="301"/>
      <c r="M50" s="301"/>
      <c r="N50" s="301"/>
      <c r="O50" s="301"/>
      <c r="P50" s="301"/>
      <c r="Q50" s="301"/>
      <c r="R50" s="300">
        <v>0</v>
      </c>
      <c r="T50">
        <f t="shared" si="0"/>
        <v>0</v>
      </c>
    </row>
    <row r="51" spans="1:20" x14ac:dyDescent="0.25">
      <c r="A51" s="300">
        <v>50</v>
      </c>
      <c r="B51" s="301" t="s">
        <v>646</v>
      </c>
      <c r="C51" s="301"/>
      <c r="D51" s="301"/>
      <c r="E51" s="301"/>
      <c r="F51" s="301"/>
      <c r="G51" s="301"/>
      <c r="H51" s="301"/>
      <c r="I51" s="301"/>
      <c r="J51" s="301"/>
      <c r="K51" s="301"/>
      <c r="L51" s="301"/>
      <c r="M51" s="301"/>
      <c r="N51" s="301"/>
      <c r="O51" s="301"/>
      <c r="P51" s="301"/>
      <c r="Q51" s="301"/>
      <c r="R51" s="300">
        <v>0</v>
      </c>
      <c r="T51">
        <f t="shared" si="0"/>
        <v>0</v>
      </c>
    </row>
    <row r="52" spans="1:20" x14ac:dyDescent="0.25">
      <c r="A52" s="300">
        <v>51</v>
      </c>
      <c r="B52" s="301" t="s">
        <v>647</v>
      </c>
      <c r="C52" s="301"/>
      <c r="D52" s="301"/>
      <c r="E52" s="301"/>
      <c r="F52" s="301"/>
      <c r="G52" s="301"/>
      <c r="H52" s="301"/>
      <c r="I52" s="301"/>
      <c r="J52" s="301"/>
      <c r="K52" s="301" t="s">
        <v>26</v>
      </c>
      <c r="L52" s="301" t="s">
        <v>26</v>
      </c>
      <c r="M52" s="301" t="s">
        <v>63</v>
      </c>
      <c r="N52" s="301"/>
      <c r="O52" s="301"/>
      <c r="P52" s="301" t="s">
        <v>26</v>
      </c>
      <c r="Q52" s="301" t="s">
        <v>26</v>
      </c>
      <c r="R52" s="302">
        <v>48</v>
      </c>
      <c r="T52">
        <f t="shared" si="0"/>
        <v>48</v>
      </c>
    </row>
    <row r="53" spans="1:20" x14ac:dyDescent="0.25">
      <c r="A53" s="300">
        <v>52</v>
      </c>
      <c r="B53" s="301" t="s">
        <v>652</v>
      </c>
      <c r="C53" s="301"/>
      <c r="D53" s="301"/>
      <c r="E53" s="301"/>
      <c r="F53" s="301"/>
      <c r="G53" s="301"/>
      <c r="H53" s="301"/>
      <c r="I53" s="301"/>
      <c r="J53" s="301"/>
      <c r="K53" s="301"/>
      <c r="L53" s="301" t="s">
        <v>65</v>
      </c>
      <c r="M53" s="301" t="s">
        <v>65</v>
      </c>
      <c r="N53" s="301" t="s">
        <v>24</v>
      </c>
      <c r="O53" s="301"/>
      <c r="P53" s="301" t="s">
        <v>65</v>
      </c>
      <c r="Q53" s="301" t="s">
        <v>65</v>
      </c>
      <c r="R53" s="302">
        <v>56</v>
      </c>
      <c r="T53">
        <f t="shared" si="0"/>
        <v>56</v>
      </c>
    </row>
    <row r="54" spans="1:20" x14ac:dyDescent="0.25">
      <c r="A54" s="300">
        <v>53</v>
      </c>
      <c r="B54" s="301" t="s">
        <v>653</v>
      </c>
      <c r="C54" s="301"/>
      <c r="D54" s="301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 t="s">
        <v>65</v>
      </c>
      <c r="P54" s="301"/>
      <c r="Q54" s="301"/>
      <c r="R54" s="302">
        <v>12</v>
      </c>
      <c r="T54">
        <f t="shared" si="0"/>
        <v>12</v>
      </c>
    </row>
    <row r="55" spans="1:20" x14ac:dyDescent="0.25">
      <c r="A55" s="300">
        <v>54</v>
      </c>
      <c r="B55" s="301" t="s">
        <v>654</v>
      </c>
      <c r="C55" s="301"/>
      <c r="D55" s="301"/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0">
        <v>0</v>
      </c>
      <c r="T55">
        <f t="shared" si="0"/>
        <v>0</v>
      </c>
    </row>
    <row r="56" spans="1:20" x14ac:dyDescent="0.25">
      <c r="A56" s="300">
        <v>55</v>
      </c>
      <c r="B56" s="301" t="s">
        <v>655</v>
      </c>
      <c r="C56" s="301"/>
      <c r="D56" s="301"/>
      <c r="E56" s="301"/>
      <c r="F56" s="301"/>
      <c r="G56" s="301"/>
      <c r="H56" s="301"/>
      <c r="I56" s="301"/>
      <c r="J56" s="301"/>
      <c r="K56" s="301"/>
      <c r="L56" s="301"/>
      <c r="M56" s="301" t="s">
        <v>85</v>
      </c>
      <c r="N56" s="301"/>
      <c r="O56" s="301"/>
      <c r="P56" s="301" t="s">
        <v>26</v>
      </c>
      <c r="Q56" s="301" t="s">
        <v>26</v>
      </c>
      <c r="R56" s="302">
        <v>29</v>
      </c>
      <c r="T56">
        <f t="shared" si="0"/>
        <v>29</v>
      </c>
    </row>
    <row r="57" spans="1:20" x14ac:dyDescent="0.25">
      <c r="A57" s="300">
        <v>56</v>
      </c>
      <c r="B57" s="301" t="s">
        <v>656</v>
      </c>
      <c r="C57" s="301"/>
      <c r="D57" s="301"/>
      <c r="E57" s="301"/>
      <c r="F57" s="301"/>
      <c r="G57" s="301"/>
      <c r="H57" s="301"/>
      <c r="I57" s="301"/>
      <c r="J57" s="301"/>
      <c r="K57" s="301"/>
      <c r="L57" s="301" t="s">
        <v>26</v>
      </c>
      <c r="M57" s="301" t="s">
        <v>64</v>
      </c>
      <c r="N57" s="301" t="s">
        <v>63</v>
      </c>
      <c r="O57" s="301"/>
      <c r="P57" s="301" t="s">
        <v>26</v>
      </c>
      <c r="Q57" s="301" t="s">
        <v>26</v>
      </c>
      <c r="R57" s="302">
        <v>47</v>
      </c>
      <c r="T57">
        <f t="shared" si="0"/>
        <v>47</v>
      </c>
    </row>
    <row r="58" spans="1:20" x14ac:dyDescent="0.25">
      <c r="A58" s="300">
        <v>57</v>
      </c>
      <c r="B58" s="301" t="s">
        <v>657</v>
      </c>
      <c r="C58" s="301"/>
      <c r="D58" s="301"/>
      <c r="E58" s="301"/>
      <c r="F58" s="301"/>
      <c r="G58" s="301"/>
      <c r="H58" s="301"/>
      <c r="I58" s="301" t="s">
        <v>26</v>
      </c>
      <c r="J58" s="301" t="s">
        <v>26</v>
      </c>
      <c r="K58" s="301" t="s">
        <v>26</v>
      </c>
      <c r="L58" s="301"/>
      <c r="M58" s="301"/>
      <c r="N58" s="301"/>
      <c r="O58" s="301"/>
      <c r="P58" s="301"/>
      <c r="Q58" s="301"/>
      <c r="R58" s="302">
        <v>33</v>
      </c>
      <c r="T58">
        <f t="shared" si="0"/>
        <v>33</v>
      </c>
    </row>
    <row r="59" spans="1:20" x14ac:dyDescent="0.25">
      <c r="A59" s="300">
        <v>58</v>
      </c>
      <c r="B59" s="301" t="s">
        <v>658</v>
      </c>
      <c r="C59" s="301"/>
      <c r="D59" s="301"/>
      <c r="E59" s="301"/>
      <c r="F59" s="301"/>
      <c r="G59" s="301"/>
      <c r="H59" s="301"/>
      <c r="I59" s="301" t="s">
        <v>26</v>
      </c>
      <c r="J59" s="301" t="s">
        <v>26</v>
      </c>
      <c r="K59" s="301" t="s">
        <v>26</v>
      </c>
      <c r="L59" s="301" t="s">
        <v>26</v>
      </c>
      <c r="M59" s="301"/>
      <c r="N59" s="301" t="s">
        <v>84</v>
      </c>
      <c r="O59" s="301"/>
      <c r="P59" s="301"/>
      <c r="Q59" s="301"/>
      <c r="R59" s="302">
        <v>50</v>
      </c>
      <c r="T59">
        <f t="shared" si="0"/>
        <v>50</v>
      </c>
    </row>
    <row r="60" spans="1:20" x14ac:dyDescent="0.25">
      <c r="A60" s="300">
        <v>59</v>
      </c>
      <c r="B60" s="301" t="s">
        <v>659</v>
      </c>
      <c r="C60" s="301"/>
      <c r="D60" s="301"/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0">
        <v>0</v>
      </c>
      <c r="T60">
        <f t="shared" si="0"/>
        <v>0</v>
      </c>
    </row>
    <row r="61" spans="1:20" x14ac:dyDescent="0.25">
      <c r="A61" s="300">
        <v>60</v>
      </c>
      <c r="B61" s="301" t="s">
        <v>660</v>
      </c>
      <c r="C61" s="301"/>
      <c r="D61" s="301"/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0">
        <v>0</v>
      </c>
      <c r="T61">
        <f t="shared" si="0"/>
        <v>0</v>
      </c>
    </row>
    <row r="62" spans="1:20" x14ac:dyDescent="0.25">
      <c r="A62" s="300">
        <v>61</v>
      </c>
      <c r="B62" s="301" t="s">
        <v>661</v>
      </c>
      <c r="C62" s="301"/>
      <c r="D62" s="301"/>
      <c r="E62" s="301"/>
      <c r="F62" s="301"/>
      <c r="G62" s="301"/>
      <c r="H62" s="301"/>
      <c r="I62" s="301"/>
      <c r="J62" s="301"/>
      <c r="K62" s="301" t="s">
        <v>26</v>
      </c>
      <c r="L62" s="301" t="s">
        <v>26</v>
      </c>
      <c r="M62" s="301" t="s">
        <v>26</v>
      </c>
      <c r="N62" s="301" t="s">
        <v>84</v>
      </c>
      <c r="O62" s="301"/>
      <c r="P62" s="301" t="s">
        <v>26</v>
      </c>
      <c r="Q62" s="301" t="s">
        <v>26</v>
      </c>
      <c r="R62" s="302">
        <v>61</v>
      </c>
      <c r="T62">
        <f t="shared" si="0"/>
        <v>61</v>
      </c>
    </row>
    <row r="63" spans="1:20" x14ac:dyDescent="0.25">
      <c r="A63" s="300">
        <v>62</v>
      </c>
      <c r="B63" s="301" t="s">
        <v>662</v>
      </c>
      <c r="C63" s="301"/>
      <c r="D63" s="301"/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0">
        <v>0</v>
      </c>
      <c r="T63">
        <f t="shared" si="0"/>
        <v>0</v>
      </c>
    </row>
    <row r="64" spans="1:20" x14ac:dyDescent="0.25">
      <c r="A64" s="300">
        <v>63</v>
      </c>
      <c r="B64" s="301" t="s">
        <v>668</v>
      </c>
      <c r="C64" s="301"/>
      <c r="D64" s="301"/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0">
        <v>0</v>
      </c>
      <c r="T64">
        <f t="shared" si="0"/>
        <v>0</v>
      </c>
    </row>
    <row r="65" spans="1:18" x14ac:dyDescent="0.25">
      <c r="A65" s="299"/>
      <c r="B65" s="299"/>
      <c r="C65" s="299"/>
      <c r="D65" s="299"/>
      <c r="E65" s="299"/>
      <c r="F65" s="299"/>
      <c r="G65" s="299"/>
      <c r="H65" s="299"/>
      <c r="I65" s="299"/>
      <c r="J65" s="299"/>
      <c r="K65" s="299"/>
      <c r="L65" s="299"/>
      <c r="M65" s="299"/>
      <c r="N65" s="299"/>
      <c r="O65" s="299"/>
      <c r="P65" s="299"/>
      <c r="Q65" s="299"/>
      <c r="R65" s="303">
        <v>904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65"/>
  <sheetViews>
    <sheetView topLeftCell="K1" workbookViewId="0">
      <selection activeCell="T2" sqref="T2:T64"/>
    </sheetView>
  </sheetViews>
  <sheetFormatPr defaultRowHeight="15" x14ac:dyDescent="0.25"/>
  <sheetData>
    <row r="1" spans="1:20" x14ac:dyDescent="0.25">
      <c r="A1" s="243" t="s">
        <v>1</v>
      </c>
      <c r="B1" s="243" t="s">
        <v>6</v>
      </c>
      <c r="C1" s="243" t="s">
        <v>46</v>
      </c>
      <c r="D1" s="243" t="s">
        <v>47</v>
      </c>
      <c r="E1" s="243" t="s">
        <v>48</v>
      </c>
      <c r="F1" s="243" t="s">
        <v>49</v>
      </c>
      <c r="G1" s="243" t="s">
        <v>50</v>
      </c>
      <c r="H1" s="243" t="s">
        <v>51</v>
      </c>
      <c r="I1" s="243" t="s">
        <v>52</v>
      </c>
      <c r="J1" s="243" t="s">
        <v>53</v>
      </c>
      <c r="K1" s="243" t="s">
        <v>54</v>
      </c>
      <c r="L1" s="243" t="s">
        <v>55</v>
      </c>
      <c r="M1" s="243" t="s">
        <v>56</v>
      </c>
      <c r="N1" s="243" t="s">
        <v>57</v>
      </c>
      <c r="O1" s="243" t="s">
        <v>58</v>
      </c>
      <c r="P1" s="243" t="s">
        <v>59</v>
      </c>
      <c r="Q1" s="243" t="s">
        <v>667</v>
      </c>
      <c r="R1" s="243" t="s">
        <v>2</v>
      </c>
    </row>
    <row r="2" spans="1:20" x14ac:dyDescent="0.25">
      <c r="A2" s="244">
        <v>1</v>
      </c>
      <c r="B2" s="245" t="s">
        <v>10</v>
      </c>
      <c r="C2" s="245"/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4">
        <v>0</v>
      </c>
      <c r="T2">
        <f t="shared" ref="T2:T64" si="0">C2+D2+E2+F2+G2+H2+I2+J2+K2+L2+M2+N2+O2+P2+Q2</f>
        <v>0</v>
      </c>
    </row>
    <row r="3" spans="1:20" x14ac:dyDescent="0.25">
      <c r="A3" s="244">
        <v>2</v>
      </c>
      <c r="B3" s="245" t="s">
        <v>11</v>
      </c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5"/>
      <c r="R3" s="244">
        <v>0</v>
      </c>
      <c r="T3">
        <f t="shared" si="0"/>
        <v>0</v>
      </c>
    </row>
    <row r="4" spans="1:20" x14ac:dyDescent="0.25">
      <c r="A4" s="244">
        <v>3</v>
      </c>
      <c r="B4" s="245" t="s">
        <v>12</v>
      </c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4">
        <v>0</v>
      </c>
      <c r="T4">
        <f t="shared" si="0"/>
        <v>0</v>
      </c>
    </row>
    <row r="5" spans="1:20" x14ac:dyDescent="0.25">
      <c r="A5" s="244">
        <v>4</v>
      </c>
      <c r="B5" s="245" t="s">
        <v>651</v>
      </c>
      <c r="C5" s="245"/>
      <c r="D5" s="245"/>
      <c r="E5" s="245"/>
      <c r="F5" s="245"/>
      <c r="G5" s="245"/>
      <c r="H5" s="245"/>
      <c r="I5" s="245"/>
      <c r="J5" s="245"/>
      <c r="K5" s="245"/>
      <c r="L5" s="245"/>
      <c r="M5" s="245"/>
      <c r="N5" s="245"/>
      <c r="O5" s="245"/>
      <c r="P5" s="245"/>
      <c r="Q5" s="245"/>
      <c r="R5" s="244">
        <v>0</v>
      </c>
      <c r="T5">
        <f t="shared" si="0"/>
        <v>0</v>
      </c>
    </row>
    <row r="6" spans="1:20" x14ac:dyDescent="0.25">
      <c r="A6" s="244">
        <v>5</v>
      </c>
      <c r="B6" s="245" t="s">
        <v>14</v>
      </c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4">
        <v>0</v>
      </c>
      <c r="T6">
        <f t="shared" si="0"/>
        <v>0</v>
      </c>
    </row>
    <row r="7" spans="1:20" x14ac:dyDescent="0.25">
      <c r="A7" s="244">
        <v>6</v>
      </c>
      <c r="B7" s="245" t="s">
        <v>15</v>
      </c>
      <c r="C7" s="245"/>
      <c r="D7" s="245"/>
      <c r="E7" s="245"/>
      <c r="F7" s="245"/>
      <c r="G7" s="245"/>
      <c r="H7" s="245"/>
      <c r="I7" s="245"/>
      <c r="J7" s="245"/>
      <c r="K7" s="245"/>
      <c r="L7" s="245"/>
      <c r="M7" s="245"/>
      <c r="N7" s="245"/>
      <c r="O7" s="245"/>
      <c r="P7" s="245"/>
      <c r="Q7" s="245"/>
      <c r="R7" s="244">
        <v>0</v>
      </c>
      <c r="T7">
        <f t="shared" si="0"/>
        <v>0</v>
      </c>
    </row>
    <row r="8" spans="1:20" x14ac:dyDescent="0.25">
      <c r="A8" s="244">
        <v>7</v>
      </c>
      <c r="B8" s="245" t="s">
        <v>16</v>
      </c>
      <c r="C8" s="245"/>
      <c r="D8" s="245"/>
      <c r="E8" s="245"/>
      <c r="F8" s="245"/>
      <c r="G8" s="245"/>
      <c r="H8" s="245"/>
      <c r="I8" s="245"/>
      <c r="J8" s="245"/>
      <c r="K8" s="245"/>
      <c r="L8" s="245"/>
      <c r="M8" s="245"/>
      <c r="N8" s="245"/>
      <c r="O8" s="245"/>
      <c r="P8" s="245"/>
      <c r="Q8" s="245"/>
      <c r="R8" s="244">
        <v>0</v>
      </c>
      <c r="T8">
        <f t="shared" si="0"/>
        <v>0</v>
      </c>
    </row>
    <row r="9" spans="1:20" x14ac:dyDescent="0.25">
      <c r="A9" s="244">
        <v>8</v>
      </c>
      <c r="B9" s="245" t="s">
        <v>4</v>
      </c>
      <c r="C9" s="245"/>
      <c r="D9" s="245"/>
      <c r="E9" s="245"/>
      <c r="F9" s="245"/>
      <c r="G9" s="245"/>
      <c r="H9" s="245"/>
      <c r="I9" s="245"/>
      <c r="J9" s="245"/>
      <c r="K9" s="245"/>
      <c r="L9" s="245"/>
      <c r="M9" s="245"/>
      <c r="N9" s="245"/>
      <c r="O9" s="245"/>
      <c r="P9" s="245"/>
      <c r="Q9" s="245"/>
      <c r="R9" s="244">
        <v>0</v>
      </c>
      <c r="T9">
        <f t="shared" si="0"/>
        <v>0</v>
      </c>
    </row>
    <row r="10" spans="1:20" x14ac:dyDescent="0.25">
      <c r="A10" s="244">
        <v>9</v>
      </c>
      <c r="B10" s="245" t="s">
        <v>5</v>
      </c>
      <c r="C10" s="245"/>
      <c r="D10" s="245"/>
      <c r="E10" s="245"/>
      <c r="F10" s="245"/>
      <c r="G10" s="245"/>
      <c r="H10" s="245"/>
      <c r="I10" s="245"/>
      <c r="J10" s="245"/>
      <c r="K10" s="245"/>
      <c r="L10" s="245"/>
      <c r="M10" s="245"/>
      <c r="N10" s="245"/>
      <c r="O10" s="245"/>
      <c r="P10" s="245"/>
      <c r="Q10" s="245"/>
      <c r="R10" s="244">
        <v>0</v>
      </c>
      <c r="T10">
        <f t="shared" si="0"/>
        <v>0</v>
      </c>
    </row>
    <row r="11" spans="1:20" x14ac:dyDescent="0.25">
      <c r="A11" s="244">
        <v>10</v>
      </c>
      <c r="B11" s="245" t="s">
        <v>38</v>
      </c>
      <c r="C11" s="245"/>
      <c r="D11" s="245"/>
      <c r="E11" s="245"/>
      <c r="F11" s="245"/>
      <c r="G11" s="245"/>
      <c r="H11" s="245"/>
      <c r="I11" s="245"/>
      <c r="J11" s="245"/>
      <c r="K11" s="245"/>
      <c r="L11" s="245"/>
      <c r="M11" s="245"/>
      <c r="N11" s="245"/>
      <c r="O11" s="245"/>
      <c r="P11" s="245"/>
      <c r="Q11" s="245"/>
      <c r="R11" s="244">
        <v>0</v>
      </c>
      <c r="T11">
        <f t="shared" si="0"/>
        <v>0</v>
      </c>
    </row>
    <row r="12" spans="1:20" x14ac:dyDescent="0.25">
      <c r="A12" s="244">
        <v>11</v>
      </c>
      <c r="B12" s="245" t="s">
        <v>43</v>
      </c>
      <c r="C12" s="245"/>
      <c r="D12" s="245"/>
      <c r="E12" s="245"/>
      <c r="F12" s="245"/>
      <c r="G12" s="245"/>
      <c r="H12" s="245"/>
      <c r="I12" s="245"/>
      <c r="J12" s="245"/>
      <c r="K12" s="245"/>
      <c r="L12" s="245"/>
      <c r="M12" s="245"/>
      <c r="N12" s="245"/>
      <c r="O12" s="245"/>
      <c r="P12" s="245"/>
      <c r="Q12" s="245"/>
      <c r="R12" s="244">
        <v>0</v>
      </c>
      <c r="T12">
        <f t="shared" si="0"/>
        <v>0</v>
      </c>
    </row>
    <row r="13" spans="1:20" x14ac:dyDescent="0.25">
      <c r="A13" s="244">
        <v>12</v>
      </c>
      <c r="B13" s="245" t="s">
        <v>639</v>
      </c>
      <c r="C13" s="245"/>
      <c r="D13" s="245"/>
      <c r="E13" s="245"/>
      <c r="F13" s="245"/>
      <c r="G13" s="245"/>
      <c r="H13" s="245"/>
      <c r="I13" s="245"/>
      <c r="J13" s="245"/>
      <c r="K13" s="245"/>
      <c r="L13" s="245"/>
      <c r="M13" s="245"/>
      <c r="N13" s="245"/>
      <c r="O13" s="245"/>
      <c r="P13" s="245"/>
      <c r="Q13" s="245"/>
      <c r="R13" s="244">
        <v>0</v>
      </c>
      <c r="T13">
        <f t="shared" si="0"/>
        <v>0</v>
      </c>
    </row>
    <row r="14" spans="1:20" x14ac:dyDescent="0.25">
      <c r="A14" s="244">
        <v>13</v>
      </c>
      <c r="B14" s="245" t="s">
        <v>87</v>
      </c>
      <c r="C14" s="245"/>
      <c r="D14" s="245"/>
      <c r="E14" s="245"/>
      <c r="F14" s="245"/>
      <c r="G14" s="245"/>
      <c r="H14" s="245"/>
      <c r="I14" s="245"/>
      <c r="J14" s="245"/>
      <c r="K14" s="245"/>
      <c r="L14" s="245"/>
      <c r="M14" s="245"/>
      <c r="N14" s="245"/>
      <c r="O14" s="245"/>
      <c r="P14" s="245"/>
      <c r="Q14" s="245"/>
      <c r="R14" s="244">
        <v>0</v>
      </c>
      <c r="T14">
        <f t="shared" si="0"/>
        <v>0</v>
      </c>
    </row>
    <row r="15" spans="1:20" x14ac:dyDescent="0.25">
      <c r="A15" s="244">
        <v>14</v>
      </c>
      <c r="B15" s="245" t="s">
        <v>95</v>
      </c>
      <c r="C15" s="245"/>
      <c r="D15" s="245"/>
      <c r="E15" s="245"/>
      <c r="F15" s="245"/>
      <c r="G15" s="245"/>
      <c r="H15" s="245"/>
      <c r="I15" s="245"/>
      <c r="J15" s="245"/>
      <c r="K15" s="245"/>
      <c r="L15" s="245"/>
      <c r="M15" s="245"/>
      <c r="N15" s="245"/>
      <c r="O15" s="245"/>
      <c r="P15" s="245"/>
      <c r="Q15" s="245"/>
      <c r="R15" s="244">
        <v>0</v>
      </c>
      <c r="T15">
        <f t="shared" si="0"/>
        <v>0</v>
      </c>
    </row>
    <row r="16" spans="1:20" x14ac:dyDescent="0.25">
      <c r="A16" s="244">
        <v>15</v>
      </c>
      <c r="B16" s="245" t="s">
        <v>96</v>
      </c>
      <c r="C16" s="245"/>
      <c r="D16" s="245"/>
      <c r="E16" s="245"/>
      <c r="F16" s="245"/>
      <c r="G16" s="245"/>
      <c r="H16" s="245"/>
      <c r="I16" s="245"/>
      <c r="J16" s="245"/>
      <c r="K16" s="245"/>
      <c r="L16" s="245"/>
      <c r="M16" s="245"/>
      <c r="N16" s="245"/>
      <c r="O16" s="245"/>
      <c r="P16" s="245"/>
      <c r="Q16" s="245"/>
      <c r="R16" s="244">
        <v>0</v>
      </c>
      <c r="T16">
        <f t="shared" si="0"/>
        <v>0</v>
      </c>
    </row>
    <row r="17" spans="1:20" x14ac:dyDescent="0.25">
      <c r="A17" s="244">
        <v>16</v>
      </c>
      <c r="B17" s="245" t="s">
        <v>97</v>
      </c>
      <c r="C17" s="245"/>
      <c r="D17" s="245"/>
      <c r="E17" s="245"/>
      <c r="F17" s="245"/>
      <c r="G17" s="245"/>
      <c r="H17" s="245"/>
      <c r="I17" s="245"/>
      <c r="J17" s="245"/>
      <c r="K17" s="245"/>
      <c r="L17" s="245"/>
      <c r="M17" s="245"/>
      <c r="N17" s="245"/>
      <c r="O17" s="245"/>
      <c r="P17" s="245"/>
      <c r="Q17" s="245"/>
      <c r="R17" s="244">
        <v>0</v>
      </c>
      <c r="T17">
        <f t="shared" si="0"/>
        <v>0</v>
      </c>
    </row>
    <row r="18" spans="1:20" x14ac:dyDescent="0.25">
      <c r="A18" s="244">
        <v>17</v>
      </c>
      <c r="B18" s="245" t="s">
        <v>98</v>
      </c>
      <c r="C18" s="245"/>
      <c r="D18" s="245"/>
      <c r="E18" s="245"/>
      <c r="F18" s="245"/>
      <c r="G18" s="245"/>
      <c r="H18" s="245"/>
      <c r="I18" s="245"/>
      <c r="J18" s="245"/>
      <c r="K18" s="245"/>
      <c r="L18" s="245"/>
      <c r="M18" s="245"/>
      <c r="N18" s="245"/>
      <c r="O18" s="245"/>
      <c r="P18" s="245"/>
      <c r="Q18" s="245"/>
      <c r="R18" s="244">
        <v>0</v>
      </c>
      <c r="T18">
        <f t="shared" si="0"/>
        <v>0</v>
      </c>
    </row>
    <row r="19" spans="1:20" x14ac:dyDescent="0.25">
      <c r="A19" s="244">
        <v>18</v>
      </c>
      <c r="B19" s="245" t="s">
        <v>616</v>
      </c>
      <c r="C19" s="245"/>
      <c r="D19" s="245"/>
      <c r="E19" s="245"/>
      <c r="F19" s="245"/>
      <c r="G19" s="245"/>
      <c r="H19" s="245"/>
      <c r="I19" s="245"/>
      <c r="J19" s="245"/>
      <c r="K19" s="245"/>
      <c r="L19" s="245"/>
      <c r="M19" s="245"/>
      <c r="N19" s="245"/>
      <c r="O19" s="245"/>
      <c r="P19" s="245"/>
      <c r="Q19" s="245"/>
      <c r="R19" s="244">
        <v>0</v>
      </c>
      <c r="T19">
        <f t="shared" si="0"/>
        <v>0</v>
      </c>
    </row>
    <row r="20" spans="1:20" x14ac:dyDescent="0.25">
      <c r="A20" s="244">
        <v>19</v>
      </c>
      <c r="B20" s="245" t="s">
        <v>617</v>
      </c>
      <c r="C20" s="245"/>
      <c r="D20" s="245"/>
      <c r="E20" s="245"/>
      <c r="F20" s="245"/>
      <c r="G20" s="245" t="s">
        <v>54</v>
      </c>
      <c r="H20" s="245"/>
      <c r="I20" s="245"/>
      <c r="J20" s="245"/>
      <c r="K20" s="245" t="s">
        <v>54</v>
      </c>
      <c r="L20" s="245" t="s">
        <v>54</v>
      </c>
      <c r="M20" s="245" t="s">
        <v>54</v>
      </c>
      <c r="N20" s="245"/>
      <c r="O20" s="245" t="s">
        <v>54</v>
      </c>
      <c r="P20" s="245" t="s">
        <v>54</v>
      </c>
      <c r="Q20" s="245" t="s">
        <v>54</v>
      </c>
      <c r="R20" s="246">
        <v>168</v>
      </c>
      <c r="T20">
        <f t="shared" si="0"/>
        <v>168</v>
      </c>
    </row>
    <row r="21" spans="1:20" x14ac:dyDescent="0.25">
      <c r="A21" s="244">
        <v>20</v>
      </c>
      <c r="B21" s="245" t="s">
        <v>626</v>
      </c>
      <c r="C21" s="245"/>
      <c r="D21" s="245"/>
      <c r="E21" s="245"/>
      <c r="F21" s="245"/>
      <c r="G21" s="245"/>
      <c r="H21" s="245"/>
      <c r="I21" s="245"/>
      <c r="J21" s="245"/>
      <c r="K21" s="245"/>
      <c r="L21" s="245"/>
      <c r="M21" s="245"/>
      <c r="N21" s="245"/>
      <c r="O21" s="245"/>
      <c r="P21" s="245"/>
      <c r="Q21" s="245"/>
      <c r="R21" s="244">
        <v>0</v>
      </c>
      <c r="T21">
        <f t="shared" si="0"/>
        <v>0</v>
      </c>
    </row>
    <row r="22" spans="1:20" x14ac:dyDescent="0.25">
      <c r="A22" s="244">
        <v>21</v>
      </c>
      <c r="B22" s="245" t="s">
        <v>618</v>
      </c>
      <c r="C22" s="245"/>
      <c r="D22" s="245"/>
      <c r="E22" s="245"/>
      <c r="F22" s="245"/>
      <c r="G22" s="245" t="s">
        <v>54</v>
      </c>
      <c r="H22" s="245"/>
      <c r="I22" s="245"/>
      <c r="J22" s="245"/>
      <c r="K22" s="245" t="s">
        <v>54</v>
      </c>
      <c r="L22" s="245" t="s">
        <v>54</v>
      </c>
      <c r="M22" s="245" t="s">
        <v>54</v>
      </c>
      <c r="N22" s="245"/>
      <c r="O22" s="245" t="s">
        <v>54</v>
      </c>
      <c r="P22" s="245" t="s">
        <v>54</v>
      </c>
      <c r="Q22" s="245" t="s">
        <v>54</v>
      </c>
      <c r="R22" s="246">
        <v>168</v>
      </c>
      <c r="T22">
        <f t="shared" si="0"/>
        <v>168</v>
      </c>
    </row>
    <row r="23" spans="1:20" x14ac:dyDescent="0.25">
      <c r="A23" s="244">
        <v>22</v>
      </c>
      <c r="B23" s="245" t="s">
        <v>619</v>
      </c>
      <c r="C23" s="245"/>
      <c r="D23" s="245"/>
      <c r="E23" s="245"/>
      <c r="F23" s="245"/>
      <c r="G23" s="245"/>
      <c r="H23" s="245"/>
      <c r="I23" s="245"/>
      <c r="J23" s="245"/>
      <c r="K23" s="245"/>
      <c r="L23" s="245"/>
      <c r="M23" s="245"/>
      <c r="N23" s="245"/>
      <c r="O23" s="245"/>
      <c r="P23" s="245"/>
      <c r="Q23" s="245"/>
      <c r="R23" s="244">
        <v>0</v>
      </c>
      <c r="T23">
        <f t="shared" si="0"/>
        <v>0</v>
      </c>
    </row>
    <row r="24" spans="1:20" x14ac:dyDescent="0.25">
      <c r="A24" s="244">
        <v>23</v>
      </c>
      <c r="B24" s="245" t="s">
        <v>620</v>
      </c>
      <c r="C24" s="245"/>
      <c r="D24" s="245"/>
      <c r="E24" s="245"/>
      <c r="F24" s="245"/>
      <c r="G24" s="245"/>
      <c r="H24" s="245"/>
      <c r="I24" s="245"/>
      <c r="J24" s="245"/>
      <c r="K24" s="245"/>
      <c r="L24" s="245"/>
      <c r="M24" s="245"/>
      <c r="N24" s="245"/>
      <c r="O24" s="245"/>
      <c r="P24" s="245"/>
      <c r="Q24" s="245"/>
      <c r="R24" s="244">
        <v>0</v>
      </c>
      <c r="T24">
        <f t="shared" si="0"/>
        <v>0</v>
      </c>
    </row>
    <row r="25" spans="1:20" x14ac:dyDescent="0.25">
      <c r="A25" s="244">
        <v>24</v>
      </c>
      <c r="B25" s="245" t="s">
        <v>650</v>
      </c>
      <c r="C25" s="245"/>
      <c r="D25" s="245"/>
      <c r="E25" s="245"/>
      <c r="F25" s="245"/>
      <c r="G25" s="245"/>
      <c r="H25" s="245"/>
      <c r="I25" s="245"/>
      <c r="J25" s="245"/>
      <c r="K25" s="245"/>
      <c r="L25" s="245"/>
      <c r="M25" s="245"/>
      <c r="N25" s="245"/>
      <c r="O25" s="245"/>
      <c r="P25" s="245"/>
      <c r="Q25" s="245"/>
      <c r="R25" s="244">
        <v>0</v>
      </c>
      <c r="T25">
        <f t="shared" si="0"/>
        <v>0</v>
      </c>
    </row>
    <row r="26" spans="1:20" x14ac:dyDescent="0.25">
      <c r="A26" s="244">
        <v>25</v>
      </c>
      <c r="B26" s="245" t="s">
        <v>621</v>
      </c>
      <c r="C26" s="245"/>
      <c r="D26" s="245"/>
      <c r="E26" s="245"/>
      <c r="F26" s="245"/>
      <c r="G26" s="245"/>
      <c r="H26" s="245"/>
      <c r="I26" s="245"/>
      <c r="J26" s="245"/>
      <c r="K26" s="245"/>
      <c r="L26" s="245"/>
      <c r="M26" s="245"/>
      <c r="N26" s="245"/>
      <c r="O26" s="245"/>
      <c r="P26" s="245"/>
      <c r="Q26" s="245"/>
      <c r="R26" s="244">
        <v>0</v>
      </c>
      <c r="T26">
        <f t="shared" si="0"/>
        <v>0</v>
      </c>
    </row>
    <row r="27" spans="1:20" x14ac:dyDescent="0.25">
      <c r="A27" s="244">
        <v>26</v>
      </c>
      <c r="B27" s="245" t="s">
        <v>622</v>
      </c>
      <c r="C27" s="245"/>
      <c r="D27" s="245"/>
      <c r="E27" s="245"/>
      <c r="F27" s="245"/>
      <c r="G27" s="245"/>
      <c r="H27" s="245"/>
      <c r="I27" s="245"/>
      <c r="J27" s="245"/>
      <c r="K27" s="245"/>
      <c r="L27" s="245"/>
      <c r="M27" s="245"/>
      <c r="N27" s="245"/>
      <c r="O27" s="245"/>
      <c r="P27" s="245"/>
      <c r="Q27" s="245"/>
      <c r="R27" s="244">
        <v>0</v>
      </c>
      <c r="T27">
        <f t="shared" si="0"/>
        <v>0</v>
      </c>
    </row>
    <row r="28" spans="1:20" x14ac:dyDescent="0.25">
      <c r="A28" s="244">
        <v>27</v>
      </c>
      <c r="B28" s="245" t="s">
        <v>623</v>
      </c>
      <c r="C28" s="245"/>
      <c r="D28" s="245"/>
      <c r="E28" s="245"/>
      <c r="F28" s="245"/>
      <c r="G28" s="245"/>
      <c r="H28" s="245"/>
      <c r="I28" s="245"/>
      <c r="J28" s="245"/>
      <c r="K28" s="245"/>
      <c r="L28" s="245"/>
      <c r="M28" s="245"/>
      <c r="N28" s="245"/>
      <c r="O28" s="245"/>
      <c r="P28" s="245"/>
      <c r="Q28" s="245"/>
      <c r="R28" s="244">
        <v>0</v>
      </c>
      <c r="T28">
        <f t="shared" si="0"/>
        <v>0</v>
      </c>
    </row>
    <row r="29" spans="1:20" x14ac:dyDescent="0.25">
      <c r="A29" s="244">
        <v>28</v>
      </c>
      <c r="B29" s="245" t="s">
        <v>624</v>
      </c>
      <c r="C29" s="245"/>
      <c r="D29" s="245"/>
      <c r="E29" s="245"/>
      <c r="F29" s="245"/>
      <c r="G29" s="245"/>
      <c r="H29" s="245"/>
      <c r="I29" s="245"/>
      <c r="J29" s="245"/>
      <c r="K29" s="245"/>
      <c r="L29" s="245"/>
      <c r="M29" s="245"/>
      <c r="N29" s="245"/>
      <c r="O29" s="245"/>
      <c r="P29" s="245"/>
      <c r="Q29" s="245"/>
      <c r="R29" s="244">
        <v>0</v>
      </c>
      <c r="T29">
        <f t="shared" si="0"/>
        <v>0</v>
      </c>
    </row>
    <row r="30" spans="1:20" x14ac:dyDescent="0.25">
      <c r="A30" s="244">
        <v>29</v>
      </c>
      <c r="B30" s="245" t="s">
        <v>627</v>
      </c>
      <c r="C30" s="245"/>
      <c r="D30" s="245"/>
      <c r="E30" s="245"/>
      <c r="F30" s="245"/>
      <c r="G30" s="245"/>
      <c r="H30" s="245"/>
      <c r="I30" s="245"/>
      <c r="J30" s="245"/>
      <c r="K30" s="245"/>
      <c r="L30" s="245"/>
      <c r="M30" s="245"/>
      <c r="N30" s="245"/>
      <c r="O30" s="245"/>
      <c r="P30" s="245"/>
      <c r="Q30" s="245"/>
      <c r="R30" s="244">
        <v>0</v>
      </c>
      <c r="T30">
        <f t="shared" si="0"/>
        <v>0</v>
      </c>
    </row>
    <row r="31" spans="1:20" x14ac:dyDescent="0.25">
      <c r="A31" s="244">
        <v>30</v>
      </c>
      <c r="B31" s="245" t="s">
        <v>625</v>
      </c>
      <c r="C31" s="245"/>
      <c r="D31" s="245"/>
      <c r="E31" s="245"/>
      <c r="F31" s="245"/>
      <c r="G31" s="245"/>
      <c r="H31" s="245"/>
      <c r="I31" s="245"/>
      <c r="J31" s="245"/>
      <c r="K31" s="245"/>
      <c r="L31" s="245"/>
      <c r="M31" s="245"/>
      <c r="N31" s="245"/>
      <c r="O31" s="245"/>
      <c r="P31" s="245"/>
      <c r="Q31" s="245"/>
      <c r="R31" s="244">
        <v>0</v>
      </c>
      <c r="T31">
        <f t="shared" si="0"/>
        <v>0</v>
      </c>
    </row>
    <row r="32" spans="1:20" x14ac:dyDescent="0.25">
      <c r="A32" s="244">
        <v>31</v>
      </c>
      <c r="B32" s="245" t="s">
        <v>34</v>
      </c>
      <c r="C32" s="245"/>
      <c r="D32" s="245"/>
      <c r="E32" s="245"/>
      <c r="F32" s="245"/>
      <c r="G32" s="245"/>
      <c r="H32" s="245"/>
      <c r="I32" s="245"/>
      <c r="J32" s="245"/>
      <c r="K32" s="245"/>
      <c r="L32" s="245"/>
      <c r="M32" s="245"/>
      <c r="N32" s="245"/>
      <c r="O32" s="245"/>
      <c r="P32" s="245"/>
      <c r="Q32" s="245"/>
      <c r="R32" s="244">
        <v>0</v>
      </c>
      <c r="T32">
        <f t="shared" si="0"/>
        <v>0</v>
      </c>
    </row>
    <row r="33" spans="1:20" x14ac:dyDescent="0.25">
      <c r="A33" s="244">
        <v>32</v>
      </c>
      <c r="B33" s="245" t="s">
        <v>45</v>
      </c>
      <c r="C33" s="245"/>
      <c r="D33" s="245"/>
      <c r="E33" s="245"/>
      <c r="F33" s="245"/>
      <c r="G33" s="245"/>
      <c r="H33" s="245"/>
      <c r="I33" s="245"/>
      <c r="J33" s="245"/>
      <c r="K33" s="245"/>
      <c r="L33" s="245"/>
      <c r="M33" s="245"/>
      <c r="N33" s="245"/>
      <c r="O33" s="245"/>
      <c r="P33" s="245"/>
      <c r="Q33" s="245"/>
      <c r="R33" s="244">
        <v>0</v>
      </c>
      <c r="T33">
        <f t="shared" si="0"/>
        <v>0</v>
      </c>
    </row>
    <row r="34" spans="1:20" x14ac:dyDescent="0.25">
      <c r="A34" s="244">
        <v>33</v>
      </c>
      <c r="B34" s="245" t="s">
        <v>630</v>
      </c>
      <c r="C34" s="245"/>
      <c r="D34" s="245"/>
      <c r="E34" s="245"/>
      <c r="F34" s="245"/>
      <c r="G34" s="245"/>
      <c r="H34" s="245"/>
      <c r="I34" s="245"/>
      <c r="J34" s="245"/>
      <c r="K34" s="245"/>
      <c r="L34" s="245"/>
      <c r="M34" s="245"/>
      <c r="N34" s="245"/>
      <c r="O34" s="245"/>
      <c r="P34" s="245"/>
      <c r="Q34" s="245"/>
      <c r="R34" s="244">
        <v>0</v>
      </c>
      <c r="T34">
        <f t="shared" si="0"/>
        <v>0</v>
      </c>
    </row>
    <row r="35" spans="1:20" x14ac:dyDescent="0.25">
      <c r="A35" s="244">
        <v>34</v>
      </c>
      <c r="B35" s="245" t="s">
        <v>628</v>
      </c>
      <c r="C35" s="245"/>
      <c r="D35" s="245"/>
      <c r="E35" s="245"/>
      <c r="F35" s="245"/>
      <c r="G35" s="245"/>
      <c r="H35" s="245"/>
      <c r="I35" s="245"/>
      <c r="J35" s="245"/>
      <c r="K35" s="245"/>
      <c r="L35" s="245"/>
      <c r="M35" s="245"/>
      <c r="N35" s="245"/>
      <c r="O35" s="245"/>
      <c r="P35" s="245"/>
      <c r="Q35" s="245"/>
      <c r="R35" s="244">
        <v>0</v>
      </c>
      <c r="T35">
        <f t="shared" si="0"/>
        <v>0</v>
      </c>
    </row>
    <row r="36" spans="1:20" x14ac:dyDescent="0.25">
      <c r="A36" s="244">
        <v>35</v>
      </c>
      <c r="B36" s="245" t="s">
        <v>629</v>
      </c>
      <c r="C36" s="245"/>
      <c r="D36" s="245"/>
      <c r="E36" s="245"/>
      <c r="F36" s="245"/>
      <c r="G36" s="245"/>
      <c r="H36" s="245"/>
      <c r="I36" s="245"/>
      <c r="J36" s="245"/>
      <c r="K36" s="245"/>
      <c r="L36" s="245"/>
      <c r="M36" s="245"/>
      <c r="N36" s="245"/>
      <c r="O36" s="245"/>
      <c r="P36" s="245"/>
      <c r="Q36" s="245"/>
      <c r="R36" s="244">
        <v>0</v>
      </c>
      <c r="T36">
        <f t="shared" si="0"/>
        <v>0</v>
      </c>
    </row>
    <row r="37" spans="1:20" x14ac:dyDescent="0.25">
      <c r="A37" s="244">
        <v>36</v>
      </c>
      <c r="B37" s="245" t="s">
        <v>631</v>
      </c>
      <c r="C37" s="245"/>
      <c r="D37" s="245"/>
      <c r="E37" s="245"/>
      <c r="F37" s="245"/>
      <c r="G37" s="245"/>
      <c r="H37" s="245"/>
      <c r="I37" s="245"/>
      <c r="J37" s="245"/>
      <c r="K37" s="245"/>
      <c r="L37" s="245"/>
      <c r="M37" s="245"/>
      <c r="N37" s="245"/>
      <c r="O37" s="245"/>
      <c r="P37" s="245"/>
      <c r="Q37" s="245"/>
      <c r="R37" s="244">
        <v>0</v>
      </c>
      <c r="T37">
        <f t="shared" si="0"/>
        <v>0</v>
      </c>
    </row>
    <row r="38" spans="1:20" x14ac:dyDescent="0.25">
      <c r="A38" s="244">
        <v>37</v>
      </c>
      <c r="B38" s="245" t="s">
        <v>632</v>
      </c>
      <c r="C38" s="245"/>
      <c r="D38" s="245"/>
      <c r="E38" s="245"/>
      <c r="F38" s="245"/>
      <c r="G38" s="245"/>
      <c r="H38" s="245"/>
      <c r="I38" s="245"/>
      <c r="J38" s="245"/>
      <c r="K38" s="245"/>
      <c r="L38" s="245"/>
      <c r="M38" s="245"/>
      <c r="N38" s="245"/>
      <c r="O38" s="245"/>
      <c r="P38" s="245"/>
      <c r="Q38" s="245"/>
      <c r="R38" s="244">
        <v>0</v>
      </c>
      <c r="T38">
        <f t="shared" si="0"/>
        <v>0</v>
      </c>
    </row>
    <row r="39" spans="1:20" x14ac:dyDescent="0.25">
      <c r="A39" s="244">
        <v>38</v>
      </c>
      <c r="B39" s="245" t="s">
        <v>633</v>
      </c>
      <c r="C39" s="245"/>
      <c r="D39" s="245"/>
      <c r="E39" s="245"/>
      <c r="F39" s="245"/>
      <c r="G39" s="245"/>
      <c r="H39" s="245"/>
      <c r="I39" s="245"/>
      <c r="J39" s="245"/>
      <c r="K39" s="245"/>
      <c r="L39" s="245"/>
      <c r="M39" s="245"/>
      <c r="N39" s="245"/>
      <c r="O39" s="245"/>
      <c r="P39" s="245"/>
      <c r="Q39" s="245"/>
      <c r="R39" s="244">
        <v>0</v>
      </c>
      <c r="T39">
        <f t="shared" si="0"/>
        <v>0</v>
      </c>
    </row>
    <row r="40" spans="1:20" x14ac:dyDescent="0.25">
      <c r="A40" s="244">
        <v>39</v>
      </c>
      <c r="B40" s="245" t="s">
        <v>634</v>
      </c>
      <c r="C40" s="245"/>
      <c r="D40" s="245"/>
      <c r="E40" s="245"/>
      <c r="F40" s="245"/>
      <c r="G40" s="245"/>
      <c r="H40" s="245"/>
      <c r="I40" s="245"/>
      <c r="J40" s="245"/>
      <c r="K40" s="245"/>
      <c r="L40" s="245"/>
      <c r="M40" s="245"/>
      <c r="N40" s="245"/>
      <c r="O40" s="245"/>
      <c r="P40" s="245"/>
      <c r="Q40" s="245"/>
      <c r="R40" s="244">
        <v>0</v>
      </c>
      <c r="T40">
        <f t="shared" si="0"/>
        <v>0</v>
      </c>
    </row>
    <row r="41" spans="1:20" x14ac:dyDescent="0.25">
      <c r="A41" s="244">
        <v>40</v>
      </c>
      <c r="B41" s="245" t="s">
        <v>636</v>
      </c>
      <c r="C41" s="245"/>
      <c r="D41" s="245"/>
      <c r="E41" s="245"/>
      <c r="F41" s="245"/>
      <c r="G41" s="245"/>
      <c r="H41" s="245"/>
      <c r="I41" s="245"/>
      <c r="J41" s="245"/>
      <c r="K41" s="245"/>
      <c r="L41" s="245"/>
      <c r="M41" s="245"/>
      <c r="N41" s="245"/>
      <c r="O41" s="245"/>
      <c r="P41" s="245"/>
      <c r="Q41" s="245"/>
      <c r="R41" s="244">
        <v>0</v>
      </c>
      <c r="T41">
        <f t="shared" si="0"/>
        <v>0</v>
      </c>
    </row>
    <row r="42" spans="1:20" x14ac:dyDescent="0.25">
      <c r="A42" s="244">
        <v>41</v>
      </c>
      <c r="B42" s="245" t="s">
        <v>637</v>
      </c>
      <c r="C42" s="245"/>
      <c r="D42" s="245"/>
      <c r="E42" s="245"/>
      <c r="F42" s="245"/>
      <c r="G42" s="245"/>
      <c r="H42" s="245"/>
      <c r="I42" s="245"/>
      <c r="J42" s="245"/>
      <c r="K42" s="245"/>
      <c r="L42" s="245"/>
      <c r="M42" s="245"/>
      <c r="N42" s="245"/>
      <c r="O42" s="245"/>
      <c r="P42" s="245"/>
      <c r="Q42" s="245"/>
      <c r="R42" s="244">
        <v>0</v>
      </c>
      <c r="T42">
        <f t="shared" si="0"/>
        <v>0</v>
      </c>
    </row>
    <row r="43" spans="1:20" x14ac:dyDescent="0.25">
      <c r="A43" s="244">
        <v>42</v>
      </c>
      <c r="B43" s="245" t="s">
        <v>640</v>
      </c>
      <c r="C43" s="245"/>
      <c r="D43" s="245"/>
      <c r="E43" s="245"/>
      <c r="F43" s="245"/>
      <c r="G43" s="245"/>
      <c r="H43" s="245"/>
      <c r="I43" s="245"/>
      <c r="J43" s="245"/>
      <c r="K43" s="245"/>
      <c r="L43" s="245"/>
      <c r="M43" s="245"/>
      <c r="N43" s="245"/>
      <c r="O43" s="245"/>
      <c r="P43" s="245"/>
      <c r="Q43" s="245"/>
      <c r="R43" s="244">
        <v>0</v>
      </c>
      <c r="T43">
        <f t="shared" si="0"/>
        <v>0</v>
      </c>
    </row>
    <row r="44" spans="1:20" x14ac:dyDescent="0.25">
      <c r="A44" s="244">
        <v>43</v>
      </c>
      <c r="B44" s="245" t="s">
        <v>638</v>
      </c>
      <c r="C44" s="245"/>
      <c r="D44" s="245"/>
      <c r="E44" s="245"/>
      <c r="F44" s="245"/>
      <c r="G44" s="245"/>
      <c r="H44" s="245"/>
      <c r="I44" s="245"/>
      <c r="J44" s="245"/>
      <c r="K44" s="245"/>
      <c r="L44" s="245"/>
      <c r="M44" s="245"/>
      <c r="N44" s="245"/>
      <c r="O44" s="245"/>
      <c r="P44" s="245"/>
      <c r="Q44" s="245"/>
      <c r="R44" s="244">
        <v>0</v>
      </c>
      <c r="T44">
        <f t="shared" si="0"/>
        <v>0</v>
      </c>
    </row>
    <row r="45" spans="1:20" x14ac:dyDescent="0.25">
      <c r="A45" s="244">
        <v>44</v>
      </c>
      <c r="B45" s="245" t="s">
        <v>635</v>
      </c>
      <c r="C45" s="245"/>
      <c r="D45" s="245"/>
      <c r="E45" s="245"/>
      <c r="F45" s="245"/>
      <c r="G45" s="245"/>
      <c r="H45" s="245"/>
      <c r="I45" s="245"/>
      <c r="J45" s="245"/>
      <c r="K45" s="245"/>
      <c r="L45" s="245"/>
      <c r="M45" s="245"/>
      <c r="N45" s="245"/>
      <c r="O45" s="245"/>
      <c r="P45" s="245"/>
      <c r="Q45" s="245"/>
      <c r="R45" s="244">
        <v>0</v>
      </c>
      <c r="T45">
        <f t="shared" si="0"/>
        <v>0</v>
      </c>
    </row>
    <row r="46" spans="1:20" x14ac:dyDescent="0.25">
      <c r="A46" s="244">
        <v>45</v>
      </c>
      <c r="B46" s="245" t="s">
        <v>641</v>
      </c>
      <c r="C46" s="245"/>
      <c r="D46" s="245"/>
      <c r="E46" s="245"/>
      <c r="F46" s="245"/>
      <c r="G46" s="245"/>
      <c r="H46" s="245"/>
      <c r="I46" s="245"/>
      <c r="J46" s="245"/>
      <c r="K46" s="245"/>
      <c r="L46" s="245"/>
      <c r="M46" s="245"/>
      <c r="N46" s="245"/>
      <c r="O46" s="245"/>
      <c r="P46" s="245"/>
      <c r="Q46" s="245"/>
      <c r="R46" s="244">
        <v>0</v>
      </c>
      <c r="T46">
        <f t="shared" si="0"/>
        <v>0</v>
      </c>
    </row>
    <row r="47" spans="1:20" x14ac:dyDescent="0.25">
      <c r="A47" s="244">
        <v>46</v>
      </c>
      <c r="B47" s="245" t="s">
        <v>649</v>
      </c>
      <c r="C47" s="245"/>
      <c r="D47" s="245"/>
      <c r="E47" s="245"/>
      <c r="F47" s="245"/>
      <c r="G47" s="245"/>
      <c r="H47" s="245"/>
      <c r="I47" s="245"/>
      <c r="J47" s="245"/>
      <c r="K47" s="245"/>
      <c r="L47" s="245"/>
      <c r="M47" s="245"/>
      <c r="N47" s="245"/>
      <c r="O47" s="245"/>
      <c r="P47" s="245"/>
      <c r="Q47" s="245"/>
      <c r="R47" s="244">
        <v>0</v>
      </c>
      <c r="T47">
        <f t="shared" si="0"/>
        <v>0</v>
      </c>
    </row>
    <row r="48" spans="1:20" x14ac:dyDescent="0.25">
      <c r="A48" s="244">
        <v>47</v>
      </c>
      <c r="B48" s="245" t="s">
        <v>642</v>
      </c>
      <c r="C48" s="245"/>
      <c r="D48" s="245"/>
      <c r="E48" s="245"/>
      <c r="F48" s="245"/>
      <c r="G48" s="245"/>
      <c r="H48" s="245"/>
      <c r="I48" s="245"/>
      <c r="J48" s="245"/>
      <c r="K48" s="245"/>
      <c r="L48" s="245"/>
      <c r="M48" s="245"/>
      <c r="N48" s="245"/>
      <c r="O48" s="245"/>
      <c r="P48" s="245"/>
      <c r="Q48" s="245"/>
      <c r="R48" s="244">
        <v>0</v>
      </c>
      <c r="T48">
        <f t="shared" si="0"/>
        <v>0</v>
      </c>
    </row>
    <row r="49" spans="1:20" x14ac:dyDescent="0.25">
      <c r="A49" s="244">
        <v>48</v>
      </c>
      <c r="B49" s="245" t="s">
        <v>643</v>
      </c>
      <c r="C49" s="245"/>
      <c r="D49" s="245"/>
      <c r="E49" s="245"/>
      <c r="F49" s="245"/>
      <c r="G49" s="245"/>
      <c r="H49" s="245"/>
      <c r="I49" s="245"/>
      <c r="J49" s="245"/>
      <c r="K49" s="245"/>
      <c r="L49" s="245"/>
      <c r="M49" s="245"/>
      <c r="N49" s="245"/>
      <c r="O49" s="245"/>
      <c r="P49" s="245"/>
      <c r="Q49" s="245"/>
      <c r="R49" s="244">
        <v>0</v>
      </c>
      <c r="T49">
        <f t="shared" si="0"/>
        <v>0</v>
      </c>
    </row>
    <row r="50" spans="1:20" x14ac:dyDescent="0.25">
      <c r="A50" s="244">
        <v>49</v>
      </c>
      <c r="B50" s="245" t="s">
        <v>644</v>
      </c>
      <c r="C50" s="245"/>
      <c r="D50" s="245"/>
      <c r="E50" s="245"/>
      <c r="F50" s="245"/>
      <c r="G50" s="245"/>
      <c r="H50" s="245"/>
      <c r="I50" s="245"/>
      <c r="J50" s="245"/>
      <c r="K50" s="245"/>
      <c r="L50" s="245"/>
      <c r="M50" s="245"/>
      <c r="N50" s="245"/>
      <c r="O50" s="245"/>
      <c r="P50" s="245"/>
      <c r="Q50" s="245"/>
      <c r="R50" s="244">
        <v>0</v>
      </c>
      <c r="T50">
        <f t="shared" si="0"/>
        <v>0</v>
      </c>
    </row>
    <row r="51" spans="1:20" x14ac:dyDescent="0.25">
      <c r="A51" s="244">
        <v>50</v>
      </c>
      <c r="B51" s="245" t="s">
        <v>646</v>
      </c>
      <c r="C51" s="245"/>
      <c r="D51" s="245"/>
      <c r="E51" s="245"/>
      <c r="F51" s="245"/>
      <c r="G51" s="245"/>
      <c r="H51" s="245"/>
      <c r="I51" s="245"/>
      <c r="J51" s="245"/>
      <c r="K51" s="245"/>
      <c r="L51" s="245"/>
      <c r="M51" s="245"/>
      <c r="N51" s="245"/>
      <c r="O51" s="245"/>
      <c r="P51" s="245"/>
      <c r="Q51" s="245"/>
      <c r="R51" s="244">
        <v>0</v>
      </c>
      <c r="T51">
        <f t="shared" si="0"/>
        <v>0</v>
      </c>
    </row>
    <row r="52" spans="1:20" x14ac:dyDescent="0.25">
      <c r="A52" s="244">
        <v>51</v>
      </c>
      <c r="B52" s="245" t="s">
        <v>647</v>
      </c>
      <c r="C52" s="245"/>
      <c r="D52" s="245"/>
      <c r="E52" s="245"/>
      <c r="F52" s="245"/>
      <c r="G52" s="245"/>
      <c r="H52" s="245"/>
      <c r="I52" s="245"/>
      <c r="J52" s="245"/>
      <c r="K52" s="245"/>
      <c r="L52" s="245"/>
      <c r="M52" s="245"/>
      <c r="N52" s="245"/>
      <c r="O52" s="245"/>
      <c r="P52" s="245"/>
      <c r="Q52" s="245"/>
      <c r="R52" s="244">
        <v>0</v>
      </c>
      <c r="T52">
        <f t="shared" si="0"/>
        <v>0</v>
      </c>
    </row>
    <row r="53" spans="1:20" x14ac:dyDescent="0.25">
      <c r="A53" s="244">
        <v>52</v>
      </c>
      <c r="B53" s="245" t="s">
        <v>652</v>
      </c>
      <c r="C53" s="245"/>
      <c r="D53" s="245"/>
      <c r="E53" s="245"/>
      <c r="F53" s="245"/>
      <c r="G53" s="245"/>
      <c r="H53" s="245"/>
      <c r="I53" s="245"/>
      <c r="J53" s="245"/>
      <c r="K53" s="245"/>
      <c r="L53" s="245"/>
      <c r="M53" s="245"/>
      <c r="N53" s="245"/>
      <c r="O53" s="245"/>
      <c r="P53" s="245"/>
      <c r="Q53" s="245"/>
      <c r="R53" s="244">
        <v>0</v>
      </c>
      <c r="T53">
        <f t="shared" si="0"/>
        <v>0</v>
      </c>
    </row>
    <row r="54" spans="1:20" x14ac:dyDescent="0.25">
      <c r="A54" s="244">
        <v>53</v>
      </c>
      <c r="B54" s="245" t="s">
        <v>653</v>
      </c>
      <c r="C54" s="245"/>
      <c r="D54" s="245"/>
      <c r="E54" s="245"/>
      <c r="F54" s="245"/>
      <c r="G54" s="245"/>
      <c r="H54" s="245"/>
      <c r="I54" s="245"/>
      <c r="J54" s="245"/>
      <c r="K54" s="245"/>
      <c r="L54" s="245"/>
      <c r="M54" s="245"/>
      <c r="N54" s="245"/>
      <c r="O54" s="245"/>
      <c r="P54" s="245"/>
      <c r="Q54" s="245"/>
      <c r="R54" s="244">
        <v>0</v>
      </c>
      <c r="T54">
        <f t="shared" si="0"/>
        <v>0</v>
      </c>
    </row>
    <row r="55" spans="1:20" x14ac:dyDescent="0.25">
      <c r="A55" s="244">
        <v>54</v>
      </c>
      <c r="B55" s="245" t="s">
        <v>654</v>
      </c>
      <c r="C55" s="245"/>
      <c r="D55" s="245"/>
      <c r="E55" s="245"/>
      <c r="F55" s="245"/>
      <c r="G55" s="245"/>
      <c r="H55" s="245"/>
      <c r="I55" s="245"/>
      <c r="J55" s="245"/>
      <c r="K55" s="245"/>
      <c r="L55" s="245"/>
      <c r="M55" s="245"/>
      <c r="N55" s="245"/>
      <c r="O55" s="245"/>
      <c r="P55" s="245"/>
      <c r="Q55" s="245"/>
      <c r="R55" s="244">
        <v>0</v>
      </c>
      <c r="T55">
        <f t="shared" si="0"/>
        <v>0</v>
      </c>
    </row>
    <row r="56" spans="1:20" x14ac:dyDescent="0.25">
      <c r="A56" s="244">
        <v>55</v>
      </c>
      <c r="B56" s="245" t="s">
        <v>655</v>
      </c>
      <c r="C56" s="245"/>
      <c r="D56" s="245"/>
      <c r="E56" s="245"/>
      <c r="F56" s="245"/>
      <c r="G56" s="245"/>
      <c r="H56" s="245"/>
      <c r="I56" s="245"/>
      <c r="J56" s="245"/>
      <c r="K56" s="245"/>
      <c r="L56" s="245"/>
      <c r="M56" s="245"/>
      <c r="N56" s="245"/>
      <c r="O56" s="245"/>
      <c r="P56" s="245"/>
      <c r="Q56" s="245"/>
      <c r="R56" s="244">
        <v>0</v>
      </c>
      <c r="T56">
        <f t="shared" si="0"/>
        <v>0</v>
      </c>
    </row>
    <row r="57" spans="1:20" x14ac:dyDescent="0.25">
      <c r="A57" s="244">
        <v>56</v>
      </c>
      <c r="B57" s="245" t="s">
        <v>656</v>
      </c>
      <c r="C57" s="245"/>
      <c r="D57" s="245"/>
      <c r="E57" s="245"/>
      <c r="F57" s="245"/>
      <c r="G57" s="245"/>
      <c r="H57" s="245"/>
      <c r="I57" s="245"/>
      <c r="J57" s="245"/>
      <c r="K57" s="245"/>
      <c r="L57" s="245"/>
      <c r="M57" s="245"/>
      <c r="N57" s="245"/>
      <c r="O57" s="245"/>
      <c r="P57" s="245"/>
      <c r="Q57" s="245"/>
      <c r="R57" s="244">
        <v>0</v>
      </c>
      <c r="T57">
        <f t="shared" si="0"/>
        <v>0</v>
      </c>
    </row>
    <row r="58" spans="1:20" x14ac:dyDescent="0.25">
      <c r="A58" s="244">
        <v>57</v>
      </c>
      <c r="B58" s="245" t="s">
        <v>657</v>
      </c>
      <c r="C58" s="245"/>
      <c r="D58" s="245"/>
      <c r="E58" s="245"/>
      <c r="F58" s="245"/>
      <c r="G58" s="245"/>
      <c r="H58" s="245"/>
      <c r="I58" s="245"/>
      <c r="J58" s="245"/>
      <c r="K58" s="245"/>
      <c r="L58" s="245"/>
      <c r="M58" s="245"/>
      <c r="N58" s="245"/>
      <c r="O58" s="245"/>
      <c r="P58" s="245"/>
      <c r="Q58" s="245"/>
      <c r="R58" s="244">
        <v>0</v>
      </c>
      <c r="T58">
        <f t="shared" si="0"/>
        <v>0</v>
      </c>
    </row>
    <row r="59" spans="1:20" x14ac:dyDescent="0.25">
      <c r="A59" s="244">
        <v>58</v>
      </c>
      <c r="B59" s="245" t="s">
        <v>658</v>
      </c>
      <c r="C59" s="245"/>
      <c r="D59" s="245"/>
      <c r="E59" s="245"/>
      <c r="F59" s="245"/>
      <c r="G59" s="245"/>
      <c r="H59" s="245"/>
      <c r="I59" s="245"/>
      <c r="J59" s="245"/>
      <c r="K59" s="245"/>
      <c r="L59" s="245"/>
      <c r="M59" s="245"/>
      <c r="N59" s="245"/>
      <c r="O59" s="245"/>
      <c r="P59" s="245"/>
      <c r="Q59" s="245"/>
      <c r="R59" s="244">
        <v>0</v>
      </c>
      <c r="T59">
        <f t="shared" si="0"/>
        <v>0</v>
      </c>
    </row>
    <row r="60" spans="1:20" x14ac:dyDescent="0.25">
      <c r="A60" s="244">
        <v>59</v>
      </c>
      <c r="B60" s="245" t="s">
        <v>659</v>
      </c>
      <c r="C60" s="245"/>
      <c r="D60" s="245"/>
      <c r="E60" s="245"/>
      <c r="F60" s="245"/>
      <c r="G60" s="245" t="s">
        <v>54</v>
      </c>
      <c r="H60" s="245"/>
      <c r="I60" s="245"/>
      <c r="J60" s="245"/>
      <c r="K60" s="245" t="s">
        <v>54</v>
      </c>
      <c r="L60" s="245" t="s">
        <v>54</v>
      </c>
      <c r="M60" s="245" t="s">
        <v>54</v>
      </c>
      <c r="N60" s="245"/>
      <c r="O60" s="245" t="s">
        <v>54</v>
      </c>
      <c r="P60" s="245" t="s">
        <v>54</v>
      </c>
      <c r="Q60" s="245" t="s">
        <v>54</v>
      </c>
      <c r="R60" s="246">
        <v>168</v>
      </c>
      <c r="T60">
        <f t="shared" si="0"/>
        <v>168</v>
      </c>
    </row>
    <row r="61" spans="1:20" x14ac:dyDescent="0.25">
      <c r="A61" s="244">
        <v>60</v>
      </c>
      <c r="B61" s="245" t="s">
        <v>660</v>
      </c>
      <c r="C61" s="245"/>
      <c r="D61" s="245"/>
      <c r="E61" s="245"/>
      <c r="F61" s="245"/>
      <c r="G61" s="245" t="s">
        <v>54</v>
      </c>
      <c r="H61" s="245"/>
      <c r="I61" s="245"/>
      <c r="J61" s="245"/>
      <c r="K61" s="245" t="s">
        <v>54</v>
      </c>
      <c r="L61" s="245" t="s">
        <v>54</v>
      </c>
      <c r="M61" s="245" t="s">
        <v>54</v>
      </c>
      <c r="N61" s="245"/>
      <c r="O61" s="245" t="s">
        <v>54</v>
      </c>
      <c r="P61" s="245" t="s">
        <v>54</v>
      </c>
      <c r="Q61" s="245" t="s">
        <v>54</v>
      </c>
      <c r="R61" s="246">
        <v>168</v>
      </c>
      <c r="T61">
        <f t="shared" si="0"/>
        <v>168</v>
      </c>
    </row>
    <row r="62" spans="1:20" x14ac:dyDescent="0.25">
      <c r="A62" s="244">
        <v>61</v>
      </c>
      <c r="B62" s="245" t="s">
        <v>661</v>
      </c>
      <c r="C62" s="245"/>
      <c r="D62" s="245"/>
      <c r="E62" s="245"/>
      <c r="F62" s="245"/>
      <c r="G62" s="245"/>
      <c r="H62" s="245"/>
      <c r="I62" s="245"/>
      <c r="J62" s="245"/>
      <c r="K62" s="245"/>
      <c r="L62" s="245"/>
      <c r="M62" s="245"/>
      <c r="N62" s="245"/>
      <c r="O62" s="245"/>
      <c r="P62" s="245"/>
      <c r="Q62" s="245"/>
      <c r="R62" s="244">
        <v>0</v>
      </c>
      <c r="T62">
        <f t="shared" si="0"/>
        <v>0</v>
      </c>
    </row>
    <row r="63" spans="1:20" x14ac:dyDescent="0.25">
      <c r="A63" s="244">
        <v>62</v>
      </c>
      <c r="B63" s="245" t="s">
        <v>662</v>
      </c>
      <c r="C63" s="245"/>
      <c r="D63" s="245"/>
      <c r="E63" s="245"/>
      <c r="F63" s="245"/>
      <c r="G63" s="245"/>
      <c r="H63" s="245"/>
      <c r="I63" s="245"/>
      <c r="J63" s="245"/>
      <c r="K63" s="245"/>
      <c r="L63" s="245"/>
      <c r="M63" s="245"/>
      <c r="N63" s="245"/>
      <c r="O63" s="245"/>
      <c r="P63" s="245"/>
      <c r="Q63" s="245"/>
      <c r="R63" s="244">
        <v>0</v>
      </c>
      <c r="T63">
        <f t="shared" si="0"/>
        <v>0</v>
      </c>
    </row>
    <row r="64" spans="1:20" x14ac:dyDescent="0.25">
      <c r="A64" s="244">
        <v>63</v>
      </c>
      <c r="B64" s="245" t="s">
        <v>668</v>
      </c>
      <c r="C64" s="245"/>
      <c r="D64" s="245"/>
      <c r="E64" s="245"/>
      <c r="F64" s="245"/>
      <c r="G64" s="245"/>
      <c r="H64" s="245"/>
      <c r="I64" s="245"/>
      <c r="J64" s="245"/>
      <c r="K64" s="245"/>
      <c r="L64" s="245"/>
      <c r="M64" s="245"/>
      <c r="N64" s="245"/>
      <c r="O64" s="245"/>
      <c r="P64" s="245"/>
      <c r="Q64" s="245"/>
      <c r="R64" s="244">
        <v>0</v>
      </c>
      <c r="T64">
        <f t="shared" si="0"/>
        <v>0</v>
      </c>
    </row>
    <row r="65" spans="1:18" x14ac:dyDescent="0.25">
      <c r="A65" s="243"/>
      <c r="B65" s="243"/>
      <c r="C65" s="243"/>
      <c r="D65" s="243"/>
      <c r="E65" s="243"/>
      <c r="F65" s="243"/>
      <c r="G65" s="243"/>
      <c r="H65" s="243"/>
      <c r="I65" s="243"/>
      <c r="J65" s="243"/>
      <c r="K65" s="243"/>
      <c r="L65" s="243"/>
      <c r="M65" s="243"/>
      <c r="N65" s="243"/>
      <c r="O65" s="243"/>
      <c r="P65" s="243"/>
      <c r="Q65" s="243"/>
      <c r="R65" s="247">
        <v>672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Лист7"/>
  <dimension ref="A1:AF34"/>
  <sheetViews>
    <sheetView workbookViewId="0">
      <selection activeCell="V25" sqref="V25"/>
    </sheetView>
  </sheetViews>
  <sheetFormatPr defaultColWidth="8.85546875" defaultRowHeight="15" outlineLevelCol="1" x14ac:dyDescent="0.25"/>
  <cols>
    <col min="1" max="1" width="3.42578125" style="99" customWidth="1"/>
    <col min="2" max="2" width="29.140625" style="99" customWidth="1"/>
    <col min="3" max="4" width="3.5703125" style="99" customWidth="1"/>
    <col min="5" max="5" width="3.42578125" customWidth="1"/>
    <col min="6" max="10" width="3.5703125" style="99" customWidth="1"/>
    <col min="11" max="12" width="3.5703125" style="99" hidden="1" customWidth="1"/>
    <col min="13" max="17" width="3.5703125" style="99" customWidth="1"/>
    <col min="18" max="19" width="6.42578125" style="99" customWidth="1"/>
    <col min="20" max="31" width="8.85546875" style="99" customWidth="1" outlineLevel="1"/>
    <col min="32" max="32" width="7.140625" style="99" customWidth="1"/>
    <col min="33" max="16384" width="8.85546875" style="99"/>
  </cols>
  <sheetData>
    <row r="1" spans="1:32" x14ac:dyDescent="0.25">
      <c r="A1" s="98" t="s">
        <v>1</v>
      </c>
      <c r="B1" s="98" t="s">
        <v>6</v>
      </c>
      <c r="C1" s="98" t="s">
        <v>60</v>
      </c>
      <c r="D1" s="98" t="s">
        <v>61</v>
      </c>
      <c r="E1" s="124" t="s">
        <v>62</v>
      </c>
      <c r="F1" s="98" t="s">
        <v>63</v>
      </c>
      <c r="G1" s="98" t="s">
        <v>83</v>
      </c>
      <c r="H1" s="98" t="s">
        <v>84</v>
      </c>
      <c r="I1" s="98" t="s">
        <v>85</v>
      </c>
      <c r="J1" s="98" t="s">
        <v>24</v>
      </c>
      <c r="K1" s="98" t="s">
        <v>25</v>
      </c>
      <c r="L1" s="98" t="s">
        <v>64</v>
      </c>
      <c r="M1" s="98" t="s">
        <v>26</v>
      </c>
      <c r="N1" s="98" t="s">
        <v>65</v>
      </c>
      <c r="O1" s="98" t="s">
        <v>66</v>
      </c>
      <c r="P1" s="98" t="s">
        <v>67</v>
      </c>
      <c r="Q1" s="98" t="s">
        <v>86</v>
      </c>
      <c r="R1" s="122">
        <f>SUM(R2:R25)</f>
        <v>2105</v>
      </c>
      <c r="S1" s="122" t="s">
        <v>81</v>
      </c>
      <c r="T1" s="115" t="s">
        <v>89</v>
      </c>
      <c r="U1" s="115"/>
      <c r="V1" s="117" t="s">
        <v>90</v>
      </c>
      <c r="W1" s="117"/>
      <c r="X1" s="118" t="s">
        <v>91</v>
      </c>
      <c r="Y1" s="118"/>
      <c r="Z1" s="119" t="s">
        <v>92</v>
      </c>
      <c r="AA1" s="119"/>
      <c r="AB1" s="120" t="s">
        <v>93</v>
      </c>
      <c r="AC1" s="120"/>
      <c r="AD1" s="121" t="s">
        <v>94</v>
      </c>
      <c r="AE1" s="123"/>
    </row>
    <row r="2" spans="1:32" x14ac:dyDescent="0.25">
      <c r="A2" s="100">
        <v>1</v>
      </c>
      <c r="B2" s="101" t="s">
        <v>80</v>
      </c>
      <c r="C2" s="102">
        <v>11</v>
      </c>
      <c r="D2" s="103">
        <v>11</v>
      </c>
      <c r="E2" s="101"/>
      <c r="F2" s="103">
        <v>11</v>
      </c>
      <c r="G2" s="103">
        <v>11</v>
      </c>
      <c r="H2" s="103">
        <v>11</v>
      </c>
      <c r="I2" s="103">
        <v>11</v>
      </c>
      <c r="J2" s="103">
        <v>5</v>
      </c>
      <c r="K2" s="101"/>
      <c r="L2" s="101"/>
      <c r="M2" s="103">
        <v>9</v>
      </c>
      <c r="N2" s="104">
        <v>10</v>
      </c>
      <c r="O2" s="101"/>
      <c r="P2" s="104">
        <v>10</v>
      </c>
      <c r="Q2" s="105">
        <v>10</v>
      </c>
      <c r="R2" s="99">
        <f t="shared" ref="R2:R25" si="0">D2+C2+E2+F2+G2+H2+I2+J2+K2+L2+M2+N2+O2+P2+Q2</f>
        <v>110</v>
      </c>
      <c r="S2" s="99">
        <v>160</v>
      </c>
      <c r="U2" s="99">
        <f>T2*S2</f>
        <v>0</v>
      </c>
      <c r="V2" s="99">
        <f>C2+D2+F2+G2+H2+I2+J2+M2</f>
        <v>80</v>
      </c>
      <c r="W2" s="99">
        <f>V2*$S2</f>
        <v>12800</v>
      </c>
      <c r="X2" s="99">
        <f>Q2</f>
        <v>10</v>
      </c>
      <c r="Y2" s="99">
        <f t="shared" ref="Y2:AA26" si="1">X2*$S2</f>
        <v>1600</v>
      </c>
      <c r="Z2" s="99">
        <f>N2+P2</f>
        <v>20</v>
      </c>
      <c r="AA2" s="99">
        <f t="shared" si="1"/>
        <v>3200</v>
      </c>
      <c r="AC2" s="99">
        <f t="shared" ref="AC2:AE17" si="2">AB2*$S2</f>
        <v>0</v>
      </c>
      <c r="AE2" s="99">
        <f t="shared" si="2"/>
        <v>0</v>
      </c>
      <c r="AF2" s="99">
        <f>+V2+X2+Z2+AB2+AD2+T2-R2</f>
        <v>0</v>
      </c>
    </row>
    <row r="3" spans="1:32" x14ac:dyDescent="0.25">
      <c r="A3" s="100">
        <v>2</v>
      </c>
      <c r="B3" s="101" t="s">
        <v>18</v>
      </c>
      <c r="C3" s="101">
        <v>11</v>
      </c>
      <c r="D3" s="101">
        <v>11</v>
      </c>
      <c r="E3" s="101">
        <v>8</v>
      </c>
      <c r="F3" s="101">
        <v>11</v>
      </c>
      <c r="G3" s="101">
        <v>11</v>
      </c>
      <c r="H3" s="101">
        <v>11</v>
      </c>
      <c r="I3" s="101">
        <v>11</v>
      </c>
      <c r="J3" s="101">
        <v>5</v>
      </c>
      <c r="K3" s="101"/>
      <c r="L3" s="101"/>
      <c r="M3" s="101"/>
      <c r="N3" s="101">
        <v>7</v>
      </c>
      <c r="O3" s="101">
        <v>11</v>
      </c>
      <c r="P3" s="101">
        <v>10</v>
      </c>
      <c r="Q3" s="101">
        <v>10</v>
      </c>
      <c r="R3" s="99">
        <f t="shared" si="0"/>
        <v>117</v>
      </c>
      <c r="S3" s="99">
        <v>160</v>
      </c>
      <c r="U3" s="99">
        <f t="shared" ref="U3:U26" si="3">T3*S3</f>
        <v>0</v>
      </c>
      <c r="W3" s="99">
        <f t="shared" ref="W3:W26" si="4">V3*S3</f>
        <v>0</v>
      </c>
      <c r="Y3" s="99">
        <f t="shared" si="1"/>
        <v>0</v>
      </c>
      <c r="AA3" s="99">
        <f t="shared" si="1"/>
        <v>0</v>
      </c>
      <c r="AC3" s="99">
        <f t="shared" ref="AC3" si="5">AB3*$S3</f>
        <v>0</v>
      </c>
      <c r="AE3" s="99">
        <f t="shared" si="2"/>
        <v>0</v>
      </c>
      <c r="AF3" s="99">
        <f t="shared" ref="AF3:AF27" si="6">+V3+X3+Z3+AB3+AD3+T3-R3</f>
        <v>-117</v>
      </c>
    </row>
    <row r="4" spans="1:32" x14ac:dyDescent="0.25">
      <c r="A4" s="100">
        <v>3</v>
      </c>
      <c r="B4" s="101" t="s">
        <v>3</v>
      </c>
      <c r="C4" s="101"/>
      <c r="D4" s="101"/>
      <c r="E4" s="101"/>
      <c r="F4" s="101"/>
      <c r="G4" s="104">
        <v>11</v>
      </c>
      <c r="H4" s="104">
        <v>11</v>
      </c>
      <c r="I4" s="104">
        <v>11</v>
      </c>
      <c r="J4" s="104">
        <v>5</v>
      </c>
      <c r="K4" s="101"/>
      <c r="L4" s="101"/>
      <c r="M4" s="104">
        <v>9</v>
      </c>
      <c r="N4" s="104">
        <v>10</v>
      </c>
      <c r="O4" s="104">
        <v>11</v>
      </c>
      <c r="P4" s="104">
        <v>10</v>
      </c>
      <c r="Q4" s="105">
        <v>10</v>
      </c>
      <c r="R4" s="99">
        <f t="shared" si="0"/>
        <v>88</v>
      </c>
      <c r="S4" s="99">
        <v>130</v>
      </c>
      <c r="U4" s="99">
        <f t="shared" si="3"/>
        <v>0</v>
      </c>
      <c r="W4" s="99">
        <f t="shared" si="4"/>
        <v>0</v>
      </c>
      <c r="X4" s="99">
        <f>Q4</f>
        <v>10</v>
      </c>
      <c r="Y4" s="99">
        <f t="shared" si="1"/>
        <v>1300</v>
      </c>
      <c r="Z4" s="99">
        <f>G4+H4+I4+J4+M4+N4+O4+P4</f>
        <v>78</v>
      </c>
      <c r="AA4" s="99">
        <f t="shared" si="1"/>
        <v>10140</v>
      </c>
      <c r="AC4" s="99">
        <f t="shared" ref="AC4" si="7">AB4*$S4</f>
        <v>0</v>
      </c>
      <c r="AE4" s="99">
        <f t="shared" si="2"/>
        <v>0</v>
      </c>
      <c r="AF4" s="99">
        <f t="shared" si="6"/>
        <v>0</v>
      </c>
    </row>
    <row r="5" spans="1:32" x14ac:dyDescent="0.25">
      <c r="A5" s="100">
        <v>4</v>
      </c>
      <c r="B5" s="101" t="s">
        <v>10</v>
      </c>
      <c r="C5" s="103">
        <v>11</v>
      </c>
      <c r="D5" s="103">
        <v>11</v>
      </c>
      <c r="E5" s="101"/>
      <c r="F5" s="103">
        <v>11</v>
      </c>
      <c r="G5" s="103">
        <v>11</v>
      </c>
      <c r="H5" s="106">
        <v>11</v>
      </c>
      <c r="I5" s="106">
        <v>11</v>
      </c>
      <c r="J5" s="106">
        <v>5</v>
      </c>
      <c r="K5" s="101"/>
      <c r="L5" s="101"/>
      <c r="M5" s="106">
        <v>9</v>
      </c>
      <c r="N5" s="106">
        <v>10</v>
      </c>
      <c r="O5" s="106">
        <v>11</v>
      </c>
      <c r="P5" s="106">
        <v>10</v>
      </c>
      <c r="Q5" s="106">
        <v>10</v>
      </c>
      <c r="R5" s="99">
        <f t="shared" si="0"/>
        <v>121</v>
      </c>
      <c r="S5" s="99">
        <v>130</v>
      </c>
      <c r="T5" s="99">
        <f>H5+I5+J5+M5+N5+O5+P5+Q5</f>
        <v>77</v>
      </c>
      <c r="U5" s="99">
        <f t="shared" si="3"/>
        <v>10010</v>
      </c>
      <c r="V5" s="99">
        <f>C5+D5+F5+G5</f>
        <v>44</v>
      </c>
      <c r="W5" s="99">
        <f t="shared" si="4"/>
        <v>5720</v>
      </c>
      <c r="Y5" s="99">
        <f t="shared" si="1"/>
        <v>0</v>
      </c>
      <c r="AA5" s="99">
        <f t="shared" si="1"/>
        <v>0</v>
      </c>
      <c r="AC5" s="99">
        <f t="shared" ref="AC5" si="8">AB5*$S5</f>
        <v>0</v>
      </c>
      <c r="AE5" s="99">
        <f t="shared" si="2"/>
        <v>0</v>
      </c>
      <c r="AF5" s="99">
        <f t="shared" si="6"/>
        <v>0</v>
      </c>
    </row>
    <row r="6" spans="1:32" x14ac:dyDescent="0.25">
      <c r="A6" s="100">
        <v>5</v>
      </c>
      <c r="B6" s="101" t="s">
        <v>11</v>
      </c>
      <c r="C6" s="103">
        <v>11</v>
      </c>
      <c r="D6" s="103">
        <v>11</v>
      </c>
      <c r="E6" s="103">
        <v>8</v>
      </c>
      <c r="F6" s="103">
        <v>11</v>
      </c>
      <c r="G6" s="103">
        <v>11</v>
      </c>
      <c r="H6" s="107"/>
      <c r="I6" s="106">
        <v>11</v>
      </c>
      <c r="J6" s="106">
        <v>5</v>
      </c>
      <c r="K6" s="101"/>
      <c r="L6" s="101"/>
      <c r="M6" s="106">
        <v>9</v>
      </c>
      <c r="N6" s="106">
        <v>10</v>
      </c>
      <c r="O6" s="106">
        <v>11</v>
      </c>
      <c r="P6" s="106">
        <v>10</v>
      </c>
      <c r="Q6" s="106">
        <v>10</v>
      </c>
      <c r="R6" s="99">
        <f t="shared" si="0"/>
        <v>118</v>
      </c>
      <c r="S6" s="99">
        <v>130</v>
      </c>
      <c r="T6" s="99">
        <f>Q6+P6+O6+N6+J6+M6+I6</f>
        <v>66</v>
      </c>
      <c r="U6" s="99">
        <f t="shared" si="3"/>
        <v>8580</v>
      </c>
      <c r="V6" s="99">
        <f>C6+D6+E6+F6+G6</f>
        <v>52</v>
      </c>
      <c r="W6" s="99">
        <f t="shared" si="4"/>
        <v>6760</v>
      </c>
      <c r="Y6" s="99">
        <f t="shared" si="1"/>
        <v>0</v>
      </c>
      <c r="AA6" s="99">
        <f t="shared" si="1"/>
        <v>0</v>
      </c>
      <c r="AC6" s="99">
        <f t="shared" ref="AC6" si="9">AB6*$S6</f>
        <v>0</v>
      </c>
      <c r="AE6" s="99">
        <f t="shared" si="2"/>
        <v>0</v>
      </c>
      <c r="AF6" s="99">
        <f t="shared" si="6"/>
        <v>0</v>
      </c>
    </row>
    <row r="7" spans="1:32" x14ac:dyDescent="0.25">
      <c r="A7" s="100">
        <v>6</v>
      </c>
      <c r="B7" s="101" t="s">
        <v>12</v>
      </c>
      <c r="C7" s="103">
        <v>11</v>
      </c>
      <c r="D7" s="103">
        <v>11</v>
      </c>
      <c r="E7" s="101"/>
      <c r="F7" s="103">
        <v>11</v>
      </c>
      <c r="G7" s="103">
        <v>11</v>
      </c>
      <c r="H7" s="101"/>
      <c r="I7" s="101"/>
      <c r="J7" s="101"/>
      <c r="K7" s="101"/>
      <c r="L7" s="101"/>
      <c r="M7" s="103">
        <v>9</v>
      </c>
      <c r="N7" s="106">
        <v>7</v>
      </c>
      <c r="O7" s="106">
        <v>11</v>
      </c>
      <c r="P7" s="106">
        <v>10</v>
      </c>
      <c r="Q7" s="106">
        <v>10</v>
      </c>
      <c r="R7" s="99">
        <f t="shared" si="0"/>
        <v>91</v>
      </c>
      <c r="S7" s="99">
        <v>130</v>
      </c>
      <c r="T7" s="99">
        <f>N7+O7+P7+Q7</f>
        <v>38</v>
      </c>
      <c r="U7" s="99">
        <f t="shared" si="3"/>
        <v>4940</v>
      </c>
      <c r="V7" s="99">
        <f>C7+D7+F7+G7+M7</f>
        <v>53</v>
      </c>
      <c r="W7" s="99">
        <f t="shared" si="4"/>
        <v>6890</v>
      </c>
      <c r="Y7" s="99">
        <f t="shared" si="1"/>
        <v>0</v>
      </c>
      <c r="AA7" s="99">
        <f t="shared" si="1"/>
        <v>0</v>
      </c>
      <c r="AC7" s="99">
        <f t="shared" ref="AC7" si="10">AB7*$S7</f>
        <v>0</v>
      </c>
      <c r="AE7" s="99">
        <f t="shared" si="2"/>
        <v>0</v>
      </c>
      <c r="AF7" s="99">
        <f t="shared" si="6"/>
        <v>0</v>
      </c>
    </row>
    <row r="8" spans="1:32" x14ac:dyDescent="0.25">
      <c r="A8" s="100">
        <v>7</v>
      </c>
      <c r="B8" s="101" t="s">
        <v>13</v>
      </c>
      <c r="C8" s="103">
        <v>11</v>
      </c>
      <c r="D8" s="103">
        <v>11</v>
      </c>
      <c r="E8" s="103">
        <v>8</v>
      </c>
      <c r="F8" s="103">
        <v>11</v>
      </c>
      <c r="G8" s="103">
        <v>11</v>
      </c>
      <c r="H8" s="103">
        <v>11</v>
      </c>
      <c r="I8" s="103">
        <v>11</v>
      </c>
      <c r="J8" s="103">
        <v>5</v>
      </c>
      <c r="K8" s="101"/>
      <c r="L8" s="101"/>
      <c r="M8" s="101"/>
      <c r="N8" s="108">
        <v>7</v>
      </c>
      <c r="O8" s="101"/>
      <c r="P8" s="105">
        <v>10</v>
      </c>
      <c r="Q8" s="105">
        <v>10</v>
      </c>
      <c r="R8" s="99">
        <f t="shared" si="0"/>
        <v>106</v>
      </c>
      <c r="S8" s="99">
        <v>150</v>
      </c>
      <c r="U8" s="99">
        <f t="shared" si="3"/>
        <v>0</v>
      </c>
      <c r="V8" s="99">
        <f>C8+D8+E8+F8+G8+H8+I8+J8</f>
        <v>79</v>
      </c>
      <c r="W8" s="99">
        <f t="shared" si="4"/>
        <v>11850</v>
      </c>
      <c r="X8" s="99">
        <f>P8+Q8</f>
        <v>20</v>
      </c>
      <c r="Y8" s="99">
        <f t="shared" si="1"/>
        <v>3000</v>
      </c>
      <c r="AA8" s="99">
        <f t="shared" si="1"/>
        <v>0</v>
      </c>
      <c r="AC8" s="99">
        <f t="shared" ref="AC8" si="11">AB8*$S8</f>
        <v>0</v>
      </c>
      <c r="AD8" s="99">
        <f>N8</f>
        <v>7</v>
      </c>
      <c r="AE8" s="99">
        <f t="shared" si="2"/>
        <v>1050</v>
      </c>
      <c r="AF8" s="99">
        <f t="shared" si="6"/>
        <v>0</v>
      </c>
    </row>
    <row r="9" spans="1:32" x14ac:dyDescent="0.25">
      <c r="A9" s="100">
        <v>8</v>
      </c>
      <c r="B9" s="101" t="s">
        <v>14</v>
      </c>
      <c r="C9" s="103">
        <v>11</v>
      </c>
      <c r="D9" s="103">
        <v>11</v>
      </c>
      <c r="E9" s="101"/>
      <c r="F9" s="103">
        <v>11</v>
      </c>
      <c r="G9" s="103">
        <v>11</v>
      </c>
      <c r="H9" s="103">
        <v>11</v>
      </c>
      <c r="I9" s="103">
        <v>11</v>
      </c>
      <c r="J9" s="103">
        <v>5</v>
      </c>
      <c r="K9" s="101"/>
      <c r="L9" s="101"/>
      <c r="M9" s="101"/>
      <c r="N9" s="106">
        <v>7</v>
      </c>
      <c r="O9" s="101"/>
      <c r="P9" s="106">
        <v>10</v>
      </c>
      <c r="Q9" s="106">
        <v>10</v>
      </c>
      <c r="R9" s="99">
        <f t="shared" si="0"/>
        <v>98</v>
      </c>
      <c r="S9" s="99">
        <v>130</v>
      </c>
      <c r="T9" s="99">
        <f>Q9+P9+N9</f>
        <v>27</v>
      </c>
      <c r="U9" s="99">
        <f t="shared" si="3"/>
        <v>3510</v>
      </c>
      <c r="V9" s="99">
        <f>C9+D9+F9+G9+H9+I9+J9</f>
        <v>71</v>
      </c>
      <c r="W9" s="99">
        <f t="shared" si="4"/>
        <v>9230</v>
      </c>
      <c r="Y9" s="99">
        <f t="shared" si="1"/>
        <v>0</v>
      </c>
      <c r="AA9" s="99">
        <f t="shared" si="1"/>
        <v>0</v>
      </c>
      <c r="AC9" s="99">
        <f t="shared" ref="AC9" si="12">AB9*$S9</f>
        <v>0</v>
      </c>
      <c r="AE9" s="99">
        <f t="shared" si="2"/>
        <v>0</v>
      </c>
      <c r="AF9" s="99">
        <f t="shared" si="6"/>
        <v>0</v>
      </c>
    </row>
    <row r="10" spans="1:32" x14ac:dyDescent="0.25">
      <c r="A10" s="100">
        <v>9</v>
      </c>
      <c r="B10" s="101" t="s">
        <v>15</v>
      </c>
      <c r="C10" s="101"/>
      <c r="D10" s="101"/>
      <c r="E10" s="101"/>
      <c r="F10" s="103">
        <v>11</v>
      </c>
      <c r="G10" s="103">
        <v>11</v>
      </c>
      <c r="H10" s="103">
        <v>11</v>
      </c>
      <c r="I10" s="103">
        <v>11</v>
      </c>
      <c r="J10" s="101"/>
      <c r="K10" s="101"/>
      <c r="L10" s="101"/>
      <c r="M10" s="101"/>
      <c r="N10" s="101"/>
      <c r="O10" s="101"/>
      <c r="P10" s="101"/>
      <c r="Q10" s="101"/>
      <c r="R10" s="99">
        <f t="shared" si="0"/>
        <v>44</v>
      </c>
      <c r="S10" s="99">
        <v>130</v>
      </c>
      <c r="U10" s="99">
        <f t="shared" si="3"/>
        <v>0</v>
      </c>
      <c r="V10" s="99">
        <f>F10+G10+H10+I10</f>
        <v>44</v>
      </c>
      <c r="W10" s="99">
        <f t="shared" si="4"/>
        <v>5720</v>
      </c>
      <c r="Y10" s="99">
        <f t="shared" si="1"/>
        <v>0</v>
      </c>
      <c r="AA10" s="99">
        <f t="shared" si="1"/>
        <v>0</v>
      </c>
      <c r="AC10" s="99">
        <f t="shared" ref="AC10" si="13">AB10*$S10</f>
        <v>0</v>
      </c>
      <c r="AE10" s="99">
        <f t="shared" si="2"/>
        <v>0</v>
      </c>
      <c r="AF10" s="99">
        <f t="shared" si="6"/>
        <v>0</v>
      </c>
    </row>
    <row r="11" spans="1:32" x14ac:dyDescent="0.25">
      <c r="A11" s="100">
        <v>10</v>
      </c>
      <c r="B11" s="101" t="s">
        <v>16</v>
      </c>
      <c r="C11" s="103">
        <v>11</v>
      </c>
      <c r="D11" s="103">
        <v>11</v>
      </c>
      <c r="E11" s="103">
        <v>8</v>
      </c>
      <c r="F11" s="103">
        <v>11</v>
      </c>
      <c r="G11" s="103">
        <v>11</v>
      </c>
      <c r="H11" s="103">
        <v>11</v>
      </c>
      <c r="I11" s="109">
        <v>12</v>
      </c>
      <c r="J11" s="109">
        <v>5</v>
      </c>
      <c r="K11" s="101"/>
      <c r="L11" s="101"/>
      <c r="M11" s="101"/>
      <c r="N11" s="101"/>
      <c r="O11" s="104">
        <v>11</v>
      </c>
      <c r="P11" s="101"/>
      <c r="Q11" s="101"/>
      <c r="R11" s="99">
        <f t="shared" si="0"/>
        <v>91</v>
      </c>
      <c r="S11" s="99">
        <v>150</v>
      </c>
      <c r="U11" s="99">
        <f t="shared" si="3"/>
        <v>0</v>
      </c>
      <c r="V11" s="99">
        <f>C11+D11+E11+F11+G11+H11</f>
        <v>63</v>
      </c>
      <c r="W11" s="99">
        <f t="shared" si="4"/>
        <v>9450</v>
      </c>
      <c r="Y11" s="99">
        <f t="shared" si="1"/>
        <v>0</v>
      </c>
      <c r="Z11" s="99">
        <f>O11</f>
        <v>11</v>
      </c>
      <c r="AA11" s="99">
        <f t="shared" si="1"/>
        <v>1650</v>
      </c>
      <c r="AB11" s="99">
        <f>I11+J11</f>
        <v>17</v>
      </c>
      <c r="AC11" s="99">
        <f t="shared" ref="AC11" si="14">AB11*$S11</f>
        <v>2550</v>
      </c>
      <c r="AE11" s="99">
        <f t="shared" si="2"/>
        <v>0</v>
      </c>
      <c r="AF11" s="99">
        <f t="shared" si="6"/>
        <v>0</v>
      </c>
    </row>
    <row r="12" spans="1:32" x14ac:dyDescent="0.25">
      <c r="A12" s="100">
        <v>11</v>
      </c>
      <c r="B12" s="101" t="s">
        <v>34</v>
      </c>
      <c r="C12" s="103">
        <v>11</v>
      </c>
      <c r="D12" s="103">
        <v>11</v>
      </c>
      <c r="E12" s="103">
        <v>8</v>
      </c>
      <c r="F12" s="103">
        <v>11</v>
      </c>
      <c r="G12" s="103">
        <v>11</v>
      </c>
      <c r="H12" s="103">
        <v>11</v>
      </c>
      <c r="I12" s="109">
        <v>11</v>
      </c>
      <c r="J12" s="109">
        <v>5</v>
      </c>
      <c r="K12" s="101"/>
      <c r="L12" s="101"/>
      <c r="M12" s="101"/>
      <c r="N12" s="106">
        <v>7</v>
      </c>
      <c r="O12" s="101"/>
      <c r="P12" s="105">
        <v>10</v>
      </c>
      <c r="Q12" s="105">
        <v>10</v>
      </c>
      <c r="R12" s="99">
        <f t="shared" si="0"/>
        <v>106</v>
      </c>
      <c r="S12" s="99">
        <v>130</v>
      </c>
      <c r="T12" s="99">
        <f>N12</f>
        <v>7</v>
      </c>
      <c r="U12" s="99">
        <f t="shared" si="3"/>
        <v>910</v>
      </c>
      <c r="V12" s="99">
        <f>C12+D12+E12+F12+G12+H12</f>
        <v>63</v>
      </c>
      <c r="W12" s="99">
        <f t="shared" si="4"/>
        <v>8190</v>
      </c>
      <c r="X12" s="99">
        <f>P12+Q12</f>
        <v>20</v>
      </c>
      <c r="Y12" s="99">
        <f t="shared" si="1"/>
        <v>2600</v>
      </c>
      <c r="AA12" s="99">
        <f t="shared" si="1"/>
        <v>0</v>
      </c>
      <c r="AB12" s="99">
        <f>I12+J12</f>
        <v>16</v>
      </c>
      <c r="AC12" s="99">
        <f t="shared" ref="AC12" si="15">AB12*$S12</f>
        <v>2080</v>
      </c>
      <c r="AE12" s="99">
        <f t="shared" si="2"/>
        <v>0</v>
      </c>
      <c r="AF12" s="99">
        <f t="shared" si="6"/>
        <v>0</v>
      </c>
    </row>
    <row r="13" spans="1:32" x14ac:dyDescent="0.25">
      <c r="A13" s="100">
        <v>12</v>
      </c>
      <c r="B13" s="101" t="s">
        <v>4</v>
      </c>
      <c r="C13" s="101"/>
      <c r="D13" s="101"/>
      <c r="E13" s="101"/>
      <c r="F13" s="101"/>
      <c r="G13" s="101"/>
      <c r="H13" s="106">
        <v>11</v>
      </c>
      <c r="I13" s="106">
        <v>11</v>
      </c>
      <c r="J13" s="106">
        <v>5</v>
      </c>
      <c r="K13" s="101"/>
      <c r="L13" s="101"/>
      <c r="M13" s="101"/>
      <c r="N13" s="106">
        <v>7</v>
      </c>
      <c r="O13" s="105">
        <v>11</v>
      </c>
      <c r="P13" s="101"/>
      <c r="Q13" s="101"/>
      <c r="R13" s="99">
        <f t="shared" si="0"/>
        <v>45</v>
      </c>
      <c r="S13" s="99">
        <v>130</v>
      </c>
      <c r="T13" s="99">
        <f>H13+I13+J13+N13</f>
        <v>34</v>
      </c>
      <c r="U13" s="99">
        <f t="shared" si="3"/>
        <v>4420</v>
      </c>
      <c r="W13" s="99">
        <f t="shared" si="4"/>
        <v>0</v>
      </c>
      <c r="X13" s="99">
        <f>O13</f>
        <v>11</v>
      </c>
      <c r="Y13" s="99">
        <f t="shared" si="1"/>
        <v>1430</v>
      </c>
      <c r="AA13" s="99">
        <f t="shared" si="1"/>
        <v>0</v>
      </c>
      <c r="AC13" s="99">
        <f t="shared" ref="AC13" si="16">AB13*$S13</f>
        <v>0</v>
      </c>
      <c r="AE13" s="99">
        <f t="shared" si="2"/>
        <v>0</v>
      </c>
      <c r="AF13" s="99">
        <f t="shared" si="6"/>
        <v>0</v>
      </c>
    </row>
    <row r="14" spans="1:32" x14ac:dyDescent="0.25">
      <c r="A14" s="100">
        <v>13</v>
      </c>
      <c r="B14" s="101" t="s">
        <v>5</v>
      </c>
      <c r="C14" s="106">
        <v>11</v>
      </c>
      <c r="D14" s="106">
        <v>11</v>
      </c>
      <c r="E14" s="101"/>
      <c r="F14" s="106">
        <v>11</v>
      </c>
      <c r="G14" s="106">
        <v>11</v>
      </c>
      <c r="H14" s="101"/>
      <c r="I14" s="101"/>
      <c r="J14" s="101"/>
      <c r="K14" s="101"/>
      <c r="L14" s="101"/>
      <c r="M14" s="101"/>
      <c r="N14" s="106">
        <v>7</v>
      </c>
      <c r="O14" s="106">
        <v>11</v>
      </c>
      <c r="P14" s="101"/>
      <c r="Q14" s="106">
        <v>10</v>
      </c>
      <c r="R14" s="99">
        <f t="shared" si="0"/>
        <v>72</v>
      </c>
      <c r="S14" s="99">
        <v>130</v>
      </c>
      <c r="T14" s="99">
        <f>C14+D14+F14+G14+N14+O14+Q14</f>
        <v>72</v>
      </c>
      <c r="U14" s="99">
        <f t="shared" si="3"/>
        <v>9360</v>
      </c>
      <c r="W14" s="99">
        <f t="shared" si="4"/>
        <v>0</v>
      </c>
      <c r="Y14" s="99">
        <f t="shared" si="1"/>
        <v>0</v>
      </c>
      <c r="AA14" s="99">
        <f t="shared" si="1"/>
        <v>0</v>
      </c>
      <c r="AC14" s="99">
        <f t="shared" ref="AC14" si="17">AB14*$S14</f>
        <v>0</v>
      </c>
      <c r="AE14" s="99">
        <f t="shared" si="2"/>
        <v>0</v>
      </c>
      <c r="AF14" s="99">
        <f t="shared" si="6"/>
        <v>0</v>
      </c>
    </row>
    <row r="15" spans="1:32" x14ac:dyDescent="0.25">
      <c r="A15" s="100">
        <v>14</v>
      </c>
      <c r="B15" s="101" t="s">
        <v>17</v>
      </c>
      <c r="C15" s="103">
        <v>11</v>
      </c>
      <c r="D15" s="103">
        <v>11</v>
      </c>
      <c r="E15" s="103">
        <v>8</v>
      </c>
      <c r="F15" s="103">
        <v>11</v>
      </c>
      <c r="G15" s="103">
        <v>11</v>
      </c>
      <c r="H15" s="103">
        <v>11</v>
      </c>
      <c r="I15" s="103">
        <v>11</v>
      </c>
      <c r="J15" s="103">
        <v>5</v>
      </c>
      <c r="K15" s="101"/>
      <c r="L15" s="101"/>
      <c r="M15" s="101"/>
      <c r="N15" s="110">
        <v>7</v>
      </c>
      <c r="O15" s="101"/>
      <c r="P15" s="105">
        <v>10</v>
      </c>
      <c r="Q15" s="105">
        <v>10</v>
      </c>
      <c r="R15" s="99">
        <f t="shared" si="0"/>
        <v>106</v>
      </c>
      <c r="S15" s="99">
        <v>150</v>
      </c>
      <c r="U15" s="99">
        <f t="shared" si="3"/>
        <v>0</v>
      </c>
      <c r="V15" s="99">
        <f>C15+D15+E15+F15+G15+H15+I15+J15</f>
        <v>79</v>
      </c>
      <c r="W15" s="99">
        <f t="shared" si="4"/>
        <v>11850</v>
      </c>
      <c r="X15" s="99">
        <f>P15+Q15</f>
        <v>20</v>
      </c>
      <c r="Y15" s="99">
        <f t="shared" si="1"/>
        <v>3000</v>
      </c>
      <c r="AA15" s="99">
        <f t="shared" si="1"/>
        <v>0</v>
      </c>
      <c r="AC15" s="99">
        <f t="shared" ref="AC15" si="18">AB15*$S15</f>
        <v>0</v>
      </c>
      <c r="AD15" s="99">
        <f>N15</f>
        <v>7</v>
      </c>
      <c r="AE15" s="99">
        <f t="shared" si="2"/>
        <v>1050</v>
      </c>
      <c r="AF15" s="99">
        <f t="shared" si="6"/>
        <v>0</v>
      </c>
    </row>
    <row r="16" spans="1:32" x14ac:dyDescent="0.25">
      <c r="A16" s="100">
        <v>15</v>
      </c>
      <c r="B16" s="101" t="s">
        <v>37</v>
      </c>
      <c r="C16" s="103">
        <v>11</v>
      </c>
      <c r="D16" s="103">
        <v>11</v>
      </c>
      <c r="E16" s="101"/>
      <c r="F16" s="101"/>
      <c r="G16" s="103">
        <v>11</v>
      </c>
      <c r="H16" s="101"/>
      <c r="I16" s="101"/>
      <c r="J16" s="101"/>
      <c r="K16" s="101"/>
      <c r="L16" s="101"/>
      <c r="M16" s="101"/>
      <c r="N16" s="106">
        <v>7</v>
      </c>
      <c r="O16" s="101"/>
      <c r="P16" s="101"/>
      <c r="Q16" s="101"/>
      <c r="R16" s="99">
        <f t="shared" si="0"/>
        <v>40</v>
      </c>
      <c r="S16" s="99">
        <v>150</v>
      </c>
      <c r="T16" s="99">
        <f>N16</f>
        <v>7</v>
      </c>
      <c r="U16" s="99">
        <f t="shared" si="3"/>
        <v>1050</v>
      </c>
      <c r="V16" s="99">
        <f>C16+D16+G16</f>
        <v>33</v>
      </c>
      <c r="W16" s="99">
        <f t="shared" si="4"/>
        <v>4950</v>
      </c>
      <c r="Y16" s="99">
        <f t="shared" si="1"/>
        <v>0</v>
      </c>
      <c r="AA16" s="99">
        <f t="shared" si="1"/>
        <v>0</v>
      </c>
      <c r="AC16" s="99">
        <f t="shared" ref="AC16" si="19">AB16*$S16</f>
        <v>0</v>
      </c>
      <c r="AE16" s="99">
        <f t="shared" si="2"/>
        <v>0</v>
      </c>
      <c r="AF16" s="99">
        <f t="shared" si="6"/>
        <v>0</v>
      </c>
    </row>
    <row r="17" spans="1:32" x14ac:dyDescent="0.25">
      <c r="A17" s="100">
        <v>16</v>
      </c>
      <c r="B17" s="101" t="s">
        <v>38</v>
      </c>
      <c r="C17" s="106">
        <v>11</v>
      </c>
      <c r="D17" s="106">
        <v>11</v>
      </c>
      <c r="E17" s="101"/>
      <c r="F17" s="106">
        <v>11</v>
      </c>
      <c r="G17" s="106">
        <v>11</v>
      </c>
      <c r="H17" s="106">
        <v>11</v>
      </c>
      <c r="I17" s="106">
        <v>11</v>
      </c>
      <c r="J17" s="106">
        <v>5</v>
      </c>
      <c r="K17" s="101"/>
      <c r="L17" s="101"/>
      <c r="M17" s="106">
        <v>9</v>
      </c>
      <c r="N17" s="106">
        <v>7</v>
      </c>
      <c r="O17" s="101"/>
      <c r="P17" s="106">
        <v>10</v>
      </c>
      <c r="Q17" s="106">
        <v>10</v>
      </c>
      <c r="R17" s="99">
        <f t="shared" si="0"/>
        <v>107</v>
      </c>
      <c r="S17" s="99">
        <v>150</v>
      </c>
      <c r="T17" s="99">
        <f>C17+D17+F17+G17+H17+I17+J17+M17+N17+P17+Q17</f>
        <v>107</v>
      </c>
      <c r="U17" s="99">
        <f t="shared" si="3"/>
        <v>16050</v>
      </c>
      <c r="W17" s="99">
        <f t="shared" si="4"/>
        <v>0</v>
      </c>
      <c r="Y17" s="99">
        <f t="shared" si="1"/>
        <v>0</v>
      </c>
      <c r="AA17" s="99">
        <f t="shared" si="1"/>
        <v>0</v>
      </c>
      <c r="AC17" s="99">
        <f t="shared" ref="AC17" si="20">AB17*$S17</f>
        <v>0</v>
      </c>
      <c r="AE17" s="99">
        <f t="shared" si="2"/>
        <v>0</v>
      </c>
      <c r="AF17" s="99">
        <f t="shared" si="6"/>
        <v>0</v>
      </c>
    </row>
    <row r="18" spans="1:32" x14ac:dyDescent="0.25">
      <c r="A18" s="100">
        <v>17</v>
      </c>
      <c r="B18" s="101" t="s">
        <v>7</v>
      </c>
      <c r="C18" s="106">
        <v>11</v>
      </c>
      <c r="D18" s="106">
        <v>11</v>
      </c>
      <c r="E18" s="101"/>
      <c r="F18" s="101"/>
      <c r="G18" s="106">
        <v>11</v>
      </c>
      <c r="H18" s="106">
        <v>11</v>
      </c>
      <c r="I18" s="106">
        <v>11</v>
      </c>
      <c r="J18" s="106">
        <v>5</v>
      </c>
      <c r="K18" s="101"/>
      <c r="L18" s="101"/>
      <c r="M18" s="101"/>
      <c r="N18" s="106">
        <v>7</v>
      </c>
      <c r="O18" s="101"/>
      <c r="P18" s="105">
        <v>10</v>
      </c>
      <c r="Q18" s="105">
        <v>10</v>
      </c>
      <c r="R18" s="99">
        <f t="shared" si="0"/>
        <v>87</v>
      </c>
      <c r="S18" s="99">
        <v>150</v>
      </c>
      <c r="T18" s="99">
        <f>C18+D18+G18+H18+I18+J18+N18</f>
        <v>67</v>
      </c>
      <c r="U18" s="99">
        <f t="shared" si="3"/>
        <v>10050</v>
      </c>
      <c r="W18" s="99">
        <f t="shared" si="4"/>
        <v>0</v>
      </c>
      <c r="X18" s="99">
        <f>P18+Q18</f>
        <v>20</v>
      </c>
      <c r="Y18" s="99">
        <f t="shared" si="1"/>
        <v>3000</v>
      </c>
      <c r="AA18" s="99">
        <f t="shared" si="1"/>
        <v>0</v>
      </c>
      <c r="AC18" s="99">
        <f t="shared" ref="AC18" si="21">AB18*$S18</f>
        <v>0</v>
      </c>
      <c r="AE18" s="99">
        <f t="shared" ref="AE18:AE26" si="22">AD18*$S18</f>
        <v>0</v>
      </c>
      <c r="AF18" s="99">
        <f t="shared" si="6"/>
        <v>0</v>
      </c>
    </row>
    <row r="19" spans="1:32" x14ac:dyDescent="0.25">
      <c r="A19" s="100">
        <v>18</v>
      </c>
      <c r="B19" s="101" t="s">
        <v>19</v>
      </c>
      <c r="C19" s="103">
        <v>11</v>
      </c>
      <c r="D19" s="103">
        <v>11</v>
      </c>
      <c r="E19" s="111"/>
      <c r="F19" s="103">
        <v>11</v>
      </c>
      <c r="G19" s="103">
        <v>11</v>
      </c>
      <c r="H19" s="103">
        <v>11</v>
      </c>
      <c r="I19" s="103">
        <v>11</v>
      </c>
      <c r="J19" s="103">
        <v>5</v>
      </c>
      <c r="K19" s="111"/>
      <c r="L19" s="111"/>
      <c r="M19" s="111"/>
      <c r="N19" s="104">
        <v>7</v>
      </c>
      <c r="O19" s="101"/>
      <c r="P19" s="101"/>
      <c r="Q19" s="101"/>
      <c r="R19" s="99">
        <f t="shared" si="0"/>
        <v>78</v>
      </c>
      <c r="S19" s="99">
        <v>150</v>
      </c>
      <c r="U19" s="99">
        <f t="shared" si="3"/>
        <v>0</v>
      </c>
      <c r="V19" s="99">
        <f>C19+D19+F19+G19+H19+I19+J19</f>
        <v>71</v>
      </c>
      <c r="W19" s="99">
        <f t="shared" si="4"/>
        <v>10650</v>
      </c>
      <c r="Y19" s="99">
        <f t="shared" si="1"/>
        <v>0</v>
      </c>
      <c r="Z19" s="99">
        <f>N19</f>
        <v>7</v>
      </c>
      <c r="AA19" s="99">
        <f t="shared" si="1"/>
        <v>1050</v>
      </c>
      <c r="AC19" s="99">
        <f t="shared" ref="AC19" si="23">AB19*$S19</f>
        <v>0</v>
      </c>
      <c r="AE19" s="99">
        <f t="shared" si="22"/>
        <v>0</v>
      </c>
      <c r="AF19" s="99">
        <f t="shared" si="6"/>
        <v>0</v>
      </c>
    </row>
    <row r="20" spans="1:32" x14ac:dyDescent="0.25">
      <c r="A20" s="100">
        <v>19</v>
      </c>
      <c r="B20" s="101" t="s">
        <v>20</v>
      </c>
      <c r="C20" s="106">
        <v>11</v>
      </c>
      <c r="D20" s="106">
        <v>11</v>
      </c>
      <c r="E20" s="106">
        <v>8</v>
      </c>
      <c r="F20" s="106">
        <v>11</v>
      </c>
      <c r="G20" s="106">
        <v>11</v>
      </c>
      <c r="H20" s="106">
        <v>11</v>
      </c>
      <c r="I20" s="106">
        <v>11</v>
      </c>
      <c r="J20" s="106">
        <v>5</v>
      </c>
      <c r="K20" s="101"/>
      <c r="L20" s="101"/>
      <c r="M20" s="101"/>
      <c r="N20" s="110">
        <v>7</v>
      </c>
      <c r="O20" s="101"/>
      <c r="P20" s="105">
        <v>10</v>
      </c>
      <c r="Q20" s="105">
        <v>10</v>
      </c>
      <c r="R20" s="99">
        <f t="shared" si="0"/>
        <v>106</v>
      </c>
      <c r="S20" s="99">
        <v>150</v>
      </c>
      <c r="T20" s="99">
        <f>C20+D20+E20+F20+G20+H20+I20+J20</f>
        <v>79</v>
      </c>
      <c r="U20" s="99">
        <f t="shared" si="3"/>
        <v>11850</v>
      </c>
      <c r="W20" s="99">
        <f t="shared" si="4"/>
        <v>0</v>
      </c>
      <c r="X20" s="99">
        <f>P20+Q20</f>
        <v>20</v>
      </c>
      <c r="Y20" s="99">
        <f t="shared" si="1"/>
        <v>3000</v>
      </c>
      <c r="AA20" s="99">
        <f t="shared" si="1"/>
        <v>0</v>
      </c>
      <c r="AC20" s="99">
        <f t="shared" ref="AC20" si="24">AB20*$S20</f>
        <v>0</v>
      </c>
      <c r="AD20" s="99">
        <f>N20</f>
        <v>7</v>
      </c>
      <c r="AE20" s="99">
        <f t="shared" si="22"/>
        <v>1050</v>
      </c>
      <c r="AF20" s="99">
        <f t="shared" si="6"/>
        <v>0</v>
      </c>
    </row>
    <row r="21" spans="1:32" x14ac:dyDescent="0.25">
      <c r="A21" s="100">
        <v>20</v>
      </c>
      <c r="B21" s="101" t="s">
        <v>77</v>
      </c>
      <c r="C21" s="106">
        <v>11</v>
      </c>
      <c r="D21" s="106">
        <v>11</v>
      </c>
      <c r="E21" s="106">
        <v>8</v>
      </c>
      <c r="F21" s="106">
        <v>11</v>
      </c>
      <c r="G21" s="106">
        <v>11</v>
      </c>
      <c r="H21" s="106">
        <v>11</v>
      </c>
      <c r="I21" s="106">
        <v>11</v>
      </c>
      <c r="J21" s="106">
        <v>5</v>
      </c>
      <c r="K21" s="101"/>
      <c r="L21" s="101"/>
      <c r="M21" s="101"/>
      <c r="N21" s="110">
        <v>7</v>
      </c>
      <c r="O21" s="101"/>
      <c r="P21" s="105">
        <v>10</v>
      </c>
      <c r="Q21" s="105">
        <v>10</v>
      </c>
      <c r="R21" s="99">
        <f t="shared" si="0"/>
        <v>106</v>
      </c>
      <c r="S21" s="99">
        <v>150</v>
      </c>
      <c r="T21" s="99">
        <f>C21+D21+E21+F21+G21+H21+I21+J21</f>
        <v>79</v>
      </c>
      <c r="U21" s="99">
        <f t="shared" si="3"/>
        <v>11850</v>
      </c>
      <c r="W21" s="99">
        <f t="shared" si="4"/>
        <v>0</v>
      </c>
      <c r="X21" s="99">
        <f>P21+Q21</f>
        <v>20</v>
      </c>
      <c r="Y21" s="99">
        <f t="shared" si="1"/>
        <v>3000</v>
      </c>
      <c r="AA21" s="99">
        <f t="shared" si="1"/>
        <v>0</v>
      </c>
      <c r="AC21" s="99">
        <f t="shared" ref="AC21" si="25">AB21*$S21</f>
        <v>0</v>
      </c>
      <c r="AD21" s="99">
        <f>N21</f>
        <v>7</v>
      </c>
      <c r="AE21" s="99">
        <f t="shared" si="22"/>
        <v>1050</v>
      </c>
      <c r="AF21" s="99">
        <f t="shared" si="6"/>
        <v>0</v>
      </c>
    </row>
    <row r="22" spans="1:32" x14ac:dyDescent="0.25">
      <c r="A22" s="100">
        <v>21</v>
      </c>
      <c r="B22" s="101" t="s">
        <v>21</v>
      </c>
      <c r="C22" s="106">
        <v>11</v>
      </c>
      <c r="D22" s="106">
        <v>11</v>
      </c>
      <c r="E22" s="101"/>
      <c r="F22" s="106">
        <v>11</v>
      </c>
      <c r="G22" s="106">
        <v>11</v>
      </c>
      <c r="H22" s="101"/>
      <c r="I22" s="101"/>
      <c r="J22" s="101"/>
      <c r="K22" s="101"/>
      <c r="L22" s="101"/>
      <c r="M22" s="106">
        <v>9</v>
      </c>
      <c r="N22" s="106">
        <v>7</v>
      </c>
      <c r="O22" s="106">
        <v>11</v>
      </c>
      <c r="P22" s="101"/>
      <c r="Q22" s="101"/>
      <c r="R22" s="99">
        <f t="shared" si="0"/>
        <v>71</v>
      </c>
      <c r="S22" s="99">
        <v>130</v>
      </c>
      <c r="T22" s="99">
        <f>C22+D22+E22+F22+G22+M22+N22+O22</f>
        <v>71</v>
      </c>
      <c r="U22" s="99">
        <f t="shared" si="3"/>
        <v>9230</v>
      </c>
      <c r="W22" s="99">
        <f t="shared" si="4"/>
        <v>0</v>
      </c>
      <c r="Y22" s="99">
        <f t="shared" si="1"/>
        <v>0</v>
      </c>
      <c r="AA22" s="99">
        <f t="shared" si="1"/>
        <v>0</v>
      </c>
      <c r="AC22" s="99">
        <f t="shared" ref="AC22" si="26">AB22*$S22</f>
        <v>0</v>
      </c>
      <c r="AE22" s="99">
        <f t="shared" si="22"/>
        <v>0</v>
      </c>
      <c r="AF22" s="99">
        <f t="shared" si="6"/>
        <v>0</v>
      </c>
    </row>
    <row r="23" spans="1:32" x14ac:dyDescent="0.25">
      <c r="A23" s="100">
        <v>22</v>
      </c>
      <c r="B23" s="101" t="s">
        <v>43</v>
      </c>
      <c r="C23" s="106">
        <v>11</v>
      </c>
      <c r="D23" s="106">
        <v>11</v>
      </c>
      <c r="E23" s="101"/>
      <c r="F23" s="106">
        <v>11</v>
      </c>
      <c r="G23" s="106">
        <v>11</v>
      </c>
      <c r="H23" s="101"/>
      <c r="I23" s="101"/>
      <c r="J23" s="101"/>
      <c r="K23" s="101"/>
      <c r="L23" s="101"/>
      <c r="M23" s="106">
        <v>9</v>
      </c>
      <c r="N23" s="106">
        <v>7</v>
      </c>
      <c r="O23" s="106">
        <v>11</v>
      </c>
      <c r="P23" s="101"/>
      <c r="Q23" s="101"/>
      <c r="R23" s="99">
        <f t="shared" si="0"/>
        <v>71</v>
      </c>
      <c r="S23" s="99">
        <v>130</v>
      </c>
      <c r="T23" s="99">
        <f>C23+D23+E23+F23+G23+M23+N23+O23</f>
        <v>71</v>
      </c>
      <c r="U23" s="99">
        <f t="shared" si="3"/>
        <v>9230</v>
      </c>
      <c r="W23" s="99">
        <f t="shared" si="4"/>
        <v>0</v>
      </c>
      <c r="Y23" s="99">
        <f t="shared" si="1"/>
        <v>0</v>
      </c>
      <c r="AA23" s="99">
        <f t="shared" si="1"/>
        <v>0</v>
      </c>
      <c r="AC23" s="99">
        <f t="shared" ref="AC23" si="27">AB23*$S23</f>
        <v>0</v>
      </c>
      <c r="AE23" s="99">
        <f t="shared" si="22"/>
        <v>0</v>
      </c>
      <c r="AF23" s="99">
        <f t="shared" si="6"/>
        <v>0</v>
      </c>
    </row>
    <row r="24" spans="1:32" x14ac:dyDescent="0.25">
      <c r="A24" s="100">
        <v>23</v>
      </c>
      <c r="B24" s="101" t="s">
        <v>78</v>
      </c>
      <c r="C24" s="103">
        <v>11</v>
      </c>
      <c r="D24" s="103">
        <v>11</v>
      </c>
      <c r="E24" s="103">
        <v>8</v>
      </c>
      <c r="F24" s="103">
        <v>11</v>
      </c>
      <c r="G24" s="103">
        <v>11</v>
      </c>
      <c r="H24" s="103">
        <v>11</v>
      </c>
      <c r="I24" s="103">
        <v>11</v>
      </c>
      <c r="J24" s="101"/>
      <c r="K24" s="101"/>
      <c r="L24" s="101"/>
      <c r="M24" s="101"/>
      <c r="N24" s="101"/>
      <c r="O24" s="101"/>
      <c r="P24" s="101"/>
      <c r="Q24" s="101"/>
      <c r="R24" s="99">
        <f t="shared" si="0"/>
        <v>74</v>
      </c>
      <c r="S24" s="99">
        <v>150</v>
      </c>
      <c r="U24" s="99">
        <f t="shared" si="3"/>
        <v>0</v>
      </c>
      <c r="V24" s="99">
        <f>C24+D24+E24+F24+G24+H24+I24</f>
        <v>74</v>
      </c>
      <c r="W24" s="99">
        <f t="shared" si="4"/>
        <v>11100</v>
      </c>
      <c r="Y24" s="99">
        <f t="shared" si="1"/>
        <v>0</v>
      </c>
      <c r="AA24" s="99">
        <f t="shared" si="1"/>
        <v>0</v>
      </c>
      <c r="AC24" s="99">
        <f t="shared" ref="AC24" si="28">AB24*$S24</f>
        <v>0</v>
      </c>
      <c r="AE24" s="99">
        <f t="shared" si="22"/>
        <v>0</v>
      </c>
      <c r="AF24" s="99">
        <f t="shared" si="6"/>
        <v>0</v>
      </c>
    </row>
    <row r="25" spans="1:32" x14ac:dyDescent="0.25">
      <c r="A25" s="100">
        <v>24</v>
      </c>
      <c r="B25" s="101" t="s">
        <v>45</v>
      </c>
      <c r="C25" s="110">
        <v>11</v>
      </c>
      <c r="D25" s="110">
        <v>11</v>
      </c>
      <c r="E25" s="106">
        <v>8</v>
      </c>
      <c r="F25" s="106">
        <v>11</v>
      </c>
      <c r="G25" s="106">
        <v>11</v>
      </c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99">
        <f t="shared" si="0"/>
        <v>52</v>
      </c>
      <c r="S25" s="99">
        <v>130</v>
      </c>
      <c r="T25" s="99">
        <f>F25+G25</f>
        <v>22</v>
      </c>
      <c r="U25" s="99">
        <f t="shared" si="3"/>
        <v>2860</v>
      </c>
      <c r="W25" s="99">
        <f t="shared" si="4"/>
        <v>0</v>
      </c>
      <c r="Y25" s="99">
        <f t="shared" si="1"/>
        <v>0</v>
      </c>
      <c r="AA25" s="99">
        <f t="shared" si="1"/>
        <v>0</v>
      </c>
      <c r="AC25" s="99">
        <f t="shared" ref="AC25" si="29">AB25*$S25</f>
        <v>0</v>
      </c>
      <c r="AD25" s="99">
        <f>C25+D25+E25</f>
        <v>30</v>
      </c>
      <c r="AE25" s="99">
        <f t="shared" si="22"/>
        <v>3900</v>
      </c>
      <c r="AF25" s="99">
        <f t="shared" si="6"/>
        <v>0</v>
      </c>
    </row>
    <row r="26" spans="1:32" x14ac:dyDescent="0.25">
      <c r="A26" s="100">
        <v>25</v>
      </c>
      <c r="B26" s="101" t="s">
        <v>87</v>
      </c>
      <c r="C26" s="101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U26" s="99">
        <f t="shared" si="3"/>
        <v>0</v>
      </c>
      <c r="W26" s="99">
        <f t="shared" si="4"/>
        <v>0</v>
      </c>
      <c r="Y26" s="99">
        <f t="shared" si="1"/>
        <v>0</v>
      </c>
      <c r="AA26" s="99">
        <f t="shared" si="1"/>
        <v>0</v>
      </c>
      <c r="AC26" s="99">
        <f t="shared" ref="AC26" si="30">AB26*$S26</f>
        <v>0</v>
      </c>
      <c r="AE26" s="99">
        <f t="shared" si="22"/>
        <v>0</v>
      </c>
    </row>
    <row r="27" spans="1:32" x14ac:dyDescent="0.25">
      <c r="A27" s="98"/>
      <c r="B27" s="112"/>
      <c r="C27" s="112"/>
      <c r="D27" s="98"/>
      <c r="E27" s="124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9">
        <f>SUM(R2:R25)</f>
        <v>2105</v>
      </c>
      <c r="T27" s="99">
        <f>SUM(T2:T25)</f>
        <v>824</v>
      </c>
      <c r="U27" s="99">
        <f>SUM(U2:U26)</f>
        <v>113900</v>
      </c>
      <c r="V27" s="99">
        <f>SUM(V2:V25)</f>
        <v>806</v>
      </c>
      <c r="W27" s="99">
        <f>SUM(W2:W26)</f>
        <v>115160</v>
      </c>
      <c r="X27" s="99">
        <f>SUM(X2:X25)</f>
        <v>151</v>
      </c>
      <c r="Y27" s="99">
        <f>SUM(Y2:Y26)</f>
        <v>21930</v>
      </c>
      <c r="Z27" s="99">
        <f>SUM(Z2:Z25)</f>
        <v>116</v>
      </c>
      <c r="AA27" s="99">
        <f>SUM(AA2:AA26)</f>
        <v>16040</v>
      </c>
      <c r="AB27" s="99">
        <f>SUM(AB2:AB25)</f>
        <v>33</v>
      </c>
      <c r="AC27" s="99">
        <f>SUM(AC2:AC26)</f>
        <v>4630</v>
      </c>
      <c r="AD27" s="99">
        <f>SUM(AD2:AD25)</f>
        <v>58</v>
      </c>
      <c r="AE27" s="99">
        <f>SUM(AE2:AE26)</f>
        <v>8100</v>
      </c>
      <c r="AF27" s="99">
        <f t="shared" si="6"/>
        <v>-117</v>
      </c>
    </row>
    <row r="28" spans="1:32" x14ac:dyDescent="0.25">
      <c r="A28" s="113"/>
      <c r="B28" s="114" t="s">
        <v>88</v>
      </c>
      <c r="C28" s="114"/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</row>
    <row r="29" spans="1:32" x14ac:dyDescent="0.25">
      <c r="A29" s="113"/>
      <c r="B29" s="115" t="s">
        <v>89</v>
      </c>
      <c r="C29" s="114"/>
      <c r="D29" s="113"/>
      <c r="E29" s="113"/>
      <c r="F29" s="113"/>
      <c r="G29" s="116"/>
      <c r="H29" s="113"/>
      <c r="I29" s="113"/>
      <c r="J29" s="113"/>
      <c r="K29" s="113"/>
      <c r="L29" s="113"/>
      <c r="M29" s="113"/>
      <c r="N29" s="113"/>
      <c r="O29" s="113"/>
      <c r="P29" s="113"/>
      <c r="Q29" s="113"/>
    </row>
    <row r="30" spans="1:32" x14ac:dyDescent="0.25">
      <c r="A30" s="113"/>
      <c r="B30" s="117" t="s">
        <v>90</v>
      </c>
      <c r="C30" s="114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</row>
    <row r="31" spans="1:32" x14ac:dyDescent="0.25">
      <c r="B31" s="118" t="s">
        <v>91</v>
      </c>
      <c r="C31" s="114"/>
    </row>
    <row r="32" spans="1:32" x14ac:dyDescent="0.25">
      <c r="B32" s="119" t="s">
        <v>92</v>
      </c>
      <c r="C32" s="114"/>
    </row>
    <row r="33" spans="2:3" x14ac:dyDescent="0.25">
      <c r="B33" s="120" t="s">
        <v>93</v>
      </c>
      <c r="C33" s="114"/>
    </row>
    <row r="34" spans="2:3" x14ac:dyDescent="0.25">
      <c r="B34" s="121" t="s">
        <v>94</v>
      </c>
      <c r="C34" s="114"/>
    </row>
  </sheetData>
  <autoFilter ref="A1:Q27" xr:uid="{00000000-0009-0000-0000-00001E000000}"/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Лист8"/>
  <dimension ref="A1:AI29"/>
  <sheetViews>
    <sheetView zoomScaleNormal="100" workbookViewId="0">
      <pane xSplit="2" ySplit="1" topLeftCell="J2" activePane="bottomRight" state="frozen"/>
      <selection pane="topRight" activeCell="C1" sqref="C1"/>
      <selection pane="bottomLeft" activeCell="A2" sqref="A2"/>
      <selection pane="bottomRight" activeCell="B3" sqref="B3"/>
    </sheetView>
  </sheetViews>
  <sheetFormatPr defaultColWidth="12.5703125" defaultRowHeight="15" x14ac:dyDescent="0.25"/>
  <cols>
    <col min="1" max="1" width="4.5703125" style="2" customWidth="1"/>
    <col min="2" max="2" width="41.5703125" style="1" customWidth="1"/>
    <col min="3" max="16" width="3.5703125" style="3" customWidth="1"/>
    <col min="17" max="17" width="13.140625" style="3" customWidth="1"/>
    <col min="18" max="18" width="10.5703125" style="3" customWidth="1"/>
    <col min="19" max="20" width="16.140625" style="4" customWidth="1"/>
    <col min="21" max="22" width="13.140625" style="4" customWidth="1"/>
    <col min="23" max="26" width="14.85546875" style="4" customWidth="1"/>
    <col min="27" max="28" width="13" style="4" customWidth="1"/>
    <col min="29" max="30" width="13.42578125" style="4" customWidth="1"/>
    <col min="31" max="31" width="12.5703125" style="4"/>
    <col min="32" max="32" width="12.5703125" style="1"/>
    <col min="33" max="33" width="4.5703125" style="1" customWidth="1"/>
    <col min="34" max="34" width="36.140625" style="1" bestFit="1" customWidth="1"/>
    <col min="35" max="35" width="6.140625" style="1" customWidth="1"/>
    <col min="36" max="16384" width="12.5703125" style="1"/>
  </cols>
  <sheetData>
    <row r="1" spans="1:35" ht="38.450000000000003" customHeight="1" x14ac:dyDescent="0.25">
      <c r="A1" s="11" t="s">
        <v>1</v>
      </c>
      <c r="B1" s="11" t="s">
        <v>6</v>
      </c>
      <c r="C1" s="11" t="s">
        <v>46</v>
      </c>
      <c r="D1" s="11" t="s">
        <v>47</v>
      </c>
      <c r="E1" s="11" t="s">
        <v>48</v>
      </c>
      <c r="F1" s="11" t="s">
        <v>49</v>
      </c>
      <c r="G1" s="11" t="s">
        <v>50</v>
      </c>
      <c r="H1" s="11" t="s">
        <v>51</v>
      </c>
      <c r="I1" s="11" t="s">
        <v>52</v>
      </c>
      <c r="J1" s="11" t="s">
        <v>53</v>
      </c>
      <c r="K1" s="11" t="s">
        <v>54</v>
      </c>
      <c r="L1" s="11" t="s">
        <v>55</v>
      </c>
      <c r="M1" s="11" t="s">
        <v>56</v>
      </c>
      <c r="N1" s="11" t="s">
        <v>57</v>
      </c>
      <c r="O1" s="11" t="s">
        <v>58</v>
      </c>
      <c r="P1" s="11" t="s">
        <v>59</v>
      </c>
      <c r="Q1" s="12" t="s">
        <v>2</v>
      </c>
      <c r="R1" s="75" t="s">
        <v>81</v>
      </c>
      <c r="S1" s="71" t="s">
        <v>69</v>
      </c>
      <c r="T1" s="71" t="str">
        <f>S1</f>
        <v>Піддони</v>
      </c>
      <c r="U1" s="16" t="s">
        <v>70</v>
      </c>
      <c r="V1" s="16" t="str">
        <f>U1</f>
        <v>Кутики монтаж</v>
      </c>
      <c r="W1" s="19" t="s">
        <v>71</v>
      </c>
      <c r="X1" s="19" t="str">
        <f>W1</f>
        <v>Огородження</v>
      </c>
      <c r="Y1" s="24" t="s">
        <v>74</v>
      </c>
      <c r="Z1" s="24" t="str">
        <f>Y1</f>
        <v>Битовка</v>
      </c>
      <c r="AA1" s="14" t="s">
        <v>72</v>
      </c>
      <c r="AB1" s="14" t="str">
        <f>AA1</f>
        <v>Ремонт кран балки</v>
      </c>
      <c r="AC1" s="14" t="s">
        <v>73</v>
      </c>
      <c r="AD1" s="14" t="str">
        <f>AC1</f>
        <v>ИТР</v>
      </c>
      <c r="AE1" s="22" t="s">
        <v>68</v>
      </c>
      <c r="AG1" s="1" t="s">
        <v>82</v>
      </c>
    </row>
    <row r="2" spans="1:35" x14ac:dyDescent="0.25">
      <c r="A2" s="8">
        <v>1</v>
      </c>
      <c r="B2" s="9" t="s">
        <v>41</v>
      </c>
      <c r="C2" s="10" t="s">
        <v>26</v>
      </c>
      <c r="D2" s="10" t="s">
        <v>25</v>
      </c>
      <c r="E2" s="10"/>
      <c r="F2" s="10" t="s">
        <v>26</v>
      </c>
      <c r="G2" s="10"/>
      <c r="H2" s="10" t="s">
        <v>26</v>
      </c>
      <c r="I2" s="10" t="s">
        <v>26</v>
      </c>
      <c r="J2" s="10" t="s">
        <v>26</v>
      </c>
      <c r="K2" s="15" t="s">
        <v>26</v>
      </c>
      <c r="L2" s="10"/>
      <c r="M2" s="10"/>
      <c r="N2" s="15" t="s">
        <v>26</v>
      </c>
      <c r="O2" s="15" t="s">
        <v>26</v>
      </c>
      <c r="P2" s="15">
        <v>11</v>
      </c>
      <c r="Q2" s="13">
        <f>C2+D2+E2+F2+G2+H2+I2+J2+O2+N2+M2+L2+K2+P2</f>
        <v>108</v>
      </c>
      <c r="R2" s="76" t="e">
        <f>INDEX(#REF!,MATCH(B2,#REF!,0))</f>
        <v>#REF!</v>
      </c>
      <c r="S2" s="72">
        <f>N2+O2+P2+K2</f>
        <v>44</v>
      </c>
      <c r="T2" s="72" t="e">
        <f>S2*R2</f>
        <v>#REF!</v>
      </c>
      <c r="U2" s="17">
        <f>C2+D2+F2+H2+I2+J2</f>
        <v>64</v>
      </c>
      <c r="V2" s="17" t="e">
        <f>U2*R2</f>
        <v>#REF!</v>
      </c>
      <c r="W2" s="20"/>
      <c r="X2" s="20" t="e">
        <f>W2*R2</f>
        <v>#REF!</v>
      </c>
      <c r="Y2" s="25"/>
      <c r="Z2" s="25" t="e">
        <f>Y2*R2</f>
        <v>#REF!</v>
      </c>
      <c r="AA2" s="5"/>
      <c r="AB2" s="5" t="e">
        <f>AA2*R2</f>
        <v>#REF!</v>
      </c>
      <c r="AC2" s="5"/>
      <c r="AD2" s="5" t="e">
        <f>AC2*R2</f>
        <v>#REF!</v>
      </c>
      <c r="AE2" s="35"/>
      <c r="AF2" s="7" t="e">
        <f>Q2-SUM(S2:AC2)</f>
        <v>#REF!</v>
      </c>
    </row>
    <row r="3" spans="1:35" x14ac:dyDescent="0.25">
      <c r="A3" s="8">
        <v>2</v>
      </c>
      <c r="B3" s="9" t="s">
        <v>36</v>
      </c>
      <c r="C3" s="10" t="s">
        <v>26</v>
      </c>
      <c r="D3" s="10" t="s">
        <v>25</v>
      </c>
      <c r="E3" s="10"/>
      <c r="F3" s="10" t="s">
        <v>26</v>
      </c>
      <c r="G3" s="10" t="s">
        <v>26</v>
      </c>
      <c r="H3" s="10" t="s">
        <v>26</v>
      </c>
      <c r="I3" s="10" t="s">
        <v>26</v>
      </c>
      <c r="J3" s="10" t="s">
        <v>26</v>
      </c>
      <c r="K3" s="10" t="s">
        <v>26</v>
      </c>
      <c r="L3" s="10"/>
      <c r="M3" s="10" t="s">
        <v>26</v>
      </c>
      <c r="N3" s="10" t="s">
        <v>26</v>
      </c>
      <c r="O3" s="10">
        <v>13</v>
      </c>
      <c r="P3" s="10">
        <v>12</v>
      </c>
      <c r="Q3" s="13">
        <f t="shared" ref="Q3:Q25" si="0">C3+D3+E3+F3+G3+H3+I3+J3+O3+N3+M3+L3+K3+P3</f>
        <v>133</v>
      </c>
      <c r="R3" s="76" t="e">
        <f>INDEX(#REF!,MATCH(B3,#REF!,0))</f>
        <v>#REF!</v>
      </c>
      <c r="S3" s="72"/>
      <c r="T3" s="72" t="e">
        <f t="shared" ref="T3:T25" si="1">S3*R3</f>
        <v>#REF!</v>
      </c>
      <c r="U3" s="17"/>
      <c r="V3" s="17" t="e">
        <f t="shared" ref="V3:V25" si="2">U3*R3</f>
        <v>#REF!</v>
      </c>
      <c r="W3" s="20"/>
      <c r="X3" s="20" t="e">
        <f t="shared" ref="X3:X25" si="3">W3*R3</f>
        <v>#REF!</v>
      </c>
      <c r="Y3" s="25"/>
      <c r="Z3" s="25" t="e">
        <f t="shared" ref="Z3:Z25" si="4">Y3*R3</f>
        <v>#REF!</v>
      </c>
      <c r="AA3" s="5"/>
      <c r="AB3" s="5" t="e">
        <f t="shared" ref="AB3:AB25" si="5">AA3*R3</f>
        <v>#REF!</v>
      </c>
      <c r="AC3" s="5">
        <f>C3+D3+F3+G3+H3+I3+J3+K3+M3+N3+O3+P3</f>
        <v>133</v>
      </c>
      <c r="AD3" s="5" t="e">
        <f>AC3*R3</f>
        <v>#REF!</v>
      </c>
      <c r="AE3" s="35"/>
      <c r="AF3" s="7" t="e">
        <f t="shared" ref="AF3" si="6">Q3-SUM(S3:AC3)</f>
        <v>#REF!</v>
      </c>
    </row>
    <row r="4" spans="1:35" x14ac:dyDescent="0.25">
      <c r="A4" s="8">
        <v>3</v>
      </c>
      <c r="B4" s="9" t="s">
        <v>3</v>
      </c>
      <c r="C4" s="18" t="s">
        <v>26</v>
      </c>
      <c r="D4" s="34"/>
      <c r="E4" s="34"/>
      <c r="F4" s="18" t="s">
        <v>26</v>
      </c>
      <c r="G4" s="23">
        <v>11</v>
      </c>
      <c r="H4" s="18" t="s">
        <v>26</v>
      </c>
      <c r="I4" s="23">
        <v>11</v>
      </c>
      <c r="J4" s="23">
        <v>11</v>
      </c>
      <c r="K4" s="10">
        <v>11</v>
      </c>
      <c r="L4" s="34"/>
      <c r="M4" s="15" t="s">
        <v>26</v>
      </c>
      <c r="N4" s="15" t="s">
        <v>26</v>
      </c>
      <c r="O4" s="15" t="s">
        <v>26</v>
      </c>
      <c r="P4" s="15">
        <v>11</v>
      </c>
      <c r="Q4" s="13">
        <f t="shared" si="0"/>
        <v>121</v>
      </c>
      <c r="R4" s="76" t="e">
        <f>INDEX(#REF!,MATCH(B4,#REF!,0))</f>
        <v>#REF!</v>
      </c>
      <c r="S4" s="72">
        <f>M4+N4+O4+P4</f>
        <v>44</v>
      </c>
      <c r="T4" s="72" t="e">
        <f t="shared" si="1"/>
        <v>#REF!</v>
      </c>
      <c r="U4" s="17">
        <f>C4+F4+H4+L4+K4</f>
        <v>44</v>
      </c>
      <c r="V4" s="17" t="e">
        <f t="shared" si="2"/>
        <v>#REF!</v>
      </c>
      <c r="W4" s="20"/>
      <c r="X4" s="20" t="e">
        <f t="shared" si="3"/>
        <v>#REF!</v>
      </c>
      <c r="Y4" s="25"/>
      <c r="Z4" s="25" t="e">
        <f t="shared" si="4"/>
        <v>#REF!</v>
      </c>
      <c r="AA4" s="5"/>
      <c r="AB4" s="5" t="e">
        <f t="shared" si="5"/>
        <v>#REF!</v>
      </c>
      <c r="AC4" s="5"/>
      <c r="AD4" s="5" t="e">
        <f t="shared" ref="AD4:AD25" si="7">AC4*R4</f>
        <v>#REF!</v>
      </c>
      <c r="AE4" s="35">
        <f>G4+I4+J4</f>
        <v>33</v>
      </c>
      <c r="AF4" s="7" t="e">
        <f>Q4-SUM(S4:AC4)-AE4</f>
        <v>#REF!</v>
      </c>
      <c r="AG4" s="1">
        <v>33</v>
      </c>
      <c r="AH4" s="50" t="s">
        <v>3</v>
      </c>
      <c r="AI4" s="1">
        <f>AG4-AE4</f>
        <v>0</v>
      </c>
    </row>
    <row r="5" spans="1:35" x14ac:dyDescent="0.25">
      <c r="A5" s="8">
        <v>4</v>
      </c>
      <c r="B5" s="9" t="s">
        <v>27</v>
      </c>
      <c r="C5" s="23">
        <v>11</v>
      </c>
      <c r="D5" s="34"/>
      <c r="E5" s="34"/>
      <c r="F5" s="21" t="s">
        <v>26</v>
      </c>
      <c r="G5" s="21" t="s">
        <v>26</v>
      </c>
      <c r="H5" s="21" t="s">
        <v>26</v>
      </c>
      <c r="I5" s="21" t="s">
        <v>26</v>
      </c>
      <c r="J5" s="21" t="s">
        <v>26</v>
      </c>
      <c r="K5" s="21" t="s">
        <v>26</v>
      </c>
      <c r="L5" s="10"/>
      <c r="M5" s="15" t="s">
        <v>26</v>
      </c>
      <c r="N5" s="15" t="s">
        <v>26</v>
      </c>
      <c r="O5" s="15" t="s">
        <v>26</v>
      </c>
      <c r="P5" s="15">
        <v>11</v>
      </c>
      <c r="Q5" s="13">
        <f t="shared" si="0"/>
        <v>121</v>
      </c>
      <c r="R5" s="76" t="e">
        <f>INDEX(#REF!,MATCH(B5,#REF!,0))</f>
        <v>#REF!</v>
      </c>
      <c r="S5" s="72">
        <f>M5+N5+O5+P5</f>
        <v>44</v>
      </c>
      <c r="T5" s="72" t="e">
        <f t="shared" si="1"/>
        <v>#REF!</v>
      </c>
      <c r="U5" s="17"/>
      <c r="V5" s="17" t="e">
        <f t="shared" si="2"/>
        <v>#REF!</v>
      </c>
      <c r="W5" s="20">
        <f>F5+G5+H5+I5+J5+K5</f>
        <v>66</v>
      </c>
      <c r="X5" s="20" t="e">
        <f t="shared" si="3"/>
        <v>#REF!</v>
      </c>
      <c r="Y5" s="25"/>
      <c r="Z5" s="25" t="e">
        <f t="shared" si="4"/>
        <v>#REF!</v>
      </c>
      <c r="AA5" s="5"/>
      <c r="AB5" s="5" t="e">
        <f t="shared" si="5"/>
        <v>#REF!</v>
      </c>
      <c r="AC5" s="5"/>
      <c r="AD5" s="5" t="e">
        <f t="shared" si="7"/>
        <v>#REF!</v>
      </c>
      <c r="AE5" s="35">
        <f>C5</f>
        <v>11</v>
      </c>
      <c r="AF5" s="49" t="e">
        <f t="shared" ref="AF5:AF25" si="8">Q5-SUM(S5:AC5)-AE5</f>
        <v>#REF!</v>
      </c>
      <c r="AG5" s="1">
        <v>11</v>
      </c>
      <c r="AH5" s="50" t="s">
        <v>10</v>
      </c>
      <c r="AI5" s="1">
        <f t="shared" ref="AI5:AI24" si="9">AG5-AE5</f>
        <v>0</v>
      </c>
    </row>
    <row r="6" spans="1:35" x14ac:dyDescent="0.25">
      <c r="A6" s="8">
        <v>5</v>
      </c>
      <c r="B6" s="9" t="s">
        <v>28</v>
      </c>
      <c r="C6" s="23">
        <v>11</v>
      </c>
      <c r="D6" s="34"/>
      <c r="E6" s="34"/>
      <c r="F6" s="23">
        <v>11</v>
      </c>
      <c r="G6" s="34"/>
      <c r="H6" s="23">
        <v>11</v>
      </c>
      <c r="I6" s="23">
        <v>11</v>
      </c>
      <c r="J6" s="23">
        <v>11</v>
      </c>
      <c r="K6" s="10"/>
      <c r="L6" s="10"/>
      <c r="M6" s="15" t="s">
        <v>26</v>
      </c>
      <c r="N6" s="15" t="s">
        <v>26</v>
      </c>
      <c r="O6" s="15" t="s">
        <v>26</v>
      </c>
      <c r="P6" s="15">
        <v>11</v>
      </c>
      <c r="Q6" s="13">
        <f t="shared" si="0"/>
        <v>99</v>
      </c>
      <c r="R6" s="76" t="e">
        <f>INDEX(#REF!,MATCH(B6,#REF!,0))</f>
        <v>#REF!</v>
      </c>
      <c r="S6" s="72">
        <f>M6+N6+O6+P6</f>
        <v>44</v>
      </c>
      <c r="T6" s="72" t="e">
        <f t="shared" si="1"/>
        <v>#REF!</v>
      </c>
      <c r="U6" s="17"/>
      <c r="V6" s="17" t="e">
        <f t="shared" si="2"/>
        <v>#REF!</v>
      </c>
      <c r="W6" s="20"/>
      <c r="X6" s="20" t="e">
        <f t="shared" si="3"/>
        <v>#REF!</v>
      </c>
      <c r="Y6" s="25"/>
      <c r="Z6" s="25" t="e">
        <f t="shared" si="4"/>
        <v>#REF!</v>
      </c>
      <c r="AA6" s="5"/>
      <c r="AB6" s="5" t="e">
        <f t="shared" si="5"/>
        <v>#REF!</v>
      </c>
      <c r="AC6" s="5"/>
      <c r="AD6" s="5" t="e">
        <f t="shared" si="7"/>
        <v>#REF!</v>
      </c>
      <c r="AE6" s="35">
        <f>C6+F6+H6+I6+J6</f>
        <v>55</v>
      </c>
      <c r="AF6" s="7" t="e">
        <f t="shared" si="8"/>
        <v>#REF!</v>
      </c>
      <c r="AG6" s="51">
        <v>55</v>
      </c>
      <c r="AH6" s="52" t="s">
        <v>11</v>
      </c>
      <c r="AI6" s="53">
        <f t="shared" si="9"/>
        <v>0</v>
      </c>
    </row>
    <row r="7" spans="1:35" x14ac:dyDescent="0.25">
      <c r="A7" s="8">
        <v>6</v>
      </c>
      <c r="B7" s="9" t="s">
        <v>29</v>
      </c>
      <c r="C7" s="34"/>
      <c r="D7" s="34"/>
      <c r="E7" s="34"/>
      <c r="F7" s="23">
        <v>11</v>
      </c>
      <c r="G7" s="23">
        <v>11</v>
      </c>
      <c r="H7" s="23">
        <v>11</v>
      </c>
      <c r="I7" s="23">
        <v>11</v>
      </c>
      <c r="J7" s="23">
        <v>11</v>
      </c>
      <c r="K7" s="10"/>
      <c r="L7" s="10"/>
      <c r="M7" s="15" t="s">
        <v>26</v>
      </c>
      <c r="N7" s="15" t="s">
        <v>26</v>
      </c>
      <c r="O7" s="15" t="s">
        <v>26</v>
      </c>
      <c r="P7" s="15">
        <v>11</v>
      </c>
      <c r="Q7" s="13">
        <f t="shared" si="0"/>
        <v>99</v>
      </c>
      <c r="R7" s="76" t="e">
        <f>INDEX(#REF!,MATCH(B7,#REF!,0))</f>
        <v>#REF!</v>
      </c>
      <c r="S7" s="72">
        <f>M7+N7+O7+P7</f>
        <v>44</v>
      </c>
      <c r="T7" s="72" t="e">
        <f t="shared" si="1"/>
        <v>#REF!</v>
      </c>
      <c r="U7" s="17"/>
      <c r="V7" s="17" t="e">
        <f t="shared" si="2"/>
        <v>#REF!</v>
      </c>
      <c r="W7" s="20"/>
      <c r="X7" s="20" t="e">
        <f t="shared" si="3"/>
        <v>#REF!</v>
      </c>
      <c r="Y7" s="25"/>
      <c r="Z7" s="25" t="e">
        <f t="shared" si="4"/>
        <v>#REF!</v>
      </c>
      <c r="AA7" s="5"/>
      <c r="AB7" s="5" t="e">
        <f t="shared" si="5"/>
        <v>#REF!</v>
      </c>
      <c r="AC7" s="5"/>
      <c r="AD7" s="5" t="e">
        <f t="shared" si="7"/>
        <v>#REF!</v>
      </c>
      <c r="AE7" s="35">
        <f>F7+G7+H7+I7+J7</f>
        <v>55</v>
      </c>
      <c r="AF7" s="7" t="e">
        <f t="shared" si="8"/>
        <v>#REF!</v>
      </c>
      <c r="AG7" s="51">
        <v>55</v>
      </c>
      <c r="AH7" s="52" t="s">
        <v>12</v>
      </c>
      <c r="AI7" s="53">
        <f t="shared" si="9"/>
        <v>0</v>
      </c>
    </row>
    <row r="8" spans="1:35" x14ac:dyDescent="0.25">
      <c r="A8" s="8">
        <v>7</v>
      </c>
      <c r="B8" s="9" t="s">
        <v>30</v>
      </c>
      <c r="C8" s="10" t="s">
        <v>26</v>
      </c>
      <c r="D8" s="10" t="s">
        <v>25</v>
      </c>
      <c r="E8" s="10"/>
      <c r="F8" s="10" t="s">
        <v>26</v>
      </c>
      <c r="G8" s="10"/>
      <c r="H8" s="10" t="s">
        <v>26</v>
      </c>
      <c r="I8" s="15" t="s">
        <v>26</v>
      </c>
      <c r="J8" s="15" t="s">
        <v>26</v>
      </c>
      <c r="K8" s="15" t="s">
        <v>26</v>
      </c>
      <c r="L8" s="15" t="s">
        <v>24</v>
      </c>
      <c r="M8" s="15" t="s">
        <v>26</v>
      </c>
      <c r="N8" s="15" t="s">
        <v>26</v>
      </c>
      <c r="O8" s="15" t="s">
        <v>26</v>
      </c>
      <c r="P8" s="15">
        <v>11</v>
      </c>
      <c r="Q8" s="13">
        <f t="shared" si="0"/>
        <v>127</v>
      </c>
      <c r="R8" s="76" t="e">
        <f>INDEX(#REF!,MATCH(B8,#REF!,0))</f>
        <v>#REF!</v>
      </c>
      <c r="S8" s="72">
        <f>M8+N8+O8+P8+L8+K8+J8+I8</f>
        <v>85</v>
      </c>
      <c r="T8" s="72" t="e">
        <f t="shared" si="1"/>
        <v>#REF!</v>
      </c>
      <c r="U8" s="17"/>
      <c r="V8" s="17" t="e">
        <f t="shared" si="2"/>
        <v>#REF!</v>
      </c>
      <c r="W8" s="20"/>
      <c r="X8" s="20" t="e">
        <f t="shared" si="3"/>
        <v>#REF!</v>
      </c>
      <c r="Y8" s="25"/>
      <c r="Z8" s="25" t="e">
        <f t="shared" si="4"/>
        <v>#REF!</v>
      </c>
      <c r="AA8" s="5">
        <f>C8+D8+F8+H8</f>
        <v>42</v>
      </c>
      <c r="AB8" s="5" t="e">
        <f t="shared" si="5"/>
        <v>#REF!</v>
      </c>
      <c r="AC8" s="5"/>
      <c r="AD8" s="5" t="e">
        <f t="shared" si="7"/>
        <v>#REF!</v>
      </c>
      <c r="AE8" s="35"/>
      <c r="AF8" s="7" t="e">
        <f t="shared" si="8"/>
        <v>#REF!</v>
      </c>
      <c r="AI8" s="48"/>
    </row>
    <row r="9" spans="1:35" x14ac:dyDescent="0.25">
      <c r="A9" s="8">
        <v>8</v>
      </c>
      <c r="B9" s="9" t="s">
        <v>31</v>
      </c>
      <c r="C9" s="10" t="s">
        <v>26</v>
      </c>
      <c r="D9" s="10" t="s">
        <v>25</v>
      </c>
      <c r="E9" s="10"/>
      <c r="F9" s="10" t="s">
        <v>26</v>
      </c>
      <c r="G9" s="10"/>
      <c r="H9" s="10" t="s">
        <v>26</v>
      </c>
      <c r="I9" s="10" t="s">
        <v>26</v>
      </c>
      <c r="J9" s="10" t="s">
        <v>26</v>
      </c>
      <c r="K9" s="10" t="s">
        <v>26</v>
      </c>
      <c r="L9" s="10"/>
      <c r="M9" s="10" t="s">
        <v>26</v>
      </c>
      <c r="N9" s="10" t="s">
        <v>26</v>
      </c>
      <c r="O9" s="10">
        <v>12</v>
      </c>
      <c r="P9" s="15">
        <v>11</v>
      </c>
      <c r="Q9" s="13">
        <f t="shared" si="0"/>
        <v>120</v>
      </c>
      <c r="R9" s="76" t="e">
        <f>INDEX(#REF!,MATCH(B9,#REF!,0))</f>
        <v>#REF!</v>
      </c>
      <c r="S9" s="72">
        <f>P9</f>
        <v>11</v>
      </c>
      <c r="T9" s="72" t="e">
        <f t="shared" si="1"/>
        <v>#REF!</v>
      </c>
      <c r="U9" s="17"/>
      <c r="V9" s="17" t="e">
        <f t="shared" si="2"/>
        <v>#REF!</v>
      </c>
      <c r="W9" s="20">
        <v>45</v>
      </c>
      <c r="X9" s="20" t="e">
        <f t="shared" si="3"/>
        <v>#REF!</v>
      </c>
      <c r="Y9" s="25">
        <f>C9+D9+F9+H9+I9+J9</f>
        <v>64</v>
      </c>
      <c r="Z9" s="25" t="e">
        <f t="shared" si="4"/>
        <v>#REF!</v>
      </c>
      <c r="AA9" s="5"/>
      <c r="AB9" s="5" t="e">
        <f t="shared" si="5"/>
        <v>#REF!</v>
      </c>
      <c r="AC9" s="5"/>
      <c r="AD9" s="5" t="e">
        <f t="shared" si="7"/>
        <v>#REF!</v>
      </c>
      <c r="AE9" s="35"/>
      <c r="AF9" s="7" t="e">
        <f t="shared" si="8"/>
        <v>#REF!</v>
      </c>
      <c r="AI9" s="48"/>
    </row>
    <row r="10" spans="1:35" x14ac:dyDescent="0.25">
      <c r="A10" s="8">
        <v>9</v>
      </c>
      <c r="B10" s="9" t="s">
        <v>32</v>
      </c>
      <c r="C10" s="10" t="s">
        <v>26</v>
      </c>
      <c r="D10" s="10" t="s">
        <v>25</v>
      </c>
      <c r="E10" s="10"/>
      <c r="F10" s="10" t="s">
        <v>26</v>
      </c>
      <c r="G10" s="10" t="s">
        <v>26</v>
      </c>
      <c r="H10" s="10" t="s">
        <v>26</v>
      </c>
      <c r="I10" s="15" t="s">
        <v>26</v>
      </c>
      <c r="J10" s="15" t="s">
        <v>26</v>
      </c>
      <c r="K10" s="15" t="s">
        <v>26</v>
      </c>
      <c r="L10" s="15" t="s">
        <v>24</v>
      </c>
      <c r="M10" s="15" t="s">
        <v>26</v>
      </c>
      <c r="N10" s="15" t="s">
        <v>26</v>
      </c>
      <c r="O10" s="15"/>
      <c r="P10" s="10"/>
      <c r="Q10" s="13">
        <f t="shared" si="0"/>
        <v>116</v>
      </c>
      <c r="R10" s="76" t="e">
        <f>INDEX(#REF!,MATCH(B10,#REF!,0))</f>
        <v>#REF!</v>
      </c>
      <c r="S10" s="72">
        <f>I10+J10+K10+L10+M10+N10+O10</f>
        <v>63</v>
      </c>
      <c r="T10" s="72" t="e">
        <f t="shared" si="1"/>
        <v>#REF!</v>
      </c>
      <c r="U10" s="17"/>
      <c r="V10" s="17" t="e">
        <f t="shared" si="2"/>
        <v>#REF!</v>
      </c>
      <c r="W10" s="20">
        <f>C10+D10+F10+G10+H10</f>
        <v>53</v>
      </c>
      <c r="X10" s="20" t="e">
        <f t="shared" si="3"/>
        <v>#REF!</v>
      </c>
      <c r="Y10" s="25"/>
      <c r="Z10" s="25" t="e">
        <f t="shared" si="4"/>
        <v>#REF!</v>
      </c>
      <c r="AA10" s="5"/>
      <c r="AB10" s="5" t="e">
        <f t="shared" si="5"/>
        <v>#REF!</v>
      </c>
      <c r="AC10" s="5"/>
      <c r="AD10" s="5" t="e">
        <f t="shared" si="7"/>
        <v>#REF!</v>
      </c>
      <c r="AE10" s="35"/>
      <c r="AF10" s="7" t="e">
        <f t="shared" si="8"/>
        <v>#REF!</v>
      </c>
      <c r="AI10" s="48"/>
    </row>
    <row r="11" spans="1:35" x14ac:dyDescent="0.25">
      <c r="A11" s="8">
        <v>10</v>
      </c>
      <c r="B11" s="9" t="s">
        <v>33</v>
      </c>
      <c r="C11" s="10" t="s">
        <v>26</v>
      </c>
      <c r="D11" s="10" t="s">
        <v>25</v>
      </c>
      <c r="E11" s="10"/>
      <c r="F11" s="10" t="s">
        <v>26</v>
      </c>
      <c r="G11" s="10" t="s">
        <v>26</v>
      </c>
      <c r="H11" s="10" t="s">
        <v>26</v>
      </c>
      <c r="I11" s="10" t="s">
        <v>26</v>
      </c>
      <c r="J11" s="10" t="s">
        <v>26</v>
      </c>
      <c r="K11" s="10" t="s">
        <v>26</v>
      </c>
      <c r="L11" s="10"/>
      <c r="M11" s="10" t="s">
        <v>26</v>
      </c>
      <c r="N11" s="10" t="s">
        <v>26</v>
      </c>
      <c r="O11" s="10" t="s">
        <v>26</v>
      </c>
      <c r="P11" s="10">
        <v>11</v>
      </c>
      <c r="Q11" s="13">
        <f t="shared" si="0"/>
        <v>130</v>
      </c>
      <c r="R11" s="76" t="e">
        <f>INDEX(#REF!,MATCH(B11,#REF!,0))</f>
        <v>#REF!</v>
      </c>
      <c r="S11" s="72">
        <f>N11+O11+P11</f>
        <v>33</v>
      </c>
      <c r="T11" s="72" t="e">
        <f t="shared" si="1"/>
        <v>#REF!</v>
      </c>
      <c r="U11" s="17">
        <f>C11+D11+F11+G11+H11+I11+J11+K11+M11</f>
        <v>97</v>
      </c>
      <c r="V11" s="17" t="e">
        <f t="shared" si="2"/>
        <v>#REF!</v>
      </c>
      <c r="W11" s="20"/>
      <c r="X11" s="20" t="e">
        <f t="shared" si="3"/>
        <v>#REF!</v>
      </c>
      <c r="Y11" s="25"/>
      <c r="Z11" s="25" t="e">
        <f t="shared" si="4"/>
        <v>#REF!</v>
      </c>
      <c r="AA11" s="5"/>
      <c r="AB11" s="5" t="e">
        <f t="shared" si="5"/>
        <v>#REF!</v>
      </c>
      <c r="AC11" s="5"/>
      <c r="AD11" s="5" t="e">
        <f t="shared" si="7"/>
        <v>#REF!</v>
      </c>
      <c r="AE11" s="35"/>
      <c r="AF11" s="7" t="e">
        <f t="shared" si="8"/>
        <v>#REF!</v>
      </c>
      <c r="AI11" s="48"/>
    </row>
    <row r="12" spans="1:35" x14ac:dyDescent="0.25">
      <c r="A12" s="8">
        <v>11</v>
      </c>
      <c r="B12" s="9" t="s">
        <v>34</v>
      </c>
      <c r="C12" s="18" t="s">
        <v>26</v>
      </c>
      <c r="D12" s="18" t="s">
        <v>25</v>
      </c>
      <c r="E12" s="18"/>
      <c r="F12" s="18" t="s">
        <v>26</v>
      </c>
      <c r="G12" s="18" t="s">
        <v>26</v>
      </c>
      <c r="H12" s="18" t="s">
        <v>26</v>
      </c>
      <c r="I12" s="10" t="s">
        <v>26</v>
      </c>
      <c r="J12" s="10" t="s">
        <v>26</v>
      </c>
      <c r="K12" s="10" t="s">
        <v>26</v>
      </c>
      <c r="L12" s="10"/>
      <c r="M12" s="10" t="s">
        <v>26</v>
      </c>
      <c r="N12" s="10" t="s">
        <v>26</v>
      </c>
      <c r="O12" s="10">
        <v>14</v>
      </c>
      <c r="P12" s="10">
        <v>11</v>
      </c>
      <c r="Q12" s="13">
        <f t="shared" si="0"/>
        <v>133</v>
      </c>
      <c r="R12" s="76" t="e">
        <f>INDEX(#REF!,MATCH(B12,#REF!,0))</f>
        <v>#REF!</v>
      </c>
      <c r="S12" s="72"/>
      <c r="T12" s="72" t="e">
        <f t="shared" si="1"/>
        <v>#REF!</v>
      </c>
      <c r="U12" s="17">
        <f>C12+D12+F12+G12+H12</f>
        <v>53</v>
      </c>
      <c r="V12" s="17" t="e">
        <f t="shared" si="2"/>
        <v>#REF!</v>
      </c>
      <c r="W12" s="20">
        <v>11</v>
      </c>
      <c r="X12" s="20" t="e">
        <f t="shared" si="3"/>
        <v>#REF!</v>
      </c>
      <c r="Y12" s="25">
        <f>I12+J12+K12+M12+N12+O12</f>
        <v>69</v>
      </c>
      <c r="Z12" s="25" t="e">
        <f t="shared" si="4"/>
        <v>#REF!</v>
      </c>
      <c r="AA12" s="5"/>
      <c r="AB12" s="5" t="e">
        <f t="shared" si="5"/>
        <v>#REF!</v>
      </c>
      <c r="AC12" s="5"/>
      <c r="AD12" s="5" t="e">
        <f t="shared" si="7"/>
        <v>#REF!</v>
      </c>
      <c r="AE12" s="35"/>
      <c r="AF12" s="7" t="e">
        <f t="shared" si="8"/>
        <v>#REF!</v>
      </c>
      <c r="AI12" s="48"/>
    </row>
    <row r="13" spans="1:35" x14ac:dyDescent="0.25">
      <c r="A13" s="8">
        <v>12</v>
      </c>
      <c r="B13" s="9" t="s">
        <v>4</v>
      </c>
      <c r="C13" s="23">
        <v>11</v>
      </c>
      <c r="D13" s="34"/>
      <c r="E13" s="34"/>
      <c r="F13" s="23">
        <v>11</v>
      </c>
      <c r="G13" s="23">
        <v>12</v>
      </c>
      <c r="H13" s="34"/>
      <c r="I13" s="34"/>
      <c r="J13" s="34"/>
      <c r="K13" s="34"/>
      <c r="L13" s="34"/>
      <c r="M13" s="34"/>
      <c r="N13" s="34"/>
      <c r="O13" s="34"/>
      <c r="P13" s="34"/>
      <c r="Q13" s="13">
        <f t="shared" si="0"/>
        <v>34</v>
      </c>
      <c r="R13" s="76" t="e">
        <f>INDEX(#REF!,MATCH(B13,#REF!,0))</f>
        <v>#REF!</v>
      </c>
      <c r="S13" s="72"/>
      <c r="T13" s="72" t="e">
        <f t="shared" si="1"/>
        <v>#REF!</v>
      </c>
      <c r="U13" s="17"/>
      <c r="V13" s="17" t="e">
        <f t="shared" si="2"/>
        <v>#REF!</v>
      </c>
      <c r="W13" s="20"/>
      <c r="X13" s="20" t="e">
        <f t="shared" si="3"/>
        <v>#REF!</v>
      </c>
      <c r="Y13" s="25"/>
      <c r="Z13" s="25" t="e">
        <f t="shared" si="4"/>
        <v>#REF!</v>
      </c>
      <c r="AA13" s="5"/>
      <c r="AB13" s="5" t="e">
        <f t="shared" si="5"/>
        <v>#REF!</v>
      </c>
      <c r="AC13" s="5"/>
      <c r="AD13" s="5" t="e">
        <f t="shared" si="7"/>
        <v>#REF!</v>
      </c>
      <c r="AE13" s="35">
        <f>C13+F13+G13</f>
        <v>34</v>
      </c>
      <c r="AF13" s="7" t="e">
        <f t="shared" si="8"/>
        <v>#REF!</v>
      </c>
      <c r="AG13" s="51">
        <v>34</v>
      </c>
      <c r="AH13" s="52" t="s">
        <v>4</v>
      </c>
      <c r="AI13" s="53">
        <f t="shared" si="9"/>
        <v>0</v>
      </c>
    </row>
    <row r="14" spans="1:35" x14ac:dyDescent="0.25">
      <c r="A14" s="8">
        <v>13</v>
      </c>
      <c r="B14" s="9" t="s">
        <v>5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5" t="s">
        <v>26</v>
      </c>
      <c r="O14" s="15" t="s">
        <v>26</v>
      </c>
      <c r="P14" s="15">
        <v>11</v>
      </c>
      <c r="Q14" s="13">
        <f t="shared" si="0"/>
        <v>33</v>
      </c>
      <c r="R14" s="76" t="e">
        <f>INDEX(#REF!,MATCH(B14,#REF!,0))</f>
        <v>#REF!</v>
      </c>
      <c r="S14" s="72">
        <f>N14+O14+P14</f>
        <v>33</v>
      </c>
      <c r="T14" s="72" t="e">
        <f t="shared" si="1"/>
        <v>#REF!</v>
      </c>
      <c r="U14" s="17"/>
      <c r="V14" s="17" t="e">
        <f t="shared" si="2"/>
        <v>#REF!</v>
      </c>
      <c r="W14" s="20"/>
      <c r="X14" s="20" t="e">
        <f t="shared" si="3"/>
        <v>#REF!</v>
      </c>
      <c r="Y14" s="25"/>
      <c r="Z14" s="25" t="e">
        <f t="shared" si="4"/>
        <v>#REF!</v>
      </c>
      <c r="AA14" s="5"/>
      <c r="AB14" s="5" t="e">
        <f t="shared" si="5"/>
        <v>#REF!</v>
      </c>
      <c r="AC14" s="5"/>
      <c r="AD14" s="5" t="e">
        <f t="shared" si="7"/>
        <v>#REF!</v>
      </c>
      <c r="AE14" s="35"/>
      <c r="AF14" s="7" t="e">
        <f t="shared" si="8"/>
        <v>#REF!</v>
      </c>
    </row>
    <row r="15" spans="1:35" x14ac:dyDescent="0.25">
      <c r="A15" s="8">
        <v>14</v>
      </c>
      <c r="B15" s="9" t="s">
        <v>35</v>
      </c>
      <c r="C15" s="23">
        <v>12</v>
      </c>
      <c r="D15" s="10"/>
      <c r="E15" s="10"/>
      <c r="F15" s="10" t="s">
        <v>26</v>
      </c>
      <c r="G15" s="10" t="s">
        <v>26</v>
      </c>
      <c r="H15" s="10" t="s">
        <v>26</v>
      </c>
      <c r="I15" s="15" t="s">
        <v>26</v>
      </c>
      <c r="J15" s="15" t="s">
        <v>26</v>
      </c>
      <c r="K15" s="15" t="s">
        <v>26</v>
      </c>
      <c r="L15" s="15" t="s">
        <v>24</v>
      </c>
      <c r="M15" s="15" t="s">
        <v>26</v>
      </c>
      <c r="N15" s="15" t="s">
        <v>26</v>
      </c>
      <c r="O15" s="15">
        <v>13</v>
      </c>
      <c r="P15" s="15">
        <v>12</v>
      </c>
      <c r="Q15" s="13">
        <f t="shared" si="0"/>
        <v>133</v>
      </c>
      <c r="R15" s="76" t="e">
        <f>INDEX(#REF!,MATCH(B15,#REF!,0))</f>
        <v>#REF!</v>
      </c>
      <c r="S15" s="72">
        <f>I15+J15+K15+L15+M15+N15+O15+P15</f>
        <v>88</v>
      </c>
      <c r="T15" s="72" t="e">
        <f t="shared" si="1"/>
        <v>#REF!</v>
      </c>
      <c r="U15" s="17"/>
      <c r="V15" s="17" t="e">
        <f t="shared" si="2"/>
        <v>#REF!</v>
      </c>
      <c r="W15" s="20">
        <v>33</v>
      </c>
      <c r="X15" s="20" t="e">
        <f t="shared" si="3"/>
        <v>#REF!</v>
      </c>
      <c r="Y15" s="25"/>
      <c r="Z15" s="25" t="e">
        <f t="shared" si="4"/>
        <v>#REF!</v>
      </c>
      <c r="AA15" s="5"/>
      <c r="AB15" s="5" t="e">
        <f t="shared" si="5"/>
        <v>#REF!</v>
      </c>
      <c r="AC15" s="5"/>
      <c r="AD15" s="5" t="e">
        <f t="shared" si="7"/>
        <v>#REF!</v>
      </c>
      <c r="AE15" s="35">
        <f>C15</f>
        <v>12</v>
      </c>
      <c r="AF15" s="7" t="e">
        <f t="shared" si="8"/>
        <v>#REF!</v>
      </c>
      <c r="AG15" s="1">
        <v>12</v>
      </c>
      <c r="AH15" s="50" t="s">
        <v>17</v>
      </c>
      <c r="AI15" s="1">
        <f t="shared" si="9"/>
        <v>0</v>
      </c>
    </row>
    <row r="16" spans="1:35" x14ac:dyDescent="0.25">
      <c r="A16" s="8">
        <v>15</v>
      </c>
      <c r="B16" s="9" t="s">
        <v>37</v>
      </c>
      <c r="C16" s="10"/>
      <c r="D16" s="10"/>
      <c r="E16" s="10"/>
      <c r="F16" s="10"/>
      <c r="G16" s="10"/>
      <c r="H16" s="10"/>
      <c r="I16" s="10"/>
      <c r="J16" s="15" t="s">
        <v>26</v>
      </c>
      <c r="K16" s="15" t="s">
        <v>26</v>
      </c>
      <c r="L16" s="15"/>
      <c r="M16" s="15" t="s">
        <v>26</v>
      </c>
      <c r="N16" s="15" t="s">
        <v>26</v>
      </c>
      <c r="O16" s="15" t="s">
        <v>26</v>
      </c>
      <c r="P16" s="15">
        <v>11</v>
      </c>
      <c r="Q16" s="13">
        <f t="shared" si="0"/>
        <v>66</v>
      </c>
      <c r="R16" s="76" t="e">
        <f>INDEX(#REF!,MATCH(B16,#REF!,0))</f>
        <v>#REF!</v>
      </c>
      <c r="S16" s="72">
        <f>J16+K16+L16+M16+N16+O16+P16</f>
        <v>66</v>
      </c>
      <c r="T16" s="72" t="e">
        <f t="shared" si="1"/>
        <v>#REF!</v>
      </c>
      <c r="U16" s="17"/>
      <c r="V16" s="17" t="e">
        <f t="shared" si="2"/>
        <v>#REF!</v>
      </c>
      <c r="W16" s="20"/>
      <c r="X16" s="20" t="e">
        <f t="shared" si="3"/>
        <v>#REF!</v>
      </c>
      <c r="Y16" s="25"/>
      <c r="Z16" s="25" t="e">
        <f t="shared" si="4"/>
        <v>#REF!</v>
      </c>
      <c r="AA16" s="5"/>
      <c r="AB16" s="5" t="e">
        <f t="shared" si="5"/>
        <v>#REF!</v>
      </c>
      <c r="AC16" s="5"/>
      <c r="AD16" s="5" t="e">
        <f t="shared" si="7"/>
        <v>#REF!</v>
      </c>
      <c r="AE16" s="35"/>
      <c r="AF16" s="7" t="e">
        <f t="shared" si="8"/>
        <v>#REF!</v>
      </c>
    </row>
    <row r="17" spans="1:35" x14ac:dyDescent="0.25">
      <c r="A17" s="8">
        <v>16</v>
      </c>
      <c r="B17" s="9" t="s">
        <v>38</v>
      </c>
      <c r="C17" s="10"/>
      <c r="D17" s="10" t="s">
        <v>25</v>
      </c>
      <c r="E17" s="10"/>
      <c r="F17" s="10" t="s">
        <v>26</v>
      </c>
      <c r="G17" s="10" t="s">
        <v>26</v>
      </c>
      <c r="H17" s="10" t="s">
        <v>26</v>
      </c>
      <c r="I17" s="10" t="s">
        <v>26</v>
      </c>
      <c r="J17" s="10" t="s">
        <v>26</v>
      </c>
      <c r="K17" s="10" t="s">
        <v>26</v>
      </c>
      <c r="L17" s="10"/>
      <c r="M17" s="10" t="s">
        <v>26</v>
      </c>
      <c r="N17" s="10" t="s">
        <v>26</v>
      </c>
      <c r="O17" s="10" t="s">
        <v>26</v>
      </c>
      <c r="P17" s="10">
        <v>11</v>
      </c>
      <c r="Q17" s="13">
        <f t="shared" si="0"/>
        <v>119</v>
      </c>
      <c r="R17" s="76" t="e">
        <f>INDEX(#REF!,MATCH(B17,#REF!,0))</f>
        <v>#REF!</v>
      </c>
      <c r="S17" s="72"/>
      <c r="T17" s="72" t="e">
        <f t="shared" si="1"/>
        <v>#REF!</v>
      </c>
      <c r="U17" s="17">
        <f>D17+F17+G17+H17+I17+J17+K17+M17</f>
        <v>86</v>
      </c>
      <c r="V17" s="17" t="e">
        <f t="shared" si="2"/>
        <v>#REF!</v>
      </c>
      <c r="W17" s="20"/>
      <c r="X17" s="20" t="e">
        <f t="shared" si="3"/>
        <v>#REF!</v>
      </c>
      <c r="Y17" s="25">
        <f>N17+O17+P17</f>
        <v>33</v>
      </c>
      <c r="Z17" s="25" t="e">
        <f t="shared" si="4"/>
        <v>#REF!</v>
      </c>
      <c r="AA17" s="5"/>
      <c r="AB17" s="5" t="e">
        <f t="shared" si="5"/>
        <v>#REF!</v>
      </c>
      <c r="AC17" s="5"/>
      <c r="AD17" s="5" t="e">
        <f t="shared" si="7"/>
        <v>#REF!</v>
      </c>
      <c r="AE17" s="35"/>
      <c r="AF17" s="7" t="e">
        <f t="shared" si="8"/>
        <v>#REF!</v>
      </c>
    </row>
    <row r="18" spans="1:35" x14ac:dyDescent="0.25">
      <c r="A18" s="8">
        <v>17</v>
      </c>
      <c r="B18" s="9" t="s">
        <v>7</v>
      </c>
      <c r="C18" s="10" t="s">
        <v>26</v>
      </c>
      <c r="D18" s="10"/>
      <c r="E18" s="10"/>
      <c r="F18" s="10" t="s">
        <v>26</v>
      </c>
      <c r="G18" s="10" t="s">
        <v>26</v>
      </c>
      <c r="H18" s="10" t="s">
        <v>26</v>
      </c>
      <c r="I18" s="10" t="s">
        <v>26</v>
      </c>
      <c r="J18" s="15" t="s">
        <v>26</v>
      </c>
      <c r="K18" s="15" t="s">
        <v>26</v>
      </c>
      <c r="L18" s="15"/>
      <c r="M18" s="15"/>
      <c r="N18" s="15" t="s">
        <v>26</v>
      </c>
      <c r="O18" s="15" t="s">
        <v>26</v>
      </c>
      <c r="P18" s="15">
        <v>11</v>
      </c>
      <c r="Q18" s="13">
        <f t="shared" si="0"/>
        <v>110</v>
      </c>
      <c r="R18" s="76" t="e">
        <f>INDEX(#REF!,MATCH(B18,#REF!,0))</f>
        <v>#REF!</v>
      </c>
      <c r="S18" s="72">
        <f>J18+K18+N18+O18+P18</f>
        <v>55</v>
      </c>
      <c r="T18" s="72" t="e">
        <f t="shared" si="1"/>
        <v>#REF!</v>
      </c>
      <c r="U18" s="17"/>
      <c r="V18" s="17" t="e">
        <f t="shared" si="2"/>
        <v>#REF!</v>
      </c>
      <c r="W18" s="20">
        <f>J18+K18+N18+O18+P18</f>
        <v>55</v>
      </c>
      <c r="X18" s="20" t="e">
        <f t="shared" si="3"/>
        <v>#REF!</v>
      </c>
      <c r="Y18" s="25"/>
      <c r="Z18" s="25" t="e">
        <f t="shared" si="4"/>
        <v>#REF!</v>
      </c>
      <c r="AA18" s="5"/>
      <c r="AB18" s="5" t="e">
        <f t="shared" si="5"/>
        <v>#REF!</v>
      </c>
      <c r="AC18" s="5"/>
      <c r="AD18" s="5" t="e">
        <f t="shared" si="7"/>
        <v>#REF!</v>
      </c>
      <c r="AE18" s="35"/>
      <c r="AF18" s="7" t="e">
        <f t="shared" si="8"/>
        <v>#REF!</v>
      </c>
    </row>
    <row r="19" spans="1:35" x14ac:dyDescent="0.25">
      <c r="A19" s="8">
        <v>18</v>
      </c>
      <c r="B19" s="9" t="s">
        <v>39</v>
      </c>
      <c r="C19" s="23">
        <v>11</v>
      </c>
      <c r="D19" s="10"/>
      <c r="E19" s="10"/>
      <c r="F19" s="36" t="s">
        <v>26</v>
      </c>
      <c r="G19" s="36" t="s">
        <v>26</v>
      </c>
      <c r="H19" s="36" t="s">
        <v>26</v>
      </c>
      <c r="I19" s="15" t="s">
        <v>26</v>
      </c>
      <c r="J19" s="15" t="s">
        <v>26</v>
      </c>
      <c r="K19" s="15" t="s">
        <v>26</v>
      </c>
      <c r="L19" s="15"/>
      <c r="M19" s="15">
        <v>11</v>
      </c>
      <c r="N19" s="15" t="s">
        <v>26</v>
      </c>
      <c r="O19" s="15">
        <v>13</v>
      </c>
      <c r="P19" s="15">
        <v>12</v>
      </c>
      <c r="Q19" s="13">
        <f t="shared" si="0"/>
        <v>124</v>
      </c>
      <c r="R19" s="76" t="e">
        <f>INDEX(#REF!,MATCH(B19,#REF!,0))</f>
        <v>#REF!</v>
      </c>
      <c r="S19" s="72">
        <f>I19+J19+K19+M19+N19+O19+P19</f>
        <v>80</v>
      </c>
      <c r="T19" s="72" t="e">
        <f t="shared" si="1"/>
        <v>#REF!</v>
      </c>
      <c r="U19" s="17"/>
      <c r="V19" s="17" t="e">
        <f t="shared" si="2"/>
        <v>#REF!</v>
      </c>
      <c r="W19" s="20">
        <f>F19+G19+H19</f>
        <v>33</v>
      </c>
      <c r="X19" s="20" t="e">
        <f t="shared" si="3"/>
        <v>#REF!</v>
      </c>
      <c r="Y19" s="25"/>
      <c r="Z19" s="25" t="e">
        <f t="shared" si="4"/>
        <v>#REF!</v>
      </c>
      <c r="AA19" s="5"/>
      <c r="AB19" s="5" t="e">
        <f t="shared" si="5"/>
        <v>#REF!</v>
      </c>
      <c r="AC19" s="5"/>
      <c r="AD19" s="5" t="e">
        <f t="shared" si="7"/>
        <v>#REF!</v>
      </c>
      <c r="AE19" s="35">
        <f>C19</f>
        <v>11</v>
      </c>
      <c r="AF19" s="7" t="e">
        <f t="shared" si="8"/>
        <v>#REF!</v>
      </c>
      <c r="AG19" s="1">
        <v>11</v>
      </c>
      <c r="AH19" s="50" t="s">
        <v>19</v>
      </c>
      <c r="AI19" s="1">
        <f t="shared" si="9"/>
        <v>0</v>
      </c>
    </row>
    <row r="20" spans="1:35" x14ac:dyDescent="0.25">
      <c r="A20" s="8">
        <v>19</v>
      </c>
      <c r="B20" s="9" t="s">
        <v>40</v>
      </c>
      <c r="C20" s="21" t="s">
        <v>26</v>
      </c>
      <c r="D20" s="21" t="s">
        <v>25</v>
      </c>
      <c r="E20" s="21"/>
      <c r="F20" s="21" t="s">
        <v>26</v>
      </c>
      <c r="G20" s="21" t="s">
        <v>26</v>
      </c>
      <c r="H20" s="21" t="s">
        <v>26</v>
      </c>
      <c r="I20" s="21" t="s">
        <v>26</v>
      </c>
      <c r="J20" s="21" t="s">
        <v>26</v>
      </c>
      <c r="K20" s="15" t="s">
        <v>26</v>
      </c>
      <c r="L20" s="15" t="s">
        <v>62</v>
      </c>
      <c r="M20" s="15" t="s">
        <v>26</v>
      </c>
      <c r="N20" s="15" t="s">
        <v>26</v>
      </c>
      <c r="O20" s="15" t="s">
        <v>26</v>
      </c>
      <c r="P20" s="15">
        <v>11</v>
      </c>
      <c r="Q20" s="13">
        <f t="shared" si="0"/>
        <v>133</v>
      </c>
      <c r="R20" s="76" t="e">
        <f>INDEX(#REF!,MATCH(B20,#REF!,0))</f>
        <v>#REF!</v>
      </c>
      <c r="S20" s="72">
        <f>K20+L20+M20+N20+O20+P20</f>
        <v>58</v>
      </c>
      <c r="T20" s="72" t="e">
        <f t="shared" si="1"/>
        <v>#REF!</v>
      </c>
      <c r="U20" s="17"/>
      <c r="V20" s="17" t="e">
        <f t="shared" si="2"/>
        <v>#REF!</v>
      </c>
      <c r="W20" s="20">
        <f>C20+D20+F20+G20+H20+I20+J20</f>
        <v>75</v>
      </c>
      <c r="X20" s="20" t="e">
        <f t="shared" si="3"/>
        <v>#REF!</v>
      </c>
      <c r="Y20" s="25"/>
      <c r="Z20" s="25" t="e">
        <f t="shared" si="4"/>
        <v>#REF!</v>
      </c>
      <c r="AA20" s="5"/>
      <c r="AB20" s="5" t="e">
        <f t="shared" si="5"/>
        <v>#REF!</v>
      </c>
      <c r="AC20" s="5"/>
      <c r="AD20" s="5" t="e">
        <f t="shared" si="7"/>
        <v>#REF!</v>
      </c>
      <c r="AE20" s="35"/>
      <c r="AF20" s="7" t="e">
        <f t="shared" si="8"/>
        <v>#REF!</v>
      </c>
    </row>
    <row r="21" spans="1:35" x14ac:dyDescent="0.25">
      <c r="A21" s="8">
        <v>20</v>
      </c>
      <c r="B21" s="9" t="s">
        <v>42</v>
      </c>
      <c r="C21" s="23">
        <v>11</v>
      </c>
      <c r="D21" s="10"/>
      <c r="E21" s="10"/>
      <c r="F21" s="21" t="s">
        <v>26</v>
      </c>
      <c r="G21" s="21"/>
      <c r="H21" s="21" t="s">
        <v>26</v>
      </c>
      <c r="I21" s="21" t="s">
        <v>26</v>
      </c>
      <c r="J21" s="21" t="s">
        <v>26</v>
      </c>
      <c r="K21" s="15" t="s">
        <v>26</v>
      </c>
      <c r="L21" s="15" t="s">
        <v>24</v>
      </c>
      <c r="M21" s="15" t="s">
        <v>26</v>
      </c>
      <c r="N21" s="15" t="s">
        <v>26</v>
      </c>
      <c r="O21" s="15" t="s">
        <v>26</v>
      </c>
      <c r="P21" s="15">
        <v>11</v>
      </c>
      <c r="Q21" s="13">
        <f t="shared" si="0"/>
        <v>118</v>
      </c>
      <c r="R21" s="76" t="e">
        <f>INDEX(#REF!,MATCH(B21,#REF!,0))</f>
        <v>#REF!</v>
      </c>
      <c r="S21" s="72">
        <f>K21+L21+M21+N21+O21+P21</f>
        <v>63</v>
      </c>
      <c r="T21" s="72" t="e">
        <f t="shared" si="1"/>
        <v>#REF!</v>
      </c>
      <c r="U21" s="17"/>
      <c r="V21" s="17" t="e">
        <f t="shared" si="2"/>
        <v>#REF!</v>
      </c>
      <c r="W21" s="20">
        <f>F21+H21+I21+J21</f>
        <v>44</v>
      </c>
      <c r="X21" s="20" t="e">
        <f t="shared" si="3"/>
        <v>#REF!</v>
      </c>
      <c r="Y21" s="25"/>
      <c r="Z21" s="25" t="e">
        <f t="shared" si="4"/>
        <v>#REF!</v>
      </c>
      <c r="AA21" s="5"/>
      <c r="AB21" s="5" t="e">
        <f t="shared" si="5"/>
        <v>#REF!</v>
      </c>
      <c r="AC21" s="5"/>
      <c r="AD21" s="5" t="e">
        <f t="shared" si="7"/>
        <v>#REF!</v>
      </c>
      <c r="AE21" s="35">
        <f>C21</f>
        <v>11</v>
      </c>
      <c r="AF21" s="7" t="e">
        <f t="shared" si="8"/>
        <v>#REF!</v>
      </c>
      <c r="AG21" s="1">
        <v>11</v>
      </c>
      <c r="AH21" s="50" t="s">
        <v>9</v>
      </c>
      <c r="AI21" s="1">
        <f t="shared" si="9"/>
        <v>0</v>
      </c>
    </row>
    <row r="22" spans="1:35" x14ac:dyDescent="0.25">
      <c r="A22" s="8">
        <v>21</v>
      </c>
      <c r="B22" s="9" t="s">
        <v>21</v>
      </c>
      <c r="C22" s="18" t="s">
        <v>26</v>
      </c>
      <c r="D22" s="18" t="s">
        <v>25</v>
      </c>
      <c r="E22" s="34"/>
      <c r="F22" s="23">
        <v>11</v>
      </c>
      <c r="G22" s="23">
        <v>11</v>
      </c>
      <c r="H22" s="23">
        <v>11</v>
      </c>
      <c r="I22" s="23">
        <v>11</v>
      </c>
      <c r="J22" s="23">
        <v>11</v>
      </c>
      <c r="K22" s="15">
        <v>11</v>
      </c>
      <c r="L22" s="34"/>
      <c r="M22" s="15" t="s">
        <v>26</v>
      </c>
      <c r="N22" s="15" t="s">
        <v>26</v>
      </c>
      <c r="O22" s="15" t="s">
        <v>26</v>
      </c>
      <c r="P22" s="15">
        <v>11</v>
      </c>
      <c r="Q22" s="13">
        <f t="shared" si="0"/>
        <v>130</v>
      </c>
      <c r="R22" s="76" t="e">
        <f>INDEX(#REF!,MATCH(B22,#REF!,0))</f>
        <v>#REF!</v>
      </c>
      <c r="S22" s="72">
        <f>L22+M22+N22+O22+P22+K22</f>
        <v>55</v>
      </c>
      <c r="T22" s="72" t="e">
        <f t="shared" si="1"/>
        <v>#REF!</v>
      </c>
      <c r="U22" s="17">
        <f>C22+D22</f>
        <v>20</v>
      </c>
      <c r="V22" s="17" t="e">
        <f t="shared" si="2"/>
        <v>#REF!</v>
      </c>
      <c r="W22" s="20"/>
      <c r="X22" s="20" t="e">
        <f t="shared" si="3"/>
        <v>#REF!</v>
      </c>
      <c r="Y22" s="25"/>
      <c r="Z22" s="25" t="e">
        <f t="shared" si="4"/>
        <v>#REF!</v>
      </c>
      <c r="AA22" s="5"/>
      <c r="AB22" s="5" t="e">
        <f t="shared" si="5"/>
        <v>#REF!</v>
      </c>
      <c r="AC22" s="5"/>
      <c r="AD22" s="5" t="e">
        <f t="shared" si="7"/>
        <v>#REF!</v>
      </c>
      <c r="AE22" s="35">
        <f>F22+G22+H22+I22+J22</f>
        <v>55</v>
      </c>
      <c r="AF22" s="7" t="e">
        <f t="shared" si="8"/>
        <v>#REF!</v>
      </c>
      <c r="AG22" s="51">
        <v>55</v>
      </c>
      <c r="AH22" s="52" t="s">
        <v>21</v>
      </c>
      <c r="AI22" s="53">
        <f t="shared" si="9"/>
        <v>0</v>
      </c>
    </row>
    <row r="23" spans="1:35" x14ac:dyDescent="0.25">
      <c r="A23" s="8">
        <v>22</v>
      </c>
      <c r="B23" s="9" t="s">
        <v>43</v>
      </c>
      <c r="C23" s="18" t="s">
        <v>26</v>
      </c>
      <c r="D23" s="18" t="s">
        <v>25</v>
      </c>
      <c r="E23" s="10"/>
      <c r="F23" s="23">
        <v>11</v>
      </c>
      <c r="G23" s="23">
        <v>11</v>
      </c>
      <c r="H23" s="23">
        <v>12</v>
      </c>
      <c r="I23" s="23">
        <v>12</v>
      </c>
      <c r="J23" s="23">
        <v>12</v>
      </c>
      <c r="K23" s="10"/>
      <c r="L23" s="10"/>
      <c r="M23" s="10"/>
      <c r="N23" s="10"/>
      <c r="O23" s="10"/>
      <c r="P23" s="21">
        <v>11</v>
      </c>
      <c r="Q23" s="13">
        <f t="shared" si="0"/>
        <v>89</v>
      </c>
      <c r="R23" s="76" t="e">
        <f>INDEX(#REF!,MATCH(B23,#REF!,0))</f>
        <v>#REF!</v>
      </c>
      <c r="S23" s="72"/>
      <c r="T23" s="72" t="e">
        <f t="shared" si="1"/>
        <v>#REF!</v>
      </c>
      <c r="U23" s="17">
        <f>C23+D23</f>
        <v>20</v>
      </c>
      <c r="V23" s="17" t="e">
        <f t="shared" si="2"/>
        <v>#REF!</v>
      </c>
      <c r="W23" s="20">
        <f>P23</f>
        <v>11</v>
      </c>
      <c r="X23" s="20" t="e">
        <f t="shared" si="3"/>
        <v>#REF!</v>
      </c>
      <c r="Y23" s="25"/>
      <c r="Z23" s="25" t="e">
        <f t="shared" si="4"/>
        <v>#REF!</v>
      </c>
      <c r="AA23" s="5"/>
      <c r="AB23" s="5" t="e">
        <f t="shared" si="5"/>
        <v>#REF!</v>
      </c>
      <c r="AC23" s="5"/>
      <c r="AD23" s="5" t="e">
        <f t="shared" si="7"/>
        <v>#REF!</v>
      </c>
      <c r="AE23" s="35">
        <f>F23+G23+H23+I23+J23</f>
        <v>58</v>
      </c>
      <c r="AF23" s="7" t="e">
        <f t="shared" si="8"/>
        <v>#REF!</v>
      </c>
      <c r="AG23" s="51">
        <v>58</v>
      </c>
      <c r="AH23" s="52" t="s">
        <v>22</v>
      </c>
      <c r="AI23" s="53">
        <f t="shared" si="9"/>
        <v>0</v>
      </c>
    </row>
    <row r="24" spans="1:35" x14ac:dyDescent="0.25">
      <c r="A24" s="8">
        <v>23</v>
      </c>
      <c r="B24" s="9" t="s">
        <v>44</v>
      </c>
      <c r="C24" s="23">
        <v>11</v>
      </c>
      <c r="D24" s="10"/>
      <c r="E24" s="10"/>
      <c r="F24" s="21" t="s">
        <v>64</v>
      </c>
      <c r="G24" s="21" t="s">
        <v>26</v>
      </c>
      <c r="H24" s="21" t="s">
        <v>26</v>
      </c>
      <c r="I24" s="21" t="s">
        <v>26</v>
      </c>
      <c r="J24" s="21" t="s">
        <v>26</v>
      </c>
      <c r="K24" s="21" t="s">
        <v>26</v>
      </c>
      <c r="L24" s="21" t="s">
        <v>24</v>
      </c>
      <c r="M24" s="21" t="s">
        <v>26</v>
      </c>
      <c r="N24" s="15" t="s">
        <v>26</v>
      </c>
      <c r="O24" s="15" t="s">
        <v>26</v>
      </c>
      <c r="P24" s="15">
        <v>11</v>
      </c>
      <c r="Q24" s="13">
        <f t="shared" si="0"/>
        <v>128</v>
      </c>
      <c r="R24" s="76" t="e">
        <f>INDEX(#REF!,MATCH(B24,#REF!,0))</f>
        <v>#REF!</v>
      </c>
      <c r="S24" s="72">
        <f>N24+O24+P24</f>
        <v>33</v>
      </c>
      <c r="T24" s="72" t="e">
        <f t="shared" si="1"/>
        <v>#REF!</v>
      </c>
      <c r="U24" s="17"/>
      <c r="V24" s="17" t="e">
        <f t="shared" si="2"/>
        <v>#REF!</v>
      </c>
      <c r="W24" s="20">
        <f>F24+G24+H24+I24+J24+K24+L24+M24</f>
        <v>84</v>
      </c>
      <c r="X24" s="20" t="e">
        <f t="shared" si="3"/>
        <v>#REF!</v>
      </c>
      <c r="Y24" s="25"/>
      <c r="Z24" s="25" t="e">
        <f t="shared" si="4"/>
        <v>#REF!</v>
      </c>
      <c r="AA24" s="5"/>
      <c r="AB24" s="5" t="e">
        <f t="shared" si="5"/>
        <v>#REF!</v>
      </c>
      <c r="AC24" s="5"/>
      <c r="AD24" s="5" t="e">
        <f t="shared" si="7"/>
        <v>#REF!</v>
      </c>
      <c r="AE24" s="35">
        <f>C24</f>
        <v>11</v>
      </c>
      <c r="AF24" s="7" t="e">
        <f t="shared" si="8"/>
        <v>#REF!</v>
      </c>
      <c r="AG24" s="1">
        <v>11</v>
      </c>
      <c r="AH24" s="50" t="s">
        <v>23</v>
      </c>
      <c r="AI24" s="1">
        <f t="shared" si="9"/>
        <v>0</v>
      </c>
    </row>
    <row r="25" spans="1:35" ht="15.75" thickBot="1" x14ac:dyDescent="0.3">
      <c r="A25" s="62">
        <v>24</v>
      </c>
      <c r="B25" s="63" t="s">
        <v>45</v>
      </c>
      <c r="C25" s="64" t="s">
        <v>26</v>
      </c>
      <c r="D25" s="64" t="s">
        <v>25</v>
      </c>
      <c r="E25" s="64"/>
      <c r="F25" s="64" t="s">
        <v>26</v>
      </c>
      <c r="G25" s="64" t="s">
        <v>26</v>
      </c>
      <c r="H25" s="64" t="s">
        <v>26</v>
      </c>
      <c r="I25" s="64" t="s">
        <v>26</v>
      </c>
      <c r="J25" s="64" t="s">
        <v>26</v>
      </c>
      <c r="K25" s="64" t="s">
        <v>26</v>
      </c>
      <c r="L25" s="64" t="s">
        <v>24</v>
      </c>
      <c r="M25" s="64" t="s">
        <v>26</v>
      </c>
      <c r="N25" s="64" t="s">
        <v>26</v>
      </c>
      <c r="O25" s="64">
        <v>13</v>
      </c>
      <c r="P25" s="64">
        <v>12</v>
      </c>
      <c r="Q25" s="65">
        <f t="shared" si="0"/>
        <v>141</v>
      </c>
      <c r="R25" s="84" t="e">
        <f>INDEX(#REF!,MATCH(B25,#REF!,0))</f>
        <v>#REF!</v>
      </c>
      <c r="S25" s="78"/>
      <c r="T25" s="73" t="e">
        <f t="shared" si="1"/>
        <v>#REF!</v>
      </c>
      <c r="U25" s="66"/>
      <c r="V25" s="66" t="e">
        <f t="shared" si="2"/>
        <v>#REF!</v>
      </c>
      <c r="W25" s="67"/>
      <c r="X25" s="67" t="e">
        <f t="shared" si="3"/>
        <v>#REF!</v>
      </c>
      <c r="Y25" s="68">
        <f>O25</f>
        <v>13</v>
      </c>
      <c r="Z25" s="68" t="e">
        <f t="shared" si="4"/>
        <v>#REF!</v>
      </c>
      <c r="AA25" s="69">
        <f>C25+D25+F25+G25+H25+I25+J25+K25+L25+M25+N25+P25</f>
        <v>128</v>
      </c>
      <c r="AB25" s="69" t="e">
        <f t="shared" si="5"/>
        <v>#REF!</v>
      </c>
      <c r="AC25" s="69"/>
      <c r="AD25" s="69" t="e">
        <f t="shared" si="7"/>
        <v>#REF!</v>
      </c>
      <c r="AE25" s="70"/>
      <c r="AF25" s="7" t="e">
        <f t="shared" si="8"/>
        <v>#REF!</v>
      </c>
    </row>
    <row r="26" spans="1:35" ht="15.75" thickBot="1" x14ac:dyDescent="0.3">
      <c r="A26" s="54"/>
      <c r="B26" s="54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6">
        <f>SUM(Q2:Q25)</f>
        <v>2665</v>
      </c>
      <c r="R26" s="77">
        <f>S26+U26+W26+Y26+AA26</f>
        <v>2186</v>
      </c>
      <c r="S26" s="74">
        <f t="shared" ref="S26:AD26" si="10">SUM(S2:S25)</f>
        <v>943</v>
      </c>
      <c r="T26" s="83" t="e">
        <f t="shared" si="10"/>
        <v>#REF!</v>
      </c>
      <c r="U26" s="57">
        <f t="shared" si="10"/>
        <v>384</v>
      </c>
      <c r="V26" s="82" t="e">
        <f t="shared" si="10"/>
        <v>#REF!</v>
      </c>
      <c r="W26" s="58">
        <f t="shared" si="10"/>
        <v>510</v>
      </c>
      <c r="X26" s="81" t="e">
        <f>SUM(X2:X25)</f>
        <v>#REF!</v>
      </c>
      <c r="Y26" s="59">
        <f>SUM(Y2:Y25)</f>
        <v>179</v>
      </c>
      <c r="Z26" s="79" t="e">
        <f>SUM(Z2:Z25)</f>
        <v>#REF!</v>
      </c>
      <c r="AA26" s="60">
        <f t="shared" si="10"/>
        <v>170</v>
      </c>
      <c r="AB26" s="80" t="e">
        <f t="shared" si="10"/>
        <v>#REF!</v>
      </c>
      <c r="AC26" s="60">
        <f t="shared" si="10"/>
        <v>133</v>
      </c>
      <c r="AD26" s="80" t="e">
        <f t="shared" si="10"/>
        <v>#REF!</v>
      </c>
      <c r="AE26" s="61">
        <f>SUM(AE2:AE25)</f>
        <v>346</v>
      </c>
    </row>
    <row r="27" spans="1:35" x14ac:dyDescent="0.25">
      <c r="S27" s="91">
        <f>S26/$R$26</f>
        <v>0.43138151875571823</v>
      </c>
      <c r="T27" s="91"/>
      <c r="U27" s="85">
        <f>U26/$R$26</f>
        <v>0.17566331198536139</v>
      </c>
      <c r="V27" s="85"/>
      <c r="W27" s="94">
        <f>W26/$R$26</f>
        <v>0.23330283623055809</v>
      </c>
      <c r="X27" s="94"/>
      <c r="Y27" s="85">
        <f>Y26/$R$26</f>
        <v>8.1884720951509601E-2</v>
      </c>
      <c r="Z27" s="85"/>
      <c r="AA27" s="85">
        <f>AA26/$R$26</f>
        <v>7.7767612076852705E-2</v>
      </c>
    </row>
    <row r="28" spans="1:35" x14ac:dyDescent="0.25">
      <c r="S28" s="72">
        <f>ROUND($AC$26*S27,0)</f>
        <v>57</v>
      </c>
      <c r="T28" s="92" t="e">
        <f>ROUND(S27*$AD$26,0)</f>
        <v>#REF!</v>
      </c>
      <c r="U28" s="17">
        <f>ROUND($AC$26*U27,0)</f>
        <v>23</v>
      </c>
      <c r="V28" s="93" t="e">
        <f>ROUND(U27*$AD$26,0)</f>
        <v>#REF!</v>
      </c>
      <c r="W28" s="95">
        <f>ROUND($AC$26*W27,0)</f>
        <v>31</v>
      </c>
      <c r="X28" s="96" t="e">
        <f>ROUND(W27*$AD$26,0)</f>
        <v>#REF!</v>
      </c>
      <c r="Y28" s="87">
        <f>ROUND($AC$26*Y27,0)+1</f>
        <v>12</v>
      </c>
      <c r="Z28" s="89" t="e">
        <f>ROUND(Y27*$AD$26,0)-1</f>
        <v>#REF!</v>
      </c>
      <c r="AA28" s="86">
        <f>ROUND($AC$26*AA27,0)</f>
        <v>10</v>
      </c>
      <c r="AB28" s="88" t="e">
        <f>ROUND(AA27*$AD$26,0)</f>
        <v>#REF!</v>
      </c>
    </row>
    <row r="29" spans="1:35" x14ac:dyDescent="0.25">
      <c r="S29" s="72">
        <f>S26+S28</f>
        <v>1000</v>
      </c>
      <c r="T29" s="92" t="e">
        <f>T26+T28</f>
        <v>#REF!</v>
      </c>
      <c r="U29" s="17">
        <f t="shared" ref="U29:AB29" si="11">U26+U28</f>
        <v>407</v>
      </c>
      <c r="V29" s="93" t="e">
        <f t="shared" si="11"/>
        <v>#REF!</v>
      </c>
      <c r="W29" s="95">
        <f t="shared" si="11"/>
        <v>541</v>
      </c>
      <c r="X29" s="97" t="e">
        <f t="shared" si="11"/>
        <v>#REF!</v>
      </c>
      <c r="Y29" s="86">
        <f t="shared" si="11"/>
        <v>191</v>
      </c>
      <c r="Z29" s="90" t="e">
        <f t="shared" si="11"/>
        <v>#REF!</v>
      </c>
      <c r="AA29" s="86">
        <f t="shared" si="11"/>
        <v>180</v>
      </c>
      <c r="AB29" s="90" t="e">
        <f t="shared" si="11"/>
        <v>#REF!</v>
      </c>
      <c r="AE29" s="4" t="s">
        <v>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Лист9">
    <pageSetUpPr fitToPage="1"/>
  </sheetPr>
  <dimension ref="A1:R16"/>
  <sheetViews>
    <sheetView zoomScale="90" zoomScaleNormal="90" workbookViewId="0">
      <selection activeCell="Q14" sqref="Q2:Q14"/>
    </sheetView>
  </sheetViews>
  <sheetFormatPr defaultRowHeight="15" x14ac:dyDescent="0.25"/>
  <cols>
    <col min="1" max="1" width="8.140625" customWidth="1"/>
    <col min="2" max="2" width="56.5703125" customWidth="1"/>
    <col min="3" max="16" width="7.42578125" customWidth="1"/>
    <col min="17" max="18" width="16.42578125" customWidth="1"/>
    <col min="19" max="239" width="8" customWidth="1"/>
    <col min="240" max="240" width="8.140625" customWidth="1"/>
    <col min="241" max="241" width="27.42578125" customWidth="1"/>
    <col min="242" max="270" width="7.42578125" customWidth="1"/>
    <col min="271" max="272" width="18.140625" customWidth="1"/>
    <col min="273" max="274" width="16.42578125" customWidth="1"/>
    <col min="275" max="495" width="8" customWidth="1"/>
    <col min="496" max="496" width="8.140625" customWidth="1"/>
    <col min="497" max="497" width="27.42578125" customWidth="1"/>
    <col min="498" max="526" width="7.42578125" customWidth="1"/>
    <col min="527" max="528" width="18.140625" customWidth="1"/>
    <col min="529" max="530" width="16.42578125" customWidth="1"/>
    <col min="531" max="751" width="8" customWidth="1"/>
    <col min="752" max="752" width="8.140625" customWidth="1"/>
    <col min="753" max="753" width="27.42578125" customWidth="1"/>
    <col min="754" max="782" width="7.42578125" customWidth="1"/>
    <col min="783" max="784" width="18.140625" customWidth="1"/>
    <col min="785" max="786" width="16.42578125" customWidth="1"/>
    <col min="787" max="1007" width="8" customWidth="1"/>
    <col min="1008" max="1008" width="8.140625" customWidth="1"/>
    <col min="1009" max="1009" width="27.42578125" customWidth="1"/>
    <col min="1010" max="1038" width="7.42578125" customWidth="1"/>
    <col min="1039" max="1040" width="18.140625" customWidth="1"/>
    <col min="1041" max="1042" width="16.42578125" customWidth="1"/>
    <col min="1043" max="1263" width="8" customWidth="1"/>
    <col min="1264" max="1264" width="8.140625" customWidth="1"/>
    <col min="1265" max="1265" width="27.42578125" customWidth="1"/>
    <col min="1266" max="1294" width="7.42578125" customWidth="1"/>
    <col min="1295" max="1296" width="18.140625" customWidth="1"/>
    <col min="1297" max="1298" width="16.42578125" customWidth="1"/>
    <col min="1299" max="1519" width="8" customWidth="1"/>
    <col min="1520" max="1520" width="8.140625" customWidth="1"/>
    <col min="1521" max="1521" width="27.42578125" customWidth="1"/>
    <col min="1522" max="1550" width="7.42578125" customWidth="1"/>
    <col min="1551" max="1552" width="18.140625" customWidth="1"/>
    <col min="1553" max="1554" width="16.42578125" customWidth="1"/>
    <col min="1555" max="1775" width="8" customWidth="1"/>
    <col min="1776" max="1776" width="8.140625" customWidth="1"/>
    <col min="1777" max="1777" width="27.42578125" customWidth="1"/>
    <col min="1778" max="1806" width="7.42578125" customWidth="1"/>
    <col min="1807" max="1808" width="18.140625" customWidth="1"/>
    <col min="1809" max="1810" width="16.42578125" customWidth="1"/>
    <col min="1811" max="2031" width="8" customWidth="1"/>
    <col min="2032" max="2032" width="8.140625" customWidth="1"/>
    <col min="2033" max="2033" width="27.42578125" customWidth="1"/>
    <col min="2034" max="2062" width="7.42578125" customWidth="1"/>
    <col min="2063" max="2064" width="18.140625" customWidth="1"/>
    <col min="2065" max="2066" width="16.42578125" customWidth="1"/>
    <col min="2067" max="2287" width="8" customWidth="1"/>
    <col min="2288" max="2288" width="8.140625" customWidth="1"/>
    <col min="2289" max="2289" width="27.42578125" customWidth="1"/>
    <col min="2290" max="2318" width="7.42578125" customWidth="1"/>
    <col min="2319" max="2320" width="18.140625" customWidth="1"/>
    <col min="2321" max="2322" width="16.42578125" customWidth="1"/>
    <col min="2323" max="2543" width="8" customWidth="1"/>
    <col min="2544" max="2544" width="8.140625" customWidth="1"/>
    <col min="2545" max="2545" width="27.42578125" customWidth="1"/>
    <col min="2546" max="2574" width="7.42578125" customWidth="1"/>
    <col min="2575" max="2576" width="18.140625" customWidth="1"/>
    <col min="2577" max="2578" width="16.42578125" customWidth="1"/>
    <col min="2579" max="2799" width="8" customWidth="1"/>
    <col min="2800" max="2800" width="8.140625" customWidth="1"/>
    <col min="2801" max="2801" width="27.42578125" customWidth="1"/>
    <col min="2802" max="2830" width="7.42578125" customWidth="1"/>
    <col min="2831" max="2832" width="18.140625" customWidth="1"/>
    <col min="2833" max="2834" width="16.42578125" customWidth="1"/>
    <col min="2835" max="3055" width="8" customWidth="1"/>
    <col min="3056" max="3056" width="8.140625" customWidth="1"/>
    <col min="3057" max="3057" width="27.42578125" customWidth="1"/>
    <col min="3058" max="3086" width="7.42578125" customWidth="1"/>
    <col min="3087" max="3088" width="18.140625" customWidth="1"/>
    <col min="3089" max="3090" width="16.42578125" customWidth="1"/>
    <col min="3091" max="3311" width="8" customWidth="1"/>
    <col min="3312" max="3312" width="8.140625" customWidth="1"/>
    <col min="3313" max="3313" width="27.42578125" customWidth="1"/>
    <col min="3314" max="3342" width="7.42578125" customWidth="1"/>
    <col min="3343" max="3344" width="18.140625" customWidth="1"/>
    <col min="3345" max="3346" width="16.42578125" customWidth="1"/>
    <col min="3347" max="3567" width="8" customWidth="1"/>
    <col min="3568" max="3568" width="8.140625" customWidth="1"/>
    <col min="3569" max="3569" width="27.42578125" customWidth="1"/>
    <col min="3570" max="3598" width="7.42578125" customWidth="1"/>
    <col min="3599" max="3600" width="18.140625" customWidth="1"/>
    <col min="3601" max="3602" width="16.42578125" customWidth="1"/>
    <col min="3603" max="3823" width="8" customWidth="1"/>
    <col min="3824" max="3824" width="8.140625" customWidth="1"/>
    <col min="3825" max="3825" width="27.42578125" customWidth="1"/>
    <col min="3826" max="3854" width="7.42578125" customWidth="1"/>
    <col min="3855" max="3856" width="18.140625" customWidth="1"/>
    <col min="3857" max="3858" width="16.42578125" customWidth="1"/>
    <col min="3859" max="4079" width="8" customWidth="1"/>
    <col min="4080" max="4080" width="8.140625" customWidth="1"/>
    <col min="4081" max="4081" width="27.42578125" customWidth="1"/>
    <col min="4082" max="4110" width="7.42578125" customWidth="1"/>
    <col min="4111" max="4112" width="18.140625" customWidth="1"/>
    <col min="4113" max="4114" width="16.42578125" customWidth="1"/>
    <col min="4115" max="4335" width="8" customWidth="1"/>
    <col min="4336" max="4336" width="8.140625" customWidth="1"/>
    <col min="4337" max="4337" width="27.42578125" customWidth="1"/>
    <col min="4338" max="4366" width="7.42578125" customWidth="1"/>
    <col min="4367" max="4368" width="18.140625" customWidth="1"/>
    <col min="4369" max="4370" width="16.42578125" customWidth="1"/>
    <col min="4371" max="4591" width="8" customWidth="1"/>
    <col min="4592" max="4592" width="8.140625" customWidth="1"/>
    <col min="4593" max="4593" width="27.42578125" customWidth="1"/>
    <col min="4594" max="4622" width="7.42578125" customWidth="1"/>
    <col min="4623" max="4624" width="18.140625" customWidth="1"/>
    <col min="4625" max="4626" width="16.42578125" customWidth="1"/>
    <col min="4627" max="4847" width="8" customWidth="1"/>
    <col min="4848" max="4848" width="8.140625" customWidth="1"/>
    <col min="4849" max="4849" width="27.42578125" customWidth="1"/>
    <col min="4850" max="4878" width="7.42578125" customWidth="1"/>
    <col min="4879" max="4880" width="18.140625" customWidth="1"/>
    <col min="4881" max="4882" width="16.42578125" customWidth="1"/>
    <col min="4883" max="5103" width="8" customWidth="1"/>
    <col min="5104" max="5104" width="8.140625" customWidth="1"/>
    <col min="5105" max="5105" width="27.42578125" customWidth="1"/>
    <col min="5106" max="5134" width="7.42578125" customWidth="1"/>
    <col min="5135" max="5136" width="18.140625" customWidth="1"/>
    <col min="5137" max="5138" width="16.42578125" customWidth="1"/>
    <col min="5139" max="5359" width="8" customWidth="1"/>
    <col min="5360" max="5360" width="8.140625" customWidth="1"/>
    <col min="5361" max="5361" width="27.42578125" customWidth="1"/>
    <col min="5362" max="5390" width="7.42578125" customWidth="1"/>
    <col min="5391" max="5392" width="18.140625" customWidth="1"/>
    <col min="5393" max="5394" width="16.42578125" customWidth="1"/>
    <col min="5395" max="5615" width="8" customWidth="1"/>
    <col min="5616" max="5616" width="8.140625" customWidth="1"/>
    <col min="5617" max="5617" width="27.42578125" customWidth="1"/>
    <col min="5618" max="5646" width="7.42578125" customWidth="1"/>
    <col min="5647" max="5648" width="18.140625" customWidth="1"/>
    <col min="5649" max="5650" width="16.42578125" customWidth="1"/>
    <col min="5651" max="5871" width="8" customWidth="1"/>
    <col min="5872" max="5872" width="8.140625" customWidth="1"/>
    <col min="5873" max="5873" width="27.42578125" customWidth="1"/>
    <col min="5874" max="5902" width="7.42578125" customWidth="1"/>
    <col min="5903" max="5904" width="18.140625" customWidth="1"/>
    <col min="5905" max="5906" width="16.42578125" customWidth="1"/>
    <col min="5907" max="6127" width="8" customWidth="1"/>
    <col min="6128" max="6128" width="8.140625" customWidth="1"/>
    <col min="6129" max="6129" width="27.42578125" customWidth="1"/>
    <col min="6130" max="6158" width="7.42578125" customWidth="1"/>
    <col min="6159" max="6160" width="18.140625" customWidth="1"/>
    <col min="6161" max="6162" width="16.42578125" customWidth="1"/>
    <col min="6163" max="6383" width="8" customWidth="1"/>
    <col min="6384" max="6384" width="8.140625" customWidth="1"/>
    <col min="6385" max="6385" width="27.42578125" customWidth="1"/>
    <col min="6386" max="6414" width="7.42578125" customWidth="1"/>
    <col min="6415" max="6416" width="18.140625" customWidth="1"/>
    <col min="6417" max="6418" width="16.42578125" customWidth="1"/>
    <col min="6419" max="6639" width="8" customWidth="1"/>
    <col min="6640" max="6640" width="8.140625" customWidth="1"/>
    <col min="6641" max="6641" width="27.42578125" customWidth="1"/>
    <col min="6642" max="6670" width="7.42578125" customWidth="1"/>
    <col min="6671" max="6672" width="18.140625" customWidth="1"/>
    <col min="6673" max="6674" width="16.42578125" customWidth="1"/>
    <col min="6675" max="6895" width="8" customWidth="1"/>
    <col min="6896" max="6896" width="8.140625" customWidth="1"/>
    <col min="6897" max="6897" width="27.42578125" customWidth="1"/>
    <col min="6898" max="6926" width="7.42578125" customWidth="1"/>
    <col min="6927" max="6928" width="18.140625" customWidth="1"/>
    <col min="6929" max="6930" width="16.42578125" customWidth="1"/>
    <col min="6931" max="7151" width="8" customWidth="1"/>
    <col min="7152" max="7152" width="8.140625" customWidth="1"/>
    <col min="7153" max="7153" width="27.42578125" customWidth="1"/>
    <col min="7154" max="7182" width="7.42578125" customWidth="1"/>
    <col min="7183" max="7184" width="18.140625" customWidth="1"/>
    <col min="7185" max="7186" width="16.42578125" customWidth="1"/>
    <col min="7187" max="7407" width="8" customWidth="1"/>
    <col min="7408" max="7408" width="8.140625" customWidth="1"/>
    <col min="7409" max="7409" width="27.42578125" customWidth="1"/>
    <col min="7410" max="7438" width="7.42578125" customWidth="1"/>
    <col min="7439" max="7440" width="18.140625" customWidth="1"/>
    <col min="7441" max="7442" width="16.42578125" customWidth="1"/>
    <col min="7443" max="7663" width="8" customWidth="1"/>
    <col min="7664" max="7664" width="8.140625" customWidth="1"/>
    <col min="7665" max="7665" width="27.42578125" customWidth="1"/>
    <col min="7666" max="7694" width="7.42578125" customWidth="1"/>
    <col min="7695" max="7696" width="18.140625" customWidth="1"/>
    <col min="7697" max="7698" width="16.42578125" customWidth="1"/>
    <col min="7699" max="7919" width="8" customWidth="1"/>
    <col min="7920" max="7920" width="8.140625" customWidth="1"/>
    <col min="7921" max="7921" width="27.42578125" customWidth="1"/>
    <col min="7922" max="7950" width="7.42578125" customWidth="1"/>
    <col min="7951" max="7952" width="18.140625" customWidth="1"/>
    <col min="7953" max="7954" width="16.42578125" customWidth="1"/>
    <col min="7955" max="8175" width="8" customWidth="1"/>
    <col min="8176" max="8176" width="8.140625" customWidth="1"/>
    <col min="8177" max="8177" width="27.42578125" customWidth="1"/>
    <col min="8178" max="8206" width="7.42578125" customWidth="1"/>
    <col min="8207" max="8208" width="18.140625" customWidth="1"/>
    <col min="8209" max="8210" width="16.42578125" customWidth="1"/>
    <col min="8211" max="8431" width="8" customWidth="1"/>
    <col min="8432" max="8432" width="8.140625" customWidth="1"/>
    <col min="8433" max="8433" width="27.42578125" customWidth="1"/>
    <col min="8434" max="8462" width="7.42578125" customWidth="1"/>
    <col min="8463" max="8464" width="18.140625" customWidth="1"/>
    <col min="8465" max="8466" width="16.42578125" customWidth="1"/>
    <col min="8467" max="8687" width="8" customWidth="1"/>
    <col min="8688" max="8688" width="8.140625" customWidth="1"/>
    <col min="8689" max="8689" width="27.42578125" customWidth="1"/>
    <col min="8690" max="8718" width="7.42578125" customWidth="1"/>
    <col min="8719" max="8720" width="18.140625" customWidth="1"/>
    <col min="8721" max="8722" width="16.42578125" customWidth="1"/>
    <col min="8723" max="8943" width="8" customWidth="1"/>
    <col min="8944" max="8944" width="8.140625" customWidth="1"/>
    <col min="8945" max="8945" width="27.42578125" customWidth="1"/>
    <col min="8946" max="8974" width="7.42578125" customWidth="1"/>
    <col min="8975" max="8976" width="18.140625" customWidth="1"/>
    <col min="8977" max="8978" width="16.42578125" customWidth="1"/>
    <col min="8979" max="9199" width="8" customWidth="1"/>
    <col min="9200" max="9200" width="8.140625" customWidth="1"/>
    <col min="9201" max="9201" width="27.42578125" customWidth="1"/>
    <col min="9202" max="9230" width="7.42578125" customWidth="1"/>
    <col min="9231" max="9232" width="18.140625" customWidth="1"/>
    <col min="9233" max="9234" width="16.42578125" customWidth="1"/>
    <col min="9235" max="9455" width="8" customWidth="1"/>
    <col min="9456" max="9456" width="8.140625" customWidth="1"/>
    <col min="9457" max="9457" width="27.42578125" customWidth="1"/>
    <col min="9458" max="9486" width="7.42578125" customWidth="1"/>
    <col min="9487" max="9488" width="18.140625" customWidth="1"/>
    <col min="9489" max="9490" width="16.42578125" customWidth="1"/>
    <col min="9491" max="9711" width="8" customWidth="1"/>
    <col min="9712" max="9712" width="8.140625" customWidth="1"/>
    <col min="9713" max="9713" width="27.42578125" customWidth="1"/>
    <col min="9714" max="9742" width="7.42578125" customWidth="1"/>
    <col min="9743" max="9744" width="18.140625" customWidth="1"/>
    <col min="9745" max="9746" width="16.42578125" customWidth="1"/>
    <col min="9747" max="9967" width="8" customWidth="1"/>
    <col min="9968" max="9968" width="8.140625" customWidth="1"/>
    <col min="9969" max="9969" width="27.42578125" customWidth="1"/>
    <col min="9970" max="9998" width="7.42578125" customWidth="1"/>
    <col min="9999" max="10000" width="18.140625" customWidth="1"/>
    <col min="10001" max="10002" width="16.42578125" customWidth="1"/>
    <col min="10003" max="10223" width="8" customWidth="1"/>
    <col min="10224" max="10224" width="8.140625" customWidth="1"/>
    <col min="10225" max="10225" width="27.42578125" customWidth="1"/>
    <col min="10226" max="10254" width="7.42578125" customWidth="1"/>
    <col min="10255" max="10256" width="18.140625" customWidth="1"/>
    <col min="10257" max="10258" width="16.42578125" customWidth="1"/>
    <col min="10259" max="10479" width="8" customWidth="1"/>
    <col min="10480" max="10480" width="8.140625" customWidth="1"/>
    <col min="10481" max="10481" width="27.42578125" customWidth="1"/>
    <col min="10482" max="10510" width="7.42578125" customWidth="1"/>
    <col min="10511" max="10512" width="18.140625" customWidth="1"/>
    <col min="10513" max="10514" width="16.42578125" customWidth="1"/>
    <col min="10515" max="10735" width="8" customWidth="1"/>
    <col min="10736" max="10736" width="8.140625" customWidth="1"/>
    <col min="10737" max="10737" width="27.42578125" customWidth="1"/>
    <col min="10738" max="10766" width="7.42578125" customWidth="1"/>
    <col min="10767" max="10768" width="18.140625" customWidth="1"/>
    <col min="10769" max="10770" width="16.42578125" customWidth="1"/>
    <col min="10771" max="10991" width="8" customWidth="1"/>
    <col min="10992" max="10992" width="8.140625" customWidth="1"/>
    <col min="10993" max="10993" width="27.42578125" customWidth="1"/>
    <col min="10994" max="11022" width="7.42578125" customWidth="1"/>
    <col min="11023" max="11024" width="18.140625" customWidth="1"/>
    <col min="11025" max="11026" width="16.42578125" customWidth="1"/>
    <col min="11027" max="11247" width="8" customWidth="1"/>
    <col min="11248" max="11248" width="8.140625" customWidth="1"/>
    <col min="11249" max="11249" width="27.42578125" customWidth="1"/>
    <col min="11250" max="11278" width="7.42578125" customWidth="1"/>
    <col min="11279" max="11280" width="18.140625" customWidth="1"/>
    <col min="11281" max="11282" width="16.42578125" customWidth="1"/>
    <col min="11283" max="11503" width="8" customWidth="1"/>
    <col min="11504" max="11504" width="8.140625" customWidth="1"/>
    <col min="11505" max="11505" width="27.42578125" customWidth="1"/>
    <col min="11506" max="11534" width="7.42578125" customWidth="1"/>
    <col min="11535" max="11536" width="18.140625" customWidth="1"/>
    <col min="11537" max="11538" width="16.42578125" customWidth="1"/>
    <col min="11539" max="11759" width="8" customWidth="1"/>
    <col min="11760" max="11760" width="8.140625" customWidth="1"/>
    <col min="11761" max="11761" width="27.42578125" customWidth="1"/>
    <col min="11762" max="11790" width="7.42578125" customWidth="1"/>
    <col min="11791" max="11792" width="18.140625" customWidth="1"/>
    <col min="11793" max="11794" width="16.42578125" customWidth="1"/>
    <col min="11795" max="12015" width="8" customWidth="1"/>
    <col min="12016" max="12016" width="8.140625" customWidth="1"/>
    <col min="12017" max="12017" width="27.42578125" customWidth="1"/>
    <col min="12018" max="12046" width="7.42578125" customWidth="1"/>
    <col min="12047" max="12048" width="18.140625" customWidth="1"/>
    <col min="12049" max="12050" width="16.42578125" customWidth="1"/>
    <col min="12051" max="12271" width="8" customWidth="1"/>
    <col min="12272" max="12272" width="8.140625" customWidth="1"/>
    <col min="12273" max="12273" width="27.42578125" customWidth="1"/>
    <col min="12274" max="12302" width="7.42578125" customWidth="1"/>
    <col min="12303" max="12304" width="18.140625" customWidth="1"/>
    <col min="12305" max="12306" width="16.42578125" customWidth="1"/>
    <col min="12307" max="12527" width="8" customWidth="1"/>
    <col min="12528" max="12528" width="8.140625" customWidth="1"/>
    <col min="12529" max="12529" width="27.42578125" customWidth="1"/>
    <col min="12530" max="12558" width="7.42578125" customWidth="1"/>
    <col min="12559" max="12560" width="18.140625" customWidth="1"/>
    <col min="12561" max="12562" width="16.42578125" customWidth="1"/>
    <col min="12563" max="12783" width="8" customWidth="1"/>
    <col min="12784" max="12784" width="8.140625" customWidth="1"/>
    <col min="12785" max="12785" width="27.42578125" customWidth="1"/>
    <col min="12786" max="12814" width="7.42578125" customWidth="1"/>
    <col min="12815" max="12816" width="18.140625" customWidth="1"/>
    <col min="12817" max="12818" width="16.42578125" customWidth="1"/>
    <col min="12819" max="13039" width="8" customWidth="1"/>
    <col min="13040" max="13040" width="8.140625" customWidth="1"/>
    <col min="13041" max="13041" width="27.42578125" customWidth="1"/>
    <col min="13042" max="13070" width="7.42578125" customWidth="1"/>
    <col min="13071" max="13072" width="18.140625" customWidth="1"/>
    <col min="13073" max="13074" width="16.42578125" customWidth="1"/>
    <col min="13075" max="13295" width="8" customWidth="1"/>
    <col min="13296" max="13296" width="8.140625" customWidth="1"/>
    <col min="13297" max="13297" width="27.42578125" customWidth="1"/>
    <col min="13298" max="13326" width="7.42578125" customWidth="1"/>
    <col min="13327" max="13328" width="18.140625" customWidth="1"/>
    <col min="13329" max="13330" width="16.42578125" customWidth="1"/>
    <col min="13331" max="13551" width="8" customWidth="1"/>
    <col min="13552" max="13552" width="8.140625" customWidth="1"/>
    <col min="13553" max="13553" width="27.42578125" customWidth="1"/>
    <col min="13554" max="13582" width="7.42578125" customWidth="1"/>
    <col min="13583" max="13584" width="18.140625" customWidth="1"/>
    <col min="13585" max="13586" width="16.42578125" customWidth="1"/>
    <col min="13587" max="13807" width="8" customWidth="1"/>
    <col min="13808" max="13808" width="8.140625" customWidth="1"/>
    <col min="13809" max="13809" width="27.42578125" customWidth="1"/>
    <col min="13810" max="13838" width="7.42578125" customWidth="1"/>
    <col min="13839" max="13840" width="18.140625" customWidth="1"/>
    <col min="13841" max="13842" width="16.42578125" customWidth="1"/>
    <col min="13843" max="14063" width="8" customWidth="1"/>
    <col min="14064" max="14064" width="8.140625" customWidth="1"/>
    <col min="14065" max="14065" width="27.42578125" customWidth="1"/>
    <col min="14066" max="14094" width="7.42578125" customWidth="1"/>
    <col min="14095" max="14096" width="18.140625" customWidth="1"/>
    <col min="14097" max="14098" width="16.42578125" customWidth="1"/>
    <col min="14099" max="14319" width="8" customWidth="1"/>
    <col min="14320" max="14320" width="8.140625" customWidth="1"/>
    <col min="14321" max="14321" width="27.42578125" customWidth="1"/>
    <col min="14322" max="14350" width="7.42578125" customWidth="1"/>
    <col min="14351" max="14352" width="18.140625" customWidth="1"/>
    <col min="14353" max="14354" width="16.42578125" customWidth="1"/>
    <col min="14355" max="14575" width="8" customWidth="1"/>
    <col min="14576" max="14576" width="8.140625" customWidth="1"/>
    <col min="14577" max="14577" width="27.42578125" customWidth="1"/>
    <col min="14578" max="14606" width="7.42578125" customWidth="1"/>
    <col min="14607" max="14608" width="18.140625" customWidth="1"/>
    <col min="14609" max="14610" width="16.42578125" customWidth="1"/>
    <col min="14611" max="14831" width="8" customWidth="1"/>
    <col min="14832" max="14832" width="8.140625" customWidth="1"/>
    <col min="14833" max="14833" width="27.42578125" customWidth="1"/>
    <col min="14834" max="14862" width="7.42578125" customWidth="1"/>
    <col min="14863" max="14864" width="18.140625" customWidth="1"/>
    <col min="14865" max="14866" width="16.42578125" customWidth="1"/>
    <col min="14867" max="15087" width="8" customWidth="1"/>
    <col min="15088" max="15088" width="8.140625" customWidth="1"/>
    <col min="15089" max="15089" width="27.42578125" customWidth="1"/>
    <col min="15090" max="15118" width="7.42578125" customWidth="1"/>
    <col min="15119" max="15120" width="18.140625" customWidth="1"/>
    <col min="15121" max="15122" width="16.42578125" customWidth="1"/>
    <col min="15123" max="15343" width="8" customWidth="1"/>
    <col min="15344" max="15344" width="8.140625" customWidth="1"/>
    <col min="15345" max="15345" width="27.42578125" customWidth="1"/>
    <col min="15346" max="15374" width="7.42578125" customWidth="1"/>
    <col min="15375" max="15376" width="18.140625" customWidth="1"/>
    <col min="15377" max="15378" width="16.42578125" customWidth="1"/>
    <col min="15379" max="15599" width="8" customWidth="1"/>
    <col min="15600" max="15600" width="8.140625" customWidth="1"/>
    <col min="15601" max="15601" width="27.42578125" customWidth="1"/>
    <col min="15602" max="15630" width="7.42578125" customWidth="1"/>
    <col min="15631" max="15632" width="18.140625" customWidth="1"/>
    <col min="15633" max="15634" width="16.42578125" customWidth="1"/>
    <col min="15635" max="15855" width="8" customWidth="1"/>
    <col min="15856" max="15856" width="8.140625" customWidth="1"/>
    <col min="15857" max="15857" width="27.42578125" customWidth="1"/>
    <col min="15858" max="15886" width="7.42578125" customWidth="1"/>
    <col min="15887" max="15888" width="18.140625" customWidth="1"/>
    <col min="15889" max="15890" width="16.42578125" customWidth="1"/>
    <col min="15891" max="16111" width="8" customWidth="1"/>
    <col min="16112" max="16112" width="8.140625" customWidth="1"/>
    <col min="16113" max="16113" width="27.42578125" customWidth="1"/>
    <col min="16114" max="16142" width="7.42578125" customWidth="1"/>
    <col min="16143" max="16144" width="18.140625" customWidth="1"/>
    <col min="16145" max="16146" width="16.42578125" customWidth="1"/>
    <col min="16147" max="16384" width="8" customWidth="1"/>
  </cols>
  <sheetData>
    <row r="1" spans="1:18" x14ac:dyDescent="0.25">
      <c r="A1" s="26" t="s">
        <v>1</v>
      </c>
      <c r="B1" s="26" t="s">
        <v>6</v>
      </c>
      <c r="C1" s="26" t="s">
        <v>46</v>
      </c>
      <c r="D1" s="26" t="s">
        <v>47</v>
      </c>
      <c r="E1" s="26" t="s">
        <v>48</v>
      </c>
      <c r="F1" s="26" t="s">
        <v>49</v>
      </c>
      <c r="G1" s="26" t="s">
        <v>50</v>
      </c>
      <c r="H1" s="26" t="s">
        <v>51</v>
      </c>
      <c r="I1" s="26" t="s">
        <v>52</v>
      </c>
      <c r="J1" s="26" t="s">
        <v>53</v>
      </c>
      <c r="K1" s="26" t="s">
        <v>54</v>
      </c>
      <c r="L1" s="26" t="s">
        <v>55</v>
      </c>
      <c r="M1" s="26" t="s">
        <v>56</v>
      </c>
      <c r="N1" s="26" t="s">
        <v>57</v>
      </c>
      <c r="O1" s="26" t="s">
        <v>58</v>
      </c>
      <c r="P1" s="26" t="s">
        <v>59</v>
      </c>
      <c r="Q1" s="32" t="s">
        <v>75</v>
      </c>
      <c r="R1" s="27" t="s">
        <v>2</v>
      </c>
    </row>
    <row r="2" spans="1:18" x14ac:dyDescent="0.25">
      <c r="A2" s="28">
        <v>1</v>
      </c>
      <c r="B2" s="29" t="s">
        <v>10</v>
      </c>
      <c r="C2" s="29" t="s">
        <v>26</v>
      </c>
      <c r="D2" s="29"/>
      <c r="E2" s="29"/>
      <c r="F2" s="37"/>
      <c r="G2" s="29"/>
      <c r="H2" s="29"/>
      <c r="I2" s="29"/>
      <c r="J2" s="29"/>
      <c r="K2" s="29"/>
      <c r="L2" s="29"/>
      <c r="M2" s="29"/>
      <c r="N2" s="29"/>
      <c r="O2" s="29"/>
      <c r="P2" s="29"/>
      <c r="Q2" s="28">
        <f>P2+O2+N2+M2+L2+K2+J2+I2+H2+G2+F2+E2+D2+C2</f>
        <v>11</v>
      </c>
      <c r="R2" s="30">
        <v>86</v>
      </c>
    </row>
    <row r="3" spans="1:18" x14ac:dyDescent="0.25">
      <c r="A3" s="28">
        <v>2</v>
      </c>
      <c r="B3" s="29" t="s">
        <v>11</v>
      </c>
      <c r="C3" s="29" t="s">
        <v>26</v>
      </c>
      <c r="D3" s="29"/>
      <c r="E3" s="29"/>
      <c r="F3" s="37">
        <v>11</v>
      </c>
      <c r="G3" s="29"/>
      <c r="H3" s="29" t="s">
        <v>26</v>
      </c>
      <c r="I3" s="29" t="s">
        <v>26</v>
      </c>
      <c r="J3" s="29" t="s">
        <v>26</v>
      </c>
      <c r="K3" s="29"/>
      <c r="L3" s="29"/>
      <c r="M3" s="29"/>
      <c r="N3" s="29"/>
      <c r="O3" s="29"/>
      <c r="P3" s="29"/>
      <c r="Q3" s="28">
        <f t="shared" ref="Q3:Q14" si="0">P3+O3+N3+M3+L3+K3+J3+I3+H3+G3+F3+E3+D3+C3</f>
        <v>55</v>
      </c>
      <c r="R3" s="30">
        <v>137</v>
      </c>
    </row>
    <row r="4" spans="1:18" x14ac:dyDescent="0.25">
      <c r="A4" s="28">
        <v>3</v>
      </c>
      <c r="B4" s="29" t="s">
        <v>12</v>
      </c>
      <c r="C4" s="29"/>
      <c r="D4" s="29"/>
      <c r="E4" s="29"/>
      <c r="F4" s="37">
        <v>11</v>
      </c>
      <c r="G4" s="29" t="s">
        <v>26</v>
      </c>
      <c r="H4" s="29" t="s">
        <v>26</v>
      </c>
      <c r="I4" s="29" t="s">
        <v>26</v>
      </c>
      <c r="J4" s="29" t="s">
        <v>26</v>
      </c>
      <c r="K4" s="29"/>
      <c r="L4" s="29"/>
      <c r="M4" s="29"/>
      <c r="N4" s="29"/>
      <c r="O4" s="29"/>
      <c r="P4" s="29"/>
      <c r="Q4" s="28">
        <f t="shared" si="0"/>
        <v>55</v>
      </c>
      <c r="R4" s="30">
        <v>95</v>
      </c>
    </row>
    <row r="5" spans="1:18" x14ac:dyDescent="0.25">
      <c r="A5" s="28">
        <v>4</v>
      </c>
      <c r="B5" s="29" t="s">
        <v>4</v>
      </c>
      <c r="C5" s="29" t="s">
        <v>26</v>
      </c>
      <c r="D5" s="29"/>
      <c r="E5" s="29"/>
      <c r="F5" s="37">
        <v>12</v>
      </c>
      <c r="G5" s="29" t="s">
        <v>26</v>
      </c>
      <c r="H5" s="29"/>
      <c r="I5" s="29"/>
      <c r="J5" s="29"/>
      <c r="K5" s="29"/>
      <c r="L5" s="29"/>
      <c r="M5" s="29"/>
      <c r="N5" s="29"/>
      <c r="O5" s="29"/>
      <c r="P5" s="29"/>
      <c r="Q5" s="28">
        <f t="shared" si="0"/>
        <v>34</v>
      </c>
      <c r="R5" s="30">
        <v>116</v>
      </c>
    </row>
    <row r="6" spans="1:18" x14ac:dyDescent="0.25">
      <c r="A6" s="28">
        <v>5</v>
      </c>
      <c r="B6" s="29" t="s">
        <v>76</v>
      </c>
      <c r="C6" s="29" t="s">
        <v>65</v>
      </c>
      <c r="D6" s="29"/>
      <c r="E6" s="29"/>
      <c r="F6" s="37"/>
      <c r="G6" s="29"/>
      <c r="H6" s="29"/>
      <c r="I6" s="29"/>
      <c r="J6" s="29"/>
      <c r="K6" s="29"/>
      <c r="L6" s="29"/>
      <c r="M6" s="29"/>
      <c r="N6" s="29"/>
      <c r="O6" s="29"/>
      <c r="P6" s="29"/>
      <c r="Q6" s="28">
        <f t="shared" si="0"/>
        <v>12</v>
      </c>
      <c r="R6" s="30">
        <v>98</v>
      </c>
    </row>
    <row r="7" spans="1:18" x14ac:dyDescent="0.25">
      <c r="A7" s="28">
        <v>6</v>
      </c>
      <c r="B7" s="29" t="s">
        <v>19</v>
      </c>
      <c r="C7" s="29" t="s">
        <v>26</v>
      </c>
      <c r="D7" s="29"/>
      <c r="E7" s="29"/>
      <c r="F7" s="37"/>
      <c r="G7" s="29"/>
      <c r="H7" s="29"/>
      <c r="I7" s="29"/>
      <c r="J7" s="29"/>
      <c r="K7" s="29"/>
      <c r="L7" s="29"/>
      <c r="M7" s="29"/>
      <c r="N7" s="29"/>
      <c r="O7" s="29"/>
      <c r="P7" s="29"/>
      <c r="Q7" s="28">
        <f t="shared" si="0"/>
        <v>11</v>
      </c>
      <c r="R7" s="30">
        <v>95</v>
      </c>
    </row>
    <row r="8" spans="1:18" x14ac:dyDescent="0.25">
      <c r="A8" s="28">
        <v>7</v>
      </c>
      <c r="B8" s="29" t="s">
        <v>77</v>
      </c>
      <c r="C8" s="29" t="s">
        <v>26</v>
      </c>
      <c r="D8" s="29"/>
      <c r="E8" s="29"/>
      <c r="F8" s="37"/>
      <c r="G8" s="29"/>
      <c r="H8" s="29"/>
      <c r="I8" s="29"/>
      <c r="J8" s="29"/>
      <c r="K8" s="29"/>
      <c r="L8" s="29"/>
      <c r="M8" s="29"/>
      <c r="N8" s="29"/>
      <c r="O8" s="29"/>
      <c r="P8" s="29"/>
      <c r="Q8" s="28">
        <f t="shared" si="0"/>
        <v>11</v>
      </c>
      <c r="R8" s="30">
        <v>106</v>
      </c>
    </row>
    <row r="9" spans="1:18" x14ac:dyDescent="0.25">
      <c r="A9" s="28">
        <v>8</v>
      </c>
      <c r="B9" s="29" t="s">
        <v>78</v>
      </c>
      <c r="C9" s="29" t="s">
        <v>26</v>
      </c>
      <c r="D9" s="29"/>
      <c r="E9" s="29"/>
      <c r="F9" s="37"/>
      <c r="G9" s="29"/>
      <c r="H9" s="29"/>
      <c r="I9" s="29"/>
      <c r="J9" s="29"/>
      <c r="K9" s="29"/>
      <c r="L9" s="29"/>
      <c r="M9" s="29"/>
      <c r="N9" s="29"/>
      <c r="O9" s="29"/>
      <c r="P9" s="29"/>
      <c r="Q9" s="28">
        <f t="shared" si="0"/>
        <v>11</v>
      </c>
      <c r="R9" s="30">
        <v>84</v>
      </c>
    </row>
    <row r="10" spans="1:18" x14ac:dyDescent="0.25">
      <c r="A10" s="28">
        <v>9</v>
      </c>
      <c r="B10" s="29" t="s">
        <v>3</v>
      </c>
      <c r="C10" s="29"/>
      <c r="D10" s="29"/>
      <c r="E10" s="29"/>
      <c r="F10" s="37"/>
      <c r="G10" s="29" t="s">
        <v>26</v>
      </c>
      <c r="H10" s="29"/>
      <c r="I10" s="29" t="s">
        <v>26</v>
      </c>
      <c r="J10" s="29" t="s">
        <v>26</v>
      </c>
      <c r="K10" s="29"/>
      <c r="L10" s="29"/>
      <c r="M10" s="29"/>
      <c r="N10" s="29"/>
      <c r="O10" s="29"/>
      <c r="P10" s="29"/>
      <c r="Q10" s="28">
        <f t="shared" si="0"/>
        <v>33</v>
      </c>
      <c r="R10" s="30">
        <v>33</v>
      </c>
    </row>
    <row r="11" spans="1:18" x14ac:dyDescent="0.25">
      <c r="A11" s="28">
        <v>10</v>
      </c>
      <c r="B11" s="29" t="s">
        <v>20</v>
      </c>
      <c r="C11" s="29"/>
      <c r="D11" s="29"/>
      <c r="E11" s="29"/>
      <c r="F11" s="37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8">
        <f t="shared" si="0"/>
        <v>0</v>
      </c>
      <c r="R11" s="30">
        <v>0</v>
      </c>
    </row>
    <row r="12" spans="1:18" x14ac:dyDescent="0.25">
      <c r="A12" s="28">
        <v>11</v>
      </c>
      <c r="B12" s="29" t="s">
        <v>21</v>
      </c>
      <c r="C12" s="29"/>
      <c r="D12" s="29"/>
      <c r="E12" s="29"/>
      <c r="F12" s="37">
        <v>11</v>
      </c>
      <c r="G12" s="29">
        <v>12</v>
      </c>
      <c r="H12" s="29">
        <v>12</v>
      </c>
      <c r="I12" s="29">
        <v>12</v>
      </c>
      <c r="J12" s="29">
        <v>12</v>
      </c>
      <c r="K12" s="29"/>
      <c r="L12" s="29"/>
      <c r="M12" s="29"/>
      <c r="N12" s="29"/>
      <c r="O12" s="29"/>
      <c r="P12" s="29"/>
      <c r="Q12" s="28">
        <f t="shared" si="0"/>
        <v>59</v>
      </c>
      <c r="R12" s="30">
        <v>44</v>
      </c>
    </row>
    <row r="13" spans="1:18" x14ac:dyDescent="0.25">
      <c r="A13" s="28">
        <v>12</v>
      </c>
      <c r="B13" s="29" t="s">
        <v>43</v>
      </c>
      <c r="C13" s="29"/>
      <c r="D13" s="29"/>
      <c r="E13" s="29"/>
      <c r="F13" s="37">
        <v>11</v>
      </c>
      <c r="G13" s="29" t="s">
        <v>26</v>
      </c>
      <c r="H13" s="29" t="s">
        <v>26</v>
      </c>
      <c r="I13" s="29" t="s">
        <v>26</v>
      </c>
      <c r="J13" s="29" t="s">
        <v>26</v>
      </c>
      <c r="K13" s="29"/>
      <c r="L13" s="29"/>
      <c r="M13" s="29"/>
      <c r="N13" s="29"/>
      <c r="O13" s="29"/>
      <c r="P13" s="29"/>
      <c r="Q13" s="28">
        <f t="shared" si="0"/>
        <v>55</v>
      </c>
      <c r="R13" s="30">
        <v>44</v>
      </c>
    </row>
    <row r="14" spans="1:18" x14ac:dyDescent="0.25">
      <c r="A14" s="28">
        <v>13</v>
      </c>
      <c r="B14" s="29" t="s">
        <v>45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8">
        <f t="shared" si="0"/>
        <v>0</v>
      </c>
      <c r="R14" s="30">
        <v>0</v>
      </c>
    </row>
    <row r="15" spans="1:18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33"/>
      <c r="R15" s="31">
        <v>938</v>
      </c>
    </row>
    <row r="16" spans="1:18" x14ac:dyDescent="0.25">
      <c r="B16" s="38" t="s">
        <v>79</v>
      </c>
    </row>
  </sheetData>
  <pageMargins left="0" right="0" top="0.74803149606299213" bottom="0.74803149606299213" header="0.31496062992125984" footer="0.31496062992125984"/>
  <pageSetup paperSize="9" scale="72" orientation="landscape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Лист10"/>
  <dimension ref="A1:Q26"/>
  <sheetViews>
    <sheetView workbookViewId="0">
      <selection activeCell="C2" sqref="C2:P25"/>
    </sheetView>
  </sheetViews>
  <sheetFormatPr defaultColWidth="8.85546875" defaultRowHeight="15.75" x14ac:dyDescent="0.25"/>
  <cols>
    <col min="1" max="1" width="6.42578125" style="6" customWidth="1"/>
    <col min="2" max="2" width="42.42578125" style="6" customWidth="1"/>
    <col min="3" max="16" width="8.85546875" style="6"/>
    <col min="17" max="17" width="13.5703125" style="6" customWidth="1"/>
    <col min="18" max="16384" width="8.85546875" style="6"/>
  </cols>
  <sheetData>
    <row r="1" spans="1:17" ht="78.599999999999994" customHeight="1" x14ac:dyDescent="0.25">
      <c r="A1" s="39" t="s">
        <v>1</v>
      </c>
      <c r="B1" s="41" t="s">
        <v>6</v>
      </c>
      <c r="C1" s="47">
        <v>45338</v>
      </c>
      <c r="D1" s="47">
        <v>45339</v>
      </c>
      <c r="E1" s="47">
        <v>45340</v>
      </c>
      <c r="F1" s="47">
        <v>45341</v>
      </c>
      <c r="G1" s="47">
        <v>45342</v>
      </c>
      <c r="H1" s="47">
        <v>45343</v>
      </c>
      <c r="I1" s="47">
        <v>45344</v>
      </c>
      <c r="J1" s="47">
        <v>45345</v>
      </c>
      <c r="K1" s="47">
        <v>45346</v>
      </c>
      <c r="L1" s="47">
        <v>45347</v>
      </c>
      <c r="M1" s="47">
        <v>45348</v>
      </c>
      <c r="N1" s="47">
        <v>45349</v>
      </c>
      <c r="O1" s="47">
        <v>45350</v>
      </c>
      <c r="P1" s="47">
        <v>45351</v>
      </c>
      <c r="Q1" s="43" t="s">
        <v>2</v>
      </c>
    </row>
    <row r="2" spans="1:17" x14ac:dyDescent="0.25">
      <c r="A2" s="40">
        <v>1</v>
      </c>
      <c r="B2" s="42" t="s">
        <v>80</v>
      </c>
      <c r="C2" s="44" t="s">
        <v>26</v>
      </c>
      <c r="D2" s="44" t="s">
        <v>25</v>
      </c>
      <c r="E2" s="44"/>
      <c r="F2" s="44" t="s">
        <v>26</v>
      </c>
      <c r="G2" s="44"/>
      <c r="H2" s="44" t="s">
        <v>26</v>
      </c>
      <c r="I2" s="44" t="s">
        <v>26</v>
      </c>
      <c r="J2" s="44" t="s">
        <v>26</v>
      </c>
      <c r="K2" s="44" t="s">
        <v>26</v>
      </c>
      <c r="L2" s="44"/>
      <c r="M2" s="44"/>
      <c r="N2" s="44" t="s">
        <v>26</v>
      </c>
      <c r="O2" s="44" t="s">
        <v>26</v>
      </c>
      <c r="P2" s="44" t="s">
        <v>26</v>
      </c>
      <c r="Q2" s="45">
        <f>P2+O2+N2+M2+L2+K2+J2+I2+H2+G2+F2+E2+D2+C2</f>
        <v>108</v>
      </c>
    </row>
    <row r="3" spans="1:17" x14ac:dyDescent="0.25">
      <c r="A3" s="40">
        <v>2</v>
      </c>
      <c r="B3" s="42" t="s">
        <v>18</v>
      </c>
      <c r="C3" s="44" t="s">
        <v>26</v>
      </c>
      <c r="D3" s="44" t="s">
        <v>25</v>
      </c>
      <c r="E3" s="44"/>
      <c r="F3" s="44" t="s">
        <v>26</v>
      </c>
      <c r="G3" s="44" t="s">
        <v>26</v>
      </c>
      <c r="H3" s="44" t="s">
        <v>26</v>
      </c>
      <c r="I3" s="44" t="s">
        <v>26</v>
      </c>
      <c r="J3" s="44" t="s">
        <v>26</v>
      </c>
      <c r="K3" s="44" t="s">
        <v>26</v>
      </c>
      <c r="L3" s="44"/>
      <c r="M3" s="44" t="s">
        <v>26</v>
      </c>
      <c r="N3" s="44" t="s">
        <v>26</v>
      </c>
      <c r="O3" s="44" t="s">
        <v>66</v>
      </c>
      <c r="P3" s="44" t="s">
        <v>65</v>
      </c>
      <c r="Q3" s="45">
        <f t="shared" ref="Q3:Q25" si="0">P3+O3+N3+M3+L3+K3+J3+I3+H3+G3+F3+E3+D3+C3</f>
        <v>133</v>
      </c>
    </row>
    <row r="4" spans="1:17" x14ac:dyDescent="0.25">
      <c r="A4" s="40">
        <v>3</v>
      </c>
      <c r="B4" s="42" t="s">
        <v>3</v>
      </c>
      <c r="C4" s="44" t="s">
        <v>26</v>
      </c>
      <c r="D4" s="44"/>
      <c r="E4" s="44"/>
      <c r="F4" s="44" t="s">
        <v>26</v>
      </c>
      <c r="G4" s="44"/>
      <c r="H4" s="44" t="s">
        <v>26</v>
      </c>
      <c r="I4" s="44"/>
      <c r="J4" s="44"/>
      <c r="K4" s="44"/>
      <c r="L4" s="44" t="s">
        <v>26</v>
      </c>
      <c r="M4" s="44" t="s">
        <v>26</v>
      </c>
      <c r="N4" s="44" t="s">
        <v>26</v>
      </c>
      <c r="O4" s="44" t="s">
        <v>26</v>
      </c>
      <c r="P4" s="44" t="s">
        <v>26</v>
      </c>
      <c r="Q4" s="45">
        <f t="shared" si="0"/>
        <v>88</v>
      </c>
    </row>
    <row r="5" spans="1:17" x14ac:dyDescent="0.25">
      <c r="A5" s="40">
        <v>4</v>
      </c>
      <c r="B5" s="42" t="s">
        <v>10</v>
      </c>
      <c r="C5" s="44"/>
      <c r="D5" s="44"/>
      <c r="E5" s="44"/>
      <c r="F5" s="44" t="s">
        <v>26</v>
      </c>
      <c r="G5" s="44" t="s">
        <v>26</v>
      </c>
      <c r="H5" s="44" t="s">
        <v>26</v>
      </c>
      <c r="I5" s="44" t="s">
        <v>26</v>
      </c>
      <c r="J5" s="44" t="s">
        <v>26</v>
      </c>
      <c r="K5" s="44" t="s">
        <v>26</v>
      </c>
      <c r="L5" s="44"/>
      <c r="M5" s="44" t="s">
        <v>26</v>
      </c>
      <c r="N5" s="44" t="s">
        <v>26</v>
      </c>
      <c r="O5" s="44" t="s">
        <v>26</v>
      </c>
      <c r="P5" s="44" t="s">
        <v>26</v>
      </c>
      <c r="Q5" s="45">
        <f t="shared" si="0"/>
        <v>110</v>
      </c>
    </row>
    <row r="6" spans="1:17" x14ac:dyDescent="0.25">
      <c r="A6" s="40">
        <v>5</v>
      </c>
      <c r="B6" s="42" t="s">
        <v>11</v>
      </c>
      <c r="C6" s="44"/>
      <c r="D6" s="44"/>
      <c r="E6" s="44"/>
      <c r="F6" s="44"/>
      <c r="G6" s="44"/>
      <c r="H6" s="44"/>
      <c r="I6" s="44"/>
      <c r="J6" s="44"/>
      <c r="K6" s="44"/>
      <c r="L6" s="44"/>
      <c r="M6" s="44" t="s">
        <v>26</v>
      </c>
      <c r="N6" s="44" t="s">
        <v>26</v>
      </c>
      <c r="O6" s="44" t="s">
        <v>26</v>
      </c>
      <c r="P6" s="44" t="s">
        <v>26</v>
      </c>
      <c r="Q6" s="45">
        <f t="shared" si="0"/>
        <v>44</v>
      </c>
    </row>
    <row r="7" spans="1:17" x14ac:dyDescent="0.25">
      <c r="A7" s="40">
        <v>6</v>
      </c>
      <c r="B7" s="42" t="s">
        <v>12</v>
      </c>
      <c r="C7" s="44"/>
      <c r="D7" s="44"/>
      <c r="E7" s="44"/>
      <c r="F7" s="44"/>
      <c r="G7" s="44"/>
      <c r="H7" s="44"/>
      <c r="I7" s="44"/>
      <c r="J7" s="44"/>
      <c r="K7" s="44"/>
      <c r="L7" s="44"/>
      <c r="M7" s="44" t="s">
        <v>26</v>
      </c>
      <c r="N7" s="44" t="s">
        <v>26</v>
      </c>
      <c r="O7" s="44" t="s">
        <v>26</v>
      </c>
      <c r="P7" s="44" t="s">
        <v>26</v>
      </c>
      <c r="Q7" s="45">
        <f t="shared" si="0"/>
        <v>44</v>
      </c>
    </row>
    <row r="8" spans="1:17" x14ac:dyDescent="0.25">
      <c r="A8" s="40">
        <v>7</v>
      </c>
      <c r="B8" s="42" t="s">
        <v>13</v>
      </c>
      <c r="C8" s="44" t="s">
        <v>26</v>
      </c>
      <c r="D8" s="44" t="s">
        <v>25</v>
      </c>
      <c r="E8" s="44"/>
      <c r="F8" s="44" t="s">
        <v>26</v>
      </c>
      <c r="G8" s="44"/>
      <c r="H8" s="44" t="s">
        <v>26</v>
      </c>
      <c r="I8" s="44" t="s">
        <v>26</v>
      </c>
      <c r="J8" s="44" t="s">
        <v>26</v>
      </c>
      <c r="K8" s="44" t="s">
        <v>26</v>
      </c>
      <c r="L8" s="44" t="s">
        <v>24</v>
      </c>
      <c r="M8" s="44" t="s">
        <v>26</v>
      </c>
      <c r="N8" s="44" t="s">
        <v>26</v>
      </c>
      <c r="O8" s="44" t="s">
        <v>26</v>
      </c>
      <c r="P8" s="44" t="s">
        <v>26</v>
      </c>
      <c r="Q8" s="45">
        <f t="shared" si="0"/>
        <v>127</v>
      </c>
    </row>
    <row r="9" spans="1:17" x14ac:dyDescent="0.25">
      <c r="A9" s="40">
        <v>8</v>
      </c>
      <c r="B9" s="42" t="s">
        <v>14</v>
      </c>
      <c r="C9" s="44" t="s">
        <v>26</v>
      </c>
      <c r="D9" s="44" t="s">
        <v>25</v>
      </c>
      <c r="E9" s="44"/>
      <c r="F9" s="44" t="s">
        <v>26</v>
      </c>
      <c r="G9" s="44"/>
      <c r="H9" s="44" t="s">
        <v>26</v>
      </c>
      <c r="I9" s="44" t="s">
        <v>26</v>
      </c>
      <c r="J9" s="44" t="s">
        <v>26</v>
      </c>
      <c r="K9" s="44" t="s">
        <v>26</v>
      </c>
      <c r="L9" s="44"/>
      <c r="M9" s="44" t="s">
        <v>26</v>
      </c>
      <c r="N9" s="44" t="s">
        <v>26</v>
      </c>
      <c r="O9" s="44" t="s">
        <v>65</v>
      </c>
      <c r="P9" s="44" t="s">
        <v>26</v>
      </c>
      <c r="Q9" s="45">
        <f t="shared" si="0"/>
        <v>120</v>
      </c>
    </row>
    <row r="10" spans="1:17" x14ac:dyDescent="0.25">
      <c r="A10" s="40">
        <v>9</v>
      </c>
      <c r="B10" s="42" t="s">
        <v>15</v>
      </c>
      <c r="C10" s="44" t="s">
        <v>26</v>
      </c>
      <c r="D10" s="44" t="s">
        <v>25</v>
      </c>
      <c r="E10" s="44"/>
      <c r="F10" s="44" t="s">
        <v>26</v>
      </c>
      <c r="G10" s="44" t="s">
        <v>26</v>
      </c>
      <c r="H10" s="44" t="s">
        <v>26</v>
      </c>
      <c r="I10" s="44" t="s">
        <v>26</v>
      </c>
      <c r="J10" s="44" t="s">
        <v>26</v>
      </c>
      <c r="K10" s="44" t="s">
        <v>26</v>
      </c>
      <c r="L10" s="44" t="s">
        <v>24</v>
      </c>
      <c r="M10" s="44" t="s">
        <v>26</v>
      </c>
      <c r="N10" s="44" t="s">
        <v>26</v>
      </c>
      <c r="O10" s="44"/>
      <c r="P10" s="44"/>
      <c r="Q10" s="45">
        <f t="shared" si="0"/>
        <v>116</v>
      </c>
    </row>
    <row r="11" spans="1:17" x14ac:dyDescent="0.25">
      <c r="A11" s="40">
        <v>10</v>
      </c>
      <c r="B11" s="42" t="s">
        <v>16</v>
      </c>
      <c r="C11" s="44" t="s">
        <v>26</v>
      </c>
      <c r="D11" s="44" t="s">
        <v>25</v>
      </c>
      <c r="E11" s="44"/>
      <c r="F11" s="44" t="s">
        <v>26</v>
      </c>
      <c r="G11" s="44" t="s">
        <v>26</v>
      </c>
      <c r="H11" s="44" t="s">
        <v>26</v>
      </c>
      <c r="I11" s="44" t="s">
        <v>26</v>
      </c>
      <c r="J11" s="44" t="s">
        <v>26</v>
      </c>
      <c r="K11" s="44" t="s">
        <v>26</v>
      </c>
      <c r="L11" s="44"/>
      <c r="M11" s="44" t="s">
        <v>26</v>
      </c>
      <c r="N11" s="44" t="s">
        <v>26</v>
      </c>
      <c r="O11" s="44" t="s">
        <v>26</v>
      </c>
      <c r="P11" s="44" t="s">
        <v>26</v>
      </c>
      <c r="Q11" s="45">
        <f t="shared" si="0"/>
        <v>130</v>
      </c>
    </row>
    <row r="12" spans="1:17" x14ac:dyDescent="0.25">
      <c r="A12" s="40">
        <v>11</v>
      </c>
      <c r="B12" s="42" t="s">
        <v>34</v>
      </c>
      <c r="C12" s="44" t="s">
        <v>26</v>
      </c>
      <c r="D12" s="44" t="s">
        <v>25</v>
      </c>
      <c r="E12" s="44"/>
      <c r="F12" s="44" t="s">
        <v>26</v>
      </c>
      <c r="G12" s="44" t="s">
        <v>26</v>
      </c>
      <c r="H12" s="44" t="s">
        <v>26</v>
      </c>
      <c r="I12" s="44" t="s">
        <v>26</v>
      </c>
      <c r="J12" s="44" t="s">
        <v>26</v>
      </c>
      <c r="K12" s="44" t="s">
        <v>26</v>
      </c>
      <c r="L12" s="44"/>
      <c r="M12" s="44" t="s">
        <v>26</v>
      </c>
      <c r="N12" s="44" t="s">
        <v>26</v>
      </c>
      <c r="O12" s="44" t="s">
        <v>67</v>
      </c>
      <c r="P12" s="44" t="s">
        <v>26</v>
      </c>
      <c r="Q12" s="45">
        <f t="shared" si="0"/>
        <v>133</v>
      </c>
    </row>
    <row r="13" spans="1:17" x14ac:dyDescent="0.25">
      <c r="A13" s="40">
        <v>12</v>
      </c>
      <c r="B13" s="42" t="s">
        <v>4</v>
      </c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5">
        <f t="shared" si="0"/>
        <v>0</v>
      </c>
    </row>
    <row r="14" spans="1:17" x14ac:dyDescent="0.25">
      <c r="A14" s="40">
        <v>13</v>
      </c>
      <c r="B14" s="42" t="s">
        <v>5</v>
      </c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 t="s">
        <v>26</v>
      </c>
      <c r="O14" s="44" t="s">
        <v>26</v>
      </c>
      <c r="P14" s="44" t="s">
        <v>26</v>
      </c>
      <c r="Q14" s="45">
        <f t="shared" si="0"/>
        <v>33</v>
      </c>
    </row>
    <row r="15" spans="1:17" x14ac:dyDescent="0.25">
      <c r="A15" s="40">
        <v>14</v>
      </c>
      <c r="B15" s="42" t="s">
        <v>17</v>
      </c>
      <c r="C15" s="44"/>
      <c r="D15" s="44"/>
      <c r="E15" s="44"/>
      <c r="F15" s="44" t="s">
        <v>26</v>
      </c>
      <c r="G15" s="44" t="s">
        <v>26</v>
      </c>
      <c r="H15" s="44" t="s">
        <v>26</v>
      </c>
      <c r="I15" s="44" t="s">
        <v>26</v>
      </c>
      <c r="J15" s="44" t="s">
        <v>26</v>
      </c>
      <c r="K15" s="44" t="s">
        <v>26</v>
      </c>
      <c r="L15" s="44" t="s">
        <v>24</v>
      </c>
      <c r="M15" s="44" t="s">
        <v>26</v>
      </c>
      <c r="N15" s="44" t="s">
        <v>26</v>
      </c>
      <c r="O15" s="44" t="s">
        <v>66</v>
      </c>
      <c r="P15" s="44" t="s">
        <v>65</v>
      </c>
      <c r="Q15" s="45">
        <f t="shared" si="0"/>
        <v>121</v>
      </c>
    </row>
    <row r="16" spans="1:17" x14ac:dyDescent="0.25">
      <c r="A16" s="40">
        <v>15</v>
      </c>
      <c r="B16" s="42" t="s">
        <v>37</v>
      </c>
      <c r="C16" s="44"/>
      <c r="D16" s="44"/>
      <c r="E16" s="44"/>
      <c r="F16" s="44"/>
      <c r="G16" s="44"/>
      <c r="H16" s="44"/>
      <c r="I16" s="44"/>
      <c r="J16" s="44" t="s">
        <v>26</v>
      </c>
      <c r="K16" s="44" t="s">
        <v>26</v>
      </c>
      <c r="L16" s="44"/>
      <c r="M16" s="44" t="s">
        <v>26</v>
      </c>
      <c r="N16" s="44" t="s">
        <v>26</v>
      </c>
      <c r="O16" s="44" t="s">
        <v>26</v>
      </c>
      <c r="P16" s="44" t="s">
        <v>26</v>
      </c>
      <c r="Q16" s="45">
        <f t="shared" si="0"/>
        <v>66</v>
      </c>
    </row>
    <row r="17" spans="1:17" x14ac:dyDescent="0.25">
      <c r="A17" s="40">
        <v>16</v>
      </c>
      <c r="B17" s="42" t="s">
        <v>38</v>
      </c>
      <c r="C17" s="44"/>
      <c r="D17" s="44" t="s">
        <v>25</v>
      </c>
      <c r="E17" s="44"/>
      <c r="F17" s="44" t="s">
        <v>26</v>
      </c>
      <c r="G17" s="44" t="s">
        <v>26</v>
      </c>
      <c r="H17" s="44" t="s">
        <v>26</v>
      </c>
      <c r="I17" s="44" t="s">
        <v>26</v>
      </c>
      <c r="J17" s="44" t="s">
        <v>26</v>
      </c>
      <c r="K17" s="44" t="s">
        <v>26</v>
      </c>
      <c r="L17" s="44"/>
      <c r="M17" s="44" t="s">
        <v>26</v>
      </c>
      <c r="N17" s="44" t="s">
        <v>26</v>
      </c>
      <c r="O17" s="44" t="s">
        <v>26</v>
      </c>
      <c r="P17" s="44" t="s">
        <v>26</v>
      </c>
      <c r="Q17" s="45">
        <f t="shared" si="0"/>
        <v>119</v>
      </c>
    </row>
    <row r="18" spans="1:17" x14ac:dyDescent="0.25">
      <c r="A18" s="40">
        <v>17</v>
      </c>
      <c r="B18" s="42" t="s">
        <v>7</v>
      </c>
      <c r="C18" s="44" t="s">
        <v>26</v>
      </c>
      <c r="D18" s="44"/>
      <c r="E18" s="44"/>
      <c r="F18" s="44" t="s">
        <v>26</v>
      </c>
      <c r="G18" s="44" t="s">
        <v>26</v>
      </c>
      <c r="H18" s="44" t="s">
        <v>26</v>
      </c>
      <c r="I18" s="44" t="s">
        <v>26</v>
      </c>
      <c r="J18" s="44" t="s">
        <v>26</v>
      </c>
      <c r="K18" s="44" t="s">
        <v>26</v>
      </c>
      <c r="L18" s="44"/>
      <c r="M18" s="44"/>
      <c r="N18" s="44" t="s">
        <v>26</v>
      </c>
      <c r="O18" s="44" t="s">
        <v>26</v>
      </c>
      <c r="P18" s="44" t="s">
        <v>26</v>
      </c>
      <c r="Q18" s="45">
        <f t="shared" si="0"/>
        <v>110</v>
      </c>
    </row>
    <row r="19" spans="1:17" x14ac:dyDescent="0.25">
      <c r="A19" s="40">
        <v>18</v>
      </c>
      <c r="B19" s="42" t="s">
        <v>19</v>
      </c>
      <c r="C19" s="44"/>
      <c r="D19" s="44"/>
      <c r="E19" s="44"/>
      <c r="F19" s="44" t="s">
        <v>26</v>
      </c>
      <c r="G19" s="44" t="s">
        <v>26</v>
      </c>
      <c r="H19" s="44" t="s">
        <v>26</v>
      </c>
      <c r="I19" s="44" t="s">
        <v>26</v>
      </c>
      <c r="J19" s="44" t="s">
        <v>26</v>
      </c>
      <c r="K19" s="44" t="s">
        <v>26</v>
      </c>
      <c r="L19" s="44"/>
      <c r="M19" s="44" t="s">
        <v>26</v>
      </c>
      <c r="N19" s="44" t="s">
        <v>26</v>
      </c>
      <c r="O19" s="44" t="s">
        <v>66</v>
      </c>
      <c r="P19" s="44" t="s">
        <v>65</v>
      </c>
      <c r="Q19" s="45">
        <f t="shared" si="0"/>
        <v>113</v>
      </c>
    </row>
    <row r="20" spans="1:17" x14ac:dyDescent="0.25">
      <c r="A20" s="40">
        <v>19</v>
      </c>
      <c r="B20" s="42" t="s">
        <v>40</v>
      </c>
      <c r="C20" s="44" t="s">
        <v>26</v>
      </c>
      <c r="D20" s="44" t="s">
        <v>25</v>
      </c>
      <c r="E20" s="44"/>
      <c r="F20" s="44" t="s">
        <v>26</v>
      </c>
      <c r="G20" s="44" t="s">
        <v>26</v>
      </c>
      <c r="H20" s="44" t="s">
        <v>26</v>
      </c>
      <c r="I20" s="44" t="s">
        <v>26</v>
      </c>
      <c r="J20" s="44" t="s">
        <v>26</v>
      </c>
      <c r="K20" s="44" t="s">
        <v>26</v>
      </c>
      <c r="L20" s="44" t="s">
        <v>62</v>
      </c>
      <c r="M20" s="44" t="s">
        <v>26</v>
      </c>
      <c r="N20" s="44" t="s">
        <v>26</v>
      </c>
      <c r="O20" s="44" t="s">
        <v>26</v>
      </c>
      <c r="P20" s="44" t="s">
        <v>26</v>
      </c>
      <c r="Q20" s="45">
        <f t="shared" si="0"/>
        <v>133</v>
      </c>
    </row>
    <row r="21" spans="1:17" x14ac:dyDescent="0.25">
      <c r="A21" s="40">
        <v>20</v>
      </c>
      <c r="B21" s="42" t="s">
        <v>77</v>
      </c>
      <c r="C21" s="44"/>
      <c r="D21" s="44"/>
      <c r="E21" s="44"/>
      <c r="F21" s="44" t="s">
        <v>26</v>
      </c>
      <c r="G21" s="44"/>
      <c r="H21" s="44" t="s">
        <v>26</v>
      </c>
      <c r="I21" s="44" t="s">
        <v>26</v>
      </c>
      <c r="J21" s="44" t="s">
        <v>26</v>
      </c>
      <c r="K21" s="44" t="s">
        <v>26</v>
      </c>
      <c r="L21" s="44" t="s">
        <v>24</v>
      </c>
      <c r="M21" s="44" t="s">
        <v>26</v>
      </c>
      <c r="N21" s="44" t="s">
        <v>26</v>
      </c>
      <c r="O21" s="44" t="s">
        <v>26</v>
      </c>
      <c r="P21" s="44" t="s">
        <v>26</v>
      </c>
      <c r="Q21" s="45">
        <f t="shared" si="0"/>
        <v>107</v>
      </c>
    </row>
    <row r="22" spans="1:17" x14ac:dyDescent="0.25">
      <c r="A22" s="40">
        <v>21</v>
      </c>
      <c r="B22" s="42" t="s">
        <v>21</v>
      </c>
      <c r="C22" s="44" t="s">
        <v>26</v>
      </c>
      <c r="D22" s="44" t="s">
        <v>25</v>
      </c>
      <c r="E22" s="44"/>
      <c r="F22" s="44"/>
      <c r="G22" s="44"/>
      <c r="H22" s="44"/>
      <c r="I22" s="44"/>
      <c r="J22" s="44"/>
      <c r="K22" s="44"/>
      <c r="L22" s="44" t="s">
        <v>26</v>
      </c>
      <c r="M22" s="44" t="s">
        <v>26</v>
      </c>
      <c r="N22" s="44" t="s">
        <v>26</v>
      </c>
      <c r="O22" s="44" t="s">
        <v>26</v>
      </c>
      <c r="P22" s="44" t="s">
        <v>26</v>
      </c>
      <c r="Q22" s="45">
        <f t="shared" si="0"/>
        <v>75</v>
      </c>
    </row>
    <row r="23" spans="1:17" x14ac:dyDescent="0.25">
      <c r="A23" s="40">
        <v>22</v>
      </c>
      <c r="B23" s="42" t="s">
        <v>43</v>
      </c>
      <c r="C23" s="44" t="s">
        <v>26</v>
      </c>
      <c r="D23" s="44" t="s">
        <v>25</v>
      </c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 t="s">
        <v>26</v>
      </c>
      <c r="Q23" s="45">
        <f t="shared" si="0"/>
        <v>31</v>
      </c>
    </row>
    <row r="24" spans="1:17" x14ac:dyDescent="0.25">
      <c r="A24" s="40">
        <v>23</v>
      </c>
      <c r="B24" s="42" t="s">
        <v>78</v>
      </c>
      <c r="C24" s="44"/>
      <c r="D24" s="44"/>
      <c r="E24" s="44"/>
      <c r="F24" s="44" t="s">
        <v>64</v>
      </c>
      <c r="G24" s="44" t="s">
        <v>26</v>
      </c>
      <c r="H24" s="44" t="s">
        <v>26</v>
      </c>
      <c r="I24" s="44" t="s">
        <v>26</v>
      </c>
      <c r="J24" s="44" t="s">
        <v>26</v>
      </c>
      <c r="K24" s="44" t="s">
        <v>26</v>
      </c>
      <c r="L24" s="44" t="s">
        <v>24</v>
      </c>
      <c r="M24" s="44" t="s">
        <v>26</v>
      </c>
      <c r="N24" s="44" t="s">
        <v>26</v>
      </c>
      <c r="O24" s="44" t="s">
        <v>26</v>
      </c>
      <c r="P24" s="44" t="s">
        <v>26</v>
      </c>
      <c r="Q24" s="45">
        <f t="shared" si="0"/>
        <v>117</v>
      </c>
    </row>
    <row r="25" spans="1:17" x14ac:dyDescent="0.25">
      <c r="A25" s="40">
        <v>24</v>
      </c>
      <c r="B25" s="42" t="s">
        <v>45</v>
      </c>
      <c r="C25" s="44" t="s">
        <v>26</v>
      </c>
      <c r="D25" s="44" t="s">
        <v>25</v>
      </c>
      <c r="E25" s="44"/>
      <c r="F25" s="44" t="s">
        <v>26</v>
      </c>
      <c r="G25" s="44" t="s">
        <v>26</v>
      </c>
      <c r="H25" s="44" t="s">
        <v>26</v>
      </c>
      <c r="I25" s="44" t="s">
        <v>26</v>
      </c>
      <c r="J25" s="44" t="s">
        <v>26</v>
      </c>
      <c r="K25" s="44" t="s">
        <v>26</v>
      </c>
      <c r="L25" s="44" t="s">
        <v>24</v>
      </c>
      <c r="M25" s="44" t="s">
        <v>26</v>
      </c>
      <c r="N25" s="44" t="s">
        <v>26</v>
      </c>
      <c r="O25" s="44" t="s">
        <v>66</v>
      </c>
      <c r="P25" s="44" t="s">
        <v>65</v>
      </c>
      <c r="Q25" s="45">
        <f t="shared" si="0"/>
        <v>141</v>
      </c>
    </row>
    <row r="26" spans="1:17" x14ac:dyDescent="0.25">
      <c r="A26" s="39"/>
      <c r="B26" s="41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6">
        <f>SUM(Q2:Q25)</f>
        <v>2319</v>
      </c>
    </row>
  </sheetData>
  <phoneticPr fontId="2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34</vt:i4>
      </vt:variant>
    </vt:vector>
  </HeadingPairs>
  <TitlesOfParts>
    <vt:vector size="34" baseType="lpstr">
      <vt:lpstr>Лист2</vt:lpstr>
      <vt:lpstr>Лист1</vt:lpstr>
      <vt:lpstr>Табель цех 16 по 30 вересня</vt:lpstr>
      <vt:lpstr>ИТР</vt:lpstr>
      <vt:lpstr>_ЦО</vt:lpstr>
      <vt:lpstr>МХП лазня</vt:lpstr>
      <vt:lpstr>Катеринополь</vt:lpstr>
      <vt:lpstr>ВООЗ</vt:lpstr>
      <vt:lpstr>Кернел</vt:lpstr>
      <vt:lpstr>Глобино Мк</vt:lpstr>
      <vt:lpstr>ВООЗ ЕМС</vt:lpstr>
      <vt:lpstr>ООН 36</vt:lpstr>
      <vt:lpstr>ООН 37</vt:lpstr>
      <vt:lpstr>ООН 38</vt:lpstr>
      <vt:lpstr>ООН39</vt:lpstr>
      <vt:lpstr>ООН 40</vt:lpstr>
      <vt:lpstr>ООН №43</vt:lpstr>
      <vt:lpstr>ООН 44</vt:lpstr>
      <vt:lpstr>ООН 45</vt:lpstr>
      <vt:lpstr>ООН46</vt:lpstr>
      <vt:lpstr>ООН47</vt:lpstr>
      <vt:lpstr>ООН48</vt:lpstr>
      <vt:lpstr>ООН49</vt:lpstr>
      <vt:lpstr>ООн50</vt:lpstr>
      <vt:lpstr>ООН51</vt:lpstr>
      <vt:lpstr>Форшахта</vt:lpstr>
      <vt:lpstr>ГАлерея 25.6</vt:lpstr>
      <vt:lpstr>ГРП</vt:lpstr>
      <vt:lpstr>Парк меляси</vt:lpstr>
      <vt:lpstr>ООН 42</vt:lpstr>
      <vt:lpstr>Распределени</vt:lpstr>
      <vt:lpstr>Загальна по роботам</vt:lpstr>
      <vt:lpstr>1С Крушинка</vt:lpstr>
      <vt:lpstr>1С цех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cfo</cp:lastModifiedBy>
  <cp:lastPrinted>2024-07-31T08:29:56Z</cp:lastPrinted>
  <dcterms:created xsi:type="dcterms:W3CDTF">2015-06-05T18:17:20Z</dcterms:created>
  <dcterms:modified xsi:type="dcterms:W3CDTF">2025-10-09T08:57:27Z</dcterms:modified>
</cp:coreProperties>
</file>
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025\Данные\Производство\"/>
    </mc:Choice>
  </mc:AlternateContent>
  <xr:revisionPtr revIDLastSave="0" documentId="8_{14FC7609-7449-422C-BF46-27554A96B5C5}" xr6:coauthVersionLast="45" xr6:coauthVersionMax="45" xr10:uidLastSave="{00000000-0000-0000-0000-000000000000}"/>
  <bookViews>
    <workbookView xWindow="-120" yWindow="-120" windowWidth="29040" windowHeight="15990" tabRatio="923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6 по 30 вересня" sheetId="34" r:id="rId3"/>
    <sheet name="ИТР" sheetId="38" r:id="rId4"/>
    <sheet name="_ЦО" sheetId="55" r:id="rId5"/>
    <sheet name="МХП лазня" sheetId="56" r:id="rId6"/>
    <sheet name="Катеринополь" sheetId="41" r:id="rId7"/>
    <sheet name="ВООЗ" sheetId="62" r:id="rId8"/>
    <sheet name="Кернел" sheetId="45" r:id="rId9"/>
    <sheet name="Глобино Мк" sheetId="52" r:id="rId10"/>
    <sheet name="ВООЗ ЕМС" sheetId="57" r:id="rId11"/>
    <sheet name="ООН 36" sheetId="63" r:id="rId12"/>
    <sheet name="ООН 37" sheetId="64" r:id="rId13"/>
    <sheet name="ООН 38" sheetId="65" r:id="rId14"/>
    <sheet name="ООН39" sheetId="66" r:id="rId15"/>
    <sheet name="ООН 40" sheetId="67" r:id="rId16"/>
    <sheet name="ООН 43" sheetId="58" r:id="rId17"/>
    <sheet name="ООН 44" sheetId="59" r:id="rId18"/>
    <sheet name="ООН 45" sheetId="60" r:id="rId19"/>
    <sheet name="ООН46" sheetId="69" r:id="rId20"/>
    <sheet name="ООН47" sheetId="70" r:id="rId21"/>
    <sheet name="ООН48" sheetId="71" r:id="rId22"/>
    <sheet name="ООН49" sheetId="72" r:id="rId23"/>
    <sheet name="ООн50" sheetId="73" r:id="rId24"/>
    <sheet name="ООН51" sheetId="74" r:id="rId25"/>
    <sheet name="Форшахта" sheetId="75" r:id="rId26"/>
    <sheet name="ГАлерея 25.6" sheetId="76" r:id="rId27"/>
    <sheet name="ГРП" sheetId="77" r:id="rId28"/>
    <sheet name="Парк меляси" sheetId="78" r:id="rId29"/>
    <sheet name="ООН 42" sheetId="68" r:id="rId30"/>
    <sheet name="Распределени" sheetId="23" state="hidden" r:id="rId31"/>
    <sheet name="Загальна по роботам" sheetId="17" state="hidden" r:id="rId32"/>
    <sheet name="1С Крушинка" sheetId="19" state="hidden" r:id="rId33"/>
    <sheet name="1С цех" sheetId="21" state="hidden" r:id="rId34"/>
  </sheet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30" hidden="1">Распределени!$A$1:$Q$27</definedName>
    <definedName name="_xlnm._FilterDatabase" localSheetId="2" hidden="1">'Табель цех 16 по 30 вересня'!$A$1:$J$69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L67" i="34" l="1"/>
  <c r="BK67" i="34"/>
  <c r="BJ67" i="34"/>
  <c r="BI67" i="34"/>
  <c r="BH67" i="34"/>
  <c r="BG67" i="34"/>
  <c r="BF67" i="34"/>
  <c r="BE67" i="34"/>
  <c r="BD67" i="34"/>
  <c r="BC67" i="34"/>
  <c r="BB67" i="34"/>
  <c r="BA67" i="34"/>
  <c r="AZ67" i="34"/>
  <c r="AY67" i="34"/>
  <c r="AX67" i="34"/>
  <c r="AW67" i="34"/>
  <c r="AV67" i="34"/>
  <c r="AU67" i="34"/>
  <c r="AT67" i="34"/>
  <c r="AS67" i="34"/>
  <c r="AR67" i="34"/>
  <c r="AQ67" i="34"/>
  <c r="AP67" i="34"/>
  <c r="AO67" i="34"/>
  <c r="AN67" i="34"/>
  <c r="AM67" i="34"/>
  <c r="BM67" i="34"/>
  <c r="BO67" i="34" l="1"/>
  <c r="BO3" i="34"/>
  <c r="BO4" i="34"/>
  <c r="BO5" i="34"/>
  <c r="BO6" i="34"/>
  <c r="BO7" i="34"/>
  <c r="BO8" i="34"/>
  <c r="BO9" i="34"/>
  <c r="BO10" i="34"/>
  <c r="BO11" i="34"/>
  <c r="BO12" i="34"/>
  <c r="BO13" i="34"/>
  <c r="BO14" i="34"/>
  <c r="BO15" i="34"/>
  <c r="BO16" i="34"/>
  <c r="BO17" i="34"/>
  <c r="BO18" i="34"/>
  <c r="BO19" i="34"/>
  <c r="BO20" i="34"/>
  <c r="BO21" i="34"/>
  <c r="BO22" i="34"/>
  <c r="BO23" i="34"/>
  <c r="BO24" i="34"/>
  <c r="BO25" i="34"/>
  <c r="BO26" i="34"/>
  <c r="BO27" i="34"/>
  <c r="BO28" i="34"/>
  <c r="BO29" i="34"/>
  <c r="BO30" i="34"/>
  <c r="BO31" i="34"/>
  <c r="BO32" i="34"/>
  <c r="BO33" i="34"/>
  <c r="BO34" i="34"/>
  <c r="BO35" i="34"/>
  <c r="BO36" i="34"/>
  <c r="BO37" i="34"/>
  <c r="BO38" i="34"/>
  <c r="BO39" i="34"/>
  <c r="BO40" i="34"/>
  <c r="BO41" i="34"/>
  <c r="BO42" i="34"/>
  <c r="BO43" i="34"/>
  <c r="BO44" i="34"/>
  <c r="BO45" i="34"/>
  <c r="BO46" i="34"/>
  <c r="BO47" i="34"/>
  <c r="BO48" i="34"/>
  <c r="BO49" i="34"/>
  <c r="BO50" i="34"/>
  <c r="BO51" i="34"/>
  <c r="BO52" i="34"/>
  <c r="BO53" i="34"/>
  <c r="BO54" i="34"/>
  <c r="BO55" i="34"/>
  <c r="BO56" i="34"/>
  <c r="BO57" i="34"/>
  <c r="BO58" i="34"/>
  <c r="BO59" i="34"/>
  <c r="BO60" i="34"/>
  <c r="BO61" i="34"/>
  <c r="BO62" i="34"/>
  <c r="BO63" i="34"/>
  <c r="BO64" i="34"/>
  <c r="BO65" i="34"/>
  <c r="BO66" i="34"/>
  <c r="BO2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2" i="34"/>
  <c r="AM3" i="34" l="1"/>
  <c r="AN3" i="34"/>
  <c r="AO3" i="34"/>
  <c r="AP3" i="34"/>
  <c r="AQ3" i="34"/>
  <c r="AR3" i="34"/>
  <c r="AS3" i="34"/>
  <c r="AT3" i="34"/>
  <c r="AU3" i="34"/>
  <c r="AV3" i="34"/>
  <c r="AW3" i="34"/>
  <c r="AX3" i="34"/>
  <c r="AY3" i="34"/>
  <c r="AZ3" i="34"/>
  <c r="BA3" i="34"/>
  <c r="BB3" i="34"/>
  <c r="BC3" i="34"/>
  <c r="BD3" i="34"/>
  <c r="BE3" i="34"/>
  <c r="BF3" i="34"/>
  <c r="BG3" i="34"/>
  <c r="BH3" i="34"/>
  <c r="BI3" i="34"/>
  <c r="BJ3" i="34"/>
  <c r="BK3" i="34"/>
  <c r="BL3" i="34"/>
  <c r="BM3" i="34"/>
  <c r="AM4" i="34"/>
  <c r="AN4" i="34"/>
  <c r="AO4" i="34"/>
  <c r="AP4" i="34"/>
  <c r="AQ4" i="34"/>
  <c r="AR4" i="34"/>
  <c r="AS4" i="34"/>
  <c r="AT4" i="34"/>
  <c r="AU4" i="34"/>
  <c r="AV4" i="34"/>
  <c r="AW4" i="34"/>
  <c r="AX4" i="34"/>
  <c r="AY4" i="34"/>
  <c r="AZ4" i="34"/>
  <c r="BA4" i="34"/>
  <c r="BB4" i="34"/>
  <c r="BC4" i="34"/>
  <c r="BD4" i="34"/>
  <c r="BE4" i="34"/>
  <c r="BF4" i="34"/>
  <c r="BG4" i="34"/>
  <c r="BH4" i="34"/>
  <c r="BI4" i="34"/>
  <c r="BJ4" i="34"/>
  <c r="BK4" i="34"/>
  <c r="BL4" i="34"/>
  <c r="BM4" i="34"/>
  <c r="AM5" i="34"/>
  <c r="AN5" i="34"/>
  <c r="AO5" i="34"/>
  <c r="AP5" i="34"/>
  <c r="AQ5" i="34"/>
  <c r="AR5" i="34"/>
  <c r="AS5" i="34"/>
  <c r="AT5" i="34"/>
  <c r="AU5" i="34"/>
  <c r="AV5" i="34"/>
  <c r="AW5" i="34"/>
  <c r="AX5" i="34"/>
  <c r="AY5" i="34"/>
  <c r="AZ5" i="34"/>
  <c r="BA5" i="34"/>
  <c r="BB5" i="34"/>
  <c r="BC5" i="34"/>
  <c r="BD5" i="34"/>
  <c r="BE5" i="34"/>
  <c r="BF5" i="34"/>
  <c r="BG5" i="34"/>
  <c r="BH5" i="34"/>
  <c r="BI5" i="34"/>
  <c r="BJ5" i="34"/>
  <c r="BK5" i="34"/>
  <c r="BL5" i="34"/>
  <c r="BM5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BB6" i="34"/>
  <c r="BC6" i="34"/>
  <c r="BD6" i="34"/>
  <c r="BE6" i="34"/>
  <c r="BF6" i="34"/>
  <c r="BG6" i="34"/>
  <c r="BH6" i="34"/>
  <c r="BI6" i="34"/>
  <c r="BJ6" i="34"/>
  <c r="BK6" i="34"/>
  <c r="BL6" i="34"/>
  <c r="BM6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BG7" i="34"/>
  <c r="BH7" i="34"/>
  <c r="BI7" i="34"/>
  <c r="BJ7" i="34"/>
  <c r="BK7" i="34"/>
  <c r="BL7" i="34"/>
  <c r="BM7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BG8" i="34"/>
  <c r="BH8" i="34"/>
  <c r="BI8" i="34"/>
  <c r="BJ8" i="34"/>
  <c r="BK8" i="34"/>
  <c r="BL8" i="34"/>
  <c r="BM8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BG10" i="34"/>
  <c r="BH10" i="34"/>
  <c r="BI10" i="34"/>
  <c r="BJ10" i="34"/>
  <c r="BK10" i="34"/>
  <c r="BL10" i="34"/>
  <c r="BM10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BG11" i="34"/>
  <c r="BH11" i="34"/>
  <c r="BI11" i="34"/>
  <c r="BJ11" i="34"/>
  <c r="BK11" i="34"/>
  <c r="BL11" i="34"/>
  <c r="BM11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BK18" i="34"/>
  <c r="BL18" i="34"/>
  <c r="BM18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BG19" i="34"/>
  <c r="BH19" i="34"/>
  <c r="BI19" i="34"/>
  <c r="BJ19" i="34"/>
  <c r="BK19" i="34"/>
  <c r="BL19" i="34"/>
  <c r="BM19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BG20" i="34"/>
  <c r="BH20" i="34"/>
  <c r="BI20" i="34"/>
  <c r="BJ20" i="34"/>
  <c r="BK20" i="34"/>
  <c r="BL20" i="34"/>
  <c r="BM20" i="34"/>
  <c r="AM21" i="34"/>
  <c r="AN21" i="34"/>
  <c r="AO21" i="34"/>
  <c r="AP21" i="34"/>
  <c r="AQ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BD21" i="34"/>
  <c r="BE21" i="34"/>
  <c r="BF21" i="34"/>
  <c r="BG21" i="34"/>
  <c r="BH21" i="34"/>
  <c r="BI21" i="34"/>
  <c r="BJ21" i="34"/>
  <c r="BK21" i="34"/>
  <c r="BL21" i="34"/>
  <c r="BM21" i="34"/>
  <c r="AM22" i="34"/>
  <c r="AN22" i="34"/>
  <c r="AO22" i="34"/>
  <c r="AP22" i="34"/>
  <c r="AQ22" i="34"/>
  <c r="AR22" i="34"/>
  <c r="AS22" i="34"/>
  <c r="AT22" i="34"/>
  <c r="AU22" i="34"/>
  <c r="AV22" i="34"/>
  <c r="AW22" i="34"/>
  <c r="AX22" i="34"/>
  <c r="AY22" i="34"/>
  <c r="AZ22" i="34"/>
  <c r="BA22" i="34"/>
  <c r="BB22" i="34"/>
  <c r="BC22" i="34"/>
  <c r="BD22" i="34"/>
  <c r="BE22" i="34"/>
  <c r="BF22" i="34"/>
  <c r="BG22" i="34"/>
  <c r="BH22" i="34"/>
  <c r="BI22" i="34"/>
  <c r="BJ22" i="34"/>
  <c r="BK22" i="34"/>
  <c r="BL22" i="34"/>
  <c r="BM22" i="34"/>
  <c r="AM23" i="34"/>
  <c r="AN23" i="34"/>
  <c r="AO23" i="34"/>
  <c r="AP23" i="34"/>
  <c r="AQ23" i="34"/>
  <c r="AR23" i="34"/>
  <c r="AS23" i="34"/>
  <c r="AT23" i="34"/>
  <c r="AU23" i="34"/>
  <c r="AV23" i="34"/>
  <c r="AW23" i="34"/>
  <c r="AX23" i="34"/>
  <c r="AY23" i="34"/>
  <c r="AZ23" i="34"/>
  <c r="BA23" i="34"/>
  <c r="BB23" i="34"/>
  <c r="BC23" i="34"/>
  <c r="BD23" i="34"/>
  <c r="BE23" i="34"/>
  <c r="BF23" i="34"/>
  <c r="BG23" i="34"/>
  <c r="BH23" i="34"/>
  <c r="BI23" i="34"/>
  <c r="BJ23" i="34"/>
  <c r="BK23" i="34"/>
  <c r="BL23" i="34"/>
  <c r="BM23" i="34"/>
  <c r="AM24" i="34"/>
  <c r="AN24" i="34"/>
  <c r="AO24" i="34"/>
  <c r="AP24" i="34"/>
  <c r="AQ24" i="34"/>
  <c r="AR24" i="34"/>
  <c r="AS24" i="34"/>
  <c r="AT24" i="34"/>
  <c r="AU24" i="34"/>
  <c r="AV24" i="34"/>
  <c r="AW24" i="34"/>
  <c r="AX24" i="34"/>
  <c r="AY24" i="34"/>
  <c r="AZ24" i="34"/>
  <c r="BA24" i="34"/>
  <c r="BB24" i="34"/>
  <c r="BC24" i="34"/>
  <c r="BD24" i="34"/>
  <c r="BE24" i="34"/>
  <c r="BF24" i="34"/>
  <c r="BG24" i="34"/>
  <c r="BH24" i="34"/>
  <c r="BI24" i="34"/>
  <c r="BJ24" i="34"/>
  <c r="BK24" i="34"/>
  <c r="BL24" i="34"/>
  <c r="BM24" i="34"/>
  <c r="AM25" i="34"/>
  <c r="AN25" i="34"/>
  <c r="AO25" i="34"/>
  <c r="AP25" i="34"/>
  <c r="AQ25" i="34"/>
  <c r="AR25" i="34"/>
  <c r="AS25" i="34"/>
  <c r="AT25" i="34"/>
  <c r="AU25" i="34"/>
  <c r="AV25" i="34"/>
  <c r="AW25" i="34"/>
  <c r="AX25" i="34"/>
  <c r="AY25" i="34"/>
  <c r="AZ25" i="34"/>
  <c r="BA25" i="34"/>
  <c r="BB25" i="34"/>
  <c r="BC25" i="34"/>
  <c r="BD25" i="34"/>
  <c r="BE25" i="34"/>
  <c r="BF25" i="34"/>
  <c r="BG25" i="34"/>
  <c r="BH25" i="34"/>
  <c r="BI25" i="34"/>
  <c r="BJ25" i="34"/>
  <c r="BK25" i="34"/>
  <c r="BL25" i="34"/>
  <c r="BM25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G26" i="34"/>
  <c r="BH26" i="34"/>
  <c r="BI26" i="34"/>
  <c r="BJ26" i="34"/>
  <c r="BK26" i="34"/>
  <c r="BL26" i="34"/>
  <c r="BM26" i="34"/>
  <c r="AM27" i="34"/>
  <c r="AN27" i="34"/>
  <c r="AO27" i="34"/>
  <c r="AP27" i="34"/>
  <c r="AQ27" i="34"/>
  <c r="AR27" i="34"/>
  <c r="AS27" i="34"/>
  <c r="AT27" i="34"/>
  <c r="AU27" i="34"/>
  <c r="AV27" i="34"/>
  <c r="AW27" i="34"/>
  <c r="AX27" i="34"/>
  <c r="AY27" i="34"/>
  <c r="AZ27" i="34"/>
  <c r="BA27" i="34"/>
  <c r="BB27" i="34"/>
  <c r="BC27" i="34"/>
  <c r="BD27" i="34"/>
  <c r="BE27" i="34"/>
  <c r="BF27" i="34"/>
  <c r="BG27" i="34"/>
  <c r="BH27" i="34"/>
  <c r="BI27" i="34"/>
  <c r="BJ27" i="34"/>
  <c r="BK27" i="34"/>
  <c r="BL27" i="34"/>
  <c r="BM27" i="34"/>
  <c r="AM28" i="34"/>
  <c r="AN28" i="34"/>
  <c r="AO28" i="34"/>
  <c r="AP28" i="34"/>
  <c r="AQ28" i="34"/>
  <c r="AR28" i="34"/>
  <c r="AS28" i="34"/>
  <c r="AT28" i="34"/>
  <c r="AU28" i="34"/>
  <c r="AV28" i="34"/>
  <c r="AW28" i="34"/>
  <c r="AX28" i="34"/>
  <c r="AY28" i="34"/>
  <c r="AZ28" i="34"/>
  <c r="BA28" i="34"/>
  <c r="BB28" i="34"/>
  <c r="BC28" i="34"/>
  <c r="BD28" i="34"/>
  <c r="BE28" i="34"/>
  <c r="BF28" i="34"/>
  <c r="BG28" i="34"/>
  <c r="BH28" i="34"/>
  <c r="BI28" i="34"/>
  <c r="BJ28" i="34"/>
  <c r="BK28" i="34"/>
  <c r="BL28" i="34"/>
  <c r="BM28" i="34"/>
  <c r="AM29" i="34"/>
  <c r="AN29" i="34"/>
  <c r="AO29" i="34"/>
  <c r="AP29" i="34"/>
  <c r="AQ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BD29" i="34"/>
  <c r="BE29" i="34"/>
  <c r="BF29" i="34"/>
  <c r="BG29" i="34"/>
  <c r="BH29" i="34"/>
  <c r="BI29" i="34"/>
  <c r="BJ29" i="34"/>
  <c r="BK29" i="34"/>
  <c r="BL29" i="34"/>
  <c r="BM29" i="34"/>
  <c r="AM30" i="34"/>
  <c r="AN30" i="34"/>
  <c r="AO30" i="34"/>
  <c r="AP30" i="34"/>
  <c r="AQ30" i="34"/>
  <c r="AR30" i="34"/>
  <c r="AS30" i="34"/>
  <c r="AT30" i="34"/>
  <c r="AU30" i="34"/>
  <c r="AV30" i="34"/>
  <c r="AW30" i="34"/>
  <c r="AX30" i="34"/>
  <c r="AY30" i="34"/>
  <c r="AZ30" i="34"/>
  <c r="BA30" i="34"/>
  <c r="BB30" i="34"/>
  <c r="BC30" i="34"/>
  <c r="BD30" i="34"/>
  <c r="BE30" i="34"/>
  <c r="BF30" i="34"/>
  <c r="BG30" i="34"/>
  <c r="BH30" i="34"/>
  <c r="BI30" i="34"/>
  <c r="BJ30" i="34"/>
  <c r="BK30" i="34"/>
  <c r="BL30" i="34"/>
  <c r="BM30" i="34"/>
  <c r="AM31" i="34"/>
  <c r="AN31" i="34"/>
  <c r="AO31" i="34"/>
  <c r="AP31" i="34"/>
  <c r="AQ31" i="34"/>
  <c r="AR31" i="34"/>
  <c r="AS31" i="34"/>
  <c r="AT31" i="34"/>
  <c r="AU31" i="34"/>
  <c r="AV31" i="34"/>
  <c r="AW31" i="34"/>
  <c r="AX31" i="34"/>
  <c r="AY31" i="34"/>
  <c r="AZ31" i="34"/>
  <c r="BA31" i="34"/>
  <c r="BB31" i="34"/>
  <c r="BC31" i="34"/>
  <c r="BD31" i="34"/>
  <c r="BE31" i="34"/>
  <c r="BF31" i="34"/>
  <c r="BG31" i="34"/>
  <c r="BH31" i="34"/>
  <c r="BI31" i="34"/>
  <c r="BJ31" i="34"/>
  <c r="BK31" i="34"/>
  <c r="BL31" i="34"/>
  <c r="BM31" i="34"/>
  <c r="AM32" i="34"/>
  <c r="AN32" i="34"/>
  <c r="AO32" i="34"/>
  <c r="AP32" i="34"/>
  <c r="AQ32" i="34"/>
  <c r="AR32" i="34"/>
  <c r="AS32" i="34"/>
  <c r="AT32" i="34"/>
  <c r="AU32" i="34"/>
  <c r="AV32" i="34"/>
  <c r="AW32" i="34"/>
  <c r="AX32" i="34"/>
  <c r="AY32" i="34"/>
  <c r="AZ32" i="34"/>
  <c r="BA32" i="34"/>
  <c r="BB32" i="34"/>
  <c r="BC32" i="34"/>
  <c r="BD32" i="34"/>
  <c r="BE32" i="34"/>
  <c r="BF32" i="34"/>
  <c r="BG32" i="34"/>
  <c r="BH32" i="34"/>
  <c r="BI32" i="34"/>
  <c r="BJ32" i="34"/>
  <c r="BK32" i="34"/>
  <c r="BL32" i="34"/>
  <c r="BM32" i="34"/>
  <c r="AM33" i="34"/>
  <c r="AN33" i="34"/>
  <c r="AO33" i="34"/>
  <c r="AP33" i="34"/>
  <c r="AQ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BD33" i="34"/>
  <c r="BE33" i="34"/>
  <c r="BF33" i="34"/>
  <c r="BG33" i="34"/>
  <c r="BH33" i="34"/>
  <c r="BI33" i="34"/>
  <c r="BJ33" i="34"/>
  <c r="BK33" i="34"/>
  <c r="BL33" i="34"/>
  <c r="BM33" i="34"/>
  <c r="AM34" i="34"/>
  <c r="AN34" i="34"/>
  <c r="AO34" i="34"/>
  <c r="AP34" i="34"/>
  <c r="AQ34" i="34"/>
  <c r="AR34" i="34"/>
  <c r="AS34" i="34"/>
  <c r="AT34" i="34"/>
  <c r="AU34" i="34"/>
  <c r="AV34" i="34"/>
  <c r="AW34" i="34"/>
  <c r="AX34" i="34"/>
  <c r="AY34" i="34"/>
  <c r="AZ34" i="34"/>
  <c r="BA34" i="34"/>
  <c r="BB34" i="34"/>
  <c r="BC34" i="34"/>
  <c r="BD34" i="34"/>
  <c r="BE34" i="34"/>
  <c r="BF34" i="34"/>
  <c r="BG34" i="34"/>
  <c r="BH34" i="34"/>
  <c r="BI34" i="34"/>
  <c r="BJ34" i="34"/>
  <c r="BK34" i="34"/>
  <c r="BL34" i="34"/>
  <c r="BM34" i="34"/>
  <c r="AM35" i="34"/>
  <c r="AN35" i="34"/>
  <c r="AO35" i="34"/>
  <c r="AP35" i="34"/>
  <c r="AQ35" i="34"/>
  <c r="AR35" i="34"/>
  <c r="AS35" i="34"/>
  <c r="AT35" i="34"/>
  <c r="AU35" i="34"/>
  <c r="AV35" i="34"/>
  <c r="AW35" i="34"/>
  <c r="AX35" i="34"/>
  <c r="AY35" i="34"/>
  <c r="AZ35" i="34"/>
  <c r="BA35" i="34"/>
  <c r="BB35" i="34"/>
  <c r="BC35" i="34"/>
  <c r="BD35" i="34"/>
  <c r="BE35" i="34"/>
  <c r="BF35" i="34"/>
  <c r="BG35" i="34"/>
  <c r="BH35" i="34"/>
  <c r="BI35" i="34"/>
  <c r="BJ35" i="34"/>
  <c r="BK35" i="34"/>
  <c r="BL35" i="34"/>
  <c r="BM35" i="34"/>
  <c r="AM36" i="34"/>
  <c r="AN36" i="34"/>
  <c r="AO36" i="34"/>
  <c r="AP36" i="34"/>
  <c r="AQ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BD36" i="34"/>
  <c r="BE36" i="34"/>
  <c r="BF36" i="34"/>
  <c r="BG36" i="34"/>
  <c r="BH36" i="34"/>
  <c r="BI36" i="34"/>
  <c r="BJ36" i="34"/>
  <c r="BK36" i="34"/>
  <c r="BL36" i="34"/>
  <c r="BM36" i="34"/>
  <c r="AM37" i="34"/>
  <c r="AN37" i="34"/>
  <c r="AO37" i="34"/>
  <c r="AP37" i="34"/>
  <c r="AQ37" i="34"/>
  <c r="AR37" i="34"/>
  <c r="AS37" i="34"/>
  <c r="AT37" i="34"/>
  <c r="AU37" i="34"/>
  <c r="AV37" i="34"/>
  <c r="AW37" i="34"/>
  <c r="AX37" i="34"/>
  <c r="AY37" i="34"/>
  <c r="AZ37" i="34"/>
  <c r="BA37" i="34"/>
  <c r="BB37" i="34"/>
  <c r="BC37" i="34"/>
  <c r="BD37" i="34"/>
  <c r="BE37" i="34"/>
  <c r="BF37" i="34"/>
  <c r="BG37" i="34"/>
  <c r="BH37" i="34"/>
  <c r="BI37" i="34"/>
  <c r="BJ37" i="34"/>
  <c r="BK37" i="34"/>
  <c r="BL37" i="34"/>
  <c r="BM37" i="34"/>
  <c r="AM38" i="34"/>
  <c r="AN38" i="34"/>
  <c r="AO38" i="34"/>
  <c r="AP38" i="34"/>
  <c r="AQ38" i="34"/>
  <c r="AR38" i="34"/>
  <c r="AS38" i="34"/>
  <c r="AT38" i="34"/>
  <c r="AU38" i="34"/>
  <c r="AV38" i="34"/>
  <c r="AW38" i="34"/>
  <c r="AX38" i="34"/>
  <c r="AY38" i="34"/>
  <c r="AZ38" i="34"/>
  <c r="BA38" i="34"/>
  <c r="BB38" i="34"/>
  <c r="BC38" i="34"/>
  <c r="BD38" i="34"/>
  <c r="BE38" i="34"/>
  <c r="BF38" i="34"/>
  <c r="BG38" i="34"/>
  <c r="BH38" i="34"/>
  <c r="BI38" i="34"/>
  <c r="BJ38" i="34"/>
  <c r="BK38" i="34"/>
  <c r="BL38" i="34"/>
  <c r="BM38" i="34"/>
  <c r="AM39" i="34"/>
  <c r="AN39" i="34"/>
  <c r="AO39" i="34"/>
  <c r="AP39" i="34"/>
  <c r="AQ39" i="34"/>
  <c r="AR39" i="34"/>
  <c r="AS39" i="34"/>
  <c r="AT39" i="34"/>
  <c r="AU39" i="34"/>
  <c r="AV39" i="34"/>
  <c r="AW39" i="34"/>
  <c r="AX39" i="34"/>
  <c r="AY39" i="34"/>
  <c r="AZ39" i="34"/>
  <c r="BA39" i="34"/>
  <c r="BB39" i="34"/>
  <c r="BC39" i="34"/>
  <c r="BD39" i="34"/>
  <c r="BE39" i="34"/>
  <c r="BF39" i="34"/>
  <c r="BG39" i="34"/>
  <c r="BH39" i="34"/>
  <c r="BI39" i="34"/>
  <c r="BJ39" i="34"/>
  <c r="BK39" i="34"/>
  <c r="BL39" i="34"/>
  <c r="BM39" i="34"/>
  <c r="AM40" i="34"/>
  <c r="AN40" i="34"/>
  <c r="AO40" i="34"/>
  <c r="AP40" i="34"/>
  <c r="AQ40" i="34"/>
  <c r="AR40" i="34"/>
  <c r="AS40" i="34"/>
  <c r="AT40" i="34"/>
  <c r="AU40" i="34"/>
  <c r="AV40" i="34"/>
  <c r="AW40" i="34"/>
  <c r="AX40" i="34"/>
  <c r="AY40" i="34"/>
  <c r="AZ40" i="34"/>
  <c r="BA40" i="34"/>
  <c r="BB40" i="34"/>
  <c r="BC40" i="34"/>
  <c r="BD40" i="34"/>
  <c r="BE40" i="34"/>
  <c r="BF40" i="34"/>
  <c r="BG40" i="34"/>
  <c r="BH40" i="34"/>
  <c r="BI40" i="34"/>
  <c r="BJ40" i="34"/>
  <c r="BK40" i="34"/>
  <c r="BL40" i="34"/>
  <c r="BM40" i="34"/>
  <c r="AM41" i="34"/>
  <c r="AN41" i="34"/>
  <c r="AO41" i="34"/>
  <c r="AP41" i="34"/>
  <c r="AQ41" i="34"/>
  <c r="AR41" i="34"/>
  <c r="AS41" i="34"/>
  <c r="AT41" i="34"/>
  <c r="AU41" i="34"/>
  <c r="AV41" i="34"/>
  <c r="AW41" i="34"/>
  <c r="AX41" i="34"/>
  <c r="AY41" i="34"/>
  <c r="AZ41" i="34"/>
  <c r="BA41" i="34"/>
  <c r="BB41" i="34"/>
  <c r="BC41" i="34"/>
  <c r="BD41" i="34"/>
  <c r="BE41" i="34"/>
  <c r="BF41" i="34"/>
  <c r="BG41" i="34"/>
  <c r="BH41" i="34"/>
  <c r="BI41" i="34"/>
  <c r="BJ41" i="34"/>
  <c r="BK41" i="34"/>
  <c r="BL41" i="34"/>
  <c r="BM41" i="34"/>
  <c r="AM42" i="34"/>
  <c r="AN42" i="34"/>
  <c r="AO42" i="34"/>
  <c r="AP42" i="34"/>
  <c r="AQ42" i="34"/>
  <c r="AR42" i="34"/>
  <c r="AS42" i="34"/>
  <c r="AT42" i="34"/>
  <c r="AU42" i="34"/>
  <c r="AV42" i="34"/>
  <c r="AW42" i="34"/>
  <c r="AX42" i="34"/>
  <c r="AY42" i="34"/>
  <c r="AZ42" i="34"/>
  <c r="BA42" i="34"/>
  <c r="BB42" i="34"/>
  <c r="BC42" i="34"/>
  <c r="BD42" i="34"/>
  <c r="BE42" i="34"/>
  <c r="BF42" i="34"/>
  <c r="BG42" i="34"/>
  <c r="BH42" i="34"/>
  <c r="BI42" i="34"/>
  <c r="BJ42" i="34"/>
  <c r="BK42" i="34"/>
  <c r="BL42" i="34"/>
  <c r="BM42" i="34"/>
  <c r="AM43" i="34"/>
  <c r="AN43" i="34"/>
  <c r="AO43" i="34"/>
  <c r="AP43" i="34"/>
  <c r="AQ43" i="34"/>
  <c r="AR43" i="34"/>
  <c r="AS43" i="34"/>
  <c r="AT43" i="34"/>
  <c r="AU43" i="34"/>
  <c r="AV43" i="34"/>
  <c r="AW43" i="34"/>
  <c r="AX43" i="34"/>
  <c r="AY43" i="34"/>
  <c r="AZ43" i="34"/>
  <c r="BA43" i="34"/>
  <c r="BB43" i="34"/>
  <c r="BC43" i="34"/>
  <c r="BD43" i="34"/>
  <c r="BE43" i="34"/>
  <c r="BF43" i="34"/>
  <c r="BG43" i="34"/>
  <c r="BH43" i="34"/>
  <c r="BI43" i="34"/>
  <c r="BJ43" i="34"/>
  <c r="BK43" i="34"/>
  <c r="BL43" i="34"/>
  <c r="BM43" i="34"/>
  <c r="AM44" i="34"/>
  <c r="AN44" i="34"/>
  <c r="AO44" i="34"/>
  <c r="AP44" i="34"/>
  <c r="AQ44" i="34"/>
  <c r="AR44" i="34"/>
  <c r="AS44" i="34"/>
  <c r="AT44" i="34"/>
  <c r="AU44" i="34"/>
  <c r="AV44" i="34"/>
  <c r="AW44" i="34"/>
  <c r="AX44" i="34"/>
  <c r="AY44" i="34"/>
  <c r="AZ44" i="34"/>
  <c r="BA44" i="34"/>
  <c r="BB44" i="34"/>
  <c r="BC44" i="34"/>
  <c r="BD44" i="34"/>
  <c r="BE44" i="34"/>
  <c r="BF44" i="34"/>
  <c r="BG44" i="34"/>
  <c r="BH44" i="34"/>
  <c r="BI44" i="34"/>
  <c r="BJ44" i="34"/>
  <c r="BK44" i="34"/>
  <c r="BL44" i="34"/>
  <c r="BM44" i="34"/>
  <c r="AM45" i="34"/>
  <c r="AN45" i="34"/>
  <c r="AO45" i="34"/>
  <c r="AP45" i="34"/>
  <c r="AQ45" i="34"/>
  <c r="AR45" i="34"/>
  <c r="AS45" i="34"/>
  <c r="AT45" i="34"/>
  <c r="AU45" i="34"/>
  <c r="AV45" i="34"/>
  <c r="AW45" i="34"/>
  <c r="AX45" i="34"/>
  <c r="AY45" i="34"/>
  <c r="AZ45" i="34"/>
  <c r="BA45" i="34"/>
  <c r="BB45" i="34"/>
  <c r="BC45" i="34"/>
  <c r="BD45" i="34"/>
  <c r="BE45" i="34"/>
  <c r="BF45" i="34"/>
  <c r="BG45" i="34"/>
  <c r="BH45" i="34"/>
  <c r="BI45" i="34"/>
  <c r="BJ45" i="34"/>
  <c r="BK45" i="34"/>
  <c r="BL45" i="34"/>
  <c r="BM45" i="34"/>
  <c r="AM46" i="34"/>
  <c r="AN46" i="34"/>
  <c r="AO46" i="34"/>
  <c r="AP46" i="34"/>
  <c r="AQ46" i="34"/>
  <c r="AR46" i="34"/>
  <c r="AS46" i="34"/>
  <c r="AT46" i="34"/>
  <c r="AU46" i="34"/>
  <c r="AV46" i="34"/>
  <c r="AW46" i="34"/>
  <c r="AX46" i="34"/>
  <c r="AY46" i="34"/>
  <c r="AZ46" i="34"/>
  <c r="BA46" i="34"/>
  <c r="BB46" i="34"/>
  <c r="BC46" i="34"/>
  <c r="BD46" i="34"/>
  <c r="BE46" i="34"/>
  <c r="BF46" i="34"/>
  <c r="BG46" i="34"/>
  <c r="BH46" i="34"/>
  <c r="BI46" i="34"/>
  <c r="BJ46" i="34"/>
  <c r="BK46" i="34"/>
  <c r="BL46" i="34"/>
  <c r="BM46" i="34"/>
  <c r="AM47" i="34"/>
  <c r="AN47" i="34"/>
  <c r="AO47" i="34"/>
  <c r="AP47" i="34"/>
  <c r="AQ47" i="34"/>
  <c r="AR47" i="34"/>
  <c r="AS47" i="34"/>
  <c r="AT47" i="34"/>
  <c r="AU47" i="34"/>
  <c r="AV47" i="34"/>
  <c r="AW47" i="34"/>
  <c r="AX47" i="34"/>
  <c r="AY47" i="34"/>
  <c r="AZ47" i="34"/>
  <c r="BA47" i="34"/>
  <c r="BB47" i="34"/>
  <c r="BC47" i="34"/>
  <c r="BD47" i="34"/>
  <c r="BE47" i="34"/>
  <c r="BF47" i="34"/>
  <c r="BG47" i="34"/>
  <c r="BH47" i="34"/>
  <c r="BI47" i="34"/>
  <c r="BJ47" i="34"/>
  <c r="BK47" i="34"/>
  <c r="BL47" i="34"/>
  <c r="BM47" i="34"/>
  <c r="AM48" i="34"/>
  <c r="AN48" i="34"/>
  <c r="AO48" i="34"/>
  <c r="AP48" i="34"/>
  <c r="AQ48" i="34"/>
  <c r="AR48" i="34"/>
  <c r="AS48" i="34"/>
  <c r="AT48" i="34"/>
  <c r="AU48" i="34"/>
  <c r="AV48" i="34"/>
  <c r="AW48" i="34"/>
  <c r="AX48" i="34"/>
  <c r="AY48" i="34"/>
  <c r="AZ48" i="34"/>
  <c r="BA48" i="34"/>
  <c r="BB48" i="34"/>
  <c r="BC48" i="34"/>
  <c r="BD48" i="34"/>
  <c r="BE48" i="34"/>
  <c r="BF48" i="34"/>
  <c r="BG48" i="34"/>
  <c r="BH48" i="34"/>
  <c r="BI48" i="34"/>
  <c r="BJ48" i="34"/>
  <c r="BK48" i="34"/>
  <c r="BL48" i="34"/>
  <c r="BM48" i="34"/>
  <c r="AM49" i="34"/>
  <c r="AN49" i="34"/>
  <c r="AO49" i="34"/>
  <c r="AP49" i="34"/>
  <c r="AQ49" i="34"/>
  <c r="AR49" i="34"/>
  <c r="AS49" i="34"/>
  <c r="AT49" i="34"/>
  <c r="AU49" i="34"/>
  <c r="AV49" i="34"/>
  <c r="AW49" i="34"/>
  <c r="AX49" i="34"/>
  <c r="AY49" i="34"/>
  <c r="AZ49" i="34"/>
  <c r="BA49" i="34"/>
  <c r="BB49" i="34"/>
  <c r="BC49" i="34"/>
  <c r="BD49" i="34"/>
  <c r="BE49" i="34"/>
  <c r="BF49" i="34"/>
  <c r="BG49" i="34"/>
  <c r="BH49" i="34"/>
  <c r="BI49" i="34"/>
  <c r="BJ49" i="34"/>
  <c r="BK49" i="34"/>
  <c r="BL49" i="34"/>
  <c r="BM49" i="34"/>
  <c r="AM50" i="34"/>
  <c r="AN50" i="34"/>
  <c r="AO50" i="34"/>
  <c r="AP50" i="34"/>
  <c r="AQ50" i="34"/>
  <c r="AR50" i="34"/>
  <c r="AS50" i="34"/>
  <c r="AT50" i="34"/>
  <c r="AU50" i="34"/>
  <c r="AV50" i="34"/>
  <c r="AW50" i="34"/>
  <c r="AX50" i="34"/>
  <c r="AY50" i="34"/>
  <c r="AZ50" i="34"/>
  <c r="BA50" i="34"/>
  <c r="BB50" i="34"/>
  <c r="BC50" i="34"/>
  <c r="BD50" i="34"/>
  <c r="BE50" i="34"/>
  <c r="BF50" i="34"/>
  <c r="BG50" i="34"/>
  <c r="BH50" i="34"/>
  <c r="BI50" i="34"/>
  <c r="BJ50" i="34"/>
  <c r="BK50" i="34"/>
  <c r="BL50" i="34"/>
  <c r="BM50" i="34"/>
  <c r="AM51" i="34"/>
  <c r="AN51" i="34"/>
  <c r="AO51" i="34"/>
  <c r="AP51" i="34"/>
  <c r="AQ51" i="34"/>
  <c r="AR51" i="34"/>
  <c r="AS51" i="34"/>
  <c r="AT51" i="34"/>
  <c r="AU51" i="34"/>
  <c r="AV51" i="34"/>
  <c r="AW51" i="34"/>
  <c r="AX51" i="34"/>
  <c r="AY51" i="34"/>
  <c r="AZ51" i="34"/>
  <c r="BA51" i="34"/>
  <c r="BB51" i="34"/>
  <c r="BC51" i="34"/>
  <c r="BD51" i="34"/>
  <c r="BE51" i="34"/>
  <c r="BF51" i="34"/>
  <c r="BG51" i="34"/>
  <c r="BH51" i="34"/>
  <c r="BI51" i="34"/>
  <c r="BJ51" i="34"/>
  <c r="BK51" i="34"/>
  <c r="BL51" i="34"/>
  <c r="BM51" i="34"/>
  <c r="AM52" i="34"/>
  <c r="AN52" i="34"/>
  <c r="AO52" i="34"/>
  <c r="AP52" i="34"/>
  <c r="AQ52" i="34"/>
  <c r="AR52" i="34"/>
  <c r="AS52" i="34"/>
  <c r="AT52" i="34"/>
  <c r="AU52" i="34"/>
  <c r="AV52" i="34"/>
  <c r="AW52" i="34"/>
  <c r="AX52" i="34"/>
  <c r="AY52" i="34"/>
  <c r="AZ52" i="34"/>
  <c r="BA52" i="34"/>
  <c r="BB52" i="34"/>
  <c r="BC52" i="34"/>
  <c r="BD52" i="34"/>
  <c r="BE52" i="34"/>
  <c r="BF52" i="34"/>
  <c r="BG52" i="34"/>
  <c r="BH52" i="34"/>
  <c r="BI52" i="34"/>
  <c r="BJ52" i="34"/>
  <c r="BK52" i="34"/>
  <c r="BL52" i="34"/>
  <c r="BM52" i="34"/>
  <c r="AM53" i="34"/>
  <c r="AN53" i="34"/>
  <c r="AO53" i="34"/>
  <c r="AP53" i="34"/>
  <c r="AQ53" i="34"/>
  <c r="AR53" i="34"/>
  <c r="AS53" i="34"/>
  <c r="AT53" i="34"/>
  <c r="AU53" i="34"/>
  <c r="AV53" i="34"/>
  <c r="AW53" i="34"/>
  <c r="AX53" i="34"/>
  <c r="AY53" i="34"/>
  <c r="AZ53" i="34"/>
  <c r="BA53" i="34"/>
  <c r="BB53" i="34"/>
  <c r="BC53" i="34"/>
  <c r="BD53" i="34"/>
  <c r="BE53" i="34"/>
  <c r="BF53" i="34"/>
  <c r="BG53" i="34"/>
  <c r="BH53" i="34"/>
  <c r="BI53" i="34"/>
  <c r="BJ53" i="34"/>
  <c r="BK53" i="34"/>
  <c r="BL53" i="34"/>
  <c r="BM53" i="34"/>
  <c r="AM54" i="34"/>
  <c r="AN54" i="34"/>
  <c r="AO54" i="34"/>
  <c r="AP54" i="34"/>
  <c r="AQ54" i="34"/>
  <c r="AR54" i="34"/>
  <c r="AS54" i="34"/>
  <c r="AT54" i="34"/>
  <c r="AU54" i="34"/>
  <c r="AV54" i="34"/>
  <c r="AW54" i="34"/>
  <c r="AX54" i="34"/>
  <c r="AY54" i="34"/>
  <c r="AZ54" i="34"/>
  <c r="BA54" i="34"/>
  <c r="BB54" i="34"/>
  <c r="BC54" i="34"/>
  <c r="BD54" i="34"/>
  <c r="BE54" i="34"/>
  <c r="BF54" i="34"/>
  <c r="BG54" i="34"/>
  <c r="BH54" i="34"/>
  <c r="BI54" i="34"/>
  <c r="BJ54" i="34"/>
  <c r="BK54" i="34"/>
  <c r="BL54" i="34"/>
  <c r="BM54" i="34"/>
  <c r="AM55" i="34"/>
  <c r="AN55" i="34"/>
  <c r="AO55" i="34"/>
  <c r="AP55" i="34"/>
  <c r="AQ55" i="34"/>
  <c r="AR55" i="34"/>
  <c r="AS55" i="34"/>
  <c r="AT55" i="34"/>
  <c r="AU55" i="34"/>
  <c r="AV55" i="34"/>
  <c r="AW55" i="34"/>
  <c r="AX55" i="34"/>
  <c r="AY55" i="34"/>
  <c r="AZ55" i="34"/>
  <c r="BA55" i="34"/>
  <c r="BB55" i="34"/>
  <c r="BC55" i="34"/>
  <c r="BD55" i="34"/>
  <c r="BE55" i="34"/>
  <c r="BF55" i="34"/>
  <c r="BG55" i="34"/>
  <c r="BH55" i="34"/>
  <c r="BI55" i="34"/>
  <c r="BJ55" i="34"/>
  <c r="BK55" i="34"/>
  <c r="BL55" i="34"/>
  <c r="BM55" i="34"/>
  <c r="AM56" i="34"/>
  <c r="AN56" i="34"/>
  <c r="AO56" i="34"/>
  <c r="AP56" i="34"/>
  <c r="AQ56" i="34"/>
  <c r="AR56" i="34"/>
  <c r="AS56" i="34"/>
  <c r="AT56" i="34"/>
  <c r="AU56" i="34"/>
  <c r="AV56" i="34"/>
  <c r="AW56" i="34"/>
  <c r="AX56" i="34"/>
  <c r="AY56" i="34"/>
  <c r="AZ56" i="34"/>
  <c r="BA56" i="34"/>
  <c r="BB56" i="34"/>
  <c r="BC56" i="34"/>
  <c r="BD56" i="34"/>
  <c r="BE56" i="34"/>
  <c r="BF56" i="34"/>
  <c r="BG56" i="34"/>
  <c r="BH56" i="34"/>
  <c r="BI56" i="34"/>
  <c r="BJ56" i="34"/>
  <c r="BK56" i="34"/>
  <c r="BL56" i="34"/>
  <c r="BM56" i="34"/>
  <c r="AM57" i="34"/>
  <c r="AN57" i="34"/>
  <c r="AO57" i="34"/>
  <c r="AP57" i="34"/>
  <c r="AQ57" i="34"/>
  <c r="AR57" i="34"/>
  <c r="AS57" i="34"/>
  <c r="AT57" i="34"/>
  <c r="AU57" i="34"/>
  <c r="AV57" i="34"/>
  <c r="AW57" i="34"/>
  <c r="AX57" i="34"/>
  <c r="AY57" i="34"/>
  <c r="AZ57" i="34"/>
  <c r="BA57" i="34"/>
  <c r="BB57" i="34"/>
  <c r="BC57" i="34"/>
  <c r="BD57" i="34"/>
  <c r="BE57" i="34"/>
  <c r="BF57" i="34"/>
  <c r="BG57" i="34"/>
  <c r="BH57" i="34"/>
  <c r="BI57" i="34"/>
  <c r="BJ57" i="34"/>
  <c r="BK57" i="34"/>
  <c r="BL57" i="34"/>
  <c r="BM57" i="34"/>
  <c r="AM58" i="34"/>
  <c r="AN58" i="34"/>
  <c r="AO58" i="34"/>
  <c r="AP58" i="34"/>
  <c r="AQ58" i="34"/>
  <c r="AR58" i="34"/>
  <c r="AS58" i="34"/>
  <c r="AT58" i="34"/>
  <c r="AU58" i="34"/>
  <c r="AV58" i="34"/>
  <c r="AW58" i="34"/>
  <c r="AX58" i="34"/>
  <c r="AY58" i="34"/>
  <c r="AZ58" i="34"/>
  <c r="BA58" i="34"/>
  <c r="BB58" i="34"/>
  <c r="BC58" i="34"/>
  <c r="BD58" i="34"/>
  <c r="BE58" i="34"/>
  <c r="BF58" i="34"/>
  <c r="BG58" i="34"/>
  <c r="BH58" i="34"/>
  <c r="BI58" i="34"/>
  <c r="BJ58" i="34"/>
  <c r="BK58" i="34"/>
  <c r="BL58" i="34"/>
  <c r="BM58" i="34"/>
  <c r="AM59" i="34"/>
  <c r="AN59" i="34"/>
  <c r="AO59" i="34"/>
  <c r="AP59" i="34"/>
  <c r="AQ59" i="34"/>
  <c r="AR59" i="34"/>
  <c r="AS59" i="34"/>
  <c r="AT59" i="34"/>
  <c r="AU59" i="34"/>
  <c r="AV59" i="34"/>
  <c r="AW59" i="34"/>
  <c r="AX59" i="34"/>
  <c r="AY59" i="34"/>
  <c r="AZ59" i="34"/>
  <c r="BA59" i="34"/>
  <c r="BB59" i="34"/>
  <c r="BC59" i="34"/>
  <c r="BD59" i="34"/>
  <c r="BE59" i="34"/>
  <c r="BF59" i="34"/>
  <c r="BG59" i="34"/>
  <c r="BH59" i="34"/>
  <c r="BI59" i="34"/>
  <c r="BJ59" i="34"/>
  <c r="BK59" i="34"/>
  <c r="BL59" i="34"/>
  <c r="BM59" i="34"/>
  <c r="AM60" i="34"/>
  <c r="AN60" i="34"/>
  <c r="AO60" i="34"/>
  <c r="AP60" i="34"/>
  <c r="AQ60" i="34"/>
  <c r="AR60" i="34"/>
  <c r="AS60" i="34"/>
  <c r="AT60" i="34"/>
  <c r="AU60" i="34"/>
  <c r="AV60" i="34"/>
  <c r="AW60" i="34"/>
  <c r="AX60" i="34"/>
  <c r="AY60" i="34"/>
  <c r="AZ60" i="34"/>
  <c r="BA60" i="34"/>
  <c r="BB60" i="34"/>
  <c r="BC60" i="34"/>
  <c r="BD60" i="34"/>
  <c r="BE60" i="34"/>
  <c r="BF60" i="34"/>
  <c r="BG60" i="34"/>
  <c r="BH60" i="34"/>
  <c r="BI60" i="34"/>
  <c r="BJ60" i="34"/>
  <c r="BK60" i="34"/>
  <c r="BL60" i="34"/>
  <c r="BM60" i="34"/>
  <c r="AM61" i="34"/>
  <c r="AN61" i="34"/>
  <c r="AO61" i="34"/>
  <c r="AP61" i="34"/>
  <c r="AQ61" i="34"/>
  <c r="AR61" i="34"/>
  <c r="AS61" i="34"/>
  <c r="AT61" i="34"/>
  <c r="AU61" i="34"/>
  <c r="AV61" i="34"/>
  <c r="AW61" i="34"/>
  <c r="AX61" i="34"/>
  <c r="AY61" i="34"/>
  <c r="AZ61" i="34"/>
  <c r="BA61" i="34"/>
  <c r="BB61" i="34"/>
  <c r="BC61" i="34"/>
  <c r="BD61" i="34"/>
  <c r="BE61" i="34"/>
  <c r="BF61" i="34"/>
  <c r="BG61" i="34"/>
  <c r="BH61" i="34"/>
  <c r="BI61" i="34"/>
  <c r="BJ61" i="34"/>
  <c r="BK61" i="34"/>
  <c r="BL61" i="34"/>
  <c r="BM61" i="34"/>
  <c r="AM62" i="34"/>
  <c r="AN62" i="34"/>
  <c r="AO62" i="34"/>
  <c r="AP62" i="34"/>
  <c r="AQ62" i="34"/>
  <c r="AR62" i="34"/>
  <c r="AS62" i="34"/>
  <c r="AT62" i="34"/>
  <c r="AU62" i="34"/>
  <c r="AV62" i="34"/>
  <c r="AW62" i="34"/>
  <c r="AX62" i="34"/>
  <c r="AY62" i="34"/>
  <c r="AZ62" i="34"/>
  <c r="BA62" i="34"/>
  <c r="BB62" i="34"/>
  <c r="BC62" i="34"/>
  <c r="BD62" i="34"/>
  <c r="BE62" i="34"/>
  <c r="BF62" i="34"/>
  <c r="BG62" i="34"/>
  <c r="BH62" i="34"/>
  <c r="BI62" i="34"/>
  <c r="BJ62" i="34"/>
  <c r="BK62" i="34"/>
  <c r="BL62" i="34"/>
  <c r="BM62" i="34"/>
  <c r="AM63" i="34"/>
  <c r="AN63" i="34"/>
  <c r="AO63" i="34"/>
  <c r="AP63" i="34"/>
  <c r="AQ63" i="34"/>
  <c r="AR63" i="34"/>
  <c r="AS63" i="34"/>
  <c r="AT63" i="34"/>
  <c r="AU63" i="34"/>
  <c r="AV63" i="34"/>
  <c r="AW63" i="34"/>
  <c r="AX63" i="34"/>
  <c r="AY63" i="34"/>
  <c r="AZ63" i="34"/>
  <c r="BA63" i="34"/>
  <c r="BB63" i="34"/>
  <c r="BC63" i="34"/>
  <c r="BD63" i="34"/>
  <c r="BE63" i="34"/>
  <c r="BF63" i="34"/>
  <c r="BG63" i="34"/>
  <c r="BH63" i="34"/>
  <c r="BI63" i="34"/>
  <c r="BJ63" i="34"/>
  <c r="BK63" i="34"/>
  <c r="BL63" i="34"/>
  <c r="BM63" i="34"/>
  <c r="AM64" i="34"/>
  <c r="AN64" i="34"/>
  <c r="AO64" i="34"/>
  <c r="AP64" i="34"/>
  <c r="AQ64" i="34"/>
  <c r="AR64" i="34"/>
  <c r="AS64" i="34"/>
  <c r="AT64" i="34"/>
  <c r="AU64" i="34"/>
  <c r="AV64" i="34"/>
  <c r="AW64" i="34"/>
  <c r="AX64" i="34"/>
  <c r="AY64" i="34"/>
  <c r="AZ64" i="34"/>
  <c r="BA64" i="34"/>
  <c r="BB64" i="34"/>
  <c r="BC64" i="34"/>
  <c r="BD64" i="34"/>
  <c r="BE64" i="34"/>
  <c r="BF64" i="34"/>
  <c r="BG64" i="34"/>
  <c r="BH64" i="34"/>
  <c r="BI64" i="34"/>
  <c r="BJ64" i="34"/>
  <c r="BK64" i="34"/>
  <c r="BL64" i="34"/>
  <c r="BM64" i="34"/>
  <c r="AM65" i="34"/>
  <c r="AN65" i="34"/>
  <c r="AO65" i="34"/>
  <c r="AP65" i="34"/>
  <c r="AQ65" i="34"/>
  <c r="AR65" i="34"/>
  <c r="AS65" i="34"/>
  <c r="AT65" i="34"/>
  <c r="AU65" i="34"/>
  <c r="AV65" i="34"/>
  <c r="AW65" i="34"/>
  <c r="AX65" i="34"/>
  <c r="AY65" i="34"/>
  <c r="AZ65" i="34"/>
  <c r="BA65" i="34"/>
  <c r="BB65" i="34"/>
  <c r="BC65" i="34"/>
  <c r="BD65" i="34"/>
  <c r="BE65" i="34"/>
  <c r="BF65" i="34"/>
  <c r="BG65" i="34"/>
  <c r="BH65" i="34"/>
  <c r="BI65" i="34"/>
  <c r="BJ65" i="34"/>
  <c r="BK65" i="34"/>
  <c r="BL65" i="34"/>
  <c r="BM65" i="34"/>
  <c r="AM66" i="34"/>
  <c r="AN66" i="34"/>
  <c r="AO66" i="34"/>
  <c r="AP66" i="34"/>
  <c r="AQ66" i="34"/>
  <c r="AR66" i="34"/>
  <c r="AS66" i="34"/>
  <c r="AT66" i="34"/>
  <c r="AU66" i="34"/>
  <c r="AV66" i="34"/>
  <c r="AW66" i="34"/>
  <c r="AX66" i="34"/>
  <c r="AY66" i="34"/>
  <c r="AZ66" i="34"/>
  <c r="BA66" i="34"/>
  <c r="BB66" i="34"/>
  <c r="BC66" i="34"/>
  <c r="BD66" i="34"/>
  <c r="BE66" i="34"/>
  <c r="BF66" i="34"/>
  <c r="BG66" i="34"/>
  <c r="BH66" i="34"/>
  <c r="BI66" i="34"/>
  <c r="BJ66" i="34"/>
  <c r="BK66" i="34"/>
  <c r="BL66" i="34"/>
  <c r="BM66" i="34"/>
  <c r="AN2" i="34"/>
  <c r="AO2" i="34"/>
  <c r="AP2" i="34"/>
  <c r="AQ2" i="34"/>
  <c r="AR2" i="34"/>
  <c r="AS2" i="34"/>
  <c r="AT2" i="34"/>
  <c r="AU2" i="34"/>
  <c r="AV2" i="34"/>
  <c r="AW2" i="34"/>
  <c r="AX2" i="34"/>
  <c r="AY2" i="34"/>
  <c r="AZ2" i="34"/>
  <c r="BA2" i="34"/>
  <c r="BB2" i="34"/>
  <c r="BC2" i="34"/>
  <c r="BD2" i="34"/>
  <c r="BE2" i="34"/>
  <c r="BF2" i="34"/>
  <c r="BG2" i="34"/>
  <c r="BH2" i="34"/>
  <c r="BI2" i="34"/>
  <c r="BJ2" i="34"/>
  <c r="BK2" i="34"/>
  <c r="BL2" i="34"/>
  <c r="BM2" i="34"/>
  <c r="AM2" i="34"/>
  <c r="I12" i="34"/>
  <c r="BN2" i="34" l="1"/>
  <c r="R3" i="38"/>
  <c r="H3" i="34"/>
  <c r="H4" i="34"/>
  <c r="H5" i="34"/>
  <c r="H6" i="34"/>
  <c r="H7" i="34"/>
  <c r="H8" i="34"/>
  <c r="H9" i="34"/>
  <c r="H10" i="34"/>
  <c r="H11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2" i="34"/>
  <c r="E5" i="34"/>
  <c r="F69" i="34"/>
  <c r="S3" i="34" l="1"/>
  <c r="S4" i="34"/>
  <c r="S5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S2" i="34"/>
  <c r="X3" i="34"/>
  <c r="X4" i="34"/>
  <c r="BN4" i="34" s="1"/>
  <c r="X5" i="34"/>
  <c r="BN5" i="34" s="1"/>
  <c r="X6" i="34"/>
  <c r="BN6" i="34" s="1"/>
  <c r="X7" i="34"/>
  <c r="BN7" i="34" s="1"/>
  <c r="X8" i="34"/>
  <c r="BN8" i="34" s="1"/>
  <c r="X9" i="34"/>
  <c r="BN9" i="34" s="1"/>
  <c r="X10" i="34"/>
  <c r="BN10" i="34" s="1"/>
  <c r="X11" i="34"/>
  <c r="BN11" i="34" s="1"/>
  <c r="X12" i="34"/>
  <c r="AL12" i="34" s="1"/>
  <c r="X13" i="34"/>
  <c r="BN13" i="34" s="1"/>
  <c r="X14" i="34"/>
  <c r="BN14" i="34" s="1"/>
  <c r="X15" i="34"/>
  <c r="BN15" i="34" s="1"/>
  <c r="X16" i="34"/>
  <c r="BN16" i="34" s="1"/>
  <c r="X17" i="34"/>
  <c r="BN17" i="34" s="1"/>
  <c r="X18" i="34"/>
  <c r="BN18" i="34" s="1"/>
  <c r="X19" i="34"/>
  <c r="BN19" i="34" s="1"/>
  <c r="X20" i="34"/>
  <c r="BN20" i="34" s="1"/>
  <c r="X21" i="34"/>
  <c r="BN21" i="34" s="1"/>
  <c r="X22" i="34"/>
  <c r="BN22" i="34" s="1"/>
  <c r="X23" i="34"/>
  <c r="BN23" i="34" s="1"/>
  <c r="X24" i="34"/>
  <c r="BN24" i="34" s="1"/>
  <c r="X25" i="34"/>
  <c r="BN25" i="34" s="1"/>
  <c r="X26" i="34"/>
  <c r="BN26" i="34" s="1"/>
  <c r="X27" i="34"/>
  <c r="BN27" i="34" s="1"/>
  <c r="X28" i="34"/>
  <c r="BN28" i="34" s="1"/>
  <c r="X29" i="34"/>
  <c r="BN29" i="34" s="1"/>
  <c r="X30" i="34"/>
  <c r="BN30" i="34" s="1"/>
  <c r="X31" i="34"/>
  <c r="BN31" i="34" s="1"/>
  <c r="X32" i="34"/>
  <c r="BN32" i="34" s="1"/>
  <c r="X33" i="34"/>
  <c r="BN33" i="34" s="1"/>
  <c r="X34" i="34"/>
  <c r="BN34" i="34" s="1"/>
  <c r="X35" i="34"/>
  <c r="BN35" i="34" s="1"/>
  <c r="X36" i="34"/>
  <c r="BN36" i="34" s="1"/>
  <c r="X37" i="34"/>
  <c r="BN37" i="34" s="1"/>
  <c r="X38" i="34"/>
  <c r="BN38" i="34" s="1"/>
  <c r="X39" i="34"/>
  <c r="BN39" i="34" s="1"/>
  <c r="X40" i="34"/>
  <c r="BN40" i="34" s="1"/>
  <c r="X41" i="34"/>
  <c r="BN41" i="34" s="1"/>
  <c r="X42" i="34"/>
  <c r="BN42" i="34" s="1"/>
  <c r="X43" i="34"/>
  <c r="BN43" i="34" s="1"/>
  <c r="X44" i="34"/>
  <c r="BN44" i="34" s="1"/>
  <c r="X45" i="34"/>
  <c r="BN45" i="34" s="1"/>
  <c r="X46" i="34"/>
  <c r="BN46" i="34" s="1"/>
  <c r="X47" i="34"/>
  <c r="BN47" i="34" s="1"/>
  <c r="X48" i="34"/>
  <c r="BN48" i="34" s="1"/>
  <c r="X49" i="34"/>
  <c r="BN49" i="34" s="1"/>
  <c r="X50" i="34"/>
  <c r="BN50" i="34" s="1"/>
  <c r="X51" i="34"/>
  <c r="BN51" i="34" s="1"/>
  <c r="X52" i="34"/>
  <c r="BN52" i="34" s="1"/>
  <c r="X53" i="34"/>
  <c r="BN53" i="34" s="1"/>
  <c r="X54" i="34"/>
  <c r="BN54" i="34" s="1"/>
  <c r="X55" i="34"/>
  <c r="BN55" i="34" s="1"/>
  <c r="X56" i="34"/>
  <c r="BN56" i="34" s="1"/>
  <c r="X57" i="34"/>
  <c r="BN57" i="34" s="1"/>
  <c r="X58" i="34"/>
  <c r="BN58" i="34" s="1"/>
  <c r="X59" i="34"/>
  <c r="BN59" i="34" s="1"/>
  <c r="X60" i="34"/>
  <c r="BN60" i="34" s="1"/>
  <c r="X61" i="34"/>
  <c r="BN61" i="34" s="1"/>
  <c r="X62" i="34"/>
  <c r="BN62" i="34" s="1"/>
  <c r="X63" i="34"/>
  <c r="BN63" i="34" s="1"/>
  <c r="X64" i="34"/>
  <c r="BN64" i="34" s="1"/>
  <c r="X65" i="34"/>
  <c r="BN65" i="34" s="1"/>
  <c r="X66" i="34"/>
  <c r="BN66" i="34" s="1"/>
  <c r="I22" i="34"/>
  <c r="T20" i="68"/>
  <c r="W3" i="34"/>
  <c r="W4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AL54" i="34" l="1"/>
  <c r="AL28" i="34"/>
  <c r="AL53" i="34"/>
  <c r="AL27" i="34"/>
  <c r="AL52" i="34"/>
  <c r="AL26" i="34"/>
  <c r="AL51" i="34"/>
  <c r="AL25" i="34"/>
  <c r="AL50" i="34"/>
  <c r="AL24" i="34"/>
  <c r="AL49" i="34"/>
  <c r="AL23" i="34"/>
  <c r="AL48" i="34"/>
  <c r="AL22" i="34"/>
  <c r="AL47" i="34"/>
  <c r="AL21" i="34"/>
  <c r="AL46" i="34"/>
  <c r="AL20" i="34"/>
  <c r="AL45" i="34"/>
  <c r="AL19" i="34"/>
  <c r="AL44" i="34"/>
  <c r="AL18" i="34"/>
  <c r="AL43" i="34"/>
  <c r="AL17" i="34"/>
  <c r="AL42" i="34"/>
  <c r="AL16" i="34"/>
  <c r="AL41" i="34"/>
  <c r="AL15" i="34"/>
  <c r="AL66" i="34"/>
  <c r="AL40" i="34"/>
  <c r="AL14" i="34"/>
  <c r="AL65" i="34"/>
  <c r="AL39" i="34"/>
  <c r="AL13" i="34"/>
  <c r="AL64" i="34"/>
  <c r="AL38" i="34"/>
  <c r="AL63" i="34"/>
  <c r="AL37" i="34"/>
  <c r="AL11" i="34"/>
  <c r="AL62" i="34"/>
  <c r="AL36" i="34"/>
  <c r="AL10" i="34"/>
  <c r="AL61" i="34"/>
  <c r="AL35" i="34"/>
  <c r="AL9" i="34"/>
  <c r="AL60" i="34"/>
  <c r="AL34" i="34"/>
  <c r="AL8" i="34"/>
  <c r="AL59" i="34"/>
  <c r="AL33" i="34"/>
  <c r="AL7" i="34"/>
  <c r="AL58" i="34"/>
  <c r="AL32" i="34"/>
  <c r="AL6" i="34"/>
  <c r="AL57" i="34"/>
  <c r="AL31" i="34"/>
  <c r="AL5" i="34"/>
  <c r="AL56" i="34"/>
  <c r="AL30" i="34"/>
  <c r="AL4" i="34"/>
  <c r="AL55" i="34"/>
  <c r="AL29" i="34"/>
  <c r="AL3" i="34"/>
  <c r="Y3" i="34"/>
  <c r="Y4" i="34"/>
  <c r="Y5" i="34"/>
  <c r="Y6" i="34"/>
  <c r="Y7" i="34"/>
  <c r="Y8" i="34"/>
  <c r="Y9" i="34"/>
  <c r="Y10" i="34"/>
  <c r="Y11" i="34"/>
  <c r="Y12" i="34"/>
  <c r="Y13" i="34"/>
  <c r="Y14" i="34"/>
  <c r="Y15" i="34"/>
  <c r="Y16" i="34"/>
  <c r="Y17" i="34"/>
  <c r="Y18" i="34"/>
  <c r="Y19" i="34"/>
  <c r="Y20" i="34"/>
  <c r="Y21" i="34"/>
  <c r="Y22" i="34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2" i="34"/>
  <c r="K3" i="34" l="1"/>
  <c r="L3" i="34"/>
  <c r="M3" i="34"/>
  <c r="N3" i="34"/>
  <c r="O3" i="34"/>
  <c r="P3" i="34"/>
  <c r="Q3" i="34"/>
  <c r="R3" i="34"/>
  <c r="T3" i="34"/>
  <c r="U3" i="34"/>
  <c r="V3" i="34"/>
  <c r="Z3" i="34"/>
  <c r="AA3" i="34"/>
  <c r="AB3" i="34"/>
  <c r="AC3" i="34"/>
  <c r="AD3" i="34"/>
  <c r="AE3" i="34"/>
  <c r="AF3" i="34"/>
  <c r="AG3" i="34"/>
  <c r="AH3" i="34"/>
  <c r="AI3" i="34"/>
  <c r="AJ3" i="34"/>
  <c r="AK3" i="34"/>
  <c r="K4" i="34"/>
  <c r="L4" i="34"/>
  <c r="M4" i="34"/>
  <c r="N4" i="34"/>
  <c r="O4" i="34"/>
  <c r="P4" i="34"/>
  <c r="Q4" i="34"/>
  <c r="R4" i="34"/>
  <c r="T4" i="34"/>
  <c r="U4" i="34"/>
  <c r="V4" i="34"/>
  <c r="Z4" i="34"/>
  <c r="AA4" i="34"/>
  <c r="AB4" i="34"/>
  <c r="AC4" i="34"/>
  <c r="AD4" i="34"/>
  <c r="AE4" i="34"/>
  <c r="AF4" i="34"/>
  <c r="AG4" i="34"/>
  <c r="AH4" i="34"/>
  <c r="AI4" i="34"/>
  <c r="AJ4" i="34"/>
  <c r="AK4" i="34"/>
  <c r="K5" i="34"/>
  <c r="L5" i="34"/>
  <c r="M5" i="34"/>
  <c r="N5" i="34"/>
  <c r="O5" i="34"/>
  <c r="P5" i="34"/>
  <c r="Q5" i="34"/>
  <c r="R5" i="34"/>
  <c r="T5" i="34"/>
  <c r="U5" i="34"/>
  <c r="V5" i="34"/>
  <c r="Z5" i="34"/>
  <c r="AA5" i="34"/>
  <c r="AB5" i="34"/>
  <c r="AC5" i="34"/>
  <c r="AD5" i="34"/>
  <c r="AE5" i="34"/>
  <c r="AF5" i="34"/>
  <c r="AG5" i="34"/>
  <c r="AH5" i="34"/>
  <c r="AI5" i="34"/>
  <c r="AJ5" i="34"/>
  <c r="AK5" i="34"/>
  <c r="K6" i="34"/>
  <c r="L6" i="34"/>
  <c r="M6" i="34"/>
  <c r="N6" i="34"/>
  <c r="O6" i="34"/>
  <c r="P6" i="34"/>
  <c r="Q6" i="34"/>
  <c r="R6" i="34"/>
  <c r="T6" i="34"/>
  <c r="U6" i="34"/>
  <c r="V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K7" i="34"/>
  <c r="L7" i="34"/>
  <c r="M7" i="34"/>
  <c r="N7" i="34"/>
  <c r="O7" i="34"/>
  <c r="P7" i="34"/>
  <c r="Q7" i="34"/>
  <c r="R7" i="34"/>
  <c r="T7" i="34"/>
  <c r="U7" i="34"/>
  <c r="V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K8" i="34"/>
  <c r="L8" i="34"/>
  <c r="M8" i="34"/>
  <c r="N8" i="34"/>
  <c r="O8" i="34"/>
  <c r="P8" i="34"/>
  <c r="Q8" i="34"/>
  <c r="R8" i="34"/>
  <c r="T8" i="34"/>
  <c r="U8" i="34"/>
  <c r="V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K9" i="34"/>
  <c r="L9" i="34"/>
  <c r="M9" i="34"/>
  <c r="N9" i="34"/>
  <c r="O9" i="34"/>
  <c r="P9" i="34"/>
  <c r="Q9" i="34"/>
  <c r="R9" i="34"/>
  <c r="T9" i="34"/>
  <c r="U9" i="34"/>
  <c r="V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K10" i="34"/>
  <c r="L10" i="34"/>
  <c r="M10" i="34"/>
  <c r="N10" i="34"/>
  <c r="O10" i="34"/>
  <c r="P10" i="34"/>
  <c r="Q10" i="34"/>
  <c r="R10" i="34"/>
  <c r="T10" i="34"/>
  <c r="U10" i="34"/>
  <c r="V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K11" i="34"/>
  <c r="L11" i="34"/>
  <c r="M11" i="34"/>
  <c r="N11" i="34"/>
  <c r="O11" i="34"/>
  <c r="P11" i="34"/>
  <c r="Q11" i="34"/>
  <c r="R11" i="34"/>
  <c r="T11" i="34"/>
  <c r="U11" i="34"/>
  <c r="V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K12" i="34"/>
  <c r="L12" i="34"/>
  <c r="M12" i="34"/>
  <c r="N12" i="34"/>
  <c r="O12" i="34"/>
  <c r="P12" i="34"/>
  <c r="Q12" i="34"/>
  <c r="R12" i="34"/>
  <c r="T12" i="34"/>
  <c r="U12" i="34"/>
  <c r="V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K13" i="34"/>
  <c r="L13" i="34"/>
  <c r="M13" i="34"/>
  <c r="N13" i="34"/>
  <c r="O13" i="34"/>
  <c r="P13" i="34"/>
  <c r="Q13" i="34"/>
  <c r="R13" i="34"/>
  <c r="T13" i="34"/>
  <c r="U13" i="34"/>
  <c r="V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K14" i="34"/>
  <c r="L14" i="34"/>
  <c r="M14" i="34"/>
  <c r="N14" i="34"/>
  <c r="O14" i="34"/>
  <c r="P14" i="34"/>
  <c r="Q14" i="34"/>
  <c r="R14" i="34"/>
  <c r="T14" i="34"/>
  <c r="U14" i="34"/>
  <c r="V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K15" i="34"/>
  <c r="L15" i="34"/>
  <c r="M15" i="34"/>
  <c r="N15" i="34"/>
  <c r="O15" i="34"/>
  <c r="P15" i="34"/>
  <c r="Q15" i="34"/>
  <c r="R15" i="34"/>
  <c r="T15" i="34"/>
  <c r="U15" i="34"/>
  <c r="V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K16" i="34"/>
  <c r="L16" i="34"/>
  <c r="M16" i="34"/>
  <c r="N16" i="34"/>
  <c r="O16" i="34"/>
  <c r="P16" i="34"/>
  <c r="Q16" i="34"/>
  <c r="R16" i="34"/>
  <c r="T16" i="34"/>
  <c r="U16" i="34"/>
  <c r="V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K17" i="34"/>
  <c r="L17" i="34"/>
  <c r="M17" i="34"/>
  <c r="N17" i="34"/>
  <c r="O17" i="34"/>
  <c r="P17" i="34"/>
  <c r="Q17" i="34"/>
  <c r="R17" i="34"/>
  <c r="T17" i="34"/>
  <c r="U17" i="34"/>
  <c r="V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K18" i="34"/>
  <c r="L18" i="34"/>
  <c r="M18" i="34"/>
  <c r="N18" i="34"/>
  <c r="O18" i="34"/>
  <c r="P18" i="34"/>
  <c r="Q18" i="34"/>
  <c r="R18" i="34"/>
  <c r="T18" i="34"/>
  <c r="U18" i="34"/>
  <c r="V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K19" i="34"/>
  <c r="L19" i="34"/>
  <c r="M19" i="34"/>
  <c r="N19" i="34"/>
  <c r="O19" i="34"/>
  <c r="P19" i="34"/>
  <c r="Q19" i="34"/>
  <c r="R19" i="34"/>
  <c r="T19" i="34"/>
  <c r="U19" i="34"/>
  <c r="V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K20" i="34"/>
  <c r="L20" i="34"/>
  <c r="M20" i="34"/>
  <c r="N20" i="34"/>
  <c r="O20" i="34"/>
  <c r="P20" i="34"/>
  <c r="Q20" i="34"/>
  <c r="R20" i="34"/>
  <c r="T20" i="34"/>
  <c r="U20" i="34"/>
  <c r="V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K21" i="34"/>
  <c r="L21" i="34"/>
  <c r="M21" i="34"/>
  <c r="N21" i="34"/>
  <c r="O21" i="34"/>
  <c r="P21" i="34"/>
  <c r="Q21" i="34"/>
  <c r="R21" i="34"/>
  <c r="T21" i="34"/>
  <c r="U21" i="34"/>
  <c r="V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K22" i="34"/>
  <c r="L22" i="34"/>
  <c r="M22" i="34"/>
  <c r="N22" i="34"/>
  <c r="O22" i="34"/>
  <c r="P22" i="34"/>
  <c r="Q22" i="34"/>
  <c r="R22" i="34"/>
  <c r="T22" i="34"/>
  <c r="U22" i="34"/>
  <c r="V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K23" i="34"/>
  <c r="L23" i="34"/>
  <c r="M23" i="34"/>
  <c r="N23" i="34"/>
  <c r="O23" i="34"/>
  <c r="P23" i="34"/>
  <c r="Q23" i="34"/>
  <c r="R23" i="34"/>
  <c r="T23" i="34"/>
  <c r="U23" i="34"/>
  <c r="V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K24" i="34"/>
  <c r="L24" i="34"/>
  <c r="M24" i="34"/>
  <c r="N24" i="34"/>
  <c r="O24" i="34"/>
  <c r="P24" i="34"/>
  <c r="Q24" i="34"/>
  <c r="R24" i="34"/>
  <c r="T24" i="34"/>
  <c r="U24" i="34"/>
  <c r="V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K25" i="34"/>
  <c r="L25" i="34"/>
  <c r="M25" i="34"/>
  <c r="N25" i="34"/>
  <c r="O25" i="34"/>
  <c r="P25" i="34"/>
  <c r="Q25" i="34"/>
  <c r="R25" i="34"/>
  <c r="T25" i="34"/>
  <c r="U25" i="34"/>
  <c r="V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K26" i="34"/>
  <c r="L26" i="34"/>
  <c r="M26" i="34"/>
  <c r="N26" i="34"/>
  <c r="O26" i="34"/>
  <c r="P26" i="34"/>
  <c r="Q26" i="34"/>
  <c r="R26" i="34"/>
  <c r="T26" i="34"/>
  <c r="U26" i="34"/>
  <c r="V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K27" i="34"/>
  <c r="L27" i="34"/>
  <c r="M27" i="34"/>
  <c r="N27" i="34"/>
  <c r="O27" i="34"/>
  <c r="P27" i="34"/>
  <c r="Q27" i="34"/>
  <c r="R27" i="34"/>
  <c r="T27" i="34"/>
  <c r="U27" i="34"/>
  <c r="V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K28" i="34"/>
  <c r="L28" i="34"/>
  <c r="M28" i="34"/>
  <c r="N28" i="34"/>
  <c r="O28" i="34"/>
  <c r="P28" i="34"/>
  <c r="Q28" i="34"/>
  <c r="R28" i="34"/>
  <c r="T28" i="34"/>
  <c r="U28" i="34"/>
  <c r="V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K29" i="34"/>
  <c r="L29" i="34"/>
  <c r="M29" i="34"/>
  <c r="N29" i="34"/>
  <c r="O29" i="34"/>
  <c r="P29" i="34"/>
  <c r="Q29" i="34"/>
  <c r="R29" i="34"/>
  <c r="T29" i="34"/>
  <c r="U29" i="34"/>
  <c r="V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K30" i="34"/>
  <c r="L30" i="34"/>
  <c r="M30" i="34"/>
  <c r="N30" i="34"/>
  <c r="O30" i="34"/>
  <c r="P30" i="34"/>
  <c r="Q30" i="34"/>
  <c r="R30" i="34"/>
  <c r="T30" i="34"/>
  <c r="U30" i="34"/>
  <c r="V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K31" i="34"/>
  <c r="L31" i="34"/>
  <c r="M31" i="34"/>
  <c r="N31" i="34"/>
  <c r="O31" i="34"/>
  <c r="P31" i="34"/>
  <c r="Q31" i="34"/>
  <c r="R31" i="34"/>
  <c r="T31" i="34"/>
  <c r="U31" i="34"/>
  <c r="V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K32" i="34"/>
  <c r="L32" i="34"/>
  <c r="M32" i="34"/>
  <c r="N32" i="34"/>
  <c r="O32" i="34"/>
  <c r="P32" i="34"/>
  <c r="Q32" i="34"/>
  <c r="R32" i="34"/>
  <c r="T32" i="34"/>
  <c r="U32" i="34"/>
  <c r="V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K33" i="34"/>
  <c r="L33" i="34"/>
  <c r="M33" i="34"/>
  <c r="N33" i="34"/>
  <c r="O33" i="34"/>
  <c r="P33" i="34"/>
  <c r="Q33" i="34"/>
  <c r="R33" i="34"/>
  <c r="T33" i="34"/>
  <c r="U33" i="34"/>
  <c r="V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K34" i="34"/>
  <c r="L34" i="34"/>
  <c r="M34" i="34"/>
  <c r="N34" i="34"/>
  <c r="O34" i="34"/>
  <c r="P34" i="34"/>
  <c r="Q34" i="34"/>
  <c r="R34" i="34"/>
  <c r="T34" i="34"/>
  <c r="U34" i="34"/>
  <c r="V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K35" i="34"/>
  <c r="L35" i="34"/>
  <c r="M35" i="34"/>
  <c r="N35" i="34"/>
  <c r="O35" i="34"/>
  <c r="P35" i="34"/>
  <c r="Q35" i="34"/>
  <c r="R35" i="34"/>
  <c r="T35" i="34"/>
  <c r="U35" i="34"/>
  <c r="V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K36" i="34"/>
  <c r="L36" i="34"/>
  <c r="M36" i="34"/>
  <c r="N36" i="34"/>
  <c r="O36" i="34"/>
  <c r="P36" i="34"/>
  <c r="Q36" i="34"/>
  <c r="R36" i="34"/>
  <c r="T36" i="34"/>
  <c r="U36" i="34"/>
  <c r="V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K37" i="34"/>
  <c r="L37" i="34"/>
  <c r="M37" i="34"/>
  <c r="N37" i="34"/>
  <c r="O37" i="34"/>
  <c r="P37" i="34"/>
  <c r="Q37" i="34"/>
  <c r="R37" i="34"/>
  <c r="T37" i="34"/>
  <c r="U37" i="34"/>
  <c r="V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K38" i="34"/>
  <c r="L38" i="34"/>
  <c r="M38" i="34"/>
  <c r="N38" i="34"/>
  <c r="O38" i="34"/>
  <c r="P38" i="34"/>
  <c r="Q38" i="34"/>
  <c r="R38" i="34"/>
  <c r="T38" i="34"/>
  <c r="U38" i="34"/>
  <c r="V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K39" i="34"/>
  <c r="L39" i="34"/>
  <c r="M39" i="34"/>
  <c r="N39" i="34"/>
  <c r="O39" i="34"/>
  <c r="P39" i="34"/>
  <c r="Q39" i="34"/>
  <c r="R39" i="34"/>
  <c r="T39" i="34"/>
  <c r="U39" i="34"/>
  <c r="V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K40" i="34"/>
  <c r="L40" i="34"/>
  <c r="M40" i="34"/>
  <c r="N40" i="34"/>
  <c r="O40" i="34"/>
  <c r="P40" i="34"/>
  <c r="Q40" i="34"/>
  <c r="R40" i="34"/>
  <c r="T40" i="34"/>
  <c r="U40" i="34"/>
  <c r="V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K41" i="34"/>
  <c r="L41" i="34"/>
  <c r="M41" i="34"/>
  <c r="N41" i="34"/>
  <c r="O41" i="34"/>
  <c r="P41" i="34"/>
  <c r="Q41" i="34"/>
  <c r="R41" i="34"/>
  <c r="T41" i="34"/>
  <c r="U41" i="34"/>
  <c r="V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K42" i="34"/>
  <c r="L42" i="34"/>
  <c r="M42" i="34"/>
  <c r="N42" i="34"/>
  <c r="O42" i="34"/>
  <c r="P42" i="34"/>
  <c r="Q42" i="34"/>
  <c r="R42" i="34"/>
  <c r="T42" i="34"/>
  <c r="U42" i="34"/>
  <c r="V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K43" i="34"/>
  <c r="L43" i="34"/>
  <c r="M43" i="34"/>
  <c r="N43" i="34"/>
  <c r="O43" i="34"/>
  <c r="P43" i="34"/>
  <c r="Q43" i="34"/>
  <c r="R43" i="34"/>
  <c r="T43" i="34"/>
  <c r="U43" i="34"/>
  <c r="V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K44" i="34"/>
  <c r="L44" i="34"/>
  <c r="M44" i="34"/>
  <c r="N44" i="34"/>
  <c r="O44" i="34"/>
  <c r="P44" i="34"/>
  <c r="Q44" i="34"/>
  <c r="R44" i="34"/>
  <c r="T44" i="34"/>
  <c r="U44" i="34"/>
  <c r="V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K45" i="34"/>
  <c r="L45" i="34"/>
  <c r="M45" i="34"/>
  <c r="N45" i="34"/>
  <c r="O45" i="34"/>
  <c r="P45" i="34"/>
  <c r="Q45" i="34"/>
  <c r="R45" i="34"/>
  <c r="T45" i="34"/>
  <c r="U45" i="34"/>
  <c r="V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K46" i="34"/>
  <c r="L46" i="34"/>
  <c r="M46" i="34"/>
  <c r="N46" i="34"/>
  <c r="O46" i="34"/>
  <c r="P46" i="34"/>
  <c r="Q46" i="34"/>
  <c r="R46" i="34"/>
  <c r="T46" i="34"/>
  <c r="U46" i="34"/>
  <c r="V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K47" i="34"/>
  <c r="L47" i="34"/>
  <c r="M47" i="34"/>
  <c r="N47" i="34"/>
  <c r="O47" i="34"/>
  <c r="P47" i="34"/>
  <c r="Q47" i="34"/>
  <c r="R47" i="34"/>
  <c r="T47" i="34"/>
  <c r="U47" i="34"/>
  <c r="V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K48" i="34"/>
  <c r="L48" i="34"/>
  <c r="M48" i="34"/>
  <c r="N48" i="34"/>
  <c r="O48" i="34"/>
  <c r="P48" i="34"/>
  <c r="Q48" i="34"/>
  <c r="R48" i="34"/>
  <c r="T48" i="34"/>
  <c r="U48" i="34"/>
  <c r="V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K49" i="34"/>
  <c r="L49" i="34"/>
  <c r="M49" i="34"/>
  <c r="N49" i="34"/>
  <c r="O49" i="34"/>
  <c r="P49" i="34"/>
  <c r="Q49" i="34"/>
  <c r="R49" i="34"/>
  <c r="T49" i="34"/>
  <c r="U49" i="34"/>
  <c r="V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K50" i="34"/>
  <c r="L50" i="34"/>
  <c r="M50" i="34"/>
  <c r="N50" i="34"/>
  <c r="O50" i="34"/>
  <c r="P50" i="34"/>
  <c r="Q50" i="34"/>
  <c r="R50" i="34"/>
  <c r="T50" i="34"/>
  <c r="U50" i="34"/>
  <c r="V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K51" i="34"/>
  <c r="L51" i="34"/>
  <c r="M51" i="34"/>
  <c r="N51" i="34"/>
  <c r="O51" i="34"/>
  <c r="P51" i="34"/>
  <c r="Q51" i="34"/>
  <c r="R51" i="34"/>
  <c r="T51" i="34"/>
  <c r="U51" i="34"/>
  <c r="V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K52" i="34"/>
  <c r="L52" i="34"/>
  <c r="M52" i="34"/>
  <c r="N52" i="34"/>
  <c r="O52" i="34"/>
  <c r="P52" i="34"/>
  <c r="Q52" i="34"/>
  <c r="R52" i="34"/>
  <c r="T52" i="34"/>
  <c r="U52" i="34"/>
  <c r="V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K53" i="34"/>
  <c r="L53" i="34"/>
  <c r="M53" i="34"/>
  <c r="N53" i="34"/>
  <c r="O53" i="34"/>
  <c r="P53" i="34"/>
  <c r="Q53" i="34"/>
  <c r="R53" i="34"/>
  <c r="T53" i="34"/>
  <c r="U53" i="34"/>
  <c r="V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K54" i="34"/>
  <c r="L54" i="34"/>
  <c r="M54" i="34"/>
  <c r="N54" i="34"/>
  <c r="O54" i="34"/>
  <c r="P54" i="34"/>
  <c r="Q54" i="34"/>
  <c r="R54" i="34"/>
  <c r="T54" i="34"/>
  <c r="U54" i="34"/>
  <c r="V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K55" i="34"/>
  <c r="L55" i="34"/>
  <c r="M55" i="34"/>
  <c r="N55" i="34"/>
  <c r="O55" i="34"/>
  <c r="P55" i="34"/>
  <c r="Q55" i="34"/>
  <c r="R55" i="34"/>
  <c r="T55" i="34"/>
  <c r="U55" i="34"/>
  <c r="V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K56" i="34"/>
  <c r="L56" i="34"/>
  <c r="M56" i="34"/>
  <c r="N56" i="34"/>
  <c r="O56" i="34"/>
  <c r="P56" i="34"/>
  <c r="Q56" i="34"/>
  <c r="R56" i="34"/>
  <c r="T56" i="34"/>
  <c r="U56" i="34"/>
  <c r="V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K57" i="34"/>
  <c r="L57" i="34"/>
  <c r="M57" i="34"/>
  <c r="N57" i="34"/>
  <c r="O57" i="34"/>
  <c r="P57" i="34"/>
  <c r="Q57" i="34"/>
  <c r="R57" i="34"/>
  <c r="T57" i="34"/>
  <c r="U57" i="34"/>
  <c r="V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K58" i="34"/>
  <c r="L58" i="34"/>
  <c r="M58" i="34"/>
  <c r="N58" i="34"/>
  <c r="O58" i="34"/>
  <c r="P58" i="34"/>
  <c r="Q58" i="34"/>
  <c r="R58" i="34"/>
  <c r="T58" i="34"/>
  <c r="U58" i="34"/>
  <c r="V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K59" i="34"/>
  <c r="L59" i="34"/>
  <c r="M59" i="34"/>
  <c r="N59" i="34"/>
  <c r="O59" i="34"/>
  <c r="P59" i="34"/>
  <c r="Q59" i="34"/>
  <c r="R59" i="34"/>
  <c r="T59" i="34"/>
  <c r="U59" i="34"/>
  <c r="V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K60" i="34"/>
  <c r="L60" i="34"/>
  <c r="M60" i="34"/>
  <c r="N60" i="34"/>
  <c r="O60" i="34"/>
  <c r="P60" i="34"/>
  <c r="Q60" i="34"/>
  <c r="R60" i="34"/>
  <c r="T60" i="34"/>
  <c r="U60" i="34"/>
  <c r="V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K61" i="34"/>
  <c r="L61" i="34"/>
  <c r="M61" i="34"/>
  <c r="N61" i="34"/>
  <c r="O61" i="34"/>
  <c r="P61" i="34"/>
  <c r="Q61" i="34"/>
  <c r="R61" i="34"/>
  <c r="T61" i="34"/>
  <c r="U61" i="34"/>
  <c r="V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K62" i="34"/>
  <c r="L62" i="34"/>
  <c r="M62" i="34"/>
  <c r="N62" i="34"/>
  <c r="O62" i="34"/>
  <c r="P62" i="34"/>
  <c r="Q62" i="34"/>
  <c r="R62" i="34"/>
  <c r="T62" i="34"/>
  <c r="U62" i="34"/>
  <c r="V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K63" i="34"/>
  <c r="L63" i="34"/>
  <c r="M63" i="34"/>
  <c r="N63" i="34"/>
  <c r="O63" i="34"/>
  <c r="P63" i="34"/>
  <c r="Q63" i="34"/>
  <c r="R63" i="34"/>
  <c r="T63" i="34"/>
  <c r="U63" i="34"/>
  <c r="V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K64" i="34"/>
  <c r="L64" i="34"/>
  <c r="M64" i="34"/>
  <c r="N64" i="34"/>
  <c r="O64" i="34"/>
  <c r="P64" i="34"/>
  <c r="Q64" i="34"/>
  <c r="R64" i="34"/>
  <c r="T64" i="34"/>
  <c r="U64" i="34"/>
  <c r="V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K65" i="34"/>
  <c r="L65" i="34"/>
  <c r="M65" i="34"/>
  <c r="N65" i="34"/>
  <c r="O65" i="34"/>
  <c r="P65" i="34"/>
  <c r="Q65" i="34"/>
  <c r="R65" i="34"/>
  <c r="T65" i="34"/>
  <c r="U65" i="34"/>
  <c r="V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K66" i="34"/>
  <c r="L66" i="34"/>
  <c r="M66" i="34"/>
  <c r="N66" i="34"/>
  <c r="O66" i="34"/>
  <c r="P66" i="34"/>
  <c r="Q66" i="34"/>
  <c r="R66" i="34"/>
  <c r="T66" i="34"/>
  <c r="U66" i="34"/>
  <c r="V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L2" i="34"/>
  <c r="AI2" i="34"/>
  <c r="AJ2" i="34"/>
  <c r="AK2" i="34"/>
  <c r="AH2" i="34"/>
  <c r="AG2" i="34"/>
  <c r="AF2" i="34"/>
  <c r="AE2" i="34"/>
  <c r="AD2" i="34"/>
  <c r="AC2" i="34"/>
  <c r="AB2" i="34"/>
  <c r="AA2" i="34"/>
  <c r="Z2" i="34"/>
  <c r="X2" i="34"/>
  <c r="W2" i="34"/>
  <c r="V2" i="34"/>
  <c r="U2" i="34"/>
  <c r="T2" i="34"/>
  <c r="R2" i="34"/>
  <c r="Q2" i="34"/>
  <c r="P2" i="34"/>
  <c r="O2" i="34"/>
  <c r="N2" i="34"/>
  <c r="M2" i="34"/>
  <c r="AL2" i="34" l="1"/>
  <c r="AL67" i="34" s="1"/>
  <c r="K2" i="34"/>
  <c r="T64" i="68" l="1"/>
  <c r="T63" i="68"/>
  <c r="T62" i="68"/>
  <c r="T61" i="68"/>
  <c r="T60" i="68"/>
  <c r="T59" i="68"/>
  <c r="T58" i="68"/>
  <c r="T57" i="68"/>
  <c r="T56" i="68"/>
  <c r="T55" i="68"/>
  <c r="T54" i="68"/>
  <c r="T53" i="68"/>
  <c r="T52" i="68"/>
  <c r="T51" i="68"/>
  <c r="T50" i="68"/>
  <c r="T49" i="68"/>
  <c r="T48" i="68"/>
  <c r="T47" i="68"/>
  <c r="T46" i="68"/>
  <c r="T45" i="68"/>
  <c r="T44" i="68"/>
  <c r="T43" i="68"/>
  <c r="T42" i="68"/>
  <c r="T41" i="68"/>
  <c r="T40" i="68"/>
  <c r="T39" i="68"/>
  <c r="T38" i="68"/>
  <c r="T37" i="68"/>
  <c r="T36" i="68"/>
  <c r="T35" i="68"/>
  <c r="T34" i="68"/>
  <c r="T33" i="68"/>
  <c r="T32" i="68"/>
  <c r="T31" i="68"/>
  <c r="T30" i="68"/>
  <c r="T29" i="68"/>
  <c r="T28" i="68"/>
  <c r="T27" i="68"/>
  <c r="T26" i="68"/>
  <c r="T25" i="68"/>
  <c r="T24" i="68"/>
  <c r="T23" i="68"/>
  <c r="T22" i="68"/>
  <c r="T21" i="68"/>
  <c r="T19" i="68"/>
  <c r="T18" i="68"/>
  <c r="T17" i="68"/>
  <c r="T16" i="68"/>
  <c r="T15" i="68"/>
  <c r="T14" i="68"/>
  <c r="T13" i="68"/>
  <c r="T12" i="68"/>
  <c r="T11" i="68"/>
  <c r="T10" i="68"/>
  <c r="T9" i="68"/>
  <c r="T8" i="68"/>
  <c r="T7" i="68"/>
  <c r="T6" i="68"/>
  <c r="T5" i="68"/>
  <c r="T4" i="68"/>
  <c r="T3" i="68"/>
  <c r="T2" i="68"/>
  <c r="T64" i="78"/>
  <c r="T63" i="78"/>
  <c r="T62" i="78"/>
  <c r="T61" i="78"/>
  <c r="T60" i="78"/>
  <c r="T59" i="78"/>
  <c r="T58" i="78"/>
  <c r="T57" i="78"/>
  <c r="T56" i="78"/>
  <c r="T55" i="78"/>
  <c r="T54" i="78"/>
  <c r="T53" i="78"/>
  <c r="T52" i="78"/>
  <c r="T51" i="78"/>
  <c r="T50" i="78"/>
  <c r="T49" i="78"/>
  <c r="T48" i="78"/>
  <c r="T47" i="78"/>
  <c r="T46" i="78"/>
  <c r="T45" i="78"/>
  <c r="T44" i="78"/>
  <c r="T43" i="78"/>
  <c r="T42" i="78"/>
  <c r="T41" i="78"/>
  <c r="T40" i="78"/>
  <c r="T39" i="78"/>
  <c r="T38" i="78"/>
  <c r="T37" i="78"/>
  <c r="T36" i="78"/>
  <c r="T35" i="78"/>
  <c r="T34" i="78"/>
  <c r="T33" i="78"/>
  <c r="T32" i="78"/>
  <c r="T31" i="78"/>
  <c r="T30" i="78"/>
  <c r="T29" i="78"/>
  <c r="T28" i="78"/>
  <c r="T27" i="78"/>
  <c r="T26" i="78"/>
  <c r="T25" i="78"/>
  <c r="T24" i="78"/>
  <c r="T23" i="78"/>
  <c r="T22" i="78"/>
  <c r="T21" i="78"/>
  <c r="T20" i="78"/>
  <c r="T19" i="78"/>
  <c r="T18" i="78"/>
  <c r="T17" i="78"/>
  <c r="T16" i="78"/>
  <c r="T15" i="78"/>
  <c r="T14" i="78"/>
  <c r="T13" i="78"/>
  <c r="T12" i="78"/>
  <c r="T11" i="78"/>
  <c r="T10" i="78"/>
  <c r="T9" i="78"/>
  <c r="T8" i="78"/>
  <c r="T7" i="78"/>
  <c r="T6" i="78"/>
  <c r="T5" i="78"/>
  <c r="T4" i="78"/>
  <c r="T3" i="78"/>
  <c r="T2" i="78"/>
  <c r="AI64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7" i="77"/>
  <c r="AI46" i="77"/>
  <c r="AI45" i="77"/>
  <c r="AI44" i="77"/>
  <c r="AI43" i="77"/>
  <c r="AI42" i="77"/>
  <c r="AI41" i="77"/>
  <c r="AI40" i="77"/>
  <c r="AI39" i="77"/>
  <c r="AI38" i="77"/>
  <c r="AI37" i="77"/>
  <c r="AI36" i="77"/>
  <c r="AI35" i="77"/>
  <c r="AI34" i="77"/>
  <c r="AI33" i="77"/>
  <c r="AI32" i="77"/>
  <c r="AI31" i="77"/>
  <c r="AI30" i="77"/>
  <c r="AI29" i="77"/>
  <c r="AI28" i="77"/>
  <c r="AI27" i="77"/>
  <c r="AI26" i="77"/>
  <c r="AI25" i="77"/>
  <c r="AI24" i="77"/>
  <c r="AI23" i="77"/>
  <c r="AI22" i="77"/>
  <c r="AI21" i="77"/>
  <c r="AI20" i="77"/>
  <c r="AI19" i="77"/>
  <c r="AI18" i="77"/>
  <c r="AI17" i="77"/>
  <c r="AI16" i="77"/>
  <c r="AI15" i="77"/>
  <c r="AI14" i="77"/>
  <c r="AI13" i="77"/>
  <c r="AI12" i="77"/>
  <c r="AI11" i="77"/>
  <c r="AI10" i="77"/>
  <c r="AI9" i="77"/>
  <c r="AI8" i="77"/>
  <c r="AI7" i="77"/>
  <c r="AI6" i="77"/>
  <c r="AI5" i="77"/>
  <c r="AI4" i="77"/>
  <c r="AI3" i="77"/>
  <c r="AI2" i="77"/>
  <c r="T64" i="76"/>
  <c r="T63" i="76"/>
  <c r="T62" i="76"/>
  <c r="T61" i="76"/>
  <c r="T60" i="76"/>
  <c r="T59" i="76"/>
  <c r="T58" i="76"/>
  <c r="T57" i="76"/>
  <c r="T56" i="76"/>
  <c r="T55" i="76"/>
  <c r="T54" i="76"/>
  <c r="T53" i="76"/>
  <c r="T52" i="76"/>
  <c r="T51" i="76"/>
  <c r="T50" i="76"/>
  <c r="T49" i="76"/>
  <c r="T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5" i="76"/>
  <c r="T34" i="76"/>
  <c r="T33" i="76"/>
  <c r="T32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T19" i="76"/>
  <c r="T18" i="76"/>
  <c r="T17" i="76"/>
  <c r="T16" i="76"/>
  <c r="T15" i="76"/>
  <c r="T14" i="76"/>
  <c r="T13" i="76"/>
  <c r="T12" i="76"/>
  <c r="T11" i="76"/>
  <c r="T10" i="76"/>
  <c r="T9" i="76"/>
  <c r="T8" i="76"/>
  <c r="T7" i="76"/>
  <c r="T6" i="76"/>
  <c r="T5" i="76"/>
  <c r="T4" i="76"/>
  <c r="T3" i="76"/>
  <c r="T2" i="76"/>
  <c r="T64" i="75"/>
  <c r="T63" i="75"/>
  <c r="T62" i="75"/>
  <c r="T61" i="75"/>
  <c r="T60" i="75"/>
  <c r="T59" i="75"/>
  <c r="T58" i="75"/>
  <c r="T57" i="75"/>
  <c r="T56" i="75"/>
  <c r="T55" i="75"/>
  <c r="T54" i="75"/>
  <c r="T53" i="75"/>
  <c r="T52" i="75"/>
  <c r="T51" i="75"/>
  <c r="T50" i="75"/>
  <c r="T49" i="75"/>
  <c r="T48" i="75"/>
  <c r="T47" i="75"/>
  <c r="T46" i="75"/>
  <c r="T45" i="75"/>
  <c r="T44" i="75"/>
  <c r="T43" i="75"/>
  <c r="T42" i="75"/>
  <c r="T41" i="75"/>
  <c r="T40" i="75"/>
  <c r="T39" i="75"/>
  <c r="T38" i="75"/>
  <c r="T37" i="75"/>
  <c r="T36" i="75"/>
  <c r="T35" i="75"/>
  <c r="T34" i="75"/>
  <c r="T33" i="75"/>
  <c r="T32" i="75"/>
  <c r="T31" i="75"/>
  <c r="T30" i="75"/>
  <c r="T29" i="75"/>
  <c r="T28" i="75"/>
  <c r="T27" i="75"/>
  <c r="T26" i="75"/>
  <c r="T25" i="75"/>
  <c r="T24" i="75"/>
  <c r="T23" i="75"/>
  <c r="T22" i="75"/>
  <c r="T21" i="75"/>
  <c r="T20" i="75"/>
  <c r="T19" i="75"/>
  <c r="T18" i="75"/>
  <c r="T17" i="75"/>
  <c r="T16" i="75"/>
  <c r="T15" i="75"/>
  <c r="T14" i="75"/>
  <c r="T13" i="75"/>
  <c r="T12" i="75"/>
  <c r="T11" i="75"/>
  <c r="T10" i="75"/>
  <c r="T9" i="75"/>
  <c r="T8" i="75"/>
  <c r="T7" i="75"/>
  <c r="T6" i="75"/>
  <c r="T5" i="75"/>
  <c r="T4" i="75"/>
  <c r="T3" i="75"/>
  <c r="T2" i="75"/>
  <c r="T64" i="74"/>
  <c r="T63" i="74"/>
  <c r="T62" i="74"/>
  <c r="T61" i="74"/>
  <c r="T60" i="74"/>
  <c r="T59" i="74"/>
  <c r="T58" i="74"/>
  <c r="T57" i="74"/>
  <c r="T56" i="74"/>
  <c r="T55" i="74"/>
  <c r="T54" i="74"/>
  <c r="T53" i="74"/>
  <c r="T52" i="74"/>
  <c r="T51" i="74"/>
  <c r="T50" i="74"/>
  <c r="T49" i="74"/>
  <c r="T48" i="74"/>
  <c r="T47" i="74"/>
  <c r="T46" i="74"/>
  <c r="T45" i="74"/>
  <c r="T44" i="74"/>
  <c r="T43" i="74"/>
  <c r="T42" i="74"/>
  <c r="T41" i="74"/>
  <c r="T40" i="74"/>
  <c r="T39" i="74"/>
  <c r="T38" i="74"/>
  <c r="T37" i="74"/>
  <c r="T36" i="74"/>
  <c r="T35" i="74"/>
  <c r="T34" i="74"/>
  <c r="T33" i="74"/>
  <c r="T32" i="74"/>
  <c r="T31" i="74"/>
  <c r="T30" i="74"/>
  <c r="T29" i="74"/>
  <c r="T28" i="74"/>
  <c r="T27" i="74"/>
  <c r="T26" i="74"/>
  <c r="T25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T6" i="74"/>
  <c r="T5" i="74"/>
  <c r="T4" i="74"/>
  <c r="T3" i="74"/>
  <c r="T2" i="74"/>
  <c r="T64" i="73"/>
  <c r="T63" i="73"/>
  <c r="T62" i="73"/>
  <c r="T61" i="73"/>
  <c r="T60" i="73"/>
  <c r="T59" i="73"/>
  <c r="T58" i="73"/>
  <c r="T57" i="73"/>
  <c r="T56" i="73"/>
  <c r="T55" i="73"/>
  <c r="T54" i="73"/>
  <c r="T53" i="73"/>
  <c r="T52" i="73"/>
  <c r="T51" i="73"/>
  <c r="T50" i="73"/>
  <c r="T49" i="73"/>
  <c r="T48" i="73"/>
  <c r="T47" i="73"/>
  <c r="T46" i="73"/>
  <c r="T45" i="73"/>
  <c r="T44" i="73"/>
  <c r="T43" i="73"/>
  <c r="T42" i="73"/>
  <c r="T41" i="73"/>
  <c r="T40" i="73"/>
  <c r="T39" i="73"/>
  <c r="T38" i="73"/>
  <c r="T37" i="73"/>
  <c r="T36" i="73"/>
  <c r="T35" i="73"/>
  <c r="T34" i="73"/>
  <c r="T33" i="73"/>
  <c r="T32" i="73"/>
  <c r="T31" i="73"/>
  <c r="T30" i="73"/>
  <c r="T29" i="73"/>
  <c r="T28" i="73"/>
  <c r="T27" i="73"/>
  <c r="T26" i="73"/>
  <c r="T25" i="73"/>
  <c r="T24" i="73"/>
  <c r="T23" i="73"/>
  <c r="T22" i="73"/>
  <c r="T21" i="73"/>
  <c r="T20" i="73"/>
  <c r="T19" i="73"/>
  <c r="T18" i="73"/>
  <c r="T17" i="73"/>
  <c r="T16" i="73"/>
  <c r="T15" i="73"/>
  <c r="T14" i="73"/>
  <c r="T13" i="73"/>
  <c r="T12" i="73"/>
  <c r="T11" i="73"/>
  <c r="T10" i="73"/>
  <c r="T9" i="73"/>
  <c r="T8" i="73"/>
  <c r="T7" i="73"/>
  <c r="T6" i="73"/>
  <c r="T5" i="73"/>
  <c r="T4" i="73"/>
  <c r="T3" i="73"/>
  <c r="T2" i="73"/>
  <c r="T64" i="72"/>
  <c r="T63" i="72"/>
  <c r="T62" i="72"/>
  <c r="T61" i="72"/>
  <c r="T60" i="72"/>
  <c r="T59" i="72"/>
  <c r="T58" i="72"/>
  <c r="T57" i="72"/>
  <c r="T56" i="72"/>
  <c r="T55" i="72"/>
  <c r="T54" i="72"/>
  <c r="T53" i="72"/>
  <c r="T52" i="72"/>
  <c r="T51" i="72"/>
  <c r="I53" i="34" s="1"/>
  <c r="T50" i="72"/>
  <c r="T49" i="72"/>
  <c r="T48" i="72"/>
  <c r="T47" i="72"/>
  <c r="T46" i="72"/>
  <c r="T45" i="72"/>
  <c r="T44" i="72"/>
  <c r="T43" i="72"/>
  <c r="T42" i="72"/>
  <c r="T41" i="72"/>
  <c r="T40" i="72"/>
  <c r="T39" i="72"/>
  <c r="T38" i="72"/>
  <c r="T37" i="72"/>
  <c r="T36" i="72"/>
  <c r="T35" i="72"/>
  <c r="T34" i="72"/>
  <c r="T33" i="72"/>
  <c r="T32" i="72"/>
  <c r="T31" i="72"/>
  <c r="T30" i="72"/>
  <c r="T29" i="72"/>
  <c r="T28" i="72"/>
  <c r="T27" i="72"/>
  <c r="T26" i="72"/>
  <c r="T25" i="72"/>
  <c r="I27" i="34" s="1"/>
  <c r="T24" i="72"/>
  <c r="T23" i="72"/>
  <c r="T22" i="72"/>
  <c r="T21" i="72"/>
  <c r="T20" i="72"/>
  <c r="T19" i="72"/>
  <c r="T18" i="72"/>
  <c r="T17" i="72"/>
  <c r="T16" i="72"/>
  <c r="T15" i="72"/>
  <c r="T14" i="72"/>
  <c r="T13" i="72"/>
  <c r="T12" i="72"/>
  <c r="T11" i="72"/>
  <c r="T10" i="72"/>
  <c r="T9" i="72"/>
  <c r="T8" i="72"/>
  <c r="T7" i="72"/>
  <c r="T6" i="72"/>
  <c r="T5" i="72"/>
  <c r="T4" i="72"/>
  <c r="T3" i="72"/>
  <c r="T2" i="72"/>
  <c r="T64" i="71"/>
  <c r="T63" i="71"/>
  <c r="T62" i="71"/>
  <c r="T61" i="71"/>
  <c r="T60" i="71"/>
  <c r="T59" i="71"/>
  <c r="T58" i="71"/>
  <c r="T57" i="71"/>
  <c r="T56" i="71"/>
  <c r="T55" i="71"/>
  <c r="T54" i="71"/>
  <c r="T53" i="71"/>
  <c r="T52" i="71"/>
  <c r="T51" i="71"/>
  <c r="T50" i="71"/>
  <c r="T49" i="71"/>
  <c r="T48" i="71"/>
  <c r="T47" i="71"/>
  <c r="T46" i="71"/>
  <c r="T45" i="71"/>
  <c r="T44" i="71"/>
  <c r="T43" i="71"/>
  <c r="T42" i="71"/>
  <c r="T41" i="71"/>
  <c r="T40" i="71"/>
  <c r="T39" i="71"/>
  <c r="T38" i="71"/>
  <c r="T37" i="71"/>
  <c r="T36" i="71"/>
  <c r="T35" i="71"/>
  <c r="T34" i="71"/>
  <c r="T33" i="71"/>
  <c r="T32" i="71"/>
  <c r="T31" i="71"/>
  <c r="T30" i="71"/>
  <c r="T29" i="71"/>
  <c r="T28" i="71"/>
  <c r="T27" i="71"/>
  <c r="T26" i="71"/>
  <c r="T25" i="71"/>
  <c r="T24" i="71"/>
  <c r="T23" i="71"/>
  <c r="T22" i="71"/>
  <c r="T21" i="71"/>
  <c r="T20" i="71"/>
  <c r="T19" i="71"/>
  <c r="T18" i="71"/>
  <c r="T17" i="71"/>
  <c r="T16" i="71"/>
  <c r="T15" i="71"/>
  <c r="T14" i="71"/>
  <c r="T13" i="71"/>
  <c r="T12" i="71"/>
  <c r="T11" i="71"/>
  <c r="T10" i="71"/>
  <c r="T9" i="71"/>
  <c r="T8" i="71"/>
  <c r="T7" i="71"/>
  <c r="T6" i="71"/>
  <c r="T5" i="71"/>
  <c r="T4" i="71"/>
  <c r="T3" i="71"/>
  <c r="T2" i="71"/>
  <c r="T64" i="70"/>
  <c r="T63" i="70"/>
  <c r="T62" i="70"/>
  <c r="T61" i="70"/>
  <c r="T60" i="70"/>
  <c r="T59" i="70"/>
  <c r="T58" i="70"/>
  <c r="T57" i="70"/>
  <c r="T56" i="70"/>
  <c r="T55" i="70"/>
  <c r="T54" i="70"/>
  <c r="T53" i="70"/>
  <c r="T52" i="70"/>
  <c r="T51" i="70"/>
  <c r="T50" i="70"/>
  <c r="T49" i="70"/>
  <c r="T48" i="70"/>
  <c r="T47" i="70"/>
  <c r="T46" i="70"/>
  <c r="T45" i="70"/>
  <c r="T44" i="70"/>
  <c r="T43" i="70"/>
  <c r="T42" i="70"/>
  <c r="T41" i="70"/>
  <c r="T40" i="70"/>
  <c r="T39" i="70"/>
  <c r="T38" i="70"/>
  <c r="T37" i="70"/>
  <c r="T36" i="70"/>
  <c r="T35" i="70"/>
  <c r="T34" i="70"/>
  <c r="T33" i="70"/>
  <c r="T32" i="70"/>
  <c r="T31" i="70"/>
  <c r="T30" i="70"/>
  <c r="T29" i="70"/>
  <c r="T28" i="70"/>
  <c r="T27" i="70"/>
  <c r="T26" i="70"/>
  <c r="T25" i="70"/>
  <c r="T24" i="70"/>
  <c r="T23" i="70"/>
  <c r="T22" i="70"/>
  <c r="T21" i="70"/>
  <c r="T20" i="70"/>
  <c r="T19" i="70"/>
  <c r="T18" i="70"/>
  <c r="T17" i="70"/>
  <c r="T16" i="70"/>
  <c r="T15" i="70"/>
  <c r="T14" i="70"/>
  <c r="T13" i="70"/>
  <c r="T12" i="70"/>
  <c r="T11" i="70"/>
  <c r="T10" i="70"/>
  <c r="T9" i="70"/>
  <c r="T8" i="70"/>
  <c r="T7" i="70"/>
  <c r="T6" i="70"/>
  <c r="T5" i="70"/>
  <c r="T4" i="70"/>
  <c r="T3" i="70"/>
  <c r="T2" i="70"/>
  <c r="T64" i="69"/>
  <c r="T63" i="69"/>
  <c r="T62" i="69"/>
  <c r="T61" i="69"/>
  <c r="T60" i="69"/>
  <c r="T59" i="69"/>
  <c r="T58" i="69"/>
  <c r="T57" i="69"/>
  <c r="T56" i="69"/>
  <c r="T55" i="69"/>
  <c r="T54" i="69"/>
  <c r="T53" i="69"/>
  <c r="T52" i="69"/>
  <c r="T51" i="69"/>
  <c r="T50" i="69"/>
  <c r="T49" i="69"/>
  <c r="T48" i="69"/>
  <c r="T47" i="69"/>
  <c r="T46" i="69"/>
  <c r="T45" i="69"/>
  <c r="T44" i="69"/>
  <c r="T43" i="69"/>
  <c r="T42" i="69"/>
  <c r="T41" i="69"/>
  <c r="T40" i="69"/>
  <c r="T39" i="69"/>
  <c r="T38" i="69"/>
  <c r="T37" i="69"/>
  <c r="T36" i="69"/>
  <c r="T35" i="69"/>
  <c r="T34" i="69"/>
  <c r="T33" i="69"/>
  <c r="T32" i="69"/>
  <c r="T31" i="69"/>
  <c r="T30" i="69"/>
  <c r="T29" i="69"/>
  <c r="T28" i="69"/>
  <c r="T27" i="69"/>
  <c r="T26" i="69"/>
  <c r="T25" i="69"/>
  <c r="T24" i="69"/>
  <c r="T23" i="69"/>
  <c r="T22" i="69"/>
  <c r="T21" i="69"/>
  <c r="T20" i="69"/>
  <c r="T19" i="69"/>
  <c r="T18" i="69"/>
  <c r="T17" i="69"/>
  <c r="T16" i="69"/>
  <c r="T15" i="69"/>
  <c r="T14" i="69"/>
  <c r="T13" i="69"/>
  <c r="T12" i="69"/>
  <c r="T11" i="69"/>
  <c r="T10" i="69"/>
  <c r="T9" i="69"/>
  <c r="T8" i="69"/>
  <c r="T7" i="69"/>
  <c r="T6" i="69"/>
  <c r="T5" i="69"/>
  <c r="T4" i="69"/>
  <c r="T3" i="69"/>
  <c r="T2" i="69"/>
  <c r="V64" i="60"/>
  <c r="V63" i="60"/>
  <c r="V62" i="60"/>
  <c r="V61" i="60"/>
  <c r="V60" i="60"/>
  <c r="V59" i="60"/>
  <c r="V58" i="60"/>
  <c r="V57" i="60"/>
  <c r="V56" i="60"/>
  <c r="V55" i="60"/>
  <c r="V54" i="60"/>
  <c r="V53" i="60"/>
  <c r="V52" i="60"/>
  <c r="V51" i="60"/>
  <c r="V50" i="60"/>
  <c r="V49" i="60"/>
  <c r="V48" i="60"/>
  <c r="V47" i="60"/>
  <c r="V46" i="60"/>
  <c r="V45" i="60"/>
  <c r="V44" i="60"/>
  <c r="V43" i="60"/>
  <c r="V42" i="60"/>
  <c r="V41" i="60"/>
  <c r="V40" i="60"/>
  <c r="V39" i="60"/>
  <c r="V38" i="60"/>
  <c r="V37" i="60"/>
  <c r="V36" i="60"/>
  <c r="V35" i="60"/>
  <c r="V34" i="60"/>
  <c r="V33" i="60"/>
  <c r="V32" i="60"/>
  <c r="V31" i="60"/>
  <c r="V30" i="60"/>
  <c r="V29" i="60"/>
  <c r="V28" i="60"/>
  <c r="V27" i="60"/>
  <c r="V26" i="60"/>
  <c r="V25" i="60"/>
  <c r="V24" i="60"/>
  <c r="V23" i="60"/>
  <c r="V22" i="60"/>
  <c r="V21" i="60"/>
  <c r="V20" i="60"/>
  <c r="V19" i="60"/>
  <c r="V18" i="60"/>
  <c r="V17" i="60"/>
  <c r="V16" i="60"/>
  <c r="V15" i="60"/>
  <c r="V14" i="60"/>
  <c r="V13" i="60"/>
  <c r="V12" i="60"/>
  <c r="V11" i="60"/>
  <c r="V10" i="60"/>
  <c r="V9" i="60"/>
  <c r="V8" i="60"/>
  <c r="V7" i="60"/>
  <c r="V6" i="60"/>
  <c r="V5" i="60"/>
  <c r="V4" i="60"/>
  <c r="V3" i="60"/>
  <c r="V2" i="60"/>
  <c r="T64" i="59"/>
  <c r="T63" i="59"/>
  <c r="T62" i="59"/>
  <c r="T61" i="59"/>
  <c r="T60" i="59"/>
  <c r="T59" i="59"/>
  <c r="T58" i="59"/>
  <c r="T57" i="59"/>
  <c r="T56" i="59"/>
  <c r="T55" i="59"/>
  <c r="T54" i="59"/>
  <c r="T53" i="59"/>
  <c r="T52" i="59"/>
  <c r="T51" i="59"/>
  <c r="T50" i="59"/>
  <c r="T49" i="59"/>
  <c r="T48" i="59"/>
  <c r="T47" i="59"/>
  <c r="T46" i="59"/>
  <c r="T45" i="59"/>
  <c r="T44" i="59"/>
  <c r="T43" i="59"/>
  <c r="T42" i="59"/>
  <c r="T41" i="59"/>
  <c r="T40" i="59"/>
  <c r="T39" i="59"/>
  <c r="T38" i="59"/>
  <c r="T37" i="59"/>
  <c r="T36" i="59"/>
  <c r="T35" i="59"/>
  <c r="T34" i="59"/>
  <c r="T33" i="59"/>
  <c r="T32" i="59"/>
  <c r="T31" i="59"/>
  <c r="T30" i="59"/>
  <c r="T29" i="59"/>
  <c r="T28" i="59"/>
  <c r="T27" i="59"/>
  <c r="T26" i="59"/>
  <c r="T25" i="59"/>
  <c r="T24" i="59"/>
  <c r="T23" i="59"/>
  <c r="T22" i="59"/>
  <c r="T21" i="59"/>
  <c r="T20" i="59"/>
  <c r="T19" i="59"/>
  <c r="T18" i="59"/>
  <c r="T17" i="59"/>
  <c r="T16" i="59"/>
  <c r="T15" i="59"/>
  <c r="T14" i="59"/>
  <c r="T13" i="59"/>
  <c r="T12" i="59"/>
  <c r="T11" i="59"/>
  <c r="T10" i="59"/>
  <c r="T9" i="59"/>
  <c r="T8" i="59"/>
  <c r="T7" i="59"/>
  <c r="T6" i="59"/>
  <c r="T5" i="59"/>
  <c r="T4" i="59"/>
  <c r="T3" i="59"/>
  <c r="T2" i="59"/>
  <c r="T64" i="58"/>
  <c r="T63" i="58"/>
  <c r="T62" i="58"/>
  <c r="T61" i="58"/>
  <c r="T60" i="58"/>
  <c r="T59" i="58"/>
  <c r="T58" i="58"/>
  <c r="T57" i="58"/>
  <c r="T56" i="58"/>
  <c r="T55" i="58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9" i="58"/>
  <c r="T8" i="58"/>
  <c r="T7" i="58"/>
  <c r="T6" i="58"/>
  <c r="T5" i="58"/>
  <c r="T4" i="58"/>
  <c r="T3" i="58"/>
  <c r="T2" i="58"/>
  <c r="T64" i="67"/>
  <c r="T63" i="67"/>
  <c r="T62" i="67"/>
  <c r="T61" i="67"/>
  <c r="T60" i="67"/>
  <c r="T59" i="67"/>
  <c r="T58" i="67"/>
  <c r="T57" i="67"/>
  <c r="T56" i="67"/>
  <c r="T55" i="67"/>
  <c r="T54" i="67"/>
  <c r="T53" i="67"/>
  <c r="T52" i="67"/>
  <c r="T51" i="67"/>
  <c r="T50" i="67"/>
  <c r="T49" i="67"/>
  <c r="T48" i="67"/>
  <c r="T47" i="67"/>
  <c r="T46" i="67"/>
  <c r="T45" i="67"/>
  <c r="T44" i="67"/>
  <c r="T43" i="67"/>
  <c r="T42" i="67"/>
  <c r="T41" i="67"/>
  <c r="T40" i="67"/>
  <c r="T39" i="67"/>
  <c r="T38" i="67"/>
  <c r="T37" i="67"/>
  <c r="T36" i="67"/>
  <c r="T35" i="67"/>
  <c r="T34" i="67"/>
  <c r="T33" i="67"/>
  <c r="T32" i="67"/>
  <c r="T31" i="67"/>
  <c r="T30" i="67"/>
  <c r="T29" i="67"/>
  <c r="T28" i="67"/>
  <c r="T27" i="67"/>
  <c r="T26" i="67"/>
  <c r="T25" i="67"/>
  <c r="T24" i="67"/>
  <c r="T23" i="67"/>
  <c r="T22" i="67"/>
  <c r="T21" i="67"/>
  <c r="T20" i="67"/>
  <c r="T19" i="67"/>
  <c r="T18" i="67"/>
  <c r="T17" i="67"/>
  <c r="T16" i="67"/>
  <c r="T15" i="67"/>
  <c r="T14" i="67"/>
  <c r="T13" i="67"/>
  <c r="T12" i="67"/>
  <c r="T11" i="67"/>
  <c r="T10" i="67"/>
  <c r="T9" i="67"/>
  <c r="T8" i="67"/>
  <c r="T7" i="67"/>
  <c r="T6" i="67"/>
  <c r="T5" i="67"/>
  <c r="T4" i="67"/>
  <c r="T3" i="67"/>
  <c r="T2" i="67"/>
  <c r="T64" i="66"/>
  <c r="T63" i="66"/>
  <c r="T62" i="66"/>
  <c r="T61" i="66"/>
  <c r="T60" i="66"/>
  <c r="T59" i="66"/>
  <c r="T58" i="66"/>
  <c r="T57" i="66"/>
  <c r="T56" i="66"/>
  <c r="T55" i="66"/>
  <c r="T54" i="66"/>
  <c r="T53" i="66"/>
  <c r="T52" i="66"/>
  <c r="T51" i="66"/>
  <c r="T50" i="66"/>
  <c r="T49" i="66"/>
  <c r="T48" i="66"/>
  <c r="T47" i="66"/>
  <c r="T46" i="66"/>
  <c r="T45" i="66"/>
  <c r="T44" i="66"/>
  <c r="T43" i="66"/>
  <c r="T42" i="66"/>
  <c r="T41" i="66"/>
  <c r="T40" i="66"/>
  <c r="T39" i="66"/>
  <c r="T38" i="66"/>
  <c r="T37" i="66"/>
  <c r="T36" i="66"/>
  <c r="T35" i="66"/>
  <c r="T34" i="66"/>
  <c r="T33" i="66"/>
  <c r="T32" i="66"/>
  <c r="T31" i="66"/>
  <c r="T30" i="66"/>
  <c r="T29" i="66"/>
  <c r="T28" i="66"/>
  <c r="T27" i="66"/>
  <c r="T26" i="66"/>
  <c r="T25" i="66"/>
  <c r="T24" i="66"/>
  <c r="T23" i="66"/>
  <c r="T22" i="66"/>
  <c r="T21" i="66"/>
  <c r="T20" i="66"/>
  <c r="T19" i="66"/>
  <c r="T18" i="66"/>
  <c r="T17" i="66"/>
  <c r="T16" i="66"/>
  <c r="T15" i="66"/>
  <c r="T14" i="66"/>
  <c r="T13" i="66"/>
  <c r="T12" i="66"/>
  <c r="T11" i="66"/>
  <c r="T10" i="66"/>
  <c r="T9" i="66"/>
  <c r="T8" i="66"/>
  <c r="T7" i="66"/>
  <c r="T6" i="66"/>
  <c r="T5" i="66"/>
  <c r="T4" i="66"/>
  <c r="T3" i="66"/>
  <c r="T2" i="66"/>
  <c r="T64" i="65"/>
  <c r="T63" i="65"/>
  <c r="T62" i="65"/>
  <c r="T61" i="65"/>
  <c r="T60" i="65"/>
  <c r="T59" i="65"/>
  <c r="T58" i="65"/>
  <c r="T57" i="65"/>
  <c r="T56" i="65"/>
  <c r="T55" i="65"/>
  <c r="T54" i="65"/>
  <c r="T53" i="65"/>
  <c r="T52" i="65"/>
  <c r="T51" i="65"/>
  <c r="T50" i="65"/>
  <c r="T49" i="65"/>
  <c r="T48" i="65"/>
  <c r="T47" i="65"/>
  <c r="T46" i="65"/>
  <c r="T45" i="65"/>
  <c r="T44" i="65"/>
  <c r="T43" i="65"/>
  <c r="T42" i="65"/>
  <c r="T41" i="65"/>
  <c r="T40" i="65"/>
  <c r="T39" i="65"/>
  <c r="T38" i="65"/>
  <c r="T37" i="65"/>
  <c r="T36" i="65"/>
  <c r="T35" i="65"/>
  <c r="T34" i="65"/>
  <c r="T33" i="65"/>
  <c r="T32" i="65"/>
  <c r="T31" i="65"/>
  <c r="T30" i="65"/>
  <c r="T29" i="65"/>
  <c r="T28" i="65"/>
  <c r="T27" i="65"/>
  <c r="T26" i="65"/>
  <c r="T25" i="65"/>
  <c r="T24" i="65"/>
  <c r="T23" i="65"/>
  <c r="T22" i="65"/>
  <c r="T21" i="65"/>
  <c r="T20" i="65"/>
  <c r="T19" i="65"/>
  <c r="T18" i="65"/>
  <c r="T17" i="65"/>
  <c r="T16" i="65"/>
  <c r="T15" i="65"/>
  <c r="T14" i="65"/>
  <c r="T13" i="65"/>
  <c r="T12" i="65"/>
  <c r="T11" i="65"/>
  <c r="T10" i="65"/>
  <c r="T9" i="65"/>
  <c r="T8" i="65"/>
  <c r="T7" i="65"/>
  <c r="T6" i="65"/>
  <c r="T5" i="65"/>
  <c r="T4" i="65"/>
  <c r="T3" i="65"/>
  <c r="T2" i="65"/>
  <c r="T64" i="64"/>
  <c r="T63" i="64"/>
  <c r="T62" i="64"/>
  <c r="T61" i="64"/>
  <c r="T60" i="64"/>
  <c r="T59" i="64"/>
  <c r="T58" i="64"/>
  <c r="T57" i="64"/>
  <c r="T56" i="64"/>
  <c r="T55" i="64"/>
  <c r="T54" i="64"/>
  <c r="T53" i="64"/>
  <c r="T52" i="64"/>
  <c r="T51" i="64"/>
  <c r="T50" i="64"/>
  <c r="T49" i="64"/>
  <c r="T48" i="64"/>
  <c r="T47" i="64"/>
  <c r="T46" i="64"/>
  <c r="T45" i="64"/>
  <c r="T44" i="64"/>
  <c r="T43" i="64"/>
  <c r="T42" i="64"/>
  <c r="T41" i="64"/>
  <c r="T40" i="64"/>
  <c r="T39" i="64"/>
  <c r="T38" i="64"/>
  <c r="T37" i="64"/>
  <c r="T36" i="64"/>
  <c r="T35" i="64"/>
  <c r="T34" i="64"/>
  <c r="T33" i="64"/>
  <c r="T32" i="64"/>
  <c r="T31" i="64"/>
  <c r="T30" i="64"/>
  <c r="T29" i="64"/>
  <c r="T28" i="64"/>
  <c r="T27" i="64"/>
  <c r="T26" i="64"/>
  <c r="T25" i="64"/>
  <c r="T24" i="64"/>
  <c r="T23" i="64"/>
  <c r="T22" i="64"/>
  <c r="T21" i="64"/>
  <c r="T20" i="64"/>
  <c r="T19" i="64"/>
  <c r="T18" i="64"/>
  <c r="T17" i="64"/>
  <c r="T16" i="64"/>
  <c r="T15" i="64"/>
  <c r="T14" i="64"/>
  <c r="T13" i="64"/>
  <c r="T12" i="64"/>
  <c r="T11" i="64"/>
  <c r="T10" i="64"/>
  <c r="T9" i="64"/>
  <c r="T8" i="64"/>
  <c r="T7" i="64"/>
  <c r="T6" i="64"/>
  <c r="T5" i="64"/>
  <c r="T4" i="64"/>
  <c r="T3" i="64"/>
  <c r="T2" i="64"/>
  <c r="T64" i="63"/>
  <c r="T63" i="63"/>
  <c r="T62" i="63"/>
  <c r="T61" i="63"/>
  <c r="T60" i="63"/>
  <c r="T59" i="63"/>
  <c r="T58" i="63"/>
  <c r="T57" i="63"/>
  <c r="T56" i="63"/>
  <c r="T55" i="63"/>
  <c r="T54" i="63"/>
  <c r="T53" i="63"/>
  <c r="T52" i="63"/>
  <c r="T51" i="63"/>
  <c r="T50" i="63"/>
  <c r="T49" i="63"/>
  <c r="T48" i="63"/>
  <c r="T47" i="63"/>
  <c r="T46" i="63"/>
  <c r="T45" i="63"/>
  <c r="T44" i="63"/>
  <c r="T43" i="63"/>
  <c r="T42" i="63"/>
  <c r="T41" i="63"/>
  <c r="T40" i="63"/>
  <c r="T39" i="63"/>
  <c r="T38" i="63"/>
  <c r="T37" i="63"/>
  <c r="T36" i="63"/>
  <c r="T35" i="63"/>
  <c r="T34" i="63"/>
  <c r="T33" i="63"/>
  <c r="T32" i="63"/>
  <c r="T31" i="63"/>
  <c r="T30" i="63"/>
  <c r="T29" i="63"/>
  <c r="T28" i="63"/>
  <c r="T27" i="63"/>
  <c r="T26" i="63"/>
  <c r="T25" i="63"/>
  <c r="T24" i="63"/>
  <c r="T23" i="63"/>
  <c r="T22" i="63"/>
  <c r="T21" i="63"/>
  <c r="T20" i="63"/>
  <c r="T19" i="63"/>
  <c r="T18" i="63"/>
  <c r="T17" i="63"/>
  <c r="T16" i="63"/>
  <c r="T15" i="63"/>
  <c r="T14" i="63"/>
  <c r="T13" i="63"/>
  <c r="T12" i="63"/>
  <c r="T11" i="63"/>
  <c r="T10" i="63"/>
  <c r="T9" i="63"/>
  <c r="T8" i="63"/>
  <c r="T7" i="63"/>
  <c r="T6" i="63"/>
  <c r="T5" i="63"/>
  <c r="T4" i="63"/>
  <c r="T3" i="63"/>
  <c r="T2" i="63"/>
  <c r="T64" i="57"/>
  <c r="T63" i="57"/>
  <c r="T62" i="57"/>
  <c r="T61" i="57"/>
  <c r="T60" i="57"/>
  <c r="T59" i="57"/>
  <c r="T58" i="57"/>
  <c r="T57" i="57"/>
  <c r="T56" i="57"/>
  <c r="T55" i="57"/>
  <c r="T54" i="57"/>
  <c r="T53" i="57"/>
  <c r="T52" i="57"/>
  <c r="T51" i="57"/>
  <c r="T50" i="57"/>
  <c r="T49" i="57"/>
  <c r="T48" i="57"/>
  <c r="T47" i="57"/>
  <c r="T46" i="57"/>
  <c r="T45" i="57"/>
  <c r="T44" i="57"/>
  <c r="T43" i="57"/>
  <c r="T42" i="57"/>
  <c r="T41" i="57"/>
  <c r="T40" i="57"/>
  <c r="T39" i="57"/>
  <c r="T38" i="57"/>
  <c r="T37" i="57"/>
  <c r="T36" i="57"/>
  <c r="T35" i="57"/>
  <c r="T34" i="57"/>
  <c r="T33" i="57"/>
  <c r="T32" i="57"/>
  <c r="T31" i="57"/>
  <c r="T30" i="57"/>
  <c r="T29" i="57"/>
  <c r="T28" i="57"/>
  <c r="T27" i="57"/>
  <c r="T26" i="57"/>
  <c r="T25" i="57"/>
  <c r="T24" i="57"/>
  <c r="T23" i="57"/>
  <c r="T22" i="57"/>
  <c r="T21" i="57"/>
  <c r="T20" i="57"/>
  <c r="T19" i="57"/>
  <c r="T18" i="57"/>
  <c r="T17" i="57"/>
  <c r="T16" i="57"/>
  <c r="T15" i="57"/>
  <c r="T14" i="57"/>
  <c r="T13" i="57"/>
  <c r="T12" i="57"/>
  <c r="T11" i="57"/>
  <c r="T10" i="57"/>
  <c r="T9" i="57"/>
  <c r="T8" i="57"/>
  <c r="T7" i="57"/>
  <c r="T6" i="57"/>
  <c r="T5" i="57"/>
  <c r="T4" i="57"/>
  <c r="T3" i="57"/>
  <c r="T2" i="57"/>
  <c r="T64" i="52"/>
  <c r="T63" i="52"/>
  <c r="T62" i="52"/>
  <c r="T61" i="52"/>
  <c r="T60" i="52"/>
  <c r="T59" i="52"/>
  <c r="T58" i="52"/>
  <c r="T57" i="52"/>
  <c r="T56" i="52"/>
  <c r="T55" i="52"/>
  <c r="T54" i="52"/>
  <c r="T53" i="52"/>
  <c r="T52" i="52"/>
  <c r="T51" i="52"/>
  <c r="T50" i="52"/>
  <c r="T49" i="52"/>
  <c r="T48" i="52"/>
  <c r="T47" i="52"/>
  <c r="T46" i="52"/>
  <c r="T45" i="52"/>
  <c r="T44" i="52"/>
  <c r="T43" i="52"/>
  <c r="T42" i="52"/>
  <c r="T41" i="52"/>
  <c r="T40" i="52"/>
  <c r="T39" i="52"/>
  <c r="T38" i="52"/>
  <c r="T37" i="52"/>
  <c r="T36" i="52"/>
  <c r="T35" i="52"/>
  <c r="T34" i="52"/>
  <c r="T33" i="52"/>
  <c r="T32" i="52"/>
  <c r="T31" i="52"/>
  <c r="T30" i="52"/>
  <c r="T29" i="52"/>
  <c r="T28" i="52"/>
  <c r="T27" i="52"/>
  <c r="T26" i="52"/>
  <c r="T25" i="52"/>
  <c r="T24" i="52"/>
  <c r="T23" i="52"/>
  <c r="T22" i="52"/>
  <c r="T21" i="52"/>
  <c r="T20" i="52"/>
  <c r="T19" i="52"/>
  <c r="T18" i="52"/>
  <c r="T17" i="52"/>
  <c r="T16" i="52"/>
  <c r="T15" i="52"/>
  <c r="T14" i="52"/>
  <c r="T13" i="52"/>
  <c r="T12" i="52"/>
  <c r="T11" i="52"/>
  <c r="T10" i="52"/>
  <c r="T9" i="52"/>
  <c r="T8" i="52"/>
  <c r="T7" i="52"/>
  <c r="T6" i="52"/>
  <c r="T5" i="52"/>
  <c r="T4" i="52"/>
  <c r="T3" i="52"/>
  <c r="T2" i="52"/>
  <c r="T64" i="45"/>
  <c r="T63" i="45"/>
  <c r="T62" i="45"/>
  <c r="T61" i="45"/>
  <c r="T60" i="45"/>
  <c r="T59" i="45"/>
  <c r="T58" i="45"/>
  <c r="T57" i="45"/>
  <c r="T56" i="45"/>
  <c r="T55" i="45"/>
  <c r="T54" i="45"/>
  <c r="T53" i="45"/>
  <c r="T52" i="45"/>
  <c r="T51" i="45"/>
  <c r="T50" i="45"/>
  <c r="T49" i="45"/>
  <c r="T48" i="45"/>
  <c r="T47" i="45"/>
  <c r="T46" i="45"/>
  <c r="T45" i="45"/>
  <c r="T44" i="45"/>
  <c r="T43" i="45"/>
  <c r="T42" i="45"/>
  <c r="T41" i="45"/>
  <c r="T40" i="45"/>
  <c r="T39" i="45"/>
  <c r="T38" i="45"/>
  <c r="T37" i="45"/>
  <c r="T36" i="45"/>
  <c r="T35" i="45"/>
  <c r="T34" i="45"/>
  <c r="T33" i="45"/>
  <c r="T32" i="45"/>
  <c r="T31" i="45"/>
  <c r="T30" i="45"/>
  <c r="T29" i="45"/>
  <c r="T28" i="45"/>
  <c r="T27" i="45"/>
  <c r="T26" i="45"/>
  <c r="T25" i="45"/>
  <c r="T24" i="45"/>
  <c r="T23" i="45"/>
  <c r="T22" i="45"/>
  <c r="T21" i="45"/>
  <c r="T20" i="45"/>
  <c r="T19" i="45"/>
  <c r="T18" i="45"/>
  <c r="T17" i="45"/>
  <c r="T16" i="45"/>
  <c r="T15" i="45"/>
  <c r="T14" i="45"/>
  <c r="T13" i="45"/>
  <c r="T12" i="45"/>
  <c r="T11" i="45"/>
  <c r="T10" i="45"/>
  <c r="T9" i="45"/>
  <c r="T8" i="45"/>
  <c r="T7" i="45"/>
  <c r="T6" i="45"/>
  <c r="T5" i="45"/>
  <c r="T4" i="45"/>
  <c r="T3" i="45"/>
  <c r="T2" i="45"/>
  <c r="T3" i="62"/>
  <c r="T4" i="62"/>
  <c r="T5" i="62"/>
  <c r="T6" i="62"/>
  <c r="T7" i="62"/>
  <c r="T8" i="62"/>
  <c r="T9" i="62"/>
  <c r="T10" i="62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41" i="62"/>
  <c r="T42" i="62"/>
  <c r="T43" i="62"/>
  <c r="T44" i="62"/>
  <c r="T45" i="62"/>
  <c r="T46" i="62"/>
  <c r="T47" i="62"/>
  <c r="T48" i="62"/>
  <c r="T49" i="62"/>
  <c r="T50" i="62"/>
  <c r="T51" i="62"/>
  <c r="T52" i="62"/>
  <c r="T53" i="62"/>
  <c r="T54" i="62"/>
  <c r="T55" i="62"/>
  <c r="T56" i="62"/>
  <c r="T57" i="62"/>
  <c r="T58" i="62"/>
  <c r="T59" i="62"/>
  <c r="T60" i="62"/>
  <c r="T61" i="62"/>
  <c r="T62" i="62"/>
  <c r="T63" i="62"/>
  <c r="T64" i="62"/>
  <c r="T2" i="62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41" i="56"/>
  <c r="T42" i="56"/>
  <c r="T43" i="56"/>
  <c r="T44" i="56"/>
  <c r="T45" i="56"/>
  <c r="T46" i="56"/>
  <c r="T47" i="56"/>
  <c r="T48" i="56"/>
  <c r="T49" i="56"/>
  <c r="T50" i="56"/>
  <c r="T51" i="56"/>
  <c r="T52" i="56"/>
  <c r="T53" i="56"/>
  <c r="T54" i="56"/>
  <c r="T55" i="56"/>
  <c r="T56" i="56"/>
  <c r="T57" i="56"/>
  <c r="T58" i="56"/>
  <c r="T59" i="56"/>
  <c r="T60" i="56"/>
  <c r="T61" i="56"/>
  <c r="T62" i="56"/>
  <c r="T63" i="56"/>
  <c r="T64" i="56"/>
  <c r="T65" i="56"/>
  <c r="T2" i="56"/>
  <c r="T3" i="55"/>
  <c r="I5" i="34" s="1"/>
  <c r="T4" i="55"/>
  <c r="I6" i="34" s="1"/>
  <c r="T5" i="55"/>
  <c r="I7" i="34" s="1"/>
  <c r="T6" i="55"/>
  <c r="I8" i="34" s="1"/>
  <c r="T7" i="55"/>
  <c r="I9" i="34" s="1"/>
  <c r="T8" i="55"/>
  <c r="I10" i="34" s="1"/>
  <c r="T9" i="55"/>
  <c r="I11" i="34" s="1"/>
  <c r="T10" i="55"/>
  <c r="T11" i="55"/>
  <c r="I13" i="34" s="1"/>
  <c r="T12" i="55"/>
  <c r="I14" i="34" s="1"/>
  <c r="T13" i="55"/>
  <c r="I15" i="34" s="1"/>
  <c r="T14" i="55"/>
  <c r="I16" i="34" s="1"/>
  <c r="T15" i="55"/>
  <c r="I17" i="34" s="1"/>
  <c r="T16" i="55"/>
  <c r="I18" i="34" s="1"/>
  <c r="T17" i="55"/>
  <c r="I19" i="34" s="1"/>
  <c r="T18" i="55"/>
  <c r="I20" i="34" s="1"/>
  <c r="T19" i="55"/>
  <c r="I21" i="34" s="1"/>
  <c r="T20" i="55"/>
  <c r="T21" i="55"/>
  <c r="I23" i="34" s="1"/>
  <c r="T22" i="55"/>
  <c r="I24" i="34" s="1"/>
  <c r="T23" i="55"/>
  <c r="T24" i="55"/>
  <c r="T25" i="55"/>
  <c r="T26" i="55"/>
  <c r="I28" i="34" s="1"/>
  <c r="T27" i="55"/>
  <c r="I29" i="34" s="1"/>
  <c r="T28" i="55"/>
  <c r="I30" i="34" s="1"/>
  <c r="T29" i="55"/>
  <c r="I31" i="34" s="1"/>
  <c r="T30" i="55"/>
  <c r="I32" i="34" s="1"/>
  <c r="T31" i="55"/>
  <c r="I33" i="34" s="1"/>
  <c r="T32" i="55"/>
  <c r="I34" i="34" s="1"/>
  <c r="T33" i="55"/>
  <c r="I35" i="34" s="1"/>
  <c r="T34" i="55"/>
  <c r="I36" i="34" s="1"/>
  <c r="T35" i="55"/>
  <c r="I37" i="34" s="1"/>
  <c r="T36" i="55"/>
  <c r="I38" i="34" s="1"/>
  <c r="T37" i="55"/>
  <c r="I39" i="34" s="1"/>
  <c r="T38" i="55"/>
  <c r="I40" i="34" s="1"/>
  <c r="T39" i="55"/>
  <c r="I41" i="34" s="1"/>
  <c r="T40" i="55"/>
  <c r="I42" i="34" s="1"/>
  <c r="T41" i="55"/>
  <c r="I43" i="34" s="1"/>
  <c r="T42" i="55"/>
  <c r="I44" i="34" s="1"/>
  <c r="T43" i="55"/>
  <c r="I45" i="34" s="1"/>
  <c r="T44" i="55"/>
  <c r="I46" i="34" s="1"/>
  <c r="T45" i="55"/>
  <c r="I47" i="34" s="1"/>
  <c r="T46" i="55"/>
  <c r="I48" i="34" s="1"/>
  <c r="T47" i="55"/>
  <c r="I49" i="34" s="1"/>
  <c r="T48" i="55"/>
  <c r="I50" i="34" s="1"/>
  <c r="T49" i="55"/>
  <c r="T50" i="55"/>
  <c r="T51" i="55"/>
  <c r="T52" i="55"/>
  <c r="I54" i="34" s="1"/>
  <c r="T53" i="55"/>
  <c r="I55" i="34" s="1"/>
  <c r="T54" i="55"/>
  <c r="I56" i="34" s="1"/>
  <c r="T55" i="55"/>
  <c r="I57" i="34" s="1"/>
  <c r="T56" i="55"/>
  <c r="I58" i="34" s="1"/>
  <c r="T57" i="55"/>
  <c r="I59" i="34" s="1"/>
  <c r="T58" i="55"/>
  <c r="I60" i="34" s="1"/>
  <c r="T59" i="55"/>
  <c r="I61" i="34" s="1"/>
  <c r="T60" i="55"/>
  <c r="I62" i="34" s="1"/>
  <c r="T61" i="55"/>
  <c r="I63" i="34" s="1"/>
  <c r="T62" i="55"/>
  <c r="I64" i="34" s="1"/>
  <c r="T63" i="55"/>
  <c r="I65" i="34" s="1"/>
  <c r="T64" i="55"/>
  <c r="I66" i="34" s="1"/>
  <c r="T65" i="55"/>
  <c r="I67" i="34" s="1"/>
  <c r="T2" i="55"/>
  <c r="I4" i="34" s="1"/>
  <c r="T3" i="41"/>
  <c r="T4" i="41"/>
  <c r="T5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I25" i="34" s="1"/>
  <c r="T24" i="41"/>
  <c r="I26" i="34" s="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I51" i="34" s="1"/>
  <c r="T50" i="41"/>
  <c r="I52" i="34" s="1"/>
  <c r="T51" i="41"/>
  <c r="T52" i="41"/>
  <c r="T53" i="41"/>
  <c r="T54" i="41"/>
  <c r="T55" i="41"/>
  <c r="T56" i="41"/>
  <c r="T57" i="41"/>
  <c r="T58" i="41"/>
  <c r="T59" i="41"/>
  <c r="T60" i="41"/>
  <c r="T61" i="41"/>
  <c r="T62" i="41"/>
  <c r="T63" i="41"/>
  <c r="T64" i="41"/>
  <c r="T2" i="41"/>
  <c r="R2" i="38"/>
  <c r="E66" i="34" l="1"/>
  <c r="E55" i="34"/>
  <c r="D69" i="34" l="1"/>
  <c r="E2" i="34" l="1"/>
  <c r="E3" i="34" l="1"/>
  <c r="E62" i="34" l="1"/>
  <c r="E63" i="34"/>
  <c r="E64" i="34"/>
  <c r="E65" i="34"/>
  <c r="BN3" i="34" l="1"/>
  <c r="E6" i="34"/>
  <c r="E7" i="34"/>
  <c r="E8" i="34"/>
  <c r="E9" i="34"/>
  <c r="E10" i="34"/>
  <c r="E11" i="34"/>
  <c r="E12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6" i="34"/>
  <c r="E57" i="34"/>
  <c r="E58" i="34"/>
  <c r="E59" i="34"/>
  <c r="E60" i="34"/>
  <c r="E61" i="34"/>
  <c r="E4" i="34"/>
  <c r="H12" i="34" l="1"/>
  <c r="K45" i="29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BN12" i="34" l="1"/>
  <c r="I40" i="29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BN67" i="34" l="1"/>
  <c r="H3" i="29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G69" i="34" l="1"/>
  <c r="E69" i="34"/>
  <c r="H68" i="34"/>
  <c r="H69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16" authorId="0" shapeId="0" xr:uid="{E27A8965-D904-4256-B3AA-270BD0AEF35C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відпускні 1719,09
зп           2856,00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<sst xmlns="http://schemas.openxmlformats.org/spreadsheetml/2006/main" count="5093" uniqueCount="696">
  <si>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</si>
  <si>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</si>
  <si>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</si>
  <si>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</si>
  <si>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</si>
  <si>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</si>
  <si>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</si>
  <si>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</si>
  <si>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</si>
  <si>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</si>
  <si>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</si>
  <si>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</si>
  <si>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</si>
  <si>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</si>
  <si>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</si>
  <si>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</si>
  <si>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</si>
  <si>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</si>
  <si>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</si>
  <si>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</si>
  <si>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</si>
  <si>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</si>
  <si>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</si>
  <si>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</si>
  <si>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</si>
  <si>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</si>
  <si>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</si>
  <si>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</si>
  <si>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</si>
  <si>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</si>
  <si>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</si>
  <si>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</si>
  <si>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</si>
  <si>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</si>
  <si>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</si>
  <si>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</si>
  <si>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</si>
  <si>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</si>
  <si>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</si>
  <si>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</si>
  <si>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</si>
  <si>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</si>
  <si>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</si>
  <si>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</si>
  <si>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</si>
  <si>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</si>
  <si>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</si>
  <si>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</si>
  <si>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</si>
  <si>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</si>
  <si>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</si>
  <si>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</si>
  <si>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</si>
  <si>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</si>
  <si>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</si>
  <si>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</si>
  <si>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</si>
  <si>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</si>
  <si>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</si>
  <si>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</si>
  <si>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</si>
  <si>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</si>
  <si>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</si>
  <si>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</si>
  <si>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</si>
  <si>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</si>
  <si>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</si>
  <si>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</si>
  <si>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</si>
  <si>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</si>
  <si>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</si>
  <si>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</si>
  <si>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</si>
  <si>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</si>
  <si>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</si>
  <si>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</si>
  <si>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</si>
  <si>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</si>
  <si>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</si>
  <si>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</si>
  <si>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</si>
  <si>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</si>
  <si>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</si>
  <si>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</si>
  <si>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</si>
  <si>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</si>
  <si>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</si>
  <si>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</si>
  <si>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</si>
  <si>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</si>
  <si>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</si>
  <si>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</si>
  <si>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</si>
  <si>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</si>
  <si>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</si>
  <si>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</si>
  <si>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</si>
  <si>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</si>
  <si>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</si>
  <si>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</si>
  <si>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</si>
  <si>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</si>
  <si>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</si>
  <si>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</si>
  <si>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</si>
  <si>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</si>
  <si>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</si>
  <si>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</si>
  <si>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</si>
  <si>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</si>
  <si>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</si>
  <si>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</si>
  <si>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</si>
  <si>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</si>
  <si>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</si>
  <si>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</si>
  <si>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</si>
  <si>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</si>
  <si>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</si>
  <si>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</si>
  <si>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</si>
  <si>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</si>
  <si>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</si>
  <si>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</si>
  <si>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</si>
  <si>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</si>
  <si>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</si>
  <si>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</si>
  <si>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</si>
  <si>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</si>
  <si>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</si>
  <si>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</si>
  <si>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</si>
  <si>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</si>
  <si>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</si>
  <si>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</si>
  <si>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</si>
  <si>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</si>
  <si>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</si>
  <si>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</si>
  <si>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</si>
  <si>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</si>
  <si>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</si>
  <si>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</si>
  <si>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</si>
  <si>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</si>
  <si>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</si>
  <si>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</si>
  <si>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</si>
  <si>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</si>
  <si>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</si>
  <si>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</si>
  <si>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</si>
  <si>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</si>
  <si>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</si>
  <si>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</si>
  <si>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</si>
  <si>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</si>
  <si>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</si>
  <si>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</si>
  <si>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</si>
  <si>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</si>
  <si>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</si>
  <si>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</si>
  <si>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</si>
  <si>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</si>
  <si>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</si>
  <si>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</si>
  <si>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</si>
  <si>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</si>
  <si>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</si>
  <si>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</si>
  <si>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</si>
  <si>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</si>
  <si>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</si>
  <si>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</si>
  <si>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</si>
  <si>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</si>
  <si>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</si>
  <si>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</si>
  <si>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</si>
  <si>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</si>
  <si>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</si>
  <si>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</si>
  <si>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</si>
  <si>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</si>
  <si>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</si>
  <si>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</si>
  <si>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</si>
  <si>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</si>
  <si>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</si>
  <si>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</si>
  <si>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</si>
  <si>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</si>
  <si>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</si>
  <si>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</si>
  <si>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</si>
  <si>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</si>
  <si>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</si>
  <si>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</si>
  <si>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</si>
  <si>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</si>
  <si>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</si>
  <si>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</si>
  <si>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</si>
  <si>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</si>
  <si>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</si>
  <si>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</si>
  <si>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</si>
  <si>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</si>
  <si>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</si>
  <si>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</si>
  <si>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</si>
  <si>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</si>
  <si>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</si>
  <si>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</si>
  <si>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</si>
  <si>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</si>
  <si>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</si>
  <si>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</si>
  <si>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</si>
  <si>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</si>
  <si>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</si>
  <si>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</si>
  <si>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</si>
  <si>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</si>
  <si>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</si>
  <si>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</si>
  <si>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</si>
  <si>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</si>
  <si>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</si>
  <si>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</si>
  <si>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</si>
  <si>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</si>
  <si>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</si>
  <si>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</si>
  <si>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</si>
  <si>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</si>
  <si>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</si>
  <si>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</si>
  <si>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</si>
  <si>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</si>
  <si>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</si>
  <si>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</si>
  <si>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</si>
  <si>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</si>
  <si>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</si>
  <si>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</si>
  <si>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</si>
  <si>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</si>
  <si>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</si>
  <si>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</si>
  <si>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</si>
  <si>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</si>
  <si>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</si>
  <si>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</si>
  <si>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</si>
  <si>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</si>
  <si>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</si>
  <si>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</si>
  <si>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</si>
  <si>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</si>
  <si>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</si>
  <si>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</si>
  <si>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</si>
  <si>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</si>
  <si>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</si>
  <si>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</si>
  <si>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</si>
  <si>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</si>
  <si>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</si>
  <si>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</si>
  <si>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</si>
  <si>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</si>
  <si>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</si>
  <si>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</si>
  <si>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</si>
  <si>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</si>
  <si>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</si>
  <si>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</si>
  <si>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</si>
  <si>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</si>
  <si>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</si>
  <si>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</si>
  <si>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</si>
  <si>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</si>
  <si>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</si>
  <si>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</si>
  <si>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</si>
  <si>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</si>
  <si>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</si>
  <si>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</si>
  <si>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</si>
  <si>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</si>
  <si>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</si>
  <si>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</si>
  <si>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</si>
  <si>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</si>
  <si>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</si>
  <si>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</si>
  <si>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</si>
  <si>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</si>
  <si>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</si>
  <si>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</si>
  <si>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</si>
  <si>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</si>
  <si>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</si>
  <si>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</si>
  <si>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</si>
  <si>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</si>
  <si>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</si>
  <si>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</si>
  <si>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</si>
  <si>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</si>
  <si>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</si>
  <si>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</si>
  <si>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</si>
  <si>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</si>
  <si>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</si>
  <si>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</si>
  <si>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</si>
  <si>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</si>
  <si>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</si>
  <si>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</si>
  <si>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</si>
  <si>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</si>
  <si>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</si>
  <si>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</si>
  <si>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</si>
  <si>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</si>
  <si>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</si>
  <si>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</si>
  <si>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</si>
  <si>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</si>
  <si>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</si>
  <si>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</si>
  <si>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</si>
  <si>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</si>
  <si>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</si>
  <si>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</si>
  <si>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</si>
  <si>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</si>
  <si>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</si>
  <si>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</si>
  <si>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</si>
  <si>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</si>
  <si>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</si>
  <si>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</si>
  <si>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</si>
  <si>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</si>
  <si>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</si>
  <si>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</si>
  <si>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</si>
  <si>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</si>
  <si>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</si>
  <si>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</si>
  <si>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</si>
  <si>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</si>
  <si>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</si>
  <si>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</si>
  <si>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</si>
  <si>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</si>
  <si>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</si>
  <si>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</si>
  <si>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</si>
  <si>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</si>
  <si>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</si>
  <si>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</si>
  <si>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</si>
  <si>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</si>
  <si>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</si>
  <si>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</si>
  <si>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</si>
  <si>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</si>
  <si>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</si>
  <si>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</si>
  <si>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</si>
  <si>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</si>
  <si>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</si>
  <si>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</si>
  <si>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</si>
  <si>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</si>
  <si>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</si>
  <si>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</si>
  <si>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</si>
  <si>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</si>
  <si>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</si>
  <si>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</si>
  <si>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</si>
  <si>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</si>
  <si>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</si>
  <si>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</si>
  <si>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</si>
  <si>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</si>
  <si>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</si>
  <si>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</si>
  <si>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</si>
  <si>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</si>
  <si>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</si>
  <si>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</si>
  <si>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</si>
  <si>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</si>
  <si>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</si>
  <si>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</si>
  <si>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</si>
  <si>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</si>
  <si>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</si>
  <si>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</si>
  <si>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</si>
  <si>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</si>
  <si>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</si>
  <si>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</si>
  <si>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</si>
  <si>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</si>
  <si>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</si>
  <si>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</si>
  <si>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</si>
  <si>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</si>
  <si>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</si>
  <si>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</si>
  <si>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</si>
  <si>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</si>
  <si>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</si>
  <si>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</si>
  <si>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</si>
  <si>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</si>
  <si>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</si>
  <si>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</si>
  <si>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</si>
  <si>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</si>
  <si>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</si>
  <si>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</si>
  <si>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</si>
  <si>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</si>
  <si>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</si>
  <si>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</si>
  <si>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</si>
  <si>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</si>
  <si>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</si>
  <si>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</si>
  <si>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</si>
  <si>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</si>
  <si>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</si>
  <si>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</si>
  <si>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</si>
  <si>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</si>
  <si>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</si>
  <si>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</si>
  <si>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</si>
  <si>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</si>
  <si>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</si>
  <si>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</si>
  <si>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</si>
  <si>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</si>
  <si>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</si>
  <si>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</si>
  <si>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</si>
  <si>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</si>
  <si>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</si>
  <si>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</si>
  <si>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</si>
  <si>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</si>
  <si>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</si>
  <si>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</si>
  <si>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</si>
  <si>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</si>
  <si>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</si>
  <si>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</si>
  <si>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</si>
  <si>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</si>
  <si>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</si>
  <si>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</si>
  <si>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</si>
  <si>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</si>
  <si>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</si>
  <si>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</si>
  <si>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</si>
  <si>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</si>
  <si>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</si>
  <si>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</si>
  <si>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</si>
  <si>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</si>
  <si>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</si>
  <si>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</si>
  <si>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</si>
  <si>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</si>
  <si>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</si>
  <si>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</si>
  <si>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</si>
  <si>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</si>
  <si>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</si>
  <si>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</si>
  <si>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</si>
  <si>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</si>
  <si>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</si>
  <si>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</si>
  <si>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</si>
  <si>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</si>
  <si>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</si>
  <si>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</si>
  <si>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</si>
  <si>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</si>
  <si>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</si>
  <si>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</si>
  <si>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</si>
  <si>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</si>
  <si>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</si>
  <si>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</si>
  <si>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</si>
  <si>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</si>
  <si>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</si>
  <si>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</si>
  <si>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</si>
  <si>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</si>
  <si>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</si>
  <si>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</si>
  <si>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</si>
  <si>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</si>
  <si>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</si>
  <si>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</si>
  <si>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</si>
  <si>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</si>
  <si>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</si>
  <si>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</si>
  <si>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</si>
  <si>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</si>
  <si>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</si>
  <si>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</si>
  <si>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</si>
  <si>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</si>
  <si>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</si>
  <si>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</si>
  <si>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</si>
  <si>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</si>
  <si>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</si>
  <si>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</si>
  <si>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</si>
  <si>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</si>
  <si>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</si>
  <si>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</si>
  <si>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</si>
  <si>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</si>
  <si>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</si>
  <si>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</si>
  <si>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</si>
  <si>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</si>
  <si>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</si>
  <si>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</si>
  <si>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</si>
  <si>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</si>
  <si>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</si>
  <si>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</si>
  <si>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</si>
  <si>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</si>
  <si>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</si>
  <si>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</si>
  <si>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</si>
  <si>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</si>
  <si>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</si>
  <si>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</si>
  <si>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</si>
  <si>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</si>
  <si>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</si>
  <si>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</si>
  <si>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</si>
  <si>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</si>
  <si>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</si>
  <si>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</si>
  <si>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</si>
  <si>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</si>
  <si>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</si>
  <si>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</si>
  <si>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</si>
  <si>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</si>
  <si>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</si>
  <si>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</si>
  <si>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</si>
  <si>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</si>
  <si>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</si>
  <si>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</si>
  <si>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</si>
  <si>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</si>
  <si>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</si>
  <si>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</si>
  <si>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</si>
  <si>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</si>
  <si>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</si>
  <si>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</si>
  <si>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</si>
  <si>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</si>
  <si>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</si>
  <si>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</si>
  <si>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</si>
  <si>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</si>
  <si>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</si>
  <si>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</si>
  <si>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</si>
  <si>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</si>
  <si>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</si>
  <si>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</si>
  <si>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</si>
  <si>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</si>
  <si>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</si>
  <si>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</si>
  <si>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</si>
  <si>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</si>
  <si>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</si>
  <si>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</si>
  <si>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</si>
  <si>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</si>
  <si>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</si>
  <si>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</si>
  <si>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</si>
  <si>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</si>
  <si>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</si>
  <si>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</si>
  <si>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</si>
  <si>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</si>
  <si>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</si>
  <si>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</si>
  <si>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</si>
  <si>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</si>
  <si>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</si>
  <si>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</si>
  <si>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</si>
  <si>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</si>
  <si>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Нерезенко Євгеній Віктоорович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</si>
  <si>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</si>
  <si>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</si>
  <si>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</si>
  <si>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</si>
  <si>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</si>
  <si>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</si>
  <si>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</si>
  <si>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</si>
  <si>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</si>
  <si>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</si>
  <si>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</si>
  <si>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</si>
  <si>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</si>
  <si>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</si>
  <si>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</si>
  <si>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</si>
  <si>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</si>
  <si>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</si>
  <si>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</si>
  <si>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</si>
  <si>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Шомін Вадим Сергійович</t>
  </si>
  <si>
    <t>Удержание за обеды на объекте</t>
  </si>
  <si>
    <t>Деркс Сергій Анатолійович</t>
  </si>
  <si>
    <t xml:space="preserve">Маковецький Юрій Миколайович </t>
  </si>
  <si>
    <t>Григорьєв Микола Андрійович</t>
  </si>
  <si>
    <t>Дзюба Едуард Іванович</t>
  </si>
  <si>
    <t>Туркевич Дмитро Миколайович</t>
  </si>
  <si>
    <t xml:space="preserve">Петров Михайло Олександрович </t>
  </si>
  <si>
    <t xml:space="preserve">Кобяковский Іван Олександрович </t>
  </si>
  <si>
    <t>Авжабаров Олексій Володимирович</t>
  </si>
  <si>
    <t>Дубовий Роман Анатолійович</t>
  </si>
  <si>
    <t>Кузнецов Олексій Вікторович</t>
  </si>
  <si>
    <t xml:space="preserve">Чернобров Олександр Миколайович </t>
  </si>
  <si>
    <t>Ткаченко Сергій Володимирович</t>
  </si>
  <si>
    <t>Ніколаєнко Олександр Сергійович</t>
  </si>
  <si>
    <t>Циба Василь Олександрович</t>
  </si>
  <si>
    <t>виплати на картку за період 16-30.09.25</t>
  </si>
  <si>
    <t xml:space="preserve">ЗП  16-30.09.25 </t>
  </si>
  <si>
    <t>Сальдо на -15.09.2025</t>
  </si>
  <si>
    <t>Сальдо на 30.09.2025</t>
  </si>
  <si>
    <t>30</t>
  </si>
  <si>
    <t>Осовіцький Ростислав Олександрович</t>
  </si>
  <si>
    <t>ЦО</t>
  </si>
  <si>
    <t>катеринопіль</t>
  </si>
  <si>
    <t>МХП лазня</t>
  </si>
  <si>
    <t>МД ВООЗ ЕМС</t>
  </si>
  <si>
    <t>кернел</t>
  </si>
  <si>
    <t>глобино</t>
  </si>
  <si>
    <t>перевірка</t>
  </si>
  <si>
    <t>Вооз ЕМС</t>
  </si>
  <si>
    <t>ООН 36</t>
  </si>
  <si>
    <t>ООН 37</t>
  </si>
  <si>
    <t>ООН 38</t>
  </si>
  <si>
    <t>ООН 39</t>
  </si>
  <si>
    <t>ООН 40</t>
  </si>
  <si>
    <t>ООН 43</t>
  </si>
  <si>
    <t>ООН 45</t>
  </si>
  <si>
    <t>ООН 46</t>
  </si>
  <si>
    <t>ООН 47</t>
  </si>
  <si>
    <t>ООН 48</t>
  </si>
  <si>
    <t>ООН 49</t>
  </si>
  <si>
    <t>ООН 50</t>
  </si>
  <si>
    <t>ООН 51</t>
  </si>
  <si>
    <t>Форшахта</t>
  </si>
  <si>
    <t>галерея 25,6</t>
  </si>
  <si>
    <t>ГРП</t>
  </si>
  <si>
    <t>Парк меляси</t>
  </si>
  <si>
    <t>ООН42</t>
  </si>
  <si>
    <t>ООН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</si>
</sst>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6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17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4" fontId="34" fillId="14" borderId="3" xfId="5" applyNumberFormat="1" applyFont="1" applyFill="1" applyBorder="1" applyAlignment="1">
      <alignment horizontal="center" vertical="top"/>
    </xf>
    <xf numFmtId="0" fontId="6" fillId="0" borderId="0" xfId="16"/>
    <xf numFmtId="1" fontId="19" fillId="3" borderId="7" xfId="16" applyNumberFormat="1" applyFont="1" applyFill="1" applyBorder="1" applyAlignment="1">
      <alignment horizontal="right" vertical="top"/>
    </xf>
    <xf numFmtId="0" fontId="19" fillId="3" borderId="7" xfId="16" applyNumberFormat="1" applyFont="1" applyFill="1" applyBorder="1" applyAlignment="1">
      <alignment horizontal="left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0" fontId="19" fillId="3" borderId="1" xfId="16" applyNumberFormat="1" applyFont="1" applyFill="1" applyBorder="1" applyAlignment="1">
      <alignment horizontal="left" vertical="top"/>
    </xf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9" fillId="3" borderId="7" xfId="19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1" fontId="19" fillId="3" borderId="7" xfId="21" applyNumberFormat="1" applyFont="1" applyFill="1" applyBorder="1" applyAlignment="1">
      <alignment horizontal="right" vertical="top"/>
    </xf>
    <xf numFmtId="0" fontId="19" fillId="3" borderId="7" xfId="21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0" fontId="37" fillId="3" borderId="7" xfId="16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1" fontId="19" fillId="3" borderId="8" xfId="16" applyNumberFormat="1" applyFont="1" applyFill="1" applyBorder="1" applyAlignment="1">
      <alignment horizontal="right" vertical="top"/>
    </xf>
    <xf numFmtId="4" fontId="12" fillId="0" borderId="1" xfId="0" applyNumberFormat="1" applyFont="1" applyBorder="1" applyAlignment="1">
      <alignment horizontal="center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18" applyNumberFormat="1" applyFont="1" applyFill="1" applyBorder="1" applyAlignment="1">
      <alignment horizontal="center" vertical="center"/>
    </xf>
    <xf numFmtId="1" fontId="19" fillId="15" borderId="7" xfId="17" applyNumberFormat="1" applyFont="1" applyFill="1" applyBorder="1" applyAlignment="1">
      <alignment horizontal="right" vertical="top"/>
    </xf>
    <xf numFmtId="0" fontId="19" fillId="15" borderId="7" xfId="16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16" applyNumberFormat="1" applyFont="1" applyFill="1" applyBorder="1" applyAlignment="1">
      <alignment horizontal="left" vertical="top"/>
    </xf>
    <xf numFmtId="0" fontId="39" fillId="3" borderId="7" xfId="21" applyNumberFormat="1" applyFont="1" applyFill="1" applyBorder="1" applyAlignment="1">
      <alignment horizontal="left" vertical="top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2" applyNumberFormat="1" applyFont="1" applyFill="1" applyBorder="1" applyAlignment="1">
      <alignment horizontal="left" vertical="top"/>
    </xf>
    <xf numFmtId="1" fontId="19" fillId="3" borderId="7" xfId="22" applyNumberFormat="1" applyFont="1" applyFill="1" applyBorder="1" applyAlignment="1">
      <alignment horizontal="right" vertical="top"/>
    </xf>
    <xf numFmtId="0" fontId="19" fillId="3" borderId="7" xfId="22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0" fontId="39" fillId="3" borderId="7" xfId="25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165" fontId="19" fillId="3" borderId="7" xfId="18" applyNumberFormat="1" applyFont="1" applyFill="1" applyBorder="1" applyAlignment="1">
      <alignment horizontal="right" vertical="top"/>
    </xf>
    <xf numFmtId="166" fontId="39" fillId="3" borderId="7" xfId="18" applyNumberFormat="1" applyFont="1" applyFill="1" applyBorder="1" applyAlignment="1">
      <alignment horizontal="right" vertical="top"/>
    </xf>
    <xf numFmtId="165" fontId="19" fillId="3" borderId="7" xfId="16" applyNumberFormat="1" applyFont="1" applyFill="1" applyBorder="1" applyAlignment="1">
      <alignment horizontal="right" vertical="top"/>
    </xf>
    <xf numFmtId="165" fontId="39" fillId="3" borderId="7" xfId="16" applyNumberFormat="1" applyFont="1" applyFill="1" applyBorder="1" applyAlignment="1">
      <alignment horizontal="right" vertical="top"/>
    </xf>
    <xf numFmtId="0" fontId="39" fillId="3" borderId="7" xfId="28" applyNumberFormat="1" applyFont="1" applyFill="1" applyBorder="1" applyAlignment="1">
      <alignment horizontal="left" vertical="top"/>
    </xf>
    <xf numFmtId="1" fontId="19" fillId="3" borderId="7" xfId="28" applyNumberFormat="1" applyFont="1" applyFill="1" applyBorder="1" applyAlignment="1">
      <alignment horizontal="right" vertical="top"/>
    </xf>
    <xf numFmtId="0" fontId="19" fillId="3" borderId="7" xfId="28" applyNumberFormat="1" applyFont="1" applyFill="1" applyBorder="1" applyAlignment="1">
      <alignment horizontal="left" vertical="top"/>
    </xf>
    <xf numFmtId="165" fontId="19" fillId="3" borderId="7" xfId="28" applyNumberFormat="1" applyFont="1" applyFill="1" applyBorder="1" applyAlignment="1">
      <alignment horizontal="right" vertical="top"/>
    </xf>
    <xf numFmtId="165" fontId="39" fillId="3" borderId="7" xfId="28" applyNumberFormat="1" applyFont="1" applyFill="1" applyBorder="1" applyAlignment="1">
      <alignment horizontal="right" vertical="top"/>
    </xf>
    <xf numFmtId="165" fontId="19" fillId="3" borderId="7" xfId="21" applyNumberFormat="1" applyFont="1" applyFill="1" applyBorder="1" applyAlignment="1">
      <alignment horizontal="right" vertical="top"/>
    </xf>
    <xf numFmtId="166" fontId="39" fillId="3" borderId="7" xfId="21" applyNumberFormat="1" applyFont="1" applyFill="1" applyBorder="1" applyAlignment="1">
      <alignment horizontal="right" vertical="top"/>
    </xf>
    <xf numFmtId="0" fontId="39" fillId="3" borderId="7" xfId="29" applyNumberFormat="1" applyFont="1" applyFill="1" applyBorder="1" applyAlignment="1">
      <alignment horizontal="left" vertical="top"/>
    </xf>
    <xf numFmtId="1" fontId="19" fillId="3" borderId="7" xfId="29" applyNumberFormat="1" applyFont="1" applyFill="1" applyBorder="1" applyAlignment="1">
      <alignment horizontal="right" vertical="top"/>
    </xf>
    <xf numFmtId="0" fontId="19" fillId="3" borderId="7" xfId="29" applyNumberFormat="1" applyFont="1" applyFill="1" applyBorder="1" applyAlignment="1">
      <alignment horizontal="left" vertical="top"/>
    </xf>
    <xf numFmtId="165" fontId="19" fillId="3" borderId="7" xfId="23" applyNumberFormat="1" applyFont="1" applyFill="1" applyBorder="1" applyAlignment="1">
      <alignment horizontal="right" vertical="top"/>
    </xf>
    <xf numFmtId="165" fontId="39" fillId="3" borderId="7" xfId="23" applyNumberFormat="1" applyFont="1" applyFill="1" applyBorder="1" applyAlignment="1">
      <alignment horizontal="right" vertical="top"/>
    </xf>
    <xf numFmtId="0" fontId="39" fillId="3" borderId="7" xfId="30" applyNumberFormat="1" applyFont="1" applyFill="1" applyBorder="1" applyAlignment="1">
      <alignment horizontal="left" vertical="top"/>
    </xf>
    <xf numFmtId="1" fontId="19" fillId="3" borderId="7" xfId="30" applyNumberFormat="1" applyFont="1" applyFill="1" applyBorder="1" applyAlignment="1">
      <alignment horizontal="right" vertical="top"/>
    </xf>
    <xf numFmtId="0" fontId="19" fillId="3" borderId="7" xfId="30" applyNumberFormat="1" applyFont="1" applyFill="1" applyBorder="1" applyAlignment="1">
      <alignment horizontal="left" vertical="top"/>
    </xf>
    <xf numFmtId="165" fontId="19" fillId="3" borderId="7" xfId="30" applyNumberFormat="1" applyFont="1" applyFill="1" applyBorder="1" applyAlignment="1">
      <alignment horizontal="right" vertical="top"/>
    </xf>
    <xf numFmtId="165" fontId="39" fillId="3" borderId="7" xfId="30" applyNumberFormat="1" applyFont="1" applyFill="1" applyBorder="1" applyAlignment="1">
      <alignment horizontal="right" vertical="top"/>
    </xf>
    <xf numFmtId="0" fontId="39" fillId="3" borderId="7" xfId="31" applyNumberFormat="1" applyFont="1" applyFill="1" applyBorder="1" applyAlignment="1">
      <alignment horizontal="left" vertical="top"/>
    </xf>
    <xf numFmtId="1" fontId="19" fillId="3" borderId="7" xfId="31" applyNumberFormat="1" applyFont="1" applyFill="1" applyBorder="1" applyAlignment="1">
      <alignment horizontal="right" vertical="top"/>
    </xf>
    <xf numFmtId="0" fontId="19" fillId="3" borderId="7" xfId="31" applyNumberFormat="1" applyFont="1" applyFill="1" applyBorder="1" applyAlignment="1">
      <alignment horizontal="left" vertical="top"/>
    </xf>
    <xf numFmtId="165" fontId="19" fillId="3" borderId="7" xfId="31" applyNumberFormat="1" applyFont="1" applyFill="1" applyBorder="1" applyAlignment="1">
      <alignment horizontal="right" vertical="top"/>
    </xf>
    <xf numFmtId="165" fontId="39" fillId="3" borderId="7" xfId="31" applyNumberFormat="1" applyFont="1" applyFill="1" applyBorder="1" applyAlignment="1">
      <alignment horizontal="right" vertical="top"/>
    </xf>
    <xf numFmtId="0" fontId="39" fillId="3" borderId="7" xfId="32" applyNumberFormat="1" applyFont="1" applyFill="1" applyBorder="1" applyAlignment="1">
      <alignment horizontal="left" vertical="top"/>
    </xf>
    <xf numFmtId="1" fontId="19" fillId="3" borderId="7" xfId="32" applyNumberFormat="1" applyFont="1" applyFill="1" applyBorder="1" applyAlignment="1">
      <alignment horizontal="right" vertical="top"/>
    </xf>
    <xf numFmtId="0" fontId="19" fillId="3" borderId="7" xfId="32" applyNumberFormat="1" applyFont="1" applyFill="1" applyBorder="1" applyAlignment="1">
      <alignment horizontal="left" vertical="top"/>
    </xf>
    <xf numFmtId="165" fontId="19" fillId="3" borderId="7" xfId="32" applyNumberFormat="1" applyFont="1" applyFill="1" applyBorder="1" applyAlignment="1">
      <alignment horizontal="right" vertical="top"/>
    </xf>
    <xf numFmtId="165" fontId="39" fillId="3" borderId="7" xfId="32" applyNumberFormat="1" applyFont="1" applyFill="1" applyBorder="1" applyAlignment="1">
      <alignment horizontal="right" vertical="top"/>
    </xf>
    <xf numFmtId="0" fontId="39" fillId="3" borderId="7" xfId="33" applyNumberFormat="1" applyFont="1" applyFill="1" applyBorder="1" applyAlignment="1">
      <alignment horizontal="left" vertical="top"/>
    </xf>
    <xf numFmtId="1" fontId="19" fillId="3" borderId="7" xfId="33" applyNumberFormat="1" applyFont="1" applyFill="1" applyBorder="1" applyAlignment="1">
      <alignment horizontal="right" vertical="top"/>
    </xf>
    <xf numFmtId="0" fontId="19" fillId="3" borderId="7" xfId="33" applyNumberFormat="1" applyFont="1" applyFill="1" applyBorder="1" applyAlignment="1">
      <alignment horizontal="left" vertical="top"/>
    </xf>
    <xf numFmtId="165" fontId="19" fillId="3" borderId="7" xfId="33" applyNumberFormat="1" applyFont="1" applyFill="1" applyBorder="1" applyAlignment="1">
      <alignment horizontal="right" vertical="top"/>
    </xf>
    <xf numFmtId="165" fontId="39" fillId="3" borderId="7" xfId="33" applyNumberFormat="1" applyFont="1" applyFill="1" applyBorder="1" applyAlignment="1">
      <alignment horizontal="right" vertical="top"/>
    </xf>
    <xf numFmtId="0" fontId="39" fillId="3" borderId="7" xfId="34" applyNumberFormat="1" applyFont="1" applyFill="1" applyBorder="1" applyAlignment="1">
      <alignment horizontal="left" vertical="top"/>
    </xf>
    <xf numFmtId="1" fontId="19" fillId="3" borderId="7" xfId="34" applyNumberFormat="1" applyFont="1" applyFill="1" applyBorder="1" applyAlignment="1">
      <alignment horizontal="right" vertical="top"/>
    </xf>
    <xf numFmtId="0" fontId="19" fillId="3" borderId="7" xfId="34" applyNumberFormat="1" applyFont="1" applyFill="1" applyBorder="1" applyAlignment="1">
      <alignment horizontal="left" vertical="top"/>
    </xf>
    <xf numFmtId="165" fontId="19" fillId="3" borderId="7" xfId="34" applyNumberFormat="1" applyFont="1" applyFill="1" applyBorder="1" applyAlignment="1">
      <alignment horizontal="right" vertical="top"/>
    </xf>
    <xf numFmtId="165" fontId="39" fillId="3" borderId="7" xfId="34" applyNumberFormat="1" applyFont="1" applyFill="1" applyBorder="1" applyAlignment="1">
      <alignment horizontal="right" vertical="top"/>
    </xf>
    <xf numFmtId="0" fontId="39" fillId="3" borderId="7" xfId="35" applyNumberFormat="1" applyFont="1" applyFill="1" applyBorder="1" applyAlignment="1">
      <alignment horizontal="left" vertical="top"/>
    </xf>
    <xf numFmtId="1" fontId="19" fillId="3" borderId="7" xfId="35" applyNumberFormat="1" applyFont="1" applyFill="1" applyBorder="1" applyAlignment="1">
      <alignment horizontal="right" vertical="top"/>
    </xf>
    <xf numFmtId="0" fontId="19" fillId="3" borderId="7" xfId="35" applyNumberFormat="1" applyFont="1" applyFill="1" applyBorder="1" applyAlignment="1">
      <alignment horizontal="left" vertical="top"/>
    </xf>
    <xf numFmtId="165" fontId="19" fillId="3" borderId="7" xfId="35" applyNumberFormat="1" applyFont="1" applyFill="1" applyBorder="1" applyAlignment="1">
      <alignment horizontal="right" vertical="top"/>
    </xf>
    <xf numFmtId="165" fontId="39" fillId="3" borderId="7" xfId="35" applyNumberFormat="1" applyFont="1" applyFill="1" applyBorder="1" applyAlignment="1">
      <alignment horizontal="right" vertical="top"/>
    </xf>
    <xf numFmtId="165" fontId="19" fillId="3" borderId="7" xfId="24" applyNumberFormat="1" applyFont="1" applyFill="1" applyBorder="1" applyAlignment="1">
      <alignment horizontal="right" vertical="top"/>
    </xf>
    <xf numFmtId="165" fontId="39" fillId="3" borderId="7" xfId="24" applyNumberFormat="1" applyFont="1" applyFill="1" applyBorder="1" applyAlignment="1">
      <alignment horizontal="right" vertical="top"/>
    </xf>
    <xf numFmtId="165" fontId="19" fillId="3" borderId="7" xfId="25" applyNumberFormat="1" applyFont="1" applyFill="1" applyBorder="1" applyAlignment="1">
      <alignment horizontal="right" vertical="top"/>
    </xf>
    <xf numFmtId="165" fontId="39" fillId="3" borderId="7" xfId="25" applyNumberFormat="1" applyFont="1" applyFill="1" applyBorder="1" applyAlignment="1">
      <alignment horizontal="right" vertical="top"/>
    </xf>
    <xf numFmtId="165" fontId="19" fillId="3" borderId="7" xfId="26" applyNumberFormat="1" applyFont="1" applyFill="1" applyBorder="1" applyAlignment="1">
      <alignment horizontal="right" vertical="top"/>
    </xf>
    <xf numFmtId="165" fontId="39" fillId="3" borderId="7" xfId="26" applyNumberFormat="1" applyFont="1" applyFill="1" applyBorder="1" applyAlignment="1">
      <alignment horizontal="right" vertical="top"/>
    </xf>
    <xf numFmtId="0" fontId="39" fillId="3" borderId="7" xfId="36" applyNumberFormat="1" applyFont="1" applyFill="1" applyBorder="1" applyAlignment="1">
      <alignment horizontal="left" vertical="top"/>
    </xf>
    <xf numFmtId="1" fontId="19" fillId="3" borderId="7" xfId="36" applyNumberFormat="1" applyFont="1" applyFill="1" applyBorder="1" applyAlignment="1">
      <alignment horizontal="right" vertical="top"/>
    </xf>
    <xf numFmtId="0" fontId="19" fillId="3" borderId="7" xfId="36" applyNumberFormat="1" applyFont="1" applyFill="1" applyBorder="1" applyAlignment="1">
      <alignment horizontal="left" vertical="top"/>
    </xf>
    <xf numFmtId="165" fontId="19" fillId="3" borderId="7" xfId="36" applyNumberFormat="1" applyFont="1" applyFill="1" applyBorder="1" applyAlignment="1">
      <alignment horizontal="right" vertical="top"/>
    </xf>
    <xf numFmtId="165" fontId="39" fillId="3" borderId="7" xfId="36" applyNumberFormat="1" applyFont="1" applyFill="1" applyBorder="1" applyAlignment="1">
      <alignment horizontal="right" vertical="top"/>
    </xf>
    <xf numFmtId="0" fontId="39" fillId="3" borderId="7" xfId="37" applyNumberFormat="1" applyFont="1" applyFill="1" applyBorder="1" applyAlignment="1">
      <alignment horizontal="left" vertical="top"/>
    </xf>
    <xf numFmtId="1" fontId="19" fillId="3" borderId="7" xfId="37" applyNumberFormat="1" applyFont="1" applyFill="1" applyBorder="1" applyAlignment="1">
      <alignment horizontal="right" vertical="top"/>
    </xf>
    <xf numFmtId="0" fontId="19" fillId="3" borderId="7" xfId="37" applyNumberFormat="1" applyFont="1" applyFill="1" applyBorder="1" applyAlignment="1">
      <alignment horizontal="left" vertical="top"/>
    </xf>
    <xf numFmtId="165" fontId="19" fillId="3" borderId="7" xfId="37" applyNumberFormat="1" applyFont="1" applyFill="1" applyBorder="1" applyAlignment="1">
      <alignment horizontal="right" vertical="top"/>
    </xf>
    <xf numFmtId="165" fontId="39" fillId="3" borderId="7" xfId="37" applyNumberFormat="1" applyFont="1" applyFill="1" applyBorder="1" applyAlignment="1">
      <alignment horizontal="right" vertical="top"/>
    </xf>
    <xf numFmtId="0" fontId="39" fillId="3" borderId="7" xfId="38" applyNumberFormat="1" applyFont="1" applyFill="1" applyBorder="1" applyAlignment="1">
      <alignment horizontal="left" vertical="top"/>
    </xf>
    <xf numFmtId="1" fontId="19" fillId="3" borderId="7" xfId="38" applyNumberFormat="1" applyFont="1" applyFill="1" applyBorder="1" applyAlignment="1">
      <alignment horizontal="right" vertical="top"/>
    </xf>
    <xf numFmtId="0" fontId="19" fillId="3" borderId="7" xfId="38" applyNumberFormat="1" applyFont="1" applyFill="1" applyBorder="1" applyAlignment="1">
      <alignment horizontal="left" vertical="top"/>
    </xf>
    <xf numFmtId="165" fontId="19" fillId="3" borderId="7" xfId="38" applyNumberFormat="1" applyFont="1" applyFill="1" applyBorder="1" applyAlignment="1">
      <alignment horizontal="right" vertical="top"/>
    </xf>
    <xf numFmtId="165" fontId="39" fillId="3" borderId="7" xfId="38" applyNumberFormat="1" applyFont="1" applyFill="1" applyBorder="1" applyAlignment="1">
      <alignment horizontal="right" vertical="top"/>
    </xf>
    <xf numFmtId="0" fontId="39" fillId="3" borderId="7" xfId="39" applyNumberFormat="1" applyFont="1" applyFill="1" applyBorder="1" applyAlignment="1">
      <alignment horizontal="left" vertical="top"/>
    </xf>
    <xf numFmtId="1" fontId="19" fillId="3" borderId="7" xfId="39" applyNumberFormat="1" applyFont="1" applyFill="1" applyBorder="1" applyAlignment="1">
      <alignment horizontal="right" vertical="top"/>
    </xf>
    <xf numFmtId="0" fontId="19" fillId="3" borderId="7" xfId="39" applyNumberFormat="1" applyFont="1" applyFill="1" applyBorder="1" applyAlignment="1">
      <alignment horizontal="left" vertical="top"/>
    </xf>
    <xf numFmtId="165" fontId="19" fillId="3" borderId="7" xfId="39" applyNumberFormat="1" applyFont="1" applyFill="1" applyBorder="1" applyAlignment="1">
      <alignment horizontal="right" vertical="top"/>
    </xf>
    <xf numFmtId="165" fontId="39" fillId="3" borderId="7" xfId="39" applyNumberFormat="1" applyFont="1" applyFill="1" applyBorder="1" applyAlignment="1">
      <alignment horizontal="right" vertical="top"/>
    </xf>
    <xf numFmtId="0" fontId="39" fillId="3" borderId="7" xfId="40" applyNumberFormat="1" applyFont="1" applyFill="1" applyBorder="1" applyAlignment="1">
      <alignment horizontal="left" vertical="top"/>
    </xf>
    <xf numFmtId="1" fontId="19" fillId="3" borderId="7" xfId="40" applyNumberFormat="1" applyFont="1" applyFill="1" applyBorder="1" applyAlignment="1">
      <alignment horizontal="right" vertical="top"/>
    </xf>
    <xf numFmtId="0" fontId="19" fillId="3" borderId="7" xfId="40" applyNumberFormat="1" applyFont="1" applyFill="1" applyBorder="1" applyAlignment="1">
      <alignment horizontal="left" vertical="top"/>
    </xf>
    <xf numFmtId="165" fontId="19" fillId="3" borderId="7" xfId="40" applyNumberFormat="1" applyFont="1" applyFill="1" applyBorder="1" applyAlignment="1">
      <alignment horizontal="right" vertical="top"/>
    </xf>
    <xf numFmtId="165" fontId="39" fillId="3" borderId="7" xfId="40" applyNumberFormat="1" applyFont="1" applyFill="1" applyBorder="1" applyAlignment="1">
      <alignment horizontal="right" vertical="top"/>
    </xf>
    <xf numFmtId="0" fontId="39" fillId="3" borderId="7" xfId="41" applyNumberFormat="1" applyFont="1" applyFill="1" applyBorder="1" applyAlignment="1">
      <alignment horizontal="left" vertical="top"/>
    </xf>
    <xf numFmtId="1" fontId="19" fillId="3" borderId="7" xfId="41" applyNumberFormat="1" applyFont="1" applyFill="1" applyBorder="1" applyAlignment="1">
      <alignment horizontal="right" vertical="top"/>
    </xf>
    <xf numFmtId="0" fontId="19" fillId="3" borderId="7" xfId="41" applyNumberFormat="1" applyFont="1" applyFill="1" applyBorder="1" applyAlignment="1">
      <alignment horizontal="left" vertical="top"/>
    </xf>
    <xf numFmtId="165" fontId="19" fillId="3" borderId="7" xfId="41" applyNumberFormat="1" applyFont="1" applyFill="1" applyBorder="1" applyAlignment="1">
      <alignment horizontal="right" vertical="top"/>
    </xf>
    <xf numFmtId="165" fontId="39" fillId="3" borderId="7" xfId="41" applyNumberFormat="1" applyFont="1" applyFill="1" applyBorder="1" applyAlignment="1">
      <alignment horizontal="right" vertical="top"/>
    </xf>
    <xf numFmtId="0" fontId="39" fillId="3" borderId="7" xfId="42" applyNumberFormat="1" applyFont="1" applyFill="1" applyBorder="1" applyAlignment="1">
      <alignment horizontal="left" vertical="top"/>
    </xf>
    <xf numFmtId="1" fontId="19" fillId="3" borderId="7" xfId="42" applyNumberFormat="1" applyFont="1" applyFill="1" applyBorder="1" applyAlignment="1">
      <alignment horizontal="right" vertical="top"/>
    </xf>
    <xf numFmtId="0" fontId="19" fillId="3" borderId="7" xfId="42" applyNumberFormat="1" applyFont="1" applyFill="1" applyBorder="1" applyAlignment="1">
      <alignment horizontal="left" vertical="top"/>
    </xf>
    <xf numFmtId="165" fontId="19" fillId="3" borderId="7" xfId="42" applyNumberFormat="1" applyFont="1" applyFill="1" applyBorder="1" applyAlignment="1">
      <alignment horizontal="right" vertical="top"/>
    </xf>
    <xf numFmtId="165" fontId="39" fillId="3" borderId="7" xfId="42" applyNumberFormat="1" applyFont="1" applyFill="1" applyBorder="1" applyAlignment="1">
      <alignment horizontal="right" vertical="top"/>
    </xf>
    <xf numFmtId="0" fontId="39" fillId="3" borderId="7" xfId="43" applyNumberFormat="1" applyFont="1" applyFill="1" applyBorder="1" applyAlignment="1">
      <alignment horizontal="left" vertical="top"/>
    </xf>
    <xf numFmtId="1" fontId="19" fillId="3" borderId="7" xfId="43" applyNumberFormat="1" applyFont="1" applyFill="1" applyBorder="1" applyAlignment="1">
      <alignment horizontal="right" vertical="top"/>
    </xf>
    <xf numFmtId="0" fontId="19" fillId="3" borderId="7" xfId="43" applyNumberFormat="1" applyFont="1" applyFill="1" applyBorder="1" applyAlignment="1">
      <alignment horizontal="left" vertical="top"/>
    </xf>
    <xf numFmtId="165" fontId="19" fillId="3" borderId="7" xfId="43" applyNumberFormat="1" applyFont="1" applyFill="1" applyBorder="1" applyAlignment="1">
      <alignment horizontal="right" vertical="top"/>
    </xf>
    <xf numFmtId="165" fontId="39" fillId="3" borderId="7" xfId="43" applyNumberFormat="1" applyFont="1" applyFill="1" applyBorder="1" applyAlignment="1">
      <alignment horizontal="right" vertical="top"/>
    </xf>
    <xf numFmtId="0" fontId="39" fillId="3" borderId="7" xfId="44" applyNumberFormat="1" applyFont="1" applyFill="1" applyBorder="1" applyAlignment="1">
      <alignment horizontal="left" vertical="top"/>
    </xf>
    <xf numFmtId="1" fontId="19" fillId="3" borderId="7" xfId="44" applyNumberFormat="1" applyFont="1" applyFill="1" applyBorder="1" applyAlignment="1">
      <alignment horizontal="right" vertical="top"/>
    </xf>
    <xf numFmtId="0" fontId="19" fillId="3" borderId="7" xfId="44" applyNumberFormat="1" applyFont="1" applyFill="1" applyBorder="1" applyAlignment="1">
      <alignment horizontal="left" vertical="top"/>
    </xf>
    <xf numFmtId="165" fontId="19" fillId="3" borderId="7" xfId="44" applyNumberFormat="1" applyFont="1" applyFill="1" applyBorder="1" applyAlignment="1">
      <alignment horizontal="right" vertical="top"/>
    </xf>
    <xf numFmtId="165" fontId="39" fillId="3" borderId="7" xfId="44" applyNumberFormat="1" applyFont="1" applyFill="1" applyBorder="1" applyAlignment="1">
      <alignment horizontal="right" vertical="top"/>
    </xf>
    <xf numFmtId="0" fontId="39" fillId="3" borderId="7" xfId="45" applyNumberFormat="1" applyFont="1" applyFill="1" applyBorder="1" applyAlignment="1">
      <alignment horizontal="left" vertical="top"/>
    </xf>
    <xf numFmtId="1" fontId="19" fillId="3" borderId="7" xfId="45" applyNumberFormat="1" applyFont="1" applyFill="1" applyBorder="1" applyAlignment="1">
      <alignment horizontal="right" vertical="top"/>
    </xf>
    <xf numFmtId="0" fontId="19" fillId="3" borderId="7" xfId="45" applyNumberFormat="1" applyFont="1" applyFill="1" applyBorder="1" applyAlignment="1">
      <alignment horizontal="left" vertical="top"/>
    </xf>
    <xf numFmtId="165" fontId="19" fillId="3" borderId="7" xfId="45" applyNumberFormat="1" applyFont="1" applyFill="1" applyBorder="1" applyAlignment="1">
      <alignment horizontal="right" vertical="top"/>
    </xf>
    <xf numFmtId="165" fontId="39" fillId="3" borderId="7" xfId="45" applyNumberFormat="1" applyFont="1" applyFill="1" applyBorder="1" applyAlignment="1">
      <alignment horizontal="right" vertical="top"/>
    </xf>
    <xf numFmtId="0" fontId="4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" fontId="17" fillId="15" borderId="0" xfId="9" applyNumberFormat="1" applyFont="1" applyFill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 wrapText="1"/>
    </xf>
    <xf numFmtId="3" fontId="12" fillId="0" borderId="0" xfId="0" applyNumberFormat="1" applyFont="1"/>
    <xf numFmtId="0" fontId="17" fillId="0" borderId="0" xfId="9" applyFont="1" applyFill="1" applyAlignment="1">
      <alignment horizontal="center" vertical="center"/>
    </xf>
    <xf numFmtId="3" fontId="17" fillId="0" borderId="0" xfId="9" applyNumberFormat="1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 wrapText="1"/>
    </xf>
    <xf numFmtId="1" fontId="17" fillId="13" borderId="0" xfId="9" applyNumberFormat="1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3" fontId="12" fillId="13" borderId="0" xfId="0" applyNumberFormat="1" applyFont="1" applyFill="1"/>
    <xf numFmtId="4" fontId="12" fillId="13" borderId="0" xfId="0" applyNumberFormat="1" applyFont="1" applyFill="1"/>
  </cellXfs>
  <cellStyles count="46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_ЦО" xfId="27" xr:uid="{00000000-0005-0000-0000-00000A000000}"/>
    <cellStyle name="Обычный_1С 16-29.02.24" xfId="8" xr:uid="{00000000-0005-0000-0000-00000B000000}"/>
    <cellStyle name="Обычный_1С цех" xfId="9" xr:uid="{00000000-0005-0000-0000-00000C000000}"/>
    <cellStyle name="Обычный_ВООЗ" xfId="28" xr:uid="{00000000-0005-0000-0000-00000D000000}"/>
    <cellStyle name="Обычный_ВООЗ ЕМС" xfId="23" xr:uid="{00000000-0005-0000-0000-00000E000000}"/>
    <cellStyle name="Обычный_ГАлерея 25.6" xfId="43" xr:uid="{00000000-0005-0000-0000-00000F000000}"/>
    <cellStyle name="Обычный_Глобино Мк" xfId="21" xr:uid="{00000000-0005-0000-0000-000010000000}"/>
    <cellStyle name="Обычный_ГРП" xfId="44" xr:uid="{00000000-0005-0000-0000-000011000000}"/>
    <cellStyle name="Обычный_ИТР" xfId="22" xr:uid="{00000000-0005-0000-0000-000012000000}"/>
    <cellStyle name="Обычный_Катеринополь" xfId="16" xr:uid="{00000000-0005-0000-0000-000013000000}"/>
    <cellStyle name="Обычный_Кернел" xfId="18" xr:uid="{00000000-0005-0000-0000-000014000000}"/>
    <cellStyle name="Обычный_Лист1" xfId="10" xr:uid="{00000000-0005-0000-0000-000015000000}"/>
    <cellStyle name="Обычный_Лист2" xfId="13" xr:uid="{00000000-0005-0000-0000-000016000000}"/>
    <cellStyle name="Обычный_Мк нежин" xfId="19" xr:uid="{00000000-0005-0000-0000-000017000000}"/>
    <cellStyle name="Обычный_МХП лазня" xfId="29" xr:uid="{00000000-0005-0000-0000-000018000000}"/>
    <cellStyle name="Обычный_МХП франківськ" xfId="20" xr:uid="{00000000-0005-0000-0000-000019000000}"/>
    <cellStyle name="Обычный_ООН 36" xfId="30" xr:uid="{00000000-0005-0000-0000-00001A000000}"/>
    <cellStyle name="Обычный_ООН 37" xfId="31" xr:uid="{00000000-0005-0000-0000-00001B000000}"/>
    <cellStyle name="Обычный_ООН 38" xfId="32" xr:uid="{00000000-0005-0000-0000-00001C000000}"/>
    <cellStyle name="Обычный_ООН 40" xfId="34" xr:uid="{00000000-0005-0000-0000-00001D000000}"/>
    <cellStyle name="Обычный_ООН 42" xfId="35" xr:uid="{00000000-0005-0000-0000-00001E000000}"/>
    <cellStyle name="Обычный_ООН 44" xfId="25" xr:uid="{00000000-0005-0000-0000-00001F000000}"/>
    <cellStyle name="Обычный_ООН 45" xfId="26" xr:uid="{00000000-0005-0000-0000-000020000000}"/>
    <cellStyle name="Обычный_ООН №43" xfId="24" xr:uid="{00000000-0005-0000-0000-000021000000}"/>
    <cellStyle name="Обычный_ООН39" xfId="33" xr:uid="{00000000-0005-0000-0000-000022000000}"/>
    <cellStyle name="Обычный_ООН46" xfId="36" xr:uid="{00000000-0005-0000-0000-000023000000}"/>
    <cellStyle name="Обычный_ООН47" xfId="37" xr:uid="{00000000-0005-0000-0000-000024000000}"/>
    <cellStyle name="Обычный_ООН48" xfId="38" xr:uid="{00000000-0005-0000-0000-000025000000}"/>
    <cellStyle name="Обычный_ООН49" xfId="39" xr:uid="{00000000-0005-0000-0000-000026000000}"/>
    <cellStyle name="Обычный_ООн50" xfId="40" xr:uid="{00000000-0005-0000-0000-000027000000}"/>
    <cellStyle name="Обычный_ООН51" xfId="41" xr:uid="{00000000-0005-0000-0000-000028000000}"/>
    <cellStyle name="Обычный_Парк меляси" xfId="45" xr:uid="{00000000-0005-0000-0000-000029000000}"/>
    <cellStyle name="Обычный_Табель 16-30" xfId="5" xr:uid="{00000000-0005-0000-0000-00002A000000}"/>
    <cellStyle name="Обычный_Табель МД" xfId="1" xr:uid="{00000000-0005-0000-0000-00002B000000}"/>
    <cellStyle name="Обычный_Форшахта" xfId="42" xr:uid="{00000000-0005-0000-0000-00002C000000}"/>
    <cellStyle name="Обычный_Цо" xfId="17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118</v>
      </c>
      <c r="C1" s="138" t="s">
        <v>119</v>
      </c>
      <c r="D1" s="138" t="s">
        <v>120</v>
      </c>
      <c r="E1" s="138" t="s">
        <v>121</v>
      </c>
      <c r="F1" s="138" t="s">
        <v>122</v>
      </c>
      <c r="G1" s="138" t="s">
        <v>123</v>
      </c>
      <c r="H1" s="138" t="s">
        <v>124</v>
      </c>
      <c r="I1" s="138" t="s">
        <v>125</v>
      </c>
    </row>
    <row r="2" spans="1:9" hidden="1" x14ac:dyDescent="0.25">
      <c r="A2" s="139"/>
      <c r="B2" s="140">
        <v>1</v>
      </c>
      <c r="C2" s="139" t="s">
        <v>126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127</v>
      </c>
      <c r="C3" s="139" t="s">
        <v>128</v>
      </c>
      <c r="D3" s="141">
        <v>3244112838</v>
      </c>
      <c r="E3" s="139" t="s">
        <v>129</v>
      </c>
      <c r="F3" s="139"/>
      <c r="G3" s="139"/>
      <c r="H3" s="139"/>
      <c r="I3" s="139"/>
    </row>
    <row r="4" spans="1:9" hidden="1" x14ac:dyDescent="0.25">
      <c r="A4" s="139"/>
      <c r="B4" s="139" t="s">
        <v>130</v>
      </c>
      <c r="C4" s="139" t="s">
        <v>131</v>
      </c>
      <c r="D4" s="141">
        <v>2890614789</v>
      </c>
      <c r="E4" s="139" t="s">
        <v>129</v>
      </c>
      <c r="F4" s="139"/>
      <c r="G4" s="139"/>
      <c r="H4" s="139"/>
      <c r="I4" s="139"/>
    </row>
    <row r="5" spans="1:9" hidden="1" x14ac:dyDescent="0.25">
      <c r="A5" s="139"/>
      <c r="B5" s="139" t="s">
        <v>132</v>
      </c>
      <c r="C5" s="139" t="s">
        <v>133</v>
      </c>
      <c r="D5" s="141">
        <v>2751711415</v>
      </c>
      <c r="E5" s="139" t="s">
        <v>129</v>
      </c>
      <c r="F5" s="139"/>
      <c r="G5" s="139"/>
      <c r="H5" s="139"/>
      <c r="I5" s="139"/>
    </row>
    <row r="6" spans="1:9" hidden="1" x14ac:dyDescent="0.25">
      <c r="A6" s="139"/>
      <c r="B6" s="139" t="s">
        <v>134</v>
      </c>
      <c r="C6" s="139" t="s">
        <v>135</v>
      </c>
      <c r="D6" s="141">
        <v>3382914593</v>
      </c>
      <c r="E6" s="139" t="s">
        <v>129</v>
      </c>
      <c r="F6" s="139"/>
      <c r="G6" s="139"/>
      <c r="H6" s="139"/>
      <c r="I6" s="139"/>
    </row>
    <row r="7" spans="1:9" hidden="1" x14ac:dyDescent="0.25">
      <c r="A7" s="139"/>
      <c r="B7" s="139" t="s">
        <v>136</v>
      </c>
      <c r="C7" s="139" t="s">
        <v>137</v>
      </c>
      <c r="D7" s="141">
        <v>3382914593</v>
      </c>
      <c r="E7" s="139" t="s">
        <v>129</v>
      </c>
      <c r="F7" s="139"/>
      <c r="G7" s="139"/>
      <c r="H7" s="139"/>
      <c r="I7" s="139"/>
    </row>
    <row r="8" spans="1:9" hidden="1" x14ac:dyDescent="0.25">
      <c r="A8" s="139"/>
      <c r="B8" s="139" t="s">
        <v>138</v>
      </c>
      <c r="C8" s="139" t="s">
        <v>139</v>
      </c>
      <c r="D8" s="141">
        <v>2711822114</v>
      </c>
      <c r="E8" s="139" t="s">
        <v>129</v>
      </c>
      <c r="F8" s="139"/>
      <c r="G8" s="139"/>
      <c r="H8" s="139"/>
      <c r="I8" s="139"/>
    </row>
    <row r="9" spans="1:9" hidden="1" x14ac:dyDescent="0.25">
      <c r="A9" s="139"/>
      <c r="B9" s="139" t="s">
        <v>140</v>
      </c>
      <c r="C9" s="139" t="s">
        <v>141</v>
      </c>
      <c r="D9" s="141">
        <v>3281710375</v>
      </c>
      <c r="E9" s="139" t="s">
        <v>129</v>
      </c>
      <c r="F9" s="139"/>
      <c r="G9" s="139"/>
      <c r="H9" s="139"/>
      <c r="I9" s="139"/>
    </row>
    <row r="10" spans="1:9" hidden="1" x14ac:dyDescent="0.25">
      <c r="A10" s="139"/>
      <c r="B10" s="139" t="s">
        <v>142</v>
      </c>
      <c r="C10" s="139" t="s">
        <v>143</v>
      </c>
      <c r="D10" s="141">
        <v>2866215672</v>
      </c>
      <c r="E10" s="139" t="s">
        <v>129</v>
      </c>
      <c r="F10" s="139"/>
      <c r="G10" s="139"/>
      <c r="H10" s="139"/>
      <c r="I10" s="139"/>
    </row>
    <row r="11" spans="1:9" hidden="1" x14ac:dyDescent="0.25">
      <c r="A11" s="139"/>
      <c r="B11" s="139" t="s">
        <v>144</v>
      </c>
      <c r="C11" s="139" t="s">
        <v>145</v>
      </c>
      <c r="D11" s="141">
        <v>3575508457</v>
      </c>
      <c r="E11" s="139" t="s">
        <v>129</v>
      </c>
      <c r="F11" s="139"/>
      <c r="G11" s="139"/>
      <c r="H11" s="139"/>
      <c r="I11" s="139"/>
    </row>
    <row r="12" spans="1:9" hidden="1" x14ac:dyDescent="0.25">
      <c r="A12" s="139"/>
      <c r="B12" s="139" t="s">
        <v>146</v>
      </c>
      <c r="C12" s="139" t="s">
        <v>147</v>
      </c>
      <c r="D12" s="141">
        <v>3306506991</v>
      </c>
      <c r="E12" s="139" t="s">
        <v>129</v>
      </c>
      <c r="F12" s="139"/>
      <c r="G12" s="139"/>
      <c r="H12" s="139"/>
      <c r="I12" s="139"/>
    </row>
    <row r="13" spans="1:9" hidden="1" x14ac:dyDescent="0.25">
      <c r="A13" s="139"/>
      <c r="B13" s="139" t="s">
        <v>148</v>
      </c>
      <c r="C13" s="139" t="s">
        <v>149</v>
      </c>
      <c r="D13" s="141">
        <v>2899410750</v>
      </c>
      <c r="E13" s="139" t="s">
        <v>129</v>
      </c>
      <c r="F13" s="139"/>
      <c r="G13" s="139"/>
      <c r="H13" s="139"/>
      <c r="I13" s="139"/>
    </row>
    <row r="14" spans="1:9" hidden="1" x14ac:dyDescent="0.25">
      <c r="A14" s="139"/>
      <c r="B14" s="139" t="s">
        <v>150</v>
      </c>
      <c r="C14" s="139" t="s">
        <v>151</v>
      </c>
      <c r="D14" s="141">
        <v>3194113635</v>
      </c>
      <c r="E14" s="139" t="s">
        <v>129</v>
      </c>
      <c r="F14" s="139"/>
      <c r="G14" s="139"/>
      <c r="H14" s="139"/>
      <c r="I14" s="139"/>
    </row>
    <row r="15" spans="1:9" hidden="1" x14ac:dyDescent="0.25">
      <c r="A15" s="139"/>
      <c r="B15" s="139" t="s">
        <v>152</v>
      </c>
      <c r="C15" s="139" t="s">
        <v>153</v>
      </c>
      <c r="D15" s="141">
        <v>2234022693</v>
      </c>
      <c r="E15" s="139" t="s">
        <v>129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154</v>
      </c>
      <c r="D16" s="141">
        <v>3153900053</v>
      </c>
      <c r="E16" s="139" t="s">
        <v>155</v>
      </c>
      <c r="F16" s="139" t="s">
        <v>156</v>
      </c>
      <c r="G16" s="139" t="s">
        <v>157</v>
      </c>
      <c r="H16" s="139" t="s">
        <v>158</v>
      </c>
      <c r="I16" s="139" t="s">
        <v>159</v>
      </c>
    </row>
    <row r="17" spans="1:9" hidden="1" x14ac:dyDescent="0.25">
      <c r="A17" s="139"/>
      <c r="B17" s="140">
        <v>4</v>
      </c>
      <c r="C17" s="139" t="s">
        <v>104</v>
      </c>
      <c r="D17" s="141">
        <v>3457309598</v>
      </c>
      <c r="E17" s="139" t="s">
        <v>155</v>
      </c>
      <c r="F17" s="139" t="s">
        <v>156</v>
      </c>
      <c r="G17" s="139" t="s">
        <v>160</v>
      </c>
      <c r="H17" s="139" t="s">
        <v>161</v>
      </c>
      <c r="I17" s="139" t="s">
        <v>162</v>
      </c>
    </row>
    <row r="18" spans="1:9" hidden="1" x14ac:dyDescent="0.25">
      <c r="A18" s="139"/>
      <c r="B18" s="139" t="s">
        <v>134</v>
      </c>
      <c r="C18" s="139" t="s">
        <v>163</v>
      </c>
      <c r="D18" s="141">
        <v>3457309598</v>
      </c>
      <c r="E18" s="139" t="s">
        <v>129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164</v>
      </c>
      <c r="D19" s="141">
        <v>2618119132</v>
      </c>
      <c r="E19" s="139" t="s">
        <v>155</v>
      </c>
      <c r="F19" s="139" t="s">
        <v>156</v>
      </c>
      <c r="G19" s="139" t="s">
        <v>160</v>
      </c>
      <c r="H19" s="139" t="s">
        <v>165</v>
      </c>
      <c r="I19" s="139" t="s">
        <v>166</v>
      </c>
    </row>
    <row r="20" spans="1:9" hidden="1" x14ac:dyDescent="0.25">
      <c r="A20" s="139"/>
      <c r="B20" s="140">
        <v>203</v>
      </c>
      <c r="C20" s="139" t="s">
        <v>167</v>
      </c>
      <c r="D20" s="141">
        <v>2765913876</v>
      </c>
      <c r="E20" s="139" t="s">
        <v>155</v>
      </c>
      <c r="F20" s="139" t="s">
        <v>156</v>
      </c>
      <c r="G20" s="139" t="s">
        <v>160</v>
      </c>
      <c r="H20" s="139" t="s">
        <v>168</v>
      </c>
      <c r="I20" s="139" t="s">
        <v>169</v>
      </c>
    </row>
    <row r="21" spans="1:9" hidden="1" x14ac:dyDescent="0.25">
      <c r="A21" s="139"/>
      <c r="B21" s="140">
        <v>156</v>
      </c>
      <c r="C21" s="139" t="s">
        <v>170</v>
      </c>
      <c r="D21" s="141">
        <v>2693717247</v>
      </c>
      <c r="E21" s="139" t="s">
        <v>155</v>
      </c>
      <c r="F21" s="139" t="s">
        <v>156</v>
      </c>
      <c r="G21" s="139" t="s">
        <v>160</v>
      </c>
      <c r="H21" s="139" t="s">
        <v>171</v>
      </c>
      <c r="I21" s="139" t="s">
        <v>172</v>
      </c>
    </row>
    <row r="22" spans="1:9" hidden="1" x14ac:dyDescent="0.25">
      <c r="A22" s="139"/>
      <c r="B22" s="141">
        <v>2289516770</v>
      </c>
      <c r="C22" s="139" t="s">
        <v>173</v>
      </c>
      <c r="D22" s="141">
        <v>2894801342</v>
      </c>
      <c r="E22" s="139" t="s">
        <v>155</v>
      </c>
      <c r="F22" s="139" t="s">
        <v>156</v>
      </c>
      <c r="G22" s="139" t="s">
        <v>160</v>
      </c>
      <c r="H22" s="139" t="s">
        <v>174</v>
      </c>
      <c r="I22" s="139" t="s">
        <v>175</v>
      </c>
    </row>
    <row r="23" spans="1:9" hidden="1" x14ac:dyDescent="0.25">
      <c r="A23" s="139"/>
      <c r="B23" s="140">
        <v>16</v>
      </c>
      <c r="C23" s="139" t="s">
        <v>176</v>
      </c>
      <c r="D23" s="141">
        <v>2894801342</v>
      </c>
      <c r="E23" s="139" t="s">
        <v>155</v>
      </c>
      <c r="F23" s="139" t="s">
        <v>177</v>
      </c>
      <c r="G23" s="139" t="s">
        <v>160</v>
      </c>
      <c r="H23" s="139" t="s">
        <v>174</v>
      </c>
      <c r="I23" s="139" t="s">
        <v>178</v>
      </c>
    </row>
    <row r="24" spans="1:9" hidden="1" x14ac:dyDescent="0.25">
      <c r="A24" s="139"/>
      <c r="B24" s="140">
        <v>17</v>
      </c>
      <c r="C24" s="139" t="s">
        <v>179</v>
      </c>
      <c r="D24" s="141">
        <v>3036417408</v>
      </c>
      <c r="E24" s="139" t="s">
        <v>155</v>
      </c>
      <c r="F24" s="139" t="s">
        <v>177</v>
      </c>
      <c r="G24" s="139" t="s">
        <v>160</v>
      </c>
      <c r="H24" s="139" t="s">
        <v>180</v>
      </c>
      <c r="I24" s="139" t="s">
        <v>181</v>
      </c>
    </row>
    <row r="25" spans="1:9" hidden="1" x14ac:dyDescent="0.25">
      <c r="A25" s="139"/>
      <c r="B25" s="141">
        <v>2289516882</v>
      </c>
      <c r="C25" s="139" t="s">
        <v>182</v>
      </c>
      <c r="D25" s="141">
        <v>3036417408</v>
      </c>
      <c r="E25" s="139" t="s">
        <v>155</v>
      </c>
      <c r="F25" s="139" t="s">
        <v>156</v>
      </c>
      <c r="G25" s="139" t="s">
        <v>160</v>
      </c>
      <c r="H25" s="139" t="s">
        <v>180</v>
      </c>
      <c r="I25" s="139" t="s">
        <v>183</v>
      </c>
    </row>
    <row r="26" spans="1:9" hidden="1" x14ac:dyDescent="0.25">
      <c r="A26" s="139"/>
      <c r="B26" s="141">
        <v>2289516833</v>
      </c>
      <c r="C26" s="139" t="s">
        <v>184</v>
      </c>
      <c r="D26" s="141">
        <v>2358421934</v>
      </c>
      <c r="E26" s="139" t="s">
        <v>155</v>
      </c>
      <c r="F26" s="139" t="s">
        <v>156</v>
      </c>
      <c r="G26" s="139" t="s">
        <v>185</v>
      </c>
      <c r="H26" s="139" t="s">
        <v>186</v>
      </c>
      <c r="I26" s="139" t="s">
        <v>187</v>
      </c>
    </row>
    <row r="27" spans="1:9" hidden="1" x14ac:dyDescent="0.25">
      <c r="A27" s="139"/>
      <c r="B27" s="140">
        <v>37</v>
      </c>
      <c r="C27" s="139" t="s">
        <v>188</v>
      </c>
      <c r="D27" s="141">
        <v>2564424513</v>
      </c>
      <c r="E27" s="139" t="s">
        <v>155</v>
      </c>
      <c r="F27" s="139" t="s">
        <v>156</v>
      </c>
      <c r="G27" s="139" t="s">
        <v>157</v>
      </c>
      <c r="H27" s="139" t="s">
        <v>189</v>
      </c>
      <c r="I27" s="139" t="s">
        <v>190</v>
      </c>
    </row>
    <row r="28" spans="1:9" hidden="1" x14ac:dyDescent="0.25">
      <c r="A28" s="139"/>
      <c r="B28" s="140">
        <v>11</v>
      </c>
      <c r="C28" s="139" t="s">
        <v>191</v>
      </c>
      <c r="D28" s="141">
        <v>3247506159</v>
      </c>
      <c r="E28" s="139" t="s">
        <v>155</v>
      </c>
      <c r="F28" s="139" t="s">
        <v>156</v>
      </c>
      <c r="G28" s="139" t="s">
        <v>157</v>
      </c>
      <c r="H28" s="139" t="s">
        <v>192</v>
      </c>
      <c r="I28" s="139" t="s">
        <v>193</v>
      </c>
    </row>
    <row r="29" spans="1:9" hidden="1" x14ac:dyDescent="0.25">
      <c r="A29" s="139"/>
      <c r="B29" s="141">
        <v>2289516701</v>
      </c>
      <c r="C29" s="139" t="s">
        <v>194</v>
      </c>
      <c r="D29" s="141">
        <v>3358009052</v>
      </c>
      <c r="E29" s="139" t="s">
        <v>155</v>
      </c>
      <c r="F29" s="139" t="s">
        <v>156</v>
      </c>
      <c r="G29" s="139" t="s">
        <v>195</v>
      </c>
      <c r="H29" s="139" t="s">
        <v>196</v>
      </c>
      <c r="I29" s="139" t="s">
        <v>197</v>
      </c>
    </row>
    <row r="30" spans="1:9" hidden="1" x14ac:dyDescent="0.25">
      <c r="A30" s="139"/>
      <c r="B30" s="140">
        <v>62</v>
      </c>
      <c r="C30" s="139" t="s">
        <v>198</v>
      </c>
      <c r="D30" s="141">
        <v>3421002151</v>
      </c>
      <c r="E30" s="139" t="s">
        <v>155</v>
      </c>
      <c r="F30" s="139" t="s">
        <v>156</v>
      </c>
      <c r="G30" s="139" t="s">
        <v>199</v>
      </c>
      <c r="H30" s="139" t="s">
        <v>200</v>
      </c>
      <c r="I30" s="139" t="s">
        <v>201</v>
      </c>
    </row>
    <row r="31" spans="1:9" hidden="1" x14ac:dyDescent="0.25">
      <c r="A31" s="139"/>
      <c r="B31" s="139" t="s">
        <v>202</v>
      </c>
      <c r="C31" s="139" t="s">
        <v>203</v>
      </c>
      <c r="D31" s="141">
        <v>2922419813</v>
      </c>
      <c r="E31" s="139" t="s">
        <v>129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204</v>
      </c>
      <c r="D32" s="141">
        <v>2919308010</v>
      </c>
      <c r="E32" s="139" t="s">
        <v>155</v>
      </c>
      <c r="F32" s="139" t="s">
        <v>156</v>
      </c>
      <c r="G32" s="139" t="s">
        <v>199</v>
      </c>
      <c r="H32" s="139" t="s">
        <v>205</v>
      </c>
      <c r="I32" s="139" t="s">
        <v>206</v>
      </c>
    </row>
    <row r="33" spans="1:9" hidden="1" x14ac:dyDescent="0.25">
      <c r="A33" s="139"/>
      <c r="B33" s="141">
        <v>2289516849</v>
      </c>
      <c r="C33" s="139" t="s">
        <v>207</v>
      </c>
      <c r="D33" s="141">
        <v>3036408418</v>
      </c>
      <c r="E33" s="139" t="s">
        <v>155</v>
      </c>
      <c r="F33" s="139" t="s">
        <v>156</v>
      </c>
      <c r="G33" s="139" t="s">
        <v>160</v>
      </c>
      <c r="H33" s="139" t="s">
        <v>208</v>
      </c>
      <c r="I33" s="139" t="s">
        <v>209</v>
      </c>
    </row>
    <row r="34" spans="1:9" hidden="1" x14ac:dyDescent="0.25">
      <c r="A34" s="139"/>
      <c r="B34" s="140">
        <v>19</v>
      </c>
      <c r="C34" s="139" t="s">
        <v>210</v>
      </c>
      <c r="D34" s="141">
        <v>3813305164</v>
      </c>
      <c r="E34" s="139" t="s">
        <v>155</v>
      </c>
      <c r="F34" s="139" t="s">
        <v>156</v>
      </c>
      <c r="G34" s="139" t="s">
        <v>211</v>
      </c>
      <c r="H34" s="139" t="s">
        <v>212</v>
      </c>
      <c r="I34" s="139" t="s">
        <v>213</v>
      </c>
    </row>
    <row r="35" spans="1:9" hidden="1" x14ac:dyDescent="0.25">
      <c r="A35" s="139"/>
      <c r="B35" s="141">
        <v>2289516863</v>
      </c>
      <c r="C35" s="139" t="s">
        <v>214</v>
      </c>
      <c r="D35" s="141">
        <v>2753702532</v>
      </c>
      <c r="E35" s="139" t="s">
        <v>155</v>
      </c>
      <c r="F35" s="139" t="s">
        <v>156</v>
      </c>
      <c r="G35" s="139" t="s">
        <v>215</v>
      </c>
      <c r="H35" s="139" t="s">
        <v>196</v>
      </c>
      <c r="I35" s="139" t="s">
        <v>216</v>
      </c>
    </row>
    <row r="36" spans="1:9" hidden="1" x14ac:dyDescent="0.25">
      <c r="A36" s="139"/>
      <c r="B36" s="140">
        <v>46</v>
      </c>
      <c r="C36" s="139" t="s">
        <v>217</v>
      </c>
      <c r="D36" s="141">
        <v>3018718189</v>
      </c>
      <c r="E36" s="139" t="s">
        <v>155</v>
      </c>
      <c r="F36" s="139" t="s">
        <v>156</v>
      </c>
      <c r="G36" s="139" t="s">
        <v>160</v>
      </c>
      <c r="H36" s="139" t="s">
        <v>165</v>
      </c>
      <c r="I36" s="139" t="s">
        <v>218</v>
      </c>
    </row>
    <row r="37" spans="1:9" hidden="1" x14ac:dyDescent="0.25">
      <c r="A37" s="139"/>
      <c r="B37" s="140">
        <v>157</v>
      </c>
      <c r="C37" s="139" t="s">
        <v>219</v>
      </c>
      <c r="D37" s="141">
        <v>2794610037</v>
      </c>
      <c r="E37" s="139" t="s">
        <v>155</v>
      </c>
      <c r="F37" s="139" t="s">
        <v>156</v>
      </c>
      <c r="G37" s="139" t="s">
        <v>199</v>
      </c>
      <c r="H37" s="139" t="s">
        <v>220</v>
      </c>
      <c r="I37" s="139" t="s">
        <v>221</v>
      </c>
    </row>
    <row r="38" spans="1:9" hidden="1" x14ac:dyDescent="0.25">
      <c r="A38" s="139"/>
      <c r="B38" s="140">
        <v>71</v>
      </c>
      <c r="C38" s="139" t="s">
        <v>222</v>
      </c>
      <c r="D38" s="141">
        <v>3280710149</v>
      </c>
      <c r="E38" s="139" t="s">
        <v>155</v>
      </c>
      <c r="F38" s="139" t="s">
        <v>156</v>
      </c>
      <c r="G38" s="139" t="s">
        <v>160</v>
      </c>
      <c r="H38" s="139" t="s">
        <v>223</v>
      </c>
      <c r="I38" s="139" t="s">
        <v>224</v>
      </c>
    </row>
    <row r="39" spans="1:9" hidden="1" x14ac:dyDescent="0.25">
      <c r="A39" s="139"/>
      <c r="B39" s="141">
        <v>2289516756</v>
      </c>
      <c r="C39" s="139" t="s">
        <v>225</v>
      </c>
      <c r="D39" s="141">
        <v>2957816213</v>
      </c>
      <c r="E39" s="139" t="s">
        <v>155</v>
      </c>
      <c r="F39" s="139" t="s">
        <v>156</v>
      </c>
      <c r="G39" s="139" t="s">
        <v>215</v>
      </c>
      <c r="H39" s="139" t="s">
        <v>220</v>
      </c>
      <c r="I39" s="139" t="s">
        <v>226</v>
      </c>
    </row>
    <row r="40" spans="1:9" hidden="1" x14ac:dyDescent="0.25">
      <c r="A40" s="139"/>
      <c r="B40" s="140">
        <v>49</v>
      </c>
      <c r="C40" s="139" t="s">
        <v>227</v>
      </c>
      <c r="D40" s="141">
        <v>3143007035</v>
      </c>
      <c r="E40" s="139" t="s">
        <v>155</v>
      </c>
      <c r="F40" s="139" t="s">
        <v>156</v>
      </c>
      <c r="G40" s="139" t="s">
        <v>160</v>
      </c>
      <c r="H40" s="139" t="s">
        <v>228</v>
      </c>
      <c r="I40" s="139" t="s">
        <v>229</v>
      </c>
    </row>
    <row r="41" spans="1:9" hidden="1" x14ac:dyDescent="0.25">
      <c r="A41" s="139"/>
      <c r="B41" s="141">
        <v>2289516819</v>
      </c>
      <c r="C41" s="139" t="s">
        <v>230</v>
      </c>
      <c r="D41" s="141">
        <v>3834606498</v>
      </c>
      <c r="E41" s="139" t="s">
        <v>155</v>
      </c>
      <c r="F41" s="139" t="s">
        <v>156</v>
      </c>
      <c r="G41" s="139" t="s">
        <v>215</v>
      </c>
      <c r="H41" s="139" t="s">
        <v>231</v>
      </c>
      <c r="I41" s="139" t="s">
        <v>232</v>
      </c>
    </row>
    <row r="42" spans="1:9" hidden="1" x14ac:dyDescent="0.25">
      <c r="A42" s="139"/>
      <c r="B42" s="141">
        <v>2289516804</v>
      </c>
      <c r="C42" s="139" t="s">
        <v>233</v>
      </c>
      <c r="D42" s="141">
        <v>2857318359</v>
      </c>
      <c r="E42" s="139" t="s">
        <v>155</v>
      </c>
      <c r="F42" s="139" t="s">
        <v>156</v>
      </c>
      <c r="G42" s="139" t="s">
        <v>215</v>
      </c>
      <c r="H42" s="139" t="s">
        <v>231</v>
      </c>
      <c r="I42" s="139" t="s">
        <v>234</v>
      </c>
    </row>
    <row r="43" spans="1:9" hidden="1" x14ac:dyDescent="0.25">
      <c r="A43" s="139"/>
      <c r="B43" s="140">
        <v>217</v>
      </c>
      <c r="C43" s="139" t="s">
        <v>235</v>
      </c>
      <c r="D43" s="141">
        <v>3000412772</v>
      </c>
      <c r="E43" s="139" t="s">
        <v>155</v>
      </c>
      <c r="F43" s="139" t="s">
        <v>156</v>
      </c>
      <c r="G43" s="139" t="s">
        <v>199</v>
      </c>
      <c r="H43" s="139" t="s">
        <v>196</v>
      </c>
      <c r="I43" s="139" t="s">
        <v>236</v>
      </c>
    </row>
    <row r="44" spans="1:9" hidden="1" x14ac:dyDescent="0.25">
      <c r="A44" s="139"/>
      <c r="B44" s="140">
        <v>3</v>
      </c>
      <c r="C44" s="139" t="s">
        <v>237</v>
      </c>
      <c r="D44" s="141">
        <v>3552110973</v>
      </c>
      <c r="E44" s="139" t="s">
        <v>155</v>
      </c>
      <c r="F44" s="139" t="s">
        <v>156</v>
      </c>
      <c r="G44" s="139" t="s">
        <v>160</v>
      </c>
      <c r="H44" s="139" t="s">
        <v>208</v>
      </c>
      <c r="I44" s="139" t="s">
        <v>162</v>
      </c>
    </row>
    <row r="45" spans="1:9" hidden="1" x14ac:dyDescent="0.25">
      <c r="A45" s="139"/>
      <c r="B45" s="141">
        <v>2289516774</v>
      </c>
      <c r="C45" s="139" t="s">
        <v>238</v>
      </c>
      <c r="D45" s="141">
        <v>3552110973</v>
      </c>
      <c r="E45" s="139" t="s">
        <v>155</v>
      </c>
      <c r="F45" s="139" t="s">
        <v>177</v>
      </c>
      <c r="G45" s="139" t="s">
        <v>160</v>
      </c>
      <c r="H45" s="139" t="s">
        <v>239</v>
      </c>
      <c r="I45" s="139" t="s">
        <v>240</v>
      </c>
    </row>
    <row r="46" spans="1:9" hidden="1" x14ac:dyDescent="0.25">
      <c r="A46" s="139"/>
      <c r="B46" s="141">
        <v>2289516864</v>
      </c>
      <c r="C46" s="139" t="s">
        <v>241</v>
      </c>
      <c r="D46" s="141">
        <v>2888011632</v>
      </c>
      <c r="E46" s="139" t="s">
        <v>155</v>
      </c>
      <c r="F46" s="139" t="s">
        <v>156</v>
      </c>
      <c r="G46" s="139" t="s">
        <v>242</v>
      </c>
      <c r="H46" s="139" t="s">
        <v>243</v>
      </c>
      <c r="I46" s="139" t="s">
        <v>244</v>
      </c>
    </row>
    <row r="47" spans="1:9" hidden="1" x14ac:dyDescent="0.25">
      <c r="A47" s="139"/>
      <c r="B47" s="140">
        <v>51</v>
      </c>
      <c r="C47" s="139" t="s">
        <v>245</v>
      </c>
      <c r="D47" s="141">
        <v>3746304158</v>
      </c>
      <c r="E47" s="139" t="s">
        <v>155</v>
      </c>
      <c r="F47" s="139" t="s">
        <v>156</v>
      </c>
      <c r="G47" s="139" t="s">
        <v>157</v>
      </c>
      <c r="H47" s="139" t="s">
        <v>246</v>
      </c>
      <c r="I47" s="139" t="s">
        <v>247</v>
      </c>
    </row>
    <row r="48" spans="1:9" hidden="1" x14ac:dyDescent="0.25">
      <c r="A48" s="139"/>
      <c r="B48" s="141">
        <v>2289516860</v>
      </c>
      <c r="C48" s="139" t="s">
        <v>248</v>
      </c>
      <c r="D48" s="141">
        <v>2671913196</v>
      </c>
      <c r="E48" s="139" t="s">
        <v>155</v>
      </c>
      <c r="F48" s="139" t="s">
        <v>156</v>
      </c>
      <c r="G48" s="139" t="s">
        <v>215</v>
      </c>
      <c r="H48" s="139" t="s">
        <v>243</v>
      </c>
      <c r="I48" s="139" t="s">
        <v>249</v>
      </c>
    </row>
    <row r="49" spans="1:9" hidden="1" x14ac:dyDescent="0.25">
      <c r="A49" s="139"/>
      <c r="B49" s="140">
        <v>8</v>
      </c>
      <c r="C49" s="139" t="s">
        <v>250</v>
      </c>
      <c r="D49" s="141">
        <v>3165400965</v>
      </c>
      <c r="E49" s="139" t="s">
        <v>155</v>
      </c>
      <c r="F49" s="139" t="s">
        <v>156</v>
      </c>
      <c r="G49" s="139" t="s">
        <v>160</v>
      </c>
      <c r="H49" s="139" t="s">
        <v>180</v>
      </c>
      <c r="I49" s="139" t="s">
        <v>251</v>
      </c>
    </row>
    <row r="50" spans="1:9" hidden="1" x14ac:dyDescent="0.25">
      <c r="A50" s="139"/>
      <c r="B50" s="141">
        <v>2289516714</v>
      </c>
      <c r="C50" s="139" t="s">
        <v>252</v>
      </c>
      <c r="D50" s="141">
        <v>3352110459</v>
      </c>
      <c r="E50" s="139" t="s">
        <v>155</v>
      </c>
      <c r="F50" s="139" t="s">
        <v>156</v>
      </c>
      <c r="G50" s="139" t="s">
        <v>253</v>
      </c>
      <c r="H50" s="139" t="s">
        <v>192</v>
      </c>
      <c r="I50" s="139" t="s">
        <v>254</v>
      </c>
    </row>
    <row r="51" spans="1:9" hidden="1" x14ac:dyDescent="0.25">
      <c r="A51" s="139"/>
      <c r="B51" s="140">
        <v>44</v>
      </c>
      <c r="C51" s="139" t="s">
        <v>255</v>
      </c>
      <c r="D51" s="141">
        <v>2831710277</v>
      </c>
      <c r="E51" s="139" t="s">
        <v>155</v>
      </c>
      <c r="F51" s="139" t="s">
        <v>156</v>
      </c>
      <c r="G51" s="139" t="s">
        <v>157</v>
      </c>
      <c r="H51" s="139" t="s">
        <v>189</v>
      </c>
      <c r="I51" s="139" t="s">
        <v>190</v>
      </c>
    </row>
    <row r="52" spans="1:9" hidden="1" x14ac:dyDescent="0.25">
      <c r="A52" s="139"/>
      <c r="B52" s="141">
        <v>2289516891</v>
      </c>
      <c r="C52" s="139" t="s">
        <v>256</v>
      </c>
      <c r="D52" s="141">
        <v>3644802549</v>
      </c>
      <c r="E52" s="139" t="s">
        <v>155</v>
      </c>
      <c r="F52" s="139" t="s">
        <v>156</v>
      </c>
      <c r="G52" s="139" t="s">
        <v>160</v>
      </c>
      <c r="H52" s="139" t="s">
        <v>228</v>
      </c>
      <c r="I52" s="139" t="s">
        <v>257</v>
      </c>
    </row>
    <row r="53" spans="1:9" hidden="1" x14ac:dyDescent="0.25">
      <c r="A53" s="139"/>
      <c r="B53" s="140">
        <v>21</v>
      </c>
      <c r="C53" s="139" t="s">
        <v>258</v>
      </c>
      <c r="D53" s="141">
        <v>3244112838</v>
      </c>
      <c r="E53" s="139" t="s">
        <v>155</v>
      </c>
      <c r="F53" s="139" t="s">
        <v>156</v>
      </c>
      <c r="G53" s="139" t="s">
        <v>160</v>
      </c>
      <c r="H53" s="139" t="s">
        <v>259</v>
      </c>
      <c r="I53" s="139" t="s">
        <v>260</v>
      </c>
    </row>
    <row r="54" spans="1:9" hidden="1" x14ac:dyDescent="0.25">
      <c r="A54" s="139"/>
      <c r="B54" s="140">
        <v>5</v>
      </c>
      <c r="C54" s="139" t="s">
        <v>261</v>
      </c>
      <c r="D54" s="141">
        <v>3244112838</v>
      </c>
      <c r="E54" s="139" t="s">
        <v>155</v>
      </c>
      <c r="F54" s="139" t="s">
        <v>177</v>
      </c>
      <c r="G54" s="139" t="s">
        <v>160</v>
      </c>
      <c r="H54" s="139" t="s">
        <v>259</v>
      </c>
      <c r="I54" s="139" t="s">
        <v>262</v>
      </c>
    </row>
    <row r="55" spans="1:9" hidden="1" x14ac:dyDescent="0.25">
      <c r="A55" s="139"/>
      <c r="B55" s="140">
        <v>1</v>
      </c>
      <c r="C55" s="139" t="s">
        <v>263</v>
      </c>
      <c r="D55" s="141">
        <v>3209513925</v>
      </c>
      <c r="E55" s="139" t="s">
        <v>155</v>
      </c>
      <c r="F55" s="139" t="s">
        <v>177</v>
      </c>
      <c r="G55" s="139" t="s">
        <v>160</v>
      </c>
      <c r="H55" s="139" t="s">
        <v>259</v>
      </c>
      <c r="I55" s="139" t="s">
        <v>264</v>
      </c>
    </row>
    <row r="56" spans="1:9" hidden="1" x14ac:dyDescent="0.25">
      <c r="A56" s="139"/>
      <c r="B56" s="141">
        <v>2289516780</v>
      </c>
      <c r="C56" s="139" t="s">
        <v>265</v>
      </c>
      <c r="D56" s="141">
        <v>2865402633</v>
      </c>
      <c r="E56" s="139" t="s">
        <v>155</v>
      </c>
      <c r="F56" s="139" t="s">
        <v>156</v>
      </c>
      <c r="G56" s="139" t="s">
        <v>185</v>
      </c>
      <c r="H56" s="139" t="s">
        <v>243</v>
      </c>
      <c r="I56" s="139" t="s">
        <v>266</v>
      </c>
    </row>
    <row r="57" spans="1:9" hidden="1" x14ac:dyDescent="0.25">
      <c r="A57" s="139"/>
      <c r="B57" s="141">
        <v>2289516750</v>
      </c>
      <c r="C57" s="139" t="s">
        <v>267</v>
      </c>
      <c r="D57" s="141">
        <v>3624204536</v>
      </c>
      <c r="E57" s="139" t="s">
        <v>155</v>
      </c>
      <c r="F57" s="139" t="s">
        <v>156</v>
      </c>
      <c r="G57" s="139" t="s">
        <v>253</v>
      </c>
      <c r="H57" s="139" t="s">
        <v>186</v>
      </c>
      <c r="I57" s="139" t="s">
        <v>268</v>
      </c>
    </row>
    <row r="58" spans="1:9" hidden="1" x14ac:dyDescent="0.25">
      <c r="A58" s="139"/>
      <c r="B58" s="141">
        <v>2289516773</v>
      </c>
      <c r="C58" s="139" t="s">
        <v>269</v>
      </c>
      <c r="D58" s="141">
        <v>2623706617</v>
      </c>
      <c r="E58" s="139" t="s">
        <v>155</v>
      </c>
      <c r="F58" s="139" t="s">
        <v>156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270</v>
      </c>
      <c r="D59" s="141">
        <v>3173022999</v>
      </c>
      <c r="E59" s="139" t="s">
        <v>155</v>
      </c>
      <c r="F59" s="139" t="s">
        <v>156</v>
      </c>
      <c r="G59" s="139" t="s">
        <v>271</v>
      </c>
      <c r="H59" s="139" t="s">
        <v>186</v>
      </c>
      <c r="I59" s="139" t="s">
        <v>272</v>
      </c>
    </row>
    <row r="60" spans="1:9" hidden="1" x14ac:dyDescent="0.25">
      <c r="A60" s="139"/>
      <c r="B60" s="141">
        <v>2289516759</v>
      </c>
      <c r="C60" s="139" t="s">
        <v>273</v>
      </c>
      <c r="D60" s="141">
        <v>3188300613</v>
      </c>
      <c r="E60" s="139" t="s">
        <v>155</v>
      </c>
      <c r="F60" s="139" t="s">
        <v>156</v>
      </c>
      <c r="G60" s="139" t="s">
        <v>242</v>
      </c>
      <c r="H60" s="139" t="s">
        <v>205</v>
      </c>
      <c r="I60" s="139" t="s">
        <v>274</v>
      </c>
    </row>
    <row r="61" spans="1:9" hidden="1" x14ac:dyDescent="0.25">
      <c r="A61" s="139"/>
      <c r="B61" s="141">
        <v>2289516816</v>
      </c>
      <c r="C61" s="139" t="s">
        <v>275</v>
      </c>
      <c r="D61" s="141">
        <v>3255109619</v>
      </c>
      <c r="E61" s="139" t="s">
        <v>155</v>
      </c>
      <c r="F61" s="139" t="s">
        <v>156</v>
      </c>
      <c r="G61" s="139" t="s">
        <v>160</v>
      </c>
      <c r="H61" s="139" t="s">
        <v>276</v>
      </c>
      <c r="I61" s="139" t="s">
        <v>277</v>
      </c>
    </row>
    <row r="62" spans="1:9" hidden="1" x14ac:dyDescent="0.25">
      <c r="A62" s="139"/>
      <c r="B62" s="141">
        <v>2289516817</v>
      </c>
      <c r="C62" s="139" t="s">
        <v>278</v>
      </c>
      <c r="D62" s="141">
        <v>2985420914</v>
      </c>
      <c r="E62" s="139" t="s">
        <v>155</v>
      </c>
      <c r="F62" s="139" t="s">
        <v>156</v>
      </c>
      <c r="G62" s="139" t="s">
        <v>279</v>
      </c>
      <c r="H62" s="139" t="s">
        <v>231</v>
      </c>
      <c r="I62" s="139" t="s">
        <v>232</v>
      </c>
    </row>
    <row r="63" spans="1:9" hidden="1" x14ac:dyDescent="0.25">
      <c r="A63" s="139"/>
      <c r="B63" s="140">
        <v>50</v>
      </c>
      <c r="C63" s="139" t="s">
        <v>280</v>
      </c>
      <c r="D63" s="141">
        <v>2273121637</v>
      </c>
      <c r="E63" s="139" t="s">
        <v>155</v>
      </c>
      <c r="F63" s="139" t="s">
        <v>156</v>
      </c>
      <c r="G63" s="139" t="s">
        <v>281</v>
      </c>
      <c r="H63" s="139" t="s">
        <v>196</v>
      </c>
      <c r="I63" s="139" t="s">
        <v>282</v>
      </c>
    </row>
    <row r="64" spans="1:9" hidden="1" x14ac:dyDescent="0.25">
      <c r="A64" s="139"/>
      <c r="B64" s="141">
        <v>2289516854</v>
      </c>
      <c r="C64" s="139" t="s">
        <v>283</v>
      </c>
      <c r="D64" s="141">
        <v>2470006146</v>
      </c>
      <c r="E64" s="139" t="s">
        <v>155</v>
      </c>
      <c r="F64" s="139" t="s">
        <v>156</v>
      </c>
      <c r="G64" s="139" t="s">
        <v>160</v>
      </c>
      <c r="H64" s="139" t="s">
        <v>284</v>
      </c>
      <c r="I64" s="139" t="s">
        <v>285</v>
      </c>
    </row>
    <row r="65" spans="1:9" hidden="1" x14ac:dyDescent="0.25">
      <c r="A65" s="139"/>
      <c r="B65" s="140">
        <v>57</v>
      </c>
      <c r="C65" s="139" t="s">
        <v>283</v>
      </c>
      <c r="D65" s="141">
        <v>2470006146</v>
      </c>
      <c r="E65" s="139" t="s">
        <v>155</v>
      </c>
      <c r="F65" s="139" t="s">
        <v>177</v>
      </c>
      <c r="G65" s="139" t="s">
        <v>160</v>
      </c>
      <c r="H65" s="139" t="s">
        <v>284</v>
      </c>
      <c r="I65" s="139" t="s">
        <v>286</v>
      </c>
    </row>
    <row r="66" spans="1:9" hidden="1" x14ac:dyDescent="0.25">
      <c r="A66" s="139"/>
      <c r="B66" s="140">
        <v>100</v>
      </c>
      <c r="C66" s="139" t="s">
        <v>287</v>
      </c>
      <c r="D66" s="141">
        <v>3302818011</v>
      </c>
      <c r="E66" s="139" t="s">
        <v>155</v>
      </c>
      <c r="F66" s="139" t="s">
        <v>156</v>
      </c>
      <c r="G66" s="139" t="s">
        <v>199</v>
      </c>
      <c r="H66" s="139" t="s">
        <v>231</v>
      </c>
      <c r="I66" s="139" t="s">
        <v>288</v>
      </c>
    </row>
    <row r="67" spans="1:9" hidden="1" x14ac:dyDescent="0.25">
      <c r="A67" s="139"/>
      <c r="B67" s="141">
        <v>2289516876</v>
      </c>
      <c r="C67" s="139" t="s">
        <v>289</v>
      </c>
      <c r="D67" s="141">
        <v>3016814180</v>
      </c>
      <c r="E67" s="139" t="s">
        <v>155</v>
      </c>
      <c r="F67" s="139" t="s">
        <v>156</v>
      </c>
      <c r="G67" s="139" t="s">
        <v>160</v>
      </c>
      <c r="H67" s="139" t="s">
        <v>208</v>
      </c>
      <c r="I67" s="139" t="s">
        <v>290</v>
      </c>
    </row>
    <row r="68" spans="1:9" hidden="1" x14ac:dyDescent="0.25">
      <c r="A68" s="139"/>
      <c r="B68" s="140">
        <v>75</v>
      </c>
      <c r="C68" s="139" t="s">
        <v>291</v>
      </c>
      <c r="D68" s="141">
        <v>3596200395</v>
      </c>
      <c r="E68" s="139" t="s">
        <v>155</v>
      </c>
      <c r="F68" s="139" t="s">
        <v>156</v>
      </c>
      <c r="G68" s="139" t="s">
        <v>157</v>
      </c>
      <c r="H68" s="139" t="s">
        <v>192</v>
      </c>
      <c r="I68" s="139" t="s">
        <v>292</v>
      </c>
    </row>
    <row r="69" spans="1:9" hidden="1" x14ac:dyDescent="0.25">
      <c r="A69" s="139"/>
      <c r="B69" s="140">
        <v>189</v>
      </c>
      <c r="C69" s="139" t="s">
        <v>293</v>
      </c>
      <c r="D69" s="141">
        <v>3013807931</v>
      </c>
      <c r="E69" s="139" t="s">
        <v>155</v>
      </c>
      <c r="F69" s="139" t="s">
        <v>156</v>
      </c>
      <c r="G69" s="139" t="s">
        <v>271</v>
      </c>
      <c r="H69" s="139" t="s">
        <v>294</v>
      </c>
      <c r="I69" s="139" t="s">
        <v>295</v>
      </c>
    </row>
    <row r="70" spans="1:9" hidden="1" x14ac:dyDescent="0.25">
      <c r="A70" s="139"/>
      <c r="B70" s="141">
        <v>2289516901</v>
      </c>
      <c r="C70" s="139" t="s">
        <v>296</v>
      </c>
      <c r="D70" s="141">
        <v>2375803431</v>
      </c>
      <c r="E70" s="139" t="s">
        <v>155</v>
      </c>
      <c r="F70" s="139" t="s">
        <v>156</v>
      </c>
      <c r="G70" s="139" t="s">
        <v>215</v>
      </c>
      <c r="H70" s="139" t="s">
        <v>294</v>
      </c>
      <c r="I70" s="139" t="s">
        <v>297</v>
      </c>
    </row>
    <row r="71" spans="1:9" hidden="1" x14ac:dyDescent="0.25">
      <c r="A71" s="139"/>
      <c r="B71" s="140">
        <v>38</v>
      </c>
      <c r="C71" s="139" t="s">
        <v>298</v>
      </c>
      <c r="D71" s="141">
        <v>2436600937</v>
      </c>
      <c r="E71" s="139" t="s">
        <v>155</v>
      </c>
      <c r="F71" s="139" t="s">
        <v>156</v>
      </c>
      <c r="G71" s="139" t="s">
        <v>157</v>
      </c>
      <c r="H71" s="139" t="s">
        <v>158</v>
      </c>
      <c r="I71" s="139" t="s">
        <v>190</v>
      </c>
    </row>
    <row r="72" spans="1:9" hidden="1" x14ac:dyDescent="0.25">
      <c r="A72" s="139"/>
      <c r="B72" s="140">
        <v>65</v>
      </c>
      <c r="C72" s="139" t="s">
        <v>299</v>
      </c>
      <c r="D72" s="141">
        <v>3422005391</v>
      </c>
      <c r="E72" s="139" t="s">
        <v>155</v>
      </c>
      <c r="F72" s="139" t="s">
        <v>156</v>
      </c>
      <c r="G72" s="139" t="s">
        <v>157</v>
      </c>
      <c r="H72" s="139" t="s">
        <v>192</v>
      </c>
      <c r="I72" s="139" t="s">
        <v>300</v>
      </c>
    </row>
    <row r="73" spans="1:9" hidden="1" x14ac:dyDescent="0.25">
      <c r="A73" s="139"/>
      <c r="B73" s="140">
        <v>66</v>
      </c>
      <c r="C73" s="139" t="s">
        <v>301</v>
      </c>
      <c r="D73" s="141">
        <v>3720407672</v>
      </c>
      <c r="E73" s="139" t="s">
        <v>155</v>
      </c>
      <c r="F73" s="139" t="s">
        <v>156</v>
      </c>
      <c r="G73" s="139" t="s">
        <v>157</v>
      </c>
      <c r="H73" s="139" t="s">
        <v>158</v>
      </c>
      <c r="I73" s="139" t="s">
        <v>302</v>
      </c>
    </row>
    <row r="74" spans="1:9" hidden="1" x14ac:dyDescent="0.25">
      <c r="A74" s="139"/>
      <c r="B74" s="140">
        <v>140</v>
      </c>
      <c r="C74" s="139" t="s">
        <v>303</v>
      </c>
      <c r="D74" s="141">
        <v>3357614594</v>
      </c>
      <c r="E74" s="139" t="s">
        <v>155</v>
      </c>
      <c r="F74" s="139" t="s">
        <v>156</v>
      </c>
      <c r="G74" s="139" t="s">
        <v>199</v>
      </c>
      <c r="H74" s="139" t="s">
        <v>196</v>
      </c>
      <c r="I74" s="139" t="s">
        <v>304</v>
      </c>
    </row>
    <row r="75" spans="1:9" hidden="1" x14ac:dyDescent="0.25">
      <c r="A75" s="139"/>
      <c r="B75" s="140">
        <v>2</v>
      </c>
      <c r="C75" s="139" t="s">
        <v>305</v>
      </c>
      <c r="D75" s="141">
        <v>2751711415</v>
      </c>
      <c r="E75" s="139" t="s">
        <v>155</v>
      </c>
      <c r="F75" s="139" t="s">
        <v>156</v>
      </c>
      <c r="G75" s="139" t="s">
        <v>160</v>
      </c>
      <c r="H75" s="139" t="s">
        <v>259</v>
      </c>
      <c r="I75" s="139" t="s">
        <v>162</v>
      </c>
    </row>
    <row r="76" spans="1:9" hidden="1" x14ac:dyDescent="0.25">
      <c r="A76" s="139"/>
      <c r="B76" s="140">
        <v>129</v>
      </c>
      <c r="C76" s="139" t="s">
        <v>306</v>
      </c>
      <c r="D76" s="141">
        <v>2751711415</v>
      </c>
      <c r="E76" s="139" t="s">
        <v>155</v>
      </c>
      <c r="F76" s="139" t="s">
        <v>177</v>
      </c>
      <c r="G76" s="139" t="s">
        <v>160</v>
      </c>
      <c r="H76" s="139" t="s">
        <v>307</v>
      </c>
      <c r="I76" s="139" t="s">
        <v>162</v>
      </c>
    </row>
    <row r="77" spans="1:9" hidden="1" x14ac:dyDescent="0.25">
      <c r="A77" s="139"/>
      <c r="B77" s="140">
        <v>4</v>
      </c>
      <c r="C77" s="139" t="s">
        <v>308</v>
      </c>
      <c r="D77" s="141">
        <v>3382914593</v>
      </c>
      <c r="E77" s="139" t="s">
        <v>155</v>
      </c>
      <c r="F77" s="139" t="s">
        <v>156</v>
      </c>
      <c r="G77" s="139" t="s">
        <v>160</v>
      </c>
      <c r="H77" s="139" t="s">
        <v>309</v>
      </c>
      <c r="I77" s="139" t="s">
        <v>162</v>
      </c>
    </row>
    <row r="78" spans="1:9" hidden="1" x14ac:dyDescent="0.25">
      <c r="A78" s="139"/>
      <c r="B78" s="140">
        <v>15</v>
      </c>
      <c r="C78" s="139" t="s">
        <v>310</v>
      </c>
      <c r="D78" s="141">
        <v>3382914593</v>
      </c>
      <c r="E78" s="139" t="s">
        <v>155</v>
      </c>
      <c r="F78" s="139" t="s">
        <v>177</v>
      </c>
      <c r="G78" s="139" t="s">
        <v>160</v>
      </c>
      <c r="H78" s="139" t="s">
        <v>311</v>
      </c>
      <c r="I78" s="139" t="s">
        <v>178</v>
      </c>
    </row>
    <row r="79" spans="1:9" hidden="1" x14ac:dyDescent="0.25">
      <c r="A79" s="139"/>
      <c r="B79" s="141">
        <v>2289516801</v>
      </c>
      <c r="C79" s="139" t="s">
        <v>310</v>
      </c>
      <c r="D79" s="141">
        <v>3382914593</v>
      </c>
      <c r="E79" s="139" t="s">
        <v>155</v>
      </c>
      <c r="F79" s="139" t="s">
        <v>177</v>
      </c>
      <c r="G79" s="139" t="s">
        <v>160</v>
      </c>
      <c r="H79" s="139" t="s">
        <v>311</v>
      </c>
      <c r="I79" s="139" t="s">
        <v>312</v>
      </c>
    </row>
    <row r="80" spans="1:9" hidden="1" x14ac:dyDescent="0.25">
      <c r="A80" s="139"/>
      <c r="B80" s="141">
        <v>2289516889</v>
      </c>
      <c r="C80" s="139" t="s">
        <v>313</v>
      </c>
      <c r="D80" s="141">
        <v>2397610210</v>
      </c>
      <c r="E80" s="139" t="s">
        <v>155</v>
      </c>
      <c r="F80" s="139" t="s">
        <v>156</v>
      </c>
      <c r="G80" s="139" t="s">
        <v>215</v>
      </c>
      <c r="H80" s="139" t="s">
        <v>220</v>
      </c>
      <c r="I80" s="139" t="s">
        <v>314</v>
      </c>
    </row>
    <row r="81" spans="1:9" hidden="1" x14ac:dyDescent="0.25">
      <c r="A81" s="139"/>
      <c r="B81" s="140">
        <v>72</v>
      </c>
      <c r="C81" s="139" t="s">
        <v>315</v>
      </c>
      <c r="D81" s="141">
        <v>2719405689</v>
      </c>
      <c r="E81" s="139" t="s">
        <v>155</v>
      </c>
      <c r="F81" s="139" t="s">
        <v>156</v>
      </c>
      <c r="G81" s="139" t="s">
        <v>160</v>
      </c>
      <c r="H81" s="139" t="s">
        <v>316</v>
      </c>
      <c r="I81" s="139" t="s">
        <v>317</v>
      </c>
    </row>
    <row r="82" spans="1:9" hidden="1" x14ac:dyDescent="0.25">
      <c r="A82" s="139"/>
      <c r="B82" s="141">
        <v>2289516897</v>
      </c>
      <c r="C82" s="139" t="s">
        <v>318</v>
      </c>
      <c r="D82" s="141">
        <v>3467806092</v>
      </c>
      <c r="E82" s="139" t="s">
        <v>155</v>
      </c>
      <c r="F82" s="139" t="s">
        <v>156</v>
      </c>
      <c r="G82" s="139" t="s">
        <v>160</v>
      </c>
      <c r="H82" s="139" t="s">
        <v>284</v>
      </c>
      <c r="I82" s="139" t="s">
        <v>319</v>
      </c>
    </row>
    <row r="83" spans="1:9" hidden="1" x14ac:dyDescent="0.25">
      <c r="A83" s="139"/>
      <c r="B83" s="141">
        <v>2289516902</v>
      </c>
      <c r="C83" s="139" t="s">
        <v>320</v>
      </c>
      <c r="D83" s="141">
        <v>2461207992</v>
      </c>
      <c r="E83" s="139" t="s">
        <v>155</v>
      </c>
      <c r="F83" s="139" t="s">
        <v>156</v>
      </c>
      <c r="G83" s="139" t="s">
        <v>321</v>
      </c>
      <c r="H83" s="139" t="s">
        <v>322</v>
      </c>
      <c r="I83" s="139" t="s">
        <v>323</v>
      </c>
    </row>
    <row r="84" spans="1:9" hidden="1" x14ac:dyDescent="0.25">
      <c r="A84" s="139"/>
      <c r="B84" s="140">
        <v>62</v>
      </c>
      <c r="C84" s="139" t="s">
        <v>324</v>
      </c>
      <c r="D84" s="141">
        <v>3374502899</v>
      </c>
      <c r="E84" s="139" t="s">
        <v>155</v>
      </c>
      <c r="F84" s="139" t="s">
        <v>156</v>
      </c>
      <c r="G84" s="139" t="s">
        <v>157</v>
      </c>
      <c r="H84" s="139" t="s">
        <v>325</v>
      </c>
      <c r="I84" s="139" t="s">
        <v>326</v>
      </c>
    </row>
    <row r="85" spans="1:9" hidden="1" x14ac:dyDescent="0.25">
      <c r="A85" s="139"/>
      <c r="B85" s="140">
        <v>183</v>
      </c>
      <c r="C85" s="139" t="s">
        <v>327</v>
      </c>
      <c r="D85" s="141">
        <v>3445102618</v>
      </c>
      <c r="E85" s="139" t="s">
        <v>155</v>
      </c>
      <c r="F85" s="139" t="s">
        <v>156</v>
      </c>
      <c r="G85" s="139" t="s">
        <v>157</v>
      </c>
      <c r="H85" s="139" t="s">
        <v>328</v>
      </c>
      <c r="I85" s="139" t="s">
        <v>329</v>
      </c>
    </row>
    <row r="86" spans="1:9" hidden="1" x14ac:dyDescent="0.25">
      <c r="A86" s="139"/>
      <c r="B86" s="141">
        <v>2289516791</v>
      </c>
      <c r="C86" s="139" t="s">
        <v>330</v>
      </c>
      <c r="D86" s="141">
        <v>3118615738</v>
      </c>
      <c r="E86" s="139" t="s">
        <v>155</v>
      </c>
      <c r="F86" s="139" t="s">
        <v>156</v>
      </c>
      <c r="G86" s="139" t="s">
        <v>215</v>
      </c>
      <c r="H86" s="139" t="s">
        <v>231</v>
      </c>
      <c r="I86" s="139" t="s">
        <v>331</v>
      </c>
    </row>
    <row r="87" spans="1:9" hidden="1" x14ac:dyDescent="0.25">
      <c r="A87" s="139"/>
      <c r="B87" s="141">
        <v>2289516880</v>
      </c>
      <c r="C87" s="139" t="s">
        <v>332</v>
      </c>
      <c r="D87" s="141">
        <v>3744403051</v>
      </c>
      <c r="E87" s="139" t="s">
        <v>155</v>
      </c>
      <c r="F87" s="139" t="s">
        <v>156</v>
      </c>
      <c r="G87" s="139" t="s">
        <v>242</v>
      </c>
      <c r="H87" s="139" t="s">
        <v>205</v>
      </c>
      <c r="I87" s="139" t="s">
        <v>333</v>
      </c>
    </row>
    <row r="88" spans="1:9" hidden="1" x14ac:dyDescent="0.25">
      <c r="A88" s="139"/>
      <c r="B88" s="141">
        <v>2289516892</v>
      </c>
      <c r="C88" s="139" t="s">
        <v>334</v>
      </c>
      <c r="D88" s="141">
        <v>2893009237</v>
      </c>
      <c r="E88" s="139" t="s">
        <v>155</v>
      </c>
      <c r="F88" s="139" t="s">
        <v>156</v>
      </c>
      <c r="G88" s="139" t="s">
        <v>242</v>
      </c>
      <c r="H88" s="139" t="s">
        <v>205</v>
      </c>
      <c r="I88" s="139" t="s">
        <v>314</v>
      </c>
    </row>
    <row r="89" spans="1:9" hidden="1" x14ac:dyDescent="0.25">
      <c r="A89" s="139"/>
      <c r="B89" s="141">
        <v>2289516856</v>
      </c>
      <c r="C89" s="139" t="s">
        <v>335</v>
      </c>
      <c r="D89" s="141">
        <v>1939019075</v>
      </c>
      <c r="E89" s="139" t="s">
        <v>155</v>
      </c>
      <c r="F89" s="139" t="s">
        <v>177</v>
      </c>
      <c r="G89" s="139" t="s">
        <v>195</v>
      </c>
      <c r="H89" s="139" t="s">
        <v>336</v>
      </c>
      <c r="I89" s="139" t="s">
        <v>337</v>
      </c>
    </row>
    <row r="90" spans="1:9" hidden="1" x14ac:dyDescent="0.25">
      <c r="A90" s="139"/>
      <c r="B90" s="140">
        <v>108</v>
      </c>
      <c r="C90" s="139" t="s">
        <v>338</v>
      </c>
      <c r="D90" s="141">
        <v>2871014384</v>
      </c>
      <c r="E90" s="139" t="s">
        <v>155</v>
      </c>
      <c r="F90" s="139" t="s">
        <v>156</v>
      </c>
      <c r="G90" s="139" t="s">
        <v>160</v>
      </c>
      <c r="H90" s="139" t="s">
        <v>339</v>
      </c>
      <c r="I90" s="139" t="s">
        <v>340</v>
      </c>
    </row>
    <row r="91" spans="1:9" hidden="1" x14ac:dyDescent="0.25">
      <c r="A91" s="139"/>
      <c r="B91" s="141">
        <v>2289516705</v>
      </c>
      <c r="C91" s="139" t="s">
        <v>341</v>
      </c>
      <c r="D91" s="141">
        <v>3397508065</v>
      </c>
      <c r="E91" s="139" t="s">
        <v>155</v>
      </c>
      <c r="F91" s="139" t="s">
        <v>156</v>
      </c>
      <c r="G91" s="139" t="s">
        <v>160</v>
      </c>
      <c r="H91" s="139" t="s">
        <v>342</v>
      </c>
      <c r="I91" s="139" t="s">
        <v>343</v>
      </c>
    </row>
    <row r="92" spans="1:9" hidden="1" x14ac:dyDescent="0.25">
      <c r="A92" s="139"/>
      <c r="B92" s="140">
        <v>70</v>
      </c>
      <c r="C92" s="139" t="s">
        <v>344</v>
      </c>
      <c r="D92" s="141">
        <v>2637303953</v>
      </c>
      <c r="E92" s="139" t="s">
        <v>155</v>
      </c>
      <c r="F92" s="139" t="s">
        <v>156</v>
      </c>
      <c r="G92" s="139" t="s">
        <v>157</v>
      </c>
      <c r="H92" s="139" t="s">
        <v>192</v>
      </c>
      <c r="I92" s="139" t="s">
        <v>345</v>
      </c>
    </row>
    <row r="93" spans="1:9" hidden="1" x14ac:dyDescent="0.25">
      <c r="A93" s="139"/>
      <c r="B93" s="141">
        <v>2289516896</v>
      </c>
      <c r="C93" s="139" t="s">
        <v>346</v>
      </c>
      <c r="D93" s="141">
        <v>3336104191</v>
      </c>
      <c r="E93" s="139" t="s">
        <v>155</v>
      </c>
      <c r="F93" s="139" t="s">
        <v>156</v>
      </c>
      <c r="G93" s="139" t="s">
        <v>215</v>
      </c>
      <c r="H93" s="139" t="s">
        <v>347</v>
      </c>
      <c r="I93" s="139" t="s">
        <v>319</v>
      </c>
    </row>
    <row r="94" spans="1:9" hidden="1" x14ac:dyDescent="0.25">
      <c r="A94" s="139"/>
      <c r="B94" s="140">
        <v>274</v>
      </c>
      <c r="C94" s="139" t="s">
        <v>348</v>
      </c>
      <c r="D94" s="141">
        <v>3207413416</v>
      </c>
      <c r="E94" s="139" t="s">
        <v>155</v>
      </c>
      <c r="F94" s="139" t="s">
        <v>156</v>
      </c>
      <c r="G94" s="139" t="s">
        <v>160</v>
      </c>
      <c r="H94" s="139" t="s">
        <v>349</v>
      </c>
      <c r="I94" s="139" t="s">
        <v>350</v>
      </c>
    </row>
    <row r="95" spans="1:9" hidden="1" x14ac:dyDescent="0.25">
      <c r="A95" s="139"/>
      <c r="B95" s="139" t="s">
        <v>351</v>
      </c>
      <c r="C95" s="139" t="s">
        <v>352</v>
      </c>
      <c r="D95" s="141">
        <v>3207413416</v>
      </c>
      <c r="E95" s="139" t="s">
        <v>129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353</v>
      </c>
      <c r="D96" s="141">
        <v>3694604010</v>
      </c>
      <c r="E96" s="139" t="s">
        <v>155</v>
      </c>
      <c r="F96" s="139" t="s">
        <v>156</v>
      </c>
      <c r="G96" s="139" t="s">
        <v>211</v>
      </c>
      <c r="H96" s="139" t="s">
        <v>212</v>
      </c>
      <c r="I96" s="139" t="s">
        <v>354</v>
      </c>
    </row>
    <row r="97" spans="1:9" hidden="1" x14ac:dyDescent="0.25">
      <c r="A97" s="139"/>
      <c r="B97" s="140">
        <v>48</v>
      </c>
      <c r="C97" s="139" t="s">
        <v>355</v>
      </c>
      <c r="D97" s="141">
        <v>2958309437</v>
      </c>
      <c r="E97" s="139" t="s">
        <v>155</v>
      </c>
      <c r="F97" s="139" t="s">
        <v>156</v>
      </c>
      <c r="G97" s="139" t="s">
        <v>160</v>
      </c>
      <c r="H97" s="139" t="s">
        <v>356</v>
      </c>
      <c r="I97" s="139" t="s">
        <v>357</v>
      </c>
    </row>
    <row r="98" spans="1:9" hidden="1" x14ac:dyDescent="0.25">
      <c r="A98" s="139"/>
      <c r="B98" s="141">
        <v>2289516883</v>
      </c>
      <c r="C98" s="139" t="s">
        <v>358</v>
      </c>
      <c r="D98" s="141">
        <v>3601207735</v>
      </c>
      <c r="E98" s="139" t="s">
        <v>155</v>
      </c>
      <c r="F98" s="139" t="s">
        <v>156</v>
      </c>
      <c r="G98" s="139" t="s">
        <v>242</v>
      </c>
      <c r="H98" s="139" t="s">
        <v>359</v>
      </c>
      <c r="I98" s="139" t="s">
        <v>181</v>
      </c>
    </row>
    <row r="99" spans="1:9" hidden="1" x14ac:dyDescent="0.25">
      <c r="A99" s="139"/>
      <c r="B99" s="141">
        <v>2289516735</v>
      </c>
      <c r="C99" s="139" t="s">
        <v>360</v>
      </c>
      <c r="D99" s="141">
        <v>3053422190</v>
      </c>
      <c r="E99" s="139" t="s">
        <v>155</v>
      </c>
      <c r="F99" s="139" t="s">
        <v>156</v>
      </c>
      <c r="G99" s="139" t="s">
        <v>160</v>
      </c>
      <c r="H99" s="139" t="s">
        <v>228</v>
      </c>
      <c r="I99" s="139" t="s">
        <v>361</v>
      </c>
    </row>
    <row r="100" spans="1:9" hidden="1" x14ac:dyDescent="0.25">
      <c r="A100" s="139"/>
      <c r="B100" s="140">
        <v>197</v>
      </c>
      <c r="C100" s="139" t="s">
        <v>362</v>
      </c>
      <c r="D100" s="141">
        <v>3293018293</v>
      </c>
      <c r="E100" s="139" t="s">
        <v>155</v>
      </c>
      <c r="F100" s="139" t="s">
        <v>156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363</v>
      </c>
      <c r="D101" s="141">
        <v>3119810293</v>
      </c>
      <c r="E101" s="139" t="s">
        <v>155</v>
      </c>
      <c r="F101" s="139" t="s">
        <v>156</v>
      </c>
      <c r="G101" s="139" t="s">
        <v>242</v>
      </c>
      <c r="H101" s="139" t="s">
        <v>205</v>
      </c>
      <c r="I101" s="139" t="s">
        <v>364</v>
      </c>
    </row>
    <row r="102" spans="1:9" hidden="1" x14ac:dyDescent="0.25">
      <c r="A102" s="139"/>
      <c r="B102" s="140">
        <v>42</v>
      </c>
      <c r="C102" s="139" t="s">
        <v>365</v>
      </c>
      <c r="D102" s="141">
        <v>3705902230</v>
      </c>
      <c r="E102" s="139" t="s">
        <v>155</v>
      </c>
      <c r="F102" s="139" t="s">
        <v>156</v>
      </c>
      <c r="G102" s="139" t="s">
        <v>157</v>
      </c>
      <c r="H102" s="139" t="s">
        <v>189</v>
      </c>
      <c r="I102" s="139" t="s">
        <v>190</v>
      </c>
    </row>
    <row r="103" spans="1:9" hidden="1" x14ac:dyDescent="0.25">
      <c r="A103" s="139"/>
      <c r="B103" s="140">
        <v>8</v>
      </c>
      <c r="C103" s="139" t="s">
        <v>366</v>
      </c>
      <c r="D103" s="141">
        <v>3779110293</v>
      </c>
      <c r="E103" s="139" t="s">
        <v>155</v>
      </c>
      <c r="F103" s="139" t="s">
        <v>156</v>
      </c>
      <c r="G103" s="139" t="s">
        <v>157</v>
      </c>
      <c r="H103" s="139" t="s">
        <v>325</v>
      </c>
      <c r="I103" s="139" t="s">
        <v>367</v>
      </c>
    </row>
    <row r="104" spans="1:9" hidden="1" x14ac:dyDescent="0.25">
      <c r="A104" s="139"/>
      <c r="B104" s="140">
        <v>137</v>
      </c>
      <c r="C104" s="139" t="s">
        <v>368</v>
      </c>
      <c r="D104" s="141">
        <v>3166313137</v>
      </c>
      <c r="E104" s="139" t="s">
        <v>155</v>
      </c>
      <c r="F104" s="139" t="s">
        <v>156</v>
      </c>
      <c r="G104" s="139" t="s">
        <v>199</v>
      </c>
      <c r="H104" s="139" t="s">
        <v>359</v>
      </c>
      <c r="I104" s="139" t="s">
        <v>369</v>
      </c>
    </row>
    <row r="105" spans="1:9" hidden="1" x14ac:dyDescent="0.25">
      <c r="A105" s="139"/>
      <c r="B105" s="141">
        <v>2289516888</v>
      </c>
      <c r="C105" s="139" t="s">
        <v>370</v>
      </c>
      <c r="D105" s="141">
        <v>2492508275</v>
      </c>
      <c r="E105" s="139" t="s">
        <v>155</v>
      </c>
      <c r="F105" s="139" t="s">
        <v>156</v>
      </c>
      <c r="G105" s="139" t="s">
        <v>215</v>
      </c>
      <c r="H105" s="139" t="s">
        <v>220</v>
      </c>
      <c r="I105" s="139" t="s">
        <v>371</v>
      </c>
    </row>
    <row r="106" spans="1:9" hidden="1" x14ac:dyDescent="0.25">
      <c r="A106" s="139"/>
      <c r="B106" s="141">
        <v>2289516890</v>
      </c>
      <c r="C106" s="139" t="s">
        <v>372</v>
      </c>
      <c r="D106" s="141">
        <v>2345601097</v>
      </c>
      <c r="E106" s="139" t="s">
        <v>155</v>
      </c>
      <c r="F106" s="139" t="s">
        <v>177</v>
      </c>
      <c r="G106" s="139" t="s">
        <v>242</v>
      </c>
      <c r="H106" s="139" t="s">
        <v>336</v>
      </c>
      <c r="I106" s="139" t="s">
        <v>257</v>
      </c>
    </row>
    <row r="107" spans="1:9" hidden="1" x14ac:dyDescent="0.25">
      <c r="A107" s="139"/>
      <c r="B107" s="141">
        <v>2289516878</v>
      </c>
      <c r="C107" s="139" t="s">
        <v>373</v>
      </c>
      <c r="D107" s="141">
        <v>3568405559</v>
      </c>
      <c r="E107" s="139" t="s">
        <v>155</v>
      </c>
      <c r="F107" s="139" t="s">
        <v>156</v>
      </c>
      <c r="G107" s="139" t="s">
        <v>215</v>
      </c>
      <c r="H107" s="139" t="s">
        <v>347</v>
      </c>
      <c r="I107" s="139" t="s">
        <v>326</v>
      </c>
    </row>
    <row r="108" spans="1:9" hidden="1" x14ac:dyDescent="0.25">
      <c r="A108" s="139"/>
      <c r="B108" s="140">
        <v>68</v>
      </c>
      <c r="C108" s="139" t="s">
        <v>374</v>
      </c>
      <c r="D108" s="141">
        <v>2521518612</v>
      </c>
      <c r="E108" s="139" t="s">
        <v>155</v>
      </c>
      <c r="F108" s="139" t="s">
        <v>156</v>
      </c>
      <c r="G108" s="139" t="s">
        <v>157</v>
      </c>
      <c r="H108" s="139" t="s">
        <v>158</v>
      </c>
      <c r="I108" s="139" t="s">
        <v>213</v>
      </c>
    </row>
    <row r="109" spans="1:9" hidden="1" x14ac:dyDescent="0.25">
      <c r="A109" s="139"/>
      <c r="B109" s="141">
        <v>2289516697</v>
      </c>
      <c r="C109" s="139" t="s">
        <v>375</v>
      </c>
      <c r="D109" s="141">
        <v>3073110819</v>
      </c>
      <c r="E109" s="139" t="s">
        <v>155</v>
      </c>
      <c r="F109" s="139" t="s">
        <v>156</v>
      </c>
      <c r="G109" s="139" t="s">
        <v>271</v>
      </c>
      <c r="H109" s="139" t="s">
        <v>186</v>
      </c>
      <c r="I109" s="139" t="s">
        <v>272</v>
      </c>
    </row>
    <row r="110" spans="1:9" hidden="1" x14ac:dyDescent="0.25">
      <c r="A110" s="139"/>
      <c r="B110" s="141">
        <v>2289516708</v>
      </c>
      <c r="C110" s="139" t="s">
        <v>376</v>
      </c>
      <c r="D110" s="141">
        <v>3503711344</v>
      </c>
      <c r="E110" s="139" t="s">
        <v>155</v>
      </c>
      <c r="F110" s="139" t="s">
        <v>156</v>
      </c>
      <c r="G110" s="139" t="s">
        <v>160</v>
      </c>
      <c r="H110" s="139" t="s">
        <v>284</v>
      </c>
      <c r="I110" s="139" t="s">
        <v>377</v>
      </c>
    </row>
    <row r="111" spans="1:9" hidden="1" x14ac:dyDescent="0.25">
      <c r="A111" s="139"/>
      <c r="B111" s="141">
        <v>2289516895</v>
      </c>
      <c r="C111" s="139" t="s">
        <v>378</v>
      </c>
      <c r="D111" s="141">
        <v>3220619518</v>
      </c>
      <c r="E111" s="139" t="s">
        <v>155</v>
      </c>
      <c r="F111" s="139" t="s">
        <v>156</v>
      </c>
      <c r="G111" s="139" t="s">
        <v>215</v>
      </c>
      <c r="H111" s="139" t="s">
        <v>243</v>
      </c>
      <c r="I111" s="139" t="s">
        <v>379</v>
      </c>
    </row>
    <row r="112" spans="1:9" hidden="1" x14ac:dyDescent="0.25">
      <c r="A112" s="139"/>
      <c r="B112" s="141">
        <v>2289516703</v>
      </c>
      <c r="C112" s="139" t="s">
        <v>380</v>
      </c>
      <c r="D112" s="141">
        <v>3132604831</v>
      </c>
      <c r="E112" s="139" t="s">
        <v>155</v>
      </c>
      <c r="F112" s="139" t="s">
        <v>156</v>
      </c>
      <c r="G112" s="139" t="s">
        <v>215</v>
      </c>
      <c r="H112" s="139" t="s">
        <v>294</v>
      </c>
      <c r="I112" s="139" t="s">
        <v>197</v>
      </c>
    </row>
    <row r="113" spans="1:9" hidden="1" x14ac:dyDescent="0.25">
      <c r="A113" s="139"/>
      <c r="B113" s="140">
        <v>147</v>
      </c>
      <c r="C113" s="139" t="s">
        <v>381</v>
      </c>
      <c r="D113" s="141">
        <v>3012604857</v>
      </c>
      <c r="E113" s="139" t="s">
        <v>155</v>
      </c>
      <c r="F113" s="139" t="s">
        <v>156</v>
      </c>
      <c r="G113" s="139" t="s">
        <v>382</v>
      </c>
      <c r="H113" s="139" t="s">
        <v>161</v>
      </c>
      <c r="I113" s="139" t="s">
        <v>383</v>
      </c>
    </row>
    <row r="114" spans="1:9" hidden="1" x14ac:dyDescent="0.25">
      <c r="A114" s="139"/>
      <c r="B114" s="140">
        <v>16</v>
      </c>
      <c r="C114" s="139" t="s">
        <v>384</v>
      </c>
      <c r="D114" s="141">
        <v>3382504985</v>
      </c>
      <c r="E114" s="139" t="s">
        <v>155</v>
      </c>
      <c r="F114" s="139" t="s">
        <v>156</v>
      </c>
      <c r="G114" s="139" t="s">
        <v>211</v>
      </c>
      <c r="H114" s="139" t="s">
        <v>212</v>
      </c>
      <c r="I114" s="139" t="s">
        <v>385</v>
      </c>
    </row>
    <row r="115" spans="1:9" hidden="1" x14ac:dyDescent="0.25">
      <c r="A115" s="139"/>
      <c r="B115" s="141">
        <v>2289516872</v>
      </c>
      <c r="C115" s="139" t="s">
        <v>386</v>
      </c>
      <c r="D115" s="141">
        <v>3045613635</v>
      </c>
      <c r="E115" s="139" t="s">
        <v>155</v>
      </c>
      <c r="F115" s="139" t="s">
        <v>156</v>
      </c>
      <c r="G115" s="139" t="s">
        <v>215</v>
      </c>
      <c r="H115" s="139" t="s">
        <v>347</v>
      </c>
      <c r="I115" s="139" t="s">
        <v>387</v>
      </c>
    </row>
    <row r="116" spans="1:9" hidden="1" x14ac:dyDescent="0.25">
      <c r="A116" s="139"/>
      <c r="B116" s="140">
        <v>22</v>
      </c>
      <c r="C116" s="139" t="s">
        <v>388</v>
      </c>
      <c r="D116" s="141">
        <v>3672909960</v>
      </c>
      <c r="E116" s="139" t="s">
        <v>155</v>
      </c>
      <c r="F116" s="139" t="s">
        <v>156</v>
      </c>
      <c r="G116" s="139" t="s">
        <v>211</v>
      </c>
      <c r="H116" s="139" t="s">
        <v>212</v>
      </c>
      <c r="I116" s="139" t="s">
        <v>389</v>
      </c>
    </row>
    <row r="117" spans="1:9" hidden="1" x14ac:dyDescent="0.25">
      <c r="A117" s="139"/>
      <c r="B117" s="141">
        <v>2289516824</v>
      </c>
      <c r="C117" s="139" t="s">
        <v>390</v>
      </c>
      <c r="D117" s="141">
        <v>3339117352</v>
      </c>
      <c r="E117" s="139" t="s">
        <v>155</v>
      </c>
      <c r="F117" s="139" t="s">
        <v>156</v>
      </c>
      <c r="G117" s="139" t="s">
        <v>215</v>
      </c>
      <c r="H117" s="139" t="s">
        <v>205</v>
      </c>
      <c r="I117" s="139" t="s">
        <v>391</v>
      </c>
    </row>
    <row r="118" spans="1:9" hidden="1" x14ac:dyDescent="0.25">
      <c r="A118" s="139"/>
      <c r="B118" s="141">
        <v>2289516825</v>
      </c>
      <c r="C118" s="139" t="s">
        <v>392</v>
      </c>
      <c r="D118" s="141">
        <v>3414715392</v>
      </c>
      <c r="E118" s="139" t="s">
        <v>155</v>
      </c>
      <c r="F118" s="139" t="s">
        <v>156</v>
      </c>
      <c r="G118" s="139" t="s">
        <v>215</v>
      </c>
      <c r="H118" s="139" t="s">
        <v>205</v>
      </c>
      <c r="I118" s="139" t="s">
        <v>391</v>
      </c>
    </row>
    <row r="119" spans="1:9" hidden="1" x14ac:dyDescent="0.25">
      <c r="A119" s="139"/>
      <c r="B119" s="140">
        <v>29</v>
      </c>
      <c r="C119" s="139" t="s">
        <v>393</v>
      </c>
      <c r="D119" s="141">
        <v>3204901230</v>
      </c>
      <c r="E119" s="139" t="s">
        <v>155</v>
      </c>
      <c r="F119" s="139" t="s">
        <v>156</v>
      </c>
      <c r="G119" s="139" t="s">
        <v>157</v>
      </c>
      <c r="H119" s="139" t="s">
        <v>158</v>
      </c>
      <c r="I119" s="139" t="s">
        <v>159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155</v>
      </c>
      <c r="F120" s="139" t="s">
        <v>156</v>
      </c>
      <c r="G120" s="139" t="s">
        <v>157</v>
      </c>
      <c r="H120" s="139" t="s">
        <v>158</v>
      </c>
      <c r="I120" s="139" t="s">
        <v>394</v>
      </c>
    </row>
    <row r="121" spans="1:9" hidden="1" x14ac:dyDescent="0.25">
      <c r="A121" s="139"/>
      <c r="B121" s="140">
        <v>240</v>
      </c>
      <c r="C121" s="139" t="s">
        <v>395</v>
      </c>
      <c r="D121" s="141">
        <v>2852918337</v>
      </c>
      <c r="E121" s="139" t="s">
        <v>155</v>
      </c>
      <c r="F121" s="139" t="s">
        <v>156</v>
      </c>
      <c r="G121" s="139" t="s">
        <v>199</v>
      </c>
      <c r="H121" s="139" t="s">
        <v>294</v>
      </c>
      <c r="I121" s="139" t="s">
        <v>396</v>
      </c>
    </row>
    <row r="122" spans="1:9" x14ac:dyDescent="0.25">
      <c r="A122" s="139"/>
      <c r="B122" s="140">
        <v>6</v>
      </c>
      <c r="C122" s="139" t="s">
        <v>397</v>
      </c>
      <c r="D122" s="141">
        <v>3294913815</v>
      </c>
      <c r="E122" s="139" t="s">
        <v>155</v>
      </c>
      <c r="F122" s="139" t="s">
        <v>156</v>
      </c>
      <c r="G122" s="139" t="s">
        <v>157</v>
      </c>
      <c r="H122" s="139" t="s">
        <v>189</v>
      </c>
      <c r="I122" s="139" t="s">
        <v>367</v>
      </c>
    </row>
    <row r="123" spans="1:9" hidden="1" x14ac:dyDescent="0.25">
      <c r="A123" s="139"/>
      <c r="B123" s="141">
        <v>2289516743</v>
      </c>
      <c r="C123" s="139" t="s">
        <v>398</v>
      </c>
      <c r="D123" s="141">
        <v>3217713834</v>
      </c>
      <c r="E123" s="139" t="s">
        <v>155</v>
      </c>
      <c r="F123" s="139" t="s">
        <v>156</v>
      </c>
      <c r="G123" s="139" t="s">
        <v>271</v>
      </c>
      <c r="H123" s="139" t="s">
        <v>186</v>
      </c>
      <c r="I123" s="139" t="s">
        <v>399</v>
      </c>
    </row>
    <row r="124" spans="1:9" hidden="1" x14ac:dyDescent="0.25">
      <c r="A124" s="139"/>
      <c r="B124" s="141">
        <v>2289516852</v>
      </c>
      <c r="C124" s="139" t="s">
        <v>400</v>
      </c>
      <c r="D124" s="141">
        <v>2163809691</v>
      </c>
      <c r="E124" s="139" t="s">
        <v>155</v>
      </c>
      <c r="F124" s="139" t="s">
        <v>177</v>
      </c>
      <c r="G124" s="139" t="s">
        <v>199</v>
      </c>
      <c r="H124" s="139" t="s">
        <v>336</v>
      </c>
      <c r="I124" s="139" t="s">
        <v>285</v>
      </c>
    </row>
    <row r="125" spans="1:9" hidden="1" x14ac:dyDescent="0.25">
      <c r="A125" s="139"/>
      <c r="B125" s="141">
        <v>2289516899</v>
      </c>
      <c r="C125" s="139" t="s">
        <v>401</v>
      </c>
      <c r="D125" s="141">
        <v>3027202792</v>
      </c>
      <c r="E125" s="139" t="s">
        <v>155</v>
      </c>
      <c r="F125" s="139" t="s">
        <v>156</v>
      </c>
      <c r="G125" s="139" t="s">
        <v>242</v>
      </c>
      <c r="H125" s="139" t="s">
        <v>342</v>
      </c>
      <c r="I125" s="139" t="s">
        <v>402</v>
      </c>
    </row>
    <row r="126" spans="1:9" hidden="1" x14ac:dyDescent="0.25">
      <c r="A126" s="139"/>
      <c r="B126" s="141">
        <v>2289516794</v>
      </c>
      <c r="C126" s="139" t="s">
        <v>403</v>
      </c>
      <c r="D126" s="141">
        <v>3099210416</v>
      </c>
      <c r="E126" s="139" t="s">
        <v>155</v>
      </c>
      <c r="F126" s="139" t="s">
        <v>156</v>
      </c>
      <c r="G126" s="139" t="s">
        <v>279</v>
      </c>
      <c r="H126" s="139" t="s">
        <v>231</v>
      </c>
      <c r="I126" s="139" t="s">
        <v>331</v>
      </c>
    </row>
    <row r="127" spans="1:9" hidden="1" x14ac:dyDescent="0.25">
      <c r="A127" s="139"/>
      <c r="B127" s="140">
        <v>225</v>
      </c>
      <c r="C127" s="139" t="s">
        <v>404</v>
      </c>
      <c r="D127" s="141">
        <v>3029300631</v>
      </c>
      <c r="E127" s="139" t="s">
        <v>155</v>
      </c>
      <c r="F127" s="139" t="s">
        <v>156</v>
      </c>
      <c r="G127" s="139" t="s">
        <v>215</v>
      </c>
      <c r="H127" s="139" t="s">
        <v>200</v>
      </c>
      <c r="I127" s="139" t="s">
        <v>405</v>
      </c>
    </row>
    <row r="128" spans="1:9" hidden="1" x14ac:dyDescent="0.25">
      <c r="A128" s="139"/>
      <c r="B128" s="140">
        <v>7</v>
      </c>
      <c r="C128" s="139" t="s">
        <v>406</v>
      </c>
      <c r="D128" s="141">
        <v>2794601018</v>
      </c>
      <c r="E128" s="139" t="s">
        <v>155</v>
      </c>
      <c r="F128" s="139" t="s">
        <v>177</v>
      </c>
      <c r="G128" s="139" t="s">
        <v>211</v>
      </c>
      <c r="H128" s="139" t="s">
        <v>407</v>
      </c>
      <c r="I128" s="139" t="s">
        <v>408</v>
      </c>
    </row>
    <row r="129" spans="1:9" hidden="1" x14ac:dyDescent="0.25">
      <c r="A129" s="139"/>
      <c r="B129" s="141">
        <v>2289516871</v>
      </c>
      <c r="C129" s="139" t="s">
        <v>409</v>
      </c>
      <c r="D129" s="141">
        <v>3244915916</v>
      </c>
      <c r="E129" s="139" t="s">
        <v>155</v>
      </c>
      <c r="F129" s="139" t="s">
        <v>156</v>
      </c>
      <c r="G129" s="139" t="s">
        <v>160</v>
      </c>
      <c r="H129" s="139" t="s">
        <v>228</v>
      </c>
      <c r="I129" s="139" t="s">
        <v>387</v>
      </c>
    </row>
    <row r="130" spans="1:9" hidden="1" x14ac:dyDescent="0.25">
      <c r="A130" s="139"/>
      <c r="B130" s="140">
        <v>3</v>
      </c>
      <c r="C130" s="139" t="s">
        <v>410</v>
      </c>
      <c r="D130" s="141">
        <v>3458003578</v>
      </c>
      <c r="E130" s="139" t="s">
        <v>155</v>
      </c>
      <c r="F130" s="139" t="s">
        <v>156</v>
      </c>
      <c r="G130" s="139" t="s">
        <v>211</v>
      </c>
      <c r="H130" s="139" t="s">
        <v>411</v>
      </c>
      <c r="I130" s="139" t="s">
        <v>412</v>
      </c>
    </row>
    <row r="131" spans="1:9" hidden="1" x14ac:dyDescent="0.25">
      <c r="A131" s="139"/>
      <c r="B131" s="140">
        <v>18</v>
      </c>
      <c r="C131" s="139" t="s">
        <v>410</v>
      </c>
      <c r="D131" s="141">
        <v>3458003578</v>
      </c>
      <c r="E131" s="139" t="s">
        <v>155</v>
      </c>
      <c r="F131" s="139" t="s">
        <v>177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413</v>
      </c>
      <c r="D132" s="141">
        <v>3662602531</v>
      </c>
      <c r="E132" s="139" t="s">
        <v>155</v>
      </c>
      <c r="F132" s="139" t="s">
        <v>156</v>
      </c>
      <c r="G132" s="139" t="s">
        <v>242</v>
      </c>
      <c r="H132" s="139" t="s">
        <v>205</v>
      </c>
      <c r="I132" s="139" t="s">
        <v>361</v>
      </c>
    </row>
    <row r="133" spans="1:9" hidden="1" x14ac:dyDescent="0.25">
      <c r="A133" s="139"/>
      <c r="B133" s="141">
        <v>2289516893</v>
      </c>
      <c r="C133" s="139" t="s">
        <v>414</v>
      </c>
      <c r="D133" s="141">
        <v>2855420394</v>
      </c>
      <c r="E133" s="139" t="s">
        <v>155</v>
      </c>
      <c r="F133" s="139" t="s">
        <v>156</v>
      </c>
      <c r="G133" s="139" t="s">
        <v>242</v>
      </c>
      <c r="H133" s="139" t="s">
        <v>205</v>
      </c>
      <c r="I133" s="139" t="s">
        <v>314</v>
      </c>
    </row>
    <row r="134" spans="1:9" hidden="1" x14ac:dyDescent="0.25">
      <c r="A134" s="139"/>
      <c r="B134" s="141">
        <v>2289516898</v>
      </c>
      <c r="C134" s="139" t="s">
        <v>415</v>
      </c>
      <c r="D134" s="141">
        <v>2777600676</v>
      </c>
      <c r="E134" s="139" t="s">
        <v>155</v>
      </c>
      <c r="F134" s="139" t="s">
        <v>156</v>
      </c>
      <c r="G134" s="139" t="s">
        <v>242</v>
      </c>
      <c r="H134" s="139" t="s">
        <v>205</v>
      </c>
      <c r="I134" s="139" t="s">
        <v>416</v>
      </c>
    </row>
    <row r="135" spans="1:9" hidden="1" x14ac:dyDescent="0.25">
      <c r="A135" s="139"/>
      <c r="B135" s="141">
        <v>2289516837</v>
      </c>
      <c r="C135" s="139" t="s">
        <v>417</v>
      </c>
      <c r="D135" s="141">
        <v>3108202652</v>
      </c>
      <c r="E135" s="139" t="s">
        <v>155</v>
      </c>
      <c r="F135" s="139" t="s">
        <v>156</v>
      </c>
      <c r="G135" s="139" t="s">
        <v>242</v>
      </c>
      <c r="H135" s="139" t="s">
        <v>205</v>
      </c>
      <c r="I135" s="139" t="s">
        <v>418</v>
      </c>
    </row>
    <row r="136" spans="1:9" hidden="1" x14ac:dyDescent="0.25">
      <c r="A136" s="139"/>
      <c r="B136" s="141">
        <v>2289516873</v>
      </c>
      <c r="C136" s="139" t="s">
        <v>419</v>
      </c>
      <c r="D136" s="141">
        <v>2850902050</v>
      </c>
      <c r="E136" s="139" t="s">
        <v>155</v>
      </c>
      <c r="F136" s="139" t="s">
        <v>156</v>
      </c>
      <c r="G136" s="139" t="s">
        <v>215</v>
      </c>
      <c r="H136" s="139" t="s">
        <v>359</v>
      </c>
      <c r="I136" s="139" t="s">
        <v>420</v>
      </c>
    </row>
    <row r="137" spans="1:9" hidden="1" x14ac:dyDescent="0.25">
      <c r="A137" s="139"/>
      <c r="B137" s="141">
        <v>2289516802</v>
      </c>
      <c r="C137" s="139" t="s">
        <v>421</v>
      </c>
      <c r="D137" s="141">
        <v>3281710375</v>
      </c>
      <c r="E137" s="139" t="s">
        <v>155</v>
      </c>
      <c r="F137" s="139" t="s">
        <v>177</v>
      </c>
      <c r="G137" s="139" t="s">
        <v>160</v>
      </c>
      <c r="H137" s="139" t="s">
        <v>422</v>
      </c>
      <c r="I137" s="139" t="s">
        <v>312</v>
      </c>
    </row>
    <row r="138" spans="1:9" hidden="1" x14ac:dyDescent="0.25">
      <c r="A138" s="139"/>
      <c r="B138" s="140">
        <v>12</v>
      </c>
      <c r="C138" s="139" t="s">
        <v>423</v>
      </c>
      <c r="D138" s="141">
        <v>3281710375</v>
      </c>
      <c r="E138" s="139" t="s">
        <v>155</v>
      </c>
      <c r="F138" s="139" t="s">
        <v>156</v>
      </c>
      <c r="G138" s="139" t="s">
        <v>160</v>
      </c>
      <c r="H138" s="139" t="s">
        <v>259</v>
      </c>
      <c r="I138" s="139" t="s">
        <v>424</v>
      </c>
    </row>
    <row r="139" spans="1:9" hidden="1" x14ac:dyDescent="0.25">
      <c r="A139" s="139"/>
      <c r="B139" s="141">
        <v>2289516874</v>
      </c>
      <c r="C139" s="139" t="s">
        <v>425</v>
      </c>
      <c r="D139" s="141">
        <v>2572519716</v>
      </c>
      <c r="E139" s="139" t="s">
        <v>155</v>
      </c>
      <c r="F139" s="139" t="s">
        <v>156</v>
      </c>
      <c r="G139" s="139" t="s">
        <v>215</v>
      </c>
      <c r="H139" s="139" t="s">
        <v>243</v>
      </c>
      <c r="I139" s="139" t="s">
        <v>290</v>
      </c>
    </row>
    <row r="140" spans="1:9" hidden="1" x14ac:dyDescent="0.25">
      <c r="A140" s="139"/>
      <c r="B140" s="141">
        <v>2289516836</v>
      </c>
      <c r="C140" s="139" t="s">
        <v>426</v>
      </c>
      <c r="D140" s="141">
        <v>2773311771</v>
      </c>
      <c r="E140" s="139" t="s">
        <v>155</v>
      </c>
      <c r="F140" s="139" t="s">
        <v>156</v>
      </c>
      <c r="G140" s="139" t="s">
        <v>215</v>
      </c>
      <c r="H140" s="139" t="s">
        <v>205</v>
      </c>
      <c r="I140" s="139" t="s">
        <v>418</v>
      </c>
    </row>
    <row r="141" spans="1:9" hidden="1" x14ac:dyDescent="0.25">
      <c r="A141" s="139"/>
      <c r="B141" s="140">
        <v>27</v>
      </c>
      <c r="C141" s="139" t="s">
        <v>427</v>
      </c>
      <c r="D141" s="141">
        <v>2880313812</v>
      </c>
      <c r="E141" s="139" t="s">
        <v>155</v>
      </c>
      <c r="F141" s="139" t="s">
        <v>156</v>
      </c>
      <c r="G141" s="139" t="s">
        <v>157</v>
      </c>
      <c r="H141" s="139" t="s">
        <v>428</v>
      </c>
      <c r="I141" s="139" t="s">
        <v>159</v>
      </c>
    </row>
    <row r="142" spans="1:9" hidden="1" x14ac:dyDescent="0.25">
      <c r="A142" s="139"/>
      <c r="B142" s="141">
        <v>2289516879</v>
      </c>
      <c r="C142" s="139" t="s">
        <v>429</v>
      </c>
      <c r="D142" s="141">
        <v>2783317959</v>
      </c>
      <c r="E142" s="139" t="s">
        <v>155</v>
      </c>
      <c r="F142" s="139" t="s">
        <v>156</v>
      </c>
      <c r="G142" s="139" t="s">
        <v>242</v>
      </c>
      <c r="H142" s="139" t="s">
        <v>205</v>
      </c>
      <c r="I142" s="139" t="s">
        <v>333</v>
      </c>
    </row>
    <row r="143" spans="1:9" hidden="1" x14ac:dyDescent="0.25">
      <c r="A143" s="139"/>
      <c r="B143" s="141">
        <v>2289516853</v>
      </c>
      <c r="C143" s="139" t="s">
        <v>430</v>
      </c>
      <c r="D143" s="141">
        <v>2034207638</v>
      </c>
      <c r="E143" s="139" t="s">
        <v>155</v>
      </c>
      <c r="F143" s="139" t="s">
        <v>156</v>
      </c>
      <c r="G143" s="139" t="s">
        <v>215</v>
      </c>
      <c r="H143" s="139" t="s">
        <v>428</v>
      </c>
      <c r="I143" s="139" t="s">
        <v>285</v>
      </c>
    </row>
    <row r="144" spans="1:9" hidden="1" x14ac:dyDescent="0.25">
      <c r="A144" s="139"/>
      <c r="B144" s="140">
        <v>5</v>
      </c>
      <c r="C144" s="139" t="s">
        <v>431</v>
      </c>
      <c r="D144" s="141">
        <v>3076001111</v>
      </c>
      <c r="E144" s="139" t="s">
        <v>155</v>
      </c>
      <c r="F144" s="139" t="s">
        <v>177</v>
      </c>
      <c r="G144" s="139" t="s">
        <v>211</v>
      </c>
      <c r="H144" s="139" t="s">
        <v>407</v>
      </c>
      <c r="I144" s="139" t="s">
        <v>412</v>
      </c>
    </row>
    <row r="145" spans="1:9" hidden="1" x14ac:dyDescent="0.25">
      <c r="A145" s="139"/>
      <c r="B145" s="140">
        <v>1</v>
      </c>
      <c r="C145" s="139" t="s">
        <v>432</v>
      </c>
      <c r="D145" s="141">
        <v>3446605399</v>
      </c>
      <c r="E145" s="139" t="s">
        <v>155</v>
      </c>
      <c r="F145" s="139" t="s">
        <v>156</v>
      </c>
      <c r="G145" s="139" t="s">
        <v>160</v>
      </c>
      <c r="H145" s="139" t="s">
        <v>259</v>
      </c>
      <c r="I145" s="139" t="s">
        <v>433</v>
      </c>
    </row>
    <row r="146" spans="1:9" hidden="1" x14ac:dyDescent="0.25">
      <c r="A146" s="139"/>
      <c r="B146" s="140">
        <v>17</v>
      </c>
      <c r="C146" s="139" t="s">
        <v>432</v>
      </c>
      <c r="D146" s="141">
        <v>3446605399</v>
      </c>
      <c r="E146" s="139" t="s">
        <v>155</v>
      </c>
      <c r="F146" s="139" t="s">
        <v>177</v>
      </c>
      <c r="G146" s="139" t="s">
        <v>160</v>
      </c>
      <c r="H146" s="139" t="s">
        <v>259</v>
      </c>
      <c r="I146" s="139" t="s">
        <v>434</v>
      </c>
    </row>
    <row r="147" spans="1:9" hidden="1" x14ac:dyDescent="0.25">
      <c r="A147" s="139"/>
      <c r="B147" s="140">
        <v>41</v>
      </c>
      <c r="C147" s="139" t="s">
        <v>435</v>
      </c>
      <c r="D147" s="141">
        <v>3348501613</v>
      </c>
      <c r="E147" s="139" t="s">
        <v>155</v>
      </c>
      <c r="F147" s="139" t="s">
        <v>156</v>
      </c>
      <c r="G147" s="139" t="s">
        <v>157</v>
      </c>
      <c r="H147" s="139" t="s">
        <v>158</v>
      </c>
      <c r="I147" s="139" t="s">
        <v>190</v>
      </c>
    </row>
    <row r="148" spans="1:9" hidden="1" x14ac:dyDescent="0.25">
      <c r="A148" s="139"/>
      <c r="B148" s="141">
        <v>2289516792</v>
      </c>
      <c r="C148" s="139" t="s">
        <v>436</v>
      </c>
      <c r="D148" s="141">
        <v>3350503939</v>
      </c>
      <c r="E148" s="139" t="s">
        <v>155</v>
      </c>
      <c r="F148" s="139" t="s">
        <v>156</v>
      </c>
      <c r="G148" s="139" t="s">
        <v>215</v>
      </c>
      <c r="H148" s="139" t="s">
        <v>231</v>
      </c>
      <c r="I148" s="139" t="s">
        <v>331</v>
      </c>
    </row>
    <row r="149" spans="1:9" hidden="1" x14ac:dyDescent="0.25">
      <c r="A149" s="139"/>
      <c r="B149" s="140">
        <v>241</v>
      </c>
      <c r="C149" s="139" t="s">
        <v>437</v>
      </c>
      <c r="D149" s="141">
        <v>3584102292</v>
      </c>
      <c r="E149" s="139" t="s">
        <v>155</v>
      </c>
      <c r="F149" s="139" t="s">
        <v>156</v>
      </c>
      <c r="G149" s="139" t="s">
        <v>199</v>
      </c>
      <c r="H149" s="139" t="s">
        <v>205</v>
      </c>
      <c r="I149" s="139" t="s">
        <v>396</v>
      </c>
    </row>
    <row r="150" spans="1:9" hidden="1" x14ac:dyDescent="0.25">
      <c r="A150" s="139"/>
      <c r="B150" s="141">
        <v>2289516798</v>
      </c>
      <c r="C150" s="139" t="s">
        <v>438</v>
      </c>
      <c r="D150" s="141">
        <v>3008703064</v>
      </c>
      <c r="E150" s="139" t="s">
        <v>155</v>
      </c>
      <c r="F150" s="139" t="s">
        <v>156</v>
      </c>
      <c r="G150" s="139" t="s">
        <v>160</v>
      </c>
      <c r="H150" s="139" t="s">
        <v>439</v>
      </c>
      <c r="I150" s="139" t="s">
        <v>440</v>
      </c>
    </row>
    <row r="151" spans="1:9" hidden="1" x14ac:dyDescent="0.25">
      <c r="A151" s="139"/>
      <c r="B151" s="140">
        <v>213</v>
      </c>
      <c r="C151" s="139" t="s">
        <v>441</v>
      </c>
      <c r="D151" s="141">
        <v>2906022797</v>
      </c>
      <c r="E151" s="139" t="s">
        <v>155</v>
      </c>
      <c r="F151" s="139" t="s">
        <v>156</v>
      </c>
      <c r="G151" s="139" t="s">
        <v>253</v>
      </c>
      <c r="H151" s="139" t="s">
        <v>294</v>
      </c>
      <c r="I151" s="139" t="s">
        <v>442</v>
      </c>
    </row>
    <row r="152" spans="1:9" hidden="1" x14ac:dyDescent="0.25">
      <c r="A152" s="139"/>
      <c r="B152" s="141">
        <v>2289516865</v>
      </c>
      <c r="C152" s="139" t="s">
        <v>443</v>
      </c>
      <c r="D152" s="141">
        <v>2894822956</v>
      </c>
      <c r="E152" s="139" t="s">
        <v>155</v>
      </c>
      <c r="F152" s="139" t="s">
        <v>156</v>
      </c>
      <c r="G152" s="139" t="s">
        <v>382</v>
      </c>
      <c r="H152" s="139" t="s">
        <v>243</v>
      </c>
      <c r="I152" s="139" t="s">
        <v>444</v>
      </c>
    </row>
    <row r="153" spans="1:9" hidden="1" x14ac:dyDescent="0.25">
      <c r="A153" s="139"/>
      <c r="B153" s="140">
        <v>47</v>
      </c>
      <c r="C153" s="139" t="s">
        <v>445</v>
      </c>
      <c r="D153" s="141">
        <v>3216804294</v>
      </c>
      <c r="E153" s="139" t="s">
        <v>155</v>
      </c>
      <c r="F153" s="139" t="s">
        <v>156</v>
      </c>
      <c r="G153" s="139" t="s">
        <v>157</v>
      </c>
      <c r="H153" s="139" t="s">
        <v>192</v>
      </c>
      <c r="I153" s="139" t="s">
        <v>446</v>
      </c>
    </row>
    <row r="154" spans="1:9" hidden="1" x14ac:dyDescent="0.25">
      <c r="A154" s="139"/>
      <c r="B154" s="140">
        <v>11</v>
      </c>
      <c r="C154" s="139" t="s">
        <v>447</v>
      </c>
      <c r="D154" s="141">
        <v>2987302398</v>
      </c>
      <c r="E154" s="139" t="s">
        <v>155</v>
      </c>
      <c r="F154" s="139" t="s">
        <v>156</v>
      </c>
      <c r="G154" s="139" t="s">
        <v>211</v>
      </c>
      <c r="H154" s="139" t="s">
        <v>448</v>
      </c>
      <c r="I154" s="139" t="s">
        <v>354</v>
      </c>
    </row>
    <row r="155" spans="1:9" hidden="1" x14ac:dyDescent="0.25">
      <c r="A155" s="139"/>
      <c r="B155" s="141">
        <v>2289516875</v>
      </c>
      <c r="C155" s="139" t="s">
        <v>449</v>
      </c>
      <c r="D155" s="141">
        <v>3283921595</v>
      </c>
      <c r="E155" s="139" t="s">
        <v>155</v>
      </c>
      <c r="F155" s="139" t="s">
        <v>156</v>
      </c>
      <c r="G155" s="139" t="s">
        <v>199</v>
      </c>
      <c r="H155" s="139" t="s">
        <v>231</v>
      </c>
      <c r="I155" s="139" t="s">
        <v>450</v>
      </c>
    </row>
    <row r="156" spans="1:9" hidden="1" x14ac:dyDescent="0.25">
      <c r="A156" s="139"/>
      <c r="B156" s="140">
        <v>69</v>
      </c>
      <c r="C156" s="139" t="s">
        <v>451</v>
      </c>
      <c r="D156" s="141">
        <v>3283102618</v>
      </c>
      <c r="E156" s="139" t="s">
        <v>155</v>
      </c>
      <c r="F156" s="139" t="s">
        <v>156</v>
      </c>
      <c r="G156" s="139" t="s">
        <v>157</v>
      </c>
      <c r="H156" s="139" t="s">
        <v>192</v>
      </c>
      <c r="I156" s="139" t="s">
        <v>213</v>
      </c>
    </row>
    <row r="157" spans="1:9" hidden="1" x14ac:dyDescent="0.25">
      <c r="A157" s="139"/>
      <c r="B157" s="140">
        <v>14</v>
      </c>
      <c r="C157" s="139" t="s">
        <v>452</v>
      </c>
      <c r="D157" s="141">
        <v>2822813708</v>
      </c>
      <c r="E157" s="139" t="s">
        <v>155</v>
      </c>
      <c r="F157" s="139" t="s">
        <v>156</v>
      </c>
      <c r="G157" s="139" t="s">
        <v>211</v>
      </c>
      <c r="H157" s="139" t="s">
        <v>428</v>
      </c>
      <c r="I157" s="139" t="s">
        <v>453</v>
      </c>
    </row>
    <row r="158" spans="1:9" hidden="1" x14ac:dyDescent="0.25">
      <c r="A158" s="139"/>
      <c r="B158" s="141">
        <v>2289516900</v>
      </c>
      <c r="C158" s="139" t="s">
        <v>454</v>
      </c>
      <c r="D158" s="141">
        <v>3138000212</v>
      </c>
      <c r="E158" s="139" t="s">
        <v>155</v>
      </c>
      <c r="F158" s="139" t="s">
        <v>156</v>
      </c>
      <c r="G158" s="139" t="s">
        <v>242</v>
      </c>
      <c r="H158" s="139" t="s">
        <v>205</v>
      </c>
      <c r="I158" s="139" t="s">
        <v>455</v>
      </c>
    </row>
    <row r="159" spans="1:9" hidden="1" x14ac:dyDescent="0.25">
      <c r="A159" s="139"/>
      <c r="B159" s="140">
        <v>236</v>
      </c>
      <c r="C159" s="139" t="s">
        <v>456</v>
      </c>
      <c r="D159" s="141">
        <v>3399209246</v>
      </c>
      <c r="E159" s="139" t="s">
        <v>155</v>
      </c>
      <c r="F159" s="139" t="s">
        <v>156</v>
      </c>
      <c r="G159" s="139" t="s">
        <v>160</v>
      </c>
      <c r="H159" s="139" t="s">
        <v>457</v>
      </c>
      <c r="I159" s="139" t="s">
        <v>458</v>
      </c>
    </row>
    <row r="160" spans="1:9" hidden="1" x14ac:dyDescent="0.25">
      <c r="A160" s="139"/>
      <c r="B160" s="140">
        <v>246</v>
      </c>
      <c r="C160" s="139" t="s">
        <v>459</v>
      </c>
      <c r="D160" s="141">
        <v>2866215672</v>
      </c>
      <c r="E160" s="139" t="s">
        <v>155</v>
      </c>
      <c r="F160" s="139" t="s">
        <v>156</v>
      </c>
      <c r="G160" s="139" t="s">
        <v>242</v>
      </c>
      <c r="H160" s="139" t="s">
        <v>349</v>
      </c>
      <c r="I160" s="139" t="s">
        <v>460</v>
      </c>
    </row>
    <row r="161" spans="1:9" hidden="1" x14ac:dyDescent="0.25">
      <c r="A161" s="139"/>
      <c r="B161" s="140">
        <v>218</v>
      </c>
      <c r="C161" s="139" t="s">
        <v>461</v>
      </c>
      <c r="D161" s="141">
        <v>2559518617</v>
      </c>
      <c r="E161" s="139" t="s">
        <v>155</v>
      </c>
      <c r="F161" s="139" t="s">
        <v>156</v>
      </c>
      <c r="G161" s="139" t="s">
        <v>199</v>
      </c>
      <c r="H161" s="139" t="s">
        <v>243</v>
      </c>
      <c r="I161" s="139" t="s">
        <v>462</v>
      </c>
    </row>
    <row r="162" spans="1:9" hidden="1" x14ac:dyDescent="0.25">
      <c r="A162" s="139"/>
      <c r="B162" s="139" t="s">
        <v>463</v>
      </c>
      <c r="C162" s="139" t="s">
        <v>464</v>
      </c>
      <c r="D162" s="141">
        <v>2559518617</v>
      </c>
      <c r="E162" s="139" t="s">
        <v>129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465</v>
      </c>
      <c r="D163" s="141">
        <v>3771107310</v>
      </c>
      <c r="E163" s="139" t="s">
        <v>155</v>
      </c>
      <c r="F163" s="139" t="s">
        <v>156</v>
      </c>
      <c r="G163" s="139" t="s">
        <v>279</v>
      </c>
      <c r="H163" s="139" t="s">
        <v>231</v>
      </c>
      <c r="I163" s="139" t="s">
        <v>466</v>
      </c>
    </row>
    <row r="164" spans="1:9" hidden="1" x14ac:dyDescent="0.25">
      <c r="A164" s="139"/>
      <c r="B164" s="141">
        <v>2289516805</v>
      </c>
      <c r="C164" s="139" t="s">
        <v>467</v>
      </c>
      <c r="D164" s="141">
        <v>2218422874</v>
      </c>
      <c r="E164" s="139" t="s">
        <v>155</v>
      </c>
      <c r="F164" s="139" t="s">
        <v>156</v>
      </c>
      <c r="G164" s="139" t="s">
        <v>215</v>
      </c>
      <c r="H164" s="139" t="s">
        <v>231</v>
      </c>
      <c r="I164" s="139" t="s">
        <v>234</v>
      </c>
    </row>
    <row r="165" spans="1:9" hidden="1" x14ac:dyDescent="0.25">
      <c r="A165" s="139"/>
      <c r="B165" s="140">
        <v>56</v>
      </c>
      <c r="C165" s="139" t="s">
        <v>468</v>
      </c>
      <c r="D165" s="141">
        <v>2583617833</v>
      </c>
      <c r="E165" s="139" t="s">
        <v>155</v>
      </c>
      <c r="F165" s="139" t="s">
        <v>156</v>
      </c>
      <c r="G165" s="139" t="s">
        <v>160</v>
      </c>
      <c r="H165" s="139" t="s">
        <v>469</v>
      </c>
      <c r="I165" s="139" t="s">
        <v>470</v>
      </c>
    </row>
    <row r="166" spans="1:9" hidden="1" x14ac:dyDescent="0.25">
      <c r="A166" s="139"/>
      <c r="B166" s="141">
        <v>2289516843</v>
      </c>
      <c r="C166" s="139" t="s">
        <v>471</v>
      </c>
      <c r="D166" s="141">
        <v>3525016911</v>
      </c>
      <c r="E166" s="139" t="s">
        <v>155</v>
      </c>
      <c r="F166" s="139" t="s">
        <v>156</v>
      </c>
      <c r="G166" s="139" t="s">
        <v>215</v>
      </c>
      <c r="H166" s="139" t="s">
        <v>205</v>
      </c>
      <c r="I166" s="139" t="s">
        <v>472</v>
      </c>
    </row>
    <row r="167" spans="1:9" hidden="1" x14ac:dyDescent="0.25">
      <c r="A167" s="139"/>
      <c r="B167" s="140">
        <v>59</v>
      </c>
      <c r="C167" s="139" t="s">
        <v>473</v>
      </c>
      <c r="D167" s="141">
        <v>3230316597</v>
      </c>
      <c r="E167" s="139" t="s">
        <v>155</v>
      </c>
      <c r="F167" s="139" t="s">
        <v>156</v>
      </c>
      <c r="G167" s="139" t="s">
        <v>157</v>
      </c>
      <c r="H167" s="139" t="s">
        <v>192</v>
      </c>
      <c r="I167" s="139" t="s">
        <v>474</v>
      </c>
    </row>
    <row r="168" spans="1:9" hidden="1" x14ac:dyDescent="0.25">
      <c r="A168" s="139"/>
      <c r="B168" s="141">
        <v>2289516839</v>
      </c>
      <c r="C168" s="139" t="s">
        <v>475</v>
      </c>
      <c r="D168" s="141">
        <v>2710222868</v>
      </c>
      <c r="E168" s="139" t="s">
        <v>155</v>
      </c>
      <c r="F168" s="139" t="s">
        <v>156</v>
      </c>
      <c r="G168" s="139" t="s">
        <v>160</v>
      </c>
      <c r="H168" s="139" t="s">
        <v>284</v>
      </c>
      <c r="I168" s="139" t="s">
        <v>476</v>
      </c>
    </row>
    <row r="169" spans="1:9" hidden="1" x14ac:dyDescent="0.25">
      <c r="A169" s="139"/>
      <c r="B169" s="140">
        <v>61</v>
      </c>
      <c r="C169" s="139" t="s">
        <v>477</v>
      </c>
      <c r="D169" s="141">
        <v>2938511042</v>
      </c>
      <c r="E169" s="139" t="s">
        <v>155</v>
      </c>
      <c r="F169" s="139" t="s">
        <v>156</v>
      </c>
      <c r="G169" s="139" t="s">
        <v>160</v>
      </c>
      <c r="H169" s="139" t="s">
        <v>165</v>
      </c>
      <c r="I169" s="139" t="s">
        <v>478</v>
      </c>
    </row>
    <row r="170" spans="1:9" hidden="1" x14ac:dyDescent="0.25">
      <c r="A170" s="139"/>
      <c r="B170" s="139" t="s">
        <v>479</v>
      </c>
      <c r="C170" s="139" t="s">
        <v>480</v>
      </c>
      <c r="D170" s="141">
        <v>2983015610</v>
      </c>
      <c r="E170" s="139" t="s">
        <v>129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481</v>
      </c>
      <c r="D171" s="141">
        <v>2643414306</v>
      </c>
      <c r="E171" s="139" t="s">
        <v>155</v>
      </c>
      <c r="F171" s="139" t="s">
        <v>156</v>
      </c>
      <c r="G171" s="139" t="s">
        <v>211</v>
      </c>
      <c r="H171" s="139" t="s">
        <v>428</v>
      </c>
      <c r="I171" s="139" t="s">
        <v>482</v>
      </c>
    </row>
    <row r="172" spans="1:9" hidden="1" x14ac:dyDescent="0.25">
      <c r="A172" s="139"/>
      <c r="B172" s="141">
        <v>2289516887</v>
      </c>
      <c r="C172" s="139" t="s">
        <v>483</v>
      </c>
      <c r="D172" s="141">
        <v>3470212298</v>
      </c>
      <c r="E172" s="139" t="s">
        <v>155</v>
      </c>
      <c r="F172" s="139" t="s">
        <v>156</v>
      </c>
      <c r="G172" s="139" t="s">
        <v>242</v>
      </c>
      <c r="H172" s="139" t="s">
        <v>196</v>
      </c>
      <c r="I172" s="139" t="s">
        <v>484</v>
      </c>
    </row>
    <row r="173" spans="1:9" hidden="1" x14ac:dyDescent="0.25">
      <c r="A173" s="139"/>
      <c r="B173" s="140">
        <v>56</v>
      </c>
      <c r="C173" s="139" t="s">
        <v>485</v>
      </c>
      <c r="D173" s="141">
        <v>3067218612</v>
      </c>
      <c r="E173" s="139" t="s">
        <v>155</v>
      </c>
      <c r="F173" s="139" t="s">
        <v>156</v>
      </c>
      <c r="G173" s="139" t="s">
        <v>157</v>
      </c>
      <c r="H173" s="139" t="s">
        <v>192</v>
      </c>
      <c r="I173" s="139" t="s">
        <v>285</v>
      </c>
    </row>
    <row r="174" spans="1:9" hidden="1" x14ac:dyDescent="0.25">
      <c r="A174" s="139"/>
      <c r="B174" s="140">
        <v>58</v>
      </c>
      <c r="C174" s="139" t="s">
        <v>486</v>
      </c>
      <c r="D174" s="141">
        <v>3289716153</v>
      </c>
      <c r="E174" s="139" t="s">
        <v>155</v>
      </c>
      <c r="F174" s="139" t="s">
        <v>156</v>
      </c>
      <c r="G174" s="139" t="s">
        <v>157</v>
      </c>
      <c r="H174" s="139" t="s">
        <v>192</v>
      </c>
      <c r="I174" s="139" t="s">
        <v>487</v>
      </c>
    </row>
    <row r="175" spans="1:9" hidden="1" x14ac:dyDescent="0.25">
      <c r="A175" s="139"/>
      <c r="B175" s="140">
        <v>31</v>
      </c>
      <c r="C175" s="139" t="s">
        <v>488</v>
      </c>
      <c r="D175" s="141">
        <v>3185119514</v>
      </c>
      <c r="E175" s="139" t="s">
        <v>155</v>
      </c>
      <c r="F175" s="139" t="s">
        <v>156</v>
      </c>
      <c r="G175" s="139" t="s">
        <v>157</v>
      </c>
      <c r="H175" s="139" t="s">
        <v>192</v>
      </c>
      <c r="I175" s="139" t="s">
        <v>489</v>
      </c>
    </row>
    <row r="176" spans="1:9" hidden="1" x14ac:dyDescent="0.25">
      <c r="A176" s="139"/>
      <c r="B176" s="140">
        <v>14</v>
      </c>
      <c r="C176" s="139" t="s">
        <v>490</v>
      </c>
      <c r="D176" s="141">
        <v>2944519172</v>
      </c>
      <c r="E176" s="139" t="s">
        <v>155</v>
      </c>
      <c r="F176" s="139" t="s">
        <v>156</v>
      </c>
      <c r="G176" s="139" t="s">
        <v>160</v>
      </c>
      <c r="H176" s="139" t="s">
        <v>491</v>
      </c>
      <c r="I176" s="139" t="s">
        <v>492</v>
      </c>
    </row>
    <row r="177" spans="1:9" hidden="1" x14ac:dyDescent="0.25">
      <c r="A177" s="139"/>
      <c r="B177" s="140">
        <v>7</v>
      </c>
      <c r="C177" s="139" t="s">
        <v>493</v>
      </c>
      <c r="D177" s="141">
        <v>3008300898</v>
      </c>
      <c r="E177" s="139" t="s">
        <v>155</v>
      </c>
      <c r="F177" s="139" t="s">
        <v>156</v>
      </c>
      <c r="G177" s="139" t="s">
        <v>157</v>
      </c>
      <c r="H177" s="139" t="s">
        <v>158</v>
      </c>
      <c r="I177" s="139" t="s">
        <v>367</v>
      </c>
    </row>
    <row r="178" spans="1:9" hidden="1" x14ac:dyDescent="0.25">
      <c r="A178" s="139"/>
      <c r="B178" s="140">
        <v>26</v>
      </c>
      <c r="C178" s="139" t="s">
        <v>494</v>
      </c>
      <c r="D178" s="141">
        <v>3005702873</v>
      </c>
      <c r="E178" s="139" t="s">
        <v>155</v>
      </c>
      <c r="F178" s="139" t="s">
        <v>156</v>
      </c>
      <c r="G178" s="139" t="s">
        <v>157</v>
      </c>
      <c r="H178" s="139" t="s">
        <v>158</v>
      </c>
      <c r="I178" s="139" t="s">
        <v>159</v>
      </c>
    </row>
    <row r="179" spans="1:9" hidden="1" x14ac:dyDescent="0.25">
      <c r="A179" s="139"/>
      <c r="B179" s="141">
        <v>2289516818</v>
      </c>
      <c r="C179" s="139" t="s">
        <v>495</v>
      </c>
      <c r="D179" s="141">
        <v>3260020012</v>
      </c>
      <c r="E179" s="139" t="s">
        <v>155</v>
      </c>
      <c r="F179" s="139" t="s">
        <v>156</v>
      </c>
      <c r="G179" s="139" t="s">
        <v>279</v>
      </c>
      <c r="H179" s="139" t="s">
        <v>231</v>
      </c>
      <c r="I179" s="139" t="s">
        <v>232</v>
      </c>
    </row>
    <row r="180" spans="1:9" hidden="1" x14ac:dyDescent="0.25">
      <c r="A180" s="139"/>
      <c r="B180" s="140">
        <v>71</v>
      </c>
      <c r="C180" s="139" t="s">
        <v>496</v>
      </c>
      <c r="D180" s="141">
        <v>3331204136</v>
      </c>
      <c r="E180" s="139" t="s">
        <v>155</v>
      </c>
      <c r="F180" s="139" t="s">
        <v>156</v>
      </c>
      <c r="G180" s="139" t="s">
        <v>157</v>
      </c>
      <c r="H180" s="139" t="s">
        <v>192</v>
      </c>
      <c r="I180" s="139" t="s">
        <v>389</v>
      </c>
    </row>
    <row r="181" spans="1:9" hidden="1" x14ac:dyDescent="0.25">
      <c r="A181" s="139"/>
      <c r="B181" s="140">
        <v>6</v>
      </c>
      <c r="C181" s="139" t="s">
        <v>497</v>
      </c>
      <c r="D181" s="141">
        <v>3431610614</v>
      </c>
      <c r="E181" s="139" t="s">
        <v>155</v>
      </c>
      <c r="F181" s="139" t="s">
        <v>156</v>
      </c>
      <c r="G181" s="139" t="s">
        <v>211</v>
      </c>
      <c r="H181" s="139" t="s">
        <v>498</v>
      </c>
      <c r="I181" s="139" t="s">
        <v>499</v>
      </c>
    </row>
    <row r="182" spans="1:9" hidden="1" x14ac:dyDescent="0.25">
      <c r="A182" s="139"/>
      <c r="B182" s="141">
        <v>2289516869</v>
      </c>
      <c r="C182" s="139" t="s">
        <v>500</v>
      </c>
      <c r="D182" s="141">
        <v>2761812887</v>
      </c>
      <c r="E182" s="139" t="s">
        <v>155</v>
      </c>
      <c r="F182" s="139" t="s">
        <v>156</v>
      </c>
      <c r="G182" s="139" t="s">
        <v>160</v>
      </c>
      <c r="H182" s="139" t="s">
        <v>501</v>
      </c>
      <c r="I182" s="139" t="s">
        <v>502</v>
      </c>
    </row>
    <row r="183" spans="1:9" hidden="1" x14ac:dyDescent="0.25">
      <c r="A183" s="139"/>
      <c r="B183" s="140">
        <v>77</v>
      </c>
      <c r="C183" s="139" t="s">
        <v>503</v>
      </c>
      <c r="D183" s="141">
        <v>2992701716</v>
      </c>
      <c r="E183" s="139" t="s">
        <v>155</v>
      </c>
      <c r="F183" s="139" t="s">
        <v>156</v>
      </c>
      <c r="G183" s="139" t="s">
        <v>157</v>
      </c>
      <c r="H183" s="139" t="s">
        <v>158</v>
      </c>
      <c r="I183" s="139" t="s">
        <v>504</v>
      </c>
    </row>
    <row r="184" spans="1:9" hidden="1" x14ac:dyDescent="0.25">
      <c r="A184" s="139"/>
      <c r="B184" s="139" t="s">
        <v>505</v>
      </c>
      <c r="C184" s="139" t="s">
        <v>506</v>
      </c>
      <c r="D184" s="141">
        <v>3012319132</v>
      </c>
      <c r="E184" s="139" t="s">
        <v>129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507</v>
      </c>
      <c r="D185" s="141">
        <v>2334806973</v>
      </c>
      <c r="E185" s="139" t="s">
        <v>155</v>
      </c>
      <c r="F185" s="139" t="s">
        <v>156</v>
      </c>
      <c r="G185" s="139" t="s">
        <v>382</v>
      </c>
      <c r="H185" s="139" t="s">
        <v>508</v>
      </c>
      <c r="I185" s="139" t="s">
        <v>412</v>
      </c>
    </row>
    <row r="186" spans="1:9" hidden="1" x14ac:dyDescent="0.25">
      <c r="A186" s="139"/>
      <c r="B186" s="140">
        <v>74</v>
      </c>
      <c r="C186" s="139" t="s">
        <v>509</v>
      </c>
      <c r="D186" s="141">
        <v>3488401491</v>
      </c>
      <c r="E186" s="139" t="s">
        <v>155</v>
      </c>
      <c r="F186" s="139" t="s">
        <v>156</v>
      </c>
      <c r="G186" s="139" t="s">
        <v>157</v>
      </c>
      <c r="H186" s="139" t="s">
        <v>158</v>
      </c>
      <c r="I186" s="139" t="s">
        <v>292</v>
      </c>
    </row>
    <row r="187" spans="1:9" hidden="1" x14ac:dyDescent="0.25">
      <c r="A187" s="139"/>
      <c r="B187" s="141">
        <v>2289516834</v>
      </c>
      <c r="C187" s="139" t="s">
        <v>510</v>
      </c>
      <c r="D187" s="141">
        <v>3053103794</v>
      </c>
      <c r="E187" s="139" t="s">
        <v>155</v>
      </c>
      <c r="F187" s="139" t="s">
        <v>156</v>
      </c>
      <c r="G187" s="139" t="s">
        <v>279</v>
      </c>
      <c r="H187" s="139" t="s">
        <v>186</v>
      </c>
      <c r="I187" s="139" t="s">
        <v>187</v>
      </c>
    </row>
    <row r="188" spans="1:9" hidden="1" x14ac:dyDescent="0.25">
      <c r="A188" s="139"/>
      <c r="B188" s="141">
        <v>2289516828</v>
      </c>
      <c r="C188" s="139" t="s">
        <v>511</v>
      </c>
      <c r="D188" s="141">
        <v>2497706673</v>
      </c>
      <c r="E188" s="139" t="s">
        <v>155</v>
      </c>
      <c r="F188" s="139" t="s">
        <v>156</v>
      </c>
      <c r="G188" s="139" t="s">
        <v>215</v>
      </c>
      <c r="H188" s="139" t="s">
        <v>196</v>
      </c>
      <c r="I188" s="139" t="s">
        <v>512</v>
      </c>
    </row>
    <row r="189" spans="1:9" hidden="1" x14ac:dyDescent="0.25">
      <c r="A189" s="139"/>
      <c r="B189" s="141">
        <v>2289516815</v>
      </c>
      <c r="C189" s="139" t="s">
        <v>513</v>
      </c>
      <c r="D189" s="141">
        <v>3412007639</v>
      </c>
      <c r="E189" s="139" t="s">
        <v>155</v>
      </c>
      <c r="F189" s="139" t="s">
        <v>156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514</v>
      </c>
      <c r="D190" s="141">
        <v>2423910335</v>
      </c>
      <c r="E190" s="139" t="s">
        <v>155</v>
      </c>
      <c r="F190" s="139" t="s">
        <v>156</v>
      </c>
      <c r="G190" s="139" t="s">
        <v>215</v>
      </c>
      <c r="H190" s="139" t="s">
        <v>196</v>
      </c>
      <c r="I190" s="139" t="s">
        <v>515</v>
      </c>
    </row>
    <row r="191" spans="1:9" hidden="1" x14ac:dyDescent="0.25">
      <c r="A191" s="139"/>
      <c r="B191" s="141">
        <v>2289516721</v>
      </c>
      <c r="C191" s="139" t="s">
        <v>516</v>
      </c>
      <c r="D191" s="141">
        <v>3279800477</v>
      </c>
      <c r="E191" s="139" t="s">
        <v>155</v>
      </c>
      <c r="F191" s="139" t="s">
        <v>156</v>
      </c>
      <c r="G191" s="139" t="s">
        <v>242</v>
      </c>
      <c r="H191" s="139" t="s">
        <v>192</v>
      </c>
      <c r="I191" s="139" t="s">
        <v>517</v>
      </c>
    </row>
    <row r="192" spans="1:9" hidden="1" x14ac:dyDescent="0.25">
      <c r="A192" s="139"/>
      <c r="B192" s="141">
        <v>2289516704</v>
      </c>
      <c r="C192" s="139" t="s">
        <v>518</v>
      </c>
      <c r="D192" s="141">
        <v>2466703972</v>
      </c>
      <c r="E192" s="139" t="s">
        <v>155</v>
      </c>
      <c r="F192" s="139" t="s">
        <v>177</v>
      </c>
      <c r="G192" s="139" t="s">
        <v>519</v>
      </c>
      <c r="H192" s="139" t="s">
        <v>243</v>
      </c>
      <c r="I192" s="139" t="s">
        <v>197</v>
      </c>
    </row>
    <row r="193" spans="1:9" hidden="1" x14ac:dyDescent="0.25">
      <c r="A193" s="139"/>
      <c r="B193" s="141">
        <v>2289516745</v>
      </c>
      <c r="C193" s="139" t="s">
        <v>520</v>
      </c>
      <c r="D193" s="141">
        <v>3306506991</v>
      </c>
      <c r="E193" s="139" t="s">
        <v>155</v>
      </c>
      <c r="F193" s="139" t="s">
        <v>156</v>
      </c>
      <c r="G193" s="139" t="s">
        <v>242</v>
      </c>
      <c r="H193" s="139" t="s">
        <v>243</v>
      </c>
      <c r="I193" s="139" t="s">
        <v>521</v>
      </c>
    </row>
    <row r="194" spans="1:9" hidden="1" x14ac:dyDescent="0.25">
      <c r="A194" s="139"/>
      <c r="B194" s="140">
        <v>67</v>
      </c>
      <c r="C194" s="139" t="s">
        <v>522</v>
      </c>
      <c r="D194" s="141">
        <v>2996119832</v>
      </c>
      <c r="E194" s="139" t="s">
        <v>155</v>
      </c>
      <c r="F194" s="139" t="s">
        <v>156</v>
      </c>
      <c r="G194" s="139" t="s">
        <v>157</v>
      </c>
      <c r="H194" s="139" t="s">
        <v>192</v>
      </c>
      <c r="I194" s="139" t="s">
        <v>434</v>
      </c>
    </row>
    <row r="195" spans="1:9" hidden="1" x14ac:dyDescent="0.25">
      <c r="A195" s="139"/>
      <c r="B195" s="140">
        <v>270</v>
      </c>
      <c r="C195" s="139" t="s">
        <v>523</v>
      </c>
      <c r="D195" s="141">
        <v>2737303034</v>
      </c>
      <c r="E195" s="139" t="s">
        <v>155</v>
      </c>
      <c r="F195" s="139" t="s">
        <v>156</v>
      </c>
      <c r="G195" s="139" t="s">
        <v>160</v>
      </c>
      <c r="H195" s="139" t="s">
        <v>322</v>
      </c>
      <c r="I195" s="139" t="s">
        <v>524</v>
      </c>
    </row>
    <row r="196" spans="1:9" hidden="1" x14ac:dyDescent="0.25">
      <c r="A196" s="139"/>
      <c r="B196" s="141">
        <v>2289516826</v>
      </c>
      <c r="C196" s="139" t="s">
        <v>525</v>
      </c>
      <c r="D196" s="141">
        <v>2892401090</v>
      </c>
      <c r="E196" s="139" t="s">
        <v>155</v>
      </c>
      <c r="F196" s="139" t="s">
        <v>156</v>
      </c>
      <c r="G196" s="139" t="s">
        <v>215</v>
      </c>
      <c r="H196" s="139" t="s">
        <v>205</v>
      </c>
      <c r="I196" s="139" t="s">
        <v>391</v>
      </c>
    </row>
    <row r="197" spans="1:9" hidden="1" x14ac:dyDescent="0.25">
      <c r="A197" s="139"/>
      <c r="B197" s="141">
        <v>2289516702</v>
      </c>
      <c r="C197" s="139" t="s">
        <v>526</v>
      </c>
      <c r="D197" s="141">
        <v>2280303036</v>
      </c>
      <c r="E197" s="139" t="s">
        <v>155</v>
      </c>
      <c r="F197" s="139" t="s">
        <v>156</v>
      </c>
      <c r="G197" s="139" t="s">
        <v>199</v>
      </c>
      <c r="H197" s="139" t="s">
        <v>294</v>
      </c>
      <c r="I197" s="139" t="s">
        <v>197</v>
      </c>
    </row>
    <row r="198" spans="1:9" hidden="1" x14ac:dyDescent="0.25">
      <c r="A198" s="139"/>
      <c r="B198" s="140">
        <v>12</v>
      </c>
      <c r="C198" s="139" t="s">
        <v>527</v>
      </c>
      <c r="D198" s="141">
        <v>3262417736</v>
      </c>
      <c r="E198" s="139" t="s">
        <v>155</v>
      </c>
      <c r="F198" s="139" t="s">
        <v>156</v>
      </c>
      <c r="G198" s="139" t="s">
        <v>157</v>
      </c>
      <c r="H198" s="139" t="s">
        <v>158</v>
      </c>
      <c r="I198" s="139" t="s">
        <v>528</v>
      </c>
    </row>
    <row r="199" spans="1:9" hidden="1" x14ac:dyDescent="0.25">
      <c r="A199" s="139"/>
      <c r="B199" s="140">
        <v>9</v>
      </c>
      <c r="C199" s="139" t="s">
        <v>529</v>
      </c>
      <c r="D199" s="141">
        <v>3219619831</v>
      </c>
      <c r="E199" s="139" t="s">
        <v>155</v>
      </c>
      <c r="F199" s="139" t="s">
        <v>156</v>
      </c>
      <c r="G199" s="139" t="s">
        <v>160</v>
      </c>
      <c r="H199" s="139" t="s">
        <v>491</v>
      </c>
      <c r="I199" s="139" t="s">
        <v>367</v>
      </c>
    </row>
    <row r="200" spans="1:9" hidden="1" x14ac:dyDescent="0.25">
      <c r="A200" s="139"/>
      <c r="B200" s="141">
        <v>2289516894</v>
      </c>
      <c r="C200" s="139" t="s">
        <v>530</v>
      </c>
      <c r="D200" s="141">
        <v>2330613175</v>
      </c>
      <c r="E200" s="139" t="s">
        <v>155</v>
      </c>
      <c r="F200" s="139" t="s">
        <v>177</v>
      </c>
      <c r="G200" s="139" t="s">
        <v>242</v>
      </c>
      <c r="H200" s="139" t="s">
        <v>347</v>
      </c>
      <c r="I200" s="139" t="s">
        <v>531</v>
      </c>
    </row>
    <row r="201" spans="1:9" hidden="1" x14ac:dyDescent="0.25">
      <c r="A201" s="139"/>
      <c r="B201" s="141">
        <v>2289516736</v>
      </c>
      <c r="C201" s="139" t="s">
        <v>532</v>
      </c>
      <c r="D201" s="141">
        <v>3012312619</v>
      </c>
      <c r="E201" s="139" t="s">
        <v>155</v>
      </c>
      <c r="F201" s="139" t="s">
        <v>156</v>
      </c>
      <c r="G201" s="139" t="s">
        <v>199</v>
      </c>
      <c r="H201" s="139" t="s">
        <v>205</v>
      </c>
      <c r="I201" s="139" t="s">
        <v>361</v>
      </c>
    </row>
    <row r="202" spans="1:9" hidden="1" x14ac:dyDescent="0.25">
      <c r="A202" s="139"/>
      <c r="B202" s="141">
        <v>2289516848</v>
      </c>
      <c r="C202" s="139" t="s">
        <v>533</v>
      </c>
      <c r="D202" s="139" t="s">
        <v>534</v>
      </c>
      <c r="E202" s="139" t="s">
        <v>155</v>
      </c>
      <c r="F202" s="139" t="s">
        <v>156</v>
      </c>
      <c r="G202" s="139" t="s">
        <v>160</v>
      </c>
      <c r="H202" s="139" t="s">
        <v>311</v>
      </c>
      <c r="I202" s="139" t="s">
        <v>535</v>
      </c>
    </row>
    <row r="203" spans="1:9" hidden="1" x14ac:dyDescent="0.25">
      <c r="A203" s="139"/>
      <c r="B203" s="141">
        <v>2289516727</v>
      </c>
      <c r="C203" s="139" t="s">
        <v>536</v>
      </c>
      <c r="D203" s="141">
        <v>3511802570</v>
      </c>
      <c r="E203" s="139" t="s">
        <v>155</v>
      </c>
      <c r="F203" s="139" t="s">
        <v>156</v>
      </c>
      <c r="G203" s="139" t="s">
        <v>253</v>
      </c>
      <c r="H203" s="139" t="s">
        <v>205</v>
      </c>
      <c r="I203" s="139" t="s">
        <v>537</v>
      </c>
    </row>
    <row r="204" spans="1:9" hidden="1" x14ac:dyDescent="0.25">
      <c r="A204" s="139"/>
      <c r="B204" s="140">
        <v>14</v>
      </c>
      <c r="C204" s="139" t="s">
        <v>538</v>
      </c>
      <c r="D204" s="141">
        <v>3088414251</v>
      </c>
      <c r="E204" s="139" t="s">
        <v>155</v>
      </c>
      <c r="F204" s="139" t="s">
        <v>156</v>
      </c>
      <c r="G204" s="139" t="s">
        <v>160</v>
      </c>
      <c r="H204" s="139" t="s">
        <v>501</v>
      </c>
      <c r="I204" s="139" t="s">
        <v>517</v>
      </c>
    </row>
    <row r="205" spans="1:9" hidden="1" x14ac:dyDescent="0.25">
      <c r="A205" s="139"/>
      <c r="B205" s="140">
        <v>20</v>
      </c>
      <c r="C205" s="139" t="s">
        <v>539</v>
      </c>
      <c r="D205" s="141">
        <v>2899410750</v>
      </c>
      <c r="E205" s="139" t="s">
        <v>155</v>
      </c>
      <c r="F205" s="139" t="s">
        <v>156</v>
      </c>
      <c r="G205" s="139" t="s">
        <v>160</v>
      </c>
      <c r="H205" s="139" t="s">
        <v>540</v>
      </c>
      <c r="I205" s="139" t="s">
        <v>541</v>
      </c>
    </row>
    <row r="206" spans="1:9" hidden="1" x14ac:dyDescent="0.25">
      <c r="A206" s="139"/>
      <c r="B206" s="141">
        <v>2289516772</v>
      </c>
      <c r="C206" s="139" t="s">
        <v>542</v>
      </c>
      <c r="D206" s="141">
        <v>3147001852</v>
      </c>
      <c r="E206" s="139" t="s">
        <v>155</v>
      </c>
      <c r="F206" s="139" t="s">
        <v>156</v>
      </c>
      <c r="G206" s="139" t="s">
        <v>160</v>
      </c>
      <c r="H206" s="139" t="s">
        <v>543</v>
      </c>
      <c r="I206" s="139" t="s">
        <v>544</v>
      </c>
    </row>
    <row r="207" spans="1:9" hidden="1" x14ac:dyDescent="0.25">
      <c r="A207" s="139"/>
      <c r="B207" s="141">
        <v>2289516835</v>
      </c>
      <c r="C207" s="139" t="s">
        <v>545</v>
      </c>
      <c r="D207" s="141">
        <v>3445011803</v>
      </c>
      <c r="E207" s="139" t="s">
        <v>155</v>
      </c>
      <c r="F207" s="139" t="s">
        <v>156</v>
      </c>
      <c r="G207" s="139" t="s">
        <v>160</v>
      </c>
      <c r="H207" s="139" t="s">
        <v>546</v>
      </c>
      <c r="I207" s="139" t="s">
        <v>547</v>
      </c>
    </row>
    <row r="208" spans="1:9" hidden="1" x14ac:dyDescent="0.25">
      <c r="A208" s="139"/>
      <c r="B208" s="140">
        <v>50</v>
      </c>
      <c r="C208" s="139" t="s">
        <v>106</v>
      </c>
      <c r="D208" s="141">
        <v>2934817349</v>
      </c>
      <c r="E208" s="139" t="s">
        <v>155</v>
      </c>
      <c r="F208" s="139" t="s">
        <v>156</v>
      </c>
      <c r="G208" s="139" t="s">
        <v>160</v>
      </c>
      <c r="H208" s="139" t="s">
        <v>284</v>
      </c>
      <c r="I208" s="139" t="s">
        <v>247</v>
      </c>
    </row>
    <row r="209" spans="1:9" hidden="1" x14ac:dyDescent="0.25">
      <c r="A209" s="139"/>
      <c r="B209" s="141">
        <v>2289516870</v>
      </c>
      <c r="C209" s="139" t="s">
        <v>548</v>
      </c>
      <c r="D209" s="141">
        <v>3117410479</v>
      </c>
      <c r="E209" s="139" t="s">
        <v>155</v>
      </c>
      <c r="F209" s="139" t="s">
        <v>177</v>
      </c>
      <c r="G209" s="139" t="s">
        <v>160</v>
      </c>
      <c r="H209" s="139" t="s">
        <v>322</v>
      </c>
      <c r="I209" s="139" t="s">
        <v>387</v>
      </c>
    </row>
    <row r="210" spans="1:9" hidden="1" x14ac:dyDescent="0.25">
      <c r="A210" s="139"/>
      <c r="B210" s="141">
        <v>2289516790</v>
      </c>
      <c r="C210" s="139" t="s">
        <v>549</v>
      </c>
      <c r="D210" s="141">
        <v>3585104756</v>
      </c>
      <c r="E210" s="139" t="s">
        <v>155</v>
      </c>
      <c r="F210" s="139" t="s">
        <v>156</v>
      </c>
      <c r="G210" s="139" t="s">
        <v>199</v>
      </c>
      <c r="H210" s="139" t="s">
        <v>231</v>
      </c>
      <c r="I210" s="139" t="s">
        <v>550</v>
      </c>
    </row>
    <row r="211" spans="1:9" hidden="1" x14ac:dyDescent="0.25">
      <c r="A211" s="139"/>
      <c r="B211" s="141">
        <v>2289516841</v>
      </c>
      <c r="C211" s="139" t="s">
        <v>551</v>
      </c>
      <c r="D211" s="141">
        <v>3185815676</v>
      </c>
      <c r="E211" s="139" t="s">
        <v>155</v>
      </c>
      <c r="F211" s="139" t="s">
        <v>156</v>
      </c>
      <c r="G211" s="139" t="s">
        <v>552</v>
      </c>
      <c r="H211" s="139" t="s">
        <v>231</v>
      </c>
      <c r="I211" s="139" t="s">
        <v>553</v>
      </c>
    </row>
    <row r="212" spans="1:9" hidden="1" x14ac:dyDescent="0.25">
      <c r="A212" s="139"/>
      <c r="B212" s="141">
        <v>2289516782</v>
      </c>
      <c r="C212" s="139" t="s">
        <v>554</v>
      </c>
      <c r="D212" s="141">
        <v>3032615479</v>
      </c>
      <c r="E212" s="139" t="s">
        <v>155</v>
      </c>
      <c r="F212" s="139" t="s">
        <v>156</v>
      </c>
      <c r="G212" s="139" t="s">
        <v>242</v>
      </c>
      <c r="H212" s="139" t="s">
        <v>243</v>
      </c>
      <c r="I212" s="139" t="s">
        <v>555</v>
      </c>
    </row>
    <row r="213" spans="1:9" hidden="1" x14ac:dyDescent="0.25">
      <c r="A213" s="139"/>
      <c r="B213" s="140">
        <v>51</v>
      </c>
      <c r="C213" s="139" t="s">
        <v>556</v>
      </c>
      <c r="D213" s="141">
        <v>2496503857</v>
      </c>
      <c r="E213" s="139" t="s">
        <v>155</v>
      </c>
      <c r="F213" s="139" t="s">
        <v>177</v>
      </c>
      <c r="G213" s="139" t="s">
        <v>281</v>
      </c>
      <c r="H213" s="139" t="s">
        <v>196</v>
      </c>
      <c r="I213" s="139" t="s">
        <v>282</v>
      </c>
    </row>
    <row r="214" spans="1:9" hidden="1" x14ac:dyDescent="0.25">
      <c r="A214" s="139"/>
      <c r="B214" s="140">
        <v>21</v>
      </c>
      <c r="C214" s="139" t="s">
        <v>557</v>
      </c>
      <c r="D214" s="141">
        <v>3721607198</v>
      </c>
      <c r="E214" s="139" t="s">
        <v>155</v>
      </c>
      <c r="F214" s="139" t="s">
        <v>156</v>
      </c>
      <c r="G214" s="139" t="s">
        <v>211</v>
      </c>
      <c r="H214" s="139" t="s">
        <v>558</v>
      </c>
      <c r="I214" s="139" t="s">
        <v>345</v>
      </c>
    </row>
    <row r="215" spans="1:9" hidden="1" x14ac:dyDescent="0.25">
      <c r="A215" s="139"/>
      <c r="B215" s="141">
        <v>2289516866</v>
      </c>
      <c r="C215" s="139" t="s">
        <v>559</v>
      </c>
      <c r="D215" s="141">
        <v>2437911836</v>
      </c>
      <c r="E215" s="139" t="s">
        <v>155</v>
      </c>
      <c r="F215" s="139" t="s">
        <v>177</v>
      </c>
      <c r="G215" s="139" t="s">
        <v>195</v>
      </c>
      <c r="H215" s="139" t="s">
        <v>359</v>
      </c>
      <c r="I215" s="139" t="s">
        <v>560</v>
      </c>
    </row>
    <row r="216" spans="1:9" hidden="1" x14ac:dyDescent="0.25">
      <c r="A216" s="139"/>
      <c r="B216" s="140">
        <v>63</v>
      </c>
      <c r="C216" s="139" t="s">
        <v>107</v>
      </c>
      <c r="D216" s="141">
        <v>3233009756</v>
      </c>
      <c r="E216" s="139" t="s">
        <v>155</v>
      </c>
      <c r="F216" s="139" t="s">
        <v>156</v>
      </c>
      <c r="G216" s="139" t="s">
        <v>157</v>
      </c>
      <c r="H216" s="139" t="s">
        <v>192</v>
      </c>
      <c r="I216" s="139" t="s">
        <v>561</v>
      </c>
    </row>
    <row r="217" spans="1:9" hidden="1" x14ac:dyDescent="0.25">
      <c r="A217" s="139"/>
      <c r="B217" s="140">
        <v>73</v>
      </c>
      <c r="C217" s="139" t="s">
        <v>108</v>
      </c>
      <c r="D217" s="141">
        <v>3153508799</v>
      </c>
      <c r="E217" s="139" t="s">
        <v>155</v>
      </c>
      <c r="F217" s="139" t="s">
        <v>156</v>
      </c>
      <c r="G217" s="139" t="s">
        <v>157</v>
      </c>
      <c r="H217" s="139" t="s">
        <v>158</v>
      </c>
      <c r="I217" s="139" t="s">
        <v>562</v>
      </c>
    </row>
    <row r="218" spans="1:9" hidden="1" x14ac:dyDescent="0.25">
      <c r="A218" s="139"/>
      <c r="B218" s="141">
        <v>2289516844</v>
      </c>
      <c r="C218" s="139" t="s">
        <v>563</v>
      </c>
      <c r="D218" s="141">
        <v>3503203776</v>
      </c>
      <c r="E218" s="139" t="s">
        <v>155</v>
      </c>
      <c r="F218" s="139" t="s">
        <v>156</v>
      </c>
      <c r="G218" s="139" t="s">
        <v>215</v>
      </c>
      <c r="H218" s="139" t="s">
        <v>205</v>
      </c>
      <c r="I218" s="139" t="s">
        <v>472</v>
      </c>
    </row>
    <row r="219" spans="1:9" hidden="1" x14ac:dyDescent="0.25">
      <c r="A219" s="139"/>
      <c r="B219" s="140">
        <v>275</v>
      </c>
      <c r="C219" s="139" t="s">
        <v>564</v>
      </c>
      <c r="D219" s="141">
        <v>3134414385</v>
      </c>
      <c r="E219" s="139" t="s">
        <v>155</v>
      </c>
      <c r="F219" s="139" t="s">
        <v>156</v>
      </c>
      <c r="G219" s="139" t="s">
        <v>160</v>
      </c>
      <c r="H219" s="139" t="s">
        <v>208</v>
      </c>
      <c r="I219" s="139" t="s">
        <v>565</v>
      </c>
    </row>
    <row r="220" spans="1:9" hidden="1" x14ac:dyDescent="0.25">
      <c r="A220" s="139"/>
      <c r="B220" s="140">
        <v>76</v>
      </c>
      <c r="C220" s="139" t="s">
        <v>109</v>
      </c>
      <c r="D220" s="141">
        <v>3428705315</v>
      </c>
      <c r="E220" s="139" t="s">
        <v>155</v>
      </c>
      <c r="F220" s="139" t="s">
        <v>156</v>
      </c>
      <c r="G220" s="139" t="s">
        <v>157</v>
      </c>
      <c r="H220" s="139" t="s">
        <v>158</v>
      </c>
      <c r="I220" s="139" t="s">
        <v>566</v>
      </c>
    </row>
    <row r="221" spans="1:9" hidden="1" x14ac:dyDescent="0.25">
      <c r="A221" s="139"/>
      <c r="B221" s="140">
        <v>10</v>
      </c>
      <c r="C221" s="139" t="s">
        <v>567</v>
      </c>
      <c r="D221" s="141">
        <v>3256517677</v>
      </c>
      <c r="E221" s="139" t="s">
        <v>155</v>
      </c>
      <c r="F221" s="139" t="s">
        <v>156</v>
      </c>
      <c r="G221" s="139" t="s">
        <v>211</v>
      </c>
      <c r="H221" s="139" t="s">
        <v>411</v>
      </c>
      <c r="I221" s="139" t="s">
        <v>354</v>
      </c>
    </row>
    <row r="222" spans="1:9" hidden="1" x14ac:dyDescent="0.25">
      <c r="A222" s="139"/>
      <c r="B222" s="140">
        <v>15</v>
      </c>
      <c r="C222" s="139" t="s">
        <v>568</v>
      </c>
      <c r="D222" s="141">
        <v>3189201728</v>
      </c>
      <c r="E222" s="139" t="s">
        <v>155</v>
      </c>
      <c r="F222" s="139" t="s">
        <v>156</v>
      </c>
      <c r="G222" s="139" t="s">
        <v>211</v>
      </c>
      <c r="H222" s="139" t="s">
        <v>428</v>
      </c>
      <c r="I222" s="139" t="s">
        <v>453</v>
      </c>
    </row>
    <row r="223" spans="1:9" hidden="1" x14ac:dyDescent="0.25">
      <c r="A223" s="139"/>
      <c r="B223" s="140">
        <v>222</v>
      </c>
      <c r="C223" s="139" t="s">
        <v>569</v>
      </c>
      <c r="D223" s="141">
        <v>2505004717</v>
      </c>
      <c r="E223" s="139" t="s">
        <v>155</v>
      </c>
      <c r="F223" s="139" t="s">
        <v>156</v>
      </c>
      <c r="G223" s="139" t="s">
        <v>253</v>
      </c>
      <c r="H223" s="139" t="s">
        <v>220</v>
      </c>
      <c r="I223" s="139" t="s">
        <v>570</v>
      </c>
    </row>
    <row r="224" spans="1:9" hidden="1" x14ac:dyDescent="0.25">
      <c r="A224" s="139"/>
      <c r="B224" s="141">
        <v>2289516806</v>
      </c>
      <c r="C224" s="139" t="s">
        <v>571</v>
      </c>
      <c r="D224" s="141">
        <v>2637122794</v>
      </c>
      <c r="E224" s="139" t="s">
        <v>155</v>
      </c>
      <c r="F224" s="139" t="s">
        <v>156</v>
      </c>
      <c r="G224" s="139" t="s">
        <v>215</v>
      </c>
      <c r="H224" s="139" t="s">
        <v>231</v>
      </c>
      <c r="I224" s="139" t="s">
        <v>234</v>
      </c>
    </row>
    <row r="225" spans="1:9" hidden="1" x14ac:dyDescent="0.25">
      <c r="A225" s="139"/>
      <c r="B225" s="141">
        <v>2289516775</v>
      </c>
      <c r="C225" s="139" t="s">
        <v>572</v>
      </c>
      <c r="D225" s="141">
        <v>3113516269</v>
      </c>
      <c r="E225" s="139" t="s">
        <v>155</v>
      </c>
      <c r="F225" s="139" t="s">
        <v>156</v>
      </c>
      <c r="G225" s="139" t="s">
        <v>160</v>
      </c>
      <c r="H225" s="139" t="s">
        <v>573</v>
      </c>
      <c r="I225" s="139" t="s">
        <v>574</v>
      </c>
    </row>
    <row r="226" spans="1:9" hidden="1" x14ac:dyDescent="0.25">
      <c r="A226" s="139"/>
      <c r="B226" s="139" t="s">
        <v>575</v>
      </c>
      <c r="C226" s="139" t="s">
        <v>576</v>
      </c>
      <c r="D226" s="141">
        <v>2358615949</v>
      </c>
      <c r="E226" s="139" t="s">
        <v>129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577</v>
      </c>
      <c r="D227" s="141">
        <v>3243620671</v>
      </c>
      <c r="E227" s="139" t="s">
        <v>155</v>
      </c>
      <c r="F227" s="139" t="s">
        <v>156</v>
      </c>
      <c r="G227" s="139" t="s">
        <v>185</v>
      </c>
      <c r="H227" s="139" t="s">
        <v>243</v>
      </c>
      <c r="I227" s="139" t="s">
        <v>578</v>
      </c>
    </row>
    <row r="228" spans="1:9" hidden="1" x14ac:dyDescent="0.25">
      <c r="A228" s="139"/>
      <c r="B228" s="141">
        <v>2289516700</v>
      </c>
      <c r="C228" s="139" t="s">
        <v>579</v>
      </c>
      <c r="D228" s="141">
        <v>2546110595</v>
      </c>
      <c r="E228" s="139" t="s">
        <v>155</v>
      </c>
      <c r="F228" s="139" t="s">
        <v>156</v>
      </c>
      <c r="G228" s="139" t="s">
        <v>215</v>
      </c>
      <c r="H228" s="139" t="s">
        <v>580</v>
      </c>
      <c r="I228" s="139" t="s">
        <v>197</v>
      </c>
    </row>
    <row r="229" spans="1:9" hidden="1" x14ac:dyDescent="0.25">
      <c r="A229" s="139"/>
      <c r="B229" s="139" t="s">
        <v>581</v>
      </c>
      <c r="C229" s="139" t="s">
        <v>582</v>
      </c>
      <c r="D229" s="141">
        <v>2546110595</v>
      </c>
      <c r="E229" s="139" t="s">
        <v>129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583</v>
      </c>
      <c r="D230" s="141">
        <v>3245617255</v>
      </c>
      <c r="E230" s="139" t="s">
        <v>155</v>
      </c>
      <c r="F230" s="139" t="s">
        <v>156</v>
      </c>
      <c r="G230" s="139" t="s">
        <v>199</v>
      </c>
      <c r="H230" s="139" t="s">
        <v>231</v>
      </c>
      <c r="I230" s="139" t="s">
        <v>272</v>
      </c>
    </row>
    <row r="231" spans="1:9" hidden="1" x14ac:dyDescent="0.25">
      <c r="A231" s="139"/>
      <c r="B231" s="140">
        <v>32</v>
      </c>
      <c r="C231" s="139" t="s">
        <v>584</v>
      </c>
      <c r="D231" s="141">
        <v>2796314998</v>
      </c>
      <c r="E231" s="139" t="s">
        <v>155</v>
      </c>
      <c r="F231" s="139" t="s">
        <v>156</v>
      </c>
      <c r="G231" s="139" t="s">
        <v>199</v>
      </c>
      <c r="H231" s="139" t="s">
        <v>294</v>
      </c>
      <c r="I231" s="139" t="s">
        <v>585</v>
      </c>
    </row>
    <row r="232" spans="1:9" hidden="1" x14ac:dyDescent="0.25">
      <c r="A232" s="139"/>
      <c r="B232" s="141">
        <v>2289516730</v>
      </c>
      <c r="C232" s="139" t="s">
        <v>586</v>
      </c>
      <c r="D232" s="141">
        <v>3406013131</v>
      </c>
      <c r="E232" s="139" t="s">
        <v>155</v>
      </c>
      <c r="F232" s="139" t="s">
        <v>156</v>
      </c>
      <c r="G232" s="139" t="s">
        <v>199</v>
      </c>
      <c r="H232" s="139" t="s">
        <v>231</v>
      </c>
      <c r="I232" s="139" t="s">
        <v>587</v>
      </c>
    </row>
    <row r="233" spans="1:9" hidden="1" x14ac:dyDescent="0.25">
      <c r="A233" s="139"/>
      <c r="B233" s="140">
        <v>55</v>
      </c>
      <c r="C233" s="139" t="s">
        <v>110</v>
      </c>
      <c r="D233" s="141">
        <v>2935421830</v>
      </c>
      <c r="E233" s="139" t="s">
        <v>155</v>
      </c>
      <c r="F233" s="139" t="s">
        <v>156</v>
      </c>
      <c r="G233" s="139" t="s">
        <v>160</v>
      </c>
      <c r="H233" s="139" t="s">
        <v>223</v>
      </c>
      <c r="I233" s="139" t="s">
        <v>588</v>
      </c>
    </row>
    <row r="234" spans="1:9" hidden="1" x14ac:dyDescent="0.25">
      <c r="A234" s="139"/>
      <c r="B234" s="140">
        <v>64</v>
      </c>
      <c r="C234" s="139" t="s">
        <v>111</v>
      </c>
      <c r="D234" s="141">
        <v>2858519154</v>
      </c>
      <c r="E234" s="139" t="s">
        <v>155</v>
      </c>
      <c r="F234" s="139" t="s">
        <v>156</v>
      </c>
      <c r="G234" s="139" t="s">
        <v>160</v>
      </c>
      <c r="H234" s="139" t="s">
        <v>589</v>
      </c>
      <c r="I234" s="139" t="s">
        <v>590</v>
      </c>
    </row>
    <row r="235" spans="1:9" hidden="1" x14ac:dyDescent="0.25">
      <c r="A235" s="139"/>
      <c r="B235" s="141">
        <v>2289516831</v>
      </c>
      <c r="C235" s="139" t="s">
        <v>591</v>
      </c>
      <c r="D235" s="141">
        <v>2222811999</v>
      </c>
      <c r="E235" s="139" t="s">
        <v>155</v>
      </c>
      <c r="F235" s="139" t="s">
        <v>156</v>
      </c>
      <c r="G235" s="139" t="s">
        <v>215</v>
      </c>
      <c r="H235" s="139" t="s">
        <v>196</v>
      </c>
      <c r="I235" s="139" t="s">
        <v>592</v>
      </c>
    </row>
    <row r="236" spans="1:9" hidden="1" x14ac:dyDescent="0.25">
      <c r="A236" s="139"/>
      <c r="B236" s="141">
        <v>2289516739</v>
      </c>
      <c r="C236" s="139" t="s">
        <v>593</v>
      </c>
      <c r="D236" s="141">
        <v>3194113635</v>
      </c>
      <c r="E236" s="139" t="s">
        <v>155</v>
      </c>
      <c r="F236" s="139" t="s">
        <v>156</v>
      </c>
      <c r="G236" s="139" t="s">
        <v>271</v>
      </c>
      <c r="H236" s="139" t="s">
        <v>349</v>
      </c>
      <c r="I236" s="139" t="s">
        <v>594</v>
      </c>
    </row>
    <row r="237" spans="1:9" hidden="1" x14ac:dyDescent="0.25">
      <c r="A237" s="139"/>
      <c r="B237" s="141">
        <v>2289516862</v>
      </c>
      <c r="C237" s="139" t="s">
        <v>595</v>
      </c>
      <c r="D237" s="141">
        <v>2326214630</v>
      </c>
      <c r="E237" s="139" t="s">
        <v>155</v>
      </c>
      <c r="F237" s="139" t="s">
        <v>156</v>
      </c>
      <c r="G237" s="139" t="s">
        <v>382</v>
      </c>
      <c r="H237" s="139" t="s">
        <v>220</v>
      </c>
      <c r="I237" s="139" t="s">
        <v>487</v>
      </c>
    </row>
    <row r="238" spans="1:9" hidden="1" x14ac:dyDescent="0.25">
      <c r="A238" s="139"/>
      <c r="B238" s="141">
        <v>2289516881</v>
      </c>
      <c r="C238" s="139" t="s">
        <v>596</v>
      </c>
      <c r="D238" s="141">
        <v>2913111811</v>
      </c>
      <c r="E238" s="139" t="s">
        <v>155</v>
      </c>
      <c r="F238" s="139" t="s">
        <v>156</v>
      </c>
      <c r="G238" s="139" t="s">
        <v>160</v>
      </c>
      <c r="H238" s="139" t="s">
        <v>597</v>
      </c>
      <c r="I238" s="139" t="s">
        <v>598</v>
      </c>
    </row>
    <row r="239" spans="1:9" hidden="1" x14ac:dyDescent="0.25">
      <c r="A239" s="139"/>
      <c r="B239" s="140">
        <v>18</v>
      </c>
      <c r="C239" s="139" t="s">
        <v>596</v>
      </c>
      <c r="D239" s="141">
        <v>2913111811</v>
      </c>
      <c r="E239" s="139" t="s">
        <v>155</v>
      </c>
      <c r="F239" s="139" t="s">
        <v>177</v>
      </c>
      <c r="G239" s="139" t="s">
        <v>160</v>
      </c>
      <c r="H239" s="139" t="s">
        <v>501</v>
      </c>
      <c r="I239" s="139" t="s">
        <v>181</v>
      </c>
    </row>
    <row r="240" spans="1:9" hidden="1" x14ac:dyDescent="0.25">
      <c r="A240" s="139"/>
      <c r="B240" s="140">
        <v>52</v>
      </c>
      <c r="C240" s="139" t="s">
        <v>599</v>
      </c>
      <c r="D240" s="141">
        <v>3043701165</v>
      </c>
      <c r="E240" s="139" t="s">
        <v>155</v>
      </c>
      <c r="F240" s="139" t="s">
        <v>156</v>
      </c>
      <c r="G240" s="139" t="s">
        <v>160</v>
      </c>
      <c r="H240" s="139" t="s">
        <v>284</v>
      </c>
      <c r="I240" s="139" t="s">
        <v>600</v>
      </c>
    </row>
    <row r="241" spans="1:9" hidden="1" x14ac:dyDescent="0.25">
      <c r="A241" s="139"/>
      <c r="B241" s="141">
        <v>2289516768</v>
      </c>
      <c r="C241" s="139" t="s">
        <v>601</v>
      </c>
      <c r="D241" s="141">
        <v>3464910279</v>
      </c>
      <c r="E241" s="139" t="s">
        <v>155</v>
      </c>
      <c r="F241" s="139" t="s">
        <v>156</v>
      </c>
      <c r="G241" s="139" t="s">
        <v>253</v>
      </c>
      <c r="H241" s="139" t="s">
        <v>192</v>
      </c>
      <c r="I241" s="139" t="s">
        <v>602</v>
      </c>
    </row>
    <row r="242" spans="1:9" hidden="1" x14ac:dyDescent="0.25">
      <c r="A242" s="139"/>
      <c r="B242" s="140">
        <v>12</v>
      </c>
      <c r="C242" s="139" t="s">
        <v>603</v>
      </c>
      <c r="D242" s="141">
        <v>2682404875</v>
      </c>
      <c r="E242" s="139" t="s">
        <v>155</v>
      </c>
      <c r="F242" s="139" t="s">
        <v>156</v>
      </c>
      <c r="G242" s="139" t="s">
        <v>160</v>
      </c>
      <c r="H242" s="139" t="s">
        <v>196</v>
      </c>
      <c r="I242" s="139" t="s">
        <v>178</v>
      </c>
    </row>
    <row r="243" spans="1:9" hidden="1" x14ac:dyDescent="0.25">
      <c r="A243" s="139"/>
      <c r="B243" s="141">
        <v>2289516800</v>
      </c>
      <c r="C243" s="139" t="s">
        <v>604</v>
      </c>
      <c r="D243" s="141">
        <v>2682404875</v>
      </c>
      <c r="E243" s="139" t="s">
        <v>155</v>
      </c>
      <c r="F243" s="139" t="s">
        <v>177</v>
      </c>
      <c r="G243" s="139" t="s">
        <v>160</v>
      </c>
      <c r="H243" s="139" t="s">
        <v>196</v>
      </c>
      <c r="I243" s="139" t="s">
        <v>178</v>
      </c>
    </row>
    <row r="244" spans="1:9" hidden="1" x14ac:dyDescent="0.25">
      <c r="A244" s="139"/>
      <c r="B244" s="140">
        <v>20</v>
      </c>
      <c r="C244" s="139" t="s">
        <v>605</v>
      </c>
      <c r="D244" s="141">
        <v>2682404875</v>
      </c>
      <c r="E244" s="139" t="s">
        <v>155</v>
      </c>
      <c r="F244" s="139" t="s">
        <v>177</v>
      </c>
      <c r="G244" s="139" t="s">
        <v>160</v>
      </c>
      <c r="H244" s="139" t="s">
        <v>259</v>
      </c>
      <c r="I244" s="139" t="s">
        <v>213</v>
      </c>
    </row>
    <row r="245" spans="1:9" hidden="1" x14ac:dyDescent="0.25">
      <c r="A245" s="139"/>
      <c r="B245" s="141">
        <v>2289516783</v>
      </c>
      <c r="C245" s="139" t="s">
        <v>606</v>
      </c>
      <c r="D245" s="141">
        <v>2650516427</v>
      </c>
      <c r="E245" s="139" t="s">
        <v>155</v>
      </c>
      <c r="F245" s="139" t="s">
        <v>156</v>
      </c>
      <c r="G245" s="139" t="s">
        <v>160</v>
      </c>
      <c r="H245" s="139" t="s">
        <v>284</v>
      </c>
      <c r="I245" s="139" t="s">
        <v>607</v>
      </c>
    </row>
    <row r="246" spans="1:9" hidden="1" x14ac:dyDescent="0.25">
      <c r="A246" s="139"/>
      <c r="B246" s="141">
        <v>2289516840</v>
      </c>
      <c r="C246" s="139" t="s">
        <v>608</v>
      </c>
      <c r="D246" s="141">
        <v>2773301332</v>
      </c>
      <c r="E246" s="139" t="s">
        <v>155</v>
      </c>
      <c r="F246" s="139" t="s">
        <v>156</v>
      </c>
      <c r="G246" s="139" t="s">
        <v>160</v>
      </c>
      <c r="H246" s="139" t="s">
        <v>349</v>
      </c>
      <c r="I246" s="139" t="s">
        <v>588</v>
      </c>
    </row>
    <row r="247" spans="1:9" hidden="1" x14ac:dyDescent="0.25">
      <c r="A247" s="139"/>
      <c r="B247" s="139" t="s">
        <v>609</v>
      </c>
      <c r="C247" s="139" t="s">
        <v>610</v>
      </c>
      <c r="D247" s="141">
        <v>2773301332</v>
      </c>
      <c r="E247" s="139" t="s">
        <v>129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155</v>
      </c>
      <c r="F248" s="139" t="s">
        <v>156</v>
      </c>
      <c r="G248" s="139" t="s">
        <v>157</v>
      </c>
      <c r="H248" s="139" t="s">
        <v>611</v>
      </c>
      <c r="I248" s="139" t="s">
        <v>612</v>
      </c>
    </row>
    <row r="249" spans="1:9" hidden="1" x14ac:dyDescent="0.25">
      <c r="A249" s="139"/>
      <c r="B249" s="141">
        <v>2289516712</v>
      </c>
      <c r="C249" s="139" t="s">
        <v>613</v>
      </c>
      <c r="D249" s="141">
        <v>2563423013</v>
      </c>
      <c r="E249" s="139" t="s">
        <v>155</v>
      </c>
      <c r="F249" s="139" t="s">
        <v>156</v>
      </c>
      <c r="G249" s="139" t="s">
        <v>253</v>
      </c>
      <c r="H249" s="139" t="s">
        <v>196</v>
      </c>
      <c r="I249" s="139" t="s">
        <v>614</v>
      </c>
    </row>
    <row r="250" spans="1:9" hidden="1" x14ac:dyDescent="0.25">
      <c r="A250" s="139"/>
      <c r="B250" s="141">
        <v>2289516719</v>
      </c>
      <c r="C250" s="139" t="s">
        <v>615</v>
      </c>
      <c r="D250" s="141">
        <v>3330011315</v>
      </c>
      <c r="E250" s="139" t="s">
        <v>155</v>
      </c>
      <c r="F250" s="139" t="s">
        <v>156</v>
      </c>
      <c r="G250" s="139" t="s">
        <v>199</v>
      </c>
      <c r="H250" s="139" t="s">
        <v>231</v>
      </c>
      <c r="I250" s="139" t="s">
        <v>254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99</v>
      </c>
      <c r="D2" s="126" t="s">
        <v>100</v>
      </c>
      <c r="E2" s="126" t="s">
        <v>101</v>
      </c>
      <c r="F2" s="127" t="s">
        <v>102</v>
      </c>
      <c r="G2" s="127" t="s">
        <v>103</v>
      </c>
      <c r="J2" t="s">
        <v>117</v>
      </c>
    </row>
    <row r="3" spans="2:11" x14ac:dyDescent="0.25">
      <c r="B3" s="128">
        <v>1</v>
      </c>
      <c r="C3" s="129" t="s">
        <v>104</v>
      </c>
      <c r="D3" s="129" t="s">
        <v>105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188</v>
      </c>
      <c r="D4" s="129" t="s">
        <v>105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191</v>
      </c>
      <c r="D5" s="129" t="s">
        <v>105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113</v>
      </c>
      <c r="D6" s="129" t="s">
        <v>105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114</v>
      </c>
      <c r="D7" s="129" t="s">
        <v>105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245</v>
      </c>
      <c r="D8" s="129" t="s">
        <v>105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255</v>
      </c>
      <c r="D9" s="129" t="s">
        <v>105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291</v>
      </c>
      <c r="D10" s="129" t="s">
        <v>105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299</v>
      </c>
      <c r="D11" s="129" t="s">
        <v>105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301</v>
      </c>
      <c r="D12" s="129" t="s">
        <v>105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298</v>
      </c>
      <c r="D13" s="129" t="s">
        <v>105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115</v>
      </c>
      <c r="D14" s="129" t="s">
        <v>105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116</v>
      </c>
      <c r="D15" s="129" t="s">
        <v>105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324</v>
      </c>
      <c r="D16" s="129" t="s">
        <v>105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344</v>
      </c>
      <c r="D17" s="129" t="s">
        <v>105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365</v>
      </c>
      <c r="D18" s="129" t="s">
        <v>105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366</v>
      </c>
      <c r="D19" s="129" t="s">
        <v>105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374</v>
      </c>
      <c r="D20" s="129" t="s">
        <v>105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105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427</v>
      </c>
      <c r="D22" s="129" t="s">
        <v>105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435</v>
      </c>
      <c r="D23" s="129" t="s">
        <v>105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445</v>
      </c>
      <c r="D24" s="129" t="s">
        <v>105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451</v>
      </c>
      <c r="D25" s="129" t="s">
        <v>105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473</v>
      </c>
      <c r="D26" s="129" t="s">
        <v>105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477</v>
      </c>
      <c r="D27" s="129" t="s">
        <v>105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485</v>
      </c>
      <c r="D28" s="129" t="s">
        <v>105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486</v>
      </c>
      <c r="D29" s="129" t="s">
        <v>105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488</v>
      </c>
      <c r="D30" s="129" t="s">
        <v>105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490</v>
      </c>
      <c r="D31" s="129" t="s">
        <v>105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493</v>
      </c>
      <c r="D32" s="129" t="s">
        <v>105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494</v>
      </c>
      <c r="D33" s="129" t="s">
        <v>105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496</v>
      </c>
      <c r="D34" s="129" t="s">
        <v>105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509</v>
      </c>
      <c r="D35" s="129" t="s">
        <v>105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522</v>
      </c>
      <c r="D36" s="129" t="s">
        <v>105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527</v>
      </c>
      <c r="D37" s="129" t="s">
        <v>105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529</v>
      </c>
      <c r="D38" s="129" t="s">
        <v>105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106</v>
      </c>
      <c r="D39" s="129" t="s">
        <v>105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107</v>
      </c>
      <c r="D40" s="129" t="s">
        <v>105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108</v>
      </c>
      <c r="D41" s="129" t="s">
        <v>105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109</v>
      </c>
      <c r="D42" s="129" t="s">
        <v>105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110</v>
      </c>
      <c r="D43" s="129" t="s">
        <v>105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111</v>
      </c>
      <c r="D44" s="129" t="s">
        <v>105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105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112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2"/>
  <sheetViews>
    <sheetView tabSelected="1" zoomScaleNormal="100" workbookViewId="0">
      <pane xSplit="2" ySplit="1" topLeftCell="AH43" activePane="bottomRight" state="frozen"/>
      <selection pane="topRight" activeCell="C1" sqref="C1"/>
      <selection pane="bottomLeft" activeCell="A2" sqref="A2"/>
      <selection pane="bottomRight" activeCell="AM67" sqref="AM67"/>
    </sheetView>
  </sheetViews>
  <sheetFormatPr defaultColWidth="8.85546875" defaultRowHeight="15" outlineLevelRow="1" x14ac:dyDescent="0.25"/>
  <cols>
    <col min="1" max="1" width="8.5703125"/>
    <col min="2" max="2" width="34.5703125" customWidth="1"/>
    <col min="3" max="3" width="13.140625" style="158" customWidth="1"/>
    <col min="4" max="4" width="17.85546875" style="158" customWidth="1"/>
    <col min="5" max="5" width="18.5703125" style="158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38" width="8.85546875" style="1"/>
    <col min="39" max="65" width="9.28515625" style="1" bestFit="1" customWidth="1"/>
    <col min="66" max="66" width="8.85546875" style="1"/>
    <col min="67" max="67" width="10.28515625" style="1" customWidth="1"/>
    <col min="68" max="16384" width="8.85546875" style="1"/>
  </cols>
  <sheetData>
    <row r="1" spans="1:67" s="3" customFormat="1" ht="74.099999999999994" customHeight="1" x14ac:dyDescent="0.25">
      <c r="A1" s="170" t="s">
        <v>1</v>
      </c>
      <c r="B1" s="170" t="s">
        <v>6</v>
      </c>
      <c r="C1" s="168" t="s">
        <v>648</v>
      </c>
      <c r="D1" s="168" t="s">
        <v>663</v>
      </c>
      <c r="E1" s="157" t="s">
        <v>664</v>
      </c>
      <c r="F1" s="143" t="s">
        <v>665</v>
      </c>
      <c r="G1" s="143" t="s">
        <v>645</v>
      </c>
      <c r="H1" s="143" t="s">
        <v>666</v>
      </c>
      <c r="I1" s="169" t="s">
        <v>8</v>
      </c>
      <c r="J1" s="169" t="s">
        <v>0</v>
      </c>
      <c r="K1" s="305" t="s">
        <v>73</v>
      </c>
      <c r="L1" s="306" t="s">
        <v>669</v>
      </c>
      <c r="M1" s="306" t="s">
        <v>671</v>
      </c>
      <c r="N1" s="306" t="s">
        <v>670</v>
      </c>
      <c r="O1" s="306" t="s">
        <v>672</v>
      </c>
      <c r="P1" s="306" t="s">
        <v>673</v>
      </c>
      <c r="Q1" s="306" t="s">
        <v>674</v>
      </c>
      <c r="R1" s="306" t="s">
        <v>676</v>
      </c>
      <c r="S1" s="306" t="s">
        <v>677</v>
      </c>
      <c r="T1" s="306" t="s">
        <v>678</v>
      </c>
      <c r="U1" s="306" t="s">
        <v>679</v>
      </c>
      <c r="V1" s="306" t="s">
        <v>680</v>
      </c>
      <c r="W1" s="306" t="s">
        <v>681</v>
      </c>
      <c r="X1" s="306" t="s">
        <v>682</v>
      </c>
      <c r="Y1" s="306" t="s">
        <v>695</v>
      </c>
      <c r="Z1" s="306" t="s">
        <v>683</v>
      </c>
      <c r="AA1" s="306" t="s">
        <v>684</v>
      </c>
      <c r="AB1" s="306" t="s">
        <v>685</v>
      </c>
      <c r="AC1" s="306" t="s">
        <v>686</v>
      </c>
      <c r="AD1" s="306" t="s">
        <v>687</v>
      </c>
      <c r="AE1" s="306" t="s">
        <v>688</v>
      </c>
      <c r="AF1" s="306" t="s">
        <v>689</v>
      </c>
      <c r="AG1" s="306" t="s">
        <v>690</v>
      </c>
      <c r="AH1" s="306" t="s">
        <v>691</v>
      </c>
      <c r="AI1" s="306" t="s">
        <v>692</v>
      </c>
      <c r="AJ1" s="306" t="s">
        <v>693</v>
      </c>
      <c r="AK1" s="306" t="s">
        <v>694</v>
      </c>
      <c r="AL1" s="312" t="s">
        <v>675</v>
      </c>
      <c r="AM1" s="305" t="s">
        <v>73</v>
      </c>
      <c r="AN1" s="306" t="s">
        <v>669</v>
      </c>
      <c r="AO1" s="306" t="s">
        <v>671</v>
      </c>
      <c r="AP1" s="306" t="s">
        <v>670</v>
      </c>
      <c r="AQ1" s="306" t="s">
        <v>672</v>
      </c>
      <c r="AR1" s="306" t="s">
        <v>673</v>
      </c>
      <c r="AS1" s="306" t="s">
        <v>674</v>
      </c>
      <c r="AT1" s="306" t="s">
        <v>676</v>
      </c>
      <c r="AU1" s="306" t="s">
        <v>677</v>
      </c>
      <c r="AV1" s="306" t="s">
        <v>678</v>
      </c>
      <c r="AW1" s="306" t="s">
        <v>679</v>
      </c>
      <c r="AX1" s="306" t="s">
        <v>680</v>
      </c>
      <c r="AY1" s="306" t="s">
        <v>681</v>
      </c>
      <c r="AZ1" s="306" t="s">
        <v>682</v>
      </c>
      <c r="BA1" s="306" t="s">
        <v>695</v>
      </c>
      <c r="BB1" s="306" t="s">
        <v>683</v>
      </c>
      <c r="BC1" s="306" t="s">
        <v>684</v>
      </c>
      <c r="BD1" s="306" t="s">
        <v>685</v>
      </c>
      <c r="BE1" s="306" t="s">
        <v>686</v>
      </c>
      <c r="BF1" s="306" t="s">
        <v>687</v>
      </c>
      <c r="BG1" s="306" t="s">
        <v>688</v>
      </c>
      <c r="BH1" s="306" t="s">
        <v>689</v>
      </c>
      <c r="BI1" s="306" t="s">
        <v>690</v>
      </c>
      <c r="BJ1" s="306" t="s">
        <v>691</v>
      </c>
      <c r="BK1" s="306" t="s">
        <v>692</v>
      </c>
      <c r="BL1" s="306" t="s">
        <v>693</v>
      </c>
      <c r="BM1" s="306" t="s">
        <v>694</v>
      </c>
      <c r="BN1" s="312" t="s">
        <v>675</v>
      </c>
      <c r="BO1" s="314"/>
    </row>
    <row r="2" spans="1:67" s="177" customFormat="1" ht="15.75" outlineLevel="1" x14ac:dyDescent="0.25">
      <c r="A2" s="171"/>
      <c r="B2" s="151" t="s">
        <v>17</v>
      </c>
      <c r="C2" s="172"/>
      <c r="D2" s="172">
        <v>8662.5</v>
      </c>
      <c r="E2" s="173">
        <f t="shared" ref="E2" si="0">I2*J2</f>
        <v>20880</v>
      </c>
      <c r="F2" s="174">
        <v>29.979999999995925</v>
      </c>
      <c r="G2" s="174">
        <f>IF(ROUND(E2+F2-C2-D2,-2)&lt;0,0,ROUND(E2+F2-C2-D2,-2))</f>
        <v>12200</v>
      </c>
      <c r="H2" s="174">
        <f>E2+F2-G2-C2-D2</f>
        <v>47.479999999995925</v>
      </c>
      <c r="I2" s="308">
        <v>116</v>
      </c>
      <c r="J2" s="176">
        <v>180</v>
      </c>
      <c r="K2" s="310">
        <f>SUMIF(ИТР!B:B,B2,ИТР!R:R)</f>
        <v>116</v>
      </c>
      <c r="L2" s="310">
        <f>SUMIF(_ЦО!$B:$B,B2,_ЦО!T:T)</f>
        <v>0</v>
      </c>
      <c r="M2" s="310">
        <f>SUMIF('МХП лазня'!B:B,B2,'МХП лазня'!T:T)</f>
        <v>0</v>
      </c>
      <c r="N2" s="310">
        <f>SUMIF(Катеринополь!$B:$B,B2,Катеринополь!$T:$T)</f>
        <v>0</v>
      </c>
      <c r="O2" s="310">
        <f>SUMIF(ВООЗ!B:B,B2,ВООЗ!T:T)</f>
        <v>0</v>
      </c>
      <c r="P2" s="310">
        <f>SUMIF(Кернел!B:B,B2,Кернел!T:T)</f>
        <v>0</v>
      </c>
      <c r="Q2" s="310">
        <f>SUMIF('Глобино Мк'!B:B,B2,'Глобино Мк'!T:T)</f>
        <v>0</v>
      </c>
      <c r="R2" s="310">
        <f>SUMIF('ВООЗ ЕМС'!B:B,B2,'ВООЗ ЕМС'!T:T)</f>
        <v>0</v>
      </c>
      <c r="S2" s="310">
        <f>SUMIF('ООН 36'!B:B,B2,'ООН 36'!T:T)</f>
        <v>0</v>
      </c>
      <c r="T2" s="310">
        <f>SUMIF('ООН 37'!B:B,B2,'ООН 37'!T:T)</f>
        <v>0</v>
      </c>
      <c r="U2" s="310">
        <f>SUMIF('ООН 38'!B:B,B2,'ООН 38'!T:T)</f>
        <v>0</v>
      </c>
      <c r="V2" s="310">
        <f>SUMIF(ООН39!B:B,B2,ООН39!T:T)</f>
        <v>0</v>
      </c>
      <c r="W2" s="310">
        <f>SUMIF('ООН 40'!B:B,B2,'ООН 40'!T:T)</f>
        <v>0</v>
      </c>
      <c r="X2" s="310">
        <f>SUMIF('ООН 43'!B:B,B2,'ООН 43'!T:T)</f>
        <v>0</v>
      </c>
      <c r="Y2" s="310">
        <f>SUMIF('ООН 44'!B:B,B2,'ООН 44'!T:T)</f>
        <v>0</v>
      </c>
      <c r="Z2" s="310">
        <f>SUMIF('ООН 45'!B:B,B2,'ООН 45'!V:V)</f>
        <v>0</v>
      </c>
      <c r="AA2" s="310">
        <f>SUMIF(ООН46!B:B,B2,ООН46!T:T)</f>
        <v>0</v>
      </c>
      <c r="AB2" s="310">
        <f>SUMIF(ООН47!B:B,B2,ООН47!T:T)</f>
        <v>0</v>
      </c>
      <c r="AC2" s="310">
        <f>SUMIF(ООН48!B:B,B2,ООН48!T:T)</f>
        <v>0</v>
      </c>
      <c r="AD2" s="310">
        <f>SUMIF(ООН49!B:B,B2,ООН49!T:T)</f>
        <v>0</v>
      </c>
      <c r="AE2" s="310">
        <f>SUMIF(ООн50!B:B,B2,ООн50!T:T)</f>
        <v>0</v>
      </c>
      <c r="AF2" s="310">
        <f>SUMIF(ООН51!B:B,B2,ООН51!T:T)</f>
        <v>0</v>
      </c>
      <c r="AG2" s="310">
        <f>SUMIF(Форшахта!B:B,B2,Форшахта!T:T)</f>
        <v>0</v>
      </c>
      <c r="AH2" s="310">
        <f>SUMIF('ГАлерея 25.6'!B:B,B2,'ГАлерея 25.6'!T:T)</f>
        <v>0</v>
      </c>
      <c r="AI2" s="310">
        <f>SUMIF(ГРП!B:B,B2,ГРП!AI:AI)</f>
        <v>0</v>
      </c>
      <c r="AJ2" s="310">
        <f>SUMIF('Парк меляси'!B:B,B2,'Парк меляси'!T:T)</f>
        <v>0</v>
      </c>
      <c r="AK2" s="310">
        <f>SUMIF('ООН 42'!B:B,B2,'ООН 42'!T:T)</f>
        <v>0</v>
      </c>
      <c r="AL2" s="313">
        <f>SUM(K2:AK2)-I2</f>
        <v>0</v>
      </c>
      <c r="AM2" s="311">
        <f>IFERROR($G2/$I2*K2,0)</f>
        <v>12200</v>
      </c>
      <c r="AN2" s="311">
        <f t="shared" ref="AN2:BM2" si="1">IFERROR($G2/$I2*L2,0)</f>
        <v>0</v>
      </c>
      <c r="AO2" s="311">
        <f t="shared" si="1"/>
        <v>0</v>
      </c>
      <c r="AP2" s="311">
        <f t="shared" si="1"/>
        <v>0</v>
      </c>
      <c r="AQ2" s="311">
        <f t="shared" si="1"/>
        <v>0</v>
      </c>
      <c r="AR2" s="311">
        <f t="shared" si="1"/>
        <v>0</v>
      </c>
      <c r="AS2" s="311">
        <f t="shared" si="1"/>
        <v>0</v>
      </c>
      <c r="AT2" s="311">
        <f t="shared" si="1"/>
        <v>0</v>
      </c>
      <c r="AU2" s="311">
        <f t="shared" si="1"/>
        <v>0</v>
      </c>
      <c r="AV2" s="311">
        <f t="shared" si="1"/>
        <v>0</v>
      </c>
      <c r="AW2" s="311">
        <f t="shared" si="1"/>
        <v>0</v>
      </c>
      <c r="AX2" s="311">
        <f t="shared" si="1"/>
        <v>0</v>
      </c>
      <c r="AY2" s="311">
        <f t="shared" si="1"/>
        <v>0</v>
      </c>
      <c r="AZ2" s="311">
        <f t="shared" si="1"/>
        <v>0</v>
      </c>
      <c r="BA2" s="311">
        <f t="shared" si="1"/>
        <v>0</v>
      </c>
      <c r="BB2" s="311">
        <f t="shared" si="1"/>
        <v>0</v>
      </c>
      <c r="BC2" s="311">
        <f t="shared" si="1"/>
        <v>0</v>
      </c>
      <c r="BD2" s="311">
        <f t="shared" si="1"/>
        <v>0</v>
      </c>
      <c r="BE2" s="311">
        <f t="shared" si="1"/>
        <v>0</v>
      </c>
      <c r="BF2" s="311">
        <f t="shared" si="1"/>
        <v>0</v>
      </c>
      <c r="BG2" s="311">
        <f t="shared" si="1"/>
        <v>0</v>
      </c>
      <c r="BH2" s="311">
        <f t="shared" si="1"/>
        <v>0</v>
      </c>
      <c r="BI2" s="311">
        <f t="shared" si="1"/>
        <v>0</v>
      </c>
      <c r="BJ2" s="311">
        <f t="shared" si="1"/>
        <v>0</v>
      </c>
      <c r="BK2" s="311">
        <f t="shared" si="1"/>
        <v>0</v>
      </c>
      <c r="BL2" s="311">
        <f t="shared" si="1"/>
        <v>0</v>
      </c>
      <c r="BM2" s="311">
        <f t="shared" si="1"/>
        <v>0</v>
      </c>
      <c r="BN2" s="315">
        <f>SUM(AM2:BM2)</f>
        <v>12200</v>
      </c>
      <c r="BO2" s="316">
        <f>BN2-G2</f>
        <v>0</v>
      </c>
    </row>
    <row r="3" spans="1:67" ht="15.75" outlineLevel="1" x14ac:dyDescent="0.25">
      <c r="A3" s="150"/>
      <c r="B3" s="151" t="s">
        <v>80</v>
      </c>
      <c r="C3" s="149"/>
      <c r="D3" s="149">
        <v>8610</v>
      </c>
      <c r="E3" s="142">
        <f t="shared" ref="E3:E61" si="2">I3*J3</f>
        <v>14940</v>
      </c>
      <c r="F3" s="144">
        <v>-2423.5599999999977</v>
      </c>
      <c r="G3" s="174">
        <f t="shared" ref="G3:G66" si="3">IF(ROUND(E3+F3-C3-D3,-2)&lt;0,0,ROUND(E3+F3-C3-D3,-2))</f>
        <v>3900</v>
      </c>
      <c r="H3" s="174">
        <f t="shared" ref="H3:H66" si="4">E3+F3-G3-C3-D3</f>
        <v>6.4400000000023283</v>
      </c>
      <c r="I3" s="308">
        <v>83</v>
      </c>
      <c r="J3" s="176">
        <v>180</v>
      </c>
      <c r="K3" s="310">
        <f>SUMIF(ИТР!B:B,B3,ИТР!R:R)</f>
        <v>83</v>
      </c>
      <c r="L3" s="310">
        <f>SUMIF(_ЦО!$B:$B,B3,_ЦО!T:T)</f>
        <v>0</v>
      </c>
      <c r="M3" s="310">
        <f>SUMIF('МХП лазня'!B:B,B3,'МХП лазня'!T:T)</f>
        <v>0</v>
      </c>
      <c r="N3" s="310">
        <f>SUMIF(Катеринополь!$B:$B,B3,Катеринополь!$T:$T)</f>
        <v>0</v>
      </c>
      <c r="O3" s="310">
        <f>SUMIF(ВООЗ!B:B,B3,ВООЗ!T:T)</f>
        <v>0</v>
      </c>
      <c r="P3" s="310">
        <f>SUMIF(Кернел!B:B,B3,Кернел!T:T)</f>
        <v>0</v>
      </c>
      <c r="Q3" s="310">
        <f>SUMIF('Глобино Мк'!B:B,B3,'Глобино Мк'!T:T)</f>
        <v>0</v>
      </c>
      <c r="R3" s="310">
        <f>SUMIF('ВООЗ ЕМС'!B:B,B3,'ВООЗ ЕМС'!T:T)</f>
        <v>0</v>
      </c>
      <c r="S3" s="310">
        <f>SUMIF('ООН 36'!B:B,B3,'ООН 36'!T:T)</f>
        <v>0</v>
      </c>
      <c r="T3" s="310">
        <f>SUMIF('ООН 37'!B:B,B3,'ООН 37'!T:T)</f>
        <v>0</v>
      </c>
      <c r="U3" s="310">
        <f>SUMIF('ООН 38'!B:B,B3,'ООН 38'!T:T)</f>
        <v>0</v>
      </c>
      <c r="V3" s="310">
        <f>SUMIF(ООН39!B:B,B3,ООН39!T:T)</f>
        <v>0</v>
      </c>
      <c r="W3" s="310">
        <f>SUMIF('ООН 40'!B:B,B3,'ООН 40'!T:T)</f>
        <v>0</v>
      </c>
      <c r="X3" s="310">
        <f>SUMIF('ООН 43'!B:B,B3,'ООН 43'!T:T)</f>
        <v>0</v>
      </c>
      <c r="Y3" s="310">
        <f>SUMIF('ООН 44'!B:B,B3,'ООН 44'!T:T)</f>
        <v>0</v>
      </c>
      <c r="Z3" s="310">
        <f>SUMIF('ООН 45'!B:B,B3,'ООН 45'!V:V)</f>
        <v>0</v>
      </c>
      <c r="AA3" s="310">
        <f>SUMIF(ООН46!B:B,B3,ООН46!T:T)</f>
        <v>0</v>
      </c>
      <c r="AB3" s="310">
        <f>SUMIF(ООН47!B:B,B3,ООН47!T:T)</f>
        <v>0</v>
      </c>
      <c r="AC3" s="310">
        <f>SUMIF(ООН48!B:B,B3,ООН48!T:T)</f>
        <v>0</v>
      </c>
      <c r="AD3" s="310">
        <f>SUMIF(ООН49!B:B,B3,ООН49!T:T)</f>
        <v>0</v>
      </c>
      <c r="AE3" s="310">
        <f>SUMIF(ООн50!B:B,B3,ООн50!T:T)</f>
        <v>0</v>
      </c>
      <c r="AF3" s="310">
        <f>SUMIF(ООН51!B:B,B3,ООН51!T:T)</f>
        <v>0</v>
      </c>
      <c r="AG3" s="310">
        <f>SUMIF(Форшахта!B:B,B3,Форшахта!T:T)</f>
        <v>0</v>
      </c>
      <c r="AH3" s="310">
        <f>SUMIF('ГАлерея 25.6'!B:B,B3,'ГАлерея 25.6'!T:T)</f>
        <v>0</v>
      </c>
      <c r="AI3" s="310">
        <f>SUMIF(ГРП!B:B,B3,ГРП!AI:AI)</f>
        <v>0</v>
      </c>
      <c r="AJ3" s="310">
        <f>SUMIF('Парк меляси'!B:B,B3,'Парк меляси'!T:T)</f>
        <v>0</v>
      </c>
      <c r="AK3" s="310">
        <f>SUMIF('ООН 42'!B:B,B3,'ООН 42'!T:T)</f>
        <v>0</v>
      </c>
      <c r="AL3" s="313">
        <f t="shared" ref="AL3:AL66" si="5">SUM(K3:AK3)-I3</f>
        <v>0</v>
      </c>
      <c r="AM3" s="311">
        <f t="shared" ref="AM3:AM66" si="6">IFERROR($G3/$I3*K3,0)</f>
        <v>3900</v>
      </c>
      <c r="AN3" s="311">
        <f t="shared" ref="AN3:AN66" si="7">IFERROR($G3/$I3*L3,0)</f>
        <v>0</v>
      </c>
      <c r="AO3" s="311">
        <f t="shared" ref="AO3:AO66" si="8">IFERROR($G3/$I3*M3,0)</f>
        <v>0</v>
      </c>
      <c r="AP3" s="311">
        <f t="shared" ref="AP3:AP66" si="9">IFERROR($G3/$I3*N3,0)</f>
        <v>0</v>
      </c>
      <c r="AQ3" s="311">
        <f t="shared" ref="AQ3:AQ66" si="10">IFERROR($G3/$I3*O3,0)</f>
        <v>0</v>
      </c>
      <c r="AR3" s="311">
        <f t="shared" ref="AR3:AR66" si="11">IFERROR($G3/$I3*P3,0)</f>
        <v>0</v>
      </c>
      <c r="AS3" s="311">
        <f t="shared" ref="AS3:AS66" si="12">IFERROR($G3/$I3*Q3,0)</f>
        <v>0</v>
      </c>
      <c r="AT3" s="311">
        <f t="shared" ref="AT3:AT66" si="13">IFERROR($G3/$I3*R3,0)</f>
        <v>0</v>
      </c>
      <c r="AU3" s="311">
        <f t="shared" ref="AU3:AU66" si="14">IFERROR($G3/$I3*S3,0)</f>
        <v>0</v>
      </c>
      <c r="AV3" s="311">
        <f t="shared" ref="AV3:AV66" si="15">IFERROR($G3/$I3*T3,0)</f>
        <v>0</v>
      </c>
      <c r="AW3" s="311">
        <f t="shared" ref="AW3:AW66" si="16">IFERROR($G3/$I3*U3,0)</f>
        <v>0</v>
      </c>
      <c r="AX3" s="311">
        <f t="shared" ref="AX3:AX66" si="17">IFERROR($G3/$I3*V3,0)</f>
        <v>0</v>
      </c>
      <c r="AY3" s="311">
        <f t="shared" ref="AY3:AY66" si="18">IFERROR($G3/$I3*W3,0)</f>
        <v>0</v>
      </c>
      <c r="AZ3" s="311">
        <f t="shared" ref="AZ3:AZ66" si="19">IFERROR($G3/$I3*X3,0)</f>
        <v>0</v>
      </c>
      <c r="BA3" s="311">
        <f t="shared" ref="BA3:BA66" si="20">IFERROR($G3/$I3*Y3,0)</f>
        <v>0</v>
      </c>
      <c r="BB3" s="311">
        <f t="shared" ref="BB3:BB66" si="21">IFERROR($G3/$I3*Z3,0)</f>
        <v>0</v>
      </c>
      <c r="BC3" s="311">
        <f t="shared" ref="BC3:BC66" si="22">IFERROR($G3/$I3*AA3,0)</f>
        <v>0</v>
      </c>
      <c r="BD3" s="311">
        <f t="shared" ref="BD3:BD66" si="23">IFERROR($G3/$I3*AB3,0)</f>
        <v>0</v>
      </c>
      <c r="BE3" s="311">
        <f t="shared" ref="BE3:BE66" si="24">IFERROR($G3/$I3*AC3,0)</f>
        <v>0</v>
      </c>
      <c r="BF3" s="311">
        <f t="shared" ref="BF3:BF66" si="25">IFERROR($G3/$I3*AD3,0)</f>
        <v>0</v>
      </c>
      <c r="BG3" s="311">
        <f t="shared" ref="BG3:BG66" si="26">IFERROR($G3/$I3*AE3,0)</f>
        <v>0</v>
      </c>
      <c r="BH3" s="311">
        <f t="shared" ref="BH3:BH66" si="27">IFERROR($G3/$I3*AF3,0)</f>
        <v>0</v>
      </c>
      <c r="BI3" s="311">
        <f t="shared" ref="BI3:BI66" si="28">IFERROR($G3/$I3*AG3,0)</f>
        <v>0</v>
      </c>
      <c r="BJ3" s="311">
        <f t="shared" ref="BJ3:BJ66" si="29">IFERROR($G3/$I3*AH3,0)</f>
        <v>0</v>
      </c>
      <c r="BK3" s="311">
        <f t="shared" ref="BK3:BK66" si="30">IFERROR($G3/$I3*AI3,0)</f>
        <v>0</v>
      </c>
      <c r="BL3" s="311">
        <f t="shared" ref="BL3:BL66" si="31">IFERROR($G3/$I3*AJ3,0)</f>
        <v>0</v>
      </c>
      <c r="BM3" s="311">
        <f t="shared" ref="BM3:BM66" si="32">IFERROR($G3/$I3*AK3,0)</f>
        <v>0</v>
      </c>
      <c r="BN3" s="315">
        <f t="shared" ref="BN3:BN66" si="33">SUM(AM3:BM3)</f>
        <v>3900</v>
      </c>
      <c r="BO3" s="316">
        <f t="shared" ref="BO3:BO66" si="34">BN3-G3</f>
        <v>0</v>
      </c>
    </row>
    <row r="4" spans="1:67" ht="15.75" outlineLevel="1" x14ac:dyDescent="0.25">
      <c r="A4" s="148">
        <v>1</v>
      </c>
      <c r="B4" s="149" t="s">
        <v>10</v>
      </c>
      <c r="C4" s="149"/>
      <c r="D4" s="149">
        <v>3927</v>
      </c>
      <c r="E4" s="142">
        <f t="shared" si="2"/>
        <v>24150</v>
      </c>
      <c r="F4" s="144">
        <v>-14.75</v>
      </c>
      <c r="G4" s="174">
        <f t="shared" si="3"/>
        <v>20200</v>
      </c>
      <c r="H4" s="174">
        <f t="shared" si="4"/>
        <v>8.25</v>
      </c>
      <c r="I4" s="175">
        <f>_ЦО!T2+'МХП лазня'!T2+Катеринополь!T2+ВООЗ!T2+Кернел!T2+'Глобино Мк'!T2+'ВООЗ ЕМС'!T2+'ООН 36'!T2+'ООН 37'!T2+'ООН 38'!T2+ООН39!T2+'ООН 40'!T2+'ООН 43'!T2+'ООН 44'!T2+'ООН 45'!V2+ООН46!T2+ООН47!T2+ООН48!T2+ООН49!T2+ООн50!T2+ООН51!T2+Форшахта!T2+'ГАлерея 25.6'!T2+ГРП!AI2+'Парк меляси'!T2+'ООН 42'!T2</f>
        <v>161</v>
      </c>
      <c r="J4" s="44">
        <v>150</v>
      </c>
      <c r="K4" s="310">
        <f>SUMIF(ИТР!B:B,B4,ИТР!R:R)</f>
        <v>0</v>
      </c>
      <c r="L4" s="310">
        <f>SUMIF(_ЦО!$B:$B,B4,_ЦО!T:T)</f>
        <v>0</v>
      </c>
      <c r="M4" s="310">
        <f>SUMIF('МХП лазня'!B:B,B4,'МХП лазня'!T:T)</f>
        <v>0</v>
      </c>
      <c r="N4" s="310">
        <f>SUMIF(Катеринополь!$B:$B,B4,Катеринополь!$T:$T)</f>
        <v>33</v>
      </c>
      <c r="O4" s="310">
        <f>SUMIF(ВООЗ!B:B,B4,ВООЗ!T:T)</f>
        <v>0</v>
      </c>
      <c r="P4" s="310">
        <f>SUMIF(Кернел!B:B,B4,Кернел!T:T)</f>
        <v>0</v>
      </c>
      <c r="Q4" s="310">
        <f>SUMIF('Глобино Мк'!B:B,B4,'Глобино Мк'!T:T)</f>
        <v>28</v>
      </c>
      <c r="R4" s="310">
        <f>SUMIF('ВООЗ ЕМС'!B:B,B4,'ВООЗ ЕМС'!T:T)</f>
        <v>0</v>
      </c>
      <c r="S4" s="310">
        <f>SUMIF('ООН 36'!B:B,B4,'ООН 36'!T:T)</f>
        <v>0</v>
      </c>
      <c r="T4" s="310">
        <f>SUMIF('ООН 37'!B:B,B4,'ООН 37'!T:T)</f>
        <v>0</v>
      </c>
      <c r="U4" s="310">
        <f>SUMIF('ООН 38'!B:B,B4,'ООН 38'!T:T)</f>
        <v>0</v>
      </c>
      <c r="V4" s="310">
        <f>SUMIF(ООН39!B:B,B4,ООН39!T:T)</f>
        <v>0</v>
      </c>
      <c r="W4" s="310">
        <f>SUMIF('ООН 40'!B:B,B4,'ООН 40'!T:T)</f>
        <v>0</v>
      </c>
      <c r="X4" s="310">
        <f>SUMIF('ООН 43'!B:B,B4,'ООН 43'!T:T)</f>
        <v>0</v>
      </c>
      <c r="Y4" s="310">
        <f>SUMIF('ООН 44'!B:B,B4,'ООН 44'!T:T)</f>
        <v>0</v>
      </c>
      <c r="Z4" s="310">
        <f>SUMIF('ООН 45'!B:B,B4,'ООН 45'!V:V)</f>
        <v>0</v>
      </c>
      <c r="AA4" s="310">
        <f>SUMIF(ООН46!B:B,B4,ООН46!T:T)</f>
        <v>11</v>
      </c>
      <c r="AB4" s="310">
        <f>SUMIF(ООН47!B:B,B4,ООН47!T:T)</f>
        <v>0</v>
      </c>
      <c r="AC4" s="310">
        <f>SUMIF(ООН48!B:B,B4,ООН48!T:T)</f>
        <v>0</v>
      </c>
      <c r="AD4" s="310">
        <f>SUMIF(ООН49!B:B,B4,ООН49!T:T)</f>
        <v>0</v>
      </c>
      <c r="AE4" s="310">
        <f>SUMIF(ООн50!B:B,B4,ООн50!T:T)</f>
        <v>0</v>
      </c>
      <c r="AF4" s="310">
        <f>SUMIF(ООН51!B:B,B4,ООН51!T:T)</f>
        <v>0</v>
      </c>
      <c r="AG4" s="310">
        <f>SUMIF(Форшахта!B:B,B4,Форшахта!T:T)</f>
        <v>0</v>
      </c>
      <c r="AH4" s="310">
        <f>SUMIF('ГАлерея 25.6'!B:B,B4,'ГАлерея 25.6'!T:T)</f>
        <v>0</v>
      </c>
      <c r="AI4" s="310">
        <f>SUMIF(ГРП!B:B,B4,ГРП!AI:AI)</f>
        <v>39</v>
      </c>
      <c r="AJ4" s="310">
        <f>SUMIF('Парк меляси'!B:B,B4,'Парк меляси'!T:T)</f>
        <v>50</v>
      </c>
      <c r="AK4" s="310">
        <f>SUMIF('ООН 42'!B:B,B4,'ООН 42'!T:T)</f>
        <v>0</v>
      </c>
      <c r="AL4" s="313">
        <f t="shared" si="5"/>
        <v>0</v>
      </c>
      <c r="AM4" s="311">
        <f t="shared" si="6"/>
        <v>0</v>
      </c>
      <c r="AN4" s="311">
        <f t="shared" si="7"/>
        <v>0</v>
      </c>
      <c r="AO4" s="311">
        <f t="shared" si="8"/>
        <v>0</v>
      </c>
      <c r="AP4" s="311">
        <f t="shared" si="9"/>
        <v>4140.3726708074537</v>
      </c>
      <c r="AQ4" s="311">
        <f t="shared" si="10"/>
        <v>0</v>
      </c>
      <c r="AR4" s="311">
        <f t="shared" si="11"/>
        <v>0</v>
      </c>
      <c r="AS4" s="311">
        <f t="shared" si="12"/>
        <v>3513.0434782608695</v>
      </c>
      <c r="AT4" s="311">
        <f t="shared" si="13"/>
        <v>0</v>
      </c>
      <c r="AU4" s="311">
        <f t="shared" si="14"/>
        <v>0</v>
      </c>
      <c r="AV4" s="311">
        <f t="shared" si="15"/>
        <v>0</v>
      </c>
      <c r="AW4" s="311">
        <f t="shared" si="16"/>
        <v>0</v>
      </c>
      <c r="AX4" s="311">
        <f t="shared" si="17"/>
        <v>0</v>
      </c>
      <c r="AY4" s="311">
        <f t="shared" si="18"/>
        <v>0</v>
      </c>
      <c r="AZ4" s="311">
        <f t="shared" si="19"/>
        <v>0</v>
      </c>
      <c r="BA4" s="311">
        <f t="shared" si="20"/>
        <v>0</v>
      </c>
      <c r="BB4" s="311">
        <f t="shared" si="21"/>
        <v>0</v>
      </c>
      <c r="BC4" s="311">
        <f t="shared" si="22"/>
        <v>1380.1242236024846</v>
      </c>
      <c r="BD4" s="311">
        <f t="shared" si="23"/>
        <v>0</v>
      </c>
      <c r="BE4" s="311">
        <f t="shared" si="24"/>
        <v>0</v>
      </c>
      <c r="BF4" s="311">
        <f t="shared" si="25"/>
        <v>0</v>
      </c>
      <c r="BG4" s="311">
        <f t="shared" si="26"/>
        <v>0</v>
      </c>
      <c r="BH4" s="311">
        <f t="shared" si="27"/>
        <v>0</v>
      </c>
      <c r="BI4" s="311">
        <f t="shared" si="28"/>
        <v>0</v>
      </c>
      <c r="BJ4" s="311">
        <f t="shared" si="29"/>
        <v>0</v>
      </c>
      <c r="BK4" s="311">
        <f t="shared" si="30"/>
        <v>4893.1677018633536</v>
      </c>
      <c r="BL4" s="311">
        <f t="shared" si="31"/>
        <v>6273.2919254658382</v>
      </c>
      <c r="BM4" s="311">
        <f t="shared" si="32"/>
        <v>0</v>
      </c>
      <c r="BN4" s="315">
        <f t="shared" si="33"/>
        <v>20200</v>
      </c>
      <c r="BO4" s="316">
        <f t="shared" si="34"/>
        <v>0</v>
      </c>
    </row>
    <row r="5" spans="1:67" ht="15.75" outlineLevel="1" x14ac:dyDescent="0.25">
      <c r="A5" s="148">
        <v>2</v>
      </c>
      <c r="B5" s="149" t="s">
        <v>11</v>
      </c>
      <c r="C5" s="149"/>
      <c r="D5" s="149">
        <v>3927</v>
      </c>
      <c r="E5" s="142">
        <f>I5*J5</f>
        <v>17850</v>
      </c>
      <c r="F5" s="144">
        <v>2.2600000000020373</v>
      </c>
      <c r="G5" s="174">
        <f t="shared" si="3"/>
        <v>13900</v>
      </c>
      <c r="H5" s="174">
        <f t="shared" si="4"/>
        <v>25.260000000002037</v>
      </c>
      <c r="I5" s="175">
        <f>_ЦО!T3+'МХП лазня'!T3+Катеринополь!T3+ВООЗ!T3+Кернел!T3+'Глобино Мк'!T3+'ВООЗ ЕМС'!T3+'ООН 36'!T3+'ООН 37'!T3+'ООН 38'!T3+ООН39!T3+'ООН 40'!T3+'ООН 43'!T3+'ООН 44'!T3+'ООН 45'!V3+ООН46!T3+ООН47!T3+ООН48!T3+ООН49!T3+ООн50!T3+ООН51!T3+Форшахта!T3+'ГАлерея 25.6'!T3+ГРП!AI3+'Парк меляси'!T3+'ООН 42'!T3</f>
        <v>119</v>
      </c>
      <c r="J5" s="44">
        <v>150</v>
      </c>
      <c r="K5" s="310">
        <f>SUMIF(ИТР!B:B,B5,ИТР!R:R)</f>
        <v>0</v>
      </c>
      <c r="L5" s="310">
        <f>SUMIF(_ЦО!$B:$B,B5,_ЦО!T:T)</f>
        <v>119</v>
      </c>
      <c r="M5" s="310">
        <f>SUMIF('МХП лазня'!B:B,B5,'МХП лазня'!T:T)</f>
        <v>0</v>
      </c>
      <c r="N5" s="310">
        <f>SUMIF(Катеринополь!$B:$B,B5,Катеринополь!$T:$T)</f>
        <v>0</v>
      </c>
      <c r="O5" s="310">
        <f>SUMIF(ВООЗ!B:B,B5,ВООЗ!T:T)</f>
        <v>0</v>
      </c>
      <c r="P5" s="310">
        <f>SUMIF(Кернел!B:B,B5,Кернел!T:T)</f>
        <v>0</v>
      </c>
      <c r="Q5" s="310">
        <f>SUMIF('Глобино Мк'!B:B,B5,'Глобино Мк'!T:T)</f>
        <v>0</v>
      </c>
      <c r="R5" s="310">
        <f>SUMIF('ВООЗ ЕМС'!B:B,B5,'ВООЗ ЕМС'!T:T)</f>
        <v>0</v>
      </c>
      <c r="S5" s="310">
        <f>SUMIF('ООН 36'!B:B,B5,'ООН 36'!T:T)</f>
        <v>0</v>
      </c>
      <c r="T5" s="310">
        <f>SUMIF('ООН 37'!B:B,B5,'ООН 37'!T:T)</f>
        <v>0</v>
      </c>
      <c r="U5" s="310">
        <f>SUMIF('ООН 38'!B:B,B5,'ООН 38'!T:T)</f>
        <v>0</v>
      </c>
      <c r="V5" s="310">
        <f>SUMIF(ООН39!B:B,B5,ООН39!T:T)</f>
        <v>0</v>
      </c>
      <c r="W5" s="310">
        <f>SUMIF('ООН 40'!B:B,B5,'ООН 40'!T:T)</f>
        <v>0</v>
      </c>
      <c r="X5" s="310">
        <f>SUMIF('ООН 43'!B:B,B5,'ООН 43'!T:T)</f>
        <v>0</v>
      </c>
      <c r="Y5" s="310">
        <f>SUMIF('ООН 44'!B:B,B5,'ООН 44'!T:T)</f>
        <v>0</v>
      </c>
      <c r="Z5" s="310">
        <f>SUMIF('ООН 45'!B:B,B5,'ООН 45'!V:V)</f>
        <v>0</v>
      </c>
      <c r="AA5" s="310">
        <f>SUMIF(ООН46!B:B,B5,ООН46!T:T)</f>
        <v>0</v>
      </c>
      <c r="AB5" s="310">
        <f>SUMIF(ООН47!B:B,B5,ООН47!T:T)</f>
        <v>0</v>
      </c>
      <c r="AC5" s="310">
        <f>SUMIF(ООН48!B:B,B5,ООН48!T:T)</f>
        <v>0</v>
      </c>
      <c r="AD5" s="310">
        <f>SUMIF(ООН49!B:B,B5,ООН49!T:T)</f>
        <v>0</v>
      </c>
      <c r="AE5" s="310">
        <f>SUMIF(ООн50!B:B,B5,ООн50!T:T)</f>
        <v>0</v>
      </c>
      <c r="AF5" s="310">
        <f>SUMIF(ООН51!B:B,B5,ООН51!T:T)</f>
        <v>0</v>
      </c>
      <c r="AG5" s="310">
        <f>SUMIF(Форшахта!B:B,B5,Форшахта!T:T)</f>
        <v>0</v>
      </c>
      <c r="AH5" s="310">
        <f>SUMIF('ГАлерея 25.6'!B:B,B5,'ГАлерея 25.6'!T:T)</f>
        <v>0</v>
      </c>
      <c r="AI5" s="310">
        <f>SUMIF(ГРП!B:B,B5,ГРП!AI:AI)</f>
        <v>0</v>
      </c>
      <c r="AJ5" s="310">
        <f>SUMIF('Парк меляси'!B:B,B5,'Парк меляси'!T:T)</f>
        <v>0</v>
      </c>
      <c r="AK5" s="310">
        <f>SUMIF('ООН 42'!B:B,B5,'ООН 42'!T:T)</f>
        <v>0</v>
      </c>
      <c r="AL5" s="313">
        <f t="shared" si="5"/>
        <v>0</v>
      </c>
      <c r="AM5" s="311">
        <f t="shared" si="6"/>
        <v>0</v>
      </c>
      <c r="AN5" s="311">
        <f t="shared" si="7"/>
        <v>13900</v>
      </c>
      <c r="AO5" s="311">
        <f t="shared" si="8"/>
        <v>0</v>
      </c>
      <c r="AP5" s="311">
        <f t="shared" si="9"/>
        <v>0</v>
      </c>
      <c r="AQ5" s="311">
        <f t="shared" si="10"/>
        <v>0</v>
      </c>
      <c r="AR5" s="311">
        <f t="shared" si="11"/>
        <v>0</v>
      </c>
      <c r="AS5" s="311">
        <f t="shared" si="12"/>
        <v>0</v>
      </c>
      <c r="AT5" s="311">
        <f t="shared" si="13"/>
        <v>0</v>
      </c>
      <c r="AU5" s="311">
        <f t="shared" si="14"/>
        <v>0</v>
      </c>
      <c r="AV5" s="311">
        <f t="shared" si="15"/>
        <v>0</v>
      </c>
      <c r="AW5" s="311">
        <f t="shared" si="16"/>
        <v>0</v>
      </c>
      <c r="AX5" s="311">
        <f t="shared" si="17"/>
        <v>0</v>
      </c>
      <c r="AY5" s="311">
        <f t="shared" si="18"/>
        <v>0</v>
      </c>
      <c r="AZ5" s="311">
        <f t="shared" si="19"/>
        <v>0</v>
      </c>
      <c r="BA5" s="311">
        <f t="shared" si="20"/>
        <v>0</v>
      </c>
      <c r="BB5" s="311">
        <f t="shared" si="21"/>
        <v>0</v>
      </c>
      <c r="BC5" s="311">
        <f t="shared" si="22"/>
        <v>0</v>
      </c>
      <c r="BD5" s="311">
        <f t="shared" si="23"/>
        <v>0</v>
      </c>
      <c r="BE5" s="311">
        <f t="shared" si="24"/>
        <v>0</v>
      </c>
      <c r="BF5" s="311">
        <f t="shared" si="25"/>
        <v>0</v>
      </c>
      <c r="BG5" s="311">
        <f t="shared" si="26"/>
        <v>0</v>
      </c>
      <c r="BH5" s="311">
        <f t="shared" si="27"/>
        <v>0</v>
      </c>
      <c r="BI5" s="311">
        <f t="shared" si="28"/>
        <v>0</v>
      </c>
      <c r="BJ5" s="311">
        <f t="shared" si="29"/>
        <v>0</v>
      </c>
      <c r="BK5" s="311">
        <f t="shared" si="30"/>
        <v>0</v>
      </c>
      <c r="BL5" s="311">
        <f t="shared" si="31"/>
        <v>0</v>
      </c>
      <c r="BM5" s="311">
        <f t="shared" si="32"/>
        <v>0</v>
      </c>
      <c r="BN5" s="315">
        <f t="shared" si="33"/>
        <v>13900</v>
      </c>
      <c r="BO5" s="316">
        <f t="shared" si="34"/>
        <v>0</v>
      </c>
    </row>
    <row r="6" spans="1:67" ht="15.75" outlineLevel="1" x14ac:dyDescent="0.25">
      <c r="A6" s="148">
        <v>3</v>
      </c>
      <c r="B6" s="149" t="s">
        <v>12</v>
      </c>
      <c r="C6" s="149">
        <v>10324.25</v>
      </c>
      <c r="D6" s="149">
        <v>3927</v>
      </c>
      <c r="E6" s="142">
        <f t="shared" si="2"/>
        <v>54000</v>
      </c>
      <c r="F6" s="144">
        <v>39.75</v>
      </c>
      <c r="G6" s="174">
        <f t="shared" si="3"/>
        <v>39800</v>
      </c>
      <c r="H6" s="174">
        <f t="shared" si="4"/>
        <v>-11.5</v>
      </c>
      <c r="I6" s="175">
        <f>_ЦО!T4+'МХП лазня'!T4+Катеринополь!T4+ВООЗ!T4+Кернел!T4+'Глобино Мк'!T4+'ВООЗ ЕМС'!T4+'ООН 36'!T4+'ООН 37'!T4+'ООН 38'!T4+ООН39!T4+'ООН 40'!T4+'ООН 43'!T4+'ООН 44'!T4+'ООН 45'!V4+ООН46!T4+ООН47!T4+ООН48!T4+ООН49!T4+ООн50!T4+ООН51!T4+Форшахта!T4+'ГАлерея 25.6'!T4+ГРП!AI4+'Парк меляси'!T4+'ООН 42'!T4</f>
        <v>360</v>
      </c>
      <c r="J6" s="44">
        <v>150</v>
      </c>
      <c r="K6" s="310">
        <f>SUMIF(ИТР!B:B,B6,ИТР!R:R)</f>
        <v>0</v>
      </c>
      <c r="L6" s="310">
        <f>SUMIF(_ЦО!$B:$B,B6,_ЦО!T:T)</f>
        <v>0</v>
      </c>
      <c r="M6" s="310">
        <f>SUMIF('МХП лазня'!B:B,B6,'МХП лазня'!T:T)</f>
        <v>0</v>
      </c>
      <c r="N6" s="310">
        <f>SUMIF(Катеринополь!$B:$B,B6,Катеринополь!$T:$T)</f>
        <v>0</v>
      </c>
      <c r="O6" s="310">
        <f>SUMIF(ВООЗ!B:B,B6,ВООЗ!T:T)</f>
        <v>0</v>
      </c>
      <c r="P6" s="310">
        <f>SUMIF(Кернел!B:B,B6,Кернел!T:T)</f>
        <v>360</v>
      </c>
      <c r="Q6" s="310">
        <f>SUMIF('Глобино Мк'!B:B,B6,'Глобино Мк'!T:T)</f>
        <v>0</v>
      </c>
      <c r="R6" s="310">
        <f>SUMIF('ВООЗ ЕМС'!B:B,B6,'ВООЗ ЕМС'!T:T)</f>
        <v>0</v>
      </c>
      <c r="S6" s="310">
        <f>SUMIF('ООН 36'!B:B,B6,'ООН 36'!T:T)</f>
        <v>0</v>
      </c>
      <c r="T6" s="310">
        <f>SUMIF('ООН 37'!B:B,B6,'ООН 37'!T:T)</f>
        <v>0</v>
      </c>
      <c r="U6" s="310">
        <f>SUMIF('ООН 38'!B:B,B6,'ООН 38'!T:T)</f>
        <v>0</v>
      </c>
      <c r="V6" s="310">
        <f>SUMIF(ООН39!B:B,B6,ООН39!T:T)</f>
        <v>0</v>
      </c>
      <c r="W6" s="310">
        <f>SUMIF('ООН 40'!B:B,B6,'ООН 40'!T:T)</f>
        <v>0</v>
      </c>
      <c r="X6" s="310">
        <f>SUMIF('ООН 43'!B:B,B6,'ООН 43'!T:T)</f>
        <v>0</v>
      </c>
      <c r="Y6" s="310">
        <f>SUMIF('ООН 44'!B:B,B6,'ООН 44'!T:T)</f>
        <v>0</v>
      </c>
      <c r="Z6" s="310">
        <f>SUMIF('ООН 45'!B:B,B6,'ООН 45'!V:V)</f>
        <v>0</v>
      </c>
      <c r="AA6" s="310">
        <f>SUMIF(ООН46!B:B,B6,ООН46!T:T)</f>
        <v>0</v>
      </c>
      <c r="AB6" s="310">
        <f>SUMIF(ООН47!B:B,B6,ООН47!T:T)</f>
        <v>0</v>
      </c>
      <c r="AC6" s="310">
        <f>SUMIF(ООН48!B:B,B6,ООН48!T:T)</f>
        <v>0</v>
      </c>
      <c r="AD6" s="310">
        <f>SUMIF(ООН49!B:B,B6,ООН49!T:T)</f>
        <v>0</v>
      </c>
      <c r="AE6" s="310">
        <f>SUMIF(ООн50!B:B,B6,ООн50!T:T)</f>
        <v>0</v>
      </c>
      <c r="AF6" s="310">
        <f>SUMIF(ООН51!B:B,B6,ООН51!T:T)</f>
        <v>0</v>
      </c>
      <c r="AG6" s="310">
        <f>SUMIF(Форшахта!B:B,B6,Форшахта!T:T)</f>
        <v>0</v>
      </c>
      <c r="AH6" s="310">
        <f>SUMIF('ГАлерея 25.6'!B:B,B6,'ГАлерея 25.6'!T:T)</f>
        <v>0</v>
      </c>
      <c r="AI6" s="310">
        <f>SUMIF(ГРП!B:B,B6,ГРП!AI:AI)</f>
        <v>0</v>
      </c>
      <c r="AJ6" s="310">
        <f>SUMIF('Парк меляси'!B:B,B6,'Парк меляси'!T:T)</f>
        <v>0</v>
      </c>
      <c r="AK6" s="310">
        <f>SUMIF('ООН 42'!B:B,B6,'ООН 42'!T:T)</f>
        <v>0</v>
      </c>
      <c r="AL6" s="313">
        <f t="shared" si="5"/>
        <v>0</v>
      </c>
      <c r="AM6" s="311">
        <f t="shared" si="6"/>
        <v>0</v>
      </c>
      <c r="AN6" s="311">
        <f t="shared" si="7"/>
        <v>0</v>
      </c>
      <c r="AO6" s="311">
        <f t="shared" si="8"/>
        <v>0</v>
      </c>
      <c r="AP6" s="311">
        <f t="shared" si="9"/>
        <v>0</v>
      </c>
      <c r="AQ6" s="311">
        <f t="shared" si="10"/>
        <v>0</v>
      </c>
      <c r="AR6" s="311">
        <f t="shared" si="11"/>
        <v>39800</v>
      </c>
      <c r="AS6" s="311">
        <f t="shared" si="12"/>
        <v>0</v>
      </c>
      <c r="AT6" s="311">
        <f t="shared" si="13"/>
        <v>0</v>
      </c>
      <c r="AU6" s="311">
        <f t="shared" si="14"/>
        <v>0</v>
      </c>
      <c r="AV6" s="311">
        <f t="shared" si="15"/>
        <v>0</v>
      </c>
      <c r="AW6" s="311">
        <f t="shared" si="16"/>
        <v>0</v>
      </c>
      <c r="AX6" s="311">
        <f t="shared" si="17"/>
        <v>0</v>
      </c>
      <c r="AY6" s="311">
        <f t="shared" si="18"/>
        <v>0</v>
      </c>
      <c r="AZ6" s="311">
        <f t="shared" si="19"/>
        <v>0</v>
      </c>
      <c r="BA6" s="311">
        <f t="shared" si="20"/>
        <v>0</v>
      </c>
      <c r="BB6" s="311">
        <f t="shared" si="21"/>
        <v>0</v>
      </c>
      <c r="BC6" s="311">
        <f t="shared" si="22"/>
        <v>0</v>
      </c>
      <c r="BD6" s="311">
        <f t="shared" si="23"/>
        <v>0</v>
      </c>
      <c r="BE6" s="311">
        <f t="shared" si="24"/>
        <v>0</v>
      </c>
      <c r="BF6" s="311">
        <f t="shared" si="25"/>
        <v>0</v>
      </c>
      <c r="BG6" s="311">
        <f t="shared" si="26"/>
        <v>0</v>
      </c>
      <c r="BH6" s="311">
        <f t="shared" si="27"/>
        <v>0</v>
      </c>
      <c r="BI6" s="311">
        <f t="shared" si="28"/>
        <v>0</v>
      </c>
      <c r="BJ6" s="311">
        <f t="shared" si="29"/>
        <v>0</v>
      </c>
      <c r="BK6" s="311">
        <f t="shared" si="30"/>
        <v>0</v>
      </c>
      <c r="BL6" s="311">
        <f t="shared" si="31"/>
        <v>0</v>
      </c>
      <c r="BM6" s="311">
        <f t="shared" si="32"/>
        <v>0</v>
      </c>
      <c r="BN6" s="315">
        <f t="shared" si="33"/>
        <v>39800</v>
      </c>
      <c r="BO6" s="316">
        <f t="shared" si="34"/>
        <v>0</v>
      </c>
    </row>
    <row r="7" spans="1:67" ht="15.75" outlineLevel="1" x14ac:dyDescent="0.25">
      <c r="A7" s="148">
        <v>4</v>
      </c>
      <c r="B7" s="149" t="s">
        <v>651</v>
      </c>
      <c r="C7" s="149"/>
      <c r="D7" s="149">
        <v>3927</v>
      </c>
      <c r="E7" s="142">
        <f t="shared" si="2"/>
        <v>18150</v>
      </c>
      <c r="F7" s="144">
        <v>-28.739999999997963</v>
      </c>
      <c r="G7" s="174">
        <f t="shared" si="3"/>
        <v>14200</v>
      </c>
      <c r="H7" s="174">
        <f t="shared" si="4"/>
        <v>-5.7399999999979627</v>
      </c>
      <c r="I7" s="175">
        <f>_ЦО!T5+'МХП лазня'!T5+Катеринополь!T5+ВООЗ!T5+Кернел!T5+'Глобино Мк'!T5+'ВООЗ ЕМС'!T5+'ООН 36'!T5+'ООН 37'!T5+'ООН 38'!T5+ООН39!T5+'ООН 40'!T5+'ООН 43'!T5+'ООН 44'!T5+'ООН 45'!V5+ООН46!T5+ООН47!T5+ООН48!T5+ООН49!T5+ООн50!T5+ООН51!T5+Форшахта!T5+'ГАлерея 25.6'!T5+ГРП!AI5+'Парк меляси'!T5+'ООН 42'!T5</f>
        <v>121</v>
      </c>
      <c r="J7" s="44">
        <v>150</v>
      </c>
      <c r="K7" s="310">
        <f>SUMIF(ИТР!B:B,B7,ИТР!R:R)</f>
        <v>0</v>
      </c>
      <c r="L7" s="310">
        <f>SUMIF(_ЦО!$B:$B,B7,_ЦО!T:T)</f>
        <v>0</v>
      </c>
      <c r="M7" s="310">
        <f>SUMIF('МХП лазня'!B:B,B7,'МХП лазня'!T:T)</f>
        <v>0</v>
      </c>
      <c r="N7" s="310">
        <f>SUMIF(Катеринополь!$B:$B,B7,Катеринополь!$T:$T)</f>
        <v>0</v>
      </c>
      <c r="O7" s="310">
        <f>SUMIF(ВООЗ!B:B,B7,ВООЗ!T:T)</f>
        <v>0</v>
      </c>
      <c r="P7" s="310">
        <f>SUMIF(Кернел!B:B,B7,Кернел!T:T)</f>
        <v>0</v>
      </c>
      <c r="Q7" s="310">
        <f>SUMIF('Глобино Мк'!B:B,B7,'Глобино Мк'!T:T)</f>
        <v>0</v>
      </c>
      <c r="R7" s="310">
        <f>SUMIF('ВООЗ ЕМС'!B:B,B7,'ВООЗ ЕМС'!T:T)</f>
        <v>0</v>
      </c>
      <c r="S7" s="310">
        <f>SUMIF('ООН 36'!B:B,B7,'ООН 36'!T:T)</f>
        <v>0</v>
      </c>
      <c r="T7" s="310">
        <f>SUMIF('ООН 37'!B:B,B7,'ООН 37'!T:T)</f>
        <v>0</v>
      </c>
      <c r="U7" s="310">
        <f>SUMIF('ООН 38'!B:B,B7,'ООН 38'!T:T)</f>
        <v>0</v>
      </c>
      <c r="V7" s="310">
        <f>SUMIF(ООН39!B:B,B7,ООН39!T:T)</f>
        <v>0</v>
      </c>
      <c r="W7" s="310">
        <f>SUMIF('ООН 40'!B:B,B7,'ООН 40'!T:T)</f>
        <v>0</v>
      </c>
      <c r="X7" s="310">
        <f>SUMIF('ООН 43'!B:B,B7,'ООН 43'!T:T)</f>
        <v>0</v>
      </c>
      <c r="Y7" s="310">
        <f>SUMIF('ООН 44'!B:B,B7,'ООН 44'!T:T)</f>
        <v>0</v>
      </c>
      <c r="Z7" s="310">
        <f>SUMIF('ООН 45'!B:B,B7,'ООН 45'!V:V)</f>
        <v>22</v>
      </c>
      <c r="AA7" s="310">
        <f>SUMIF(ООН46!B:B,B7,ООН46!T:T)</f>
        <v>44</v>
      </c>
      <c r="AB7" s="310">
        <f>SUMIF(ООН47!B:B,B7,ООН47!T:T)</f>
        <v>44</v>
      </c>
      <c r="AC7" s="310">
        <f>SUMIF(ООН48!B:B,B7,ООН48!T:T)</f>
        <v>11</v>
      </c>
      <c r="AD7" s="310">
        <f>SUMIF(ООН49!B:B,B7,ООН49!T:T)</f>
        <v>0</v>
      </c>
      <c r="AE7" s="310">
        <f>SUMIF(ООн50!B:B,B7,ООн50!T:T)</f>
        <v>0</v>
      </c>
      <c r="AF7" s="310">
        <f>SUMIF(ООН51!B:B,B7,ООН51!T:T)</f>
        <v>0</v>
      </c>
      <c r="AG7" s="310">
        <f>SUMIF(Форшахта!B:B,B7,Форшахта!T:T)</f>
        <v>0</v>
      </c>
      <c r="AH7" s="310">
        <f>SUMIF('ГАлерея 25.6'!B:B,B7,'ГАлерея 25.6'!T:T)</f>
        <v>0</v>
      </c>
      <c r="AI7" s="310">
        <f>SUMIF(ГРП!B:B,B7,ГРП!AI:AI)</f>
        <v>0</v>
      </c>
      <c r="AJ7" s="310">
        <f>SUMIF('Парк меляси'!B:B,B7,'Парк меляси'!T:T)</f>
        <v>0</v>
      </c>
      <c r="AK7" s="310">
        <f>SUMIF('ООН 42'!B:B,B7,'ООН 42'!T:T)</f>
        <v>0</v>
      </c>
      <c r="AL7" s="313">
        <f t="shared" si="5"/>
        <v>0</v>
      </c>
      <c r="AM7" s="311">
        <f t="shared" si="6"/>
        <v>0</v>
      </c>
      <c r="AN7" s="311">
        <f t="shared" si="7"/>
        <v>0</v>
      </c>
      <c r="AO7" s="311">
        <f t="shared" si="8"/>
        <v>0</v>
      </c>
      <c r="AP7" s="311">
        <f t="shared" si="9"/>
        <v>0</v>
      </c>
      <c r="AQ7" s="311">
        <f t="shared" si="10"/>
        <v>0</v>
      </c>
      <c r="AR7" s="311">
        <f t="shared" si="11"/>
        <v>0</v>
      </c>
      <c r="AS7" s="311">
        <f t="shared" si="12"/>
        <v>0</v>
      </c>
      <c r="AT7" s="311">
        <f t="shared" si="13"/>
        <v>0</v>
      </c>
      <c r="AU7" s="311">
        <f t="shared" si="14"/>
        <v>0</v>
      </c>
      <c r="AV7" s="311">
        <f t="shared" si="15"/>
        <v>0</v>
      </c>
      <c r="AW7" s="311">
        <f t="shared" si="16"/>
        <v>0</v>
      </c>
      <c r="AX7" s="311">
        <f t="shared" si="17"/>
        <v>0</v>
      </c>
      <c r="AY7" s="311">
        <f t="shared" si="18"/>
        <v>0</v>
      </c>
      <c r="AZ7" s="311">
        <f t="shared" si="19"/>
        <v>0</v>
      </c>
      <c r="BA7" s="311">
        <f t="shared" si="20"/>
        <v>0</v>
      </c>
      <c r="BB7" s="311">
        <f t="shared" si="21"/>
        <v>2581.8181818181815</v>
      </c>
      <c r="BC7" s="311">
        <f t="shared" si="22"/>
        <v>5163.6363636363631</v>
      </c>
      <c r="BD7" s="311">
        <f t="shared" si="23"/>
        <v>5163.6363636363631</v>
      </c>
      <c r="BE7" s="311">
        <f t="shared" si="24"/>
        <v>1290.9090909090908</v>
      </c>
      <c r="BF7" s="311">
        <f t="shared" si="25"/>
        <v>0</v>
      </c>
      <c r="BG7" s="311">
        <f t="shared" si="26"/>
        <v>0</v>
      </c>
      <c r="BH7" s="311">
        <f t="shared" si="27"/>
        <v>0</v>
      </c>
      <c r="BI7" s="311">
        <f t="shared" si="28"/>
        <v>0</v>
      </c>
      <c r="BJ7" s="311">
        <f t="shared" si="29"/>
        <v>0</v>
      </c>
      <c r="BK7" s="311">
        <f t="shared" si="30"/>
        <v>0</v>
      </c>
      <c r="BL7" s="311">
        <f t="shared" si="31"/>
        <v>0</v>
      </c>
      <c r="BM7" s="311">
        <f t="shared" si="32"/>
        <v>0</v>
      </c>
      <c r="BN7" s="315">
        <f t="shared" si="33"/>
        <v>14199.999999999998</v>
      </c>
      <c r="BO7" s="316">
        <f t="shared" si="34"/>
        <v>0</v>
      </c>
    </row>
    <row r="8" spans="1:67" ht="15.75" outlineLevel="1" x14ac:dyDescent="0.25">
      <c r="A8" s="148">
        <v>5</v>
      </c>
      <c r="B8" s="149" t="s">
        <v>14</v>
      </c>
      <c r="C8" s="149"/>
      <c r="D8" s="149">
        <v>3927</v>
      </c>
      <c r="E8" s="142">
        <f t="shared" si="2"/>
        <v>19050</v>
      </c>
      <c r="F8" s="144">
        <v>6.1700000000055297</v>
      </c>
      <c r="G8" s="174">
        <f t="shared" si="3"/>
        <v>15100</v>
      </c>
      <c r="H8" s="174">
        <f t="shared" si="4"/>
        <v>29.17000000000553</v>
      </c>
      <c r="I8" s="175">
        <f>_ЦО!T6+'МХП лазня'!T6+Катеринополь!T6+ВООЗ!T6+Кернел!T6+'Глобино Мк'!T6+'ВООЗ ЕМС'!T6+'ООН 36'!T6+'ООН 37'!T6+'ООН 38'!T6+ООН39!T6+'ООН 40'!T6+'ООН 43'!T6+'ООН 44'!T6+'ООН 45'!V6+ООН46!T6+ООН47!T6+ООН48!T6+ООН49!T6+ООн50!T6+ООН51!T6+Форшахта!T6+'ГАлерея 25.6'!T6+ГРП!AI6+'Парк меляси'!T6+'ООН 42'!T6</f>
        <v>127</v>
      </c>
      <c r="J8" s="44">
        <v>150</v>
      </c>
      <c r="K8" s="310">
        <f>SUMIF(ИТР!B:B,B8,ИТР!R:R)</f>
        <v>0</v>
      </c>
      <c r="L8" s="310">
        <f>SUMIF(_ЦО!$B:$B,B8,_ЦО!T:T)</f>
        <v>0</v>
      </c>
      <c r="M8" s="310">
        <f>SUMIF('МХП лазня'!B:B,B8,'МХП лазня'!T:T)</f>
        <v>0</v>
      </c>
      <c r="N8" s="310">
        <f>SUMIF(Катеринополь!$B:$B,B8,Катеринополь!$T:$T)</f>
        <v>0</v>
      </c>
      <c r="O8" s="310">
        <f>SUMIF(ВООЗ!B:B,B8,ВООЗ!T:T)</f>
        <v>0</v>
      </c>
      <c r="P8" s="310">
        <f>SUMIF(Кернел!B:B,B8,Кернел!T:T)</f>
        <v>0</v>
      </c>
      <c r="Q8" s="310">
        <f>SUMIF('Глобино Мк'!B:B,B8,'Глобино Мк'!T:T)</f>
        <v>0</v>
      </c>
      <c r="R8" s="310">
        <f>SUMIF('ВООЗ ЕМС'!B:B,B8,'ВООЗ ЕМС'!T:T)</f>
        <v>0</v>
      </c>
      <c r="S8" s="310">
        <f>SUMIF('ООН 36'!B:B,B8,'ООН 36'!T:T)</f>
        <v>0</v>
      </c>
      <c r="T8" s="310">
        <f>SUMIF('ООН 37'!B:B,B8,'ООН 37'!T:T)</f>
        <v>0</v>
      </c>
      <c r="U8" s="310">
        <f>SUMIF('ООН 38'!B:B,B8,'ООН 38'!T:T)</f>
        <v>0</v>
      </c>
      <c r="V8" s="310">
        <f>SUMIF(ООН39!B:B,B8,ООН39!T:T)</f>
        <v>0</v>
      </c>
      <c r="W8" s="310">
        <f>SUMIF('ООН 40'!B:B,B8,'ООН 40'!T:T)</f>
        <v>0</v>
      </c>
      <c r="X8" s="310">
        <f>SUMIF('ООН 43'!B:B,B8,'ООН 43'!T:T)</f>
        <v>0</v>
      </c>
      <c r="Y8" s="310">
        <f>SUMIF('ООН 44'!B:B,B8,'ООН 44'!T:T)</f>
        <v>0</v>
      </c>
      <c r="Z8" s="310">
        <f>SUMIF('ООН 45'!B:B,B8,'ООН 45'!V:V)</f>
        <v>22</v>
      </c>
      <c r="AA8" s="310">
        <f>SUMIF(ООН46!B:B,B8,ООН46!T:T)</f>
        <v>44</v>
      </c>
      <c r="AB8" s="310">
        <f>SUMIF(ООН47!B:B,B8,ООН47!T:T)</f>
        <v>44</v>
      </c>
      <c r="AC8" s="310">
        <f>SUMIF(ООН48!B:B,B8,ООН48!T:T)</f>
        <v>17</v>
      </c>
      <c r="AD8" s="310">
        <f>SUMIF(ООН49!B:B,B8,ООН49!T:T)</f>
        <v>0</v>
      </c>
      <c r="AE8" s="310">
        <f>SUMIF(ООн50!B:B,B8,ООн50!T:T)</f>
        <v>0</v>
      </c>
      <c r="AF8" s="310">
        <f>SUMIF(ООН51!B:B,B8,ООН51!T:T)</f>
        <v>0</v>
      </c>
      <c r="AG8" s="310">
        <f>SUMIF(Форшахта!B:B,B8,Форшахта!T:T)</f>
        <v>0</v>
      </c>
      <c r="AH8" s="310">
        <f>SUMIF('ГАлерея 25.6'!B:B,B8,'ГАлерея 25.6'!T:T)</f>
        <v>0</v>
      </c>
      <c r="AI8" s="310">
        <f>SUMIF(ГРП!B:B,B8,ГРП!AI:AI)</f>
        <v>0</v>
      </c>
      <c r="AJ8" s="310">
        <f>SUMIF('Парк меляси'!B:B,B8,'Парк меляси'!T:T)</f>
        <v>0</v>
      </c>
      <c r="AK8" s="310">
        <f>SUMIF('ООН 42'!B:B,B8,'ООН 42'!T:T)</f>
        <v>0</v>
      </c>
      <c r="AL8" s="313">
        <f t="shared" si="5"/>
        <v>0</v>
      </c>
      <c r="AM8" s="311">
        <f t="shared" si="6"/>
        <v>0</v>
      </c>
      <c r="AN8" s="311">
        <f t="shared" si="7"/>
        <v>0</v>
      </c>
      <c r="AO8" s="311">
        <f t="shared" si="8"/>
        <v>0</v>
      </c>
      <c r="AP8" s="311">
        <f t="shared" si="9"/>
        <v>0</v>
      </c>
      <c r="AQ8" s="311">
        <f t="shared" si="10"/>
        <v>0</v>
      </c>
      <c r="AR8" s="311">
        <f t="shared" si="11"/>
        <v>0</v>
      </c>
      <c r="AS8" s="311">
        <f t="shared" si="12"/>
        <v>0</v>
      </c>
      <c r="AT8" s="311">
        <f t="shared" si="13"/>
        <v>0</v>
      </c>
      <c r="AU8" s="311">
        <f t="shared" si="14"/>
        <v>0</v>
      </c>
      <c r="AV8" s="311">
        <f t="shared" si="15"/>
        <v>0</v>
      </c>
      <c r="AW8" s="311">
        <f t="shared" si="16"/>
        <v>0</v>
      </c>
      <c r="AX8" s="311">
        <f t="shared" si="17"/>
        <v>0</v>
      </c>
      <c r="AY8" s="311">
        <f t="shared" si="18"/>
        <v>0</v>
      </c>
      <c r="AZ8" s="311">
        <f t="shared" si="19"/>
        <v>0</v>
      </c>
      <c r="BA8" s="311">
        <f t="shared" si="20"/>
        <v>0</v>
      </c>
      <c r="BB8" s="311">
        <f t="shared" si="21"/>
        <v>2615.748031496063</v>
      </c>
      <c r="BC8" s="311">
        <f t="shared" si="22"/>
        <v>5231.4960629921261</v>
      </c>
      <c r="BD8" s="311">
        <f t="shared" si="23"/>
        <v>5231.4960629921261</v>
      </c>
      <c r="BE8" s="311">
        <f t="shared" si="24"/>
        <v>2021.259842519685</v>
      </c>
      <c r="BF8" s="311">
        <f t="shared" si="25"/>
        <v>0</v>
      </c>
      <c r="BG8" s="311">
        <f t="shared" si="26"/>
        <v>0</v>
      </c>
      <c r="BH8" s="311">
        <f t="shared" si="27"/>
        <v>0</v>
      </c>
      <c r="BI8" s="311">
        <f t="shared" si="28"/>
        <v>0</v>
      </c>
      <c r="BJ8" s="311">
        <f t="shared" si="29"/>
        <v>0</v>
      </c>
      <c r="BK8" s="311">
        <f t="shared" si="30"/>
        <v>0</v>
      </c>
      <c r="BL8" s="311">
        <f t="shared" si="31"/>
        <v>0</v>
      </c>
      <c r="BM8" s="311">
        <f t="shared" si="32"/>
        <v>0</v>
      </c>
      <c r="BN8" s="315">
        <f t="shared" si="33"/>
        <v>15100</v>
      </c>
      <c r="BO8" s="316">
        <f t="shared" si="34"/>
        <v>0</v>
      </c>
    </row>
    <row r="9" spans="1:67" ht="15.75" outlineLevel="1" x14ac:dyDescent="0.25">
      <c r="A9" s="148">
        <v>6</v>
      </c>
      <c r="B9" s="149" t="s">
        <v>15</v>
      </c>
      <c r="C9" s="149"/>
      <c r="D9" s="149">
        <v>3927</v>
      </c>
      <c r="E9" s="142">
        <f t="shared" si="2"/>
        <v>19050</v>
      </c>
      <c r="F9" s="144">
        <v>-18.450000000004366</v>
      </c>
      <c r="G9" s="174">
        <f t="shared" si="3"/>
        <v>15100</v>
      </c>
      <c r="H9" s="174">
        <f t="shared" si="4"/>
        <v>4.5499999999956344</v>
      </c>
      <c r="I9" s="175">
        <f>_ЦО!T7+'МХП лазня'!T7+Катеринополь!T7+ВООЗ!T7+Кернел!T7+'Глобино Мк'!T7+'ВООЗ ЕМС'!T7+'ООН 36'!T7+'ООН 37'!T7+'ООН 38'!T7+ООН39!T7+'ООН 40'!T7+'ООН 43'!T7+'ООН 44'!T7+'ООН 45'!V7+ООН46!T7+ООН47!T7+ООН48!T7+ООН49!T7+ООн50!T7+ООН51!T7+Форшахта!T7+'ГАлерея 25.6'!T7+ГРП!AI7+'Парк меляси'!T7+'ООН 42'!T7</f>
        <v>127</v>
      </c>
      <c r="J9" s="44">
        <v>150</v>
      </c>
      <c r="K9" s="310">
        <f>SUMIF(ИТР!B:B,B9,ИТР!R:R)</f>
        <v>0</v>
      </c>
      <c r="L9" s="310">
        <f>SUMIF(_ЦО!$B:$B,B9,_ЦО!T:T)</f>
        <v>0</v>
      </c>
      <c r="M9" s="310">
        <f>SUMIF('МХП лазня'!B:B,B9,'МХП лазня'!T:T)</f>
        <v>0</v>
      </c>
      <c r="N9" s="310">
        <f>SUMIF(Катеринополь!$B:$B,B9,Катеринополь!$T:$T)</f>
        <v>0</v>
      </c>
      <c r="O9" s="310">
        <f>SUMIF(ВООЗ!B:B,B9,ВООЗ!T:T)</f>
        <v>0</v>
      </c>
      <c r="P9" s="310">
        <f>SUMIF(Кернел!B:B,B9,Кернел!T:T)</f>
        <v>0</v>
      </c>
      <c r="Q9" s="310">
        <f>SUMIF('Глобино Мк'!B:B,B9,'Глобино Мк'!T:T)</f>
        <v>33</v>
      </c>
      <c r="R9" s="310">
        <f>SUMIF('ВООЗ ЕМС'!B:B,B9,'ВООЗ ЕМС'!T:T)</f>
        <v>0</v>
      </c>
      <c r="S9" s="310">
        <f>SUMIF('ООН 36'!B:B,B9,'ООН 36'!T:T)</f>
        <v>0</v>
      </c>
      <c r="T9" s="310">
        <f>SUMIF('ООН 37'!B:B,B9,'ООН 37'!T:T)</f>
        <v>0</v>
      </c>
      <c r="U9" s="310">
        <f>SUMIF('ООН 38'!B:B,B9,'ООН 38'!T:T)</f>
        <v>0</v>
      </c>
      <c r="V9" s="310">
        <f>SUMIF(ООН39!B:B,B9,ООН39!T:T)</f>
        <v>0</v>
      </c>
      <c r="W9" s="310">
        <f>SUMIF('ООН 40'!B:B,B9,'ООН 40'!T:T)</f>
        <v>0</v>
      </c>
      <c r="X9" s="310">
        <f>SUMIF('ООН 43'!B:B,B9,'ООН 43'!T:T)</f>
        <v>0</v>
      </c>
      <c r="Y9" s="310">
        <f>SUMIF('ООН 44'!B:B,B9,'ООН 44'!T:T)</f>
        <v>0</v>
      </c>
      <c r="Z9" s="310">
        <f>SUMIF('ООН 45'!B:B,B9,'ООН 45'!V:V)</f>
        <v>0</v>
      </c>
      <c r="AA9" s="310">
        <f>SUMIF(ООН46!B:B,B9,ООН46!T:T)</f>
        <v>0</v>
      </c>
      <c r="AB9" s="310">
        <f>SUMIF(ООН47!B:B,B9,ООН47!T:T)</f>
        <v>0</v>
      </c>
      <c r="AC9" s="310">
        <f>SUMIF(ООН48!B:B,B9,ООН48!T:T)</f>
        <v>0</v>
      </c>
      <c r="AD9" s="310">
        <f>SUMIF(ООН49!B:B,B9,ООН49!T:T)</f>
        <v>0</v>
      </c>
      <c r="AE9" s="310">
        <f>SUMIF(ООн50!B:B,B9,ООн50!T:T)</f>
        <v>0</v>
      </c>
      <c r="AF9" s="310">
        <f>SUMIF(ООН51!B:B,B9,ООН51!T:T)</f>
        <v>0</v>
      </c>
      <c r="AG9" s="310">
        <f>SUMIF(Форшахта!B:B,B9,Форшахта!T:T)</f>
        <v>11</v>
      </c>
      <c r="AH9" s="310">
        <f>SUMIF('ГАлерея 25.6'!B:B,B9,'ГАлерея 25.6'!T:T)</f>
        <v>22</v>
      </c>
      <c r="AI9" s="310">
        <f>SUMIF(ГРП!B:B,B9,ГРП!AI:AI)</f>
        <v>11</v>
      </c>
      <c r="AJ9" s="310">
        <f>SUMIF('Парк меляси'!B:B,B9,'Парк меляси'!T:T)</f>
        <v>50</v>
      </c>
      <c r="AK9" s="310">
        <f>SUMIF('ООН 42'!B:B,B9,'ООН 42'!T:T)</f>
        <v>0</v>
      </c>
      <c r="AL9" s="313">
        <f t="shared" si="5"/>
        <v>0</v>
      </c>
      <c r="AM9" s="311">
        <f t="shared" si="6"/>
        <v>0</v>
      </c>
      <c r="AN9" s="311">
        <f t="shared" si="7"/>
        <v>0</v>
      </c>
      <c r="AO9" s="311">
        <f t="shared" si="8"/>
        <v>0</v>
      </c>
      <c r="AP9" s="311">
        <f t="shared" si="9"/>
        <v>0</v>
      </c>
      <c r="AQ9" s="311">
        <f t="shared" si="10"/>
        <v>0</v>
      </c>
      <c r="AR9" s="311">
        <f t="shared" si="11"/>
        <v>0</v>
      </c>
      <c r="AS9" s="311">
        <f t="shared" si="12"/>
        <v>3923.6220472440941</v>
      </c>
      <c r="AT9" s="311">
        <f t="shared" si="13"/>
        <v>0</v>
      </c>
      <c r="AU9" s="311">
        <f t="shared" si="14"/>
        <v>0</v>
      </c>
      <c r="AV9" s="311">
        <f t="shared" si="15"/>
        <v>0</v>
      </c>
      <c r="AW9" s="311">
        <f t="shared" si="16"/>
        <v>0</v>
      </c>
      <c r="AX9" s="311">
        <f t="shared" si="17"/>
        <v>0</v>
      </c>
      <c r="AY9" s="311">
        <f t="shared" si="18"/>
        <v>0</v>
      </c>
      <c r="AZ9" s="311">
        <f t="shared" si="19"/>
        <v>0</v>
      </c>
      <c r="BA9" s="311">
        <f t="shared" si="20"/>
        <v>0</v>
      </c>
      <c r="BB9" s="311">
        <f t="shared" si="21"/>
        <v>0</v>
      </c>
      <c r="BC9" s="311">
        <f t="shared" si="22"/>
        <v>0</v>
      </c>
      <c r="BD9" s="311">
        <f t="shared" si="23"/>
        <v>0</v>
      </c>
      <c r="BE9" s="311">
        <f t="shared" si="24"/>
        <v>0</v>
      </c>
      <c r="BF9" s="311">
        <f t="shared" si="25"/>
        <v>0</v>
      </c>
      <c r="BG9" s="311">
        <f t="shared" si="26"/>
        <v>0</v>
      </c>
      <c r="BH9" s="311">
        <f t="shared" si="27"/>
        <v>0</v>
      </c>
      <c r="BI9" s="311">
        <f t="shared" si="28"/>
        <v>1307.8740157480315</v>
      </c>
      <c r="BJ9" s="311">
        <f t="shared" si="29"/>
        <v>2615.748031496063</v>
      </c>
      <c r="BK9" s="311">
        <f t="shared" si="30"/>
        <v>1307.8740157480315</v>
      </c>
      <c r="BL9" s="311">
        <f t="shared" si="31"/>
        <v>5944.8818897637793</v>
      </c>
      <c r="BM9" s="311">
        <f t="shared" si="32"/>
        <v>0</v>
      </c>
      <c r="BN9" s="315">
        <f t="shared" si="33"/>
        <v>15100</v>
      </c>
      <c r="BO9" s="316">
        <f t="shared" si="34"/>
        <v>0</v>
      </c>
    </row>
    <row r="10" spans="1:67" ht="15.75" outlineLevel="1" x14ac:dyDescent="0.25">
      <c r="A10" s="148">
        <v>7</v>
      </c>
      <c r="B10" s="149" t="s">
        <v>16</v>
      </c>
      <c r="C10" s="149"/>
      <c r="D10" s="149">
        <v>18640.48</v>
      </c>
      <c r="E10" s="142">
        <f t="shared" si="2"/>
        <v>23400</v>
      </c>
      <c r="F10" s="144">
        <v>-10.240000000001601</v>
      </c>
      <c r="G10" s="174">
        <f t="shared" si="3"/>
        <v>4700</v>
      </c>
      <c r="H10" s="174">
        <f t="shared" si="4"/>
        <v>49.279999999998836</v>
      </c>
      <c r="I10" s="175">
        <f>_ЦО!T8+'МХП лазня'!T8+Катеринополь!T8+ВООЗ!T8+Кернел!T8+'Глобино Мк'!T8+'ВООЗ ЕМС'!T8+'ООН 36'!T8+'ООН 37'!T8+'ООН 38'!T8+ООН39!T8+'ООН 40'!T8+'ООН 43'!T8+'ООН 44'!T8+'ООН 45'!V8+ООН46!T8+ООН47!T8+ООН48!T8+ООН49!T8+ООн50!T8+ООН51!T8+Форшахта!T8+'ГАлерея 25.6'!T8+ГРП!AI8+'Парк меляси'!T8+'ООН 42'!T8</f>
        <v>156</v>
      </c>
      <c r="J10" s="44">
        <v>150</v>
      </c>
      <c r="K10" s="310">
        <f>SUMIF(ИТР!B:B,B10,ИТР!R:R)</f>
        <v>0</v>
      </c>
      <c r="L10" s="310">
        <f>SUMIF(_ЦО!$B:$B,B10,_ЦО!T:T)</f>
        <v>0</v>
      </c>
      <c r="M10" s="310">
        <f>SUMIF('МХП лазня'!B:B,B10,'МХП лазня'!T:T)</f>
        <v>0</v>
      </c>
      <c r="N10" s="310">
        <f>SUMIF(Катеринополь!$B:$B,B10,Катеринополь!$T:$T)</f>
        <v>0</v>
      </c>
      <c r="O10" s="310">
        <f>SUMIF(ВООЗ!B:B,B10,ВООЗ!T:T)</f>
        <v>0</v>
      </c>
      <c r="P10" s="310">
        <f>SUMIF(Кернел!B:B,B10,Кернел!T:T)</f>
        <v>0</v>
      </c>
      <c r="Q10" s="310">
        <f>SUMIF('Глобино Мк'!B:B,B10,'Глобино Мк'!T:T)</f>
        <v>44</v>
      </c>
      <c r="R10" s="310">
        <f>SUMIF('ВООЗ ЕМС'!B:B,B10,'ВООЗ ЕМС'!T:T)</f>
        <v>0</v>
      </c>
      <c r="S10" s="310">
        <f>SUMIF('ООН 36'!B:B,B10,'ООН 36'!T:T)</f>
        <v>0</v>
      </c>
      <c r="T10" s="310">
        <f>SUMIF('ООН 37'!B:B,B10,'ООН 37'!T:T)</f>
        <v>0</v>
      </c>
      <c r="U10" s="310">
        <f>SUMIF('ООН 38'!B:B,B10,'ООН 38'!T:T)</f>
        <v>0</v>
      </c>
      <c r="V10" s="310">
        <f>SUMIF(ООН39!B:B,B10,ООН39!T:T)</f>
        <v>0</v>
      </c>
      <c r="W10" s="310">
        <f>SUMIF('ООН 40'!B:B,B10,'ООН 40'!T:T)</f>
        <v>0</v>
      </c>
      <c r="X10" s="310">
        <f>SUMIF('ООН 43'!B:B,B10,'ООН 43'!T:T)</f>
        <v>0</v>
      </c>
      <c r="Y10" s="310">
        <f>SUMIF('ООН 44'!B:B,B10,'ООН 44'!T:T)</f>
        <v>0</v>
      </c>
      <c r="Z10" s="310">
        <f>SUMIF('ООН 45'!B:B,B10,'ООН 45'!V:V)</f>
        <v>0</v>
      </c>
      <c r="AA10" s="310">
        <f>SUMIF(ООН46!B:B,B10,ООН46!T:T)</f>
        <v>0</v>
      </c>
      <c r="AB10" s="310">
        <f>SUMIF(ООН47!B:B,B10,ООН47!T:T)</f>
        <v>0</v>
      </c>
      <c r="AC10" s="310">
        <f>SUMIF(ООН48!B:B,B10,ООН48!T:T)</f>
        <v>0</v>
      </c>
      <c r="AD10" s="310">
        <f>SUMIF(ООН49!B:B,B10,ООН49!T:T)</f>
        <v>0</v>
      </c>
      <c r="AE10" s="310">
        <f>SUMIF(ООн50!B:B,B10,ООн50!T:T)</f>
        <v>0</v>
      </c>
      <c r="AF10" s="310">
        <f>SUMIF(ООН51!B:B,B10,ООН51!T:T)</f>
        <v>0</v>
      </c>
      <c r="AG10" s="310">
        <f>SUMIF(Форшахта!B:B,B10,Форшахта!T:T)</f>
        <v>22</v>
      </c>
      <c r="AH10" s="310">
        <f>SUMIF('ГАлерея 25.6'!B:B,B10,'ГАлерея 25.6'!T:T)</f>
        <v>22</v>
      </c>
      <c r="AI10" s="310">
        <f>SUMIF(ГРП!B:B,B10,ГРП!AI:AI)</f>
        <v>22</v>
      </c>
      <c r="AJ10" s="310">
        <f>SUMIF('Парк меляси'!B:B,B10,'Парк меляси'!T:T)</f>
        <v>46</v>
      </c>
      <c r="AK10" s="310">
        <f>SUMIF('ООН 42'!B:B,B10,'ООН 42'!T:T)</f>
        <v>0</v>
      </c>
      <c r="AL10" s="313">
        <f t="shared" si="5"/>
        <v>0</v>
      </c>
      <c r="AM10" s="311">
        <f t="shared" si="6"/>
        <v>0</v>
      </c>
      <c r="AN10" s="311">
        <f t="shared" si="7"/>
        <v>0</v>
      </c>
      <c r="AO10" s="311">
        <f t="shared" si="8"/>
        <v>0</v>
      </c>
      <c r="AP10" s="311">
        <f t="shared" si="9"/>
        <v>0</v>
      </c>
      <c r="AQ10" s="311">
        <f t="shared" si="10"/>
        <v>0</v>
      </c>
      <c r="AR10" s="311">
        <f t="shared" si="11"/>
        <v>0</v>
      </c>
      <c r="AS10" s="311">
        <f t="shared" si="12"/>
        <v>1325.6410256410256</v>
      </c>
      <c r="AT10" s="311">
        <f t="shared" si="13"/>
        <v>0</v>
      </c>
      <c r="AU10" s="311">
        <f t="shared" si="14"/>
        <v>0</v>
      </c>
      <c r="AV10" s="311">
        <f t="shared" si="15"/>
        <v>0</v>
      </c>
      <c r="AW10" s="311">
        <f t="shared" si="16"/>
        <v>0</v>
      </c>
      <c r="AX10" s="311">
        <f t="shared" si="17"/>
        <v>0</v>
      </c>
      <c r="AY10" s="311">
        <f t="shared" si="18"/>
        <v>0</v>
      </c>
      <c r="AZ10" s="311">
        <f t="shared" si="19"/>
        <v>0</v>
      </c>
      <c r="BA10" s="311">
        <f t="shared" si="20"/>
        <v>0</v>
      </c>
      <c r="BB10" s="311">
        <f t="shared" si="21"/>
        <v>0</v>
      </c>
      <c r="BC10" s="311">
        <f t="shared" si="22"/>
        <v>0</v>
      </c>
      <c r="BD10" s="311">
        <f t="shared" si="23"/>
        <v>0</v>
      </c>
      <c r="BE10" s="311">
        <f t="shared" si="24"/>
        <v>0</v>
      </c>
      <c r="BF10" s="311">
        <f t="shared" si="25"/>
        <v>0</v>
      </c>
      <c r="BG10" s="311">
        <f t="shared" si="26"/>
        <v>0</v>
      </c>
      <c r="BH10" s="311">
        <f t="shared" si="27"/>
        <v>0</v>
      </c>
      <c r="BI10" s="311">
        <f t="shared" si="28"/>
        <v>662.82051282051282</v>
      </c>
      <c r="BJ10" s="311">
        <f t="shared" si="29"/>
        <v>662.82051282051282</v>
      </c>
      <c r="BK10" s="311">
        <f t="shared" si="30"/>
        <v>662.82051282051282</v>
      </c>
      <c r="BL10" s="311">
        <f t="shared" si="31"/>
        <v>1385.8974358974358</v>
      </c>
      <c r="BM10" s="311">
        <f t="shared" si="32"/>
        <v>0</v>
      </c>
      <c r="BN10" s="315">
        <f t="shared" si="33"/>
        <v>4700</v>
      </c>
      <c r="BO10" s="316">
        <f t="shared" si="34"/>
        <v>0</v>
      </c>
    </row>
    <row r="11" spans="1:67" ht="15.75" outlineLevel="1" x14ac:dyDescent="0.25">
      <c r="A11" s="148">
        <v>8</v>
      </c>
      <c r="B11" s="149" t="s">
        <v>4</v>
      </c>
      <c r="C11" s="149">
        <v>10324.25</v>
      </c>
      <c r="D11" s="149">
        <v>3927</v>
      </c>
      <c r="E11" s="142">
        <f t="shared" si="2"/>
        <v>54000</v>
      </c>
      <c r="F11" s="144">
        <v>32.540000000000873</v>
      </c>
      <c r="G11" s="174">
        <f t="shared" si="3"/>
        <v>39800</v>
      </c>
      <c r="H11" s="174">
        <f t="shared" si="4"/>
        <v>-18.709999999999127</v>
      </c>
      <c r="I11" s="175">
        <f>_ЦО!T9+'МХП лазня'!T9+Катеринополь!T9+ВООЗ!T9+Кернел!T9+'Глобино Мк'!T9+'ВООЗ ЕМС'!T9+'ООН 36'!T9+'ООН 37'!T9+'ООН 38'!T9+ООН39!T9+'ООН 40'!T9+'ООН 43'!T9+'ООН 44'!T9+'ООН 45'!V9+ООН46!T9+ООН47!T9+ООН48!T9+ООН49!T9+ООн50!T9+ООН51!T9+Форшахта!T9+'ГАлерея 25.6'!T9+ГРП!AI9+'Парк меляси'!T9+'ООН 42'!T9</f>
        <v>360</v>
      </c>
      <c r="J11" s="44">
        <v>150</v>
      </c>
      <c r="K11" s="310">
        <f>SUMIF(ИТР!B:B,B11,ИТР!R:R)</f>
        <v>0</v>
      </c>
      <c r="L11" s="310">
        <f>SUMIF(_ЦО!$B:$B,B11,_ЦО!T:T)</f>
        <v>0</v>
      </c>
      <c r="M11" s="310">
        <f>SUMIF('МХП лазня'!B:B,B11,'МХП лазня'!T:T)</f>
        <v>0</v>
      </c>
      <c r="N11" s="310">
        <f>SUMIF(Катеринополь!$B:$B,B11,Катеринополь!$T:$T)</f>
        <v>0</v>
      </c>
      <c r="O11" s="310">
        <f>SUMIF(ВООЗ!B:B,B11,ВООЗ!T:T)</f>
        <v>0</v>
      </c>
      <c r="P11" s="310">
        <f>SUMIF(Кернел!B:B,B11,Кернел!T:T)</f>
        <v>360</v>
      </c>
      <c r="Q11" s="310">
        <f>SUMIF('Глобино Мк'!B:B,B11,'Глобино Мк'!T:T)</f>
        <v>0</v>
      </c>
      <c r="R11" s="310">
        <f>SUMIF('ВООЗ ЕМС'!B:B,B11,'ВООЗ ЕМС'!T:T)</f>
        <v>0</v>
      </c>
      <c r="S11" s="310">
        <f>SUMIF('ООН 36'!B:B,B11,'ООН 36'!T:T)</f>
        <v>0</v>
      </c>
      <c r="T11" s="310">
        <f>SUMIF('ООН 37'!B:B,B11,'ООН 37'!T:T)</f>
        <v>0</v>
      </c>
      <c r="U11" s="310">
        <f>SUMIF('ООН 38'!B:B,B11,'ООН 38'!T:T)</f>
        <v>0</v>
      </c>
      <c r="V11" s="310">
        <f>SUMIF(ООН39!B:B,B11,ООН39!T:T)</f>
        <v>0</v>
      </c>
      <c r="W11" s="310">
        <f>SUMIF('ООН 40'!B:B,B11,'ООН 40'!T:T)</f>
        <v>0</v>
      </c>
      <c r="X11" s="310">
        <f>SUMIF('ООН 43'!B:B,B11,'ООН 43'!T:T)</f>
        <v>0</v>
      </c>
      <c r="Y11" s="310">
        <f>SUMIF('ООН 44'!B:B,B11,'ООН 44'!T:T)</f>
        <v>0</v>
      </c>
      <c r="Z11" s="310">
        <f>SUMIF('ООН 45'!B:B,B11,'ООН 45'!V:V)</f>
        <v>0</v>
      </c>
      <c r="AA11" s="310">
        <f>SUMIF(ООН46!B:B,B11,ООН46!T:T)</f>
        <v>0</v>
      </c>
      <c r="AB11" s="310">
        <f>SUMIF(ООН47!B:B,B11,ООН47!T:T)</f>
        <v>0</v>
      </c>
      <c r="AC11" s="310">
        <f>SUMIF(ООН48!B:B,B11,ООН48!T:T)</f>
        <v>0</v>
      </c>
      <c r="AD11" s="310">
        <f>SUMIF(ООН49!B:B,B11,ООН49!T:T)</f>
        <v>0</v>
      </c>
      <c r="AE11" s="310">
        <f>SUMIF(ООн50!B:B,B11,ООн50!T:T)</f>
        <v>0</v>
      </c>
      <c r="AF11" s="310">
        <f>SUMIF(ООН51!B:B,B11,ООН51!T:T)</f>
        <v>0</v>
      </c>
      <c r="AG11" s="310">
        <f>SUMIF(Форшахта!B:B,B11,Форшахта!T:T)</f>
        <v>0</v>
      </c>
      <c r="AH11" s="310">
        <f>SUMIF('ГАлерея 25.6'!B:B,B11,'ГАлерея 25.6'!T:T)</f>
        <v>0</v>
      </c>
      <c r="AI11" s="310">
        <f>SUMIF(ГРП!B:B,B11,ГРП!AI:AI)</f>
        <v>0</v>
      </c>
      <c r="AJ11" s="310">
        <f>SUMIF('Парк меляси'!B:B,B11,'Парк меляси'!T:T)</f>
        <v>0</v>
      </c>
      <c r="AK11" s="310">
        <f>SUMIF('ООН 42'!B:B,B11,'ООН 42'!T:T)</f>
        <v>0</v>
      </c>
      <c r="AL11" s="313">
        <f t="shared" si="5"/>
        <v>0</v>
      </c>
      <c r="AM11" s="311">
        <f t="shared" si="6"/>
        <v>0</v>
      </c>
      <c r="AN11" s="311">
        <f t="shared" si="7"/>
        <v>0</v>
      </c>
      <c r="AO11" s="311">
        <f t="shared" si="8"/>
        <v>0</v>
      </c>
      <c r="AP11" s="311">
        <f t="shared" si="9"/>
        <v>0</v>
      </c>
      <c r="AQ11" s="311">
        <f t="shared" si="10"/>
        <v>0</v>
      </c>
      <c r="AR11" s="311">
        <f t="shared" si="11"/>
        <v>39800</v>
      </c>
      <c r="AS11" s="311">
        <f t="shared" si="12"/>
        <v>0</v>
      </c>
      <c r="AT11" s="311">
        <f t="shared" si="13"/>
        <v>0</v>
      </c>
      <c r="AU11" s="311">
        <f t="shared" si="14"/>
        <v>0</v>
      </c>
      <c r="AV11" s="311">
        <f t="shared" si="15"/>
        <v>0</v>
      </c>
      <c r="AW11" s="311">
        <f t="shared" si="16"/>
        <v>0</v>
      </c>
      <c r="AX11" s="311">
        <f t="shared" si="17"/>
        <v>0</v>
      </c>
      <c r="AY11" s="311">
        <f t="shared" si="18"/>
        <v>0</v>
      </c>
      <c r="AZ11" s="311">
        <f t="shared" si="19"/>
        <v>0</v>
      </c>
      <c r="BA11" s="311">
        <f t="shared" si="20"/>
        <v>0</v>
      </c>
      <c r="BB11" s="311">
        <f t="shared" si="21"/>
        <v>0</v>
      </c>
      <c r="BC11" s="311">
        <f t="shared" si="22"/>
        <v>0</v>
      </c>
      <c r="BD11" s="311">
        <f t="shared" si="23"/>
        <v>0</v>
      </c>
      <c r="BE11" s="311">
        <f t="shared" si="24"/>
        <v>0</v>
      </c>
      <c r="BF11" s="311">
        <f t="shared" si="25"/>
        <v>0</v>
      </c>
      <c r="BG11" s="311">
        <f t="shared" si="26"/>
        <v>0</v>
      </c>
      <c r="BH11" s="311">
        <f t="shared" si="27"/>
        <v>0</v>
      </c>
      <c r="BI11" s="311">
        <f t="shared" si="28"/>
        <v>0</v>
      </c>
      <c r="BJ11" s="311">
        <f t="shared" si="29"/>
        <v>0</v>
      </c>
      <c r="BK11" s="311">
        <f t="shared" si="30"/>
        <v>0</v>
      </c>
      <c r="BL11" s="311">
        <f t="shared" si="31"/>
        <v>0</v>
      </c>
      <c r="BM11" s="311">
        <f t="shared" si="32"/>
        <v>0</v>
      </c>
      <c r="BN11" s="315">
        <f t="shared" si="33"/>
        <v>39800</v>
      </c>
      <c r="BO11" s="316">
        <f t="shared" si="34"/>
        <v>0</v>
      </c>
    </row>
    <row r="12" spans="1:67" s="177" customFormat="1" ht="15.75" outlineLevel="1" x14ac:dyDescent="0.25">
      <c r="A12" s="148">
        <v>9</v>
      </c>
      <c r="B12" s="149" t="s">
        <v>5</v>
      </c>
      <c r="C12" s="172"/>
      <c r="D12" s="172">
        <v>3927</v>
      </c>
      <c r="E12" s="173">
        <f t="shared" si="2"/>
        <v>20700</v>
      </c>
      <c r="F12" s="174">
        <v>34.950000000004366</v>
      </c>
      <c r="G12" s="174">
        <f t="shared" si="3"/>
        <v>16800</v>
      </c>
      <c r="H12" s="174">
        <f t="shared" si="4"/>
        <v>7.9500000000043656</v>
      </c>
      <c r="I12" s="175">
        <f>_ЦО!T10+'МХП лазня'!T10+Катеринополь!T10+ВООЗ!T10+Кернел!T10+'Глобино Мк'!T10+'ВООЗ ЕМС'!T10+'ООН 36'!T10+'ООН 37'!T10+'ООН 38'!T10+ООН39!T10+'ООН 40'!T10+'ООН 43'!T10+'ООН 44'!T10+'ООН 45'!V10+ООН46!T10+ООН47!T10+ООН48!T10+ООН49!T10+ООн50!T10+ООН51!T10+Форшахта!T10+'ГАлерея 25.6'!T10+ГРП!AI10+'Парк меляси'!T10+'ООН 42'!T10</f>
        <v>138</v>
      </c>
      <c r="J12" s="44">
        <v>150</v>
      </c>
      <c r="K12" s="310">
        <f>SUMIF(ИТР!B:B,B12,ИТР!R:R)</f>
        <v>0</v>
      </c>
      <c r="L12" s="310">
        <f>SUMIF(_ЦО!$B:$B,B12,_ЦО!T:T)</f>
        <v>0</v>
      </c>
      <c r="M12" s="310">
        <f>SUMIF('МХП лазня'!B:B,B12,'МХП лазня'!T:T)</f>
        <v>0</v>
      </c>
      <c r="N12" s="310">
        <f>SUMIF(Катеринополь!$B:$B,B12,Катеринополь!$T:$T)</f>
        <v>11</v>
      </c>
      <c r="O12" s="310">
        <f>SUMIF(ВООЗ!B:B,B12,ВООЗ!T:T)</f>
        <v>0</v>
      </c>
      <c r="P12" s="310">
        <f>SUMIF(Кернел!B:B,B12,Кернел!T:T)</f>
        <v>0</v>
      </c>
      <c r="Q12" s="310">
        <f>SUMIF('Глобино Мк'!B:B,B12,'Глобино Мк'!T:T)</f>
        <v>0</v>
      </c>
      <c r="R12" s="310">
        <f>SUMIF('ВООЗ ЕМС'!B:B,B12,'ВООЗ ЕМС'!T:T)</f>
        <v>0</v>
      </c>
      <c r="S12" s="310">
        <f>SUMIF('ООН 36'!B:B,B12,'ООН 36'!T:T)</f>
        <v>0</v>
      </c>
      <c r="T12" s="310">
        <f>SUMIF('ООН 37'!B:B,B12,'ООН 37'!T:T)</f>
        <v>0</v>
      </c>
      <c r="U12" s="310">
        <f>SUMIF('ООН 38'!B:B,B12,'ООН 38'!T:T)</f>
        <v>0</v>
      </c>
      <c r="V12" s="310">
        <f>SUMIF(ООН39!B:B,B12,ООН39!T:T)</f>
        <v>0</v>
      </c>
      <c r="W12" s="310">
        <f>SUMIF('ООН 40'!B:B,B12,'ООН 40'!T:T)</f>
        <v>0</v>
      </c>
      <c r="X12" s="310">
        <f>SUMIF('ООН 43'!B:B,B12,'ООН 43'!T:T)</f>
        <v>0</v>
      </c>
      <c r="Y12" s="310">
        <f>SUMIF('ООН 44'!B:B,B12,'ООН 44'!T:T)</f>
        <v>22</v>
      </c>
      <c r="Z12" s="310">
        <f>SUMIF('ООН 45'!B:B,B12,'ООН 45'!V:V)</f>
        <v>0</v>
      </c>
      <c r="AA12" s="310">
        <f>SUMIF(ООН46!B:B,B12,ООН46!T:T)</f>
        <v>44</v>
      </c>
      <c r="AB12" s="310">
        <f>SUMIF(ООН47!B:B,B12,ООН47!T:T)</f>
        <v>61</v>
      </c>
      <c r="AC12" s="310">
        <f>SUMIF(ООН48!B:B,B12,ООН48!T:T)</f>
        <v>0</v>
      </c>
      <c r="AD12" s="310">
        <f>SUMIF(ООН49!B:B,B12,ООН49!T:T)</f>
        <v>0</v>
      </c>
      <c r="AE12" s="310">
        <f>SUMIF(ООн50!B:B,B12,ООн50!T:T)</f>
        <v>0</v>
      </c>
      <c r="AF12" s="310">
        <f>SUMIF(ООН51!B:B,B12,ООН51!T:T)</f>
        <v>0</v>
      </c>
      <c r="AG12" s="310">
        <f>SUMIF(Форшахта!B:B,B12,Форшахта!T:T)</f>
        <v>0</v>
      </c>
      <c r="AH12" s="310">
        <f>SUMIF('ГАлерея 25.6'!B:B,B12,'ГАлерея 25.6'!T:T)</f>
        <v>0</v>
      </c>
      <c r="AI12" s="310">
        <f>SUMIF(ГРП!B:B,B12,ГРП!AI:AI)</f>
        <v>0</v>
      </c>
      <c r="AJ12" s="310">
        <f>SUMIF('Парк меляси'!B:B,B12,'Парк меляси'!T:T)</f>
        <v>0</v>
      </c>
      <c r="AK12" s="310">
        <f>SUMIF('ООН 42'!B:B,B12,'ООН 42'!T:T)</f>
        <v>0</v>
      </c>
      <c r="AL12" s="313">
        <f t="shared" si="5"/>
        <v>0</v>
      </c>
      <c r="AM12" s="311">
        <f t="shared" si="6"/>
        <v>0</v>
      </c>
      <c r="AN12" s="311">
        <f t="shared" si="7"/>
        <v>0</v>
      </c>
      <c r="AO12" s="311">
        <f t="shared" si="8"/>
        <v>0</v>
      </c>
      <c r="AP12" s="311">
        <f t="shared" si="9"/>
        <v>1339.1304347826087</v>
      </c>
      <c r="AQ12" s="311">
        <f t="shared" si="10"/>
        <v>0</v>
      </c>
      <c r="AR12" s="311">
        <f t="shared" si="11"/>
        <v>0</v>
      </c>
      <c r="AS12" s="311">
        <f t="shared" si="12"/>
        <v>0</v>
      </c>
      <c r="AT12" s="311">
        <f t="shared" si="13"/>
        <v>0</v>
      </c>
      <c r="AU12" s="311">
        <f t="shared" si="14"/>
        <v>0</v>
      </c>
      <c r="AV12" s="311">
        <f t="shared" si="15"/>
        <v>0</v>
      </c>
      <c r="AW12" s="311">
        <f t="shared" si="16"/>
        <v>0</v>
      </c>
      <c r="AX12" s="311">
        <f t="shared" si="17"/>
        <v>0</v>
      </c>
      <c r="AY12" s="311">
        <f t="shared" si="18"/>
        <v>0</v>
      </c>
      <c r="AZ12" s="311">
        <f t="shared" si="19"/>
        <v>0</v>
      </c>
      <c r="BA12" s="311">
        <f t="shared" si="20"/>
        <v>2678.2608695652175</v>
      </c>
      <c r="BB12" s="311">
        <f t="shared" si="21"/>
        <v>0</v>
      </c>
      <c r="BC12" s="311">
        <f t="shared" si="22"/>
        <v>5356.521739130435</v>
      </c>
      <c r="BD12" s="311">
        <f t="shared" si="23"/>
        <v>7426.086956521739</v>
      </c>
      <c r="BE12" s="311">
        <f t="shared" si="24"/>
        <v>0</v>
      </c>
      <c r="BF12" s="311">
        <f t="shared" si="25"/>
        <v>0</v>
      </c>
      <c r="BG12" s="311">
        <f t="shared" si="26"/>
        <v>0</v>
      </c>
      <c r="BH12" s="311">
        <f t="shared" si="27"/>
        <v>0</v>
      </c>
      <c r="BI12" s="311">
        <f t="shared" si="28"/>
        <v>0</v>
      </c>
      <c r="BJ12" s="311">
        <f t="shared" si="29"/>
        <v>0</v>
      </c>
      <c r="BK12" s="311">
        <f t="shared" si="30"/>
        <v>0</v>
      </c>
      <c r="BL12" s="311">
        <f t="shared" si="31"/>
        <v>0</v>
      </c>
      <c r="BM12" s="311">
        <f t="shared" si="32"/>
        <v>0</v>
      </c>
      <c r="BN12" s="315">
        <f t="shared" si="33"/>
        <v>16800</v>
      </c>
      <c r="BO12" s="316">
        <f t="shared" si="34"/>
        <v>0</v>
      </c>
    </row>
    <row r="13" spans="1:67" ht="15.75" outlineLevel="1" x14ac:dyDescent="0.25">
      <c r="A13" s="148">
        <v>10</v>
      </c>
      <c r="B13" s="149" t="s">
        <v>38</v>
      </c>
      <c r="C13" s="149"/>
      <c r="D13" s="149">
        <v>3927</v>
      </c>
      <c r="E13" s="142">
        <f t="shared" si="2"/>
        <v>19050</v>
      </c>
      <c r="F13" s="144">
        <v>-25</v>
      </c>
      <c r="G13" s="174">
        <f t="shared" si="3"/>
        <v>15100</v>
      </c>
      <c r="H13" s="174">
        <f t="shared" si="4"/>
        <v>-2</v>
      </c>
      <c r="I13" s="175">
        <f>_ЦО!T11+'МХП лазня'!T11+Катеринополь!T11+ВООЗ!T11+Кернел!T11+'Глобино Мк'!T11+'ВООЗ ЕМС'!T11+'ООН 36'!T11+'ООН 37'!T11+'ООН 38'!T11+ООН39!T11+'ООН 40'!T11+'ООН 43'!T11+'ООН 44'!T11+'ООН 45'!V11+ООН46!T11+ООН47!T11+ООН48!T11+ООН49!T11+ООн50!T11+ООН51!T11+Форшахта!T11+'ГАлерея 25.6'!T11+ГРП!AI11+'Парк меляси'!T11+'ООН 42'!T11</f>
        <v>127</v>
      </c>
      <c r="J13" s="44">
        <v>150</v>
      </c>
      <c r="K13" s="310">
        <f>SUMIF(ИТР!B:B,B13,ИТР!R:R)</f>
        <v>0</v>
      </c>
      <c r="L13" s="310">
        <f>SUMIF(_ЦО!$B:$B,B13,_ЦО!T:T)</f>
        <v>0</v>
      </c>
      <c r="M13" s="310">
        <f>SUMIF('МХП лазня'!B:B,B13,'МХП лазня'!T:T)</f>
        <v>83</v>
      </c>
      <c r="N13" s="310">
        <f>SUMIF(Катеринополь!$B:$B,B13,Катеринополь!$T:$T)</f>
        <v>0</v>
      </c>
      <c r="O13" s="310">
        <f>SUMIF(ВООЗ!B:B,B13,ВООЗ!T:T)</f>
        <v>0</v>
      </c>
      <c r="P13" s="310">
        <f>SUMIF(Кернел!B:B,B13,Кернел!T:T)</f>
        <v>0</v>
      </c>
      <c r="Q13" s="310">
        <f>SUMIF('Глобино Мк'!B:B,B13,'Глобино Мк'!T:T)</f>
        <v>0</v>
      </c>
      <c r="R13" s="310">
        <f>SUMIF('ВООЗ ЕМС'!B:B,B13,'ВООЗ ЕМС'!T:T)</f>
        <v>0</v>
      </c>
      <c r="S13" s="310">
        <f>SUMIF('ООН 36'!B:B,B13,'ООН 36'!T:T)</f>
        <v>0</v>
      </c>
      <c r="T13" s="310">
        <f>SUMIF('ООН 37'!B:B,B13,'ООН 37'!T:T)</f>
        <v>0</v>
      </c>
      <c r="U13" s="310">
        <f>SUMIF('ООН 38'!B:B,B13,'ООН 38'!T:T)</f>
        <v>0</v>
      </c>
      <c r="V13" s="310">
        <f>SUMIF(ООН39!B:B,B13,ООН39!T:T)</f>
        <v>0</v>
      </c>
      <c r="W13" s="310">
        <f>SUMIF('ООН 40'!B:B,B13,'ООН 40'!T:T)</f>
        <v>0</v>
      </c>
      <c r="X13" s="310">
        <f>SUMIF('ООН 43'!B:B,B13,'ООН 43'!T:T)</f>
        <v>0</v>
      </c>
      <c r="Y13" s="310">
        <f>SUMIF('ООН 44'!B:B,B13,'ООН 44'!T:T)</f>
        <v>22</v>
      </c>
      <c r="Z13" s="310">
        <f>SUMIF('ООН 45'!B:B,B13,'ООН 45'!V:V)</f>
        <v>22</v>
      </c>
      <c r="AA13" s="310">
        <f>SUMIF(ООН46!B:B,B13,ООН46!T:T)</f>
        <v>0</v>
      </c>
      <c r="AB13" s="310">
        <f>SUMIF(ООН47!B:B,B13,ООН47!T:T)</f>
        <v>0</v>
      </c>
      <c r="AC13" s="310">
        <f>SUMIF(ООН48!B:B,B13,ООН48!T:T)</f>
        <v>0</v>
      </c>
      <c r="AD13" s="310">
        <f>SUMIF(ООН49!B:B,B13,ООН49!T:T)</f>
        <v>0</v>
      </c>
      <c r="AE13" s="310">
        <f>SUMIF(ООн50!B:B,B13,ООн50!T:T)</f>
        <v>0</v>
      </c>
      <c r="AF13" s="310">
        <f>SUMIF(ООН51!B:B,B13,ООН51!T:T)</f>
        <v>0</v>
      </c>
      <c r="AG13" s="310">
        <f>SUMIF(Форшахта!B:B,B13,Форшахта!T:T)</f>
        <v>0</v>
      </c>
      <c r="AH13" s="310">
        <f>SUMIF('ГАлерея 25.6'!B:B,B13,'ГАлерея 25.6'!T:T)</f>
        <v>0</v>
      </c>
      <c r="AI13" s="310">
        <f>SUMIF(ГРП!B:B,B13,ГРП!AI:AI)</f>
        <v>0</v>
      </c>
      <c r="AJ13" s="310">
        <f>SUMIF('Парк меляси'!B:B,B13,'Парк меляси'!T:T)</f>
        <v>0</v>
      </c>
      <c r="AK13" s="310">
        <f>SUMIF('ООН 42'!B:B,B13,'ООН 42'!T:T)</f>
        <v>0</v>
      </c>
      <c r="AL13" s="313">
        <f t="shared" si="5"/>
        <v>0</v>
      </c>
      <c r="AM13" s="311">
        <f t="shared" si="6"/>
        <v>0</v>
      </c>
      <c r="AN13" s="311">
        <f t="shared" si="7"/>
        <v>0</v>
      </c>
      <c r="AO13" s="311">
        <f t="shared" si="8"/>
        <v>9868.5039370078739</v>
      </c>
      <c r="AP13" s="311">
        <f t="shared" si="9"/>
        <v>0</v>
      </c>
      <c r="AQ13" s="311">
        <f t="shared" si="10"/>
        <v>0</v>
      </c>
      <c r="AR13" s="311">
        <f t="shared" si="11"/>
        <v>0</v>
      </c>
      <c r="AS13" s="311">
        <f t="shared" si="12"/>
        <v>0</v>
      </c>
      <c r="AT13" s="311">
        <f t="shared" si="13"/>
        <v>0</v>
      </c>
      <c r="AU13" s="311">
        <f t="shared" si="14"/>
        <v>0</v>
      </c>
      <c r="AV13" s="311">
        <f t="shared" si="15"/>
        <v>0</v>
      </c>
      <c r="AW13" s="311">
        <f t="shared" si="16"/>
        <v>0</v>
      </c>
      <c r="AX13" s="311">
        <f t="shared" si="17"/>
        <v>0</v>
      </c>
      <c r="AY13" s="311">
        <f t="shared" si="18"/>
        <v>0</v>
      </c>
      <c r="AZ13" s="311">
        <f t="shared" si="19"/>
        <v>0</v>
      </c>
      <c r="BA13" s="311">
        <f t="shared" si="20"/>
        <v>2615.748031496063</v>
      </c>
      <c r="BB13" s="311">
        <f t="shared" si="21"/>
        <v>2615.748031496063</v>
      </c>
      <c r="BC13" s="311">
        <f t="shared" si="22"/>
        <v>0</v>
      </c>
      <c r="BD13" s="311">
        <f t="shared" si="23"/>
        <v>0</v>
      </c>
      <c r="BE13" s="311">
        <f t="shared" si="24"/>
        <v>0</v>
      </c>
      <c r="BF13" s="311">
        <f t="shared" si="25"/>
        <v>0</v>
      </c>
      <c r="BG13" s="311">
        <f t="shared" si="26"/>
        <v>0</v>
      </c>
      <c r="BH13" s="311">
        <f t="shared" si="27"/>
        <v>0</v>
      </c>
      <c r="BI13" s="311">
        <f t="shared" si="28"/>
        <v>0</v>
      </c>
      <c r="BJ13" s="311">
        <f t="shared" si="29"/>
        <v>0</v>
      </c>
      <c r="BK13" s="311">
        <f t="shared" si="30"/>
        <v>0</v>
      </c>
      <c r="BL13" s="311">
        <f t="shared" si="31"/>
        <v>0</v>
      </c>
      <c r="BM13" s="311">
        <f t="shared" si="32"/>
        <v>0</v>
      </c>
      <c r="BN13" s="315">
        <f t="shared" si="33"/>
        <v>15100</v>
      </c>
      <c r="BO13" s="316">
        <f t="shared" si="34"/>
        <v>0</v>
      </c>
    </row>
    <row r="14" spans="1:67" s="177" customFormat="1" ht="15.75" outlineLevel="1" x14ac:dyDescent="0.25">
      <c r="A14" s="148">
        <v>11</v>
      </c>
      <c r="B14" s="149" t="s">
        <v>43</v>
      </c>
      <c r="C14" s="172"/>
      <c r="D14" s="172">
        <v>14676.63</v>
      </c>
      <c r="E14" s="173">
        <f t="shared" si="2"/>
        <v>19800</v>
      </c>
      <c r="F14" s="174">
        <v>-36.630000000004657</v>
      </c>
      <c r="G14" s="174">
        <f t="shared" si="3"/>
        <v>5100</v>
      </c>
      <c r="H14" s="174">
        <f t="shared" si="4"/>
        <v>-13.260000000003856</v>
      </c>
      <c r="I14" s="175">
        <f>_ЦО!T12+'МХП лазня'!T12+Катеринополь!T12+ВООЗ!T12+Кернел!T12+'Глобино Мк'!T12+'ВООЗ ЕМС'!T12+'ООН 36'!T12+'ООН 37'!T12+'ООН 38'!T12+ООН39!T12+'ООН 40'!T12+'ООН 43'!T12+'ООН 44'!T12+'ООН 45'!V12+ООН46!T12+ООН47!T12+ООН48!T12+ООН49!T12+ООн50!T12+ООН51!T12+Форшахта!T12+'ГАлерея 25.6'!T12+ГРП!AI12+'Парк меляси'!T12+'ООН 42'!T12</f>
        <v>132</v>
      </c>
      <c r="J14" s="44">
        <v>150</v>
      </c>
      <c r="K14" s="310">
        <f>SUMIF(ИТР!B:B,B14,ИТР!R:R)</f>
        <v>0</v>
      </c>
      <c r="L14" s="310">
        <f>SUMIF(_ЦО!$B:$B,B14,_ЦО!T:T)</f>
        <v>0</v>
      </c>
      <c r="M14" s="310">
        <f>SUMIF('МХП лазня'!B:B,B14,'МХП лазня'!T:T)</f>
        <v>0</v>
      </c>
      <c r="N14" s="310">
        <f>SUMIF(Катеринополь!$B:$B,B14,Катеринополь!$T:$T)</f>
        <v>0</v>
      </c>
      <c r="O14" s="310">
        <f>SUMIF(ВООЗ!B:B,B14,ВООЗ!T:T)</f>
        <v>0</v>
      </c>
      <c r="P14" s="310">
        <f>SUMIF(Кернел!B:B,B14,Кернел!T:T)</f>
        <v>0</v>
      </c>
      <c r="Q14" s="310">
        <f>SUMIF('Глобино Мк'!B:B,B14,'Глобино Мк'!T:T)</f>
        <v>0</v>
      </c>
      <c r="R14" s="310">
        <f>SUMIF('ВООЗ ЕМС'!B:B,B14,'ВООЗ ЕМС'!T:T)</f>
        <v>0</v>
      </c>
      <c r="S14" s="310">
        <f>SUMIF('ООН 36'!B:B,B14,'ООН 36'!T:T)</f>
        <v>0</v>
      </c>
      <c r="T14" s="310">
        <f>SUMIF('ООН 37'!B:B,B14,'ООН 37'!T:T)</f>
        <v>0</v>
      </c>
      <c r="U14" s="310">
        <f>SUMIF('ООН 38'!B:B,B14,'ООН 38'!T:T)</f>
        <v>0</v>
      </c>
      <c r="V14" s="310">
        <f>SUMIF(ООН39!B:B,B14,ООН39!T:T)</f>
        <v>0</v>
      </c>
      <c r="W14" s="310">
        <f>SUMIF('ООН 40'!B:B,B14,'ООН 40'!T:T)</f>
        <v>0</v>
      </c>
      <c r="X14" s="310">
        <f>SUMIF('ООН 43'!B:B,B14,'ООН 43'!T:T)</f>
        <v>0</v>
      </c>
      <c r="Y14" s="310">
        <f>SUMIF('ООН 44'!B:B,B14,'ООН 44'!T:T)</f>
        <v>0</v>
      </c>
      <c r="Z14" s="310">
        <f>SUMIF('ООН 45'!B:B,B14,'ООН 45'!V:V)</f>
        <v>22</v>
      </c>
      <c r="AA14" s="310">
        <f>SUMIF(ООН46!B:B,B14,ООН46!T:T)</f>
        <v>39</v>
      </c>
      <c r="AB14" s="310">
        <f>SUMIF(ООН47!B:B,B14,ООН47!T:T)</f>
        <v>55</v>
      </c>
      <c r="AC14" s="310">
        <f>SUMIF(ООН48!B:B,B14,ООН48!T:T)</f>
        <v>16</v>
      </c>
      <c r="AD14" s="310">
        <f>SUMIF(ООН49!B:B,B14,ООН49!T:T)</f>
        <v>0</v>
      </c>
      <c r="AE14" s="310">
        <f>SUMIF(ООн50!B:B,B14,ООн50!T:T)</f>
        <v>0</v>
      </c>
      <c r="AF14" s="310">
        <f>SUMIF(ООН51!B:B,B14,ООН51!T:T)</f>
        <v>0</v>
      </c>
      <c r="AG14" s="310">
        <f>SUMIF(Форшахта!B:B,B14,Форшахта!T:T)</f>
        <v>0</v>
      </c>
      <c r="AH14" s="310">
        <f>SUMIF('ГАлерея 25.6'!B:B,B14,'ГАлерея 25.6'!T:T)</f>
        <v>0</v>
      </c>
      <c r="AI14" s="310">
        <f>SUMIF(ГРП!B:B,B14,ГРП!AI:AI)</f>
        <v>0</v>
      </c>
      <c r="AJ14" s="310">
        <f>SUMIF('Парк меляси'!B:B,B14,'Парк меляси'!T:T)</f>
        <v>0</v>
      </c>
      <c r="AK14" s="310">
        <f>SUMIF('ООН 42'!B:B,B14,'ООН 42'!T:T)</f>
        <v>0</v>
      </c>
      <c r="AL14" s="313">
        <f t="shared" si="5"/>
        <v>0</v>
      </c>
      <c r="AM14" s="311">
        <f t="shared" si="6"/>
        <v>0</v>
      </c>
      <c r="AN14" s="311">
        <f t="shared" si="7"/>
        <v>0</v>
      </c>
      <c r="AO14" s="311">
        <f t="shared" si="8"/>
        <v>0</v>
      </c>
      <c r="AP14" s="311">
        <f t="shared" si="9"/>
        <v>0</v>
      </c>
      <c r="AQ14" s="311">
        <f t="shared" si="10"/>
        <v>0</v>
      </c>
      <c r="AR14" s="311">
        <f t="shared" si="11"/>
        <v>0</v>
      </c>
      <c r="AS14" s="311">
        <f t="shared" si="12"/>
        <v>0</v>
      </c>
      <c r="AT14" s="311">
        <f t="shared" si="13"/>
        <v>0</v>
      </c>
      <c r="AU14" s="311">
        <f t="shared" si="14"/>
        <v>0</v>
      </c>
      <c r="AV14" s="311">
        <f t="shared" si="15"/>
        <v>0</v>
      </c>
      <c r="AW14" s="311">
        <f t="shared" si="16"/>
        <v>0</v>
      </c>
      <c r="AX14" s="311">
        <f t="shared" si="17"/>
        <v>0</v>
      </c>
      <c r="AY14" s="311">
        <f t="shared" si="18"/>
        <v>0</v>
      </c>
      <c r="AZ14" s="311">
        <f t="shared" si="19"/>
        <v>0</v>
      </c>
      <c r="BA14" s="311">
        <f t="shared" si="20"/>
        <v>0</v>
      </c>
      <c r="BB14" s="311">
        <f t="shared" si="21"/>
        <v>849.99999999999989</v>
      </c>
      <c r="BC14" s="311">
        <f t="shared" si="22"/>
        <v>1506.8181818181818</v>
      </c>
      <c r="BD14" s="311">
        <f t="shared" si="23"/>
        <v>2125</v>
      </c>
      <c r="BE14" s="311">
        <f t="shared" si="24"/>
        <v>618.18181818181813</v>
      </c>
      <c r="BF14" s="311">
        <f t="shared" si="25"/>
        <v>0</v>
      </c>
      <c r="BG14" s="311">
        <f t="shared" si="26"/>
        <v>0</v>
      </c>
      <c r="BH14" s="311">
        <f t="shared" si="27"/>
        <v>0</v>
      </c>
      <c r="BI14" s="311">
        <f t="shared" si="28"/>
        <v>0</v>
      </c>
      <c r="BJ14" s="311">
        <f t="shared" si="29"/>
        <v>0</v>
      </c>
      <c r="BK14" s="311">
        <f t="shared" si="30"/>
        <v>0</v>
      </c>
      <c r="BL14" s="311">
        <f t="shared" si="31"/>
        <v>0</v>
      </c>
      <c r="BM14" s="311">
        <f t="shared" si="32"/>
        <v>0</v>
      </c>
      <c r="BN14" s="315">
        <f t="shared" si="33"/>
        <v>5100</v>
      </c>
      <c r="BO14" s="316">
        <f t="shared" si="34"/>
        <v>0</v>
      </c>
    </row>
    <row r="15" spans="1:67" ht="15.75" outlineLevel="1" x14ac:dyDescent="0.25">
      <c r="A15" s="148">
        <v>12</v>
      </c>
      <c r="B15" s="149" t="s">
        <v>639</v>
      </c>
      <c r="C15" s="149">
        <v>10324.25</v>
      </c>
      <c r="D15" s="149">
        <v>3927</v>
      </c>
      <c r="E15" s="142">
        <f t="shared" si="2"/>
        <v>54000</v>
      </c>
      <c r="F15" s="144">
        <v>-21.270000000004075</v>
      </c>
      <c r="G15" s="174">
        <f t="shared" si="3"/>
        <v>39700</v>
      </c>
      <c r="H15" s="174">
        <f t="shared" si="4"/>
        <v>27.479999999995925</v>
      </c>
      <c r="I15" s="175">
        <f>_ЦО!T13+'МХП лазня'!T13+Катеринополь!T13+ВООЗ!T13+Кернел!T13+'Глобино Мк'!T13+'ВООЗ ЕМС'!T13+'ООН 36'!T13+'ООН 37'!T13+'ООН 38'!T13+ООН39!T13+'ООН 40'!T13+'ООН 43'!T13+'ООН 44'!T13+'ООН 45'!V13+ООН46!T13+ООН47!T13+ООН48!T13+ООН49!T13+ООн50!T13+ООН51!T13+Форшахта!T13+'ГАлерея 25.6'!T13+ГРП!AI13+'Парк меляси'!T13+'ООН 42'!T13</f>
        <v>360</v>
      </c>
      <c r="J15" s="44">
        <v>150</v>
      </c>
      <c r="K15" s="310">
        <f>SUMIF(ИТР!B:B,B15,ИТР!R:R)</f>
        <v>0</v>
      </c>
      <c r="L15" s="310">
        <f>SUMIF(_ЦО!$B:$B,B15,_ЦО!T:T)</f>
        <v>0</v>
      </c>
      <c r="M15" s="310">
        <f>SUMIF('МХП лазня'!B:B,B15,'МХП лазня'!T:T)</f>
        <v>0</v>
      </c>
      <c r="N15" s="310">
        <f>SUMIF(Катеринополь!$B:$B,B15,Катеринополь!$T:$T)</f>
        <v>0</v>
      </c>
      <c r="O15" s="310">
        <f>SUMIF(ВООЗ!B:B,B15,ВООЗ!T:T)</f>
        <v>0</v>
      </c>
      <c r="P15" s="310">
        <f>SUMIF(Кернел!B:B,B15,Кернел!T:T)</f>
        <v>360</v>
      </c>
      <c r="Q15" s="310">
        <f>SUMIF('Глобино Мк'!B:B,B15,'Глобино Мк'!T:T)</f>
        <v>0</v>
      </c>
      <c r="R15" s="310">
        <f>SUMIF('ВООЗ ЕМС'!B:B,B15,'ВООЗ ЕМС'!T:T)</f>
        <v>0</v>
      </c>
      <c r="S15" s="310">
        <f>SUMIF('ООН 36'!B:B,B15,'ООН 36'!T:T)</f>
        <v>0</v>
      </c>
      <c r="T15" s="310">
        <f>SUMIF('ООН 37'!B:B,B15,'ООН 37'!T:T)</f>
        <v>0</v>
      </c>
      <c r="U15" s="310">
        <f>SUMIF('ООН 38'!B:B,B15,'ООН 38'!T:T)</f>
        <v>0</v>
      </c>
      <c r="V15" s="310">
        <f>SUMIF(ООН39!B:B,B15,ООН39!T:T)</f>
        <v>0</v>
      </c>
      <c r="W15" s="310">
        <f>SUMIF('ООН 40'!B:B,B15,'ООН 40'!T:T)</f>
        <v>0</v>
      </c>
      <c r="X15" s="310">
        <f>SUMIF('ООН 43'!B:B,B15,'ООН 43'!T:T)</f>
        <v>0</v>
      </c>
      <c r="Y15" s="310">
        <f>SUMIF('ООН 44'!B:B,B15,'ООН 44'!T:T)</f>
        <v>0</v>
      </c>
      <c r="Z15" s="310">
        <f>SUMIF('ООН 45'!B:B,B15,'ООН 45'!V:V)</f>
        <v>0</v>
      </c>
      <c r="AA15" s="310">
        <f>SUMIF(ООН46!B:B,B15,ООН46!T:T)</f>
        <v>0</v>
      </c>
      <c r="AB15" s="310">
        <f>SUMIF(ООН47!B:B,B15,ООН47!T:T)</f>
        <v>0</v>
      </c>
      <c r="AC15" s="310">
        <f>SUMIF(ООН48!B:B,B15,ООН48!T:T)</f>
        <v>0</v>
      </c>
      <c r="AD15" s="310">
        <f>SUMIF(ООН49!B:B,B15,ООН49!T:T)</f>
        <v>0</v>
      </c>
      <c r="AE15" s="310">
        <f>SUMIF(ООн50!B:B,B15,ООн50!T:T)</f>
        <v>0</v>
      </c>
      <c r="AF15" s="310">
        <f>SUMIF(ООН51!B:B,B15,ООН51!T:T)</f>
        <v>0</v>
      </c>
      <c r="AG15" s="310">
        <f>SUMIF(Форшахта!B:B,B15,Форшахта!T:T)</f>
        <v>0</v>
      </c>
      <c r="AH15" s="310">
        <f>SUMIF('ГАлерея 25.6'!B:B,B15,'ГАлерея 25.6'!T:T)</f>
        <v>0</v>
      </c>
      <c r="AI15" s="310">
        <f>SUMIF(ГРП!B:B,B15,ГРП!AI:AI)</f>
        <v>0</v>
      </c>
      <c r="AJ15" s="310">
        <f>SUMIF('Парк меляси'!B:B,B15,'Парк меляси'!T:T)</f>
        <v>0</v>
      </c>
      <c r="AK15" s="310">
        <f>SUMIF('ООН 42'!B:B,B15,'ООН 42'!T:T)</f>
        <v>0</v>
      </c>
      <c r="AL15" s="313">
        <f t="shared" si="5"/>
        <v>0</v>
      </c>
      <c r="AM15" s="311">
        <f t="shared" si="6"/>
        <v>0</v>
      </c>
      <c r="AN15" s="311">
        <f t="shared" si="7"/>
        <v>0</v>
      </c>
      <c r="AO15" s="311">
        <f t="shared" si="8"/>
        <v>0</v>
      </c>
      <c r="AP15" s="311">
        <f t="shared" si="9"/>
        <v>0</v>
      </c>
      <c r="AQ15" s="311">
        <f t="shared" si="10"/>
        <v>0</v>
      </c>
      <c r="AR15" s="311">
        <f t="shared" si="11"/>
        <v>39700</v>
      </c>
      <c r="AS15" s="311">
        <f t="shared" si="12"/>
        <v>0</v>
      </c>
      <c r="AT15" s="311">
        <f t="shared" si="13"/>
        <v>0</v>
      </c>
      <c r="AU15" s="311">
        <f t="shared" si="14"/>
        <v>0</v>
      </c>
      <c r="AV15" s="311">
        <f t="shared" si="15"/>
        <v>0</v>
      </c>
      <c r="AW15" s="311">
        <f t="shared" si="16"/>
        <v>0</v>
      </c>
      <c r="AX15" s="311">
        <f t="shared" si="17"/>
        <v>0</v>
      </c>
      <c r="AY15" s="311">
        <f t="shared" si="18"/>
        <v>0</v>
      </c>
      <c r="AZ15" s="311">
        <f t="shared" si="19"/>
        <v>0</v>
      </c>
      <c r="BA15" s="311">
        <f t="shared" si="20"/>
        <v>0</v>
      </c>
      <c r="BB15" s="311">
        <f t="shared" si="21"/>
        <v>0</v>
      </c>
      <c r="BC15" s="311">
        <f t="shared" si="22"/>
        <v>0</v>
      </c>
      <c r="BD15" s="311">
        <f t="shared" si="23"/>
        <v>0</v>
      </c>
      <c r="BE15" s="311">
        <f t="shared" si="24"/>
        <v>0</v>
      </c>
      <c r="BF15" s="311">
        <f t="shared" si="25"/>
        <v>0</v>
      </c>
      <c r="BG15" s="311">
        <f t="shared" si="26"/>
        <v>0</v>
      </c>
      <c r="BH15" s="311">
        <f t="shared" si="27"/>
        <v>0</v>
      </c>
      <c r="BI15" s="311">
        <f t="shared" si="28"/>
        <v>0</v>
      </c>
      <c r="BJ15" s="311">
        <f t="shared" si="29"/>
        <v>0</v>
      </c>
      <c r="BK15" s="311">
        <f t="shared" si="30"/>
        <v>0</v>
      </c>
      <c r="BL15" s="311">
        <f t="shared" si="31"/>
        <v>0</v>
      </c>
      <c r="BM15" s="311">
        <f t="shared" si="32"/>
        <v>0</v>
      </c>
      <c r="BN15" s="315">
        <f t="shared" si="33"/>
        <v>39700</v>
      </c>
      <c r="BO15" s="316">
        <f t="shared" si="34"/>
        <v>0</v>
      </c>
    </row>
    <row r="16" spans="1:67" ht="15.75" outlineLevel="1" x14ac:dyDescent="0.25">
      <c r="A16" s="148">
        <v>13</v>
      </c>
      <c r="B16" s="149" t="s">
        <v>87</v>
      </c>
      <c r="C16" s="149"/>
      <c r="D16" s="149">
        <v>4575.09</v>
      </c>
      <c r="E16" s="142">
        <f t="shared" si="2"/>
        <v>17400</v>
      </c>
      <c r="F16" s="144">
        <v>-40.340000000001965</v>
      </c>
      <c r="G16" s="174">
        <f t="shared" si="3"/>
        <v>12800</v>
      </c>
      <c r="H16" s="174">
        <f t="shared" si="4"/>
        <v>-15.430000000003929</v>
      </c>
      <c r="I16" s="175">
        <f>_ЦО!T14+'МХП лазня'!T14+Катеринополь!T14+ВООЗ!T14+Кернел!T14+'Глобино Мк'!T14+'ВООЗ ЕМС'!T14+'ООН 36'!T14+'ООН 37'!T14+'ООН 38'!T14+ООН39!T14+'ООН 40'!T14+'ООН 43'!T14+'ООН 44'!T14+'ООН 45'!V14+ООН46!T14+ООН47!T14+ООН48!T14+ООН49!T14+ООн50!T14+ООН51!T14+Форшахта!T14+'ГАлерея 25.6'!T14+ГРП!AI14+'Парк меляси'!T14+'ООН 42'!T14</f>
        <v>116</v>
      </c>
      <c r="J16" s="44">
        <v>150</v>
      </c>
      <c r="K16" s="310">
        <f>SUMIF(ИТР!B:B,B16,ИТР!R:R)</f>
        <v>0</v>
      </c>
      <c r="L16" s="310">
        <f>SUMIF(_ЦО!$B:$B,B16,_ЦО!T:T)</f>
        <v>0</v>
      </c>
      <c r="M16" s="310">
        <f>SUMIF('МХП лазня'!B:B,B16,'МХП лазня'!T:T)</f>
        <v>0</v>
      </c>
      <c r="N16" s="310">
        <f>SUMIF(Катеринополь!$B:$B,B16,Катеринополь!$T:$T)</f>
        <v>0</v>
      </c>
      <c r="O16" s="310">
        <f>SUMIF(ВООЗ!B:B,B16,ВООЗ!T:T)</f>
        <v>0</v>
      </c>
      <c r="P16" s="310">
        <f>SUMIF(Кернел!B:B,B16,Кернел!T:T)</f>
        <v>0</v>
      </c>
      <c r="Q16" s="310">
        <f>SUMIF('Глобино Мк'!B:B,B16,'Глобино Мк'!T:T)</f>
        <v>22</v>
      </c>
      <c r="R16" s="310">
        <f>SUMIF('ВООЗ ЕМС'!B:B,B16,'ВООЗ ЕМС'!T:T)</f>
        <v>0</v>
      </c>
      <c r="S16" s="310">
        <f>SUMIF('ООН 36'!B:B,B16,'ООН 36'!T:T)</f>
        <v>0</v>
      </c>
      <c r="T16" s="310">
        <f>SUMIF('ООН 37'!B:B,B16,'ООН 37'!T:T)</f>
        <v>0</v>
      </c>
      <c r="U16" s="310">
        <f>SUMIF('ООН 38'!B:B,B16,'ООН 38'!T:T)</f>
        <v>0</v>
      </c>
      <c r="V16" s="310">
        <f>SUMIF(ООН39!B:B,B16,ООН39!T:T)</f>
        <v>0</v>
      </c>
      <c r="W16" s="310">
        <f>SUMIF('ООН 40'!B:B,B16,'ООН 40'!T:T)</f>
        <v>0</v>
      </c>
      <c r="X16" s="310">
        <f>SUMIF('ООН 43'!B:B,B16,'ООН 43'!T:T)</f>
        <v>0</v>
      </c>
      <c r="Y16" s="310">
        <f>SUMIF('ООН 44'!B:B,B16,'ООН 44'!T:T)</f>
        <v>0</v>
      </c>
      <c r="Z16" s="310">
        <f>SUMIF('ООН 45'!B:B,B16,'ООН 45'!V:V)</f>
        <v>0</v>
      </c>
      <c r="AA16" s="310">
        <f>SUMIF(ООН46!B:B,B16,ООН46!T:T)</f>
        <v>11</v>
      </c>
      <c r="AB16" s="310">
        <f>SUMIF(ООН47!B:B,B16,ООН47!T:T)</f>
        <v>0</v>
      </c>
      <c r="AC16" s="310">
        <f>SUMIF(ООН48!B:B,B16,ООН48!T:T)</f>
        <v>0</v>
      </c>
      <c r="AD16" s="310">
        <f>SUMIF(ООН49!B:B,B16,ООН49!T:T)</f>
        <v>0</v>
      </c>
      <c r="AE16" s="310">
        <f>SUMIF(ООн50!B:B,B16,ООн50!T:T)</f>
        <v>0</v>
      </c>
      <c r="AF16" s="310">
        <f>SUMIF(ООН51!B:B,B16,ООН51!T:T)</f>
        <v>0</v>
      </c>
      <c r="AG16" s="310">
        <f>SUMIF(Форшахта!B:B,B16,Форшахта!T:T)</f>
        <v>0</v>
      </c>
      <c r="AH16" s="310">
        <f>SUMIF('ГАлерея 25.6'!B:B,B16,'ГАлерея 25.6'!T:T)</f>
        <v>0</v>
      </c>
      <c r="AI16" s="310">
        <f>SUMIF(ГРП!B:B,B16,ГРП!AI:AI)</f>
        <v>22</v>
      </c>
      <c r="AJ16" s="310">
        <f>SUMIF('Парк меляси'!B:B,B16,'Парк меляси'!T:T)</f>
        <v>61</v>
      </c>
      <c r="AK16" s="310">
        <f>SUMIF('ООН 42'!B:B,B16,'ООН 42'!T:T)</f>
        <v>0</v>
      </c>
      <c r="AL16" s="313">
        <f t="shared" si="5"/>
        <v>0</v>
      </c>
      <c r="AM16" s="311">
        <f t="shared" si="6"/>
        <v>0</v>
      </c>
      <c r="AN16" s="311">
        <f t="shared" si="7"/>
        <v>0</v>
      </c>
      <c r="AO16" s="311">
        <f t="shared" si="8"/>
        <v>0</v>
      </c>
      <c r="AP16" s="311">
        <f t="shared" si="9"/>
        <v>0</v>
      </c>
      <c r="AQ16" s="311">
        <f t="shared" si="10"/>
        <v>0</v>
      </c>
      <c r="AR16" s="311">
        <f t="shared" si="11"/>
        <v>0</v>
      </c>
      <c r="AS16" s="311">
        <f t="shared" si="12"/>
        <v>2427.5862068965516</v>
      </c>
      <c r="AT16" s="311">
        <f t="shared" si="13"/>
        <v>0</v>
      </c>
      <c r="AU16" s="311">
        <f t="shared" si="14"/>
        <v>0</v>
      </c>
      <c r="AV16" s="311">
        <f t="shared" si="15"/>
        <v>0</v>
      </c>
      <c r="AW16" s="311">
        <f t="shared" si="16"/>
        <v>0</v>
      </c>
      <c r="AX16" s="311">
        <f t="shared" si="17"/>
        <v>0</v>
      </c>
      <c r="AY16" s="311">
        <f t="shared" si="18"/>
        <v>0</v>
      </c>
      <c r="AZ16" s="311">
        <f t="shared" si="19"/>
        <v>0</v>
      </c>
      <c r="BA16" s="311">
        <f t="shared" si="20"/>
        <v>0</v>
      </c>
      <c r="BB16" s="311">
        <f t="shared" si="21"/>
        <v>0</v>
      </c>
      <c r="BC16" s="311">
        <f t="shared" si="22"/>
        <v>1213.7931034482758</v>
      </c>
      <c r="BD16" s="311">
        <f t="shared" si="23"/>
        <v>0</v>
      </c>
      <c r="BE16" s="311">
        <f t="shared" si="24"/>
        <v>0</v>
      </c>
      <c r="BF16" s="311">
        <f t="shared" si="25"/>
        <v>0</v>
      </c>
      <c r="BG16" s="311">
        <f t="shared" si="26"/>
        <v>0</v>
      </c>
      <c r="BH16" s="311">
        <f t="shared" si="27"/>
        <v>0</v>
      </c>
      <c r="BI16" s="311">
        <f t="shared" si="28"/>
        <v>0</v>
      </c>
      <c r="BJ16" s="311">
        <f t="shared" si="29"/>
        <v>0</v>
      </c>
      <c r="BK16" s="311">
        <f t="shared" si="30"/>
        <v>2427.5862068965516</v>
      </c>
      <c r="BL16" s="311">
        <f t="shared" si="31"/>
        <v>6731.0344827586205</v>
      </c>
      <c r="BM16" s="311">
        <f t="shared" si="32"/>
        <v>0</v>
      </c>
      <c r="BN16" s="315">
        <f t="shared" si="33"/>
        <v>12800</v>
      </c>
      <c r="BO16" s="316">
        <f t="shared" si="34"/>
        <v>0</v>
      </c>
    </row>
    <row r="17" spans="1:67" ht="15.75" outlineLevel="1" x14ac:dyDescent="0.25">
      <c r="A17" s="148">
        <v>14</v>
      </c>
      <c r="B17" s="149" t="s">
        <v>95</v>
      </c>
      <c r="C17" s="149"/>
      <c r="D17" s="149">
        <v>3927</v>
      </c>
      <c r="E17" s="142">
        <f t="shared" si="2"/>
        <v>27300</v>
      </c>
      <c r="F17" s="144">
        <v>37.770000000004075</v>
      </c>
      <c r="G17" s="174">
        <f t="shared" si="3"/>
        <v>23400</v>
      </c>
      <c r="H17" s="174">
        <f t="shared" si="4"/>
        <v>10.770000000004075</v>
      </c>
      <c r="I17" s="175">
        <f>_ЦО!T15+'МХП лазня'!T15+Катеринополь!T15+ВООЗ!T15+Кернел!T15+'Глобино Мк'!T15+'ВООЗ ЕМС'!T15+'ООН 36'!T15+'ООН 37'!T15+'ООН 38'!T15+ООН39!T15+'ООН 40'!T15+'ООН 43'!T15+'ООН 44'!T15+'ООН 45'!V15+ООН46!T15+ООН47!T15+ООН48!T15+ООН49!T15+ООн50!T15+ООН51!T15+Форшахта!T15+'ГАлерея 25.6'!T15+ГРП!AI15+'Парк меляси'!T15+'ООН 42'!T15</f>
        <v>182</v>
      </c>
      <c r="J17" s="44">
        <v>150</v>
      </c>
      <c r="K17" s="310">
        <f>SUMIF(ИТР!B:B,B17,ИТР!R:R)</f>
        <v>0</v>
      </c>
      <c r="L17" s="310">
        <f>SUMIF(_ЦО!$B:$B,B17,_ЦО!T:T)</f>
        <v>0</v>
      </c>
      <c r="M17" s="310">
        <f>SUMIF('МХП лазня'!B:B,B17,'МХП лазня'!T:T)</f>
        <v>0</v>
      </c>
      <c r="N17" s="310">
        <f>SUMIF(Катеринополь!$B:$B,B17,Катеринополь!$T:$T)</f>
        <v>0</v>
      </c>
      <c r="O17" s="310">
        <f>SUMIF(ВООЗ!B:B,B17,ВООЗ!T:T)</f>
        <v>0</v>
      </c>
      <c r="P17" s="310">
        <f>SUMIF(Кернел!B:B,B17,Кернел!T:T)</f>
        <v>0</v>
      </c>
      <c r="Q17" s="310">
        <f>SUMIF('Глобино Мк'!B:B,B17,'Глобино Мк'!T:T)</f>
        <v>55</v>
      </c>
      <c r="R17" s="310">
        <f>SUMIF('ВООЗ ЕМС'!B:B,B17,'ВООЗ ЕМС'!T:T)</f>
        <v>0</v>
      </c>
      <c r="S17" s="310">
        <f>SUMIF('ООН 36'!B:B,B17,'ООН 36'!T:T)</f>
        <v>0</v>
      </c>
      <c r="T17" s="310">
        <f>SUMIF('ООН 37'!B:B,B17,'ООН 37'!T:T)</f>
        <v>0</v>
      </c>
      <c r="U17" s="310">
        <f>SUMIF('ООН 38'!B:B,B17,'ООН 38'!T:T)</f>
        <v>0</v>
      </c>
      <c r="V17" s="310">
        <f>SUMIF(ООН39!B:B,B17,ООН39!T:T)</f>
        <v>0</v>
      </c>
      <c r="W17" s="310">
        <f>SUMIF('ООН 40'!B:B,B17,'ООН 40'!T:T)</f>
        <v>0</v>
      </c>
      <c r="X17" s="310">
        <f>SUMIF('ООН 43'!B:B,B17,'ООН 43'!T:T)</f>
        <v>0</v>
      </c>
      <c r="Y17" s="310">
        <f>SUMIF('ООН 44'!B:B,B17,'ООН 44'!T:T)</f>
        <v>0</v>
      </c>
      <c r="Z17" s="310">
        <f>SUMIF('ООН 45'!B:B,B17,'ООН 45'!V:V)</f>
        <v>0</v>
      </c>
      <c r="AA17" s="310">
        <f>SUMIF(ООН46!B:B,B17,ООН46!T:T)</f>
        <v>0</v>
      </c>
      <c r="AB17" s="310">
        <f>SUMIF(ООН47!B:B,B17,ООН47!T:T)</f>
        <v>0</v>
      </c>
      <c r="AC17" s="310">
        <f>SUMIF(ООН48!B:B,B17,ООН48!T:T)</f>
        <v>0</v>
      </c>
      <c r="AD17" s="310">
        <f>SUMIF(ООН49!B:B,B17,ООН49!T:T)</f>
        <v>0</v>
      </c>
      <c r="AE17" s="310">
        <f>SUMIF(ООн50!B:B,B17,ООн50!T:T)</f>
        <v>0</v>
      </c>
      <c r="AF17" s="310">
        <f>SUMIF(ООН51!B:B,B17,ООН51!T:T)</f>
        <v>0</v>
      </c>
      <c r="AG17" s="310">
        <f>SUMIF(Форшахта!B:B,B17,Форшахта!T:T)</f>
        <v>11</v>
      </c>
      <c r="AH17" s="310">
        <f>SUMIF('ГАлерея 25.6'!B:B,B17,'ГАлерея 25.6'!T:T)</f>
        <v>94</v>
      </c>
      <c r="AI17" s="310">
        <f>SUMIF(ГРП!B:B,B17,ГРП!AI:AI)</f>
        <v>0</v>
      </c>
      <c r="AJ17" s="310">
        <f>SUMIF('Парк меляси'!B:B,B17,'Парк меляси'!T:T)</f>
        <v>22</v>
      </c>
      <c r="AK17" s="310">
        <f>SUMIF('ООН 42'!B:B,B17,'ООН 42'!T:T)</f>
        <v>0</v>
      </c>
      <c r="AL17" s="313">
        <f t="shared" si="5"/>
        <v>0</v>
      </c>
      <c r="AM17" s="311">
        <f t="shared" si="6"/>
        <v>0</v>
      </c>
      <c r="AN17" s="311">
        <f t="shared" si="7"/>
        <v>0</v>
      </c>
      <c r="AO17" s="311">
        <f t="shared" si="8"/>
        <v>0</v>
      </c>
      <c r="AP17" s="311">
        <f t="shared" si="9"/>
        <v>0</v>
      </c>
      <c r="AQ17" s="311">
        <f t="shared" si="10"/>
        <v>0</v>
      </c>
      <c r="AR17" s="311">
        <f t="shared" si="11"/>
        <v>0</v>
      </c>
      <c r="AS17" s="311">
        <f t="shared" si="12"/>
        <v>7071.4285714285725</v>
      </c>
      <c r="AT17" s="311">
        <f t="shared" si="13"/>
        <v>0</v>
      </c>
      <c r="AU17" s="311">
        <f t="shared" si="14"/>
        <v>0</v>
      </c>
      <c r="AV17" s="311">
        <f t="shared" si="15"/>
        <v>0</v>
      </c>
      <c r="AW17" s="311">
        <f t="shared" si="16"/>
        <v>0</v>
      </c>
      <c r="AX17" s="311">
        <f t="shared" si="17"/>
        <v>0</v>
      </c>
      <c r="AY17" s="311">
        <f t="shared" si="18"/>
        <v>0</v>
      </c>
      <c r="AZ17" s="311">
        <f t="shared" si="19"/>
        <v>0</v>
      </c>
      <c r="BA17" s="311">
        <f t="shared" si="20"/>
        <v>0</v>
      </c>
      <c r="BB17" s="311">
        <f t="shared" si="21"/>
        <v>0</v>
      </c>
      <c r="BC17" s="311">
        <f t="shared" si="22"/>
        <v>0</v>
      </c>
      <c r="BD17" s="311">
        <f t="shared" si="23"/>
        <v>0</v>
      </c>
      <c r="BE17" s="311">
        <f t="shared" si="24"/>
        <v>0</v>
      </c>
      <c r="BF17" s="311">
        <f t="shared" si="25"/>
        <v>0</v>
      </c>
      <c r="BG17" s="311">
        <f t="shared" si="26"/>
        <v>0</v>
      </c>
      <c r="BH17" s="311">
        <f t="shared" si="27"/>
        <v>0</v>
      </c>
      <c r="BI17" s="311">
        <f t="shared" si="28"/>
        <v>1414.2857142857144</v>
      </c>
      <c r="BJ17" s="311">
        <f t="shared" si="29"/>
        <v>12085.714285714286</v>
      </c>
      <c r="BK17" s="311">
        <f t="shared" si="30"/>
        <v>0</v>
      </c>
      <c r="BL17" s="311">
        <f t="shared" si="31"/>
        <v>2828.5714285714289</v>
      </c>
      <c r="BM17" s="311">
        <f t="shared" si="32"/>
        <v>0</v>
      </c>
      <c r="BN17" s="315">
        <f t="shared" si="33"/>
        <v>23400</v>
      </c>
      <c r="BO17" s="316">
        <f t="shared" si="34"/>
        <v>0</v>
      </c>
    </row>
    <row r="18" spans="1:67" ht="15.75" outlineLevel="1" x14ac:dyDescent="0.25">
      <c r="A18" s="148">
        <v>15</v>
      </c>
      <c r="B18" s="149" t="s">
        <v>96</v>
      </c>
      <c r="C18" s="149"/>
      <c r="D18" s="149">
        <v>3927</v>
      </c>
      <c r="E18" s="142">
        <f t="shared" si="2"/>
        <v>19050</v>
      </c>
      <c r="F18" s="144">
        <v>-15.5</v>
      </c>
      <c r="G18" s="174">
        <f t="shared" si="3"/>
        <v>15100</v>
      </c>
      <c r="H18" s="174">
        <f t="shared" si="4"/>
        <v>7.5</v>
      </c>
      <c r="I18" s="175">
        <f>_ЦО!T16+'МХП лазня'!T16+Катеринополь!T16+ВООЗ!T16+Кернел!T16+'Глобино Мк'!T16+'ВООЗ ЕМС'!T16+'ООН 36'!T16+'ООН 37'!T16+'ООН 38'!T16+ООН39!T16+'ООН 40'!T16+'ООН 43'!T16+'ООН 44'!T16+'ООН 45'!V16+ООН46!T16+ООН47!T16+ООН48!T16+ООН49!T16+ООн50!T16+ООН51!T16+Форшахта!T16+'ГАлерея 25.6'!T16+ГРП!AI16+'Парк меляси'!T16+'ООН 42'!T16</f>
        <v>127</v>
      </c>
      <c r="J18" s="44">
        <v>150</v>
      </c>
      <c r="K18" s="310">
        <f>SUMIF(ИТР!B:B,B18,ИТР!R:R)</f>
        <v>0</v>
      </c>
      <c r="L18" s="310">
        <f>SUMIF(_ЦО!$B:$B,B18,_ЦО!T:T)</f>
        <v>0</v>
      </c>
      <c r="M18" s="310">
        <f>SUMIF('МХП лазня'!B:B,B18,'МХП лазня'!T:T)</f>
        <v>22</v>
      </c>
      <c r="N18" s="310">
        <f>SUMIF(Катеринополь!$B:$B,B18,Катеринополь!$T:$T)</f>
        <v>0</v>
      </c>
      <c r="O18" s="310">
        <f>SUMIF(ВООЗ!B:B,B18,ВООЗ!T:T)</f>
        <v>0</v>
      </c>
      <c r="P18" s="310">
        <f>SUMIF(Кернел!B:B,B18,Кернел!T:T)</f>
        <v>0</v>
      </c>
      <c r="Q18" s="310">
        <f>SUMIF('Глобино Мк'!B:B,B18,'Глобино Мк'!T:T)</f>
        <v>0</v>
      </c>
      <c r="R18" s="310">
        <f>SUMIF('ВООЗ ЕМС'!B:B,B18,'ВООЗ ЕМС'!T:T)</f>
        <v>0</v>
      </c>
      <c r="S18" s="310">
        <f>SUMIF('ООН 36'!B:B,B18,'ООН 36'!T:T)</f>
        <v>0</v>
      </c>
      <c r="T18" s="310">
        <f>SUMIF('ООН 37'!B:B,B18,'ООН 37'!T:T)</f>
        <v>0</v>
      </c>
      <c r="U18" s="310">
        <f>SUMIF('ООН 38'!B:B,B18,'ООН 38'!T:T)</f>
        <v>0</v>
      </c>
      <c r="V18" s="310">
        <f>SUMIF(ООН39!B:B,B18,ООН39!T:T)</f>
        <v>0</v>
      </c>
      <c r="W18" s="310">
        <f>SUMIF('ООН 40'!B:B,B18,'ООН 40'!T:T)</f>
        <v>0</v>
      </c>
      <c r="X18" s="310">
        <f>SUMIF('ООН 43'!B:B,B18,'ООН 43'!T:T)</f>
        <v>0</v>
      </c>
      <c r="Y18" s="310">
        <f>SUMIF('ООН 44'!B:B,B18,'ООН 44'!T:T)</f>
        <v>22</v>
      </c>
      <c r="Z18" s="310">
        <f>SUMIF('ООН 45'!B:B,B18,'ООН 45'!V:V)</f>
        <v>0</v>
      </c>
      <c r="AA18" s="310">
        <f>SUMIF(ООН46!B:B,B18,ООН46!T:T)</f>
        <v>44</v>
      </c>
      <c r="AB18" s="310">
        <f>SUMIF(ООН47!B:B,B18,ООН47!T:T)</f>
        <v>22</v>
      </c>
      <c r="AC18" s="310">
        <f>SUMIF(ООН48!B:B,B18,ООН48!T:T)</f>
        <v>17</v>
      </c>
      <c r="AD18" s="310">
        <f>SUMIF(ООН49!B:B,B18,ООН49!T:T)</f>
        <v>0</v>
      </c>
      <c r="AE18" s="310">
        <f>SUMIF(ООн50!B:B,B18,ООн50!T:T)</f>
        <v>0</v>
      </c>
      <c r="AF18" s="310">
        <f>SUMIF(ООН51!B:B,B18,ООН51!T:T)</f>
        <v>0</v>
      </c>
      <c r="AG18" s="310">
        <f>SUMIF(Форшахта!B:B,B18,Форшахта!T:T)</f>
        <v>0</v>
      </c>
      <c r="AH18" s="310">
        <f>SUMIF('ГАлерея 25.6'!B:B,B18,'ГАлерея 25.6'!T:T)</f>
        <v>0</v>
      </c>
      <c r="AI18" s="310">
        <f>SUMIF(ГРП!B:B,B18,ГРП!AI:AI)</f>
        <v>0</v>
      </c>
      <c r="AJ18" s="310">
        <f>SUMIF('Парк меляси'!B:B,B18,'Парк меляси'!T:T)</f>
        <v>0</v>
      </c>
      <c r="AK18" s="310">
        <f>SUMIF('ООН 42'!B:B,B18,'ООН 42'!T:T)</f>
        <v>0</v>
      </c>
      <c r="AL18" s="313">
        <f t="shared" si="5"/>
        <v>0</v>
      </c>
      <c r="AM18" s="311">
        <f t="shared" si="6"/>
        <v>0</v>
      </c>
      <c r="AN18" s="311">
        <f t="shared" si="7"/>
        <v>0</v>
      </c>
      <c r="AO18" s="311">
        <f t="shared" si="8"/>
        <v>2615.748031496063</v>
      </c>
      <c r="AP18" s="311">
        <f t="shared" si="9"/>
        <v>0</v>
      </c>
      <c r="AQ18" s="311">
        <f t="shared" si="10"/>
        <v>0</v>
      </c>
      <c r="AR18" s="311">
        <f t="shared" si="11"/>
        <v>0</v>
      </c>
      <c r="AS18" s="311">
        <f t="shared" si="12"/>
        <v>0</v>
      </c>
      <c r="AT18" s="311">
        <f t="shared" si="13"/>
        <v>0</v>
      </c>
      <c r="AU18" s="311">
        <f t="shared" si="14"/>
        <v>0</v>
      </c>
      <c r="AV18" s="311">
        <f t="shared" si="15"/>
        <v>0</v>
      </c>
      <c r="AW18" s="311">
        <f t="shared" si="16"/>
        <v>0</v>
      </c>
      <c r="AX18" s="311">
        <f t="shared" si="17"/>
        <v>0</v>
      </c>
      <c r="AY18" s="311">
        <f t="shared" si="18"/>
        <v>0</v>
      </c>
      <c r="AZ18" s="311">
        <f t="shared" si="19"/>
        <v>0</v>
      </c>
      <c r="BA18" s="311">
        <f t="shared" si="20"/>
        <v>2615.748031496063</v>
      </c>
      <c r="BB18" s="311">
        <f t="shared" si="21"/>
        <v>0</v>
      </c>
      <c r="BC18" s="311">
        <f t="shared" si="22"/>
        <v>5231.4960629921261</v>
      </c>
      <c r="BD18" s="311">
        <f t="shared" si="23"/>
        <v>2615.748031496063</v>
      </c>
      <c r="BE18" s="311">
        <f t="shared" si="24"/>
        <v>2021.259842519685</v>
      </c>
      <c r="BF18" s="311">
        <f t="shared" si="25"/>
        <v>0</v>
      </c>
      <c r="BG18" s="311">
        <f t="shared" si="26"/>
        <v>0</v>
      </c>
      <c r="BH18" s="311">
        <f t="shared" si="27"/>
        <v>0</v>
      </c>
      <c r="BI18" s="311">
        <f t="shared" si="28"/>
        <v>0</v>
      </c>
      <c r="BJ18" s="311">
        <f t="shared" si="29"/>
        <v>0</v>
      </c>
      <c r="BK18" s="311">
        <f t="shared" si="30"/>
        <v>0</v>
      </c>
      <c r="BL18" s="311">
        <f t="shared" si="31"/>
        <v>0</v>
      </c>
      <c r="BM18" s="311">
        <f t="shared" si="32"/>
        <v>0</v>
      </c>
      <c r="BN18" s="315">
        <f t="shared" si="33"/>
        <v>15100</v>
      </c>
      <c r="BO18" s="316">
        <f t="shared" si="34"/>
        <v>0</v>
      </c>
    </row>
    <row r="19" spans="1:67" ht="15.75" outlineLevel="1" x14ac:dyDescent="0.25">
      <c r="A19" s="148">
        <v>16</v>
      </c>
      <c r="B19" s="149" t="s">
        <v>97</v>
      </c>
      <c r="C19" s="149"/>
      <c r="D19" s="149">
        <v>9625</v>
      </c>
      <c r="E19" s="142">
        <f t="shared" si="2"/>
        <v>14700</v>
      </c>
      <c r="F19" s="144">
        <v>-41.489999999997963</v>
      </c>
      <c r="G19" s="174">
        <f t="shared" si="3"/>
        <v>5000</v>
      </c>
      <c r="H19" s="174">
        <f t="shared" si="4"/>
        <v>33.510000000002037</v>
      </c>
      <c r="I19" s="175">
        <f>_ЦО!T17+'МХП лазня'!T17+Катеринополь!T17+ВООЗ!T17+Кернел!T17+'Глобино Мк'!T17+'ВООЗ ЕМС'!T17+'ООН 36'!T17+'ООН 37'!T17+'ООН 38'!T17+ООН39!T17+'ООН 40'!T17+'ООН 43'!T17+'ООН 44'!T17+'ООН 45'!V17+ООН46!T17+ООН47!T17+ООН48!T17+ООН49!T17+ООн50!T17+ООН51!T17+Форшахта!T17+'ГАлерея 25.6'!T17+ГРП!AI17+'Парк меляси'!T17+'ООН 42'!T17</f>
        <v>98</v>
      </c>
      <c r="J19" s="44">
        <v>150</v>
      </c>
      <c r="K19" s="310">
        <f>SUMIF(ИТР!B:B,B19,ИТР!R:R)</f>
        <v>0</v>
      </c>
      <c r="L19" s="310">
        <f>SUMIF(_ЦО!$B:$B,B19,_ЦО!T:T)</f>
        <v>0</v>
      </c>
      <c r="M19" s="310">
        <f>SUMIF('МХП лазня'!B:B,B19,'МХП лазня'!T:T)</f>
        <v>20</v>
      </c>
      <c r="N19" s="310">
        <f>SUMIF(Катеринополь!$B:$B,B19,Катеринополь!$T:$T)</f>
        <v>0</v>
      </c>
      <c r="O19" s="310">
        <f>SUMIF(ВООЗ!B:B,B19,ВООЗ!T:T)</f>
        <v>0</v>
      </c>
      <c r="P19" s="310">
        <f>SUMIF(Кернел!B:B,B19,Кернел!T:T)</f>
        <v>0</v>
      </c>
      <c r="Q19" s="310">
        <f>SUMIF('Глобино Мк'!B:B,B19,'Глобино Мк'!T:T)</f>
        <v>0</v>
      </c>
      <c r="R19" s="310">
        <f>SUMIF('ВООЗ ЕМС'!B:B,B19,'ВООЗ ЕМС'!T:T)</f>
        <v>0</v>
      </c>
      <c r="S19" s="310">
        <f>SUMIF('ООН 36'!B:B,B19,'ООН 36'!T:T)</f>
        <v>0</v>
      </c>
      <c r="T19" s="310">
        <f>SUMIF('ООН 37'!B:B,B19,'ООН 37'!T:T)</f>
        <v>0</v>
      </c>
      <c r="U19" s="310">
        <f>SUMIF('ООН 38'!B:B,B19,'ООН 38'!T:T)</f>
        <v>0</v>
      </c>
      <c r="V19" s="310">
        <f>SUMIF(ООН39!B:B,B19,ООН39!T:T)</f>
        <v>0</v>
      </c>
      <c r="W19" s="310">
        <f>SUMIF('ООН 40'!B:B,B19,'ООН 40'!T:T)</f>
        <v>0</v>
      </c>
      <c r="X19" s="310">
        <f>SUMIF('ООН 43'!B:B,B19,'ООН 43'!T:T)</f>
        <v>0</v>
      </c>
      <c r="Y19" s="310">
        <f>SUMIF('ООН 44'!B:B,B19,'ООН 44'!T:T)</f>
        <v>18</v>
      </c>
      <c r="Z19" s="310">
        <f>SUMIF('ООН 45'!B:B,B19,'ООН 45'!V:V)</f>
        <v>18</v>
      </c>
      <c r="AA19" s="310">
        <f>SUMIF(ООН46!B:B,B19,ООН46!T:T)</f>
        <v>18</v>
      </c>
      <c r="AB19" s="310">
        <f>SUMIF(ООН47!B:B,B19,ООН47!T:T)</f>
        <v>9</v>
      </c>
      <c r="AC19" s="310">
        <f>SUMIF(ООН48!B:B,B19,ООН48!T:T)</f>
        <v>15</v>
      </c>
      <c r="AD19" s="310">
        <f>SUMIF(ООН49!B:B,B19,ООН49!T:T)</f>
        <v>0</v>
      </c>
      <c r="AE19" s="310">
        <f>SUMIF(ООн50!B:B,B19,ООн50!T:T)</f>
        <v>0</v>
      </c>
      <c r="AF19" s="310">
        <f>SUMIF(ООН51!B:B,B19,ООН51!T:T)</f>
        <v>0</v>
      </c>
      <c r="AG19" s="310">
        <f>SUMIF(Форшахта!B:B,B19,Форшахта!T:T)</f>
        <v>0</v>
      </c>
      <c r="AH19" s="310">
        <f>SUMIF('ГАлерея 25.6'!B:B,B19,'ГАлерея 25.6'!T:T)</f>
        <v>0</v>
      </c>
      <c r="AI19" s="310">
        <f>SUMIF(ГРП!B:B,B19,ГРП!AI:AI)</f>
        <v>0</v>
      </c>
      <c r="AJ19" s="310">
        <f>SUMIF('Парк меляси'!B:B,B19,'Парк меляси'!T:T)</f>
        <v>0</v>
      </c>
      <c r="AK19" s="310">
        <f>SUMIF('ООН 42'!B:B,B19,'ООН 42'!T:T)</f>
        <v>0</v>
      </c>
      <c r="AL19" s="313">
        <f t="shared" si="5"/>
        <v>0</v>
      </c>
      <c r="AM19" s="311">
        <f t="shared" si="6"/>
        <v>0</v>
      </c>
      <c r="AN19" s="311">
        <f t="shared" si="7"/>
        <v>0</v>
      </c>
      <c r="AO19" s="311">
        <f t="shared" si="8"/>
        <v>1020.4081632653061</v>
      </c>
      <c r="AP19" s="311">
        <f t="shared" si="9"/>
        <v>0</v>
      </c>
      <c r="AQ19" s="311">
        <f t="shared" si="10"/>
        <v>0</v>
      </c>
      <c r="AR19" s="311">
        <f t="shared" si="11"/>
        <v>0</v>
      </c>
      <c r="AS19" s="311">
        <f t="shared" si="12"/>
        <v>0</v>
      </c>
      <c r="AT19" s="311">
        <f t="shared" si="13"/>
        <v>0</v>
      </c>
      <c r="AU19" s="311">
        <f t="shared" si="14"/>
        <v>0</v>
      </c>
      <c r="AV19" s="311">
        <f t="shared" si="15"/>
        <v>0</v>
      </c>
      <c r="AW19" s="311">
        <f t="shared" si="16"/>
        <v>0</v>
      </c>
      <c r="AX19" s="311">
        <f t="shared" si="17"/>
        <v>0</v>
      </c>
      <c r="AY19" s="311">
        <f t="shared" si="18"/>
        <v>0</v>
      </c>
      <c r="AZ19" s="311">
        <f t="shared" si="19"/>
        <v>0</v>
      </c>
      <c r="BA19" s="311">
        <f t="shared" si="20"/>
        <v>918.36734693877554</v>
      </c>
      <c r="BB19" s="311">
        <f t="shared" si="21"/>
        <v>918.36734693877554</v>
      </c>
      <c r="BC19" s="311">
        <f t="shared" si="22"/>
        <v>918.36734693877554</v>
      </c>
      <c r="BD19" s="311">
        <f t="shared" si="23"/>
        <v>459.18367346938777</v>
      </c>
      <c r="BE19" s="311">
        <f t="shared" si="24"/>
        <v>765.30612244897964</v>
      </c>
      <c r="BF19" s="311">
        <f t="shared" si="25"/>
        <v>0</v>
      </c>
      <c r="BG19" s="311">
        <f t="shared" si="26"/>
        <v>0</v>
      </c>
      <c r="BH19" s="311">
        <f t="shared" si="27"/>
        <v>0</v>
      </c>
      <c r="BI19" s="311">
        <f t="shared" si="28"/>
        <v>0</v>
      </c>
      <c r="BJ19" s="311">
        <f t="shared" si="29"/>
        <v>0</v>
      </c>
      <c r="BK19" s="311">
        <f t="shared" si="30"/>
        <v>0</v>
      </c>
      <c r="BL19" s="311">
        <f t="shared" si="31"/>
        <v>0</v>
      </c>
      <c r="BM19" s="311">
        <f t="shared" si="32"/>
        <v>0</v>
      </c>
      <c r="BN19" s="315">
        <f t="shared" si="33"/>
        <v>5000</v>
      </c>
      <c r="BO19" s="316">
        <f t="shared" si="34"/>
        <v>0</v>
      </c>
    </row>
    <row r="20" spans="1:67" ht="15.75" outlineLevel="1" x14ac:dyDescent="0.25">
      <c r="A20" s="148">
        <v>17</v>
      </c>
      <c r="B20" s="149" t="s">
        <v>98</v>
      </c>
      <c r="C20" s="149"/>
      <c r="D20" s="149">
        <v>3927</v>
      </c>
      <c r="E20" s="142">
        <f t="shared" si="2"/>
        <v>17850</v>
      </c>
      <c r="F20" s="144">
        <v>34.5</v>
      </c>
      <c r="G20" s="174">
        <f t="shared" si="3"/>
        <v>14000</v>
      </c>
      <c r="H20" s="174">
        <f t="shared" si="4"/>
        <v>-42.5</v>
      </c>
      <c r="I20" s="175">
        <f>_ЦО!T18+'МХП лазня'!T18+Катеринополь!T18+ВООЗ!T18+Кернел!T18+'Глобино Мк'!T18+'ВООЗ ЕМС'!T18+'ООН 36'!T18+'ООН 37'!T18+'ООН 38'!T18+ООН39!T18+'ООН 40'!T18+'ООН 43'!T18+'ООН 44'!T18+'ООН 45'!V18+ООН46!T18+ООН47!T18+ООН48!T18+ООН49!T18+ООн50!T18+ООН51!T18+Форшахта!T18+'ГАлерея 25.6'!T18+ГРП!AI18+'Парк меляси'!T18+'ООН 42'!T18</f>
        <v>119</v>
      </c>
      <c r="J20" s="44">
        <v>150</v>
      </c>
      <c r="K20" s="310">
        <f>SUMIF(ИТР!B:B,B20,ИТР!R:R)</f>
        <v>0</v>
      </c>
      <c r="L20" s="310">
        <f>SUMIF(_ЦО!$B:$B,B20,_ЦО!T:T)</f>
        <v>0</v>
      </c>
      <c r="M20" s="310">
        <f>SUMIF('МХП лазня'!B:B,B20,'МХП лазня'!T:T)</f>
        <v>77</v>
      </c>
      <c r="N20" s="310">
        <f>SUMIF(Катеринополь!$B:$B,B20,Катеринополь!$T:$T)</f>
        <v>0</v>
      </c>
      <c r="O20" s="310">
        <f>SUMIF(ВООЗ!B:B,B20,ВООЗ!T:T)</f>
        <v>0</v>
      </c>
      <c r="P20" s="310">
        <f>SUMIF(Кернел!B:B,B20,Кернел!T:T)</f>
        <v>0</v>
      </c>
      <c r="Q20" s="310">
        <f>SUMIF('Глобино Мк'!B:B,B20,'Глобино Мк'!T:T)</f>
        <v>0</v>
      </c>
      <c r="R20" s="310">
        <f>SUMIF('ВООЗ ЕМС'!B:B,B20,'ВООЗ ЕМС'!T:T)</f>
        <v>0</v>
      </c>
      <c r="S20" s="310">
        <f>SUMIF('ООН 36'!B:B,B20,'ООН 36'!T:T)</f>
        <v>0</v>
      </c>
      <c r="T20" s="310">
        <f>SUMIF('ООН 37'!B:B,B20,'ООН 37'!T:T)</f>
        <v>0</v>
      </c>
      <c r="U20" s="310">
        <f>SUMIF('ООН 38'!B:B,B20,'ООН 38'!T:T)</f>
        <v>0</v>
      </c>
      <c r="V20" s="310">
        <f>SUMIF(ООН39!B:B,B20,ООН39!T:T)</f>
        <v>0</v>
      </c>
      <c r="W20" s="310">
        <f>SUMIF('ООН 40'!B:B,B20,'ООН 40'!T:T)</f>
        <v>0</v>
      </c>
      <c r="X20" s="310">
        <f>SUMIF('ООН 43'!B:B,B20,'ООН 43'!T:T)</f>
        <v>0</v>
      </c>
      <c r="Y20" s="310">
        <f>SUMIF('ООН 44'!B:B,B20,'ООН 44'!T:T)</f>
        <v>20</v>
      </c>
      <c r="Z20" s="310">
        <f>SUMIF('ООН 45'!B:B,B20,'ООН 45'!V:V)</f>
        <v>22</v>
      </c>
      <c r="AA20" s="310">
        <f>SUMIF(ООН46!B:B,B20,ООН46!T:T)</f>
        <v>0</v>
      </c>
      <c r="AB20" s="310">
        <f>SUMIF(ООН47!B:B,B20,ООН47!T:T)</f>
        <v>0</v>
      </c>
      <c r="AC20" s="310">
        <f>SUMIF(ООН48!B:B,B20,ООН48!T:T)</f>
        <v>0</v>
      </c>
      <c r="AD20" s="310">
        <f>SUMIF(ООН49!B:B,B20,ООН49!T:T)</f>
        <v>0</v>
      </c>
      <c r="AE20" s="310">
        <f>SUMIF(ООн50!B:B,B20,ООн50!T:T)</f>
        <v>0</v>
      </c>
      <c r="AF20" s="310">
        <f>SUMIF(ООН51!B:B,B20,ООН51!T:T)</f>
        <v>0</v>
      </c>
      <c r="AG20" s="310">
        <f>SUMIF(Форшахта!B:B,B20,Форшахта!T:T)</f>
        <v>0</v>
      </c>
      <c r="AH20" s="310">
        <f>SUMIF('ГАлерея 25.6'!B:B,B20,'ГАлерея 25.6'!T:T)</f>
        <v>0</v>
      </c>
      <c r="AI20" s="310">
        <f>SUMIF(ГРП!B:B,B20,ГРП!AI:AI)</f>
        <v>0</v>
      </c>
      <c r="AJ20" s="310">
        <f>SUMIF('Парк меляси'!B:B,B20,'Парк меляси'!T:T)</f>
        <v>0</v>
      </c>
      <c r="AK20" s="310">
        <f>SUMIF('ООН 42'!B:B,B20,'ООН 42'!T:T)</f>
        <v>0</v>
      </c>
      <c r="AL20" s="313">
        <f t="shared" si="5"/>
        <v>0</v>
      </c>
      <c r="AM20" s="311">
        <f t="shared" si="6"/>
        <v>0</v>
      </c>
      <c r="AN20" s="311">
        <f t="shared" si="7"/>
        <v>0</v>
      </c>
      <c r="AO20" s="311">
        <f t="shared" si="8"/>
        <v>9058.823529411764</v>
      </c>
      <c r="AP20" s="311">
        <f t="shared" si="9"/>
        <v>0</v>
      </c>
      <c r="AQ20" s="311">
        <f t="shared" si="10"/>
        <v>0</v>
      </c>
      <c r="AR20" s="311">
        <f t="shared" si="11"/>
        <v>0</v>
      </c>
      <c r="AS20" s="311">
        <f t="shared" si="12"/>
        <v>0</v>
      </c>
      <c r="AT20" s="311">
        <f t="shared" si="13"/>
        <v>0</v>
      </c>
      <c r="AU20" s="311">
        <f t="shared" si="14"/>
        <v>0</v>
      </c>
      <c r="AV20" s="311">
        <f t="shared" si="15"/>
        <v>0</v>
      </c>
      <c r="AW20" s="311">
        <f t="shared" si="16"/>
        <v>0</v>
      </c>
      <c r="AX20" s="311">
        <f t="shared" si="17"/>
        <v>0</v>
      </c>
      <c r="AY20" s="311">
        <f t="shared" si="18"/>
        <v>0</v>
      </c>
      <c r="AZ20" s="311">
        <f t="shared" si="19"/>
        <v>0</v>
      </c>
      <c r="BA20" s="311">
        <f t="shared" si="20"/>
        <v>2352.9411764705883</v>
      </c>
      <c r="BB20" s="311">
        <f t="shared" si="21"/>
        <v>2588.2352941176468</v>
      </c>
      <c r="BC20" s="311">
        <f t="shared" si="22"/>
        <v>0</v>
      </c>
      <c r="BD20" s="311">
        <f t="shared" si="23"/>
        <v>0</v>
      </c>
      <c r="BE20" s="311">
        <f t="shared" si="24"/>
        <v>0</v>
      </c>
      <c r="BF20" s="311">
        <f t="shared" si="25"/>
        <v>0</v>
      </c>
      <c r="BG20" s="311">
        <f t="shared" si="26"/>
        <v>0</v>
      </c>
      <c r="BH20" s="311">
        <f t="shared" si="27"/>
        <v>0</v>
      </c>
      <c r="BI20" s="311">
        <f t="shared" si="28"/>
        <v>0</v>
      </c>
      <c r="BJ20" s="311">
        <f t="shared" si="29"/>
        <v>0</v>
      </c>
      <c r="BK20" s="311">
        <f t="shared" si="30"/>
        <v>0</v>
      </c>
      <c r="BL20" s="311">
        <f t="shared" si="31"/>
        <v>0</v>
      </c>
      <c r="BM20" s="311">
        <f t="shared" si="32"/>
        <v>0</v>
      </c>
      <c r="BN20" s="315">
        <f t="shared" si="33"/>
        <v>14000</v>
      </c>
      <c r="BO20" s="316">
        <f t="shared" si="34"/>
        <v>0</v>
      </c>
    </row>
    <row r="21" spans="1:67" ht="15.75" outlineLevel="1" x14ac:dyDescent="0.25">
      <c r="A21" s="148">
        <v>18</v>
      </c>
      <c r="B21" s="149" t="s">
        <v>616</v>
      </c>
      <c r="C21" s="149"/>
      <c r="D21" s="149">
        <v>3927</v>
      </c>
      <c r="E21" s="142">
        <f t="shared" si="2"/>
        <v>10200</v>
      </c>
      <c r="F21" s="144">
        <v>10.520000000002256</v>
      </c>
      <c r="G21" s="174">
        <f t="shared" si="3"/>
        <v>6300</v>
      </c>
      <c r="H21" s="174">
        <f t="shared" si="4"/>
        <v>-16.479999999997744</v>
      </c>
      <c r="I21" s="175">
        <f>_ЦО!T19+'МХП лазня'!T19+Катеринополь!T19+ВООЗ!T19+Кернел!T19+'Глобино Мк'!T19+'ВООЗ ЕМС'!T19+'ООН 36'!T19+'ООН 37'!T19+'ООН 38'!T19+ООН39!T19+'ООН 40'!T19+'ООН 43'!T19+'ООН 44'!T19+'ООН 45'!V19+ООН46!T19+ООН47!T19+ООН48!T19+ООН49!T19+ООн50!T19+ООН51!T19+Форшахта!T19+'ГАлерея 25.6'!T19+ГРП!AI19+'Парк меляси'!T19+'ООН 42'!T19</f>
        <v>68</v>
      </c>
      <c r="J21" s="44">
        <v>150</v>
      </c>
      <c r="K21" s="310">
        <f>SUMIF(ИТР!B:B,B21,ИТР!R:R)</f>
        <v>0</v>
      </c>
      <c r="L21" s="310">
        <f>SUMIF(_ЦО!$B:$B,B21,_ЦО!T:T)</f>
        <v>0</v>
      </c>
      <c r="M21" s="310">
        <f>SUMIF('МХП лазня'!B:B,B21,'МХП лазня'!T:T)</f>
        <v>0</v>
      </c>
      <c r="N21" s="310">
        <f>SUMIF(Катеринополь!$B:$B,B21,Катеринополь!$T:$T)</f>
        <v>0</v>
      </c>
      <c r="O21" s="310">
        <f>SUMIF(ВООЗ!B:B,B21,ВООЗ!T:T)</f>
        <v>0</v>
      </c>
      <c r="P21" s="310">
        <f>SUMIF(Кернел!B:B,B21,Кернел!T:T)</f>
        <v>0</v>
      </c>
      <c r="Q21" s="310">
        <f>SUMIF('Глобино Мк'!B:B,B21,'Глобино Мк'!T:T)</f>
        <v>0</v>
      </c>
      <c r="R21" s="310">
        <f>SUMIF('ВООЗ ЕМС'!B:B,B21,'ВООЗ ЕМС'!T:T)</f>
        <v>0</v>
      </c>
      <c r="S21" s="310">
        <f>SUMIF('ООН 36'!B:B,B21,'ООН 36'!T:T)</f>
        <v>0</v>
      </c>
      <c r="T21" s="310">
        <f>SUMIF('ООН 37'!B:B,B21,'ООН 37'!T:T)</f>
        <v>0</v>
      </c>
      <c r="U21" s="310">
        <f>SUMIF('ООН 38'!B:B,B21,'ООН 38'!T:T)</f>
        <v>0</v>
      </c>
      <c r="V21" s="310">
        <f>SUMIF(ООН39!B:B,B21,ООН39!T:T)</f>
        <v>0</v>
      </c>
      <c r="W21" s="310">
        <f>SUMIF('ООН 40'!B:B,B21,'ООН 40'!T:T)</f>
        <v>0</v>
      </c>
      <c r="X21" s="310">
        <f>SUMIF('ООН 43'!B:B,B21,'ООН 43'!T:T)</f>
        <v>0</v>
      </c>
      <c r="Y21" s="310">
        <f>SUMIF('ООН 44'!B:B,B21,'ООН 44'!T:T)</f>
        <v>11</v>
      </c>
      <c r="Z21" s="310">
        <f>SUMIF('ООН 45'!B:B,B21,'ООН 45'!V:V)</f>
        <v>11</v>
      </c>
      <c r="AA21" s="310">
        <f>SUMIF(ООН46!B:B,B21,ООН46!T:T)</f>
        <v>20</v>
      </c>
      <c r="AB21" s="310">
        <f>SUMIF(ООН47!B:B,B21,ООН47!T:T)</f>
        <v>26</v>
      </c>
      <c r="AC21" s="310">
        <f>SUMIF(ООН48!B:B,B21,ООН48!T:T)</f>
        <v>0</v>
      </c>
      <c r="AD21" s="310">
        <f>SUMIF(ООН49!B:B,B21,ООН49!T:T)</f>
        <v>0</v>
      </c>
      <c r="AE21" s="310">
        <f>SUMIF(ООн50!B:B,B21,ООн50!T:T)</f>
        <v>0</v>
      </c>
      <c r="AF21" s="310">
        <f>SUMIF(ООН51!B:B,B21,ООН51!T:T)</f>
        <v>0</v>
      </c>
      <c r="AG21" s="310">
        <f>SUMIF(Форшахта!B:B,B21,Форшахта!T:T)</f>
        <v>0</v>
      </c>
      <c r="AH21" s="310">
        <f>SUMIF('ГАлерея 25.6'!B:B,B21,'ГАлерея 25.6'!T:T)</f>
        <v>0</v>
      </c>
      <c r="AI21" s="310">
        <f>SUMIF(ГРП!B:B,B21,ГРП!AI:AI)</f>
        <v>0</v>
      </c>
      <c r="AJ21" s="310">
        <f>SUMIF('Парк меляси'!B:B,B21,'Парк меляси'!T:T)</f>
        <v>0</v>
      </c>
      <c r="AK21" s="310">
        <f>SUMIF('ООН 42'!B:B,B21,'ООН 42'!T:T)</f>
        <v>0</v>
      </c>
      <c r="AL21" s="313">
        <f t="shared" si="5"/>
        <v>0</v>
      </c>
      <c r="AM21" s="311">
        <f t="shared" si="6"/>
        <v>0</v>
      </c>
      <c r="AN21" s="311">
        <f t="shared" si="7"/>
        <v>0</v>
      </c>
      <c r="AO21" s="311">
        <f t="shared" si="8"/>
        <v>0</v>
      </c>
      <c r="AP21" s="311">
        <f t="shared" si="9"/>
        <v>0</v>
      </c>
      <c r="AQ21" s="311">
        <f t="shared" si="10"/>
        <v>0</v>
      </c>
      <c r="AR21" s="311">
        <f t="shared" si="11"/>
        <v>0</v>
      </c>
      <c r="AS21" s="311">
        <f t="shared" si="12"/>
        <v>0</v>
      </c>
      <c r="AT21" s="311">
        <f t="shared" si="13"/>
        <v>0</v>
      </c>
      <c r="AU21" s="311">
        <f t="shared" si="14"/>
        <v>0</v>
      </c>
      <c r="AV21" s="311">
        <f t="shared" si="15"/>
        <v>0</v>
      </c>
      <c r="AW21" s="311">
        <f t="shared" si="16"/>
        <v>0</v>
      </c>
      <c r="AX21" s="311">
        <f t="shared" si="17"/>
        <v>0</v>
      </c>
      <c r="AY21" s="311">
        <f t="shared" si="18"/>
        <v>0</v>
      </c>
      <c r="AZ21" s="311">
        <f t="shared" si="19"/>
        <v>0</v>
      </c>
      <c r="BA21" s="311">
        <f t="shared" si="20"/>
        <v>1019.1176470588234</v>
      </c>
      <c r="BB21" s="311">
        <f t="shared" si="21"/>
        <v>1019.1176470588234</v>
      </c>
      <c r="BC21" s="311">
        <f t="shared" si="22"/>
        <v>1852.9411764705881</v>
      </c>
      <c r="BD21" s="311">
        <f t="shared" si="23"/>
        <v>2408.8235294117644</v>
      </c>
      <c r="BE21" s="311">
        <f t="shared" si="24"/>
        <v>0</v>
      </c>
      <c r="BF21" s="311">
        <f t="shared" si="25"/>
        <v>0</v>
      </c>
      <c r="BG21" s="311">
        <f t="shared" si="26"/>
        <v>0</v>
      </c>
      <c r="BH21" s="311">
        <f t="shared" si="27"/>
        <v>0</v>
      </c>
      <c r="BI21" s="311">
        <f t="shared" si="28"/>
        <v>0</v>
      </c>
      <c r="BJ21" s="311">
        <f t="shared" si="29"/>
        <v>0</v>
      </c>
      <c r="BK21" s="311">
        <f t="shared" si="30"/>
        <v>0</v>
      </c>
      <c r="BL21" s="311">
        <f t="shared" si="31"/>
        <v>0</v>
      </c>
      <c r="BM21" s="311">
        <f t="shared" si="32"/>
        <v>0</v>
      </c>
      <c r="BN21" s="315">
        <f t="shared" si="33"/>
        <v>6300</v>
      </c>
      <c r="BO21" s="316">
        <f t="shared" si="34"/>
        <v>0</v>
      </c>
    </row>
    <row r="22" spans="1:67" ht="15.75" outlineLevel="1" x14ac:dyDescent="0.25">
      <c r="A22" s="148">
        <v>19</v>
      </c>
      <c r="B22" s="149" t="s">
        <v>617</v>
      </c>
      <c r="C22" s="149"/>
      <c r="D22" s="149">
        <v>8662.5</v>
      </c>
      <c r="E22" s="142">
        <f t="shared" si="2"/>
        <v>50400</v>
      </c>
      <c r="F22" s="144">
        <v>-4239.3399999999965</v>
      </c>
      <c r="G22" s="174">
        <f t="shared" si="3"/>
        <v>37500</v>
      </c>
      <c r="H22" s="174">
        <f t="shared" si="4"/>
        <v>-1.8399999999965075</v>
      </c>
      <c r="I22" s="175">
        <f>_ЦО!T20+'МХП лазня'!T20+Катеринополь!T20+ВООЗ!T20+Кернел!T20+'Глобино Мк'!T20+'ВООЗ ЕМС'!T20+'ООН 36'!T20+'ООН 37'!T20+'ООН 38'!T20+ООН39!T20+'ООН 40'!T20+'ООН 43'!T20+'ООН 44'!T20+'ООН 45'!V20+ООН46!T20+ООН47!T20+ООН48!T20+ООН49!T20+ООн50!T20+ООН51!T20+Форшахта!T20+'ГАлерея 25.6'!T20+ГРП!AI20+'Парк меляси'!T20+'ООН 42'!T20</f>
        <v>336</v>
      </c>
      <c r="J22" s="44">
        <v>150</v>
      </c>
      <c r="K22" s="310">
        <f>SUMIF(ИТР!B:B,B22,ИТР!R:R)</f>
        <v>0</v>
      </c>
      <c r="L22" s="310">
        <f>SUMIF(_ЦО!$B:$B,B22,_ЦО!T:T)</f>
        <v>0</v>
      </c>
      <c r="M22" s="310">
        <f>SUMIF('МХП лазня'!B:B,B22,'МХП лазня'!T:T)</f>
        <v>0</v>
      </c>
      <c r="N22" s="310">
        <f>SUMIF(Катеринополь!$B:$B,B22,Катеринополь!$T:$T)</f>
        <v>0</v>
      </c>
      <c r="O22" s="310">
        <f>SUMIF(ВООЗ!B:B,B22,ВООЗ!T:T)</f>
        <v>0</v>
      </c>
      <c r="P22" s="310">
        <f>SUMIF(Кернел!B:B,B22,Кернел!T:T)</f>
        <v>0</v>
      </c>
      <c r="Q22" s="310">
        <f>SUMIF('Глобино Мк'!B:B,B22,'Глобино Мк'!T:T)</f>
        <v>0</v>
      </c>
      <c r="R22" s="310">
        <f>SUMIF('ВООЗ ЕМС'!B:B,B22,'ВООЗ ЕМС'!T:T)</f>
        <v>0</v>
      </c>
      <c r="S22" s="310">
        <f>SUMIF('ООН 36'!B:B,B22,'ООН 36'!T:T)</f>
        <v>24</v>
      </c>
      <c r="T22" s="310">
        <f>SUMIF('ООН 37'!B:B,B22,'ООН 37'!T:T)</f>
        <v>24</v>
      </c>
      <c r="U22" s="310">
        <f>SUMIF('ООН 38'!B:B,B22,'ООН 38'!T:T)</f>
        <v>24</v>
      </c>
      <c r="V22" s="310">
        <f>SUMIF(ООН39!B:B,B22,ООН39!T:T)</f>
        <v>24</v>
      </c>
      <c r="W22" s="310">
        <f>SUMIF('ООН 40'!B:B,B22,'ООН 40'!T:T)</f>
        <v>48</v>
      </c>
      <c r="X22" s="310">
        <f>SUMIF('ООН 43'!B:B,B22,'ООН 43'!T:T)</f>
        <v>24</v>
      </c>
      <c r="Y22" s="310">
        <f>SUMIF('ООН 44'!B:B,B22,'ООН 44'!T:T)</f>
        <v>0</v>
      </c>
      <c r="Z22" s="310">
        <f>SUMIF('ООН 45'!B:B,B22,'ООН 45'!V:V)</f>
        <v>0</v>
      </c>
      <c r="AA22" s="310">
        <f>SUMIF(ООН46!B:B,B22,ООН46!T:T)</f>
        <v>0</v>
      </c>
      <c r="AB22" s="310">
        <f>SUMIF(ООН47!B:B,B22,ООН47!T:T)</f>
        <v>0</v>
      </c>
      <c r="AC22" s="310">
        <f>SUMIF(ООН48!B:B,B22,ООН48!T:T)</f>
        <v>0</v>
      </c>
      <c r="AD22" s="310">
        <f>SUMIF(ООН49!B:B,B22,ООН49!T:T)</f>
        <v>0</v>
      </c>
      <c r="AE22" s="310">
        <f>SUMIF(ООн50!B:B,B22,ООн50!T:T)</f>
        <v>0</v>
      </c>
      <c r="AF22" s="310">
        <f>SUMIF(ООН51!B:B,B22,ООН51!T:T)</f>
        <v>0</v>
      </c>
      <c r="AG22" s="310">
        <f>SUMIF(Форшахта!B:B,B22,Форшахта!T:T)</f>
        <v>0</v>
      </c>
      <c r="AH22" s="310">
        <f>SUMIF('ГАлерея 25.6'!B:B,B22,'ГАлерея 25.6'!T:T)</f>
        <v>0</v>
      </c>
      <c r="AI22" s="310">
        <f>SUMIF(ГРП!B:B,B22,ГРП!AI:AI)</f>
        <v>0</v>
      </c>
      <c r="AJ22" s="310">
        <f>SUMIF('Парк меляси'!B:B,B22,'Парк меляси'!T:T)</f>
        <v>0</v>
      </c>
      <c r="AK22" s="310">
        <f>SUMIF('ООН 42'!B:B,B22,'ООН 42'!T:T)</f>
        <v>168</v>
      </c>
      <c r="AL22" s="313">
        <f t="shared" si="5"/>
        <v>0</v>
      </c>
      <c r="AM22" s="311">
        <f t="shared" si="6"/>
        <v>0</v>
      </c>
      <c r="AN22" s="311">
        <f t="shared" si="7"/>
        <v>0</v>
      </c>
      <c r="AO22" s="311">
        <f t="shared" si="8"/>
        <v>0</v>
      </c>
      <c r="AP22" s="311">
        <f t="shared" si="9"/>
        <v>0</v>
      </c>
      <c r="AQ22" s="311">
        <f t="shared" si="10"/>
        <v>0</v>
      </c>
      <c r="AR22" s="311">
        <f t="shared" si="11"/>
        <v>0</v>
      </c>
      <c r="AS22" s="311">
        <f t="shared" si="12"/>
        <v>0</v>
      </c>
      <c r="AT22" s="311">
        <f t="shared" si="13"/>
        <v>0</v>
      </c>
      <c r="AU22" s="311">
        <f t="shared" si="14"/>
        <v>2678.5714285714284</v>
      </c>
      <c r="AV22" s="311">
        <f t="shared" si="15"/>
        <v>2678.5714285714284</v>
      </c>
      <c r="AW22" s="311">
        <f t="shared" si="16"/>
        <v>2678.5714285714284</v>
      </c>
      <c r="AX22" s="311">
        <f t="shared" si="17"/>
        <v>2678.5714285714284</v>
      </c>
      <c r="AY22" s="311">
        <f t="shared" si="18"/>
        <v>5357.1428571428569</v>
      </c>
      <c r="AZ22" s="311">
        <f t="shared" si="19"/>
        <v>2678.5714285714284</v>
      </c>
      <c r="BA22" s="311">
        <f t="shared" si="20"/>
        <v>0</v>
      </c>
      <c r="BB22" s="311">
        <f t="shared" si="21"/>
        <v>0</v>
      </c>
      <c r="BC22" s="311">
        <f t="shared" si="22"/>
        <v>0</v>
      </c>
      <c r="BD22" s="311">
        <f t="shared" si="23"/>
        <v>0</v>
      </c>
      <c r="BE22" s="311">
        <f t="shared" si="24"/>
        <v>0</v>
      </c>
      <c r="BF22" s="311">
        <f t="shared" si="25"/>
        <v>0</v>
      </c>
      <c r="BG22" s="311">
        <f t="shared" si="26"/>
        <v>0</v>
      </c>
      <c r="BH22" s="311">
        <f t="shared" si="27"/>
        <v>0</v>
      </c>
      <c r="BI22" s="311">
        <f t="shared" si="28"/>
        <v>0</v>
      </c>
      <c r="BJ22" s="311">
        <f t="shared" si="29"/>
        <v>0</v>
      </c>
      <c r="BK22" s="311">
        <f t="shared" si="30"/>
        <v>0</v>
      </c>
      <c r="BL22" s="311">
        <f t="shared" si="31"/>
        <v>0</v>
      </c>
      <c r="BM22" s="311">
        <f t="shared" si="32"/>
        <v>18750</v>
      </c>
      <c r="BN22" s="315">
        <f t="shared" si="33"/>
        <v>37500</v>
      </c>
      <c r="BO22" s="316">
        <f t="shared" si="34"/>
        <v>0</v>
      </c>
    </row>
    <row r="23" spans="1:67" ht="15.75" outlineLevel="1" x14ac:dyDescent="0.25">
      <c r="A23" s="148">
        <v>20</v>
      </c>
      <c r="B23" s="149" t="s">
        <v>626</v>
      </c>
      <c r="C23" s="149"/>
      <c r="D23" s="149">
        <v>0</v>
      </c>
      <c r="E23" s="142">
        <f t="shared" si="2"/>
        <v>0</v>
      </c>
      <c r="F23" s="144">
        <v>46</v>
      </c>
      <c r="G23" s="174">
        <f t="shared" si="3"/>
        <v>0</v>
      </c>
      <c r="H23" s="174">
        <f t="shared" si="4"/>
        <v>46</v>
      </c>
      <c r="I23" s="175">
        <f>_ЦО!T21+'МХП лазня'!T21+Катеринополь!T21+ВООЗ!T21+Кернел!T21+'Глобино Мк'!T21+'ВООЗ ЕМС'!T21+'ООН 36'!T21+'ООН 37'!T21+'ООН 38'!T21+ООН39!T21+'ООН 40'!T21+'ООН 43'!T21+'ООН 44'!T21+'ООН 45'!V21+ООН46!T21+ООН47!T21+ООН48!T21+ООН49!T21+ООн50!T21+ООН51!T21+Форшахта!T21+'ГАлерея 25.6'!T21+ГРП!AI21+'Парк меляси'!T21+'ООН 42'!T21</f>
        <v>0</v>
      </c>
      <c r="J23" s="44">
        <v>150</v>
      </c>
      <c r="K23" s="310">
        <f>SUMIF(ИТР!B:B,B23,ИТР!R:R)</f>
        <v>0</v>
      </c>
      <c r="L23" s="310">
        <f>SUMIF(_ЦО!$B:$B,B23,_ЦО!T:T)</f>
        <v>0</v>
      </c>
      <c r="M23" s="310">
        <f>SUMIF('МХП лазня'!B:B,B23,'МХП лазня'!T:T)</f>
        <v>0</v>
      </c>
      <c r="N23" s="310">
        <f>SUMIF(Катеринополь!$B:$B,B23,Катеринополь!$T:$T)</f>
        <v>0</v>
      </c>
      <c r="O23" s="310">
        <f>SUMIF(ВООЗ!B:B,B23,ВООЗ!T:T)</f>
        <v>0</v>
      </c>
      <c r="P23" s="310">
        <f>SUMIF(Кернел!B:B,B23,Кернел!T:T)</f>
        <v>0</v>
      </c>
      <c r="Q23" s="310">
        <f>SUMIF('Глобино Мк'!B:B,B23,'Глобино Мк'!T:T)</f>
        <v>0</v>
      </c>
      <c r="R23" s="310">
        <f>SUMIF('ВООЗ ЕМС'!B:B,B23,'ВООЗ ЕМС'!T:T)</f>
        <v>0</v>
      </c>
      <c r="S23" s="310">
        <f>SUMIF('ООН 36'!B:B,B23,'ООН 36'!T:T)</f>
        <v>0</v>
      </c>
      <c r="T23" s="310">
        <f>SUMIF('ООН 37'!B:B,B23,'ООН 37'!T:T)</f>
        <v>0</v>
      </c>
      <c r="U23" s="310">
        <f>SUMIF('ООН 38'!B:B,B23,'ООН 38'!T:T)</f>
        <v>0</v>
      </c>
      <c r="V23" s="310">
        <f>SUMIF(ООН39!B:B,B23,ООН39!T:T)</f>
        <v>0</v>
      </c>
      <c r="W23" s="310">
        <f>SUMIF('ООН 40'!B:B,B23,'ООН 40'!T:T)</f>
        <v>0</v>
      </c>
      <c r="X23" s="310">
        <f>SUMIF('ООН 43'!B:B,B23,'ООН 43'!T:T)</f>
        <v>0</v>
      </c>
      <c r="Y23" s="310">
        <f>SUMIF('ООН 44'!B:B,B23,'ООН 44'!T:T)</f>
        <v>0</v>
      </c>
      <c r="Z23" s="310">
        <f>SUMIF('ООН 45'!B:B,B23,'ООН 45'!V:V)</f>
        <v>0</v>
      </c>
      <c r="AA23" s="310">
        <f>SUMIF(ООН46!B:B,B23,ООН46!T:T)</f>
        <v>0</v>
      </c>
      <c r="AB23" s="310">
        <f>SUMIF(ООН47!B:B,B23,ООН47!T:T)</f>
        <v>0</v>
      </c>
      <c r="AC23" s="310">
        <f>SUMIF(ООН48!B:B,B23,ООН48!T:T)</f>
        <v>0</v>
      </c>
      <c r="AD23" s="310">
        <f>SUMIF(ООН49!B:B,B23,ООН49!T:T)</f>
        <v>0</v>
      </c>
      <c r="AE23" s="310">
        <f>SUMIF(ООн50!B:B,B23,ООн50!T:T)</f>
        <v>0</v>
      </c>
      <c r="AF23" s="310">
        <f>SUMIF(ООН51!B:B,B23,ООН51!T:T)</f>
        <v>0</v>
      </c>
      <c r="AG23" s="310">
        <f>SUMIF(Форшахта!B:B,B23,Форшахта!T:T)</f>
        <v>0</v>
      </c>
      <c r="AH23" s="310">
        <f>SUMIF('ГАлерея 25.6'!B:B,B23,'ГАлерея 25.6'!T:T)</f>
        <v>0</v>
      </c>
      <c r="AI23" s="310">
        <f>SUMIF(ГРП!B:B,B23,ГРП!AI:AI)</f>
        <v>0</v>
      </c>
      <c r="AJ23" s="310">
        <f>SUMIF('Парк меляси'!B:B,B23,'Парк меляси'!T:T)</f>
        <v>0</v>
      </c>
      <c r="AK23" s="310">
        <f>SUMIF('ООН 42'!B:B,B23,'ООН 42'!T:T)</f>
        <v>0</v>
      </c>
      <c r="AL23" s="313">
        <f t="shared" si="5"/>
        <v>0</v>
      </c>
      <c r="AM23" s="311">
        <f t="shared" si="6"/>
        <v>0</v>
      </c>
      <c r="AN23" s="311">
        <f t="shared" si="7"/>
        <v>0</v>
      </c>
      <c r="AO23" s="311">
        <f t="shared" si="8"/>
        <v>0</v>
      </c>
      <c r="AP23" s="311">
        <f t="shared" si="9"/>
        <v>0</v>
      </c>
      <c r="AQ23" s="311">
        <f t="shared" si="10"/>
        <v>0</v>
      </c>
      <c r="AR23" s="311">
        <f t="shared" si="11"/>
        <v>0</v>
      </c>
      <c r="AS23" s="311">
        <f t="shared" si="12"/>
        <v>0</v>
      </c>
      <c r="AT23" s="311">
        <f t="shared" si="13"/>
        <v>0</v>
      </c>
      <c r="AU23" s="311">
        <f t="shared" si="14"/>
        <v>0</v>
      </c>
      <c r="AV23" s="311">
        <f t="shared" si="15"/>
        <v>0</v>
      </c>
      <c r="AW23" s="311">
        <f t="shared" si="16"/>
        <v>0</v>
      </c>
      <c r="AX23" s="311">
        <f t="shared" si="17"/>
        <v>0</v>
      </c>
      <c r="AY23" s="311">
        <f t="shared" si="18"/>
        <v>0</v>
      </c>
      <c r="AZ23" s="311">
        <f t="shared" si="19"/>
        <v>0</v>
      </c>
      <c r="BA23" s="311">
        <f t="shared" si="20"/>
        <v>0</v>
      </c>
      <c r="BB23" s="311">
        <f t="shared" si="21"/>
        <v>0</v>
      </c>
      <c r="BC23" s="311">
        <f t="shared" si="22"/>
        <v>0</v>
      </c>
      <c r="BD23" s="311">
        <f t="shared" si="23"/>
        <v>0</v>
      </c>
      <c r="BE23" s="311">
        <f t="shared" si="24"/>
        <v>0</v>
      </c>
      <c r="BF23" s="311">
        <f t="shared" si="25"/>
        <v>0</v>
      </c>
      <c r="BG23" s="311">
        <f t="shared" si="26"/>
        <v>0</v>
      </c>
      <c r="BH23" s="311">
        <f t="shared" si="27"/>
        <v>0</v>
      </c>
      <c r="BI23" s="311">
        <f t="shared" si="28"/>
        <v>0</v>
      </c>
      <c r="BJ23" s="311">
        <f t="shared" si="29"/>
        <v>0</v>
      </c>
      <c r="BK23" s="311">
        <f t="shared" si="30"/>
        <v>0</v>
      </c>
      <c r="BL23" s="311">
        <f t="shared" si="31"/>
        <v>0</v>
      </c>
      <c r="BM23" s="311">
        <f t="shared" si="32"/>
        <v>0</v>
      </c>
      <c r="BN23" s="315">
        <f t="shared" si="33"/>
        <v>0</v>
      </c>
      <c r="BO23" s="316">
        <f t="shared" si="34"/>
        <v>0</v>
      </c>
    </row>
    <row r="24" spans="1:67" ht="15" customHeight="1" outlineLevel="1" x14ac:dyDescent="0.25">
      <c r="A24" s="148">
        <v>21</v>
      </c>
      <c r="B24" s="149" t="s">
        <v>618</v>
      </c>
      <c r="C24" s="149"/>
      <c r="D24" s="149">
        <v>9625</v>
      </c>
      <c r="E24" s="142">
        <f t="shared" si="2"/>
        <v>50400</v>
      </c>
      <c r="F24" s="144">
        <v>-2224.260000000002</v>
      </c>
      <c r="G24" s="174">
        <f t="shared" si="3"/>
        <v>38600</v>
      </c>
      <c r="H24" s="174">
        <f t="shared" si="4"/>
        <v>-49.260000000002037</v>
      </c>
      <c r="I24" s="175">
        <f>_ЦО!T22+'МХП лазня'!T22+Катеринополь!T22+ВООЗ!T22+Кернел!T22+'Глобино Мк'!T22+'ВООЗ ЕМС'!T22+'ООН 36'!T22+'ООН 37'!T22+'ООН 38'!T22+ООН39!T22+'ООН 40'!T22+'ООН 43'!T22+'ООН 44'!T22+'ООН 45'!V22+ООН46!T22+ООН47!T22+ООН48!T22+ООН49!T22+ООн50!T22+ООН51!T22+Форшахта!T22+'ГАлерея 25.6'!T22+ГРП!AI22+'Парк меляси'!T22+'ООН 42'!T22</f>
        <v>336</v>
      </c>
      <c r="J24" s="44">
        <v>150</v>
      </c>
      <c r="K24" s="310">
        <f>SUMIF(ИТР!B:B,B24,ИТР!R:R)</f>
        <v>0</v>
      </c>
      <c r="L24" s="310">
        <f>SUMIF(_ЦО!$B:$B,B24,_ЦО!T:T)</f>
        <v>0</v>
      </c>
      <c r="M24" s="310">
        <f>SUMIF('МХП лазня'!B:B,B24,'МХП лазня'!T:T)</f>
        <v>0</v>
      </c>
      <c r="N24" s="310">
        <f>SUMIF(Катеринополь!$B:$B,B24,Катеринополь!$T:$T)</f>
        <v>0</v>
      </c>
      <c r="O24" s="310">
        <f>SUMIF(ВООЗ!B:B,B24,ВООЗ!T:T)</f>
        <v>0</v>
      </c>
      <c r="P24" s="310">
        <f>SUMIF(Кернел!B:B,B24,Кернел!T:T)</f>
        <v>0</v>
      </c>
      <c r="Q24" s="310">
        <f>SUMIF('Глобино Мк'!B:B,B24,'Глобино Мк'!T:T)</f>
        <v>0</v>
      </c>
      <c r="R24" s="310">
        <f>SUMIF('ВООЗ ЕМС'!B:B,B24,'ВООЗ ЕМС'!T:T)</f>
        <v>0</v>
      </c>
      <c r="S24" s="310">
        <f>SUMIF('ООН 36'!B:B,B24,'ООН 36'!T:T)</f>
        <v>24</v>
      </c>
      <c r="T24" s="310">
        <f>SUMIF('ООН 37'!B:B,B24,'ООН 37'!T:T)</f>
        <v>24</v>
      </c>
      <c r="U24" s="310">
        <f>SUMIF('ООН 38'!B:B,B24,'ООН 38'!T:T)</f>
        <v>24</v>
      </c>
      <c r="V24" s="310">
        <f>SUMIF(ООН39!B:B,B24,ООН39!T:T)</f>
        <v>24</v>
      </c>
      <c r="W24" s="310">
        <f>SUMIF('ООН 40'!B:B,B24,'ООН 40'!T:T)</f>
        <v>48</v>
      </c>
      <c r="X24" s="310">
        <f>SUMIF('ООН 43'!B:B,B24,'ООН 43'!T:T)</f>
        <v>24</v>
      </c>
      <c r="Y24" s="310">
        <f>SUMIF('ООН 44'!B:B,B24,'ООН 44'!T:T)</f>
        <v>0</v>
      </c>
      <c r="Z24" s="310">
        <f>SUMIF('ООН 45'!B:B,B24,'ООН 45'!V:V)</f>
        <v>0</v>
      </c>
      <c r="AA24" s="310">
        <f>SUMIF(ООН46!B:B,B24,ООН46!T:T)</f>
        <v>0</v>
      </c>
      <c r="AB24" s="310">
        <f>SUMIF(ООН47!B:B,B24,ООН47!T:T)</f>
        <v>0</v>
      </c>
      <c r="AC24" s="310">
        <f>SUMIF(ООН48!B:B,B24,ООН48!T:T)</f>
        <v>0</v>
      </c>
      <c r="AD24" s="310">
        <f>SUMIF(ООН49!B:B,B24,ООН49!T:T)</f>
        <v>0</v>
      </c>
      <c r="AE24" s="310">
        <f>SUMIF(ООн50!B:B,B24,ООн50!T:T)</f>
        <v>0</v>
      </c>
      <c r="AF24" s="310">
        <f>SUMIF(ООН51!B:B,B24,ООН51!T:T)</f>
        <v>0</v>
      </c>
      <c r="AG24" s="310">
        <f>SUMIF(Форшахта!B:B,B24,Форшахта!T:T)</f>
        <v>0</v>
      </c>
      <c r="AH24" s="310">
        <f>SUMIF('ГАлерея 25.6'!B:B,B24,'ГАлерея 25.6'!T:T)</f>
        <v>0</v>
      </c>
      <c r="AI24" s="310">
        <f>SUMIF(ГРП!B:B,B24,ГРП!AI:AI)</f>
        <v>0</v>
      </c>
      <c r="AJ24" s="310">
        <f>SUMIF('Парк меляси'!B:B,B24,'Парк меляси'!T:T)</f>
        <v>0</v>
      </c>
      <c r="AK24" s="310">
        <f>SUMIF('ООН 42'!B:B,B24,'ООН 42'!T:T)</f>
        <v>168</v>
      </c>
      <c r="AL24" s="313">
        <f t="shared" si="5"/>
        <v>0</v>
      </c>
      <c r="AM24" s="311">
        <f t="shared" si="6"/>
        <v>0</v>
      </c>
      <c r="AN24" s="311">
        <f t="shared" si="7"/>
        <v>0</v>
      </c>
      <c r="AO24" s="311">
        <f t="shared" si="8"/>
        <v>0</v>
      </c>
      <c r="AP24" s="311">
        <f t="shared" si="9"/>
        <v>0</v>
      </c>
      <c r="AQ24" s="311">
        <f t="shared" si="10"/>
        <v>0</v>
      </c>
      <c r="AR24" s="311">
        <f t="shared" si="11"/>
        <v>0</v>
      </c>
      <c r="AS24" s="311">
        <f t="shared" si="12"/>
        <v>0</v>
      </c>
      <c r="AT24" s="311">
        <f t="shared" si="13"/>
        <v>0</v>
      </c>
      <c r="AU24" s="311">
        <f t="shared" si="14"/>
        <v>2757.1428571428569</v>
      </c>
      <c r="AV24" s="311">
        <f t="shared" si="15"/>
        <v>2757.1428571428569</v>
      </c>
      <c r="AW24" s="311">
        <f t="shared" si="16"/>
        <v>2757.1428571428569</v>
      </c>
      <c r="AX24" s="311">
        <f t="shared" si="17"/>
        <v>2757.1428571428569</v>
      </c>
      <c r="AY24" s="311">
        <f t="shared" si="18"/>
        <v>5514.2857142857138</v>
      </c>
      <c r="AZ24" s="311">
        <f t="shared" si="19"/>
        <v>2757.1428571428569</v>
      </c>
      <c r="BA24" s="311">
        <f t="shared" si="20"/>
        <v>0</v>
      </c>
      <c r="BB24" s="311">
        <f t="shared" si="21"/>
        <v>0</v>
      </c>
      <c r="BC24" s="311">
        <f t="shared" si="22"/>
        <v>0</v>
      </c>
      <c r="BD24" s="311">
        <f t="shared" si="23"/>
        <v>0</v>
      </c>
      <c r="BE24" s="311">
        <f t="shared" si="24"/>
        <v>0</v>
      </c>
      <c r="BF24" s="311">
        <f t="shared" si="25"/>
        <v>0</v>
      </c>
      <c r="BG24" s="311">
        <f t="shared" si="26"/>
        <v>0</v>
      </c>
      <c r="BH24" s="311">
        <f t="shared" si="27"/>
        <v>0</v>
      </c>
      <c r="BI24" s="311">
        <f t="shared" si="28"/>
        <v>0</v>
      </c>
      <c r="BJ24" s="311">
        <f t="shared" si="29"/>
        <v>0</v>
      </c>
      <c r="BK24" s="311">
        <f t="shared" si="30"/>
        <v>0</v>
      </c>
      <c r="BL24" s="311">
        <f t="shared" si="31"/>
        <v>0</v>
      </c>
      <c r="BM24" s="311">
        <f t="shared" si="32"/>
        <v>19300</v>
      </c>
      <c r="BN24" s="315">
        <f t="shared" si="33"/>
        <v>38600</v>
      </c>
      <c r="BO24" s="316">
        <f t="shared" si="34"/>
        <v>0</v>
      </c>
    </row>
    <row r="25" spans="1:67" ht="15.75" outlineLevel="1" x14ac:dyDescent="0.25">
      <c r="A25" s="148">
        <v>22</v>
      </c>
      <c r="B25" s="149" t="s">
        <v>619</v>
      </c>
      <c r="C25" s="149"/>
      <c r="D25" s="149">
        <v>3927</v>
      </c>
      <c r="E25" s="142">
        <f t="shared" si="2"/>
        <v>20100</v>
      </c>
      <c r="F25" s="144">
        <v>-15</v>
      </c>
      <c r="G25" s="174">
        <f t="shared" si="3"/>
        <v>16200</v>
      </c>
      <c r="H25" s="174">
        <f t="shared" si="4"/>
        <v>-42</v>
      </c>
      <c r="I25" s="175">
        <f>_ЦО!T23+'МХП лазня'!T23+Катеринополь!T23+ВООЗ!T23+Кернел!T23+'Глобино Мк'!T23+'ВООЗ ЕМС'!T23+'ООН 36'!T23+'ООН 37'!T23+'ООН 38'!T23+ООН39!T23+'ООН 40'!T23+'ООН 43'!T23+'ООН 44'!T23+'ООН 45'!V23+ООН46!T23+ООН47!T23+ООН48!T23+ООН49!T23+ООн50!T23+ООН51!T23+Форшахта!T23+'ГАлерея 25.6'!T23+ГРП!AI23+'Парк меляси'!T23+'ООН 42'!T23</f>
        <v>134</v>
      </c>
      <c r="J25" s="44">
        <v>150</v>
      </c>
      <c r="K25" s="310">
        <f>SUMIF(ИТР!B:B,B25,ИТР!R:R)</f>
        <v>0</v>
      </c>
      <c r="L25" s="310">
        <f>SUMIF(_ЦО!$B:$B,B25,_ЦО!T:T)</f>
        <v>0</v>
      </c>
      <c r="M25" s="310">
        <f>SUMIF('МХП лазня'!B:B,B25,'МХП лазня'!T:T)</f>
        <v>0</v>
      </c>
      <c r="N25" s="310">
        <f>SUMIF(Катеринополь!$B:$B,B25,Катеринополь!$T:$T)</f>
        <v>0</v>
      </c>
      <c r="O25" s="310">
        <f>SUMIF(ВООЗ!B:B,B25,ВООЗ!T:T)</f>
        <v>0</v>
      </c>
      <c r="P25" s="310">
        <f>SUMIF(Кернел!B:B,B25,Кернел!T:T)</f>
        <v>0</v>
      </c>
      <c r="Q25" s="310">
        <f>SUMIF('Глобино Мк'!B:B,B25,'Глобино Мк'!T:T)</f>
        <v>0</v>
      </c>
      <c r="R25" s="310">
        <f>SUMIF('ВООЗ ЕМС'!B:B,B25,'ВООЗ ЕМС'!T:T)</f>
        <v>0</v>
      </c>
      <c r="S25" s="310">
        <f>SUMIF('ООН 36'!B:B,B25,'ООН 36'!T:T)</f>
        <v>0</v>
      </c>
      <c r="T25" s="310">
        <f>SUMIF('ООН 37'!B:B,B25,'ООН 37'!T:T)</f>
        <v>0</v>
      </c>
      <c r="U25" s="310">
        <f>SUMIF('ООН 38'!B:B,B25,'ООН 38'!T:T)</f>
        <v>0</v>
      </c>
      <c r="V25" s="310">
        <f>SUMIF(ООН39!B:B,B25,ООН39!T:T)</f>
        <v>0</v>
      </c>
      <c r="W25" s="310">
        <f>SUMIF('ООН 40'!B:B,B25,'ООН 40'!T:T)</f>
        <v>0</v>
      </c>
      <c r="X25" s="310">
        <f>SUMIF('ООН 43'!B:B,B25,'ООН 43'!T:T)</f>
        <v>11</v>
      </c>
      <c r="Y25" s="310">
        <f>SUMIF('ООН 44'!B:B,B25,'ООН 44'!T:T)</f>
        <v>11</v>
      </c>
      <c r="Z25" s="310">
        <f>SUMIF('ООН 45'!B:B,B25,'ООН 45'!V:V)</f>
        <v>0</v>
      </c>
      <c r="AA25" s="310">
        <f>SUMIF(ООН46!B:B,B25,ООН46!T:T)</f>
        <v>62</v>
      </c>
      <c r="AB25" s="310">
        <f>SUMIF(ООН47!B:B,B25,ООН47!T:T)</f>
        <v>50</v>
      </c>
      <c r="AC25" s="310">
        <f>SUMIF(ООН48!B:B,B25,ООН48!T:T)</f>
        <v>0</v>
      </c>
      <c r="AD25" s="310">
        <f>SUMIF(ООН49!B:B,B25,ООН49!T:T)</f>
        <v>0</v>
      </c>
      <c r="AE25" s="310">
        <f>SUMIF(ООн50!B:B,B25,ООн50!T:T)</f>
        <v>0</v>
      </c>
      <c r="AF25" s="310">
        <f>SUMIF(ООН51!B:B,B25,ООН51!T:T)</f>
        <v>0</v>
      </c>
      <c r="AG25" s="310">
        <f>SUMIF(Форшахта!B:B,B25,Форшахта!T:T)</f>
        <v>0</v>
      </c>
      <c r="AH25" s="310">
        <f>SUMIF('ГАлерея 25.6'!B:B,B25,'ГАлерея 25.6'!T:T)</f>
        <v>0</v>
      </c>
      <c r="AI25" s="310">
        <f>SUMIF(ГРП!B:B,B25,ГРП!AI:AI)</f>
        <v>0</v>
      </c>
      <c r="AJ25" s="310">
        <f>SUMIF('Парк меляси'!B:B,B25,'Парк меляси'!T:T)</f>
        <v>0</v>
      </c>
      <c r="AK25" s="310">
        <f>SUMIF('ООН 42'!B:B,B25,'ООН 42'!T:T)</f>
        <v>0</v>
      </c>
      <c r="AL25" s="313">
        <f t="shared" si="5"/>
        <v>0</v>
      </c>
      <c r="AM25" s="311">
        <f t="shared" si="6"/>
        <v>0</v>
      </c>
      <c r="AN25" s="311">
        <f t="shared" si="7"/>
        <v>0</v>
      </c>
      <c r="AO25" s="311">
        <f t="shared" si="8"/>
        <v>0</v>
      </c>
      <c r="AP25" s="311">
        <f t="shared" si="9"/>
        <v>0</v>
      </c>
      <c r="AQ25" s="311">
        <f t="shared" si="10"/>
        <v>0</v>
      </c>
      <c r="AR25" s="311">
        <f t="shared" si="11"/>
        <v>0</v>
      </c>
      <c r="AS25" s="311">
        <f t="shared" si="12"/>
        <v>0</v>
      </c>
      <c r="AT25" s="311">
        <f t="shared" si="13"/>
        <v>0</v>
      </c>
      <c r="AU25" s="311">
        <f t="shared" si="14"/>
        <v>0</v>
      </c>
      <c r="AV25" s="311">
        <f t="shared" si="15"/>
        <v>0</v>
      </c>
      <c r="AW25" s="311">
        <f t="shared" si="16"/>
        <v>0</v>
      </c>
      <c r="AX25" s="311">
        <f t="shared" si="17"/>
        <v>0</v>
      </c>
      <c r="AY25" s="311">
        <f t="shared" si="18"/>
        <v>0</v>
      </c>
      <c r="AZ25" s="311">
        <f t="shared" si="19"/>
        <v>1329.8507462686566</v>
      </c>
      <c r="BA25" s="311">
        <f t="shared" si="20"/>
        <v>1329.8507462686566</v>
      </c>
      <c r="BB25" s="311">
        <f t="shared" si="21"/>
        <v>0</v>
      </c>
      <c r="BC25" s="311">
        <f t="shared" si="22"/>
        <v>7495.5223880597014</v>
      </c>
      <c r="BD25" s="311">
        <f t="shared" si="23"/>
        <v>6044.7761194029854</v>
      </c>
      <c r="BE25" s="311">
        <f t="shared" si="24"/>
        <v>0</v>
      </c>
      <c r="BF25" s="311">
        <f t="shared" si="25"/>
        <v>0</v>
      </c>
      <c r="BG25" s="311">
        <f t="shared" si="26"/>
        <v>0</v>
      </c>
      <c r="BH25" s="311">
        <f t="shared" si="27"/>
        <v>0</v>
      </c>
      <c r="BI25" s="311">
        <f t="shared" si="28"/>
        <v>0</v>
      </c>
      <c r="BJ25" s="311">
        <f t="shared" si="29"/>
        <v>0</v>
      </c>
      <c r="BK25" s="311">
        <f t="shared" si="30"/>
        <v>0</v>
      </c>
      <c r="BL25" s="311">
        <f t="shared" si="31"/>
        <v>0</v>
      </c>
      <c r="BM25" s="311">
        <f t="shared" si="32"/>
        <v>0</v>
      </c>
      <c r="BN25" s="315">
        <f t="shared" si="33"/>
        <v>16200</v>
      </c>
      <c r="BO25" s="316">
        <f t="shared" si="34"/>
        <v>0</v>
      </c>
    </row>
    <row r="26" spans="1:67" ht="15.75" outlineLevel="1" x14ac:dyDescent="0.25">
      <c r="A26" s="148">
        <v>23</v>
      </c>
      <c r="B26" s="149" t="s">
        <v>620</v>
      </c>
      <c r="C26" s="149"/>
      <c r="D26" s="149"/>
      <c r="E26" s="142">
        <f t="shared" si="2"/>
        <v>14850</v>
      </c>
      <c r="F26" s="144">
        <v>20</v>
      </c>
      <c r="G26" s="174">
        <f t="shared" si="3"/>
        <v>14900</v>
      </c>
      <c r="H26" s="174">
        <f t="shared" si="4"/>
        <v>-30</v>
      </c>
      <c r="I26" s="175">
        <f>_ЦО!T24+'МХП лазня'!T24+Катеринополь!T24+ВООЗ!T24+Кернел!T24+'Глобино Мк'!T24+'ВООЗ ЕМС'!T24+'ООН 36'!T24+'ООН 37'!T24+'ООН 38'!T24+ООН39!T24+'ООН 40'!T24+'ООН 43'!T24+'ООН 44'!T24+'ООН 45'!V24+ООН46!T24+ООН47!T24+ООН48!T24+ООН49!T24+ООн50!T24+ООН51!T24+Форшахта!T24+'ГАлерея 25.6'!T24+ГРП!AI24+'Парк меляси'!T24+'ООН 42'!T24</f>
        <v>99</v>
      </c>
      <c r="J26" s="44">
        <v>150</v>
      </c>
      <c r="K26" s="310">
        <f>SUMIF(ИТР!B:B,B26,ИТР!R:R)</f>
        <v>0</v>
      </c>
      <c r="L26" s="310">
        <f>SUMIF(_ЦО!$B:$B,B26,_ЦО!T:T)</f>
        <v>0</v>
      </c>
      <c r="M26" s="310">
        <f>SUMIF('МХП лазня'!B:B,B26,'МХП лазня'!T:T)</f>
        <v>0</v>
      </c>
      <c r="N26" s="310">
        <f>SUMIF(Катеринополь!$B:$B,B26,Катеринополь!$T:$T)</f>
        <v>0</v>
      </c>
      <c r="O26" s="310">
        <f>SUMIF(ВООЗ!B:B,B26,ВООЗ!T:T)</f>
        <v>0</v>
      </c>
      <c r="P26" s="310">
        <f>SUMIF(Кернел!B:B,B26,Кернел!T:T)</f>
        <v>0</v>
      </c>
      <c r="Q26" s="310">
        <f>SUMIF('Глобино Мк'!B:B,B26,'Глобино Мк'!T:T)</f>
        <v>0</v>
      </c>
      <c r="R26" s="310">
        <f>SUMIF('ВООЗ ЕМС'!B:B,B26,'ВООЗ ЕМС'!T:T)</f>
        <v>0</v>
      </c>
      <c r="S26" s="310">
        <f>SUMIF('ООН 36'!B:B,B26,'ООН 36'!T:T)</f>
        <v>0</v>
      </c>
      <c r="T26" s="310">
        <f>SUMIF('ООН 37'!B:B,B26,'ООН 37'!T:T)</f>
        <v>0</v>
      </c>
      <c r="U26" s="310">
        <f>SUMIF('ООН 38'!B:B,B26,'ООН 38'!T:T)</f>
        <v>0</v>
      </c>
      <c r="V26" s="310">
        <f>SUMIF(ООН39!B:B,B26,ООН39!T:T)</f>
        <v>0</v>
      </c>
      <c r="W26" s="310">
        <f>SUMIF('ООН 40'!B:B,B26,'ООН 40'!T:T)</f>
        <v>0</v>
      </c>
      <c r="X26" s="310">
        <f>SUMIF('ООН 43'!B:B,B26,'ООН 43'!T:T)</f>
        <v>11</v>
      </c>
      <c r="Y26" s="310">
        <f>SUMIF('ООН 44'!B:B,B26,'ООН 44'!T:T)</f>
        <v>11</v>
      </c>
      <c r="Z26" s="310">
        <f>SUMIF('ООН 45'!B:B,B26,'ООН 45'!V:V)</f>
        <v>22</v>
      </c>
      <c r="AA26" s="310">
        <f>SUMIF(ООН46!B:B,B26,ООН46!T:T)</f>
        <v>33</v>
      </c>
      <c r="AB26" s="310">
        <f>SUMIF(ООН47!B:B,B26,ООН47!T:T)</f>
        <v>22</v>
      </c>
      <c r="AC26" s="310">
        <f>SUMIF(ООН48!B:B,B26,ООН48!T:T)</f>
        <v>0</v>
      </c>
      <c r="AD26" s="310">
        <f>SUMIF(ООН49!B:B,B26,ООН49!T:T)</f>
        <v>0</v>
      </c>
      <c r="AE26" s="310">
        <f>SUMIF(ООн50!B:B,B26,ООн50!T:T)</f>
        <v>0</v>
      </c>
      <c r="AF26" s="310">
        <f>SUMIF(ООН51!B:B,B26,ООН51!T:T)</f>
        <v>0</v>
      </c>
      <c r="AG26" s="310">
        <f>SUMIF(Форшахта!B:B,B26,Форшахта!T:T)</f>
        <v>0</v>
      </c>
      <c r="AH26" s="310">
        <f>SUMIF('ГАлерея 25.6'!B:B,B26,'ГАлерея 25.6'!T:T)</f>
        <v>0</v>
      </c>
      <c r="AI26" s="310">
        <f>SUMIF(ГРП!B:B,B26,ГРП!AI:AI)</f>
        <v>0</v>
      </c>
      <c r="AJ26" s="310">
        <f>SUMIF('Парк меляси'!B:B,B26,'Парк меляси'!T:T)</f>
        <v>0</v>
      </c>
      <c r="AK26" s="310">
        <f>SUMIF('ООН 42'!B:B,B26,'ООН 42'!T:T)</f>
        <v>0</v>
      </c>
      <c r="AL26" s="313">
        <f t="shared" si="5"/>
        <v>0</v>
      </c>
      <c r="AM26" s="311">
        <f t="shared" si="6"/>
        <v>0</v>
      </c>
      <c r="AN26" s="311">
        <f t="shared" si="7"/>
        <v>0</v>
      </c>
      <c r="AO26" s="311">
        <f t="shared" si="8"/>
        <v>0</v>
      </c>
      <c r="AP26" s="311">
        <f t="shared" si="9"/>
        <v>0</v>
      </c>
      <c r="AQ26" s="311">
        <f t="shared" si="10"/>
        <v>0</v>
      </c>
      <c r="AR26" s="311">
        <f t="shared" si="11"/>
        <v>0</v>
      </c>
      <c r="AS26" s="311">
        <f t="shared" si="12"/>
        <v>0</v>
      </c>
      <c r="AT26" s="311">
        <f t="shared" si="13"/>
        <v>0</v>
      </c>
      <c r="AU26" s="311">
        <f t="shared" si="14"/>
        <v>0</v>
      </c>
      <c r="AV26" s="311">
        <f t="shared" si="15"/>
        <v>0</v>
      </c>
      <c r="AW26" s="311">
        <f t="shared" si="16"/>
        <v>0</v>
      </c>
      <c r="AX26" s="311">
        <f t="shared" si="17"/>
        <v>0</v>
      </c>
      <c r="AY26" s="311">
        <f t="shared" si="18"/>
        <v>0</v>
      </c>
      <c r="AZ26" s="311">
        <f t="shared" si="19"/>
        <v>1655.5555555555554</v>
      </c>
      <c r="BA26" s="311">
        <f t="shared" si="20"/>
        <v>1655.5555555555554</v>
      </c>
      <c r="BB26" s="311">
        <f t="shared" si="21"/>
        <v>3311.1111111111109</v>
      </c>
      <c r="BC26" s="311">
        <f t="shared" si="22"/>
        <v>4966.6666666666661</v>
      </c>
      <c r="BD26" s="311">
        <f t="shared" si="23"/>
        <v>3311.1111111111109</v>
      </c>
      <c r="BE26" s="311">
        <f t="shared" si="24"/>
        <v>0</v>
      </c>
      <c r="BF26" s="311">
        <f t="shared" si="25"/>
        <v>0</v>
      </c>
      <c r="BG26" s="311">
        <f t="shared" si="26"/>
        <v>0</v>
      </c>
      <c r="BH26" s="311">
        <f t="shared" si="27"/>
        <v>0</v>
      </c>
      <c r="BI26" s="311">
        <f t="shared" si="28"/>
        <v>0</v>
      </c>
      <c r="BJ26" s="311">
        <f t="shared" si="29"/>
        <v>0</v>
      </c>
      <c r="BK26" s="311">
        <f t="shared" si="30"/>
        <v>0</v>
      </c>
      <c r="BL26" s="311">
        <f t="shared" si="31"/>
        <v>0</v>
      </c>
      <c r="BM26" s="311">
        <f t="shared" si="32"/>
        <v>0</v>
      </c>
      <c r="BN26" s="315">
        <f t="shared" si="33"/>
        <v>14899.999999999998</v>
      </c>
      <c r="BO26" s="316">
        <f t="shared" si="34"/>
        <v>0</v>
      </c>
    </row>
    <row r="27" spans="1:67" ht="15.75" outlineLevel="1" x14ac:dyDescent="0.25">
      <c r="A27" s="148">
        <v>24</v>
      </c>
      <c r="B27" s="149" t="s">
        <v>650</v>
      </c>
      <c r="C27" s="149"/>
      <c r="D27" s="149">
        <v>2887.5</v>
      </c>
      <c r="E27" s="142">
        <f t="shared" si="2"/>
        <v>25800</v>
      </c>
      <c r="F27" s="144">
        <v>-40.179999999996653</v>
      </c>
      <c r="G27" s="174">
        <f t="shared" si="3"/>
        <v>22900</v>
      </c>
      <c r="H27" s="174">
        <f t="shared" si="4"/>
        <v>-27.679999999996653</v>
      </c>
      <c r="I27" s="175">
        <f>_ЦО!T25+'МХП лазня'!T25+Катеринополь!T25+ВООЗ!T25+Кернел!T25+'Глобино Мк'!T25+'ВООЗ ЕМС'!T25+'ООН 36'!T25+'ООН 37'!T25+'ООН 38'!T25+ООН39!T25+'ООН 40'!T25+'ООН 43'!T25+'ООН 44'!T25+'ООН 45'!V25+ООН46!T25+ООН47!T25+ООН48!T25+ООН49!T25+ООн50!T25+ООН51!T25+Форшахта!T25+'ГАлерея 25.6'!T25+ГРП!AI25+'Парк меляси'!T25+'ООН 42'!T25</f>
        <v>172</v>
      </c>
      <c r="J27" s="44">
        <v>150</v>
      </c>
      <c r="K27" s="310">
        <f>SUMIF(ИТР!B:B,B27,ИТР!R:R)</f>
        <v>0</v>
      </c>
      <c r="L27" s="310">
        <f>SUMIF(_ЦО!$B:$B,B27,_ЦО!T:T)</f>
        <v>0</v>
      </c>
      <c r="M27" s="310">
        <f>SUMIF('МХП лазня'!B:B,B27,'МХП лазня'!T:T)</f>
        <v>0</v>
      </c>
      <c r="N27" s="310">
        <f>SUMIF(Катеринополь!$B:$B,B27,Катеринополь!$T:$T)</f>
        <v>11</v>
      </c>
      <c r="O27" s="310">
        <f>SUMIF(ВООЗ!B:B,B27,ВООЗ!T:T)</f>
        <v>0</v>
      </c>
      <c r="P27" s="310">
        <f>SUMIF(Кернел!B:B,B27,Кернел!T:T)</f>
        <v>0</v>
      </c>
      <c r="Q27" s="310">
        <f>SUMIF('Глобино Мк'!B:B,B27,'Глобино Мк'!T:T)</f>
        <v>50</v>
      </c>
      <c r="R27" s="310">
        <f>SUMIF('ВООЗ ЕМС'!B:B,B27,'ВООЗ ЕМС'!T:T)</f>
        <v>0</v>
      </c>
      <c r="S27" s="310">
        <f>SUMIF('ООН 36'!B:B,B27,'ООН 36'!T:T)</f>
        <v>0</v>
      </c>
      <c r="T27" s="310">
        <f>SUMIF('ООН 37'!B:B,B27,'ООН 37'!T:T)</f>
        <v>0</v>
      </c>
      <c r="U27" s="310">
        <f>SUMIF('ООН 38'!B:B,B27,'ООН 38'!T:T)</f>
        <v>0</v>
      </c>
      <c r="V27" s="310">
        <f>SUMIF(ООН39!B:B,B27,ООН39!T:T)</f>
        <v>0</v>
      </c>
      <c r="W27" s="310">
        <f>SUMIF('ООН 40'!B:B,B27,'ООН 40'!T:T)</f>
        <v>0</v>
      </c>
      <c r="X27" s="310">
        <f>SUMIF('ООН 43'!B:B,B27,'ООН 43'!T:T)</f>
        <v>0</v>
      </c>
      <c r="Y27" s="310">
        <f>SUMIF('ООН 44'!B:B,B27,'ООН 44'!T:T)</f>
        <v>0</v>
      </c>
      <c r="Z27" s="310">
        <f>SUMIF('ООН 45'!B:B,B27,'ООН 45'!V:V)</f>
        <v>0</v>
      </c>
      <c r="AA27" s="310">
        <f>SUMIF(ООН46!B:B,B27,ООН46!T:T)</f>
        <v>0</v>
      </c>
      <c r="AB27" s="310">
        <f>SUMIF(ООН47!B:B,B27,ООН47!T:T)</f>
        <v>0</v>
      </c>
      <c r="AC27" s="310">
        <f>SUMIF(ООН48!B:B,B27,ООН48!T:T)</f>
        <v>0</v>
      </c>
      <c r="AD27" s="310">
        <f>SUMIF(ООН49!B:B,B27,ООН49!T:T)</f>
        <v>0</v>
      </c>
      <c r="AE27" s="310">
        <f>SUMIF(ООн50!B:B,B27,ООн50!T:T)</f>
        <v>0</v>
      </c>
      <c r="AF27" s="310">
        <f>SUMIF(ООН51!B:B,B27,ООН51!T:T)</f>
        <v>0</v>
      </c>
      <c r="AG27" s="310">
        <f>SUMIF(Форшахта!B:B,B27,Форшахта!T:T)</f>
        <v>0</v>
      </c>
      <c r="AH27" s="310">
        <f>SUMIF('ГАлерея 25.6'!B:B,B27,'ГАлерея 25.6'!T:T)</f>
        <v>39</v>
      </c>
      <c r="AI27" s="310">
        <f>SUMIF(ГРП!B:B,B27,ГРП!AI:AI)</f>
        <v>28</v>
      </c>
      <c r="AJ27" s="310">
        <f>SUMIF('Парк меляси'!B:B,B27,'Парк меляси'!T:T)</f>
        <v>44</v>
      </c>
      <c r="AK27" s="310">
        <f>SUMIF('ООН 42'!B:B,B27,'ООН 42'!T:T)</f>
        <v>0</v>
      </c>
      <c r="AL27" s="313">
        <f t="shared" si="5"/>
        <v>0</v>
      </c>
      <c r="AM27" s="311">
        <f t="shared" si="6"/>
        <v>0</v>
      </c>
      <c r="AN27" s="311">
        <f t="shared" si="7"/>
        <v>0</v>
      </c>
      <c r="AO27" s="311">
        <f t="shared" si="8"/>
        <v>0</v>
      </c>
      <c r="AP27" s="311">
        <f t="shared" si="9"/>
        <v>1464.5348837209301</v>
      </c>
      <c r="AQ27" s="311">
        <f t="shared" si="10"/>
        <v>0</v>
      </c>
      <c r="AR27" s="311">
        <f t="shared" si="11"/>
        <v>0</v>
      </c>
      <c r="AS27" s="311">
        <f t="shared" si="12"/>
        <v>6656.9767441860467</v>
      </c>
      <c r="AT27" s="311">
        <f t="shared" si="13"/>
        <v>0</v>
      </c>
      <c r="AU27" s="311">
        <f t="shared" si="14"/>
        <v>0</v>
      </c>
      <c r="AV27" s="311">
        <f t="shared" si="15"/>
        <v>0</v>
      </c>
      <c r="AW27" s="311">
        <f t="shared" si="16"/>
        <v>0</v>
      </c>
      <c r="AX27" s="311">
        <f t="shared" si="17"/>
        <v>0</v>
      </c>
      <c r="AY27" s="311">
        <f t="shared" si="18"/>
        <v>0</v>
      </c>
      <c r="AZ27" s="311">
        <f t="shared" si="19"/>
        <v>0</v>
      </c>
      <c r="BA27" s="311">
        <f t="shared" si="20"/>
        <v>0</v>
      </c>
      <c r="BB27" s="311">
        <f t="shared" si="21"/>
        <v>0</v>
      </c>
      <c r="BC27" s="311">
        <f t="shared" si="22"/>
        <v>0</v>
      </c>
      <c r="BD27" s="311">
        <f t="shared" si="23"/>
        <v>0</v>
      </c>
      <c r="BE27" s="311">
        <f t="shared" si="24"/>
        <v>0</v>
      </c>
      <c r="BF27" s="311">
        <f t="shared" si="25"/>
        <v>0</v>
      </c>
      <c r="BG27" s="311">
        <f t="shared" si="26"/>
        <v>0</v>
      </c>
      <c r="BH27" s="311">
        <f t="shared" si="27"/>
        <v>0</v>
      </c>
      <c r="BI27" s="311">
        <f t="shared" si="28"/>
        <v>0</v>
      </c>
      <c r="BJ27" s="311">
        <f t="shared" si="29"/>
        <v>5192.4418604651164</v>
      </c>
      <c r="BK27" s="311">
        <f t="shared" si="30"/>
        <v>3727.9069767441861</v>
      </c>
      <c r="BL27" s="311">
        <f t="shared" si="31"/>
        <v>5858.1395348837204</v>
      </c>
      <c r="BM27" s="311">
        <f t="shared" si="32"/>
        <v>0</v>
      </c>
      <c r="BN27" s="315">
        <f t="shared" si="33"/>
        <v>22900</v>
      </c>
      <c r="BO27" s="316">
        <f t="shared" si="34"/>
        <v>0</v>
      </c>
    </row>
    <row r="28" spans="1:67" ht="15.75" outlineLevel="1" x14ac:dyDescent="0.25">
      <c r="A28" s="148">
        <v>25</v>
      </c>
      <c r="B28" s="149" t="s">
        <v>621</v>
      </c>
      <c r="C28" s="149"/>
      <c r="D28" s="149"/>
      <c r="E28" s="142">
        <f t="shared" si="2"/>
        <v>16200</v>
      </c>
      <c r="F28" s="144">
        <v>0</v>
      </c>
      <c r="G28" s="174">
        <f t="shared" si="3"/>
        <v>16200</v>
      </c>
      <c r="H28" s="174">
        <f t="shared" si="4"/>
        <v>0</v>
      </c>
      <c r="I28" s="175">
        <f>_ЦО!T26+'МХП лазня'!T26+Катеринополь!T26+ВООЗ!T26+Кернел!T26+'Глобино Мк'!T26+'ВООЗ ЕМС'!T26+'ООН 36'!T26+'ООН 37'!T26+'ООН 38'!T26+ООН39!T26+'ООН 40'!T26+'ООН 43'!T26+'ООН 44'!T26+'ООН 45'!V26+ООН46!T26+ООН47!T26+ООН48!T26+ООН49!T26+ООн50!T26+ООН51!T26+Форшахта!T26+'ГАлерея 25.6'!T26+ГРП!AI26+'Парк меляси'!T26+'ООН 42'!T26</f>
        <v>108</v>
      </c>
      <c r="J28" s="44">
        <v>150</v>
      </c>
      <c r="K28" s="310">
        <f>SUMIF(ИТР!B:B,B28,ИТР!R:R)</f>
        <v>0</v>
      </c>
      <c r="L28" s="310">
        <f>SUMIF(_ЦО!$B:$B,B28,_ЦО!T:T)</f>
        <v>0</v>
      </c>
      <c r="M28" s="310">
        <f>SUMIF('МХП лазня'!B:B,B28,'МХП лазня'!T:T)</f>
        <v>0</v>
      </c>
      <c r="N28" s="310">
        <f>SUMIF(Катеринополь!$B:$B,B28,Катеринополь!$T:$T)</f>
        <v>0</v>
      </c>
      <c r="O28" s="310">
        <f>SUMIF(ВООЗ!B:B,B28,ВООЗ!T:T)</f>
        <v>48</v>
      </c>
      <c r="P28" s="310">
        <f>SUMIF(Кернел!B:B,B28,Кернел!T:T)</f>
        <v>0</v>
      </c>
      <c r="Q28" s="310">
        <f>SUMIF('Глобино Мк'!B:B,B28,'Глобино Мк'!T:T)</f>
        <v>0</v>
      </c>
      <c r="R28" s="310">
        <f>SUMIF('ВООЗ ЕМС'!B:B,B28,'ВООЗ ЕМС'!T:T)</f>
        <v>60</v>
      </c>
      <c r="S28" s="310">
        <f>SUMIF('ООН 36'!B:B,B28,'ООН 36'!T:T)</f>
        <v>0</v>
      </c>
      <c r="T28" s="310">
        <f>SUMIF('ООН 37'!B:B,B28,'ООН 37'!T:T)</f>
        <v>0</v>
      </c>
      <c r="U28" s="310">
        <f>SUMIF('ООН 38'!B:B,B28,'ООН 38'!T:T)</f>
        <v>0</v>
      </c>
      <c r="V28" s="310">
        <f>SUMIF(ООН39!B:B,B28,ООН39!T:T)</f>
        <v>0</v>
      </c>
      <c r="W28" s="310">
        <f>SUMIF('ООН 40'!B:B,B28,'ООН 40'!T:T)</f>
        <v>0</v>
      </c>
      <c r="X28" s="310">
        <f>SUMIF('ООН 43'!B:B,B28,'ООН 43'!T:T)</f>
        <v>0</v>
      </c>
      <c r="Y28" s="310">
        <f>SUMIF('ООН 44'!B:B,B28,'ООН 44'!T:T)</f>
        <v>0</v>
      </c>
      <c r="Z28" s="310">
        <f>SUMIF('ООН 45'!B:B,B28,'ООН 45'!V:V)</f>
        <v>0</v>
      </c>
      <c r="AA28" s="310">
        <f>SUMIF(ООН46!B:B,B28,ООН46!T:T)</f>
        <v>0</v>
      </c>
      <c r="AB28" s="310">
        <f>SUMIF(ООН47!B:B,B28,ООН47!T:T)</f>
        <v>0</v>
      </c>
      <c r="AC28" s="310">
        <f>SUMIF(ООН48!B:B,B28,ООН48!T:T)</f>
        <v>0</v>
      </c>
      <c r="AD28" s="310">
        <f>SUMIF(ООН49!B:B,B28,ООН49!T:T)</f>
        <v>0</v>
      </c>
      <c r="AE28" s="310">
        <f>SUMIF(ООн50!B:B,B28,ООн50!T:T)</f>
        <v>0</v>
      </c>
      <c r="AF28" s="310">
        <f>SUMIF(ООН51!B:B,B28,ООН51!T:T)</f>
        <v>0</v>
      </c>
      <c r="AG28" s="310">
        <f>SUMIF(Форшахта!B:B,B28,Форшахта!T:T)</f>
        <v>0</v>
      </c>
      <c r="AH28" s="310">
        <f>SUMIF('ГАлерея 25.6'!B:B,B28,'ГАлерея 25.6'!T:T)</f>
        <v>0</v>
      </c>
      <c r="AI28" s="310">
        <f>SUMIF(ГРП!B:B,B28,ГРП!AI:AI)</f>
        <v>0</v>
      </c>
      <c r="AJ28" s="310">
        <f>SUMIF('Парк меляси'!B:B,B28,'Парк меляси'!T:T)</f>
        <v>0</v>
      </c>
      <c r="AK28" s="310">
        <f>SUMIF('ООН 42'!B:B,B28,'ООН 42'!T:T)</f>
        <v>0</v>
      </c>
      <c r="AL28" s="313">
        <f t="shared" si="5"/>
        <v>0</v>
      </c>
      <c r="AM28" s="311">
        <f t="shared" si="6"/>
        <v>0</v>
      </c>
      <c r="AN28" s="311">
        <f t="shared" si="7"/>
        <v>0</v>
      </c>
      <c r="AO28" s="311">
        <f t="shared" si="8"/>
        <v>0</v>
      </c>
      <c r="AP28" s="311">
        <f t="shared" si="9"/>
        <v>0</v>
      </c>
      <c r="AQ28" s="311">
        <f t="shared" si="10"/>
        <v>7200</v>
      </c>
      <c r="AR28" s="311">
        <f t="shared" si="11"/>
        <v>0</v>
      </c>
      <c r="AS28" s="311">
        <f t="shared" si="12"/>
        <v>0</v>
      </c>
      <c r="AT28" s="311">
        <f t="shared" si="13"/>
        <v>9000</v>
      </c>
      <c r="AU28" s="311">
        <f t="shared" si="14"/>
        <v>0</v>
      </c>
      <c r="AV28" s="311">
        <f t="shared" si="15"/>
        <v>0</v>
      </c>
      <c r="AW28" s="311">
        <f t="shared" si="16"/>
        <v>0</v>
      </c>
      <c r="AX28" s="311">
        <f t="shared" si="17"/>
        <v>0</v>
      </c>
      <c r="AY28" s="311">
        <f t="shared" si="18"/>
        <v>0</v>
      </c>
      <c r="AZ28" s="311">
        <f t="shared" si="19"/>
        <v>0</v>
      </c>
      <c r="BA28" s="311">
        <f t="shared" si="20"/>
        <v>0</v>
      </c>
      <c r="BB28" s="311">
        <f t="shared" si="21"/>
        <v>0</v>
      </c>
      <c r="BC28" s="311">
        <f t="shared" si="22"/>
        <v>0</v>
      </c>
      <c r="BD28" s="311">
        <f t="shared" si="23"/>
        <v>0</v>
      </c>
      <c r="BE28" s="311">
        <f t="shared" si="24"/>
        <v>0</v>
      </c>
      <c r="BF28" s="311">
        <f t="shared" si="25"/>
        <v>0</v>
      </c>
      <c r="BG28" s="311">
        <f t="shared" si="26"/>
        <v>0</v>
      </c>
      <c r="BH28" s="311">
        <f t="shared" si="27"/>
        <v>0</v>
      </c>
      <c r="BI28" s="311">
        <f t="shared" si="28"/>
        <v>0</v>
      </c>
      <c r="BJ28" s="311">
        <f t="shared" si="29"/>
        <v>0</v>
      </c>
      <c r="BK28" s="311">
        <f t="shared" si="30"/>
        <v>0</v>
      </c>
      <c r="BL28" s="311">
        <f t="shared" si="31"/>
        <v>0</v>
      </c>
      <c r="BM28" s="311">
        <f t="shared" si="32"/>
        <v>0</v>
      </c>
      <c r="BN28" s="315">
        <f t="shared" si="33"/>
        <v>16200</v>
      </c>
      <c r="BO28" s="316">
        <f t="shared" si="34"/>
        <v>0</v>
      </c>
    </row>
    <row r="29" spans="1:67" ht="15.75" outlineLevel="1" x14ac:dyDescent="0.25">
      <c r="A29" s="148">
        <v>26</v>
      </c>
      <c r="B29" s="149" t="s">
        <v>622</v>
      </c>
      <c r="C29" s="149"/>
      <c r="D29" s="149"/>
      <c r="E29" s="142">
        <f t="shared" si="2"/>
        <v>16200</v>
      </c>
      <c r="F29" s="144">
        <v>0</v>
      </c>
      <c r="G29" s="174">
        <f t="shared" si="3"/>
        <v>16200</v>
      </c>
      <c r="H29" s="174">
        <f t="shared" si="4"/>
        <v>0</v>
      </c>
      <c r="I29" s="175">
        <f>_ЦО!T27+'МХП лазня'!T27+Катеринополь!T27+ВООЗ!T27+Кернел!T27+'Глобино Мк'!T27+'ВООЗ ЕМС'!T27+'ООН 36'!T27+'ООН 37'!T27+'ООН 38'!T27+ООН39!T27+'ООН 40'!T27+'ООН 43'!T27+'ООН 44'!T27+'ООН 45'!V27+ООН46!T27+ООН47!T27+ООН48!T27+ООН49!T27+ООн50!T27+ООН51!T27+Форшахта!T27+'ГАлерея 25.6'!T27+ГРП!AI27+'Парк меляси'!T27+'ООН 42'!T27</f>
        <v>108</v>
      </c>
      <c r="J29" s="44">
        <v>150</v>
      </c>
      <c r="K29" s="310">
        <f>SUMIF(ИТР!B:B,B29,ИТР!R:R)</f>
        <v>0</v>
      </c>
      <c r="L29" s="310">
        <f>SUMIF(_ЦО!$B:$B,B29,_ЦО!T:T)</f>
        <v>0</v>
      </c>
      <c r="M29" s="310">
        <f>SUMIF('МХП лазня'!B:B,B29,'МХП лазня'!T:T)</f>
        <v>0</v>
      </c>
      <c r="N29" s="310">
        <f>SUMIF(Катеринополь!$B:$B,B29,Катеринополь!$T:$T)</f>
        <v>0</v>
      </c>
      <c r="O29" s="310">
        <f>SUMIF(ВООЗ!B:B,B29,ВООЗ!T:T)</f>
        <v>48</v>
      </c>
      <c r="P29" s="310">
        <f>SUMIF(Кернел!B:B,B29,Кернел!T:T)</f>
        <v>0</v>
      </c>
      <c r="Q29" s="310">
        <f>SUMIF('Глобино Мк'!B:B,B29,'Глобино Мк'!T:T)</f>
        <v>0</v>
      </c>
      <c r="R29" s="310">
        <f>SUMIF('ВООЗ ЕМС'!B:B,B29,'ВООЗ ЕМС'!T:T)</f>
        <v>60</v>
      </c>
      <c r="S29" s="310">
        <f>SUMIF('ООН 36'!B:B,B29,'ООН 36'!T:T)</f>
        <v>0</v>
      </c>
      <c r="T29" s="310">
        <f>SUMIF('ООН 37'!B:B,B29,'ООН 37'!T:T)</f>
        <v>0</v>
      </c>
      <c r="U29" s="310">
        <f>SUMIF('ООН 38'!B:B,B29,'ООН 38'!T:T)</f>
        <v>0</v>
      </c>
      <c r="V29" s="310">
        <f>SUMIF(ООН39!B:B,B29,ООН39!T:T)</f>
        <v>0</v>
      </c>
      <c r="W29" s="310">
        <f>SUMIF('ООН 40'!B:B,B29,'ООН 40'!T:T)</f>
        <v>0</v>
      </c>
      <c r="X29" s="310">
        <f>SUMIF('ООН 43'!B:B,B29,'ООН 43'!T:T)</f>
        <v>0</v>
      </c>
      <c r="Y29" s="310">
        <f>SUMIF('ООН 44'!B:B,B29,'ООН 44'!T:T)</f>
        <v>0</v>
      </c>
      <c r="Z29" s="310">
        <f>SUMIF('ООН 45'!B:B,B29,'ООН 45'!V:V)</f>
        <v>0</v>
      </c>
      <c r="AA29" s="310">
        <f>SUMIF(ООН46!B:B,B29,ООН46!T:T)</f>
        <v>0</v>
      </c>
      <c r="AB29" s="310">
        <f>SUMIF(ООН47!B:B,B29,ООН47!T:T)</f>
        <v>0</v>
      </c>
      <c r="AC29" s="310">
        <f>SUMIF(ООН48!B:B,B29,ООН48!T:T)</f>
        <v>0</v>
      </c>
      <c r="AD29" s="310">
        <f>SUMIF(ООН49!B:B,B29,ООН49!T:T)</f>
        <v>0</v>
      </c>
      <c r="AE29" s="310">
        <f>SUMIF(ООн50!B:B,B29,ООн50!T:T)</f>
        <v>0</v>
      </c>
      <c r="AF29" s="310">
        <f>SUMIF(ООН51!B:B,B29,ООН51!T:T)</f>
        <v>0</v>
      </c>
      <c r="AG29" s="310">
        <f>SUMIF(Форшахта!B:B,B29,Форшахта!T:T)</f>
        <v>0</v>
      </c>
      <c r="AH29" s="310">
        <f>SUMIF('ГАлерея 25.6'!B:B,B29,'ГАлерея 25.6'!T:T)</f>
        <v>0</v>
      </c>
      <c r="AI29" s="310">
        <f>SUMIF(ГРП!B:B,B29,ГРП!AI:AI)</f>
        <v>0</v>
      </c>
      <c r="AJ29" s="310">
        <f>SUMIF('Парк меляси'!B:B,B29,'Парк меляси'!T:T)</f>
        <v>0</v>
      </c>
      <c r="AK29" s="310">
        <f>SUMIF('ООН 42'!B:B,B29,'ООН 42'!T:T)</f>
        <v>0</v>
      </c>
      <c r="AL29" s="313">
        <f t="shared" si="5"/>
        <v>0</v>
      </c>
      <c r="AM29" s="311">
        <f t="shared" si="6"/>
        <v>0</v>
      </c>
      <c r="AN29" s="311">
        <f t="shared" si="7"/>
        <v>0</v>
      </c>
      <c r="AO29" s="311">
        <f t="shared" si="8"/>
        <v>0</v>
      </c>
      <c r="AP29" s="311">
        <f t="shared" si="9"/>
        <v>0</v>
      </c>
      <c r="AQ29" s="311">
        <f t="shared" si="10"/>
        <v>7200</v>
      </c>
      <c r="AR29" s="311">
        <f t="shared" si="11"/>
        <v>0</v>
      </c>
      <c r="AS29" s="311">
        <f t="shared" si="12"/>
        <v>0</v>
      </c>
      <c r="AT29" s="311">
        <f t="shared" si="13"/>
        <v>9000</v>
      </c>
      <c r="AU29" s="311">
        <f t="shared" si="14"/>
        <v>0</v>
      </c>
      <c r="AV29" s="311">
        <f t="shared" si="15"/>
        <v>0</v>
      </c>
      <c r="AW29" s="311">
        <f t="shared" si="16"/>
        <v>0</v>
      </c>
      <c r="AX29" s="311">
        <f t="shared" si="17"/>
        <v>0</v>
      </c>
      <c r="AY29" s="311">
        <f t="shared" si="18"/>
        <v>0</v>
      </c>
      <c r="AZ29" s="311">
        <f t="shared" si="19"/>
        <v>0</v>
      </c>
      <c r="BA29" s="311">
        <f t="shared" si="20"/>
        <v>0</v>
      </c>
      <c r="BB29" s="311">
        <f t="shared" si="21"/>
        <v>0</v>
      </c>
      <c r="BC29" s="311">
        <f t="shared" si="22"/>
        <v>0</v>
      </c>
      <c r="BD29" s="311">
        <f t="shared" si="23"/>
        <v>0</v>
      </c>
      <c r="BE29" s="311">
        <f t="shared" si="24"/>
        <v>0</v>
      </c>
      <c r="BF29" s="311">
        <f t="shared" si="25"/>
        <v>0</v>
      </c>
      <c r="BG29" s="311">
        <f t="shared" si="26"/>
        <v>0</v>
      </c>
      <c r="BH29" s="311">
        <f t="shared" si="27"/>
        <v>0</v>
      </c>
      <c r="BI29" s="311">
        <f t="shared" si="28"/>
        <v>0</v>
      </c>
      <c r="BJ29" s="311">
        <f t="shared" si="29"/>
        <v>0</v>
      </c>
      <c r="BK29" s="311">
        <f t="shared" si="30"/>
        <v>0</v>
      </c>
      <c r="BL29" s="311">
        <f t="shared" si="31"/>
        <v>0</v>
      </c>
      <c r="BM29" s="311">
        <f t="shared" si="32"/>
        <v>0</v>
      </c>
      <c r="BN29" s="315">
        <f t="shared" si="33"/>
        <v>16200</v>
      </c>
      <c r="BO29" s="316">
        <f t="shared" si="34"/>
        <v>0</v>
      </c>
    </row>
    <row r="30" spans="1:67" ht="15.75" outlineLevel="1" x14ac:dyDescent="0.25">
      <c r="A30" s="148">
        <v>27</v>
      </c>
      <c r="B30" s="149" t="s">
        <v>623</v>
      </c>
      <c r="C30" s="149"/>
      <c r="D30" s="149"/>
      <c r="E30" s="142">
        <f t="shared" si="2"/>
        <v>23400</v>
      </c>
      <c r="F30" s="144">
        <v>-30</v>
      </c>
      <c r="G30" s="174">
        <f t="shared" si="3"/>
        <v>23400</v>
      </c>
      <c r="H30" s="174">
        <f t="shared" si="4"/>
        <v>-30</v>
      </c>
      <c r="I30" s="175">
        <f>_ЦО!T28+'МХП лазня'!T28+Катеринополь!T28+ВООЗ!T28+Кернел!T28+'Глобино Мк'!T28+'ВООЗ ЕМС'!T28+'ООН 36'!T28+'ООН 37'!T28+'ООН 38'!T28+ООН39!T28+'ООН 40'!T28+'ООН 43'!T28+'ООН 44'!T28+'ООН 45'!V28+ООН46!T28+ООН47!T28+ООН48!T28+ООН49!T28+ООн50!T28+ООН51!T28+Форшахта!T28+'ГАлерея 25.6'!T28+ГРП!AI28+'Парк меляси'!T28+'ООН 42'!T28</f>
        <v>156</v>
      </c>
      <c r="J30" s="44">
        <v>150</v>
      </c>
      <c r="K30" s="310">
        <f>SUMIF(ИТР!B:B,B30,ИТР!R:R)</f>
        <v>0</v>
      </c>
      <c r="L30" s="310">
        <f>SUMIF(_ЦО!$B:$B,B30,_ЦО!T:T)</f>
        <v>9</v>
      </c>
      <c r="M30" s="310">
        <f>SUMIF('МХП лазня'!B:B,B30,'МХП лазня'!T:T)</f>
        <v>0</v>
      </c>
      <c r="N30" s="310">
        <f>SUMIF(Катеринополь!$B:$B,B30,Катеринополь!$T:$T)</f>
        <v>20</v>
      </c>
      <c r="O30" s="310">
        <f>SUMIF(ВООЗ!B:B,B30,ВООЗ!T:T)</f>
        <v>0</v>
      </c>
      <c r="P30" s="310">
        <f>SUMIF(Кернел!B:B,B30,Кернел!T:T)</f>
        <v>0</v>
      </c>
      <c r="Q30" s="310">
        <f>SUMIF('Глобино Мк'!B:B,B30,'Глобино Мк'!T:T)</f>
        <v>22</v>
      </c>
      <c r="R30" s="310">
        <f>SUMIF('ВООЗ ЕМС'!B:B,B30,'ВООЗ ЕМС'!T:T)</f>
        <v>0</v>
      </c>
      <c r="S30" s="310">
        <f>SUMIF('ООН 36'!B:B,B30,'ООН 36'!T:T)</f>
        <v>0</v>
      </c>
      <c r="T30" s="310">
        <f>SUMIF('ООН 37'!B:B,B30,'ООН 37'!T:T)</f>
        <v>0</v>
      </c>
      <c r="U30" s="310">
        <f>SUMIF('ООН 38'!B:B,B30,'ООН 38'!T:T)</f>
        <v>0</v>
      </c>
      <c r="V30" s="310">
        <f>SUMIF(ООН39!B:B,B30,ООН39!T:T)</f>
        <v>0</v>
      </c>
      <c r="W30" s="310">
        <f>SUMIF('ООН 40'!B:B,B30,'ООН 40'!T:T)</f>
        <v>0</v>
      </c>
      <c r="X30" s="310">
        <f>SUMIF('ООН 43'!B:B,B30,'ООН 43'!T:T)</f>
        <v>0</v>
      </c>
      <c r="Y30" s="310">
        <f>SUMIF('ООН 44'!B:B,B30,'ООН 44'!T:T)</f>
        <v>0</v>
      </c>
      <c r="Z30" s="310">
        <f>SUMIF('ООН 45'!B:B,B30,'ООН 45'!V:V)</f>
        <v>0</v>
      </c>
      <c r="AA30" s="310">
        <f>SUMIF(ООН46!B:B,B30,ООН46!T:T)</f>
        <v>9</v>
      </c>
      <c r="AB30" s="310">
        <f>SUMIF(ООН47!B:B,B30,ООН47!T:T)</f>
        <v>0</v>
      </c>
      <c r="AC30" s="310">
        <f>SUMIF(ООН48!B:B,B30,ООН48!T:T)</f>
        <v>0</v>
      </c>
      <c r="AD30" s="310">
        <f>SUMIF(ООН49!B:B,B30,ООН49!T:T)</f>
        <v>0</v>
      </c>
      <c r="AE30" s="310">
        <f>SUMIF(ООн50!B:B,B30,ООн50!T:T)</f>
        <v>0</v>
      </c>
      <c r="AF30" s="310">
        <f>SUMIF(ООН51!B:B,B30,ООН51!T:T)</f>
        <v>0</v>
      </c>
      <c r="AG30" s="310">
        <f>SUMIF(Форшахта!B:B,B30,Форшахта!T:T)</f>
        <v>0</v>
      </c>
      <c r="AH30" s="310">
        <f>SUMIF('ГАлерея 25.6'!B:B,B30,'ГАлерея 25.6'!T:T)</f>
        <v>22</v>
      </c>
      <c r="AI30" s="310">
        <f>SUMIF(ГРП!B:B,B30,ГРП!AI:AI)</f>
        <v>22</v>
      </c>
      <c r="AJ30" s="310">
        <f>SUMIF('Парк меляси'!B:B,B30,'Парк меляси'!T:T)</f>
        <v>52</v>
      </c>
      <c r="AK30" s="310">
        <f>SUMIF('ООН 42'!B:B,B30,'ООН 42'!T:T)</f>
        <v>0</v>
      </c>
      <c r="AL30" s="313">
        <f t="shared" si="5"/>
        <v>0</v>
      </c>
      <c r="AM30" s="311">
        <f t="shared" si="6"/>
        <v>0</v>
      </c>
      <c r="AN30" s="311">
        <f t="shared" si="7"/>
        <v>1350</v>
      </c>
      <c r="AO30" s="311">
        <f t="shared" si="8"/>
        <v>0</v>
      </c>
      <c r="AP30" s="311">
        <f t="shared" si="9"/>
        <v>3000</v>
      </c>
      <c r="AQ30" s="311">
        <f t="shared" si="10"/>
        <v>0</v>
      </c>
      <c r="AR30" s="311">
        <f t="shared" si="11"/>
        <v>0</v>
      </c>
      <c r="AS30" s="311">
        <f t="shared" si="12"/>
        <v>3300</v>
      </c>
      <c r="AT30" s="311">
        <f t="shared" si="13"/>
        <v>0</v>
      </c>
      <c r="AU30" s="311">
        <f t="shared" si="14"/>
        <v>0</v>
      </c>
      <c r="AV30" s="311">
        <f t="shared" si="15"/>
        <v>0</v>
      </c>
      <c r="AW30" s="311">
        <f t="shared" si="16"/>
        <v>0</v>
      </c>
      <c r="AX30" s="311">
        <f t="shared" si="17"/>
        <v>0</v>
      </c>
      <c r="AY30" s="311">
        <f t="shared" si="18"/>
        <v>0</v>
      </c>
      <c r="AZ30" s="311">
        <f t="shared" si="19"/>
        <v>0</v>
      </c>
      <c r="BA30" s="311">
        <f t="shared" si="20"/>
        <v>0</v>
      </c>
      <c r="BB30" s="311">
        <f t="shared" si="21"/>
        <v>0</v>
      </c>
      <c r="BC30" s="311">
        <f t="shared" si="22"/>
        <v>1350</v>
      </c>
      <c r="BD30" s="311">
        <f t="shared" si="23"/>
        <v>0</v>
      </c>
      <c r="BE30" s="311">
        <f t="shared" si="24"/>
        <v>0</v>
      </c>
      <c r="BF30" s="311">
        <f t="shared" si="25"/>
        <v>0</v>
      </c>
      <c r="BG30" s="311">
        <f t="shared" si="26"/>
        <v>0</v>
      </c>
      <c r="BH30" s="311">
        <f t="shared" si="27"/>
        <v>0</v>
      </c>
      <c r="BI30" s="311">
        <f t="shared" si="28"/>
        <v>0</v>
      </c>
      <c r="BJ30" s="311">
        <f t="shared" si="29"/>
        <v>3300</v>
      </c>
      <c r="BK30" s="311">
        <f t="shared" si="30"/>
        <v>3300</v>
      </c>
      <c r="BL30" s="311">
        <f t="shared" si="31"/>
        <v>7800</v>
      </c>
      <c r="BM30" s="311">
        <f t="shared" si="32"/>
        <v>0</v>
      </c>
      <c r="BN30" s="315">
        <f t="shared" si="33"/>
        <v>23400</v>
      </c>
      <c r="BO30" s="316">
        <f t="shared" si="34"/>
        <v>0</v>
      </c>
    </row>
    <row r="31" spans="1:67" ht="15.75" outlineLevel="1" x14ac:dyDescent="0.25">
      <c r="A31" s="148">
        <v>28</v>
      </c>
      <c r="B31" s="149" t="s">
        <v>624</v>
      </c>
      <c r="C31" s="149"/>
      <c r="D31" s="149">
        <v>3927</v>
      </c>
      <c r="E31" s="142">
        <f t="shared" si="2"/>
        <v>29250</v>
      </c>
      <c r="F31" s="144">
        <v>-15</v>
      </c>
      <c r="G31" s="174">
        <f t="shared" si="3"/>
        <v>25300</v>
      </c>
      <c r="H31" s="174">
        <f t="shared" si="4"/>
        <v>8</v>
      </c>
      <c r="I31" s="175">
        <f>_ЦО!T29+'МХП лазня'!T29+Катеринополь!T29+ВООЗ!T29+Кернел!T29+'Глобино Мк'!T29+'ВООЗ ЕМС'!T29+'ООН 36'!T29+'ООН 37'!T29+'ООН 38'!T29+ООН39!T29+'ООН 40'!T29+'ООН 43'!T29+'ООН 44'!T29+'ООН 45'!V29+ООН46!T29+ООН47!T29+ООН48!T29+ООН49!T29+ООн50!T29+ООН51!T29+Форшахта!T29+'ГАлерея 25.6'!T29+ГРП!AI29+'Парк меляси'!T29+'ООН 42'!T29</f>
        <v>195</v>
      </c>
      <c r="J31" s="44">
        <v>150</v>
      </c>
      <c r="K31" s="310">
        <f>SUMIF(ИТР!B:B,B31,ИТР!R:R)</f>
        <v>0</v>
      </c>
      <c r="L31" s="310">
        <f>SUMIF(_ЦО!$B:$B,B31,_ЦО!T:T)</f>
        <v>0</v>
      </c>
      <c r="M31" s="310">
        <f>SUMIF('МХП лазня'!B:B,B31,'МХП лазня'!T:T)</f>
        <v>0</v>
      </c>
      <c r="N31" s="310">
        <f>SUMIF(Катеринополь!$B:$B,B31,Катеринополь!$T:$T)</f>
        <v>11</v>
      </c>
      <c r="O31" s="310">
        <f>SUMIF(ВООЗ!B:B,B31,ВООЗ!T:T)</f>
        <v>0</v>
      </c>
      <c r="P31" s="310">
        <f>SUMIF(Кернел!B:B,B31,Кернел!T:T)</f>
        <v>0</v>
      </c>
      <c r="Q31" s="310">
        <f>SUMIF('Глобино Мк'!B:B,B31,'Глобино Мк'!T:T)</f>
        <v>50</v>
      </c>
      <c r="R31" s="310">
        <f>SUMIF('ВООЗ ЕМС'!B:B,B31,'ВООЗ ЕМС'!T:T)</f>
        <v>0</v>
      </c>
      <c r="S31" s="310">
        <f>SUMIF('ООН 36'!B:B,B31,'ООН 36'!T:T)</f>
        <v>0</v>
      </c>
      <c r="T31" s="310">
        <f>SUMIF('ООН 37'!B:B,B31,'ООН 37'!T:T)</f>
        <v>0</v>
      </c>
      <c r="U31" s="310">
        <f>SUMIF('ООН 38'!B:B,B31,'ООН 38'!T:T)</f>
        <v>0</v>
      </c>
      <c r="V31" s="310">
        <f>SUMIF(ООН39!B:B,B31,ООН39!T:T)</f>
        <v>0</v>
      </c>
      <c r="W31" s="310">
        <f>SUMIF('ООН 40'!B:B,B31,'ООН 40'!T:T)</f>
        <v>0</v>
      </c>
      <c r="X31" s="310">
        <f>SUMIF('ООН 43'!B:B,B31,'ООН 43'!T:T)</f>
        <v>0</v>
      </c>
      <c r="Y31" s="310">
        <f>SUMIF('ООН 44'!B:B,B31,'ООН 44'!T:T)</f>
        <v>0</v>
      </c>
      <c r="Z31" s="310">
        <f>SUMIF('ООН 45'!B:B,B31,'ООН 45'!V:V)</f>
        <v>11</v>
      </c>
      <c r="AA31" s="310">
        <f>SUMIF(ООН46!B:B,B31,ООН46!T:T)</f>
        <v>0</v>
      </c>
      <c r="AB31" s="310">
        <f>SUMIF(ООН47!B:B,B31,ООН47!T:T)</f>
        <v>0</v>
      </c>
      <c r="AC31" s="310">
        <f>SUMIF(ООН48!B:B,B31,ООН48!T:T)</f>
        <v>0</v>
      </c>
      <c r="AD31" s="310">
        <f>SUMIF(ООН49!B:B,B31,ООН49!T:T)</f>
        <v>0</v>
      </c>
      <c r="AE31" s="310">
        <f>SUMIF(ООн50!B:B,B31,ООн50!T:T)</f>
        <v>0</v>
      </c>
      <c r="AF31" s="310">
        <f>SUMIF(ООН51!B:B,B31,ООН51!T:T)</f>
        <v>0</v>
      </c>
      <c r="AG31" s="310">
        <f>SUMIF(Форшахта!B:B,B31,Форшахта!T:T)</f>
        <v>0</v>
      </c>
      <c r="AH31" s="310">
        <f>SUMIF('ГАлерея 25.6'!B:B,B31,'ГАлерея 25.6'!T:T)</f>
        <v>112</v>
      </c>
      <c r="AI31" s="310">
        <f>SUMIF(ГРП!B:B,B31,ГРП!AI:AI)</f>
        <v>0</v>
      </c>
      <c r="AJ31" s="310">
        <f>SUMIF('Парк меляси'!B:B,B31,'Парк меляси'!T:T)</f>
        <v>11</v>
      </c>
      <c r="AK31" s="310">
        <f>SUMIF('ООН 42'!B:B,B31,'ООН 42'!T:T)</f>
        <v>0</v>
      </c>
      <c r="AL31" s="313">
        <f t="shared" si="5"/>
        <v>0</v>
      </c>
      <c r="AM31" s="311">
        <f t="shared" si="6"/>
        <v>0</v>
      </c>
      <c r="AN31" s="311">
        <f t="shared" si="7"/>
        <v>0</v>
      </c>
      <c r="AO31" s="311">
        <f t="shared" si="8"/>
        <v>0</v>
      </c>
      <c r="AP31" s="311">
        <f t="shared" si="9"/>
        <v>1427.1794871794873</v>
      </c>
      <c r="AQ31" s="311">
        <f t="shared" si="10"/>
        <v>0</v>
      </c>
      <c r="AR31" s="311">
        <f t="shared" si="11"/>
        <v>0</v>
      </c>
      <c r="AS31" s="311">
        <f t="shared" si="12"/>
        <v>6487.1794871794873</v>
      </c>
      <c r="AT31" s="311">
        <f t="shared" si="13"/>
        <v>0</v>
      </c>
      <c r="AU31" s="311">
        <f t="shared" si="14"/>
        <v>0</v>
      </c>
      <c r="AV31" s="311">
        <f t="shared" si="15"/>
        <v>0</v>
      </c>
      <c r="AW31" s="311">
        <f t="shared" si="16"/>
        <v>0</v>
      </c>
      <c r="AX31" s="311">
        <f t="shared" si="17"/>
        <v>0</v>
      </c>
      <c r="AY31" s="311">
        <f t="shared" si="18"/>
        <v>0</v>
      </c>
      <c r="AZ31" s="311">
        <f t="shared" si="19"/>
        <v>0</v>
      </c>
      <c r="BA31" s="311">
        <f t="shared" si="20"/>
        <v>0</v>
      </c>
      <c r="BB31" s="311">
        <f t="shared" si="21"/>
        <v>1427.1794871794873</v>
      </c>
      <c r="BC31" s="311">
        <f t="shared" si="22"/>
        <v>0</v>
      </c>
      <c r="BD31" s="311">
        <f t="shared" si="23"/>
        <v>0</v>
      </c>
      <c r="BE31" s="311">
        <f t="shared" si="24"/>
        <v>0</v>
      </c>
      <c r="BF31" s="311">
        <f t="shared" si="25"/>
        <v>0</v>
      </c>
      <c r="BG31" s="311">
        <f t="shared" si="26"/>
        <v>0</v>
      </c>
      <c r="BH31" s="311">
        <f t="shared" si="27"/>
        <v>0</v>
      </c>
      <c r="BI31" s="311">
        <f t="shared" si="28"/>
        <v>0</v>
      </c>
      <c r="BJ31" s="311">
        <f t="shared" si="29"/>
        <v>14531.282051282053</v>
      </c>
      <c r="BK31" s="311">
        <f t="shared" si="30"/>
        <v>0</v>
      </c>
      <c r="BL31" s="311">
        <f t="shared" si="31"/>
        <v>1427.1794871794873</v>
      </c>
      <c r="BM31" s="311">
        <f t="shared" si="32"/>
        <v>0</v>
      </c>
      <c r="BN31" s="315">
        <f t="shared" si="33"/>
        <v>25300.000000000004</v>
      </c>
      <c r="BO31" s="316">
        <f t="shared" si="34"/>
        <v>0</v>
      </c>
    </row>
    <row r="32" spans="1:67" ht="15.75" outlineLevel="1" x14ac:dyDescent="0.25">
      <c r="A32" s="148">
        <v>29</v>
      </c>
      <c r="B32" s="149" t="s">
        <v>627</v>
      </c>
      <c r="C32" s="149"/>
      <c r="D32" s="149"/>
      <c r="E32" s="142">
        <f t="shared" si="2"/>
        <v>0</v>
      </c>
      <c r="F32" s="144">
        <v>0</v>
      </c>
      <c r="G32" s="174">
        <f t="shared" si="3"/>
        <v>0</v>
      </c>
      <c r="H32" s="174">
        <f t="shared" si="4"/>
        <v>0</v>
      </c>
      <c r="I32" s="175">
        <f>_ЦО!T30+'МХП лазня'!T30+Катеринополь!T30+ВООЗ!T30+Кернел!T30+'Глобино Мк'!T30+'ВООЗ ЕМС'!T30+'ООН 36'!T30+'ООН 37'!T30+'ООН 38'!T30+ООН39!T30+'ООН 40'!T30+'ООН 43'!T30+'ООН 44'!T30+'ООН 45'!V30+ООН46!T30+ООН47!T30+ООН48!T30+ООН49!T30+ООн50!T30+ООН51!T30+Форшахта!T30+'ГАлерея 25.6'!T30+ГРП!AI30+'Парк меляси'!T30+'ООН 42'!T30</f>
        <v>0</v>
      </c>
      <c r="J32" s="44">
        <v>150</v>
      </c>
      <c r="K32" s="310">
        <f>SUMIF(ИТР!B:B,B32,ИТР!R:R)</f>
        <v>0</v>
      </c>
      <c r="L32" s="310">
        <f>SUMIF(_ЦО!$B:$B,B32,_ЦО!T:T)</f>
        <v>0</v>
      </c>
      <c r="M32" s="310">
        <f>SUMIF('МХП лазня'!B:B,B32,'МХП лазня'!T:T)</f>
        <v>0</v>
      </c>
      <c r="N32" s="310">
        <f>SUMIF(Катеринополь!$B:$B,B32,Катеринополь!$T:$T)</f>
        <v>0</v>
      </c>
      <c r="O32" s="310">
        <f>SUMIF(ВООЗ!B:B,B32,ВООЗ!T:T)</f>
        <v>0</v>
      </c>
      <c r="P32" s="310">
        <f>SUMIF(Кернел!B:B,B32,Кернел!T:T)</f>
        <v>0</v>
      </c>
      <c r="Q32" s="310">
        <f>SUMIF('Глобино Мк'!B:B,B32,'Глобино Мк'!T:T)</f>
        <v>0</v>
      </c>
      <c r="R32" s="310">
        <f>SUMIF('ВООЗ ЕМС'!B:B,B32,'ВООЗ ЕМС'!T:T)</f>
        <v>0</v>
      </c>
      <c r="S32" s="310">
        <f>SUMIF('ООН 36'!B:B,B32,'ООН 36'!T:T)</f>
        <v>0</v>
      </c>
      <c r="T32" s="310">
        <f>SUMIF('ООН 37'!B:B,B32,'ООН 37'!T:T)</f>
        <v>0</v>
      </c>
      <c r="U32" s="310">
        <f>SUMIF('ООН 38'!B:B,B32,'ООН 38'!T:T)</f>
        <v>0</v>
      </c>
      <c r="V32" s="310">
        <f>SUMIF(ООН39!B:B,B32,ООН39!T:T)</f>
        <v>0</v>
      </c>
      <c r="W32" s="310">
        <f>SUMIF('ООН 40'!B:B,B32,'ООН 40'!T:T)</f>
        <v>0</v>
      </c>
      <c r="X32" s="310">
        <f>SUMIF('ООН 43'!B:B,B32,'ООН 43'!T:T)</f>
        <v>0</v>
      </c>
      <c r="Y32" s="310">
        <f>SUMIF('ООН 44'!B:B,B32,'ООН 44'!T:T)</f>
        <v>0</v>
      </c>
      <c r="Z32" s="310">
        <f>SUMIF('ООН 45'!B:B,B32,'ООН 45'!V:V)</f>
        <v>0</v>
      </c>
      <c r="AA32" s="310">
        <f>SUMIF(ООН46!B:B,B32,ООН46!T:T)</f>
        <v>0</v>
      </c>
      <c r="AB32" s="310">
        <f>SUMIF(ООН47!B:B,B32,ООН47!T:T)</f>
        <v>0</v>
      </c>
      <c r="AC32" s="310">
        <f>SUMIF(ООН48!B:B,B32,ООН48!T:T)</f>
        <v>0</v>
      </c>
      <c r="AD32" s="310">
        <f>SUMIF(ООН49!B:B,B32,ООН49!T:T)</f>
        <v>0</v>
      </c>
      <c r="AE32" s="310">
        <f>SUMIF(ООн50!B:B,B32,ООн50!T:T)</f>
        <v>0</v>
      </c>
      <c r="AF32" s="310">
        <f>SUMIF(ООН51!B:B,B32,ООН51!T:T)</f>
        <v>0</v>
      </c>
      <c r="AG32" s="310">
        <f>SUMIF(Форшахта!B:B,B32,Форшахта!T:T)</f>
        <v>0</v>
      </c>
      <c r="AH32" s="310">
        <f>SUMIF('ГАлерея 25.6'!B:B,B32,'ГАлерея 25.6'!T:T)</f>
        <v>0</v>
      </c>
      <c r="AI32" s="310">
        <f>SUMIF(ГРП!B:B,B32,ГРП!AI:AI)</f>
        <v>0</v>
      </c>
      <c r="AJ32" s="310">
        <f>SUMIF('Парк меляси'!B:B,B32,'Парк меляси'!T:T)</f>
        <v>0</v>
      </c>
      <c r="AK32" s="310">
        <f>SUMIF('ООН 42'!B:B,B32,'ООН 42'!T:T)</f>
        <v>0</v>
      </c>
      <c r="AL32" s="313">
        <f t="shared" si="5"/>
        <v>0</v>
      </c>
      <c r="AM32" s="311">
        <f t="shared" si="6"/>
        <v>0</v>
      </c>
      <c r="AN32" s="311">
        <f t="shared" si="7"/>
        <v>0</v>
      </c>
      <c r="AO32" s="311">
        <f t="shared" si="8"/>
        <v>0</v>
      </c>
      <c r="AP32" s="311">
        <f t="shared" si="9"/>
        <v>0</v>
      </c>
      <c r="AQ32" s="311">
        <f t="shared" si="10"/>
        <v>0</v>
      </c>
      <c r="AR32" s="311">
        <f t="shared" si="11"/>
        <v>0</v>
      </c>
      <c r="AS32" s="311">
        <f t="shared" si="12"/>
        <v>0</v>
      </c>
      <c r="AT32" s="311">
        <f t="shared" si="13"/>
        <v>0</v>
      </c>
      <c r="AU32" s="311">
        <f t="shared" si="14"/>
        <v>0</v>
      </c>
      <c r="AV32" s="311">
        <f t="shared" si="15"/>
        <v>0</v>
      </c>
      <c r="AW32" s="311">
        <f t="shared" si="16"/>
        <v>0</v>
      </c>
      <c r="AX32" s="311">
        <f t="shared" si="17"/>
        <v>0</v>
      </c>
      <c r="AY32" s="311">
        <f t="shared" si="18"/>
        <v>0</v>
      </c>
      <c r="AZ32" s="311">
        <f t="shared" si="19"/>
        <v>0</v>
      </c>
      <c r="BA32" s="311">
        <f t="shared" si="20"/>
        <v>0</v>
      </c>
      <c r="BB32" s="311">
        <f t="shared" si="21"/>
        <v>0</v>
      </c>
      <c r="BC32" s="311">
        <f t="shared" si="22"/>
        <v>0</v>
      </c>
      <c r="BD32" s="311">
        <f t="shared" si="23"/>
        <v>0</v>
      </c>
      <c r="BE32" s="311">
        <f t="shared" si="24"/>
        <v>0</v>
      </c>
      <c r="BF32" s="311">
        <f t="shared" si="25"/>
        <v>0</v>
      </c>
      <c r="BG32" s="311">
        <f t="shared" si="26"/>
        <v>0</v>
      </c>
      <c r="BH32" s="311">
        <f t="shared" si="27"/>
        <v>0</v>
      </c>
      <c r="BI32" s="311">
        <f t="shared" si="28"/>
        <v>0</v>
      </c>
      <c r="BJ32" s="311">
        <f t="shared" si="29"/>
        <v>0</v>
      </c>
      <c r="BK32" s="311">
        <f t="shared" si="30"/>
        <v>0</v>
      </c>
      <c r="BL32" s="311">
        <f t="shared" si="31"/>
        <v>0</v>
      </c>
      <c r="BM32" s="311">
        <f t="shared" si="32"/>
        <v>0</v>
      </c>
      <c r="BN32" s="315">
        <f t="shared" si="33"/>
        <v>0</v>
      </c>
      <c r="BO32" s="316">
        <f t="shared" si="34"/>
        <v>0</v>
      </c>
    </row>
    <row r="33" spans="1:67" ht="15.75" outlineLevel="1" x14ac:dyDescent="0.25">
      <c r="A33" s="148">
        <v>30</v>
      </c>
      <c r="B33" s="149" t="s">
        <v>625</v>
      </c>
      <c r="C33" s="149"/>
      <c r="D33" s="149"/>
      <c r="E33" s="142">
        <f t="shared" si="2"/>
        <v>0</v>
      </c>
      <c r="F33" s="144">
        <v>0</v>
      </c>
      <c r="G33" s="174">
        <f t="shared" si="3"/>
        <v>0</v>
      </c>
      <c r="H33" s="174">
        <f t="shared" si="4"/>
        <v>0</v>
      </c>
      <c r="I33" s="175">
        <f>_ЦО!T31+'МХП лазня'!T31+Катеринополь!T31+ВООЗ!T31+Кернел!T31+'Глобино Мк'!T31+'ВООЗ ЕМС'!T31+'ООН 36'!T31+'ООН 37'!T31+'ООН 38'!T31+ООН39!T31+'ООН 40'!T31+'ООН 43'!T31+'ООН 44'!T31+'ООН 45'!V31+ООН46!T31+ООН47!T31+ООН48!T31+ООН49!T31+ООн50!T31+ООН51!T31+Форшахта!T31+'ГАлерея 25.6'!T31+ГРП!AI31+'Парк меляси'!T31+'ООН 42'!T31</f>
        <v>0</v>
      </c>
      <c r="J33" s="44">
        <v>150</v>
      </c>
      <c r="K33" s="310">
        <f>SUMIF(ИТР!B:B,B33,ИТР!R:R)</f>
        <v>0</v>
      </c>
      <c r="L33" s="310">
        <f>SUMIF(_ЦО!$B:$B,B33,_ЦО!T:T)</f>
        <v>0</v>
      </c>
      <c r="M33" s="310">
        <f>SUMIF('МХП лазня'!B:B,B33,'МХП лазня'!T:T)</f>
        <v>0</v>
      </c>
      <c r="N33" s="310">
        <f>SUMIF(Катеринополь!$B:$B,B33,Катеринополь!$T:$T)</f>
        <v>0</v>
      </c>
      <c r="O33" s="310">
        <f>SUMIF(ВООЗ!B:B,B33,ВООЗ!T:T)</f>
        <v>0</v>
      </c>
      <c r="P33" s="310">
        <f>SUMIF(Кернел!B:B,B33,Кернел!T:T)</f>
        <v>0</v>
      </c>
      <c r="Q33" s="310">
        <f>SUMIF('Глобино Мк'!B:B,B33,'Глобино Мк'!T:T)</f>
        <v>0</v>
      </c>
      <c r="R33" s="310">
        <f>SUMIF('ВООЗ ЕМС'!B:B,B33,'ВООЗ ЕМС'!T:T)</f>
        <v>0</v>
      </c>
      <c r="S33" s="310">
        <f>SUMIF('ООН 36'!B:B,B33,'ООН 36'!T:T)</f>
        <v>0</v>
      </c>
      <c r="T33" s="310">
        <f>SUMIF('ООН 37'!B:B,B33,'ООН 37'!T:T)</f>
        <v>0</v>
      </c>
      <c r="U33" s="310">
        <f>SUMIF('ООН 38'!B:B,B33,'ООН 38'!T:T)</f>
        <v>0</v>
      </c>
      <c r="V33" s="310">
        <f>SUMIF(ООН39!B:B,B33,ООН39!T:T)</f>
        <v>0</v>
      </c>
      <c r="W33" s="310">
        <f>SUMIF('ООН 40'!B:B,B33,'ООН 40'!T:T)</f>
        <v>0</v>
      </c>
      <c r="X33" s="310">
        <f>SUMIF('ООН 43'!B:B,B33,'ООН 43'!T:T)</f>
        <v>0</v>
      </c>
      <c r="Y33" s="310">
        <f>SUMIF('ООН 44'!B:B,B33,'ООН 44'!T:T)</f>
        <v>0</v>
      </c>
      <c r="Z33" s="310">
        <f>SUMIF('ООН 45'!B:B,B33,'ООН 45'!V:V)</f>
        <v>0</v>
      </c>
      <c r="AA33" s="310">
        <f>SUMIF(ООН46!B:B,B33,ООН46!T:T)</f>
        <v>0</v>
      </c>
      <c r="AB33" s="310">
        <f>SUMIF(ООН47!B:B,B33,ООН47!T:T)</f>
        <v>0</v>
      </c>
      <c r="AC33" s="310">
        <f>SUMIF(ООН48!B:B,B33,ООН48!T:T)</f>
        <v>0</v>
      </c>
      <c r="AD33" s="310">
        <f>SUMIF(ООН49!B:B,B33,ООН49!T:T)</f>
        <v>0</v>
      </c>
      <c r="AE33" s="310">
        <f>SUMIF(ООн50!B:B,B33,ООн50!T:T)</f>
        <v>0</v>
      </c>
      <c r="AF33" s="310">
        <f>SUMIF(ООН51!B:B,B33,ООН51!T:T)</f>
        <v>0</v>
      </c>
      <c r="AG33" s="310">
        <f>SUMIF(Форшахта!B:B,B33,Форшахта!T:T)</f>
        <v>0</v>
      </c>
      <c r="AH33" s="310">
        <f>SUMIF('ГАлерея 25.6'!B:B,B33,'ГАлерея 25.6'!T:T)</f>
        <v>0</v>
      </c>
      <c r="AI33" s="310">
        <f>SUMIF(ГРП!B:B,B33,ГРП!AI:AI)</f>
        <v>0</v>
      </c>
      <c r="AJ33" s="310">
        <f>SUMIF('Парк меляси'!B:B,B33,'Парк меляси'!T:T)</f>
        <v>0</v>
      </c>
      <c r="AK33" s="310">
        <f>SUMIF('ООН 42'!B:B,B33,'ООН 42'!T:T)</f>
        <v>0</v>
      </c>
      <c r="AL33" s="313">
        <f t="shared" si="5"/>
        <v>0</v>
      </c>
      <c r="AM33" s="311">
        <f t="shared" si="6"/>
        <v>0</v>
      </c>
      <c r="AN33" s="311">
        <f t="shared" si="7"/>
        <v>0</v>
      </c>
      <c r="AO33" s="311">
        <f t="shared" si="8"/>
        <v>0</v>
      </c>
      <c r="AP33" s="311">
        <f t="shared" si="9"/>
        <v>0</v>
      </c>
      <c r="AQ33" s="311">
        <f t="shared" si="10"/>
        <v>0</v>
      </c>
      <c r="AR33" s="311">
        <f t="shared" si="11"/>
        <v>0</v>
      </c>
      <c r="AS33" s="311">
        <f t="shared" si="12"/>
        <v>0</v>
      </c>
      <c r="AT33" s="311">
        <f t="shared" si="13"/>
        <v>0</v>
      </c>
      <c r="AU33" s="311">
        <f t="shared" si="14"/>
        <v>0</v>
      </c>
      <c r="AV33" s="311">
        <f t="shared" si="15"/>
        <v>0</v>
      </c>
      <c r="AW33" s="311">
        <f t="shared" si="16"/>
        <v>0</v>
      </c>
      <c r="AX33" s="311">
        <f t="shared" si="17"/>
        <v>0</v>
      </c>
      <c r="AY33" s="311">
        <f t="shared" si="18"/>
        <v>0</v>
      </c>
      <c r="AZ33" s="311">
        <f t="shared" si="19"/>
        <v>0</v>
      </c>
      <c r="BA33" s="311">
        <f t="shared" si="20"/>
        <v>0</v>
      </c>
      <c r="BB33" s="311">
        <f t="shared" si="21"/>
        <v>0</v>
      </c>
      <c r="BC33" s="311">
        <f t="shared" si="22"/>
        <v>0</v>
      </c>
      <c r="BD33" s="311">
        <f t="shared" si="23"/>
        <v>0</v>
      </c>
      <c r="BE33" s="311">
        <f t="shared" si="24"/>
        <v>0</v>
      </c>
      <c r="BF33" s="311">
        <f t="shared" si="25"/>
        <v>0</v>
      </c>
      <c r="BG33" s="311">
        <f t="shared" si="26"/>
        <v>0</v>
      </c>
      <c r="BH33" s="311">
        <f t="shared" si="27"/>
        <v>0</v>
      </c>
      <c r="BI33" s="311">
        <f t="shared" si="28"/>
        <v>0</v>
      </c>
      <c r="BJ33" s="311">
        <f t="shared" si="29"/>
        <v>0</v>
      </c>
      <c r="BK33" s="311">
        <f t="shared" si="30"/>
        <v>0</v>
      </c>
      <c r="BL33" s="311">
        <f t="shared" si="31"/>
        <v>0</v>
      </c>
      <c r="BM33" s="311">
        <f t="shared" si="32"/>
        <v>0</v>
      </c>
      <c r="BN33" s="315">
        <f t="shared" si="33"/>
        <v>0</v>
      </c>
      <c r="BO33" s="316">
        <f t="shared" si="34"/>
        <v>0</v>
      </c>
    </row>
    <row r="34" spans="1:67" ht="15.75" outlineLevel="1" x14ac:dyDescent="0.25">
      <c r="A34" s="148">
        <v>31</v>
      </c>
      <c r="B34" s="149" t="s">
        <v>34</v>
      </c>
      <c r="C34" s="149"/>
      <c r="D34" s="149">
        <v>9625</v>
      </c>
      <c r="E34" s="142">
        <f t="shared" si="2"/>
        <v>14550</v>
      </c>
      <c r="F34" s="144">
        <v>-4.8000000000029104</v>
      </c>
      <c r="G34" s="174">
        <f t="shared" si="3"/>
        <v>4900</v>
      </c>
      <c r="H34" s="174">
        <f t="shared" si="4"/>
        <v>20.19999999999709</v>
      </c>
      <c r="I34" s="175">
        <f>_ЦО!T32+'МХП лазня'!T32+Катеринополь!T32+ВООЗ!T32+Кернел!T32+'Глобино Мк'!T32+'ВООЗ ЕМС'!T32+'ООН 36'!T32+'ООН 37'!T32+'ООН 38'!T32+ООН39!T32+'ООН 40'!T32+'ООН 43'!T32+'ООН 44'!T32+'ООН 45'!V32+ООН46!T32+ООН47!T32+ООН48!T32+ООН49!T32+ООн50!T32+ООН51!T32+Форшахта!T32+'ГАлерея 25.6'!T32+ГРП!AI32+'Парк меляси'!T32+'ООН 42'!T32</f>
        <v>97</v>
      </c>
      <c r="J34" s="44">
        <v>150</v>
      </c>
      <c r="K34" s="310">
        <f>SUMIF(ИТР!B:B,B34,ИТР!R:R)</f>
        <v>0</v>
      </c>
      <c r="L34" s="310">
        <f>SUMIF(_ЦО!$B:$B,B34,_ЦО!T:T)</f>
        <v>0</v>
      </c>
      <c r="M34" s="310">
        <f>SUMIF('МХП лазня'!B:B,B34,'МХП лазня'!T:T)</f>
        <v>78</v>
      </c>
      <c r="N34" s="310">
        <f>SUMIF(Катеринополь!$B:$B,B34,Катеринополь!$T:$T)</f>
        <v>8</v>
      </c>
      <c r="O34" s="310">
        <f>SUMIF(ВООЗ!B:B,B34,ВООЗ!T:T)</f>
        <v>0</v>
      </c>
      <c r="P34" s="310">
        <f>SUMIF(Кернел!B:B,B34,Кернел!T:T)</f>
        <v>0</v>
      </c>
      <c r="Q34" s="310">
        <f>SUMIF('Глобино Мк'!B:B,B34,'Глобино Мк'!T:T)</f>
        <v>0</v>
      </c>
      <c r="R34" s="310">
        <f>SUMIF('ВООЗ ЕМС'!B:B,B34,'ВООЗ ЕМС'!T:T)</f>
        <v>0</v>
      </c>
      <c r="S34" s="310">
        <f>SUMIF('ООН 36'!B:B,B34,'ООН 36'!T:T)</f>
        <v>0</v>
      </c>
      <c r="T34" s="310">
        <f>SUMIF('ООН 37'!B:B,B34,'ООН 37'!T:T)</f>
        <v>0</v>
      </c>
      <c r="U34" s="310">
        <f>SUMIF('ООН 38'!B:B,B34,'ООН 38'!T:T)</f>
        <v>0</v>
      </c>
      <c r="V34" s="310">
        <f>SUMIF(ООН39!B:B,B34,ООН39!T:T)</f>
        <v>0</v>
      </c>
      <c r="W34" s="310">
        <f>SUMIF('ООН 40'!B:B,B34,'ООН 40'!T:T)</f>
        <v>0</v>
      </c>
      <c r="X34" s="310">
        <f>SUMIF('ООН 43'!B:B,B34,'ООН 43'!T:T)</f>
        <v>0</v>
      </c>
      <c r="Y34" s="310">
        <f>SUMIF('ООН 44'!B:B,B34,'ООН 44'!T:T)</f>
        <v>0</v>
      </c>
      <c r="Z34" s="310">
        <f>SUMIF('ООН 45'!B:B,B34,'ООН 45'!V:V)</f>
        <v>11</v>
      </c>
      <c r="AA34" s="310">
        <f>SUMIF(ООН46!B:B,B34,ООН46!T:T)</f>
        <v>0</v>
      </c>
      <c r="AB34" s="310">
        <f>SUMIF(ООН47!B:B,B34,ООН47!T:T)</f>
        <v>0</v>
      </c>
      <c r="AC34" s="310">
        <f>SUMIF(ООН48!B:B,B34,ООН48!T:T)</f>
        <v>0</v>
      </c>
      <c r="AD34" s="310">
        <f>SUMIF(ООН49!B:B,B34,ООН49!T:T)</f>
        <v>0</v>
      </c>
      <c r="AE34" s="310">
        <f>SUMIF(ООн50!B:B,B34,ООн50!T:T)</f>
        <v>0</v>
      </c>
      <c r="AF34" s="310">
        <f>SUMIF(ООН51!B:B,B34,ООН51!T:T)</f>
        <v>0</v>
      </c>
      <c r="AG34" s="310">
        <f>SUMIF(Форшахта!B:B,B34,Форшахта!T:T)</f>
        <v>0</v>
      </c>
      <c r="AH34" s="310">
        <f>SUMIF('ГАлерея 25.6'!B:B,B34,'ГАлерея 25.6'!T:T)</f>
        <v>0</v>
      </c>
      <c r="AI34" s="310">
        <f>SUMIF(ГРП!B:B,B34,ГРП!AI:AI)</f>
        <v>0</v>
      </c>
      <c r="AJ34" s="310">
        <f>SUMIF('Парк меляси'!B:B,B34,'Парк меляси'!T:T)</f>
        <v>0</v>
      </c>
      <c r="AK34" s="310">
        <f>SUMIF('ООН 42'!B:B,B34,'ООН 42'!T:T)</f>
        <v>0</v>
      </c>
      <c r="AL34" s="313">
        <f t="shared" si="5"/>
        <v>0</v>
      </c>
      <c r="AM34" s="311">
        <f t="shared" si="6"/>
        <v>0</v>
      </c>
      <c r="AN34" s="311">
        <f t="shared" si="7"/>
        <v>0</v>
      </c>
      <c r="AO34" s="311">
        <f t="shared" si="8"/>
        <v>3940.2061855670104</v>
      </c>
      <c r="AP34" s="311">
        <f t="shared" si="9"/>
        <v>404.12371134020617</v>
      </c>
      <c r="AQ34" s="311">
        <f t="shared" si="10"/>
        <v>0</v>
      </c>
      <c r="AR34" s="311">
        <f t="shared" si="11"/>
        <v>0</v>
      </c>
      <c r="AS34" s="311">
        <f t="shared" si="12"/>
        <v>0</v>
      </c>
      <c r="AT34" s="311">
        <f t="shared" si="13"/>
        <v>0</v>
      </c>
      <c r="AU34" s="311">
        <f t="shared" si="14"/>
        <v>0</v>
      </c>
      <c r="AV34" s="311">
        <f t="shared" si="15"/>
        <v>0</v>
      </c>
      <c r="AW34" s="311">
        <f t="shared" si="16"/>
        <v>0</v>
      </c>
      <c r="AX34" s="311">
        <f t="shared" si="17"/>
        <v>0</v>
      </c>
      <c r="AY34" s="311">
        <f t="shared" si="18"/>
        <v>0</v>
      </c>
      <c r="AZ34" s="311">
        <f t="shared" si="19"/>
        <v>0</v>
      </c>
      <c r="BA34" s="311">
        <f t="shared" si="20"/>
        <v>0</v>
      </c>
      <c r="BB34" s="311">
        <f t="shared" si="21"/>
        <v>555.67010309278351</v>
      </c>
      <c r="BC34" s="311">
        <f t="shared" si="22"/>
        <v>0</v>
      </c>
      <c r="BD34" s="311">
        <f t="shared" si="23"/>
        <v>0</v>
      </c>
      <c r="BE34" s="311">
        <f t="shared" si="24"/>
        <v>0</v>
      </c>
      <c r="BF34" s="311">
        <f t="shared" si="25"/>
        <v>0</v>
      </c>
      <c r="BG34" s="311">
        <f t="shared" si="26"/>
        <v>0</v>
      </c>
      <c r="BH34" s="311">
        <f t="shared" si="27"/>
        <v>0</v>
      </c>
      <c r="BI34" s="311">
        <f t="shared" si="28"/>
        <v>0</v>
      </c>
      <c r="BJ34" s="311">
        <f t="shared" si="29"/>
        <v>0</v>
      </c>
      <c r="BK34" s="311">
        <f t="shared" si="30"/>
        <v>0</v>
      </c>
      <c r="BL34" s="311">
        <f t="shared" si="31"/>
        <v>0</v>
      </c>
      <c r="BM34" s="311">
        <f t="shared" si="32"/>
        <v>0</v>
      </c>
      <c r="BN34" s="315">
        <f t="shared" si="33"/>
        <v>4900</v>
      </c>
      <c r="BO34" s="316">
        <f t="shared" si="34"/>
        <v>0</v>
      </c>
    </row>
    <row r="35" spans="1:67" ht="15.75" outlineLevel="1" x14ac:dyDescent="0.25">
      <c r="A35" s="148">
        <v>32</v>
      </c>
      <c r="B35" s="149" t="s">
        <v>45</v>
      </c>
      <c r="C35" s="149"/>
      <c r="D35" s="149"/>
      <c r="E35" s="142">
        <f t="shared" si="2"/>
        <v>19800</v>
      </c>
      <c r="F35" s="144">
        <v>0</v>
      </c>
      <c r="G35" s="174">
        <f t="shared" si="3"/>
        <v>19800</v>
      </c>
      <c r="H35" s="174">
        <f t="shared" si="4"/>
        <v>0</v>
      </c>
      <c r="I35" s="175">
        <f>_ЦО!T33+'МХП лазня'!T33+Катеринополь!T33+ВООЗ!T33+Кернел!T33+'Глобино Мк'!T33+'ВООЗ ЕМС'!T33+'ООН 36'!T33+'ООН 37'!T33+'ООН 38'!T33+ООН39!T33+'ООН 40'!T33+'ООН 43'!T33+'ООН 44'!T33+'ООН 45'!V33+ООН46!T33+ООН47!T33+ООН48!T33+ООН49!T33+ООн50!T33+ООН51!T33+Форшахта!T33+'ГАлерея 25.6'!T33+ГРП!AI33+'Парк меляси'!T33+'ООН 42'!T33</f>
        <v>132</v>
      </c>
      <c r="J35" s="44">
        <v>150</v>
      </c>
      <c r="K35" s="310">
        <f>SUMIF(ИТР!B:B,B35,ИТР!R:R)</f>
        <v>0</v>
      </c>
      <c r="L35" s="310">
        <f>SUMIF(_ЦО!$B:$B,B35,_ЦО!T:T)</f>
        <v>0</v>
      </c>
      <c r="M35" s="310">
        <f>SUMIF('МХП лазня'!B:B,B35,'МХП лазня'!T:T)</f>
        <v>0</v>
      </c>
      <c r="N35" s="310">
        <f>SUMIF(Катеринополь!$B:$B,B35,Катеринополь!$T:$T)</f>
        <v>0</v>
      </c>
      <c r="O35" s="310">
        <f>SUMIF(ВООЗ!B:B,B35,ВООЗ!T:T)</f>
        <v>0</v>
      </c>
      <c r="P35" s="310">
        <f>SUMIF(Кернел!B:B,B35,Кернел!T:T)</f>
        <v>0</v>
      </c>
      <c r="Q35" s="310">
        <f>SUMIF('Глобино Мк'!B:B,B35,'Глобино Мк'!T:T)</f>
        <v>44</v>
      </c>
      <c r="R35" s="310">
        <f>SUMIF('ВООЗ ЕМС'!B:B,B35,'ВООЗ ЕМС'!T:T)</f>
        <v>0</v>
      </c>
      <c r="S35" s="310">
        <f>SUMIF('ООН 36'!B:B,B35,'ООН 36'!T:T)</f>
        <v>0</v>
      </c>
      <c r="T35" s="310">
        <f>SUMIF('ООН 37'!B:B,B35,'ООН 37'!T:T)</f>
        <v>0</v>
      </c>
      <c r="U35" s="310">
        <f>SUMIF('ООН 38'!B:B,B35,'ООН 38'!T:T)</f>
        <v>0</v>
      </c>
      <c r="V35" s="310">
        <f>SUMIF(ООН39!B:B,B35,ООН39!T:T)</f>
        <v>0</v>
      </c>
      <c r="W35" s="310">
        <f>SUMIF('ООН 40'!B:B,B35,'ООН 40'!T:T)</f>
        <v>0</v>
      </c>
      <c r="X35" s="310">
        <f>SUMIF('ООН 43'!B:B,B35,'ООН 43'!T:T)</f>
        <v>0</v>
      </c>
      <c r="Y35" s="310">
        <f>SUMIF('ООН 44'!B:B,B35,'ООН 44'!T:T)</f>
        <v>0</v>
      </c>
      <c r="Z35" s="310">
        <f>SUMIF('ООН 45'!B:B,B35,'ООН 45'!V:V)</f>
        <v>0</v>
      </c>
      <c r="AA35" s="310">
        <f>SUMIF(ООН46!B:B,B35,ООН46!T:T)</f>
        <v>0</v>
      </c>
      <c r="AB35" s="310">
        <f>SUMIF(ООН47!B:B,B35,ООН47!T:T)</f>
        <v>11</v>
      </c>
      <c r="AC35" s="310">
        <f>SUMIF(ООН48!B:B,B35,ООН48!T:T)</f>
        <v>0</v>
      </c>
      <c r="AD35" s="310">
        <f>SUMIF(ООН49!B:B,B35,ООН49!T:T)</f>
        <v>0</v>
      </c>
      <c r="AE35" s="310">
        <f>SUMIF(ООн50!B:B,B35,ООн50!T:T)</f>
        <v>0</v>
      </c>
      <c r="AF35" s="310">
        <f>SUMIF(ООН51!B:B,B35,ООН51!T:T)</f>
        <v>0</v>
      </c>
      <c r="AG35" s="310">
        <f>SUMIF(Форшахта!B:B,B35,Форшахта!T:T)</f>
        <v>0</v>
      </c>
      <c r="AH35" s="310">
        <f>SUMIF('ГАлерея 25.6'!B:B,B35,'ГАлерея 25.6'!T:T)</f>
        <v>22</v>
      </c>
      <c r="AI35" s="310">
        <f>SUMIF(ГРП!B:B,B35,ГРП!AI:AI)</f>
        <v>22</v>
      </c>
      <c r="AJ35" s="310">
        <f>SUMIF('Парк меляси'!B:B,B35,'Парк меляси'!T:T)</f>
        <v>33</v>
      </c>
      <c r="AK35" s="310">
        <f>SUMIF('ООН 42'!B:B,B35,'ООН 42'!T:T)</f>
        <v>0</v>
      </c>
      <c r="AL35" s="313">
        <f t="shared" si="5"/>
        <v>0</v>
      </c>
      <c r="AM35" s="311">
        <f t="shared" si="6"/>
        <v>0</v>
      </c>
      <c r="AN35" s="311">
        <f t="shared" si="7"/>
        <v>0</v>
      </c>
      <c r="AO35" s="311">
        <f t="shared" si="8"/>
        <v>0</v>
      </c>
      <c r="AP35" s="311">
        <f t="shared" si="9"/>
        <v>0</v>
      </c>
      <c r="AQ35" s="311">
        <f t="shared" si="10"/>
        <v>0</v>
      </c>
      <c r="AR35" s="311">
        <f t="shared" si="11"/>
        <v>0</v>
      </c>
      <c r="AS35" s="311">
        <f t="shared" si="12"/>
        <v>6600</v>
      </c>
      <c r="AT35" s="311">
        <f t="shared" si="13"/>
        <v>0</v>
      </c>
      <c r="AU35" s="311">
        <f t="shared" si="14"/>
        <v>0</v>
      </c>
      <c r="AV35" s="311">
        <f t="shared" si="15"/>
        <v>0</v>
      </c>
      <c r="AW35" s="311">
        <f t="shared" si="16"/>
        <v>0</v>
      </c>
      <c r="AX35" s="311">
        <f t="shared" si="17"/>
        <v>0</v>
      </c>
      <c r="AY35" s="311">
        <f t="shared" si="18"/>
        <v>0</v>
      </c>
      <c r="AZ35" s="311">
        <f t="shared" si="19"/>
        <v>0</v>
      </c>
      <c r="BA35" s="311">
        <f t="shared" si="20"/>
        <v>0</v>
      </c>
      <c r="BB35" s="311">
        <f t="shared" si="21"/>
        <v>0</v>
      </c>
      <c r="BC35" s="311">
        <f t="shared" si="22"/>
        <v>0</v>
      </c>
      <c r="BD35" s="311">
        <f t="shared" si="23"/>
        <v>1650</v>
      </c>
      <c r="BE35" s="311">
        <f t="shared" si="24"/>
        <v>0</v>
      </c>
      <c r="BF35" s="311">
        <f t="shared" si="25"/>
        <v>0</v>
      </c>
      <c r="BG35" s="311">
        <f t="shared" si="26"/>
        <v>0</v>
      </c>
      <c r="BH35" s="311">
        <f t="shared" si="27"/>
        <v>0</v>
      </c>
      <c r="BI35" s="311">
        <f t="shared" si="28"/>
        <v>0</v>
      </c>
      <c r="BJ35" s="311">
        <f t="shared" si="29"/>
        <v>3300</v>
      </c>
      <c r="BK35" s="311">
        <f t="shared" si="30"/>
        <v>3300</v>
      </c>
      <c r="BL35" s="311">
        <f t="shared" si="31"/>
        <v>4950</v>
      </c>
      <c r="BM35" s="311">
        <f t="shared" si="32"/>
        <v>0</v>
      </c>
      <c r="BN35" s="315">
        <f t="shared" si="33"/>
        <v>19800</v>
      </c>
      <c r="BO35" s="316">
        <f t="shared" si="34"/>
        <v>0</v>
      </c>
    </row>
    <row r="36" spans="1:67" ht="15.75" outlineLevel="1" x14ac:dyDescent="0.25">
      <c r="A36" s="148">
        <v>33</v>
      </c>
      <c r="B36" s="149" t="s">
        <v>630</v>
      </c>
      <c r="C36" s="149"/>
      <c r="D36" s="149">
        <v>3927</v>
      </c>
      <c r="E36" s="142">
        <f t="shared" si="2"/>
        <v>22350</v>
      </c>
      <c r="F36" s="144">
        <v>15</v>
      </c>
      <c r="G36" s="174">
        <f t="shared" si="3"/>
        <v>18400</v>
      </c>
      <c r="H36" s="174">
        <f t="shared" si="4"/>
        <v>38</v>
      </c>
      <c r="I36" s="175">
        <f>_ЦО!T34+'МХП лазня'!T34+Катеринополь!T34+ВООЗ!T34+Кернел!T34+'Глобино Мк'!T34+'ВООЗ ЕМС'!T34+'ООН 36'!T34+'ООН 37'!T34+'ООН 38'!T34+ООН39!T34+'ООН 40'!T34+'ООН 43'!T34+'ООН 44'!T34+'ООН 45'!V34+ООН46!T34+ООН47!T34+ООН48!T34+ООН49!T34+ООн50!T34+ООН51!T34+Форшахта!T34+'ГАлерея 25.6'!T34+ГРП!AI34+'Парк меляси'!T34+'ООН 42'!T34</f>
        <v>149</v>
      </c>
      <c r="J36" s="44">
        <v>150</v>
      </c>
      <c r="K36" s="310">
        <f>SUMIF(ИТР!B:B,B36,ИТР!R:R)</f>
        <v>0</v>
      </c>
      <c r="L36" s="310">
        <f>SUMIF(_ЦО!$B:$B,B36,_ЦО!T:T)</f>
        <v>0</v>
      </c>
      <c r="M36" s="310">
        <f>SUMIF('МХП лазня'!B:B,B36,'МХП лазня'!T:T)</f>
        <v>0</v>
      </c>
      <c r="N36" s="310">
        <f>SUMIF(Катеринополь!$B:$B,B36,Катеринополь!$T:$T)</f>
        <v>22</v>
      </c>
      <c r="O36" s="310">
        <f>SUMIF(ВООЗ!B:B,B36,ВООЗ!T:T)</f>
        <v>0</v>
      </c>
      <c r="P36" s="310">
        <f>SUMIF(Кернел!B:B,B36,Кернел!T:T)</f>
        <v>0</v>
      </c>
      <c r="Q36" s="310">
        <f>SUMIF('Глобино Мк'!B:B,B36,'Глобино Мк'!T:T)</f>
        <v>33</v>
      </c>
      <c r="R36" s="310">
        <f>SUMIF('ВООЗ ЕМС'!B:B,B36,'ВООЗ ЕМС'!T:T)</f>
        <v>0</v>
      </c>
      <c r="S36" s="310">
        <f>SUMIF('ООН 36'!B:B,B36,'ООН 36'!T:T)</f>
        <v>0</v>
      </c>
      <c r="T36" s="310">
        <f>SUMIF('ООН 37'!B:B,B36,'ООН 37'!T:T)</f>
        <v>0</v>
      </c>
      <c r="U36" s="310">
        <f>SUMIF('ООН 38'!B:B,B36,'ООН 38'!T:T)</f>
        <v>0</v>
      </c>
      <c r="V36" s="310">
        <f>SUMIF(ООН39!B:B,B36,ООН39!T:T)</f>
        <v>0</v>
      </c>
      <c r="W36" s="310">
        <f>SUMIF('ООН 40'!B:B,B36,'ООН 40'!T:T)</f>
        <v>0</v>
      </c>
      <c r="X36" s="310">
        <f>SUMIF('ООН 43'!B:B,B36,'ООН 43'!T:T)</f>
        <v>0</v>
      </c>
      <c r="Y36" s="310">
        <f>SUMIF('ООН 44'!B:B,B36,'ООН 44'!T:T)</f>
        <v>0</v>
      </c>
      <c r="Z36" s="310">
        <f>SUMIF('ООН 45'!B:B,B36,'ООН 45'!V:V)</f>
        <v>0</v>
      </c>
      <c r="AA36" s="310">
        <f>SUMIF(ООН46!B:B,B36,ООН46!T:T)</f>
        <v>0</v>
      </c>
      <c r="AB36" s="310">
        <f>SUMIF(ООН47!B:B,B36,ООН47!T:T)</f>
        <v>0</v>
      </c>
      <c r="AC36" s="310">
        <f>SUMIF(ООН48!B:B,B36,ООН48!T:T)</f>
        <v>0</v>
      </c>
      <c r="AD36" s="310">
        <f>SUMIF(ООН49!B:B,B36,ООН49!T:T)</f>
        <v>11</v>
      </c>
      <c r="AE36" s="310">
        <f>SUMIF(ООн50!B:B,B36,ООн50!T:T)</f>
        <v>0</v>
      </c>
      <c r="AF36" s="310">
        <f>SUMIF(ООН51!B:B,B36,ООН51!T:T)</f>
        <v>0</v>
      </c>
      <c r="AG36" s="310">
        <f>SUMIF(Форшахта!B:B,B36,Форшахта!T:T)</f>
        <v>0</v>
      </c>
      <c r="AH36" s="310">
        <f>SUMIF('ГАлерея 25.6'!B:B,B36,'ГАлерея 25.6'!T:T)</f>
        <v>11</v>
      </c>
      <c r="AI36" s="310">
        <f>SUMIF(ГРП!B:B,B36,ГРП!AI:AI)</f>
        <v>22</v>
      </c>
      <c r="AJ36" s="310">
        <f>SUMIF('Парк меляси'!B:B,B36,'Парк меляси'!T:T)</f>
        <v>50</v>
      </c>
      <c r="AK36" s="310">
        <f>SUMIF('ООН 42'!B:B,B36,'ООН 42'!T:T)</f>
        <v>0</v>
      </c>
      <c r="AL36" s="313">
        <f t="shared" si="5"/>
        <v>0</v>
      </c>
      <c r="AM36" s="311">
        <f t="shared" si="6"/>
        <v>0</v>
      </c>
      <c r="AN36" s="311">
        <f t="shared" si="7"/>
        <v>0</v>
      </c>
      <c r="AO36" s="311">
        <f t="shared" si="8"/>
        <v>0</v>
      </c>
      <c r="AP36" s="311">
        <f t="shared" si="9"/>
        <v>2716.7785234899329</v>
      </c>
      <c r="AQ36" s="311">
        <f t="shared" si="10"/>
        <v>0</v>
      </c>
      <c r="AR36" s="311">
        <f t="shared" si="11"/>
        <v>0</v>
      </c>
      <c r="AS36" s="311">
        <f t="shared" si="12"/>
        <v>4075.1677852348994</v>
      </c>
      <c r="AT36" s="311">
        <f t="shared" si="13"/>
        <v>0</v>
      </c>
      <c r="AU36" s="311">
        <f t="shared" si="14"/>
        <v>0</v>
      </c>
      <c r="AV36" s="311">
        <f t="shared" si="15"/>
        <v>0</v>
      </c>
      <c r="AW36" s="311">
        <f t="shared" si="16"/>
        <v>0</v>
      </c>
      <c r="AX36" s="311">
        <f t="shared" si="17"/>
        <v>0</v>
      </c>
      <c r="AY36" s="311">
        <f t="shared" si="18"/>
        <v>0</v>
      </c>
      <c r="AZ36" s="311">
        <f t="shared" si="19"/>
        <v>0</v>
      </c>
      <c r="BA36" s="311">
        <f t="shared" si="20"/>
        <v>0</v>
      </c>
      <c r="BB36" s="311">
        <f t="shared" si="21"/>
        <v>0</v>
      </c>
      <c r="BC36" s="311">
        <f t="shared" si="22"/>
        <v>0</v>
      </c>
      <c r="BD36" s="311">
        <f t="shared" si="23"/>
        <v>0</v>
      </c>
      <c r="BE36" s="311">
        <f t="shared" si="24"/>
        <v>0</v>
      </c>
      <c r="BF36" s="311">
        <f t="shared" si="25"/>
        <v>1358.3892617449665</v>
      </c>
      <c r="BG36" s="311">
        <f t="shared" si="26"/>
        <v>0</v>
      </c>
      <c r="BH36" s="311">
        <f t="shared" si="27"/>
        <v>0</v>
      </c>
      <c r="BI36" s="311">
        <f t="shared" si="28"/>
        <v>0</v>
      </c>
      <c r="BJ36" s="311">
        <f t="shared" si="29"/>
        <v>1358.3892617449665</v>
      </c>
      <c r="BK36" s="311">
        <f t="shared" si="30"/>
        <v>2716.7785234899329</v>
      </c>
      <c r="BL36" s="311">
        <f t="shared" si="31"/>
        <v>6174.4966442953018</v>
      </c>
      <c r="BM36" s="311">
        <f t="shared" si="32"/>
        <v>0</v>
      </c>
      <c r="BN36" s="315">
        <f t="shared" si="33"/>
        <v>18400</v>
      </c>
      <c r="BO36" s="316">
        <f t="shared" si="34"/>
        <v>0</v>
      </c>
    </row>
    <row r="37" spans="1:67" ht="15.75" outlineLevel="1" x14ac:dyDescent="0.25">
      <c r="A37" s="148">
        <v>34</v>
      </c>
      <c r="B37" s="149" t="s">
        <v>628</v>
      </c>
      <c r="C37" s="149"/>
      <c r="D37" s="149">
        <v>9624.99</v>
      </c>
      <c r="E37" s="142">
        <f t="shared" si="2"/>
        <v>19800</v>
      </c>
      <c r="F37" s="144">
        <v>22.059999999995853</v>
      </c>
      <c r="G37" s="174">
        <f t="shared" si="3"/>
        <v>10200</v>
      </c>
      <c r="H37" s="174">
        <f t="shared" si="4"/>
        <v>-2.93000000000211</v>
      </c>
      <c r="I37" s="175">
        <f>_ЦО!T35+'МХП лазня'!T35+Катеринополь!T35+ВООЗ!T35+Кернел!T35+'Глобино Мк'!T35+'ВООЗ ЕМС'!T35+'ООН 36'!T35+'ООН 37'!T35+'ООН 38'!T35+ООН39!T35+'ООН 40'!T35+'ООН 43'!T35+'ООН 44'!T35+'ООН 45'!V35+ООН46!T35+ООН47!T35+ООН48!T35+ООН49!T35+ООн50!T35+ООН51!T35+Форшахта!T35+'ГАлерея 25.6'!T35+ГРП!AI35+'Парк меляси'!T35+'ООН 42'!T35</f>
        <v>132</v>
      </c>
      <c r="J37" s="44">
        <v>150</v>
      </c>
      <c r="K37" s="310">
        <f>SUMIF(ИТР!B:B,B37,ИТР!R:R)</f>
        <v>0</v>
      </c>
      <c r="L37" s="310">
        <f>SUMIF(_ЦО!$B:$B,B37,_ЦО!T:T)</f>
        <v>0</v>
      </c>
      <c r="M37" s="310">
        <f>SUMIF('МХП лазня'!B:B,B37,'МХП лазня'!T:T)</f>
        <v>0</v>
      </c>
      <c r="N37" s="310">
        <f>SUMIF(Катеринополь!$B:$B,B37,Катеринополь!$T:$T)</f>
        <v>0</v>
      </c>
      <c r="O37" s="310">
        <f>SUMIF(ВООЗ!B:B,B37,ВООЗ!T:T)</f>
        <v>0</v>
      </c>
      <c r="P37" s="310">
        <f>SUMIF(Кернел!B:B,B37,Кернел!T:T)</f>
        <v>0</v>
      </c>
      <c r="Q37" s="310">
        <f>SUMIF('Глобино Мк'!B:B,B37,'Глобино Мк'!T:T)</f>
        <v>0</v>
      </c>
      <c r="R37" s="310">
        <f>SUMIF('ВООЗ ЕМС'!B:B,B37,'ВООЗ ЕМС'!T:T)</f>
        <v>0</v>
      </c>
      <c r="S37" s="310">
        <f>SUMIF('ООН 36'!B:B,B37,'ООН 36'!T:T)</f>
        <v>0</v>
      </c>
      <c r="T37" s="310">
        <f>SUMIF('ООН 37'!B:B,B37,'ООН 37'!T:T)</f>
        <v>0</v>
      </c>
      <c r="U37" s="310">
        <f>SUMIF('ООН 38'!B:B,B37,'ООН 38'!T:T)</f>
        <v>0</v>
      </c>
      <c r="V37" s="310">
        <f>SUMIF(ООН39!B:B,B37,ООН39!T:T)</f>
        <v>0</v>
      </c>
      <c r="W37" s="310">
        <f>SUMIF('ООН 40'!B:B,B37,'ООН 40'!T:T)</f>
        <v>0</v>
      </c>
      <c r="X37" s="310">
        <f>SUMIF('ООН 43'!B:B,B37,'ООН 43'!T:T)</f>
        <v>0</v>
      </c>
      <c r="Y37" s="310">
        <f>SUMIF('ООН 44'!B:B,B37,'ООН 44'!T:T)</f>
        <v>11</v>
      </c>
      <c r="Z37" s="310">
        <f>SUMIF('ООН 45'!B:B,B37,'ООН 45'!V:V)</f>
        <v>22</v>
      </c>
      <c r="AA37" s="310">
        <f>SUMIF(ООН46!B:B,B37,ООН46!T:T)</f>
        <v>40</v>
      </c>
      <c r="AB37" s="310">
        <f>SUMIF(ООН47!B:B,B37,ООН47!T:T)</f>
        <v>59</v>
      </c>
      <c r="AC37" s="310">
        <f>SUMIF(ООН48!B:B,B37,ООН48!T:T)</f>
        <v>0</v>
      </c>
      <c r="AD37" s="310">
        <f>SUMIF(ООН49!B:B,B37,ООН49!T:T)</f>
        <v>0</v>
      </c>
      <c r="AE37" s="310">
        <f>SUMIF(ООн50!B:B,B37,ООн50!T:T)</f>
        <v>0</v>
      </c>
      <c r="AF37" s="310">
        <f>SUMIF(ООН51!B:B,B37,ООН51!T:T)</f>
        <v>0</v>
      </c>
      <c r="AG37" s="310">
        <f>SUMIF(Форшахта!B:B,B37,Форшахта!T:T)</f>
        <v>0</v>
      </c>
      <c r="AH37" s="310">
        <f>SUMIF('ГАлерея 25.6'!B:B,B37,'ГАлерея 25.6'!T:T)</f>
        <v>0</v>
      </c>
      <c r="AI37" s="310">
        <f>SUMIF(ГРП!B:B,B37,ГРП!AI:AI)</f>
        <v>0</v>
      </c>
      <c r="AJ37" s="310">
        <f>SUMIF('Парк меляси'!B:B,B37,'Парк меляси'!T:T)</f>
        <v>0</v>
      </c>
      <c r="AK37" s="310">
        <f>SUMIF('ООН 42'!B:B,B37,'ООН 42'!T:T)</f>
        <v>0</v>
      </c>
      <c r="AL37" s="313">
        <f t="shared" si="5"/>
        <v>0</v>
      </c>
      <c r="AM37" s="311">
        <f t="shared" si="6"/>
        <v>0</v>
      </c>
      <c r="AN37" s="311">
        <f t="shared" si="7"/>
        <v>0</v>
      </c>
      <c r="AO37" s="311">
        <f t="shared" si="8"/>
        <v>0</v>
      </c>
      <c r="AP37" s="311">
        <f t="shared" si="9"/>
        <v>0</v>
      </c>
      <c r="AQ37" s="311">
        <f t="shared" si="10"/>
        <v>0</v>
      </c>
      <c r="AR37" s="311">
        <f t="shared" si="11"/>
        <v>0</v>
      </c>
      <c r="AS37" s="311">
        <f t="shared" si="12"/>
        <v>0</v>
      </c>
      <c r="AT37" s="311">
        <f t="shared" si="13"/>
        <v>0</v>
      </c>
      <c r="AU37" s="311">
        <f t="shared" si="14"/>
        <v>0</v>
      </c>
      <c r="AV37" s="311">
        <f t="shared" si="15"/>
        <v>0</v>
      </c>
      <c r="AW37" s="311">
        <f t="shared" si="16"/>
        <v>0</v>
      </c>
      <c r="AX37" s="311">
        <f t="shared" si="17"/>
        <v>0</v>
      </c>
      <c r="AY37" s="311">
        <f t="shared" si="18"/>
        <v>0</v>
      </c>
      <c r="AZ37" s="311">
        <f t="shared" si="19"/>
        <v>0</v>
      </c>
      <c r="BA37" s="311">
        <f t="shared" si="20"/>
        <v>849.99999999999989</v>
      </c>
      <c r="BB37" s="311">
        <f t="shared" si="21"/>
        <v>1699.9999999999998</v>
      </c>
      <c r="BC37" s="311">
        <f t="shared" si="22"/>
        <v>3090.9090909090905</v>
      </c>
      <c r="BD37" s="311">
        <f t="shared" si="23"/>
        <v>4559.090909090909</v>
      </c>
      <c r="BE37" s="311">
        <f t="shared" si="24"/>
        <v>0</v>
      </c>
      <c r="BF37" s="311">
        <f t="shared" si="25"/>
        <v>0</v>
      </c>
      <c r="BG37" s="311">
        <f t="shared" si="26"/>
        <v>0</v>
      </c>
      <c r="BH37" s="311">
        <f t="shared" si="27"/>
        <v>0</v>
      </c>
      <c r="BI37" s="311">
        <f t="shared" si="28"/>
        <v>0</v>
      </c>
      <c r="BJ37" s="311">
        <f t="shared" si="29"/>
        <v>0</v>
      </c>
      <c r="BK37" s="311">
        <f t="shared" si="30"/>
        <v>0</v>
      </c>
      <c r="BL37" s="311">
        <f t="shared" si="31"/>
        <v>0</v>
      </c>
      <c r="BM37" s="311">
        <f t="shared" si="32"/>
        <v>0</v>
      </c>
      <c r="BN37" s="315">
        <f t="shared" si="33"/>
        <v>10200</v>
      </c>
      <c r="BO37" s="316">
        <f t="shared" si="34"/>
        <v>0</v>
      </c>
    </row>
    <row r="38" spans="1:67" ht="15.75" outlineLevel="1" x14ac:dyDescent="0.25">
      <c r="A38" s="148">
        <v>35</v>
      </c>
      <c r="B38" s="149" t="s">
        <v>629</v>
      </c>
      <c r="C38" s="149"/>
      <c r="D38" s="149">
        <v>0</v>
      </c>
      <c r="E38" s="142">
        <f t="shared" si="2"/>
        <v>0</v>
      </c>
      <c r="F38" s="144">
        <v>-44</v>
      </c>
      <c r="G38" s="174">
        <f t="shared" si="3"/>
        <v>0</v>
      </c>
      <c r="H38" s="174">
        <f t="shared" si="4"/>
        <v>-44</v>
      </c>
      <c r="I38" s="175">
        <f>_ЦО!T36+'МХП лазня'!T36+Катеринополь!T36+ВООЗ!T36+Кернел!T36+'Глобино Мк'!T36+'ВООЗ ЕМС'!T36+'ООН 36'!T36+'ООН 37'!T36+'ООН 38'!T36+ООН39!T36+'ООН 40'!T36+'ООН 43'!T36+'ООН 44'!T36+'ООН 45'!V36+ООН46!T36+ООН47!T36+ООН48!T36+ООН49!T36+ООн50!T36+ООН51!T36+Форшахта!T36+'ГАлерея 25.6'!T36+ГРП!AI36+'Парк меляси'!T36+'ООН 42'!T36</f>
        <v>0</v>
      </c>
      <c r="J38" s="44">
        <v>150</v>
      </c>
      <c r="K38" s="310">
        <f>SUMIF(ИТР!B:B,B38,ИТР!R:R)</f>
        <v>0</v>
      </c>
      <c r="L38" s="310">
        <f>SUMIF(_ЦО!$B:$B,B38,_ЦО!T:T)</f>
        <v>0</v>
      </c>
      <c r="M38" s="310">
        <f>SUMIF('МХП лазня'!B:B,B38,'МХП лазня'!T:T)</f>
        <v>0</v>
      </c>
      <c r="N38" s="310">
        <f>SUMIF(Катеринополь!$B:$B,B38,Катеринополь!$T:$T)</f>
        <v>0</v>
      </c>
      <c r="O38" s="310">
        <f>SUMIF(ВООЗ!B:B,B38,ВООЗ!T:T)</f>
        <v>0</v>
      </c>
      <c r="P38" s="310">
        <f>SUMIF(Кернел!B:B,B38,Кернел!T:T)</f>
        <v>0</v>
      </c>
      <c r="Q38" s="310">
        <f>SUMIF('Глобино Мк'!B:B,B38,'Глобино Мк'!T:T)</f>
        <v>0</v>
      </c>
      <c r="R38" s="310">
        <f>SUMIF('ВООЗ ЕМС'!B:B,B38,'ВООЗ ЕМС'!T:T)</f>
        <v>0</v>
      </c>
      <c r="S38" s="310">
        <f>SUMIF('ООН 36'!B:B,B38,'ООН 36'!T:T)</f>
        <v>0</v>
      </c>
      <c r="T38" s="310">
        <f>SUMIF('ООН 37'!B:B,B38,'ООН 37'!T:T)</f>
        <v>0</v>
      </c>
      <c r="U38" s="310">
        <f>SUMIF('ООН 38'!B:B,B38,'ООН 38'!T:T)</f>
        <v>0</v>
      </c>
      <c r="V38" s="310">
        <f>SUMIF(ООН39!B:B,B38,ООН39!T:T)</f>
        <v>0</v>
      </c>
      <c r="W38" s="310">
        <f>SUMIF('ООН 40'!B:B,B38,'ООН 40'!T:T)</f>
        <v>0</v>
      </c>
      <c r="X38" s="310">
        <f>SUMIF('ООН 43'!B:B,B38,'ООН 43'!T:T)</f>
        <v>0</v>
      </c>
      <c r="Y38" s="310">
        <f>SUMIF('ООН 44'!B:B,B38,'ООН 44'!T:T)</f>
        <v>0</v>
      </c>
      <c r="Z38" s="310">
        <f>SUMIF('ООН 45'!B:B,B38,'ООН 45'!V:V)</f>
        <v>0</v>
      </c>
      <c r="AA38" s="310">
        <f>SUMIF(ООН46!B:B,B38,ООН46!T:T)</f>
        <v>0</v>
      </c>
      <c r="AB38" s="310">
        <f>SUMIF(ООН47!B:B,B38,ООН47!T:T)</f>
        <v>0</v>
      </c>
      <c r="AC38" s="310">
        <f>SUMIF(ООН48!B:B,B38,ООН48!T:T)</f>
        <v>0</v>
      </c>
      <c r="AD38" s="310">
        <f>SUMIF(ООН49!B:B,B38,ООН49!T:T)</f>
        <v>0</v>
      </c>
      <c r="AE38" s="310">
        <f>SUMIF(ООн50!B:B,B38,ООн50!T:T)</f>
        <v>0</v>
      </c>
      <c r="AF38" s="310">
        <f>SUMIF(ООН51!B:B,B38,ООН51!T:T)</f>
        <v>0</v>
      </c>
      <c r="AG38" s="310">
        <f>SUMIF(Форшахта!B:B,B38,Форшахта!T:T)</f>
        <v>0</v>
      </c>
      <c r="AH38" s="310">
        <f>SUMIF('ГАлерея 25.6'!B:B,B38,'ГАлерея 25.6'!T:T)</f>
        <v>0</v>
      </c>
      <c r="AI38" s="310">
        <f>SUMIF(ГРП!B:B,B38,ГРП!AI:AI)</f>
        <v>0</v>
      </c>
      <c r="AJ38" s="310">
        <f>SUMIF('Парк меляси'!B:B,B38,'Парк меляси'!T:T)</f>
        <v>0</v>
      </c>
      <c r="AK38" s="310">
        <f>SUMIF('ООН 42'!B:B,B38,'ООН 42'!T:T)</f>
        <v>0</v>
      </c>
      <c r="AL38" s="313">
        <f t="shared" si="5"/>
        <v>0</v>
      </c>
      <c r="AM38" s="311">
        <f t="shared" si="6"/>
        <v>0</v>
      </c>
      <c r="AN38" s="311">
        <f t="shared" si="7"/>
        <v>0</v>
      </c>
      <c r="AO38" s="311">
        <f t="shared" si="8"/>
        <v>0</v>
      </c>
      <c r="AP38" s="311">
        <f t="shared" si="9"/>
        <v>0</v>
      </c>
      <c r="AQ38" s="311">
        <f t="shared" si="10"/>
        <v>0</v>
      </c>
      <c r="AR38" s="311">
        <f t="shared" si="11"/>
        <v>0</v>
      </c>
      <c r="AS38" s="311">
        <f t="shared" si="12"/>
        <v>0</v>
      </c>
      <c r="AT38" s="311">
        <f t="shared" si="13"/>
        <v>0</v>
      </c>
      <c r="AU38" s="311">
        <f t="shared" si="14"/>
        <v>0</v>
      </c>
      <c r="AV38" s="311">
        <f t="shared" si="15"/>
        <v>0</v>
      </c>
      <c r="AW38" s="311">
        <f t="shared" si="16"/>
        <v>0</v>
      </c>
      <c r="AX38" s="311">
        <f t="shared" si="17"/>
        <v>0</v>
      </c>
      <c r="AY38" s="311">
        <f t="shared" si="18"/>
        <v>0</v>
      </c>
      <c r="AZ38" s="311">
        <f t="shared" si="19"/>
        <v>0</v>
      </c>
      <c r="BA38" s="311">
        <f t="shared" si="20"/>
        <v>0</v>
      </c>
      <c r="BB38" s="311">
        <f t="shared" si="21"/>
        <v>0</v>
      </c>
      <c r="BC38" s="311">
        <f t="shared" si="22"/>
        <v>0</v>
      </c>
      <c r="BD38" s="311">
        <f t="shared" si="23"/>
        <v>0</v>
      </c>
      <c r="BE38" s="311">
        <f t="shared" si="24"/>
        <v>0</v>
      </c>
      <c r="BF38" s="311">
        <f t="shared" si="25"/>
        <v>0</v>
      </c>
      <c r="BG38" s="311">
        <f t="shared" si="26"/>
        <v>0</v>
      </c>
      <c r="BH38" s="311">
        <f t="shared" si="27"/>
        <v>0</v>
      </c>
      <c r="BI38" s="311">
        <f t="shared" si="28"/>
        <v>0</v>
      </c>
      <c r="BJ38" s="311">
        <f t="shared" si="29"/>
        <v>0</v>
      </c>
      <c r="BK38" s="311">
        <f t="shared" si="30"/>
        <v>0</v>
      </c>
      <c r="BL38" s="311">
        <f t="shared" si="31"/>
        <v>0</v>
      </c>
      <c r="BM38" s="311">
        <f t="shared" si="32"/>
        <v>0</v>
      </c>
      <c r="BN38" s="315">
        <f t="shared" si="33"/>
        <v>0</v>
      </c>
      <c r="BO38" s="316">
        <f t="shared" si="34"/>
        <v>0</v>
      </c>
    </row>
    <row r="39" spans="1:67" ht="15.75" outlineLevel="1" x14ac:dyDescent="0.25">
      <c r="A39" s="148">
        <v>36</v>
      </c>
      <c r="B39" s="149" t="s">
        <v>631</v>
      </c>
      <c r="C39" s="149"/>
      <c r="D39" s="149">
        <v>3927</v>
      </c>
      <c r="E39" s="142">
        <f t="shared" si="2"/>
        <v>18900</v>
      </c>
      <c r="F39" s="144">
        <v>15</v>
      </c>
      <c r="G39" s="174">
        <f t="shared" si="3"/>
        <v>15000</v>
      </c>
      <c r="H39" s="174">
        <f t="shared" si="4"/>
        <v>-12</v>
      </c>
      <c r="I39" s="175">
        <f>_ЦО!T37+'МХП лазня'!T37+Катеринополь!T37+ВООЗ!T37+Кернел!T37+'Глобино Мк'!T37+'ВООЗ ЕМС'!T37+'ООН 36'!T37+'ООН 37'!T37+'ООН 38'!T37+ООН39!T37+'ООН 40'!T37+'ООН 43'!T37+'ООН 44'!T37+'ООН 45'!V37+ООН46!T37+ООН47!T37+ООН48!T37+ООН49!T37+ООн50!T37+ООН51!T37+Форшахта!T37+'ГАлерея 25.6'!T37+ГРП!AI37+'Парк меляси'!T37+'ООН 42'!T37</f>
        <v>126</v>
      </c>
      <c r="J39" s="44">
        <v>150</v>
      </c>
      <c r="K39" s="310">
        <f>SUMIF(ИТР!B:B,B39,ИТР!R:R)</f>
        <v>0</v>
      </c>
      <c r="L39" s="310">
        <f>SUMIF(_ЦО!$B:$B,B39,_ЦО!T:T)</f>
        <v>0</v>
      </c>
      <c r="M39" s="310">
        <f>SUMIF('МХП лазня'!B:B,B39,'МХП лазня'!T:T)</f>
        <v>0</v>
      </c>
      <c r="N39" s="310">
        <f>SUMIF(Катеринополь!$B:$B,B39,Катеринополь!$T:$T)</f>
        <v>0</v>
      </c>
      <c r="O39" s="310">
        <f>SUMIF(ВООЗ!B:B,B39,ВООЗ!T:T)</f>
        <v>0</v>
      </c>
      <c r="P39" s="310">
        <f>SUMIF(Кернел!B:B,B39,Кернел!T:T)</f>
        <v>0</v>
      </c>
      <c r="Q39" s="310">
        <f>SUMIF('Глобино Мк'!B:B,B39,'Глобино Мк'!T:T)</f>
        <v>11</v>
      </c>
      <c r="R39" s="310">
        <f>SUMIF('ВООЗ ЕМС'!B:B,B39,'ВООЗ ЕМС'!T:T)</f>
        <v>0</v>
      </c>
      <c r="S39" s="310">
        <f>SUMIF('ООН 36'!B:B,B39,'ООН 36'!T:T)</f>
        <v>0</v>
      </c>
      <c r="T39" s="310">
        <f>SUMIF('ООН 37'!B:B,B39,'ООН 37'!T:T)</f>
        <v>0</v>
      </c>
      <c r="U39" s="310">
        <f>SUMIF('ООН 38'!B:B,B39,'ООН 38'!T:T)</f>
        <v>0</v>
      </c>
      <c r="V39" s="310">
        <f>SUMIF(ООН39!B:B,B39,ООН39!T:T)</f>
        <v>0</v>
      </c>
      <c r="W39" s="310">
        <f>SUMIF('ООН 40'!B:B,B39,'ООН 40'!T:T)</f>
        <v>0</v>
      </c>
      <c r="X39" s="310">
        <f>SUMIF('ООН 43'!B:B,B39,'ООН 43'!T:T)</f>
        <v>0</v>
      </c>
      <c r="Y39" s="310">
        <f>SUMIF('ООН 44'!B:B,B39,'ООН 44'!T:T)</f>
        <v>0</v>
      </c>
      <c r="Z39" s="310">
        <f>SUMIF('ООН 45'!B:B,B39,'ООН 45'!V:V)</f>
        <v>11</v>
      </c>
      <c r="AA39" s="310">
        <f>SUMIF(ООН46!B:B,B39,ООН46!T:T)</f>
        <v>11</v>
      </c>
      <c r="AB39" s="310">
        <f>SUMIF(ООН47!B:B,B39,ООН47!T:T)</f>
        <v>22</v>
      </c>
      <c r="AC39" s="310">
        <f>SUMIF(ООН48!B:B,B39,ООН48!T:T)</f>
        <v>11</v>
      </c>
      <c r="AD39" s="310">
        <f>SUMIF(ООН49!B:B,B39,ООН49!T:T)</f>
        <v>0</v>
      </c>
      <c r="AE39" s="310">
        <f>SUMIF(ООн50!B:B,B39,ООн50!T:T)</f>
        <v>0</v>
      </c>
      <c r="AF39" s="310">
        <f>SUMIF(ООН51!B:B,B39,ООН51!T:T)</f>
        <v>0</v>
      </c>
      <c r="AG39" s="310">
        <f>SUMIF(Форшахта!B:B,B39,Форшахта!T:T)</f>
        <v>0</v>
      </c>
      <c r="AH39" s="310">
        <f>SUMIF('ГАлерея 25.6'!B:B,B39,'ГАлерея 25.6'!T:T)</f>
        <v>0</v>
      </c>
      <c r="AI39" s="310">
        <f>SUMIF(ГРП!B:B,B39,ГРП!AI:AI)</f>
        <v>11</v>
      </c>
      <c r="AJ39" s="310">
        <f>SUMIF('Парк меляси'!B:B,B39,'Парк меляси'!T:T)</f>
        <v>49</v>
      </c>
      <c r="AK39" s="310">
        <f>SUMIF('ООН 42'!B:B,B39,'ООН 42'!T:T)</f>
        <v>0</v>
      </c>
      <c r="AL39" s="313">
        <f t="shared" si="5"/>
        <v>0</v>
      </c>
      <c r="AM39" s="311">
        <f t="shared" si="6"/>
        <v>0</v>
      </c>
      <c r="AN39" s="311">
        <f t="shared" si="7"/>
        <v>0</v>
      </c>
      <c r="AO39" s="311">
        <f t="shared" si="8"/>
        <v>0</v>
      </c>
      <c r="AP39" s="311">
        <f t="shared" si="9"/>
        <v>0</v>
      </c>
      <c r="AQ39" s="311">
        <f t="shared" si="10"/>
        <v>0</v>
      </c>
      <c r="AR39" s="311">
        <f t="shared" si="11"/>
        <v>0</v>
      </c>
      <c r="AS39" s="311">
        <f t="shared" si="12"/>
        <v>1309.5238095238096</v>
      </c>
      <c r="AT39" s="311">
        <f t="shared" si="13"/>
        <v>0</v>
      </c>
      <c r="AU39" s="311">
        <f t="shared" si="14"/>
        <v>0</v>
      </c>
      <c r="AV39" s="311">
        <f t="shared" si="15"/>
        <v>0</v>
      </c>
      <c r="AW39" s="311">
        <f t="shared" si="16"/>
        <v>0</v>
      </c>
      <c r="AX39" s="311">
        <f t="shared" si="17"/>
        <v>0</v>
      </c>
      <c r="AY39" s="311">
        <f t="shared" si="18"/>
        <v>0</v>
      </c>
      <c r="AZ39" s="311">
        <f t="shared" si="19"/>
        <v>0</v>
      </c>
      <c r="BA39" s="311">
        <f t="shared" si="20"/>
        <v>0</v>
      </c>
      <c r="BB39" s="311">
        <f t="shared" si="21"/>
        <v>1309.5238095238096</v>
      </c>
      <c r="BC39" s="311">
        <f t="shared" si="22"/>
        <v>1309.5238095238096</v>
      </c>
      <c r="BD39" s="311">
        <f t="shared" si="23"/>
        <v>2619.0476190476193</v>
      </c>
      <c r="BE39" s="311">
        <f t="shared" si="24"/>
        <v>1309.5238095238096</v>
      </c>
      <c r="BF39" s="311">
        <f t="shared" si="25"/>
        <v>0</v>
      </c>
      <c r="BG39" s="311">
        <f t="shared" si="26"/>
        <v>0</v>
      </c>
      <c r="BH39" s="311">
        <f t="shared" si="27"/>
        <v>0</v>
      </c>
      <c r="BI39" s="311">
        <f t="shared" si="28"/>
        <v>0</v>
      </c>
      <c r="BJ39" s="311">
        <f t="shared" si="29"/>
        <v>0</v>
      </c>
      <c r="BK39" s="311">
        <f t="shared" si="30"/>
        <v>1309.5238095238096</v>
      </c>
      <c r="BL39" s="311">
        <f t="shared" si="31"/>
        <v>5833.3333333333339</v>
      </c>
      <c r="BM39" s="311">
        <f t="shared" si="32"/>
        <v>0</v>
      </c>
      <c r="BN39" s="315">
        <f t="shared" si="33"/>
        <v>15000</v>
      </c>
      <c r="BO39" s="316">
        <f t="shared" si="34"/>
        <v>0</v>
      </c>
    </row>
    <row r="40" spans="1:67" ht="15.75" outlineLevel="1" x14ac:dyDescent="0.25">
      <c r="A40" s="148">
        <v>37</v>
      </c>
      <c r="B40" s="149" t="s">
        <v>632</v>
      </c>
      <c r="C40" s="149"/>
      <c r="D40" s="149">
        <v>3141.6</v>
      </c>
      <c r="E40" s="142">
        <f t="shared" si="2"/>
        <v>12450</v>
      </c>
      <c r="F40" s="144">
        <v>32.010000000000218</v>
      </c>
      <c r="G40" s="174">
        <f t="shared" si="3"/>
        <v>9300</v>
      </c>
      <c r="H40" s="174">
        <f t="shared" si="4"/>
        <v>40.410000000000309</v>
      </c>
      <c r="I40" s="175">
        <f>_ЦО!T38+'МХП лазня'!T38+Катеринополь!T38+ВООЗ!T38+Кернел!T38+'Глобино Мк'!T38+'ВООЗ ЕМС'!T38+'ООН 36'!T38+'ООН 37'!T38+'ООН 38'!T38+ООН39!T38+'ООН 40'!T38+'ООН 43'!T38+'ООН 44'!T38+'ООН 45'!V38+ООН46!T38+ООН47!T38+ООН48!T38+ООН49!T38+ООн50!T38+ООН51!T38+Форшахта!T38+'ГАлерея 25.6'!T38+ГРП!AI38+'Парк меляси'!T38+'ООН 42'!T38</f>
        <v>83</v>
      </c>
      <c r="J40" s="44">
        <v>150</v>
      </c>
      <c r="K40" s="310">
        <f>SUMIF(ИТР!B:B,B40,ИТР!R:R)</f>
        <v>0</v>
      </c>
      <c r="L40" s="310">
        <f>SUMIF(_ЦО!$B:$B,B40,_ЦО!T:T)</f>
        <v>0</v>
      </c>
      <c r="M40" s="310">
        <f>SUMIF('МХП лазня'!B:B,B40,'МХП лазня'!T:T)</f>
        <v>0</v>
      </c>
      <c r="N40" s="310">
        <f>SUMIF(Катеринополь!$B:$B,B40,Катеринополь!$T:$T)</f>
        <v>0</v>
      </c>
      <c r="O40" s="310">
        <f>SUMIF(ВООЗ!B:B,B40,ВООЗ!T:T)</f>
        <v>0</v>
      </c>
      <c r="P40" s="310">
        <f>SUMIF(Кернел!B:B,B40,Кернел!T:T)</f>
        <v>0</v>
      </c>
      <c r="Q40" s="310">
        <f>SUMIF('Глобино Мк'!B:B,B40,'Глобино Мк'!T:T)</f>
        <v>0</v>
      </c>
      <c r="R40" s="310">
        <f>SUMIF('ВООЗ ЕМС'!B:B,B40,'ВООЗ ЕМС'!T:T)</f>
        <v>0</v>
      </c>
      <c r="S40" s="310">
        <f>SUMIF('ООН 36'!B:B,B40,'ООН 36'!T:T)</f>
        <v>0</v>
      </c>
      <c r="T40" s="310">
        <f>SUMIF('ООН 37'!B:B,B40,'ООН 37'!T:T)</f>
        <v>0</v>
      </c>
      <c r="U40" s="310">
        <f>SUMIF('ООН 38'!B:B,B40,'ООН 38'!T:T)</f>
        <v>0</v>
      </c>
      <c r="V40" s="310">
        <f>SUMIF(ООН39!B:B,B40,ООН39!T:T)</f>
        <v>0</v>
      </c>
      <c r="W40" s="310">
        <f>SUMIF('ООН 40'!B:B,B40,'ООН 40'!T:T)</f>
        <v>0</v>
      </c>
      <c r="X40" s="310">
        <f>SUMIF('ООН 43'!B:B,B40,'ООН 43'!T:T)</f>
        <v>0</v>
      </c>
      <c r="Y40" s="310">
        <f>SUMIF('ООН 44'!B:B,B40,'ООН 44'!T:T)</f>
        <v>0</v>
      </c>
      <c r="Z40" s="310">
        <f>SUMIF('ООН 45'!B:B,B40,'ООН 45'!V:V)</f>
        <v>33</v>
      </c>
      <c r="AA40" s="310">
        <f>SUMIF(ООН46!B:B,B40,ООН46!T:T)</f>
        <v>11</v>
      </c>
      <c r="AB40" s="310">
        <f>SUMIF(ООН47!B:B,B40,ООН47!T:T)</f>
        <v>39</v>
      </c>
      <c r="AC40" s="310">
        <f>SUMIF(ООН48!B:B,B40,ООН48!T:T)</f>
        <v>0</v>
      </c>
      <c r="AD40" s="310">
        <f>SUMIF(ООН49!B:B,B40,ООН49!T:T)</f>
        <v>0</v>
      </c>
      <c r="AE40" s="310">
        <f>SUMIF(ООн50!B:B,B40,ООн50!T:T)</f>
        <v>0</v>
      </c>
      <c r="AF40" s="310">
        <f>SUMIF(ООН51!B:B,B40,ООН51!T:T)</f>
        <v>0</v>
      </c>
      <c r="AG40" s="310">
        <f>SUMIF(Форшахта!B:B,B40,Форшахта!T:T)</f>
        <v>0</v>
      </c>
      <c r="AH40" s="310">
        <f>SUMIF('ГАлерея 25.6'!B:B,B40,'ГАлерея 25.6'!T:T)</f>
        <v>0</v>
      </c>
      <c r="AI40" s="310">
        <f>SUMIF(ГРП!B:B,B40,ГРП!AI:AI)</f>
        <v>0</v>
      </c>
      <c r="AJ40" s="310">
        <f>SUMIF('Парк меляси'!B:B,B40,'Парк меляси'!T:T)</f>
        <v>0</v>
      </c>
      <c r="AK40" s="310">
        <f>SUMIF('ООН 42'!B:B,B40,'ООН 42'!T:T)</f>
        <v>0</v>
      </c>
      <c r="AL40" s="313">
        <f t="shared" si="5"/>
        <v>0</v>
      </c>
      <c r="AM40" s="311">
        <f t="shared" si="6"/>
        <v>0</v>
      </c>
      <c r="AN40" s="311">
        <f t="shared" si="7"/>
        <v>0</v>
      </c>
      <c r="AO40" s="311">
        <f t="shared" si="8"/>
        <v>0</v>
      </c>
      <c r="AP40" s="311">
        <f t="shared" si="9"/>
        <v>0</v>
      </c>
      <c r="AQ40" s="311">
        <f t="shared" si="10"/>
        <v>0</v>
      </c>
      <c r="AR40" s="311">
        <f t="shared" si="11"/>
        <v>0</v>
      </c>
      <c r="AS40" s="311">
        <f t="shared" si="12"/>
        <v>0</v>
      </c>
      <c r="AT40" s="311">
        <f t="shared" si="13"/>
        <v>0</v>
      </c>
      <c r="AU40" s="311">
        <f t="shared" si="14"/>
        <v>0</v>
      </c>
      <c r="AV40" s="311">
        <f t="shared" si="15"/>
        <v>0</v>
      </c>
      <c r="AW40" s="311">
        <f t="shared" si="16"/>
        <v>0</v>
      </c>
      <c r="AX40" s="311">
        <f t="shared" si="17"/>
        <v>0</v>
      </c>
      <c r="AY40" s="311">
        <f t="shared" si="18"/>
        <v>0</v>
      </c>
      <c r="AZ40" s="311">
        <f t="shared" si="19"/>
        <v>0</v>
      </c>
      <c r="BA40" s="311">
        <f t="shared" si="20"/>
        <v>0</v>
      </c>
      <c r="BB40" s="311">
        <f t="shared" si="21"/>
        <v>3697.5903614457829</v>
      </c>
      <c r="BC40" s="311">
        <f t="shared" si="22"/>
        <v>1232.5301204819277</v>
      </c>
      <c r="BD40" s="311">
        <f t="shared" si="23"/>
        <v>4369.8795180722891</v>
      </c>
      <c r="BE40" s="311">
        <f t="shared" si="24"/>
        <v>0</v>
      </c>
      <c r="BF40" s="311">
        <f t="shared" si="25"/>
        <v>0</v>
      </c>
      <c r="BG40" s="311">
        <f t="shared" si="26"/>
        <v>0</v>
      </c>
      <c r="BH40" s="311">
        <f t="shared" si="27"/>
        <v>0</v>
      </c>
      <c r="BI40" s="311">
        <f t="shared" si="28"/>
        <v>0</v>
      </c>
      <c r="BJ40" s="311">
        <f t="shared" si="29"/>
        <v>0</v>
      </c>
      <c r="BK40" s="311">
        <f t="shared" si="30"/>
        <v>0</v>
      </c>
      <c r="BL40" s="311">
        <f t="shared" si="31"/>
        <v>0</v>
      </c>
      <c r="BM40" s="311">
        <f t="shared" si="32"/>
        <v>0</v>
      </c>
      <c r="BN40" s="315">
        <f t="shared" si="33"/>
        <v>9300</v>
      </c>
      <c r="BO40" s="316">
        <f t="shared" si="34"/>
        <v>0</v>
      </c>
    </row>
    <row r="41" spans="1:67" ht="15.75" outlineLevel="1" x14ac:dyDescent="0.25">
      <c r="A41" s="148">
        <v>38</v>
      </c>
      <c r="B41" s="149" t="s">
        <v>633</v>
      </c>
      <c r="C41" s="149"/>
      <c r="D41" s="149"/>
      <c r="E41" s="142">
        <f t="shared" si="2"/>
        <v>18300</v>
      </c>
      <c r="F41" s="144">
        <v>0</v>
      </c>
      <c r="G41" s="174">
        <f t="shared" si="3"/>
        <v>18300</v>
      </c>
      <c r="H41" s="174">
        <f t="shared" si="4"/>
        <v>0</v>
      </c>
      <c r="I41" s="175">
        <f>_ЦО!T39+'МХП лазня'!T39+Катеринополь!T39+ВООЗ!T39+Кернел!T39+'Глобино Мк'!T39+'ВООЗ ЕМС'!T39+'ООН 36'!T39+'ООН 37'!T39+'ООН 38'!T39+ООН39!T39+'ООН 40'!T39+'ООН 43'!T39+'ООН 44'!T39+'ООН 45'!V39+ООН46!T39+ООН47!T39+ООН48!T39+ООН49!T39+ООн50!T39+ООН51!T39+Форшахта!T39+'ГАлерея 25.6'!T39+ГРП!AI39+'Парк меляси'!T39+'ООН 42'!T39</f>
        <v>122</v>
      </c>
      <c r="J41" s="44">
        <v>150</v>
      </c>
      <c r="K41" s="310">
        <f>SUMIF(ИТР!B:B,B41,ИТР!R:R)</f>
        <v>0</v>
      </c>
      <c r="L41" s="310">
        <f>SUMIF(_ЦО!$B:$B,B41,_ЦО!T:T)</f>
        <v>0</v>
      </c>
      <c r="M41" s="310">
        <f>SUMIF('МХП лазня'!B:B,B41,'МХП лазня'!T:T)</f>
        <v>0</v>
      </c>
      <c r="N41" s="310">
        <f>SUMIF(Катеринополь!$B:$B,B41,Катеринополь!$T:$T)</f>
        <v>22</v>
      </c>
      <c r="O41" s="310">
        <f>SUMIF(ВООЗ!B:B,B41,ВООЗ!T:T)</f>
        <v>0</v>
      </c>
      <c r="P41" s="310">
        <f>SUMIF(Кернел!B:B,B41,Кернел!T:T)</f>
        <v>0</v>
      </c>
      <c r="Q41" s="310">
        <f>SUMIF('Глобино Мк'!B:B,B41,'Глобино Мк'!T:T)</f>
        <v>39</v>
      </c>
      <c r="R41" s="310">
        <f>SUMIF('ВООЗ ЕМС'!B:B,B41,'ВООЗ ЕМС'!T:T)</f>
        <v>0</v>
      </c>
      <c r="S41" s="310">
        <f>SUMIF('ООН 36'!B:B,B41,'ООН 36'!T:T)</f>
        <v>0</v>
      </c>
      <c r="T41" s="310">
        <f>SUMIF('ООН 37'!B:B,B41,'ООН 37'!T:T)</f>
        <v>0</v>
      </c>
      <c r="U41" s="310">
        <f>SUMIF('ООН 38'!B:B,B41,'ООН 38'!T:T)</f>
        <v>0</v>
      </c>
      <c r="V41" s="310">
        <f>SUMIF(ООН39!B:B,B41,ООН39!T:T)</f>
        <v>0</v>
      </c>
      <c r="W41" s="310">
        <f>SUMIF('ООН 40'!B:B,B41,'ООН 40'!T:T)</f>
        <v>0</v>
      </c>
      <c r="X41" s="310">
        <f>SUMIF('ООН 43'!B:B,B41,'ООН 43'!T:T)</f>
        <v>0</v>
      </c>
      <c r="Y41" s="310">
        <f>SUMIF('ООН 44'!B:B,B41,'ООН 44'!T:T)</f>
        <v>0</v>
      </c>
      <c r="Z41" s="310">
        <f>SUMIF('ООН 45'!B:B,B41,'ООН 45'!V:V)</f>
        <v>0</v>
      </c>
      <c r="AA41" s="310">
        <f>SUMIF(ООН46!B:B,B41,ООН46!T:T)</f>
        <v>11</v>
      </c>
      <c r="AB41" s="310">
        <f>SUMIF(ООН47!B:B,B41,ООН47!T:T)</f>
        <v>0</v>
      </c>
      <c r="AC41" s="310">
        <f>SUMIF(ООН48!B:B,B41,ООН48!T:T)</f>
        <v>0</v>
      </c>
      <c r="AD41" s="310">
        <f>SUMIF(ООН49!B:B,B41,ООН49!T:T)</f>
        <v>0</v>
      </c>
      <c r="AE41" s="310">
        <f>SUMIF(ООн50!B:B,B41,ООн50!T:T)</f>
        <v>0</v>
      </c>
      <c r="AF41" s="310">
        <f>SUMIF(ООН51!B:B,B41,ООН51!T:T)</f>
        <v>0</v>
      </c>
      <c r="AG41" s="310">
        <f>SUMIF(Форшахта!B:B,B41,Форшахта!T:T)</f>
        <v>0</v>
      </c>
      <c r="AH41" s="310">
        <f>SUMIF('ГАлерея 25.6'!B:B,B41,'ГАлерея 25.6'!T:T)</f>
        <v>22</v>
      </c>
      <c r="AI41" s="310">
        <f>SUMIF(ГРП!B:B,B41,ГРП!AI:AI)</f>
        <v>6</v>
      </c>
      <c r="AJ41" s="310">
        <f>SUMIF('Парк меляси'!B:B,B41,'Парк меляси'!T:T)</f>
        <v>22</v>
      </c>
      <c r="AK41" s="310">
        <f>SUMIF('ООН 42'!B:B,B41,'ООН 42'!T:T)</f>
        <v>0</v>
      </c>
      <c r="AL41" s="313">
        <f t="shared" si="5"/>
        <v>0</v>
      </c>
      <c r="AM41" s="311">
        <f t="shared" si="6"/>
        <v>0</v>
      </c>
      <c r="AN41" s="311">
        <f t="shared" si="7"/>
        <v>0</v>
      </c>
      <c r="AO41" s="311">
        <f t="shared" si="8"/>
        <v>0</v>
      </c>
      <c r="AP41" s="311">
        <f t="shared" si="9"/>
        <v>3300</v>
      </c>
      <c r="AQ41" s="311">
        <f t="shared" si="10"/>
        <v>0</v>
      </c>
      <c r="AR41" s="311">
        <f t="shared" si="11"/>
        <v>0</v>
      </c>
      <c r="AS41" s="311">
        <f t="shared" si="12"/>
        <v>5850</v>
      </c>
      <c r="AT41" s="311">
        <f t="shared" si="13"/>
        <v>0</v>
      </c>
      <c r="AU41" s="311">
        <f t="shared" si="14"/>
        <v>0</v>
      </c>
      <c r="AV41" s="311">
        <f t="shared" si="15"/>
        <v>0</v>
      </c>
      <c r="AW41" s="311">
        <f t="shared" si="16"/>
        <v>0</v>
      </c>
      <c r="AX41" s="311">
        <f t="shared" si="17"/>
        <v>0</v>
      </c>
      <c r="AY41" s="311">
        <f t="shared" si="18"/>
        <v>0</v>
      </c>
      <c r="AZ41" s="311">
        <f t="shared" si="19"/>
        <v>0</v>
      </c>
      <c r="BA41" s="311">
        <f t="shared" si="20"/>
        <v>0</v>
      </c>
      <c r="BB41" s="311">
        <f t="shared" si="21"/>
        <v>0</v>
      </c>
      <c r="BC41" s="311">
        <f t="shared" si="22"/>
        <v>1650</v>
      </c>
      <c r="BD41" s="311">
        <f t="shared" si="23"/>
        <v>0</v>
      </c>
      <c r="BE41" s="311">
        <f t="shared" si="24"/>
        <v>0</v>
      </c>
      <c r="BF41" s="311">
        <f t="shared" si="25"/>
        <v>0</v>
      </c>
      <c r="BG41" s="311">
        <f t="shared" si="26"/>
        <v>0</v>
      </c>
      <c r="BH41" s="311">
        <f t="shared" si="27"/>
        <v>0</v>
      </c>
      <c r="BI41" s="311">
        <f t="shared" si="28"/>
        <v>0</v>
      </c>
      <c r="BJ41" s="311">
        <f t="shared" si="29"/>
        <v>3300</v>
      </c>
      <c r="BK41" s="311">
        <f t="shared" si="30"/>
        <v>900</v>
      </c>
      <c r="BL41" s="311">
        <f t="shared" si="31"/>
        <v>3300</v>
      </c>
      <c r="BM41" s="311">
        <f t="shared" si="32"/>
        <v>0</v>
      </c>
      <c r="BN41" s="315">
        <f t="shared" si="33"/>
        <v>18300</v>
      </c>
      <c r="BO41" s="316">
        <f t="shared" si="34"/>
        <v>0</v>
      </c>
    </row>
    <row r="42" spans="1:67" ht="15.75" x14ac:dyDescent="0.25">
      <c r="A42" s="148">
        <v>39</v>
      </c>
      <c r="B42" s="149" t="s">
        <v>634</v>
      </c>
      <c r="C42" s="149"/>
      <c r="D42" s="149"/>
      <c r="E42" s="142">
        <f t="shared" si="2"/>
        <v>27450</v>
      </c>
      <c r="F42" s="144">
        <v>0</v>
      </c>
      <c r="G42" s="174">
        <f t="shared" si="3"/>
        <v>27500</v>
      </c>
      <c r="H42" s="174">
        <f t="shared" si="4"/>
        <v>-50</v>
      </c>
      <c r="I42" s="175">
        <f>_ЦО!T40+'МХП лазня'!T40+Катеринополь!T40+ВООЗ!T40+Кернел!T40+'Глобино Мк'!T40+'ВООЗ ЕМС'!T40+'ООН 36'!T40+'ООН 37'!T40+'ООН 38'!T40+ООН39!T40+'ООН 40'!T40+'ООН 43'!T40+'ООН 44'!T40+'ООН 45'!V40+ООН46!T40+ООН47!T40+ООН48!T40+ООН49!T40+ООн50!T40+ООН51!T40+Форшахта!T40+'ГАлерея 25.6'!T40+ГРП!AI40+'Парк меляси'!T40+'ООН 42'!T40</f>
        <v>183</v>
      </c>
      <c r="J42" s="44">
        <v>150</v>
      </c>
      <c r="K42" s="310">
        <f>SUMIF(ИТР!B:B,B42,ИТР!R:R)</f>
        <v>0</v>
      </c>
      <c r="L42" s="310">
        <f>SUMIF(_ЦО!$B:$B,B42,_ЦО!T:T)</f>
        <v>0</v>
      </c>
      <c r="M42" s="310">
        <f>SUMIF('МХП лазня'!B:B,B42,'МХП лазня'!T:T)</f>
        <v>0</v>
      </c>
      <c r="N42" s="310">
        <f>SUMIF(Катеринополь!$B:$B,B42,Катеринополь!$T:$T)</f>
        <v>11</v>
      </c>
      <c r="O42" s="310">
        <f>SUMIF(ВООЗ!B:B,B42,ВООЗ!T:T)</f>
        <v>0</v>
      </c>
      <c r="P42" s="310">
        <f>SUMIF(Кернел!B:B,B42,Кернел!T:T)</f>
        <v>0</v>
      </c>
      <c r="Q42" s="310">
        <f>SUMIF('Глобино Мк'!B:B,B42,'Глобино Мк'!T:T)</f>
        <v>50</v>
      </c>
      <c r="R42" s="310">
        <f>SUMIF('ВООЗ ЕМС'!B:B,B42,'ВООЗ ЕМС'!T:T)</f>
        <v>0</v>
      </c>
      <c r="S42" s="310">
        <f>SUMIF('ООН 36'!B:B,B42,'ООН 36'!T:T)</f>
        <v>0</v>
      </c>
      <c r="T42" s="310">
        <f>SUMIF('ООН 37'!B:B,B42,'ООН 37'!T:T)</f>
        <v>0</v>
      </c>
      <c r="U42" s="310">
        <f>SUMIF('ООН 38'!B:B,B42,'ООН 38'!T:T)</f>
        <v>0</v>
      </c>
      <c r="V42" s="310">
        <f>SUMIF(ООН39!B:B,B42,ООН39!T:T)</f>
        <v>0</v>
      </c>
      <c r="W42" s="310">
        <f>SUMIF('ООН 40'!B:B,B42,'ООН 40'!T:T)</f>
        <v>0</v>
      </c>
      <c r="X42" s="310">
        <f>SUMIF('ООН 43'!B:B,B42,'ООН 43'!T:T)</f>
        <v>0</v>
      </c>
      <c r="Y42" s="310">
        <f>SUMIF('ООН 44'!B:B,B42,'ООН 44'!T:T)</f>
        <v>0</v>
      </c>
      <c r="Z42" s="310">
        <f>SUMIF('ООН 45'!B:B,B42,'ООН 45'!V:V)</f>
        <v>0</v>
      </c>
      <c r="AA42" s="310">
        <f>SUMIF(ООН46!B:B,B42,ООН46!T:T)</f>
        <v>11</v>
      </c>
      <c r="AB42" s="310">
        <f>SUMIF(ООН47!B:B,B42,ООН47!T:T)</f>
        <v>0</v>
      </c>
      <c r="AC42" s="310">
        <f>SUMIF(ООН48!B:B,B42,ООН48!T:T)</f>
        <v>11</v>
      </c>
      <c r="AD42" s="310">
        <f>SUMIF(ООН49!B:B,B42,ООН49!T:T)</f>
        <v>11</v>
      </c>
      <c r="AE42" s="310">
        <f>SUMIF(ООн50!B:B,B42,ООн50!T:T)</f>
        <v>28</v>
      </c>
      <c r="AF42" s="310">
        <f>SUMIF(ООН51!B:B,B42,ООН51!T:T)</f>
        <v>0</v>
      </c>
      <c r="AG42" s="310">
        <f>SUMIF(Форшахта!B:B,B42,Форшахта!T:T)</f>
        <v>0</v>
      </c>
      <c r="AH42" s="310">
        <f>SUMIF('ГАлерея 25.6'!B:B,B42,'ГАлерея 25.6'!T:T)</f>
        <v>50</v>
      </c>
      <c r="AI42" s="310">
        <f>SUMIF(ГРП!B:B,B42,ГРП!AI:AI)</f>
        <v>0</v>
      </c>
      <c r="AJ42" s="310">
        <f>SUMIF('Парк меляси'!B:B,B42,'Парк меляси'!T:T)</f>
        <v>11</v>
      </c>
      <c r="AK42" s="310">
        <f>SUMIF('ООН 42'!B:B,B42,'ООН 42'!T:T)</f>
        <v>0</v>
      </c>
      <c r="AL42" s="313">
        <f t="shared" si="5"/>
        <v>0</v>
      </c>
      <c r="AM42" s="311">
        <f t="shared" si="6"/>
        <v>0</v>
      </c>
      <c r="AN42" s="311">
        <f t="shared" si="7"/>
        <v>0</v>
      </c>
      <c r="AO42" s="311">
        <f t="shared" si="8"/>
        <v>0</v>
      </c>
      <c r="AP42" s="311">
        <f t="shared" si="9"/>
        <v>1653.0054644808745</v>
      </c>
      <c r="AQ42" s="311">
        <f t="shared" si="10"/>
        <v>0</v>
      </c>
      <c r="AR42" s="311">
        <f t="shared" si="11"/>
        <v>0</v>
      </c>
      <c r="AS42" s="311">
        <f t="shared" si="12"/>
        <v>7513.6612021857927</v>
      </c>
      <c r="AT42" s="311">
        <f t="shared" si="13"/>
        <v>0</v>
      </c>
      <c r="AU42" s="311">
        <f t="shared" si="14"/>
        <v>0</v>
      </c>
      <c r="AV42" s="311">
        <f t="shared" si="15"/>
        <v>0</v>
      </c>
      <c r="AW42" s="311">
        <f t="shared" si="16"/>
        <v>0</v>
      </c>
      <c r="AX42" s="311">
        <f t="shared" si="17"/>
        <v>0</v>
      </c>
      <c r="AY42" s="311">
        <f t="shared" si="18"/>
        <v>0</v>
      </c>
      <c r="AZ42" s="311">
        <f t="shared" si="19"/>
        <v>0</v>
      </c>
      <c r="BA42" s="311">
        <f t="shared" si="20"/>
        <v>0</v>
      </c>
      <c r="BB42" s="311">
        <f t="shared" si="21"/>
        <v>0</v>
      </c>
      <c r="BC42" s="311">
        <f t="shared" si="22"/>
        <v>1653.0054644808745</v>
      </c>
      <c r="BD42" s="311">
        <f t="shared" si="23"/>
        <v>0</v>
      </c>
      <c r="BE42" s="311">
        <f t="shared" si="24"/>
        <v>1653.0054644808745</v>
      </c>
      <c r="BF42" s="311">
        <f t="shared" si="25"/>
        <v>1653.0054644808745</v>
      </c>
      <c r="BG42" s="311">
        <f t="shared" si="26"/>
        <v>4207.6502732240442</v>
      </c>
      <c r="BH42" s="311">
        <f t="shared" si="27"/>
        <v>0</v>
      </c>
      <c r="BI42" s="311">
        <f t="shared" si="28"/>
        <v>0</v>
      </c>
      <c r="BJ42" s="311">
        <f t="shared" si="29"/>
        <v>7513.6612021857927</v>
      </c>
      <c r="BK42" s="311">
        <f t="shared" si="30"/>
        <v>0</v>
      </c>
      <c r="BL42" s="311">
        <f t="shared" si="31"/>
        <v>1653.0054644808745</v>
      </c>
      <c r="BM42" s="311">
        <f t="shared" si="32"/>
        <v>0</v>
      </c>
      <c r="BN42" s="315">
        <f t="shared" si="33"/>
        <v>27500.000000000004</v>
      </c>
      <c r="BO42" s="316">
        <f t="shared" si="34"/>
        <v>0</v>
      </c>
    </row>
    <row r="43" spans="1:67" ht="15.75" x14ac:dyDescent="0.25">
      <c r="A43" s="148">
        <v>40</v>
      </c>
      <c r="B43" s="149" t="s">
        <v>636</v>
      </c>
      <c r="C43" s="149"/>
      <c r="D43" s="149"/>
      <c r="E43" s="142">
        <f t="shared" si="2"/>
        <v>13200</v>
      </c>
      <c r="F43" s="144">
        <v>0</v>
      </c>
      <c r="G43" s="174">
        <f t="shared" si="3"/>
        <v>13200</v>
      </c>
      <c r="H43" s="174">
        <f t="shared" si="4"/>
        <v>0</v>
      </c>
      <c r="I43" s="175">
        <f>_ЦО!T41+'МХП лазня'!T41+Катеринополь!T41+ВООЗ!T41+Кернел!T41+'Глобино Мк'!T41+'ВООЗ ЕМС'!T41+'ООН 36'!T41+'ООН 37'!T41+'ООН 38'!T41+ООН39!T41+'ООН 40'!T41+'ООН 43'!T41+'ООН 44'!T41+'ООН 45'!V41+ООН46!T41+ООН47!T41+ООН48!T41+ООН49!T41+ООн50!T41+ООН51!T41+Форшахта!T41+'ГАлерея 25.6'!T41+ГРП!AI41+'Парк меляси'!T41+'ООН 42'!T41</f>
        <v>88</v>
      </c>
      <c r="J43" s="44">
        <v>150</v>
      </c>
      <c r="K43" s="310">
        <f>SUMIF(ИТР!B:B,B43,ИТР!R:R)</f>
        <v>0</v>
      </c>
      <c r="L43" s="310">
        <f>SUMIF(_ЦО!$B:$B,B43,_ЦО!T:T)</f>
        <v>0</v>
      </c>
      <c r="M43" s="310">
        <f>SUMIF('МХП лазня'!B:B,B43,'МХП лазня'!T:T)</f>
        <v>0</v>
      </c>
      <c r="N43" s="310">
        <f>SUMIF(Катеринополь!$B:$B,B43,Катеринополь!$T:$T)</f>
        <v>0</v>
      </c>
      <c r="O43" s="310">
        <f>SUMIF(ВООЗ!B:B,B43,ВООЗ!T:T)</f>
        <v>0</v>
      </c>
      <c r="P43" s="310">
        <f>SUMIF(Кернел!B:B,B43,Кернел!T:T)</f>
        <v>0</v>
      </c>
      <c r="Q43" s="310">
        <f>SUMIF('Глобино Мк'!B:B,B43,'Глобино Мк'!T:T)</f>
        <v>0</v>
      </c>
      <c r="R43" s="310">
        <f>SUMIF('ВООЗ ЕМС'!B:B,B43,'ВООЗ ЕМС'!T:T)</f>
        <v>0</v>
      </c>
      <c r="S43" s="310">
        <f>SUMIF('ООН 36'!B:B,B43,'ООН 36'!T:T)</f>
        <v>0</v>
      </c>
      <c r="T43" s="310">
        <f>SUMIF('ООН 37'!B:B,B43,'ООН 37'!T:T)</f>
        <v>0</v>
      </c>
      <c r="U43" s="310">
        <f>SUMIF('ООН 38'!B:B,B43,'ООН 38'!T:T)</f>
        <v>0</v>
      </c>
      <c r="V43" s="310">
        <f>SUMIF(ООН39!B:B,B43,ООН39!T:T)</f>
        <v>0</v>
      </c>
      <c r="W43" s="310">
        <f>SUMIF('ООН 40'!B:B,B43,'ООН 40'!T:T)</f>
        <v>0</v>
      </c>
      <c r="X43" s="310">
        <f>SUMIF('ООН 43'!B:B,B43,'ООН 43'!T:T)</f>
        <v>0</v>
      </c>
      <c r="Y43" s="310">
        <f>SUMIF('ООН 44'!B:B,B43,'ООН 44'!T:T)</f>
        <v>0</v>
      </c>
      <c r="Z43" s="310">
        <f>SUMIF('ООН 45'!B:B,B43,'ООН 45'!V:V)</f>
        <v>22</v>
      </c>
      <c r="AA43" s="310">
        <f>SUMIF(ООН46!B:B,B43,ООН46!T:T)</f>
        <v>11</v>
      </c>
      <c r="AB43" s="310">
        <f>SUMIF(ООН47!B:B,B43,ООН47!T:T)</f>
        <v>33</v>
      </c>
      <c r="AC43" s="310">
        <f>SUMIF(ООН48!B:B,B43,ООН48!T:T)</f>
        <v>22</v>
      </c>
      <c r="AD43" s="310">
        <f>SUMIF(ООН49!B:B,B43,ООН49!T:T)</f>
        <v>0</v>
      </c>
      <c r="AE43" s="310">
        <f>SUMIF(ООн50!B:B,B43,ООн50!T:T)</f>
        <v>0</v>
      </c>
      <c r="AF43" s="310">
        <f>SUMIF(ООН51!B:B,B43,ООН51!T:T)</f>
        <v>0</v>
      </c>
      <c r="AG43" s="310">
        <f>SUMIF(Форшахта!B:B,B43,Форшахта!T:T)</f>
        <v>0</v>
      </c>
      <c r="AH43" s="310">
        <f>SUMIF('ГАлерея 25.6'!B:B,B43,'ГАлерея 25.6'!T:T)</f>
        <v>0</v>
      </c>
      <c r="AI43" s="310">
        <f>SUMIF(ГРП!B:B,B43,ГРП!AI:AI)</f>
        <v>0</v>
      </c>
      <c r="AJ43" s="310">
        <f>SUMIF('Парк меляси'!B:B,B43,'Парк меляси'!T:T)</f>
        <v>0</v>
      </c>
      <c r="AK43" s="310">
        <f>SUMIF('ООН 42'!B:B,B43,'ООН 42'!T:T)</f>
        <v>0</v>
      </c>
      <c r="AL43" s="313">
        <f t="shared" si="5"/>
        <v>0</v>
      </c>
      <c r="AM43" s="311">
        <f t="shared" si="6"/>
        <v>0</v>
      </c>
      <c r="AN43" s="311">
        <f t="shared" si="7"/>
        <v>0</v>
      </c>
      <c r="AO43" s="311">
        <f t="shared" si="8"/>
        <v>0</v>
      </c>
      <c r="AP43" s="311">
        <f t="shared" si="9"/>
        <v>0</v>
      </c>
      <c r="AQ43" s="311">
        <f t="shared" si="10"/>
        <v>0</v>
      </c>
      <c r="AR43" s="311">
        <f t="shared" si="11"/>
        <v>0</v>
      </c>
      <c r="AS43" s="311">
        <f t="shared" si="12"/>
        <v>0</v>
      </c>
      <c r="AT43" s="311">
        <f t="shared" si="13"/>
        <v>0</v>
      </c>
      <c r="AU43" s="311">
        <f t="shared" si="14"/>
        <v>0</v>
      </c>
      <c r="AV43" s="311">
        <f t="shared" si="15"/>
        <v>0</v>
      </c>
      <c r="AW43" s="311">
        <f t="shared" si="16"/>
        <v>0</v>
      </c>
      <c r="AX43" s="311">
        <f t="shared" si="17"/>
        <v>0</v>
      </c>
      <c r="AY43" s="311">
        <f t="shared" si="18"/>
        <v>0</v>
      </c>
      <c r="AZ43" s="311">
        <f t="shared" si="19"/>
        <v>0</v>
      </c>
      <c r="BA43" s="311">
        <f t="shared" si="20"/>
        <v>0</v>
      </c>
      <c r="BB43" s="311">
        <f t="shared" si="21"/>
        <v>3300</v>
      </c>
      <c r="BC43" s="311">
        <f t="shared" si="22"/>
        <v>1650</v>
      </c>
      <c r="BD43" s="311">
        <f t="shared" si="23"/>
        <v>4950</v>
      </c>
      <c r="BE43" s="311">
        <f t="shared" si="24"/>
        <v>3300</v>
      </c>
      <c r="BF43" s="311">
        <f t="shared" si="25"/>
        <v>0</v>
      </c>
      <c r="BG43" s="311">
        <f t="shared" si="26"/>
        <v>0</v>
      </c>
      <c r="BH43" s="311">
        <f t="shared" si="27"/>
        <v>0</v>
      </c>
      <c r="BI43" s="311">
        <f t="shared" si="28"/>
        <v>0</v>
      </c>
      <c r="BJ43" s="311">
        <f t="shared" si="29"/>
        <v>0</v>
      </c>
      <c r="BK43" s="311">
        <f t="shared" si="30"/>
        <v>0</v>
      </c>
      <c r="BL43" s="311">
        <f t="shared" si="31"/>
        <v>0</v>
      </c>
      <c r="BM43" s="311">
        <f t="shared" si="32"/>
        <v>0</v>
      </c>
      <c r="BN43" s="315">
        <f t="shared" si="33"/>
        <v>13200</v>
      </c>
      <c r="BO43" s="316">
        <f t="shared" si="34"/>
        <v>0</v>
      </c>
    </row>
    <row r="44" spans="1:67" ht="15.75" x14ac:dyDescent="0.25">
      <c r="A44" s="148">
        <v>41</v>
      </c>
      <c r="B44" s="149" t="s">
        <v>637</v>
      </c>
      <c r="C44" s="149"/>
      <c r="D44" s="149"/>
      <c r="E44" s="142">
        <f t="shared" si="2"/>
        <v>13200</v>
      </c>
      <c r="F44" s="146">
        <v>0</v>
      </c>
      <c r="G44" s="174">
        <f t="shared" si="3"/>
        <v>13200</v>
      </c>
      <c r="H44" s="174">
        <f t="shared" si="4"/>
        <v>0</v>
      </c>
      <c r="I44" s="175">
        <f>_ЦО!T42+'МХП лазня'!T42+Катеринополь!T42+ВООЗ!T42+Кернел!T42+'Глобино Мк'!T42+'ВООЗ ЕМС'!T42+'ООН 36'!T42+'ООН 37'!T42+'ООН 38'!T42+ООН39!T42+'ООН 40'!T42+'ООН 43'!T42+'ООН 44'!T42+'ООН 45'!V42+ООН46!T42+ООН47!T42+ООН48!T42+ООН49!T42+ООн50!T42+ООН51!T42+Форшахта!T42+'ГАлерея 25.6'!T42+ГРП!AI42+'Парк меляси'!T42+'ООН 42'!T42</f>
        <v>88</v>
      </c>
      <c r="J44" s="44">
        <v>150</v>
      </c>
      <c r="K44" s="310">
        <f>SUMIF(ИТР!B:B,B44,ИТР!R:R)</f>
        <v>0</v>
      </c>
      <c r="L44" s="310">
        <f>SUMIF(_ЦО!$B:$B,B44,_ЦО!T:T)</f>
        <v>0</v>
      </c>
      <c r="M44" s="310">
        <f>SUMIF('МХП лазня'!B:B,B44,'МХП лазня'!T:T)</f>
        <v>0</v>
      </c>
      <c r="N44" s="310">
        <f>SUMIF(Катеринополь!$B:$B,B44,Катеринополь!$T:$T)</f>
        <v>11</v>
      </c>
      <c r="O44" s="310">
        <f>SUMIF(ВООЗ!B:B,B44,ВООЗ!T:T)</f>
        <v>0</v>
      </c>
      <c r="P44" s="310">
        <f>SUMIF(Кернел!B:B,B44,Кернел!T:T)</f>
        <v>0</v>
      </c>
      <c r="Q44" s="310">
        <f>SUMIF('Глобино Мк'!B:B,B44,'Глобино Мк'!T:T)</f>
        <v>0</v>
      </c>
      <c r="R44" s="310">
        <f>SUMIF('ВООЗ ЕМС'!B:B,B44,'ВООЗ ЕМС'!T:T)</f>
        <v>0</v>
      </c>
      <c r="S44" s="310">
        <f>SUMIF('ООН 36'!B:B,B44,'ООН 36'!T:T)</f>
        <v>0</v>
      </c>
      <c r="T44" s="310">
        <f>SUMIF('ООН 37'!B:B,B44,'ООН 37'!T:T)</f>
        <v>0</v>
      </c>
      <c r="U44" s="310">
        <f>SUMIF('ООН 38'!B:B,B44,'ООН 38'!T:T)</f>
        <v>0</v>
      </c>
      <c r="V44" s="310">
        <f>SUMIF(ООН39!B:B,B44,ООН39!T:T)</f>
        <v>0</v>
      </c>
      <c r="W44" s="310">
        <f>SUMIF('ООН 40'!B:B,B44,'ООН 40'!T:T)</f>
        <v>0</v>
      </c>
      <c r="X44" s="310">
        <f>SUMIF('ООН 43'!B:B,B44,'ООН 43'!T:T)</f>
        <v>0</v>
      </c>
      <c r="Y44" s="310">
        <f>SUMIF('ООН 44'!B:B,B44,'ООН 44'!T:T)</f>
        <v>0</v>
      </c>
      <c r="Z44" s="310">
        <f>SUMIF('ООН 45'!B:B,B44,'ООН 45'!V:V)</f>
        <v>0</v>
      </c>
      <c r="AA44" s="310">
        <f>SUMIF(ООН46!B:B,B44,ООН46!T:T)</f>
        <v>22</v>
      </c>
      <c r="AB44" s="310">
        <f>SUMIF(ООН47!B:B,B44,ООН47!T:T)</f>
        <v>11</v>
      </c>
      <c r="AC44" s="310">
        <f>SUMIF(ООН48!B:B,B44,ООН48!T:T)</f>
        <v>11</v>
      </c>
      <c r="AD44" s="310">
        <f>SUMIF(ООН49!B:B,B44,ООН49!T:T)</f>
        <v>0</v>
      </c>
      <c r="AE44" s="310">
        <f>SUMIF(ООн50!B:B,B44,ООн50!T:T)</f>
        <v>0</v>
      </c>
      <c r="AF44" s="310">
        <f>SUMIF(ООН51!B:B,B44,ООН51!T:T)</f>
        <v>11</v>
      </c>
      <c r="AG44" s="310">
        <f>SUMIF(Форшахта!B:B,B44,Форшахта!T:T)</f>
        <v>11</v>
      </c>
      <c r="AH44" s="310">
        <f>SUMIF('ГАлерея 25.6'!B:B,B44,'ГАлерея 25.6'!T:T)</f>
        <v>11</v>
      </c>
      <c r="AI44" s="310">
        <f>SUMIF(ГРП!B:B,B44,ГРП!AI:AI)</f>
        <v>0</v>
      </c>
      <c r="AJ44" s="310">
        <f>SUMIF('Парк меляси'!B:B,B44,'Парк меляси'!T:T)</f>
        <v>0</v>
      </c>
      <c r="AK44" s="310">
        <f>SUMIF('ООН 42'!B:B,B44,'ООН 42'!T:T)</f>
        <v>0</v>
      </c>
      <c r="AL44" s="313">
        <f t="shared" si="5"/>
        <v>0</v>
      </c>
      <c r="AM44" s="311">
        <f t="shared" si="6"/>
        <v>0</v>
      </c>
      <c r="AN44" s="311">
        <f t="shared" si="7"/>
        <v>0</v>
      </c>
      <c r="AO44" s="311">
        <f t="shared" si="8"/>
        <v>0</v>
      </c>
      <c r="AP44" s="311">
        <f t="shared" si="9"/>
        <v>1650</v>
      </c>
      <c r="AQ44" s="311">
        <f t="shared" si="10"/>
        <v>0</v>
      </c>
      <c r="AR44" s="311">
        <f t="shared" si="11"/>
        <v>0</v>
      </c>
      <c r="AS44" s="311">
        <f t="shared" si="12"/>
        <v>0</v>
      </c>
      <c r="AT44" s="311">
        <f t="shared" si="13"/>
        <v>0</v>
      </c>
      <c r="AU44" s="311">
        <f t="shared" si="14"/>
        <v>0</v>
      </c>
      <c r="AV44" s="311">
        <f t="shared" si="15"/>
        <v>0</v>
      </c>
      <c r="AW44" s="311">
        <f t="shared" si="16"/>
        <v>0</v>
      </c>
      <c r="AX44" s="311">
        <f t="shared" si="17"/>
        <v>0</v>
      </c>
      <c r="AY44" s="311">
        <f t="shared" si="18"/>
        <v>0</v>
      </c>
      <c r="AZ44" s="311">
        <f t="shared" si="19"/>
        <v>0</v>
      </c>
      <c r="BA44" s="311">
        <f t="shared" si="20"/>
        <v>0</v>
      </c>
      <c r="BB44" s="311">
        <f t="shared" si="21"/>
        <v>0</v>
      </c>
      <c r="BC44" s="311">
        <f t="shared" si="22"/>
        <v>3300</v>
      </c>
      <c r="BD44" s="311">
        <f t="shared" si="23"/>
        <v>1650</v>
      </c>
      <c r="BE44" s="311">
        <f t="shared" si="24"/>
        <v>1650</v>
      </c>
      <c r="BF44" s="311">
        <f t="shared" si="25"/>
        <v>0</v>
      </c>
      <c r="BG44" s="311">
        <f t="shared" si="26"/>
        <v>0</v>
      </c>
      <c r="BH44" s="311">
        <f t="shared" si="27"/>
        <v>1650</v>
      </c>
      <c r="BI44" s="311">
        <f t="shared" si="28"/>
        <v>1650</v>
      </c>
      <c r="BJ44" s="311">
        <f t="shared" si="29"/>
        <v>1650</v>
      </c>
      <c r="BK44" s="311">
        <f t="shared" si="30"/>
        <v>0</v>
      </c>
      <c r="BL44" s="311">
        <f t="shared" si="31"/>
        <v>0</v>
      </c>
      <c r="BM44" s="311">
        <f t="shared" si="32"/>
        <v>0</v>
      </c>
      <c r="BN44" s="315">
        <f t="shared" si="33"/>
        <v>13200</v>
      </c>
      <c r="BO44" s="316">
        <f t="shared" si="34"/>
        <v>0</v>
      </c>
    </row>
    <row r="45" spans="1:67" ht="15.75" x14ac:dyDescent="0.25">
      <c r="A45" s="148">
        <v>42</v>
      </c>
      <c r="B45" s="149" t="s">
        <v>640</v>
      </c>
      <c r="C45" s="149">
        <v>10324.25</v>
      </c>
      <c r="D45" s="149">
        <v>3927</v>
      </c>
      <c r="E45" s="142">
        <f t="shared" si="2"/>
        <v>54000</v>
      </c>
      <c r="F45" s="144">
        <v>-3.0500000000029104</v>
      </c>
      <c r="G45" s="174">
        <f t="shared" si="3"/>
        <v>39700</v>
      </c>
      <c r="H45" s="174">
        <f t="shared" si="4"/>
        <v>45.69999999999709</v>
      </c>
      <c r="I45" s="175">
        <f>_ЦО!T43+'МХП лазня'!T43+Катеринополь!T43+ВООЗ!T43+Кернел!T43+'Глобино Мк'!T43+'ВООЗ ЕМС'!T43+'ООН 36'!T43+'ООН 37'!T43+'ООН 38'!T43+ООН39!T43+'ООН 40'!T43+'ООН 43'!T43+'ООН 44'!T43+'ООН 45'!V43+ООН46!T43+ООН47!T43+ООН48!T43+ООН49!T43+ООн50!T43+ООН51!T43+Форшахта!T43+'ГАлерея 25.6'!T43+ГРП!AI43+'Парк меляси'!T43+'ООН 42'!T43</f>
        <v>360</v>
      </c>
      <c r="J45" s="44">
        <v>150</v>
      </c>
      <c r="K45" s="310">
        <f>SUMIF(ИТР!B:B,B45,ИТР!R:R)</f>
        <v>0</v>
      </c>
      <c r="L45" s="310">
        <f>SUMIF(_ЦО!$B:$B,B45,_ЦО!T:T)</f>
        <v>0</v>
      </c>
      <c r="M45" s="310">
        <f>SUMIF('МХП лазня'!B:B,B45,'МХП лазня'!T:T)</f>
        <v>0</v>
      </c>
      <c r="N45" s="310">
        <f>SUMIF(Катеринополь!$B:$B,B45,Катеринополь!$T:$T)</f>
        <v>0</v>
      </c>
      <c r="O45" s="310">
        <f>SUMIF(ВООЗ!B:B,B45,ВООЗ!T:T)</f>
        <v>0</v>
      </c>
      <c r="P45" s="310">
        <f>SUMIF(Кернел!B:B,B45,Кернел!T:T)</f>
        <v>360</v>
      </c>
      <c r="Q45" s="310">
        <f>SUMIF('Глобино Мк'!B:B,B45,'Глобино Мк'!T:T)</f>
        <v>0</v>
      </c>
      <c r="R45" s="310">
        <f>SUMIF('ВООЗ ЕМС'!B:B,B45,'ВООЗ ЕМС'!T:T)</f>
        <v>0</v>
      </c>
      <c r="S45" s="310">
        <f>SUMIF('ООН 36'!B:B,B45,'ООН 36'!T:T)</f>
        <v>0</v>
      </c>
      <c r="T45" s="310">
        <f>SUMIF('ООН 37'!B:B,B45,'ООН 37'!T:T)</f>
        <v>0</v>
      </c>
      <c r="U45" s="310">
        <f>SUMIF('ООН 38'!B:B,B45,'ООН 38'!T:T)</f>
        <v>0</v>
      </c>
      <c r="V45" s="310">
        <f>SUMIF(ООН39!B:B,B45,ООН39!T:T)</f>
        <v>0</v>
      </c>
      <c r="W45" s="310">
        <f>SUMIF('ООН 40'!B:B,B45,'ООН 40'!T:T)</f>
        <v>0</v>
      </c>
      <c r="X45" s="310">
        <f>SUMIF('ООН 43'!B:B,B45,'ООН 43'!T:T)</f>
        <v>0</v>
      </c>
      <c r="Y45" s="310">
        <f>SUMIF('ООН 44'!B:B,B45,'ООН 44'!T:T)</f>
        <v>0</v>
      </c>
      <c r="Z45" s="310">
        <f>SUMIF('ООН 45'!B:B,B45,'ООН 45'!V:V)</f>
        <v>0</v>
      </c>
      <c r="AA45" s="310">
        <f>SUMIF(ООН46!B:B,B45,ООН46!T:T)</f>
        <v>0</v>
      </c>
      <c r="AB45" s="310">
        <f>SUMIF(ООН47!B:B,B45,ООН47!T:T)</f>
        <v>0</v>
      </c>
      <c r="AC45" s="310">
        <f>SUMIF(ООН48!B:B,B45,ООН48!T:T)</f>
        <v>0</v>
      </c>
      <c r="AD45" s="310">
        <f>SUMIF(ООН49!B:B,B45,ООН49!T:T)</f>
        <v>0</v>
      </c>
      <c r="AE45" s="310">
        <f>SUMIF(ООн50!B:B,B45,ООн50!T:T)</f>
        <v>0</v>
      </c>
      <c r="AF45" s="310">
        <f>SUMIF(ООН51!B:B,B45,ООН51!T:T)</f>
        <v>0</v>
      </c>
      <c r="AG45" s="310">
        <f>SUMIF(Форшахта!B:B,B45,Форшахта!T:T)</f>
        <v>0</v>
      </c>
      <c r="AH45" s="310">
        <f>SUMIF('ГАлерея 25.6'!B:B,B45,'ГАлерея 25.6'!T:T)</f>
        <v>0</v>
      </c>
      <c r="AI45" s="310">
        <f>SUMIF(ГРП!B:B,B45,ГРП!AI:AI)</f>
        <v>0</v>
      </c>
      <c r="AJ45" s="310">
        <f>SUMIF('Парк меляси'!B:B,B45,'Парк меляси'!T:T)</f>
        <v>0</v>
      </c>
      <c r="AK45" s="310">
        <f>SUMIF('ООН 42'!B:B,B45,'ООН 42'!T:T)</f>
        <v>0</v>
      </c>
      <c r="AL45" s="313">
        <f t="shared" si="5"/>
        <v>0</v>
      </c>
      <c r="AM45" s="311">
        <f t="shared" si="6"/>
        <v>0</v>
      </c>
      <c r="AN45" s="311">
        <f t="shared" si="7"/>
        <v>0</v>
      </c>
      <c r="AO45" s="311">
        <f t="shared" si="8"/>
        <v>0</v>
      </c>
      <c r="AP45" s="311">
        <f t="shared" si="9"/>
        <v>0</v>
      </c>
      <c r="AQ45" s="311">
        <f t="shared" si="10"/>
        <v>0</v>
      </c>
      <c r="AR45" s="311">
        <f t="shared" si="11"/>
        <v>39700</v>
      </c>
      <c r="AS45" s="311">
        <f t="shared" si="12"/>
        <v>0</v>
      </c>
      <c r="AT45" s="311">
        <f t="shared" si="13"/>
        <v>0</v>
      </c>
      <c r="AU45" s="311">
        <f t="shared" si="14"/>
        <v>0</v>
      </c>
      <c r="AV45" s="311">
        <f t="shared" si="15"/>
        <v>0</v>
      </c>
      <c r="AW45" s="311">
        <f t="shared" si="16"/>
        <v>0</v>
      </c>
      <c r="AX45" s="311">
        <f t="shared" si="17"/>
        <v>0</v>
      </c>
      <c r="AY45" s="311">
        <f t="shared" si="18"/>
        <v>0</v>
      </c>
      <c r="AZ45" s="311">
        <f t="shared" si="19"/>
        <v>0</v>
      </c>
      <c r="BA45" s="311">
        <f t="shared" si="20"/>
        <v>0</v>
      </c>
      <c r="BB45" s="311">
        <f t="shared" si="21"/>
        <v>0</v>
      </c>
      <c r="BC45" s="311">
        <f t="shared" si="22"/>
        <v>0</v>
      </c>
      <c r="BD45" s="311">
        <f t="shared" si="23"/>
        <v>0</v>
      </c>
      <c r="BE45" s="311">
        <f t="shared" si="24"/>
        <v>0</v>
      </c>
      <c r="BF45" s="311">
        <f t="shared" si="25"/>
        <v>0</v>
      </c>
      <c r="BG45" s="311">
        <f t="shared" si="26"/>
        <v>0</v>
      </c>
      <c r="BH45" s="311">
        <f t="shared" si="27"/>
        <v>0</v>
      </c>
      <c r="BI45" s="311">
        <f t="shared" si="28"/>
        <v>0</v>
      </c>
      <c r="BJ45" s="311">
        <f t="shared" si="29"/>
        <v>0</v>
      </c>
      <c r="BK45" s="311">
        <f t="shared" si="30"/>
        <v>0</v>
      </c>
      <c r="BL45" s="311">
        <f t="shared" si="31"/>
        <v>0</v>
      </c>
      <c r="BM45" s="311">
        <f t="shared" si="32"/>
        <v>0</v>
      </c>
      <c r="BN45" s="315">
        <f t="shared" si="33"/>
        <v>39700</v>
      </c>
      <c r="BO45" s="316">
        <f t="shared" si="34"/>
        <v>0</v>
      </c>
    </row>
    <row r="46" spans="1:67" ht="15.75" x14ac:dyDescent="0.25">
      <c r="A46" s="148">
        <v>43</v>
      </c>
      <c r="B46" s="149" t="s">
        <v>638</v>
      </c>
      <c r="C46" s="149"/>
      <c r="D46" s="149"/>
      <c r="E46" s="142">
        <f t="shared" si="2"/>
        <v>27150</v>
      </c>
      <c r="F46" s="144">
        <v>0</v>
      </c>
      <c r="G46" s="174">
        <f t="shared" si="3"/>
        <v>27200</v>
      </c>
      <c r="H46" s="174">
        <f t="shared" si="4"/>
        <v>-50</v>
      </c>
      <c r="I46" s="175">
        <f>_ЦО!T44+'МХП лазня'!T44+Катеринополь!T44+ВООЗ!T44+Кернел!T44+'Глобино Мк'!T44+'ВООЗ ЕМС'!T44+'ООН 36'!T44+'ООН 37'!T44+'ООН 38'!T44+ООН39!T44+'ООН 40'!T44+'ООН 43'!T44+'ООН 44'!T44+'ООН 45'!V44+ООН46!T44+ООН47!T44+ООН48!T44+ООН49!T44+ООн50!T44+ООН51!T44+Форшахта!T44+'ГАлерея 25.6'!T44+ГРП!AI44+'Парк меляси'!T44+'ООН 42'!T44</f>
        <v>181</v>
      </c>
      <c r="J46" s="44">
        <v>150</v>
      </c>
      <c r="K46" s="310">
        <f>SUMIF(ИТР!B:B,B46,ИТР!R:R)</f>
        <v>0</v>
      </c>
      <c r="L46" s="310">
        <f>SUMIF(_ЦО!$B:$B,B46,_ЦО!T:T)</f>
        <v>0</v>
      </c>
      <c r="M46" s="310">
        <f>SUMIF('МХП лазня'!B:B,B46,'МХП лазня'!T:T)</f>
        <v>0</v>
      </c>
      <c r="N46" s="310">
        <f>SUMIF(Катеринополь!$B:$B,B46,Катеринополь!$T:$T)</f>
        <v>9</v>
      </c>
      <c r="O46" s="310">
        <f>SUMIF(ВООЗ!B:B,B46,ВООЗ!T:T)</f>
        <v>0</v>
      </c>
      <c r="P46" s="310">
        <f>SUMIF(Кернел!B:B,B46,Кернел!T:T)</f>
        <v>0</v>
      </c>
      <c r="Q46" s="310">
        <f>SUMIF('Глобино Мк'!B:B,B46,'Глобино Мк'!T:T)</f>
        <v>61</v>
      </c>
      <c r="R46" s="310">
        <f>SUMIF('ВООЗ ЕМС'!B:B,B46,'ВООЗ ЕМС'!T:T)</f>
        <v>0</v>
      </c>
      <c r="S46" s="310">
        <f>SUMIF('ООН 36'!B:B,B46,'ООН 36'!T:T)</f>
        <v>0</v>
      </c>
      <c r="T46" s="310">
        <f>SUMIF('ООН 37'!B:B,B46,'ООН 37'!T:T)</f>
        <v>0</v>
      </c>
      <c r="U46" s="310">
        <f>SUMIF('ООН 38'!B:B,B46,'ООН 38'!T:T)</f>
        <v>0</v>
      </c>
      <c r="V46" s="310">
        <f>SUMIF(ООН39!B:B,B46,ООН39!T:T)</f>
        <v>0</v>
      </c>
      <c r="W46" s="310">
        <f>SUMIF('ООН 40'!B:B,B46,'ООН 40'!T:T)</f>
        <v>0</v>
      </c>
      <c r="X46" s="310">
        <f>SUMIF('ООН 43'!B:B,B46,'ООН 43'!T:T)</f>
        <v>0</v>
      </c>
      <c r="Y46" s="310">
        <f>SUMIF('ООН 44'!B:B,B46,'ООН 44'!T:T)</f>
        <v>0</v>
      </c>
      <c r="Z46" s="310">
        <f>SUMIF('ООН 45'!B:B,B46,'ООН 45'!V:V)</f>
        <v>0</v>
      </c>
      <c r="AA46" s="310">
        <f>SUMIF(ООН46!B:B,B46,ООН46!T:T)</f>
        <v>0</v>
      </c>
      <c r="AB46" s="310">
        <f>SUMIF(ООН47!B:B,B46,ООН47!T:T)</f>
        <v>0</v>
      </c>
      <c r="AC46" s="310">
        <f>SUMIF(ООН48!B:B,B46,ООН48!T:T)</f>
        <v>0</v>
      </c>
      <c r="AD46" s="310">
        <f>SUMIF(ООН49!B:B,B46,ООН49!T:T)</f>
        <v>0</v>
      </c>
      <c r="AE46" s="310">
        <f>SUMIF(ООн50!B:B,B46,ООн50!T:T)</f>
        <v>0</v>
      </c>
      <c r="AF46" s="310">
        <f>SUMIF(ООН51!B:B,B46,ООН51!T:T)</f>
        <v>0</v>
      </c>
      <c r="AG46" s="310">
        <f>SUMIF(Форшахта!B:B,B46,Форшахта!T:T)</f>
        <v>0</v>
      </c>
      <c r="AH46" s="310">
        <f>SUMIF('ГАлерея 25.6'!B:B,B46,'ГАлерея 25.6'!T:T)</f>
        <v>33</v>
      </c>
      <c r="AI46" s="310">
        <f>SUMIF(ГРП!B:B,B46,ГРП!AI:AI)</f>
        <v>11</v>
      </c>
      <c r="AJ46" s="310">
        <f>SUMIF('Парк меляси'!B:B,B46,'Парк меляси'!T:T)</f>
        <v>67</v>
      </c>
      <c r="AK46" s="310">
        <f>SUMIF('ООН 42'!B:B,B46,'ООН 42'!T:T)</f>
        <v>0</v>
      </c>
      <c r="AL46" s="313">
        <f t="shared" si="5"/>
        <v>0</v>
      </c>
      <c r="AM46" s="311">
        <f t="shared" si="6"/>
        <v>0</v>
      </c>
      <c r="AN46" s="311">
        <f t="shared" si="7"/>
        <v>0</v>
      </c>
      <c r="AO46" s="311">
        <f t="shared" si="8"/>
        <v>0</v>
      </c>
      <c r="AP46" s="311">
        <f t="shared" si="9"/>
        <v>1352.4861878453039</v>
      </c>
      <c r="AQ46" s="311">
        <f t="shared" si="10"/>
        <v>0</v>
      </c>
      <c r="AR46" s="311">
        <f t="shared" si="11"/>
        <v>0</v>
      </c>
      <c r="AS46" s="311">
        <f t="shared" si="12"/>
        <v>9166.8508287292825</v>
      </c>
      <c r="AT46" s="311">
        <f t="shared" si="13"/>
        <v>0</v>
      </c>
      <c r="AU46" s="311">
        <f t="shared" si="14"/>
        <v>0</v>
      </c>
      <c r="AV46" s="311">
        <f t="shared" si="15"/>
        <v>0</v>
      </c>
      <c r="AW46" s="311">
        <f t="shared" si="16"/>
        <v>0</v>
      </c>
      <c r="AX46" s="311">
        <f t="shared" si="17"/>
        <v>0</v>
      </c>
      <c r="AY46" s="311">
        <f t="shared" si="18"/>
        <v>0</v>
      </c>
      <c r="AZ46" s="311">
        <f t="shared" si="19"/>
        <v>0</v>
      </c>
      <c r="BA46" s="311">
        <f t="shared" si="20"/>
        <v>0</v>
      </c>
      <c r="BB46" s="311">
        <f t="shared" si="21"/>
        <v>0</v>
      </c>
      <c r="BC46" s="311">
        <f t="shared" si="22"/>
        <v>0</v>
      </c>
      <c r="BD46" s="311">
        <f t="shared" si="23"/>
        <v>0</v>
      </c>
      <c r="BE46" s="311">
        <f t="shared" si="24"/>
        <v>0</v>
      </c>
      <c r="BF46" s="311">
        <f t="shared" si="25"/>
        <v>0</v>
      </c>
      <c r="BG46" s="311">
        <f t="shared" si="26"/>
        <v>0</v>
      </c>
      <c r="BH46" s="311">
        <f t="shared" si="27"/>
        <v>0</v>
      </c>
      <c r="BI46" s="311">
        <f t="shared" si="28"/>
        <v>0</v>
      </c>
      <c r="BJ46" s="311">
        <f t="shared" si="29"/>
        <v>4959.1160220994479</v>
      </c>
      <c r="BK46" s="311">
        <f t="shared" si="30"/>
        <v>1653.0386740331492</v>
      </c>
      <c r="BL46" s="311">
        <f t="shared" si="31"/>
        <v>10068.508287292818</v>
      </c>
      <c r="BM46" s="311">
        <f t="shared" si="32"/>
        <v>0</v>
      </c>
      <c r="BN46" s="315">
        <f t="shared" si="33"/>
        <v>27200.000000000004</v>
      </c>
      <c r="BO46" s="316">
        <f t="shared" si="34"/>
        <v>0</v>
      </c>
    </row>
    <row r="47" spans="1:67" ht="15.75" x14ac:dyDescent="0.25">
      <c r="A47" s="148">
        <v>44</v>
      </c>
      <c r="B47" s="149" t="s">
        <v>635</v>
      </c>
      <c r="C47" s="149"/>
      <c r="D47" s="149">
        <v>3927</v>
      </c>
      <c r="E47" s="142">
        <f t="shared" si="2"/>
        <v>10350</v>
      </c>
      <c r="F47" s="144">
        <v>15</v>
      </c>
      <c r="G47" s="174">
        <f t="shared" si="3"/>
        <v>6400</v>
      </c>
      <c r="H47" s="174">
        <f t="shared" si="4"/>
        <v>38</v>
      </c>
      <c r="I47" s="175">
        <f>_ЦО!T45+'МХП лазня'!T45+Катеринополь!T45+ВООЗ!T45+Кернел!T45+'Глобино Мк'!T45+'ВООЗ ЕМС'!T45+'ООН 36'!T45+'ООН 37'!T45+'ООН 38'!T45+ООН39!T45+'ООН 40'!T45+'ООН 43'!T45+'ООН 44'!T45+'ООН 45'!V45+ООН46!T45+ООН47!T45+ООН48!T45+ООН49!T45+ООн50!T45+ООН51!T45+Форшахта!T45+'ГАлерея 25.6'!T45+ГРП!AI45+'Парк меляси'!T45+'ООН 42'!T45</f>
        <v>69</v>
      </c>
      <c r="J47" s="44">
        <v>150</v>
      </c>
      <c r="K47" s="310">
        <f>SUMIF(ИТР!B:B,B47,ИТР!R:R)</f>
        <v>0</v>
      </c>
      <c r="L47" s="310">
        <f>SUMIF(_ЦО!$B:$B,B47,_ЦО!T:T)</f>
        <v>69</v>
      </c>
      <c r="M47" s="310">
        <f>SUMIF('МХП лазня'!B:B,B47,'МХП лазня'!T:T)</f>
        <v>0</v>
      </c>
      <c r="N47" s="310">
        <f>SUMIF(Катеринополь!$B:$B,B47,Катеринополь!$T:$T)</f>
        <v>0</v>
      </c>
      <c r="O47" s="310">
        <f>SUMIF(ВООЗ!B:B,B47,ВООЗ!T:T)</f>
        <v>0</v>
      </c>
      <c r="P47" s="310">
        <f>SUMIF(Кернел!B:B,B47,Кернел!T:T)</f>
        <v>0</v>
      </c>
      <c r="Q47" s="310">
        <f>SUMIF('Глобино Мк'!B:B,B47,'Глобино Мк'!T:T)</f>
        <v>0</v>
      </c>
      <c r="R47" s="310">
        <f>SUMIF('ВООЗ ЕМС'!B:B,B47,'ВООЗ ЕМС'!T:T)</f>
        <v>0</v>
      </c>
      <c r="S47" s="310">
        <f>SUMIF('ООН 36'!B:B,B47,'ООН 36'!T:T)</f>
        <v>0</v>
      </c>
      <c r="T47" s="310">
        <f>SUMIF('ООН 37'!B:B,B47,'ООН 37'!T:T)</f>
        <v>0</v>
      </c>
      <c r="U47" s="310">
        <f>SUMIF('ООН 38'!B:B,B47,'ООН 38'!T:T)</f>
        <v>0</v>
      </c>
      <c r="V47" s="310">
        <f>SUMIF(ООН39!B:B,B47,ООН39!T:T)</f>
        <v>0</v>
      </c>
      <c r="W47" s="310">
        <f>SUMIF('ООН 40'!B:B,B47,'ООН 40'!T:T)</f>
        <v>0</v>
      </c>
      <c r="X47" s="310">
        <f>SUMIF('ООН 43'!B:B,B47,'ООН 43'!T:T)</f>
        <v>0</v>
      </c>
      <c r="Y47" s="310">
        <f>SUMIF('ООН 44'!B:B,B47,'ООН 44'!T:T)</f>
        <v>0</v>
      </c>
      <c r="Z47" s="310">
        <f>SUMIF('ООН 45'!B:B,B47,'ООН 45'!V:V)</f>
        <v>0</v>
      </c>
      <c r="AA47" s="310">
        <f>SUMIF(ООН46!B:B,B47,ООН46!T:T)</f>
        <v>0</v>
      </c>
      <c r="AB47" s="310">
        <f>SUMIF(ООН47!B:B,B47,ООН47!T:T)</f>
        <v>0</v>
      </c>
      <c r="AC47" s="310">
        <f>SUMIF(ООН48!B:B,B47,ООН48!T:T)</f>
        <v>0</v>
      </c>
      <c r="AD47" s="310">
        <f>SUMIF(ООН49!B:B,B47,ООН49!T:T)</f>
        <v>0</v>
      </c>
      <c r="AE47" s="310">
        <f>SUMIF(ООн50!B:B,B47,ООн50!T:T)</f>
        <v>0</v>
      </c>
      <c r="AF47" s="310">
        <f>SUMIF(ООН51!B:B,B47,ООН51!T:T)</f>
        <v>0</v>
      </c>
      <c r="AG47" s="310">
        <f>SUMIF(Форшахта!B:B,B47,Форшахта!T:T)</f>
        <v>0</v>
      </c>
      <c r="AH47" s="310">
        <f>SUMIF('ГАлерея 25.6'!B:B,B47,'ГАлерея 25.6'!T:T)</f>
        <v>0</v>
      </c>
      <c r="AI47" s="310">
        <f>SUMIF(ГРП!B:B,B47,ГРП!AI:AI)</f>
        <v>0</v>
      </c>
      <c r="AJ47" s="310">
        <f>SUMIF('Парк меляси'!B:B,B47,'Парк меляси'!T:T)</f>
        <v>0</v>
      </c>
      <c r="AK47" s="310">
        <f>SUMIF('ООН 42'!B:B,B47,'ООН 42'!T:T)</f>
        <v>0</v>
      </c>
      <c r="AL47" s="313">
        <f t="shared" si="5"/>
        <v>0</v>
      </c>
      <c r="AM47" s="311">
        <f t="shared" si="6"/>
        <v>0</v>
      </c>
      <c r="AN47" s="311">
        <f t="shared" si="7"/>
        <v>6400</v>
      </c>
      <c r="AO47" s="311">
        <f t="shared" si="8"/>
        <v>0</v>
      </c>
      <c r="AP47" s="311">
        <f t="shared" si="9"/>
        <v>0</v>
      </c>
      <c r="AQ47" s="311">
        <f t="shared" si="10"/>
        <v>0</v>
      </c>
      <c r="AR47" s="311">
        <f t="shared" si="11"/>
        <v>0</v>
      </c>
      <c r="AS47" s="311">
        <f t="shared" si="12"/>
        <v>0</v>
      </c>
      <c r="AT47" s="311">
        <f t="shared" si="13"/>
        <v>0</v>
      </c>
      <c r="AU47" s="311">
        <f t="shared" si="14"/>
        <v>0</v>
      </c>
      <c r="AV47" s="311">
        <f t="shared" si="15"/>
        <v>0</v>
      </c>
      <c r="AW47" s="311">
        <f t="shared" si="16"/>
        <v>0</v>
      </c>
      <c r="AX47" s="311">
        <f t="shared" si="17"/>
        <v>0</v>
      </c>
      <c r="AY47" s="311">
        <f t="shared" si="18"/>
        <v>0</v>
      </c>
      <c r="AZ47" s="311">
        <f t="shared" si="19"/>
        <v>0</v>
      </c>
      <c r="BA47" s="311">
        <f t="shared" si="20"/>
        <v>0</v>
      </c>
      <c r="BB47" s="311">
        <f t="shared" si="21"/>
        <v>0</v>
      </c>
      <c r="BC47" s="311">
        <f t="shared" si="22"/>
        <v>0</v>
      </c>
      <c r="BD47" s="311">
        <f t="shared" si="23"/>
        <v>0</v>
      </c>
      <c r="BE47" s="311">
        <f t="shared" si="24"/>
        <v>0</v>
      </c>
      <c r="BF47" s="311">
        <f t="shared" si="25"/>
        <v>0</v>
      </c>
      <c r="BG47" s="311">
        <f t="shared" si="26"/>
        <v>0</v>
      </c>
      <c r="BH47" s="311">
        <f t="shared" si="27"/>
        <v>0</v>
      </c>
      <c r="BI47" s="311">
        <f t="shared" si="28"/>
        <v>0</v>
      </c>
      <c r="BJ47" s="311">
        <f t="shared" si="29"/>
        <v>0</v>
      </c>
      <c r="BK47" s="311">
        <f t="shared" si="30"/>
        <v>0</v>
      </c>
      <c r="BL47" s="311">
        <f t="shared" si="31"/>
        <v>0</v>
      </c>
      <c r="BM47" s="311">
        <f t="shared" si="32"/>
        <v>0</v>
      </c>
      <c r="BN47" s="315">
        <f t="shared" si="33"/>
        <v>6400</v>
      </c>
      <c r="BO47" s="316">
        <f t="shared" si="34"/>
        <v>0</v>
      </c>
    </row>
    <row r="48" spans="1:67" ht="15.75" x14ac:dyDescent="0.25">
      <c r="A48" s="148">
        <v>45</v>
      </c>
      <c r="B48" s="149" t="s">
        <v>641</v>
      </c>
      <c r="C48" s="149"/>
      <c r="D48" s="149"/>
      <c r="E48" s="142">
        <f t="shared" si="2"/>
        <v>18750</v>
      </c>
      <c r="F48" s="144">
        <v>-50</v>
      </c>
      <c r="G48" s="174">
        <f t="shared" si="3"/>
        <v>18700</v>
      </c>
      <c r="H48" s="174">
        <f t="shared" si="4"/>
        <v>0</v>
      </c>
      <c r="I48" s="175">
        <f>_ЦО!T46+'МХП лазня'!T46+Катеринополь!T46+ВООЗ!T46+Кернел!T46+'Глобино Мк'!T46+'ВООЗ ЕМС'!T46+'ООН 36'!T46+'ООН 37'!T46+'ООН 38'!T46+ООН39!T46+'ООН 40'!T46+'ООН 43'!T46+'ООН 44'!T46+'ООН 45'!V46+ООН46!T46+ООН47!T46+ООН48!T46+ООН49!T46+ООн50!T46+ООН51!T46+Форшахта!T46+'ГАлерея 25.6'!T46+ГРП!AI46+'Парк меляси'!T46+'ООН 42'!T46</f>
        <v>125</v>
      </c>
      <c r="J48" s="44">
        <v>150</v>
      </c>
      <c r="K48" s="310">
        <f>SUMIF(ИТР!B:B,B48,ИТР!R:R)</f>
        <v>0</v>
      </c>
      <c r="L48" s="310">
        <f>SUMIF(_ЦО!$B:$B,B48,_ЦО!T:T)</f>
        <v>125</v>
      </c>
      <c r="M48" s="310">
        <f>SUMIF('МХП лазня'!B:B,B48,'МХП лазня'!T:T)</f>
        <v>0</v>
      </c>
      <c r="N48" s="310">
        <f>SUMIF(Катеринополь!$B:$B,B48,Катеринополь!$T:$T)</f>
        <v>0</v>
      </c>
      <c r="O48" s="310">
        <f>SUMIF(ВООЗ!B:B,B48,ВООЗ!T:T)</f>
        <v>0</v>
      </c>
      <c r="P48" s="310">
        <f>SUMIF(Кернел!B:B,B48,Кернел!T:T)</f>
        <v>0</v>
      </c>
      <c r="Q48" s="310">
        <f>SUMIF('Глобино Мк'!B:B,B48,'Глобино Мк'!T:T)</f>
        <v>0</v>
      </c>
      <c r="R48" s="310">
        <f>SUMIF('ВООЗ ЕМС'!B:B,B48,'ВООЗ ЕМС'!T:T)</f>
        <v>0</v>
      </c>
      <c r="S48" s="310">
        <f>SUMIF('ООН 36'!B:B,B48,'ООН 36'!T:T)</f>
        <v>0</v>
      </c>
      <c r="T48" s="310">
        <f>SUMIF('ООН 37'!B:B,B48,'ООН 37'!T:T)</f>
        <v>0</v>
      </c>
      <c r="U48" s="310">
        <f>SUMIF('ООН 38'!B:B,B48,'ООН 38'!T:T)</f>
        <v>0</v>
      </c>
      <c r="V48" s="310">
        <f>SUMIF(ООН39!B:B,B48,ООН39!T:T)</f>
        <v>0</v>
      </c>
      <c r="W48" s="310">
        <f>SUMIF('ООН 40'!B:B,B48,'ООН 40'!T:T)</f>
        <v>0</v>
      </c>
      <c r="X48" s="310">
        <f>SUMIF('ООН 43'!B:B,B48,'ООН 43'!T:T)</f>
        <v>0</v>
      </c>
      <c r="Y48" s="310">
        <f>SUMIF('ООН 44'!B:B,B48,'ООН 44'!T:T)</f>
        <v>0</v>
      </c>
      <c r="Z48" s="310">
        <f>SUMIF('ООН 45'!B:B,B48,'ООН 45'!V:V)</f>
        <v>0</v>
      </c>
      <c r="AA48" s="310">
        <f>SUMIF(ООН46!B:B,B48,ООН46!T:T)</f>
        <v>0</v>
      </c>
      <c r="AB48" s="310">
        <f>SUMIF(ООН47!B:B,B48,ООН47!T:T)</f>
        <v>0</v>
      </c>
      <c r="AC48" s="310">
        <f>SUMIF(ООН48!B:B,B48,ООН48!T:T)</f>
        <v>0</v>
      </c>
      <c r="AD48" s="310">
        <f>SUMIF(ООН49!B:B,B48,ООН49!T:T)</f>
        <v>0</v>
      </c>
      <c r="AE48" s="310">
        <f>SUMIF(ООн50!B:B,B48,ООн50!T:T)</f>
        <v>0</v>
      </c>
      <c r="AF48" s="310">
        <f>SUMIF(ООН51!B:B,B48,ООН51!T:T)</f>
        <v>0</v>
      </c>
      <c r="AG48" s="310">
        <f>SUMIF(Форшахта!B:B,B48,Форшахта!T:T)</f>
        <v>0</v>
      </c>
      <c r="AH48" s="310">
        <f>SUMIF('ГАлерея 25.6'!B:B,B48,'ГАлерея 25.6'!T:T)</f>
        <v>0</v>
      </c>
      <c r="AI48" s="310">
        <f>SUMIF(ГРП!B:B,B48,ГРП!AI:AI)</f>
        <v>0</v>
      </c>
      <c r="AJ48" s="310">
        <f>SUMIF('Парк меляси'!B:B,B48,'Парк меляси'!T:T)</f>
        <v>0</v>
      </c>
      <c r="AK48" s="310">
        <f>SUMIF('ООН 42'!B:B,B48,'ООН 42'!T:T)</f>
        <v>0</v>
      </c>
      <c r="AL48" s="313">
        <f t="shared" si="5"/>
        <v>0</v>
      </c>
      <c r="AM48" s="311">
        <f t="shared" si="6"/>
        <v>0</v>
      </c>
      <c r="AN48" s="311">
        <f t="shared" si="7"/>
        <v>18700</v>
      </c>
      <c r="AO48" s="311">
        <f t="shared" si="8"/>
        <v>0</v>
      </c>
      <c r="AP48" s="311">
        <f t="shared" si="9"/>
        <v>0</v>
      </c>
      <c r="AQ48" s="311">
        <f t="shared" si="10"/>
        <v>0</v>
      </c>
      <c r="AR48" s="311">
        <f t="shared" si="11"/>
        <v>0</v>
      </c>
      <c r="AS48" s="311">
        <f t="shared" si="12"/>
        <v>0</v>
      </c>
      <c r="AT48" s="311">
        <f t="shared" si="13"/>
        <v>0</v>
      </c>
      <c r="AU48" s="311">
        <f t="shared" si="14"/>
        <v>0</v>
      </c>
      <c r="AV48" s="311">
        <f t="shared" si="15"/>
        <v>0</v>
      </c>
      <c r="AW48" s="311">
        <f t="shared" si="16"/>
        <v>0</v>
      </c>
      <c r="AX48" s="311">
        <f t="shared" si="17"/>
        <v>0</v>
      </c>
      <c r="AY48" s="311">
        <f t="shared" si="18"/>
        <v>0</v>
      </c>
      <c r="AZ48" s="311">
        <f t="shared" si="19"/>
        <v>0</v>
      </c>
      <c r="BA48" s="311">
        <f t="shared" si="20"/>
        <v>0</v>
      </c>
      <c r="BB48" s="311">
        <f t="shared" si="21"/>
        <v>0</v>
      </c>
      <c r="BC48" s="311">
        <f t="shared" si="22"/>
        <v>0</v>
      </c>
      <c r="BD48" s="311">
        <f t="shared" si="23"/>
        <v>0</v>
      </c>
      <c r="BE48" s="311">
        <f t="shared" si="24"/>
        <v>0</v>
      </c>
      <c r="BF48" s="311">
        <f t="shared" si="25"/>
        <v>0</v>
      </c>
      <c r="BG48" s="311">
        <f t="shared" si="26"/>
        <v>0</v>
      </c>
      <c r="BH48" s="311">
        <f t="shared" si="27"/>
        <v>0</v>
      </c>
      <c r="BI48" s="311">
        <f t="shared" si="28"/>
        <v>0</v>
      </c>
      <c r="BJ48" s="311">
        <f t="shared" si="29"/>
        <v>0</v>
      </c>
      <c r="BK48" s="311">
        <f t="shared" si="30"/>
        <v>0</v>
      </c>
      <c r="BL48" s="311">
        <f t="shared" si="31"/>
        <v>0</v>
      </c>
      <c r="BM48" s="311">
        <f t="shared" si="32"/>
        <v>0</v>
      </c>
      <c r="BN48" s="315">
        <f t="shared" si="33"/>
        <v>18700</v>
      </c>
      <c r="BO48" s="316">
        <f t="shared" si="34"/>
        <v>0</v>
      </c>
    </row>
    <row r="49" spans="1:67" ht="15.75" x14ac:dyDescent="0.25">
      <c r="A49" s="148">
        <v>46</v>
      </c>
      <c r="B49" s="149" t="s">
        <v>649</v>
      </c>
      <c r="C49" s="149"/>
      <c r="D49" s="149"/>
      <c r="E49" s="142">
        <f t="shared" si="2"/>
        <v>1650</v>
      </c>
      <c r="F49" s="144">
        <v>-100</v>
      </c>
      <c r="G49" s="174">
        <f t="shared" si="3"/>
        <v>1600</v>
      </c>
      <c r="H49" s="174">
        <f t="shared" si="4"/>
        <v>-50</v>
      </c>
      <c r="I49" s="175">
        <f>_ЦО!T47+'МХП лазня'!T47+Катеринополь!T47+ВООЗ!T47+Кернел!T47+'Глобино Мк'!T47+'ВООЗ ЕМС'!T47+'ООН 36'!T47+'ООН 37'!T47+'ООН 38'!T47+ООН39!T47+'ООН 40'!T47+'ООН 43'!T47+'ООН 44'!T47+'ООН 45'!V47+ООН46!T47+ООН47!T47+ООН48!T47+ООН49!T47+ООн50!T47+ООН51!T47+Форшахта!T47+'ГАлерея 25.6'!T47+ГРП!AI47+'Парк меляси'!T47+'ООН 42'!T47</f>
        <v>11</v>
      </c>
      <c r="J49" s="44">
        <v>150</v>
      </c>
      <c r="K49" s="310">
        <f>SUMIF(ИТР!B:B,B49,ИТР!R:R)</f>
        <v>0</v>
      </c>
      <c r="L49" s="310">
        <f>SUMIF(_ЦО!$B:$B,B49,_ЦО!T:T)</f>
        <v>0</v>
      </c>
      <c r="M49" s="310">
        <f>SUMIF('МХП лазня'!B:B,B49,'МХП лазня'!T:T)</f>
        <v>0</v>
      </c>
      <c r="N49" s="310">
        <f>SUMIF(Катеринополь!$B:$B,B49,Катеринополь!$T:$T)</f>
        <v>0</v>
      </c>
      <c r="O49" s="310">
        <f>SUMIF(ВООЗ!B:B,B49,ВООЗ!T:T)</f>
        <v>0</v>
      </c>
      <c r="P49" s="310">
        <f>SUMIF(Кернел!B:B,B49,Кернел!T:T)</f>
        <v>0</v>
      </c>
      <c r="Q49" s="310">
        <f>SUMIF('Глобино Мк'!B:B,B49,'Глобино Мк'!T:T)</f>
        <v>0</v>
      </c>
      <c r="R49" s="310">
        <f>SUMIF('ВООЗ ЕМС'!B:B,B49,'ВООЗ ЕМС'!T:T)</f>
        <v>0</v>
      </c>
      <c r="S49" s="310">
        <f>SUMIF('ООН 36'!B:B,B49,'ООН 36'!T:T)</f>
        <v>0</v>
      </c>
      <c r="T49" s="310">
        <f>SUMIF('ООН 37'!B:B,B49,'ООН 37'!T:T)</f>
        <v>0</v>
      </c>
      <c r="U49" s="310">
        <f>SUMIF('ООН 38'!B:B,B49,'ООН 38'!T:T)</f>
        <v>0</v>
      </c>
      <c r="V49" s="310">
        <f>SUMIF(ООН39!B:B,B49,ООН39!T:T)</f>
        <v>0</v>
      </c>
      <c r="W49" s="310">
        <f>SUMIF('ООН 40'!B:B,B49,'ООН 40'!T:T)</f>
        <v>0</v>
      </c>
      <c r="X49" s="310">
        <f>SUMIF('ООН 43'!B:B,B49,'ООН 43'!T:T)</f>
        <v>0</v>
      </c>
      <c r="Y49" s="310">
        <f>SUMIF('ООН 44'!B:B,B49,'ООН 44'!T:T)</f>
        <v>0</v>
      </c>
      <c r="Z49" s="310">
        <f>SUMIF('ООН 45'!B:B,B49,'ООН 45'!V:V)</f>
        <v>0</v>
      </c>
      <c r="AA49" s="310">
        <f>SUMIF(ООН46!B:B,B49,ООН46!T:T)</f>
        <v>0</v>
      </c>
      <c r="AB49" s="310">
        <f>SUMIF(ООН47!B:B,B49,ООН47!T:T)</f>
        <v>0</v>
      </c>
      <c r="AC49" s="310">
        <f>SUMIF(ООН48!B:B,B49,ООН48!T:T)</f>
        <v>0</v>
      </c>
      <c r="AD49" s="310">
        <f>SUMIF(ООН49!B:B,B49,ООН49!T:T)</f>
        <v>0</v>
      </c>
      <c r="AE49" s="310">
        <f>SUMIF(ООн50!B:B,B49,ООн50!T:T)</f>
        <v>0</v>
      </c>
      <c r="AF49" s="310">
        <f>SUMIF(ООН51!B:B,B49,ООН51!T:T)</f>
        <v>0</v>
      </c>
      <c r="AG49" s="310">
        <f>SUMIF(Форшахта!B:B,B49,Форшахта!T:T)</f>
        <v>0</v>
      </c>
      <c r="AH49" s="310">
        <f>SUMIF('ГАлерея 25.6'!B:B,B49,'ГАлерея 25.6'!T:T)</f>
        <v>0</v>
      </c>
      <c r="AI49" s="310">
        <f>SUMIF(ГРП!B:B,B49,ГРП!AI:AI)</f>
        <v>11</v>
      </c>
      <c r="AJ49" s="310">
        <f>SUMIF('Парк меляси'!B:B,B49,'Парк меляси'!T:T)</f>
        <v>0</v>
      </c>
      <c r="AK49" s="310">
        <f>SUMIF('ООН 42'!B:B,B49,'ООН 42'!T:T)</f>
        <v>0</v>
      </c>
      <c r="AL49" s="313">
        <f t="shared" si="5"/>
        <v>0</v>
      </c>
      <c r="AM49" s="311">
        <f t="shared" si="6"/>
        <v>0</v>
      </c>
      <c r="AN49" s="311">
        <f t="shared" si="7"/>
        <v>0</v>
      </c>
      <c r="AO49" s="311">
        <f t="shared" si="8"/>
        <v>0</v>
      </c>
      <c r="AP49" s="311">
        <f t="shared" si="9"/>
        <v>0</v>
      </c>
      <c r="AQ49" s="311">
        <f t="shared" si="10"/>
        <v>0</v>
      </c>
      <c r="AR49" s="311">
        <f t="shared" si="11"/>
        <v>0</v>
      </c>
      <c r="AS49" s="311">
        <f t="shared" si="12"/>
        <v>0</v>
      </c>
      <c r="AT49" s="311">
        <f t="shared" si="13"/>
        <v>0</v>
      </c>
      <c r="AU49" s="311">
        <f t="shared" si="14"/>
        <v>0</v>
      </c>
      <c r="AV49" s="311">
        <f t="shared" si="15"/>
        <v>0</v>
      </c>
      <c r="AW49" s="311">
        <f t="shared" si="16"/>
        <v>0</v>
      </c>
      <c r="AX49" s="311">
        <f t="shared" si="17"/>
        <v>0</v>
      </c>
      <c r="AY49" s="311">
        <f t="shared" si="18"/>
        <v>0</v>
      </c>
      <c r="AZ49" s="311">
        <f t="shared" si="19"/>
        <v>0</v>
      </c>
      <c r="BA49" s="311">
        <f t="shared" si="20"/>
        <v>0</v>
      </c>
      <c r="BB49" s="311">
        <f t="shared" si="21"/>
        <v>0</v>
      </c>
      <c r="BC49" s="311">
        <f t="shared" si="22"/>
        <v>0</v>
      </c>
      <c r="BD49" s="311">
        <f t="shared" si="23"/>
        <v>0</v>
      </c>
      <c r="BE49" s="311">
        <f t="shared" si="24"/>
        <v>0</v>
      </c>
      <c r="BF49" s="311">
        <f t="shared" si="25"/>
        <v>0</v>
      </c>
      <c r="BG49" s="311">
        <f t="shared" si="26"/>
        <v>0</v>
      </c>
      <c r="BH49" s="311">
        <f t="shared" si="27"/>
        <v>0</v>
      </c>
      <c r="BI49" s="311">
        <f t="shared" si="28"/>
        <v>0</v>
      </c>
      <c r="BJ49" s="311">
        <f t="shared" si="29"/>
        <v>0</v>
      </c>
      <c r="BK49" s="311">
        <f t="shared" si="30"/>
        <v>1600.0000000000002</v>
      </c>
      <c r="BL49" s="311">
        <f t="shared" si="31"/>
        <v>0</v>
      </c>
      <c r="BM49" s="311">
        <f t="shared" si="32"/>
        <v>0</v>
      </c>
      <c r="BN49" s="315">
        <f t="shared" si="33"/>
        <v>1600.0000000000002</v>
      </c>
      <c r="BO49" s="316">
        <f t="shared" si="34"/>
        <v>0</v>
      </c>
    </row>
    <row r="50" spans="1:67" ht="15.75" x14ac:dyDescent="0.25">
      <c r="A50" s="148">
        <v>47</v>
      </c>
      <c r="B50" s="149" t="s">
        <v>642</v>
      </c>
      <c r="C50" s="149"/>
      <c r="D50" s="149"/>
      <c r="E50" s="142">
        <f t="shared" si="2"/>
        <v>3300</v>
      </c>
      <c r="F50" s="144">
        <v>-50</v>
      </c>
      <c r="G50" s="174">
        <f t="shared" si="3"/>
        <v>3300</v>
      </c>
      <c r="H50" s="174">
        <f t="shared" si="4"/>
        <v>-50</v>
      </c>
      <c r="I50" s="175">
        <f>_ЦО!T48+'МХП лазня'!T48+Катеринополь!T48+ВООЗ!T48+Кернел!T48+'Глобино Мк'!T48+'ВООЗ ЕМС'!T48+'ООН 36'!T48+'ООН 37'!T48+'ООН 38'!T48+ООН39!T48+'ООН 40'!T48+'ООН 43'!T48+'ООН 44'!T48+'ООН 45'!V48+ООН46!T48+ООН47!T48+ООН48!T48+ООН49!T48+ООн50!T48+ООН51!T48+Форшахта!T48+'ГАлерея 25.6'!T48+ГРП!AI48+'Парк меляси'!T48+'ООН 42'!T48</f>
        <v>22</v>
      </c>
      <c r="J50" s="44">
        <v>150</v>
      </c>
      <c r="K50" s="310">
        <f>SUMIF(ИТР!B:B,B50,ИТР!R:R)</f>
        <v>0</v>
      </c>
      <c r="L50" s="310">
        <f>SUMIF(_ЦО!$B:$B,B50,_ЦО!T:T)</f>
        <v>0</v>
      </c>
      <c r="M50" s="310">
        <f>SUMIF('МХП лазня'!B:B,B50,'МХП лазня'!T:T)</f>
        <v>0</v>
      </c>
      <c r="N50" s="310">
        <f>SUMIF(Катеринополь!$B:$B,B50,Катеринополь!$T:$T)</f>
        <v>0</v>
      </c>
      <c r="O50" s="310">
        <f>SUMIF(ВООЗ!B:B,B50,ВООЗ!T:T)</f>
        <v>0</v>
      </c>
      <c r="P50" s="310">
        <f>SUMIF(Кернел!B:B,B50,Кернел!T:T)</f>
        <v>0</v>
      </c>
      <c r="Q50" s="310">
        <f>SUMIF('Глобино Мк'!B:B,B50,'Глобино Мк'!T:T)</f>
        <v>0</v>
      </c>
      <c r="R50" s="310">
        <f>SUMIF('ВООЗ ЕМС'!B:B,B50,'ВООЗ ЕМС'!T:T)</f>
        <v>0</v>
      </c>
      <c r="S50" s="310">
        <f>SUMIF('ООН 36'!B:B,B50,'ООН 36'!T:T)</f>
        <v>0</v>
      </c>
      <c r="T50" s="310">
        <f>SUMIF('ООН 37'!B:B,B50,'ООН 37'!T:T)</f>
        <v>0</v>
      </c>
      <c r="U50" s="310">
        <f>SUMIF('ООН 38'!B:B,B50,'ООН 38'!T:T)</f>
        <v>0</v>
      </c>
      <c r="V50" s="310">
        <f>SUMIF(ООН39!B:B,B50,ООН39!T:T)</f>
        <v>0</v>
      </c>
      <c r="W50" s="310">
        <f>SUMIF('ООН 40'!B:B,B50,'ООН 40'!T:T)</f>
        <v>0</v>
      </c>
      <c r="X50" s="310">
        <f>SUMIF('ООН 43'!B:B,B50,'ООН 43'!T:T)</f>
        <v>0</v>
      </c>
      <c r="Y50" s="310">
        <f>SUMIF('ООН 44'!B:B,B50,'ООН 44'!T:T)</f>
        <v>0</v>
      </c>
      <c r="Z50" s="310">
        <f>SUMIF('ООН 45'!B:B,B50,'ООН 45'!V:V)</f>
        <v>0</v>
      </c>
      <c r="AA50" s="310">
        <f>SUMIF(ООН46!B:B,B50,ООН46!T:T)</f>
        <v>0</v>
      </c>
      <c r="AB50" s="310">
        <f>SUMIF(ООН47!B:B,B50,ООН47!T:T)</f>
        <v>0</v>
      </c>
      <c r="AC50" s="310">
        <f>SUMIF(ООН48!B:B,B50,ООН48!T:T)</f>
        <v>22</v>
      </c>
      <c r="AD50" s="310">
        <f>SUMIF(ООН49!B:B,B50,ООН49!T:T)</f>
        <v>0</v>
      </c>
      <c r="AE50" s="310">
        <f>SUMIF(ООн50!B:B,B50,ООн50!T:T)</f>
        <v>0</v>
      </c>
      <c r="AF50" s="310">
        <f>SUMIF(ООН51!B:B,B50,ООН51!T:T)</f>
        <v>0</v>
      </c>
      <c r="AG50" s="310">
        <f>SUMIF(Форшахта!B:B,B50,Форшахта!T:T)</f>
        <v>0</v>
      </c>
      <c r="AH50" s="310">
        <f>SUMIF('ГАлерея 25.6'!B:B,B50,'ГАлерея 25.6'!T:T)</f>
        <v>0</v>
      </c>
      <c r="AI50" s="310">
        <f>SUMIF(ГРП!B:B,B50,ГРП!AI:AI)</f>
        <v>0</v>
      </c>
      <c r="AJ50" s="310">
        <f>SUMIF('Парк меляси'!B:B,B50,'Парк меляси'!T:T)</f>
        <v>0</v>
      </c>
      <c r="AK50" s="310">
        <f>SUMIF('ООН 42'!B:B,B50,'ООН 42'!T:T)</f>
        <v>0</v>
      </c>
      <c r="AL50" s="313">
        <f t="shared" si="5"/>
        <v>0</v>
      </c>
      <c r="AM50" s="311">
        <f t="shared" si="6"/>
        <v>0</v>
      </c>
      <c r="AN50" s="311">
        <f t="shared" si="7"/>
        <v>0</v>
      </c>
      <c r="AO50" s="311">
        <f t="shared" si="8"/>
        <v>0</v>
      </c>
      <c r="AP50" s="311">
        <f t="shared" si="9"/>
        <v>0</v>
      </c>
      <c r="AQ50" s="311">
        <f t="shared" si="10"/>
        <v>0</v>
      </c>
      <c r="AR50" s="311">
        <f t="shared" si="11"/>
        <v>0</v>
      </c>
      <c r="AS50" s="311">
        <f t="shared" si="12"/>
        <v>0</v>
      </c>
      <c r="AT50" s="311">
        <f t="shared" si="13"/>
        <v>0</v>
      </c>
      <c r="AU50" s="311">
        <f t="shared" si="14"/>
        <v>0</v>
      </c>
      <c r="AV50" s="311">
        <f t="shared" si="15"/>
        <v>0</v>
      </c>
      <c r="AW50" s="311">
        <f t="shared" si="16"/>
        <v>0</v>
      </c>
      <c r="AX50" s="311">
        <f t="shared" si="17"/>
        <v>0</v>
      </c>
      <c r="AY50" s="311">
        <f t="shared" si="18"/>
        <v>0</v>
      </c>
      <c r="AZ50" s="311">
        <f t="shared" si="19"/>
        <v>0</v>
      </c>
      <c r="BA50" s="311">
        <f t="shared" si="20"/>
        <v>0</v>
      </c>
      <c r="BB50" s="311">
        <f t="shared" si="21"/>
        <v>0</v>
      </c>
      <c r="BC50" s="311">
        <f t="shared" si="22"/>
        <v>0</v>
      </c>
      <c r="BD50" s="311">
        <f t="shared" si="23"/>
        <v>0</v>
      </c>
      <c r="BE50" s="311">
        <f t="shared" si="24"/>
        <v>3300</v>
      </c>
      <c r="BF50" s="311">
        <f t="shared" si="25"/>
        <v>0</v>
      </c>
      <c r="BG50" s="311">
        <f t="shared" si="26"/>
        <v>0</v>
      </c>
      <c r="BH50" s="311">
        <f t="shared" si="27"/>
        <v>0</v>
      </c>
      <c r="BI50" s="311">
        <f t="shared" si="28"/>
        <v>0</v>
      </c>
      <c r="BJ50" s="311">
        <f t="shared" si="29"/>
        <v>0</v>
      </c>
      <c r="BK50" s="311">
        <f t="shared" si="30"/>
        <v>0</v>
      </c>
      <c r="BL50" s="311">
        <f t="shared" si="31"/>
        <v>0</v>
      </c>
      <c r="BM50" s="311">
        <f t="shared" si="32"/>
        <v>0</v>
      </c>
      <c r="BN50" s="315">
        <f t="shared" si="33"/>
        <v>3300</v>
      </c>
      <c r="BO50" s="316">
        <f t="shared" si="34"/>
        <v>0</v>
      </c>
    </row>
    <row r="51" spans="1:67" ht="15.75" x14ac:dyDescent="0.25">
      <c r="A51" s="148">
        <v>48</v>
      </c>
      <c r="B51" s="149" t="s">
        <v>643</v>
      </c>
      <c r="C51" s="149"/>
      <c r="D51" s="149"/>
      <c r="E51" s="142">
        <f t="shared" si="2"/>
        <v>3300</v>
      </c>
      <c r="F51" s="144">
        <v>-50</v>
      </c>
      <c r="G51" s="174">
        <f t="shared" si="3"/>
        <v>3300</v>
      </c>
      <c r="H51" s="174">
        <f t="shared" si="4"/>
        <v>-50</v>
      </c>
      <c r="I51" s="175">
        <f>_ЦО!T49+'МХП лазня'!T49+Катеринополь!T49+ВООЗ!T49+Кернел!T49+'Глобино Мк'!T49+'ВООЗ ЕМС'!T49+'ООН 36'!T49+'ООН 37'!T49+'ООН 38'!T49+ООН39!T49+'ООН 40'!T49+'ООН 43'!T49+'ООН 44'!T49+'ООН 45'!V49+ООН46!T49+ООН47!T49+ООН48!T49+ООН49!T49+ООн50!T49+ООН51!T49+Форшахта!T49+'ГАлерея 25.6'!T49+ГРП!AI49+'Парк меляси'!T49+'ООН 42'!T49</f>
        <v>22</v>
      </c>
      <c r="J51" s="44">
        <v>150</v>
      </c>
      <c r="K51" s="310">
        <f>SUMIF(ИТР!B:B,B51,ИТР!R:R)</f>
        <v>0</v>
      </c>
      <c r="L51" s="310">
        <f>SUMIF(_ЦО!$B:$B,B51,_ЦО!T:T)</f>
        <v>0</v>
      </c>
      <c r="M51" s="310">
        <f>SUMIF('МХП лазня'!B:B,B51,'МХП лазня'!T:T)</f>
        <v>0</v>
      </c>
      <c r="N51" s="310">
        <f>SUMIF(Катеринополь!$B:$B,B51,Катеринополь!$T:$T)</f>
        <v>0</v>
      </c>
      <c r="O51" s="310">
        <f>SUMIF(ВООЗ!B:B,B51,ВООЗ!T:T)</f>
        <v>0</v>
      </c>
      <c r="P51" s="310">
        <f>SUMIF(Кернел!B:B,B51,Кернел!T:T)</f>
        <v>0</v>
      </c>
      <c r="Q51" s="310">
        <f>SUMIF('Глобино Мк'!B:B,B51,'Глобино Мк'!T:T)</f>
        <v>0</v>
      </c>
      <c r="R51" s="310">
        <f>SUMIF('ВООЗ ЕМС'!B:B,B51,'ВООЗ ЕМС'!T:T)</f>
        <v>0</v>
      </c>
      <c r="S51" s="310">
        <f>SUMIF('ООН 36'!B:B,B51,'ООН 36'!T:T)</f>
        <v>0</v>
      </c>
      <c r="T51" s="310">
        <f>SUMIF('ООН 37'!B:B,B51,'ООН 37'!T:T)</f>
        <v>0</v>
      </c>
      <c r="U51" s="310">
        <f>SUMIF('ООН 38'!B:B,B51,'ООН 38'!T:T)</f>
        <v>0</v>
      </c>
      <c r="V51" s="310">
        <f>SUMIF(ООН39!B:B,B51,ООН39!T:T)</f>
        <v>0</v>
      </c>
      <c r="W51" s="310">
        <f>SUMIF('ООН 40'!B:B,B51,'ООН 40'!T:T)</f>
        <v>0</v>
      </c>
      <c r="X51" s="310">
        <f>SUMIF('ООН 43'!B:B,B51,'ООН 43'!T:T)</f>
        <v>0</v>
      </c>
      <c r="Y51" s="310">
        <f>SUMIF('ООН 44'!B:B,B51,'ООН 44'!T:T)</f>
        <v>0</v>
      </c>
      <c r="Z51" s="310">
        <f>SUMIF('ООН 45'!B:B,B51,'ООН 45'!V:V)</f>
        <v>0</v>
      </c>
      <c r="AA51" s="310">
        <f>SUMIF(ООН46!B:B,B51,ООН46!T:T)</f>
        <v>0</v>
      </c>
      <c r="AB51" s="310">
        <f>SUMIF(ООН47!B:B,B51,ООН47!T:T)</f>
        <v>0</v>
      </c>
      <c r="AC51" s="310">
        <f>SUMIF(ООН48!B:B,B51,ООН48!T:T)</f>
        <v>22</v>
      </c>
      <c r="AD51" s="310">
        <f>SUMIF(ООН49!B:B,B51,ООН49!T:T)</f>
        <v>0</v>
      </c>
      <c r="AE51" s="310">
        <f>SUMIF(ООн50!B:B,B51,ООн50!T:T)</f>
        <v>0</v>
      </c>
      <c r="AF51" s="310">
        <f>SUMIF(ООН51!B:B,B51,ООН51!T:T)</f>
        <v>0</v>
      </c>
      <c r="AG51" s="310">
        <f>SUMIF(Форшахта!B:B,B51,Форшахта!T:T)</f>
        <v>0</v>
      </c>
      <c r="AH51" s="310">
        <f>SUMIF('ГАлерея 25.6'!B:B,B51,'ГАлерея 25.6'!T:T)</f>
        <v>0</v>
      </c>
      <c r="AI51" s="310">
        <f>SUMIF(ГРП!B:B,B51,ГРП!AI:AI)</f>
        <v>0</v>
      </c>
      <c r="AJ51" s="310">
        <f>SUMIF('Парк меляси'!B:B,B51,'Парк меляси'!T:T)</f>
        <v>0</v>
      </c>
      <c r="AK51" s="310">
        <f>SUMIF('ООН 42'!B:B,B51,'ООН 42'!T:T)</f>
        <v>0</v>
      </c>
      <c r="AL51" s="313">
        <f t="shared" si="5"/>
        <v>0</v>
      </c>
      <c r="AM51" s="311">
        <f t="shared" si="6"/>
        <v>0</v>
      </c>
      <c r="AN51" s="311">
        <f t="shared" si="7"/>
        <v>0</v>
      </c>
      <c r="AO51" s="311">
        <f t="shared" si="8"/>
        <v>0</v>
      </c>
      <c r="AP51" s="311">
        <f t="shared" si="9"/>
        <v>0</v>
      </c>
      <c r="AQ51" s="311">
        <f t="shared" si="10"/>
        <v>0</v>
      </c>
      <c r="AR51" s="311">
        <f t="shared" si="11"/>
        <v>0</v>
      </c>
      <c r="AS51" s="311">
        <f t="shared" si="12"/>
        <v>0</v>
      </c>
      <c r="AT51" s="311">
        <f t="shared" si="13"/>
        <v>0</v>
      </c>
      <c r="AU51" s="311">
        <f t="shared" si="14"/>
        <v>0</v>
      </c>
      <c r="AV51" s="311">
        <f t="shared" si="15"/>
        <v>0</v>
      </c>
      <c r="AW51" s="311">
        <f t="shared" si="16"/>
        <v>0</v>
      </c>
      <c r="AX51" s="311">
        <f t="shared" si="17"/>
        <v>0</v>
      </c>
      <c r="AY51" s="311">
        <f t="shared" si="18"/>
        <v>0</v>
      </c>
      <c r="AZ51" s="311">
        <f t="shared" si="19"/>
        <v>0</v>
      </c>
      <c r="BA51" s="311">
        <f t="shared" si="20"/>
        <v>0</v>
      </c>
      <c r="BB51" s="311">
        <f t="shared" si="21"/>
        <v>0</v>
      </c>
      <c r="BC51" s="311">
        <f t="shared" si="22"/>
        <v>0</v>
      </c>
      <c r="BD51" s="311">
        <f t="shared" si="23"/>
        <v>0</v>
      </c>
      <c r="BE51" s="311">
        <f t="shared" si="24"/>
        <v>3300</v>
      </c>
      <c r="BF51" s="311">
        <f t="shared" si="25"/>
        <v>0</v>
      </c>
      <c r="BG51" s="311">
        <f t="shared" si="26"/>
        <v>0</v>
      </c>
      <c r="BH51" s="311">
        <f t="shared" si="27"/>
        <v>0</v>
      </c>
      <c r="BI51" s="311">
        <f t="shared" si="28"/>
        <v>0</v>
      </c>
      <c r="BJ51" s="311">
        <f t="shared" si="29"/>
        <v>0</v>
      </c>
      <c r="BK51" s="311">
        <f t="shared" si="30"/>
        <v>0</v>
      </c>
      <c r="BL51" s="311">
        <f t="shared" si="31"/>
        <v>0</v>
      </c>
      <c r="BM51" s="311">
        <f t="shared" si="32"/>
        <v>0</v>
      </c>
      <c r="BN51" s="315">
        <f t="shared" si="33"/>
        <v>3300</v>
      </c>
      <c r="BO51" s="316">
        <f t="shared" si="34"/>
        <v>0</v>
      </c>
    </row>
    <row r="52" spans="1:67" ht="15.75" x14ac:dyDescent="0.25">
      <c r="A52" s="148">
        <v>49</v>
      </c>
      <c r="B52" s="149" t="s">
        <v>644</v>
      </c>
      <c r="C52" s="149"/>
      <c r="D52" s="149"/>
      <c r="E52" s="142">
        <f t="shared" si="2"/>
        <v>9750</v>
      </c>
      <c r="F52" s="144">
        <v>-50</v>
      </c>
      <c r="G52" s="174">
        <f t="shared" si="3"/>
        <v>9700</v>
      </c>
      <c r="H52" s="174">
        <f t="shared" si="4"/>
        <v>0</v>
      </c>
      <c r="I52" s="175">
        <f>_ЦО!T50+'МХП лазня'!T50+Катеринополь!T50+ВООЗ!T50+Кернел!T50+'Глобино Мк'!T50+'ВООЗ ЕМС'!T50+'ООН 36'!T50+'ООН 37'!T50+'ООН 38'!T50+ООН39!T50+'ООН 40'!T50+'ООН 43'!T50+'ООН 44'!T50+'ООН 45'!V50+ООН46!T50+ООН47!T50+ООН48!T50+ООН49!T50+ООн50!T50+ООН51!T50+Форшахта!T50+'ГАлерея 25.6'!T50+ГРП!AI50+'Парк меляси'!T50+'ООН 42'!T50</f>
        <v>65</v>
      </c>
      <c r="J52" s="44">
        <v>150</v>
      </c>
      <c r="K52" s="310">
        <f>SUMIF(ИТР!B:B,B52,ИТР!R:R)</f>
        <v>0</v>
      </c>
      <c r="L52" s="310">
        <f>SUMIF(_ЦО!$B:$B,B52,_ЦО!T:T)</f>
        <v>0</v>
      </c>
      <c r="M52" s="310">
        <f>SUMIF('МХП лазня'!B:B,B52,'МХП лазня'!T:T)</f>
        <v>0</v>
      </c>
      <c r="N52" s="310">
        <f>SUMIF(Катеринополь!$B:$B,B52,Катеринополь!$T:$T)</f>
        <v>0</v>
      </c>
      <c r="O52" s="310">
        <f>SUMIF(ВООЗ!B:B,B52,ВООЗ!T:T)</f>
        <v>0</v>
      </c>
      <c r="P52" s="310">
        <f>SUMIF(Кернел!B:B,B52,Кернел!T:T)</f>
        <v>0</v>
      </c>
      <c r="Q52" s="310">
        <f>SUMIF('Глобино Мк'!B:B,B52,'Глобино Мк'!T:T)</f>
        <v>0</v>
      </c>
      <c r="R52" s="310">
        <f>SUMIF('ВООЗ ЕМС'!B:B,B52,'ВООЗ ЕМС'!T:T)</f>
        <v>0</v>
      </c>
      <c r="S52" s="310">
        <f>SUMIF('ООН 36'!B:B,B52,'ООН 36'!T:T)</f>
        <v>0</v>
      </c>
      <c r="T52" s="310">
        <f>SUMIF('ООН 37'!B:B,B52,'ООН 37'!T:T)</f>
        <v>0</v>
      </c>
      <c r="U52" s="310">
        <f>SUMIF('ООН 38'!B:B,B52,'ООН 38'!T:T)</f>
        <v>0</v>
      </c>
      <c r="V52" s="310">
        <f>SUMIF(ООН39!B:B,B52,ООН39!T:T)</f>
        <v>0</v>
      </c>
      <c r="W52" s="310">
        <f>SUMIF('ООН 40'!B:B,B52,'ООН 40'!T:T)</f>
        <v>0</v>
      </c>
      <c r="X52" s="310">
        <f>SUMIF('ООН 43'!B:B,B52,'ООН 43'!T:T)</f>
        <v>0</v>
      </c>
      <c r="Y52" s="310">
        <f>SUMIF('ООН 44'!B:B,B52,'ООН 44'!T:T)</f>
        <v>0</v>
      </c>
      <c r="Z52" s="310">
        <f>SUMIF('ООН 45'!B:B,B52,'ООН 45'!V:V)</f>
        <v>0</v>
      </c>
      <c r="AA52" s="310">
        <f>SUMIF(ООН46!B:B,B52,ООН46!T:T)</f>
        <v>11</v>
      </c>
      <c r="AB52" s="310">
        <f>SUMIF(ООН47!B:B,B52,ООН47!T:T)</f>
        <v>15</v>
      </c>
      <c r="AC52" s="310">
        <f>SUMIF(ООН48!B:B,B52,ООН48!T:T)</f>
        <v>39</v>
      </c>
      <c r="AD52" s="310">
        <f>SUMIF(ООН49!B:B,B52,ООН49!T:T)</f>
        <v>0</v>
      </c>
      <c r="AE52" s="310">
        <f>SUMIF(ООн50!B:B,B52,ООн50!T:T)</f>
        <v>0</v>
      </c>
      <c r="AF52" s="310">
        <f>SUMIF(ООН51!B:B,B52,ООН51!T:T)</f>
        <v>0</v>
      </c>
      <c r="AG52" s="310">
        <f>SUMIF(Форшахта!B:B,B52,Форшахта!T:T)</f>
        <v>0</v>
      </c>
      <c r="AH52" s="310">
        <f>SUMIF('ГАлерея 25.6'!B:B,B52,'ГАлерея 25.6'!T:T)</f>
        <v>0</v>
      </c>
      <c r="AI52" s="310">
        <f>SUMIF(ГРП!B:B,B52,ГРП!AI:AI)</f>
        <v>0</v>
      </c>
      <c r="AJ52" s="310">
        <f>SUMIF('Парк меляси'!B:B,B52,'Парк меляси'!T:T)</f>
        <v>0</v>
      </c>
      <c r="AK52" s="310">
        <f>SUMIF('ООН 42'!B:B,B52,'ООН 42'!T:T)</f>
        <v>0</v>
      </c>
      <c r="AL52" s="313">
        <f t="shared" si="5"/>
        <v>0</v>
      </c>
      <c r="AM52" s="311">
        <f t="shared" si="6"/>
        <v>0</v>
      </c>
      <c r="AN52" s="311">
        <f t="shared" si="7"/>
        <v>0</v>
      </c>
      <c r="AO52" s="311">
        <f t="shared" si="8"/>
        <v>0</v>
      </c>
      <c r="AP52" s="311">
        <f t="shared" si="9"/>
        <v>0</v>
      </c>
      <c r="AQ52" s="311">
        <f t="shared" si="10"/>
        <v>0</v>
      </c>
      <c r="AR52" s="311">
        <f t="shared" si="11"/>
        <v>0</v>
      </c>
      <c r="AS52" s="311">
        <f t="shared" si="12"/>
        <v>0</v>
      </c>
      <c r="AT52" s="311">
        <f t="shared" si="13"/>
        <v>0</v>
      </c>
      <c r="AU52" s="311">
        <f t="shared" si="14"/>
        <v>0</v>
      </c>
      <c r="AV52" s="311">
        <f t="shared" si="15"/>
        <v>0</v>
      </c>
      <c r="AW52" s="311">
        <f t="shared" si="16"/>
        <v>0</v>
      </c>
      <c r="AX52" s="311">
        <f t="shared" si="17"/>
        <v>0</v>
      </c>
      <c r="AY52" s="311">
        <f t="shared" si="18"/>
        <v>0</v>
      </c>
      <c r="AZ52" s="311">
        <f t="shared" si="19"/>
        <v>0</v>
      </c>
      <c r="BA52" s="311">
        <f t="shared" si="20"/>
        <v>0</v>
      </c>
      <c r="BB52" s="311">
        <f t="shared" si="21"/>
        <v>0</v>
      </c>
      <c r="BC52" s="311">
        <f t="shared" si="22"/>
        <v>1641.5384615384614</v>
      </c>
      <c r="BD52" s="311">
        <f t="shared" si="23"/>
        <v>2238.4615384615386</v>
      </c>
      <c r="BE52" s="311">
        <f t="shared" si="24"/>
        <v>5820</v>
      </c>
      <c r="BF52" s="311">
        <f t="shared" si="25"/>
        <v>0</v>
      </c>
      <c r="BG52" s="311">
        <f t="shared" si="26"/>
        <v>0</v>
      </c>
      <c r="BH52" s="311">
        <f t="shared" si="27"/>
        <v>0</v>
      </c>
      <c r="BI52" s="311">
        <f t="shared" si="28"/>
        <v>0</v>
      </c>
      <c r="BJ52" s="311">
        <f t="shared" si="29"/>
        <v>0</v>
      </c>
      <c r="BK52" s="311">
        <f t="shared" si="30"/>
        <v>0</v>
      </c>
      <c r="BL52" s="311">
        <f t="shared" si="31"/>
        <v>0</v>
      </c>
      <c r="BM52" s="311">
        <f t="shared" si="32"/>
        <v>0</v>
      </c>
      <c r="BN52" s="315">
        <f t="shared" si="33"/>
        <v>9700</v>
      </c>
      <c r="BO52" s="316">
        <f t="shared" si="34"/>
        <v>0</v>
      </c>
    </row>
    <row r="53" spans="1:67" ht="15.75" x14ac:dyDescent="0.25">
      <c r="A53" s="148">
        <v>50</v>
      </c>
      <c r="B53" s="149" t="s">
        <v>646</v>
      </c>
      <c r="C53" s="149"/>
      <c r="D53" s="149"/>
      <c r="E53" s="142">
        <f t="shared" si="2"/>
        <v>0</v>
      </c>
      <c r="F53" s="144">
        <v>0</v>
      </c>
      <c r="G53" s="174">
        <f t="shared" si="3"/>
        <v>0</v>
      </c>
      <c r="H53" s="174">
        <f t="shared" si="4"/>
        <v>0</v>
      </c>
      <c r="I53" s="175">
        <f>_ЦО!T51+'МХП лазня'!T51+Катеринополь!T51+ВООЗ!T51+Кернел!T51+'Глобино Мк'!T51+'ВООЗ ЕМС'!T51+'ООН 36'!T51+'ООН 37'!T51+'ООН 38'!T51+ООН39!T51+'ООН 40'!T51+'ООН 43'!T51+'ООН 44'!T51+'ООН 45'!V51+ООН46!T51+ООН47!T51+ООН48!T51+ООН49!T51+ООн50!T51+ООН51!T51+Форшахта!T51+'ГАлерея 25.6'!T51+ГРП!AI51+'Парк меляси'!T51+'ООН 42'!T51</f>
        <v>0</v>
      </c>
      <c r="J53" s="44">
        <v>150</v>
      </c>
      <c r="K53" s="310">
        <f>SUMIF(ИТР!B:B,B53,ИТР!R:R)</f>
        <v>0</v>
      </c>
      <c r="L53" s="310">
        <f>SUMIF(_ЦО!$B:$B,B53,_ЦО!T:T)</f>
        <v>0</v>
      </c>
      <c r="M53" s="310">
        <f>SUMIF('МХП лазня'!B:B,B53,'МХП лазня'!T:T)</f>
        <v>0</v>
      </c>
      <c r="N53" s="310">
        <f>SUMIF(Катеринополь!$B:$B,B53,Катеринополь!$T:$T)</f>
        <v>0</v>
      </c>
      <c r="O53" s="310">
        <f>SUMIF(ВООЗ!B:B,B53,ВООЗ!T:T)</f>
        <v>0</v>
      </c>
      <c r="P53" s="310">
        <f>SUMIF(Кернел!B:B,B53,Кернел!T:T)</f>
        <v>0</v>
      </c>
      <c r="Q53" s="310">
        <f>SUMIF('Глобино Мк'!B:B,B53,'Глобино Мк'!T:T)</f>
        <v>0</v>
      </c>
      <c r="R53" s="310">
        <f>SUMIF('ВООЗ ЕМС'!B:B,B53,'ВООЗ ЕМС'!T:T)</f>
        <v>0</v>
      </c>
      <c r="S53" s="310">
        <f>SUMIF('ООН 36'!B:B,B53,'ООН 36'!T:T)</f>
        <v>0</v>
      </c>
      <c r="T53" s="310">
        <f>SUMIF('ООН 37'!B:B,B53,'ООН 37'!T:T)</f>
        <v>0</v>
      </c>
      <c r="U53" s="310">
        <f>SUMIF('ООН 38'!B:B,B53,'ООН 38'!T:T)</f>
        <v>0</v>
      </c>
      <c r="V53" s="310">
        <f>SUMIF(ООН39!B:B,B53,ООН39!T:T)</f>
        <v>0</v>
      </c>
      <c r="W53" s="310">
        <f>SUMIF('ООН 40'!B:B,B53,'ООН 40'!T:T)</f>
        <v>0</v>
      </c>
      <c r="X53" s="310">
        <f>SUMIF('ООН 43'!B:B,B53,'ООН 43'!T:T)</f>
        <v>0</v>
      </c>
      <c r="Y53" s="310">
        <f>SUMIF('ООН 44'!B:B,B53,'ООН 44'!T:T)</f>
        <v>0</v>
      </c>
      <c r="Z53" s="310">
        <f>SUMIF('ООН 45'!B:B,B53,'ООН 45'!V:V)</f>
        <v>0</v>
      </c>
      <c r="AA53" s="310">
        <f>SUMIF(ООН46!B:B,B53,ООН46!T:T)</f>
        <v>0</v>
      </c>
      <c r="AB53" s="310">
        <f>SUMIF(ООН47!B:B,B53,ООН47!T:T)</f>
        <v>0</v>
      </c>
      <c r="AC53" s="310">
        <f>SUMIF(ООН48!B:B,B53,ООН48!T:T)</f>
        <v>0</v>
      </c>
      <c r="AD53" s="310">
        <f>SUMIF(ООН49!B:B,B53,ООН49!T:T)</f>
        <v>0</v>
      </c>
      <c r="AE53" s="310">
        <f>SUMIF(ООн50!B:B,B53,ООн50!T:T)</f>
        <v>0</v>
      </c>
      <c r="AF53" s="310">
        <f>SUMIF(ООН51!B:B,B53,ООН51!T:T)</f>
        <v>0</v>
      </c>
      <c r="AG53" s="310">
        <f>SUMIF(Форшахта!B:B,B53,Форшахта!T:T)</f>
        <v>0</v>
      </c>
      <c r="AH53" s="310">
        <f>SUMIF('ГАлерея 25.6'!B:B,B53,'ГАлерея 25.6'!T:T)</f>
        <v>0</v>
      </c>
      <c r="AI53" s="310">
        <f>SUMIF(ГРП!B:B,B53,ГРП!AI:AI)</f>
        <v>0</v>
      </c>
      <c r="AJ53" s="310">
        <f>SUMIF('Парк меляси'!B:B,B53,'Парк меляси'!T:T)</f>
        <v>0</v>
      </c>
      <c r="AK53" s="310">
        <f>SUMIF('ООН 42'!B:B,B53,'ООН 42'!T:T)</f>
        <v>0</v>
      </c>
      <c r="AL53" s="313">
        <f t="shared" si="5"/>
        <v>0</v>
      </c>
      <c r="AM53" s="311">
        <f t="shared" si="6"/>
        <v>0</v>
      </c>
      <c r="AN53" s="311">
        <f t="shared" si="7"/>
        <v>0</v>
      </c>
      <c r="AO53" s="311">
        <f t="shared" si="8"/>
        <v>0</v>
      </c>
      <c r="AP53" s="311">
        <f t="shared" si="9"/>
        <v>0</v>
      </c>
      <c r="AQ53" s="311">
        <f t="shared" si="10"/>
        <v>0</v>
      </c>
      <c r="AR53" s="311">
        <f t="shared" si="11"/>
        <v>0</v>
      </c>
      <c r="AS53" s="311">
        <f t="shared" si="12"/>
        <v>0</v>
      </c>
      <c r="AT53" s="311">
        <f t="shared" si="13"/>
        <v>0</v>
      </c>
      <c r="AU53" s="311">
        <f t="shared" si="14"/>
        <v>0</v>
      </c>
      <c r="AV53" s="311">
        <f t="shared" si="15"/>
        <v>0</v>
      </c>
      <c r="AW53" s="311">
        <f t="shared" si="16"/>
        <v>0</v>
      </c>
      <c r="AX53" s="311">
        <f t="shared" si="17"/>
        <v>0</v>
      </c>
      <c r="AY53" s="311">
        <f t="shared" si="18"/>
        <v>0</v>
      </c>
      <c r="AZ53" s="311">
        <f t="shared" si="19"/>
        <v>0</v>
      </c>
      <c r="BA53" s="311">
        <f t="shared" si="20"/>
        <v>0</v>
      </c>
      <c r="BB53" s="311">
        <f t="shared" si="21"/>
        <v>0</v>
      </c>
      <c r="BC53" s="311">
        <f t="shared" si="22"/>
        <v>0</v>
      </c>
      <c r="BD53" s="311">
        <f t="shared" si="23"/>
        <v>0</v>
      </c>
      <c r="BE53" s="311">
        <f t="shared" si="24"/>
        <v>0</v>
      </c>
      <c r="BF53" s="311">
        <f t="shared" si="25"/>
        <v>0</v>
      </c>
      <c r="BG53" s="311">
        <f t="shared" si="26"/>
        <v>0</v>
      </c>
      <c r="BH53" s="311">
        <f t="shared" si="27"/>
        <v>0</v>
      </c>
      <c r="BI53" s="311">
        <f t="shared" si="28"/>
        <v>0</v>
      </c>
      <c r="BJ53" s="311">
        <f t="shared" si="29"/>
        <v>0</v>
      </c>
      <c r="BK53" s="311">
        <f t="shared" si="30"/>
        <v>0</v>
      </c>
      <c r="BL53" s="311">
        <f t="shared" si="31"/>
        <v>0</v>
      </c>
      <c r="BM53" s="311">
        <f t="shared" si="32"/>
        <v>0</v>
      </c>
      <c r="BN53" s="315">
        <f t="shared" si="33"/>
        <v>0</v>
      </c>
      <c r="BO53" s="316">
        <f t="shared" si="34"/>
        <v>0</v>
      </c>
    </row>
    <row r="54" spans="1:67" ht="15.75" x14ac:dyDescent="0.25">
      <c r="A54" s="148">
        <v>51</v>
      </c>
      <c r="B54" s="149" t="s">
        <v>647</v>
      </c>
      <c r="C54" s="149"/>
      <c r="D54" s="149">
        <v>3927</v>
      </c>
      <c r="E54" s="142">
        <f t="shared" si="2"/>
        <v>22200</v>
      </c>
      <c r="F54" s="144">
        <v>-48.990000000001601</v>
      </c>
      <c r="G54" s="174">
        <f t="shared" si="3"/>
        <v>18200</v>
      </c>
      <c r="H54" s="174">
        <f t="shared" si="4"/>
        <v>24.009999999998399</v>
      </c>
      <c r="I54" s="175">
        <f>_ЦО!T52+'МХП лазня'!T52+Катеринополь!T52+ВООЗ!T52+Кернел!T52+'Глобино Мк'!T52+'ВООЗ ЕМС'!T52+'ООН 36'!T52+'ООН 37'!T52+'ООН 38'!T52+ООН39!T52+'ООН 40'!T52+'ООН 43'!T52+'ООН 44'!T52+'ООН 45'!V52+ООН46!T52+ООН47!T52+ООН48!T52+ООН49!T52+ООн50!T52+ООН51!T52+Форшахта!T52+'ГАлерея 25.6'!T52+ГРП!AI52+'Парк меляси'!T52+'ООН 42'!T52</f>
        <v>148</v>
      </c>
      <c r="J54" s="44">
        <v>150</v>
      </c>
      <c r="K54" s="310">
        <f>SUMIF(ИТР!B:B,B54,ИТР!R:R)</f>
        <v>0</v>
      </c>
      <c r="L54" s="310">
        <f>SUMIF(_ЦО!$B:$B,B54,_ЦО!T:T)</f>
        <v>0</v>
      </c>
      <c r="M54" s="310">
        <f>SUMIF('МХП лазня'!B:B,B54,'МХП лазня'!T:T)</f>
        <v>0</v>
      </c>
      <c r="N54" s="310">
        <f>SUMIF(Катеринополь!$B:$B,B54,Катеринополь!$T:$T)</f>
        <v>0</v>
      </c>
      <c r="O54" s="310">
        <f>SUMIF(ВООЗ!B:B,B54,ВООЗ!T:T)</f>
        <v>0</v>
      </c>
      <c r="P54" s="310">
        <f>SUMIF(Кернел!B:B,B54,Кернел!T:T)</f>
        <v>0</v>
      </c>
      <c r="Q54" s="310">
        <f>SUMIF('Глобино Мк'!B:B,B54,'Глобино Мк'!T:T)</f>
        <v>39</v>
      </c>
      <c r="R54" s="310">
        <f>SUMIF('ВООЗ ЕМС'!B:B,B54,'ВООЗ ЕМС'!T:T)</f>
        <v>0</v>
      </c>
      <c r="S54" s="310">
        <f>SUMIF('ООН 36'!B:B,B54,'ООН 36'!T:T)</f>
        <v>0</v>
      </c>
      <c r="T54" s="310">
        <f>SUMIF('ООН 37'!B:B,B54,'ООН 37'!T:T)</f>
        <v>0</v>
      </c>
      <c r="U54" s="310">
        <f>SUMIF('ООН 38'!B:B,B54,'ООН 38'!T:T)</f>
        <v>0</v>
      </c>
      <c r="V54" s="310">
        <f>SUMIF(ООН39!B:B,B54,ООН39!T:T)</f>
        <v>0</v>
      </c>
      <c r="W54" s="310">
        <f>SUMIF('ООН 40'!B:B,B54,'ООН 40'!T:T)</f>
        <v>0</v>
      </c>
      <c r="X54" s="310">
        <f>SUMIF('ООН 43'!B:B,B54,'ООН 43'!T:T)</f>
        <v>0</v>
      </c>
      <c r="Y54" s="310">
        <f>SUMIF('ООН 44'!B:B,B54,'ООН 44'!T:T)</f>
        <v>0</v>
      </c>
      <c r="Z54" s="310">
        <f>SUMIF('ООН 45'!B:B,B54,'ООН 45'!V:V)</f>
        <v>0</v>
      </c>
      <c r="AA54" s="310">
        <f>SUMIF(ООН46!B:B,B54,ООН46!T:T)</f>
        <v>0</v>
      </c>
      <c r="AB54" s="310">
        <f>SUMIF(ООН47!B:B,B54,ООН47!T:T)</f>
        <v>0</v>
      </c>
      <c r="AC54" s="310">
        <f>SUMIF(ООН48!B:B,B54,ООН48!T:T)</f>
        <v>0</v>
      </c>
      <c r="AD54" s="310">
        <f>SUMIF(ООН49!B:B,B54,ООН49!T:T)</f>
        <v>0</v>
      </c>
      <c r="AE54" s="310">
        <f>SUMIF(ООн50!B:B,B54,ООн50!T:T)</f>
        <v>0</v>
      </c>
      <c r="AF54" s="310">
        <f>SUMIF(ООН51!B:B,B54,ООН51!T:T)</f>
        <v>0</v>
      </c>
      <c r="AG54" s="310">
        <f>SUMIF(Форшахта!B:B,B54,Форшахта!T:T)</f>
        <v>22</v>
      </c>
      <c r="AH54" s="310">
        <f>SUMIF('ГАлерея 25.6'!B:B,B54,'ГАлерея 25.6'!T:T)</f>
        <v>0</v>
      </c>
      <c r="AI54" s="310">
        <f>SUMIF(ГРП!B:B,B54,ГРП!AI:AI)</f>
        <v>39</v>
      </c>
      <c r="AJ54" s="310">
        <f>SUMIF('Парк меляси'!B:B,B54,'Парк меляси'!T:T)</f>
        <v>48</v>
      </c>
      <c r="AK54" s="310">
        <f>SUMIF('ООН 42'!B:B,B54,'ООН 42'!T:T)</f>
        <v>0</v>
      </c>
      <c r="AL54" s="313">
        <f t="shared" si="5"/>
        <v>0</v>
      </c>
      <c r="AM54" s="311">
        <f t="shared" si="6"/>
        <v>0</v>
      </c>
      <c r="AN54" s="311">
        <f t="shared" si="7"/>
        <v>0</v>
      </c>
      <c r="AO54" s="311">
        <f t="shared" si="8"/>
        <v>0</v>
      </c>
      <c r="AP54" s="311">
        <f t="shared" si="9"/>
        <v>0</v>
      </c>
      <c r="AQ54" s="311">
        <f t="shared" si="10"/>
        <v>0</v>
      </c>
      <c r="AR54" s="311">
        <f t="shared" si="11"/>
        <v>0</v>
      </c>
      <c r="AS54" s="311">
        <f t="shared" si="12"/>
        <v>4795.9459459459458</v>
      </c>
      <c r="AT54" s="311">
        <f t="shared" si="13"/>
        <v>0</v>
      </c>
      <c r="AU54" s="311">
        <f t="shared" si="14"/>
        <v>0</v>
      </c>
      <c r="AV54" s="311">
        <f t="shared" si="15"/>
        <v>0</v>
      </c>
      <c r="AW54" s="311">
        <f t="shared" si="16"/>
        <v>0</v>
      </c>
      <c r="AX54" s="311">
        <f t="shared" si="17"/>
        <v>0</v>
      </c>
      <c r="AY54" s="311">
        <f t="shared" si="18"/>
        <v>0</v>
      </c>
      <c r="AZ54" s="311">
        <f t="shared" si="19"/>
        <v>0</v>
      </c>
      <c r="BA54" s="311">
        <f t="shared" si="20"/>
        <v>0</v>
      </c>
      <c r="BB54" s="311">
        <f t="shared" si="21"/>
        <v>0</v>
      </c>
      <c r="BC54" s="311">
        <f t="shared" si="22"/>
        <v>0</v>
      </c>
      <c r="BD54" s="311">
        <f t="shared" si="23"/>
        <v>0</v>
      </c>
      <c r="BE54" s="311">
        <f t="shared" si="24"/>
        <v>0</v>
      </c>
      <c r="BF54" s="311">
        <f t="shared" si="25"/>
        <v>0</v>
      </c>
      <c r="BG54" s="311">
        <f t="shared" si="26"/>
        <v>0</v>
      </c>
      <c r="BH54" s="311">
        <f t="shared" si="27"/>
        <v>0</v>
      </c>
      <c r="BI54" s="311">
        <f t="shared" si="28"/>
        <v>2705.4054054054054</v>
      </c>
      <c r="BJ54" s="311">
        <f t="shared" si="29"/>
        <v>0</v>
      </c>
      <c r="BK54" s="311">
        <f t="shared" si="30"/>
        <v>4795.9459459459458</v>
      </c>
      <c r="BL54" s="311">
        <f t="shared" si="31"/>
        <v>5902.7027027027025</v>
      </c>
      <c r="BM54" s="311">
        <f t="shared" si="32"/>
        <v>0</v>
      </c>
      <c r="BN54" s="315">
        <f t="shared" si="33"/>
        <v>18200</v>
      </c>
      <c r="BO54" s="316">
        <f t="shared" si="34"/>
        <v>0</v>
      </c>
    </row>
    <row r="55" spans="1:67" ht="15.75" x14ac:dyDescent="0.25">
      <c r="A55" s="148">
        <v>52</v>
      </c>
      <c r="B55" s="149" t="s">
        <v>652</v>
      </c>
      <c r="C55" s="149"/>
      <c r="D55" s="149">
        <v>3927</v>
      </c>
      <c r="E55" s="142">
        <f>I55*J55</f>
        <v>23400</v>
      </c>
      <c r="F55" s="144">
        <v>19</v>
      </c>
      <c r="G55" s="174">
        <f t="shared" si="3"/>
        <v>19500</v>
      </c>
      <c r="H55" s="174">
        <f t="shared" si="4"/>
        <v>-8</v>
      </c>
      <c r="I55" s="175">
        <f>_ЦО!T53+'МХП лазня'!T53+Катеринополь!T53+ВООЗ!T53+Кернел!T53+'Глобино Мк'!T53+'ВООЗ ЕМС'!T53+'ООН 36'!T53+'ООН 37'!T53+'ООН 38'!T53+ООН39!T53+'ООН 40'!T53+'ООН 43'!T53+'ООН 44'!T53+'ООН 45'!V53+ООН46!T53+ООН47!T53+ООН48!T53+ООН49!T53+ООн50!T53+ООН51!T53+Форшахта!T53+'ГАлерея 25.6'!T53+ГРП!AI53+'Парк меляси'!T53+'ООН 42'!T53</f>
        <v>156</v>
      </c>
      <c r="J55" s="44">
        <v>150</v>
      </c>
      <c r="K55" s="310">
        <f>SUMIF(ИТР!B:B,B55,ИТР!R:R)</f>
        <v>0</v>
      </c>
      <c r="L55" s="310">
        <f>SUMIF(_ЦО!$B:$B,B55,_ЦО!T:T)</f>
        <v>0</v>
      </c>
      <c r="M55" s="310">
        <f>SUMIF('МХП лазня'!B:B,B55,'МХП лазня'!T:T)</f>
        <v>0</v>
      </c>
      <c r="N55" s="310">
        <f>SUMIF(Катеринополь!$B:$B,B55,Катеринополь!$T:$T)</f>
        <v>12</v>
      </c>
      <c r="O55" s="310">
        <f>SUMIF(ВООЗ!B:B,B55,ВООЗ!T:T)</f>
        <v>0</v>
      </c>
      <c r="P55" s="310">
        <f>SUMIF(Кернел!B:B,B55,Кернел!T:T)</f>
        <v>0</v>
      </c>
      <c r="Q55" s="310">
        <f>SUMIF('Глобино Мк'!B:B,B55,'Глобино Мк'!T:T)</f>
        <v>20</v>
      </c>
      <c r="R55" s="310">
        <f>SUMIF('ВООЗ ЕМС'!B:B,B55,'ВООЗ ЕМС'!T:T)</f>
        <v>0</v>
      </c>
      <c r="S55" s="310">
        <f>SUMIF('ООН 36'!B:B,B55,'ООН 36'!T:T)</f>
        <v>0</v>
      </c>
      <c r="T55" s="310">
        <f>SUMIF('ООН 37'!B:B,B55,'ООН 37'!T:T)</f>
        <v>0</v>
      </c>
      <c r="U55" s="310">
        <f>SUMIF('ООН 38'!B:B,B55,'ООН 38'!T:T)</f>
        <v>0</v>
      </c>
      <c r="V55" s="310">
        <f>SUMIF(ООН39!B:B,B55,ООН39!T:T)</f>
        <v>0</v>
      </c>
      <c r="W55" s="310">
        <f>SUMIF('ООН 40'!B:B,B55,'ООН 40'!T:T)</f>
        <v>0</v>
      </c>
      <c r="X55" s="310">
        <f>SUMIF('ООН 43'!B:B,B55,'ООН 43'!T:T)</f>
        <v>0</v>
      </c>
      <c r="Y55" s="310">
        <f>SUMIF('ООН 44'!B:B,B55,'ООН 44'!T:T)</f>
        <v>0</v>
      </c>
      <c r="Z55" s="310">
        <f>SUMIF('ООН 45'!B:B,B55,'ООН 45'!V:V)</f>
        <v>0</v>
      </c>
      <c r="AA55" s="310">
        <f>SUMIF(ООН46!B:B,B55,ООН46!T:T)</f>
        <v>0</v>
      </c>
      <c r="AB55" s="310">
        <f>SUMIF(ООН47!B:B,B55,ООН47!T:T)</f>
        <v>24</v>
      </c>
      <c r="AC55" s="310">
        <f>SUMIF(ООН48!B:B,B55,ООН48!T:T)</f>
        <v>0</v>
      </c>
      <c r="AD55" s="310">
        <f>SUMIF(ООН49!B:B,B55,ООН49!T:T)</f>
        <v>12</v>
      </c>
      <c r="AE55" s="310">
        <f>SUMIF(ООн50!B:B,B55,ООн50!T:T)</f>
        <v>0</v>
      </c>
      <c r="AF55" s="310">
        <f>SUMIF(ООН51!B:B,B55,ООН51!T:T)</f>
        <v>0</v>
      </c>
      <c r="AG55" s="310">
        <f>SUMIF(Форшахта!B:B,B55,Форшахта!T:T)</f>
        <v>12</v>
      </c>
      <c r="AH55" s="310">
        <f>SUMIF('ГАлерея 25.6'!B:B,B55,'ГАлерея 25.6'!T:T)</f>
        <v>0</v>
      </c>
      <c r="AI55" s="310">
        <f>SUMIF(ГРП!B:B,B55,ГРП!AI:AI)</f>
        <v>20</v>
      </c>
      <c r="AJ55" s="310">
        <f>SUMIF('Парк меляси'!B:B,B55,'Парк меляси'!T:T)</f>
        <v>56</v>
      </c>
      <c r="AK55" s="310">
        <f>SUMIF('ООН 42'!B:B,B55,'ООН 42'!T:T)</f>
        <v>0</v>
      </c>
      <c r="AL55" s="313">
        <f t="shared" si="5"/>
        <v>0</v>
      </c>
      <c r="AM55" s="311">
        <f t="shared" si="6"/>
        <v>0</v>
      </c>
      <c r="AN55" s="311">
        <f t="shared" si="7"/>
        <v>0</v>
      </c>
      <c r="AO55" s="311">
        <f t="shared" si="8"/>
        <v>0</v>
      </c>
      <c r="AP55" s="311">
        <f t="shared" si="9"/>
        <v>1500</v>
      </c>
      <c r="AQ55" s="311">
        <f t="shared" si="10"/>
        <v>0</v>
      </c>
      <c r="AR55" s="311">
        <f t="shared" si="11"/>
        <v>0</v>
      </c>
      <c r="AS55" s="311">
        <f t="shared" si="12"/>
        <v>2500</v>
      </c>
      <c r="AT55" s="311">
        <f t="shared" si="13"/>
        <v>0</v>
      </c>
      <c r="AU55" s="311">
        <f t="shared" si="14"/>
        <v>0</v>
      </c>
      <c r="AV55" s="311">
        <f t="shared" si="15"/>
        <v>0</v>
      </c>
      <c r="AW55" s="311">
        <f t="shared" si="16"/>
        <v>0</v>
      </c>
      <c r="AX55" s="311">
        <f t="shared" si="17"/>
        <v>0</v>
      </c>
      <c r="AY55" s="311">
        <f t="shared" si="18"/>
        <v>0</v>
      </c>
      <c r="AZ55" s="311">
        <f t="shared" si="19"/>
        <v>0</v>
      </c>
      <c r="BA55" s="311">
        <f t="shared" si="20"/>
        <v>0</v>
      </c>
      <c r="BB55" s="311">
        <f t="shared" si="21"/>
        <v>0</v>
      </c>
      <c r="BC55" s="311">
        <f t="shared" si="22"/>
        <v>0</v>
      </c>
      <c r="BD55" s="311">
        <f t="shared" si="23"/>
        <v>3000</v>
      </c>
      <c r="BE55" s="311">
        <f t="shared" si="24"/>
        <v>0</v>
      </c>
      <c r="BF55" s="311">
        <f t="shared" si="25"/>
        <v>1500</v>
      </c>
      <c r="BG55" s="311">
        <f t="shared" si="26"/>
        <v>0</v>
      </c>
      <c r="BH55" s="311">
        <f t="shared" si="27"/>
        <v>0</v>
      </c>
      <c r="BI55" s="311">
        <f t="shared" si="28"/>
        <v>1500</v>
      </c>
      <c r="BJ55" s="311">
        <f t="shared" si="29"/>
        <v>0</v>
      </c>
      <c r="BK55" s="311">
        <f t="shared" si="30"/>
        <v>2500</v>
      </c>
      <c r="BL55" s="311">
        <f t="shared" si="31"/>
        <v>7000</v>
      </c>
      <c r="BM55" s="311">
        <f t="shared" si="32"/>
        <v>0</v>
      </c>
      <c r="BN55" s="315">
        <f t="shared" si="33"/>
        <v>19500</v>
      </c>
      <c r="BO55" s="316">
        <f t="shared" si="34"/>
        <v>0</v>
      </c>
    </row>
    <row r="56" spans="1:67" ht="15.75" x14ac:dyDescent="0.25">
      <c r="A56" s="148">
        <v>53</v>
      </c>
      <c r="B56" s="149" t="s">
        <v>653</v>
      </c>
      <c r="C56" s="149"/>
      <c r="D56" s="149"/>
      <c r="E56" s="142">
        <f t="shared" si="2"/>
        <v>8400</v>
      </c>
      <c r="F56" s="144">
        <v>0</v>
      </c>
      <c r="G56" s="174">
        <f t="shared" si="3"/>
        <v>8400</v>
      </c>
      <c r="H56" s="174">
        <f t="shared" si="4"/>
        <v>0</v>
      </c>
      <c r="I56" s="175">
        <f>_ЦО!T54+'МХП лазня'!T54+Катеринополь!T54+ВООЗ!T54+Кернел!T54+'Глобино Мк'!T54+'ВООЗ ЕМС'!T54+'ООН 36'!T54+'ООН 37'!T54+'ООН 38'!T54+ООН39!T54+'ООН 40'!T54+'ООН 43'!T54+'ООН 44'!T54+'ООН 45'!V54+ООН46!T54+ООН47!T54+ООН48!T54+ООН49!T54+ООн50!T54+ООН51!T54+Форшахта!T54+'ГАлерея 25.6'!T54+ГРП!AI54+'Парк меляси'!T54+'ООН 42'!T54</f>
        <v>56</v>
      </c>
      <c r="J56" s="44">
        <v>150</v>
      </c>
      <c r="K56" s="310">
        <f>SUMIF(ИТР!B:B,B56,ИТР!R:R)</f>
        <v>0</v>
      </c>
      <c r="L56" s="310">
        <f>SUMIF(_ЦО!$B:$B,B56,_ЦО!T:T)</f>
        <v>0</v>
      </c>
      <c r="M56" s="310">
        <f>SUMIF('МХП лазня'!B:B,B56,'МХП лазня'!T:T)</f>
        <v>0</v>
      </c>
      <c r="N56" s="310">
        <f>SUMIF(Катеринополь!$B:$B,B56,Катеринополь!$T:$T)</f>
        <v>0</v>
      </c>
      <c r="O56" s="310">
        <f>SUMIF(ВООЗ!B:B,B56,ВООЗ!T:T)</f>
        <v>0</v>
      </c>
      <c r="P56" s="310">
        <f>SUMIF(Кернел!B:B,B56,Кернел!T:T)</f>
        <v>0</v>
      </c>
      <c r="Q56" s="310">
        <f>SUMIF('Глобино Мк'!B:B,B56,'Глобино Мк'!T:T)</f>
        <v>0</v>
      </c>
      <c r="R56" s="310">
        <f>SUMIF('ВООЗ ЕМС'!B:B,B56,'ВООЗ ЕМС'!T:T)</f>
        <v>0</v>
      </c>
      <c r="S56" s="310">
        <f>SUMIF('ООН 36'!B:B,B56,'ООН 36'!T:T)</f>
        <v>0</v>
      </c>
      <c r="T56" s="310">
        <f>SUMIF('ООН 37'!B:B,B56,'ООН 37'!T:T)</f>
        <v>0</v>
      </c>
      <c r="U56" s="310">
        <f>SUMIF('ООН 38'!B:B,B56,'ООН 38'!T:T)</f>
        <v>0</v>
      </c>
      <c r="V56" s="310">
        <f>SUMIF(ООН39!B:B,B56,ООН39!T:T)</f>
        <v>0</v>
      </c>
      <c r="W56" s="310">
        <f>SUMIF('ООН 40'!B:B,B56,'ООН 40'!T:T)</f>
        <v>0</v>
      </c>
      <c r="X56" s="310">
        <f>SUMIF('ООН 43'!B:B,B56,'ООН 43'!T:T)</f>
        <v>0</v>
      </c>
      <c r="Y56" s="310">
        <f>SUMIF('ООН 44'!B:B,B56,'ООН 44'!T:T)</f>
        <v>0</v>
      </c>
      <c r="Z56" s="310">
        <f>SUMIF('ООН 45'!B:B,B56,'ООН 45'!V:V)</f>
        <v>11</v>
      </c>
      <c r="AA56" s="310">
        <f>SUMIF(ООН46!B:B,B56,ООН46!T:T)</f>
        <v>0</v>
      </c>
      <c r="AB56" s="310">
        <f>SUMIF(ООН47!B:B,B56,ООН47!T:T)</f>
        <v>22</v>
      </c>
      <c r="AC56" s="310">
        <f>SUMIF(ООН48!B:B,B56,ООН48!T:T)</f>
        <v>11</v>
      </c>
      <c r="AD56" s="310">
        <f>SUMIF(ООН49!B:B,B56,ООН49!T:T)</f>
        <v>0</v>
      </c>
      <c r="AE56" s="310">
        <f>SUMIF(ООн50!B:B,B56,ООн50!T:T)</f>
        <v>0</v>
      </c>
      <c r="AF56" s="310">
        <f>SUMIF(ООН51!B:B,B56,ООН51!T:T)</f>
        <v>0</v>
      </c>
      <c r="AG56" s="310">
        <f>SUMIF(Форшахта!B:B,B56,Форшахта!T:T)</f>
        <v>0</v>
      </c>
      <c r="AH56" s="310">
        <f>SUMIF('ГАлерея 25.6'!B:B,B56,'ГАлерея 25.6'!T:T)</f>
        <v>0</v>
      </c>
      <c r="AI56" s="310">
        <f>SUMIF(ГРП!B:B,B56,ГРП!AI:AI)</f>
        <v>0</v>
      </c>
      <c r="AJ56" s="310">
        <f>SUMIF('Парк меляси'!B:B,B56,'Парк меляси'!T:T)</f>
        <v>12</v>
      </c>
      <c r="AK56" s="310">
        <f>SUMIF('ООН 42'!B:B,B56,'ООН 42'!T:T)</f>
        <v>0</v>
      </c>
      <c r="AL56" s="313">
        <f t="shared" si="5"/>
        <v>0</v>
      </c>
      <c r="AM56" s="311">
        <f t="shared" si="6"/>
        <v>0</v>
      </c>
      <c r="AN56" s="311">
        <f t="shared" si="7"/>
        <v>0</v>
      </c>
      <c r="AO56" s="311">
        <f t="shared" si="8"/>
        <v>0</v>
      </c>
      <c r="AP56" s="311">
        <f t="shared" si="9"/>
        <v>0</v>
      </c>
      <c r="AQ56" s="311">
        <f t="shared" si="10"/>
        <v>0</v>
      </c>
      <c r="AR56" s="311">
        <f t="shared" si="11"/>
        <v>0</v>
      </c>
      <c r="AS56" s="311">
        <f t="shared" si="12"/>
        <v>0</v>
      </c>
      <c r="AT56" s="311">
        <f t="shared" si="13"/>
        <v>0</v>
      </c>
      <c r="AU56" s="311">
        <f t="shared" si="14"/>
        <v>0</v>
      </c>
      <c r="AV56" s="311">
        <f t="shared" si="15"/>
        <v>0</v>
      </c>
      <c r="AW56" s="311">
        <f t="shared" si="16"/>
        <v>0</v>
      </c>
      <c r="AX56" s="311">
        <f t="shared" si="17"/>
        <v>0</v>
      </c>
      <c r="AY56" s="311">
        <f t="shared" si="18"/>
        <v>0</v>
      </c>
      <c r="AZ56" s="311">
        <f t="shared" si="19"/>
        <v>0</v>
      </c>
      <c r="BA56" s="311">
        <f t="shared" si="20"/>
        <v>0</v>
      </c>
      <c r="BB56" s="311">
        <f t="shared" si="21"/>
        <v>1650</v>
      </c>
      <c r="BC56" s="311">
        <f t="shared" si="22"/>
        <v>0</v>
      </c>
      <c r="BD56" s="311">
        <f t="shared" si="23"/>
        <v>3300</v>
      </c>
      <c r="BE56" s="311">
        <f t="shared" si="24"/>
        <v>1650</v>
      </c>
      <c r="BF56" s="311">
        <f t="shared" si="25"/>
        <v>0</v>
      </c>
      <c r="BG56" s="311">
        <f t="shared" si="26"/>
        <v>0</v>
      </c>
      <c r="BH56" s="311">
        <f t="shared" si="27"/>
        <v>0</v>
      </c>
      <c r="BI56" s="311">
        <f t="shared" si="28"/>
        <v>0</v>
      </c>
      <c r="BJ56" s="311">
        <f t="shared" si="29"/>
        <v>0</v>
      </c>
      <c r="BK56" s="311">
        <f t="shared" si="30"/>
        <v>0</v>
      </c>
      <c r="BL56" s="311">
        <f t="shared" si="31"/>
        <v>1800</v>
      </c>
      <c r="BM56" s="311">
        <f t="shared" si="32"/>
        <v>0</v>
      </c>
      <c r="BN56" s="315">
        <f t="shared" si="33"/>
        <v>8400</v>
      </c>
      <c r="BO56" s="316">
        <f t="shared" si="34"/>
        <v>0</v>
      </c>
    </row>
    <row r="57" spans="1:67" ht="15.75" x14ac:dyDescent="0.25">
      <c r="A57" s="148">
        <v>54</v>
      </c>
      <c r="B57" s="149" t="s">
        <v>654</v>
      </c>
      <c r="C57" s="149"/>
      <c r="D57" s="149">
        <v>9625</v>
      </c>
      <c r="E57" s="142">
        <f t="shared" si="2"/>
        <v>19050</v>
      </c>
      <c r="F57" s="144">
        <v>-25</v>
      </c>
      <c r="G57" s="174">
        <f t="shared" si="3"/>
        <v>9400</v>
      </c>
      <c r="H57" s="174">
        <f t="shared" si="4"/>
        <v>0</v>
      </c>
      <c r="I57" s="175">
        <f>_ЦО!T55+'МХП лазня'!T55+Катеринополь!T55+ВООЗ!T55+Кернел!T55+'Глобино Мк'!T55+'ВООЗ ЕМС'!T55+'ООН 36'!T55+'ООН 37'!T55+'ООН 38'!T55+ООН39!T55+'ООН 40'!T55+'ООН 43'!T55+'ООН 44'!T55+'ООН 45'!V55+ООН46!T55+ООН47!T55+ООН48!T55+ООН49!T55+ООн50!T55+ООН51!T55+Форшахта!T55+'ГАлерея 25.6'!T55+ГРП!AI55+'Парк меляси'!T55+'ООН 42'!T55</f>
        <v>127</v>
      </c>
      <c r="J57" s="44">
        <v>150</v>
      </c>
      <c r="K57" s="310">
        <f>SUMIF(ИТР!B:B,B57,ИТР!R:R)</f>
        <v>0</v>
      </c>
      <c r="L57" s="310">
        <f>SUMIF(_ЦО!$B:$B,B57,_ЦО!T:T)</f>
        <v>0</v>
      </c>
      <c r="M57" s="310">
        <f>SUMIF('МХП лазня'!B:B,B57,'МХП лазня'!T:T)</f>
        <v>83</v>
      </c>
      <c r="N57" s="310">
        <f>SUMIF(Катеринополь!$B:$B,B57,Катеринополь!$T:$T)</f>
        <v>0</v>
      </c>
      <c r="O57" s="310">
        <f>SUMIF(ВООЗ!B:B,B57,ВООЗ!T:T)</f>
        <v>0</v>
      </c>
      <c r="P57" s="310">
        <f>SUMIF(Кернел!B:B,B57,Кернел!T:T)</f>
        <v>0</v>
      </c>
      <c r="Q57" s="310">
        <f>SUMIF('Глобино Мк'!B:B,B57,'Глобино Мк'!T:T)</f>
        <v>0</v>
      </c>
      <c r="R57" s="310">
        <f>SUMIF('ВООЗ ЕМС'!B:B,B57,'ВООЗ ЕМС'!T:T)</f>
        <v>0</v>
      </c>
      <c r="S57" s="310">
        <f>SUMIF('ООН 36'!B:B,B57,'ООН 36'!T:T)</f>
        <v>0</v>
      </c>
      <c r="T57" s="310">
        <f>SUMIF('ООН 37'!B:B,B57,'ООН 37'!T:T)</f>
        <v>0</v>
      </c>
      <c r="U57" s="310">
        <f>SUMIF('ООН 38'!B:B,B57,'ООН 38'!T:T)</f>
        <v>0</v>
      </c>
      <c r="V57" s="310">
        <f>SUMIF(ООН39!B:B,B57,ООН39!T:T)</f>
        <v>0</v>
      </c>
      <c r="W57" s="310">
        <f>SUMIF('ООН 40'!B:B,B57,'ООН 40'!T:T)</f>
        <v>0</v>
      </c>
      <c r="X57" s="310">
        <f>SUMIF('ООН 43'!B:B,B57,'ООН 43'!T:T)</f>
        <v>0</v>
      </c>
      <c r="Y57" s="310">
        <f>SUMIF('ООН 44'!B:B,B57,'ООН 44'!T:T)</f>
        <v>11</v>
      </c>
      <c r="Z57" s="310">
        <f>SUMIF('ООН 45'!B:B,B57,'ООН 45'!V:V)</f>
        <v>33</v>
      </c>
      <c r="AA57" s="310">
        <f>SUMIF(ООН46!B:B,B57,ООН46!T:T)</f>
        <v>0</v>
      </c>
      <c r="AB57" s="310">
        <f>SUMIF(ООН47!B:B,B57,ООН47!T:T)</f>
        <v>0</v>
      </c>
      <c r="AC57" s="310">
        <f>SUMIF(ООН48!B:B,B57,ООН48!T:T)</f>
        <v>0</v>
      </c>
      <c r="AD57" s="310">
        <f>SUMIF(ООН49!B:B,B57,ООН49!T:T)</f>
        <v>0</v>
      </c>
      <c r="AE57" s="310">
        <f>SUMIF(ООн50!B:B,B57,ООн50!T:T)</f>
        <v>0</v>
      </c>
      <c r="AF57" s="310">
        <f>SUMIF(ООН51!B:B,B57,ООН51!T:T)</f>
        <v>0</v>
      </c>
      <c r="AG57" s="310">
        <f>SUMIF(Форшахта!B:B,B57,Форшахта!T:T)</f>
        <v>0</v>
      </c>
      <c r="AH57" s="310">
        <f>SUMIF('ГАлерея 25.6'!B:B,B57,'ГАлерея 25.6'!T:T)</f>
        <v>0</v>
      </c>
      <c r="AI57" s="310">
        <f>SUMIF(ГРП!B:B,B57,ГРП!AI:AI)</f>
        <v>0</v>
      </c>
      <c r="AJ57" s="310">
        <f>SUMIF('Парк меляси'!B:B,B57,'Парк меляси'!T:T)</f>
        <v>0</v>
      </c>
      <c r="AK57" s="310">
        <f>SUMIF('ООН 42'!B:B,B57,'ООН 42'!T:T)</f>
        <v>0</v>
      </c>
      <c r="AL57" s="313">
        <f t="shared" si="5"/>
        <v>0</v>
      </c>
      <c r="AM57" s="311">
        <f t="shared" si="6"/>
        <v>0</v>
      </c>
      <c r="AN57" s="311">
        <f t="shared" si="7"/>
        <v>0</v>
      </c>
      <c r="AO57" s="311">
        <f t="shared" si="8"/>
        <v>6143.3070866141734</v>
      </c>
      <c r="AP57" s="311">
        <f t="shared" si="9"/>
        <v>0</v>
      </c>
      <c r="AQ57" s="311">
        <f t="shared" si="10"/>
        <v>0</v>
      </c>
      <c r="AR57" s="311">
        <f t="shared" si="11"/>
        <v>0</v>
      </c>
      <c r="AS57" s="311">
        <f t="shared" si="12"/>
        <v>0</v>
      </c>
      <c r="AT57" s="311">
        <f t="shared" si="13"/>
        <v>0</v>
      </c>
      <c r="AU57" s="311">
        <f t="shared" si="14"/>
        <v>0</v>
      </c>
      <c r="AV57" s="311">
        <f t="shared" si="15"/>
        <v>0</v>
      </c>
      <c r="AW57" s="311">
        <f t="shared" si="16"/>
        <v>0</v>
      </c>
      <c r="AX57" s="311">
        <f t="shared" si="17"/>
        <v>0</v>
      </c>
      <c r="AY57" s="311">
        <f t="shared" si="18"/>
        <v>0</v>
      </c>
      <c r="AZ57" s="311">
        <f t="shared" si="19"/>
        <v>0</v>
      </c>
      <c r="BA57" s="311">
        <f t="shared" si="20"/>
        <v>814.17322834645665</v>
      </c>
      <c r="BB57" s="311">
        <f t="shared" si="21"/>
        <v>2442.51968503937</v>
      </c>
      <c r="BC57" s="311">
        <f t="shared" si="22"/>
        <v>0</v>
      </c>
      <c r="BD57" s="311">
        <f t="shared" si="23"/>
        <v>0</v>
      </c>
      <c r="BE57" s="311">
        <f t="shared" si="24"/>
        <v>0</v>
      </c>
      <c r="BF57" s="311">
        <f t="shared" si="25"/>
        <v>0</v>
      </c>
      <c r="BG57" s="311">
        <f t="shared" si="26"/>
        <v>0</v>
      </c>
      <c r="BH57" s="311">
        <f t="shared" si="27"/>
        <v>0</v>
      </c>
      <c r="BI57" s="311">
        <f t="shared" si="28"/>
        <v>0</v>
      </c>
      <c r="BJ57" s="311">
        <f t="shared" si="29"/>
        <v>0</v>
      </c>
      <c r="BK57" s="311">
        <f t="shared" si="30"/>
        <v>0</v>
      </c>
      <c r="BL57" s="311">
        <f t="shared" si="31"/>
        <v>0</v>
      </c>
      <c r="BM57" s="311">
        <f t="shared" si="32"/>
        <v>0</v>
      </c>
      <c r="BN57" s="315">
        <f t="shared" si="33"/>
        <v>9400</v>
      </c>
      <c r="BO57" s="316">
        <f t="shared" si="34"/>
        <v>0</v>
      </c>
    </row>
    <row r="58" spans="1:67" ht="15.75" x14ac:dyDescent="0.25">
      <c r="A58" s="148">
        <v>55</v>
      </c>
      <c r="B58" s="149" t="s">
        <v>655</v>
      </c>
      <c r="C58" s="149"/>
      <c r="D58" s="149"/>
      <c r="E58" s="142">
        <f t="shared" si="2"/>
        <v>24300</v>
      </c>
      <c r="F58" s="144">
        <v>0</v>
      </c>
      <c r="G58" s="174">
        <f t="shared" si="3"/>
        <v>24300</v>
      </c>
      <c r="H58" s="174">
        <f t="shared" si="4"/>
        <v>0</v>
      </c>
      <c r="I58" s="175">
        <f>_ЦО!T56+'МХП лазня'!T56+Катеринополь!T56+ВООЗ!T56+Кернел!T56+'Глобино Мк'!T56+'ВООЗ ЕМС'!T56+'ООН 36'!T56+'ООН 37'!T56+'ООН 38'!T56+ООН39!T56+'ООН 40'!T56+'ООН 43'!T56+'ООН 44'!T56+'ООН 45'!V56+ООН46!T56+ООН47!T56+ООН48!T56+ООН49!T56+ООн50!T56+ООН51!T56+Форшахта!T56+'ГАлерея 25.6'!T56+ГРП!AI56+'Парк меляси'!T56+'ООН 42'!T56</f>
        <v>162</v>
      </c>
      <c r="J58" s="44">
        <v>150</v>
      </c>
      <c r="K58" s="310">
        <f>SUMIF(ИТР!B:B,B58,ИТР!R:R)</f>
        <v>0</v>
      </c>
      <c r="L58" s="310">
        <f>SUMIF(_ЦО!$B:$B,B58,_ЦО!T:T)</f>
        <v>0</v>
      </c>
      <c r="M58" s="310">
        <f>SUMIF('МХП лазня'!B:B,B58,'МХП лазня'!T:T)</f>
        <v>0</v>
      </c>
      <c r="N58" s="310">
        <f>SUMIF(Катеринополь!$B:$B,B58,Катеринополь!$T:$T)</f>
        <v>22</v>
      </c>
      <c r="O58" s="310">
        <f>SUMIF(ВООЗ!B:B,B58,ВООЗ!T:T)</f>
        <v>0</v>
      </c>
      <c r="P58" s="310">
        <f>SUMIF(Кернел!B:B,B58,Кернел!T:T)</f>
        <v>0</v>
      </c>
      <c r="Q58" s="310">
        <f>SUMIF('Глобино Мк'!B:B,B58,'Глобино Мк'!T:T)</f>
        <v>39</v>
      </c>
      <c r="R58" s="310">
        <f>SUMIF('ВООЗ ЕМС'!B:B,B58,'ВООЗ ЕМС'!T:T)</f>
        <v>0</v>
      </c>
      <c r="S58" s="310">
        <f>SUMIF('ООН 36'!B:B,B58,'ООН 36'!T:T)</f>
        <v>0</v>
      </c>
      <c r="T58" s="310">
        <f>SUMIF('ООН 37'!B:B,B58,'ООН 37'!T:T)</f>
        <v>0</v>
      </c>
      <c r="U58" s="310">
        <f>SUMIF('ООН 38'!B:B,B58,'ООН 38'!T:T)</f>
        <v>0</v>
      </c>
      <c r="V58" s="310">
        <f>SUMIF(ООН39!B:B,B58,ООН39!T:T)</f>
        <v>0</v>
      </c>
      <c r="W58" s="310">
        <f>SUMIF('ООН 40'!B:B,B58,'ООН 40'!T:T)</f>
        <v>0</v>
      </c>
      <c r="X58" s="310">
        <f>SUMIF('ООН 43'!B:B,B58,'ООН 43'!T:T)</f>
        <v>0</v>
      </c>
      <c r="Y58" s="310">
        <f>SUMIF('ООН 44'!B:B,B58,'ООН 44'!T:T)</f>
        <v>0</v>
      </c>
      <c r="Z58" s="310">
        <f>SUMIF('ООН 45'!B:B,B58,'ООН 45'!V:V)</f>
        <v>0</v>
      </c>
      <c r="AA58" s="310">
        <f>SUMIF(ООН46!B:B,B58,ООН46!T:T)</f>
        <v>0</v>
      </c>
      <c r="AB58" s="310">
        <f>SUMIF(ООН47!B:B,B58,ООН47!T:T)</f>
        <v>11</v>
      </c>
      <c r="AC58" s="310">
        <f>SUMIF(ООН48!B:B,B58,ООН48!T:T)</f>
        <v>0</v>
      </c>
      <c r="AD58" s="310">
        <f>SUMIF(ООН49!B:B,B58,ООН49!T:T)</f>
        <v>0</v>
      </c>
      <c r="AE58" s="310">
        <f>SUMIF(ООн50!B:B,B58,ООн50!T:T)</f>
        <v>0</v>
      </c>
      <c r="AF58" s="310">
        <f>SUMIF(ООН51!B:B,B58,ООН51!T:T)</f>
        <v>0</v>
      </c>
      <c r="AG58" s="310">
        <f>SUMIF(Форшахта!B:B,B58,Форшахта!T:T)</f>
        <v>0</v>
      </c>
      <c r="AH58" s="310">
        <f>SUMIF('ГАлерея 25.6'!B:B,B58,'ГАлерея 25.6'!T:T)</f>
        <v>22</v>
      </c>
      <c r="AI58" s="310">
        <f>SUMIF(ГРП!B:B,B58,ГРП!AI:AI)</f>
        <v>39</v>
      </c>
      <c r="AJ58" s="310">
        <f>SUMIF('Парк меляси'!B:B,B58,'Парк меляси'!T:T)</f>
        <v>29</v>
      </c>
      <c r="AK58" s="310">
        <f>SUMIF('ООН 42'!B:B,B58,'ООН 42'!T:T)</f>
        <v>0</v>
      </c>
      <c r="AL58" s="313">
        <f t="shared" si="5"/>
        <v>0</v>
      </c>
      <c r="AM58" s="311">
        <f t="shared" si="6"/>
        <v>0</v>
      </c>
      <c r="AN58" s="311">
        <f t="shared" si="7"/>
        <v>0</v>
      </c>
      <c r="AO58" s="311">
        <f t="shared" si="8"/>
        <v>0</v>
      </c>
      <c r="AP58" s="311">
        <f t="shared" si="9"/>
        <v>3300</v>
      </c>
      <c r="AQ58" s="311">
        <f t="shared" si="10"/>
        <v>0</v>
      </c>
      <c r="AR58" s="311">
        <f t="shared" si="11"/>
        <v>0</v>
      </c>
      <c r="AS58" s="311">
        <f t="shared" si="12"/>
        <v>5850</v>
      </c>
      <c r="AT58" s="311">
        <f t="shared" si="13"/>
        <v>0</v>
      </c>
      <c r="AU58" s="311">
        <f t="shared" si="14"/>
        <v>0</v>
      </c>
      <c r="AV58" s="311">
        <f t="shared" si="15"/>
        <v>0</v>
      </c>
      <c r="AW58" s="311">
        <f t="shared" si="16"/>
        <v>0</v>
      </c>
      <c r="AX58" s="311">
        <f t="shared" si="17"/>
        <v>0</v>
      </c>
      <c r="AY58" s="311">
        <f t="shared" si="18"/>
        <v>0</v>
      </c>
      <c r="AZ58" s="311">
        <f t="shared" si="19"/>
        <v>0</v>
      </c>
      <c r="BA58" s="311">
        <f t="shared" si="20"/>
        <v>0</v>
      </c>
      <c r="BB58" s="311">
        <f t="shared" si="21"/>
        <v>0</v>
      </c>
      <c r="BC58" s="311">
        <f t="shared" si="22"/>
        <v>0</v>
      </c>
      <c r="BD58" s="311">
        <f t="shared" si="23"/>
        <v>1650</v>
      </c>
      <c r="BE58" s="311">
        <f t="shared" si="24"/>
        <v>0</v>
      </c>
      <c r="BF58" s="311">
        <f t="shared" si="25"/>
        <v>0</v>
      </c>
      <c r="BG58" s="311">
        <f t="shared" si="26"/>
        <v>0</v>
      </c>
      <c r="BH58" s="311">
        <f t="shared" si="27"/>
        <v>0</v>
      </c>
      <c r="BI58" s="311">
        <f t="shared" si="28"/>
        <v>0</v>
      </c>
      <c r="BJ58" s="311">
        <f t="shared" si="29"/>
        <v>3300</v>
      </c>
      <c r="BK58" s="311">
        <f t="shared" si="30"/>
        <v>5850</v>
      </c>
      <c r="BL58" s="311">
        <f t="shared" si="31"/>
        <v>4350</v>
      </c>
      <c r="BM58" s="311">
        <f t="shared" si="32"/>
        <v>0</v>
      </c>
      <c r="BN58" s="315">
        <f t="shared" si="33"/>
        <v>24300</v>
      </c>
      <c r="BO58" s="316">
        <f t="shared" si="34"/>
        <v>0</v>
      </c>
    </row>
    <row r="59" spans="1:67" ht="15.75" x14ac:dyDescent="0.25">
      <c r="A59" s="148">
        <v>56</v>
      </c>
      <c r="B59" s="149" t="s">
        <v>656</v>
      </c>
      <c r="C59" s="149"/>
      <c r="D59" s="149"/>
      <c r="E59" s="152">
        <f t="shared" si="2"/>
        <v>21300</v>
      </c>
      <c r="F59" s="146">
        <v>-50</v>
      </c>
      <c r="G59" s="174">
        <f t="shared" si="3"/>
        <v>21300</v>
      </c>
      <c r="H59" s="174">
        <f t="shared" si="4"/>
        <v>-50</v>
      </c>
      <c r="I59" s="175">
        <f>_ЦО!T57+'МХП лазня'!T57+Катеринополь!T57+ВООЗ!T57+Кернел!T57+'Глобино Мк'!T57+'ВООЗ ЕМС'!T57+'ООН 36'!T57+'ООН 37'!T57+'ООН 38'!T57+ООН39!T57+'ООН 40'!T57+'ООН 43'!T57+'ООН 44'!T57+'ООН 45'!V57+ООН46!T57+ООН47!T57+ООН48!T57+ООН49!T57+ООн50!T57+ООН51!T57+Форшахта!T57+'ГАлерея 25.6'!T57+ГРП!AI57+'Парк меляси'!T57+'ООН 42'!T57</f>
        <v>142</v>
      </c>
      <c r="J59" s="44">
        <v>150</v>
      </c>
      <c r="K59" s="310">
        <f>SUMIF(ИТР!B:B,B59,ИТР!R:R)</f>
        <v>0</v>
      </c>
      <c r="L59" s="310">
        <f>SUMIF(_ЦО!$B:$B,B59,_ЦО!T:T)</f>
        <v>0</v>
      </c>
      <c r="M59" s="310">
        <f>SUMIF('МХП лазня'!B:B,B59,'МХП лазня'!T:T)</f>
        <v>0</v>
      </c>
      <c r="N59" s="310">
        <f>SUMIF(Катеринополь!$B:$B,B59,Катеринополь!$T:$T)</f>
        <v>0</v>
      </c>
      <c r="O59" s="310">
        <f>SUMIF(ВООЗ!B:B,B59,ВООЗ!T:T)</f>
        <v>0</v>
      </c>
      <c r="P59" s="310">
        <f>SUMIF(Кернел!B:B,B59,Кернел!T:T)</f>
        <v>0</v>
      </c>
      <c r="Q59" s="310">
        <f>SUMIF('Глобино Мк'!B:B,B59,'Глобино Мк'!T:T)</f>
        <v>42</v>
      </c>
      <c r="R59" s="310">
        <f>SUMIF('ВООЗ ЕМС'!B:B,B59,'ВООЗ ЕМС'!T:T)</f>
        <v>0</v>
      </c>
      <c r="S59" s="310">
        <f>SUMIF('ООН 36'!B:B,B59,'ООН 36'!T:T)</f>
        <v>0</v>
      </c>
      <c r="T59" s="310">
        <f>SUMIF('ООН 37'!B:B,B59,'ООН 37'!T:T)</f>
        <v>0</v>
      </c>
      <c r="U59" s="310">
        <f>SUMIF('ООН 38'!B:B,B59,'ООН 38'!T:T)</f>
        <v>0</v>
      </c>
      <c r="V59" s="310">
        <f>SUMIF(ООН39!B:B,B59,ООН39!T:T)</f>
        <v>0</v>
      </c>
      <c r="W59" s="310">
        <f>SUMIF('ООН 40'!B:B,B59,'ООН 40'!T:T)</f>
        <v>0</v>
      </c>
      <c r="X59" s="310">
        <f>SUMIF('ООН 43'!B:B,B59,'ООН 43'!T:T)</f>
        <v>0</v>
      </c>
      <c r="Y59" s="310">
        <f>SUMIF('ООН 44'!B:B,B59,'ООН 44'!T:T)</f>
        <v>0</v>
      </c>
      <c r="Z59" s="310">
        <f>SUMIF('ООН 45'!B:B,B59,'ООН 45'!V:V)</f>
        <v>0</v>
      </c>
      <c r="AA59" s="310">
        <f>SUMIF(ООН46!B:B,B59,ООН46!T:T)</f>
        <v>0</v>
      </c>
      <c r="AB59" s="310">
        <f>SUMIF(ООН47!B:B,B59,ООН47!T:T)</f>
        <v>0</v>
      </c>
      <c r="AC59" s="310">
        <f>SUMIF(ООН48!B:B,B59,ООН48!T:T)</f>
        <v>0</v>
      </c>
      <c r="AD59" s="310">
        <f>SUMIF(ООН49!B:B,B59,ООН49!T:T)</f>
        <v>0</v>
      </c>
      <c r="AE59" s="310">
        <f>SUMIF(ООн50!B:B,B59,ООн50!T:T)</f>
        <v>0</v>
      </c>
      <c r="AF59" s="310">
        <f>SUMIF(ООН51!B:B,B59,ООН51!T:T)</f>
        <v>0</v>
      </c>
      <c r="AG59" s="310">
        <f>SUMIF(Форшахта!B:B,B59,Форшахта!T:T)</f>
        <v>0</v>
      </c>
      <c r="AH59" s="310">
        <f>SUMIF('ГАлерея 25.6'!B:B,B59,'ГАлерея 25.6'!T:T)</f>
        <v>42</v>
      </c>
      <c r="AI59" s="310">
        <f>SUMIF(ГРП!B:B,B59,ГРП!AI:AI)</f>
        <v>11</v>
      </c>
      <c r="AJ59" s="310">
        <f>SUMIF('Парк меляси'!B:B,B59,'Парк меляси'!T:T)</f>
        <v>47</v>
      </c>
      <c r="AK59" s="310">
        <f>SUMIF('ООН 42'!B:B,B59,'ООН 42'!T:T)</f>
        <v>0</v>
      </c>
      <c r="AL59" s="313">
        <f t="shared" si="5"/>
        <v>0</v>
      </c>
      <c r="AM59" s="311">
        <f t="shared" si="6"/>
        <v>0</v>
      </c>
      <c r="AN59" s="311">
        <f t="shared" si="7"/>
        <v>0</v>
      </c>
      <c r="AO59" s="311">
        <f t="shared" si="8"/>
        <v>0</v>
      </c>
      <c r="AP59" s="311">
        <f t="shared" si="9"/>
        <v>0</v>
      </c>
      <c r="AQ59" s="311">
        <f t="shared" si="10"/>
        <v>0</v>
      </c>
      <c r="AR59" s="311">
        <f t="shared" si="11"/>
        <v>0</v>
      </c>
      <c r="AS59" s="311">
        <f t="shared" si="12"/>
        <v>6300</v>
      </c>
      <c r="AT59" s="311">
        <f t="shared" si="13"/>
        <v>0</v>
      </c>
      <c r="AU59" s="311">
        <f t="shared" si="14"/>
        <v>0</v>
      </c>
      <c r="AV59" s="311">
        <f t="shared" si="15"/>
        <v>0</v>
      </c>
      <c r="AW59" s="311">
        <f t="shared" si="16"/>
        <v>0</v>
      </c>
      <c r="AX59" s="311">
        <f t="shared" si="17"/>
        <v>0</v>
      </c>
      <c r="AY59" s="311">
        <f t="shared" si="18"/>
        <v>0</v>
      </c>
      <c r="AZ59" s="311">
        <f t="shared" si="19"/>
        <v>0</v>
      </c>
      <c r="BA59" s="311">
        <f t="shared" si="20"/>
        <v>0</v>
      </c>
      <c r="BB59" s="311">
        <f t="shared" si="21"/>
        <v>0</v>
      </c>
      <c r="BC59" s="311">
        <f t="shared" si="22"/>
        <v>0</v>
      </c>
      <c r="BD59" s="311">
        <f t="shared" si="23"/>
        <v>0</v>
      </c>
      <c r="BE59" s="311">
        <f t="shared" si="24"/>
        <v>0</v>
      </c>
      <c r="BF59" s="311">
        <f t="shared" si="25"/>
        <v>0</v>
      </c>
      <c r="BG59" s="311">
        <f t="shared" si="26"/>
        <v>0</v>
      </c>
      <c r="BH59" s="311">
        <f t="shared" si="27"/>
        <v>0</v>
      </c>
      <c r="BI59" s="311">
        <f t="shared" si="28"/>
        <v>0</v>
      </c>
      <c r="BJ59" s="311">
        <f t="shared" si="29"/>
        <v>6300</v>
      </c>
      <c r="BK59" s="311">
        <f t="shared" si="30"/>
        <v>1650</v>
      </c>
      <c r="BL59" s="311">
        <f t="shared" si="31"/>
        <v>7050</v>
      </c>
      <c r="BM59" s="311">
        <f t="shared" si="32"/>
        <v>0</v>
      </c>
      <c r="BN59" s="315">
        <f t="shared" si="33"/>
        <v>21300</v>
      </c>
      <c r="BO59" s="316">
        <f t="shared" si="34"/>
        <v>0</v>
      </c>
    </row>
    <row r="60" spans="1:67" ht="15.75" x14ac:dyDescent="0.25">
      <c r="A60" s="148">
        <v>57</v>
      </c>
      <c r="B60" s="149" t="s">
        <v>657</v>
      </c>
      <c r="C60" s="149"/>
      <c r="D60" s="149"/>
      <c r="E60" s="142">
        <f t="shared" si="2"/>
        <v>25650</v>
      </c>
      <c r="F60" s="144">
        <v>-50</v>
      </c>
      <c r="G60" s="174">
        <f t="shared" si="3"/>
        <v>25600</v>
      </c>
      <c r="H60" s="174">
        <f t="shared" si="4"/>
        <v>0</v>
      </c>
      <c r="I60" s="175">
        <f>_ЦО!T58+'МХП лазня'!T58+Катеринополь!T58+ВООЗ!T58+Кернел!T58+'Глобино Мк'!T58+'ВООЗ ЕМС'!T58+'ООН 36'!T58+'ООН 37'!T58+'ООН 38'!T58+ООН39!T58+'ООН 40'!T58+'ООН 43'!T58+'ООН 44'!T58+'ООН 45'!V58+ООН46!T58+ООН47!T58+ООН48!T58+ООН49!T58+ООн50!T58+ООН51!T58+Форшахта!T58+'ГАлерея 25.6'!T58+ГРП!AI58+'Парк меляси'!T58+'ООН 42'!T58</f>
        <v>171</v>
      </c>
      <c r="J60" s="44">
        <v>150</v>
      </c>
      <c r="K60" s="310">
        <f>SUMIF(ИТР!B:B,B60,ИТР!R:R)</f>
        <v>0</v>
      </c>
      <c r="L60" s="310">
        <f>SUMIF(_ЦО!$B:$B,B60,_ЦО!T:T)</f>
        <v>0</v>
      </c>
      <c r="M60" s="310">
        <f>SUMIF('МХП лазня'!B:B,B60,'МХП лазня'!T:T)</f>
        <v>0</v>
      </c>
      <c r="N60" s="310">
        <f>SUMIF(Катеринополь!$B:$B,B60,Катеринополь!$T:$T)</f>
        <v>11</v>
      </c>
      <c r="O60" s="310">
        <f>SUMIF(ВООЗ!B:B,B60,ВООЗ!T:T)</f>
        <v>0</v>
      </c>
      <c r="P60" s="310">
        <f>SUMIF(Кернел!B:B,B60,Кернел!T:T)</f>
        <v>0</v>
      </c>
      <c r="Q60" s="310">
        <f>SUMIF('Глобино Мк'!B:B,B60,'Глобино Мк'!T:T)</f>
        <v>55</v>
      </c>
      <c r="R60" s="310">
        <f>SUMIF('ВООЗ ЕМС'!B:B,B60,'ВООЗ ЕМС'!T:T)</f>
        <v>0</v>
      </c>
      <c r="S60" s="310">
        <f>SUMIF('ООН 36'!B:B,B60,'ООН 36'!T:T)</f>
        <v>0</v>
      </c>
      <c r="T60" s="310">
        <f>SUMIF('ООН 37'!B:B,B60,'ООН 37'!T:T)</f>
        <v>0</v>
      </c>
      <c r="U60" s="310">
        <f>SUMIF('ООН 38'!B:B,B60,'ООН 38'!T:T)</f>
        <v>0</v>
      </c>
      <c r="V60" s="310">
        <f>SUMIF(ООН39!B:B,B60,ООН39!T:T)</f>
        <v>0</v>
      </c>
      <c r="W60" s="310">
        <f>SUMIF('ООН 40'!B:B,B60,'ООН 40'!T:T)</f>
        <v>0</v>
      </c>
      <c r="X60" s="310">
        <f>SUMIF('ООН 43'!B:B,B60,'ООН 43'!T:T)</f>
        <v>0</v>
      </c>
      <c r="Y60" s="310">
        <f>SUMIF('ООН 44'!B:B,B60,'ООН 44'!T:T)</f>
        <v>0</v>
      </c>
      <c r="Z60" s="310">
        <f>SUMIF('ООН 45'!B:B,B60,'ООН 45'!V:V)</f>
        <v>0</v>
      </c>
      <c r="AA60" s="310">
        <f>SUMIF(ООН46!B:B,B60,ООН46!T:T)</f>
        <v>0</v>
      </c>
      <c r="AB60" s="310">
        <f>SUMIF(ООН47!B:B,B60,ООН47!T:T)</f>
        <v>0</v>
      </c>
      <c r="AC60" s="310">
        <f>SUMIF(ООН48!B:B,B60,ООН48!T:T)</f>
        <v>0</v>
      </c>
      <c r="AD60" s="310">
        <f>SUMIF(ООН49!B:B,B60,ООН49!T:T)</f>
        <v>0</v>
      </c>
      <c r="AE60" s="310">
        <f>SUMIF(ООн50!B:B,B60,ООн50!T:T)</f>
        <v>0</v>
      </c>
      <c r="AF60" s="310">
        <f>SUMIF(ООН51!B:B,B60,ООН51!T:T)</f>
        <v>0</v>
      </c>
      <c r="AG60" s="310">
        <f>SUMIF(Форшахта!B:B,B60,Форшахта!T:T)</f>
        <v>0</v>
      </c>
      <c r="AH60" s="310">
        <f>SUMIF('ГАлерея 25.6'!B:B,B60,'ГАлерея 25.6'!T:T)</f>
        <v>50</v>
      </c>
      <c r="AI60" s="310">
        <f>SUMIF(ГРП!B:B,B60,ГРП!AI:AI)</f>
        <v>22</v>
      </c>
      <c r="AJ60" s="310">
        <f>SUMIF('Парк меляси'!B:B,B60,'Парк меляси'!T:T)</f>
        <v>33</v>
      </c>
      <c r="AK60" s="310">
        <f>SUMIF('ООН 42'!B:B,B60,'ООН 42'!T:T)</f>
        <v>0</v>
      </c>
      <c r="AL60" s="313">
        <f t="shared" si="5"/>
        <v>0</v>
      </c>
      <c r="AM60" s="311">
        <f t="shared" si="6"/>
        <v>0</v>
      </c>
      <c r="AN60" s="311">
        <f t="shared" si="7"/>
        <v>0</v>
      </c>
      <c r="AO60" s="311">
        <f t="shared" si="8"/>
        <v>0</v>
      </c>
      <c r="AP60" s="311">
        <f t="shared" si="9"/>
        <v>1646.7836257309941</v>
      </c>
      <c r="AQ60" s="311">
        <f t="shared" si="10"/>
        <v>0</v>
      </c>
      <c r="AR60" s="311">
        <f t="shared" si="11"/>
        <v>0</v>
      </c>
      <c r="AS60" s="311">
        <f t="shared" si="12"/>
        <v>8233.9181286549701</v>
      </c>
      <c r="AT60" s="311">
        <f t="shared" si="13"/>
        <v>0</v>
      </c>
      <c r="AU60" s="311">
        <f t="shared" si="14"/>
        <v>0</v>
      </c>
      <c r="AV60" s="311">
        <f t="shared" si="15"/>
        <v>0</v>
      </c>
      <c r="AW60" s="311">
        <f t="shared" si="16"/>
        <v>0</v>
      </c>
      <c r="AX60" s="311">
        <f t="shared" si="17"/>
        <v>0</v>
      </c>
      <c r="AY60" s="311">
        <f t="shared" si="18"/>
        <v>0</v>
      </c>
      <c r="AZ60" s="311">
        <f t="shared" si="19"/>
        <v>0</v>
      </c>
      <c r="BA60" s="311">
        <f t="shared" si="20"/>
        <v>0</v>
      </c>
      <c r="BB60" s="311">
        <f t="shared" si="21"/>
        <v>0</v>
      </c>
      <c r="BC60" s="311">
        <f t="shared" si="22"/>
        <v>0</v>
      </c>
      <c r="BD60" s="311">
        <f t="shared" si="23"/>
        <v>0</v>
      </c>
      <c r="BE60" s="311">
        <f t="shared" si="24"/>
        <v>0</v>
      </c>
      <c r="BF60" s="311">
        <f t="shared" si="25"/>
        <v>0</v>
      </c>
      <c r="BG60" s="311">
        <f t="shared" si="26"/>
        <v>0</v>
      </c>
      <c r="BH60" s="311">
        <f t="shared" si="27"/>
        <v>0</v>
      </c>
      <c r="BI60" s="311">
        <f t="shared" si="28"/>
        <v>0</v>
      </c>
      <c r="BJ60" s="311">
        <f t="shared" si="29"/>
        <v>7485.3801169590643</v>
      </c>
      <c r="BK60" s="311">
        <f t="shared" si="30"/>
        <v>3293.5672514619882</v>
      </c>
      <c r="BL60" s="311">
        <f t="shared" si="31"/>
        <v>4940.3508771929819</v>
      </c>
      <c r="BM60" s="311">
        <f t="shared" si="32"/>
        <v>0</v>
      </c>
      <c r="BN60" s="315">
        <f t="shared" si="33"/>
        <v>25599.999999999996</v>
      </c>
      <c r="BO60" s="316">
        <f t="shared" si="34"/>
        <v>0</v>
      </c>
    </row>
    <row r="61" spans="1:67" ht="15.75" x14ac:dyDescent="0.25">
      <c r="A61" s="148">
        <v>58</v>
      </c>
      <c r="B61" s="149" t="s">
        <v>658</v>
      </c>
      <c r="C61" s="149"/>
      <c r="D61" s="149"/>
      <c r="E61" s="142">
        <f t="shared" si="2"/>
        <v>25800</v>
      </c>
      <c r="F61" s="144">
        <v>0</v>
      </c>
      <c r="G61" s="174">
        <f t="shared" si="3"/>
        <v>25800</v>
      </c>
      <c r="H61" s="174">
        <f t="shared" si="4"/>
        <v>0</v>
      </c>
      <c r="I61" s="175">
        <f>_ЦО!T59+'МХП лазня'!T59+Катеринополь!T59+ВООЗ!T59+Кернел!T59+'Глобино Мк'!T59+'ВООЗ ЕМС'!T59+'ООН 36'!T59+'ООН 37'!T59+'ООН 38'!T59+ООН39!T59+'ООН 40'!T59+'ООН 43'!T59+'ООН 44'!T59+'ООН 45'!V59+ООН46!T59+ООН47!T59+ООН48!T59+ООН49!T59+ООн50!T59+ООН51!T59+Форшахта!T59+'ГАлерея 25.6'!T59+ГРП!AI59+'Парк меляси'!T59+'ООН 42'!T59</f>
        <v>172</v>
      </c>
      <c r="J61" s="44">
        <v>150</v>
      </c>
      <c r="K61" s="310">
        <f>SUMIF(ИТР!B:B,B61,ИТР!R:R)</f>
        <v>0</v>
      </c>
      <c r="L61" s="310">
        <f>SUMIF(_ЦО!$B:$B,B61,_ЦО!T:T)</f>
        <v>0</v>
      </c>
      <c r="M61" s="310">
        <f>SUMIF('МХП лазня'!B:B,B61,'МХП лазня'!T:T)</f>
        <v>0</v>
      </c>
      <c r="N61" s="310">
        <f>SUMIF(Катеринополь!$B:$B,B61,Катеринополь!$T:$T)</f>
        <v>33</v>
      </c>
      <c r="O61" s="310">
        <f>SUMIF(ВООЗ!B:B,B61,ВООЗ!T:T)</f>
        <v>0</v>
      </c>
      <c r="P61" s="310">
        <f>SUMIF(Кернел!B:B,B61,Кернел!T:T)</f>
        <v>0</v>
      </c>
      <c r="Q61" s="310">
        <f>SUMIF('Глобино Мк'!B:B,B61,'Глобино Мк'!T:T)</f>
        <v>39</v>
      </c>
      <c r="R61" s="310">
        <f>SUMIF('ВООЗ ЕМС'!B:B,B61,'ВООЗ ЕМС'!T:T)</f>
        <v>0</v>
      </c>
      <c r="S61" s="310">
        <f>SUMIF('ООН 36'!B:B,B61,'ООН 36'!T:T)</f>
        <v>0</v>
      </c>
      <c r="T61" s="310">
        <f>SUMIF('ООН 37'!B:B,B61,'ООН 37'!T:T)</f>
        <v>0</v>
      </c>
      <c r="U61" s="310">
        <f>SUMIF('ООН 38'!B:B,B61,'ООН 38'!T:T)</f>
        <v>0</v>
      </c>
      <c r="V61" s="310">
        <f>SUMIF(ООН39!B:B,B61,ООН39!T:T)</f>
        <v>0</v>
      </c>
      <c r="W61" s="310">
        <f>SUMIF('ООН 40'!B:B,B61,'ООН 40'!T:T)</f>
        <v>0</v>
      </c>
      <c r="X61" s="310">
        <f>SUMIF('ООН 43'!B:B,B61,'ООН 43'!T:T)</f>
        <v>0</v>
      </c>
      <c r="Y61" s="310">
        <f>SUMIF('ООН 44'!B:B,B61,'ООН 44'!T:T)</f>
        <v>0</v>
      </c>
      <c r="Z61" s="310">
        <f>SUMIF('ООН 45'!B:B,B61,'ООН 45'!V:V)</f>
        <v>0</v>
      </c>
      <c r="AA61" s="310">
        <f>SUMIF(ООН46!B:B,B61,ООН46!T:T)</f>
        <v>0</v>
      </c>
      <c r="AB61" s="310">
        <f>SUMIF(ООН47!B:B,B61,ООН47!T:T)</f>
        <v>0</v>
      </c>
      <c r="AC61" s="310">
        <f>SUMIF(ООН48!B:B,B61,ООН48!T:T)</f>
        <v>0</v>
      </c>
      <c r="AD61" s="310">
        <f>SUMIF(ООН49!B:B,B61,ООН49!T:T)</f>
        <v>0</v>
      </c>
      <c r="AE61" s="310">
        <f>SUMIF(ООн50!B:B,B61,ООн50!T:T)</f>
        <v>0</v>
      </c>
      <c r="AF61" s="310">
        <f>SUMIF(ООН51!B:B,B61,ООН51!T:T)</f>
        <v>0</v>
      </c>
      <c r="AG61" s="310">
        <f>SUMIF(Форшахта!B:B,B61,Форшахта!T:T)</f>
        <v>0</v>
      </c>
      <c r="AH61" s="310">
        <f>SUMIF('ГАлерея 25.6'!B:B,B61,'ГАлерея 25.6'!T:T)</f>
        <v>33</v>
      </c>
      <c r="AI61" s="310">
        <f>SUMIF(ГРП!B:B,B61,ГРП!AI:AI)</f>
        <v>17</v>
      </c>
      <c r="AJ61" s="310">
        <f>SUMIF('Парк меляси'!B:B,B61,'Парк меляси'!T:T)</f>
        <v>50</v>
      </c>
      <c r="AK61" s="310">
        <f>SUMIF('ООН 42'!B:B,B61,'ООН 42'!T:T)</f>
        <v>0</v>
      </c>
      <c r="AL61" s="313">
        <f t="shared" si="5"/>
        <v>0</v>
      </c>
      <c r="AM61" s="311">
        <f t="shared" si="6"/>
        <v>0</v>
      </c>
      <c r="AN61" s="311">
        <f t="shared" si="7"/>
        <v>0</v>
      </c>
      <c r="AO61" s="311">
        <f t="shared" si="8"/>
        <v>0</v>
      </c>
      <c r="AP61" s="311">
        <f t="shared" si="9"/>
        <v>4950</v>
      </c>
      <c r="AQ61" s="311">
        <f t="shared" si="10"/>
        <v>0</v>
      </c>
      <c r="AR61" s="311">
        <f t="shared" si="11"/>
        <v>0</v>
      </c>
      <c r="AS61" s="311">
        <f t="shared" si="12"/>
        <v>5850</v>
      </c>
      <c r="AT61" s="311">
        <f t="shared" si="13"/>
        <v>0</v>
      </c>
      <c r="AU61" s="311">
        <f t="shared" si="14"/>
        <v>0</v>
      </c>
      <c r="AV61" s="311">
        <f t="shared" si="15"/>
        <v>0</v>
      </c>
      <c r="AW61" s="311">
        <f t="shared" si="16"/>
        <v>0</v>
      </c>
      <c r="AX61" s="311">
        <f t="shared" si="17"/>
        <v>0</v>
      </c>
      <c r="AY61" s="311">
        <f t="shared" si="18"/>
        <v>0</v>
      </c>
      <c r="AZ61" s="311">
        <f t="shared" si="19"/>
        <v>0</v>
      </c>
      <c r="BA61" s="311">
        <f t="shared" si="20"/>
        <v>0</v>
      </c>
      <c r="BB61" s="311">
        <f t="shared" si="21"/>
        <v>0</v>
      </c>
      <c r="BC61" s="311">
        <f t="shared" si="22"/>
        <v>0</v>
      </c>
      <c r="BD61" s="311">
        <f t="shared" si="23"/>
        <v>0</v>
      </c>
      <c r="BE61" s="311">
        <f t="shared" si="24"/>
        <v>0</v>
      </c>
      <c r="BF61" s="311">
        <f t="shared" si="25"/>
        <v>0</v>
      </c>
      <c r="BG61" s="311">
        <f t="shared" si="26"/>
        <v>0</v>
      </c>
      <c r="BH61" s="311">
        <f t="shared" si="27"/>
        <v>0</v>
      </c>
      <c r="BI61" s="311">
        <f t="shared" si="28"/>
        <v>0</v>
      </c>
      <c r="BJ61" s="311">
        <f t="shared" si="29"/>
        <v>4950</v>
      </c>
      <c r="BK61" s="311">
        <f t="shared" si="30"/>
        <v>2550</v>
      </c>
      <c r="BL61" s="311">
        <f t="shared" si="31"/>
        <v>7500</v>
      </c>
      <c r="BM61" s="311">
        <f t="shared" si="32"/>
        <v>0</v>
      </c>
      <c r="BN61" s="315">
        <f t="shared" si="33"/>
        <v>25800</v>
      </c>
      <c r="BO61" s="316">
        <f t="shared" si="34"/>
        <v>0</v>
      </c>
    </row>
    <row r="62" spans="1:67" ht="15.75" x14ac:dyDescent="0.25">
      <c r="A62" s="148">
        <v>59</v>
      </c>
      <c r="B62" s="149" t="s">
        <v>659</v>
      </c>
      <c r="C62" s="149"/>
      <c r="D62" s="149"/>
      <c r="E62" s="142">
        <f>I62*J62</f>
        <v>50400</v>
      </c>
      <c r="F62" s="144">
        <v>0</v>
      </c>
      <c r="G62" s="174">
        <f t="shared" si="3"/>
        <v>50400</v>
      </c>
      <c r="H62" s="174">
        <f t="shared" si="4"/>
        <v>0</v>
      </c>
      <c r="I62" s="175">
        <f>_ЦО!T60+'МХП лазня'!T60+Катеринополь!T60+ВООЗ!T60+Кернел!T60+'Глобино Мк'!T60+'ВООЗ ЕМС'!T60+'ООН 36'!T60+'ООН 37'!T60+'ООН 38'!T60+ООН39!T60+'ООН 40'!T60+'ООН 43'!T60+'ООН 44'!T60+'ООН 45'!V60+ООН46!T60+ООН47!T60+ООН48!T60+ООН49!T60+ООн50!T60+ООН51!T60+Форшахта!T60+'ГАлерея 25.6'!T60+ГРП!AI60+'Парк меляси'!T60+'ООН 42'!T60</f>
        <v>336</v>
      </c>
      <c r="J62" s="44">
        <v>150</v>
      </c>
      <c r="K62" s="310">
        <f>SUMIF(ИТР!B:B,B62,ИТР!R:R)</f>
        <v>0</v>
      </c>
      <c r="L62" s="310">
        <f>SUMIF(_ЦО!$B:$B,B62,_ЦО!T:T)</f>
        <v>0</v>
      </c>
      <c r="M62" s="310">
        <f>SUMIF('МХП лазня'!B:B,B62,'МХП лазня'!T:T)</f>
        <v>0</v>
      </c>
      <c r="N62" s="310">
        <f>SUMIF(Катеринополь!$B:$B,B62,Катеринополь!$T:$T)</f>
        <v>0</v>
      </c>
      <c r="O62" s="310">
        <f>SUMIF(ВООЗ!B:B,B62,ВООЗ!T:T)</f>
        <v>0</v>
      </c>
      <c r="P62" s="310">
        <f>SUMIF(Кернел!B:B,B62,Кернел!T:T)</f>
        <v>0</v>
      </c>
      <c r="Q62" s="310">
        <f>SUMIF('Глобино Мк'!B:B,B62,'Глобино Мк'!T:T)</f>
        <v>0</v>
      </c>
      <c r="R62" s="310">
        <f>SUMIF('ВООЗ ЕМС'!B:B,B62,'ВООЗ ЕМС'!T:T)</f>
        <v>0</v>
      </c>
      <c r="S62" s="310">
        <f>SUMIF('ООН 36'!B:B,B62,'ООН 36'!T:T)</f>
        <v>24</v>
      </c>
      <c r="T62" s="310">
        <f>SUMIF('ООН 37'!B:B,B62,'ООН 37'!T:T)</f>
        <v>24</v>
      </c>
      <c r="U62" s="310">
        <f>SUMIF('ООН 38'!B:B,B62,'ООН 38'!T:T)</f>
        <v>24</v>
      </c>
      <c r="V62" s="310">
        <f>SUMIF(ООН39!B:B,B62,ООН39!T:T)</f>
        <v>24</v>
      </c>
      <c r="W62" s="310">
        <f>SUMIF('ООН 40'!B:B,B62,'ООН 40'!T:T)</f>
        <v>48</v>
      </c>
      <c r="X62" s="310">
        <f>SUMIF('ООН 43'!B:B,B62,'ООН 43'!T:T)</f>
        <v>24</v>
      </c>
      <c r="Y62" s="310">
        <f>SUMIF('ООН 44'!B:B,B62,'ООН 44'!T:T)</f>
        <v>0</v>
      </c>
      <c r="Z62" s="310">
        <f>SUMIF('ООН 45'!B:B,B62,'ООН 45'!V:V)</f>
        <v>0</v>
      </c>
      <c r="AA62" s="310">
        <f>SUMIF(ООН46!B:B,B62,ООН46!T:T)</f>
        <v>0</v>
      </c>
      <c r="AB62" s="310">
        <f>SUMIF(ООН47!B:B,B62,ООН47!T:T)</f>
        <v>0</v>
      </c>
      <c r="AC62" s="310">
        <f>SUMIF(ООН48!B:B,B62,ООН48!T:T)</f>
        <v>0</v>
      </c>
      <c r="AD62" s="310">
        <f>SUMIF(ООН49!B:B,B62,ООН49!T:T)</f>
        <v>0</v>
      </c>
      <c r="AE62" s="310">
        <f>SUMIF(ООн50!B:B,B62,ООн50!T:T)</f>
        <v>0</v>
      </c>
      <c r="AF62" s="310">
        <f>SUMIF(ООН51!B:B,B62,ООН51!T:T)</f>
        <v>0</v>
      </c>
      <c r="AG62" s="310">
        <f>SUMIF(Форшахта!B:B,B62,Форшахта!T:T)</f>
        <v>0</v>
      </c>
      <c r="AH62" s="310">
        <f>SUMIF('ГАлерея 25.6'!B:B,B62,'ГАлерея 25.6'!T:T)</f>
        <v>0</v>
      </c>
      <c r="AI62" s="310">
        <f>SUMIF(ГРП!B:B,B62,ГРП!AI:AI)</f>
        <v>0</v>
      </c>
      <c r="AJ62" s="310">
        <f>SUMIF('Парк меляси'!B:B,B62,'Парк меляси'!T:T)</f>
        <v>0</v>
      </c>
      <c r="AK62" s="310">
        <f>SUMIF('ООН 42'!B:B,B62,'ООН 42'!T:T)</f>
        <v>168</v>
      </c>
      <c r="AL62" s="313">
        <f t="shared" si="5"/>
        <v>0</v>
      </c>
      <c r="AM62" s="311">
        <f t="shared" si="6"/>
        <v>0</v>
      </c>
      <c r="AN62" s="311">
        <f t="shared" si="7"/>
        <v>0</v>
      </c>
      <c r="AO62" s="311">
        <f t="shared" si="8"/>
        <v>0</v>
      </c>
      <c r="AP62" s="311">
        <f t="shared" si="9"/>
        <v>0</v>
      </c>
      <c r="AQ62" s="311">
        <f t="shared" si="10"/>
        <v>0</v>
      </c>
      <c r="AR62" s="311">
        <f t="shared" si="11"/>
        <v>0</v>
      </c>
      <c r="AS62" s="311">
        <f t="shared" si="12"/>
        <v>0</v>
      </c>
      <c r="AT62" s="311">
        <f t="shared" si="13"/>
        <v>0</v>
      </c>
      <c r="AU62" s="311">
        <f t="shared" si="14"/>
        <v>3600</v>
      </c>
      <c r="AV62" s="311">
        <f t="shared" si="15"/>
        <v>3600</v>
      </c>
      <c r="AW62" s="311">
        <f t="shared" si="16"/>
        <v>3600</v>
      </c>
      <c r="AX62" s="311">
        <f t="shared" si="17"/>
        <v>3600</v>
      </c>
      <c r="AY62" s="311">
        <f t="shared" si="18"/>
        <v>7200</v>
      </c>
      <c r="AZ62" s="311">
        <f t="shared" si="19"/>
        <v>3600</v>
      </c>
      <c r="BA62" s="311">
        <f t="shared" si="20"/>
        <v>0</v>
      </c>
      <c r="BB62" s="311">
        <f t="shared" si="21"/>
        <v>0</v>
      </c>
      <c r="BC62" s="311">
        <f t="shared" si="22"/>
        <v>0</v>
      </c>
      <c r="BD62" s="311">
        <f t="shared" si="23"/>
        <v>0</v>
      </c>
      <c r="BE62" s="311">
        <f t="shared" si="24"/>
        <v>0</v>
      </c>
      <c r="BF62" s="311">
        <f t="shared" si="25"/>
        <v>0</v>
      </c>
      <c r="BG62" s="311">
        <f t="shared" si="26"/>
        <v>0</v>
      </c>
      <c r="BH62" s="311">
        <f t="shared" si="27"/>
        <v>0</v>
      </c>
      <c r="BI62" s="311">
        <f t="shared" si="28"/>
        <v>0</v>
      </c>
      <c r="BJ62" s="311">
        <f t="shared" si="29"/>
        <v>0</v>
      </c>
      <c r="BK62" s="311">
        <f t="shared" si="30"/>
        <v>0</v>
      </c>
      <c r="BL62" s="311">
        <f t="shared" si="31"/>
        <v>0</v>
      </c>
      <c r="BM62" s="311">
        <f t="shared" si="32"/>
        <v>25200</v>
      </c>
      <c r="BN62" s="315">
        <f t="shared" si="33"/>
        <v>50400</v>
      </c>
      <c r="BO62" s="316">
        <f t="shared" si="34"/>
        <v>0</v>
      </c>
    </row>
    <row r="63" spans="1:67" ht="15.75" x14ac:dyDescent="0.25">
      <c r="A63" s="148">
        <v>60</v>
      </c>
      <c r="B63" s="149" t="s">
        <v>660</v>
      </c>
      <c r="C63" s="149"/>
      <c r="D63" s="149"/>
      <c r="E63" s="142">
        <f t="shared" ref="E63:E66" si="35">I63*J63</f>
        <v>50400</v>
      </c>
      <c r="F63" s="144">
        <v>0</v>
      </c>
      <c r="G63" s="174">
        <f t="shared" si="3"/>
        <v>50400</v>
      </c>
      <c r="H63" s="174">
        <f t="shared" si="4"/>
        <v>0</v>
      </c>
      <c r="I63" s="175">
        <f>_ЦО!T61+'МХП лазня'!T61+Катеринополь!T61+ВООЗ!T61+Кернел!T61+'Глобино Мк'!T61+'ВООЗ ЕМС'!T61+'ООН 36'!T61+'ООН 37'!T61+'ООН 38'!T61+ООН39!T61+'ООН 40'!T61+'ООН 43'!T61+'ООН 44'!T61+'ООН 45'!V61+ООН46!T61+ООН47!T61+ООН48!T61+ООН49!T61+ООн50!T61+ООН51!T61+Форшахта!T61+'ГАлерея 25.6'!T61+ГРП!AI61+'Парк меляси'!T61+'ООН 42'!T61</f>
        <v>336</v>
      </c>
      <c r="J63" s="44">
        <v>150</v>
      </c>
      <c r="K63" s="310">
        <f>SUMIF(ИТР!B:B,B63,ИТР!R:R)</f>
        <v>0</v>
      </c>
      <c r="L63" s="310">
        <f>SUMIF(_ЦО!$B:$B,B63,_ЦО!T:T)</f>
        <v>0</v>
      </c>
      <c r="M63" s="310">
        <f>SUMIF('МХП лазня'!B:B,B63,'МХП лазня'!T:T)</f>
        <v>0</v>
      </c>
      <c r="N63" s="310">
        <f>SUMIF(Катеринополь!$B:$B,B63,Катеринополь!$T:$T)</f>
        <v>0</v>
      </c>
      <c r="O63" s="310">
        <f>SUMIF(ВООЗ!B:B,B63,ВООЗ!T:T)</f>
        <v>0</v>
      </c>
      <c r="P63" s="310">
        <f>SUMIF(Кернел!B:B,B63,Кернел!T:T)</f>
        <v>0</v>
      </c>
      <c r="Q63" s="310">
        <f>SUMIF('Глобино Мк'!B:B,B63,'Глобино Мк'!T:T)</f>
        <v>0</v>
      </c>
      <c r="R63" s="310">
        <f>SUMIF('ВООЗ ЕМС'!B:B,B63,'ВООЗ ЕМС'!T:T)</f>
        <v>0</v>
      </c>
      <c r="S63" s="310">
        <f>SUMIF('ООН 36'!B:B,B63,'ООН 36'!T:T)</f>
        <v>24</v>
      </c>
      <c r="T63" s="310">
        <f>SUMIF('ООН 37'!B:B,B63,'ООН 37'!T:T)</f>
        <v>24</v>
      </c>
      <c r="U63" s="310">
        <f>SUMIF('ООН 38'!B:B,B63,'ООН 38'!T:T)</f>
        <v>24</v>
      </c>
      <c r="V63" s="310">
        <f>SUMIF(ООН39!B:B,B63,ООН39!T:T)</f>
        <v>24</v>
      </c>
      <c r="W63" s="310">
        <f>SUMIF('ООН 40'!B:B,B63,'ООН 40'!T:T)</f>
        <v>48</v>
      </c>
      <c r="X63" s="310">
        <f>SUMIF('ООН 43'!B:B,B63,'ООН 43'!T:T)</f>
        <v>24</v>
      </c>
      <c r="Y63" s="310">
        <f>SUMIF('ООН 44'!B:B,B63,'ООН 44'!T:T)</f>
        <v>0</v>
      </c>
      <c r="Z63" s="310">
        <f>SUMIF('ООН 45'!B:B,B63,'ООН 45'!V:V)</f>
        <v>0</v>
      </c>
      <c r="AA63" s="310">
        <f>SUMIF(ООН46!B:B,B63,ООН46!T:T)</f>
        <v>0</v>
      </c>
      <c r="AB63" s="310">
        <f>SUMIF(ООН47!B:B,B63,ООН47!T:T)</f>
        <v>0</v>
      </c>
      <c r="AC63" s="310">
        <f>SUMIF(ООН48!B:B,B63,ООН48!T:T)</f>
        <v>0</v>
      </c>
      <c r="AD63" s="310">
        <f>SUMIF(ООН49!B:B,B63,ООН49!T:T)</f>
        <v>0</v>
      </c>
      <c r="AE63" s="310">
        <f>SUMIF(ООн50!B:B,B63,ООн50!T:T)</f>
        <v>0</v>
      </c>
      <c r="AF63" s="310">
        <f>SUMIF(ООН51!B:B,B63,ООН51!T:T)</f>
        <v>0</v>
      </c>
      <c r="AG63" s="310">
        <f>SUMIF(Форшахта!B:B,B63,Форшахта!T:T)</f>
        <v>0</v>
      </c>
      <c r="AH63" s="310">
        <f>SUMIF('ГАлерея 25.6'!B:B,B63,'ГАлерея 25.6'!T:T)</f>
        <v>0</v>
      </c>
      <c r="AI63" s="310">
        <f>SUMIF(ГРП!B:B,B63,ГРП!AI:AI)</f>
        <v>0</v>
      </c>
      <c r="AJ63" s="310">
        <f>SUMIF('Парк меляси'!B:B,B63,'Парк меляси'!T:T)</f>
        <v>0</v>
      </c>
      <c r="AK63" s="310">
        <f>SUMIF('ООН 42'!B:B,B63,'ООН 42'!T:T)</f>
        <v>168</v>
      </c>
      <c r="AL63" s="313">
        <f t="shared" si="5"/>
        <v>0</v>
      </c>
      <c r="AM63" s="311">
        <f t="shared" si="6"/>
        <v>0</v>
      </c>
      <c r="AN63" s="311">
        <f t="shared" si="7"/>
        <v>0</v>
      </c>
      <c r="AO63" s="311">
        <f t="shared" si="8"/>
        <v>0</v>
      </c>
      <c r="AP63" s="311">
        <f t="shared" si="9"/>
        <v>0</v>
      </c>
      <c r="AQ63" s="311">
        <f t="shared" si="10"/>
        <v>0</v>
      </c>
      <c r="AR63" s="311">
        <f t="shared" si="11"/>
        <v>0</v>
      </c>
      <c r="AS63" s="311">
        <f t="shared" si="12"/>
        <v>0</v>
      </c>
      <c r="AT63" s="311">
        <f t="shared" si="13"/>
        <v>0</v>
      </c>
      <c r="AU63" s="311">
        <f t="shared" si="14"/>
        <v>3600</v>
      </c>
      <c r="AV63" s="311">
        <f t="shared" si="15"/>
        <v>3600</v>
      </c>
      <c r="AW63" s="311">
        <f t="shared" si="16"/>
        <v>3600</v>
      </c>
      <c r="AX63" s="311">
        <f t="shared" si="17"/>
        <v>3600</v>
      </c>
      <c r="AY63" s="311">
        <f t="shared" si="18"/>
        <v>7200</v>
      </c>
      <c r="AZ63" s="311">
        <f t="shared" si="19"/>
        <v>3600</v>
      </c>
      <c r="BA63" s="311">
        <f t="shared" si="20"/>
        <v>0</v>
      </c>
      <c r="BB63" s="311">
        <f t="shared" si="21"/>
        <v>0</v>
      </c>
      <c r="BC63" s="311">
        <f t="shared" si="22"/>
        <v>0</v>
      </c>
      <c r="BD63" s="311">
        <f t="shared" si="23"/>
        <v>0</v>
      </c>
      <c r="BE63" s="311">
        <f t="shared" si="24"/>
        <v>0</v>
      </c>
      <c r="BF63" s="311">
        <f t="shared" si="25"/>
        <v>0</v>
      </c>
      <c r="BG63" s="311">
        <f t="shared" si="26"/>
        <v>0</v>
      </c>
      <c r="BH63" s="311">
        <f t="shared" si="27"/>
        <v>0</v>
      </c>
      <c r="BI63" s="311">
        <f t="shared" si="28"/>
        <v>0</v>
      </c>
      <c r="BJ63" s="311">
        <f t="shared" si="29"/>
        <v>0</v>
      </c>
      <c r="BK63" s="311">
        <f t="shared" si="30"/>
        <v>0</v>
      </c>
      <c r="BL63" s="311">
        <f t="shared" si="31"/>
        <v>0</v>
      </c>
      <c r="BM63" s="311">
        <f t="shared" si="32"/>
        <v>25200</v>
      </c>
      <c r="BN63" s="315">
        <f t="shared" si="33"/>
        <v>50400</v>
      </c>
      <c r="BO63" s="316">
        <f t="shared" si="34"/>
        <v>0</v>
      </c>
    </row>
    <row r="64" spans="1:67" ht="15.75" x14ac:dyDescent="0.25">
      <c r="A64" s="148">
        <v>61</v>
      </c>
      <c r="B64" s="149" t="s">
        <v>661</v>
      </c>
      <c r="C64" s="149"/>
      <c r="D64" s="149"/>
      <c r="E64" s="142">
        <f t="shared" si="35"/>
        <v>23400</v>
      </c>
      <c r="F64" s="144">
        <v>0</v>
      </c>
      <c r="G64" s="174">
        <f t="shared" si="3"/>
        <v>23400</v>
      </c>
      <c r="H64" s="174">
        <f t="shared" si="4"/>
        <v>0</v>
      </c>
      <c r="I64" s="175">
        <f>_ЦО!T62+'МХП лазня'!T62+Катеринополь!T62+ВООЗ!T62+Кернел!T62+'Глобино Мк'!T62+'ВООЗ ЕМС'!T62+'ООН 36'!T62+'ООН 37'!T62+'ООН 38'!T62+ООН39!T62+'ООН 40'!T62+'ООН 43'!T62+'ООН 44'!T62+'ООН 45'!V62+ООН46!T62+ООН47!T62+ООН48!T62+ООН49!T62+ООн50!T62+ООН51!T62+Форшахта!T62+'ГАлерея 25.6'!T62+ГРП!AI62+'Парк меляси'!T62+'ООН 42'!T62</f>
        <v>156</v>
      </c>
      <c r="J64" s="44">
        <v>150</v>
      </c>
      <c r="K64" s="310">
        <f>SUMIF(ИТР!B:B,B64,ИТР!R:R)</f>
        <v>0</v>
      </c>
      <c r="L64" s="310">
        <f>SUMIF(_ЦО!$B:$B,B64,_ЦО!T:T)</f>
        <v>0</v>
      </c>
      <c r="M64" s="310">
        <f>SUMIF('МХП лазня'!B:B,B64,'МХП лазня'!T:T)</f>
        <v>0</v>
      </c>
      <c r="N64" s="310">
        <f>SUMIF(Катеринополь!$B:$B,B64,Катеринополь!$T:$T)</f>
        <v>0</v>
      </c>
      <c r="O64" s="310">
        <f>SUMIF(ВООЗ!B:B,B64,ВООЗ!T:T)</f>
        <v>0</v>
      </c>
      <c r="P64" s="310">
        <f>SUMIF(Кернел!B:B,B64,Кернел!T:T)</f>
        <v>0</v>
      </c>
      <c r="Q64" s="310">
        <f>SUMIF('Глобино Мк'!B:B,B64,'Глобино Мк'!T:T)</f>
        <v>42</v>
      </c>
      <c r="R64" s="310">
        <f>SUMIF('ВООЗ ЕМС'!B:B,B64,'ВООЗ ЕМС'!T:T)</f>
        <v>0</v>
      </c>
      <c r="S64" s="310">
        <f>SUMIF('ООН 36'!B:B,B64,'ООН 36'!T:T)</f>
        <v>0</v>
      </c>
      <c r="T64" s="310">
        <f>SUMIF('ООН 37'!B:B,B64,'ООН 37'!T:T)</f>
        <v>0</v>
      </c>
      <c r="U64" s="310">
        <f>SUMIF('ООН 38'!B:B,B64,'ООН 38'!T:T)</f>
        <v>0</v>
      </c>
      <c r="V64" s="310">
        <f>SUMIF(ООН39!B:B,B64,ООН39!T:T)</f>
        <v>0</v>
      </c>
      <c r="W64" s="310">
        <f>SUMIF('ООН 40'!B:B,B64,'ООН 40'!T:T)</f>
        <v>0</v>
      </c>
      <c r="X64" s="310">
        <f>SUMIF('ООН 43'!B:B,B64,'ООН 43'!T:T)</f>
        <v>0</v>
      </c>
      <c r="Y64" s="310">
        <f>SUMIF('ООН 44'!B:B,B64,'ООН 44'!T:T)</f>
        <v>0</v>
      </c>
      <c r="Z64" s="310">
        <f>SUMIF('ООН 45'!B:B,B64,'ООН 45'!V:V)</f>
        <v>0</v>
      </c>
      <c r="AA64" s="310">
        <f>SUMIF(ООН46!B:B,B64,ООН46!T:T)</f>
        <v>0</v>
      </c>
      <c r="AB64" s="310">
        <f>SUMIF(ООН47!B:B,B64,ООН47!T:T)</f>
        <v>11</v>
      </c>
      <c r="AC64" s="310">
        <f>SUMIF(ООН48!B:B,B64,ООН48!T:T)</f>
        <v>0</v>
      </c>
      <c r="AD64" s="310">
        <f>SUMIF(ООН49!B:B,B64,ООН49!T:T)</f>
        <v>0</v>
      </c>
      <c r="AE64" s="310">
        <f>SUMIF(ООн50!B:B,B64,ООн50!T:T)</f>
        <v>0</v>
      </c>
      <c r="AF64" s="310">
        <f>SUMIF(ООН51!B:B,B64,ООН51!T:T)</f>
        <v>0</v>
      </c>
      <c r="AG64" s="310">
        <f>SUMIF(Форшахта!B:B,B64,Форшахта!T:T)</f>
        <v>0</v>
      </c>
      <c r="AH64" s="310">
        <f>SUMIF('ГАлерея 25.6'!B:B,B64,'ГАлерея 25.6'!T:T)</f>
        <v>0</v>
      </c>
      <c r="AI64" s="310">
        <f>SUMIF(ГРП!B:B,B64,ГРП!AI:AI)</f>
        <v>42</v>
      </c>
      <c r="AJ64" s="310">
        <f>SUMIF('Парк меляси'!B:B,B64,'Парк меляси'!T:T)</f>
        <v>61</v>
      </c>
      <c r="AK64" s="310">
        <f>SUMIF('ООН 42'!B:B,B64,'ООН 42'!T:T)</f>
        <v>0</v>
      </c>
      <c r="AL64" s="313">
        <f t="shared" si="5"/>
        <v>0</v>
      </c>
      <c r="AM64" s="311">
        <f t="shared" si="6"/>
        <v>0</v>
      </c>
      <c r="AN64" s="311">
        <f t="shared" si="7"/>
        <v>0</v>
      </c>
      <c r="AO64" s="311">
        <f t="shared" si="8"/>
        <v>0</v>
      </c>
      <c r="AP64" s="311">
        <f t="shared" si="9"/>
        <v>0</v>
      </c>
      <c r="AQ64" s="311">
        <f t="shared" si="10"/>
        <v>0</v>
      </c>
      <c r="AR64" s="311">
        <f t="shared" si="11"/>
        <v>0</v>
      </c>
      <c r="AS64" s="311">
        <f t="shared" si="12"/>
        <v>6300</v>
      </c>
      <c r="AT64" s="311">
        <f t="shared" si="13"/>
        <v>0</v>
      </c>
      <c r="AU64" s="311">
        <f t="shared" si="14"/>
        <v>0</v>
      </c>
      <c r="AV64" s="311">
        <f t="shared" si="15"/>
        <v>0</v>
      </c>
      <c r="AW64" s="311">
        <f t="shared" si="16"/>
        <v>0</v>
      </c>
      <c r="AX64" s="311">
        <f t="shared" si="17"/>
        <v>0</v>
      </c>
      <c r="AY64" s="311">
        <f t="shared" si="18"/>
        <v>0</v>
      </c>
      <c r="AZ64" s="311">
        <f t="shared" si="19"/>
        <v>0</v>
      </c>
      <c r="BA64" s="311">
        <f t="shared" si="20"/>
        <v>0</v>
      </c>
      <c r="BB64" s="311">
        <f t="shared" si="21"/>
        <v>0</v>
      </c>
      <c r="BC64" s="311">
        <f t="shared" si="22"/>
        <v>0</v>
      </c>
      <c r="BD64" s="311">
        <f t="shared" si="23"/>
        <v>1650</v>
      </c>
      <c r="BE64" s="311">
        <f t="shared" si="24"/>
        <v>0</v>
      </c>
      <c r="BF64" s="311">
        <f t="shared" si="25"/>
        <v>0</v>
      </c>
      <c r="BG64" s="311">
        <f t="shared" si="26"/>
        <v>0</v>
      </c>
      <c r="BH64" s="311">
        <f t="shared" si="27"/>
        <v>0</v>
      </c>
      <c r="BI64" s="311">
        <f t="shared" si="28"/>
        <v>0</v>
      </c>
      <c r="BJ64" s="311">
        <f t="shared" si="29"/>
        <v>0</v>
      </c>
      <c r="BK64" s="311">
        <f t="shared" si="30"/>
        <v>6300</v>
      </c>
      <c r="BL64" s="311">
        <f t="shared" si="31"/>
        <v>9150</v>
      </c>
      <c r="BM64" s="311">
        <f t="shared" si="32"/>
        <v>0</v>
      </c>
      <c r="BN64" s="315">
        <f t="shared" si="33"/>
        <v>23400</v>
      </c>
      <c r="BO64" s="316">
        <f t="shared" si="34"/>
        <v>0</v>
      </c>
    </row>
    <row r="65" spans="1:67" ht="15.75" x14ac:dyDescent="0.25">
      <c r="A65" s="148">
        <v>62</v>
      </c>
      <c r="B65" s="149" t="s">
        <v>662</v>
      </c>
      <c r="C65" s="149"/>
      <c r="D65" s="149">
        <v>1071</v>
      </c>
      <c r="E65" s="152">
        <f t="shared" si="35"/>
        <v>16800</v>
      </c>
      <c r="F65" s="144">
        <v>0</v>
      </c>
      <c r="G65" s="174">
        <f t="shared" si="3"/>
        <v>15700</v>
      </c>
      <c r="H65" s="174">
        <f t="shared" si="4"/>
        <v>29</v>
      </c>
      <c r="I65" s="175">
        <f>_ЦО!T63+'МХП лазня'!T63+Катеринополь!T63+ВООЗ!T63+Кернел!T63+'Глобино Мк'!T63+'ВООЗ ЕМС'!T63+'ООН 36'!T63+'ООН 37'!T63+'ООН 38'!T63+ООН39!T63+'ООН 40'!T63+'ООН 43'!T63+'ООН 44'!T63+'ООН 45'!V63+ООН46!T63+ООН47!T63+ООН48!T63+ООН49!T63+ООн50!T63+ООН51!T63+Форшахта!T63+'ГАлерея 25.6'!T63+ГРП!AI63+'Парк меляси'!T63+'ООН 42'!T63</f>
        <v>112</v>
      </c>
      <c r="J65" s="44">
        <v>150</v>
      </c>
      <c r="K65" s="310">
        <f>SUMIF(ИТР!B:B,B65,ИТР!R:R)</f>
        <v>0</v>
      </c>
      <c r="L65" s="310">
        <f>SUMIF(_ЦО!$B:$B,B65,_ЦО!T:T)</f>
        <v>0</v>
      </c>
      <c r="M65" s="310">
        <f>SUMIF('МХП лазня'!B:B,B65,'МХП лазня'!T:T)</f>
        <v>0</v>
      </c>
      <c r="N65" s="310">
        <f>SUMIF(Катеринополь!$B:$B,B65,Катеринополь!$T:$T)</f>
        <v>0</v>
      </c>
      <c r="O65" s="310">
        <f>SUMIF(ВООЗ!B:B,B65,ВООЗ!T:T)</f>
        <v>0</v>
      </c>
      <c r="P65" s="310">
        <f>SUMIF(Кернел!B:B,B65,Кернел!T:T)</f>
        <v>0</v>
      </c>
      <c r="Q65" s="310">
        <f>SUMIF('Глобино Мк'!B:B,B65,'Глобино Мк'!T:T)</f>
        <v>11</v>
      </c>
      <c r="R65" s="310">
        <f>SUMIF('ВООЗ ЕМС'!B:B,B65,'ВООЗ ЕМС'!T:T)</f>
        <v>0</v>
      </c>
      <c r="S65" s="310">
        <f>SUMIF('ООН 36'!B:B,B65,'ООН 36'!T:T)</f>
        <v>0</v>
      </c>
      <c r="T65" s="310">
        <f>SUMIF('ООН 37'!B:B,B65,'ООН 37'!T:T)</f>
        <v>0</v>
      </c>
      <c r="U65" s="310">
        <f>SUMIF('ООН 38'!B:B,B65,'ООН 38'!T:T)</f>
        <v>0</v>
      </c>
      <c r="V65" s="310">
        <f>SUMIF(ООН39!B:B,B65,ООН39!T:T)</f>
        <v>0</v>
      </c>
      <c r="W65" s="310">
        <f>SUMIF('ООН 40'!B:B,B65,'ООН 40'!T:T)</f>
        <v>0</v>
      </c>
      <c r="X65" s="310">
        <f>SUMIF('ООН 43'!B:B,B65,'ООН 43'!T:T)</f>
        <v>0</v>
      </c>
      <c r="Y65" s="310">
        <f>SUMIF('ООН 44'!B:B,B65,'ООН 44'!T:T)</f>
        <v>0</v>
      </c>
      <c r="Z65" s="310">
        <f>SUMIF('ООН 45'!B:B,B65,'ООН 45'!V:V)</f>
        <v>0</v>
      </c>
      <c r="AA65" s="310">
        <f>SUMIF(ООН46!B:B,B65,ООН46!T:T)</f>
        <v>18</v>
      </c>
      <c r="AB65" s="310">
        <f>SUMIF(ООН47!B:B,B65,ООН47!T:T)</f>
        <v>44</v>
      </c>
      <c r="AC65" s="310">
        <f>SUMIF(ООН48!B:B,B65,ООН48!T:T)</f>
        <v>28</v>
      </c>
      <c r="AD65" s="310">
        <f>SUMIF(ООН49!B:B,B65,ООН49!T:T)</f>
        <v>0</v>
      </c>
      <c r="AE65" s="310">
        <f>SUMIF(ООн50!B:B,B65,ООн50!T:T)</f>
        <v>0</v>
      </c>
      <c r="AF65" s="310">
        <f>SUMIF(ООН51!B:B,B65,ООН51!T:T)</f>
        <v>0</v>
      </c>
      <c r="AG65" s="310">
        <f>SUMIF(Форшахта!B:B,B65,Форшахта!T:T)</f>
        <v>0</v>
      </c>
      <c r="AH65" s="310">
        <f>SUMIF('ГАлерея 25.6'!B:B,B65,'ГАлерея 25.6'!T:T)</f>
        <v>11</v>
      </c>
      <c r="AI65" s="310">
        <f>SUMIF(ГРП!B:B,B65,ГРП!AI:AI)</f>
        <v>0</v>
      </c>
      <c r="AJ65" s="310">
        <f>SUMIF('Парк меляси'!B:B,B65,'Парк меляси'!T:T)</f>
        <v>0</v>
      </c>
      <c r="AK65" s="310">
        <f>SUMIF('ООН 42'!B:B,B65,'ООН 42'!T:T)</f>
        <v>0</v>
      </c>
      <c r="AL65" s="313">
        <f t="shared" si="5"/>
        <v>0</v>
      </c>
      <c r="AM65" s="311">
        <f t="shared" si="6"/>
        <v>0</v>
      </c>
      <c r="AN65" s="311">
        <f t="shared" si="7"/>
        <v>0</v>
      </c>
      <c r="AO65" s="311">
        <f t="shared" si="8"/>
        <v>0</v>
      </c>
      <c r="AP65" s="311">
        <f t="shared" si="9"/>
        <v>0</v>
      </c>
      <c r="AQ65" s="311">
        <f t="shared" si="10"/>
        <v>0</v>
      </c>
      <c r="AR65" s="311">
        <f t="shared" si="11"/>
        <v>0</v>
      </c>
      <c r="AS65" s="311">
        <f t="shared" si="12"/>
        <v>1541.9642857142856</v>
      </c>
      <c r="AT65" s="311">
        <f t="shared" si="13"/>
        <v>0</v>
      </c>
      <c r="AU65" s="311">
        <f t="shared" si="14"/>
        <v>0</v>
      </c>
      <c r="AV65" s="311">
        <f t="shared" si="15"/>
        <v>0</v>
      </c>
      <c r="AW65" s="311">
        <f t="shared" si="16"/>
        <v>0</v>
      </c>
      <c r="AX65" s="311">
        <f t="shared" si="17"/>
        <v>0</v>
      </c>
      <c r="AY65" s="311">
        <f t="shared" si="18"/>
        <v>0</v>
      </c>
      <c r="AZ65" s="311">
        <f t="shared" si="19"/>
        <v>0</v>
      </c>
      <c r="BA65" s="311">
        <f t="shared" si="20"/>
        <v>0</v>
      </c>
      <c r="BB65" s="311">
        <f t="shared" si="21"/>
        <v>0</v>
      </c>
      <c r="BC65" s="311">
        <f t="shared" si="22"/>
        <v>2523.2142857142853</v>
      </c>
      <c r="BD65" s="311">
        <f t="shared" si="23"/>
        <v>6167.8571428571422</v>
      </c>
      <c r="BE65" s="311">
        <f t="shared" si="24"/>
        <v>3924.9999999999995</v>
      </c>
      <c r="BF65" s="311">
        <f t="shared" si="25"/>
        <v>0</v>
      </c>
      <c r="BG65" s="311">
        <f t="shared" si="26"/>
        <v>0</v>
      </c>
      <c r="BH65" s="311">
        <f t="shared" si="27"/>
        <v>0</v>
      </c>
      <c r="BI65" s="311">
        <f t="shared" si="28"/>
        <v>0</v>
      </c>
      <c r="BJ65" s="311">
        <f t="shared" si="29"/>
        <v>1541.9642857142856</v>
      </c>
      <c r="BK65" s="311">
        <f t="shared" si="30"/>
        <v>0</v>
      </c>
      <c r="BL65" s="311">
        <f t="shared" si="31"/>
        <v>0</v>
      </c>
      <c r="BM65" s="311">
        <f t="shared" si="32"/>
        <v>0</v>
      </c>
      <c r="BN65" s="315">
        <f t="shared" si="33"/>
        <v>15700</v>
      </c>
      <c r="BO65" s="316">
        <f t="shared" si="34"/>
        <v>0</v>
      </c>
    </row>
    <row r="66" spans="1:67" ht="15.75" x14ac:dyDescent="0.25">
      <c r="A66" s="148">
        <v>63</v>
      </c>
      <c r="B66" s="149" t="s">
        <v>668</v>
      </c>
      <c r="C66" s="156"/>
      <c r="D66" s="156"/>
      <c r="E66" s="152">
        <f t="shared" si="35"/>
        <v>7350</v>
      </c>
      <c r="F66" s="144">
        <v>0</v>
      </c>
      <c r="G66" s="174">
        <f t="shared" si="3"/>
        <v>7400</v>
      </c>
      <c r="H66" s="174">
        <f t="shared" si="4"/>
        <v>-50</v>
      </c>
      <c r="I66" s="175">
        <f>_ЦО!T64+'МХП лазня'!T64+Катеринополь!T64+ВООЗ!T64+Кернел!T64+'Глобино Мк'!T64+'ВООЗ ЕМС'!T64+'ООН 36'!T64+'ООН 37'!T64+'ООН 38'!T64+ООН39!T64+'ООН 40'!T64+'ООН 43'!T64+'ООН 44'!T64+'ООН 45'!V64+ООН46!T64+ООН47!T64+ООН48!T64+ООН49!T64+ООн50!T64+ООН51!T64+Форшахта!T64+'ГАлерея 25.6'!T64+ГРП!AI64+'Парк меляси'!T64+'ООН 42'!T64</f>
        <v>49</v>
      </c>
      <c r="J66" s="44">
        <v>150</v>
      </c>
      <c r="K66" s="310">
        <f>SUMIF(ИТР!B:B,B66,ИТР!R:R)</f>
        <v>0</v>
      </c>
      <c r="L66" s="310">
        <f>SUMIF(_ЦО!$B:$B,B66,_ЦО!T:T)</f>
        <v>0</v>
      </c>
      <c r="M66" s="310">
        <f>SUMIF('МХП лазня'!B:B,B66,'МХП лазня'!T:T)</f>
        <v>0</v>
      </c>
      <c r="N66" s="310">
        <f>SUMIF(Катеринополь!$B:$B,B66,Катеринополь!$T:$T)</f>
        <v>0</v>
      </c>
      <c r="O66" s="310">
        <f>SUMIF(ВООЗ!B:B,B66,ВООЗ!T:T)</f>
        <v>0</v>
      </c>
      <c r="P66" s="310">
        <f>SUMIF(Кернел!B:B,B66,Кернел!T:T)</f>
        <v>0</v>
      </c>
      <c r="Q66" s="310">
        <f>SUMIF('Глобино Мк'!B:B,B66,'Глобино Мк'!T:T)</f>
        <v>0</v>
      </c>
      <c r="R66" s="310">
        <f>SUMIF('ВООЗ ЕМС'!B:B,B66,'ВООЗ ЕМС'!T:T)</f>
        <v>0</v>
      </c>
      <c r="S66" s="310">
        <f>SUMIF('ООН 36'!B:B,B66,'ООН 36'!T:T)</f>
        <v>0</v>
      </c>
      <c r="T66" s="310">
        <f>SUMIF('ООН 37'!B:B,B66,'ООН 37'!T:T)</f>
        <v>0</v>
      </c>
      <c r="U66" s="310">
        <f>SUMIF('ООН 38'!B:B,B66,'ООН 38'!T:T)</f>
        <v>0</v>
      </c>
      <c r="V66" s="310">
        <f>SUMIF(ООН39!B:B,B66,ООН39!T:T)</f>
        <v>0</v>
      </c>
      <c r="W66" s="310">
        <f>SUMIF('ООН 40'!B:B,B66,'ООН 40'!T:T)</f>
        <v>0</v>
      </c>
      <c r="X66" s="310">
        <f>SUMIF('ООН 43'!B:B,B66,'ООН 43'!T:T)</f>
        <v>0</v>
      </c>
      <c r="Y66" s="310">
        <f>SUMIF('ООН 44'!B:B,B66,'ООН 44'!T:T)</f>
        <v>0</v>
      </c>
      <c r="Z66" s="310">
        <f>SUMIF('ООН 45'!B:B,B66,'ООН 45'!V:V)</f>
        <v>0</v>
      </c>
      <c r="AA66" s="310">
        <f>SUMIF(ООН46!B:B,B66,ООН46!T:T)</f>
        <v>0</v>
      </c>
      <c r="AB66" s="310">
        <f>SUMIF(ООН47!B:B,B66,ООН47!T:T)</f>
        <v>11</v>
      </c>
      <c r="AC66" s="310">
        <f>SUMIF(ООН48!B:B,B66,ООН48!T:T)</f>
        <v>38</v>
      </c>
      <c r="AD66" s="310">
        <f>SUMIF(ООН49!B:B,B66,ООН49!T:T)</f>
        <v>0</v>
      </c>
      <c r="AE66" s="310">
        <f>SUMIF(ООн50!B:B,B66,ООн50!T:T)</f>
        <v>0</v>
      </c>
      <c r="AF66" s="310">
        <f>SUMIF(ООН51!B:B,B66,ООН51!T:T)</f>
        <v>0</v>
      </c>
      <c r="AG66" s="310">
        <f>SUMIF(Форшахта!B:B,B66,Форшахта!T:T)</f>
        <v>0</v>
      </c>
      <c r="AH66" s="310">
        <f>SUMIF('ГАлерея 25.6'!B:B,B66,'ГАлерея 25.6'!T:T)</f>
        <v>0</v>
      </c>
      <c r="AI66" s="310">
        <f>SUMIF(ГРП!B:B,B66,ГРП!AI:AI)</f>
        <v>0</v>
      </c>
      <c r="AJ66" s="310">
        <f>SUMIF('Парк меляси'!B:B,B66,'Парк меляси'!T:T)</f>
        <v>0</v>
      </c>
      <c r="AK66" s="310">
        <f>SUMIF('ООН 42'!B:B,B66,'ООН 42'!T:T)</f>
        <v>0</v>
      </c>
      <c r="AL66" s="313">
        <f t="shared" si="5"/>
        <v>0</v>
      </c>
      <c r="AM66" s="311">
        <f t="shared" si="6"/>
        <v>0</v>
      </c>
      <c r="AN66" s="311">
        <f t="shared" si="7"/>
        <v>0</v>
      </c>
      <c r="AO66" s="311">
        <f t="shared" si="8"/>
        <v>0</v>
      </c>
      <c r="AP66" s="311">
        <f t="shared" si="9"/>
        <v>0</v>
      </c>
      <c r="AQ66" s="311">
        <f t="shared" si="10"/>
        <v>0</v>
      </c>
      <c r="AR66" s="311">
        <f t="shared" si="11"/>
        <v>0</v>
      </c>
      <c r="AS66" s="311">
        <f t="shared" si="12"/>
        <v>0</v>
      </c>
      <c r="AT66" s="311">
        <f t="shared" si="13"/>
        <v>0</v>
      </c>
      <c r="AU66" s="311">
        <f t="shared" si="14"/>
        <v>0</v>
      </c>
      <c r="AV66" s="311">
        <f t="shared" si="15"/>
        <v>0</v>
      </c>
      <c r="AW66" s="311">
        <f t="shared" si="16"/>
        <v>0</v>
      </c>
      <c r="AX66" s="311">
        <f t="shared" si="17"/>
        <v>0</v>
      </c>
      <c r="AY66" s="311">
        <f t="shared" si="18"/>
        <v>0</v>
      </c>
      <c r="AZ66" s="311">
        <f t="shared" si="19"/>
        <v>0</v>
      </c>
      <c r="BA66" s="311">
        <f t="shared" si="20"/>
        <v>0</v>
      </c>
      <c r="BB66" s="311">
        <f t="shared" si="21"/>
        <v>0</v>
      </c>
      <c r="BC66" s="311">
        <f t="shared" si="22"/>
        <v>0</v>
      </c>
      <c r="BD66" s="311">
        <f t="shared" si="23"/>
        <v>1661.2244897959183</v>
      </c>
      <c r="BE66" s="311">
        <f t="shared" si="24"/>
        <v>5738.775510204081</v>
      </c>
      <c r="BF66" s="311">
        <f t="shared" si="25"/>
        <v>0</v>
      </c>
      <c r="BG66" s="311">
        <f t="shared" si="26"/>
        <v>0</v>
      </c>
      <c r="BH66" s="311">
        <f t="shared" si="27"/>
        <v>0</v>
      </c>
      <c r="BI66" s="311">
        <f t="shared" si="28"/>
        <v>0</v>
      </c>
      <c r="BJ66" s="311">
        <f t="shared" si="29"/>
        <v>0</v>
      </c>
      <c r="BK66" s="311">
        <f t="shared" si="30"/>
        <v>0</v>
      </c>
      <c r="BL66" s="311">
        <f t="shared" si="31"/>
        <v>0</v>
      </c>
      <c r="BM66" s="311">
        <f t="shared" si="32"/>
        <v>0</v>
      </c>
      <c r="BN66" s="315">
        <f t="shared" si="33"/>
        <v>7399.9999999999991</v>
      </c>
      <c r="BO66" s="316">
        <f t="shared" si="34"/>
        <v>0</v>
      </c>
    </row>
    <row r="67" spans="1:67" ht="15.75" x14ac:dyDescent="0.25">
      <c r="A67" s="166"/>
      <c r="B67" s="159"/>
      <c r="C67" s="167"/>
      <c r="D67" s="167"/>
      <c r="E67" s="142"/>
      <c r="F67" s="144"/>
      <c r="G67" s="144"/>
      <c r="H67" s="179"/>
      <c r="I67" s="175">
        <f>_ЦО!T65+'МХП лазня'!T65+Катеринополь!T65+ВООЗ!T65+Кернел!T65+'Глобино Мк'!T65+'ВООЗ ЕМС'!T65+'ООН 36'!T65+'ООН 37'!T65+'ООН 38'!T65+ООН39!T65+'ООН 40'!T65+'ООН 43'!T65+'ООН 44'!T65+'ООН 45'!V65+ООН46!T65+ООН47!T65+ООН48!T65+ООН49!T65+ООн50!T65+ООН51!T65+Форшахта!T65+'ГАлерея 25.6'!T65+ГРП!AI65+'Парк меляси'!T65+'ООН 42'!T65</f>
        <v>0</v>
      </c>
      <c r="J67" s="44"/>
      <c r="AL67" s="307">
        <f>SUM(AL2:AL66)</f>
        <v>0</v>
      </c>
      <c r="AM67" s="309">
        <f t="shared" ref="AM67:BL67" si="36">SUM(AM2:AM66)</f>
        <v>16100</v>
      </c>
      <c r="AN67" s="309">
        <f t="shared" si="36"/>
        <v>40350</v>
      </c>
      <c r="AO67" s="309">
        <f t="shared" si="36"/>
        <v>32646.996933362192</v>
      </c>
      <c r="AP67" s="309">
        <f t="shared" si="36"/>
        <v>33844.39498937779</v>
      </c>
      <c r="AQ67" s="309">
        <f t="shared" si="36"/>
        <v>14400</v>
      </c>
      <c r="AR67" s="309">
        <f t="shared" si="36"/>
        <v>159000</v>
      </c>
      <c r="AS67" s="309">
        <f t="shared" si="36"/>
        <v>110592.50954682565</v>
      </c>
      <c r="AT67" s="309">
        <f t="shared" si="36"/>
        <v>18000</v>
      </c>
      <c r="AU67" s="309">
        <f t="shared" si="36"/>
        <v>12635.714285714286</v>
      </c>
      <c r="AV67" s="309">
        <f t="shared" si="36"/>
        <v>12635.714285714286</v>
      </c>
      <c r="AW67" s="309">
        <f t="shared" si="36"/>
        <v>12635.714285714286</v>
      </c>
      <c r="AX67" s="309">
        <f t="shared" si="36"/>
        <v>12635.714285714286</v>
      </c>
      <c r="AY67" s="309">
        <f t="shared" si="36"/>
        <v>25271.428571428572</v>
      </c>
      <c r="AZ67" s="309">
        <f t="shared" si="36"/>
        <v>15621.120587538497</v>
      </c>
      <c r="BA67" s="309">
        <f t="shared" si="36"/>
        <v>16849.762633196198</v>
      </c>
      <c r="BB67" s="309">
        <f t="shared" si="36"/>
        <v>32582.629090317896</v>
      </c>
      <c r="BC67" s="309">
        <f t="shared" si="36"/>
        <v>59718.104548404168</v>
      </c>
      <c r="BD67" s="309">
        <f t="shared" si="36"/>
        <v>74251.423065366966</v>
      </c>
      <c r="BE67" s="309">
        <f t="shared" si="36"/>
        <v>38363.221500788022</v>
      </c>
      <c r="BF67" s="309">
        <f t="shared" si="36"/>
        <v>4511.3947262258407</v>
      </c>
      <c r="BG67" s="309">
        <f t="shared" si="36"/>
        <v>4207.6502732240442</v>
      </c>
      <c r="BH67" s="309">
        <f t="shared" si="36"/>
        <v>1650</v>
      </c>
      <c r="BI67" s="309">
        <f t="shared" si="36"/>
        <v>9240.3856482596639</v>
      </c>
      <c r="BJ67" s="309">
        <f t="shared" si="36"/>
        <v>84046.517630481583</v>
      </c>
      <c r="BK67" s="309">
        <f t="shared" si="36"/>
        <v>54738.209618527464</v>
      </c>
      <c r="BL67" s="309">
        <f t="shared" si="36"/>
        <v>117921.39349381832</v>
      </c>
      <c r="BM67" s="309">
        <f>SUM(BM2:BM66)</f>
        <v>88450</v>
      </c>
      <c r="BN67" s="309">
        <f>SUM(BN2:BN66)</f>
        <v>1102900</v>
      </c>
      <c r="BO67" s="309">
        <f>SUM(BO2:BO66)</f>
        <v>0</v>
      </c>
    </row>
    <row r="68" spans="1:67" ht="15.75" x14ac:dyDescent="0.25">
      <c r="A68" s="166"/>
      <c r="B68" s="156"/>
      <c r="C68" s="167"/>
      <c r="D68" s="167"/>
      <c r="E68" s="142"/>
      <c r="F68" s="144"/>
      <c r="G68" s="144"/>
      <c r="H68" s="179">
        <f t="shared" ref="H68" si="37">SUM(H5:H67)</f>
        <v>-238.5399999999986</v>
      </c>
      <c r="I68" s="175"/>
      <c r="J68" s="44"/>
    </row>
    <row r="69" spans="1:67" ht="15.75" x14ac:dyDescent="0.25">
      <c r="D69" s="178">
        <f>SUM(D2:D68)</f>
        <v>205446.29</v>
      </c>
      <c r="E69" s="178">
        <f>SUM(E2:E68)</f>
        <v>1358820</v>
      </c>
      <c r="F69" s="178">
        <f>SUM(F2:F68)</f>
        <v>-9353.0800000000017</v>
      </c>
      <c r="G69" s="178">
        <f>SUM(G2:G68)</f>
        <v>1102900</v>
      </c>
      <c r="H69" s="178">
        <f>SUM(H2:H68)</f>
        <v>-414.90999999999894</v>
      </c>
      <c r="I69" s="155"/>
    </row>
    <row r="70" spans="1:67" ht="15.75" x14ac:dyDescent="0.25">
      <c r="G70" s="180"/>
      <c r="I70" s="125"/>
    </row>
    <row r="71" spans="1:67" ht="15.75" x14ac:dyDescent="0.25">
      <c r="I71" s="125"/>
    </row>
    <row r="72" spans="1:67" ht="15.75" x14ac:dyDescent="0.25">
      <c r="I72" s="125"/>
    </row>
    <row r="73" spans="1:67" ht="15.75" x14ac:dyDescent="0.25">
      <c r="I73" s="125"/>
    </row>
    <row r="74" spans="1:67" ht="15.75" x14ac:dyDescent="0.25">
      <c r="I74" s="125"/>
    </row>
    <row r="75" spans="1:67" ht="15.75" x14ac:dyDescent="0.25">
      <c r="I75" s="125"/>
    </row>
    <row r="76" spans="1:67" ht="15.75" x14ac:dyDescent="0.25">
      <c r="I76" s="125"/>
    </row>
    <row r="77" spans="1:67" ht="15.75" x14ac:dyDescent="0.25">
      <c r="I77" s="125"/>
    </row>
    <row r="78" spans="1:67" ht="15.75" x14ac:dyDescent="0.25">
      <c r="I78" s="125"/>
    </row>
    <row r="79" spans="1:67" ht="15.75" x14ac:dyDescent="0.25">
      <c r="I79" s="125"/>
    </row>
    <row r="80" spans="1:67" ht="15.75" x14ac:dyDescent="0.25">
      <c r="I80" s="125"/>
    </row>
    <row r="81" spans="9:9" ht="15.75" x14ac:dyDescent="0.25">
      <c r="I81" s="125"/>
    </row>
    <row r="82" spans="9:9" ht="15.75" x14ac:dyDescent="0.25">
      <c r="I82" s="125"/>
    </row>
  </sheetData>
  <autoFilter ref="A1:J69" xr:uid="{00000000-0009-0000-0000-000002000000}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"/>
  <sheetViews>
    <sheetView zoomScale="70" zoomScaleNormal="70" workbookViewId="0">
      <selection activeCell="R4" sqref="R4"/>
    </sheetView>
  </sheetViews>
  <sheetFormatPr defaultRowHeight="15" x14ac:dyDescent="0.25"/>
  <cols>
    <col min="2" max="2" width="32.42578125" bestFit="1" customWidth="1"/>
  </cols>
  <sheetData>
    <row r="1" spans="1:18" x14ac:dyDescent="0.25">
      <c r="A1" s="185" t="s">
        <v>1</v>
      </c>
      <c r="B1" s="185" t="s">
        <v>6</v>
      </c>
      <c r="C1" s="185" t="s">
        <v>46</v>
      </c>
      <c r="D1" s="185" t="s">
        <v>47</v>
      </c>
      <c r="E1" s="185" t="s">
        <v>48</v>
      </c>
      <c r="F1" s="185" t="s">
        <v>49</v>
      </c>
      <c r="G1" s="185" t="s">
        <v>50</v>
      </c>
      <c r="H1" s="185" t="s">
        <v>51</v>
      </c>
      <c r="I1" s="185" t="s">
        <v>52</v>
      </c>
      <c r="J1" s="185" t="s">
        <v>53</v>
      </c>
      <c r="K1" s="185" t="s">
        <v>54</v>
      </c>
      <c r="L1" s="185" t="s">
        <v>55</v>
      </c>
      <c r="M1" s="185" t="s">
        <v>56</v>
      </c>
      <c r="N1" s="185" t="s">
        <v>57</v>
      </c>
      <c r="O1" s="185" t="s">
        <v>58</v>
      </c>
      <c r="P1" s="185" t="s">
        <v>59</v>
      </c>
      <c r="Q1" s="185" t="s">
        <v>667</v>
      </c>
    </row>
    <row r="2" spans="1:18" x14ac:dyDescent="0.25">
      <c r="A2" s="186">
        <v>9</v>
      </c>
      <c r="B2" s="187" t="s">
        <v>80</v>
      </c>
      <c r="C2" s="187"/>
      <c r="D2" s="187"/>
      <c r="E2" s="187"/>
      <c r="F2" s="187"/>
      <c r="G2" s="187"/>
      <c r="H2" s="187"/>
      <c r="I2" s="187" t="s">
        <v>26</v>
      </c>
      <c r="J2" s="187" t="s">
        <v>26</v>
      </c>
      <c r="K2" s="187" t="s">
        <v>26</v>
      </c>
      <c r="L2" s="187" t="s">
        <v>26</v>
      </c>
      <c r="M2" s="187" t="s">
        <v>26</v>
      </c>
      <c r="N2" s="187" t="s">
        <v>84</v>
      </c>
      <c r="O2" s="187"/>
      <c r="P2" s="187" t="s">
        <v>26</v>
      </c>
      <c r="Q2" s="187" t="s">
        <v>26</v>
      </c>
      <c r="R2">
        <f>C2+D2+E2+F2+G2+H2+I2+J2+K2+L2+M2+N2+O2+P2+Q2</f>
        <v>83</v>
      </c>
    </row>
    <row r="3" spans="1:18" x14ac:dyDescent="0.25">
      <c r="A3" s="186">
        <v>10</v>
      </c>
      <c r="B3" s="187" t="s">
        <v>17</v>
      </c>
      <c r="C3" s="187" t="s">
        <v>26</v>
      </c>
      <c r="D3" s="187" t="s">
        <v>26</v>
      </c>
      <c r="E3" s="187" t="s">
        <v>26</v>
      </c>
      <c r="F3" s="187" t="s">
        <v>26</v>
      </c>
      <c r="G3" s="187" t="s">
        <v>26</v>
      </c>
      <c r="H3" s="187"/>
      <c r="I3" s="187"/>
      <c r="J3" s="187"/>
      <c r="K3" s="187" t="s">
        <v>26</v>
      </c>
      <c r="L3" s="187" t="s">
        <v>26</v>
      </c>
      <c r="M3" s="187" t="s">
        <v>26</v>
      </c>
      <c r="N3" s="187" t="s">
        <v>84</v>
      </c>
      <c r="O3" s="187"/>
      <c r="P3" s="187" t="s">
        <v>26</v>
      </c>
      <c r="Q3" s="187" t="s">
        <v>26</v>
      </c>
      <c r="R3">
        <f>C3+D3+E3+F3+G3+H3+I3+J3+K3+L3+M3+N3+O3+P3+Q3</f>
        <v>116</v>
      </c>
    </row>
    <row r="4" spans="1:18" x14ac:dyDescent="0.25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</row>
    <row r="5" spans="1:18" x14ac:dyDescent="0.25">
      <c r="A5" s="150"/>
      <c r="B5" s="151"/>
    </row>
    <row r="6" spans="1:18" x14ac:dyDescent="0.25">
      <c r="A6" s="150"/>
      <c r="B6" s="151"/>
    </row>
    <row r="7" spans="1:18" x14ac:dyDescent="0.25">
      <c r="A7" s="150"/>
      <c r="B7" s="151"/>
    </row>
    <row r="8" spans="1:18" x14ac:dyDescent="0.25">
      <c r="A8" s="150"/>
      <c r="B8" s="151"/>
    </row>
    <row r="9" spans="1:18" x14ac:dyDescent="0.25">
      <c r="A9" s="150"/>
      <c r="B9" s="151"/>
    </row>
    <row r="10" spans="1:18" x14ac:dyDescent="0.25">
      <c r="A10" s="150"/>
      <c r="B10" s="151"/>
    </row>
    <row r="11" spans="1:18" x14ac:dyDescent="0.25">
      <c r="A11" s="150"/>
      <c r="B11" s="151"/>
    </row>
    <row r="12" spans="1:18" x14ac:dyDescent="0.25">
      <c r="A12" s="150"/>
      <c r="B12" s="151"/>
    </row>
    <row r="13" spans="1:18" x14ac:dyDescent="0.25">
      <c r="A13" s="150"/>
      <c r="B13" s="151"/>
    </row>
    <row r="14" spans="1:18" x14ac:dyDescent="0.25">
      <c r="A14" s="150"/>
      <c r="B14" s="151"/>
    </row>
    <row r="15" spans="1:18" x14ac:dyDescent="0.25">
      <c r="A15" s="150"/>
      <c r="B15" s="151"/>
    </row>
    <row r="16" spans="1:18" x14ac:dyDescent="0.25">
      <c r="A16" s="150"/>
      <c r="B16" s="151"/>
    </row>
    <row r="17" spans="1:2" x14ac:dyDescent="0.25">
      <c r="A17" s="150"/>
      <c r="B17" s="151"/>
    </row>
    <row r="18" spans="1:2" x14ac:dyDescent="0.25">
      <c r="A18" s="150"/>
      <c r="B18" s="151"/>
    </row>
    <row r="19" spans="1:2" x14ac:dyDescent="0.25">
      <c r="A19" s="150"/>
      <c r="B19" s="151"/>
    </row>
    <row r="20" spans="1:2" x14ac:dyDescent="0.25">
      <c r="A20" s="150"/>
      <c r="B20" s="151"/>
    </row>
    <row r="21" spans="1:2" x14ac:dyDescent="0.25">
      <c r="A21" s="150"/>
      <c r="B21" s="151"/>
    </row>
    <row r="22" spans="1:2" x14ac:dyDescent="0.25">
      <c r="A22" s="150"/>
      <c r="B22" s="151"/>
    </row>
    <row r="23" spans="1:2" x14ac:dyDescent="0.25">
      <c r="A23" s="150"/>
      <c r="B23" s="151"/>
    </row>
    <row r="24" spans="1:2" x14ac:dyDescent="0.25">
      <c r="A24" s="150"/>
      <c r="B24" s="151"/>
    </row>
    <row r="25" spans="1:2" x14ac:dyDescent="0.25">
      <c r="A25" s="150"/>
      <c r="B25" s="151"/>
    </row>
    <row r="26" spans="1:2" x14ac:dyDescent="0.25">
      <c r="A26" s="150"/>
      <c r="B26" s="151"/>
    </row>
    <row r="27" spans="1:2" x14ac:dyDescent="0.25">
      <c r="A27" s="150"/>
      <c r="B27" s="151"/>
    </row>
    <row r="28" spans="1:2" x14ac:dyDescent="0.25">
      <c r="A28" s="150"/>
      <c r="B28" s="151"/>
    </row>
    <row r="29" spans="1:2" x14ac:dyDescent="0.25">
      <c r="A29" s="150"/>
      <c r="B29" s="151"/>
    </row>
    <row r="30" spans="1:2" x14ac:dyDescent="0.25">
      <c r="A30" s="150"/>
      <c r="B30" s="151"/>
    </row>
    <row r="31" spans="1:2" x14ac:dyDescent="0.25">
      <c r="A31" s="150"/>
      <c r="B31" s="151"/>
    </row>
    <row r="32" spans="1:2" x14ac:dyDescent="0.25">
      <c r="A32" s="150"/>
      <c r="B32" s="151"/>
    </row>
    <row r="33" spans="1:2" x14ac:dyDescent="0.25">
      <c r="A33" s="150"/>
      <c r="B33" s="151"/>
    </row>
    <row r="34" spans="1:2" x14ac:dyDescent="0.25">
      <c r="A34" s="150"/>
      <c r="B34" s="151"/>
    </row>
    <row r="35" spans="1:2" x14ac:dyDescent="0.25">
      <c r="A35" s="150"/>
      <c r="B35" s="151"/>
    </row>
    <row r="36" spans="1:2" x14ac:dyDescent="0.25">
      <c r="A36" s="150"/>
      <c r="B36" s="151"/>
    </row>
    <row r="37" spans="1:2" x14ac:dyDescent="0.25">
      <c r="A37" s="150"/>
      <c r="B37" s="151"/>
    </row>
    <row r="38" spans="1:2" x14ac:dyDescent="0.25">
      <c r="A38" s="150"/>
      <c r="B38" s="151"/>
    </row>
    <row r="39" spans="1:2" x14ac:dyDescent="0.25">
      <c r="A39" s="150"/>
      <c r="B39" s="151"/>
    </row>
    <row r="40" spans="1:2" x14ac:dyDescent="0.25">
      <c r="A40" s="150"/>
      <c r="B40" s="151"/>
    </row>
    <row r="41" spans="1:2" x14ac:dyDescent="0.25">
      <c r="A41" s="150"/>
      <c r="B41" s="151"/>
    </row>
    <row r="42" spans="1:2" x14ac:dyDescent="0.25">
      <c r="A42" s="150"/>
      <c r="B42" s="151"/>
    </row>
    <row r="43" spans="1:2" x14ac:dyDescent="0.25">
      <c r="A43" s="150"/>
      <c r="B43" s="151"/>
    </row>
    <row r="44" spans="1:2" x14ac:dyDescent="0.25">
      <c r="A44" s="150"/>
      <c r="B44" s="151"/>
    </row>
    <row r="45" spans="1:2" x14ac:dyDescent="0.25">
      <c r="A45" s="150"/>
      <c r="B45" s="151"/>
    </row>
    <row r="46" spans="1:2" x14ac:dyDescent="0.25">
      <c r="A46" s="150"/>
      <c r="B46" s="151"/>
    </row>
    <row r="47" spans="1:2" x14ac:dyDescent="0.25">
      <c r="A47" s="150"/>
      <c r="B47" s="151"/>
    </row>
    <row r="48" spans="1:2" x14ac:dyDescent="0.25">
      <c r="A48" s="150"/>
      <c r="B48" s="151"/>
    </row>
    <row r="49" spans="1:2" x14ac:dyDescent="0.25">
      <c r="A49" s="150"/>
      <c r="B49" s="151"/>
    </row>
    <row r="50" spans="1:2" x14ac:dyDescent="0.25">
      <c r="A50" s="150"/>
      <c r="B50" s="151"/>
    </row>
    <row r="51" spans="1:2" x14ac:dyDescent="0.25">
      <c r="A51" s="150"/>
      <c r="B51" s="151"/>
    </row>
    <row r="52" spans="1:2" x14ac:dyDescent="0.25">
      <c r="A52" s="150"/>
      <c r="B52" s="151"/>
    </row>
    <row r="53" spans="1:2" x14ac:dyDescent="0.25">
      <c r="A53" s="184"/>
      <c r="B53" s="184"/>
    </row>
    <row r="54" spans="1:2" x14ac:dyDescent="0.25">
      <c r="A54" s="151"/>
      <c r="B54" s="151"/>
    </row>
    <row r="55" spans="1:2" x14ac:dyDescent="0.25">
      <c r="A55" s="151"/>
      <c r="B55" s="151"/>
    </row>
    <row r="56" spans="1:2" x14ac:dyDescent="0.25">
      <c r="A56" s="151"/>
      <c r="B56" s="151"/>
    </row>
    <row r="57" spans="1:2" x14ac:dyDescent="0.25">
      <c r="A57" s="151"/>
      <c r="B57" s="151"/>
    </row>
    <row r="58" spans="1:2" x14ac:dyDescent="0.25">
      <c r="A58" s="151"/>
      <c r="B58" s="151"/>
    </row>
    <row r="59" spans="1:2" x14ac:dyDescent="0.25">
      <c r="A59" s="184"/>
      <c r="B59" s="184"/>
    </row>
    <row r="60" spans="1:2" x14ac:dyDescent="0.25">
      <c r="A60" s="163"/>
      <c r="B60" s="1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topLeftCell="A22" zoomScale="85" zoomScaleNormal="85" workbookViewId="0">
      <selection activeCell="T2" sqref="T2:T65"/>
    </sheetView>
  </sheetViews>
  <sheetFormatPr defaultRowHeight="15" x14ac:dyDescent="0.25"/>
  <cols>
    <col min="2" max="2" width="25.42578125" bestFit="1" customWidth="1"/>
  </cols>
  <sheetData>
    <row r="1" spans="1:20" x14ac:dyDescent="0.25">
      <c r="A1" s="200" t="s">
        <v>1</v>
      </c>
      <c r="B1" s="200" t="s">
        <v>6</v>
      </c>
      <c r="C1" s="200" t="s">
        <v>46</v>
      </c>
      <c r="D1" s="200" t="s">
        <v>47</v>
      </c>
      <c r="E1" s="200" t="s">
        <v>48</v>
      </c>
      <c r="F1" s="200" t="s">
        <v>49</v>
      </c>
      <c r="G1" s="200" t="s">
        <v>50</v>
      </c>
      <c r="H1" s="200" t="s">
        <v>51</v>
      </c>
      <c r="I1" s="200" t="s">
        <v>52</v>
      </c>
      <c r="J1" s="200" t="s">
        <v>53</v>
      </c>
      <c r="K1" s="200" t="s">
        <v>54</v>
      </c>
      <c r="L1" s="200" t="s">
        <v>55</v>
      </c>
      <c r="M1" s="200" t="s">
        <v>56</v>
      </c>
      <c r="N1" s="200" t="s">
        <v>57</v>
      </c>
      <c r="O1" s="200" t="s">
        <v>58</v>
      </c>
      <c r="P1" s="200" t="s">
        <v>59</v>
      </c>
      <c r="Q1" s="200" t="s">
        <v>667</v>
      </c>
    </row>
    <row r="2" spans="1:20" x14ac:dyDescent="0.25">
      <c r="A2" s="201">
        <v>1</v>
      </c>
      <c r="B2" s="202" t="s">
        <v>10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T2">
        <f t="shared" ref="T2:T65" si="0">C2+D2+E2+F2+G2+H2+I2+J2+K2+L2+M2+N2+O2+P2+Q2</f>
        <v>0</v>
      </c>
    </row>
    <row r="3" spans="1:20" x14ac:dyDescent="0.25">
      <c r="A3" s="201">
        <v>2</v>
      </c>
      <c r="B3" s="202" t="s">
        <v>11</v>
      </c>
      <c r="C3" s="202"/>
      <c r="D3" s="202" t="s">
        <v>26</v>
      </c>
      <c r="E3" s="202" t="s">
        <v>26</v>
      </c>
      <c r="F3" s="202" t="s">
        <v>26</v>
      </c>
      <c r="G3" s="202" t="s">
        <v>25</v>
      </c>
      <c r="H3" s="202"/>
      <c r="I3" s="202" t="s">
        <v>26</v>
      </c>
      <c r="J3" s="202" t="s">
        <v>25</v>
      </c>
      <c r="K3" s="202" t="s">
        <v>25</v>
      </c>
      <c r="L3" s="202" t="s">
        <v>26</v>
      </c>
      <c r="M3" s="202" t="s">
        <v>26</v>
      </c>
      <c r="N3" s="202" t="s">
        <v>84</v>
      </c>
      <c r="O3" s="202"/>
      <c r="P3" s="202" t="s">
        <v>26</v>
      </c>
      <c r="Q3" s="202" t="s">
        <v>25</v>
      </c>
      <c r="T3">
        <f t="shared" si="0"/>
        <v>119</v>
      </c>
    </row>
    <row r="4" spans="1:20" x14ac:dyDescent="0.25">
      <c r="A4" s="201">
        <v>3</v>
      </c>
      <c r="B4" s="202" t="s">
        <v>12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T4">
        <f t="shared" si="0"/>
        <v>0</v>
      </c>
    </row>
    <row r="5" spans="1:20" x14ac:dyDescent="0.25">
      <c r="A5" s="201">
        <v>4</v>
      </c>
      <c r="B5" s="202" t="s">
        <v>651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T5">
        <f t="shared" si="0"/>
        <v>0</v>
      </c>
    </row>
    <row r="6" spans="1:20" x14ac:dyDescent="0.25">
      <c r="A6" s="201">
        <v>5</v>
      </c>
      <c r="B6" s="202" t="s">
        <v>14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T6">
        <f t="shared" si="0"/>
        <v>0</v>
      </c>
    </row>
    <row r="7" spans="1:20" x14ac:dyDescent="0.25">
      <c r="A7" s="201">
        <v>6</v>
      </c>
      <c r="B7" s="202" t="s">
        <v>15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T7">
        <f t="shared" si="0"/>
        <v>0</v>
      </c>
    </row>
    <row r="8" spans="1:20" x14ac:dyDescent="0.25">
      <c r="A8" s="201">
        <v>7</v>
      </c>
      <c r="B8" s="202" t="s">
        <v>16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T8">
        <f t="shared" si="0"/>
        <v>0</v>
      </c>
    </row>
    <row r="9" spans="1:20" x14ac:dyDescent="0.25">
      <c r="A9" s="201">
        <v>8</v>
      </c>
      <c r="B9" s="202" t="s">
        <v>4</v>
      </c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T9">
        <f t="shared" si="0"/>
        <v>0</v>
      </c>
    </row>
    <row r="10" spans="1:20" x14ac:dyDescent="0.25">
      <c r="A10" s="201">
        <v>9</v>
      </c>
      <c r="B10" s="202" t="s">
        <v>5</v>
      </c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T10">
        <f t="shared" si="0"/>
        <v>0</v>
      </c>
    </row>
    <row r="11" spans="1:20" x14ac:dyDescent="0.25">
      <c r="A11" s="201">
        <v>10</v>
      </c>
      <c r="B11" s="202" t="s">
        <v>38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T11">
        <f t="shared" si="0"/>
        <v>0</v>
      </c>
    </row>
    <row r="12" spans="1:20" x14ac:dyDescent="0.25">
      <c r="A12" s="201">
        <v>11</v>
      </c>
      <c r="B12" s="202" t="s">
        <v>43</v>
      </c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T12">
        <f t="shared" si="0"/>
        <v>0</v>
      </c>
    </row>
    <row r="13" spans="1:20" x14ac:dyDescent="0.25">
      <c r="A13" s="201">
        <v>12</v>
      </c>
      <c r="B13" s="202" t="s">
        <v>639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T13">
        <f t="shared" si="0"/>
        <v>0</v>
      </c>
    </row>
    <row r="14" spans="1:20" x14ac:dyDescent="0.25">
      <c r="A14" s="201">
        <v>13</v>
      </c>
      <c r="B14" s="202" t="s">
        <v>87</v>
      </c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T14">
        <f t="shared" si="0"/>
        <v>0</v>
      </c>
    </row>
    <row r="15" spans="1:20" x14ac:dyDescent="0.25">
      <c r="A15" s="201">
        <v>14</v>
      </c>
      <c r="B15" s="202" t="s">
        <v>95</v>
      </c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T15">
        <f t="shared" si="0"/>
        <v>0</v>
      </c>
    </row>
    <row r="16" spans="1:20" x14ac:dyDescent="0.25">
      <c r="A16" s="201">
        <v>15</v>
      </c>
      <c r="B16" s="202" t="s">
        <v>96</v>
      </c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T16">
        <f t="shared" si="0"/>
        <v>0</v>
      </c>
    </row>
    <row r="17" spans="1:20" x14ac:dyDescent="0.25">
      <c r="A17" s="201">
        <v>16</v>
      </c>
      <c r="B17" s="202" t="s">
        <v>97</v>
      </c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T17">
        <f t="shared" si="0"/>
        <v>0</v>
      </c>
    </row>
    <row r="18" spans="1:20" x14ac:dyDescent="0.25">
      <c r="A18" s="201">
        <v>17</v>
      </c>
      <c r="B18" s="202" t="s">
        <v>98</v>
      </c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T18">
        <f t="shared" si="0"/>
        <v>0</v>
      </c>
    </row>
    <row r="19" spans="1:20" x14ac:dyDescent="0.25">
      <c r="A19" s="201">
        <v>18</v>
      </c>
      <c r="B19" s="202" t="s">
        <v>616</v>
      </c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T19">
        <f t="shared" si="0"/>
        <v>0</v>
      </c>
    </row>
    <row r="20" spans="1:20" x14ac:dyDescent="0.25">
      <c r="A20" s="201">
        <v>19</v>
      </c>
      <c r="B20" s="202" t="s">
        <v>617</v>
      </c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T20">
        <f t="shared" si="0"/>
        <v>0</v>
      </c>
    </row>
    <row r="21" spans="1:20" x14ac:dyDescent="0.25">
      <c r="A21" s="201">
        <v>20</v>
      </c>
      <c r="B21" s="202" t="s">
        <v>626</v>
      </c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T21">
        <f t="shared" si="0"/>
        <v>0</v>
      </c>
    </row>
    <row r="22" spans="1:20" x14ac:dyDescent="0.25">
      <c r="A22" s="201">
        <v>21</v>
      </c>
      <c r="B22" s="202" t="s">
        <v>618</v>
      </c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T22">
        <f t="shared" si="0"/>
        <v>0</v>
      </c>
    </row>
    <row r="23" spans="1:20" x14ac:dyDescent="0.25">
      <c r="A23" s="201">
        <v>22</v>
      </c>
      <c r="B23" s="202" t="s">
        <v>619</v>
      </c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T23">
        <f t="shared" si="0"/>
        <v>0</v>
      </c>
    </row>
    <row r="24" spans="1:20" x14ac:dyDescent="0.25">
      <c r="A24" s="201">
        <v>23</v>
      </c>
      <c r="B24" s="202" t="s">
        <v>620</v>
      </c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T24">
        <f t="shared" si="0"/>
        <v>0</v>
      </c>
    </row>
    <row r="25" spans="1:20" x14ac:dyDescent="0.25">
      <c r="A25" s="201">
        <v>24</v>
      </c>
      <c r="B25" s="202" t="s">
        <v>650</v>
      </c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T25">
        <f t="shared" si="0"/>
        <v>0</v>
      </c>
    </row>
    <row r="26" spans="1:20" x14ac:dyDescent="0.25">
      <c r="A26" s="201">
        <v>25</v>
      </c>
      <c r="B26" s="202" t="s">
        <v>621</v>
      </c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T26">
        <f t="shared" si="0"/>
        <v>0</v>
      </c>
    </row>
    <row r="27" spans="1:20" x14ac:dyDescent="0.25">
      <c r="A27" s="201">
        <v>26</v>
      </c>
      <c r="B27" s="202" t="s">
        <v>622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T27">
        <f t="shared" si="0"/>
        <v>0</v>
      </c>
    </row>
    <row r="28" spans="1:20" x14ac:dyDescent="0.25">
      <c r="A28" s="201">
        <v>27</v>
      </c>
      <c r="B28" s="202" t="s">
        <v>623</v>
      </c>
      <c r="C28" s="202"/>
      <c r="D28" s="202" t="s">
        <v>25</v>
      </c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T28">
        <f t="shared" si="0"/>
        <v>9</v>
      </c>
    </row>
    <row r="29" spans="1:20" x14ac:dyDescent="0.25">
      <c r="A29" s="201">
        <v>28</v>
      </c>
      <c r="B29" s="202" t="s">
        <v>624</v>
      </c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T29">
        <f t="shared" si="0"/>
        <v>0</v>
      </c>
    </row>
    <row r="30" spans="1:20" x14ac:dyDescent="0.25">
      <c r="A30" s="201">
        <v>29</v>
      </c>
      <c r="B30" s="202" t="s">
        <v>627</v>
      </c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T30">
        <f t="shared" si="0"/>
        <v>0</v>
      </c>
    </row>
    <row r="31" spans="1:20" x14ac:dyDescent="0.25">
      <c r="A31" s="201">
        <v>30</v>
      </c>
      <c r="B31" s="202" t="s">
        <v>625</v>
      </c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T31">
        <f t="shared" si="0"/>
        <v>0</v>
      </c>
    </row>
    <row r="32" spans="1:20" x14ac:dyDescent="0.25">
      <c r="A32" s="201">
        <v>31</v>
      </c>
      <c r="B32" s="202" t="s">
        <v>34</v>
      </c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T32">
        <f t="shared" si="0"/>
        <v>0</v>
      </c>
    </row>
    <row r="33" spans="1:20" x14ac:dyDescent="0.25">
      <c r="A33" s="201">
        <v>32</v>
      </c>
      <c r="B33" s="202" t="s">
        <v>45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T33">
        <f t="shared" si="0"/>
        <v>0</v>
      </c>
    </row>
    <row r="34" spans="1:20" x14ac:dyDescent="0.25">
      <c r="A34" s="201">
        <v>33</v>
      </c>
      <c r="B34" s="202" t="s">
        <v>630</v>
      </c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T34">
        <f t="shared" si="0"/>
        <v>0</v>
      </c>
    </row>
    <row r="35" spans="1:20" x14ac:dyDescent="0.25">
      <c r="A35" s="201">
        <v>34</v>
      </c>
      <c r="B35" s="202" t="s">
        <v>628</v>
      </c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T35">
        <f t="shared" si="0"/>
        <v>0</v>
      </c>
    </row>
    <row r="36" spans="1:20" x14ac:dyDescent="0.25">
      <c r="A36" s="201">
        <v>35</v>
      </c>
      <c r="B36" s="202" t="s">
        <v>629</v>
      </c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T36">
        <f t="shared" si="0"/>
        <v>0</v>
      </c>
    </row>
    <row r="37" spans="1:20" x14ac:dyDescent="0.25">
      <c r="A37" s="201">
        <v>36</v>
      </c>
      <c r="B37" s="202" t="s">
        <v>631</v>
      </c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T37">
        <f t="shared" si="0"/>
        <v>0</v>
      </c>
    </row>
    <row r="38" spans="1:20" x14ac:dyDescent="0.25">
      <c r="A38" s="201">
        <v>37</v>
      </c>
      <c r="B38" s="202" t="s">
        <v>632</v>
      </c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T38">
        <f t="shared" si="0"/>
        <v>0</v>
      </c>
    </row>
    <row r="39" spans="1:20" x14ac:dyDescent="0.25">
      <c r="A39" s="201">
        <v>38</v>
      </c>
      <c r="B39" s="202" t="s">
        <v>633</v>
      </c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T39">
        <f t="shared" si="0"/>
        <v>0</v>
      </c>
    </row>
    <row r="40" spans="1:20" x14ac:dyDescent="0.25">
      <c r="A40" s="201">
        <v>39</v>
      </c>
      <c r="B40" s="202" t="s">
        <v>634</v>
      </c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T40">
        <f t="shared" si="0"/>
        <v>0</v>
      </c>
    </row>
    <row r="41" spans="1:20" x14ac:dyDescent="0.25">
      <c r="A41" s="201">
        <v>40</v>
      </c>
      <c r="B41" s="202" t="s">
        <v>636</v>
      </c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T41">
        <f t="shared" si="0"/>
        <v>0</v>
      </c>
    </row>
    <row r="42" spans="1:20" x14ac:dyDescent="0.25">
      <c r="A42" s="201">
        <v>41</v>
      </c>
      <c r="B42" s="202" t="s">
        <v>637</v>
      </c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T42">
        <f t="shared" si="0"/>
        <v>0</v>
      </c>
    </row>
    <row r="43" spans="1:20" x14ac:dyDescent="0.25">
      <c r="A43" s="201">
        <v>42</v>
      </c>
      <c r="B43" s="202" t="s">
        <v>640</v>
      </c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T43">
        <f t="shared" si="0"/>
        <v>0</v>
      </c>
    </row>
    <row r="44" spans="1:20" x14ac:dyDescent="0.25">
      <c r="A44" s="201">
        <v>43</v>
      </c>
      <c r="B44" s="202" t="s">
        <v>638</v>
      </c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T44">
        <f t="shared" si="0"/>
        <v>0</v>
      </c>
    </row>
    <row r="45" spans="1:20" x14ac:dyDescent="0.25">
      <c r="A45" s="201">
        <v>44</v>
      </c>
      <c r="B45" s="202" t="s">
        <v>635</v>
      </c>
      <c r="C45" s="202" t="s">
        <v>26</v>
      </c>
      <c r="D45" s="202" t="s">
        <v>26</v>
      </c>
      <c r="E45" s="202"/>
      <c r="F45" s="202"/>
      <c r="G45" s="202"/>
      <c r="H45" s="202"/>
      <c r="I45" s="202"/>
      <c r="J45" s="202"/>
      <c r="K45" s="202" t="s">
        <v>26</v>
      </c>
      <c r="L45" s="202" t="s">
        <v>26</v>
      </c>
      <c r="M45" s="202" t="s">
        <v>26</v>
      </c>
      <c r="N45" s="202" t="s">
        <v>62</v>
      </c>
      <c r="O45" s="202"/>
      <c r="P45" s="202" t="s">
        <v>26</v>
      </c>
      <c r="Q45" s="202"/>
      <c r="T45">
        <f t="shared" si="0"/>
        <v>69</v>
      </c>
    </row>
    <row r="46" spans="1:20" x14ac:dyDescent="0.25">
      <c r="A46" s="201">
        <v>45</v>
      </c>
      <c r="B46" s="202" t="s">
        <v>641</v>
      </c>
      <c r="C46" s="202" t="s">
        <v>26</v>
      </c>
      <c r="D46" s="202" t="s">
        <v>25</v>
      </c>
      <c r="E46" s="202" t="s">
        <v>26</v>
      </c>
      <c r="F46" s="202" t="s">
        <v>26</v>
      </c>
      <c r="G46" s="202" t="s">
        <v>84</v>
      </c>
      <c r="H46" s="202"/>
      <c r="I46" s="202" t="s">
        <v>26</v>
      </c>
      <c r="J46" s="202" t="s">
        <v>26</v>
      </c>
      <c r="K46" s="202" t="s">
        <v>26</v>
      </c>
      <c r="L46" s="202" t="s">
        <v>26</v>
      </c>
      <c r="M46" s="202" t="s">
        <v>26</v>
      </c>
      <c r="N46" s="202"/>
      <c r="O46" s="202"/>
      <c r="P46" s="202" t="s">
        <v>26</v>
      </c>
      <c r="Q46" s="202" t="s">
        <v>26</v>
      </c>
      <c r="T46">
        <f t="shared" si="0"/>
        <v>125</v>
      </c>
    </row>
    <row r="47" spans="1:20" x14ac:dyDescent="0.25">
      <c r="A47" s="201">
        <v>46</v>
      </c>
      <c r="B47" s="202" t="s">
        <v>649</v>
      </c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T47">
        <f t="shared" si="0"/>
        <v>0</v>
      </c>
    </row>
    <row r="48" spans="1:20" x14ac:dyDescent="0.25">
      <c r="A48" s="201">
        <v>47</v>
      </c>
      <c r="B48" s="202" t="s">
        <v>642</v>
      </c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T48">
        <f t="shared" si="0"/>
        <v>0</v>
      </c>
    </row>
    <row r="49" spans="1:20" x14ac:dyDescent="0.25">
      <c r="A49" s="201">
        <v>48</v>
      </c>
      <c r="B49" s="202" t="s">
        <v>643</v>
      </c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T49">
        <f t="shared" si="0"/>
        <v>0</v>
      </c>
    </row>
    <row r="50" spans="1:20" x14ac:dyDescent="0.25">
      <c r="A50" s="201">
        <v>49</v>
      </c>
      <c r="B50" s="202" t="s">
        <v>644</v>
      </c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T50">
        <f t="shared" si="0"/>
        <v>0</v>
      </c>
    </row>
    <row r="51" spans="1:20" x14ac:dyDescent="0.25">
      <c r="A51" s="201">
        <v>50</v>
      </c>
      <c r="B51" s="202" t="s">
        <v>646</v>
      </c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T51">
        <f t="shared" si="0"/>
        <v>0</v>
      </c>
    </row>
    <row r="52" spans="1:20" x14ac:dyDescent="0.25">
      <c r="A52" s="201">
        <v>51</v>
      </c>
      <c r="B52" s="202" t="s">
        <v>647</v>
      </c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T52">
        <f t="shared" si="0"/>
        <v>0</v>
      </c>
    </row>
    <row r="53" spans="1:20" x14ac:dyDescent="0.25">
      <c r="A53" s="201">
        <v>52</v>
      </c>
      <c r="B53" s="202" t="s">
        <v>652</v>
      </c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T53">
        <f t="shared" si="0"/>
        <v>0</v>
      </c>
    </row>
    <row r="54" spans="1:20" x14ac:dyDescent="0.25">
      <c r="A54" s="201">
        <v>53</v>
      </c>
      <c r="B54" s="202" t="s">
        <v>653</v>
      </c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T54">
        <f t="shared" si="0"/>
        <v>0</v>
      </c>
    </row>
    <row r="55" spans="1:20" x14ac:dyDescent="0.25">
      <c r="A55" s="201">
        <v>54</v>
      </c>
      <c r="B55" s="202" t="s">
        <v>654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T55">
        <f t="shared" si="0"/>
        <v>0</v>
      </c>
    </row>
    <row r="56" spans="1:20" x14ac:dyDescent="0.25">
      <c r="A56" s="201">
        <v>55</v>
      </c>
      <c r="B56" s="202" t="s">
        <v>655</v>
      </c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T56">
        <f t="shared" si="0"/>
        <v>0</v>
      </c>
    </row>
    <row r="57" spans="1:20" x14ac:dyDescent="0.25">
      <c r="A57" s="201">
        <v>56</v>
      </c>
      <c r="B57" s="202" t="s">
        <v>656</v>
      </c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T57">
        <f t="shared" si="0"/>
        <v>0</v>
      </c>
    </row>
    <row r="58" spans="1:20" x14ac:dyDescent="0.25">
      <c r="A58" s="201">
        <v>57</v>
      </c>
      <c r="B58" s="202" t="s">
        <v>657</v>
      </c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T58">
        <f t="shared" si="0"/>
        <v>0</v>
      </c>
    </row>
    <row r="59" spans="1:20" x14ac:dyDescent="0.25">
      <c r="A59" s="201">
        <v>58</v>
      </c>
      <c r="B59" s="202" t="s">
        <v>658</v>
      </c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T59">
        <f t="shared" si="0"/>
        <v>0</v>
      </c>
    </row>
    <row r="60" spans="1:20" x14ac:dyDescent="0.25">
      <c r="A60" s="201">
        <v>59</v>
      </c>
      <c r="B60" s="202" t="s">
        <v>659</v>
      </c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T60">
        <f t="shared" si="0"/>
        <v>0</v>
      </c>
    </row>
    <row r="61" spans="1:20" x14ac:dyDescent="0.25">
      <c r="A61" s="201">
        <v>60</v>
      </c>
      <c r="B61" s="202" t="s">
        <v>660</v>
      </c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T61">
        <f t="shared" si="0"/>
        <v>0</v>
      </c>
    </row>
    <row r="62" spans="1:20" x14ac:dyDescent="0.25">
      <c r="A62" s="201">
        <v>61</v>
      </c>
      <c r="B62" s="202" t="s">
        <v>661</v>
      </c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T62">
        <f t="shared" si="0"/>
        <v>0</v>
      </c>
    </row>
    <row r="63" spans="1:20" x14ac:dyDescent="0.25">
      <c r="A63" s="201">
        <v>62</v>
      </c>
      <c r="B63" s="202" t="s">
        <v>662</v>
      </c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T63">
        <f t="shared" si="0"/>
        <v>0</v>
      </c>
    </row>
    <row r="64" spans="1:20" x14ac:dyDescent="0.25">
      <c r="A64" s="201">
        <v>63</v>
      </c>
      <c r="B64" s="202" t="s">
        <v>668</v>
      </c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T64">
        <f t="shared" si="0"/>
        <v>0</v>
      </c>
    </row>
    <row r="65" spans="1:20" x14ac:dyDescent="0.2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T65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T65"/>
  <sheetViews>
    <sheetView zoomScaleNormal="100" workbookViewId="0">
      <selection activeCell="I26" sqref="I26"/>
    </sheetView>
  </sheetViews>
  <sheetFormatPr defaultRowHeight="15" x14ac:dyDescent="0.25"/>
  <sheetData>
    <row r="1" spans="1:20" x14ac:dyDescent="0.25">
      <c r="A1" s="214" t="s">
        <v>1</v>
      </c>
      <c r="B1" s="214" t="s">
        <v>6</v>
      </c>
      <c r="C1" s="214" t="s">
        <v>46</v>
      </c>
      <c r="D1" s="214" t="s">
        <v>47</v>
      </c>
      <c r="E1" s="214" t="s">
        <v>48</v>
      </c>
      <c r="F1" s="214" t="s">
        <v>49</v>
      </c>
      <c r="G1" s="214" t="s">
        <v>50</v>
      </c>
      <c r="H1" s="214" t="s">
        <v>51</v>
      </c>
      <c r="I1" s="214" t="s">
        <v>52</v>
      </c>
      <c r="J1" s="214" t="s">
        <v>53</v>
      </c>
      <c r="K1" s="214" t="s">
        <v>54</v>
      </c>
      <c r="L1" s="214" t="s">
        <v>55</v>
      </c>
      <c r="M1" s="214" t="s">
        <v>56</v>
      </c>
      <c r="N1" s="214" t="s">
        <v>57</v>
      </c>
      <c r="O1" s="214" t="s">
        <v>58</v>
      </c>
      <c r="P1" s="214" t="s">
        <v>59</v>
      </c>
      <c r="Q1" s="214" t="s">
        <v>667</v>
      </c>
    </row>
    <row r="2" spans="1:20" x14ac:dyDescent="0.25">
      <c r="A2" s="215">
        <v>1</v>
      </c>
      <c r="B2" s="216" t="s">
        <v>10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T2">
        <f t="shared" ref="T2:T17" si="0">C2+D2+E2+F2+G2+H2+I2+J2+K2+L2+M2+N2+O2+P2+Q2</f>
        <v>0</v>
      </c>
    </row>
    <row r="3" spans="1:20" x14ac:dyDescent="0.25">
      <c r="A3" s="215">
        <v>2</v>
      </c>
      <c r="B3" s="216" t="s">
        <v>11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T3">
        <f t="shared" si="0"/>
        <v>0</v>
      </c>
    </row>
    <row r="4" spans="1:20" x14ac:dyDescent="0.25">
      <c r="A4" s="215">
        <v>3</v>
      </c>
      <c r="B4" s="216" t="s">
        <v>12</v>
      </c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T4">
        <f t="shared" si="0"/>
        <v>0</v>
      </c>
    </row>
    <row r="5" spans="1:20" x14ac:dyDescent="0.25">
      <c r="A5" s="215">
        <v>4</v>
      </c>
      <c r="B5" s="216" t="s">
        <v>651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T5">
        <f t="shared" si="0"/>
        <v>0</v>
      </c>
    </row>
    <row r="6" spans="1:20" x14ac:dyDescent="0.25">
      <c r="A6" s="215">
        <v>5</v>
      </c>
      <c r="B6" s="216" t="s">
        <v>14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T6">
        <f t="shared" si="0"/>
        <v>0</v>
      </c>
    </row>
    <row r="7" spans="1:20" x14ac:dyDescent="0.25">
      <c r="A7" s="215">
        <v>6</v>
      </c>
      <c r="B7" s="216" t="s">
        <v>15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T7">
        <f t="shared" si="0"/>
        <v>0</v>
      </c>
    </row>
    <row r="8" spans="1:20" x14ac:dyDescent="0.25">
      <c r="A8" s="215">
        <v>7</v>
      </c>
      <c r="B8" s="216" t="s">
        <v>16</v>
      </c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T8">
        <f t="shared" si="0"/>
        <v>0</v>
      </c>
    </row>
    <row r="9" spans="1:20" x14ac:dyDescent="0.25">
      <c r="A9" s="215">
        <v>8</v>
      </c>
      <c r="B9" s="216" t="s">
        <v>4</v>
      </c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T9">
        <f t="shared" si="0"/>
        <v>0</v>
      </c>
    </row>
    <row r="10" spans="1:20" x14ac:dyDescent="0.25">
      <c r="A10" s="215">
        <v>9</v>
      </c>
      <c r="B10" s="216" t="s">
        <v>5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T10">
        <f t="shared" si="0"/>
        <v>0</v>
      </c>
    </row>
    <row r="11" spans="1:20" x14ac:dyDescent="0.25">
      <c r="A11" s="215">
        <v>10</v>
      </c>
      <c r="B11" s="216" t="s">
        <v>38</v>
      </c>
      <c r="C11" s="216"/>
      <c r="D11" s="216"/>
      <c r="E11" s="216"/>
      <c r="F11" s="216"/>
      <c r="G11" s="216"/>
      <c r="H11" s="216"/>
      <c r="I11" s="216" t="s">
        <v>26</v>
      </c>
      <c r="J11" s="216" t="s">
        <v>26</v>
      </c>
      <c r="K11" s="216" t="s">
        <v>26</v>
      </c>
      <c r="L11" s="216" t="s">
        <v>26</v>
      </c>
      <c r="M11" s="216" t="s">
        <v>26</v>
      </c>
      <c r="N11" s="216" t="s">
        <v>84</v>
      </c>
      <c r="O11" s="216"/>
      <c r="P11" s="216" t="s">
        <v>26</v>
      </c>
      <c r="Q11" s="216" t="s">
        <v>26</v>
      </c>
      <c r="T11">
        <f t="shared" si="0"/>
        <v>83</v>
      </c>
    </row>
    <row r="12" spans="1:20" x14ac:dyDescent="0.25">
      <c r="A12" s="215">
        <v>11</v>
      </c>
      <c r="B12" s="216" t="s">
        <v>43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T12">
        <f t="shared" si="0"/>
        <v>0</v>
      </c>
    </row>
    <row r="13" spans="1:20" x14ac:dyDescent="0.25">
      <c r="A13" s="215">
        <v>12</v>
      </c>
      <c r="B13" s="216" t="s">
        <v>639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T13">
        <f t="shared" si="0"/>
        <v>0</v>
      </c>
    </row>
    <row r="14" spans="1:20" x14ac:dyDescent="0.25">
      <c r="A14" s="215">
        <v>13</v>
      </c>
      <c r="B14" s="216" t="s">
        <v>87</v>
      </c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T14">
        <f t="shared" si="0"/>
        <v>0</v>
      </c>
    </row>
    <row r="15" spans="1:20" x14ac:dyDescent="0.25">
      <c r="A15" s="215">
        <v>14</v>
      </c>
      <c r="B15" s="216" t="s">
        <v>95</v>
      </c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T15">
        <f t="shared" si="0"/>
        <v>0</v>
      </c>
    </row>
    <row r="16" spans="1:20" x14ac:dyDescent="0.25">
      <c r="A16" s="215">
        <v>15</v>
      </c>
      <c r="B16" s="216" t="s">
        <v>96</v>
      </c>
      <c r="C16" s="216"/>
      <c r="D16" s="216"/>
      <c r="E16" s="216"/>
      <c r="F16" s="216"/>
      <c r="G16" s="216"/>
      <c r="H16" s="216"/>
      <c r="I16" s="216"/>
      <c r="J16" s="216"/>
      <c r="K16" s="216" t="s">
        <v>26</v>
      </c>
      <c r="L16" s="216" t="s">
        <v>26</v>
      </c>
      <c r="M16" s="216"/>
      <c r="N16" s="216"/>
      <c r="O16" s="216"/>
      <c r="P16" s="216"/>
      <c r="Q16" s="216"/>
      <c r="T16">
        <f t="shared" si="0"/>
        <v>22</v>
      </c>
    </row>
    <row r="17" spans="1:20" x14ac:dyDescent="0.25">
      <c r="A17" s="215">
        <v>16</v>
      </c>
      <c r="B17" s="216" t="s">
        <v>97</v>
      </c>
      <c r="C17" s="216"/>
      <c r="D17" s="216"/>
      <c r="E17" s="216"/>
      <c r="F17" s="216"/>
      <c r="G17" s="216"/>
      <c r="H17" s="216"/>
      <c r="I17" s="216"/>
      <c r="J17" s="216"/>
      <c r="K17" s="216" t="s">
        <v>26</v>
      </c>
      <c r="L17" s="216" t="s">
        <v>25</v>
      </c>
      <c r="M17" s="216"/>
      <c r="N17" s="216"/>
      <c r="O17" s="216"/>
      <c r="P17" s="216"/>
      <c r="Q17" s="216"/>
      <c r="T17">
        <f t="shared" si="0"/>
        <v>20</v>
      </c>
    </row>
    <row r="18" spans="1:20" x14ac:dyDescent="0.25">
      <c r="A18" s="215">
        <v>17</v>
      </c>
      <c r="B18" s="216" t="s">
        <v>98</v>
      </c>
      <c r="C18" s="216"/>
      <c r="D18" s="216"/>
      <c r="E18" s="216"/>
      <c r="F18" s="216"/>
      <c r="G18" s="216"/>
      <c r="H18" s="216"/>
      <c r="I18" s="216" t="s">
        <v>26</v>
      </c>
      <c r="J18" s="216" t="s">
        <v>26</v>
      </c>
      <c r="K18" s="216" t="s">
        <v>26</v>
      </c>
      <c r="L18" s="216" t="s">
        <v>26</v>
      </c>
      <c r="M18" s="216" t="s">
        <v>26</v>
      </c>
      <c r="N18" s="216"/>
      <c r="O18" s="216"/>
      <c r="P18" s="216" t="s">
        <v>26</v>
      </c>
      <c r="Q18" s="216" t="s">
        <v>26</v>
      </c>
      <c r="T18">
        <f t="shared" ref="T18:T65" si="1">C18+D18+E18+F18+G18+H18+I18+J18+K18+L18+M18+N18+O18+P18+Q18</f>
        <v>77</v>
      </c>
    </row>
    <row r="19" spans="1:20" x14ac:dyDescent="0.25">
      <c r="A19" s="215">
        <v>18</v>
      </c>
      <c r="B19" s="216" t="s">
        <v>616</v>
      </c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T19">
        <f t="shared" si="1"/>
        <v>0</v>
      </c>
    </row>
    <row r="20" spans="1:20" x14ac:dyDescent="0.25">
      <c r="A20" s="215">
        <v>19</v>
      </c>
      <c r="B20" s="216" t="s">
        <v>617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T20">
        <f t="shared" si="1"/>
        <v>0</v>
      </c>
    </row>
    <row r="21" spans="1:20" x14ac:dyDescent="0.25">
      <c r="A21" s="215">
        <v>20</v>
      </c>
      <c r="B21" s="216" t="s">
        <v>626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T21">
        <f t="shared" si="1"/>
        <v>0</v>
      </c>
    </row>
    <row r="22" spans="1:20" x14ac:dyDescent="0.25">
      <c r="A22" s="215">
        <v>21</v>
      </c>
      <c r="B22" s="216" t="s">
        <v>618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T22">
        <f t="shared" si="1"/>
        <v>0</v>
      </c>
    </row>
    <row r="23" spans="1:20" x14ac:dyDescent="0.25">
      <c r="A23" s="215">
        <v>22</v>
      </c>
      <c r="B23" s="216" t="s">
        <v>619</v>
      </c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T23">
        <f t="shared" si="1"/>
        <v>0</v>
      </c>
    </row>
    <row r="24" spans="1:20" x14ac:dyDescent="0.25">
      <c r="A24" s="215">
        <v>23</v>
      </c>
      <c r="B24" s="216" t="s">
        <v>620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T24">
        <f t="shared" si="1"/>
        <v>0</v>
      </c>
    </row>
    <row r="25" spans="1:20" x14ac:dyDescent="0.25">
      <c r="A25" s="215">
        <v>24</v>
      </c>
      <c r="B25" s="216" t="s">
        <v>650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T25">
        <f t="shared" si="1"/>
        <v>0</v>
      </c>
    </row>
    <row r="26" spans="1:20" x14ac:dyDescent="0.25">
      <c r="A26" s="215">
        <v>25</v>
      </c>
      <c r="B26" s="216" t="s">
        <v>621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T26">
        <f t="shared" si="1"/>
        <v>0</v>
      </c>
    </row>
    <row r="27" spans="1:20" x14ac:dyDescent="0.25">
      <c r="A27" s="215">
        <v>26</v>
      </c>
      <c r="B27" s="216" t="s">
        <v>622</v>
      </c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T27">
        <f t="shared" si="1"/>
        <v>0</v>
      </c>
    </row>
    <row r="28" spans="1:20" x14ac:dyDescent="0.25">
      <c r="A28" s="215">
        <v>27</v>
      </c>
      <c r="B28" s="216" t="s">
        <v>623</v>
      </c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T28">
        <f t="shared" si="1"/>
        <v>0</v>
      </c>
    </row>
    <row r="29" spans="1:20" x14ac:dyDescent="0.25">
      <c r="A29" s="215">
        <v>28</v>
      </c>
      <c r="B29" s="216" t="s">
        <v>624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T29">
        <f t="shared" si="1"/>
        <v>0</v>
      </c>
    </row>
    <row r="30" spans="1:20" x14ac:dyDescent="0.25">
      <c r="A30" s="215">
        <v>29</v>
      </c>
      <c r="B30" s="216" t="s">
        <v>627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T30">
        <f t="shared" si="1"/>
        <v>0</v>
      </c>
    </row>
    <row r="31" spans="1:20" x14ac:dyDescent="0.25">
      <c r="A31" s="215">
        <v>30</v>
      </c>
      <c r="B31" s="216" t="s">
        <v>625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T31">
        <f t="shared" si="1"/>
        <v>0</v>
      </c>
    </row>
    <row r="32" spans="1:20" x14ac:dyDescent="0.25">
      <c r="A32" s="215">
        <v>31</v>
      </c>
      <c r="B32" s="216" t="s">
        <v>34</v>
      </c>
      <c r="C32" s="216"/>
      <c r="D32" s="216"/>
      <c r="E32" s="216"/>
      <c r="F32" s="216"/>
      <c r="G32" s="216"/>
      <c r="H32" s="216"/>
      <c r="I32" s="216" t="s">
        <v>26</v>
      </c>
      <c r="J32" s="216" t="s">
        <v>26</v>
      </c>
      <c r="K32" s="216" t="s">
        <v>26</v>
      </c>
      <c r="L32" s="216" t="s">
        <v>26</v>
      </c>
      <c r="M32" s="216" t="s">
        <v>26</v>
      </c>
      <c r="N32" s="216" t="s">
        <v>84</v>
      </c>
      <c r="O32" s="216"/>
      <c r="P32" s="216" t="s">
        <v>25</v>
      </c>
      <c r="Q32" s="216" t="s">
        <v>24</v>
      </c>
      <c r="T32">
        <f t="shared" si="1"/>
        <v>78</v>
      </c>
    </row>
    <row r="33" spans="1:20" x14ac:dyDescent="0.25">
      <c r="A33" s="215">
        <v>32</v>
      </c>
      <c r="B33" s="216" t="s">
        <v>45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T33">
        <f t="shared" si="1"/>
        <v>0</v>
      </c>
    </row>
    <row r="34" spans="1:20" x14ac:dyDescent="0.25">
      <c r="A34" s="215">
        <v>33</v>
      </c>
      <c r="B34" s="216" t="s">
        <v>630</v>
      </c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T34">
        <f t="shared" si="1"/>
        <v>0</v>
      </c>
    </row>
    <row r="35" spans="1:20" x14ac:dyDescent="0.25">
      <c r="A35" s="215">
        <v>34</v>
      </c>
      <c r="B35" s="216" t="s">
        <v>628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T35">
        <f t="shared" si="1"/>
        <v>0</v>
      </c>
    </row>
    <row r="36" spans="1:20" x14ac:dyDescent="0.25">
      <c r="A36" s="215">
        <v>35</v>
      </c>
      <c r="B36" s="216" t="s">
        <v>629</v>
      </c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T36">
        <f t="shared" si="1"/>
        <v>0</v>
      </c>
    </row>
    <row r="37" spans="1:20" x14ac:dyDescent="0.25">
      <c r="A37" s="215">
        <v>36</v>
      </c>
      <c r="B37" s="216" t="s">
        <v>631</v>
      </c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T37">
        <f t="shared" si="1"/>
        <v>0</v>
      </c>
    </row>
    <row r="38" spans="1:20" x14ac:dyDescent="0.25">
      <c r="A38" s="215">
        <v>37</v>
      </c>
      <c r="B38" s="216" t="s">
        <v>632</v>
      </c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T38">
        <f t="shared" si="1"/>
        <v>0</v>
      </c>
    </row>
    <row r="39" spans="1:20" x14ac:dyDescent="0.25">
      <c r="A39" s="215">
        <v>38</v>
      </c>
      <c r="B39" s="216" t="s">
        <v>633</v>
      </c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T39">
        <f t="shared" si="1"/>
        <v>0</v>
      </c>
    </row>
    <row r="40" spans="1:20" x14ac:dyDescent="0.25">
      <c r="A40" s="215">
        <v>39</v>
      </c>
      <c r="B40" s="216" t="s">
        <v>634</v>
      </c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T40">
        <f t="shared" si="1"/>
        <v>0</v>
      </c>
    </row>
    <row r="41" spans="1:20" x14ac:dyDescent="0.25">
      <c r="A41" s="215">
        <v>40</v>
      </c>
      <c r="B41" s="216" t="s">
        <v>636</v>
      </c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T41">
        <f t="shared" si="1"/>
        <v>0</v>
      </c>
    </row>
    <row r="42" spans="1:20" x14ac:dyDescent="0.25">
      <c r="A42" s="215">
        <v>41</v>
      </c>
      <c r="B42" s="216" t="s">
        <v>637</v>
      </c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T42">
        <f t="shared" si="1"/>
        <v>0</v>
      </c>
    </row>
    <row r="43" spans="1:20" x14ac:dyDescent="0.25">
      <c r="A43" s="215">
        <v>42</v>
      </c>
      <c r="B43" s="216" t="s">
        <v>640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T43">
        <f t="shared" si="1"/>
        <v>0</v>
      </c>
    </row>
    <row r="44" spans="1:20" x14ac:dyDescent="0.25">
      <c r="A44" s="215">
        <v>43</v>
      </c>
      <c r="B44" s="216" t="s">
        <v>638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T44">
        <f t="shared" si="1"/>
        <v>0</v>
      </c>
    </row>
    <row r="45" spans="1:20" x14ac:dyDescent="0.25">
      <c r="A45" s="215">
        <v>44</v>
      </c>
      <c r="B45" s="216" t="s">
        <v>635</v>
      </c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T45">
        <f t="shared" si="1"/>
        <v>0</v>
      </c>
    </row>
    <row r="46" spans="1:20" x14ac:dyDescent="0.25">
      <c r="A46" s="215">
        <v>45</v>
      </c>
      <c r="B46" s="216" t="s">
        <v>641</v>
      </c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T46">
        <f t="shared" si="1"/>
        <v>0</v>
      </c>
    </row>
    <row r="47" spans="1:20" x14ac:dyDescent="0.25">
      <c r="A47" s="215">
        <v>46</v>
      </c>
      <c r="B47" s="216" t="s">
        <v>649</v>
      </c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T47">
        <f t="shared" si="1"/>
        <v>0</v>
      </c>
    </row>
    <row r="48" spans="1:20" x14ac:dyDescent="0.25">
      <c r="A48" s="215">
        <v>47</v>
      </c>
      <c r="B48" s="216" t="s">
        <v>642</v>
      </c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T48">
        <f t="shared" si="1"/>
        <v>0</v>
      </c>
    </row>
    <row r="49" spans="1:20" x14ac:dyDescent="0.25">
      <c r="A49" s="215">
        <v>48</v>
      </c>
      <c r="B49" s="216" t="s">
        <v>643</v>
      </c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T49">
        <f t="shared" si="1"/>
        <v>0</v>
      </c>
    </row>
    <row r="50" spans="1:20" x14ac:dyDescent="0.25">
      <c r="A50" s="215">
        <v>49</v>
      </c>
      <c r="B50" s="216" t="s">
        <v>644</v>
      </c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T50">
        <f t="shared" si="1"/>
        <v>0</v>
      </c>
    </row>
    <row r="51" spans="1:20" x14ac:dyDescent="0.25">
      <c r="A51" s="215">
        <v>50</v>
      </c>
      <c r="B51" s="216" t="s">
        <v>646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T51">
        <f t="shared" si="1"/>
        <v>0</v>
      </c>
    </row>
    <row r="52" spans="1:20" x14ac:dyDescent="0.25">
      <c r="A52" s="215">
        <v>51</v>
      </c>
      <c r="B52" s="216" t="s">
        <v>647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T52">
        <f t="shared" si="1"/>
        <v>0</v>
      </c>
    </row>
    <row r="53" spans="1:20" x14ac:dyDescent="0.25">
      <c r="A53" s="215">
        <v>52</v>
      </c>
      <c r="B53" s="216" t="s">
        <v>652</v>
      </c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T53">
        <f t="shared" si="1"/>
        <v>0</v>
      </c>
    </row>
    <row r="54" spans="1:20" x14ac:dyDescent="0.25">
      <c r="A54" s="215">
        <v>53</v>
      </c>
      <c r="B54" s="216" t="s">
        <v>653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T54">
        <f t="shared" si="1"/>
        <v>0</v>
      </c>
    </row>
    <row r="55" spans="1:20" x14ac:dyDescent="0.25">
      <c r="A55" s="215">
        <v>54</v>
      </c>
      <c r="B55" s="216" t="s">
        <v>654</v>
      </c>
      <c r="C55" s="216"/>
      <c r="D55" s="216"/>
      <c r="E55" s="216"/>
      <c r="F55" s="216"/>
      <c r="G55" s="216"/>
      <c r="H55" s="216"/>
      <c r="I55" s="216" t="s">
        <v>26</v>
      </c>
      <c r="J55" s="216" t="s">
        <v>26</v>
      </c>
      <c r="K55" s="216" t="s">
        <v>26</v>
      </c>
      <c r="L55" s="216" t="s">
        <v>26</v>
      </c>
      <c r="M55" s="216" t="s">
        <v>26</v>
      </c>
      <c r="N55" s="216" t="s">
        <v>84</v>
      </c>
      <c r="O55" s="216"/>
      <c r="P55" s="216" t="s">
        <v>26</v>
      </c>
      <c r="Q55" s="216" t="s">
        <v>26</v>
      </c>
      <c r="T55">
        <f t="shared" si="1"/>
        <v>83</v>
      </c>
    </row>
    <row r="56" spans="1:20" x14ac:dyDescent="0.25">
      <c r="A56" s="215">
        <v>55</v>
      </c>
      <c r="B56" s="216" t="s">
        <v>655</v>
      </c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T56">
        <f t="shared" si="1"/>
        <v>0</v>
      </c>
    </row>
    <row r="57" spans="1:20" x14ac:dyDescent="0.25">
      <c r="A57" s="215">
        <v>56</v>
      </c>
      <c r="B57" s="216" t="s">
        <v>656</v>
      </c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T57">
        <f t="shared" si="1"/>
        <v>0</v>
      </c>
    </row>
    <row r="58" spans="1:20" x14ac:dyDescent="0.25">
      <c r="A58" s="215">
        <v>57</v>
      </c>
      <c r="B58" s="216" t="s">
        <v>657</v>
      </c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T58">
        <f t="shared" si="1"/>
        <v>0</v>
      </c>
    </row>
    <row r="59" spans="1:20" x14ac:dyDescent="0.25">
      <c r="A59" s="215">
        <v>58</v>
      </c>
      <c r="B59" s="216" t="s">
        <v>658</v>
      </c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T59">
        <f t="shared" si="1"/>
        <v>0</v>
      </c>
    </row>
    <row r="60" spans="1:20" x14ac:dyDescent="0.25">
      <c r="A60" s="215">
        <v>59</v>
      </c>
      <c r="B60" s="216" t="s">
        <v>659</v>
      </c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T60">
        <f t="shared" si="1"/>
        <v>0</v>
      </c>
    </row>
    <row r="61" spans="1:20" x14ac:dyDescent="0.25">
      <c r="A61" s="215">
        <v>60</v>
      </c>
      <c r="B61" s="216" t="s">
        <v>660</v>
      </c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T61">
        <f t="shared" si="1"/>
        <v>0</v>
      </c>
    </row>
    <row r="62" spans="1:20" x14ac:dyDescent="0.25">
      <c r="A62" s="215">
        <v>61</v>
      </c>
      <c r="B62" s="216" t="s">
        <v>661</v>
      </c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T62">
        <f t="shared" si="1"/>
        <v>0</v>
      </c>
    </row>
    <row r="63" spans="1:20" x14ac:dyDescent="0.25">
      <c r="A63" s="215">
        <v>62</v>
      </c>
      <c r="B63" s="216" t="s">
        <v>662</v>
      </c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T63">
        <f t="shared" si="1"/>
        <v>0</v>
      </c>
    </row>
    <row r="64" spans="1:20" x14ac:dyDescent="0.25">
      <c r="A64" s="215">
        <v>63</v>
      </c>
      <c r="B64" s="216" t="s">
        <v>668</v>
      </c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T64">
        <f t="shared" si="1"/>
        <v>0</v>
      </c>
    </row>
    <row r="65" spans="1:20" x14ac:dyDescent="0.25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T65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T130"/>
  <sheetViews>
    <sheetView zoomScale="85" zoomScaleNormal="85" workbookViewId="0">
      <selection activeCell="B10" sqref="B10:T10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82" t="s">
        <v>1</v>
      </c>
      <c r="B1" s="182" t="s">
        <v>6</v>
      </c>
      <c r="C1" s="182" t="s">
        <v>46</v>
      </c>
      <c r="D1" s="182" t="s">
        <v>47</v>
      </c>
      <c r="E1" s="182" t="s">
        <v>48</v>
      </c>
      <c r="F1" s="182" t="s">
        <v>49</v>
      </c>
      <c r="G1" s="182" t="s">
        <v>50</v>
      </c>
      <c r="H1" s="182" t="s">
        <v>51</v>
      </c>
      <c r="I1" s="182" t="s">
        <v>52</v>
      </c>
      <c r="J1" s="182" t="s">
        <v>53</v>
      </c>
      <c r="K1" s="182" t="s">
        <v>54</v>
      </c>
      <c r="L1" s="182" t="s">
        <v>55</v>
      </c>
      <c r="M1" s="182" t="s">
        <v>56</v>
      </c>
      <c r="N1" s="182" t="s">
        <v>57</v>
      </c>
      <c r="O1" s="182" t="s">
        <v>58</v>
      </c>
      <c r="P1" s="182" t="s">
        <v>59</v>
      </c>
      <c r="Q1" s="182" t="s">
        <v>667</v>
      </c>
      <c r="R1" s="182" t="s">
        <v>2</v>
      </c>
    </row>
    <row r="2" spans="1:20" x14ac:dyDescent="0.25">
      <c r="A2" s="148">
        <v>1</v>
      </c>
      <c r="B2" s="149" t="s">
        <v>10</v>
      </c>
      <c r="C2" s="149" t="s">
        <v>26</v>
      </c>
      <c r="D2" s="149" t="s">
        <v>26</v>
      </c>
      <c r="E2" s="149" t="s">
        <v>26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205">
        <v>83</v>
      </c>
      <c r="T2">
        <f>C2+D2+E2+F2+G2+H2+I2+J2+K2+L2+M2+N2+O2+P2+Q2</f>
        <v>33</v>
      </c>
    </row>
    <row r="3" spans="1:20" x14ac:dyDescent="0.25">
      <c r="A3" s="148">
        <v>2</v>
      </c>
      <c r="B3" s="149" t="s">
        <v>11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8">
        <v>0</v>
      </c>
      <c r="T3">
        <f t="shared" ref="T3:T64" si="0">C3+D3+E3+F3+G3+H3+I3+J3+K3+L3+M3+N3+O3+P3+Q3</f>
        <v>0</v>
      </c>
    </row>
    <row r="4" spans="1:20" x14ac:dyDescent="0.25">
      <c r="A4" s="148">
        <v>3</v>
      </c>
      <c r="B4" s="149" t="s">
        <v>12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8">
        <v>0</v>
      </c>
      <c r="T4">
        <f t="shared" si="0"/>
        <v>0</v>
      </c>
    </row>
    <row r="5" spans="1:20" x14ac:dyDescent="0.25">
      <c r="A5" s="148">
        <v>4</v>
      </c>
      <c r="B5" s="149" t="s">
        <v>651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8">
        <v>0</v>
      </c>
      <c r="T5">
        <f t="shared" si="0"/>
        <v>0</v>
      </c>
    </row>
    <row r="6" spans="1:20" x14ac:dyDescent="0.25">
      <c r="A6" s="148">
        <v>5</v>
      </c>
      <c r="B6" s="149" t="s">
        <v>14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8">
        <v>0</v>
      </c>
      <c r="T6">
        <f t="shared" si="0"/>
        <v>0</v>
      </c>
    </row>
    <row r="7" spans="1:20" x14ac:dyDescent="0.25">
      <c r="A7" s="148">
        <v>6</v>
      </c>
      <c r="B7" s="149" t="s">
        <v>15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205">
        <v>76</v>
      </c>
      <c r="T7">
        <f t="shared" si="0"/>
        <v>0</v>
      </c>
    </row>
    <row r="8" spans="1:20" x14ac:dyDescent="0.25">
      <c r="A8" s="148">
        <v>7</v>
      </c>
      <c r="B8" s="149" t="s">
        <v>16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205">
        <v>11</v>
      </c>
      <c r="T8">
        <f t="shared" si="0"/>
        <v>0</v>
      </c>
    </row>
    <row r="9" spans="1:20" x14ac:dyDescent="0.25">
      <c r="A9" s="148">
        <v>8</v>
      </c>
      <c r="B9" s="149" t="s">
        <v>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8">
        <v>0</v>
      </c>
      <c r="T9">
        <f t="shared" si="0"/>
        <v>0</v>
      </c>
    </row>
    <row r="10" spans="1:20" x14ac:dyDescent="0.25">
      <c r="A10" s="148">
        <v>9</v>
      </c>
      <c r="B10" s="149" t="s">
        <v>5</v>
      </c>
      <c r="C10" s="149"/>
      <c r="D10" s="149" t="s">
        <v>26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205">
        <v>11</v>
      </c>
      <c r="T10">
        <f t="shared" si="0"/>
        <v>11</v>
      </c>
    </row>
    <row r="11" spans="1:20" x14ac:dyDescent="0.25">
      <c r="A11" s="148">
        <v>10</v>
      </c>
      <c r="B11" s="149" t="s">
        <v>38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8">
        <v>0</v>
      </c>
      <c r="T11">
        <f t="shared" si="0"/>
        <v>0</v>
      </c>
    </row>
    <row r="12" spans="1:20" x14ac:dyDescent="0.25">
      <c r="A12" s="148">
        <v>11</v>
      </c>
      <c r="B12" s="149" t="s">
        <v>43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8">
        <v>0</v>
      </c>
      <c r="T12">
        <f t="shared" si="0"/>
        <v>0</v>
      </c>
    </row>
    <row r="13" spans="1:20" x14ac:dyDescent="0.25">
      <c r="A13" s="148">
        <v>12</v>
      </c>
      <c r="B13" s="149" t="s">
        <v>639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8">
        <v>0</v>
      </c>
      <c r="T13">
        <f t="shared" si="0"/>
        <v>0</v>
      </c>
    </row>
    <row r="14" spans="1:20" x14ac:dyDescent="0.25">
      <c r="A14" s="148">
        <v>13</v>
      </c>
      <c r="B14" s="149" t="s">
        <v>87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205">
        <v>33</v>
      </c>
      <c r="T14">
        <f t="shared" si="0"/>
        <v>0</v>
      </c>
    </row>
    <row r="15" spans="1:20" x14ac:dyDescent="0.25">
      <c r="A15" s="148">
        <v>14</v>
      </c>
      <c r="B15" s="149" t="s">
        <v>95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205">
        <v>57</v>
      </c>
      <c r="T15">
        <f t="shared" si="0"/>
        <v>0</v>
      </c>
    </row>
    <row r="16" spans="1:20" x14ac:dyDescent="0.25">
      <c r="A16" s="148">
        <v>15</v>
      </c>
      <c r="B16" s="149" t="s">
        <v>96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8">
        <v>0</v>
      </c>
      <c r="T16">
        <f t="shared" si="0"/>
        <v>0</v>
      </c>
    </row>
    <row r="17" spans="1:20" x14ac:dyDescent="0.25">
      <c r="A17" s="148">
        <v>16</v>
      </c>
      <c r="B17" s="149" t="s">
        <v>97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8">
        <v>0</v>
      </c>
      <c r="T17">
        <f t="shared" si="0"/>
        <v>0</v>
      </c>
    </row>
    <row r="18" spans="1:20" x14ac:dyDescent="0.25">
      <c r="A18" s="148">
        <v>17</v>
      </c>
      <c r="B18" s="149" t="s">
        <v>98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8">
        <v>0</v>
      </c>
      <c r="T18">
        <f t="shared" si="0"/>
        <v>0</v>
      </c>
    </row>
    <row r="19" spans="1:20" x14ac:dyDescent="0.25">
      <c r="A19" s="148">
        <v>18</v>
      </c>
      <c r="B19" s="149" t="s">
        <v>616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8">
        <v>0</v>
      </c>
      <c r="T19">
        <f t="shared" si="0"/>
        <v>0</v>
      </c>
    </row>
    <row r="20" spans="1:20" x14ac:dyDescent="0.25">
      <c r="A20" s="148">
        <v>19</v>
      </c>
      <c r="B20" s="149" t="s">
        <v>617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8">
        <v>0</v>
      </c>
      <c r="T20">
        <f t="shared" si="0"/>
        <v>0</v>
      </c>
    </row>
    <row r="21" spans="1:20" x14ac:dyDescent="0.25">
      <c r="A21" s="148">
        <v>20</v>
      </c>
      <c r="B21" s="149" t="s">
        <v>626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8">
        <v>0</v>
      </c>
      <c r="T21">
        <f t="shared" si="0"/>
        <v>0</v>
      </c>
    </row>
    <row r="22" spans="1:20" x14ac:dyDescent="0.25">
      <c r="A22" s="148">
        <v>21</v>
      </c>
      <c r="B22" s="149" t="s">
        <v>618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8">
        <v>0</v>
      </c>
      <c r="T22">
        <f t="shared" si="0"/>
        <v>0</v>
      </c>
    </row>
    <row r="23" spans="1:20" x14ac:dyDescent="0.25">
      <c r="A23" s="148">
        <v>22</v>
      </c>
      <c r="B23" s="149" t="s">
        <v>619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8">
        <v>0</v>
      </c>
      <c r="T23">
        <f t="shared" si="0"/>
        <v>0</v>
      </c>
    </row>
    <row r="24" spans="1:20" x14ac:dyDescent="0.25">
      <c r="A24" s="148">
        <v>23</v>
      </c>
      <c r="B24" s="149" t="s">
        <v>620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8">
        <v>0</v>
      </c>
      <c r="T24">
        <f t="shared" si="0"/>
        <v>0</v>
      </c>
    </row>
    <row r="25" spans="1:20" x14ac:dyDescent="0.25">
      <c r="A25" s="148">
        <v>24</v>
      </c>
      <c r="B25" s="149" t="s">
        <v>650</v>
      </c>
      <c r="C25" s="149"/>
      <c r="D25" s="149"/>
      <c r="E25" s="149" t="s">
        <v>26</v>
      </c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205">
        <v>39</v>
      </c>
      <c r="T25">
        <f t="shared" si="0"/>
        <v>11</v>
      </c>
    </row>
    <row r="26" spans="1:20" x14ac:dyDescent="0.25">
      <c r="A26" s="148">
        <v>25</v>
      </c>
      <c r="B26" s="149" t="s">
        <v>621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8">
        <v>0</v>
      </c>
      <c r="T26">
        <f t="shared" si="0"/>
        <v>0</v>
      </c>
    </row>
    <row r="27" spans="1:20" x14ac:dyDescent="0.25">
      <c r="A27" s="148">
        <v>26</v>
      </c>
      <c r="B27" s="149" t="s">
        <v>622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8">
        <v>0</v>
      </c>
      <c r="T27">
        <f t="shared" si="0"/>
        <v>0</v>
      </c>
    </row>
    <row r="28" spans="1:20" x14ac:dyDescent="0.25">
      <c r="A28" s="148">
        <v>27</v>
      </c>
      <c r="B28" s="149" t="s">
        <v>623</v>
      </c>
      <c r="C28" s="149" t="s">
        <v>26</v>
      </c>
      <c r="D28" s="149"/>
      <c r="E28" s="149" t="s">
        <v>25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205">
        <v>58</v>
      </c>
      <c r="T28">
        <f t="shared" si="0"/>
        <v>20</v>
      </c>
    </row>
    <row r="29" spans="1:20" x14ac:dyDescent="0.25">
      <c r="A29" s="148">
        <v>28</v>
      </c>
      <c r="B29" s="149" t="s">
        <v>624</v>
      </c>
      <c r="C29" s="149"/>
      <c r="D29" s="149" t="s">
        <v>26</v>
      </c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205">
        <v>33</v>
      </c>
      <c r="T29">
        <f t="shared" si="0"/>
        <v>11</v>
      </c>
    </row>
    <row r="30" spans="1:20" x14ac:dyDescent="0.25">
      <c r="A30" s="148">
        <v>29</v>
      </c>
      <c r="B30" s="149" t="s">
        <v>627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8">
        <v>0</v>
      </c>
      <c r="T30">
        <f t="shared" si="0"/>
        <v>0</v>
      </c>
    </row>
    <row r="31" spans="1:20" x14ac:dyDescent="0.25">
      <c r="A31" s="148">
        <v>30</v>
      </c>
      <c r="B31" s="149" t="s">
        <v>625</v>
      </c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8">
        <v>0</v>
      </c>
      <c r="T31">
        <f t="shared" si="0"/>
        <v>0</v>
      </c>
    </row>
    <row r="32" spans="1:20" x14ac:dyDescent="0.25">
      <c r="A32" s="148">
        <v>31</v>
      </c>
      <c r="B32" s="149" t="s">
        <v>34</v>
      </c>
      <c r="C32" s="149"/>
      <c r="D32" s="149"/>
      <c r="E32" s="149" t="s">
        <v>24</v>
      </c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205">
        <v>8</v>
      </c>
      <c r="T32">
        <f t="shared" si="0"/>
        <v>8</v>
      </c>
    </row>
    <row r="33" spans="1:20" x14ac:dyDescent="0.25">
      <c r="A33" s="148">
        <v>32</v>
      </c>
      <c r="B33" s="149" t="s">
        <v>45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8">
        <v>0</v>
      </c>
      <c r="T33">
        <f t="shared" si="0"/>
        <v>0</v>
      </c>
    </row>
    <row r="34" spans="1:20" x14ac:dyDescent="0.25">
      <c r="A34" s="148">
        <v>33</v>
      </c>
      <c r="B34" s="149" t="s">
        <v>630</v>
      </c>
      <c r="C34" s="149"/>
      <c r="D34" s="149" t="s">
        <v>26</v>
      </c>
      <c r="E34" s="149" t="s">
        <v>26</v>
      </c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205">
        <v>50</v>
      </c>
      <c r="T34">
        <f t="shared" si="0"/>
        <v>22</v>
      </c>
    </row>
    <row r="35" spans="1:20" x14ac:dyDescent="0.25">
      <c r="A35" s="148">
        <v>34</v>
      </c>
      <c r="B35" s="149" t="s">
        <v>628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8">
        <v>0</v>
      </c>
      <c r="T35">
        <f t="shared" si="0"/>
        <v>0</v>
      </c>
    </row>
    <row r="36" spans="1:20" x14ac:dyDescent="0.25">
      <c r="A36" s="148">
        <v>35</v>
      </c>
      <c r="B36" s="149" t="s">
        <v>629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8">
        <v>0</v>
      </c>
      <c r="T36">
        <f t="shared" si="0"/>
        <v>0</v>
      </c>
    </row>
    <row r="37" spans="1:20" x14ac:dyDescent="0.25">
      <c r="A37" s="148">
        <v>36</v>
      </c>
      <c r="B37" s="149" t="s">
        <v>631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8">
        <v>0</v>
      </c>
      <c r="T37">
        <f t="shared" si="0"/>
        <v>0</v>
      </c>
    </row>
    <row r="38" spans="1:20" x14ac:dyDescent="0.25">
      <c r="A38" s="148">
        <v>37</v>
      </c>
      <c r="B38" s="149" t="s">
        <v>632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8">
        <v>0</v>
      </c>
      <c r="T38">
        <f t="shared" si="0"/>
        <v>0</v>
      </c>
    </row>
    <row r="39" spans="1:20" x14ac:dyDescent="0.25">
      <c r="A39" s="148">
        <v>38</v>
      </c>
      <c r="B39" s="149" t="s">
        <v>633</v>
      </c>
      <c r="C39" s="149"/>
      <c r="D39" s="149" t="s">
        <v>26</v>
      </c>
      <c r="E39" s="149" t="s">
        <v>26</v>
      </c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205">
        <v>66</v>
      </c>
      <c r="T39">
        <f t="shared" si="0"/>
        <v>22</v>
      </c>
    </row>
    <row r="40" spans="1:20" x14ac:dyDescent="0.25">
      <c r="A40" s="148">
        <v>39</v>
      </c>
      <c r="B40" s="149" t="s">
        <v>634</v>
      </c>
      <c r="C40" s="149"/>
      <c r="D40" s="149" t="s">
        <v>26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205">
        <v>22</v>
      </c>
      <c r="T40">
        <f t="shared" si="0"/>
        <v>11</v>
      </c>
    </row>
    <row r="41" spans="1:20" x14ac:dyDescent="0.25">
      <c r="A41" s="148">
        <v>40</v>
      </c>
      <c r="B41" s="149" t="s">
        <v>636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8">
        <v>0</v>
      </c>
      <c r="T41">
        <f t="shared" si="0"/>
        <v>0</v>
      </c>
    </row>
    <row r="42" spans="1:20" x14ac:dyDescent="0.25">
      <c r="A42" s="148">
        <v>41</v>
      </c>
      <c r="B42" s="149" t="s">
        <v>637</v>
      </c>
      <c r="C42" s="149" t="s">
        <v>26</v>
      </c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205">
        <v>61</v>
      </c>
      <c r="T42">
        <f t="shared" si="0"/>
        <v>11</v>
      </c>
    </row>
    <row r="43" spans="1:20" x14ac:dyDescent="0.25">
      <c r="A43" s="148">
        <v>42</v>
      </c>
      <c r="B43" s="149" t="s">
        <v>640</v>
      </c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8">
        <v>0</v>
      </c>
      <c r="T43">
        <f t="shared" si="0"/>
        <v>0</v>
      </c>
    </row>
    <row r="44" spans="1:20" x14ac:dyDescent="0.25">
      <c r="A44" s="148">
        <v>43</v>
      </c>
      <c r="B44" s="149" t="s">
        <v>638</v>
      </c>
      <c r="C44" s="149"/>
      <c r="D44" s="149" t="s">
        <v>25</v>
      </c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205">
        <v>31</v>
      </c>
      <c r="T44">
        <f t="shared" si="0"/>
        <v>9</v>
      </c>
    </row>
    <row r="45" spans="1:20" x14ac:dyDescent="0.25">
      <c r="A45" s="148">
        <v>44</v>
      </c>
      <c r="B45" s="149" t="s">
        <v>635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8">
        <v>0</v>
      </c>
      <c r="T45">
        <f t="shared" si="0"/>
        <v>0</v>
      </c>
    </row>
    <row r="46" spans="1:20" x14ac:dyDescent="0.25">
      <c r="A46" s="148">
        <v>45</v>
      </c>
      <c r="B46" s="149" t="s">
        <v>641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8">
        <v>0</v>
      </c>
      <c r="T46">
        <f t="shared" si="0"/>
        <v>0</v>
      </c>
    </row>
    <row r="47" spans="1:20" x14ac:dyDescent="0.25">
      <c r="A47" s="148">
        <v>46</v>
      </c>
      <c r="B47" s="149" t="s">
        <v>649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8">
        <v>0</v>
      </c>
      <c r="T47">
        <f t="shared" si="0"/>
        <v>0</v>
      </c>
    </row>
    <row r="48" spans="1:20" x14ac:dyDescent="0.25">
      <c r="A48" s="148">
        <v>47</v>
      </c>
      <c r="B48" s="149" t="s">
        <v>642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8">
        <v>0</v>
      </c>
      <c r="T48">
        <f t="shared" si="0"/>
        <v>0</v>
      </c>
    </row>
    <row r="49" spans="1:20" x14ac:dyDescent="0.25">
      <c r="A49" s="148">
        <v>48</v>
      </c>
      <c r="B49" s="149" t="s">
        <v>643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8">
        <v>0</v>
      </c>
      <c r="T49">
        <f t="shared" si="0"/>
        <v>0</v>
      </c>
    </row>
    <row r="50" spans="1:20" x14ac:dyDescent="0.25">
      <c r="A50" s="148">
        <v>49</v>
      </c>
      <c r="B50" s="149" t="s">
        <v>644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8">
        <v>0</v>
      </c>
      <c r="T50">
        <f t="shared" si="0"/>
        <v>0</v>
      </c>
    </row>
    <row r="51" spans="1:20" x14ac:dyDescent="0.25">
      <c r="A51" s="148">
        <v>50</v>
      </c>
      <c r="B51" s="149" t="s">
        <v>646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8">
        <v>0</v>
      </c>
      <c r="T51">
        <f t="shared" si="0"/>
        <v>0</v>
      </c>
    </row>
    <row r="52" spans="1:20" x14ac:dyDescent="0.25">
      <c r="A52" s="148">
        <v>51</v>
      </c>
      <c r="B52" s="149" t="s">
        <v>647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205">
        <v>31</v>
      </c>
      <c r="T52">
        <f t="shared" si="0"/>
        <v>0</v>
      </c>
    </row>
    <row r="53" spans="1:20" x14ac:dyDescent="0.25">
      <c r="A53" s="148">
        <v>52</v>
      </c>
      <c r="B53" s="149" t="s">
        <v>652</v>
      </c>
      <c r="C53" s="149" t="s">
        <v>65</v>
      </c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205">
        <v>23</v>
      </c>
      <c r="T53">
        <f t="shared" si="0"/>
        <v>12</v>
      </c>
    </row>
    <row r="54" spans="1:20" x14ac:dyDescent="0.25">
      <c r="A54" s="148">
        <v>53</v>
      </c>
      <c r="B54" s="149" t="s">
        <v>653</v>
      </c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8">
        <v>0</v>
      </c>
      <c r="T54">
        <f t="shared" si="0"/>
        <v>0</v>
      </c>
    </row>
    <row r="55" spans="1:20" x14ac:dyDescent="0.25">
      <c r="A55" s="148">
        <v>54</v>
      </c>
      <c r="B55" s="149" t="s">
        <v>654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8">
        <v>0</v>
      </c>
      <c r="T55">
        <f t="shared" si="0"/>
        <v>0</v>
      </c>
    </row>
    <row r="56" spans="1:20" x14ac:dyDescent="0.25">
      <c r="A56" s="148">
        <v>55</v>
      </c>
      <c r="B56" s="149" t="s">
        <v>655</v>
      </c>
      <c r="C56" s="149"/>
      <c r="D56" s="149" t="s">
        <v>26</v>
      </c>
      <c r="E56" s="149" t="s">
        <v>26</v>
      </c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205">
        <v>41</v>
      </c>
      <c r="T56">
        <f t="shared" si="0"/>
        <v>22</v>
      </c>
    </row>
    <row r="57" spans="1:20" x14ac:dyDescent="0.25">
      <c r="A57" s="148">
        <v>56</v>
      </c>
      <c r="B57" s="149" t="s">
        <v>656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205">
        <v>31</v>
      </c>
      <c r="T57">
        <f t="shared" si="0"/>
        <v>0</v>
      </c>
    </row>
    <row r="58" spans="1:20" x14ac:dyDescent="0.25">
      <c r="A58" s="148">
        <v>57</v>
      </c>
      <c r="B58" s="149" t="s">
        <v>657</v>
      </c>
      <c r="C58" s="149"/>
      <c r="D58" s="149" t="s">
        <v>26</v>
      </c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205">
        <v>33</v>
      </c>
      <c r="T58">
        <f t="shared" si="0"/>
        <v>11</v>
      </c>
    </row>
    <row r="59" spans="1:20" x14ac:dyDescent="0.25">
      <c r="A59" s="148">
        <v>58</v>
      </c>
      <c r="B59" s="149" t="s">
        <v>658</v>
      </c>
      <c r="C59" s="149" t="s">
        <v>26</v>
      </c>
      <c r="D59" s="149" t="s">
        <v>26</v>
      </c>
      <c r="E59" s="149" t="s">
        <v>26</v>
      </c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205">
        <v>50</v>
      </c>
      <c r="T59">
        <f t="shared" si="0"/>
        <v>33</v>
      </c>
    </row>
    <row r="60" spans="1:20" x14ac:dyDescent="0.25">
      <c r="A60" s="148">
        <v>59</v>
      </c>
      <c r="B60" s="149" t="s">
        <v>659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8">
        <v>0</v>
      </c>
      <c r="T60">
        <f t="shared" si="0"/>
        <v>0</v>
      </c>
    </row>
    <row r="61" spans="1:20" x14ac:dyDescent="0.25">
      <c r="A61" s="148">
        <v>60</v>
      </c>
      <c r="B61" s="149" t="s">
        <v>660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8">
        <v>0</v>
      </c>
      <c r="T61">
        <f t="shared" si="0"/>
        <v>0</v>
      </c>
    </row>
    <row r="62" spans="1:20" x14ac:dyDescent="0.25">
      <c r="A62" s="148">
        <v>61</v>
      </c>
      <c r="B62" s="149" t="s">
        <v>661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8">
        <v>0</v>
      </c>
      <c r="T62">
        <f t="shared" si="0"/>
        <v>0</v>
      </c>
    </row>
    <row r="63" spans="1:20" x14ac:dyDescent="0.25">
      <c r="A63" s="148">
        <v>62</v>
      </c>
      <c r="B63" s="149" t="s">
        <v>662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8">
        <v>0</v>
      </c>
      <c r="T63">
        <f t="shared" si="0"/>
        <v>0</v>
      </c>
    </row>
    <row r="64" spans="1:20" x14ac:dyDescent="0.25">
      <c r="A64" s="148">
        <v>63</v>
      </c>
      <c r="B64" s="149" t="s">
        <v>668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8">
        <v>0</v>
      </c>
      <c r="T64">
        <f t="shared" si="0"/>
        <v>0</v>
      </c>
    </row>
    <row r="65" spans="1:18" x14ac:dyDescent="0.2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206">
        <v>848</v>
      </c>
    </row>
    <row r="66" spans="1:18" x14ac:dyDescent="0.25">
      <c r="A66" s="148"/>
      <c r="B66" s="149"/>
    </row>
    <row r="67" spans="1:18" x14ac:dyDescent="0.25">
      <c r="A67" s="148"/>
      <c r="B67" s="149"/>
    </row>
    <row r="68" spans="1:18" x14ac:dyDescent="0.25">
      <c r="A68" s="148"/>
      <c r="B68" s="149"/>
    </row>
    <row r="69" spans="1:18" x14ac:dyDescent="0.25">
      <c r="A69" s="148"/>
      <c r="B69" s="149"/>
    </row>
    <row r="70" spans="1:18" x14ac:dyDescent="0.25">
      <c r="A70" s="148"/>
      <c r="B70" s="149"/>
    </row>
    <row r="71" spans="1:18" x14ac:dyDescent="0.25">
      <c r="A71" s="182"/>
      <c r="B71" s="182"/>
    </row>
    <row r="72" spans="1:18" x14ac:dyDescent="0.25">
      <c r="A72" s="148"/>
      <c r="B72" s="149"/>
    </row>
    <row r="73" spans="1:18" x14ac:dyDescent="0.25">
      <c r="A73" s="148"/>
      <c r="B73" s="149"/>
    </row>
    <row r="74" spans="1:18" x14ac:dyDescent="0.25">
      <c r="A74" s="148"/>
      <c r="B74" s="149"/>
    </row>
    <row r="75" spans="1:18" x14ac:dyDescent="0.25">
      <c r="A75" s="148"/>
      <c r="B75" s="149"/>
    </row>
    <row r="76" spans="1:18" x14ac:dyDescent="0.25">
      <c r="A76" s="148"/>
      <c r="B76" s="149"/>
    </row>
    <row r="77" spans="1:18" x14ac:dyDescent="0.25">
      <c r="A77" s="182"/>
      <c r="B77" s="182"/>
    </row>
    <row r="78" spans="1:18" x14ac:dyDescent="0.25">
      <c r="A78" s="164"/>
      <c r="B78" s="164"/>
    </row>
    <row r="79" spans="1:18" x14ac:dyDescent="0.25">
      <c r="A79" s="147"/>
      <c r="B79" s="147"/>
    </row>
    <row r="80" spans="1:18" x14ac:dyDescent="0.25">
      <c r="A80" s="147"/>
      <c r="B80" s="147"/>
    </row>
    <row r="81" spans="1:2" x14ac:dyDescent="0.25">
      <c r="A81" s="147"/>
      <c r="B81" s="147"/>
    </row>
    <row r="82" spans="1:2" x14ac:dyDescent="0.25">
      <c r="A82" s="147"/>
      <c r="B82" s="147"/>
    </row>
    <row r="83" spans="1:2" x14ac:dyDescent="0.25">
      <c r="A83" s="147"/>
      <c r="B83" s="147"/>
    </row>
    <row r="84" spans="1:2" x14ac:dyDescent="0.25">
      <c r="A84" s="147"/>
      <c r="B84" s="147"/>
    </row>
    <row r="85" spans="1:2" x14ac:dyDescent="0.25">
      <c r="A85" s="147"/>
      <c r="B85" s="147"/>
    </row>
    <row r="86" spans="1:2" x14ac:dyDescent="0.25">
      <c r="A86" s="147"/>
      <c r="B86" s="147"/>
    </row>
    <row r="87" spans="1:2" x14ac:dyDescent="0.25">
      <c r="A87" s="147"/>
      <c r="B87" s="147"/>
    </row>
    <row r="88" spans="1:2" x14ac:dyDescent="0.25">
      <c r="A88" s="147"/>
      <c r="B88" s="147"/>
    </row>
    <row r="89" spans="1:2" x14ac:dyDescent="0.25">
      <c r="A89" s="147"/>
      <c r="B89" s="147"/>
    </row>
    <row r="90" spans="1:2" x14ac:dyDescent="0.25">
      <c r="A90" s="147"/>
      <c r="B90" s="147"/>
    </row>
    <row r="91" spans="1:2" x14ac:dyDescent="0.25">
      <c r="A91" s="147"/>
      <c r="B91" s="147"/>
    </row>
    <row r="92" spans="1:2" x14ac:dyDescent="0.25">
      <c r="A92" s="147"/>
      <c r="B92" s="147"/>
    </row>
    <row r="93" spans="1:2" x14ac:dyDescent="0.25">
      <c r="A93" s="147"/>
      <c r="B93" s="147"/>
    </row>
    <row r="94" spans="1:2" x14ac:dyDescent="0.25">
      <c r="A94" s="147"/>
      <c r="B94" s="147"/>
    </row>
    <row r="95" spans="1:2" x14ac:dyDescent="0.25">
      <c r="A95" s="147"/>
      <c r="B95" s="147"/>
    </row>
    <row r="96" spans="1:2" x14ac:dyDescent="0.25">
      <c r="A96" s="147"/>
      <c r="B96" s="147"/>
    </row>
    <row r="97" spans="1:2" x14ac:dyDescent="0.25">
      <c r="A97" s="147"/>
      <c r="B97" s="147"/>
    </row>
    <row r="98" spans="1:2" x14ac:dyDescent="0.25">
      <c r="A98" s="147"/>
      <c r="B98" s="147"/>
    </row>
    <row r="99" spans="1:2" x14ac:dyDescent="0.25">
      <c r="A99" s="147"/>
      <c r="B99" s="147"/>
    </row>
    <row r="100" spans="1:2" x14ac:dyDescent="0.25">
      <c r="A100" s="147"/>
      <c r="B100" s="147"/>
    </row>
    <row r="101" spans="1:2" x14ac:dyDescent="0.25">
      <c r="A101" s="147"/>
      <c r="B101" s="147"/>
    </row>
    <row r="102" spans="1:2" x14ac:dyDescent="0.25">
      <c r="A102" s="147"/>
      <c r="B102" s="147"/>
    </row>
    <row r="103" spans="1:2" x14ac:dyDescent="0.25">
      <c r="A103" s="147"/>
      <c r="B103" s="147"/>
    </row>
    <row r="104" spans="1:2" x14ac:dyDescent="0.25">
      <c r="A104" s="147"/>
      <c r="B104" s="147"/>
    </row>
    <row r="105" spans="1:2" x14ac:dyDescent="0.25">
      <c r="A105" s="147"/>
      <c r="B105" s="147"/>
    </row>
    <row r="106" spans="1:2" x14ac:dyDescent="0.25">
      <c r="A106" s="147"/>
      <c r="B106" s="147"/>
    </row>
    <row r="107" spans="1:2" x14ac:dyDescent="0.25">
      <c r="A107" s="147"/>
      <c r="B107" s="147"/>
    </row>
    <row r="108" spans="1:2" x14ac:dyDescent="0.25">
      <c r="A108" s="147"/>
      <c r="B108" s="147"/>
    </row>
    <row r="109" spans="1:2" x14ac:dyDescent="0.25">
      <c r="A109" s="147"/>
      <c r="B109" s="147"/>
    </row>
    <row r="110" spans="1:2" x14ac:dyDescent="0.25">
      <c r="A110" s="147"/>
      <c r="B110" s="147"/>
    </row>
    <row r="111" spans="1:2" x14ac:dyDescent="0.25">
      <c r="A111" s="147"/>
      <c r="B111" s="147"/>
    </row>
    <row r="112" spans="1:2" x14ac:dyDescent="0.25">
      <c r="A112" s="147"/>
      <c r="B112" s="147"/>
    </row>
    <row r="113" spans="1:2" x14ac:dyDescent="0.25">
      <c r="A113" s="147"/>
      <c r="B113" s="147"/>
    </row>
    <row r="114" spans="1:2" x14ac:dyDescent="0.25">
      <c r="A114" s="147"/>
      <c r="B114" s="147"/>
    </row>
    <row r="115" spans="1:2" x14ac:dyDescent="0.25">
      <c r="A115" s="147"/>
      <c r="B115" s="147"/>
    </row>
    <row r="116" spans="1:2" x14ac:dyDescent="0.25">
      <c r="A116" s="147"/>
      <c r="B116" s="147"/>
    </row>
    <row r="117" spans="1:2" x14ac:dyDescent="0.25">
      <c r="A117" s="147"/>
      <c r="B117" s="147"/>
    </row>
    <row r="118" spans="1:2" x14ac:dyDescent="0.25">
      <c r="A118" s="147"/>
      <c r="B118" s="147"/>
    </row>
    <row r="119" spans="1:2" x14ac:dyDescent="0.25">
      <c r="A119" s="147"/>
      <c r="B119" s="147"/>
    </row>
    <row r="120" spans="1:2" x14ac:dyDescent="0.25">
      <c r="A120" s="147"/>
      <c r="B120" s="147"/>
    </row>
    <row r="121" spans="1:2" x14ac:dyDescent="0.25">
      <c r="A121" s="147"/>
      <c r="B121" s="147"/>
    </row>
    <row r="122" spans="1:2" x14ac:dyDescent="0.25">
      <c r="A122" s="147"/>
      <c r="B122" s="147"/>
    </row>
    <row r="123" spans="1:2" x14ac:dyDescent="0.25">
      <c r="A123" s="147"/>
      <c r="B123" s="147"/>
    </row>
    <row r="124" spans="1:2" x14ac:dyDescent="0.25">
      <c r="A124" s="147"/>
      <c r="B124" s="147"/>
    </row>
    <row r="125" spans="1:2" x14ac:dyDescent="0.25">
      <c r="A125" s="147"/>
      <c r="B125" s="147"/>
    </row>
    <row r="126" spans="1:2" x14ac:dyDescent="0.25">
      <c r="A126" s="147"/>
      <c r="B126" s="147"/>
    </row>
    <row r="127" spans="1:2" x14ac:dyDescent="0.25">
      <c r="A127" s="147"/>
      <c r="B127" s="147"/>
    </row>
    <row r="128" spans="1:2" x14ac:dyDescent="0.25">
      <c r="A128" s="147"/>
      <c r="B128" s="147"/>
    </row>
    <row r="129" spans="1:2" x14ac:dyDescent="0.25">
      <c r="A129" s="147"/>
      <c r="B129" s="147"/>
    </row>
    <row r="130" spans="1:2" x14ac:dyDescent="0.25">
      <c r="A130" s="147"/>
      <c r="B130" s="1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T65"/>
  <sheetViews>
    <sheetView zoomScale="80" zoomScaleNormal="80" workbookViewId="0">
      <selection activeCell="M22" sqref="M22"/>
    </sheetView>
  </sheetViews>
  <sheetFormatPr defaultRowHeight="15" x14ac:dyDescent="0.25"/>
  <sheetData>
    <row r="1" spans="1:20" x14ac:dyDescent="0.25">
      <c r="A1" s="207" t="s">
        <v>1</v>
      </c>
      <c r="B1" s="207" t="s">
        <v>6</v>
      </c>
      <c r="C1" s="207" t="s">
        <v>46</v>
      </c>
      <c r="D1" s="207" t="s">
        <v>47</v>
      </c>
      <c r="E1" s="207" t="s">
        <v>48</v>
      </c>
      <c r="F1" s="207" t="s">
        <v>49</v>
      </c>
      <c r="G1" s="207" t="s">
        <v>50</v>
      </c>
      <c r="H1" s="207" t="s">
        <v>51</v>
      </c>
      <c r="I1" s="207" t="s">
        <v>52</v>
      </c>
      <c r="J1" s="207" t="s">
        <v>53</v>
      </c>
      <c r="K1" s="207" t="s">
        <v>54</v>
      </c>
      <c r="L1" s="207" t="s">
        <v>55</v>
      </c>
      <c r="M1" s="207" t="s">
        <v>56</v>
      </c>
      <c r="N1" s="207" t="s">
        <v>57</v>
      </c>
      <c r="O1" s="207" t="s">
        <v>58</v>
      </c>
      <c r="P1" s="207" t="s">
        <v>59</v>
      </c>
      <c r="Q1" s="207" t="s">
        <v>667</v>
      </c>
      <c r="R1" s="207" t="s">
        <v>2</v>
      </c>
    </row>
    <row r="2" spans="1:20" x14ac:dyDescent="0.25">
      <c r="A2" s="208">
        <v>1</v>
      </c>
      <c r="B2" s="209" t="s">
        <v>10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8">
        <v>0</v>
      </c>
      <c r="T2">
        <f t="shared" ref="T2:T64" si="0">C2+D2+E2+F2+G2+H2+I2+J2+K2+L2+M2+N2+O2+P2+Q2</f>
        <v>0</v>
      </c>
    </row>
    <row r="3" spans="1:20" x14ac:dyDescent="0.25">
      <c r="A3" s="208">
        <v>2</v>
      </c>
      <c r="B3" s="209" t="s">
        <v>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8">
        <v>0</v>
      </c>
      <c r="T3">
        <f t="shared" si="0"/>
        <v>0</v>
      </c>
    </row>
    <row r="4" spans="1:20" x14ac:dyDescent="0.25">
      <c r="A4" s="208">
        <v>3</v>
      </c>
      <c r="B4" s="209" t="s">
        <v>12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8">
        <v>0</v>
      </c>
      <c r="T4">
        <f t="shared" si="0"/>
        <v>0</v>
      </c>
    </row>
    <row r="5" spans="1:20" x14ac:dyDescent="0.25">
      <c r="A5" s="208">
        <v>4</v>
      </c>
      <c r="B5" s="209" t="s">
        <v>651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8">
        <v>0</v>
      </c>
      <c r="T5">
        <f t="shared" si="0"/>
        <v>0</v>
      </c>
    </row>
    <row r="6" spans="1:20" x14ac:dyDescent="0.25">
      <c r="A6" s="208">
        <v>5</v>
      </c>
      <c r="B6" s="209" t="s">
        <v>14</v>
      </c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8">
        <v>0</v>
      </c>
      <c r="T6">
        <f t="shared" si="0"/>
        <v>0</v>
      </c>
    </row>
    <row r="7" spans="1:20" x14ac:dyDescent="0.25">
      <c r="A7" s="208">
        <v>6</v>
      </c>
      <c r="B7" s="209" t="s">
        <v>15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8">
        <v>0</v>
      </c>
      <c r="T7">
        <f t="shared" si="0"/>
        <v>0</v>
      </c>
    </row>
    <row r="8" spans="1:20" x14ac:dyDescent="0.25">
      <c r="A8" s="208">
        <v>7</v>
      </c>
      <c r="B8" s="209" t="s">
        <v>16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8">
        <v>0</v>
      </c>
      <c r="T8">
        <f t="shared" si="0"/>
        <v>0</v>
      </c>
    </row>
    <row r="9" spans="1:20" x14ac:dyDescent="0.25">
      <c r="A9" s="208">
        <v>8</v>
      </c>
      <c r="B9" s="209" t="s">
        <v>4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8">
        <v>0</v>
      </c>
      <c r="T9">
        <f t="shared" si="0"/>
        <v>0</v>
      </c>
    </row>
    <row r="10" spans="1:20" x14ac:dyDescent="0.25">
      <c r="A10" s="208">
        <v>9</v>
      </c>
      <c r="B10" s="209" t="s">
        <v>5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8">
        <v>0</v>
      </c>
      <c r="T10">
        <f t="shared" si="0"/>
        <v>0</v>
      </c>
    </row>
    <row r="11" spans="1:20" x14ac:dyDescent="0.25">
      <c r="A11" s="208">
        <v>10</v>
      </c>
      <c r="B11" s="209" t="s">
        <v>38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8">
        <v>0</v>
      </c>
      <c r="T11">
        <f t="shared" si="0"/>
        <v>0</v>
      </c>
    </row>
    <row r="12" spans="1:20" x14ac:dyDescent="0.25">
      <c r="A12" s="208">
        <v>11</v>
      </c>
      <c r="B12" s="209" t="s">
        <v>43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8">
        <v>0</v>
      </c>
      <c r="T12">
        <f t="shared" si="0"/>
        <v>0</v>
      </c>
    </row>
    <row r="13" spans="1:20" x14ac:dyDescent="0.25">
      <c r="A13" s="208">
        <v>12</v>
      </c>
      <c r="B13" s="209" t="s">
        <v>639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8">
        <v>0</v>
      </c>
      <c r="T13">
        <f t="shared" si="0"/>
        <v>0</v>
      </c>
    </row>
    <row r="14" spans="1:20" x14ac:dyDescent="0.25">
      <c r="A14" s="208">
        <v>13</v>
      </c>
      <c r="B14" s="209" t="s">
        <v>87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8">
        <v>0</v>
      </c>
      <c r="T14">
        <f t="shared" si="0"/>
        <v>0</v>
      </c>
    </row>
    <row r="15" spans="1:20" x14ac:dyDescent="0.25">
      <c r="A15" s="208">
        <v>14</v>
      </c>
      <c r="B15" s="209" t="s">
        <v>95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8">
        <v>0</v>
      </c>
      <c r="T15">
        <f t="shared" si="0"/>
        <v>0</v>
      </c>
    </row>
    <row r="16" spans="1:20" x14ac:dyDescent="0.25">
      <c r="A16" s="208">
        <v>15</v>
      </c>
      <c r="B16" s="209" t="s">
        <v>96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8">
        <v>0</v>
      </c>
      <c r="T16">
        <f t="shared" si="0"/>
        <v>0</v>
      </c>
    </row>
    <row r="17" spans="1:20" x14ac:dyDescent="0.25">
      <c r="A17" s="208">
        <v>16</v>
      </c>
      <c r="B17" s="209" t="s">
        <v>97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8">
        <v>0</v>
      </c>
      <c r="T17">
        <f t="shared" si="0"/>
        <v>0</v>
      </c>
    </row>
    <row r="18" spans="1:20" x14ac:dyDescent="0.25">
      <c r="A18" s="208">
        <v>17</v>
      </c>
      <c r="B18" s="209" t="s">
        <v>98</v>
      </c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8">
        <v>0</v>
      </c>
      <c r="T18">
        <f t="shared" si="0"/>
        <v>0</v>
      </c>
    </row>
    <row r="19" spans="1:20" x14ac:dyDescent="0.25">
      <c r="A19" s="208">
        <v>18</v>
      </c>
      <c r="B19" s="209" t="s">
        <v>616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8">
        <v>0</v>
      </c>
      <c r="T19">
        <f t="shared" si="0"/>
        <v>0</v>
      </c>
    </row>
    <row r="20" spans="1:20" x14ac:dyDescent="0.25">
      <c r="A20" s="208">
        <v>19</v>
      </c>
      <c r="B20" s="209" t="s">
        <v>617</v>
      </c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8">
        <v>0</v>
      </c>
      <c r="T20">
        <f t="shared" si="0"/>
        <v>0</v>
      </c>
    </row>
    <row r="21" spans="1:20" x14ac:dyDescent="0.25">
      <c r="A21" s="208">
        <v>20</v>
      </c>
      <c r="B21" s="209" t="s">
        <v>626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8">
        <v>0</v>
      </c>
      <c r="T21">
        <f t="shared" si="0"/>
        <v>0</v>
      </c>
    </row>
    <row r="22" spans="1:20" x14ac:dyDescent="0.25">
      <c r="A22" s="208">
        <v>21</v>
      </c>
      <c r="B22" s="209" t="s">
        <v>618</v>
      </c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8">
        <v>0</v>
      </c>
      <c r="T22">
        <f t="shared" si="0"/>
        <v>0</v>
      </c>
    </row>
    <row r="23" spans="1:20" x14ac:dyDescent="0.25">
      <c r="A23" s="208">
        <v>22</v>
      </c>
      <c r="B23" s="209" t="s">
        <v>619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8">
        <v>0</v>
      </c>
      <c r="T23">
        <f t="shared" si="0"/>
        <v>0</v>
      </c>
    </row>
    <row r="24" spans="1:20" x14ac:dyDescent="0.25">
      <c r="A24" s="208">
        <v>23</v>
      </c>
      <c r="B24" s="209" t="s">
        <v>620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8">
        <v>0</v>
      </c>
      <c r="T24">
        <f t="shared" si="0"/>
        <v>0</v>
      </c>
    </row>
    <row r="25" spans="1:20" x14ac:dyDescent="0.25">
      <c r="A25" s="208">
        <v>24</v>
      </c>
      <c r="B25" s="209" t="s">
        <v>650</v>
      </c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8">
        <v>0</v>
      </c>
      <c r="T25">
        <f t="shared" si="0"/>
        <v>0</v>
      </c>
    </row>
    <row r="26" spans="1:20" x14ac:dyDescent="0.25">
      <c r="A26" s="208">
        <v>25</v>
      </c>
      <c r="B26" s="209" t="s">
        <v>621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 t="s">
        <v>54</v>
      </c>
      <c r="N26" s="209"/>
      <c r="O26" s="209"/>
      <c r="P26" s="209" t="s">
        <v>54</v>
      </c>
      <c r="Q26" s="209"/>
      <c r="R26" s="210">
        <v>48</v>
      </c>
      <c r="T26">
        <f t="shared" si="0"/>
        <v>48</v>
      </c>
    </row>
    <row r="27" spans="1:20" x14ac:dyDescent="0.25">
      <c r="A27" s="208">
        <v>26</v>
      </c>
      <c r="B27" s="209" t="s">
        <v>622</v>
      </c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 t="s">
        <v>54</v>
      </c>
      <c r="N27" s="209"/>
      <c r="O27" s="209"/>
      <c r="P27" s="209" t="s">
        <v>54</v>
      </c>
      <c r="Q27" s="209"/>
      <c r="R27" s="210">
        <v>48</v>
      </c>
      <c r="T27">
        <f t="shared" si="0"/>
        <v>48</v>
      </c>
    </row>
    <row r="28" spans="1:20" x14ac:dyDescent="0.25">
      <c r="A28" s="208">
        <v>27</v>
      </c>
      <c r="B28" s="209" t="s">
        <v>623</v>
      </c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8">
        <v>0</v>
      </c>
      <c r="T28">
        <f t="shared" si="0"/>
        <v>0</v>
      </c>
    </row>
    <row r="29" spans="1:20" x14ac:dyDescent="0.25">
      <c r="A29" s="208">
        <v>28</v>
      </c>
      <c r="B29" s="209" t="s">
        <v>624</v>
      </c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8">
        <v>0</v>
      </c>
      <c r="T29">
        <f t="shared" si="0"/>
        <v>0</v>
      </c>
    </row>
    <row r="30" spans="1:20" x14ac:dyDescent="0.25">
      <c r="A30" s="208">
        <v>29</v>
      </c>
      <c r="B30" s="209" t="s">
        <v>627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8">
        <v>0</v>
      </c>
      <c r="T30">
        <f t="shared" si="0"/>
        <v>0</v>
      </c>
    </row>
    <row r="31" spans="1:20" x14ac:dyDescent="0.25">
      <c r="A31" s="208">
        <v>30</v>
      </c>
      <c r="B31" s="209" t="s">
        <v>625</v>
      </c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8">
        <v>0</v>
      </c>
      <c r="T31">
        <f t="shared" si="0"/>
        <v>0</v>
      </c>
    </row>
    <row r="32" spans="1:20" x14ac:dyDescent="0.25">
      <c r="A32" s="208">
        <v>31</v>
      </c>
      <c r="B32" s="209" t="s">
        <v>34</v>
      </c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8">
        <v>0</v>
      </c>
      <c r="T32">
        <f t="shared" si="0"/>
        <v>0</v>
      </c>
    </row>
    <row r="33" spans="1:20" x14ac:dyDescent="0.25">
      <c r="A33" s="208">
        <v>32</v>
      </c>
      <c r="B33" s="209" t="s">
        <v>45</v>
      </c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8">
        <v>0</v>
      </c>
      <c r="T33">
        <f t="shared" si="0"/>
        <v>0</v>
      </c>
    </row>
    <row r="34" spans="1:20" x14ac:dyDescent="0.25">
      <c r="A34" s="208">
        <v>33</v>
      </c>
      <c r="B34" s="209" t="s">
        <v>630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8">
        <v>0</v>
      </c>
      <c r="T34">
        <f t="shared" si="0"/>
        <v>0</v>
      </c>
    </row>
    <row r="35" spans="1:20" x14ac:dyDescent="0.25">
      <c r="A35" s="208">
        <v>34</v>
      </c>
      <c r="B35" s="209" t="s">
        <v>628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8">
        <v>0</v>
      </c>
      <c r="T35">
        <f t="shared" si="0"/>
        <v>0</v>
      </c>
    </row>
    <row r="36" spans="1:20" x14ac:dyDescent="0.25">
      <c r="A36" s="208">
        <v>35</v>
      </c>
      <c r="B36" s="209" t="s">
        <v>629</v>
      </c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8">
        <v>0</v>
      </c>
      <c r="T36">
        <f t="shared" si="0"/>
        <v>0</v>
      </c>
    </row>
    <row r="37" spans="1:20" x14ac:dyDescent="0.25">
      <c r="A37" s="208">
        <v>36</v>
      </c>
      <c r="B37" s="209" t="s">
        <v>631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8">
        <v>0</v>
      </c>
      <c r="T37">
        <f t="shared" si="0"/>
        <v>0</v>
      </c>
    </row>
    <row r="38" spans="1:20" x14ac:dyDescent="0.25">
      <c r="A38" s="208">
        <v>37</v>
      </c>
      <c r="B38" s="209" t="s">
        <v>632</v>
      </c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8">
        <v>0</v>
      </c>
      <c r="T38">
        <f t="shared" si="0"/>
        <v>0</v>
      </c>
    </row>
    <row r="39" spans="1:20" x14ac:dyDescent="0.25">
      <c r="A39" s="208">
        <v>38</v>
      </c>
      <c r="B39" s="209" t="s">
        <v>633</v>
      </c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8">
        <v>0</v>
      </c>
      <c r="T39">
        <f t="shared" si="0"/>
        <v>0</v>
      </c>
    </row>
    <row r="40" spans="1:20" x14ac:dyDescent="0.25">
      <c r="A40" s="208">
        <v>39</v>
      </c>
      <c r="B40" s="209" t="s">
        <v>634</v>
      </c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8">
        <v>0</v>
      </c>
      <c r="T40">
        <f t="shared" si="0"/>
        <v>0</v>
      </c>
    </row>
    <row r="41" spans="1:20" x14ac:dyDescent="0.25">
      <c r="A41" s="208">
        <v>40</v>
      </c>
      <c r="B41" s="209" t="s">
        <v>636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8">
        <v>0</v>
      </c>
      <c r="T41">
        <f t="shared" si="0"/>
        <v>0</v>
      </c>
    </row>
    <row r="42" spans="1:20" x14ac:dyDescent="0.25">
      <c r="A42" s="208">
        <v>41</v>
      </c>
      <c r="B42" s="209" t="s">
        <v>637</v>
      </c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8">
        <v>0</v>
      </c>
      <c r="T42">
        <f t="shared" si="0"/>
        <v>0</v>
      </c>
    </row>
    <row r="43" spans="1:20" x14ac:dyDescent="0.25">
      <c r="A43" s="208">
        <v>42</v>
      </c>
      <c r="B43" s="209" t="s">
        <v>640</v>
      </c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8">
        <v>0</v>
      </c>
      <c r="T43">
        <f t="shared" si="0"/>
        <v>0</v>
      </c>
    </row>
    <row r="44" spans="1:20" x14ac:dyDescent="0.25">
      <c r="A44" s="208">
        <v>43</v>
      </c>
      <c r="B44" s="209" t="s">
        <v>638</v>
      </c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8">
        <v>0</v>
      </c>
      <c r="T44">
        <f t="shared" si="0"/>
        <v>0</v>
      </c>
    </row>
    <row r="45" spans="1:20" x14ac:dyDescent="0.25">
      <c r="A45" s="208">
        <v>44</v>
      </c>
      <c r="B45" s="209" t="s">
        <v>635</v>
      </c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8">
        <v>0</v>
      </c>
      <c r="T45">
        <f t="shared" si="0"/>
        <v>0</v>
      </c>
    </row>
    <row r="46" spans="1:20" x14ac:dyDescent="0.25">
      <c r="A46" s="208">
        <v>45</v>
      </c>
      <c r="B46" s="209" t="s">
        <v>641</v>
      </c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8">
        <v>0</v>
      </c>
      <c r="T46">
        <f t="shared" si="0"/>
        <v>0</v>
      </c>
    </row>
    <row r="47" spans="1:20" x14ac:dyDescent="0.25">
      <c r="A47" s="208">
        <v>46</v>
      </c>
      <c r="B47" s="209" t="s">
        <v>649</v>
      </c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8">
        <v>0</v>
      </c>
      <c r="T47">
        <f t="shared" si="0"/>
        <v>0</v>
      </c>
    </row>
    <row r="48" spans="1:20" x14ac:dyDescent="0.25">
      <c r="A48" s="208">
        <v>47</v>
      </c>
      <c r="B48" s="209" t="s">
        <v>642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8">
        <v>0</v>
      </c>
      <c r="T48">
        <f t="shared" si="0"/>
        <v>0</v>
      </c>
    </row>
    <row r="49" spans="1:20" x14ac:dyDescent="0.25">
      <c r="A49" s="208">
        <v>48</v>
      </c>
      <c r="B49" s="209" t="s">
        <v>643</v>
      </c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8">
        <v>0</v>
      </c>
      <c r="T49">
        <f t="shared" si="0"/>
        <v>0</v>
      </c>
    </row>
    <row r="50" spans="1:20" x14ac:dyDescent="0.25">
      <c r="A50" s="208">
        <v>49</v>
      </c>
      <c r="B50" s="209" t="s">
        <v>644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8">
        <v>0</v>
      </c>
      <c r="T50">
        <f t="shared" si="0"/>
        <v>0</v>
      </c>
    </row>
    <row r="51" spans="1:20" x14ac:dyDescent="0.25">
      <c r="A51" s="208">
        <v>50</v>
      </c>
      <c r="B51" s="209" t="s">
        <v>646</v>
      </c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8">
        <v>0</v>
      </c>
      <c r="T51">
        <f t="shared" si="0"/>
        <v>0</v>
      </c>
    </row>
    <row r="52" spans="1:20" x14ac:dyDescent="0.25">
      <c r="A52" s="208">
        <v>51</v>
      </c>
      <c r="B52" s="209" t="s">
        <v>647</v>
      </c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8">
        <v>0</v>
      </c>
      <c r="T52">
        <f t="shared" si="0"/>
        <v>0</v>
      </c>
    </row>
    <row r="53" spans="1:20" x14ac:dyDescent="0.25">
      <c r="A53" s="208">
        <v>52</v>
      </c>
      <c r="B53" s="209" t="s">
        <v>652</v>
      </c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8">
        <v>0</v>
      </c>
      <c r="T53">
        <f t="shared" si="0"/>
        <v>0</v>
      </c>
    </row>
    <row r="54" spans="1:20" x14ac:dyDescent="0.25">
      <c r="A54" s="208">
        <v>53</v>
      </c>
      <c r="B54" s="209" t="s">
        <v>653</v>
      </c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8">
        <v>0</v>
      </c>
      <c r="T54">
        <f t="shared" si="0"/>
        <v>0</v>
      </c>
    </row>
    <row r="55" spans="1:20" x14ac:dyDescent="0.25">
      <c r="A55" s="208">
        <v>54</v>
      </c>
      <c r="B55" s="209" t="s">
        <v>654</v>
      </c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8">
        <v>0</v>
      </c>
      <c r="T55">
        <f t="shared" si="0"/>
        <v>0</v>
      </c>
    </row>
    <row r="56" spans="1:20" x14ac:dyDescent="0.25">
      <c r="A56" s="208">
        <v>55</v>
      </c>
      <c r="B56" s="209" t="s">
        <v>655</v>
      </c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8">
        <v>0</v>
      </c>
      <c r="T56">
        <f t="shared" si="0"/>
        <v>0</v>
      </c>
    </row>
    <row r="57" spans="1:20" x14ac:dyDescent="0.25">
      <c r="A57" s="208">
        <v>56</v>
      </c>
      <c r="B57" s="209" t="s">
        <v>656</v>
      </c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8">
        <v>0</v>
      </c>
      <c r="T57">
        <f t="shared" si="0"/>
        <v>0</v>
      </c>
    </row>
    <row r="58" spans="1:20" x14ac:dyDescent="0.25">
      <c r="A58" s="208">
        <v>57</v>
      </c>
      <c r="B58" s="209" t="s">
        <v>657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8">
        <v>0</v>
      </c>
      <c r="T58">
        <f t="shared" si="0"/>
        <v>0</v>
      </c>
    </row>
    <row r="59" spans="1:20" x14ac:dyDescent="0.25">
      <c r="A59" s="208">
        <v>58</v>
      </c>
      <c r="B59" s="209" t="s">
        <v>658</v>
      </c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8">
        <v>0</v>
      </c>
      <c r="T59">
        <f t="shared" si="0"/>
        <v>0</v>
      </c>
    </row>
    <row r="60" spans="1:20" x14ac:dyDescent="0.25">
      <c r="A60" s="208">
        <v>59</v>
      </c>
      <c r="B60" s="209" t="s">
        <v>659</v>
      </c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8">
        <v>0</v>
      </c>
      <c r="T60">
        <f t="shared" si="0"/>
        <v>0</v>
      </c>
    </row>
    <row r="61" spans="1:20" x14ac:dyDescent="0.25">
      <c r="A61" s="208">
        <v>60</v>
      </c>
      <c r="B61" s="209" t="s">
        <v>660</v>
      </c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8">
        <v>0</v>
      </c>
      <c r="T61">
        <f t="shared" si="0"/>
        <v>0</v>
      </c>
    </row>
    <row r="62" spans="1:20" x14ac:dyDescent="0.25">
      <c r="A62" s="208">
        <v>61</v>
      </c>
      <c r="B62" s="209" t="s">
        <v>661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8">
        <v>0</v>
      </c>
      <c r="T62">
        <f t="shared" si="0"/>
        <v>0</v>
      </c>
    </row>
    <row r="63" spans="1:20" x14ac:dyDescent="0.25">
      <c r="A63" s="208">
        <v>62</v>
      </c>
      <c r="B63" s="209" t="s">
        <v>662</v>
      </c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8">
        <v>0</v>
      </c>
      <c r="T63">
        <f t="shared" si="0"/>
        <v>0</v>
      </c>
    </row>
    <row r="64" spans="1:20" x14ac:dyDescent="0.25">
      <c r="A64" s="208">
        <v>63</v>
      </c>
      <c r="B64" s="209" t="s">
        <v>668</v>
      </c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8">
        <v>0</v>
      </c>
      <c r="T64">
        <f t="shared" si="0"/>
        <v>0</v>
      </c>
    </row>
    <row r="65" spans="1:18" x14ac:dyDescent="0.25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1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T78"/>
  <sheetViews>
    <sheetView zoomScale="85" zoomScaleNormal="85" workbookViewId="0">
      <selection activeCell="O4" sqref="O4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81" t="s">
        <v>1</v>
      </c>
      <c r="B1" s="181" t="s">
        <v>6</v>
      </c>
      <c r="C1" s="181" t="s">
        <v>46</v>
      </c>
      <c r="D1" s="181" t="s">
        <v>47</v>
      </c>
      <c r="E1" s="181" t="s">
        <v>48</v>
      </c>
      <c r="F1" s="181" t="s">
        <v>49</v>
      </c>
      <c r="G1" s="181" t="s">
        <v>50</v>
      </c>
      <c r="H1" s="181" t="s">
        <v>51</v>
      </c>
      <c r="I1" s="181" t="s">
        <v>52</v>
      </c>
      <c r="J1" s="181" t="s">
        <v>53</v>
      </c>
      <c r="K1" s="181" t="s">
        <v>54</v>
      </c>
      <c r="L1" s="181" t="s">
        <v>55</v>
      </c>
      <c r="M1" s="181" t="s">
        <v>56</v>
      </c>
      <c r="N1" s="181" t="s">
        <v>57</v>
      </c>
      <c r="O1" s="181" t="s">
        <v>58</v>
      </c>
      <c r="P1" s="181" t="s">
        <v>59</v>
      </c>
      <c r="Q1" s="181" t="s">
        <v>667</v>
      </c>
      <c r="R1" s="181" t="s">
        <v>2</v>
      </c>
    </row>
    <row r="2" spans="1:20" x14ac:dyDescent="0.25">
      <c r="A2" s="153">
        <v>1</v>
      </c>
      <c r="B2" s="154" t="s">
        <v>10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3">
        <v>0</v>
      </c>
      <c r="T2">
        <f t="shared" ref="T2:T64" si="0">C2+D2+E2+F2+G2+H2+I2+J2+K2+L2+M2+N2+O2+P2+Q2</f>
        <v>0</v>
      </c>
    </row>
    <row r="3" spans="1:20" x14ac:dyDescent="0.25">
      <c r="A3" s="153">
        <v>2</v>
      </c>
      <c r="B3" s="154" t="s">
        <v>11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3">
        <v>0</v>
      </c>
      <c r="T3">
        <f t="shared" si="0"/>
        <v>0</v>
      </c>
    </row>
    <row r="4" spans="1:20" x14ac:dyDescent="0.25">
      <c r="A4" s="153">
        <v>3</v>
      </c>
      <c r="B4" s="154" t="s">
        <v>12</v>
      </c>
      <c r="C4" s="154" t="s">
        <v>54</v>
      </c>
      <c r="D4" s="154" t="s">
        <v>54</v>
      </c>
      <c r="E4" s="154" t="s">
        <v>54</v>
      </c>
      <c r="F4" s="154" t="s">
        <v>54</v>
      </c>
      <c r="G4" s="154" t="s">
        <v>54</v>
      </c>
      <c r="H4" s="154" t="s">
        <v>54</v>
      </c>
      <c r="I4" s="154" t="s">
        <v>54</v>
      </c>
      <c r="J4" s="154" t="s">
        <v>54</v>
      </c>
      <c r="K4" s="154" t="s">
        <v>54</v>
      </c>
      <c r="L4" s="154" t="s">
        <v>54</v>
      </c>
      <c r="M4" s="154" t="s">
        <v>54</v>
      </c>
      <c r="N4" s="154" t="s">
        <v>54</v>
      </c>
      <c r="O4" s="154" t="s">
        <v>54</v>
      </c>
      <c r="P4" s="154" t="s">
        <v>54</v>
      </c>
      <c r="Q4" s="154" t="s">
        <v>54</v>
      </c>
      <c r="R4" s="203">
        <v>720</v>
      </c>
      <c r="T4">
        <f t="shared" si="0"/>
        <v>360</v>
      </c>
    </row>
    <row r="5" spans="1:20" x14ac:dyDescent="0.25">
      <c r="A5" s="153">
        <v>4</v>
      </c>
      <c r="B5" s="154" t="s">
        <v>651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3">
        <v>0</v>
      </c>
      <c r="T5">
        <f t="shared" si="0"/>
        <v>0</v>
      </c>
    </row>
    <row r="6" spans="1:20" x14ac:dyDescent="0.25">
      <c r="A6" s="153">
        <v>5</v>
      </c>
      <c r="B6" s="154" t="s">
        <v>14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3">
        <v>0</v>
      </c>
      <c r="T6">
        <f t="shared" si="0"/>
        <v>0</v>
      </c>
    </row>
    <row r="7" spans="1:20" x14ac:dyDescent="0.25">
      <c r="A7" s="153">
        <v>6</v>
      </c>
      <c r="B7" s="154" t="s">
        <v>15</v>
      </c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3">
        <v>0</v>
      </c>
      <c r="T7">
        <f t="shared" si="0"/>
        <v>0</v>
      </c>
    </row>
    <row r="8" spans="1:20" x14ac:dyDescent="0.25">
      <c r="A8" s="153">
        <v>7</v>
      </c>
      <c r="B8" s="154" t="s">
        <v>16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3">
        <v>0</v>
      </c>
      <c r="T8">
        <f t="shared" si="0"/>
        <v>0</v>
      </c>
    </row>
    <row r="9" spans="1:20" x14ac:dyDescent="0.25">
      <c r="A9" s="153">
        <v>8</v>
      </c>
      <c r="B9" s="154" t="s">
        <v>4</v>
      </c>
      <c r="C9" s="154" t="s">
        <v>54</v>
      </c>
      <c r="D9" s="154" t="s">
        <v>54</v>
      </c>
      <c r="E9" s="154" t="s">
        <v>54</v>
      </c>
      <c r="F9" s="154" t="s">
        <v>54</v>
      </c>
      <c r="G9" s="154" t="s">
        <v>54</v>
      </c>
      <c r="H9" s="154" t="s">
        <v>54</v>
      </c>
      <c r="I9" s="154" t="s">
        <v>54</v>
      </c>
      <c r="J9" s="154" t="s">
        <v>54</v>
      </c>
      <c r="K9" s="154" t="s">
        <v>54</v>
      </c>
      <c r="L9" s="154" t="s">
        <v>54</v>
      </c>
      <c r="M9" s="154" t="s">
        <v>54</v>
      </c>
      <c r="N9" s="154" t="s">
        <v>54</v>
      </c>
      <c r="O9" s="154" t="s">
        <v>54</v>
      </c>
      <c r="P9" s="154" t="s">
        <v>54</v>
      </c>
      <c r="Q9" s="154" t="s">
        <v>54</v>
      </c>
      <c r="R9" s="203">
        <v>720</v>
      </c>
      <c r="T9">
        <f t="shared" si="0"/>
        <v>360</v>
      </c>
    </row>
    <row r="10" spans="1:20" x14ac:dyDescent="0.25">
      <c r="A10" s="153">
        <v>9</v>
      </c>
      <c r="B10" s="154" t="s">
        <v>5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3">
        <v>0</v>
      </c>
      <c r="T10">
        <f t="shared" si="0"/>
        <v>0</v>
      </c>
    </row>
    <row r="11" spans="1:20" x14ac:dyDescent="0.25">
      <c r="A11" s="153">
        <v>10</v>
      </c>
      <c r="B11" s="154" t="s">
        <v>38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3">
        <v>0</v>
      </c>
      <c r="T11">
        <f t="shared" si="0"/>
        <v>0</v>
      </c>
    </row>
    <row r="12" spans="1:20" x14ac:dyDescent="0.25">
      <c r="A12" s="153">
        <v>11</v>
      </c>
      <c r="B12" s="154" t="s">
        <v>43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3">
        <v>0</v>
      </c>
      <c r="T12">
        <f t="shared" si="0"/>
        <v>0</v>
      </c>
    </row>
    <row r="13" spans="1:20" x14ac:dyDescent="0.25">
      <c r="A13" s="153">
        <v>12</v>
      </c>
      <c r="B13" s="154" t="s">
        <v>639</v>
      </c>
      <c r="C13" s="154" t="s">
        <v>54</v>
      </c>
      <c r="D13" s="154" t="s">
        <v>54</v>
      </c>
      <c r="E13" s="154" t="s">
        <v>54</v>
      </c>
      <c r="F13" s="154" t="s">
        <v>54</v>
      </c>
      <c r="G13" s="154" t="s">
        <v>54</v>
      </c>
      <c r="H13" s="154" t="s">
        <v>54</v>
      </c>
      <c r="I13" s="154" t="s">
        <v>54</v>
      </c>
      <c r="J13" s="154" t="s">
        <v>54</v>
      </c>
      <c r="K13" s="154" t="s">
        <v>54</v>
      </c>
      <c r="L13" s="154" t="s">
        <v>54</v>
      </c>
      <c r="M13" s="154" t="s">
        <v>54</v>
      </c>
      <c r="N13" s="154" t="s">
        <v>54</v>
      </c>
      <c r="O13" s="154" t="s">
        <v>54</v>
      </c>
      <c r="P13" s="154" t="s">
        <v>54</v>
      </c>
      <c r="Q13" s="154" t="s">
        <v>54</v>
      </c>
      <c r="R13" s="203">
        <v>720</v>
      </c>
      <c r="T13">
        <f t="shared" si="0"/>
        <v>360</v>
      </c>
    </row>
    <row r="14" spans="1:20" x14ac:dyDescent="0.25">
      <c r="A14" s="153">
        <v>13</v>
      </c>
      <c r="B14" s="154" t="s">
        <v>87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3">
        <v>0</v>
      </c>
      <c r="T14">
        <f t="shared" si="0"/>
        <v>0</v>
      </c>
    </row>
    <row r="15" spans="1:20" x14ac:dyDescent="0.25">
      <c r="A15" s="153">
        <v>14</v>
      </c>
      <c r="B15" s="154" t="s">
        <v>95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3">
        <v>0</v>
      </c>
      <c r="T15">
        <f t="shared" si="0"/>
        <v>0</v>
      </c>
    </row>
    <row r="16" spans="1:20" x14ac:dyDescent="0.25">
      <c r="A16" s="153">
        <v>15</v>
      </c>
      <c r="B16" s="154" t="s">
        <v>96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3">
        <v>0</v>
      </c>
      <c r="T16">
        <f t="shared" si="0"/>
        <v>0</v>
      </c>
    </row>
    <row r="17" spans="1:20" x14ac:dyDescent="0.25">
      <c r="A17" s="153">
        <v>16</v>
      </c>
      <c r="B17" s="154" t="s">
        <v>97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3">
        <v>0</v>
      </c>
      <c r="T17">
        <f t="shared" si="0"/>
        <v>0</v>
      </c>
    </row>
    <row r="18" spans="1:20" x14ac:dyDescent="0.25">
      <c r="A18" s="153">
        <v>17</v>
      </c>
      <c r="B18" s="154" t="s">
        <v>98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3">
        <v>0</v>
      </c>
      <c r="T18">
        <f t="shared" si="0"/>
        <v>0</v>
      </c>
    </row>
    <row r="19" spans="1:20" x14ac:dyDescent="0.25">
      <c r="A19" s="153">
        <v>18</v>
      </c>
      <c r="B19" s="154" t="s">
        <v>616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3">
        <v>0</v>
      </c>
      <c r="T19">
        <f t="shared" si="0"/>
        <v>0</v>
      </c>
    </row>
    <row r="20" spans="1:20" x14ac:dyDescent="0.25">
      <c r="A20" s="153">
        <v>19</v>
      </c>
      <c r="B20" s="154" t="s">
        <v>617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3">
        <v>0</v>
      </c>
      <c r="T20">
        <f t="shared" si="0"/>
        <v>0</v>
      </c>
    </row>
    <row r="21" spans="1:20" x14ac:dyDescent="0.25">
      <c r="A21" s="153">
        <v>20</v>
      </c>
      <c r="B21" s="154" t="s">
        <v>626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3">
        <v>0</v>
      </c>
      <c r="T21">
        <f t="shared" si="0"/>
        <v>0</v>
      </c>
    </row>
    <row r="22" spans="1:20" x14ac:dyDescent="0.25">
      <c r="A22" s="153">
        <v>21</v>
      </c>
      <c r="B22" s="154" t="s">
        <v>618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3">
        <v>0</v>
      </c>
      <c r="T22">
        <f t="shared" si="0"/>
        <v>0</v>
      </c>
    </row>
    <row r="23" spans="1:20" x14ac:dyDescent="0.25">
      <c r="A23" s="153">
        <v>22</v>
      </c>
      <c r="B23" s="154" t="s">
        <v>619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3">
        <v>0</v>
      </c>
      <c r="T23">
        <f t="shared" si="0"/>
        <v>0</v>
      </c>
    </row>
    <row r="24" spans="1:20" x14ac:dyDescent="0.25">
      <c r="A24" s="153">
        <v>23</v>
      </c>
      <c r="B24" s="154" t="s">
        <v>620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3">
        <v>0</v>
      </c>
      <c r="T24">
        <f t="shared" si="0"/>
        <v>0</v>
      </c>
    </row>
    <row r="25" spans="1:20" x14ac:dyDescent="0.25">
      <c r="A25" s="153">
        <v>24</v>
      </c>
      <c r="B25" s="154" t="s">
        <v>650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3">
        <v>0</v>
      </c>
      <c r="T25">
        <f t="shared" si="0"/>
        <v>0</v>
      </c>
    </row>
    <row r="26" spans="1:20" x14ac:dyDescent="0.25">
      <c r="A26" s="153">
        <v>25</v>
      </c>
      <c r="B26" s="154" t="s">
        <v>621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3">
        <v>0</v>
      </c>
      <c r="T26">
        <f t="shared" si="0"/>
        <v>0</v>
      </c>
    </row>
    <row r="27" spans="1:20" x14ac:dyDescent="0.25">
      <c r="A27" s="153">
        <v>26</v>
      </c>
      <c r="B27" s="154" t="s">
        <v>622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3">
        <v>0</v>
      </c>
      <c r="T27">
        <f t="shared" si="0"/>
        <v>0</v>
      </c>
    </row>
    <row r="28" spans="1:20" x14ac:dyDescent="0.25">
      <c r="A28" s="153">
        <v>27</v>
      </c>
      <c r="B28" s="154" t="s">
        <v>623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3">
        <v>0</v>
      </c>
      <c r="T28">
        <f t="shared" si="0"/>
        <v>0</v>
      </c>
    </row>
    <row r="29" spans="1:20" x14ac:dyDescent="0.25">
      <c r="A29" s="153">
        <v>28</v>
      </c>
      <c r="B29" s="154" t="s">
        <v>624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3">
        <v>0</v>
      </c>
      <c r="T29">
        <f t="shared" si="0"/>
        <v>0</v>
      </c>
    </row>
    <row r="30" spans="1:20" x14ac:dyDescent="0.25">
      <c r="A30" s="153">
        <v>29</v>
      </c>
      <c r="B30" s="154" t="s">
        <v>627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3">
        <v>0</v>
      </c>
      <c r="T30">
        <f t="shared" si="0"/>
        <v>0</v>
      </c>
    </row>
    <row r="31" spans="1:20" x14ac:dyDescent="0.25">
      <c r="A31" s="153">
        <v>30</v>
      </c>
      <c r="B31" s="154" t="s">
        <v>625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3">
        <v>0</v>
      </c>
      <c r="T31">
        <f t="shared" si="0"/>
        <v>0</v>
      </c>
    </row>
    <row r="32" spans="1:20" x14ac:dyDescent="0.25">
      <c r="A32" s="153">
        <v>31</v>
      </c>
      <c r="B32" s="154" t="s">
        <v>34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3">
        <v>0</v>
      </c>
      <c r="T32">
        <f t="shared" si="0"/>
        <v>0</v>
      </c>
    </row>
    <row r="33" spans="1:20" x14ac:dyDescent="0.25">
      <c r="A33" s="153">
        <v>32</v>
      </c>
      <c r="B33" s="154" t="s">
        <v>45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3">
        <v>0</v>
      </c>
      <c r="T33">
        <f t="shared" si="0"/>
        <v>0</v>
      </c>
    </row>
    <row r="34" spans="1:20" x14ac:dyDescent="0.25">
      <c r="A34" s="153">
        <v>33</v>
      </c>
      <c r="B34" s="154" t="s">
        <v>630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3">
        <v>0</v>
      </c>
      <c r="T34">
        <f t="shared" si="0"/>
        <v>0</v>
      </c>
    </row>
    <row r="35" spans="1:20" x14ac:dyDescent="0.25">
      <c r="A35" s="153">
        <v>34</v>
      </c>
      <c r="B35" s="154" t="s">
        <v>628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3">
        <v>0</v>
      </c>
      <c r="T35">
        <f t="shared" si="0"/>
        <v>0</v>
      </c>
    </row>
    <row r="36" spans="1:20" x14ac:dyDescent="0.25">
      <c r="A36" s="153">
        <v>35</v>
      </c>
      <c r="B36" s="154" t="s">
        <v>629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3">
        <v>0</v>
      </c>
      <c r="T36">
        <f t="shared" si="0"/>
        <v>0</v>
      </c>
    </row>
    <row r="37" spans="1:20" x14ac:dyDescent="0.25">
      <c r="A37" s="153">
        <v>36</v>
      </c>
      <c r="B37" s="154" t="s">
        <v>631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3">
        <v>0</v>
      </c>
      <c r="T37">
        <f t="shared" si="0"/>
        <v>0</v>
      </c>
    </row>
    <row r="38" spans="1:20" x14ac:dyDescent="0.25">
      <c r="A38" s="153">
        <v>37</v>
      </c>
      <c r="B38" s="154" t="s">
        <v>632</v>
      </c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3">
        <v>0</v>
      </c>
      <c r="T38">
        <f t="shared" si="0"/>
        <v>0</v>
      </c>
    </row>
    <row r="39" spans="1:20" x14ac:dyDescent="0.25">
      <c r="A39" s="153">
        <v>38</v>
      </c>
      <c r="B39" s="154" t="s">
        <v>633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3">
        <v>0</v>
      </c>
      <c r="T39">
        <f t="shared" si="0"/>
        <v>0</v>
      </c>
    </row>
    <row r="40" spans="1:20" x14ac:dyDescent="0.25">
      <c r="A40" s="153">
        <v>39</v>
      </c>
      <c r="B40" s="154" t="s">
        <v>634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3">
        <v>0</v>
      </c>
      <c r="T40">
        <f t="shared" si="0"/>
        <v>0</v>
      </c>
    </row>
    <row r="41" spans="1:20" x14ac:dyDescent="0.25">
      <c r="A41" s="153">
        <v>40</v>
      </c>
      <c r="B41" s="154" t="s">
        <v>636</v>
      </c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3">
        <v>0</v>
      </c>
      <c r="T41">
        <f t="shared" si="0"/>
        <v>0</v>
      </c>
    </row>
    <row r="42" spans="1:20" x14ac:dyDescent="0.25">
      <c r="A42" s="153">
        <v>41</v>
      </c>
      <c r="B42" s="154" t="s">
        <v>637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3">
        <v>0</v>
      </c>
      <c r="T42">
        <f t="shared" si="0"/>
        <v>0</v>
      </c>
    </row>
    <row r="43" spans="1:20" x14ac:dyDescent="0.25">
      <c r="A43" s="153">
        <v>42</v>
      </c>
      <c r="B43" s="154" t="s">
        <v>640</v>
      </c>
      <c r="C43" s="154" t="s">
        <v>54</v>
      </c>
      <c r="D43" s="154" t="s">
        <v>54</v>
      </c>
      <c r="E43" s="154" t="s">
        <v>54</v>
      </c>
      <c r="F43" s="154" t="s">
        <v>54</v>
      </c>
      <c r="G43" s="154" t="s">
        <v>54</v>
      </c>
      <c r="H43" s="154" t="s">
        <v>54</v>
      </c>
      <c r="I43" s="154" t="s">
        <v>54</v>
      </c>
      <c r="J43" s="154" t="s">
        <v>54</v>
      </c>
      <c r="K43" s="154" t="s">
        <v>54</v>
      </c>
      <c r="L43" s="154" t="s">
        <v>54</v>
      </c>
      <c r="M43" s="154" t="s">
        <v>54</v>
      </c>
      <c r="N43" s="154" t="s">
        <v>54</v>
      </c>
      <c r="O43" s="154" t="s">
        <v>54</v>
      </c>
      <c r="P43" s="154" t="s">
        <v>54</v>
      </c>
      <c r="Q43" s="154" t="s">
        <v>54</v>
      </c>
      <c r="R43" s="203">
        <v>576</v>
      </c>
      <c r="T43">
        <f t="shared" si="0"/>
        <v>360</v>
      </c>
    </row>
    <row r="44" spans="1:20" x14ac:dyDescent="0.25">
      <c r="A44" s="153">
        <v>43</v>
      </c>
      <c r="B44" s="154" t="s">
        <v>638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3">
        <v>0</v>
      </c>
      <c r="T44">
        <f t="shared" si="0"/>
        <v>0</v>
      </c>
    </row>
    <row r="45" spans="1:20" x14ac:dyDescent="0.25">
      <c r="A45" s="153">
        <v>44</v>
      </c>
      <c r="B45" s="154" t="s">
        <v>635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3">
        <v>0</v>
      </c>
      <c r="T45">
        <f t="shared" si="0"/>
        <v>0</v>
      </c>
    </row>
    <row r="46" spans="1:20" x14ac:dyDescent="0.25">
      <c r="A46" s="153">
        <v>45</v>
      </c>
      <c r="B46" s="154" t="s">
        <v>641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3">
        <v>0</v>
      </c>
      <c r="T46">
        <f t="shared" si="0"/>
        <v>0</v>
      </c>
    </row>
    <row r="47" spans="1:20" x14ac:dyDescent="0.25">
      <c r="A47" s="153">
        <v>46</v>
      </c>
      <c r="B47" s="154" t="s">
        <v>649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3">
        <v>0</v>
      </c>
      <c r="T47">
        <f t="shared" si="0"/>
        <v>0</v>
      </c>
    </row>
    <row r="48" spans="1:20" x14ac:dyDescent="0.25">
      <c r="A48" s="153">
        <v>47</v>
      </c>
      <c r="B48" s="154" t="s">
        <v>642</v>
      </c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3">
        <v>0</v>
      </c>
      <c r="T48">
        <f t="shared" si="0"/>
        <v>0</v>
      </c>
    </row>
    <row r="49" spans="1:20" x14ac:dyDescent="0.25">
      <c r="A49" s="153">
        <v>48</v>
      </c>
      <c r="B49" s="154" t="s">
        <v>643</v>
      </c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3">
        <v>0</v>
      </c>
      <c r="T49">
        <f t="shared" si="0"/>
        <v>0</v>
      </c>
    </row>
    <row r="50" spans="1:20" x14ac:dyDescent="0.25">
      <c r="A50" s="153">
        <v>49</v>
      </c>
      <c r="B50" s="154" t="s">
        <v>644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3">
        <v>0</v>
      </c>
      <c r="T50">
        <f t="shared" si="0"/>
        <v>0</v>
      </c>
    </row>
    <row r="51" spans="1:20" x14ac:dyDescent="0.25">
      <c r="A51" s="153">
        <v>50</v>
      </c>
      <c r="B51" s="154" t="s">
        <v>646</v>
      </c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3">
        <v>0</v>
      </c>
      <c r="T51">
        <f t="shared" si="0"/>
        <v>0</v>
      </c>
    </row>
    <row r="52" spans="1:20" x14ac:dyDescent="0.25">
      <c r="A52" s="153">
        <v>51</v>
      </c>
      <c r="B52" s="154" t="s">
        <v>647</v>
      </c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3">
        <v>0</v>
      </c>
      <c r="T52">
        <f t="shared" si="0"/>
        <v>0</v>
      </c>
    </row>
    <row r="53" spans="1:20" x14ac:dyDescent="0.25">
      <c r="A53" s="153">
        <v>52</v>
      </c>
      <c r="B53" s="154" t="s">
        <v>652</v>
      </c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3">
        <v>0</v>
      </c>
      <c r="T53">
        <f t="shared" si="0"/>
        <v>0</v>
      </c>
    </row>
    <row r="54" spans="1:20" x14ac:dyDescent="0.25">
      <c r="A54" s="153">
        <v>53</v>
      </c>
      <c r="B54" s="154" t="s">
        <v>653</v>
      </c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3">
        <v>0</v>
      </c>
      <c r="T54">
        <f t="shared" si="0"/>
        <v>0</v>
      </c>
    </row>
    <row r="55" spans="1:20" x14ac:dyDescent="0.25">
      <c r="A55" s="153">
        <v>54</v>
      </c>
      <c r="B55" s="154" t="s">
        <v>654</v>
      </c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3">
        <v>0</v>
      </c>
      <c r="T55">
        <f t="shared" si="0"/>
        <v>0</v>
      </c>
    </row>
    <row r="56" spans="1:20" x14ac:dyDescent="0.25">
      <c r="A56" s="153">
        <v>55</v>
      </c>
      <c r="B56" s="154" t="s">
        <v>655</v>
      </c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3">
        <v>0</v>
      </c>
      <c r="T56">
        <f t="shared" si="0"/>
        <v>0</v>
      </c>
    </row>
    <row r="57" spans="1:20" x14ac:dyDescent="0.25">
      <c r="A57" s="153">
        <v>56</v>
      </c>
      <c r="B57" s="154" t="s">
        <v>656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3">
        <v>0</v>
      </c>
      <c r="T57">
        <f t="shared" si="0"/>
        <v>0</v>
      </c>
    </row>
    <row r="58" spans="1:20" x14ac:dyDescent="0.25">
      <c r="A58" s="153">
        <v>57</v>
      </c>
      <c r="B58" s="154" t="s">
        <v>657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3">
        <v>0</v>
      </c>
      <c r="T58">
        <f t="shared" si="0"/>
        <v>0</v>
      </c>
    </row>
    <row r="59" spans="1:20" x14ac:dyDescent="0.25">
      <c r="A59" s="153">
        <v>58</v>
      </c>
      <c r="B59" s="154" t="s">
        <v>658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3">
        <v>0</v>
      </c>
      <c r="T59">
        <f t="shared" si="0"/>
        <v>0</v>
      </c>
    </row>
    <row r="60" spans="1:20" x14ac:dyDescent="0.25">
      <c r="A60" s="153">
        <v>59</v>
      </c>
      <c r="B60" s="154" t="s">
        <v>659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3">
        <v>0</v>
      </c>
      <c r="T60">
        <f t="shared" si="0"/>
        <v>0</v>
      </c>
    </row>
    <row r="61" spans="1:20" x14ac:dyDescent="0.25">
      <c r="A61" s="153">
        <v>60</v>
      </c>
      <c r="B61" s="154" t="s">
        <v>660</v>
      </c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3">
        <v>0</v>
      </c>
      <c r="T61">
        <f t="shared" si="0"/>
        <v>0</v>
      </c>
    </row>
    <row r="62" spans="1:20" x14ac:dyDescent="0.25">
      <c r="A62" s="153">
        <v>61</v>
      </c>
      <c r="B62" s="154" t="s">
        <v>661</v>
      </c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3">
        <v>0</v>
      </c>
      <c r="T62">
        <f t="shared" si="0"/>
        <v>0</v>
      </c>
    </row>
    <row r="63" spans="1:20" x14ac:dyDescent="0.25">
      <c r="A63" s="153">
        <v>62</v>
      </c>
      <c r="B63" s="154" t="s">
        <v>662</v>
      </c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3">
        <v>0</v>
      </c>
      <c r="T63">
        <f t="shared" si="0"/>
        <v>0</v>
      </c>
    </row>
    <row r="64" spans="1:20" x14ac:dyDescent="0.25">
      <c r="A64" s="153">
        <v>63</v>
      </c>
      <c r="B64" s="154" t="s">
        <v>668</v>
      </c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3">
        <v>0</v>
      </c>
      <c r="T64">
        <f t="shared" si="0"/>
        <v>0</v>
      </c>
    </row>
    <row r="65" spans="1:18" x14ac:dyDescent="0.2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204">
        <v>2736</v>
      </c>
    </row>
    <row r="66" spans="1:18" x14ac:dyDescent="0.25">
      <c r="A66" s="153"/>
      <c r="B66" s="154"/>
    </row>
    <row r="67" spans="1:18" x14ac:dyDescent="0.25">
      <c r="A67" s="153"/>
      <c r="B67" s="154"/>
    </row>
    <row r="68" spans="1:18" x14ac:dyDescent="0.25">
      <c r="A68" s="153"/>
      <c r="B68" s="154"/>
    </row>
    <row r="69" spans="1:18" x14ac:dyDescent="0.25">
      <c r="A69" s="153"/>
      <c r="B69" s="154"/>
    </row>
    <row r="70" spans="1:18" x14ac:dyDescent="0.25">
      <c r="A70" s="153"/>
      <c r="B70" s="154"/>
    </row>
    <row r="71" spans="1:18" x14ac:dyDescent="0.25">
      <c r="A71" s="181"/>
      <c r="B71" s="181"/>
    </row>
    <row r="72" spans="1:18" x14ac:dyDescent="0.25">
      <c r="A72" s="153"/>
      <c r="B72" s="154"/>
    </row>
    <row r="73" spans="1:18" x14ac:dyDescent="0.25">
      <c r="A73" s="153"/>
      <c r="B73" s="154"/>
    </row>
    <row r="74" spans="1:18" x14ac:dyDescent="0.25">
      <c r="A74" s="153"/>
      <c r="B74" s="154"/>
    </row>
    <row r="75" spans="1:18" x14ac:dyDescent="0.25">
      <c r="A75" s="153"/>
      <c r="B75" s="154"/>
    </row>
    <row r="76" spans="1:18" x14ac:dyDescent="0.25">
      <c r="A76" s="153"/>
      <c r="B76" s="154"/>
    </row>
    <row r="77" spans="1:18" x14ac:dyDescent="0.25">
      <c r="A77" s="181"/>
      <c r="B77" s="181"/>
    </row>
    <row r="78" spans="1:18" x14ac:dyDescent="0.25">
      <c r="A78" s="165"/>
      <c r="B78" s="16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T78"/>
  <sheetViews>
    <sheetView zoomScale="85" zoomScaleNormal="85" workbookViewId="0">
      <selection activeCell="B2" sqref="B2"/>
    </sheetView>
  </sheetViews>
  <sheetFormatPr defaultRowHeight="15" x14ac:dyDescent="0.25"/>
  <cols>
    <col min="2" max="2" width="34.42578125" bestFit="1" customWidth="1"/>
  </cols>
  <sheetData>
    <row r="1" spans="1:20" x14ac:dyDescent="0.25">
      <c r="A1" s="183" t="s">
        <v>1</v>
      </c>
      <c r="B1" s="183" t="s">
        <v>6</v>
      </c>
      <c r="C1" s="183" t="s">
        <v>46</v>
      </c>
      <c r="D1" s="183" t="s">
        <v>47</v>
      </c>
      <c r="E1" s="183" t="s">
        <v>48</v>
      </c>
      <c r="F1" s="183" t="s">
        <v>49</v>
      </c>
      <c r="G1" s="183" t="s">
        <v>50</v>
      </c>
      <c r="H1" s="183" t="s">
        <v>51</v>
      </c>
      <c r="I1" s="183" t="s">
        <v>52</v>
      </c>
      <c r="J1" s="183" t="s">
        <v>53</v>
      </c>
      <c r="K1" s="183" t="s">
        <v>54</v>
      </c>
      <c r="L1" s="183" t="s">
        <v>55</v>
      </c>
      <c r="M1" s="183" t="s">
        <v>56</v>
      </c>
      <c r="N1" s="183" t="s">
        <v>57</v>
      </c>
      <c r="O1" s="183" t="s">
        <v>58</v>
      </c>
      <c r="P1" s="183" t="s">
        <v>59</v>
      </c>
      <c r="Q1" s="183" t="s">
        <v>667</v>
      </c>
      <c r="R1" s="183" t="s">
        <v>2</v>
      </c>
    </row>
    <row r="2" spans="1:20" x14ac:dyDescent="0.25">
      <c r="A2" s="161">
        <v>1</v>
      </c>
      <c r="B2" s="162" t="s">
        <v>10</v>
      </c>
      <c r="C2" s="162"/>
      <c r="D2" s="162"/>
      <c r="E2" s="162"/>
      <c r="F2" s="162"/>
      <c r="G2" s="162" t="s">
        <v>84</v>
      </c>
      <c r="H2" s="162"/>
      <c r="I2" s="162" t="s">
        <v>26</v>
      </c>
      <c r="J2" s="162" t="s">
        <v>26</v>
      </c>
      <c r="K2" s="162"/>
      <c r="L2" s="162"/>
      <c r="M2" s="162"/>
      <c r="N2" s="162"/>
      <c r="O2" s="162"/>
      <c r="P2" s="162"/>
      <c r="Q2" s="162"/>
      <c r="R2" s="212">
        <v>105</v>
      </c>
      <c r="T2">
        <f t="shared" ref="T2:T64" si="0">C2+D2+E2+F2+G2+H2+I2+J2+K2+L2+M2+N2+O2+P2+Q2</f>
        <v>28</v>
      </c>
    </row>
    <row r="3" spans="1:20" x14ac:dyDescent="0.25">
      <c r="A3" s="161">
        <v>2</v>
      </c>
      <c r="B3" s="162" t="s">
        <v>11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1">
        <v>0</v>
      </c>
      <c r="T3">
        <f t="shared" si="0"/>
        <v>0</v>
      </c>
    </row>
    <row r="4" spans="1:20" x14ac:dyDescent="0.25">
      <c r="A4" s="161">
        <v>3</v>
      </c>
      <c r="B4" s="162" t="s">
        <v>12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1">
        <v>0</v>
      </c>
      <c r="T4">
        <f t="shared" si="0"/>
        <v>0</v>
      </c>
    </row>
    <row r="5" spans="1:20" x14ac:dyDescent="0.25">
      <c r="A5" s="161">
        <v>4</v>
      </c>
      <c r="B5" s="162" t="s">
        <v>651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1">
        <v>0</v>
      </c>
      <c r="T5">
        <f t="shared" si="0"/>
        <v>0</v>
      </c>
    </row>
    <row r="6" spans="1:20" x14ac:dyDescent="0.25">
      <c r="A6" s="161">
        <v>5</v>
      </c>
      <c r="B6" s="162" t="s">
        <v>14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1">
        <v>0</v>
      </c>
      <c r="T6">
        <f t="shared" si="0"/>
        <v>0</v>
      </c>
    </row>
    <row r="7" spans="1:20" x14ac:dyDescent="0.25">
      <c r="A7" s="161">
        <v>6</v>
      </c>
      <c r="B7" s="162" t="s">
        <v>15</v>
      </c>
      <c r="C7" s="162" t="s">
        <v>26</v>
      </c>
      <c r="D7" s="162" t="s">
        <v>26</v>
      </c>
      <c r="E7" s="162"/>
      <c r="F7" s="162"/>
      <c r="G7" s="162"/>
      <c r="H7" s="162"/>
      <c r="I7" s="162"/>
      <c r="J7" s="162" t="s">
        <v>26</v>
      </c>
      <c r="K7" s="162"/>
      <c r="L7" s="162"/>
      <c r="M7" s="162"/>
      <c r="N7" s="162"/>
      <c r="O7" s="162"/>
      <c r="P7" s="162"/>
      <c r="Q7" s="162"/>
      <c r="R7" s="212">
        <v>66</v>
      </c>
      <c r="T7">
        <f t="shared" si="0"/>
        <v>33</v>
      </c>
    </row>
    <row r="8" spans="1:20" x14ac:dyDescent="0.25">
      <c r="A8" s="161">
        <v>7</v>
      </c>
      <c r="B8" s="162" t="s">
        <v>16</v>
      </c>
      <c r="C8" s="162"/>
      <c r="D8" s="162" t="s">
        <v>26</v>
      </c>
      <c r="E8" s="162"/>
      <c r="F8" s="162" t="s">
        <v>26</v>
      </c>
      <c r="G8" s="162"/>
      <c r="H8" s="162"/>
      <c r="I8" s="162" t="s">
        <v>26</v>
      </c>
      <c r="J8" s="162" t="s">
        <v>26</v>
      </c>
      <c r="K8" s="162"/>
      <c r="L8" s="162"/>
      <c r="M8" s="162"/>
      <c r="N8" s="162"/>
      <c r="O8" s="162"/>
      <c r="P8" s="162"/>
      <c r="Q8" s="162"/>
      <c r="R8" s="212">
        <v>66</v>
      </c>
      <c r="T8">
        <f t="shared" si="0"/>
        <v>44</v>
      </c>
    </row>
    <row r="9" spans="1:20" x14ac:dyDescent="0.25">
      <c r="A9" s="161">
        <v>8</v>
      </c>
      <c r="B9" s="162" t="s">
        <v>4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1">
        <v>0</v>
      </c>
      <c r="T9">
        <f t="shared" si="0"/>
        <v>0</v>
      </c>
    </row>
    <row r="10" spans="1:20" x14ac:dyDescent="0.25">
      <c r="A10" s="161">
        <v>9</v>
      </c>
      <c r="B10" s="162" t="s">
        <v>5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1">
        <v>0</v>
      </c>
      <c r="T10">
        <f t="shared" si="0"/>
        <v>0</v>
      </c>
    </row>
    <row r="11" spans="1:20" x14ac:dyDescent="0.25">
      <c r="A11" s="161">
        <v>10</v>
      </c>
      <c r="B11" s="162" t="s">
        <v>38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1">
        <v>0</v>
      </c>
      <c r="T11">
        <f t="shared" si="0"/>
        <v>0</v>
      </c>
    </row>
    <row r="12" spans="1:20" x14ac:dyDescent="0.25">
      <c r="A12" s="161">
        <v>11</v>
      </c>
      <c r="B12" s="162" t="s">
        <v>43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1">
        <v>0</v>
      </c>
      <c r="T12">
        <f t="shared" si="0"/>
        <v>0</v>
      </c>
    </row>
    <row r="13" spans="1:20" x14ac:dyDescent="0.25">
      <c r="A13" s="161">
        <v>12</v>
      </c>
      <c r="B13" s="162" t="s">
        <v>639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1">
        <v>0</v>
      </c>
      <c r="T13">
        <f t="shared" si="0"/>
        <v>0</v>
      </c>
    </row>
    <row r="14" spans="1:20" x14ac:dyDescent="0.25">
      <c r="A14" s="161">
        <v>13</v>
      </c>
      <c r="B14" s="162" t="s">
        <v>87</v>
      </c>
      <c r="C14" s="162"/>
      <c r="D14" s="162"/>
      <c r="E14" s="162"/>
      <c r="F14" s="162"/>
      <c r="G14" s="162"/>
      <c r="H14" s="162"/>
      <c r="I14" s="162" t="s">
        <v>26</v>
      </c>
      <c r="J14" s="162" t="s">
        <v>26</v>
      </c>
      <c r="K14" s="162"/>
      <c r="L14" s="162"/>
      <c r="M14" s="162"/>
      <c r="N14" s="162"/>
      <c r="O14" s="162"/>
      <c r="P14" s="162"/>
      <c r="Q14" s="162"/>
      <c r="R14" s="212">
        <v>59</v>
      </c>
      <c r="T14">
        <f t="shared" si="0"/>
        <v>22</v>
      </c>
    </row>
    <row r="15" spans="1:20" x14ac:dyDescent="0.25">
      <c r="A15" s="161">
        <v>14</v>
      </c>
      <c r="B15" s="162" t="s">
        <v>95</v>
      </c>
      <c r="C15" s="162" t="s">
        <v>26</v>
      </c>
      <c r="D15" s="162" t="s">
        <v>26</v>
      </c>
      <c r="E15" s="162"/>
      <c r="F15" s="162" t="s">
        <v>26</v>
      </c>
      <c r="G15" s="162"/>
      <c r="H15" s="162"/>
      <c r="I15" s="162" t="s">
        <v>26</v>
      </c>
      <c r="J15" s="162" t="s">
        <v>26</v>
      </c>
      <c r="K15" s="162"/>
      <c r="L15" s="162"/>
      <c r="M15" s="162"/>
      <c r="N15" s="162"/>
      <c r="O15" s="162"/>
      <c r="P15" s="162"/>
      <c r="Q15" s="162"/>
      <c r="R15" s="212">
        <v>105</v>
      </c>
      <c r="T15">
        <f t="shared" si="0"/>
        <v>55</v>
      </c>
    </row>
    <row r="16" spans="1:20" x14ac:dyDescent="0.25">
      <c r="A16" s="161">
        <v>15</v>
      </c>
      <c r="B16" s="162" t="s">
        <v>96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1">
        <v>0</v>
      </c>
      <c r="T16">
        <f t="shared" si="0"/>
        <v>0</v>
      </c>
    </row>
    <row r="17" spans="1:20" x14ac:dyDescent="0.25">
      <c r="A17" s="161">
        <v>16</v>
      </c>
      <c r="B17" s="162" t="s">
        <v>97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1">
        <v>0</v>
      </c>
      <c r="T17">
        <f t="shared" si="0"/>
        <v>0</v>
      </c>
    </row>
    <row r="18" spans="1:20" x14ac:dyDescent="0.25">
      <c r="A18" s="161">
        <v>17</v>
      </c>
      <c r="B18" s="162" t="s">
        <v>98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1">
        <v>0</v>
      </c>
      <c r="T18">
        <f t="shared" si="0"/>
        <v>0</v>
      </c>
    </row>
    <row r="19" spans="1:20" x14ac:dyDescent="0.25">
      <c r="A19" s="161">
        <v>18</v>
      </c>
      <c r="B19" s="162" t="s">
        <v>616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1">
        <v>0</v>
      </c>
      <c r="T19">
        <f t="shared" si="0"/>
        <v>0</v>
      </c>
    </row>
    <row r="20" spans="1:20" x14ac:dyDescent="0.25">
      <c r="A20" s="161">
        <v>19</v>
      </c>
      <c r="B20" s="162" t="s">
        <v>617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1">
        <v>0</v>
      </c>
      <c r="T20">
        <f t="shared" si="0"/>
        <v>0</v>
      </c>
    </row>
    <row r="21" spans="1:20" x14ac:dyDescent="0.25">
      <c r="A21" s="161">
        <v>20</v>
      </c>
      <c r="B21" s="162" t="s">
        <v>626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1">
        <v>0</v>
      </c>
      <c r="T21">
        <f t="shared" si="0"/>
        <v>0</v>
      </c>
    </row>
    <row r="22" spans="1:20" x14ac:dyDescent="0.25">
      <c r="A22" s="161">
        <v>21</v>
      </c>
      <c r="B22" s="162" t="s">
        <v>618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1">
        <v>0</v>
      </c>
      <c r="T22">
        <f t="shared" si="0"/>
        <v>0</v>
      </c>
    </row>
    <row r="23" spans="1:20" x14ac:dyDescent="0.25">
      <c r="A23" s="161">
        <v>22</v>
      </c>
      <c r="B23" s="162" t="s">
        <v>619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1">
        <v>0</v>
      </c>
      <c r="T23">
        <f t="shared" si="0"/>
        <v>0</v>
      </c>
    </row>
    <row r="24" spans="1:20" x14ac:dyDescent="0.25">
      <c r="A24" s="161">
        <v>23</v>
      </c>
      <c r="B24" s="162" t="s">
        <v>620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1">
        <v>0</v>
      </c>
      <c r="T24">
        <f t="shared" si="0"/>
        <v>0</v>
      </c>
    </row>
    <row r="25" spans="1:20" x14ac:dyDescent="0.25">
      <c r="A25" s="161">
        <v>24</v>
      </c>
      <c r="B25" s="162" t="s">
        <v>650</v>
      </c>
      <c r="C25" s="162" t="s">
        <v>26</v>
      </c>
      <c r="D25" s="162"/>
      <c r="E25" s="162"/>
      <c r="F25" s="162" t="s">
        <v>26</v>
      </c>
      <c r="G25" s="162" t="s">
        <v>84</v>
      </c>
      <c r="H25" s="162"/>
      <c r="I25" s="162" t="s">
        <v>26</v>
      </c>
      <c r="J25" s="162" t="s">
        <v>26</v>
      </c>
      <c r="K25" s="162"/>
      <c r="L25" s="162"/>
      <c r="M25" s="162"/>
      <c r="N25" s="162"/>
      <c r="O25" s="162"/>
      <c r="P25" s="162"/>
      <c r="Q25" s="162"/>
      <c r="R25" s="212">
        <v>109</v>
      </c>
      <c r="T25">
        <f t="shared" si="0"/>
        <v>50</v>
      </c>
    </row>
    <row r="26" spans="1:20" x14ac:dyDescent="0.25">
      <c r="A26" s="161">
        <v>25</v>
      </c>
      <c r="B26" s="162" t="s">
        <v>621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1">
        <v>0</v>
      </c>
      <c r="T26">
        <f t="shared" si="0"/>
        <v>0</v>
      </c>
    </row>
    <row r="27" spans="1:20" x14ac:dyDescent="0.25">
      <c r="A27" s="161">
        <v>26</v>
      </c>
      <c r="B27" s="162" t="s">
        <v>622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1">
        <v>0</v>
      </c>
      <c r="T27">
        <f t="shared" si="0"/>
        <v>0</v>
      </c>
    </row>
    <row r="28" spans="1:20" x14ac:dyDescent="0.25">
      <c r="A28" s="161">
        <v>27</v>
      </c>
      <c r="B28" s="162" t="s">
        <v>623</v>
      </c>
      <c r="C28" s="162"/>
      <c r="D28" s="162"/>
      <c r="E28" s="162"/>
      <c r="F28" s="162"/>
      <c r="G28" s="162"/>
      <c r="H28" s="162"/>
      <c r="I28" s="162" t="s">
        <v>26</v>
      </c>
      <c r="J28" s="162" t="s">
        <v>26</v>
      </c>
      <c r="K28" s="162"/>
      <c r="L28" s="162"/>
      <c r="M28" s="162"/>
      <c r="N28" s="162"/>
      <c r="O28" s="162"/>
      <c r="P28" s="162"/>
      <c r="Q28" s="162"/>
      <c r="R28" s="212">
        <v>78</v>
      </c>
      <c r="T28">
        <f t="shared" si="0"/>
        <v>22</v>
      </c>
    </row>
    <row r="29" spans="1:20" x14ac:dyDescent="0.25">
      <c r="A29" s="161">
        <v>28</v>
      </c>
      <c r="B29" s="162" t="s">
        <v>624</v>
      </c>
      <c r="C29" s="162" t="s">
        <v>26</v>
      </c>
      <c r="D29" s="162"/>
      <c r="E29" s="162"/>
      <c r="F29" s="162" t="s">
        <v>26</v>
      </c>
      <c r="G29" s="162" t="s">
        <v>84</v>
      </c>
      <c r="H29" s="162"/>
      <c r="I29" s="162" t="s">
        <v>26</v>
      </c>
      <c r="J29" s="162" t="s">
        <v>26</v>
      </c>
      <c r="K29" s="162"/>
      <c r="L29" s="162"/>
      <c r="M29" s="162"/>
      <c r="N29" s="162"/>
      <c r="O29" s="162"/>
      <c r="P29" s="162"/>
      <c r="Q29" s="162"/>
      <c r="R29" s="212">
        <v>128</v>
      </c>
      <c r="T29">
        <f t="shared" si="0"/>
        <v>50</v>
      </c>
    </row>
    <row r="30" spans="1:20" x14ac:dyDescent="0.25">
      <c r="A30" s="161">
        <v>29</v>
      </c>
      <c r="B30" s="162" t="s">
        <v>627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1">
        <v>0</v>
      </c>
      <c r="T30">
        <f t="shared" si="0"/>
        <v>0</v>
      </c>
    </row>
    <row r="31" spans="1:20" x14ac:dyDescent="0.25">
      <c r="A31" s="161">
        <v>30</v>
      </c>
      <c r="B31" s="162" t="s">
        <v>625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1">
        <v>0</v>
      </c>
      <c r="T31">
        <f t="shared" si="0"/>
        <v>0</v>
      </c>
    </row>
    <row r="32" spans="1:20" x14ac:dyDescent="0.25">
      <c r="A32" s="161">
        <v>31</v>
      </c>
      <c r="B32" s="162" t="s">
        <v>34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1">
        <v>0</v>
      </c>
      <c r="T32">
        <f t="shared" si="0"/>
        <v>0</v>
      </c>
    </row>
    <row r="33" spans="1:20" x14ac:dyDescent="0.25">
      <c r="A33" s="161">
        <v>32</v>
      </c>
      <c r="B33" s="162" t="s">
        <v>45</v>
      </c>
      <c r="C33" s="162" t="s">
        <v>26</v>
      </c>
      <c r="D33" s="162"/>
      <c r="E33" s="162"/>
      <c r="F33" s="162" t="s">
        <v>26</v>
      </c>
      <c r="G33" s="162"/>
      <c r="H33" s="162"/>
      <c r="I33" s="162" t="s">
        <v>26</v>
      </c>
      <c r="J33" s="162" t="s">
        <v>26</v>
      </c>
      <c r="K33" s="162"/>
      <c r="L33" s="162"/>
      <c r="M33" s="162"/>
      <c r="N33" s="162"/>
      <c r="O33" s="162"/>
      <c r="P33" s="162"/>
      <c r="Q33" s="162"/>
      <c r="R33" s="212">
        <v>92</v>
      </c>
      <c r="T33">
        <f t="shared" si="0"/>
        <v>44</v>
      </c>
    </row>
    <row r="34" spans="1:20" x14ac:dyDescent="0.25">
      <c r="A34" s="161">
        <v>33</v>
      </c>
      <c r="B34" s="162" t="s">
        <v>630</v>
      </c>
      <c r="C34" s="162" t="s">
        <v>26</v>
      </c>
      <c r="D34" s="162"/>
      <c r="E34" s="162"/>
      <c r="F34" s="162"/>
      <c r="G34" s="162"/>
      <c r="H34" s="162"/>
      <c r="I34" s="162" t="s">
        <v>26</v>
      </c>
      <c r="J34" s="162" t="s">
        <v>26</v>
      </c>
      <c r="K34" s="162"/>
      <c r="L34" s="162"/>
      <c r="M34" s="162"/>
      <c r="N34" s="162"/>
      <c r="O34" s="162"/>
      <c r="P34" s="162"/>
      <c r="Q34" s="162"/>
      <c r="R34" s="212">
        <v>116</v>
      </c>
      <c r="T34">
        <f t="shared" si="0"/>
        <v>33</v>
      </c>
    </row>
    <row r="35" spans="1:20" x14ac:dyDescent="0.25">
      <c r="A35" s="161">
        <v>34</v>
      </c>
      <c r="B35" s="162" t="s">
        <v>628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1">
        <v>0</v>
      </c>
      <c r="T35">
        <f t="shared" si="0"/>
        <v>0</v>
      </c>
    </row>
    <row r="36" spans="1:20" x14ac:dyDescent="0.25">
      <c r="A36" s="161">
        <v>35</v>
      </c>
      <c r="B36" s="162" t="s">
        <v>629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1">
        <v>0</v>
      </c>
      <c r="T36">
        <f t="shared" si="0"/>
        <v>0</v>
      </c>
    </row>
    <row r="37" spans="1:20" x14ac:dyDescent="0.25">
      <c r="A37" s="161">
        <v>36</v>
      </c>
      <c r="B37" s="162" t="s">
        <v>631</v>
      </c>
      <c r="C37" s="162"/>
      <c r="D37" s="162"/>
      <c r="E37" s="162"/>
      <c r="F37" s="162"/>
      <c r="G37" s="162"/>
      <c r="H37" s="162"/>
      <c r="I37" s="162"/>
      <c r="J37" s="162" t="s">
        <v>26</v>
      </c>
      <c r="K37" s="162"/>
      <c r="L37" s="162"/>
      <c r="M37" s="162"/>
      <c r="N37" s="162"/>
      <c r="O37" s="162"/>
      <c r="P37" s="162"/>
      <c r="Q37" s="162"/>
      <c r="R37" s="212">
        <v>11</v>
      </c>
      <c r="T37">
        <f t="shared" si="0"/>
        <v>11</v>
      </c>
    </row>
    <row r="38" spans="1:20" x14ac:dyDescent="0.25">
      <c r="A38" s="161">
        <v>37</v>
      </c>
      <c r="B38" s="162" t="s">
        <v>632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1">
        <v>0</v>
      </c>
      <c r="T38">
        <f t="shared" si="0"/>
        <v>0</v>
      </c>
    </row>
    <row r="39" spans="1:20" x14ac:dyDescent="0.25">
      <c r="A39" s="161">
        <v>38</v>
      </c>
      <c r="B39" s="162" t="s">
        <v>633</v>
      </c>
      <c r="C39" s="162" t="s">
        <v>26</v>
      </c>
      <c r="D39" s="162"/>
      <c r="E39" s="162"/>
      <c r="F39" s="162"/>
      <c r="G39" s="162" t="s">
        <v>84</v>
      </c>
      <c r="H39" s="162"/>
      <c r="I39" s="162" t="s">
        <v>26</v>
      </c>
      <c r="J39" s="162" t="s">
        <v>26</v>
      </c>
      <c r="K39" s="162"/>
      <c r="L39" s="162"/>
      <c r="M39" s="162"/>
      <c r="N39" s="162"/>
      <c r="O39" s="162"/>
      <c r="P39" s="162"/>
      <c r="Q39" s="162"/>
      <c r="R39" s="212">
        <v>117</v>
      </c>
      <c r="T39">
        <f t="shared" si="0"/>
        <v>39</v>
      </c>
    </row>
    <row r="40" spans="1:20" x14ac:dyDescent="0.25">
      <c r="A40" s="161">
        <v>39</v>
      </c>
      <c r="B40" s="162" t="s">
        <v>634</v>
      </c>
      <c r="C40" s="162" t="s">
        <v>26</v>
      </c>
      <c r="D40" s="162"/>
      <c r="E40" s="162" t="s">
        <v>26</v>
      </c>
      <c r="F40" s="162"/>
      <c r="G40" s="162" t="s">
        <v>84</v>
      </c>
      <c r="H40" s="162"/>
      <c r="I40" s="162" t="s">
        <v>26</v>
      </c>
      <c r="J40" s="162" t="s">
        <v>26</v>
      </c>
      <c r="K40" s="162"/>
      <c r="L40" s="162"/>
      <c r="M40" s="162"/>
      <c r="N40" s="162"/>
      <c r="O40" s="162"/>
      <c r="P40" s="162"/>
      <c r="Q40" s="162"/>
      <c r="R40" s="212">
        <v>126</v>
      </c>
      <c r="T40">
        <f t="shared" si="0"/>
        <v>50</v>
      </c>
    </row>
    <row r="41" spans="1:20" x14ac:dyDescent="0.25">
      <c r="A41" s="161">
        <v>40</v>
      </c>
      <c r="B41" s="162" t="s">
        <v>636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1">
        <v>0</v>
      </c>
      <c r="T41">
        <f t="shared" si="0"/>
        <v>0</v>
      </c>
    </row>
    <row r="42" spans="1:20" x14ac:dyDescent="0.25">
      <c r="A42" s="161">
        <v>41</v>
      </c>
      <c r="B42" s="162" t="s">
        <v>637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212">
        <v>83</v>
      </c>
      <c r="T42">
        <f t="shared" si="0"/>
        <v>0</v>
      </c>
    </row>
    <row r="43" spans="1:20" x14ac:dyDescent="0.25">
      <c r="A43" s="161">
        <v>42</v>
      </c>
      <c r="B43" s="162" t="s">
        <v>640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1">
        <v>0</v>
      </c>
      <c r="T43">
        <f t="shared" si="0"/>
        <v>0</v>
      </c>
    </row>
    <row r="44" spans="1:20" x14ac:dyDescent="0.25">
      <c r="A44" s="161">
        <v>43</v>
      </c>
      <c r="B44" s="162" t="s">
        <v>638</v>
      </c>
      <c r="C44" s="162" t="s">
        <v>26</v>
      </c>
      <c r="D44" s="162"/>
      <c r="E44" s="162" t="s">
        <v>26</v>
      </c>
      <c r="F44" s="162" t="s">
        <v>26</v>
      </c>
      <c r="G44" s="162" t="s">
        <v>84</v>
      </c>
      <c r="H44" s="162"/>
      <c r="I44" s="162" t="s">
        <v>26</v>
      </c>
      <c r="J44" s="162" t="s">
        <v>26</v>
      </c>
      <c r="K44" s="162"/>
      <c r="L44" s="162"/>
      <c r="M44" s="162"/>
      <c r="N44" s="162"/>
      <c r="O44" s="162"/>
      <c r="P44" s="162"/>
      <c r="Q44" s="162"/>
      <c r="R44" s="212">
        <v>92</v>
      </c>
      <c r="T44">
        <f t="shared" si="0"/>
        <v>61</v>
      </c>
    </row>
    <row r="45" spans="1:20" x14ac:dyDescent="0.25">
      <c r="A45" s="161">
        <v>44</v>
      </c>
      <c r="B45" s="162" t="s">
        <v>635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1">
        <v>0</v>
      </c>
      <c r="T45">
        <f t="shared" si="0"/>
        <v>0</v>
      </c>
    </row>
    <row r="46" spans="1:20" x14ac:dyDescent="0.25">
      <c r="A46" s="161">
        <v>45</v>
      </c>
      <c r="B46" s="162" t="s">
        <v>641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1">
        <v>0</v>
      </c>
      <c r="T46">
        <f t="shared" si="0"/>
        <v>0</v>
      </c>
    </row>
    <row r="47" spans="1:20" x14ac:dyDescent="0.25">
      <c r="A47" s="161">
        <v>46</v>
      </c>
      <c r="B47" s="162" t="s">
        <v>649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1">
        <v>0</v>
      </c>
      <c r="T47">
        <f t="shared" si="0"/>
        <v>0</v>
      </c>
    </row>
    <row r="48" spans="1:20" x14ac:dyDescent="0.25">
      <c r="A48" s="161">
        <v>47</v>
      </c>
      <c r="B48" s="162" t="s">
        <v>642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1">
        <v>0</v>
      </c>
      <c r="T48">
        <f t="shared" si="0"/>
        <v>0</v>
      </c>
    </row>
    <row r="49" spans="1:20" x14ac:dyDescent="0.25">
      <c r="A49" s="161">
        <v>48</v>
      </c>
      <c r="B49" s="162" t="s">
        <v>643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1">
        <v>0</v>
      </c>
      <c r="T49">
        <f t="shared" si="0"/>
        <v>0</v>
      </c>
    </row>
    <row r="50" spans="1:20" x14ac:dyDescent="0.25">
      <c r="A50" s="161">
        <v>49</v>
      </c>
      <c r="B50" s="162" t="s">
        <v>644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1">
        <v>0</v>
      </c>
      <c r="T50">
        <f t="shared" si="0"/>
        <v>0</v>
      </c>
    </row>
    <row r="51" spans="1:20" x14ac:dyDescent="0.25">
      <c r="A51" s="161">
        <v>50</v>
      </c>
      <c r="B51" s="162" t="s">
        <v>646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1">
        <v>0</v>
      </c>
      <c r="T51">
        <f t="shared" si="0"/>
        <v>0</v>
      </c>
    </row>
    <row r="52" spans="1:20" x14ac:dyDescent="0.25">
      <c r="A52" s="161">
        <v>51</v>
      </c>
      <c r="B52" s="162" t="s">
        <v>647</v>
      </c>
      <c r="C52" s="162"/>
      <c r="D52" s="162"/>
      <c r="E52" s="162"/>
      <c r="F52" s="162" t="s">
        <v>26</v>
      </c>
      <c r="G52" s="162" t="s">
        <v>84</v>
      </c>
      <c r="H52" s="162"/>
      <c r="I52" s="162" t="s">
        <v>26</v>
      </c>
      <c r="J52" s="162" t="s">
        <v>26</v>
      </c>
      <c r="K52" s="162"/>
      <c r="L52" s="162"/>
      <c r="M52" s="162"/>
      <c r="N52" s="162"/>
      <c r="O52" s="162"/>
      <c r="P52" s="162"/>
      <c r="Q52" s="162"/>
      <c r="R52" s="212">
        <v>78</v>
      </c>
      <c r="T52">
        <f t="shared" si="0"/>
        <v>39</v>
      </c>
    </row>
    <row r="53" spans="1:20" x14ac:dyDescent="0.25">
      <c r="A53" s="161">
        <v>52</v>
      </c>
      <c r="B53" s="162" t="s">
        <v>652</v>
      </c>
      <c r="C53" s="162"/>
      <c r="D53" s="162"/>
      <c r="E53" s="162"/>
      <c r="F53" s="162" t="s">
        <v>65</v>
      </c>
      <c r="G53" s="162" t="s">
        <v>24</v>
      </c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212">
        <v>73</v>
      </c>
      <c r="T53">
        <f t="shared" si="0"/>
        <v>20</v>
      </c>
    </row>
    <row r="54" spans="1:20" x14ac:dyDescent="0.25">
      <c r="A54" s="161">
        <v>53</v>
      </c>
      <c r="B54" s="162" t="s">
        <v>653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1">
        <v>0</v>
      </c>
      <c r="T54">
        <f t="shared" si="0"/>
        <v>0</v>
      </c>
    </row>
    <row r="55" spans="1:20" x14ac:dyDescent="0.25">
      <c r="A55" s="161">
        <v>54</v>
      </c>
      <c r="B55" s="162" t="s">
        <v>654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1">
        <v>0</v>
      </c>
      <c r="T55">
        <f t="shared" si="0"/>
        <v>0</v>
      </c>
    </row>
    <row r="56" spans="1:20" x14ac:dyDescent="0.25">
      <c r="A56" s="161">
        <v>55</v>
      </c>
      <c r="B56" s="162" t="s">
        <v>655</v>
      </c>
      <c r="C56" s="162" t="s">
        <v>26</v>
      </c>
      <c r="D56" s="162"/>
      <c r="E56" s="162"/>
      <c r="F56" s="162" t="s">
        <v>26</v>
      </c>
      <c r="G56" s="162" t="s">
        <v>84</v>
      </c>
      <c r="H56" s="162"/>
      <c r="I56" s="162" t="s">
        <v>26</v>
      </c>
      <c r="J56" s="162"/>
      <c r="K56" s="162"/>
      <c r="L56" s="162"/>
      <c r="M56" s="162"/>
      <c r="N56" s="162"/>
      <c r="O56" s="162"/>
      <c r="P56" s="162"/>
      <c r="Q56" s="162"/>
      <c r="R56" s="212">
        <v>128</v>
      </c>
      <c r="T56">
        <f t="shared" si="0"/>
        <v>39</v>
      </c>
    </row>
    <row r="57" spans="1:20" x14ac:dyDescent="0.25">
      <c r="A57" s="161">
        <v>56</v>
      </c>
      <c r="B57" s="162" t="s">
        <v>656</v>
      </c>
      <c r="C57" s="162" t="s">
        <v>26</v>
      </c>
      <c r="D57" s="162" t="s">
        <v>25</v>
      </c>
      <c r="E57" s="162" t="s">
        <v>26</v>
      </c>
      <c r="F57" s="162" t="s">
        <v>26</v>
      </c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212">
        <v>103</v>
      </c>
      <c r="T57">
        <f t="shared" si="0"/>
        <v>42</v>
      </c>
    </row>
    <row r="58" spans="1:20" x14ac:dyDescent="0.25">
      <c r="A58" s="161">
        <v>57</v>
      </c>
      <c r="B58" s="162" t="s">
        <v>657</v>
      </c>
      <c r="C58" s="162" t="s">
        <v>26</v>
      </c>
      <c r="D58" s="162"/>
      <c r="E58" s="162" t="s">
        <v>26</v>
      </c>
      <c r="F58" s="162" t="s">
        <v>26</v>
      </c>
      <c r="G58" s="162"/>
      <c r="H58" s="162"/>
      <c r="I58" s="162" t="s">
        <v>26</v>
      </c>
      <c r="J58" s="162" t="s">
        <v>26</v>
      </c>
      <c r="K58" s="162"/>
      <c r="L58" s="162"/>
      <c r="M58" s="162"/>
      <c r="N58" s="162"/>
      <c r="O58" s="162"/>
      <c r="P58" s="162"/>
      <c r="Q58" s="162"/>
      <c r="R58" s="212">
        <v>127</v>
      </c>
      <c r="T58">
        <f t="shared" si="0"/>
        <v>55</v>
      </c>
    </row>
    <row r="59" spans="1:20" x14ac:dyDescent="0.25">
      <c r="A59" s="161">
        <v>58</v>
      </c>
      <c r="B59" s="162" t="s">
        <v>658</v>
      </c>
      <c r="C59" s="162"/>
      <c r="D59" s="162"/>
      <c r="E59" s="162"/>
      <c r="F59" s="162" t="s">
        <v>26</v>
      </c>
      <c r="G59" s="162" t="s">
        <v>84</v>
      </c>
      <c r="H59" s="162"/>
      <c r="I59" s="162" t="s">
        <v>26</v>
      </c>
      <c r="J59" s="162" t="s">
        <v>26</v>
      </c>
      <c r="K59" s="162"/>
      <c r="L59" s="162"/>
      <c r="M59" s="162"/>
      <c r="N59" s="162"/>
      <c r="O59" s="162"/>
      <c r="P59" s="162"/>
      <c r="Q59" s="162"/>
      <c r="R59" s="212">
        <v>61</v>
      </c>
      <c r="T59">
        <f t="shared" si="0"/>
        <v>39</v>
      </c>
    </row>
    <row r="60" spans="1:20" x14ac:dyDescent="0.25">
      <c r="A60" s="161">
        <v>59</v>
      </c>
      <c r="B60" s="162" t="s">
        <v>659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1">
        <v>0</v>
      </c>
      <c r="T60">
        <f t="shared" si="0"/>
        <v>0</v>
      </c>
    </row>
    <row r="61" spans="1:20" x14ac:dyDescent="0.25">
      <c r="A61" s="161">
        <v>60</v>
      </c>
      <c r="B61" s="162" t="s">
        <v>660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1">
        <v>0</v>
      </c>
      <c r="T61">
        <f t="shared" si="0"/>
        <v>0</v>
      </c>
    </row>
    <row r="62" spans="1:20" x14ac:dyDescent="0.25">
      <c r="A62" s="161">
        <v>61</v>
      </c>
      <c r="B62" s="162" t="s">
        <v>661</v>
      </c>
      <c r="C62" s="162"/>
      <c r="D62" s="162"/>
      <c r="E62" s="162" t="s">
        <v>26</v>
      </c>
      <c r="F62" s="162" t="s">
        <v>26</v>
      </c>
      <c r="G62" s="162" t="s">
        <v>25</v>
      </c>
      <c r="H62" s="162"/>
      <c r="I62" s="162" t="s">
        <v>26</v>
      </c>
      <c r="J62" s="162"/>
      <c r="K62" s="162"/>
      <c r="L62" s="162"/>
      <c r="M62" s="162"/>
      <c r="N62" s="162"/>
      <c r="O62" s="162"/>
      <c r="P62" s="162"/>
      <c r="Q62" s="162"/>
      <c r="R62" s="212">
        <v>42</v>
      </c>
      <c r="T62">
        <f t="shared" si="0"/>
        <v>42</v>
      </c>
    </row>
    <row r="63" spans="1:20" x14ac:dyDescent="0.25">
      <c r="A63" s="161">
        <v>62</v>
      </c>
      <c r="B63" s="162" t="s">
        <v>662</v>
      </c>
      <c r="C63" s="162"/>
      <c r="D63" s="162"/>
      <c r="E63" s="162"/>
      <c r="F63" s="162"/>
      <c r="G63" s="162"/>
      <c r="H63" s="162"/>
      <c r="I63" s="162" t="s">
        <v>26</v>
      </c>
      <c r="J63" s="162"/>
      <c r="K63" s="162"/>
      <c r="L63" s="162"/>
      <c r="M63" s="162"/>
      <c r="N63" s="162"/>
      <c r="O63" s="162"/>
      <c r="P63" s="162"/>
      <c r="Q63" s="162"/>
      <c r="R63" s="212">
        <v>11</v>
      </c>
      <c r="T63">
        <f t="shared" si="0"/>
        <v>11</v>
      </c>
    </row>
    <row r="64" spans="1:20" x14ac:dyDescent="0.25">
      <c r="A64" s="161">
        <v>63</v>
      </c>
      <c r="B64" s="162" t="s">
        <v>668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1">
        <v>0</v>
      </c>
      <c r="T64">
        <f t="shared" si="0"/>
        <v>0</v>
      </c>
    </row>
    <row r="65" spans="1:18" x14ac:dyDescent="0.25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213">
        <v>1976</v>
      </c>
    </row>
    <row r="66" spans="1:18" x14ac:dyDescent="0.25">
      <c r="A66" s="161"/>
      <c r="B66" s="162"/>
    </row>
    <row r="67" spans="1:18" x14ac:dyDescent="0.25">
      <c r="A67" s="161"/>
      <c r="B67" s="162"/>
    </row>
    <row r="68" spans="1:18" x14ac:dyDescent="0.25">
      <c r="A68" s="161"/>
      <c r="B68" s="162"/>
    </row>
    <row r="69" spans="1:18" x14ac:dyDescent="0.25">
      <c r="A69" s="161"/>
      <c r="B69" s="162"/>
    </row>
    <row r="70" spans="1:18" x14ac:dyDescent="0.25">
      <c r="A70" s="161"/>
      <c r="B70" s="162"/>
    </row>
    <row r="71" spans="1:18" x14ac:dyDescent="0.25">
      <c r="A71" s="183"/>
      <c r="B71" s="183"/>
    </row>
    <row r="72" spans="1:18" x14ac:dyDescent="0.25">
      <c r="A72" s="161"/>
      <c r="B72" s="162"/>
    </row>
    <row r="73" spans="1:18" x14ac:dyDescent="0.25">
      <c r="A73" s="161"/>
      <c r="B73" s="162"/>
    </row>
    <row r="74" spans="1:18" x14ac:dyDescent="0.25">
      <c r="A74" s="161"/>
      <c r="B74" s="162"/>
    </row>
    <row r="75" spans="1:18" x14ac:dyDescent="0.25">
      <c r="A75" s="161"/>
      <c r="B75" s="162"/>
    </row>
    <row r="76" spans="1:18" x14ac:dyDescent="0.25">
      <c r="A76" s="161"/>
      <c r="B76" s="162"/>
    </row>
    <row r="77" spans="1:18" x14ac:dyDescent="0.25">
      <c r="A77" s="183"/>
      <c r="B77" s="183"/>
    </row>
    <row r="78" spans="1:18" x14ac:dyDescent="0.25">
      <c r="A78" s="160"/>
      <c r="B78" s="16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5"/>
  <sheetViews>
    <sheetView zoomScale="70" zoomScaleNormal="70" workbookViewId="0">
      <selection activeCell="T2" sqref="T2:T64"/>
    </sheetView>
  </sheetViews>
  <sheetFormatPr defaultRowHeight="15" x14ac:dyDescent="0.25"/>
  <sheetData>
    <row r="1" spans="1:20" x14ac:dyDescent="0.25">
      <c r="A1" s="188" t="s">
        <v>1</v>
      </c>
      <c r="B1" s="188" t="s">
        <v>6</v>
      </c>
      <c r="C1" s="188" t="s">
        <v>46</v>
      </c>
      <c r="D1" s="188" t="s">
        <v>47</v>
      </c>
      <c r="E1" s="188" t="s">
        <v>48</v>
      </c>
      <c r="F1" s="188" t="s">
        <v>49</v>
      </c>
      <c r="G1" s="188" t="s">
        <v>50</v>
      </c>
      <c r="H1" s="188" t="s">
        <v>51</v>
      </c>
      <c r="I1" s="188" t="s">
        <v>52</v>
      </c>
      <c r="J1" s="188" t="s">
        <v>53</v>
      </c>
      <c r="K1" s="188" t="s">
        <v>54</v>
      </c>
      <c r="L1" s="188" t="s">
        <v>55</v>
      </c>
      <c r="M1" s="188" t="s">
        <v>56</v>
      </c>
      <c r="N1" s="188" t="s">
        <v>57</v>
      </c>
      <c r="O1" s="188" t="s">
        <v>58</v>
      </c>
      <c r="P1" s="188" t="s">
        <v>59</v>
      </c>
      <c r="Q1" s="188" t="s">
        <v>667</v>
      </c>
      <c r="R1" s="188" t="s">
        <v>2</v>
      </c>
    </row>
    <row r="2" spans="1:20" x14ac:dyDescent="0.25">
      <c r="A2" s="189">
        <v>1</v>
      </c>
      <c r="B2" s="190" t="s">
        <v>10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89">
        <v>0</v>
      </c>
      <c r="T2">
        <f t="shared" ref="T2:T64" si="0">C2+D2+E2+F2+G2+H2+I2+J2+K2+L2+M2+N2+O2+P2+Q2</f>
        <v>0</v>
      </c>
    </row>
    <row r="3" spans="1:20" x14ac:dyDescent="0.25">
      <c r="A3" s="189">
        <v>2</v>
      </c>
      <c r="B3" s="190" t="s">
        <v>11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89">
        <v>0</v>
      </c>
      <c r="T3">
        <f t="shared" si="0"/>
        <v>0</v>
      </c>
    </row>
    <row r="4" spans="1:20" x14ac:dyDescent="0.25">
      <c r="A4" s="189">
        <v>3</v>
      </c>
      <c r="B4" s="190" t="s">
        <v>12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89">
        <v>0</v>
      </c>
      <c r="T4">
        <f t="shared" si="0"/>
        <v>0</v>
      </c>
    </row>
    <row r="5" spans="1:20" x14ac:dyDescent="0.25">
      <c r="A5" s="189">
        <v>4</v>
      </c>
      <c r="B5" s="190" t="s">
        <v>651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89">
        <v>0</v>
      </c>
      <c r="T5">
        <f t="shared" si="0"/>
        <v>0</v>
      </c>
    </row>
    <row r="6" spans="1:20" x14ac:dyDescent="0.25">
      <c r="A6" s="189">
        <v>5</v>
      </c>
      <c r="B6" s="190" t="s">
        <v>14</v>
      </c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89">
        <v>0</v>
      </c>
      <c r="T6">
        <f t="shared" si="0"/>
        <v>0</v>
      </c>
    </row>
    <row r="7" spans="1:20" x14ac:dyDescent="0.25">
      <c r="A7" s="189">
        <v>6</v>
      </c>
      <c r="B7" s="190" t="s">
        <v>15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89">
        <v>0</v>
      </c>
      <c r="T7">
        <f t="shared" si="0"/>
        <v>0</v>
      </c>
    </row>
    <row r="8" spans="1:20" x14ac:dyDescent="0.25">
      <c r="A8" s="189">
        <v>7</v>
      </c>
      <c r="B8" s="190" t="s">
        <v>16</v>
      </c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89">
        <v>0</v>
      </c>
      <c r="T8">
        <f t="shared" si="0"/>
        <v>0</v>
      </c>
    </row>
    <row r="9" spans="1:20" x14ac:dyDescent="0.25">
      <c r="A9" s="189">
        <v>8</v>
      </c>
      <c r="B9" s="190" t="s">
        <v>4</v>
      </c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89">
        <v>0</v>
      </c>
      <c r="T9">
        <f t="shared" si="0"/>
        <v>0</v>
      </c>
    </row>
    <row r="10" spans="1:20" x14ac:dyDescent="0.25">
      <c r="A10" s="189">
        <v>9</v>
      </c>
      <c r="B10" s="190" t="s">
        <v>5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89">
        <v>0</v>
      </c>
      <c r="T10">
        <f t="shared" si="0"/>
        <v>0</v>
      </c>
    </row>
    <row r="11" spans="1:20" x14ac:dyDescent="0.25">
      <c r="A11" s="189">
        <v>10</v>
      </c>
      <c r="B11" s="190" t="s">
        <v>38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89">
        <v>0</v>
      </c>
      <c r="T11">
        <f t="shared" si="0"/>
        <v>0</v>
      </c>
    </row>
    <row r="12" spans="1:20" x14ac:dyDescent="0.25">
      <c r="A12" s="189">
        <v>11</v>
      </c>
      <c r="B12" s="190" t="s">
        <v>43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89">
        <v>0</v>
      </c>
      <c r="T12">
        <f t="shared" si="0"/>
        <v>0</v>
      </c>
    </row>
    <row r="13" spans="1:20" x14ac:dyDescent="0.25">
      <c r="A13" s="189">
        <v>12</v>
      </c>
      <c r="B13" s="190" t="s">
        <v>639</v>
      </c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89">
        <v>0</v>
      </c>
      <c r="T13">
        <f t="shared" si="0"/>
        <v>0</v>
      </c>
    </row>
    <row r="14" spans="1:20" x14ac:dyDescent="0.25">
      <c r="A14" s="189">
        <v>13</v>
      </c>
      <c r="B14" s="190" t="s">
        <v>87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89">
        <v>0</v>
      </c>
      <c r="T14">
        <f t="shared" si="0"/>
        <v>0</v>
      </c>
    </row>
    <row r="15" spans="1:20" x14ac:dyDescent="0.25">
      <c r="A15" s="189">
        <v>14</v>
      </c>
      <c r="B15" s="190" t="s">
        <v>95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89">
        <v>0</v>
      </c>
      <c r="T15">
        <f t="shared" si="0"/>
        <v>0</v>
      </c>
    </row>
    <row r="16" spans="1:20" x14ac:dyDescent="0.25">
      <c r="A16" s="189">
        <v>15</v>
      </c>
      <c r="B16" s="190" t="s">
        <v>96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89">
        <v>0</v>
      </c>
      <c r="T16">
        <f t="shared" si="0"/>
        <v>0</v>
      </c>
    </row>
    <row r="17" spans="1:20" x14ac:dyDescent="0.25">
      <c r="A17" s="189">
        <v>16</v>
      </c>
      <c r="B17" s="190" t="s">
        <v>97</v>
      </c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89">
        <v>0</v>
      </c>
      <c r="T17">
        <f t="shared" si="0"/>
        <v>0</v>
      </c>
    </row>
    <row r="18" spans="1:20" x14ac:dyDescent="0.25">
      <c r="A18" s="189">
        <v>17</v>
      </c>
      <c r="B18" s="190" t="s">
        <v>98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89">
        <v>0</v>
      </c>
      <c r="T18">
        <f t="shared" si="0"/>
        <v>0</v>
      </c>
    </row>
    <row r="19" spans="1:20" x14ac:dyDescent="0.25">
      <c r="A19" s="189">
        <v>18</v>
      </c>
      <c r="B19" s="190" t="s">
        <v>616</v>
      </c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89">
        <v>0</v>
      </c>
      <c r="T19">
        <f t="shared" si="0"/>
        <v>0</v>
      </c>
    </row>
    <row r="20" spans="1:20" x14ac:dyDescent="0.25">
      <c r="A20" s="189">
        <v>19</v>
      </c>
      <c r="B20" s="190" t="s">
        <v>617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89">
        <v>0</v>
      </c>
      <c r="T20">
        <f t="shared" si="0"/>
        <v>0</v>
      </c>
    </row>
    <row r="21" spans="1:20" x14ac:dyDescent="0.25">
      <c r="A21" s="189">
        <v>20</v>
      </c>
      <c r="B21" s="190" t="s">
        <v>626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89">
        <v>0</v>
      </c>
      <c r="T21">
        <f t="shared" si="0"/>
        <v>0</v>
      </c>
    </row>
    <row r="22" spans="1:20" x14ac:dyDescent="0.25">
      <c r="A22" s="189">
        <v>21</v>
      </c>
      <c r="B22" s="190" t="s">
        <v>618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89">
        <v>0</v>
      </c>
      <c r="T22">
        <f t="shared" si="0"/>
        <v>0</v>
      </c>
    </row>
    <row r="23" spans="1:20" x14ac:dyDescent="0.25">
      <c r="A23" s="189">
        <v>22</v>
      </c>
      <c r="B23" s="190" t="s">
        <v>619</v>
      </c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89">
        <v>0</v>
      </c>
      <c r="T23">
        <f t="shared" si="0"/>
        <v>0</v>
      </c>
    </row>
    <row r="24" spans="1:20" x14ac:dyDescent="0.25">
      <c r="A24" s="189">
        <v>23</v>
      </c>
      <c r="B24" s="190" t="s">
        <v>620</v>
      </c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89">
        <v>0</v>
      </c>
      <c r="T24">
        <f t="shared" si="0"/>
        <v>0</v>
      </c>
    </row>
    <row r="25" spans="1:20" x14ac:dyDescent="0.25">
      <c r="A25" s="189">
        <v>24</v>
      </c>
      <c r="B25" s="190" t="s">
        <v>650</v>
      </c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89">
        <v>0</v>
      </c>
      <c r="T25">
        <f t="shared" si="0"/>
        <v>0</v>
      </c>
    </row>
    <row r="26" spans="1:20" x14ac:dyDescent="0.25">
      <c r="A26" s="189">
        <v>25</v>
      </c>
      <c r="B26" s="190" t="s">
        <v>621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 t="s">
        <v>65</v>
      </c>
      <c r="N26" s="190"/>
      <c r="O26" s="190" t="s">
        <v>54</v>
      </c>
      <c r="P26" s="190"/>
      <c r="Q26" s="190" t="s">
        <v>54</v>
      </c>
      <c r="R26" s="217">
        <v>60</v>
      </c>
      <c r="T26">
        <f t="shared" si="0"/>
        <v>60</v>
      </c>
    </row>
    <row r="27" spans="1:20" x14ac:dyDescent="0.25">
      <c r="A27" s="189">
        <v>26</v>
      </c>
      <c r="B27" s="190" t="s">
        <v>622</v>
      </c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 t="s">
        <v>65</v>
      </c>
      <c r="N27" s="190"/>
      <c r="O27" s="190" t="s">
        <v>54</v>
      </c>
      <c r="P27" s="190"/>
      <c r="Q27" s="190" t="s">
        <v>54</v>
      </c>
      <c r="R27" s="217">
        <v>60</v>
      </c>
      <c r="T27">
        <f t="shared" si="0"/>
        <v>60</v>
      </c>
    </row>
    <row r="28" spans="1:20" x14ac:dyDescent="0.25">
      <c r="A28" s="189">
        <v>27</v>
      </c>
      <c r="B28" s="190" t="s">
        <v>623</v>
      </c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89">
        <v>0</v>
      </c>
      <c r="T28">
        <f t="shared" si="0"/>
        <v>0</v>
      </c>
    </row>
    <row r="29" spans="1:20" x14ac:dyDescent="0.25">
      <c r="A29" s="189">
        <v>28</v>
      </c>
      <c r="B29" s="190" t="s">
        <v>624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89">
        <v>0</v>
      </c>
      <c r="T29">
        <f t="shared" si="0"/>
        <v>0</v>
      </c>
    </row>
    <row r="30" spans="1:20" x14ac:dyDescent="0.25">
      <c r="A30" s="189">
        <v>29</v>
      </c>
      <c r="B30" s="190" t="s">
        <v>627</v>
      </c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89">
        <v>0</v>
      </c>
      <c r="T30">
        <f t="shared" si="0"/>
        <v>0</v>
      </c>
    </row>
    <row r="31" spans="1:20" x14ac:dyDescent="0.25">
      <c r="A31" s="189">
        <v>30</v>
      </c>
      <c r="B31" s="190" t="s">
        <v>625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89">
        <v>0</v>
      </c>
      <c r="T31">
        <f t="shared" si="0"/>
        <v>0</v>
      </c>
    </row>
    <row r="32" spans="1:20" x14ac:dyDescent="0.25">
      <c r="A32" s="189">
        <v>31</v>
      </c>
      <c r="B32" s="190" t="s">
        <v>34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217">
        <v>120</v>
      </c>
      <c r="T32">
        <f t="shared" si="0"/>
        <v>0</v>
      </c>
    </row>
    <row r="33" spans="1:20" x14ac:dyDescent="0.25">
      <c r="A33" s="189">
        <v>32</v>
      </c>
      <c r="B33" s="190" t="s">
        <v>45</v>
      </c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217">
        <v>120</v>
      </c>
      <c r="T33">
        <f t="shared" si="0"/>
        <v>0</v>
      </c>
    </row>
    <row r="34" spans="1:20" x14ac:dyDescent="0.25">
      <c r="A34" s="189">
        <v>33</v>
      </c>
      <c r="B34" s="190" t="s">
        <v>630</v>
      </c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89">
        <v>0</v>
      </c>
      <c r="T34">
        <f t="shared" si="0"/>
        <v>0</v>
      </c>
    </row>
    <row r="35" spans="1:20" x14ac:dyDescent="0.25">
      <c r="A35" s="189">
        <v>34</v>
      </c>
      <c r="B35" s="190" t="s">
        <v>628</v>
      </c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89">
        <v>0</v>
      </c>
      <c r="T35">
        <f t="shared" si="0"/>
        <v>0</v>
      </c>
    </row>
    <row r="36" spans="1:20" x14ac:dyDescent="0.25">
      <c r="A36" s="189">
        <v>35</v>
      </c>
      <c r="B36" s="190" t="s">
        <v>629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89">
        <v>0</v>
      </c>
      <c r="T36">
        <f t="shared" si="0"/>
        <v>0</v>
      </c>
    </row>
    <row r="37" spans="1:20" x14ac:dyDescent="0.25">
      <c r="A37" s="189">
        <v>36</v>
      </c>
      <c r="B37" s="190" t="s">
        <v>631</v>
      </c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89">
        <v>0</v>
      </c>
      <c r="T37">
        <f t="shared" si="0"/>
        <v>0</v>
      </c>
    </row>
    <row r="38" spans="1:20" x14ac:dyDescent="0.25">
      <c r="A38" s="189">
        <v>37</v>
      </c>
      <c r="B38" s="190" t="s">
        <v>632</v>
      </c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89">
        <v>0</v>
      </c>
      <c r="T38">
        <f t="shared" si="0"/>
        <v>0</v>
      </c>
    </row>
    <row r="39" spans="1:20" x14ac:dyDescent="0.25">
      <c r="A39" s="189">
        <v>38</v>
      </c>
      <c r="B39" s="190" t="s">
        <v>633</v>
      </c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89">
        <v>0</v>
      </c>
      <c r="T39">
        <f t="shared" si="0"/>
        <v>0</v>
      </c>
    </row>
    <row r="40" spans="1:20" x14ac:dyDescent="0.25">
      <c r="A40" s="189">
        <v>39</v>
      </c>
      <c r="B40" s="190" t="s">
        <v>634</v>
      </c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89">
        <v>0</v>
      </c>
      <c r="T40">
        <f t="shared" si="0"/>
        <v>0</v>
      </c>
    </row>
    <row r="41" spans="1:20" x14ac:dyDescent="0.25">
      <c r="A41" s="189">
        <v>40</v>
      </c>
      <c r="B41" s="190" t="s">
        <v>636</v>
      </c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89">
        <v>0</v>
      </c>
      <c r="T41">
        <f t="shared" si="0"/>
        <v>0</v>
      </c>
    </row>
    <row r="42" spans="1:20" x14ac:dyDescent="0.25">
      <c r="A42" s="189">
        <v>41</v>
      </c>
      <c r="B42" s="190" t="s">
        <v>637</v>
      </c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89">
        <v>0</v>
      </c>
      <c r="T42">
        <f t="shared" si="0"/>
        <v>0</v>
      </c>
    </row>
    <row r="43" spans="1:20" x14ac:dyDescent="0.25">
      <c r="A43" s="189">
        <v>42</v>
      </c>
      <c r="B43" s="190" t="s">
        <v>640</v>
      </c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89">
        <v>0</v>
      </c>
      <c r="T43">
        <f t="shared" si="0"/>
        <v>0</v>
      </c>
    </row>
    <row r="44" spans="1:20" x14ac:dyDescent="0.25">
      <c r="A44" s="189">
        <v>43</v>
      </c>
      <c r="B44" s="190" t="s">
        <v>638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89">
        <v>0</v>
      </c>
      <c r="T44">
        <f t="shared" si="0"/>
        <v>0</v>
      </c>
    </row>
    <row r="45" spans="1:20" x14ac:dyDescent="0.25">
      <c r="A45" s="189">
        <v>44</v>
      </c>
      <c r="B45" s="190" t="s">
        <v>635</v>
      </c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89">
        <v>0</v>
      </c>
      <c r="T45">
        <f t="shared" si="0"/>
        <v>0</v>
      </c>
    </row>
    <row r="46" spans="1:20" x14ac:dyDescent="0.25">
      <c r="A46" s="189">
        <v>45</v>
      </c>
      <c r="B46" s="190" t="s">
        <v>641</v>
      </c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89">
        <v>0</v>
      </c>
      <c r="T46">
        <f t="shared" si="0"/>
        <v>0</v>
      </c>
    </row>
    <row r="47" spans="1:20" x14ac:dyDescent="0.25">
      <c r="A47" s="189">
        <v>46</v>
      </c>
      <c r="B47" s="190" t="s">
        <v>649</v>
      </c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89">
        <v>0</v>
      </c>
      <c r="T47">
        <f t="shared" si="0"/>
        <v>0</v>
      </c>
    </row>
    <row r="48" spans="1:20" x14ac:dyDescent="0.25">
      <c r="A48" s="189">
        <v>47</v>
      </c>
      <c r="B48" s="190" t="s">
        <v>642</v>
      </c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89">
        <v>0</v>
      </c>
      <c r="T48">
        <f t="shared" si="0"/>
        <v>0</v>
      </c>
    </row>
    <row r="49" spans="1:20" x14ac:dyDescent="0.25">
      <c r="A49" s="189">
        <v>48</v>
      </c>
      <c r="B49" s="190" t="s">
        <v>643</v>
      </c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89">
        <v>0</v>
      </c>
      <c r="T49">
        <f t="shared" si="0"/>
        <v>0</v>
      </c>
    </row>
    <row r="50" spans="1:20" x14ac:dyDescent="0.25">
      <c r="A50" s="189">
        <v>49</v>
      </c>
      <c r="B50" s="190" t="s">
        <v>644</v>
      </c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89">
        <v>0</v>
      </c>
      <c r="T50">
        <f t="shared" si="0"/>
        <v>0</v>
      </c>
    </row>
    <row r="51" spans="1:20" x14ac:dyDescent="0.25">
      <c r="A51" s="189">
        <v>50</v>
      </c>
      <c r="B51" s="190" t="s">
        <v>646</v>
      </c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89">
        <v>0</v>
      </c>
      <c r="T51">
        <f t="shared" si="0"/>
        <v>0</v>
      </c>
    </row>
    <row r="52" spans="1:20" x14ac:dyDescent="0.25">
      <c r="A52" s="189">
        <v>51</v>
      </c>
      <c r="B52" s="190" t="s">
        <v>647</v>
      </c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89">
        <v>0</v>
      </c>
      <c r="T52">
        <f t="shared" si="0"/>
        <v>0</v>
      </c>
    </row>
    <row r="53" spans="1:20" x14ac:dyDescent="0.25">
      <c r="A53" s="189">
        <v>52</v>
      </c>
      <c r="B53" s="190" t="s">
        <v>652</v>
      </c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89">
        <v>0</v>
      </c>
      <c r="T53">
        <f t="shared" si="0"/>
        <v>0</v>
      </c>
    </row>
    <row r="54" spans="1:20" x14ac:dyDescent="0.25">
      <c r="A54" s="189">
        <v>53</v>
      </c>
      <c r="B54" s="190" t="s">
        <v>653</v>
      </c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89">
        <v>0</v>
      </c>
      <c r="T54">
        <f t="shared" si="0"/>
        <v>0</v>
      </c>
    </row>
    <row r="55" spans="1:20" x14ac:dyDescent="0.25">
      <c r="A55" s="189">
        <v>54</v>
      </c>
      <c r="B55" s="190" t="s">
        <v>654</v>
      </c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89">
        <v>0</v>
      </c>
      <c r="T55">
        <f t="shared" si="0"/>
        <v>0</v>
      </c>
    </row>
    <row r="56" spans="1:20" x14ac:dyDescent="0.25">
      <c r="A56" s="189">
        <v>55</v>
      </c>
      <c r="B56" s="190" t="s">
        <v>655</v>
      </c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89">
        <v>0</v>
      </c>
      <c r="T56">
        <f t="shared" si="0"/>
        <v>0</v>
      </c>
    </row>
    <row r="57" spans="1:20" x14ac:dyDescent="0.25">
      <c r="A57" s="189">
        <v>56</v>
      </c>
      <c r="B57" s="190" t="s">
        <v>656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89">
        <v>0</v>
      </c>
      <c r="T57">
        <f t="shared" si="0"/>
        <v>0</v>
      </c>
    </row>
    <row r="58" spans="1:20" x14ac:dyDescent="0.25">
      <c r="A58" s="189">
        <v>57</v>
      </c>
      <c r="B58" s="190" t="s">
        <v>657</v>
      </c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89">
        <v>0</v>
      </c>
      <c r="T58">
        <f t="shared" si="0"/>
        <v>0</v>
      </c>
    </row>
    <row r="59" spans="1:20" x14ac:dyDescent="0.25">
      <c r="A59" s="189">
        <v>58</v>
      </c>
      <c r="B59" s="190" t="s">
        <v>658</v>
      </c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89">
        <v>0</v>
      </c>
      <c r="T59">
        <f t="shared" si="0"/>
        <v>0</v>
      </c>
    </row>
    <row r="60" spans="1:20" x14ac:dyDescent="0.25">
      <c r="A60" s="189">
        <v>59</v>
      </c>
      <c r="B60" s="190" t="s">
        <v>659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89">
        <v>0</v>
      </c>
      <c r="T60">
        <f t="shared" si="0"/>
        <v>0</v>
      </c>
    </row>
    <row r="61" spans="1:20" x14ac:dyDescent="0.25">
      <c r="A61" s="189">
        <v>60</v>
      </c>
      <c r="B61" s="190" t="s">
        <v>660</v>
      </c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89">
        <v>0</v>
      </c>
      <c r="T61">
        <f t="shared" si="0"/>
        <v>0</v>
      </c>
    </row>
    <row r="62" spans="1:20" x14ac:dyDescent="0.25">
      <c r="A62" s="189">
        <v>61</v>
      </c>
      <c r="B62" s="190" t="s">
        <v>661</v>
      </c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89">
        <v>0</v>
      </c>
      <c r="T62">
        <f t="shared" si="0"/>
        <v>0</v>
      </c>
    </row>
    <row r="63" spans="1:20" x14ac:dyDescent="0.25">
      <c r="A63" s="189">
        <v>62</v>
      </c>
      <c r="B63" s="190" t="s">
        <v>662</v>
      </c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89">
        <v>0</v>
      </c>
      <c r="T63">
        <f t="shared" si="0"/>
        <v>0</v>
      </c>
    </row>
    <row r="64" spans="1:20" x14ac:dyDescent="0.25">
      <c r="A64" s="189">
        <v>63</v>
      </c>
      <c r="B64" s="190" t="s">
        <v>668</v>
      </c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89">
        <v>0</v>
      </c>
      <c r="T64">
        <f t="shared" si="0"/>
        <v>0</v>
      </c>
    </row>
    <row r="65" spans="1:18" x14ac:dyDescent="0.2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218">
        <v>360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5"/>
  <sheetViews>
    <sheetView workbookViewId="0">
      <selection activeCell="T22" sqref="T22"/>
    </sheetView>
  </sheetViews>
  <sheetFormatPr defaultRowHeight="15" x14ac:dyDescent="0.25"/>
  <sheetData>
    <row r="1" spans="1:20" x14ac:dyDescent="0.25">
      <c r="A1" s="219" t="s">
        <v>1</v>
      </c>
      <c r="B1" s="219" t="s">
        <v>6</v>
      </c>
      <c r="C1" s="219" t="s">
        <v>46</v>
      </c>
      <c r="D1" s="219" t="s">
        <v>47</v>
      </c>
      <c r="E1" s="219" t="s">
        <v>48</v>
      </c>
      <c r="F1" s="219" t="s">
        <v>49</v>
      </c>
      <c r="G1" s="219" t="s">
        <v>50</v>
      </c>
      <c r="H1" s="219" t="s">
        <v>51</v>
      </c>
      <c r="I1" s="219" t="s">
        <v>52</v>
      </c>
      <c r="J1" s="219" t="s">
        <v>53</v>
      </c>
      <c r="K1" s="219" t="s">
        <v>54</v>
      </c>
      <c r="L1" s="219" t="s">
        <v>55</v>
      </c>
      <c r="M1" s="219" t="s">
        <v>56</v>
      </c>
      <c r="N1" s="219" t="s">
        <v>57</v>
      </c>
      <c r="O1" s="219" t="s">
        <v>58</v>
      </c>
      <c r="P1" s="219" t="s">
        <v>59</v>
      </c>
      <c r="Q1" s="219" t="s">
        <v>667</v>
      </c>
      <c r="R1" s="219" t="s">
        <v>2</v>
      </c>
    </row>
    <row r="2" spans="1:20" x14ac:dyDescent="0.25">
      <c r="A2" s="220">
        <v>1</v>
      </c>
      <c r="B2" s="221" t="s">
        <v>10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0">
        <v>0</v>
      </c>
      <c r="T2">
        <f t="shared" ref="T2:T64" si="0">C2+D2+E2+F2+G2+H2+I2+J2+K2+L2+M2+N2+O2+P2+Q2</f>
        <v>0</v>
      </c>
    </row>
    <row r="3" spans="1:20" x14ac:dyDescent="0.25">
      <c r="A3" s="220">
        <v>2</v>
      </c>
      <c r="B3" s="221" t="s">
        <v>11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0">
        <v>0</v>
      </c>
      <c r="T3">
        <f t="shared" si="0"/>
        <v>0</v>
      </c>
    </row>
    <row r="4" spans="1:20" x14ac:dyDescent="0.25">
      <c r="A4" s="220">
        <v>3</v>
      </c>
      <c r="B4" s="221" t="s">
        <v>12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0">
        <v>0</v>
      </c>
      <c r="T4">
        <f t="shared" si="0"/>
        <v>0</v>
      </c>
    </row>
    <row r="5" spans="1:20" x14ac:dyDescent="0.25">
      <c r="A5" s="220">
        <v>4</v>
      </c>
      <c r="B5" s="221" t="s">
        <v>651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0">
        <v>0</v>
      </c>
      <c r="T5">
        <f t="shared" si="0"/>
        <v>0</v>
      </c>
    </row>
    <row r="6" spans="1:20" x14ac:dyDescent="0.25">
      <c r="A6" s="220">
        <v>5</v>
      </c>
      <c r="B6" s="221" t="s">
        <v>14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0">
        <v>0</v>
      </c>
      <c r="T6">
        <f t="shared" si="0"/>
        <v>0</v>
      </c>
    </row>
    <row r="7" spans="1:20" x14ac:dyDescent="0.25">
      <c r="A7" s="220">
        <v>6</v>
      </c>
      <c r="B7" s="221" t="s">
        <v>15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0">
        <v>0</v>
      </c>
      <c r="T7">
        <f t="shared" si="0"/>
        <v>0</v>
      </c>
    </row>
    <row r="8" spans="1:20" x14ac:dyDescent="0.25">
      <c r="A8" s="220">
        <v>7</v>
      </c>
      <c r="B8" s="221" t="s">
        <v>16</v>
      </c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0">
        <v>0</v>
      </c>
      <c r="T8">
        <f t="shared" si="0"/>
        <v>0</v>
      </c>
    </row>
    <row r="9" spans="1:20" x14ac:dyDescent="0.25">
      <c r="A9" s="220">
        <v>8</v>
      </c>
      <c r="B9" s="221" t="s">
        <v>4</v>
      </c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0">
        <v>0</v>
      </c>
      <c r="T9">
        <f t="shared" si="0"/>
        <v>0</v>
      </c>
    </row>
    <row r="10" spans="1:20" x14ac:dyDescent="0.25">
      <c r="A10" s="220">
        <v>9</v>
      </c>
      <c r="B10" s="221" t="s">
        <v>5</v>
      </c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0">
        <v>0</v>
      </c>
      <c r="T10">
        <f t="shared" si="0"/>
        <v>0</v>
      </c>
    </row>
    <row r="11" spans="1:20" x14ac:dyDescent="0.25">
      <c r="A11" s="220">
        <v>10</v>
      </c>
      <c r="B11" s="221" t="s">
        <v>38</v>
      </c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0">
        <v>0</v>
      </c>
      <c r="T11">
        <f t="shared" si="0"/>
        <v>0</v>
      </c>
    </row>
    <row r="12" spans="1:20" x14ac:dyDescent="0.25">
      <c r="A12" s="220">
        <v>11</v>
      </c>
      <c r="B12" s="221" t="s">
        <v>43</v>
      </c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0">
        <v>0</v>
      </c>
      <c r="T12">
        <f t="shared" si="0"/>
        <v>0</v>
      </c>
    </row>
    <row r="13" spans="1:20" x14ac:dyDescent="0.25">
      <c r="A13" s="220">
        <v>12</v>
      </c>
      <c r="B13" s="221" t="s">
        <v>639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0">
        <v>0</v>
      </c>
      <c r="T13">
        <f t="shared" si="0"/>
        <v>0</v>
      </c>
    </row>
    <row r="14" spans="1:20" x14ac:dyDescent="0.25">
      <c r="A14" s="220">
        <v>13</v>
      </c>
      <c r="B14" s="221" t="s">
        <v>87</v>
      </c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0">
        <v>0</v>
      </c>
      <c r="T14">
        <f t="shared" si="0"/>
        <v>0</v>
      </c>
    </row>
    <row r="15" spans="1:20" x14ac:dyDescent="0.25">
      <c r="A15" s="220">
        <v>14</v>
      </c>
      <c r="B15" s="221" t="s">
        <v>95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0">
        <v>0</v>
      </c>
      <c r="T15">
        <f t="shared" si="0"/>
        <v>0</v>
      </c>
    </row>
    <row r="16" spans="1:20" x14ac:dyDescent="0.25">
      <c r="A16" s="220">
        <v>15</v>
      </c>
      <c r="B16" s="221" t="s">
        <v>96</v>
      </c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0">
        <v>0</v>
      </c>
      <c r="T16">
        <f t="shared" si="0"/>
        <v>0</v>
      </c>
    </row>
    <row r="17" spans="1:20" x14ac:dyDescent="0.25">
      <c r="A17" s="220">
        <v>16</v>
      </c>
      <c r="B17" s="221" t="s">
        <v>97</v>
      </c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0">
        <v>0</v>
      </c>
      <c r="T17">
        <f t="shared" si="0"/>
        <v>0</v>
      </c>
    </row>
    <row r="18" spans="1:20" x14ac:dyDescent="0.25">
      <c r="A18" s="220">
        <v>17</v>
      </c>
      <c r="B18" s="221" t="s">
        <v>98</v>
      </c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0">
        <v>0</v>
      </c>
      <c r="T18">
        <f t="shared" si="0"/>
        <v>0</v>
      </c>
    </row>
    <row r="19" spans="1:20" x14ac:dyDescent="0.25">
      <c r="A19" s="220">
        <v>18</v>
      </c>
      <c r="B19" s="221" t="s">
        <v>616</v>
      </c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0">
        <v>0</v>
      </c>
      <c r="T19">
        <f t="shared" si="0"/>
        <v>0</v>
      </c>
    </row>
    <row r="20" spans="1:20" x14ac:dyDescent="0.25">
      <c r="A20" s="220">
        <v>19</v>
      </c>
      <c r="B20" s="221" t="s">
        <v>617</v>
      </c>
      <c r="C20" s="221"/>
      <c r="D20" s="221" t="s">
        <v>54</v>
      </c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2">
        <v>24</v>
      </c>
      <c r="T20">
        <f t="shared" si="0"/>
        <v>24</v>
      </c>
    </row>
    <row r="21" spans="1:20" x14ac:dyDescent="0.25">
      <c r="A21" s="220">
        <v>20</v>
      </c>
      <c r="B21" s="221" t="s">
        <v>626</v>
      </c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0">
        <v>0</v>
      </c>
      <c r="T21">
        <f t="shared" si="0"/>
        <v>0</v>
      </c>
    </row>
    <row r="22" spans="1:20" x14ac:dyDescent="0.25">
      <c r="A22" s="220">
        <v>21</v>
      </c>
      <c r="B22" s="221" t="s">
        <v>618</v>
      </c>
      <c r="C22" s="221"/>
      <c r="D22" s="221" t="s">
        <v>54</v>
      </c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2">
        <v>24</v>
      </c>
      <c r="T22">
        <f t="shared" si="0"/>
        <v>24</v>
      </c>
    </row>
    <row r="23" spans="1:20" x14ac:dyDescent="0.25">
      <c r="A23" s="220">
        <v>22</v>
      </c>
      <c r="B23" s="221" t="s">
        <v>619</v>
      </c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0">
        <v>0</v>
      </c>
      <c r="T23">
        <f t="shared" si="0"/>
        <v>0</v>
      </c>
    </row>
    <row r="24" spans="1:20" x14ac:dyDescent="0.25">
      <c r="A24" s="220">
        <v>23</v>
      </c>
      <c r="B24" s="221" t="s">
        <v>620</v>
      </c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0">
        <v>0</v>
      </c>
      <c r="T24">
        <f t="shared" si="0"/>
        <v>0</v>
      </c>
    </row>
    <row r="25" spans="1:20" x14ac:dyDescent="0.25">
      <c r="A25" s="220">
        <v>24</v>
      </c>
      <c r="B25" s="221" t="s">
        <v>650</v>
      </c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0">
        <v>0</v>
      </c>
      <c r="T25">
        <f t="shared" si="0"/>
        <v>0</v>
      </c>
    </row>
    <row r="26" spans="1:20" x14ac:dyDescent="0.25">
      <c r="A26" s="220">
        <v>25</v>
      </c>
      <c r="B26" s="221" t="s">
        <v>621</v>
      </c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0">
        <v>0</v>
      </c>
      <c r="T26">
        <f t="shared" si="0"/>
        <v>0</v>
      </c>
    </row>
    <row r="27" spans="1:20" x14ac:dyDescent="0.25">
      <c r="A27" s="220">
        <v>26</v>
      </c>
      <c r="B27" s="221" t="s">
        <v>622</v>
      </c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0">
        <v>0</v>
      </c>
      <c r="T27">
        <f t="shared" si="0"/>
        <v>0</v>
      </c>
    </row>
    <row r="28" spans="1:20" x14ac:dyDescent="0.25">
      <c r="A28" s="220">
        <v>27</v>
      </c>
      <c r="B28" s="221" t="s">
        <v>623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0">
        <v>0</v>
      </c>
      <c r="T28">
        <f t="shared" si="0"/>
        <v>0</v>
      </c>
    </row>
    <row r="29" spans="1:20" x14ac:dyDescent="0.25">
      <c r="A29" s="220">
        <v>28</v>
      </c>
      <c r="B29" s="221" t="s">
        <v>624</v>
      </c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0">
        <v>0</v>
      </c>
      <c r="T29">
        <f t="shared" si="0"/>
        <v>0</v>
      </c>
    </row>
    <row r="30" spans="1:20" x14ac:dyDescent="0.25">
      <c r="A30" s="220">
        <v>29</v>
      </c>
      <c r="B30" s="221" t="s">
        <v>627</v>
      </c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0">
        <v>0</v>
      </c>
      <c r="T30">
        <f t="shared" si="0"/>
        <v>0</v>
      </c>
    </row>
    <row r="31" spans="1:20" x14ac:dyDescent="0.25">
      <c r="A31" s="220">
        <v>30</v>
      </c>
      <c r="B31" s="221" t="s">
        <v>625</v>
      </c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0">
        <v>0</v>
      </c>
      <c r="T31">
        <f t="shared" si="0"/>
        <v>0</v>
      </c>
    </row>
    <row r="32" spans="1:20" x14ac:dyDescent="0.25">
      <c r="A32" s="220">
        <v>31</v>
      </c>
      <c r="B32" s="221" t="s">
        <v>34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0">
        <v>0</v>
      </c>
      <c r="T32">
        <f t="shared" si="0"/>
        <v>0</v>
      </c>
    </row>
    <row r="33" spans="1:20" x14ac:dyDescent="0.25">
      <c r="A33" s="220">
        <v>32</v>
      </c>
      <c r="B33" s="221" t="s">
        <v>45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0">
        <v>0</v>
      </c>
      <c r="T33">
        <f t="shared" si="0"/>
        <v>0</v>
      </c>
    </row>
    <row r="34" spans="1:20" x14ac:dyDescent="0.25">
      <c r="A34" s="220">
        <v>33</v>
      </c>
      <c r="B34" s="221" t="s">
        <v>630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0">
        <v>0</v>
      </c>
      <c r="T34">
        <f t="shared" si="0"/>
        <v>0</v>
      </c>
    </row>
    <row r="35" spans="1:20" x14ac:dyDescent="0.25">
      <c r="A35" s="220">
        <v>34</v>
      </c>
      <c r="B35" s="221" t="s">
        <v>628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0">
        <v>0</v>
      </c>
      <c r="T35">
        <f t="shared" si="0"/>
        <v>0</v>
      </c>
    </row>
    <row r="36" spans="1:20" x14ac:dyDescent="0.25">
      <c r="A36" s="220">
        <v>35</v>
      </c>
      <c r="B36" s="221" t="s">
        <v>629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0">
        <v>0</v>
      </c>
      <c r="T36">
        <f t="shared" si="0"/>
        <v>0</v>
      </c>
    </row>
    <row r="37" spans="1:20" x14ac:dyDescent="0.25">
      <c r="A37" s="220">
        <v>36</v>
      </c>
      <c r="B37" s="221" t="s">
        <v>631</v>
      </c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0">
        <v>0</v>
      </c>
      <c r="T37">
        <f t="shared" si="0"/>
        <v>0</v>
      </c>
    </row>
    <row r="38" spans="1:20" x14ac:dyDescent="0.25">
      <c r="A38" s="220">
        <v>37</v>
      </c>
      <c r="B38" s="221" t="s">
        <v>632</v>
      </c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0">
        <v>0</v>
      </c>
      <c r="T38">
        <f t="shared" si="0"/>
        <v>0</v>
      </c>
    </row>
    <row r="39" spans="1:20" x14ac:dyDescent="0.25">
      <c r="A39" s="220">
        <v>38</v>
      </c>
      <c r="B39" s="221" t="s">
        <v>633</v>
      </c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0">
        <v>0</v>
      </c>
      <c r="T39">
        <f t="shared" si="0"/>
        <v>0</v>
      </c>
    </row>
    <row r="40" spans="1:20" x14ac:dyDescent="0.25">
      <c r="A40" s="220">
        <v>39</v>
      </c>
      <c r="B40" s="221" t="s">
        <v>634</v>
      </c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0">
        <v>0</v>
      </c>
      <c r="T40">
        <f t="shared" si="0"/>
        <v>0</v>
      </c>
    </row>
    <row r="41" spans="1:20" x14ac:dyDescent="0.25">
      <c r="A41" s="220">
        <v>40</v>
      </c>
      <c r="B41" s="221" t="s">
        <v>636</v>
      </c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0">
        <v>0</v>
      </c>
      <c r="T41">
        <f t="shared" si="0"/>
        <v>0</v>
      </c>
    </row>
    <row r="42" spans="1:20" x14ac:dyDescent="0.25">
      <c r="A42" s="220">
        <v>41</v>
      </c>
      <c r="B42" s="221" t="s">
        <v>637</v>
      </c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0">
        <v>0</v>
      </c>
      <c r="T42">
        <f t="shared" si="0"/>
        <v>0</v>
      </c>
    </row>
    <row r="43" spans="1:20" x14ac:dyDescent="0.25">
      <c r="A43" s="220">
        <v>42</v>
      </c>
      <c r="B43" s="221" t="s">
        <v>640</v>
      </c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0">
        <v>0</v>
      </c>
      <c r="T43">
        <f t="shared" si="0"/>
        <v>0</v>
      </c>
    </row>
    <row r="44" spans="1:20" x14ac:dyDescent="0.25">
      <c r="A44" s="220">
        <v>43</v>
      </c>
      <c r="B44" s="221" t="s">
        <v>638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0">
        <v>0</v>
      </c>
      <c r="T44">
        <f t="shared" si="0"/>
        <v>0</v>
      </c>
    </row>
    <row r="45" spans="1:20" x14ac:dyDescent="0.25">
      <c r="A45" s="220">
        <v>44</v>
      </c>
      <c r="B45" s="221" t="s">
        <v>635</v>
      </c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0">
        <v>0</v>
      </c>
      <c r="T45">
        <f t="shared" si="0"/>
        <v>0</v>
      </c>
    </row>
    <row r="46" spans="1:20" x14ac:dyDescent="0.25">
      <c r="A46" s="220">
        <v>45</v>
      </c>
      <c r="B46" s="221" t="s">
        <v>641</v>
      </c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0">
        <v>0</v>
      </c>
      <c r="T46">
        <f t="shared" si="0"/>
        <v>0</v>
      </c>
    </row>
    <row r="47" spans="1:20" x14ac:dyDescent="0.25">
      <c r="A47" s="220">
        <v>46</v>
      </c>
      <c r="B47" s="221" t="s">
        <v>649</v>
      </c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0">
        <v>0</v>
      </c>
      <c r="T47">
        <f t="shared" si="0"/>
        <v>0</v>
      </c>
    </row>
    <row r="48" spans="1:20" x14ac:dyDescent="0.25">
      <c r="A48" s="220">
        <v>47</v>
      </c>
      <c r="B48" s="221" t="s">
        <v>642</v>
      </c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0">
        <v>0</v>
      </c>
      <c r="T48">
        <f t="shared" si="0"/>
        <v>0</v>
      </c>
    </row>
    <row r="49" spans="1:20" x14ac:dyDescent="0.25">
      <c r="A49" s="220">
        <v>48</v>
      </c>
      <c r="B49" s="221" t="s">
        <v>643</v>
      </c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0">
        <v>0</v>
      </c>
      <c r="T49">
        <f t="shared" si="0"/>
        <v>0</v>
      </c>
    </row>
    <row r="50" spans="1:20" x14ac:dyDescent="0.25">
      <c r="A50" s="220">
        <v>49</v>
      </c>
      <c r="B50" s="221" t="s">
        <v>644</v>
      </c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0">
        <v>0</v>
      </c>
      <c r="T50">
        <f t="shared" si="0"/>
        <v>0</v>
      </c>
    </row>
    <row r="51" spans="1:20" x14ac:dyDescent="0.25">
      <c r="A51" s="220">
        <v>50</v>
      </c>
      <c r="B51" s="221" t="s">
        <v>646</v>
      </c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0">
        <v>0</v>
      </c>
      <c r="T51">
        <f t="shared" si="0"/>
        <v>0</v>
      </c>
    </row>
    <row r="52" spans="1:20" x14ac:dyDescent="0.25">
      <c r="A52" s="220">
        <v>51</v>
      </c>
      <c r="B52" s="221" t="s">
        <v>647</v>
      </c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0">
        <v>0</v>
      </c>
      <c r="T52">
        <f t="shared" si="0"/>
        <v>0</v>
      </c>
    </row>
    <row r="53" spans="1:20" x14ac:dyDescent="0.25">
      <c r="A53" s="220">
        <v>52</v>
      </c>
      <c r="B53" s="221" t="s">
        <v>652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0">
        <v>0</v>
      </c>
      <c r="T53">
        <f t="shared" si="0"/>
        <v>0</v>
      </c>
    </row>
    <row r="54" spans="1:20" x14ac:dyDescent="0.25">
      <c r="A54" s="220">
        <v>53</v>
      </c>
      <c r="B54" s="221" t="s">
        <v>653</v>
      </c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0">
        <v>0</v>
      </c>
      <c r="T54">
        <f t="shared" si="0"/>
        <v>0</v>
      </c>
    </row>
    <row r="55" spans="1:20" x14ac:dyDescent="0.25">
      <c r="A55" s="220">
        <v>54</v>
      </c>
      <c r="B55" s="221" t="s">
        <v>654</v>
      </c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0">
        <v>0</v>
      </c>
      <c r="T55">
        <f t="shared" si="0"/>
        <v>0</v>
      </c>
    </row>
    <row r="56" spans="1:20" x14ac:dyDescent="0.25">
      <c r="A56" s="220">
        <v>55</v>
      </c>
      <c r="B56" s="221" t="s">
        <v>655</v>
      </c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0">
        <v>0</v>
      </c>
      <c r="T56">
        <f t="shared" si="0"/>
        <v>0</v>
      </c>
    </row>
    <row r="57" spans="1:20" x14ac:dyDescent="0.25">
      <c r="A57" s="220">
        <v>56</v>
      </c>
      <c r="B57" s="221" t="s">
        <v>656</v>
      </c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0">
        <v>0</v>
      </c>
      <c r="T57">
        <f t="shared" si="0"/>
        <v>0</v>
      </c>
    </row>
    <row r="58" spans="1:20" x14ac:dyDescent="0.25">
      <c r="A58" s="220">
        <v>57</v>
      </c>
      <c r="B58" s="221" t="s">
        <v>657</v>
      </c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0">
        <v>0</v>
      </c>
      <c r="T58">
        <f t="shared" si="0"/>
        <v>0</v>
      </c>
    </row>
    <row r="59" spans="1:20" x14ac:dyDescent="0.25">
      <c r="A59" s="220">
        <v>58</v>
      </c>
      <c r="B59" s="221" t="s">
        <v>658</v>
      </c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0">
        <v>0</v>
      </c>
      <c r="T59">
        <f t="shared" si="0"/>
        <v>0</v>
      </c>
    </row>
    <row r="60" spans="1:20" x14ac:dyDescent="0.25">
      <c r="A60" s="220">
        <v>59</v>
      </c>
      <c r="B60" s="221" t="s">
        <v>659</v>
      </c>
      <c r="C60" s="221"/>
      <c r="D60" s="221" t="s">
        <v>54</v>
      </c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2">
        <v>24</v>
      </c>
      <c r="T60">
        <f t="shared" si="0"/>
        <v>24</v>
      </c>
    </row>
    <row r="61" spans="1:20" x14ac:dyDescent="0.25">
      <c r="A61" s="220">
        <v>60</v>
      </c>
      <c r="B61" s="221" t="s">
        <v>660</v>
      </c>
      <c r="C61" s="221"/>
      <c r="D61" s="221" t="s">
        <v>54</v>
      </c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2">
        <v>24</v>
      </c>
      <c r="T61">
        <f t="shared" si="0"/>
        <v>24</v>
      </c>
    </row>
    <row r="62" spans="1:20" x14ac:dyDescent="0.25">
      <c r="A62" s="220">
        <v>61</v>
      </c>
      <c r="B62" s="221" t="s">
        <v>661</v>
      </c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0">
        <v>0</v>
      </c>
      <c r="T62">
        <f t="shared" si="0"/>
        <v>0</v>
      </c>
    </row>
    <row r="63" spans="1:20" x14ac:dyDescent="0.25">
      <c r="A63" s="220">
        <v>62</v>
      </c>
      <c r="B63" s="221" t="s">
        <v>662</v>
      </c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0">
        <v>0</v>
      </c>
      <c r="T63">
        <f t="shared" si="0"/>
        <v>0</v>
      </c>
    </row>
    <row r="64" spans="1:20" x14ac:dyDescent="0.25">
      <c r="A64" s="220">
        <v>63</v>
      </c>
      <c r="B64" s="221" t="s">
        <v>668</v>
      </c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0">
        <v>0</v>
      </c>
      <c r="T64">
        <f t="shared" si="0"/>
        <v>0</v>
      </c>
    </row>
    <row r="65" spans="1:18" x14ac:dyDescent="0.25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23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65"/>
  <sheetViews>
    <sheetView workbookViewId="0">
      <selection activeCell="T20" sqref="T20"/>
    </sheetView>
  </sheetViews>
  <sheetFormatPr defaultRowHeight="15" x14ac:dyDescent="0.25"/>
  <sheetData>
    <row r="1" spans="1:20" x14ac:dyDescent="0.25">
      <c r="A1" s="224" t="s">
        <v>1</v>
      </c>
      <c r="B1" s="224" t="s">
        <v>6</v>
      </c>
      <c r="C1" s="224" t="s">
        <v>46</v>
      </c>
      <c r="D1" s="224" t="s">
        <v>47</v>
      </c>
      <c r="E1" s="224" t="s">
        <v>48</v>
      </c>
      <c r="F1" s="224" t="s">
        <v>49</v>
      </c>
      <c r="G1" s="224" t="s">
        <v>50</v>
      </c>
      <c r="H1" s="224" t="s">
        <v>51</v>
      </c>
      <c r="I1" s="224" t="s">
        <v>52</v>
      </c>
      <c r="J1" s="224" t="s">
        <v>53</v>
      </c>
      <c r="K1" s="224" t="s">
        <v>54</v>
      </c>
      <c r="L1" s="224" t="s">
        <v>55</v>
      </c>
      <c r="M1" s="224" t="s">
        <v>56</v>
      </c>
      <c r="N1" s="224" t="s">
        <v>57</v>
      </c>
      <c r="O1" s="224" t="s">
        <v>58</v>
      </c>
      <c r="P1" s="224" t="s">
        <v>59</v>
      </c>
      <c r="Q1" s="224" t="s">
        <v>667</v>
      </c>
      <c r="R1" s="224" t="s">
        <v>2</v>
      </c>
    </row>
    <row r="2" spans="1:20" x14ac:dyDescent="0.25">
      <c r="A2" s="225">
        <v>1</v>
      </c>
      <c r="B2" s="226" t="s">
        <v>10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5">
        <v>0</v>
      </c>
      <c r="T2">
        <f t="shared" ref="T2:T64" si="0">C2+D2+E2+F2+G2+H2+I2+J2+K2+L2+M2+N2+O2+P2+Q2</f>
        <v>0</v>
      </c>
    </row>
    <row r="3" spans="1:20" x14ac:dyDescent="0.25">
      <c r="A3" s="225">
        <v>2</v>
      </c>
      <c r="B3" s="226" t="s">
        <v>11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5">
        <v>0</v>
      </c>
      <c r="T3">
        <f t="shared" si="0"/>
        <v>0</v>
      </c>
    </row>
    <row r="4" spans="1:20" x14ac:dyDescent="0.25">
      <c r="A4" s="225">
        <v>3</v>
      </c>
      <c r="B4" s="226" t="s">
        <v>12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5">
        <v>0</v>
      </c>
      <c r="T4">
        <f t="shared" si="0"/>
        <v>0</v>
      </c>
    </row>
    <row r="5" spans="1:20" x14ac:dyDescent="0.25">
      <c r="A5" s="225">
        <v>4</v>
      </c>
      <c r="B5" s="226" t="s">
        <v>651</v>
      </c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5">
        <v>0</v>
      </c>
      <c r="T5">
        <f t="shared" si="0"/>
        <v>0</v>
      </c>
    </row>
    <row r="6" spans="1:20" x14ac:dyDescent="0.25">
      <c r="A6" s="225">
        <v>5</v>
      </c>
      <c r="B6" s="226" t="s">
        <v>14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5">
        <v>0</v>
      </c>
      <c r="T6">
        <f t="shared" si="0"/>
        <v>0</v>
      </c>
    </row>
    <row r="7" spans="1:20" x14ac:dyDescent="0.25">
      <c r="A7" s="225">
        <v>6</v>
      </c>
      <c r="B7" s="226" t="s">
        <v>15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5">
        <v>0</v>
      </c>
      <c r="T7">
        <f t="shared" si="0"/>
        <v>0</v>
      </c>
    </row>
    <row r="8" spans="1:20" x14ac:dyDescent="0.25">
      <c r="A8" s="225">
        <v>7</v>
      </c>
      <c r="B8" s="226" t="s">
        <v>16</v>
      </c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5">
        <v>0</v>
      </c>
      <c r="T8">
        <f t="shared" si="0"/>
        <v>0</v>
      </c>
    </row>
    <row r="9" spans="1:20" x14ac:dyDescent="0.25">
      <c r="A9" s="225">
        <v>8</v>
      </c>
      <c r="B9" s="226" t="s">
        <v>4</v>
      </c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5">
        <v>0</v>
      </c>
      <c r="T9">
        <f t="shared" si="0"/>
        <v>0</v>
      </c>
    </row>
    <row r="10" spans="1:20" x14ac:dyDescent="0.25">
      <c r="A10" s="225">
        <v>9</v>
      </c>
      <c r="B10" s="226" t="s">
        <v>5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5">
        <v>0</v>
      </c>
      <c r="T10">
        <f t="shared" si="0"/>
        <v>0</v>
      </c>
    </row>
    <row r="11" spans="1:20" x14ac:dyDescent="0.25">
      <c r="A11" s="225">
        <v>10</v>
      </c>
      <c r="B11" s="226" t="s">
        <v>38</v>
      </c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5">
        <v>0</v>
      </c>
      <c r="T11">
        <f t="shared" si="0"/>
        <v>0</v>
      </c>
    </row>
    <row r="12" spans="1:20" x14ac:dyDescent="0.25">
      <c r="A12" s="225">
        <v>11</v>
      </c>
      <c r="B12" s="226" t="s">
        <v>43</v>
      </c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5">
        <v>0</v>
      </c>
      <c r="T12">
        <f t="shared" si="0"/>
        <v>0</v>
      </c>
    </row>
    <row r="13" spans="1:20" x14ac:dyDescent="0.25">
      <c r="A13" s="225">
        <v>12</v>
      </c>
      <c r="B13" s="226" t="s">
        <v>639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5">
        <v>0</v>
      </c>
      <c r="T13">
        <f t="shared" si="0"/>
        <v>0</v>
      </c>
    </row>
    <row r="14" spans="1:20" x14ac:dyDescent="0.25">
      <c r="A14" s="225">
        <v>13</v>
      </c>
      <c r="B14" s="226" t="s">
        <v>87</v>
      </c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5">
        <v>0</v>
      </c>
      <c r="T14">
        <f t="shared" si="0"/>
        <v>0</v>
      </c>
    </row>
    <row r="15" spans="1:20" x14ac:dyDescent="0.25">
      <c r="A15" s="225">
        <v>14</v>
      </c>
      <c r="B15" s="226" t="s">
        <v>95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5">
        <v>0</v>
      </c>
      <c r="T15">
        <f t="shared" si="0"/>
        <v>0</v>
      </c>
    </row>
    <row r="16" spans="1:20" x14ac:dyDescent="0.25">
      <c r="A16" s="225">
        <v>15</v>
      </c>
      <c r="B16" s="226" t="s">
        <v>96</v>
      </c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5">
        <v>0</v>
      </c>
      <c r="T16">
        <f t="shared" si="0"/>
        <v>0</v>
      </c>
    </row>
    <row r="17" spans="1:20" x14ac:dyDescent="0.25">
      <c r="A17" s="225">
        <v>16</v>
      </c>
      <c r="B17" s="226" t="s">
        <v>97</v>
      </c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5">
        <v>0</v>
      </c>
      <c r="T17">
        <f t="shared" si="0"/>
        <v>0</v>
      </c>
    </row>
    <row r="18" spans="1:20" x14ac:dyDescent="0.25">
      <c r="A18" s="225">
        <v>17</v>
      </c>
      <c r="B18" s="226" t="s">
        <v>98</v>
      </c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5">
        <v>0</v>
      </c>
      <c r="T18">
        <f t="shared" si="0"/>
        <v>0</v>
      </c>
    </row>
    <row r="19" spans="1:20" x14ac:dyDescent="0.25">
      <c r="A19" s="225">
        <v>18</v>
      </c>
      <c r="B19" s="226" t="s">
        <v>616</v>
      </c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5">
        <v>0</v>
      </c>
      <c r="T19">
        <f t="shared" si="0"/>
        <v>0</v>
      </c>
    </row>
    <row r="20" spans="1:20" x14ac:dyDescent="0.25">
      <c r="A20" s="225">
        <v>19</v>
      </c>
      <c r="B20" s="226" t="s">
        <v>617</v>
      </c>
      <c r="C20" s="226"/>
      <c r="D20" s="226"/>
      <c r="E20" s="226" t="s">
        <v>54</v>
      </c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7">
        <v>24</v>
      </c>
      <c r="T20">
        <f t="shared" si="0"/>
        <v>24</v>
      </c>
    </row>
    <row r="21" spans="1:20" x14ac:dyDescent="0.25">
      <c r="A21" s="225">
        <v>20</v>
      </c>
      <c r="B21" s="226" t="s">
        <v>626</v>
      </c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5">
        <v>0</v>
      </c>
      <c r="T21">
        <f t="shared" si="0"/>
        <v>0</v>
      </c>
    </row>
    <row r="22" spans="1:20" x14ac:dyDescent="0.25">
      <c r="A22" s="225">
        <v>21</v>
      </c>
      <c r="B22" s="226" t="s">
        <v>618</v>
      </c>
      <c r="C22" s="226"/>
      <c r="D22" s="226"/>
      <c r="E22" s="226" t="s">
        <v>54</v>
      </c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7">
        <v>24</v>
      </c>
      <c r="T22">
        <f t="shared" si="0"/>
        <v>24</v>
      </c>
    </row>
    <row r="23" spans="1:20" x14ac:dyDescent="0.25">
      <c r="A23" s="225">
        <v>22</v>
      </c>
      <c r="B23" s="226" t="s">
        <v>619</v>
      </c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5">
        <v>0</v>
      </c>
      <c r="T23">
        <f t="shared" si="0"/>
        <v>0</v>
      </c>
    </row>
    <row r="24" spans="1:20" x14ac:dyDescent="0.25">
      <c r="A24" s="225">
        <v>23</v>
      </c>
      <c r="B24" s="226" t="s">
        <v>620</v>
      </c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5">
        <v>0</v>
      </c>
      <c r="T24">
        <f t="shared" si="0"/>
        <v>0</v>
      </c>
    </row>
    <row r="25" spans="1:20" x14ac:dyDescent="0.25">
      <c r="A25" s="225">
        <v>24</v>
      </c>
      <c r="B25" s="226" t="s">
        <v>650</v>
      </c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5">
        <v>0</v>
      </c>
      <c r="T25">
        <f t="shared" si="0"/>
        <v>0</v>
      </c>
    </row>
    <row r="26" spans="1:20" x14ac:dyDescent="0.25">
      <c r="A26" s="225">
        <v>25</v>
      </c>
      <c r="B26" s="226" t="s">
        <v>621</v>
      </c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5">
        <v>0</v>
      </c>
      <c r="T26">
        <f t="shared" si="0"/>
        <v>0</v>
      </c>
    </row>
    <row r="27" spans="1:20" x14ac:dyDescent="0.25">
      <c r="A27" s="225">
        <v>26</v>
      </c>
      <c r="B27" s="226" t="s">
        <v>622</v>
      </c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5">
        <v>0</v>
      </c>
      <c r="T27">
        <f t="shared" si="0"/>
        <v>0</v>
      </c>
    </row>
    <row r="28" spans="1:20" x14ac:dyDescent="0.25">
      <c r="A28" s="225">
        <v>27</v>
      </c>
      <c r="B28" s="226" t="s">
        <v>623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5">
        <v>0</v>
      </c>
      <c r="T28">
        <f t="shared" si="0"/>
        <v>0</v>
      </c>
    </row>
    <row r="29" spans="1:20" x14ac:dyDescent="0.25">
      <c r="A29" s="225">
        <v>28</v>
      </c>
      <c r="B29" s="226" t="s">
        <v>624</v>
      </c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5">
        <v>0</v>
      </c>
      <c r="T29">
        <f t="shared" si="0"/>
        <v>0</v>
      </c>
    </row>
    <row r="30" spans="1:20" x14ac:dyDescent="0.25">
      <c r="A30" s="225">
        <v>29</v>
      </c>
      <c r="B30" s="226" t="s">
        <v>627</v>
      </c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5">
        <v>0</v>
      </c>
      <c r="T30">
        <f t="shared" si="0"/>
        <v>0</v>
      </c>
    </row>
    <row r="31" spans="1:20" x14ac:dyDescent="0.25">
      <c r="A31" s="225">
        <v>30</v>
      </c>
      <c r="B31" s="226" t="s">
        <v>625</v>
      </c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5">
        <v>0</v>
      </c>
      <c r="T31">
        <f t="shared" si="0"/>
        <v>0</v>
      </c>
    </row>
    <row r="32" spans="1:20" x14ac:dyDescent="0.25">
      <c r="A32" s="225">
        <v>31</v>
      </c>
      <c r="B32" s="226" t="s">
        <v>34</v>
      </c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5">
        <v>0</v>
      </c>
      <c r="T32">
        <f t="shared" si="0"/>
        <v>0</v>
      </c>
    </row>
    <row r="33" spans="1:20" x14ac:dyDescent="0.25">
      <c r="A33" s="225">
        <v>32</v>
      </c>
      <c r="B33" s="226" t="s">
        <v>45</v>
      </c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5">
        <v>0</v>
      </c>
      <c r="T33">
        <f t="shared" si="0"/>
        <v>0</v>
      </c>
    </row>
    <row r="34" spans="1:20" x14ac:dyDescent="0.25">
      <c r="A34" s="225">
        <v>33</v>
      </c>
      <c r="B34" s="226" t="s">
        <v>630</v>
      </c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5">
        <v>0</v>
      </c>
      <c r="T34">
        <f t="shared" si="0"/>
        <v>0</v>
      </c>
    </row>
    <row r="35" spans="1:20" x14ac:dyDescent="0.25">
      <c r="A35" s="225">
        <v>34</v>
      </c>
      <c r="B35" s="226" t="s">
        <v>628</v>
      </c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5">
        <v>0</v>
      </c>
      <c r="T35">
        <f t="shared" si="0"/>
        <v>0</v>
      </c>
    </row>
    <row r="36" spans="1:20" x14ac:dyDescent="0.25">
      <c r="A36" s="225">
        <v>35</v>
      </c>
      <c r="B36" s="226" t="s">
        <v>629</v>
      </c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5">
        <v>0</v>
      </c>
      <c r="T36">
        <f t="shared" si="0"/>
        <v>0</v>
      </c>
    </row>
    <row r="37" spans="1:20" x14ac:dyDescent="0.25">
      <c r="A37" s="225">
        <v>36</v>
      </c>
      <c r="B37" s="226" t="s">
        <v>631</v>
      </c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5">
        <v>0</v>
      </c>
      <c r="T37">
        <f t="shared" si="0"/>
        <v>0</v>
      </c>
    </row>
    <row r="38" spans="1:20" x14ac:dyDescent="0.25">
      <c r="A38" s="225">
        <v>37</v>
      </c>
      <c r="B38" s="226" t="s">
        <v>632</v>
      </c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5">
        <v>0</v>
      </c>
      <c r="T38">
        <f t="shared" si="0"/>
        <v>0</v>
      </c>
    </row>
    <row r="39" spans="1:20" x14ac:dyDescent="0.25">
      <c r="A39" s="225">
        <v>38</v>
      </c>
      <c r="B39" s="226" t="s">
        <v>633</v>
      </c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5">
        <v>0</v>
      </c>
      <c r="T39">
        <f t="shared" si="0"/>
        <v>0</v>
      </c>
    </row>
    <row r="40" spans="1:20" x14ac:dyDescent="0.25">
      <c r="A40" s="225">
        <v>39</v>
      </c>
      <c r="B40" s="226" t="s">
        <v>634</v>
      </c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5">
        <v>0</v>
      </c>
      <c r="T40">
        <f t="shared" si="0"/>
        <v>0</v>
      </c>
    </row>
    <row r="41" spans="1:20" x14ac:dyDescent="0.25">
      <c r="A41" s="225">
        <v>40</v>
      </c>
      <c r="B41" s="226" t="s">
        <v>636</v>
      </c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5">
        <v>0</v>
      </c>
      <c r="T41">
        <f t="shared" si="0"/>
        <v>0</v>
      </c>
    </row>
    <row r="42" spans="1:20" x14ac:dyDescent="0.25">
      <c r="A42" s="225">
        <v>41</v>
      </c>
      <c r="B42" s="226" t="s">
        <v>637</v>
      </c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5">
        <v>0</v>
      </c>
      <c r="T42">
        <f t="shared" si="0"/>
        <v>0</v>
      </c>
    </row>
    <row r="43" spans="1:20" x14ac:dyDescent="0.25">
      <c r="A43" s="225">
        <v>42</v>
      </c>
      <c r="B43" s="226" t="s">
        <v>640</v>
      </c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5">
        <v>0</v>
      </c>
      <c r="T43">
        <f t="shared" si="0"/>
        <v>0</v>
      </c>
    </row>
    <row r="44" spans="1:20" x14ac:dyDescent="0.25">
      <c r="A44" s="225">
        <v>43</v>
      </c>
      <c r="B44" s="226" t="s">
        <v>638</v>
      </c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5">
        <v>0</v>
      </c>
      <c r="T44">
        <f t="shared" si="0"/>
        <v>0</v>
      </c>
    </row>
    <row r="45" spans="1:20" x14ac:dyDescent="0.25">
      <c r="A45" s="225">
        <v>44</v>
      </c>
      <c r="B45" s="226" t="s">
        <v>635</v>
      </c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5">
        <v>0</v>
      </c>
      <c r="T45">
        <f t="shared" si="0"/>
        <v>0</v>
      </c>
    </row>
    <row r="46" spans="1:20" x14ac:dyDescent="0.25">
      <c r="A46" s="225">
        <v>45</v>
      </c>
      <c r="B46" s="226" t="s">
        <v>641</v>
      </c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5">
        <v>0</v>
      </c>
      <c r="T46">
        <f t="shared" si="0"/>
        <v>0</v>
      </c>
    </row>
    <row r="47" spans="1:20" x14ac:dyDescent="0.25">
      <c r="A47" s="225">
        <v>46</v>
      </c>
      <c r="B47" s="226" t="s">
        <v>649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5">
        <v>0</v>
      </c>
      <c r="T47">
        <f t="shared" si="0"/>
        <v>0</v>
      </c>
    </row>
    <row r="48" spans="1:20" x14ac:dyDescent="0.25">
      <c r="A48" s="225">
        <v>47</v>
      </c>
      <c r="B48" s="226" t="s">
        <v>642</v>
      </c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5">
        <v>0</v>
      </c>
      <c r="T48">
        <f t="shared" si="0"/>
        <v>0</v>
      </c>
    </row>
    <row r="49" spans="1:20" x14ac:dyDescent="0.25">
      <c r="A49" s="225">
        <v>48</v>
      </c>
      <c r="B49" s="226" t="s">
        <v>643</v>
      </c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5">
        <v>0</v>
      </c>
      <c r="T49">
        <f t="shared" si="0"/>
        <v>0</v>
      </c>
    </row>
    <row r="50" spans="1:20" x14ac:dyDescent="0.25">
      <c r="A50" s="225">
        <v>49</v>
      </c>
      <c r="B50" s="226" t="s">
        <v>644</v>
      </c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5">
        <v>0</v>
      </c>
      <c r="T50">
        <f t="shared" si="0"/>
        <v>0</v>
      </c>
    </row>
    <row r="51" spans="1:20" x14ac:dyDescent="0.25">
      <c r="A51" s="225">
        <v>50</v>
      </c>
      <c r="B51" s="226" t="s">
        <v>646</v>
      </c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5">
        <v>0</v>
      </c>
      <c r="T51">
        <f t="shared" si="0"/>
        <v>0</v>
      </c>
    </row>
    <row r="52" spans="1:20" x14ac:dyDescent="0.25">
      <c r="A52" s="225">
        <v>51</v>
      </c>
      <c r="B52" s="226" t="s">
        <v>647</v>
      </c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5">
        <v>0</v>
      </c>
      <c r="T52">
        <f t="shared" si="0"/>
        <v>0</v>
      </c>
    </row>
    <row r="53" spans="1:20" x14ac:dyDescent="0.25">
      <c r="A53" s="225">
        <v>52</v>
      </c>
      <c r="B53" s="226" t="s">
        <v>652</v>
      </c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5">
        <v>0</v>
      </c>
      <c r="T53">
        <f t="shared" si="0"/>
        <v>0</v>
      </c>
    </row>
    <row r="54" spans="1:20" x14ac:dyDescent="0.25">
      <c r="A54" s="225">
        <v>53</v>
      </c>
      <c r="B54" s="226" t="s">
        <v>653</v>
      </c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5">
        <v>0</v>
      </c>
      <c r="T54">
        <f t="shared" si="0"/>
        <v>0</v>
      </c>
    </row>
    <row r="55" spans="1:20" x14ac:dyDescent="0.25">
      <c r="A55" s="225">
        <v>54</v>
      </c>
      <c r="B55" s="226" t="s">
        <v>654</v>
      </c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5">
        <v>0</v>
      </c>
      <c r="T55">
        <f t="shared" si="0"/>
        <v>0</v>
      </c>
    </row>
    <row r="56" spans="1:20" x14ac:dyDescent="0.25">
      <c r="A56" s="225">
        <v>55</v>
      </c>
      <c r="B56" s="226" t="s">
        <v>655</v>
      </c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5">
        <v>0</v>
      </c>
      <c r="T56">
        <f t="shared" si="0"/>
        <v>0</v>
      </c>
    </row>
    <row r="57" spans="1:20" x14ac:dyDescent="0.25">
      <c r="A57" s="225">
        <v>56</v>
      </c>
      <c r="B57" s="226" t="s">
        <v>656</v>
      </c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5">
        <v>0</v>
      </c>
      <c r="T57">
        <f t="shared" si="0"/>
        <v>0</v>
      </c>
    </row>
    <row r="58" spans="1:20" x14ac:dyDescent="0.25">
      <c r="A58" s="225">
        <v>57</v>
      </c>
      <c r="B58" s="226" t="s">
        <v>657</v>
      </c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5">
        <v>0</v>
      </c>
      <c r="T58">
        <f t="shared" si="0"/>
        <v>0</v>
      </c>
    </row>
    <row r="59" spans="1:20" x14ac:dyDescent="0.25">
      <c r="A59" s="225">
        <v>58</v>
      </c>
      <c r="B59" s="226" t="s">
        <v>658</v>
      </c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5">
        <v>0</v>
      </c>
      <c r="T59">
        <f t="shared" si="0"/>
        <v>0</v>
      </c>
    </row>
    <row r="60" spans="1:20" x14ac:dyDescent="0.25">
      <c r="A60" s="225">
        <v>59</v>
      </c>
      <c r="B60" s="226" t="s">
        <v>659</v>
      </c>
      <c r="C60" s="226"/>
      <c r="D60" s="226"/>
      <c r="E60" s="226" t="s">
        <v>54</v>
      </c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>
        <v>24</v>
      </c>
      <c r="T60">
        <f t="shared" si="0"/>
        <v>24</v>
      </c>
    </row>
    <row r="61" spans="1:20" x14ac:dyDescent="0.25">
      <c r="A61" s="225">
        <v>60</v>
      </c>
      <c r="B61" s="226" t="s">
        <v>660</v>
      </c>
      <c r="C61" s="226"/>
      <c r="D61" s="226"/>
      <c r="E61" s="226" t="s">
        <v>54</v>
      </c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>
        <v>24</v>
      </c>
      <c r="T61">
        <f t="shared" si="0"/>
        <v>24</v>
      </c>
    </row>
    <row r="62" spans="1:20" x14ac:dyDescent="0.25">
      <c r="A62" s="225">
        <v>61</v>
      </c>
      <c r="B62" s="226" t="s">
        <v>661</v>
      </c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5">
        <v>0</v>
      </c>
      <c r="T62">
        <f t="shared" si="0"/>
        <v>0</v>
      </c>
    </row>
    <row r="63" spans="1:20" x14ac:dyDescent="0.25">
      <c r="A63" s="225">
        <v>62</v>
      </c>
      <c r="B63" s="226" t="s">
        <v>662</v>
      </c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5">
        <v>0</v>
      </c>
      <c r="T63">
        <f t="shared" si="0"/>
        <v>0</v>
      </c>
    </row>
    <row r="64" spans="1:20" x14ac:dyDescent="0.25">
      <c r="A64" s="225">
        <v>63</v>
      </c>
      <c r="B64" s="226" t="s">
        <v>668</v>
      </c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5">
        <v>0</v>
      </c>
      <c r="T64">
        <f t="shared" si="0"/>
        <v>0</v>
      </c>
    </row>
    <row r="65" spans="1:18" x14ac:dyDescent="0.2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8">
        <v>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65"/>
  <sheetViews>
    <sheetView workbookViewId="0">
      <selection activeCell="A20" sqref="A20:XFD20"/>
    </sheetView>
  </sheetViews>
  <sheetFormatPr defaultRowHeight="15" x14ac:dyDescent="0.25"/>
  <sheetData>
    <row r="1" spans="1:20" x14ac:dyDescent="0.25">
      <c r="A1" s="229" t="s">
        <v>1</v>
      </c>
      <c r="B1" s="229" t="s">
        <v>6</v>
      </c>
      <c r="C1" s="229" t="s">
        <v>46</v>
      </c>
      <c r="D1" s="229" t="s">
        <v>47</v>
      </c>
      <c r="E1" s="229" t="s">
        <v>48</v>
      </c>
      <c r="F1" s="229" t="s">
        <v>49</v>
      </c>
      <c r="G1" s="229" t="s">
        <v>50</v>
      </c>
      <c r="H1" s="229" t="s">
        <v>51</v>
      </c>
      <c r="I1" s="229" t="s">
        <v>52</v>
      </c>
      <c r="J1" s="229" t="s">
        <v>53</v>
      </c>
      <c r="K1" s="229" t="s">
        <v>54</v>
      </c>
      <c r="L1" s="229" t="s">
        <v>55</v>
      </c>
      <c r="M1" s="229" t="s">
        <v>56</v>
      </c>
      <c r="N1" s="229" t="s">
        <v>57</v>
      </c>
      <c r="O1" s="229" t="s">
        <v>58</v>
      </c>
      <c r="P1" s="229" t="s">
        <v>59</v>
      </c>
      <c r="Q1" s="229" t="s">
        <v>667</v>
      </c>
      <c r="R1" s="229" t="s">
        <v>2</v>
      </c>
    </row>
    <row r="2" spans="1:20" x14ac:dyDescent="0.25">
      <c r="A2" s="230">
        <v>1</v>
      </c>
      <c r="B2" s="231" t="s">
        <v>10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0">
        <v>0</v>
      </c>
      <c r="T2">
        <f t="shared" ref="T2:T64" si="0">C2+D2+E2+F2+G2+H2+I2+J2+K2+L2+M2+N2+O2+P2+Q2</f>
        <v>0</v>
      </c>
    </row>
    <row r="3" spans="1:20" x14ac:dyDescent="0.25">
      <c r="A3" s="230">
        <v>2</v>
      </c>
      <c r="B3" s="231" t="s">
        <v>11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0">
        <v>0</v>
      </c>
      <c r="T3">
        <f t="shared" si="0"/>
        <v>0</v>
      </c>
    </row>
    <row r="4" spans="1:20" x14ac:dyDescent="0.25">
      <c r="A4" s="230">
        <v>3</v>
      </c>
      <c r="B4" s="231" t="s">
        <v>12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0">
        <v>0</v>
      </c>
      <c r="T4">
        <f t="shared" si="0"/>
        <v>0</v>
      </c>
    </row>
    <row r="5" spans="1:20" x14ac:dyDescent="0.25">
      <c r="A5" s="230">
        <v>4</v>
      </c>
      <c r="B5" s="231" t="s">
        <v>651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0">
        <v>0</v>
      </c>
      <c r="T5">
        <f t="shared" si="0"/>
        <v>0</v>
      </c>
    </row>
    <row r="6" spans="1:20" x14ac:dyDescent="0.25">
      <c r="A6" s="230">
        <v>5</v>
      </c>
      <c r="B6" s="231" t="s">
        <v>14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0">
        <v>0</v>
      </c>
      <c r="T6">
        <f t="shared" si="0"/>
        <v>0</v>
      </c>
    </row>
    <row r="7" spans="1:20" x14ac:dyDescent="0.25">
      <c r="A7" s="230">
        <v>6</v>
      </c>
      <c r="B7" s="231" t="s">
        <v>15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0">
        <v>0</v>
      </c>
      <c r="T7">
        <f t="shared" si="0"/>
        <v>0</v>
      </c>
    </row>
    <row r="8" spans="1:20" x14ac:dyDescent="0.25">
      <c r="A8" s="230">
        <v>7</v>
      </c>
      <c r="B8" s="231" t="s">
        <v>16</v>
      </c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0">
        <v>0</v>
      </c>
      <c r="T8">
        <f t="shared" si="0"/>
        <v>0</v>
      </c>
    </row>
    <row r="9" spans="1:20" x14ac:dyDescent="0.25">
      <c r="A9" s="230">
        <v>8</v>
      </c>
      <c r="B9" s="231" t="s">
        <v>4</v>
      </c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0">
        <v>0</v>
      </c>
      <c r="T9">
        <f t="shared" si="0"/>
        <v>0</v>
      </c>
    </row>
    <row r="10" spans="1:20" x14ac:dyDescent="0.25">
      <c r="A10" s="230">
        <v>9</v>
      </c>
      <c r="B10" s="231" t="s">
        <v>5</v>
      </c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0">
        <v>0</v>
      </c>
      <c r="T10">
        <f t="shared" si="0"/>
        <v>0</v>
      </c>
    </row>
    <row r="11" spans="1:20" x14ac:dyDescent="0.25">
      <c r="A11" s="230">
        <v>10</v>
      </c>
      <c r="B11" s="231" t="s">
        <v>38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0">
        <v>0</v>
      </c>
      <c r="T11">
        <f t="shared" si="0"/>
        <v>0</v>
      </c>
    </row>
    <row r="12" spans="1:20" x14ac:dyDescent="0.25">
      <c r="A12" s="230">
        <v>11</v>
      </c>
      <c r="B12" s="231" t="s">
        <v>43</v>
      </c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0">
        <v>0</v>
      </c>
      <c r="T12">
        <f t="shared" si="0"/>
        <v>0</v>
      </c>
    </row>
    <row r="13" spans="1:20" x14ac:dyDescent="0.25">
      <c r="A13" s="230">
        <v>12</v>
      </c>
      <c r="B13" s="231" t="s">
        <v>639</v>
      </c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0">
        <v>0</v>
      </c>
      <c r="T13">
        <f t="shared" si="0"/>
        <v>0</v>
      </c>
    </row>
    <row r="14" spans="1:20" x14ac:dyDescent="0.25">
      <c r="A14" s="230">
        <v>13</v>
      </c>
      <c r="B14" s="231" t="s">
        <v>87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0">
        <v>0</v>
      </c>
      <c r="T14">
        <f t="shared" si="0"/>
        <v>0</v>
      </c>
    </row>
    <row r="15" spans="1:20" x14ac:dyDescent="0.25">
      <c r="A15" s="230">
        <v>14</v>
      </c>
      <c r="B15" s="231" t="s">
        <v>95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0">
        <v>0</v>
      </c>
      <c r="T15">
        <f t="shared" si="0"/>
        <v>0</v>
      </c>
    </row>
    <row r="16" spans="1:20" x14ac:dyDescent="0.25">
      <c r="A16" s="230">
        <v>15</v>
      </c>
      <c r="B16" s="231" t="s">
        <v>96</v>
      </c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0">
        <v>0</v>
      </c>
      <c r="T16">
        <f t="shared" si="0"/>
        <v>0</v>
      </c>
    </row>
    <row r="17" spans="1:20" x14ac:dyDescent="0.25">
      <c r="A17" s="230">
        <v>16</v>
      </c>
      <c r="B17" s="231" t="s">
        <v>97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0">
        <v>0</v>
      </c>
      <c r="T17">
        <f t="shared" si="0"/>
        <v>0</v>
      </c>
    </row>
    <row r="18" spans="1:20" x14ac:dyDescent="0.25">
      <c r="A18" s="230">
        <v>17</v>
      </c>
      <c r="B18" s="231" t="s">
        <v>98</v>
      </c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0">
        <v>0</v>
      </c>
      <c r="T18">
        <f t="shared" si="0"/>
        <v>0</v>
      </c>
    </row>
    <row r="19" spans="1:20" x14ac:dyDescent="0.25">
      <c r="A19" s="230">
        <v>18</v>
      </c>
      <c r="B19" s="231" t="s">
        <v>616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0">
        <v>0</v>
      </c>
      <c r="T19">
        <f t="shared" si="0"/>
        <v>0</v>
      </c>
    </row>
    <row r="20" spans="1:20" x14ac:dyDescent="0.25">
      <c r="A20" s="230">
        <v>19</v>
      </c>
      <c r="B20" s="231" t="s">
        <v>617</v>
      </c>
      <c r="C20" s="231"/>
      <c r="D20" s="231"/>
      <c r="E20" s="231"/>
      <c r="F20" s="231"/>
      <c r="G20" s="231"/>
      <c r="H20" s="231"/>
      <c r="I20" s="231"/>
      <c r="J20" s="231" t="s">
        <v>54</v>
      </c>
      <c r="K20" s="231"/>
      <c r="L20" s="231"/>
      <c r="M20" s="231"/>
      <c r="N20" s="231"/>
      <c r="O20" s="231"/>
      <c r="P20" s="231"/>
      <c r="Q20" s="231"/>
      <c r="R20" s="232">
        <v>24</v>
      </c>
      <c r="T20">
        <f t="shared" si="0"/>
        <v>24</v>
      </c>
    </row>
    <row r="21" spans="1:20" x14ac:dyDescent="0.25">
      <c r="A21" s="230">
        <v>20</v>
      </c>
      <c r="B21" s="231" t="s">
        <v>626</v>
      </c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0">
        <v>0</v>
      </c>
      <c r="T21">
        <f t="shared" si="0"/>
        <v>0</v>
      </c>
    </row>
    <row r="22" spans="1:20" x14ac:dyDescent="0.25">
      <c r="A22" s="230">
        <v>21</v>
      </c>
      <c r="B22" s="231" t="s">
        <v>618</v>
      </c>
      <c r="C22" s="231"/>
      <c r="D22" s="231"/>
      <c r="E22" s="231"/>
      <c r="F22" s="231"/>
      <c r="G22" s="231"/>
      <c r="H22" s="231"/>
      <c r="I22" s="231"/>
      <c r="J22" s="231" t="s">
        <v>54</v>
      </c>
      <c r="K22" s="231"/>
      <c r="L22" s="231"/>
      <c r="M22" s="231"/>
      <c r="N22" s="231"/>
      <c r="O22" s="231"/>
      <c r="P22" s="231"/>
      <c r="Q22" s="231"/>
      <c r="R22" s="232">
        <v>24</v>
      </c>
      <c r="T22">
        <f t="shared" si="0"/>
        <v>24</v>
      </c>
    </row>
    <row r="23" spans="1:20" x14ac:dyDescent="0.25">
      <c r="A23" s="230">
        <v>22</v>
      </c>
      <c r="B23" s="231" t="s">
        <v>619</v>
      </c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0">
        <v>0</v>
      </c>
      <c r="T23">
        <f t="shared" si="0"/>
        <v>0</v>
      </c>
    </row>
    <row r="24" spans="1:20" x14ac:dyDescent="0.25">
      <c r="A24" s="230">
        <v>23</v>
      </c>
      <c r="B24" s="231" t="s">
        <v>620</v>
      </c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0">
        <v>0</v>
      </c>
      <c r="T24">
        <f t="shared" si="0"/>
        <v>0</v>
      </c>
    </row>
    <row r="25" spans="1:20" x14ac:dyDescent="0.25">
      <c r="A25" s="230">
        <v>24</v>
      </c>
      <c r="B25" s="231" t="s">
        <v>650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0">
        <v>0</v>
      </c>
      <c r="T25">
        <f t="shared" si="0"/>
        <v>0</v>
      </c>
    </row>
    <row r="26" spans="1:20" x14ac:dyDescent="0.25">
      <c r="A26" s="230">
        <v>25</v>
      </c>
      <c r="B26" s="231" t="s">
        <v>621</v>
      </c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0">
        <v>0</v>
      </c>
      <c r="T26">
        <f t="shared" si="0"/>
        <v>0</v>
      </c>
    </row>
    <row r="27" spans="1:20" x14ac:dyDescent="0.25">
      <c r="A27" s="230">
        <v>26</v>
      </c>
      <c r="B27" s="231" t="s">
        <v>622</v>
      </c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0">
        <v>0</v>
      </c>
      <c r="T27">
        <f t="shared" si="0"/>
        <v>0</v>
      </c>
    </row>
    <row r="28" spans="1:20" x14ac:dyDescent="0.25">
      <c r="A28" s="230">
        <v>27</v>
      </c>
      <c r="B28" s="231" t="s">
        <v>623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0">
        <v>0</v>
      </c>
      <c r="T28">
        <f t="shared" si="0"/>
        <v>0</v>
      </c>
    </row>
    <row r="29" spans="1:20" x14ac:dyDescent="0.25">
      <c r="A29" s="230">
        <v>28</v>
      </c>
      <c r="B29" s="231" t="s">
        <v>624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0">
        <v>0</v>
      </c>
      <c r="T29">
        <f t="shared" si="0"/>
        <v>0</v>
      </c>
    </row>
    <row r="30" spans="1:20" x14ac:dyDescent="0.25">
      <c r="A30" s="230">
        <v>29</v>
      </c>
      <c r="B30" s="231" t="s">
        <v>627</v>
      </c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0">
        <v>0</v>
      </c>
      <c r="T30">
        <f t="shared" si="0"/>
        <v>0</v>
      </c>
    </row>
    <row r="31" spans="1:20" x14ac:dyDescent="0.25">
      <c r="A31" s="230">
        <v>30</v>
      </c>
      <c r="B31" s="231" t="s">
        <v>625</v>
      </c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0">
        <v>0</v>
      </c>
      <c r="T31">
        <f t="shared" si="0"/>
        <v>0</v>
      </c>
    </row>
    <row r="32" spans="1:20" x14ac:dyDescent="0.25">
      <c r="A32" s="230">
        <v>31</v>
      </c>
      <c r="B32" s="231" t="s">
        <v>34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0">
        <v>0</v>
      </c>
      <c r="T32">
        <f t="shared" si="0"/>
        <v>0</v>
      </c>
    </row>
    <row r="33" spans="1:20" x14ac:dyDescent="0.25">
      <c r="A33" s="230">
        <v>32</v>
      </c>
      <c r="B33" s="231" t="s">
        <v>45</v>
      </c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0">
        <v>0</v>
      </c>
      <c r="T33">
        <f t="shared" si="0"/>
        <v>0</v>
      </c>
    </row>
    <row r="34" spans="1:20" x14ac:dyDescent="0.25">
      <c r="A34" s="230">
        <v>33</v>
      </c>
      <c r="B34" s="231" t="s">
        <v>630</v>
      </c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0">
        <v>0</v>
      </c>
      <c r="T34">
        <f t="shared" si="0"/>
        <v>0</v>
      </c>
    </row>
    <row r="35" spans="1:20" x14ac:dyDescent="0.25">
      <c r="A35" s="230">
        <v>34</v>
      </c>
      <c r="B35" s="231" t="s">
        <v>628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0">
        <v>0</v>
      </c>
      <c r="T35">
        <f t="shared" si="0"/>
        <v>0</v>
      </c>
    </row>
    <row r="36" spans="1:20" x14ac:dyDescent="0.25">
      <c r="A36" s="230">
        <v>35</v>
      </c>
      <c r="B36" s="231" t="s">
        <v>629</v>
      </c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0">
        <v>0</v>
      </c>
      <c r="T36">
        <f t="shared" si="0"/>
        <v>0</v>
      </c>
    </row>
    <row r="37" spans="1:20" x14ac:dyDescent="0.25">
      <c r="A37" s="230">
        <v>36</v>
      </c>
      <c r="B37" s="231" t="s">
        <v>631</v>
      </c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0">
        <v>0</v>
      </c>
      <c r="T37">
        <f t="shared" si="0"/>
        <v>0</v>
      </c>
    </row>
    <row r="38" spans="1:20" x14ac:dyDescent="0.25">
      <c r="A38" s="230">
        <v>37</v>
      </c>
      <c r="B38" s="231" t="s">
        <v>632</v>
      </c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0">
        <v>0</v>
      </c>
      <c r="T38">
        <f t="shared" si="0"/>
        <v>0</v>
      </c>
    </row>
    <row r="39" spans="1:20" x14ac:dyDescent="0.25">
      <c r="A39" s="230">
        <v>38</v>
      </c>
      <c r="B39" s="231" t="s">
        <v>633</v>
      </c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0">
        <v>0</v>
      </c>
      <c r="T39">
        <f t="shared" si="0"/>
        <v>0</v>
      </c>
    </row>
    <row r="40" spans="1:20" x14ac:dyDescent="0.25">
      <c r="A40" s="230">
        <v>39</v>
      </c>
      <c r="B40" s="231" t="s">
        <v>634</v>
      </c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0">
        <v>0</v>
      </c>
      <c r="T40">
        <f t="shared" si="0"/>
        <v>0</v>
      </c>
    </row>
    <row r="41" spans="1:20" x14ac:dyDescent="0.25">
      <c r="A41" s="230">
        <v>40</v>
      </c>
      <c r="B41" s="231" t="s">
        <v>636</v>
      </c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0">
        <v>0</v>
      </c>
      <c r="T41">
        <f t="shared" si="0"/>
        <v>0</v>
      </c>
    </row>
    <row r="42" spans="1:20" x14ac:dyDescent="0.25">
      <c r="A42" s="230">
        <v>41</v>
      </c>
      <c r="B42" s="231" t="s">
        <v>637</v>
      </c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0">
        <v>0</v>
      </c>
      <c r="T42">
        <f t="shared" si="0"/>
        <v>0</v>
      </c>
    </row>
    <row r="43" spans="1:20" x14ac:dyDescent="0.25">
      <c r="A43" s="230">
        <v>42</v>
      </c>
      <c r="B43" s="231" t="s">
        <v>640</v>
      </c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0">
        <v>0</v>
      </c>
      <c r="T43">
        <f t="shared" si="0"/>
        <v>0</v>
      </c>
    </row>
    <row r="44" spans="1:20" x14ac:dyDescent="0.25">
      <c r="A44" s="230">
        <v>43</v>
      </c>
      <c r="B44" s="231" t="s">
        <v>638</v>
      </c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0">
        <v>0</v>
      </c>
      <c r="T44">
        <f t="shared" si="0"/>
        <v>0</v>
      </c>
    </row>
    <row r="45" spans="1:20" x14ac:dyDescent="0.25">
      <c r="A45" s="230">
        <v>44</v>
      </c>
      <c r="B45" s="231" t="s">
        <v>635</v>
      </c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0">
        <v>0</v>
      </c>
      <c r="T45">
        <f t="shared" si="0"/>
        <v>0</v>
      </c>
    </row>
    <row r="46" spans="1:20" x14ac:dyDescent="0.25">
      <c r="A46" s="230">
        <v>45</v>
      </c>
      <c r="B46" s="231" t="s">
        <v>641</v>
      </c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0">
        <v>0</v>
      </c>
      <c r="T46">
        <f t="shared" si="0"/>
        <v>0</v>
      </c>
    </row>
    <row r="47" spans="1:20" x14ac:dyDescent="0.25">
      <c r="A47" s="230">
        <v>46</v>
      </c>
      <c r="B47" s="231" t="s">
        <v>649</v>
      </c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0">
        <v>0</v>
      </c>
      <c r="T47">
        <f t="shared" si="0"/>
        <v>0</v>
      </c>
    </row>
    <row r="48" spans="1:20" x14ac:dyDescent="0.25">
      <c r="A48" s="230">
        <v>47</v>
      </c>
      <c r="B48" s="231" t="s">
        <v>642</v>
      </c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0">
        <v>0</v>
      </c>
      <c r="T48">
        <f t="shared" si="0"/>
        <v>0</v>
      </c>
    </row>
    <row r="49" spans="1:20" x14ac:dyDescent="0.25">
      <c r="A49" s="230">
        <v>48</v>
      </c>
      <c r="B49" s="231" t="s">
        <v>643</v>
      </c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0">
        <v>0</v>
      </c>
      <c r="T49">
        <f t="shared" si="0"/>
        <v>0</v>
      </c>
    </row>
    <row r="50" spans="1:20" x14ac:dyDescent="0.25">
      <c r="A50" s="230">
        <v>49</v>
      </c>
      <c r="B50" s="231" t="s">
        <v>644</v>
      </c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0">
        <v>0</v>
      </c>
      <c r="T50">
        <f t="shared" si="0"/>
        <v>0</v>
      </c>
    </row>
    <row r="51" spans="1:20" x14ac:dyDescent="0.25">
      <c r="A51" s="230">
        <v>50</v>
      </c>
      <c r="B51" s="231" t="s">
        <v>646</v>
      </c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0">
        <v>0</v>
      </c>
      <c r="T51">
        <f t="shared" si="0"/>
        <v>0</v>
      </c>
    </row>
    <row r="52" spans="1:20" x14ac:dyDescent="0.25">
      <c r="A52" s="230">
        <v>51</v>
      </c>
      <c r="B52" s="231" t="s">
        <v>647</v>
      </c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0">
        <v>0</v>
      </c>
      <c r="T52">
        <f t="shared" si="0"/>
        <v>0</v>
      </c>
    </row>
    <row r="53" spans="1:20" x14ac:dyDescent="0.25">
      <c r="A53" s="230">
        <v>52</v>
      </c>
      <c r="B53" s="231" t="s">
        <v>652</v>
      </c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0">
        <v>0</v>
      </c>
      <c r="T53">
        <f t="shared" si="0"/>
        <v>0</v>
      </c>
    </row>
    <row r="54" spans="1:20" x14ac:dyDescent="0.25">
      <c r="A54" s="230">
        <v>53</v>
      </c>
      <c r="B54" s="231" t="s">
        <v>653</v>
      </c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0">
        <v>0</v>
      </c>
      <c r="T54">
        <f t="shared" si="0"/>
        <v>0</v>
      </c>
    </row>
    <row r="55" spans="1:20" x14ac:dyDescent="0.25">
      <c r="A55" s="230">
        <v>54</v>
      </c>
      <c r="B55" s="231" t="s">
        <v>654</v>
      </c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0">
        <v>0</v>
      </c>
      <c r="T55">
        <f t="shared" si="0"/>
        <v>0</v>
      </c>
    </row>
    <row r="56" spans="1:20" x14ac:dyDescent="0.25">
      <c r="A56" s="230">
        <v>55</v>
      </c>
      <c r="B56" s="231" t="s">
        <v>655</v>
      </c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0">
        <v>0</v>
      </c>
      <c r="T56">
        <f t="shared" si="0"/>
        <v>0</v>
      </c>
    </row>
    <row r="57" spans="1:20" x14ac:dyDescent="0.25">
      <c r="A57" s="230">
        <v>56</v>
      </c>
      <c r="B57" s="231" t="s">
        <v>656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0">
        <v>0</v>
      </c>
      <c r="T57">
        <f t="shared" si="0"/>
        <v>0</v>
      </c>
    </row>
    <row r="58" spans="1:20" x14ac:dyDescent="0.25">
      <c r="A58" s="230">
        <v>57</v>
      </c>
      <c r="B58" s="231" t="s">
        <v>657</v>
      </c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0">
        <v>0</v>
      </c>
      <c r="T58">
        <f t="shared" si="0"/>
        <v>0</v>
      </c>
    </row>
    <row r="59" spans="1:20" x14ac:dyDescent="0.25">
      <c r="A59" s="230">
        <v>58</v>
      </c>
      <c r="B59" s="231" t="s">
        <v>658</v>
      </c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0">
        <v>0</v>
      </c>
      <c r="T59">
        <f t="shared" si="0"/>
        <v>0</v>
      </c>
    </row>
    <row r="60" spans="1:20" x14ac:dyDescent="0.25">
      <c r="A60" s="230">
        <v>59</v>
      </c>
      <c r="B60" s="231" t="s">
        <v>659</v>
      </c>
      <c r="C60" s="231"/>
      <c r="D60" s="231"/>
      <c r="E60" s="231"/>
      <c r="F60" s="231"/>
      <c r="G60" s="231"/>
      <c r="H60" s="231"/>
      <c r="I60" s="231"/>
      <c r="J60" s="231" t="s">
        <v>54</v>
      </c>
      <c r="K60" s="231"/>
      <c r="L60" s="231"/>
      <c r="M60" s="231"/>
      <c r="N60" s="231"/>
      <c r="O60" s="231"/>
      <c r="P60" s="231"/>
      <c r="Q60" s="231"/>
      <c r="R60" s="232">
        <v>24</v>
      </c>
      <c r="T60">
        <f t="shared" si="0"/>
        <v>24</v>
      </c>
    </row>
    <row r="61" spans="1:20" x14ac:dyDescent="0.25">
      <c r="A61" s="230">
        <v>60</v>
      </c>
      <c r="B61" s="231" t="s">
        <v>660</v>
      </c>
      <c r="C61" s="231"/>
      <c r="D61" s="231"/>
      <c r="E61" s="231"/>
      <c r="F61" s="231"/>
      <c r="G61" s="231"/>
      <c r="H61" s="231"/>
      <c r="I61" s="231"/>
      <c r="J61" s="231" t="s">
        <v>54</v>
      </c>
      <c r="K61" s="231"/>
      <c r="L61" s="231"/>
      <c r="M61" s="231"/>
      <c r="N61" s="231"/>
      <c r="O61" s="231"/>
      <c r="P61" s="231"/>
      <c r="Q61" s="231"/>
      <c r="R61" s="232">
        <v>24</v>
      </c>
      <c r="T61">
        <f t="shared" si="0"/>
        <v>24</v>
      </c>
    </row>
    <row r="62" spans="1:20" x14ac:dyDescent="0.25">
      <c r="A62" s="230">
        <v>61</v>
      </c>
      <c r="B62" s="231" t="s">
        <v>661</v>
      </c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0">
        <v>0</v>
      </c>
      <c r="T62">
        <f t="shared" si="0"/>
        <v>0</v>
      </c>
    </row>
    <row r="63" spans="1:20" x14ac:dyDescent="0.25">
      <c r="A63" s="230">
        <v>62</v>
      </c>
      <c r="B63" s="231" t="s">
        <v>662</v>
      </c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0">
        <v>0</v>
      </c>
      <c r="T63">
        <f t="shared" si="0"/>
        <v>0</v>
      </c>
    </row>
    <row r="64" spans="1:20" x14ac:dyDescent="0.25">
      <c r="A64" s="230">
        <v>63</v>
      </c>
      <c r="B64" s="231" t="s">
        <v>668</v>
      </c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0">
        <v>0</v>
      </c>
      <c r="T64">
        <f t="shared" si="0"/>
        <v>0</v>
      </c>
    </row>
    <row r="65" spans="1:18" x14ac:dyDescent="0.25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33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5"/>
  <sheetViews>
    <sheetView workbookViewId="0">
      <selection activeCell="A20" sqref="A20:XFD20"/>
    </sheetView>
  </sheetViews>
  <sheetFormatPr defaultRowHeight="15" x14ac:dyDescent="0.25"/>
  <sheetData>
    <row r="1" spans="1:20" x14ac:dyDescent="0.25">
      <c r="A1" s="234" t="s">
        <v>1</v>
      </c>
      <c r="B1" s="234" t="s">
        <v>6</v>
      </c>
      <c r="C1" s="234" t="s">
        <v>46</v>
      </c>
      <c r="D1" s="234" t="s">
        <v>47</v>
      </c>
      <c r="E1" s="234" t="s">
        <v>48</v>
      </c>
      <c r="F1" s="234" t="s">
        <v>49</v>
      </c>
      <c r="G1" s="234" t="s">
        <v>50</v>
      </c>
      <c r="H1" s="234" t="s">
        <v>51</v>
      </c>
      <c r="I1" s="234" t="s">
        <v>52</v>
      </c>
      <c r="J1" s="234" t="s">
        <v>53</v>
      </c>
      <c r="K1" s="234" t="s">
        <v>54</v>
      </c>
      <c r="L1" s="234" t="s">
        <v>55</v>
      </c>
      <c r="M1" s="234" t="s">
        <v>56</v>
      </c>
      <c r="N1" s="234" t="s">
        <v>57</v>
      </c>
      <c r="O1" s="234" t="s">
        <v>58</v>
      </c>
      <c r="P1" s="234" t="s">
        <v>59</v>
      </c>
      <c r="Q1" s="234" t="s">
        <v>667</v>
      </c>
      <c r="R1" s="234" t="s">
        <v>2</v>
      </c>
    </row>
    <row r="2" spans="1:20" x14ac:dyDescent="0.25">
      <c r="A2" s="235">
        <v>1</v>
      </c>
      <c r="B2" s="236" t="s">
        <v>10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5">
        <v>0</v>
      </c>
      <c r="T2">
        <f t="shared" ref="T2:T64" si="0">C2+D2+E2+F2+G2+H2+I2+J2+K2+L2+M2+N2+O2+P2+Q2</f>
        <v>0</v>
      </c>
    </row>
    <row r="3" spans="1:20" x14ac:dyDescent="0.25">
      <c r="A3" s="235">
        <v>2</v>
      </c>
      <c r="B3" s="236" t="s">
        <v>11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5">
        <v>0</v>
      </c>
      <c r="T3">
        <f t="shared" si="0"/>
        <v>0</v>
      </c>
    </row>
    <row r="4" spans="1:20" x14ac:dyDescent="0.25">
      <c r="A4" s="235">
        <v>3</v>
      </c>
      <c r="B4" s="236" t="s">
        <v>12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5">
        <v>0</v>
      </c>
      <c r="T4">
        <f t="shared" si="0"/>
        <v>0</v>
      </c>
    </row>
    <row r="5" spans="1:20" x14ac:dyDescent="0.25">
      <c r="A5" s="235">
        <v>4</v>
      </c>
      <c r="B5" s="236" t="s">
        <v>651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5">
        <v>0</v>
      </c>
      <c r="T5">
        <f t="shared" si="0"/>
        <v>0</v>
      </c>
    </row>
    <row r="6" spans="1:20" x14ac:dyDescent="0.25">
      <c r="A6" s="235">
        <v>5</v>
      </c>
      <c r="B6" s="236" t="s">
        <v>14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5">
        <v>0</v>
      </c>
      <c r="T6">
        <f t="shared" si="0"/>
        <v>0</v>
      </c>
    </row>
    <row r="7" spans="1:20" x14ac:dyDescent="0.25">
      <c r="A7" s="235">
        <v>6</v>
      </c>
      <c r="B7" s="236" t="s">
        <v>15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5">
        <v>0</v>
      </c>
      <c r="T7">
        <f t="shared" si="0"/>
        <v>0</v>
      </c>
    </row>
    <row r="8" spans="1:20" x14ac:dyDescent="0.25">
      <c r="A8" s="235">
        <v>7</v>
      </c>
      <c r="B8" s="236" t="s">
        <v>16</v>
      </c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5">
        <v>0</v>
      </c>
      <c r="T8">
        <f t="shared" si="0"/>
        <v>0</v>
      </c>
    </row>
    <row r="9" spans="1:20" x14ac:dyDescent="0.25">
      <c r="A9" s="235">
        <v>8</v>
      </c>
      <c r="B9" s="236" t="s">
        <v>4</v>
      </c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5">
        <v>0</v>
      </c>
      <c r="T9">
        <f t="shared" si="0"/>
        <v>0</v>
      </c>
    </row>
    <row r="10" spans="1:20" x14ac:dyDescent="0.25">
      <c r="A10" s="235">
        <v>9</v>
      </c>
      <c r="B10" s="236" t="s">
        <v>5</v>
      </c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5">
        <v>0</v>
      </c>
      <c r="T10">
        <f t="shared" si="0"/>
        <v>0</v>
      </c>
    </row>
    <row r="11" spans="1:20" x14ac:dyDescent="0.25">
      <c r="A11" s="235">
        <v>10</v>
      </c>
      <c r="B11" s="236" t="s">
        <v>38</v>
      </c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5">
        <v>0</v>
      </c>
      <c r="T11">
        <f t="shared" si="0"/>
        <v>0</v>
      </c>
    </row>
    <row r="12" spans="1:20" x14ac:dyDescent="0.25">
      <c r="A12" s="235">
        <v>11</v>
      </c>
      <c r="B12" s="236" t="s">
        <v>43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5">
        <v>0</v>
      </c>
      <c r="T12">
        <f t="shared" si="0"/>
        <v>0</v>
      </c>
    </row>
    <row r="13" spans="1:20" x14ac:dyDescent="0.25">
      <c r="A13" s="235">
        <v>12</v>
      </c>
      <c r="B13" s="236" t="s">
        <v>639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5">
        <v>0</v>
      </c>
      <c r="T13">
        <f t="shared" si="0"/>
        <v>0</v>
      </c>
    </row>
    <row r="14" spans="1:20" x14ac:dyDescent="0.25">
      <c r="A14" s="235">
        <v>13</v>
      </c>
      <c r="B14" s="236" t="s">
        <v>87</v>
      </c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5">
        <v>0</v>
      </c>
      <c r="T14">
        <f t="shared" si="0"/>
        <v>0</v>
      </c>
    </row>
    <row r="15" spans="1:20" x14ac:dyDescent="0.25">
      <c r="A15" s="235">
        <v>14</v>
      </c>
      <c r="B15" s="236" t="s">
        <v>95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5">
        <v>0</v>
      </c>
      <c r="T15">
        <f t="shared" si="0"/>
        <v>0</v>
      </c>
    </row>
    <row r="16" spans="1:20" x14ac:dyDescent="0.25">
      <c r="A16" s="235">
        <v>15</v>
      </c>
      <c r="B16" s="236" t="s">
        <v>96</v>
      </c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5">
        <v>0</v>
      </c>
      <c r="T16">
        <f t="shared" si="0"/>
        <v>0</v>
      </c>
    </row>
    <row r="17" spans="1:20" x14ac:dyDescent="0.25">
      <c r="A17" s="235">
        <v>16</v>
      </c>
      <c r="B17" s="236" t="s">
        <v>97</v>
      </c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5">
        <v>0</v>
      </c>
      <c r="T17">
        <f t="shared" si="0"/>
        <v>0</v>
      </c>
    </row>
    <row r="18" spans="1:20" x14ac:dyDescent="0.25">
      <c r="A18" s="235">
        <v>17</v>
      </c>
      <c r="B18" s="236" t="s">
        <v>98</v>
      </c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5">
        <v>0</v>
      </c>
      <c r="T18">
        <f t="shared" si="0"/>
        <v>0</v>
      </c>
    </row>
    <row r="19" spans="1:20" x14ac:dyDescent="0.25">
      <c r="A19" s="235">
        <v>18</v>
      </c>
      <c r="B19" s="236" t="s">
        <v>616</v>
      </c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5">
        <v>0</v>
      </c>
      <c r="T19">
        <f t="shared" si="0"/>
        <v>0</v>
      </c>
    </row>
    <row r="20" spans="1:20" x14ac:dyDescent="0.25">
      <c r="A20" s="235">
        <v>19</v>
      </c>
      <c r="B20" s="236" t="s">
        <v>617</v>
      </c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 t="s">
        <v>54</v>
      </c>
      <c r="N20" s="236"/>
      <c r="O20" s="236"/>
      <c r="P20" s="236"/>
      <c r="Q20" s="236"/>
      <c r="R20" s="237">
        <v>24</v>
      </c>
      <c r="T20">
        <f t="shared" si="0"/>
        <v>24</v>
      </c>
    </row>
    <row r="21" spans="1:20" x14ac:dyDescent="0.25">
      <c r="A21" s="235">
        <v>20</v>
      </c>
      <c r="B21" s="236" t="s">
        <v>626</v>
      </c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5">
        <v>0</v>
      </c>
      <c r="T21">
        <f t="shared" si="0"/>
        <v>0</v>
      </c>
    </row>
    <row r="22" spans="1:20" x14ac:dyDescent="0.25">
      <c r="A22" s="235">
        <v>21</v>
      </c>
      <c r="B22" s="236" t="s">
        <v>618</v>
      </c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 t="s">
        <v>54</v>
      </c>
      <c r="N22" s="236"/>
      <c r="O22" s="236"/>
      <c r="P22" s="236"/>
      <c r="Q22" s="236"/>
      <c r="R22" s="237">
        <v>24</v>
      </c>
      <c r="T22">
        <f t="shared" si="0"/>
        <v>24</v>
      </c>
    </row>
    <row r="23" spans="1:20" x14ac:dyDescent="0.25">
      <c r="A23" s="235">
        <v>22</v>
      </c>
      <c r="B23" s="236" t="s">
        <v>619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5">
        <v>0</v>
      </c>
      <c r="T23">
        <f t="shared" si="0"/>
        <v>0</v>
      </c>
    </row>
    <row r="24" spans="1:20" x14ac:dyDescent="0.25">
      <c r="A24" s="235">
        <v>23</v>
      </c>
      <c r="B24" s="236" t="s">
        <v>620</v>
      </c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5">
        <v>0</v>
      </c>
      <c r="T24">
        <f t="shared" si="0"/>
        <v>0</v>
      </c>
    </row>
    <row r="25" spans="1:20" x14ac:dyDescent="0.25">
      <c r="A25" s="235">
        <v>24</v>
      </c>
      <c r="B25" s="236" t="s">
        <v>650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5">
        <v>0</v>
      </c>
      <c r="T25">
        <f t="shared" si="0"/>
        <v>0</v>
      </c>
    </row>
    <row r="26" spans="1:20" x14ac:dyDescent="0.25">
      <c r="A26" s="235">
        <v>25</v>
      </c>
      <c r="B26" s="236" t="s">
        <v>621</v>
      </c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5">
        <v>0</v>
      </c>
      <c r="T26">
        <f t="shared" si="0"/>
        <v>0</v>
      </c>
    </row>
    <row r="27" spans="1:20" x14ac:dyDescent="0.25">
      <c r="A27" s="235">
        <v>26</v>
      </c>
      <c r="B27" s="236" t="s">
        <v>622</v>
      </c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5">
        <v>0</v>
      </c>
      <c r="T27">
        <f t="shared" si="0"/>
        <v>0</v>
      </c>
    </row>
    <row r="28" spans="1:20" x14ac:dyDescent="0.25">
      <c r="A28" s="235">
        <v>27</v>
      </c>
      <c r="B28" s="236" t="s">
        <v>623</v>
      </c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5">
        <v>0</v>
      </c>
      <c r="T28">
        <f t="shared" si="0"/>
        <v>0</v>
      </c>
    </row>
    <row r="29" spans="1:20" x14ac:dyDescent="0.25">
      <c r="A29" s="235">
        <v>28</v>
      </c>
      <c r="B29" s="236" t="s">
        <v>624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5">
        <v>0</v>
      </c>
      <c r="T29">
        <f t="shared" si="0"/>
        <v>0</v>
      </c>
    </row>
    <row r="30" spans="1:20" x14ac:dyDescent="0.25">
      <c r="A30" s="235">
        <v>29</v>
      </c>
      <c r="B30" s="236" t="s">
        <v>627</v>
      </c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5">
        <v>0</v>
      </c>
      <c r="T30">
        <f t="shared" si="0"/>
        <v>0</v>
      </c>
    </row>
    <row r="31" spans="1:20" x14ac:dyDescent="0.25">
      <c r="A31" s="235">
        <v>30</v>
      </c>
      <c r="B31" s="236" t="s">
        <v>625</v>
      </c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5">
        <v>0</v>
      </c>
      <c r="T31">
        <f t="shared" si="0"/>
        <v>0</v>
      </c>
    </row>
    <row r="32" spans="1:20" x14ac:dyDescent="0.25">
      <c r="A32" s="235">
        <v>31</v>
      </c>
      <c r="B32" s="236" t="s">
        <v>34</v>
      </c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5">
        <v>0</v>
      </c>
      <c r="T32">
        <f t="shared" si="0"/>
        <v>0</v>
      </c>
    </row>
    <row r="33" spans="1:20" x14ac:dyDescent="0.25">
      <c r="A33" s="235">
        <v>32</v>
      </c>
      <c r="B33" s="236" t="s">
        <v>45</v>
      </c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5">
        <v>0</v>
      </c>
      <c r="T33">
        <f t="shared" si="0"/>
        <v>0</v>
      </c>
    </row>
    <row r="34" spans="1:20" x14ac:dyDescent="0.25">
      <c r="A34" s="235">
        <v>33</v>
      </c>
      <c r="B34" s="236" t="s">
        <v>630</v>
      </c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5">
        <v>0</v>
      </c>
      <c r="T34">
        <f t="shared" si="0"/>
        <v>0</v>
      </c>
    </row>
    <row r="35" spans="1:20" x14ac:dyDescent="0.25">
      <c r="A35" s="235">
        <v>34</v>
      </c>
      <c r="B35" s="236" t="s">
        <v>628</v>
      </c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5">
        <v>0</v>
      </c>
      <c r="T35">
        <f t="shared" si="0"/>
        <v>0</v>
      </c>
    </row>
    <row r="36" spans="1:20" x14ac:dyDescent="0.25">
      <c r="A36" s="235">
        <v>35</v>
      </c>
      <c r="B36" s="236" t="s">
        <v>629</v>
      </c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5">
        <v>0</v>
      </c>
      <c r="T36">
        <f t="shared" si="0"/>
        <v>0</v>
      </c>
    </row>
    <row r="37" spans="1:20" x14ac:dyDescent="0.25">
      <c r="A37" s="235">
        <v>36</v>
      </c>
      <c r="B37" s="236" t="s">
        <v>631</v>
      </c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5">
        <v>0</v>
      </c>
      <c r="T37">
        <f t="shared" si="0"/>
        <v>0</v>
      </c>
    </row>
    <row r="38" spans="1:20" x14ac:dyDescent="0.25">
      <c r="A38" s="235">
        <v>37</v>
      </c>
      <c r="B38" s="236" t="s">
        <v>632</v>
      </c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5">
        <v>0</v>
      </c>
      <c r="T38">
        <f t="shared" si="0"/>
        <v>0</v>
      </c>
    </row>
    <row r="39" spans="1:20" x14ac:dyDescent="0.25">
      <c r="A39" s="235">
        <v>38</v>
      </c>
      <c r="B39" s="236" t="s">
        <v>633</v>
      </c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5">
        <v>0</v>
      </c>
      <c r="T39">
        <f t="shared" si="0"/>
        <v>0</v>
      </c>
    </row>
    <row r="40" spans="1:20" x14ac:dyDescent="0.25">
      <c r="A40" s="235">
        <v>39</v>
      </c>
      <c r="B40" s="236" t="s">
        <v>634</v>
      </c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5">
        <v>0</v>
      </c>
      <c r="T40">
        <f t="shared" si="0"/>
        <v>0</v>
      </c>
    </row>
    <row r="41" spans="1:20" x14ac:dyDescent="0.25">
      <c r="A41" s="235">
        <v>40</v>
      </c>
      <c r="B41" s="236" t="s">
        <v>636</v>
      </c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5">
        <v>0</v>
      </c>
      <c r="T41">
        <f t="shared" si="0"/>
        <v>0</v>
      </c>
    </row>
    <row r="42" spans="1:20" x14ac:dyDescent="0.25">
      <c r="A42" s="235">
        <v>41</v>
      </c>
      <c r="B42" s="236" t="s">
        <v>637</v>
      </c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5">
        <v>0</v>
      </c>
      <c r="T42">
        <f t="shared" si="0"/>
        <v>0</v>
      </c>
    </row>
    <row r="43" spans="1:20" x14ac:dyDescent="0.25">
      <c r="A43" s="235">
        <v>42</v>
      </c>
      <c r="B43" s="236" t="s">
        <v>640</v>
      </c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5">
        <v>0</v>
      </c>
      <c r="T43">
        <f t="shared" si="0"/>
        <v>0</v>
      </c>
    </row>
    <row r="44" spans="1:20" x14ac:dyDescent="0.25">
      <c r="A44" s="235">
        <v>43</v>
      </c>
      <c r="B44" s="236" t="s">
        <v>638</v>
      </c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5">
        <v>0</v>
      </c>
      <c r="T44">
        <f t="shared" si="0"/>
        <v>0</v>
      </c>
    </row>
    <row r="45" spans="1:20" x14ac:dyDescent="0.25">
      <c r="A45" s="235">
        <v>44</v>
      </c>
      <c r="B45" s="236" t="s">
        <v>635</v>
      </c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5">
        <v>0</v>
      </c>
      <c r="T45">
        <f t="shared" si="0"/>
        <v>0</v>
      </c>
    </row>
    <row r="46" spans="1:20" x14ac:dyDescent="0.25">
      <c r="A46" s="235">
        <v>45</v>
      </c>
      <c r="B46" s="236" t="s">
        <v>641</v>
      </c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5">
        <v>0</v>
      </c>
      <c r="T46">
        <f t="shared" si="0"/>
        <v>0</v>
      </c>
    </row>
    <row r="47" spans="1:20" x14ac:dyDescent="0.25">
      <c r="A47" s="235">
        <v>46</v>
      </c>
      <c r="B47" s="236" t="s">
        <v>649</v>
      </c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5">
        <v>0</v>
      </c>
      <c r="T47">
        <f t="shared" si="0"/>
        <v>0</v>
      </c>
    </row>
    <row r="48" spans="1:20" x14ac:dyDescent="0.25">
      <c r="A48" s="235">
        <v>47</v>
      </c>
      <c r="B48" s="236" t="s">
        <v>642</v>
      </c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5">
        <v>0</v>
      </c>
      <c r="T48">
        <f t="shared" si="0"/>
        <v>0</v>
      </c>
    </row>
    <row r="49" spans="1:20" x14ac:dyDescent="0.25">
      <c r="A49" s="235">
        <v>48</v>
      </c>
      <c r="B49" s="236" t="s">
        <v>643</v>
      </c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5">
        <v>0</v>
      </c>
      <c r="T49">
        <f t="shared" si="0"/>
        <v>0</v>
      </c>
    </row>
    <row r="50" spans="1:20" x14ac:dyDescent="0.25">
      <c r="A50" s="235">
        <v>49</v>
      </c>
      <c r="B50" s="236" t="s">
        <v>644</v>
      </c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5">
        <v>0</v>
      </c>
      <c r="T50">
        <f t="shared" si="0"/>
        <v>0</v>
      </c>
    </row>
    <row r="51" spans="1:20" x14ac:dyDescent="0.25">
      <c r="A51" s="235">
        <v>50</v>
      </c>
      <c r="B51" s="236" t="s">
        <v>646</v>
      </c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5">
        <v>0</v>
      </c>
      <c r="T51">
        <f t="shared" si="0"/>
        <v>0</v>
      </c>
    </row>
    <row r="52" spans="1:20" x14ac:dyDescent="0.25">
      <c r="A52" s="235">
        <v>51</v>
      </c>
      <c r="B52" s="236" t="s">
        <v>647</v>
      </c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5">
        <v>0</v>
      </c>
      <c r="T52">
        <f t="shared" si="0"/>
        <v>0</v>
      </c>
    </row>
    <row r="53" spans="1:20" x14ac:dyDescent="0.25">
      <c r="A53" s="235">
        <v>52</v>
      </c>
      <c r="B53" s="236" t="s">
        <v>652</v>
      </c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5">
        <v>0</v>
      </c>
      <c r="T53">
        <f t="shared" si="0"/>
        <v>0</v>
      </c>
    </row>
    <row r="54" spans="1:20" x14ac:dyDescent="0.25">
      <c r="A54" s="235">
        <v>53</v>
      </c>
      <c r="B54" s="236" t="s">
        <v>653</v>
      </c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5">
        <v>0</v>
      </c>
      <c r="T54">
        <f t="shared" si="0"/>
        <v>0</v>
      </c>
    </row>
    <row r="55" spans="1:20" x14ac:dyDescent="0.25">
      <c r="A55" s="235">
        <v>54</v>
      </c>
      <c r="B55" s="236" t="s">
        <v>654</v>
      </c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5">
        <v>0</v>
      </c>
      <c r="T55">
        <f t="shared" si="0"/>
        <v>0</v>
      </c>
    </row>
    <row r="56" spans="1:20" x14ac:dyDescent="0.25">
      <c r="A56" s="235">
        <v>55</v>
      </c>
      <c r="B56" s="236" t="s">
        <v>655</v>
      </c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5">
        <v>0</v>
      </c>
      <c r="T56">
        <f t="shared" si="0"/>
        <v>0</v>
      </c>
    </row>
    <row r="57" spans="1:20" x14ac:dyDescent="0.25">
      <c r="A57" s="235">
        <v>56</v>
      </c>
      <c r="B57" s="236" t="s">
        <v>656</v>
      </c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5">
        <v>0</v>
      </c>
      <c r="T57">
        <f t="shared" si="0"/>
        <v>0</v>
      </c>
    </row>
    <row r="58" spans="1:20" x14ac:dyDescent="0.25">
      <c r="A58" s="235">
        <v>57</v>
      </c>
      <c r="B58" s="236" t="s">
        <v>657</v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5">
        <v>0</v>
      </c>
      <c r="T58">
        <f t="shared" si="0"/>
        <v>0</v>
      </c>
    </row>
    <row r="59" spans="1:20" x14ac:dyDescent="0.25">
      <c r="A59" s="235">
        <v>58</v>
      </c>
      <c r="B59" s="236" t="s">
        <v>658</v>
      </c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5">
        <v>0</v>
      </c>
      <c r="T59">
        <f t="shared" si="0"/>
        <v>0</v>
      </c>
    </row>
    <row r="60" spans="1:20" x14ac:dyDescent="0.25">
      <c r="A60" s="235">
        <v>59</v>
      </c>
      <c r="B60" s="236" t="s">
        <v>659</v>
      </c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 t="s">
        <v>54</v>
      </c>
      <c r="N60" s="236"/>
      <c r="O60" s="236"/>
      <c r="P60" s="236"/>
      <c r="Q60" s="236"/>
      <c r="R60" s="237">
        <v>24</v>
      </c>
      <c r="T60">
        <f t="shared" si="0"/>
        <v>24</v>
      </c>
    </row>
    <row r="61" spans="1:20" x14ac:dyDescent="0.25">
      <c r="A61" s="235">
        <v>60</v>
      </c>
      <c r="B61" s="236" t="s">
        <v>660</v>
      </c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 t="s">
        <v>54</v>
      </c>
      <c r="N61" s="236"/>
      <c r="O61" s="236"/>
      <c r="P61" s="236"/>
      <c r="Q61" s="236"/>
      <c r="R61" s="237">
        <v>24</v>
      </c>
      <c r="T61">
        <f t="shared" si="0"/>
        <v>24</v>
      </c>
    </row>
    <row r="62" spans="1:20" x14ac:dyDescent="0.25">
      <c r="A62" s="235">
        <v>61</v>
      </c>
      <c r="B62" s="236" t="s">
        <v>661</v>
      </c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5">
        <v>0</v>
      </c>
      <c r="T62">
        <f t="shared" si="0"/>
        <v>0</v>
      </c>
    </row>
    <row r="63" spans="1:20" x14ac:dyDescent="0.25">
      <c r="A63" s="235">
        <v>62</v>
      </c>
      <c r="B63" s="236" t="s">
        <v>662</v>
      </c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5">
        <v>0</v>
      </c>
      <c r="T63">
        <f t="shared" si="0"/>
        <v>0</v>
      </c>
    </row>
    <row r="64" spans="1:20" x14ac:dyDescent="0.25">
      <c r="A64" s="235">
        <v>63</v>
      </c>
      <c r="B64" s="236" t="s">
        <v>668</v>
      </c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5">
        <v>0</v>
      </c>
      <c r="T64">
        <f t="shared" si="0"/>
        <v>0</v>
      </c>
    </row>
    <row r="65" spans="1:18" x14ac:dyDescent="0.2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8">
        <v>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65"/>
  <sheetViews>
    <sheetView workbookViewId="0">
      <selection activeCell="I14" sqref="I14"/>
    </sheetView>
  </sheetViews>
  <sheetFormatPr defaultRowHeight="15" x14ac:dyDescent="0.25"/>
  <sheetData>
    <row r="1" spans="1:20" x14ac:dyDescent="0.25">
      <c r="A1" s="239" t="s">
        <v>1</v>
      </c>
      <c r="B1" s="239" t="s">
        <v>6</v>
      </c>
      <c r="C1" s="239" t="s">
        <v>46</v>
      </c>
      <c r="D1" s="239" t="s">
        <v>47</v>
      </c>
      <c r="E1" s="239" t="s">
        <v>48</v>
      </c>
      <c r="F1" s="239" t="s">
        <v>49</v>
      </c>
      <c r="G1" s="239" t="s">
        <v>50</v>
      </c>
      <c r="H1" s="239" t="s">
        <v>51</v>
      </c>
      <c r="I1" s="239" t="s">
        <v>52</v>
      </c>
      <c r="J1" s="239" t="s">
        <v>53</v>
      </c>
      <c r="K1" s="239" t="s">
        <v>54</v>
      </c>
      <c r="L1" s="239" t="s">
        <v>55</v>
      </c>
      <c r="M1" s="239" t="s">
        <v>56</v>
      </c>
      <c r="N1" s="239" t="s">
        <v>57</v>
      </c>
      <c r="O1" s="239" t="s">
        <v>58</v>
      </c>
      <c r="P1" s="239" t="s">
        <v>59</v>
      </c>
      <c r="Q1" s="239" t="s">
        <v>667</v>
      </c>
      <c r="R1" s="239" t="s">
        <v>2</v>
      </c>
    </row>
    <row r="2" spans="1:20" x14ac:dyDescent="0.25">
      <c r="A2" s="240">
        <v>1</v>
      </c>
      <c r="B2" s="241" t="s">
        <v>10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0">
        <v>0</v>
      </c>
      <c r="T2">
        <f t="shared" ref="T2:T64" si="0">C2+D2+E2+F2+G2+H2+I2+J2+K2+L2+M2+N2+O2+P2+Q2</f>
        <v>0</v>
      </c>
    </row>
    <row r="3" spans="1:20" x14ac:dyDescent="0.25">
      <c r="A3" s="240">
        <v>2</v>
      </c>
      <c r="B3" s="241" t="s">
        <v>11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0">
        <v>0</v>
      </c>
      <c r="T3">
        <f t="shared" si="0"/>
        <v>0</v>
      </c>
    </row>
    <row r="4" spans="1:20" x14ac:dyDescent="0.25">
      <c r="A4" s="240">
        <v>3</v>
      </c>
      <c r="B4" s="241" t="s">
        <v>12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0">
        <v>0</v>
      </c>
      <c r="T4">
        <f t="shared" si="0"/>
        <v>0</v>
      </c>
    </row>
    <row r="5" spans="1:20" x14ac:dyDescent="0.25">
      <c r="A5" s="240">
        <v>4</v>
      </c>
      <c r="B5" s="241" t="s">
        <v>651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0">
        <v>0</v>
      </c>
      <c r="T5">
        <f t="shared" si="0"/>
        <v>0</v>
      </c>
    </row>
    <row r="6" spans="1:20" x14ac:dyDescent="0.25">
      <c r="A6" s="240">
        <v>5</v>
      </c>
      <c r="B6" s="241" t="s">
        <v>14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0">
        <v>0</v>
      </c>
      <c r="T6">
        <f t="shared" si="0"/>
        <v>0</v>
      </c>
    </row>
    <row r="7" spans="1:20" x14ac:dyDescent="0.25">
      <c r="A7" s="240">
        <v>6</v>
      </c>
      <c r="B7" s="241" t="s">
        <v>15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0">
        <v>0</v>
      </c>
      <c r="T7">
        <f t="shared" si="0"/>
        <v>0</v>
      </c>
    </row>
    <row r="8" spans="1:20" x14ac:dyDescent="0.25">
      <c r="A8" s="240">
        <v>7</v>
      </c>
      <c r="B8" s="241" t="s">
        <v>16</v>
      </c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0">
        <v>0</v>
      </c>
      <c r="T8">
        <f t="shared" si="0"/>
        <v>0</v>
      </c>
    </row>
    <row r="9" spans="1:20" x14ac:dyDescent="0.25">
      <c r="A9" s="240">
        <v>8</v>
      </c>
      <c r="B9" s="241" t="s">
        <v>4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0">
        <v>0</v>
      </c>
      <c r="T9">
        <f t="shared" si="0"/>
        <v>0</v>
      </c>
    </row>
    <row r="10" spans="1:20" x14ac:dyDescent="0.25">
      <c r="A10" s="240">
        <v>9</v>
      </c>
      <c r="B10" s="241" t="s">
        <v>5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0">
        <v>0</v>
      </c>
      <c r="T10">
        <f t="shared" si="0"/>
        <v>0</v>
      </c>
    </row>
    <row r="11" spans="1:20" x14ac:dyDescent="0.25">
      <c r="A11" s="240">
        <v>10</v>
      </c>
      <c r="B11" s="241" t="s">
        <v>38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0">
        <v>0</v>
      </c>
      <c r="T11">
        <f t="shared" si="0"/>
        <v>0</v>
      </c>
    </row>
    <row r="12" spans="1:20" x14ac:dyDescent="0.25">
      <c r="A12" s="240">
        <v>11</v>
      </c>
      <c r="B12" s="241" t="s">
        <v>43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0">
        <v>0</v>
      </c>
      <c r="T12">
        <f t="shared" si="0"/>
        <v>0</v>
      </c>
    </row>
    <row r="13" spans="1:20" x14ac:dyDescent="0.25">
      <c r="A13" s="240">
        <v>12</v>
      </c>
      <c r="B13" s="241" t="s">
        <v>639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0">
        <v>0</v>
      </c>
      <c r="T13">
        <f t="shared" si="0"/>
        <v>0</v>
      </c>
    </row>
    <row r="14" spans="1:20" x14ac:dyDescent="0.25">
      <c r="A14" s="240">
        <v>13</v>
      </c>
      <c r="B14" s="241" t="s">
        <v>87</v>
      </c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0">
        <v>0</v>
      </c>
      <c r="T14">
        <f t="shared" si="0"/>
        <v>0</v>
      </c>
    </row>
    <row r="15" spans="1:20" x14ac:dyDescent="0.25">
      <c r="A15" s="240">
        <v>14</v>
      </c>
      <c r="B15" s="241" t="s">
        <v>95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0">
        <v>0</v>
      </c>
      <c r="T15">
        <f t="shared" si="0"/>
        <v>0</v>
      </c>
    </row>
    <row r="16" spans="1:20" x14ac:dyDescent="0.25">
      <c r="A16" s="240">
        <v>15</v>
      </c>
      <c r="B16" s="241" t="s">
        <v>96</v>
      </c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0">
        <v>0</v>
      </c>
      <c r="T16">
        <f t="shared" si="0"/>
        <v>0</v>
      </c>
    </row>
    <row r="17" spans="1:20" x14ac:dyDescent="0.25">
      <c r="A17" s="240">
        <v>16</v>
      </c>
      <c r="B17" s="241" t="s">
        <v>97</v>
      </c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0">
        <v>0</v>
      </c>
      <c r="T17">
        <f t="shared" si="0"/>
        <v>0</v>
      </c>
    </row>
    <row r="18" spans="1:20" x14ac:dyDescent="0.25">
      <c r="A18" s="240">
        <v>17</v>
      </c>
      <c r="B18" s="241" t="s">
        <v>98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0">
        <v>0</v>
      </c>
      <c r="T18">
        <f t="shared" si="0"/>
        <v>0</v>
      </c>
    </row>
    <row r="19" spans="1:20" x14ac:dyDescent="0.25">
      <c r="A19" s="240">
        <v>18</v>
      </c>
      <c r="B19" s="241" t="s">
        <v>616</v>
      </c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0">
        <v>0</v>
      </c>
      <c r="T19">
        <f t="shared" si="0"/>
        <v>0</v>
      </c>
    </row>
    <row r="20" spans="1:20" x14ac:dyDescent="0.25">
      <c r="A20" s="240">
        <v>19</v>
      </c>
      <c r="B20" s="241" t="s">
        <v>617</v>
      </c>
      <c r="C20" s="241"/>
      <c r="D20" s="241"/>
      <c r="E20" s="241"/>
      <c r="F20" s="241" t="s">
        <v>54</v>
      </c>
      <c r="G20" s="241"/>
      <c r="H20" s="241"/>
      <c r="I20" s="241" t="s">
        <v>54</v>
      </c>
      <c r="J20" s="241"/>
      <c r="K20" s="241"/>
      <c r="L20" s="241"/>
      <c r="M20" s="241"/>
      <c r="N20" s="241"/>
      <c r="O20" s="241"/>
      <c r="P20" s="241"/>
      <c r="Q20" s="241"/>
      <c r="R20" s="242">
        <v>48</v>
      </c>
      <c r="T20">
        <f t="shared" si="0"/>
        <v>48</v>
      </c>
    </row>
    <row r="21" spans="1:20" x14ac:dyDescent="0.25">
      <c r="A21" s="240">
        <v>20</v>
      </c>
      <c r="B21" s="241" t="s">
        <v>626</v>
      </c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0">
        <v>0</v>
      </c>
      <c r="T21">
        <f t="shared" si="0"/>
        <v>0</v>
      </c>
    </row>
    <row r="22" spans="1:20" x14ac:dyDescent="0.25">
      <c r="A22" s="240">
        <v>21</v>
      </c>
      <c r="B22" s="241" t="s">
        <v>618</v>
      </c>
      <c r="C22" s="241"/>
      <c r="D22" s="241"/>
      <c r="E22" s="241"/>
      <c r="F22" s="241" t="s">
        <v>54</v>
      </c>
      <c r="G22" s="241"/>
      <c r="H22" s="241"/>
      <c r="I22" s="241" t="s">
        <v>54</v>
      </c>
      <c r="J22" s="241"/>
      <c r="K22" s="241"/>
      <c r="L22" s="241"/>
      <c r="M22" s="241"/>
      <c r="N22" s="241"/>
      <c r="O22" s="241"/>
      <c r="P22" s="241"/>
      <c r="Q22" s="241"/>
      <c r="R22" s="242">
        <v>48</v>
      </c>
      <c r="T22">
        <f t="shared" si="0"/>
        <v>48</v>
      </c>
    </row>
    <row r="23" spans="1:20" x14ac:dyDescent="0.25">
      <c r="A23" s="240">
        <v>22</v>
      </c>
      <c r="B23" s="241" t="s">
        <v>619</v>
      </c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0">
        <v>0</v>
      </c>
      <c r="T23">
        <f t="shared" si="0"/>
        <v>0</v>
      </c>
    </row>
    <row r="24" spans="1:20" x14ac:dyDescent="0.25">
      <c r="A24" s="240">
        <v>23</v>
      </c>
      <c r="B24" s="241" t="s">
        <v>620</v>
      </c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0">
        <v>0</v>
      </c>
      <c r="T24">
        <f t="shared" si="0"/>
        <v>0</v>
      </c>
    </row>
    <row r="25" spans="1:20" x14ac:dyDescent="0.25">
      <c r="A25" s="240">
        <v>24</v>
      </c>
      <c r="B25" s="241" t="s">
        <v>650</v>
      </c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0">
        <v>0</v>
      </c>
      <c r="T25">
        <f t="shared" si="0"/>
        <v>0</v>
      </c>
    </row>
    <row r="26" spans="1:20" x14ac:dyDescent="0.25">
      <c r="A26" s="240">
        <v>25</v>
      </c>
      <c r="B26" s="241" t="s">
        <v>621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0">
        <v>0</v>
      </c>
      <c r="T26">
        <f t="shared" si="0"/>
        <v>0</v>
      </c>
    </row>
    <row r="27" spans="1:20" x14ac:dyDescent="0.25">
      <c r="A27" s="240">
        <v>26</v>
      </c>
      <c r="B27" s="241" t="s">
        <v>622</v>
      </c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0">
        <v>0</v>
      </c>
      <c r="T27">
        <f t="shared" si="0"/>
        <v>0</v>
      </c>
    </row>
    <row r="28" spans="1:20" x14ac:dyDescent="0.25">
      <c r="A28" s="240">
        <v>27</v>
      </c>
      <c r="B28" s="241" t="s">
        <v>623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0">
        <v>0</v>
      </c>
      <c r="T28">
        <f t="shared" si="0"/>
        <v>0</v>
      </c>
    </row>
    <row r="29" spans="1:20" x14ac:dyDescent="0.25">
      <c r="A29" s="240">
        <v>28</v>
      </c>
      <c r="B29" s="241" t="s">
        <v>624</v>
      </c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0">
        <v>0</v>
      </c>
      <c r="T29">
        <f t="shared" si="0"/>
        <v>0</v>
      </c>
    </row>
    <row r="30" spans="1:20" x14ac:dyDescent="0.25">
      <c r="A30" s="240">
        <v>29</v>
      </c>
      <c r="B30" s="241" t="s">
        <v>627</v>
      </c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0">
        <v>0</v>
      </c>
      <c r="T30">
        <f t="shared" si="0"/>
        <v>0</v>
      </c>
    </row>
    <row r="31" spans="1:20" x14ac:dyDescent="0.25">
      <c r="A31" s="240">
        <v>30</v>
      </c>
      <c r="B31" s="241" t="s">
        <v>625</v>
      </c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0">
        <v>0</v>
      </c>
      <c r="T31">
        <f t="shared" si="0"/>
        <v>0</v>
      </c>
    </row>
    <row r="32" spans="1:20" x14ac:dyDescent="0.25">
      <c r="A32" s="240">
        <v>31</v>
      </c>
      <c r="B32" s="241" t="s">
        <v>34</v>
      </c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0">
        <v>0</v>
      </c>
      <c r="T32">
        <f t="shared" si="0"/>
        <v>0</v>
      </c>
    </row>
    <row r="33" spans="1:20" x14ac:dyDescent="0.25">
      <c r="A33" s="240">
        <v>32</v>
      </c>
      <c r="B33" s="241" t="s">
        <v>45</v>
      </c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0">
        <v>0</v>
      </c>
      <c r="T33">
        <f t="shared" si="0"/>
        <v>0</v>
      </c>
    </row>
    <row r="34" spans="1:20" x14ac:dyDescent="0.25">
      <c r="A34" s="240">
        <v>33</v>
      </c>
      <c r="B34" s="241" t="s">
        <v>630</v>
      </c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0">
        <v>0</v>
      </c>
      <c r="T34">
        <f t="shared" si="0"/>
        <v>0</v>
      </c>
    </row>
    <row r="35" spans="1:20" x14ac:dyDescent="0.25">
      <c r="A35" s="240">
        <v>34</v>
      </c>
      <c r="B35" s="241" t="s">
        <v>628</v>
      </c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0">
        <v>0</v>
      </c>
      <c r="T35">
        <f t="shared" si="0"/>
        <v>0</v>
      </c>
    </row>
    <row r="36" spans="1:20" x14ac:dyDescent="0.25">
      <c r="A36" s="240">
        <v>35</v>
      </c>
      <c r="B36" s="241" t="s">
        <v>629</v>
      </c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0">
        <v>0</v>
      </c>
      <c r="T36">
        <f t="shared" si="0"/>
        <v>0</v>
      </c>
    </row>
    <row r="37" spans="1:20" x14ac:dyDescent="0.25">
      <c r="A37" s="240">
        <v>36</v>
      </c>
      <c r="B37" s="241" t="s">
        <v>631</v>
      </c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0">
        <v>0</v>
      </c>
      <c r="T37">
        <f t="shared" si="0"/>
        <v>0</v>
      </c>
    </row>
    <row r="38" spans="1:20" x14ac:dyDescent="0.25">
      <c r="A38" s="240">
        <v>37</v>
      </c>
      <c r="B38" s="241" t="s">
        <v>632</v>
      </c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0">
        <v>0</v>
      </c>
      <c r="T38">
        <f t="shared" si="0"/>
        <v>0</v>
      </c>
    </row>
    <row r="39" spans="1:20" x14ac:dyDescent="0.25">
      <c r="A39" s="240">
        <v>38</v>
      </c>
      <c r="B39" s="241" t="s">
        <v>633</v>
      </c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0">
        <v>0</v>
      </c>
      <c r="T39">
        <f t="shared" si="0"/>
        <v>0</v>
      </c>
    </row>
    <row r="40" spans="1:20" x14ac:dyDescent="0.25">
      <c r="A40" s="240">
        <v>39</v>
      </c>
      <c r="B40" s="241" t="s">
        <v>634</v>
      </c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0">
        <v>0</v>
      </c>
      <c r="T40">
        <f t="shared" si="0"/>
        <v>0</v>
      </c>
    </row>
    <row r="41" spans="1:20" x14ac:dyDescent="0.25">
      <c r="A41" s="240">
        <v>40</v>
      </c>
      <c r="B41" s="241" t="s">
        <v>636</v>
      </c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0">
        <v>0</v>
      </c>
      <c r="T41">
        <f t="shared" si="0"/>
        <v>0</v>
      </c>
    </row>
    <row r="42" spans="1:20" x14ac:dyDescent="0.25">
      <c r="A42" s="240">
        <v>41</v>
      </c>
      <c r="B42" s="241" t="s">
        <v>637</v>
      </c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0">
        <v>0</v>
      </c>
      <c r="T42">
        <f t="shared" si="0"/>
        <v>0</v>
      </c>
    </row>
    <row r="43" spans="1:20" x14ac:dyDescent="0.25">
      <c r="A43" s="240">
        <v>42</v>
      </c>
      <c r="B43" s="241" t="s">
        <v>640</v>
      </c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0">
        <v>0</v>
      </c>
      <c r="T43">
        <f t="shared" si="0"/>
        <v>0</v>
      </c>
    </row>
    <row r="44" spans="1:20" x14ac:dyDescent="0.25">
      <c r="A44" s="240">
        <v>43</v>
      </c>
      <c r="B44" s="241" t="s">
        <v>638</v>
      </c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0">
        <v>0</v>
      </c>
      <c r="T44">
        <f t="shared" si="0"/>
        <v>0</v>
      </c>
    </row>
    <row r="45" spans="1:20" x14ac:dyDescent="0.25">
      <c r="A45" s="240">
        <v>44</v>
      </c>
      <c r="B45" s="241" t="s">
        <v>635</v>
      </c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0">
        <v>0</v>
      </c>
      <c r="T45">
        <f t="shared" si="0"/>
        <v>0</v>
      </c>
    </row>
    <row r="46" spans="1:20" x14ac:dyDescent="0.25">
      <c r="A46" s="240">
        <v>45</v>
      </c>
      <c r="B46" s="241" t="s">
        <v>641</v>
      </c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0">
        <v>0</v>
      </c>
      <c r="T46">
        <f t="shared" si="0"/>
        <v>0</v>
      </c>
    </row>
    <row r="47" spans="1:20" x14ac:dyDescent="0.25">
      <c r="A47" s="240">
        <v>46</v>
      </c>
      <c r="B47" s="241" t="s">
        <v>649</v>
      </c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0">
        <v>0</v>
      </c>
      <c r="T47">
        <f t="shared" si="0"/>
        <v>0</v>
      </c>
    </row>
    <row r="48" spans="1:20" x14ac:dyDescent="0.25">
      <c r="A48" s="240">
        <v>47</v>
      </c>
      <c r="B48" s="241" t="s">
        <v>642</v>
      </c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0">
        <v>0</v>
      </c>
      <c r="T48">
        <f t="shared" si="0"/>
        <v>0</v>
      </c>
    </row>
    <row r="49" spans="1:20" x14ac:dyDescent="0.25">
      <c r="A49" s="240">
        <v>48</v>
      </c>
      <c r="B49" s="241" t="s">
        <v>643</v>
      </c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0">
        <v>0</v>
      </c>
      <c r="T49">
        <f t="shared" si="0"/>
        <v>0</v>
      </c>
    </row>
    <row r="50" spans="1:20" x14ac:dyDescent="0.25">
      <c r="A50" s="240">
        <v>49</v>
      </c>
      <c r="B50" s="241" t="s">
        <v>644</v>
      </c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0">
        <v>0</v>
      </c>
      <c r="T50">
        <f t="shared" si="0"/>
        <v>0</v>
      </c>
    </row>
    <row r="51" spans="1:20" x14ac:dyDescent="0.25">
      <c r="A51" s="240">
        <v>50</v>
      </c>
      <c r="B51" s="241" t="s">
        <v>646</v>
      </c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0">
        <v>0</v>
      </c>
      <c r="T51">
        <f t="shared" si="0"/>
        <v>0</v>
      </c>
    </row>
    <row r="52" spans="1:20" x14ac:dyDescent="0.25">
      <c r="A52" s="240">
        <v>51</v>
      </c>
      <c r="B52" s="241" t="s">
        <v>647</v>
      </c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0">
        <v>0</v>
      </c>
      <c r="T52">
        <f t="shared" si="0"/>
        <v>0</v>
      </c>
    </row>
    <row r="53" spans="1:20" x14ac:dyDescent="0.25">
      <c r="A53" s="240">
        <v>52</v>
      </c>
      <c r="B53" s="241" t="s">
        <v>652</v>
      </c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0">
        <v>0</v>
      </c>
      <c r="T53">
        <f t="shared" si="0"/>
        <v>0</v>
      </c>
    </row>
    <row r="54" spans="1:20" x14ac:dyDescent="0.25">
      <c r="A54" s="240">
        <v>53</v>
      </c>
      <c r="B54" s="241" t="s">
        <v>653</v>
      </c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0">
        <v>0</v>
      </c>
      <c r="T54">
        <f t="shared" si="0"/>
        <v>0</v>
      </c>
    </row>
    <row r="55" spans="1:20" x14ac:dyDescent="0.25">
      <c r="A55" s="240">
        <v>54</v>
      </c>
      <c r="B55" s="241" t="s">
        <v>654</v>
      </c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0">
        <v>0</v>
      </c>
      <c r="T55">
        <f t="shared" si="0"/>
        <v>0</v>
      </c>
    </row>
    <row r="56" spans="1:20" x14ac:dyDescent="0.25">
      <c r="A56" s="240">
        <v>55</v>
      </c>
      <c r="B56" s="241" t="s">
        <v>655</v>
      </c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0">
        <v>0</v>
      </c>
      <c r="T56">
        <f t="shared" si="0"/>
        <v>0</v>
      </c>
    </row>
    <row r="57" spans="1:20" x14ac:dyDescent="0.25">
      <c r="A57" s="240">
        <v>56</v>
      </c>
      <c r="B57" s="241" t="s">
        <v>656</v>
      </c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0">
        <v>0</v>
      </c>
      <c r="T57">
        <f t="shared" si="0"/>
        <v>0</v>
      </c>
    </row>
    <row r="58" spans="1:20" x14ac:dyDescent="0.25">
      <c r="A58" s="240">
        <v>57</v>
      </c>
      <c r="B58" s="241" t="s">
        <v>657</v>
      </c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0">
        <v>0</v>
      </c>
      <c r="T58">
        <f t="shared" si="0"/>
        <v>0</v>
      </c>
    </row>
    <row r="59" spans="1:20" x14ac:dyDescent="0.25">
      <c r="A59" s="240">
        <v>58</v>
      </c>
      <c r="B59" s="241" t="s">
        <v>658</v>
      </c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0">
        <v>0</v>
      </c>
      <c r="T59">
        <f t="shared" si="0"/>
        <v>0</v>
      </c>
    </row>
    <row r="60" spans="1:20" x14ac:dyDescent="0.25">
      <c r="A60" s="240">
        <v>59</v>
      </c>
      <c r="B60" s="241" t="s">
        <v>659</v>
      </c>
      <c r="C60" s="241"/>
      <c r="D60" s="241"/>
      <c r="E60" s="241"/>
      <c r="F60" s="241" t="s">
        <v>54</v>
      </c>
      <c r="G60" s="241"/>
      <c r="H60" s="241"/>
      <c r="I60" s="241" t="s">
        <v>54</v>
      </c>
      <c r="J60" s="241"/>
      <c r="K60" s="241"/>
      <c r="L60" s="241"/>
      <c r="M60" s="241"/>
      <c r="N60" s="241"/>
      <c r="O60" s="241"/>
      <c r="P60" s="241"/>
      <c r="Q60" s="241"/>
      <c r="R60" s="242">
        <v>48</v>
      </c>
      <c r="T60">
        <f t="shared" si="0"/>
        <v>48</v>
      </c>
    </row>
    <row r="61" spans="1:20" x14ac:dyDescent="0.25">
      <c r="A61" s="240">
        <v>60</v>
      </c>
      <c r="B61" s="241" t="s">
        <v>660</v>
      </c>
      <c r="C61" s="241"/>
      <c r="D61" s="241"/>
      <c r="E61" s="241"/>
      <c r="F61" s="241" t="s">
        <v>54</v>
      </c>
      <c r="G61" s="241"/>
      <c r="H61" s="241"/>
      <c r="I61" s="241" t="s">
        <v>54</v>
      </c>
      <c r="J61" s="241"/>
      <c r="K61" s="241"/>
      <c r="L61" s="241"/>
      <c r="M61" s="241"/>
      <c r="N61" s="241"/>
      <c r="O61" s="241"/>
      <c r="P61" s="241"/>
      <c r="Q61" s="241"/>
      <c r="R61" s="242">
        <v>48</v>
      </c>
      <c r="T61">
        <f t="shared" si="0"/>
        <v>48</v>
      </c>
    </row>
    <row r="62" spans="1:20" x14ac:dyDescent="0.25">
      <c r="A62" s="240">
        <v>61</v>
      </c>
      <c r="B62" s="241" t="s">
        <v>661</v>
      </c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0">
        <v>0</v>
      </c>
      <c r="T62">
        <f t="shared" si="0"/>
        <v>0</v>
      </c>
    </row>
    <row r="63" spans="1:20" x14ac:dyDescent="0.25">
      <c r="A63" s="240">
        <v>62</v>
      </c>
      <c r="B63" s="241" t="s">
        <v>662</v>
      </c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0">
        <v>0</v>
      </c>
      <c r="T63">
        <f t="shared" si="0"/>
        <v>0</v>
      </c>
    </row>
    <row r="64" spans="1:20" x14ac:dyDescent="0.25">
      <c r="A64" s="240">
        <v>63</v>
      </c>
      <c r="B64" s="241" t="s">
        <v>668</v>
      </c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0">
        <v>0</v>
      </c>
      <c r="T64">
        <f t="shared" si="0"/>
        <v>0</v>
      </c>
    </row>
    <row r="65" spans="1:18" x14ac:dyDescent="0.25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43">
        <v>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5"/>
  <sheetViews>
    <sheetView zoomScaleNormal="100" workbookViewId="0">
      <selection activeCell="Q13" sqref="Q13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91" t="s">
        <v>1</v>
      </c>
      <c r="B1" s="191" t="s">
        <v>6</v>
      </c>
      <c r="C1" s="191" t="s">
        <v>46</v>
      </c>
      <c r="D1" s="191" t="s">
        <v>47</v>
      </c>
      <c r="E1" s="191" t="s">
        <v>48</v>
      </c>
      <c r="F1" s="191" t="s">
        <v>49</v>
      </c>
      <c r="G1" s="191" t="s">
        <v>50</v>
      </c>
      <c r="H1" s="191" t="s">
        <v>51</v>
      </c>
      <c r="I1" s="191" t="s">
        <v>52</v>
      </c>
      <c r="J1" s="191" t="s">
        <v>53</v>
      </c>
      <c r="K1" s="191" t="s">
        <v>54</v>
      </c>
      <c r="L1" s="191" t="s">
        <v>55</v>
      </c>
      <c r="M1" s="191" t="s">
        <v>56</v>
      </c>
      <c r="N1" s="191" t="s">
        <v>57</v>
      </c>
      <c r="O1" s="191" t="s">
        <v>58</v>
      </c>
      <c r="P1" s="191" t="s">
        <v>59</v>
      </c>
      <c r="Q1" s="191" t="s">
        <v>667</v>
      </c>
      <c r="R1" s="191" t="s">
        <v>2</v>
      </c>
    </row>
    <row r="2" spans="1:20" x14ac:dyDescent="0.25">
      <c r="A2" s="192">
        <v>1</v>
      </c>
      <c r="B2" s="193" t="s">
        <v>10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2">
        <v>0</v>
      </c>
      <c r="T2">
        <f t="shared" ref="T2:T64" si="0">C2+D2+E2+F2+G2+H2+I2+J2+K2+L2+M2+N2+O2+P2+Q2</f>
        <v>0</v>
      </c>
    </row>
    <row r="3" spans="1:20" x14ac:dyDescent="0.25">
      <c r="A3" s="192">
        <v>2</v>
      </c>
      <c r="B3" s="193" t="s">
        <v>11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2">
        <v>0</v>
      </c>
      <c r="T3">
        <f t="shared" si="0"/>
        <v>0</v>
      </c>
    </row>
    <row r="4" spans="1:20" x14ac:dyDescent="0.25">
      <c r="A4" s="192">
        <v>3</v>
      </c>
      <c r="B4" s="193" t="s">
        <v>12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2">
        <v>0</v>
      </c>
      <c r="T4">
        <f t="shared" si="0"/>
        <v>0</v>
      </c>
    </row>
    <row r="5" spans="1:20" x14ac:dyDescent="0.25">
      <c r="A5" s="192">
        <v>4</v>
      </c>
      <c r="B5" s="193" t="s">
        <v>651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2">
        <v>0</v>
      </c>
      <c r="T5">
        <f t="shared" si="0"/>
        <v>0</v>
      </c>
    </row>
    <row r="6" spans="1:20" x14ac:dyDescent="0.25">
      <c r="A6" s="192">
        <v>5</v>
      </c>
      <c r="B6" s="193" t="s">
        <v>14</v>
      </c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2">
        <v>0</v>
      </c>
      <c r="T6">
        <f t="shared" si="0"/>
        <v>0</v>
      </c>
    </row>
    <row r="7" spans="1:20" x14ac:dyDescent="0.25">
      <c r="A7" s="192">
        <v>6</v>
      </c>
      <c r="B7" s="193" t="s">
        <v>15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2">
        <v>0</v>
      </c>
      <c r="T7">
        <f t="shared" si="0"/>
        <v>0</v>
      </c>
    </row>
    <row r="8" spans="1:20" x14ac:dyDescent="0.25">
      <c r="A8" s="192">
        <v>7</v>
      </c>
      <c r="B8" s="193" t="s">
        <v>16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2">
        <v>0</v>
      </c>
      <c r="T8">
        <f t="shared" si="0"/>
        <v>0</v>
      </c>
    </row>
    <row r="9" spans="1:20" x14ac:dyDescent="0.25">
      <c r="A9" s="192">
        <v>8</v>
      </c>
      <c r="B9" s="193" t="s">
        <v>4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2">
        <v>0</v>
      </c>
      <c r="T9">
        <f t="shared" si="0"/>
        <v>0</v>
      </c>
    </row>
    <row r="10" spans="1:20" x14ac:dyDescent="0.25">
      <c r="A10" s="192">
        <v>9</v>
      </c>
      <c r="B10" s="193" t="s">
        <v>5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249">
        <v>0</v>
      </c>
      <c r="T10">
        <v>0</v>
      </c>
    </row>
    <row r="11" spans="1:20" x14ac:dyDescent="0.25">
      <c r="A11" s="192">
        <v>10</v>
      </c>
      <c r="B11" s="193" t="s">
        <v>38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2">
        <v>0</v>
      </c>
      <c r="T11">
        <f t="shared" si="0"/>
        <v>0</v>
      </c>
    </row>
    <row r="12" spans="1:20" x14ac:dyDescent="0.25">
      <c r="A12" s="192">
        <v>11</v>
      </c>
      <c r="B12" s="193" t="s">
        <v>43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2">
        <v>0</v>
      </c>
      <c r="T12">
        <f t="shared" si="0"/>
        <v>0</v>
      </c>
    </row>
    <row r="13" spans="1:20" x14ac:dyDescent="0.25">
      <c r="A13" s="192">
        <v>12</v>
      </c>
      <c r="B13" s="193" t="s">
        <v>639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2">
        <v>0</v>
      </c>
      <c r="T13">
        <f t="shared" si="0"/>
        <v>0</v>
      </c>
    </row>
    <row r="14" spans="1:20" x14ac:dyDescent="0.25">
      <c r="A14" s="192">
        <v>13</v>
      </c>
      <c r="B14" s="193" t="s">
        <v>87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2">
        <v>0</v>
      </c>
      <c r="T14">
        <f t="shared" si="0"/>
        <v>0</v>
      </c>
    </row>
    <row r="15" spans="1:20" x14ac:dyDescent="0.25">
      <c r="A15" s="192">
        <v>14</v>
      </c>
      <c r="B15" s="193" t="s">
        <v>95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2">
        <v>0</v>
      </c>
      <c r="T15">
        <f t="shared" si="0"/>
        <v>0</v>
      </c>
    </row>
    <row r="16" spans="1:20" x14ac:dyDescent="0.25">
      <c r="A16" s="192">
        <v>15</v>
      </c>
      <c r="B16" s="193" t="s">
        <v>96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2">
        <v>0</v>
      </c>
      <c r="T16">
        <f t="shared" si="0"/>
        <v>0</v>
      </c>
    </row>
    <row r="17" spans="1:20" x14ac:dyDescent="0.25">
      <c r="A17" s="192">
        <v>16</v>
      </c>
      <c r="B17" s="193" t="s">
        <v>97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2">
        <v>0</v>
      </c>
      <c r="T17">
        <f t="shared" si="0"/>
        <v>0</v>
      </c>
    </row>
    <row r="18" spans="1:20" x14ac:dyDescent="0.25">
      <c r="A18" s="192">
        <v>17</v>
      </c>
      <c r="B18" s="193" t="s">
        <v>98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2">
        <v>0</v>
      </c>
      <c r="T18">
        <f t="shared" si="0"/>
        <v>0</v>
      </c>
    </row>
    <row r="19" spans="1:20" x14ac:dyDescent="0.25">
      <c r="A19" s="192">
        <v>18</v>
      </c>
      <c r="B19" s="193" t="s">
        <v>616</v>
      </c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2">
        <v>0</v>
      </c>
      <c r="T19">
        <f t="shared" si="0"/>
        <v>0</v>
      </c>
    </row>
    <row r="20" spans="1:20" x14ac:dyDescent="0.25">
      <c r="A20" s="192">
        <v>19</v>
      </c>
      <c r="B20" s="193" t="s">
        <v>617</v>
      </c>
      <c r="C20" s="193"/>
      <c r="D20" s="193"/>
      <c r="E20" s="193"/>
      <c r="F20" s="193"/>
      <c r="G20" s="193"/>
      <c r="H20" s="193" t="s">
        <v>54</v>
      </c>
      <c r="I20" s="193"/>
      <c r="J20" s="193"/>
      <c r="K20" s="193"/>
      <c r="L20" s="193"/>
      <c r="M20" s="193"/>
      <c r="N20" s="193"/>
      <c r="O20" s="193"/>
      <c r="P20" s="193"/>
      <c r="Q20" s="193"/>
      <c r="R20" s="249">
        <v>24</v>
      </c>
      <c r="T20">
        <f t="shared" si="0"/>
        <v>24</v>
      </c>
    </row>
    <row r="21" spans="1:20" x14ac:dyDescent="0.25">
      <c r="A21" s="192">
        <v>20</v>
      </c>
      <c r="B21" s="193" t="s">
        <v>626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2">
        <v>0</v>
      </c>
      <c r="T21">
        <f t="shared" si="0"/>
        <v>0</v>
      </c>
    </row>
    <row r="22" spans="1:20" x14ac:dyDescent="0.25">
      <c r="A22" s="192">
        <v>21</v>
      </c>
      <c r="B22" s="193" t="s">
        <v>618</v>
      </c>
      <c r="C22" s="193"/>
      <c r="D22" s="193"/>
      <c r="E22" s="193"/>
      <c r="F22" s="193"/>
      <c r="G22" s="193"/>
      <c r="H22" s="193" t="s">
        <v>54</v>
      </c>
      <c r="I22" s="193"/>
      <c r="J22" s="193"/>
      <c r="K22" s="193"/>
      <c r="L22" s="193"/>
      <c r="M22" s="193"/>
      <c r="N22" s="193"/>
      <c r="O22" s="193"/>
      <c r="P22" s="193"/>
      <c r="Q22" s="193"/>
      <c r="R22" s="249">
        <v>24</v>
      </c>
      <c r="T22">
        <f t="shared" si="0"/>
        <v>24</v>
      </c>
    </row>
    <row r="23" spans="1:20" x14ac:dyDescent="0.25">
      <c r="A23" s="192">
        <v>22</v>
      </c>
      <c r="B23" s="193" t="s">
        <v>619</v>
      </c>
      <c r="C23" s="193" t="s">
        <v>26</v>
      </c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249">
        <v>22</v>
      </c>
      <c r="T23">
        <f t="shared" si="0"/>
        <v>11</v>
      </c>
    </row>
    <row r="24" spans="1:20" x14ac:dyDescent="0.25">
      <c r="A24" s="192">
        <v>23</v>
      </c>
      <c r="B24" s="193" t="s">
        <v>620</v>
      </c>
      <c r="C24" s="193" t="s">
        <v>26</v>
      </c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249">
        <v>22</v>
      </c>
      <c r="T24">
        <f t="shared" si="0"/>
        <v>11</v>
      </c>
    </row>
    <row r="25" spans="1:20" x14ac:dyDescent="0.25">
      <c r="A25" s="192">
        <v>24</v>
      </c>
      <c r="B25" s="193" t="s">
        <v>650</v>
      </c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2">
        <v>0</v>
      </c>
      <c r="T25">
        <f t="shared" si="0"/>
        <v>0</v>
      </c>
    </row>
    <row r="26" spans="1:20" x14ac:dyDescent="0.25">
      <c r="A26" s="192">
        <v>25</v>
      </c>
      <c r="B26" s="193" t="s">
        <v>621</v>
      </c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2">
        <v>0</v>
      </c>
      <c r="T26">
        <f t="shared" si="0"/>
        <v>0</v>
      </c>
    </row>
    <row r="27" spans="1:20" x14ac:dyDescent="0.25">
      <c r="A27" s="192">
        <v>26</v>
      </c>
      <c r="B27" s="193" t="s">
        <v>622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2">
        <v>0</v>
      </c>
      <c r="T27">
        <f t="shared" si="0"/>
        <v>0</v>
      </c>
    </row>
    <row r="28" spans="1:20" x14ac:dyDescent="0.25">
      <c r="A28" s="192">
        <v>27</v>
      </c>
      <c r="B28" s="193" t="s">
        <v>623</v>
      </c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2">
        <v>0</v>
      </c>
      <c r="T28">
        <f t="shared" si="0"/>
        <v>0</v>
      </c>
    </row>
    <row r="29" spans="1:20" x14ac:dyDescent="0.25">
      <c r="A29" s="192">
        <v>28</v>
      </c>
      <c r="B29" s="193" t="s">
        <v>624</v>
      </c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2">
        <v>0</v>
      </c>
      <c r="T29">
        <f t="shared" si="0"/>
        <v>0</v>
      </c>
    </row>
    <row r="30" spans="1:20" x14ac:dyDescent="0.25">
      <c r="A30" s="192">
        <v>29</v>
      </c>
      <c r="B30" s="193" t="s">
        <v>627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2">
        <v>0</v>
      </c>
      <c r="T30">
        <f t="shared" si="0"/>
        <v>0</v>
      </c>
    </row>
    <row r="31" spans="1:20" x14ac:dyDescent="0.25">
      <c r="A31" s="192">
        <v>30</v>
      </c>
      <c r="B31" s="193" t="s">
        <v>625</v>
      </c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2">
        <v>0</v>
      </c>
      <c r="T31">
        <f t="shared" si="0"/>
        <v>0</v>
      </c>
    </row>
    <row r="32" spans="1:20" x14ac:dyDescent="0.25">
      <c r="A32" s="192">
        <v>31</v>
      </c>
      <c r="B32" s="193" t="s">
        <v>34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2">
        <v>0</v>
      </c>
      <c r="T32">
        <f t="shared" si="0"/>
        <v>0</v>
      </c>
    </row>
    <row r="33" spans="1:20" x14ac:dyDescent="0.25">
      <c r="A33" s="192">
        <v>32</v>
      </c>
      <c r="B33" s="193" t="s">
        <v>45</v>
      </c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2">
        <v>0</v>
      </c>
      <c r="T33">
        <f t="shared" si="0"/>
        <v>0</v>
      </c>
    </row>
    <row r="34" spans="1:20" x14ac:dyDescent="0.25">
      <c r="A34" s="192">
        <v>33</v>
      </c>
      <c r="B34" s="193" t="s">
        <v>630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2">
        <v>0</v>
      </c>
      <c r="T34">
        <f t="shared" si="0"/>
        <v>0</v>
      </c>
    </row>
    <row r="35" spans="1:20" x14ac:dyDescent="0.25">
      <c r="A35" s="192">
        <v>34</v>
      </c>
      <c r="B35" s="193" t="s">
        <v>628</v>
      </c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2">
        <v>0</v>
      </c>
      <c r="T35">
        <f t="shared" si="0"/>
        <v>0</v>
      </c>
    </row>
    <row r="36" spans="1:20" x14ac:dyDescent="0.25">
      <c r="A36" s="192">
        <v>35</v>
      </c>
      <c r="B36" s="193" t="s">
        <v>629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2">
        <v>0</v>
      </c>
      <c r="T36">
        <f t="shared" si="0"/>
        <v>0</v>
      </c>
    </row>
    <row r="37" spans="1:20" x14ac:dyDescent="0.25">
      <c r="A37" s="192">
        <v>36</v>
      </c>
      <c r="B37" s="193" t="s">
        <v>631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2">
        <v>0</v>
      </c>
      <c r="T37">
        <f t="shared" si="0"/>
        <v>0</v>
      </c>
    </row>
    <row r="38" spans="1:20" x14ac:dyDescent="0.25">
      <c r="A38" s="192">
        <v>37</v>
      </c>
      <c r="B38" s="193" t="s">
        <v>632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2">
        <v>0</v>
      </c>
      <c r="T38">
        <f t="shared" si="0"/>
        <v>0</v>
      </c>
    </row>
    <row r="39" spans="1:20" x14ac:dyDescent="0.25">
      <c r="A39" s="192">
        <v>38</v>
      </c>
      <c r="B39" s="193" t="s">
        <v>633</v>
      </c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2">
        <v>0</v>
      </c>
      <c r="T39">
        <f t="shared" si="0"/>
        <v>0</v>
      </c>
    </row>
    <row r="40" spans="1:20" x14ac:dyDescent="0.25">
      <c r="A40" s="192">
        <v>39</v>
      </c>
      <c r="B40" s="193" t="s">
        <v>634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2">
        <v>0</v>
      </c>
      <c r="T40">
        <f t="shared" si="0"/>
        <v>0</v>
      </c>
    </row>
    <row r="41" spans="1:20" x14ac:dyDescent="0.25">
      <c r="A41" s="192">
        <v>40</v>
      </c>
      <c r="B41" s="193" t="s">
        <v>636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249">
        <v>11</v>
      </c>
      <c r="T41">
        <f t="shared" si="0"/>
        <v>0</v>
      </c>
    </row>
    <row r="42" spans="1:20" x14ac:dyDescent="0.25">
      <c r="A42" s="192">
        <v>41</v>
      </c>
      <c r="B42" s="193" t="s">
        <v>637</v>
      </c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2">
        <v>0</v>
      </c>
      <c r="T42">
        <f t="shared" si="0"/>
        <v>0</v>
      </c>
    </row>
    <row r="43" spans="1:20" x14ac:dyDescent="0.25">
      <c r="A43" s="192">
        <v>42</v>
      </c>
      <c r="B43" s="193" t="s">
        <v>640</v>
      </c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2">
        <v>0</v>
      </c>
      <c r="T43">
        <f t="shared" si="0"/>
        <v>0</v>
      </c>
    </row>
    <row r="44" spans="1:20" x14ac:dyDescent="0.25">
      <c r="A44" s="192">
        <v>43</v>
      </c>
      <c r="B44" s="193" t="s">
        <v>638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2">
        <v>0</v>
      </c>
      <c r="T44">
        <f t="shared" si="0"/>
        <v>0</v>
      </c>
    </row>
    <row r="45" spans="1:20" x14ac:dyDescent="0.25">
      <c r="A45" s="192">
        <v>44</v>
      </c>
      <c r="B45" s="193" t="s">
        <v>635</v>
      </c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2">
        <v>0</v>
      </c>
      <c r="T45">
        <f t="shared" si="0"/>
        <v>0</v>
      </c>
    </row>
    <row r="46" spans="1:20" x14ac:dyDescent="0.25">
      <c r="A46" s="192">
        <v>45</v>
      </c>
      <c r="B46" s="193" t="s">
        <v>641</v>
      </c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2">
        <v>0</v>
      </c>
      <c r="T46">
        <f t="shared" si="0"/>
        <v>0</v>
      </c>
    </row>
    <row r="47" spans="1:20" x14ac:dyDescent="0.25">
      <c r="A47" s="192">
        <v>46</v>
      </c>
      <c r="B47" s="193" t="s">
        <v>649</v>
      </c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2">
        <v>0</v>
      </c>
      <c r="T47">
        <f t="shared" si="0"/>
        <v>0</v>
      </c>
    </row>
    <row r="48" spans="1:20" x14ac:dyDescent="0.25">
      <c r="A48" s="192">
        <v>47</v>
      </c>
      <c r="B48" s="193" t="s">
        <v>642</v>
      </c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2">
        <v>0</v>
      </c>
      <c r="T48">
        <f t="shared" si="0"/>
        <v>0</v>
      </c>
    </row>
    <row r="49" spans="1:20" x14ac:dyDescent="0.25">
      <c r="A49" s="192">
        <v>48</v>
      </c>
      <c r="B49" s="193" t="s">
        <v>643</v>
      </c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2">
        <v>0</v>
      </c>
      <c r="T49">
        <f t="shared" si="0"/>
        <v>0</v>
      </c>
    </row>
    <row r="50" spans="1:20" x14ac:dyDescent="0.25">
      <c r="A50" s="192">
        <v>49</v>
      </c>
      <c r="B50" s="193" t="s">
        <v>644</v>
      </c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2">
        <v>0</v>
      </c>
      <c r="T50">
        <f t="shared" si="0"/>
        <v>0</v>
      </c>
    </row>
    <row r="51" spans="1:20" x14ac:dyDescent="0.25">
      <c r="A51" s="192">
        <v>50</v>
      </c>
      <c r="B51" s="193" t="s">
        <v>646</v>
      </c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2">
        <v>0</v>
      </c>
      <c r="T51">
        <f t="shared" si="0"/>
        <v>0</v>
      </c>
    </row>
    <row r="52" spans="1:20" x14ac:dyDescent="0.25">
      <c r="A52" s="192">
        <v>51</v>
      </c>
      <c r="B52" s="193" t="s">
        <v>647</v>
      </c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2">
        <v>0</v>
      </c>
      <c r="T52">
        <f t="shared" si="0"/>
        <v>0</v>
      </c>
    </row>
    <row r="53" spans="1:20" x14ac:dyDescent="0.25">
      <c r="A53" s="192">
        <v>52</v>
      </c>
      <c r="B53" s="193" t="s">
        <v>652</v>
      </c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2">
        <v>0</v>
      </c>
      <c r="T53">
        <f t="shared" si="0"/>
        <v>0</v>
      </c>
    </row>
    <row r="54" spans="1:20" x14ac:dyDescent="0.25">
      <c r="A54" s="192">
        <v>53</v>
      </c>
      <c r="B54" s="193" t="s">
        <v>653</v>
      </c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2">
        <v>0</v>
      </c>
      <c r="T54">
        <f t="shared" si="0"/>
        <v>0</v>
      </c>
    </row>
    <row r="55" spans="1:20" x14ac:dyDescent="0.25">
      <c r="A55" s="192">
        <v>54</v>
      </c>
      <c r="B55" s="193" t="s">
        <v>654</v>
      </c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2">
        <v>0</v>
      </c>
      <c r="T55">
        <f t="shared" si="0"/>
        <v>0</v>
      </c>
    </row>
    <row r="56" spans="1:20" x14ac:dyDescent="0.25">
      <c r="A56" s="192">
        <v>55</v>
      </c>
      <c r="B56" s="193" t="s">
        <v>655</v>
      </c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2">
        <v>0</v>
      </c>
      <c r="T56">
        <f t="shared" si="0"/>
        <v>0</v>
      </c>
    </row>
    <row r="57" spans="1:20" x14ac:dyDescent="0.25">
      <c r="A57" s="192">
        <v>56</v>
      </c>
      <c r="B57" s="193" t="s">
        <v>656</v>
      </c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2">
        <v>0</v>
      </c>
      <c r="T57">
        <f t="shared" si="0"/>
        <v>0</v>
      </c>
    </row>
    <row r="58" spans="1:20" x14ac:dyDescent="0.25">
      <c r="A58" s="192">
        <v>57</v>
      </c>
      <c r="B58" s="193" t="s">
        <v>657</v>
      </c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2">
        <v>0</v>
      </c>
      <c r="T58">
        <f t="shared" si="0"/>
        <v>0</v>
      </c>
    </row>
    <row r="59" spans="1:20" x14ac:dyDescent="0.25">
      <c r="A59" s="192">
        <v>58</v>
      </c>
      <c r="B59" s="193" t="s">
        <v>658</v>
      </c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2">
        <v>0</v>
      </c>
      <c r="T59">
        <f t="shared" si="0"/>
        <v>0</v>
      </c>
    </row>
    <row r="60" spans="1:20" x14ac:dyDescent="0.25">
      <c r="A60" s="192">
        <v>59</v>
      </c>
      <c r="B60" s="193" t="s">
        <v>659</v>
      </c>
      <c r="C60" s="193"/>
      <c r="D60" s="193"/>
      <c r="E60" s="193"/>
      <c r="F60" s="193"/>
      <c r="G60" s="193"/>
      <c r="H60" s="193" t="s">
        <v>54</v>
      </c>
      <c r="I60" s="193"/>
      <c r="J60" s="193"/>
      <c r="K60" s="193"/>
      <c r="L60" s="193"/>
      <c r="M60" s="193"/>
      <c r="N60" s="193"/>
      <c r="O60" s="193"/>
      <c r="P60" s="193"/>
      <c r="Q60" s="193"/>
      <c r="R60" s="249">
        <v>24</v>
      </c>
      <c r="T60">
        <f t="shared" si="0"/>
        <v>24</v>
      </c>
    </row>
    <row r="61" spans="1:20" x14ac:dyDescent="0.25">
      <c r="A61" s="192">
        <v>60</v>
      </c>
      <c r="B61" s="193" t="s">
        <v>660</v>
      </c>
      <c r="C61" s="193"/>
      <c r="D61" s="193"/>
      <c r="E61" s="193"/>
      <c r="F61" s="193"/>
      <c r="G61" s="193"/>
      <c r="H61" s="193" t="s">
        <v>54</v>
      </c>
      <c r="I61" s="193"/>
      <c r="J61" s="193"/>
      <c r="K61" s="193"/>
      <c r="L61" s="193"/>
      <c r="M61" s="193"/>
      <c r="N61" s="193"/>
      <c r="O61" s="193"/>
      <c r="P61" s="193"/>
      <c r="Q61" s="193"/>
      <c r="R61" s="249">
        <v>24</v>
      </c>
      <c r="T61">
        <f t="shared" si="0"/>
        <v>24</v>
      </c>
    </row>
    <row r="62" spans="1:20" x14ac:dyDescent="0.25">
      <c r="A62" s="192">
        <v>61</v>
      </c>
      <c r="B62" s="193" t="s">
        <v>661</v>
      </c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2">
        <v>0</v>
      </c>
      <c r="T62">
        <f t="shared" si="0"/>
        <v>0</v>
      </c>
    </row>
    <row r="63" spans="1:20" x14ac:dyDescent="0.25">
      <c r="A63" s="192">
        <v>62</v>
      </c>
      <c r="B63" s="193" t="s">
        <v>662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2">
        <v>0</v>
      </c>
      <c r="T63">
        <f t="shared" si="0"/>
        <v>0</v>
      </c>
    </row>
    <row r="64" spans="1:20" x14ac:dyDescent="0.25">
      <c r="A64" s="192">
        <v>63</v>
      </c>
      <c r="B64" s="193" t="s">
        <v>668</v>
      </c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2">
        <v>0</v>
      </c>
      <c r="T64">
        <f t="shared" si="0"/>
        <v>0</v>
      </c>
    </row>
    <row r="65" spans="1:18" x14ac:dyDescent="0.25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250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selection activeCell="B20" sqref="B20"/>
    </sheetView>
  </sheetViews>
  <sheetFormatPr defaultRowHeight="15" x14ac:dyDescent="0.25"/>
  <sheetData>
    <row r="1" spans="1:20" x14ac:dyDescent="0.25">
      <c r="A1" s="194" t="s">
        <v>1</v>
      </c>
      <c r="B1" s="194" t="s">
        <v>6</v>
      </c>
      <c r="C1" s="194" t="s">
        <v>46</v>
      </c>
      <c r="D1" s="194" t="s">
        <v>47</v>
      </c>
      <c r="E1" s="194" t="s">
        <v>48</v>
      </c>
      <c r="F1" s="194" t="s">
        <v>49</v>
      </c>
      <c r="G1" s="194" t="s">
        <v>50</v>
      </c>
      <c r="H1" s="194" t="s">
        <v>51</v>
      </c>
      <c r="I1" s="194" t="s">
        <v>52</v>
      </c>
      <c r="J1" s="194" t="s">
        <v>53</v>
      </c>
      <c r="K1" s="194" t="s">
        <v>54</v>
      </c>
      <c r="L1" s="194" t="s">
        <v>55</v>
      </c>
      <c r="M1" s="194" t="s">
        <v>56</v>
      </c>
      <c r="N1" s="194" t="s">
        <v>57</v>
      </c>
      <c r="O1" s="194" t="s">
        <v>58</v>
      </c>
      <c r="P1" s="194" t="s">
        <v>59</v>
      </c>
      <c r="Q1" s="194" t="s">
        <v>667</v>
      </c>
      <c r="R1" s="194" t="s">
        <v>2</v>
      </c>
    </row>
    <row r="2" spans="1:20" x14ac:dyDescent="0.25">
      <c r="A2" s="195">
        <v>1</v>
      </c>
      <c r="B2" s="196" t="s">
        <v>10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5">
        <v>0</v>
      </c>
      <c r="T2">
        <f t="shared" ref="T2:T64" si="0">C2+D2+E2+F2+G2+H2+I2+J2+K2+L2+M2+N2+O2+P2+Q2</f>
        <v>0</v>
      </c>
    </row>
    <row r="3" spans="1:20" x14ac:dyDescent="0.25">
      <c r="A3" s="195">
        <v>2</v>
      </c>
      <c r="B3" s="196" t="s">
        <v>11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5">
        <v>0</v>
      </c>
      <c r="T3">
        <f t="shared" si="0"/>
        <v>0</v>
      </c>
    </row>
    <row r="4" spans="1:20" x14ac:dyDescent="0.25">
      <c r="A4" s="195">
        <v>3</v>
      </c>
      <c r="B4" s="196" t="s">
        <v>12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5">
        <v>0</v>
      </c>
      <c r="T4">
        <f t="shared" si="0"/>
        <v>0</v>
      </c>
    </row>
    <row r="5" spans="1:20" x14ac:dyDescent="0.25">
      <c r="A5" s="195">
        <v>4</v>
      </c>
      <c r="B5" s="196" t="s">
        <v>651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5">
        <v>0</v>
      </c>
      <c r="T5">
        <f t="shared" si="0"/>
        <v>0</v>
      </c>
    </row>
    <row r="6" spans="1:20" x14ac:dyDescent="0.25">
      <c r="A6" s="195">
        <v>5</v>
      </c>
      <c r="B6" s="196" t="s">
        <v>14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5">
        <v>0</v>
      </c>
      <c r="T6">
        <f t="shared" si="0"/>
        <v>0</v>
      </c>
    </row>
    <row r="7" spans="1:20" x14ac:dyDescent="0.25">
      <c r="A7" s="195">
        <v>6</v>
      </c>
      <c r="B7" s="196" t="s">
        <v>15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5">
        <v>0</v>
      </c>
      <c r="T7">
        <f t="shared" si="0"/>
        <v>0</v>
      </c>
    </row>
    <row r="8" spans="1:20" x14ac:dyDescent="0.25">
      <c r="A8" s="195">
        <v>7</v>
      </c>
      <c r="B8" s="196" t="s">
        <v>16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5">
        <v>0</v>
      </c>
      <c r="T8">
        <f t="shared" si="0"/>
        <v>0</v>
      </c>
    </row>
    <row r="9" spans="1:20" x14ac:dyDescent="0.25">
      <c r="A9" s="195">
        <v>8</v>
      </c>
      <c r="B9" s="196" t="s">
        <v>4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5">
        <v>0</v>
      </c>
      <c r="T9">
        <f t="shared" si="0"/>
        <v>0</v>
      </c>
    </row>
    <row r="10" spans="1:20" x14ac:dyDescent="0.25">
      <c r="A10" s="195">
        <v>9</v>
      </c>
      <c r="B10" s="196" t="s">
        <v>5</v>
      </c>
      <c r="C10" s="196" t="s">
        <v>26</v>
      </c>
      <c r="D10" s="196" t="s">
        <v>26</v>
      </c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251">
        <v>22</v>
      </c>
      <c r="T10">
        <f t="shared" si="0"/>
        <v>22</v>
      </c>
    </row>
    <row r="11" spans="1:20" x14ac:dyDescent="0.25">
      <c r="A11" s="195">
        <v>10</v>
      </c>
      <c r="B11" s="196" t="s">
        <v>38</v>
      </c>
      <c r="C11" s="196" t="s">
        <v>26</v>
      </c>
      <c r="D11" s="196" t="s">
        <v>26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251">
        <v>33</v>
      </c>
      <c r="T11">
        <f t="shared" si="0"/>
        <v>22</v>
      </c>
    </row>
    <row r="12" spans="1:20" x14ac:dyDescent="0.25">
      <c r="A12" s="195">
        <v>11</v>
      </c>
      <c r="B12" s="196" t="s">
        <v>43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251">
        <v>11</v>
      </c>
      <c r="T12">
        <f t="shared" si="0"/>
        <v>0</v>
      </c>
    </row>
    <row r="13" spans="1:20" x14ac:dyDescent="0.25">
      <c r="A13" s="195">
        <v>12</v>
      </c>
      <c r="B13" s="196" t="s">
        <v>639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5">
        <v>0</v>
      </c>
      <c r="T13">
        <f t="shared" si="0"/>
        <v>0</v>
      </c>
    </row>
    <row r="14" spans="1:20" x14ac:dyDescent="0.25">
      <c r="A14" s="195">
        <v>13</v>
      </c>
      <c r="B14" s="196" t="s">
        <v>87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5">
        <v>0</v>
      </c>
      <c r="T14">
        <f t="shared" si="0"/>
        <v>0</v>
      </c>
    </row>
    <row r="15" spans="1:20" x14ac:dyDescent="0.25">
      <c r="A15" s="195">
        <v>14</v>
      </c>
      <c r="B15" s="196" t="s">
        <v>95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5">
        <v>0</v>
      </c>
      <c r="T15">
        <f t="shared" si="0"/>
        <v>0</v>
      </c>
    </row>
    <row r="16" spans="1:20" x14ac:dyDescent="0.25">
      <c r="A16" s="195">
        <v>15</v>
      </c>
      <c r="B16" s="196" t="s">
        <v>96</v>
      </c>
      <c r="C16" s="196" t="s">
        <v>26</v>
      </c>
      <c r="D16" s="196" t="s">
        <v>26</v>
      </c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251">
        <v>33</v>
      </c>
      <c r="T16">
        <f t="shared" si="0"/>
        <v>22</v>
      </c>
    </row>
    <row r="17" spans="1:20" x14ac:dyDescent="0.25">
      <c r="A17" s="195">
        <v>16</v>
      </c>
      <c r="B17" s="196" t="s">
        <v>97</v>
      </c>
      <c r="C17" s="196" t="s">
        <v>25</v>
      </c>
      <c r="D17" s="196" t="s">
        <v>25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251">
        <v>18</v>
      </c>
      <c r="T17">
        <f t="shared" si="0"/>
        <v>18</v>
      </c>
    </row>
    <row r="18" spans="1:20" x14ac:dyDescent="0.25">
      <c r="A18" s="195">
        <v>17</v>
      </c>
      <c r="B18" s="196" t="s">
        <v>98</v>
      </c>
      <c r="C18" s="196" t="s">
        <v>26</v>
      </c>
      <c r="D18" s="196" t="s">
        <v>25</v>
      </c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251">
        <v>31</v>
      </c>
      <c r="T18">
        <f t="shared" si="0"/>
        <v>20</v>
      </c>
    </row>
    <row r="19" spans="1:20" x14ac:dyDescent="0.25">
      <c r="A19" s="195">
        <v>18</v>
      </c>
      <c r="B19" s="196" t="s">
        <v>616</v>
      </c>
      <c r="C19" s="196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251">
        <v>11</v>
      </c>
      <c r="T19">
        <f t="shared" si="0"/>
        <v>11</v>
      </c>
    </row>
    <row r="20" spans="1:20" x14ac:dyDescent="0.25">
      <c r="A20" s="195">
        <v>19</v>
      </c>
      <c r="B20" s="196" t="s">
        <v>617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5">
        <v>0</v>
      </c>
      <c r="T20">
        <f t="shared" si="0"/>
        <v>0</v>
      </c>
    </row>
    <row r="21" spans="1:20" x14ac:dyDescent="0.25">
      <c r="A21" s="195">
        <v>20</v>
      </c>
      <c r="B21" s="196" t="s">
        <v>626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5">
        <v>0</v>
      </c>
      <c r="T21">
        <f t="shared" si="0"/>
        <v>0</v>
      </c>
    </row>
    <row r="22" spans="1:20" x14ac:dyDescent="0.25">
      <c r="A22" s="195">
        <v>21</v>
      </c>
      <c r="B22" s="196" t="s">
        <v>618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5">
        <v>0</v>
      </c>
      <c r="T22">
        <f t="shared" si="0"/>
        <v>0</v>
      </c>
    </row>
    <row r="23" spans="1:20" x14ac:dyDescent="0.25">
      <c r="A23" s="195">
        <v>22</v>
      </c>
      <c r="B23" s="196" t="s">
        <v>619</v>
      </c>
      <c r="C23" s="196"/>
      <c r="D23" s="196" t="s">
        <v>26</v>
      </c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251">
        <v>11</v>
      </c>
      <c r="T23">
        <f t="shared" si="0"/>
        <v>11</v>
      </c>
    </row>
    <row r="24" spans="1:20" x14ac:dyDescent="0.25">
      <c r="A24" s="195">
        <v>23</v>
      </c>
      <c r="B24" s="196" t="s">
        <v>620</v>
      </c>
      <c r="C24" s="196"/>
      <c r="D24" s="196" t="s">
        <v>26</v>
      </c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251">
        <v>11</v>
      </c>
      <c r="T24">
        <f t="shared" si="0"/>
        <v>11</v>
      </c>
    </row>
    <row r="25" spans="1:20" x14ac:dyDescent="0.25">
      <c r="A25" s="195">
        <v>24</v>
      </c>
      <c r="B25" s="196" t="s">
        <v>650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5">
        <v>0</v>
      </c>
      <c r="T25">
        <f t="shared" si="0"/>
        <v>0</v>
      </c>
    </row>
    <row r="26" spans="1:20" x14ac:dyDescent="0.25">
      <c r="A26" s="195">
        <v>25</v>
      </c>
      <c r="B26" s="196" t="s">
        <v>621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5">
        <v>0</v>
      </c>
      <c r="T26">
        <f t="shared" si="0"/>
        <v>0</v>
      </c>
    </row>
    <row r="27" spans="1:20" x14ac:dyDescent="0.25">
      <c r="A27" s="195">
        <v>26</v>
      </c>
      <c r="B27" s="196" t="s">
        <v>622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5">
        <v>0</v>
      </c>
      <c r="T27">
        <f t="shared" si="0"/>
        <v>0</v>
      </c>
    </row>
    <row r="28" spans="1:20" x14ac:dyDescent="0.25">
      <c r="A28" s="195">
        <v>27</v>
      </c>
      <c r="B28" s="196" t="s">
        <v>623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5">
        <v>0</v>
      </c>
      <c r="T28">
        <f t="shared" si="0"/>
        <v>0</v>
      </c>
    </row>
    <row r="29" spans="1:20" x14ac:dyDescent="0.25">
      <c r="A29" s="195">
        <v>28</v>
      </c>
      <c r="B29" s="196" t="s">
        <v>624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5">
        <v>0</v>
      </c>
      <c r="T29">
        <f t="shared" si="0"/>
        <v>0</v>
      </c>
    </row>
    <row r="30" spans="1:20" x14ac:dyDescent="0.25">
      <c r="A30" s="195">
        <v>29</v>
      </c>
      <c r="B30" s="196" t="s">
        <v>627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5">
        <v>0</v>
      </c>
      <c r="T30">
        <f t="shared" si="0"/>
        <v>0</v>
      </c>
    </row>
    <row r="31" spans="1:20" x14ac:dyDescent="0.25">
      <c r="A31" s="195">
        <v>30</v>
      </c>
      <c r="B31" s="196" t="s">
        <v>625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5">
        <v>0</v>
      </c>
      <c r="T31">
        <f t="shared" si="0"/>
        <v>0</v>
      </c>
    </row>
    <row r="32" spans="1:20" x14ac:dyDescent="0.25">
      <c r="A32" s="195">
        <v>31</v>
      </c>
      <c r="B32" s="196" t="s">
        <v>34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5">
        <v>0</v>
      </c>
      <c r="T32">
        <f t="shared" si="0"/>
        <v>0</v>
      </c>
    </row>
    <row r="33" spans="1:20" x14ac:dyDescent="0.25">
      <c r="A33" s="195">
        <v>32</v>
      </c>
      <c r="B33" s="196" t="s">
        <v>45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5">
        <v>0</v>
      </c>
      <c r="T33">
        <f t="shared" si="0"/>
        <v>0</v>
      </c>
    </row>
    <row r="34" spans="1:20" x14ac:dyDescent="0.25">
      <c r="A34" s="195">
        <v>33</v>
      </c>
      <c r="B34" s="196" t="s">
        <v>630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5">
        <v>0</v>
      </c>
      <c r="T34">
        <f t="shared" si="0"/>
        <v>0</v>
      </c>
    </row>
    <row r="35" spans="1:20" x14ac:dyDescent="0.25">
      <c r="A35" s="195">
        <v>34</v>
      </c>
      <c r="B35" s="196" t="s">
        <v>628</v>
      </c>
      <c r="C35" s="196"/>
      <c r="D35" s="196" t="s">
        <v>26</v>
      </c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251">
        <v>11</v>
      </c>
      <c r="T35">
        <f t="shared" si="0"/>
        <v>11</v>
      </c>
    </row>
    <row r="36" spans="1:20" x14ac:dyDescent="0.25">
      <c r="A36" s="195">
        <v>35</v>
      </c>
      <c r="B36" s="196" t="s">
        <v>629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5">
        <v>0</v>
      </c>
      <c r="T36">
        <f t="shared" si="0"/>
        <v>0</v>
      </c>
    </row>
    <row r="37" spans="1:20" x14ac:dyDescent="0.25">
      <c r="A37" s="195">
        <v>36</v>
      </c>
      <c r="B37" s="196" t="s">
        <v>631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5">
        <v>0</v>
      </c>
      <c r="T37">
        <f t="shared" si="0"/>
        <v>0</v>
      </c>
    </row>
    <row r="38" spans="1:20" x14ac:dyDescent="0.25">
      <c r="A38" s="195">
        <v>37</v>
      </c>
      <c r="B38" s="196" t="s">
        <v>632</v>
      </c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251">
        <v>11</v>
      </c>
      <c r="T38">
        <f t="shared" si="0"/>
        <v>0</v>
      </c>
    </row>
    <row r="39" spans="1:20" x14ac:dyDescent="0.25">
      <c r="A39" s="195">
        <v>38</v>
      </c>
      <c r="B39" s="196" t="s">
        <v>633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5">
        <v>0</v>
      </c>
      <c r="T39">
        <f t="shared" si="0"/>
        <v>0</v>
      </c>
    </row>
    <row r="40" spans="1:20" x14ac:dyDescent="0.25">
      <c r="A40" s="195">
        <v>39</v>
      </c>
      <c r="B40" s="196" t="s">
        <v>634</v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5">
        <v>0</v>
      </c>
      <c r="T40">
        <f t="shared" si="0"/>
        <v>0</v>
      </c>
    </row>
    <row r="41" spans="1:20" x14ac:dyDescent="0.25">
      <c r="A41" s="195">
        <v>40</v>
      </c>
      <c r="B41" s="196" t="s">
        <v>636</v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5">
        <v>0</v>
      </c>
      <c r="T41">
        <f t="shared" si="0"/>
        <v>0</v>
      </c>
    </row>
    <row r="42" spans="1:20" x14ac:dyDescent="0.25">
      <c r="A42" s="195">
        <v>41</v>
      </c>
      <c r="B42" s="196" t="s">
        <v>637</v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5">
        <v>0</v>
      </c>
      <c r="T42">
        <f t="shared" si="0"/>
        <v>0</v>
      </c>
    </row>
    <row r="43" spans="1:20" x14ac:dyDescent="0.25">
      <c r="A43" s="195">
        <v>42</v>
      </c>
      <c r="B43" s="196" t="s">
        <v>640</v>
      </c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5">
        <v>0</v>
      </c>
      <c r="T43">
        <f t="shared" si="0"/>
        <v>0</v>
      </c>
    </row>
    <row r="44" spans="1:20" x14ac:dyDescent="0.25">
      <c r="A44" s="195">
        <v>43</v>
      </c>
      <c r="B44" s="196" t="s">
        <v>638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5">
        <v>0</v>
      </c>
      <c r="T44">
        <f t="shared" si="0"/>
        <v>0</v>
      </c>
    </row>
    <row r="45" spans="1:20" x14ac:dyDescent="0.25">
      <c r="A45" s="195">
        <v>44</v>
      </c>
      <c r="B45" s="196" t="s">
        <v>635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5">
        <v>0</v>
      </c>
      <c r="T45">
        <f t="shared" si="0"/>
        <v>0</v>
      </c>
    </row>
    <row r="46" spans="1:20" x14ac:dyDescent="0.25">
      <c r="A46" s="195">
        <v>45</v>
      </c>
      <c r="B46" s="196" t="s">
        <v>641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5">
        <v>0</v>
      </c>
      <c r="T46">
        <f t="shared" si="0"/>
        <v>0</v>
      </c>
    </row>
    <row r="47" spans="1:20" x14ac:dyDescent="0.25">
      <c r="A47" s="195">
        <v>46</v>
      </c>
      <c r="B47" s="196" t="s">
        <v>649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5">
        <v>0</v>
      </c>
      <c r="T47">
        <f t="shared" si="0"/>
        <v>0</v>
      </c>
    </row>
    <row r="48" spans="1:20" x14ac:dyDescent="0.25">
      <c r="A48" s="195">
        <v>47</v>
      </c>
      <c r="B48" s="196" t="s">
        <v>642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5">
        <v>0</v>
      </c>
      <c r="T48">
        <f t="shared" si="0"/>
        <v>0</v>
      </c>
    </row>
    <row r="49" spans="1:20" x14ac:dyDescent="0.25">
      <c r="A49" s="195">
        <v>48</v>
      </c>
      <c r="B49" s="196" t="s">
        <v>643</v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5">
        <v>0</v>
      </c>
      <c r="T49">
        <f t="shared" si="0"/>
        <v>0</v>
      </c>
    </row>
    <row r="50" spans="1:20" x14ac:dyDescent="0.25">
      <c r="A50" s="195">
        <v>49</v>
      </c>
      <c r="B50" s="196" t="s">
        <v>644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5">
        <v>0</v>
      </c>
      <c r="T50">
        <f t="shared" si="0"/>
        <v>0</v>
      </c>
    </row>
    <row r="51" spans="1:20" x14ac:dyDescent="0.25">
      <c r="A51" s="195">
        <v>50</v>
      </c>
      <c r="B51" s="196" t="s">
        <v>646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5">
        <v>0</v>
      </c>
      <c r="T51">
        <f t="shared" si="0"/>
        <v>0</v>
      </c>
    </row>
    <row r="52" spans="1:20" x14ac:dyDescent="0.25">
      <c r="A52" s="195">
        <v>51</v>
      </c>
      <c r="B52" s="196" t="s">
        <v>647</v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5">
        <v>0</v>
      </c>
      <c r="T52">
        <f t="shared" si="0"/>
        <v>0</v>
      </c>
    </row>
    <row r="53" spans="1:20" x14ac:dyDescent="0.25">
      <c r="A53" s="195">
        <v>52</v>
      </c>
      <c r="B53" s="196" t="s">
        <v>652</v>
      </c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5">
        <v>0</v>
      </c>
      <c r="T53">
        <f t="shared" si="0"/>
        <v>0</v>
      </c>
    </row>
    <row r="54" spans="1:20" x14ac:dyDescent="0.25">
      <c r="A54" s="195">
        <v>53</v>
      </c>
      <c r="B54" s="196" t="s">
        <v>653</v>
      </c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5">
        <v>0</v>
      </c>
      <c r="T54">
        <f t="shared" si="0"/>
        <v>0</v>
      </c>
    </row>
    <row r="55" spans="1:20" x14ac:dyDescent="0.25">
      <c r="A55" s="195">
        <v>54</v>
      </c>
      <c r="B55" s="196" t="s">
        <v>654</v>
      </c>
      <c r="C55" s="196" t="s">
        <v>26</v>
      </c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251">
        <v>22</v>
      </c>
      <c r="T55">
        <f t="shared" si="0"/>
        <v>11</v>
      </c>
    </row>
    <row r="56" spans="1:20" x14ac:dyDescent="0.25">
      <c r="A56" s="195">
        <v>55</v>
      </c>
      <c r="B56" s="196" t="s">
        <v>655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5">
        <v>0</v>
      </c>
      <c r="T56">
        <f t="shared" si="0"/>
        <v>0</v>
      </c>
    </row>
    <row r="57" spans="1:20" x14ac:dyDescent="0.25">
      <c r="A57" s="195">
        <v>56</v>
      </c>
      <c r="B57" s="196" t="s">
        <v>656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5">
        <v>0</v>
      </c>
      <c r="T57">
        <f t="shared" si="0"/>
        <v>0</v>
      </c>
    </row>
    <row r="58" spans="1:20" x14ac:dyDescent="0.25">
      <c r="A58" s="195">
        <v>57</v>
      </c>
      <c r="B58" s="196" t="s">
        <v>657</v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5">
        <v>0</v>
      </c>
      <c r="T58">
        <f t="shared" si="0"/>
        <v>0</v>
      </c>
    </row>
    <row r="59" spans="1:20" x14ac:dyDescent="0.25">
      <c r="A59" s="195">
        <v>58</v>
      </c>
      <c r="B59" s="196" t="s">
        <v>658</v>
      </c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5">
        <v>0</v>
      </c>
      <c r="T59">
        <f t="shared" si="0"/>
        <v>0</v>
      </c>
    </row>
    <row r="60" spans="1:20" x14ac:dyDescent="0.25">
      <c r="A60" s="195">
        <v>59</v>
      </c>
      <c r="B60" s="196" t="s">
        <v>659</v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5">
        <v>0</v>
      </c>
      <c r="T60">
        <f t="shared" si="0"/>
        <v>0</v>
      </c>
    </row>
    <row r="61" spans="1:20" x14ac:dyDescent="0.25">
      <c r="A61" s="195">
        <v>60</v>
      </c>
      <c r="B61" s="196" t="s">
        <v>660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5">
        <v>0</v>
      </c>
      <c r="T61">
        <f t="shared" si="0"/>
        <v>0</v>
      </c>
    </row>
    <row r="62" spans="1:20" x14ac:dyDescent="0.25">
      <c r="A62" s="195">
        <v>61</v>
      </c>
      <c r="B62" s="196" t="s">
        <v>661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5">
        <v>0</v>
      </c>
      <c r="T62">
        <f t="shared" si="0"/>
        <v>0</v>
      </c>
    </row>
    <row r="63" spans="1:20" x14ac:dyDescent="0.25">
      <c r="A63" s="195">
        <v>62</v>
      </c>
      <c r="B63" s="196" t="s">
        <v>662</v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5">
        <v>0</v>
      </c>
      <c r="T63">
        <f t="shared" si="0"/>
        <v>0</v>
      </c>
    </row>
    <row r="64" spans="1:20" x14ac:dyDescent="0.25">
      <c r="A64" s="195">
        <v>63</v>
      </c>
      <c r="B64" s="196" t="s">
        <v>668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5">
        <v>0</v>
      </c>
      <c r="T64">
        <f t="shared" si="0"/>
        <v>0</v>
      </c>
    </row>
    <row r="65" spans="1:18" x14ac:dyDescent="0.2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252">
        <v>225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65"/>
  <sheetViews>
    <sheetView topLeftCell="A4" zoomScale="70" zoomScaleNormal="70" workbookViewId="0">
      <selection activeCell="J39" sqref="J39"/>
    </sheetView>
  </sheetViews>
  <sheetFormatPr defaultRowHeight="15" x14ac:dyDescent="0.25"/>
  <sheetData>
    <row r="1" spans="1:22" x14ac:dyDescent="0.25">
      <c r="A1" s="197" t="s">
        <v>1</v>
      </c>
      <c r="B1" s="197" t="s">
        <v>6</v>
      </c>
      <c r="C1" s="197" t="s">
        <v>67</v>
      </c>
      <c r="D1" s="197" t="s">
        <v>86</v>
      </c>
      <c r="E1" s="197" t="s">
        <v>46</v>
      </c>
      <c r="F1" s="197" t="s">
        <v>47</v>
      </c>
      <c r="G1" s="197" t="s">
        <v>48</v>
      </c>
      <c r="H1" s="197" t="s">
        <v>49</v>
      </c>
      <c r="I1" s="197" t="s">
        <v>50</v>
      </c>
      <c r="J1" s="197" t="s">
        <v>51</v>
      </c>
      <c r="K1" s="197" t="s">
        <v>52</v>
      </c>
      <c r="L1" s="197" t="s">
        <v>53</v>
      </c>
      <c r="M1" s="197" t="s">
        <v>54</v>
      </c>
      <c r="N1" s="197" t="s">
        <v>55</v>
      </c>
      <c r="O1" s="197" t="s">
        <v>56</v>
      </c>
      <c r="P1" s="197" t="s">
        <v>57</v>
      </c>
      <c r="Q1" s="197" t="s">
        <v>58</v>
      </c>
      <c r="R1" s="197" t="s">
        <v>59</v>
      </c>
      <c r="S1" s="197" t="s">
        <v>667</v>
      </c>
      <c r="T1" s="197" t="s">
        <v>2</v>
      </c>
    </row>
    <row r="2" spans="1:22" x14ac:dyDescent="0.25">
      <c r="A2" s="198">
        <v>1</v>
      </c>
      <c r="B2" s="199" t="s">
        <v>10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8">
        <v>0</v>
      </c>
      <c r="V2">
        <f t="shared" ref="V2:V64" si="0">E2+F2+G2+H2+I2+J2+K2+L2+M2+N2+O2+P2+Q2+R2+S2</f>
        <v>0</v>
      </c>
    </row>
    <row r="3" spans="1:22" x14ac:dyDescent="0.25">
      <c r="A3" s="198">
        <v>2</v>
      </c>
      <c r="B3" s="199" t="s">
        <v>11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8">
        <v>0</v>
      </c>
      <c r="V3">
        <f t="shared" si="0"/>
        <v>0</v>
      </c>
    </row>
    <row r="4" spans="1:22" x14ac:dyDescent="0.25">
      <c r="A4" s="198">
        <v>3</v>
      </c>
      <c r="B4" s="199" t="s">
        <v>12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8">
        <v>0</v>
      </c>
      <c r="V4">
        <f t="shared" si="0"/>
        <v>0</v>
      </c>
    </row>
    <row r="5" spans="1:22" x14ac:dyDescent="0.25">
      <c r="A5" s="198">
        <v>4</v>
      </c>
      <c r="B5" s="199" t="s">
        <v>651</v>
      </c>
      <c r="C5" s="199"/>
      <c r="D5" s="199" t="s">
        <v>26</v>
      </c>
      <c r="E5" s="199" t="s">
        <v>26</v>
      </c>
      <c r="F5" s="199" t="s">
        <v>26</v>
      </c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253">
        <v>33</v>
      </c>
      <c r="V5">
        <f t="shared" si="0"/>
        <v>22</v>
      </c>
    </row>
    <row r="6" spans="1:22" x14ac:dyDescent="0.25">
      <c r="A6" s="198">
        <v>5</v>
      </c>
      <c r="B6" s="199" t="s">
        <v>14</v>
      </c>
      <c r="C6" s="199"/>
      <c r="D6" s="199" t="s">
        <v>26</v>
      </c>
      <c r="E6" s="199" t="s">
        <v>26</v>
      </c>
      <c r="F6" s="199" t="s">
        <v>26</v>
      </c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253">
        <v>33</v>
      </c>
      <c r="V6">
        <f t="shared" si="0"/>
        <v>22</v>
      </c>
    </row>
    <row r="7" spans="1:22" x14ac:dyDescent="0.25">
      <c r="A7" s="198">
        <v>6</v>
      </c>
      <c r="B7" s="199" t="s">
        <v>15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8">
        <v>0</v>
      </c>
      <c r="V7">
        <f t="shared" si="0"/>
        <v>0</v>
      </c>
    </row>
    <row r="8" spans="1:22" x14ac:dyDescent="0.25">
      <c r="A8" s="198">
        <v>7</v>
      </c>
      <c r="B8" s="199" t="s">
        <v>16</v>
      </c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8">
        <v>0</v>
      </c>
      <c r="V8">
        <f t="shared" si="0"/>
        <v>0</v>
      </c>
    </row>
    <row r="9" spans="1:22" x14ac:dyDescent="0.25">
      <c r="A9" s="198">
        <v>8</v>
      </c>
      <c r="B9" s="199" t="s">
        <v>4</v>
      </c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8">
        <v>0</v>
      </c>
      <c r="V9">
        <f t="shared" si="0"/>
        <v>0</v>
      </c>
    </row>
    <row r="10" spans="1:22" x14ac:dyDescent="0.25">
      <c r="A10" s="198">
        <v>9</v>
      </c>
      <c r="B10" s="199" t="s">
        <v>5</v>
      </c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8">
        <v>0</v>
      </c>
      <c r="V10">
        <f t="shared" si="0"/>
        <v>0</v>
      </c>
    </row>
    <row r="11" spans="1:22" x14ac:dyDescent="0.25">
      <c r="A11" s="198">
        <v>10</v>
      </c>
      <c r="B11" s="199" t="s">
        <v>38</v>
      </c>
      <c r="C11" s="199"/>
      <c r="D11" s="199"/>
      <c r="E11" s="199"/>
      <c r="F11" s="199"/>
      <c r="G11" s="199" t="s">
        <v>26</v>
      </c>
      <c r="H11" s="199" t="s">
        <v>26</v>
      </c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53">
        <v>22</v>
      </c>
      <c r="V11">
        <f t="shared" si="0"/>
        <v>22</v>
      </c>
    </row>
    <row r="12" spans="1:22" x14ac:dyDescent="0.25">
      <c r="A12" s="198">
        <v>11</v>
      </c>
      <c r="B12" s="199" t="s">
        <v>43</v>
      </c>
      <c r="C12" s="199"/>
      <c r="D12" s="199"/>
      <c r="E12" s="199" t="s">
        <v>26</v>
      </c>
      <c r="F12" s="199" t="s">
        <v>26</v>
      </c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53">
        <v>22</v>
      </c>
      <c r="V12">
        <f t="shared" si="0"/>
        <v>22</v>
      </c>
    </row>
    <row r="13" spans="1:22" x14ac:dyDescent="0.25">
      <c r="A13" s="198">
        <v>12</v>
      </c>
      <c r="B13" s="199" t="s">
        <v>639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8">
        <v>0</v>
      </c>
      <c r="V13">
        <f t="shared" si="0"/>
        <v>0</v>
      </c>
    </row>
    <row r="14" spans="1:22" x14ac:dyDescent="0.25">
      <c r="A14" s="198">
        <v>13</v>
      </c>
      <c r="B14" s="199" t="s">
        <v>87</v>
      </c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8">
        <v>0</v>
      </c>
      <c r="V14">
        <f t="shared" si="0"/>
        <v>0</v>
      </c>
    </row>
    <row r="15" spans="1:22" x14ac:dyDescent="0.25">
      <c r="A15" s="198">
        <v>14</v>
      </c>
      <c r="B15" s="199" t="s">
        <v>95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8">
        <v>0</v>
      </c>
      <c r="V15">
        <f t="shared" si="0"/>
        <v>0</v>
      </c>
    </row>
    <row r="16" spans="1:22" x14ac:dyDescent="0.25">
      <c r="A16" s="198">
        <v>15</v>
      </c>
      <c r="B16" s="199" t="s">
        <v>96</v>
      </c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8">
        <v>0</v>
      </c>
      <c r="V16">
        <f t="shared" si="0"/>
        <v>0</v>
      </c>
    </row>
    <row r="17" spans="1:22" x14ac:dyDescent="0.25">
      <c r="A17" s="198">
        <v>16</v>
      </c>
      <c r="B17" s="199" t="s">
        <v>97</v>
      </c>
      <c r="C17" s="199"/>
      <c r="D17" s="199"/>
      <c r="E17" s="199"/>
      <c r="F17" s="199"/>
      <c r="G17" s="199" t="s">
        <v>25</v>
      </c>
      <c r="H17" s="199" t="s">
        <v>25</v>
      </c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53">
        <v>18</v>
      </c>
      <c r="V17">
        <f t="shared" si="0"/>
        <v>18</v>
      </c>
    </row>
    <row r="18" spans="1:22" x14ac:dyDescent="0.25">
      <c r="A18" s="198">
        <v>17</v>
      </c>
      <c r="B18" s="199" t="s">
        <v>98</v>
      </c>
      <c r="C18" s="199"/>
      <c r="D18" s="199"/>
      <c r="E18" s="199"/>
      <c r="F18" s="199"/>
      <c r="G18" s="199" t="s">
        <v>26</v>
      </c>
      <c r="H18" s="199" t="s">
        <v>26</v>
      </c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53">
        <v>22</v>
      </c>
      <c r="V18">
        <f t="shared" si="0"/>
        <v>22</v>
      </c>
    </row>
    <row r="19" spans="1:22" x14ac:dyDescent="0.25">
      <c r="A19" s="198">
        <v>18</v>
      </c>
      <c r="B19" s="199" t="s">
        <v>616</v>
      </c>
      <c r="C19" s="199"/>
      <c r="D19" s="199"/>
      <c r="E19" s="199"/>
      <c r="F19" s="199" t="s">
        <v>26</v>
      </c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53">
        <v>11</v>
      </c>
      <c r="V19">
        <f t="shared" si="0"/>
        <v>11</v>
      </c>
    </row>
    <row r="20" spans="1:22" x14ac:dyDescent="0.25">
      <c r="A20" s="198">
        <v>19</v>
      </c>
      <c r="B20" s="199" t="s">
        <v>617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8">
        <v>0</v>
      </c>
      <c r="V20">
        <f t="shared" si="0"/>
        <v>0</v>
      </c>
    </row>
    <row r="21" spans="1:22" x14ac:dyDescent="0.25">
      <c r="A21" s="198">
        <v>20</v>
      </c>
      <c r="B21" s="199" t="s">
        <v>626</v>
      </c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8">
        <v>0</v>
      </c>
      <c r="V21">
        <f t="shared" si="0"/>
        <v>0</v>
      </c>
    </row>
    <row r="22" spans="1:22" x14ac:dyDescent="0.25">
      <c r="A22" s="198">
        <v>21</v>
      </c>
      <c r="B22" s="199" t="s">
        <v>618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8">
        <v>0</v>
      </c>
      <c r="V22">
        <f t="shared" si="0"/>
        <v>0</v>
      </c>
    </row>
    <row r="23" spans="1:22" x14ac:dyDescent="0.25">
      <c r="A23" s="198">
        <v>22</v>
      </c>
      <c r="B23" s="199" t="s">
        <v>619</v>
      </c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8">
        <v>0</v>
      </c>
      <c r="V23">
        <f t="shared" si="0"/>
        <v>0</v>
      </c>
    </row>
    <row r="24" spans="1:22" x14ac:dyDescent="0.25">
      <c r="A24" s="198">
        <v>23</v>
      </c>
      <c r="B24" s="199" t="s">
        <v>620</v>
      </c>
      <c r="C24" s="199"/>
      <c r="D24" s="199"/>
      <c r="E24" s="199"/>
      <c r="F24" s="199"/>
      <c r="G24" s="199" t="s">
        <v>26</v>
      </c>
      <c r="H24" s="199" t="s">
        <v>26</v>
      </c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53">
        <v>22</v>
      </c>
      <c r="V24">
        <f t="shared" si="0"/>
        <v>22</v>
      </c>
    </row>
    <row r="25" spans="1:22" x14ac:dyDescent="0.25">
      <c r="A25" s="198">
        <v>24</v>
      </c>
      <c r="B25" s="199" t="s">
        <v>650</v>
      </c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8">
        <v>0</v>
      </c>
      <c r="V25">
        <f t="shared" si="0"/>
        <v>0</v>
      </c>
    </row>
    <row r="26" spans="1:22" x14ac:dyDescent="0.25">
      <c r="A26" s="198">
        <v>25</v>
      </c>
      <c r="B26" s="199" t="s">
        <v>621</v>
      </c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8">
        <v>0</v>
      </c>
      <c r="V26">
        <f t="shared" si="0"/>
        <v>0</v>
      </c>
    </row>
    <row r="27" spans="1:22" x14ac:dyDescent="0.25">
      <c r="A27" s="198">
        <v>26</v>
      </c>
      <c r="B27" s="199" t="s">
        <v>622</v>
      </c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8">
        <v>0</v>
      </c>
      <c r="V27">
        <f t="shared" si="0"/>
        <v>0</v>
      </c>
    </row>
    <row r="28" spans="1:22" x14ac:dyDescent="0.25">
      <c r="A28" s="198">
        <v>27</v>
      </c>
      <c r="B28" s="199" t="s">
        <v>623</v>
      </c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8">
        <v>0</v>
      </c>
      <c r="V28">
        <f t="shared" si="0"/>
        <v>0</v>
      </c>
    </row>
    <row r="29" spans="1:22" x14ac:dyDescent="0.25">
      <c r="A29" s="198">
        <v>28</v>
      </c>
      <c r="B29" s="199" t="s">
        <v>624</v>
      </c>
      <c r="C29" s="199"/>
      <c r="D29" s="199"/>
      <c r="E29" s="199"/>
      <c r="F29" s="199"/>
      <c r="G29" s="199" t="s">
        <v>26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53">
        <v>11</v>
      </c>
      <c r="V29">
        <f t="shared" si="0"/>
        <v>11</v>
      </c>
    </row>
    <row r="30" spans="1:22" x14ac:dyDescent="0.25">
      <c r="A30" s="198">
        <v>29</v>
      </c>
      <c r="B30" s="199" t="s">
        <v>627</v>
      </c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8">
        <v>0</v>
      </c>
      <c r="V30">
        <f t="shared" si="0"/>
        <v>0</v>
      </c>
    </row>
    <row r="31" spans="1:22" x14ac:dyDescent="0.25">
      <c r="A31" s="198">
        <v>30</v>
      </c>
      <c r="B31" s="199" t="s">
        <v>625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8">
        <v>0</v>
      </c>
      <c r="V31">
        <f t="shared" si="0"/>
        <v>0</v>
      </c>
    </row>
    <row r="32" spans="1:22" x14ac:dyDescent="0.25">
      <c r="A32" s="198">
        <v>31</v>
      </c>
      <c r="B32" s="199" t="s">
        <v>34</v>
      </c>
      <c r="C32" s="199"/>
      <c r="D32" s="199"/>
      <c r="E32" s="199" t="s">
        <v>26</v>
      </c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253">
        <v>11</v>
      </c>
      <c r="V32">
        <f t="shared" si="0"/>
        <v>11</v>
      </c>
    </row>
    <row r="33" spans="1:22" x14ac:dyDescent="0.25">
      <c r="A33" s="198">
        <v>32</v>
      </c>
      <c r="B33" s="199" t="s">
        <v>45</v>
      </c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8">
        <v>0</v>
      </c>
      <c r="V33">
        <f t="shared" si="0"/>
        <v>0</v>
      </c>
    </row>
    <row r="34" spans="1:22" x14ac:dyDescent="0.25">
      <c r="A34" s="198">
        <v>33</v>
      </c>
      <c r="B34" s="199" t="s">
        <v>630</v>
      </c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8">
        <v>0</v>
      </c>
      <c r="V34">
        <f t="shared" si="0"/>
        <v>0</v>
      </c>
    </row>
    <row r="35" spans="1:22" x14ac:dyDescent="0.25">
      <c r="A35" s="198">
        <v>34</v>
      </c>
      <c r="B35" s="199" t="s">
        <v>628</v>
      </c>
      <c r="C35" s="199"/>
      <c r="D35" s="199" t="s">
        <v>26</v>
      </c>
      <c r="E35" s="199" t="s">
        <v>26</v>
      </c>
      <c r="F35" s="199"/>
      <c r="G35" s="199" t="s">
        <v>26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253">
        <v>33</v>
      </c>
      <c r="V35">
        <f t="shared" si="0"/>
        <v>22</v>
      </c>
    </row>
    <row r="36" spans="1:22" x14ac:dyDescent="0.25">
      <c r="A36" s="198">
        <v>35</v>
      </c>
      <c r="B36" s="199" t="s">
        <v>629</v>
      </c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8">
        <v>0</v>
      </c>
      <c r="V36">
        <f t="shared" si="0"/>
        <v>0</v>
      </c>
    </row>
    <row r="37" spans="1:22" x14ac:dyDescent="0.25">
      <c r="A37" s="198">
        <v>36</v>
      </c>
      <c r="B37" s="199" t="s">
        <v>631</v>
      </c>
      <c r="C37" s="199"/>
      <c r="D37" s="199" t="s">
        <v>26</v>
      </c>
      <c r="E37" s="199"/>
      <c r="F37" s="199" t="s">
        <v>26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253">
        <v>22</v>
      </c>
      <c r="V37">
        <f t="shared" si="0"/>
        <v>11</v>
      </c>
    </row>
    <row r="38" spans="1:22" x14ac:dyDescent="0.25">
      <c r="A38" s="198">
        <v>37</v>
      </c>
      <c r="B38" s="199" t="s">
        <v>632</v>
      </c>
      <c r="C38" s="199"/>
      <c r="D38" s="199"/>
      <c r="E38" s="199"/>
      <c r="F38" s="199" t="s">
        <v>26</v>
      </c>
      <c r="G38" s="199" t="s">
        <v>26</v>
      </c>
      <c r="H38" s="199" t="s">
        <v>26</v>
      </c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253">
        <v>33</v>
      </c>
      <c r="V38">
        <f t="shared" si="0"/>
        <v>33</v>
      </c>
    </row>
    <row r="39" spans="1:22" x14ac:dyDescent="0.25">
      <c r="A39" s="198">
        <v>38</v>
      </c>
      <c r="B39" s="199" t="s">
        <v>633</v>
      </c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8">
        <v>0</v>
      </c>
      <c r="V39">
        <f t="shared" si="0"/>
        <v>0</v>
      </c>
    </row>
    <row r="40" spans="1:22" x14ac:dyDescent="0.25">
      <c r="A40" s="198">
        <v>39</v>
      </c>
      <c r="B40" s="199" t="s">
        <v>634</v>
      </c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8">
        <v>0</v>
      </c>
      <c r="V40">
        <f t="shared" si="0"/>
        <v>0</v>
      </c>
    </row>
    <row r="41" spans="1:22" x14ac:dyDescent="0.25">
      <c r="A41" s="198">
        <v>40</v>
      </c>
      <c r="B41" s="199" t="s">
        <v>636</v>
      </c>
      <c r="C41" s="199"/>
      <c r="D41" s="199"/>
      <c r="E41" s="199" t="s">
        <v>26</v>
      </c>
      <c r="F41" s="199" t="s">
        <v>26</v>
      </c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253">
        <v>22</v>
      </c>
      <c r="V41">
        <f t="shared" si="0"/>
        <v>22</v>
      </c>
    </row>
    <row r="42" spans="1:22" x14ac:dyDescent="0.25">
      <c r="A42" s="198">
        <v>41</v>
      </c>
      <c r="B42" s="199" t="s">
        <v>637</v>
      </c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8">
        <v>0</v>
      </c>
      <c r="V42">
        <f t="shared" si="0"/>
        <v>0</v>
      </c>
    </row>
    <row r="43" spans="1:22" x14ac:dyDescent="0.25">
      <c r="A43" s="198">
        <v>42</v>
      </c>
      <c r="B43" s="199" t="s">
        <v>640</v>
      </c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8">
        <v>0</v>
      </c>
      <c r="V43">
        <f t="shared" si="0"/>
        <v>0</v>
      </c>
    </row>
    <row r="44" spans="1:22" x14ac:dyDescent="0.25">
      <c r="A44" s="198">
        <v>43</v>
      </c>
      <c r="B44" s="199" t="s">
        <v>638</v>
      </c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8">
        <v>0</v>
      </c>
      <c r="V44">
        <f t="shared" si="0"/>
        <v>0</v>
      </c>
    </row>
    <row r="45" spans="1:22" x14ac:dyDescent="0.25">
      <c r="A45" s="198">
        <v>44</v>
      </c>
      <c r="B45" s="199" t="s">
        <v>635</v>
      </c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8">
        <v>0</v>
      </c>
      <c r="V45">
        <f t="shared" si="0"/>
        <v>0</v>
      </c>
    </row>
    <row r="46" spans="1:22" x14ac:dyDescent="0.25">
      <c r="A46" s="198">
        <v>45</v>
      </c>
      <c r="B46" s="199" t="s">
        <v>641</v>
      </c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8">
        <v>0</v>
      </c>
      <c r="V46">
        <f t="shared" si="0"/>
        <v>0</v>
      </c>
    </row>
    <row r="47" spans="1:22" x14ac:dyDescent="0.25">
      <c r="A47" s="198">
        <v>46</v>
      </c>
      <c r="B47" s="199" t="s">
        <v>649</v>
      </c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8">
        <v>0</v>
      </c>
      <c r="V47">
        <f t="shared" si="0"/>
        <v>0</v>
      </c>
    </row>
    <row r="48" spans="1:22" x14ac:dyDescent="0.25">
      <c r="A48" s="198">
        <v>47</v>
      </c>
      <c r="B48" s="199" t="s">
        <v>642</v>
      </c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8">
        <v>0</v>
      </c>
      <c r="V48">
        <f t="shared" si="0"/>
        <v>0</v>
      </c>
    </row>
    <row r="49" spans="1:22" x14ac:dyDescent="0.25">
      <c r="A49" s="198">
        <v>48</v>
      </c>
      <c r="B49" s="199" t="s">
        <v>643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8">
        <v>0</v>
      </c>
      <c r="V49">
        <f t="shared" si="0"/>
        <v>0</v>
      </c>
    </row>
    <row r="50" spans="1:22" x14ac:dyDescent="0.25">
      <c r="A50" s="198">
        <v>49</v>
      </c>
      <c r="B50" s="199" t="s">
        <v>644</v>
      </c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8">
        <v>0</v>
      </c>
      <c r="V50">
        <f t="shared" si="0"/>
        <v>0</v>
      </c>
    </row>
    <row r="51" spans="1:22" x14ac:dyDescent="0.25">
      <c r="A51" s="198">
        <v>50</v>
      </c>
      <c r="B51" s="199" t="s">
        <v>646</v>
      </c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8">
        <v>0</v>
      </c>
      <c r="V51">
        <f t="shared" si="0"/>
        <v>0</v>
      </c>
    </row>
    <row r="52" spans="1:22" x14ac:dyDescent="0.25">
      <c r="A52" s="198">
        <v>51</v>
      </c>
      <c r="B52" s="199" t="s">
        <v>647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8">
        <v>0</v>
      </c>
      <c r="V52">
        <f t="shared" si="0"/>
        <v>0</v>
      </c>
    </row>
    <row r="53" spans="1:22" x14ac:dyDescent="0.25">
      <c r="A53" s="198">
        <v>52</v>
      </c>
      <c r="B53" s="199" t="s">
        <v>652</v>
      </c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8">
        <v>0</v>
      </c>
      <c r="V53">
        <f t="shared" si="0"/>
        <v>0</v>
      </c>
    </row>
    <row r="54" spans="1:22" x14ac:dyDescent="0.25">
      <c r="A54" s="198">
        <v>53</v>
      </c>
      <c r="B54" s="199" t="s">
        <v>653</v>
      </c>
      <c r="C54" s="199"/>
      <c r="D54" s="199" t="s">
        <v>26</v>
      </c>
      <c r="E54" s="199"/>
      <c r="F54" s="199" t="s">
        <v>26</v>
      </c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253">
        <v>22</v>
      </c>
      <c r="V54">
        <f t="shared" si="0"/>
        <v>11</v>
      </c>
    </row>
    <row r="55" spans="1:22" x14ac:dyDescent="0.25">
      <c r="A55" s="198">
        <v>54</v>
      </c>
      <c r="B55" s="199" t="s">
        <v>654</v>
      </c>
      <c r="C55" s="199"/>
      <c r="D55" s="199"/>
      <c r="E55" s="199"/>
      <c r="F55" s="199" t="s">
        <v>26</v>
      </c>
      <c r="G55" s="199" t="s">
        <v>26</v>
      </c>
      <c r="H55" s="199" t="s">
        <v>26</v>
      </c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253">
        <v>33</v>
      </c>
      <c r="V55">
        <f t="shared" si="0"/>
        <v>33</v>
      </c>
    </row>
    <row r="56" spans="1:22" x14ac:dyDescent="0.25">
      <c r="A56" s="198">
        <v>55</v>
      </c>
      <c r="B56" s="199" t="s">
        <v>655</v>
      </c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8">
        <v>0</v>
      </c>
      <c r="V56">
        <f t="shared" si="0"/>
        <v>0</v>
      </c>
    </row>
    <row r="57" spans="1:22" x14ac:dyDescent="0.25">
      <c r="A57" s="198">
        <v>56</v>
      </c>
      <c r="B57" s="199" t="s">
        <v>656</v>
      </c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8">
        <v>0</v>
      </c>
      <c r="V57">
        <f t="shared" si="0"/>
        <v>0</v>
      </c>
    </row>
    <row r="58" spans="1:22" x14ac:dyDescent="0.25">
      <c r="A58" s="198">
        <v>57</v>
      </c>
      <c r="B58" s="199" t="s">
        <v>657</v>
      </c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8">
        <v>0</v>
      </c>
      <c r="V58">
        <f t="shared" si="0"/>
        <v>0</v>
      </c>
    </row>
    <row r="59" spans="1:22" x14ac:dyDescent="0.25">
      <c r="A59" s="198">
        <v>58</v>
      </c>
      <c r="B59" s="199" t="s">
        <v>658</v>
      </c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8">
        <v>0</v>
      </c>
      <c r="V59">
        <f t="shared" si="0"/>
        <v>0</v>
      </c>
    </row>
    <row r="60" spans="1:22" x14ac:dyDescent="0.25">
      <c r="A60" s="198">
        <v>59</v>
      </c>
      <c r="B60" s="199" t="s">
        <v>659</v>
      </c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8">
        <v>0</v>
      </c>
      <c r="V60">
        <f t="shared" si="0"/>
        <v>0</v>
      </c>
    </row>
    <row r="61" spans="1:22" x14ac:dyDescent="0.25">
      <c r="A61" s="198">
        <v>60</v>
      </c>
      <c r="B61" s="199" t="s">
        <v>660</v>
      </c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8">
        <v>0</v>
      </c>
      <c r="V61">
        <f t="shared" si="0"/>
        <v>0</v>
      </c>
    </row>
    <row r="62" spans="1:22" x14ac:dyDescent="0.25">
      <c r="A62" s="198">
        <v>61</v>
      </c>
      <c r="B62" s="199" t="s">
        <v>661</v>
      </c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8">
        <v>0</v>
      </c>
      <c r="V62">
        <f t="shared" si="0"/>
        <v>0</v>
      </c>
    </row>
    <row r="63" spans="1:22" x14ac:dyDescent="0.25">
      <c r="A63" s="198">
        <v>62</v>
      </c>
      <c r="B63" s="199" t="s">
        <v>662</v>
      </c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8">
        <v>0</v>
      </c>
      <c r="V63">
        <f t="shared" si="0"/>
        <v>0</v>
      </c>
    </row>
    <row r="64" spans="1:22" x14ac:dyDescent="0.25">
      <c r="A64" s="198">
        <v>63</v>
      </c>
      <c r="B64" s="199" t="s">
        <v>668</v>
      </c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8">
        <v>0</v>
      </c>
      <c r="V64">
        <f t="shared" si="0"/>
        <v>0</v>
      </c>
    </row>
    <row r="65" spans="1:20" x14ac:dyDescent="0.2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254">
        <v>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65"/>
  <sheetViews>
    <sheetView zoomScale="85" zoomScaleNormal="85" workbookViewId="0">
      <selection activeCell="A20" sqref="A20:XFD20"/>
    </sheetView>
  </sheetViews>
  <sheetFormatPr defaultRowHeight="15" x14ac:dyDescent="0.25"/>
  <sheetData>
    <row r="1" spans="1:20" x14ac:dyDescent="0.25">
      <c r="A1" s="255" t="s">
        <v>1</v>
      </c>
      <c r="B1" s="255" t="s">
        <v>6</v>
      </c>
      <c r="C1" s="255" t="s">
        <v>46</v>
      </c>
      <c r="D1" s="255" t="s">
        <v>47</v>
      </c>
      <c r="E1" s="255" t="s">
        <v>48</v>
      </c>
      <c r="F1" s="255" t="s">
        <v>49</v>
      </c>
      <c r="G1" s="255" t="s">
        <v>50</v>
      </c>
      <c r="H1" s="255" t="s">
        <v>51</v>
      </c>
      <c r="I1" s="255" t="s">
        <v>52</v>
      </c>
      <c r="J1" s="255" t="s">
        <v>53</v>
      </c>
      <c r="K1" s="255" t="s">
        <v>54</v>
      </c>
      <c r="L1" s="255" t="s">
        <v>55</v>
      </c>
      <c r="M1" s="255" t="s">
        <v>56</v>
      </c>
      <c r="N1" s="255" t="s">
        <v>57</v>
      </c>
      <c r="O1" s="255" t="s">
        <v>58</v>
      </c>
      <c r="P1" s="255" t="s">
        <v>59</v>
      </c>
      <c r="Q1" s="255" t="s">
        <v>667</v>
      </c>
      <c r="R1" s="255" t="s">
        <v>2</v>
      </c>
    </row>
    <row r="2" spans="1:20" x14ac:dyDescent="0.25">
      <c r="A2" s="256">
        <v>1</v>
      </c>
      <c r="B2" s="257" t="s">
        <v>10</v>
      </c>
      <c r="C2" s="257"/>
      <c r="D2" s="257"/>
      <c r="E2" s="257"/>
      <c r="F2" s="257" t="s">
        <v>26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8">
        <v>11</v>
      </c>
      <c r="T2">
        <f t="shared" ref="T2:T64" si="0">C2+D2+E2+F2+G2+H2+I2+J2+K2+L2+M2+N2+O2+P2+Q2</f>
        <v>11</v>
      </c>
    </row>
    <row r="3" spans="1:20" x14ac:dyDescent="0.25">
      <c r="A3" s="256">
        <v>2</v>
      </c>
      <c r="B3" s="257" t="s">
        <v>11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6">
        <v>0</v>
      </c>
      <c r="T3">
        <f t="shared" si="0"/>
        <v>0</v>
      </c>
    </row>
    <row r="4" spans="1:20" x14ac:dyDescent="0.25">
      <c r="A4" s="256">
        <v>3</v>
      </c>
      <c r="B4" s="257" t="s">
        <v>12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6">
        <v>0</v>
      </c>
      <c r="T4">
        <f t="shared" si="0"/>
        <v>0</v>
      </c>
    </row>
    <row r="5" spans="1:20" x14ac:dyDescent="0.25">
      <c r="A5" s="256">
        <v>4</v>
      </c>
      <c r="B5" s="257" t="s">
        <v>651</v>
      </c>
      <c r="C5" s="257"/>
      <c r="D5" s="257"/>
      <c r="E5" s="257"/>
      <c r="F5" s="257"/>
      <c r="G5" s="257"/>
      <c r="H5" s="257"/>
      <c r="I5" s="257" t="s">
        <v>26</v>
      </c>
      <c r="J5" s="257" t="s">
        <v>26</v>
      </c>
      <c r="K5" s="257" t="s">
        <v>26</v>
      </c>
      <c r="L5" s="257" t="s">
        <v>26</v>
      </c>
      <c r="M5" s="257"/>
      <c r="N5" s="257"/>
      <c r="O5" s="257"/>
      <c r="P5" s="257"/>
      <c r="Q5" s="257"/>
      <c r="R5" s="258">
        <v>44</v>
      </c>
      <c r="T5">
        <f t="shared" si="0"/>
        <v>44</v>
      </c>
    </row>
    <row r="6" spans="1:20" x14ac:dyDescent="0.25">
      <c r="A6" s="256">
        <v>5</v>
      </c>
      <c r="B6" s="257" t="s">
        <v>14</v>
      </c>
      <c r="C6" s="257"/>
      <c r="D6" s="257"/>
      <c r="E6" s="257"/>
      <c r="F6" s="257"/>
      <c r="G6" s="257"/>
      <c r="H6" s="257"/>
      <c r="I6" s="257" t="s">
        <v>26</v>
      </c>
      <c r="J6" s="257" t="s">
        <v>26</v>
      </c>
      <c r="K6" s="257" t="s">
        <v>26</v>
      </c>
      <c r="L6" s="257" t="s">
        <v>26</v>
      </c>
      <c r="M6" s="257"/>
      <c r="N6" s="257"/>
      <c r="O6" s="257"/>
      <c r="P6" s="257"/>
      <c r="Q6" s="257"/>
      <c r="R6" s="258">
        <v>44</v>
      </c>
      <c r="T6">
        <f t="shared" si="0"/>
        <v>44</v>
      </c>
    </row>
    <row r="7" spans="1:20" x14ac:dyDescent="0.25">
      <c r="A7" s="256">
        <v>6</v>
      </c>
      <c r="B7" s="257" t="s">
        <v>15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6">
        <v>0</v>
      </c>
      <c r="T7">
        <f t="shared" si="0"/>
        <v>0</v>
      </c>
    </row>
    <row r="8" spans="1:20" x14ac:dyDescent="0.25">
      <c r="A8" s="256">
        <v>7</v>
      </c>
      <c r="B8" s="257" t="s">
        <v>16</v>
      </c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6">
        <v>0</v>
      </c>
      <c r="T8">
        <f t="shared" si="0"/>
        <v>0</v>
      </c>
    </row>
    <row r="9" spans="1:20" x14ac:dyDescent="0.25">
      <c r="A9" s="256">
        <v>8</v>
      </c>
      <c r="B9" s="257" t="s">
        <v>4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6">
        <v>0</v>
      </c>
      <c r="T9">
        <f t="shared" si="0"/>
        <v>0</v>
      </c>
    </row>
    <row r="10" spans="1:20" x14ac:dyDescent="0.25">
      <c r="A10" s="256">
        <v>9</v>
      </c>
      <c r="B10" s="257" t="s">
        <v>5</v>
      </c>
      <c r="C10" s="257"/>
      <c r="D10" s="257"/>
      <c r="E10" s="257"/>
      <c r="F10" s="257"/>
      <c r="G10" s="257"/>
      <c r="H10" s="257"/>
      <c r="I10" s="257" t="s">
        <v>26</v>
      </c>
      <c r="J10" s="257" t="s">
        <v>26</v>
      </c>
      <c r="K10" s="257"/>
      <c r="L10" s="257"/>
      <c r="M10" s="257"/>
      <c r="N10" s="257"/>
      <c r="O10" s="257"/>
      <c r="P10" s="257" t="s">
        <v>26</v>
      </c>
      <c r="Q10" s="257" t="s">
        <v>26</v>
      </c>
      <c r="R10" s="258">
        <v>44</v>
      </c>
      <c r="T10">
        <f t="shared" si="0"/>
        <v>44</v>
      </c>
    </row>
    <row r="11" spans="1:20" x14ac:dyDescent="0.25">
      <c r="A11" s="256">
        <v>10</v>
      </c>
      <c r="B11" s="257" t="s">
        <v>38</v>
      </c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6">
        <v>0</v>
      </c>
      <c r="T11">
        <f t="shared" si="0"/>
        <v>0</v>
      </c>
    </row>
    <row r="12" spans="1:20" x14ac:dyDescent="0.25">
      <c r="A12" s="256">
        <v>11</v>
      </c>
      <c r="B12" s="257" t="s">
        <v>43</v>
      </c>
      <c r="C12" s="257"/>
      <c r="D12" s="257"/>
      <c r="E12" s="257"/>
      <c r="F12" s="257"/>
      <c r="G12" s="257" t="s">
        <v>84</v>
      </c>
      <c r="H12" s="257"/>
      <c r="I12" s="257" t="s">
        <v>26</v>
      </c>
      <c r="J12" s="257"/>
      <c r="K12" s="257"/>
      <c r="L12" s="257"/>
      <c r="M12" s="257"/>
      <c r="N12" s="257"/>
      <c r="O12" s="257"/>
      <c r="P12" s="257" t="s">
        <v>26</v>
      </c>
      <c r="Q12" s="257" t="s">
        <v>26</v>
      </c>
      <c r="R12" s="258">
        <v>39</v>
      </c>
      <c r="T12">
        <f t="shared" si="0"/>
        <v>39</v>
      </c>
    </row>
    <row r="13" spans="1:20" x14ac:dyDescent="0.25">
      <c r="A13" s="256">
        <v>12</v>
      </c>
      <c r="B13" s="257" t="s">
        <v>639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6">
        <v>0</v>
      </c>
      <c r="T13">
        <f t="shared" si="0"/>
        <v>0</v>
      </c>
    </row>
    <row r="14" spans="1:20" x14ac:dyDescent="0.25">
      <c r="A14" s="256">
        <v>13</v>
      </c>
      <c r="B14" s="257" t="s">
        <v>87</v>
      </c>
      <c r="C14" s="257"/>
      <c r="D14" s="257"/>
      <c r="E14" s="257"/>
      <c r="F14" s="257" t="s">
        <v>26</v>
      </c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8">
        <v>11</v>
      </c>
      <c r="T14">
        <f t="shared" si="0"/>
        <v>11</v>
      </c>
    </row>
    <row r="15" spans="1:20" x14ac:dyDescent="0.25">
      <c r="A15" s="256">
        <v>14</v>
      </c>
      <c r="B15" s="257" t="s">
        <v>95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6">
        <v>0</v>
      </c>
      <c r="T15">
        <f t="shared" si="0"/>
        <v>0</v>
      </c>
    </row>
    <row r="16" spans="1:20" x14ac:dyDescent="0.25">
      <c r="A16" s="256">
        <v>15</v>
      </c>
      <c r="B16" s="257" t="s">
        <v>96</v>
      </c>
      <c r="C16" s="257"/>
      <c r="D16" s="257"/>
      <c r="E16" s="257"/>
      <c r="F16" s="257"/>
      <c r="G16" s="257"/>
      <c r="H16" s="257"/>
      <c r="I16" s="257" t="s">
        <v>26</v>
      </c>
      <c r="J16" s="257" t="s">
        <v>26</v>
      </c>
      <c r="K16" s="257"/>
      <c r="L16" s="257"/>
      <c r="M16" s="257"/>
      <c r="N16" s="257"/>
      <c r="O16" s="257"/>
      <c r="P16" s="257" t="s">
        <v>26</v>
      </c>
      <c r="Q16" s="257" t="s">
        <v>26</v>
      </c>
      <c r="R16" s="258">
        <v>44</v>
      </c>
      <c r="T16">
        <f t="shared" si="0"/>
        <v>44</v>
      </c>
    </row>
    <row r="17" spans="1:20" x14ac:dyDescent="0.25">
      <c r="A17" s="256">
        <v>16</v>
      </c>
      <c r="B17" s="257" t="s">
        <v>97</v>
      </c>
      <c r="C17" s="257"/>
      <c r="D17" s="257"/>
      <c r="E17" s="257"/>
      <c r="F17" s="257"/>
      <c r="G17" s="257"/>
      <c r="H17" s="257"/>
      <c r="I17" s="257" t="s">
        <v>25</v>
      </c>
      <c r="J17" s="257"/>
      <c r="K17" s="257"/>
      <c r="L17" s="257"/>
      <c r="M17" s="257"/>
      <c r="N17" s="257"/>
      <c r="O17" s="257"/>
      <c r="P17" s="257" t="s">
        <v>25</v>
      </c>
      <c r="Q17" s="257"/>
      <c r="R17" s="258">
        <v>18</v>
      </c>
      <c r="T17">
        <f t="shared" si="0"/>
        <v>18</v>
      </c>
    </row>
    <row r="18" spans="1:20" x14ac:dyDescent="0.25">
      <c r="A18" s="256">
        <v>17</v>
      </c>
      <c r="B18" s="257" t="s">
        <v>98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6">
        <v>0</v>
      </c>
      <c r="T18">
        <f t="shared" si="0"/>
        <v>0</v>
      </c>
    </row>
    <row r="19" spans="1:20" x14ac:dyDescent="0.25">
      <c r="A19" s="256">
        <v>18</v>
      </c>
      <c r="B19" s="257" t="s">
        <v>616</v>
      </c>
      <c r="C19" s="257"/>
      <c r="D19" s="257"/>
      <c r="E19" s="257"/>
      <c r="F19" s="257"/>
      <c r="G19" s="257"/>
      <c r="H19" s="257"/>
      <c r="I19" s="257" t="s">
        <v>25</v>
      </c>
      <c r="J19" s="257"/>
      <c r="K19" s="257"/>
      <c r="L19" s="257" t="s">
        <v>26</v>
      </c>
      <c r="M19" s="257"/>
      <c r="N19" s="257"/>
      <c r="O19" s="257"/>
      <c r="P19" s="257"/>
      <c r="Q19" s="257"/>
      <c r="R19" s="258">
        <v>20</v>
      </c>
      <c r="T19">
        <f t="shared" si="0"/>
        <v>20</v>
      </c>
    </row>
    <row r="20" spans="1:20" x14ac:dyDescent="0.25">
      <c r="A20" s="256">
        <v>19</v>
      </c>
      <c r="B20" s="257" t="s">
        <v>617</v>
      </c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6">
        <v>0</v>
      </c>
      <c r="T20">
        <f t="shared" si="0"/>
        <v>0</v>
      </c>
    </row>
    <row r="21" spans="1:20" x14ac:dyDescent="0.25">
      <c r="A21" s="256">
        <v>20</v>
      </c>
      <c r="B21" s="257" t="s">
        <v>626</v>
      </c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6">
        <v>0</v>
      </c>
      <c r="T21">
        <f t="shared" si="0"/>
        <v>0</v>
      </c>
    </row>
    <row r="22" spans="1:20" x14ac:dyDescent="0.25">
      <c r="A22" s="256">
        <v>21</v>
      </c>
      <c r="B22" s="257" t="s">
        <v>618</v>
      </c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6">
        <v>0</v>
      </c>
      <c r="T22">
        <f t="shared" si="0"/>
        <v>0</v>
      </c>
    </row>
    <row r="23" spans="1:20" x14ac:dyDescent="0.25">
      <c r="A23" s="256">
        <v>22</v>
      </c>
      <c r="B23" s="257" t="s">
        <v>619</v>
      </c>
      <c r="C23" s="257"/>
      <c r="D23" s="257"/>
      <c r="E23" s="257"/>
      <c r="F23" s="257"/>
      <c r="G23" s="257" t="s">
        <v>85</v>
      </c>
      <c r="H23" s="257"/>
      <c r="I23" s="257" t="s">
        <v>26</v>
      </c>
      <c r="J23" s="257" t="s">
        <v>26</v>
      </c>
      <c r="K23" s="257"/>
      <c r="L23" s="257" t="s">
        <v>26</v>
      </c>
      <c r="M23" s="257"/>
      <c r="N23" s="257"/>
      <c r="O23" s="257"/>
      <c r="P23" s="257" t="s">
        <v>26</v>
      </c>
      <c r="Q23" s="257" t="s">
        <v>26</v>
      </c>
      <c r="R23" s="258">
        <v>62</v>
      </c>
      <c r="T23">
        <f t="shared" si="0"/>
        <v>62</v>
      </c>
    </row>
    <row r="24" spans="1:20" x14ac:dyDescent="0.25">
      <c r="A24" s="256">
        <v>23</v>
      </c>
      <c r="B24" s="257" t="s">
        <v>620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 t="s">
        <v>26</v>
      </c>
      <c r="M24" s="257"/>
      <c r="N24" s="257"/>
      <c r="O24" s="257"/>
      <c r="P24" s="257" t="s">
        <v>26</v>
      </c>
      <c r="Q24" s="257" t="s">
        <v>26</v>
      </c>
      <c r="R24" s="258">
        <v>33</v>
      </c>
      <c r="T24">
        <f t="shared" si="0"/>
        <v>33</v>
      </c>
    </row>
    <row r="25" spans="1:20" x14ac:dyDescent="0.25">
      <c r="A25" s="256">
        <v>24</v>
      </c>
      <c r="B25" s="257" t="s">
        <v>650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6">
        <v>0</v>
      </c>
      <c r="T25">
        <f t="shared" si="0"/>
        <v>0</v>
      </c>
    </row>
    <row r="26" spans="1:20" x14ac:dyDescent="0.25">
      <c r="A26" s="256">
        <v>25</v>
      </c>
      <c r="B26" s="257" t="s">
        <v>621</v>
      </c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6">
        <v>0</v>
      </c>
      <c r="T26">
        <f t="shared" si="0"/>
        <v>0</v>
      </c>
    </row>
    <row r="27" spans="1:20" x14ac:dyDescent="0.25">
      <c r="A27" s="256">
        <v>26</v>
      </c>
      <c r="B27" s="257" t="s">
        <v>622</v>
      </c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6">
        <v>0</v>
      </c>
      <c r="T27">
        <f t="shared" si="0"/>
        <v>0</v>
      </c>
    </row>
    <row r="28" spans="1:20" x14ac:dyDescent="0.25">
      <c r="A28" s="256">
        <v>27</v>
      </c>
      <c r="B28" s="257" t="s">
        <v>623</v>
      </c>
      <c r="C28" s="257"/>
      <c r="D28" s="257"/>
      <c r="E28" s="257"/>
      <c r="F28" s="257" t="s">
        <v>25</v>
      </c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8">
        <v>9</v>
      </c>
      <c r="T28">
        <f t="shared" si="0"/>
        <v>9</v>
      </c>
    </row>
    <row r="29" spans="1:20" x14ac:dyDescent="0.25">
      <c r="A29" s="256">
        <v>28</v>
      </c>
      <c r="B29" s="257" t="s">
        <v>624</v>
      </c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6">
        <v>0</v>
      </c>
      <c r="T29">
        <f t="shared" si="0"/>
        <v>0</v>
      </c>
    </row>
    <row r="30" spans="1:20" x14ac:dyDescent="0.25">
      <c r="A30" s="256">
        <v>29</v>
      </c>
      <c r="B30" s="257" t="s">
        <v>627</v>
      </c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6">
        <v>0</v>
      </c>
      <c r="T30">
        <f t="shared" si="0"/>
        <v>0</v>
      </c>
    </row>
    <row r="31" spans="1:20" x14ac:dyDescent="0.25">
      <c r="A31" s="256">
        <v>30</v>
      </c>
      <c r="B31" s="257" t="s">
        <v>625</v>
      </c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6">
        <v>0</v>
      </c>
      <c r="T31">
        <f t="shared" si="0"/>
        <v>0</v>
      </c>
    </row>
    <row r="32" spans="1:20" x14ac:dyDescent="0.25">
      <c r="A32" s="256">
        <v>31</v>
      </c>
      <c r="B32" s="257" t="s">
        <v>34</v>
      </c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6">
        <v>0</v>
      </c>
      <c r="T32">
        <f t="shared" si="0"/>
        <v>0</v>
      </c>
    </row>
    <row r="33" spans="1:20" x14ac:dyDescent="0.25">
      <c r="A33" s="256">
        <v>32</v>
      </c>
      <c r="B33" s="257" t="s">
        <v>45</v>
      </c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6">
        <v>0</v>
      </c>
      <c r="T33">
        <f t="shared" si="0"/>
        <v>0</v>
      </c>
    </row>
    <row r="34" spans="1:20" x14ac:dyDescent="0.25">
      <c r="A34" s="256">
        <v>33</v>
      </c>
      <c r="B34" s="257" t="s">
        <v>630</v>
      </c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6">
        <v>0</v>
      </c>
      <c r="T34">
        <f t="shared" si="0"/>
        <v>0</v>
      </c>
    </row>
    <row r="35" spans="1:20" x14ac:dyDescent="0.25">
      <c r="A35" s="256">
        <v>34</v>
      </c>
      <c r="B35" s="257" t="s">
        <v>628</v>
      </c>
      <c r="C35" s="257"/>
      <c r="D35" s="257"/>
      <c r="E35" s="257"/>
      <c r="F35" s="257"/>
      <c r="G35" s="257" t="s">
        <v>85</v>
      </c>
      <c r="H35" s="257"/>
      <c r="I35" s="257" t="s">
        <v>26</v>
      </c>
      <c r="J35" s="257" t="s">
        <v>26</v>
      </c>
      <c r="K35" s="257"/>
      <c r="L35" s="257"/>
      <c r="M35" s="257"/>
      <c r="N35" s="257"/>
      <c r="O35" s="257"/>
      <c r="P35" s="257" t="s">
        <v>26</v>
      </c>
      <c r="Q35" s="257"/>
      <c r="R35" s="258">
        <v>40</v>
      </c>
      <c r="T35">
        <f t="shared" si="0"/>
        <v>40</v>
      </c>
    </row>
    <row r="36" spans="1:20" x14ac:dyDescent="0.25">
      <c r="A36" s="256">
        <v>35</v>
      </c>
      <c r="B36" s="257" t="s">
        <v>629</v>
      </c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6">
        <v>0</v>
      </c>
      <c r="T36">
        <f t="shared" si="0"/>
        <v>0</v>
      </c>
    </row>
    <row r="37" spans="1:20" x14ac:dyDescent="0.25">
      <c r="A37" s="256">
        <v>36</v>
      </c>
      <c r="B37" s="257" t="s">
        <v>631</v>
      </c>
      <c r="C37" s="257"/>
      <c r="D37" s="257"/>
      <c r="E37" s="257"/>
      <c r="F37" s="257"/>
      <c r="G37" s="257"/>
      <c r="H37" s="257"/>
      <c r="I37" s="257" t="s">
        <v>26</v>
      </c>
      <c r="J37" s="257"/>
      <c r="K37" s="257"/>
      <c r="L37" s="257"/>
      <c r="M37" s="257"/>
      <c r="N37" s="257"/>
      <c r="O37" s="257"/>
      <c r="P37" s="257"/>
      <c r="Q37" s="257"/>
      <c r="R37" s="258">
        <v>11</v>
      </c>
      <c r="T37">
        <f t="shared" si="0"/>
        <v>11</v>
      </c>
    </row>
    <row r="38" spans="1:20" x14ac:dyDescent="0.25">
      <c r="A38" s="256">
        <v>37</v>
      </c>
      <c r="B38" s="257" t="s">
        <v>632</v>
      </c>
      <c r="C38" s="257" t="s">
        <v>26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8">
        <v>11</v>
      </c>
      <c r="T38">
        <f t="shared" si="0"/>
        <v>11</v>
      </c>
    </row>
    <row r="39" spans="1:20" x14ac:dyDescent="0.25">
      <c r="A39" s="256">
        <v>38</v>
      </c>
      <c r="B39" s="257" t="s">
        <v>633</v>
      </c>
      <c r="C39" s="257"/>
      <c r="D39" s="257"/>
      <c r="E39" s="257"/>
      <c r="F39" s="257" t="s">
        <v>26</v>
      </c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8">
        <v>11</v>
      </c>
      <c r="T39">
        <f t="shared" si="0"/>
        <v>11</v>
      </c>
    </row>
    <row r="40" spans="1:20" x14ac:dyDescent="0.25">
      <c r="A40" s="256">
        <v>39</v>
      </c>
      <c r="B40" s="257" t="s">
        <v>634</v>
      </c>
      <c r="C40" s="257"/>
      <c r="D40" s="257"/>
      <c r="E40" s="257"/>
      <c r="F40" s="257" t="s">
        <v>26</v>
      </c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8">
        <v>11</v>
      </c>
      <c r="T40">
        <f t="shared" si="0"/>
        <v>11</v>
      </c>
    </row>
    <row r="41" spans="1:20" x14ac:dyDescent="0.25">
      <c r="A41" s="256">
        <v>40</v>
      </c>
      <c r="B41" s="257" t="s">
        <v>636</v>
      </c>
      <c r="C41" s="257"/>
      <c r="D41" s="257"/>
      <c r="E41" s="257"/>
      <c r="F41" s="257"/>
      <c r="G41" s="257"/>
      <c r="H41" s="257"/>
      <c r="I41" s="257" t="s">
        <v>26</v>
      </c>
      <c r="J41" s="257"/>
      <c r="K41" s="257"/>
      <c r="L41" s="257"/>
      <c r="M41" s="257"/>
      <c r="N41" s="257"/>
      <c r="O41" s="257"/>
      <c r="P41" s="257"/>
      <c r="Q41" s="257"/>
      <c r="R41" s="258">
        <v>11</v>
      </c>
      <c r="T41">
        <f t="shared" si="0"/>
        <v>11</v>
      </c>
    </row>
    <row r="42" spans="1:20" x14ac:dyDescent="0.25">
      <c r="A42" s="256">
        <v>41</v>
      </c>
      <c r="B42" s="257" t="s">
        <v>637</v>
      </c>
      <c r="C42" s="257"/>
      <c r="D42" s="257"/>
      <c r="E42" s="257"/>
      <c r="F42" s="257" t="s">
        <v>26</v>
      </c>
      <c r="G42" s="257"/>
      <c r="H42" s="257"/>
      <c r="I42" s="257" t="s">
        <v>26</v>
      </c>
      <c r="J42" s="257"/>
      <c r="K42" s="257"/>
      <c r="L42" s="257"/>
      <c r="M42" s="257"/>
      <c r="N42" s="257"/>
      <c r="O42" s="257"/>
      <c r="P42" s="257"/>
      <c r="Q42" s="257"/>
      <c r="R42" s="258">
        <v>22</v>
      </c>
      <c r="T42">
        <f t="shared" si="0"/>
        <v>22</v>
      </c>
    </row>
    <row r="43" spans="1:20" x14ac:dyDescent="0.25">
      <c r="A43" s="256">
        <v>42</v>
      </c>
      <c r="B43" s="257" t="s">
        <v>640</v>
      </c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6">
        <v>0</v>
      </c>
      <c r="T43">
        <f t="shared" si="0"/>
        <v>0</v>
      </c>
    </row>
    <row r="44" spans="1:20" x14ac:dyDescent="0.25">
      <c r="A44" s="256">
        <v>43</v>
      </c>
      <c r="B44" s="257" t="s">
        <v>638</v>
      </c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6">
        <v>0</v>
      </c>
      <c r="T44">
        <f t="shared" si="0"/>
        <v>0</v>
      </c>
    </row>
    <row r="45" spans="1:20" x14ac:dyDescent="0.25">
      <c r="A45" s="256">
        <v>44</v>
      </c>
      <c r="B45" s="257" t="s">
        <v>635</v>
      </c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6">
        <v>0</v>
      </c>
      <c r="T45">
        <f t="shared" si="0"/>
        <v>0</v>
      </c>
    </row>
    <row r="46" spans="1:20" x14ac:dyDescent="0.25">
      <c r="A46" s="256">
        <v>45</v>
      </c>
      <c r="B46" s="257" t="s">
        <v>641</v>
      </c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6">
        <v>0</v>
      </c>
      <c r="T46">
        <f t="shared" si="0"/>
        <v>0</v>
      </c>
    </row>
    <row r="47" spans="1:20" x14ac:dyDescent="0.25">
      <c r="A47" s="256">
        <v>46</v>
      </c>
      <c r="B47" s="257" t="s">
        <v>649</v>
      </c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6">
        <v>0</v>
      </c>
      <c r="T47">
        <f t="shared" si="0"/>
        <v>0</v>
      </c>
    </row>
    <row r="48" spans="1:20" x14ac:dyDescent="0.25">
      <c r="A48" s="256">
        <v>47</v>
      </c>
      <c r="B48" s="257" t="s">
        <v>642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6">
        <v>0</v>
      </c>
      <c r="T48">
        <f t="shared" si="0"/>
        <v>0</v>
      </c>
    </row>
    <row r="49" spans="1:20" x14ac:dyDescent="0.25">
      <c r="A49" s="256">
        <v>48</v>
      </c>
      <c r="B49" s="257" t="s">
        <v>643</v>
      </c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6">
        <v>0</v>
      </c>
      <c r="T49">
        <f t="shared" si="0"/>
        <v>0</v>
      </c>
    </row>
    <row r="50" spans="1:20" x14ac:dyDescent="0.25">
      <c r="A50" s="256">
        <v>49</v>
      </c>
      <c r="B50" s="257" t="s">
        <v>644</v>
      </c>
      <c r="C50" s="257"/>
      <c r="D50" s="257"/>
      <c r="E50" s="257"/>
      <c r="F50" s="257"/>
      <c r="G50" s="257"/>
      <c r="H50" s="257"/>
      <c r="I50" s="257"/>
      <c r="J50" s="257" t="s">
        <v>26</v>
      </c>
      <c r="K50" s="257"/>
      <c r="L50" s="257"/>
      <c r="M50" s="257"/>
      <c r="N50" s="257"/>
      <c r="O50" s="257"/>
      <c r="P50" s="257"/>
      <c r="Q50" s="257"/>
      <c r="R50" s="258">
        <v>11</v>
      </c>
      <c r="T50">
        <f t="shared" si="0"/>
        <v>11</v>
      </c>
    </row>
    <row r="51" spans="1:20" x14ac:dyDescent="0.25">
      <c r="A51" s="256">
        <v>50</v>
      </c>
      <c r="B51" s="257" t="s">
        <v>646</v>
      </c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6">
        <v>0</v>
      </c>
      <c r="T51">
        <f t="shared" si="0"/>
        <v>0</v>
      </c>
    </row>
    <row r="52" spans="1:20" x14ac:dyDescent="0.25">
      <c r="A52" s="256">
        <v>51</v>
      </c>
      <c r="B52" s="257" t="s">
        <v>647</v>
      </c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6">
        <v>0</v>
      </c>
      <c r="T52">
        <f t="shared" si="0"/>
        <v>0</v>
      </c>
    </row>
    <row r="53" spans="1:20" x14ac:dyDescent="0.25">
      <c r="A53" s="256">
        <v>52</v>
      </c>
      <c r="B53" s="257" t="s">
        <v>652</v>
      </c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6">
        <v>0</v>
      </c>
      <c r="T53">
        <f t="shared" si="0"/>
        <v>0</v>
      </c>
    </row>
    <row r="54" spans="1:20" x14ac:dyDescent="0.25">
      <c r="A54" s="256">
        <v>53</v>
      </c>
      <c r="B54" s="257" t="s">
        <v>653</v>
      </c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6">
        <v>0</v>
      </c>
      <c r="T54">
        <f t="shared" si="0"/>
        <v>0</v>
      </c>
    </row>
    <row r="55" spans="1:20" x14ac:dyDescent="0.25">
      <c r="A55" s="256">
        <v>54</v>
      </c>
      <c r="B55" s="257" t="s">
        <v>654</v>
      </c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6">
        <v>0</v>
      </c>
      <c r="T55">
        <f t="shared" si="0"/>
        <v>0</v>
      </c>
    </row>
    <row r="56" spans="1:20" x14ac:dyDescent="0.25">
      <c r="A56" s="256">
        <v>55</v>
      </c>
      <c r="B56" s="257" t="s">
        <v>655</v>
      </c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6">
        <v>0</v>
      </c>
      <c r="T56">
        <f t="shared" si="0"/>
        <v>0</v>
      </c>
    </row>
    <row r="57" spans="1:20" x14ac:dyDescent="0.25">
      <c r="A57" s="256">
        <v>56</v>
      </c>
      <c r="B57" s="257" t="s">
        <v>656</v>
      </c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6">
        <v>0</v>
      </c>
      <c r="T57">
        <f t="shared" si="0"/>
        <v>0</v>
      </c>
    </row>
    <row r="58" spans="1:20" x14ac:dyDescent="0.25">
      <c r="A58" s="256">
        <v>57</v>
      </c>
      <c r="B58" s="257" t="s">
        <v>657</v>
      </c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6">
        <v>0</v>
      </c>
      <c r="T58">
        <f t="shared" si="0"/>
        <v>0</v>
      </c>
    </row>
    <row r="59" spans="1:20" x14ac:dyDescent="0.25">
      <c r="A59" s="256">
        <v>58</v>
      </c>
      <c r="B59" s="257" t="s">
        <v>658</v>
      </c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6">
        <v>0</v>
      </c>
      <c r="T59">
        <f t="shared" si="0"/>
        <v>0</v>
      </c>
    </row>
    <row r="60" spans="1:20" x14ac:dyDescent="0.25">
      <c r="A60" s="256">
        <v>59</v>
      </c>
      <c r="B60" s="257" t="s">
        <v>659</v>
      </c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6">
        <v>0</v>
      </c>
      <c r="T60">
        <f t="shared" si="0"/>
        <v>0</v>
      </c>
    </row>
    <row r="61" spans="1:20" x14ac:dyDescent="0.25">
      <c r="A61" s="256">
        <v>60</v>
      </c>
      <c r="B61" s="257" t="s">
        <v>660</v>
      </c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6">
        <v>0</v>
      </c>
      <c r="T61">
        <f t="shared" si="0"/>
        <v>0</v>
      </c>
    </row>
    <row r="62" spans="1:20" x14ac:dyDescent="0.25">
      <c r="A62" s="256">
        <v>61</v>
      </c>
      <c r="B62" s="257" t="s">
        <v>661</v>
      </c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6">
        <v>0</v>
      </c>
      <c r="T62">
        <f t="shared" si="0"/>
        <v>0</v>
      </c>
    </row>
    <row r="63" spans="1:20" x14ac:dyDescent="0.25">
      <c r="A63" s="256">
        <v>62</v>
      </c>
      <c r="B63" s="257" t="s">
        <v>662</v>
      </c>
      <c r="C63" s="257"/>
      <c r="D63" s="257"/>
      <c r="E63" s="257"/>
      <c r="F63" s="257"/>
      <c r="G63" s="257" t="s">
        <v>85</v>
      </c>
      <c r="H63" s="257"/>
      <c r="I63" s="257"/>
      <c r="J63" s="257"/>
      <c r="K63" s="257"/>
      <c r="L63" s="257"/>
      <c r="M63" s="257"/>
      <c r="N63" s="257"/>
      <c r="O63" s="257"/>
      <c r="P63" s="257"/>
      <c r="Q63" s="257" t="s">
        <v>26</v>
      </c>
      <c r="R63" s="258">
        <v>18</v>
      </c>
      <c r="T63">
        <f t="shared" si="0"/>
        <v>18</v>
      </c>
    </row>
    <row r="64" spans="1:20" x14ac:dyDescent="0.25">
      <c r="A64" s="256">
        <v>63</v>
      </c>
      <c r="B64" s="257" t="s">
        <v>668</v>
      </c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6">
        <v>0</v>
      </c>
      <c r="T64">
        <f t="shared" si="0"/>
        <v>0</v>
      </c>
    </row>
    <row r="65" spans="1:18" x14ac:dyDescent="0.2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9">
        <v>525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5"/>
  <sheetViews>
    <sheetView zoomScale="85" zoomScaleNormal="85" workbookViewId="0">
      <selection activeCell="B20" sqref="B20"/>
    </sheetView>
  </sheetViews>
  <sheetFormatPr defaultRowHeight="15" x14ac:dyDescent="0.25"/>
  <sheetData>
    <row r="1" spans="1:20" x14ac:dyDescent="0.25">
      <c r="A1" s="260" t="s">
        <v>1</v>
      </c>
      <c r="B1" s="260" t="s">
        <v>6</v>
      </c>
      <c r="C1" s="260" t="s">
        <v>46</v>
      </c>
      <c r="D1" s="260" t="s">
        <v>47</v>
      </c>
      <c r="E1" s="260" t="s">
        <v>48</v>
      </c>
      <c r="F1" s="260" t="s">
        <v>49</v>
      </c>
      <c r="G1" s="260" t="s">
        <v>50</v>
      </c>
      <c r="H1" s="260" t="s">
        <v>51</v>
      </c>
      <c r="I1" s="260" t="s">
        <v>52</v>
      </c>
      <c r="J1" s="260" t="s">
        <v>53</v>
      </c>
      <c r="K1" s="260" t="s">
        <v>54</v>
      </c>
      <c r="L1" s="260" t="s">
        <v>55</v>
      </c>
      <c r="M1" s="260" t="s">
        <v>56</v>
      </c>
      <c r="N1" s="260" t="s">
        <v>57</v>
      </c>
      <c r="O1" s="260" t="s">
        <v>58</v>
      </c>
      <c r="P1" s="260" t="s">
        <v>59</v>
      </c>
      <c r="Q1" s="260" t="s">
        <v>667</v>
      </c>
      <c r="R1" s="260" t="s">
        <v>2</v>
      </c>
    </row>
    <row r="2" spans="1:20" x14ac:dyDescent="0.25">
      <c r="A2" s="261">
        <v>1</v>
      </c>
      <c r="B2" s="262" t="s">
        <v>10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1">
        <v>0</v>
      </c>
      <c r="T2">
        <f t="shared" ref="T2:T64" si="0">C2+D2+E2+F2+G2+H2+I2+J2+K2+L2+M2+N2+O2+P2+Q2</f>
        <v>0</v>
      </c>
    </row>
    <row r="3" spans="1:20" x14ac:dyDescent="0.25">
      <c r="A3" s="261">
        <v>2</v>
      </c>
      <c r="B3" s="262" t="s">
        <v>11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1">
        <v>0</v>
      </c>
      <c r="T3">
        <f t="shared" si="0"/>
        <v>0</v>
      </c>
    </row>
    <row r="4" spans="1:20" x14ac:dyDescent="0.25">
      <c r="A4" s="261">
        <v>3</v>
      </c>
      <c r="B4" s="262" t="s">
        <v>12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1">
        <v>0</v>
      </c>
      <c r="T4">
        <f t="shared" si="0"/>
        <v>0</v>
      </c>
    </row>
    <row r="5" spans="1:20" x14ac:dyDescent="0.25">
      <c r="A5" s="261">
        <v>4</v>
      </c>
      <c r="B5" s="262" t="s">
        <v>651</v>
      </c>
      <c r="C5" s="262"/>
      <c r="D5" s="262"/>
      <c r="E5" s="262" t="s">
        <v>26</v>
      </c>
      <c r="F5" s="262" t="s">
        <v>26</v>
      </c>
      <c r="G5" s="262"/>
      <c r="H5" s="262"/>
      <c r="I5" s="262"/>
      <c r="J5" s="262"/>
      <c r="K5" s="262"/>
      <c r="L5" s="262"/>
      <c r="M5" s="262"/>
      <c r="N5" s="262"/>
      <c r="O5" s="262"/>
      <c r="P5" s="262" t="s">
        <v>26</v>
      </c>
      <c r="Q5" s="262" t="s">
        <v>26</v>
      </c>
      <c r="R5" s="263">
        <v>44</v>
      </c>
      <c r="T5">
        <f t="shared" si="0"/>
        <v>44</v>
      </c>
    </row>
    <row r="6" spans="1:20" x14ac:dyDescent="0.25">
      <c r="A6" s="261">
        <v>5</v>
      </c>
      <c r="B6" s="262" t="s">
        <v>14</v>
      </c>
      <c r="C6" s="262"/>
      <c r="D6" s="262"/>
      <c r="E6" s="262" t="s">
        <v>26</v>
      </c>
      <c r="F6" s="262" t="s">
        <v>26</v>
      </c>
      <c r="G6" s="262"/>
      <c r="H6" s="262"/>
      <c r="I6" s="262"/>
      <c r="J6" s="262"/>
      <c r="K6" s="262"/>
      <c r="L6" s="262"/>
      <c r="M6" s="262"/>
      <c r="N6" s="262"/>
      <c r="O6" s="262"/>
      <c r="P6" s="262" t="s">
        <v>26</v>
      </c>
      <c r="Q6" s="262" t="s">
        <v>26</v>
      </c>
      <c r="R6" s="263">
        <v>44</v>
      </c>
      <c r="T6">
        <f t="shared" si="0"/>
        <v>44</v>
      </c>
    </row>
    <row r="7" spans="1:20" x14ac:dyDescent="0.25">
      <c r="A7" s="261">
        <v>6</v>
      </c>
      <c r="B7" s="262" t="s">
        <v>15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1">
        <v>0</v>
      </c>
      <c r="T7">
        <f t="shared" si="0"/>
        <v>0</v>
      </c>
    </row>
    <row r="8" spans="1:20" x14ac:dyDescent="0.25">
      <c r="A8" s="261">
        <v>7</v>
      </c>
      <c r="B8" s="262" t="s">
        <v>16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1">
        <v>0</v>
      </c>
      <c r="T8">
        <f t="shared" si="0"/>
        <v>0</v>
      </c>
    </row>
    <row r="9" spans="1:20" x14ac:dyDescent="0.25">
      <c r="A9" s="261">
        <v>8</v>
      </c>
      <c r="B9" s="262" t="s">
        <v>4</v>
      </c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1">
        <v>0</v>
      </c>
      <c r="T9">
        <f t="shared" si="0"/>
        <v>0</v>
      </c>
    </row>
    <row r="10" spans="1:20" x14ac:dyDescent="0.25">
      <c r="A10" s="261">
        <v>9</v>
      </c>
      <c r="B10" s="262" t="s">
        <v>5</v>
      </c>
      <c r="C10" s="262"/>
      <c r="D10" s="262"/>
      <c r="E10" s="262" t="s">
        <v>26</v>
      </c>
      <c r="F10" s="262" t="s">
        <v>26</v>
      </c>
      <c r="G10" s="262"/>
      <c r="H10" s="262"/>
      <c r="I10" s="262"/>
      <c r="J10" s="262"/>
      <c r="K10" s="262" t="s">
        <v>26</v>
      </c>
      <c r="L10" s="262" t="s">
        <v>26</v>
      </c>
      <c r="M10" s="262" t="s">
        <v>26</v>
      </c>
      <c r="N10" s="262" t="s">
        <v>84</v>
      </c>
      <c r="O10" s="262"/>
      <c r="P10" s="262"/>
      <c r="Q10" s="262"/>
      <c r="R10" s="263">
        <v>61</v>
      </c>
      <c r="T10">
        <f t="shared" si="0"/>
        <v>61</v>
      </c>
    </row>
    <row r="11" spans="1:20" x14ac:dyDescent="0.25">
      <c r="A11" s="261">
        <v>10</v>
      </c>
      <c r="B11" s="262" t="s">
        <v>38</v>
      </c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1">
        <v>0</v>
      </c>
      <c r="T11">
        <f t="shared" si="0"/>
        <v>0</v>
      </c>
    </row>
    <row r="12" spans="1:20" x14ac:dyDescent="0.25">
      <c r="A12" s="261">
        <v>11</v>
      </c>
      <c r="B12" s="262" t="s">
        <v>43</v>
      </c>
      <c r="C12" s="262"/>
      <c r="D12" s="262"/>
      <c r="E12" s="262" t="s">
        <v>26</v>
      </c>
      <c r="F12" s="262" t="s">
        <v>26</v>
      </c>
      <c r="G12" s="262"/>
      <c r="H12" s="262"/>
      <c r="I12" s="262"/>
      <c r="J12" s="262" t="s">
        <v>26</v>
      </c>
      <c r="K12" s="262" t="s">
        <v>26</v>
      </c>
      <c r="L12" s="262" t="s">
        <v>26</v>
      </c>
      <c r="M12" s="262"/>
      <c r="N12" s="262"/>
      <c r="O12" s="262"/>
      <c r="P12" s="262"/>
      <c r="Q12" s="262"/>
      <c r="R12" s="263">
        <v>55</v>
      </c>
      <c r="T12">
        <f t="shared" si="0"/>
        <v>55</v>
      </c>
    </row>
    <row r="13" spans="1:20" x14ac:dyDescent="0.25">
      <c r="A13" s="261">
        <v>12</v>
      </c>
      <c r="B13" s="262" t="s">
        <v>639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1">
        <v>0</v>
      </c>
      <c r="T13">
        <f t="shared" si="0"/>
        <v>0</v>
      </c>
    </row>
    <row r="14" spans="1:20" x14ac:dyDescent="0.25">
      <c r="A14" s="261">
        <v>13</v>
      </c>
      <c r="B14" s="262" t="s">
        <v>87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1">
        <v>0</v>
      </c>
      <c r="T14">
        <f t="shared" si="0"/>
        <v>0</v>
      </c>
    </row>
    <row r="15" spans="1:20" x14ac:dyDescent="0.25">
      <c r="A15" s="261">
        <v>14</v>
      </c>
      <c r="B15" s="262" t="s">
        <v>95</v>
      </c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1">
        <v>0</v>
      </c>
      <c r="T15">
        <f t="shared" si="0"/>
        <v>0</v>
      </c>
    </row>
    <row r="16" spans="1:20" x14ac:dyDescent="0.25">
      <c r="A16" s="261">
        <v>15</v>
      </c>
      <c r="B16" s="262" t="s">
        <v>96</v>
      </c>
      <c r="C16" s="262"/>
      <c r="D16" s="262"/>
      <c r="E16" s="262" t="s">
        <v>26</v>
      </c>
      <c r="F16" s="262" t="s">
        <v>26</v>
      </c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3">
        <v>22</v>
      </c>
      <c r="T16">
        <f t="shared" si="0"/>
        <v>22</v>
      </c>
    </row>
    <row r="17" spans="1:20" x14ac:dyDescent="0.25">
      <c r="A17" s="261">
        <v>16</v>
      </c>
      <c r="B17" s="262" t="s">
        <v>97</v>
      </c>
      <c r="C17" s="262"/>
      <c r="D17" s="262"/>
      <c r="E17" s="262"/>
      <c r="F17" s="262"/>
      <c r="G17" s="262"/>
      <c r="H17" s="262"/>
      <c r="I17" s="262"/>
      <c r="J17" s="262" t="s">
        <v>25</v>
      </c>
      <c r="K17" s="262"/>
      <c r="L17" s="262"/>
      <c r="M17" s="262"/>
      <c r="N17" s="262"/>
      <c r="O17" s="262"/>
      <c r="P17" s="262"/>
      <c r="Q17" s="262"/>
      <c r="R17" s="263">
        <v>9</v>
      </c>
      <c r="T17">
        <f t="shared" si="0"/>
        <v>9</v>
      </c>
    </row>
    <row r="18" spans="1:20" x14ac:dyDescent="0.25">
      <c r="A18" s="261">
        <v>17</v>
      </c>
      <c r="B18" s="262" t="s">
        <v>98</v>
      </c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1">
        <v>0</v>
      </c>
      <c r="T18">
        <f t="shared" si="0"/>
        <v>0</v>
      </c>
    </row>
    <row r="19" spans="1:20" x14ac:dyDescent="0.25">
      <c r="A19" s="261">
        <v>18</v>
      </c>
      <c r="B19" s="262" t="s">
        <v>616</v>
      </c>
      <c r="C19" s="262"/>
      <c r="D19" s="262"/>
      <c r="E19" s="262" t="s">
        <v>26</v>
      </c>
      <c r="F19" s="262"/>
      <c r="G19" s="262"/>
      <c r="H19" s="262"/>
      <c r="I19" s="262"/>
      <c r="J19" s="262" t="s">
        <v>63</v>
      </c>
      <c r="K19" s="262" t="s">
        <v>26</v>
      </c>
      <c r="L19" s="262"/>
      <c r="M19" s="262"/>
      <c r="N19" s="262"/>
      <c r="O19" s="262"/>
      <c r="P19" s="262"/>
      <c r="Q19" s="262"/>
      <c r="R19" s="263">
        <v>26</v>
      </c>
      <c r="T19">
        <f t="shared" si="0"/>
        <v>26</v>
      </c>
    </row>
    <row r="20" spans="1:20" x14ac:dyDescent="0.25">
      <c r="A20" s="261">
        <v>19</v>
      </c>
      <c r="B20" s="262" t="s">
        <v>617</v>
      </c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1">
        <v>0</v>
      </c>
      <c r="T20">
        <f t="shared" si="0"/>
        <v>0</v>
      </c>
    </row>
    <row r="21" spans="1:20" x14ac:dyDescent="0.25">
      <c r="A21" s="261">
        <v>20</v>
      </c>
      <c r="B21" s="262" t="s">
        <v>626</v>
      </c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1">
        <v>0</v>
      </c>
      <c r="T21">
        <f t="shared" si="0"/>
        <v>0</v>
      </c>
    </row>
    <row r="22" spans="1:20" x14ac:dyDescent="0.25">
      <c r="A22" s="261">
        <v>21</v>
      </c>
      <c r="B22" s="262" t="s">
        <v>618</v>
      </c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1">
        <v>0</v>
      </c>
      <c r="T22">
        <f t="shared" si="0"/>
        <v>0</v>
      </c>
    </row>
    <row r="23" spans="1:20" x14ac:dyDescent="0.25">
      <c r="A23" s="261">
        <v>22</v>
      </c>
      <c r="B23" s="262" t="s">
        <v>619</v>
      </c>
      <c r="C23" s="262"/>
      <c r="D23" s="262"/>
      <c r="E23" s="262" t="s">
        <v>26</v>
      </c>
      <c r="F23" s="262" t="s">
        <v>26</v>
      </c>
      <c r="G23" s="262"/>
      <c r="H23" s="262"/>
      <c r="I23" s="262"/>
      <c r="J23" s="262"/>
      <c r="K23" s="262" t="s">
        <v>26</v>
      </c>
      <c r="L23" s="262"/>
      <c r="M23" s="262" t="s">
        <v>26</v>
      </c>
      <c r="N23" s="262" t="s">
        <v>84</v>
      </c>
      <c r="O23" s="262"/>
      <c r="P23" s="262"/>
      <c r="Q23" s="262"/>
      <c r="R23" s="263">
        <v>50</v>
      </c>
      <c r="T23">
        <f t="shared" si="0"/>
        <v>50</v>
      </c>
    </row>
    <row r="24" spans="1:20" x14ac:dyDescent="0.25">
      <c r="A24" s="261">
        <v>23</v>
      </c>
      <c r="B24" s="262" t="s">
        <v>620</v>
      </c>
      <c r="C24" s="262"/>
      <c r="D24" s="262"/>
      <c r="E24" s="262"/>
      <c r="F24" s="262"/>
      <c r="G24" s="262"/>
      <c r="H24" s="262"/>
      <c r="I24" s="262"/>
      <c r="J24" s="262" t="s">
        <v>26</v>
      </c>
      <c r="K24" s="262" t="s">
        <v>26</v>
      </c>
      <c r="L24" s="262"/>
      <c r="M24" s="262"/>
      <c r="N24" s="262"/>
      <c r="O24" s="262"/>
      <c r="P24" s="262"/>
      <c r="Q24" s="262"/>
      <c r="R24" s="263">
        <v>22</v>
      </c>
      <c r="T24">
        <f t="shared" si="0"/>
        <v>22</v>
      </c>
    </row>
    <row r="25" spans="1:20" x14ac:dyDescent="0.25">
      <c r="A25" s="261">
        <v>24</v>
      </c>
      <c r="B25" s="262" t="s">
        <v>650</v>
      </c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1">
        <v>0</v>
      </c>
      <c r="T25">
        <f t="shared" si="0"/>
        <v>0</v>
      </c>
    </row>
    <row r="26" spans="1:20" x14ac:dyDescent="0.25">
      <c r="A26" s="261">
        <v>25</v>
      </c>
      <c r="B26" s="262" t="s">
        <v>621</v>
      </c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1">
        <v>0</v>
      </c>
      <c r="T26">
        <f t="shared" si="0"/>
        <v>0</v>
      </c>
    </row>
    <row r="27" spans="1:20" x14ac:dyDescent="0.25">
      <c r="A27" s="261">
        <v>26</v>
      </c>
      <c r="B27" s="262" t="s">
        <v>622</v>
      </c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1">
        <v>0</v>
      </c>
      <c r="T27">
        <f t="shared" si="0"/>
        <v>0</v>
      </c>
    </row>
    <row r="28" spans="1:20" x14ac:dyDescent="0.25">
      <c r="A28" s="261">
        <v>27</v>
      </c>
      <c r="B28" s="262" t="s">
        <v>623</v>
      </c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1">
        <v>0</v>
      </c>
      <c r="T28">
        <f t="shared" si="0"/>
        <v>0</v>
      </c>
    </row>
    <row r="29" spans="1:20" x14ac:dyDescent="0.25">
      <c r="A29" s="261">
        <v>28</v>
      </c>
      <c r="B29" s="262" t="s">
        <v>624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1">
        <v>0</v>
      </c>
      <c r="T29">
        <f t="shared" si="0"/>
        <v>0</v>
      </c>
    </row>
    <row r="30" spans="1:20" x14ac:dyDescent="0.25">
      <c r="A30" s="261">
        <v>29</v>
      </c>
      <c r="B30" s="262" t="s">
        <v>627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1">
        <v>0</v>
      </c>
      <c r="T30">
        <f t="shared" si="0"/>
        <v>0</v>
      </c>
    </row>
    <row r="31" spans="1:20" x14ac:dyDescent="0.25">
      <c r="A31" s="261">
        <v>30</v>
      </c>
      <c r="B31" s="262" t="s">
        <v>625</v>
      </c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1">
        <v>0</v>
      </c>
      <c r="T31">
        <f t="shared" si="0"/>
        <v>0</v>
      </c>
    </row>
    <row r="32" spans="1:20" x14ac:dyDescent="0.25">
      <c r="A32" s="261">
        <v>31</v>
      </c>
      <c r="B32" s="262" t="s">
        <v>34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1">
        <v>0</v>
      </c>
      <c r="T32">
        <f t="shared" si="0"/>
        <v>0</v>
      </c>
    </row>
    <row r="33" spans="1:20" x14ac:dyDescent="0.25">
      <c r="A33" s="261">
        <v>32</v>
      </c>
      <c r="B33" s="262" t="s">
        <v>45</v>
      </c>
      <c r="C33" s="262"/>
      <c r="D33" s="262"/>
      <c r="E33" s="262" t="s">
        <v>26</v>
      </c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3">
        <v>11</v>
      </c>
      <c r="T33">
        <f t="shared" si="0"/>
        <v>11</v>
      </c>
    </row>
    <row r="34" spans="1:20" x14ac:dyDescent="0.25">
      <c r="A34" s="261">
        <v>33</v>
      </c>
      <c r="B34" s="262" t="s">
        <v>630</v>
      </c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1">
        <v>0</v>
      </c>
      <c r="T34">
        <f t="shared" si="0"/>
        <v>0</v>
      </c>
    </row>
    <row r="35" spans="1:20" x14ac:dyDescent="0.25">
      <c r="A35" s="261">
        <v>34</v>
      </c>
      <c r="B35" s="262" t="s">
        <v>628</v>
      </c>
      <c r="C35" s="262"/>
      <c r="D35" s="262"/>
      <c r="E35" s="262"/>
      <c r="F35" s="262" t="s">
        <v>26</v>
      </c>
      <c r="G35" s="262"/>
      <c r="H35" s="262"/>
      <c r="I35" s="262"/>
      <c r="J35" s="262"/>
      <c r="K35" s="262" t="s">
        <v>64</v>
      </c>
      <c r="L35" s="262" t="s">
        <v>26</v>
      </c>
      <c r="M35" s="262" t="s">
        <v>64</v>
      </c>
      <c r="N35" s="262" t="s">
        <v>84</v>
      </c>
      <c r="O35" s="262"/>
      <c r="P35" s="262"/>
      <c r="Q35" s="262" t="s">
        <v>26</v>
      </c>
      <c r="R35" s="263">
        <v>59</v>
      </c>
      <c r="T35">
        <f t="shared" si="0"/>
        <v>59</v>
      </c>
    </row>
    <row r="36" spans="1:20" x14ac:dyDescent="0.25">
      <c r="A36" s="261">
        <v>35</v>
      </c>
      <c r="B36" s="262" t="s">
        <v>629</v>
      </c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1">
        <v>0</v>
      </c>
      <c r="T36">
        <f t="shared" si="0"/>
        <v>0</v>
      </c>
    </row>
    <row r="37" spans="1:20" x14ac:dyDescent="0.25">
      <c r="A37" s="261">
        <v>36</v>
      </c>
      <c r="B37" s="262" t="s">
        <v>631</v>
      </c>
      <c r="C37" s="262" t="s">
        <v>26</v>
      </c>
      <c r="D37" s="262"/>
      <c r="E37" s="262" t="s">
        <v>26</v>
      </c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3">
        <v>22</v>
      </c>
      <c r="T37">
        <f t="shared" si="0"/>
        <v>22</v>
      </c>
    </row>
    <row r="38" spans="1:20" x14ac:dyDescent="0.25">
      <c r="A38" s="261">
        <v>37</v>
      </c>
      <c r="B38" s="262" t="s">
        <v>632</v>
      </c>
      <c r="C38" s="262"/>
      <c r="D38" s="262"/>
      <c r="E38" s="262"/>
      <c r="F38" s="262"/>
      <c r="G38" s="262"/>
      <c r="H38" s="262"/>
      <c r="I38" s="262"/>
      <c r="J38" s="262" t="s">
        <v>85</v>
      </c>
      <c r="K38" s="262" t="s">
        <v>26</v>
      </c>
      <c r="L38" s="262" t="s">
        <v>26</v>
      </c>
      <c r="M38" s="262" t="s">
        <v>64</v>
      </c>
      <c r="N38" s="262"/>
      <c r="O38" s="262"/>
      <c r="P38" s="262"/>
      <c r="Q38" s="262"/>
      <c r="R38" s="263">
        <v>39</v>
      </c>
      <c r="T38">
        <f t="shared" si="0"/>
        <v>39</v>
      </c>
    </row>
    <row r="39" spans="1:20" x14ac:dyDescent="0.25">
      <c r="A39" s="261">
        <v>38</v>
      </c>
      <c r="B39" s="262" t="s">
        <v>633</v>
      </c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1">
        <v>0</v>
      </c>
      <c r="T39">
        <f t="shared" si="0"/>
        <v>0</v>
      </c>
    </row>
    <row r="40" spans="1:20" x14ac:dyDescent="0.25">
      <c r="A40" s="261">
        <v>39</v>
      </c>
      <c r="B40" s="262" t="s">
        <v>634</v>
      </c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1">
        <v>0</v>
      </c>
      <c r="T40">
        <f t="shared" si="0"/>
        <v>0</v>
      </c>
    </row>
    <row r="41" spans="1:20" x14ac:dyDescent="0.25">
      <c r="A41" s="261">
        <v>40</v>
      </c>
      <c r="B41" s="262" t="s">
        <v>636</v>
      </c>
      <c r="C41" s="262"/>
      <c r="D41" s="262"/>
      <c r="E41" s="262" t="s">
        <v>26</v>
      </c>
      <c r="F41" s="262"/>
      <c r="G41" s="262"/>
      <c r="H41" s="262"/>
      <c r="I41" s="262"/>
      <c r="J41" s="262" t="s">
        <v>26</v>
      </c>
      <c r="K41" s="262"/>
      <c r="L41" s="262" t="s">
        <v>26</v>
      </c>
      <c r="M41" s="262"/>
      <c r="N41" s="262"/>
      <c r="O41" s="262"/>
      <c r="P41" s="262"/>
      <c r="Q41" s="262"/>
      <c r="R41" s="263">
        <v>33</v>
      </c>
      <c r="T41">
        <f t="shared" si="0"/>
        <v>33</v>
      </c>
    </row>
    <row r="42" spans="1:20" x14ac:dyDescent="0.25">
      <c r="A42" s="261">
        <v>41</v>
      </c>
      <c r="B42" s="262" t="s">
        <v>637</v>
      </c>
      <c r="C42" s="262"/>
      <c r="D42" s="262" t="s">
        <v>26</v>
      </c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3">
        <v>11</v>
      </c>
      <c r="T42">
        <f t="shared" si="0"/>
        <v>11</v>
      </c>
    </row>
    <row r="43" spans="1:20" x14ac:dyDescent="0.25">
      <c r="A43" s="261">
        <v>42</v>
      </c>
      <c r="B43" s="262" t="s">
        <v>640</v>
      </c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1">
        <v>0</v>
      </c>
      <c r="T43">
        <f t="shared" si="0"/>
        <v>0</v>
      </c>
    </row>
    <row r="44" spans="1:20" x14ac:dyDescent="0.25">
      <c r="A44" s="261">
        <v>43</v>
      </c>
      <c r="B44" s="262" t="s">
        <v>638</v>
      </c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1">
        <v>0</v>
      </c>
      <c r="T44">
        <f t="shared" si="0"/>
        <v>0</v>
      </c>
    </row>
    <row r="45" spans="1:20" x14ac:dyDescent="0.25">
      <c r="A45" s="261">
        <v>44</v>
      </c>
      <c r="B45" s="262" t="s">
        <v>635</v>
      </c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1">
        <v>0</v>
      </c>
      <c r="T45">
        <f t="shared" si="0"/>
        <v>0</v>
      </c>
    </row>
    <row r="46" spans="1:20" x14ac:dyDescent="0.25">
      <c r="A46" s="261">
        <v>45</v>
      </c>
      <c r="B46" s="262" t="s">
        <v>641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1">
        <v>0</v>
      </c>
      <c r="T46">
        <f t="shared" si="0"/>
        <v>0</v>
      </c>
    </row>
    <row r="47" spans="1:20" x14ac:dyDescent="0.25">
      <c r="A47" s="261">
        <v>46</v>
      </c>
      <c r="B47" s="262" t="s">
        <v>649</v>
      </c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1">
        <v>0</v>
      </c>
      <c r="T47">
        <f t="shared" si="0"/>
        <v>0</v>
      </c>
    </row>
    <row r="48" spans="1:20" x14ac:dyDescent="0.25">
      <c r="A48" s="261">
        <v>47</v>
      </c>
      <c r="B48" s="262" t="s">
        <v>642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1">
        <v>0</v>
      </c>
      <c r="T48">
        <f t="shared" si="0"/>
        <v>0</v>
      </c>
    </row>
    <row r="49" spans="1:20" x14ac:dyDescent="0.25">
      <c r="A49" s="261">
        <v>48</v>
      </c>
      <c r="B49" s="262" t="s">
        <v>643</v>
      </c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1">
        <v>0</v>
      </c>
      <c r="T49">
        <f t="shared" si="0"/>
        <v>0</v>
      </c>
    </row>
    <row r="50" spans="1:20" x14ac:dyDescent="0.25">
      <c r="A50" s="261">
        <v>49</v>
      </c>
      <c r="B50" s="262" t="s">
        <v>644</v>
      </c>
      <c r="C50" s="262"/>
      <c r="D50" s="262"/>
      <c r="E50" s="262"/>
      <c r="F50" s="262"/>
      <c r="G50" s="262"/>
      <c r="H50" s="262"/>
      <c r="I50" s="262"/>
      <c r="J50" s="262"/>
      <c r="K50" s="262" t="s">
        <v>63</v>
      </c>
      <c r="L50" s="262" t="s">
        <v>26</v>
      </c>
      <c r="M50" s="262"/>
      <c r="N50" s="262"/>
      <c r="O50" s="262"/>
      <c r="P50" s="262"/>
      <c r="Q50" s="262"/>
      <c r="R50" s="263">
        <v>15</v>
      </c>
      <c r="T50">
        <f t="shared" si="0"/>
        <v>15</v>
      </c>
    </row>
    <row r="51" spans="1:20" x14ac:dyDescent="0.25">
      <c r="A51" s="261">
        <v>50</v>
      </c>
      <c r="B51" s="262" t="s">
        <v>646</v>
      </c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1">
        <v>0</v>
      </c>
      <c r="T51">
        <f t="shared" si="0"/>
        <v>0</v>
      </c>
    </row>
    <row r="52" spans="1:20" x14ac:dyDescent="0.25">
      <c r="A52" s="261">
        <v>51</v>
      </c>
      <c r="B52" s="262" t="s">
        <v>647</v>
      </c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1">
        <v>0</v>
      </c>
      <c r="T52">
        <f t="shared" si="0"/>
        <v>0</v>
      </c>
    </row>
    <row r="53" spans="1:20" x14ac:dyDescent="0.25">
      <c r="A53" s="261">
        <v>52</v>
      </c>
      <c r="B53" s="262" t="s">
        <v>652</v>
      </c>
      <c r="C53" s="262"/>
      <c r="D53" s="262" t="s">
        <v>65</v>
      </c>
      <c r="E53" s="262"/>
      <c r="F53" s="262"/>
      <c r="G53" s="262"/>
      <c r="H53" s="262"/>
      <c r="I53" s="262"/>
      <c r="J53" s="262" t="s">
        <v>65</v>
      </c>
      <c r="K53" s="262"/>
      <c r="L53" s="262"/>
      <c r="M53" s="262"/>
      <c r="N53" s="262"/>
      <c r="O53" s="262"/>
      <c r="P53" s="262"/>
      <c r="Q53" s="262"/>
      <c r="R53" s="263">
        <v>24</v>
      </c>
      <c r="T53">
        <f t="shared" si="0"/>
        <v>24</v>
      </c>
    </row>
    <row r="54" spans="1:20" x14ac:dyDescent="0.25">
      <c r="A54" s="261">
        <v>53</v>
      </c>
      <c r="B54" s="262" t="s">
        <v>653</v>
      </c>
      <c r="C54" s="262" t="s">
        <v>26</v>
      </c>
      <c r="D54" s="262"/>
      <c r="E54" s="262" t="s">
        <v>26</v>
      </c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3">
        <v>22</v>
      </c>
      <c r="T54">
        <f t="shared" si="0"/>
        <v>22</v>
      </c>
    </row>
    <row r="55" spans="1:20" x14ac:dyDescent="0.25">
      <c r="A55" s="261">
        <v>54</v>
      </c>
      <c r="B55" s="262" t="s">
        <v>654</v>
      </c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1">
        <v>0</v>
      </c>
      <c r="T55">
        <f t="shared" si="0"/>
        <v>0</v>
      </c>
    </row>
    <row r="56" spans="1:20" x14ac:dyDescent="0.25">
      <c r="A56" s="261">
        <v>55</v>
      </c>
      <c r="B56" s="262" t="s">
        <v>655</v>
      </c>
      <c r="C56" s="262"/>
      <c r="D56" s="262"/>
      <c r="E56" s="262"/>
      <c r="F56" s="262"/>
      <c r="G56" s="262"/>
      <c r="H56" s="262"/>
      <c r="I56" s="262"/>
      <c r="J56" s="262" t="s">
        <v>26</v>
      </c>
      <c r="K56" s="262"/>
      <c r="L56" s="262"/>
      <c r="M56" s="262"/>
      <c r="N56" s="262"/>
      <c r="O56" s="262"/>
      <c r="P56" s="262"/>
      <c r="Q56" s="262"/>
      <c r="R56" s="263">
        <v>11</v>
      </c>
      <c r="T56">
        <f t="shared" si="0"/>
        <v>11</v>
      </c>
    </row>
    <row r="57" spans="1:20" x14ac:dyDescent="0.25">
      <c r="A57" s="261">
        <v>56</v>
      </c>
      <c r="B57" s="262" t="s">
        <v>656</v>
      </c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1">
        <v>0</v>
      </c>
      <c r="T57">
        <f t="shared" si="0"/>
        <v>0</v>
      </c>
    </row>
    <row r="58" spans="1:20" x14ac:dyDescent="0.25">
      <c r="A58" s="261">
        <v>57</v>
      </c>
      <c r="B58" s="262" t="s">
        <v>657</v>
      </c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1">
        <v>0</v>
      </c>
      <c r="T58">
        <f t="shared" si="0"/>
        <v>0</v>
      </c>
    </row>
    <row r="59" spans="1:20" x14ac:dyDescent="0.25">
      <c r="A59" s="261">
        <v>58</v>
      </c>
      <c r="B59" s="262" t="s">
        <v>658</v>
      </c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1">
        <v>0</v>
      </c>
      <c r="T59">
        <f t="shared" si="0"/>
        <v>0</v>
      </c>
    </row>
    <row r="60" spans="1:20" x14ac:dyDescent="0.25">
      <c r="A60" s="261">
        <v>59</v>
      </c>
      <c r="B60" s="262" t="s">
        <v>659</v>
      </c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1">
        <v>0</v>
      </c>
      <c r="T60">
        <f t="shared" si="0"/>
        <v>0</v>
      </c>
    </row>
    <row r="61" spans="1:20" x14ac:dyDescent="0.25">
      <c r="A61" s="261">
        <v>60</v>
      </c>
      <c r="B61" s="262" t="s">
        <v>660</v>
      </c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1">
        <v>0</v>
      </c>
      <c r="T61">
        <f t="shared" si="0"/>
        <v>0</v>
      </c>
    </row>
    <row r="62" spans="1:20" x14ac:dyDescent="0.25">
      <c r="A62" s="261">
        <v>61</v>
      </c>
      <c r="B62" s="262" t="s">
        <v>661</v>
      </c>
      <c r="C62" s="262"/>
      <c r="D62" s="262"/>
      <c r="E62" s="262"/>
      <c r="F62" s="262"/>
      <c r="G62" s="262"/>
      <c r="H62" s="262"/>
      <c r="I62" s="262"/>
      <c r="J62" s="262" t="s">
        <v>26</v>
      </c>
      <c r="K62" s="262"/>
      <c r="L62" s="262"/>
      <c r="M62" s="262"/>
      <c r="N62" s="262"/>
      <c r="O62" s="262"/>
      <c r="P62" s="262"/>
      <c r="Q62" s="262"/>
      <c r="R62" s="263">
        <v>11</v>
      </c>
      <c r="T62">
        <f t="shared" si="0"/>
        <v>11</v>
      </c>
    </row>
    <row r="63" spans="1:20" x14ac:dyDescent="0.25">
      <c r="A63" s="261">
        <v>62</v>
      </c>
      <c r="B63" s="262" t="s">
        <v>662</v>
      </c>
      <c r="C63" s="262"/>
      <c r="D63" s="262"/>
      <c r="E63" s="262"/>
      <c r="F63" s="262" t="s">
        <v>26</v>
      </c>
      <c r="G63" s="262"/>
      <c r="H63" s="262"/>
      <c r="I63" s="262"/>
      <c r="J63" s="262" t="s">
        <v>26</v>
      </c>
      <c r="K63" s="262" t="s">
        <v>26</v>
      </c>
      <c r="L63" s="262" t="s">
        <v>26</v>
      </c>
      <c r="M63" s="262"/>
      <c r="N63" s="262"/>
      <c r="O63" s="262"/>
      <c r="P63" s="262"/>
      <c r="Q63" s="262"/>
      <c r="R63" s="263">
        <v>44</v>
      </c>
      <c r="T63">
        <f t="shared" si="0"/>
        <v>44</v>
      </c>
    </row>
    <row r="64" spans="1:20" x14ac:dyDescent="0.25">
      <c r="A64" s="261">
        <v>63</v>
      </c>
      <c r="B64" s="262" t="s">
        <v>668</v>
      </c>
      <c r="C64" s="262"/>
      <c r="D64" s="262"/>
      <c r="E64" s="262"/>
      <c r="F64" s="262"/>
      <c r="G64" s="262"/>
      <c r="H64" s="262"/>
      <c r="I64" s="262"/>
      <c r="J64" s="262"/>
      <c r="K64" s="262"/>
      <c r="L64" s="262" t="s">
        <v>26</v>
      </c>
      <c r="M64" s="262"/>
      <c r="N64" s="262"/>
      <c r="O64" s="262"/>
      <c r="P64" s="262"/>
      <c r="Q64" s="262"/>
      <c r="R64" s="263">
        <v>11</v>
      </c>
      <c r="T64">
        <f t="shared" si="0"/>
        <v>11</v>
      </c>
    </row>
    <row r="65" spans="1:18" x14ac:dyDescent="0.25">
      <c r="A65" s="260"/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4">
        <v>646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5"/>
  <sheetViews>
    <sheetView zoomScale="85" zoomScaleNormal="85" workbookViewId="0">
      <selection activeCell="B20" sqref="B20"/>
    </sheetView>
  </sheetViews>
  <sheetFormatPr defaultRowHeight="15" x14ac:dyDescent="0.25"/>
  <sheetData>
    <row r="1" spans="1:20" x14ac:dyDescent="0.25">
      <c r="A1" s="265" t="s">
        <v>1</v>
      </c>
      <c r="B1" s="265" t="s">
        <v>6</v>
      </c>
      <c r="C1" s="265" t="s">
        <v>46</v>
      </c>
      <c r="D1" s="265" t="s">
        <v>47</v>
      </c>
      <c r="E1" s="265" t="s">
        <v>48</v>
      </c>
      <c r="F1" s="265" t="s">
        <v>49</v>
      </c>
      <c r="G1" s="265" t="s">
        <v>50</v>
      </c>
      <c r="H1" s="265" t="s">
        <v>51</v>
      </c>
      <c r="I1" s="265" t="s">
        <v>52</v>
      </c>
      <c r="J1" s="265" t="s">
        <v>53</v>
      </c>
      <c r="K1" s="265" t="s">
        <v>54</v>
      </c>
      <c r="L1" s="265" t="s">
        <v>55</v>
      </c>
      <c r="M1" s="265" t="s">
        <v>56</v>
      </c>
      <c r="N1" s="265" t="s">
        <v>57</v>
      </c>
      <c r="O1" s="265" t="s">
        <v>58</v>
      </c>
      <c r="P1" s="265" t="s">
        <v>59</v>
      </c>
      <c r="Q1" s="265" t="s">
        <v>667</v>
      </c>
      <c r="R1" s="265" t="s">
        <v>2</v>
      </c>
    </row>
    <row r="2" spans="1:20" x14ac:dyDescent="0.25">
      <c r="A2" s="266">
        <v>1</v>
      </c>
      <c r="B2" s="267" t="s">
        <v>10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6">
        <v>0</v>
      </c>
      <c r="T2">
        <f t="shared" ref="T2:T64" si="0">C2+D2+E2+F2+G2+H2+I2+J2+K2+L2+M2+N2+O2+P2+Q2</f>
        <v>0</v>
      </c>
    </row>
    <row r="3" spans="1:20" x14ac:dyDescent="0.25">
      <c r="A3" s="266">
        <v>2</v>
      </c>
      <c r="B3" s="267" t="s">
        <v>11</v>
      </c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6">
        <v>0</v>
      </c>
      <c r="T3">
        <f t="shared" si="0"/>
        <v>0</v>
      </c>
    </row>
    <row r="4" spans="1:20" x14ac:dyDescent="0.25">
      <c r="A4" s="266">
        <v>3</v>
      </c>
      <c r="B4" s="267" t="s">
        <v>12</v>
      </c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6">
        <v>0</v>
      </c>
      <c r="T4">
        <f t="shared" si="0"/>
        <v>0</v>
      </c>
    </row>
    <row r="5" spans="1:20" x14ac:dyDescent="0.25">
      <c r="A5" s="266">
        <v>4</v>
      </c>
      <c r="B5" s="267" t="s">
        <v>651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 t="s">
        <v>26</v>
      </c>
      <c r="N5" s="267"/>
      <c r="O5" s="267"/>
      <c r="P5" s="267"/>
      <c r="Q5" s="267"/>
      <c r="R5" s="268">
        <v>11</v>
      </c>
      <c r="T5">
        <f t="shared" si="0"/>
        <v>11</v>
      </c>
    </row>
    <row r="6" spans="1:20" x14ac:dyDescent="0.25">
      <c r="A6" s="266">
        <v>5</v>
      </c>
      <c r="B6" s="267" t="s">
        <v>14</v>
      </c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 t="s">
        <v>26</v>
      </c>
      <c r="N6" s="267" t="s">
        <v>84</v>
      </c>
      <c r="O6" s="267"/>
      <c r="P6" s="267"/>
      <c r="Q6" s="267"/>
      <c r="R6" s="268">
        <v>17</v>
      </c>
      <c r="T6">
        <f t="shared" si="0"/>
        <v>17</v>
      </c>
    </row>
    <row r="7" spans="1:20" x14ac:dyDescent="0.25">
      <c r="A7" s="266">
        <v>6</v>
      </c>
      <c r="B7" s="267" t="s">
        <v>15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6">
        <v>0</v>
      </c>
      <c r="T7">
        <f t="shared" si="0"/>
        <v>0</v>
      </c>
    </row>
    <row r="8" spans="1:20" x14ac:dyDescent="0.25">
      <c r="A8" s="266">
        <v>7</v>
      </c>
      <c r="B8" s="267" t="s">
        <v>16</v>
      </c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6">
        <v>0</v>
      </c>
      <c r="T8">
        <f t="shared" si="0"/>
        <v>0</v>
      </c>
    </row>
    <row r="9" spans="1:20" x14ac:dyDescent="0.25">
      <c r="A9" s="266">
        <v>8</v>
      </c>
      <c r="B9" s="267" t="s">
        <v>4</v>
      </c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6">
        <v>0</v>
      </c>
      <c r="T9">
        <f t="shared" si="0"/>
        <v>0</v>
      </c>
    </row>
    <row r="10" spans="1:20" x14ac:dyDescent="0.25">
      <c r="A10" s="266">
        <v>9</v>
      </c>
      <c r="B10" s="267" t="s">
        <v>5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6">
        <v>0</v>
      </c>
      <c r="T10">
        <f t="shared" si="0"/>
        <v>0</v>
      </c>
    </row>
    <row r="11" spans="1:20" x14ac:dyDescent="0.25">
      <c r="A11" s="266">
        <v>10</v>
      </c>
      <c r="B11" s="267" t="s">
        <v>38</v>
      </c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6">
        <v>0</v>
      </c>
      <c r="T11">
        <f t="shared" si="0"/>
        <v>0</v>
      </c>
    </row>
    <row r="12" spans="1:20" x14ac:dyDescent="0.25">
      <c r="A12" s="266">
        <v>11</v>
      </c>
      <c r="B12" s="267" t="s">
        <v>43</v>
      </c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 t="s">
        <v>64</v>
      </c>
      <c r="N12" s="267" t="s">
        <v>84</v>
      </c>
      <c r="O12" s="267"/>
      <c r="P12" s="267"/>
      <c r="Q12" s="267"/>
      <c r="R12" s="268">
        <v>16</v>
      </c>
      <c r="T12">
        <f t="shared" si="0"/>
        <v>16</v>
      </c>
    </row>
    <row r="13" spans="1:20" x14ac:dyDescent="0.25">
      <c r="A13" s="266">
        <v>12</v>
      </c>
      <c r="B13" s="267" t="s">
        <v>639</v>
      </c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6">
        <v>0</v>
      </c>
      <c r="T13">
        <f t="shared" si="0"/>
        <v>0</v>
      </c>
    </row>
    <row r="14" spans="1:20" x14ac:dyDescent="0.25">
      <c r="A14" s="266">
        <v>13</v>
      </c>
      <c r="B14" s="267" t="s">
        <v>87</v>
      </c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6">
        <v>0</v>
      </c>
      <c r="T14">
        <f t="shared" si="0"/>
        <v>0</v>
      </c>
    </row>
    <row r="15" spans="1:20" x14ac:dyDescent="0.25">
      <c r="A15" s="266">
        <v>14</v>
      </c>
      <c r="B15" s="267" t="s">
        <v>95</v>
      </c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6">
        <v>0</v>
      </c>
      <c r="T15">
        <f t="shared" si="0"/>
        <v>0</v>
      </c>
    </row>
    <row r="16" spans="1:20" x14ac:dyDescent="0.25">
      <c r="A16" s="266">
        <v>15</v>
      </c>
      <c r="B16" s="267" t="s">
        <v>96</v>
      </c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 t="s">
        <v>26</v>
      </c>
      <c r="N16" s="267" t="s">
        <v>84</v>
      </c>
      <c r="O16" s="267"/>
      <c r="P16" s="267"/>
      <c r="Q16" s="267"/>
      <c r="R16" s="268">
        <v>17</v>
      </c>
      <c r="T16">
        <f t="shared" si="0"/>
        <v>17</v>
      </c>
    </row>
    <row r="17" spans="1:20" x14ac:dyDescent="0.25">
      <c r="A17" s="266">
        <v>16</v>
      </c>
      <c r="B17" s="267" t="s">
        <v>97</v>
      </c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 t="s">
        <v>25</v>
      </c>
      <c r="N17" s="267" t="s">
        <v>84</v>
      </c>
      <c r="O17" s="267"/>
      <c r="P17" s="267"/>
      <c r="Q17" s="267"/>
      <c r="R17" s="268">
        <v>15</v>
      </c>
      <c r="T17">
        <f t="shared" si="0"/>
        <v>15</v>
      </c>
    </row>
    <row r="18" spans="1:20" x14ac:dyDescent="0.25">
      <c r="A18" s="266">
        <v>17</v>
      </c>
      <c r="B18" s="267" t="s">
        <v>98</v>
      </c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6">
        <v>0</v>
      </c>
      <c r="T18">
        <f t="shared" si="0"/>
        <v>0</v>
      </c>
    </row>
    <row r="19" spans="1:20" x14ac:dyDescent="0.25">
      <c r="A19" s="266">
        <v>18</v>
      </c>
      <c r="B19" s="267" t="s">
        <v>616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6">
        <v>0</v>
      </c>
      <c r="T19">
        <f t="shared" si="0"/>
        <v>0</v>
      </c>
    </row>
    <row r="20" spans="1:20" x14ac:dyDescent="0.25">
      <c r="A20" s="266">
        <v>19</v>
      </c>
      <c r="B20" s="267" t="s">
        <v>617</v>
      </c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6">
        <v>0</v>
      </c>
      <c r="T20">
        <f t="shared" si="0"/>
        <v>0</v>
      </c>
    </row>
    <row r="21" spans="1:20" x14ac:dyDescent="0.25">
      <c r="A21" s="266">
        <v>20</v>
      </c>
      <c r="B21" s="267" t="s">
        <v>626</v>
      </c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6">
        <v>0</v>
      </c>
      <c r="T21">
        <f t="shared" si="0"/>
        <v>0</v>
      </c>
    </row>
    <row r="22" spans="1:20" x14ac:dyDescent="0.25">
      <c r="A22" s="266">
        <v>21</v>
      </c>
      <c r="B22" s="267" t="s">
        <v>618</v>
      </c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6">
        <v>0</v>
      </c>
      <c r="T22">
        <f t="shared" si="0"/>
        <v>0</v>
      </c>
    </row>
    <row r="23" spans="1:20" x14ac:dyDescent="0.25">
      <c r="A23" s="266">
        <v>22</v>
      </c>
      <c r="B23" s="267" t="s">
        <v>619</v>
      </c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6">
        <v>0</v>
      </c>
      <c r="T23">
        <f t="shared" si="0"/>
        <v>0</v>
      </c>
    </row>
    <row r="24" spans="1:20" x14ac:dyDescent="0.25">
      <c r="A24" s="266">
        <v>23</v>
      </c>
      <c r="B24" s="267" t="s">
        <v>620</v>
      </c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6">
        <v>0</v>
      </c>
      <c r="T24">
        <f t="shared" si="0"/>
        <v>0</v>
      </c>
    </row>
    <row r="25" spans="1:20" x14ac:dyDescent="0.25">
      <c r="A25" s="266">
        <v>24</v>
      </c>
      <c r="B25" s="267" t="s">
        <v>650</v>
      </c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6">
        <v>0</v>
      </c>
      <c r="T25">
        <f t="shared" si="0"/>
        <v>0</v>
      </c>
    </row>
    <row r="26" spans="1:20" x14ac:dyDescent="0.25">
      <c r="A26" s="266">
        <v>25</v>
      </c>
      <c r="B26" s="267" t="s">
        <v>621</v>
      </c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6">
        <v>0</v>
      </c>
      <c r="T26">
        <f t="shared" si="0"/>
        <v>0</v>
      </c>
    </row>
    <row r="27" spans="1:20" x14ac:dyDescent="0.25">
      <c r="A27" s="266">
        <v>26</v>
      </c>
      <c r="B27" s="267" t="s">
        <v>622</v>
      </c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6">
        <v>0</v>
      </c>
      <c r="T27">
        <f t="shared" si="0"/>
        <v>0</v>
      </c>
    </row>
    <row r="28" spans="1:20" x14ac:dyDescent="0.25">
      <c r="A28" s="266">
        <v>27</v>
      </c>
      <c r="B28" s="267" t="s">
        <v>623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6">
        <v>0</v>
      </c>
      <c r="T28">
        <f t="shared" si="0"/>
        <v>0</v>
      </c>
    </row>
    <row r="29" spans="1:20" x14ac:dyDescent="0.25">
      <c r="A29" s="266">
        <v>28</v>
      </c>
      <c r="B29" s="267" t="s">
        <v>624</v>
      </c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6">
        <v>0</v>
      </c>
      <c r="T29">
        <f t="shared" si="0"/>
        <v>0</v>
      </c>
    </row>
    <row r="30" spans="1:20" x14ac:dyDescent="0.25">
      <c r="A30" s="266">
        <v>29</v>
      </c>
      <c r="B30" s="267" t="s">
        <v>627</v>
      </c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6">
        <v>0</v>
      </c>
      <c r="T30">
        <f t="shared" si="0"/>
        <v>0</v>
      </c>
    </row>
    <row r="31" spans="1:20" x14ac:dyDescent="0.25">
      <c r="A31" s="266">
        <v>30</v>
      </c>
      <c r="B31" s="267" t="s">
        <v>625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6">
        <v>0</v>
      </c>
      <c r="T31">
        <f t="shared" si="0"/>
        <v>0</v>
      </c>
    </row>
    <row r="32" spans="1:20" x14ac:dyDescent="0.25">
      <c r="A32" s="266">
        <v>31</v>
      </c>
      <c r="B32" s="267" t="s">
        <v>34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6">
        <v>0</v>
      </c>
      <c r="T32">
        <f t="shared" si="0"/>
        <v>0</v>
      </c>
    </row>
    <row r="33" spans="1:20" x14ac:dyDescent="0.25">
      <c r="A33" s="266">
        <v>32</v>
      </c>
      <c r="B33" s="267" t="s">
        <v>45</v>
      </c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6">
        <v>0</v>
      </c>
      <c r="T33">
        <f t="shared" si="0"/>
        <v>0</v>
      </c>
    </row>
    <row r="34" spans="1:20" x14ac:dyDescent="0.25">
      <c r="A34" s="266">
        <v>33</v>
      </c>
      <c r="B34" s="267" t="s">
        <v>630</v>
      </c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6">
        <v>0</v>
      </c>
      <c r="T34">
        <f t="shared" si="0"/>
        <v>0</v>
      </c>
    </row>
    <row r="35" spans="1:20" x14ac:dyDescent="0.25">
      <c r="A35" s="266">
        <v>34</v>
      </c>
      <c r="B35" s="267" t="s">
        <v>628</v>
      </c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6">
        <v>0</v>
      </c>
      <c r="T35">
        <f t="shared" si="0"/>
        <v>0</v>
      </c>
    </row>
    <row r="36" spans="1:20" x14ac:dyDescent="0.25">
      <c r="A36" s="266">
        <v>35</v>
      </c>
      <c r="B36" s="267" t="s">
        <v>629</v>
      </c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6">
        <v>0</v>
      </c>
      <c r="T36">
        <f t="shared" si="0"/>
        <v>0</v>
      </c>
    </row>
    <row r="37" spans="1:20" x14ac:dyDescent="0.25">
      <c r="A37" s="266">
        <v>36</v>
      </c>
      <c r="B37" s="267" t="s">
        <v>631</v>
      </c>
      <c r="C37" s="267"/>
      <c r="D37" s="267"/>
      <c r="E37" s="267"/>
      <c r="F37" s="267" t="s">
        <v>26</v>
      </c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8">
        <v>11</v>
      </c>
      <c r="T37">
        <f t="shared" si="0"/>
        <v>11</v>
      </c>
    </row>
    <row r="38" spans="1:20" x14ac:dyDescent="0.25">
      <c r="A38" s="266">
        <v>37</v>
      </c>
      <c r="B38" s="267" t="s">
        <v>632</v>
      </c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6">
        <v>0</v>
      </c>
      <c r="T38">
        <f t="shared" si="0"/>
        <v>0</v>
      </c>
    </row>
    <row r="39" spans="1:20" x14ac:dyDescent="0.25">
      <c r="A39" s="266">
        <v>38</v>
      </c>
      <c r="B39" s="267" t="s">
        <v>633</v>
      </c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6">
        <v>0</v>
      </c>
      <c r="T39">
        <f t="shared" si="0"/>
        <v>0</v>
      </c>
    </row>
    <row r="40" spans="1:20" x14ac:dyDescent="0.25">
      <c r="A40" s="266">
        <v>39</v>
      </c>
      <c r="B40" s="267" t="s">
        <v>634</v>
      </c>
      <c r="C40" s="267"/>
      <c r="D40" s="267"/>
      <c r="E40" s="267"/>
      <c r="F40" s="267"/>
      <c r="G40" s="267"/>
      <c r="H40" s="267"/>
      <c r="I40" s="267"/>
      <c r="J40" s="267"/>
      <c r="K40" s="267" t="s">
        <v>26</v>
      </c>
      <c r="L40" s="267"/>
      <c r="M40" s="267"/>
      <c r="N40" s="267"/>
      <c r="O40" s="267"/>
      <c r="P40" s="267"/>
      <c r="Q40" s="267"/>
      <c r="R40" s="268">
        <v>11</v>
      </c>
      <c r="T40">
        <f t="shared" si="0"/>
        <v>11</v>
      </c>
    </row>
    <row r="41" spans="1:20" x14ac:dyDescent="0.25">
      <c r="A41" s="266">
        <v>40</v>
      </c>
      <c r="B41" s="267" t="s">
        <v>636</v>
      </c>
      <c r="C41" s="267"/>
      <c r="D41" s="267"/>
      <c r="E41" s="267"/>
      <c r="F41" s="267" t="s">
        <v>26</v>
      </c>
      <c r="G41" s="267"/>
      <c r="H41" s="267"/>
      <c r="I41" s="267"/>
      <c r="J41" s="267"/>
      <c r="K41" s="267"/>
      <c r="L41" s="267"/>
      <c r="M41" s="267" t="s">
        <v>26</v>
      </c>
      <c r="N41" s="267"/>
      <c r="O41" s="267"/>
      <c r="P41" s="267"/>
      <c r="Q41" s="267"/>
      <c r="R41" s="268">
        <v>22</v>
      </c>
      <c r="T41">
        <f t="shared" si="0"/>
        <v>22</v>
      </c>
    </row>
    <row r="42" spans="1:20" x14ac:dyDescent="0.25">
      <c r="A42" s="266">
        <v>41</v>
      </c>
      <c r="B42" s="267" t="s">
        <v>637</v>
      </c>
      <c r="C42" s="267"/>
      <c r="D42" s="267"/>
      <c r="E42" s="267"/>
      <c r="F42" s="267"/>
      <c r="G42" s="267"/>
      <c r="H42" s="267"/>
      <c r="I42" s="267"/>
      <c r="J42" s="267"/>
      <c r="K42" s="267" t="s">
        <v>26</v>
      </c>
      <c r="L42" s="267"/>
      <c r="M42" s="267"/>
      <c r="N42" s="267"/>
      <c r="O42" s="267"/>
      <c r="P42" s="267"/>
      <c r="Q42" s="267"/>
      <c r="R42" s="268">
        <v>11</v>
      </c>
      <c r="T42">
        <f t="shared" si="0"/>
        <v>11</v>
      </c>
    </row>
    <row r="43" spans="1:20" x14ac:dyDescent="0.25">
      <c r="A43" s="266">
        <v>42</v>
      </c>
      <c r="B43" s="267" t="s">
        <v>640</v>
      </c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6">
        <v>0</v>
      </c>
      <c r="T43">
        <f t="shared" si="0"/>
        <v>0</v>
      </c>
    </row>
    <row r="44" spans="1:20" x14ac:dyDescent="0.25">
      <c r="A44" s="266">
        <v>43</v>
      </c>
      <c r="B44" s="267" t="s">
        <v>638</v>
      </c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6">
        <v>0</v>
      </c>
      <c r="T44">
        <f t="shared" si="0"/>
        <v>0</v>
      </c>
    </row>
    <row r="45" spans="1:20" x14ac:dyDescent="0.25">
      <c r="A45" s="266">
        <v>44</v>
      </c>
      <c r="B45" s="267" t="s">
        <v>635</v>
      </c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6">
        <v>0</v>
      </c>
      <c r="T45">
        <f t="shared" si="0"/>
        <v>0</v>
      </c>
    </row>
    <row r="46" spans="1:20" x14ac:dyDescent="0.25">
      <c r="A46" s="266">
        <v>45</v>
      </c>
      <c r="B46" s="267" t="s">
        <v>641</v>
      </c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6">
        <v>0</v>
      </c>
      <c r="T46">
        <f t="shared" si="0"/>
        <v>0</v>
      </c>
    </row>
    <row r="47" spans="1:20" x14ac:dyDescent="0.25">
      <c r="A47" s="266">
        <v>46</v>
      </c>
      <c r="B47" s="267" t="s">
        <v>649</v>
      </c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6">
        <v>0</v>
      </c>
      <c r="T47">
        <f t="shared" si="0"/>
        <v>0</v>
      </c>
    </row>
    <row r="48" spans="1:20" x14ac:dyDescent="0.25">
      <c r="A48" s="266">
        <v>47</v>
      </c>
      <c r="B48" s="267" t="s">
        <v>642</v>
      </c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 t="s">
        <v>26</v>
      </c>
      <c r="Q48" s="267" t="s">
        <v>26</v>
      </c>
      <c r="R48" s="268">
        <v>22</v>
      </c>
      <c r="T48">
        <f t="shared" si="0"/>
        <v>22</v>
      </c>
    </row>
    <row r="49" spans="1:20" x14ac:dyDescent="0.25">
      <c r="A49" s="266">
        <v>48</v>
      </c>
      <c r="B49" s="267" t="s">
        <v>643</v>
      </c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 t="s">
        <v>26</v>
      </c>
      <c r="Q49" s="267" t="s">
        <v>26</v>
      </c>
      <c r="R49" s="268">
        <v>22</v>
      </c>
      <c r="T49">
        <f t="shared" si="0"/>
        <v>22</v>
      </c>
    </row>
    <row r="50" spans="1:20" x14ac:dyDescent="0.25">
      <c r="A50" s="266">
        <v>49</v>
      </c>
      <c r="B50" s="267" t="s">
        <v>644</v>
      </c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 t="s">
        <v>26</v>
      </c>
      <c r="N50" s="267" t="s">
        <v>84</v>
      </c>
      <c r="O50" s="267"/>
      <c r="P50" s="267" t="s">
        <v>26</v>
      </c>
      <c r="Q50" s="267" t="s">
        <v>26</v>
      </c>
      <c r="R50" s="268">
        <v>39</v>
      </c>
      <c r="T50">
        <f t="shared" si="0"/>
        <v>39</v>
      </c>
    </row>
    <row r="51" spans="1:20" x14ac:dyDescent="0.25">
      <c r="A51" s="266">
        <v>50</v>
      </c>
      <c r="B51" s="267" t="s">
        <v>646</v>
      </c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6">
        <v>0</v>
      </c>
      <c r="T51">
        <f t="shared" si="0"/>
        <v>0</v>
      </c>
    </row>
    <row r="52" spans="1:20" x14ac:dyDescent="0.25">
      <c r="A52" s="266">
        <v>51</v>
      </c>
      <c r="B52" s="267" t="s">
        <v>647</v>
      </c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6">
        <v>0</v>
      </c>
      <c r="T52">
        <f t="shared" si="0"/>
        <v>0</v>
      </c>
    </row>
    <row r="53" spans="1:20" x14ac:dyDescent="0.25">
      <c r="A53" s="266">
        <v>52</v>
      </c>
      <c r="B53" s="267" t="s">
        <v>652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6">
        <v>0</v>
      </c>
      <c r="T53">
        <f t="shared" si="0"/>
        <v>0</v>
      </c>
    </row>
    <row r="54" spans="1:20" x14ac:dyDescent="0.25">
      <c r="A54" s="266">
        <v>53</v>
      </c>
      <c r="B54" s="267" t="s">
        <v>653</v>
      </c>
      <c r="C54" s="267"/>
      <c r="D54" s="267"/>
      <c r="E54" s="267"/>
      <c r="F54" s="267" t="s">
        <v>26</v>
      </c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8">
        <v>11</v>
      </c>
      <c r="T54">
        <f t="shared" si="0"/>
        <v>11</v>
      </c>
    </row>
    <row r="55" spans="1:20" x14ac:dyDescent="0.25">
      <c r="A55" s="266">
        <v>54</v>
      </c>
      <c r="B55" s="267" t="s">
        <v>654</v>
      </c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6">
        <v>0</v>
      </c>
      <c r="T55">
        <f t="shared" si="0"/>
        <v>0</v>
      </c>
    </row>
    <row r="56" spans="1:20" x14ac:dyDescent="0.25">
      <c r="A56" s="266">
        <v>55</v>
      </c>
      <c r="B56" s="267" t="s">
        <v>655</v>
      </c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6">
        <v>0</v>
      </c>
      <c r="T56">
        <f t="shared" si="0"/>
        <v>0</v>
      </c>
    </row>
    <row r="57" spans="1:20" x14ac:dyDescent="0.25">
      <c r="A57" s="266">
        <v>56</v>
      </c>
      <c r="B57" s="267" t="s">
        <v>656</v>
      </c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6">
        <v>0</v>
      </c>
      <c r="T57">
        <f t="shared" si="0"/>
        <v>0</v>
      </c>
    </row>
    <row r="58" spans="1:20" x14ac:dyDescent="0.25">
      <c r="A58" s="266">
        <v>57</v>
      </c>
      <c r="B58" s="267" t="s">
        <v>657</v>
      </c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6">
        <v>0</v>
      </c>
      <c r="T58">
        <f t="shared" si="0"/>
        <v>0</v>
      </c>
    </row>
    <row r="59" spans="1:20" x14ac:dyDescent="0.25">
      <c r="A59" s="266">
        <v>58</v>
      </c>
      <c r="B59" s="267" t="s">
        <v>658</v>
      </c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6">
        <v>0</v>
      </c>
      <c r="T59">
        <f t="shared" si="0"/>
        <v>0</v>
      </c>
    </row>
    <row r="60" spans="1:20" x14ac:dyDescent="0.25">
      <c r="A60" s="266">
        <v>59</v>
      </c>
      <c r="B60" s="267" t="s">
        <v>659</v>
      </c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6">
        <v>0</v>
      </c>
      <c r="T60">
        <f t="shared" si="0"/>
        <v>0</v>
      </c>
    </row>
    <row r="61" spans="1:20" x14ac:dyDescent="0.25">
      <c r="A61" s="266">
        <v>60</v>
      </c>
      <c r="B61" s="267" t="s">
        <v>660</v>
      </c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6">
        <v>0</v>
      </c>
      <c r="T61">
        <f t="shared" si="0"/>
        <v>0</v>
      </c>
    </row>
    <row r="62" spans="1:20" x14ac:dyDescent="0.25">
      <c r="A62" s="266">
        <v>61</v>
      </c>
      <c r="B62" s="267" t="s">
        <v>661</v>
      </c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6">
        <v>0</v>
      </c>
      <c r="T62">
        <f t="shared" si="0"/>
        <v>0</v>
      </c>
    </row>
    <row r="63" spans="1:20" x14ac:dyDescent="0.25">
      <c r="A63" s="266">
        <v>62</v>
      </c>
      <c r="B63" s="267" t="s">
        <v>662</v>
      </c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 t="s">
        <v>26</v>
      </c>
      <c r="N63" s="267" t="s">
        <v>84</v>
      </c>
      <c r="O63" s="267"/>
      <c r="P63" s="267" t="s">
        <v>26</v>
      </c>
      <c r="Q63" s="267"/>
      <c r="R63" s="268">
        <v>28</v>
      </c>
      <c r="T63">
        <f t="shared" si="0"/>
        <v>28</v>
      </c>
    </row>
    <row r="64" spans="1:20" x14ac:dyDescent="0.25">
      <c r="A64" s="266">
        <v>63</v>
      </c>
      <c r="B64" s="267" t="s">
        <v>668</v>
      </c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 t="s">
        <v>64</v>
      </c>
      <c r="N64" s="267" t="s">
        <v>84</v>
      </c>
      <c r="O64" s="267"/>
      <c r="P64" s="267" t="s">
        <v>26</v>
      </c>
      <c r="Q64" s="267" t="s">
        <v>26</v>
      </c>
      <c r="R64" s="268">
        <v>38</v>
      </c>
      <c r="T64">
        <f t="shared" si="0"/>
        <v>38</v>
      </c>
    </row>
    <row r="65" spans="1:18" x14ac:dyDescent="0.25">
      <c r="A65" s="265"/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9">
        <v>291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65"/>
  <sheetViews>
    <sheetView zoomScale="85" zoomScaleNormal="85" workbookViewId="0">
      <selection activeCell="B20" sqref="B20"/>
    </sheetView>
  </sheetViews>
  <sheetFormatPr defaultRowHeight="15" x14ac:dyDescent="0.25"/>
  <sheetData>
    <row r="1" spans="1:20" x14ac:dyDescent="0.25">
      <c r="A1" s="270" t="s">
        <v>1</v>
      </c>
      <c r="B1" s="270" t="s">
        <v>6</v>
      </c>
      <c r="C1" s="270" t="s">
        <v>46</v>
      </c>
      <c r="D1" s="270" t="s">
        <v>47</v>
      </c>
      <c r="E1" s="270" t="s">
        <v>48</v>
      </c>
      <c r="F1" s="270" t="s">
        <v>49</v>
      </c>
      <c r="G1" s="270" t="s">
        <v>50</v>
      </c>
      <c r="H1" s="270" t="s">
        <v>51</v>
      </c>
      <c r="I1" s="270" t="s">
        <v>52</v>
      </c>
      <c r="J1" s="270" t="s">
        <v>53</v>
      </c>
      <c r="K1" s="270" t="s">
        <v>54</v>
      </c>
      <c r="L1" s="270" t="s">
        <v>55</v>
      </c>
      <c r="M1" s="270" t="s">
        <v>56</v>
      </c>
      <c r="N1" s="270" t="s">
        <v>57</v>
      </c>
      <c r="O1" s="270" t="s">
        <v>58</v>
      </c>
      <c r="P1" s="270" t="s">
        <v>59</v>
      </c>
      <c r="Q1" s="270" t="s">
        <v>667</v>
      </c>
      <c r="R1" s="270" t="s">
        <v>2</v>
      </c>
    </row>
    <row r="2" spans="1:20" x14ac:dyDescent="0.25">
      <c r="A2" s="271">
        <v>1</v>
      </c>
      <c r="B2" s="272" t="s">
        <v>10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1">
        <v>0</v>
      </c>
      <c r="T2">
        <f t="shared" ref="T2:T64" si="0">C2+D2+E2+F2+G2+H2+I2+J2+K2+L2+M2+N2+O2+P2+Q2</f>
        <v>0</v>
      </c>
    </row>
    <row r="3" spans="1:20" x14ac:dyDescent="0.25">
      <c r="A3" s="271">
        <v>2</v>
      </c>
      <c r="B3" s="272" t="s">
        <v>11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1">
        <v>0</v>
      </c>
      <c r="T3">
        <f t="shared" si="0"/>
        <v>0</v>
      </c>
    </row>
    <row r="4" spans="1:20" x14ac:dyDescent="0.25">
      <c r="A4" s="271">
        <v>3</v>
      </c>
      <c r="B4" s="272" t="s">
        <v>12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1">
        <v>0</v>
      </c>
      <c r="T4">
        <f t="shared" si="0"/>
        <v>0</v>
      </c>
    </row>
    <row r="5" spans="1:20" x14ac:dyDescent="0.25">
      <c r="A5" s="271">
        <v>4</v>
      </c>
      <c r="B5" s="272" t="s">
        <v>651</v>
      </c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1">
        <v>0</v>
      </c>
      <c r="T5">
        <f t="shared" si="0"/>
        <v>0</v>
      </c>
    </row>
    <row r="6" spans="1:20" x14ac:dyDescent="0.25">
      <c r="A6" s="271">
        <v>5</v>
      </c>
      <c r="B6" s="272" t="s">
        <v>14</v>
      </c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1">
        <v>0</v>
      </c>
      <c r="T6">
        <f t="shared" si="0"/>
        <v>0</v>
      </c>
    </row>
    <row r="7" spans="1:20" x14ac:dyDescent="0.25">
      <c r="A7" s="271">
        <v>6</v>
      </c>
      <c r="B7" s="272" t="s">
        <v>15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1">
        <v>0</v>
      </c>
      <c r="T7">
        <f t="shared" si="0"/>
        <v>0</v>
      </c>
    </row>
    <row r="8" spans="1:20" x14ac:dyDescent="0.25">
      <c r="A8" s="271">
        <v>7</v>
      </c>
      <c r="B8" s="272" t="s">
        <v>16</v>
      </c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1">
        <v>0</v>
      </c>
      <c r="T8">
        <f t="shared" si="0"/>
        <v>0</v>
      </c>
    </row>
    <row r="9" spans="1:20" x14ac:dyDescent="0.25">
      <c r="A9" s="271">
        <v>8</v>
      </c>
      <c r="B9" s="272" t="s">
        <v>4</v>
      </c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1">
        <v>0</v>
      </c>
      <c r="T9">
        <f t="shared" si="0"/>
        <v>0</v>
      </c>
    </row>
    <row r="10" spans="1:20" x14ac:dyDescent="0.25">
      <c r="A10" s="271">
        <v>9</v>
      </c>
      <c r="B10" s="272" t="s">
        <v>5</v>
      </c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1">
        <v>0</v>
      </c>
      <c r="T10">
        <f t="shared" si="0"/>
        <v>0</v>
      </c>
    </row>
    <row r="11" spans="1:20" x14ac:dyDescent="0.25">
      <c r="A11" s="271">
        <v>10</v>
      </c>
      <c r="B11" s="272" t="s">
        <v>38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1">
        <v>0</v>
      </c>
      <c r="T11">
        <f t="shared" si="0"/>
        <v>0</v>
      </c>
    </row>
    <row r="12" spans="1:20" x14ac:dyDescent="0.25">
      <c r="A12" s="271">
        <v>11</v>
      </c>
      <c r="B12" s="272" t="s">
        <v>43</v>
      </c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1">
        <v>0</v>
      </c>
      <c r="T12">
        <f t="shared" si="0"/>
        <v>0</v>
      </c>
    </row>
    <row r="13" spans="1:20" x14ac:dyDescent="0.25">
      <c r="A13" s="271">
        <v>12</v>
      </c>
      <c r="B13" s="272" t="s">
        <v>639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1">
        <v>0</v>
      </c>
      <c r="T13">
        <f t="shared" si="0"/>
        <v>0</v>
      </c>
    </row>
    <row r="14" spans="1:20" x14ac:dyDescent="0.25">
      <c r="A14" s="271">
        <v>13</v>
      </c>
      <c r="B14" s="272" t="s">
        <v>87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1">
        <v>0</v>
      </c>
      <c r="T14">
        <f t="shared" si="0"/>
        <v>0</v>
      </c>
    </row>
    <row r="15" spans="1:20" x14ac:dyDescent="0.25">
      <c r="A15" s="271">
        <v>14</v>
      </c>
      <c r="B15" s="272" t="s">
        <v>95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1">
        <v>0</v>
      </c>
      <c r="T15">
        <f t="shared" si="0"/>
        <v>0</v>
      </c>
    </row>
    <row r="16" spans="1:20" x14ac:dyDescent="0.25">
      <c r="A16" s="271">
        <v>15</v>
      </c>
      <c r="B16" s="272" t="s">
        <v>96</v>
      </c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1">
        <v>0</v>
      </c>
      <c r="T16">
        <f t="shared" si="0"/>
        <v>0</v>
      </c>
    </row>
    <row r="17" spans="1:20" x14ac:dyDescent="0.25">
      <c r="A17" s="271">
        <v>16</v>
      </c>
      <c r="B17" s="272" t="s">
        <v>97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1">
        <v>0</v>
      </c>
      <c r="T17">
        <f t="shared" si="0"/>
        <v>0</v>
      </c>
    </row>
    <row r="18" spans="1:20" x14ac:dyDescent="0.25">
      <c r="A18" s="271">
        <v>17</v>
      </c>
      <c r="B18" s="272" t="s">
        <v>98</v>
      </c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1">
        <v>0</v>
      </c>
      <c r="T18">
        <f t="shared" si="0"/>
        <v>0</v>
      </c>
    </row>
    <row r="19" spans="1:20" x14ac:dyDescent="0.25">
      <c r="A19" s="271">
        <v>18</v>
      </c>
      <c r="B19" s="272" t="s">
        <v>616</v>
      </c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1">
        <v>0</v>
      </c>
      <c r="T19">
        <f t="shared" si="0"/>
        <v>0</v>
      </c>
    </row>
    <row r="20" spans="1:20" x14ac:dyDescent="0.25">
      <c r="A20" s="271">
        <v>19</v>
      </c>
      <c r="B20" s="272" t="s">
        <v>617</v>
      </c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1">
        <v>0</v>
      </c>
      <c r="T20">
        <f t="shared" si="0"/>
        <v>0</v>
      </c>
    </row>
    <row r="21" spans="1:20" x14ac:dyDescent="0.25">
      <c r="A21" s="271">
        <v>20</v>
      </c>
      <c r="B21" s="272" t="s">
        <v>626</v>
      </c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1">
        <v>0</v>
      </c>
      <c r="T21">
        <f t="shared" si="0"/>
        <v>0</v>
      </c>
    </row>
    <row r="22" spans="1:20" x14ac:dyDescent="0.25">
      <c r="A22" s="271">
        <v>21</v>
      </c>
      <c r="B22" s="272" t="s">
        <v>618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1">
        <v>0</v>
      </c>
      <c r="T22">
        <f t="shared" si="0"/>
        <v>0</v>
      </c>
    </row>
    <row r="23" spans="1:20" x14ac:dyDescent="0.25">
      <c r="A23" s="271">
        <v>22</v>
      </c>
      <c r="B23" s="272" t="s">
        <v>619</v>
      </c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1">
        <v>0</v>
      </c>
      <c r="T23">
        <f t="shared" si="0"/>
        <v>0</v>
      </c>
    </row>
    <row r="24" spans="1:20" x14ac:dyDescent="0.25">
      <c r="A24" s="271">
        <v>23</v>
      </c>
      <c r="B24" s="272" t="s">
        <v>620</v>
      </c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1">
        <v>0</v>
      </c>
      <c r="T24">
        <f t="shared" si="0"/>
        <v>0</v>
      </c>
    </row>
    <row r="25" spans="1:20" x14ac:dyDescent="0.25">
      <c r="A25" s="271">
        <v>24</v>
      </c>
      <c r="B25" s="272" t="s">
        <v>650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1">
        <v>0</v>
      </c>
      <c r="T25">
        <f t="shared" si="0"/>
        <v>0</v>
      </c>
    </row>
    <row r="26" spans="1:20" x14ac:dyDescent="0.25">
      <c r="A26" s="271">
        <v>25</v>
      </c>
      <c r="B26" s="272" t="s">
        <v>621</v>
      </c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1">
        <v>0</v>
      </c>
      <c r="T26">
        <f t="shared" si="0"/>
        <v>0</v>
      </c>
    </row>
    <row r="27" spans="1:20" x14ac:dyDescent="0.25">
      <c r="A27" s="271">
        <v>26</v>
      </c>
      <c r="B27" s="272" t="s">
        <v>622</v>
      </c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1">
        <v>0</v>
      </c>
      <c r="T27">
        <f t="shared" si="0"/>
        <v>0</v>
      </c>
    </row>
    <row r="28" spans="1:20" x14ac:dyDescent="0.25">
      <c r="A28" s="271">
        <v>27</v>
      </c>
      <c r="B28" s="272" t="s">
        <v>623</v>
      </c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1">
        <v>0</v>
      </c>
      <c r="T28">
        <f t="shared" si="0"/>
        <v>0</v>
      </c>
    </row>
    <row r="29" spans="1:20" x14ac:dyDescent="0.25">
      <c r="A29" s="271">
        <v>28</v>
      </c>
      <c r="B29" s="272" t="s">
        <v>624</v>
      </c>
      <c r="C29" s="272"/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1">
        <v>0</v>
      </c>
      <c r="T29">
        <f t="shared" si="0"/>
        <v>0</v>
      </c>
    </row>
    <row r="30" spans="1:20" x14ac:dyDescent="0.25">
      <c r="A30" s="271">
        <v>29</v>
      </c>
      <c r="B30" s="272" t="s">
        <v>627</v>
      </c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1">
        <v>0</v>
      </c>
      <c r="T30">
        <f t="shared" si="0"/>
        <v>0</v>
      </c>
    </row>
    <row r="31" spans="1:20" x14ac:dyDescent="0.25">
      <c r="A31" s="271">
        <v>30</v>
      </c>
      <c r="B31" s="272" t="s">
        <v>625</v>
      </c>
      <c r="C31" s="272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1">
        <v>0</v>
      </c>
      <c r="T31">
        <f t="shared" si="0"/>
        <v>0</v>
      </c>
    </row>
    <row r="32" spans="1:20" x14ac:dyDescent="0.25">
      <c r="A32" s="271">
        <v>31</v>
      </c>
      <c r="B32" s="272" t="s">
        <v>34</v>
      </c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1">
        <v>0</v>
      </c>
      <c r="T32">
        <f t="shared" si="0"/>
        <v>0</v>
      </c>
    </row>
    <row r="33" spans="1:20" x14ac:dyDescent="0.25">
      <c r="A33" s="271">
        <v>32</v>
      </c>
      <c r="B33" s="272" t="s">
        <v>45</v>
      </c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1">
        <v>0</v>
      </c>
      <c r="T33">
        <f t="shared" si="0"/>
        <v>0</v>
      </c>
    </row>
    <row r="34" spans="1:20" x14ac:dyDescent="0.25">
      <c r="A34" s="271">
        <v>33</v>
      </c>
      <c r="B34" s="272" t="s">
        <v>630</v>
      </c>
      <c r="C34" s="272"/>
      <c r="D34" s="272"/>
      <c r="E34" s="272"/>
      <c r="F34" s="272"/>
      <c r="G34" s="272"/>
      <c r="H34" s="272"/>
      <c r="I34" s="272"/>
      <c r="J34" s="272"/>
      <c r="K34" s="272"/>
      <c r="L34" s="272" t="s">
        <v>26</v>
      </c>
      <c r="M34" s="272"/>
      <c r="N34" s="272"/>
      <c r="O34" s="272"/>
      <c r="P34" s="272"/>
      <c r="Q34" s="272"/>
      <c r="R34" s="273">
        <v>11</v>
      </c>
      <c r="T34">
        <f t="shared" si="0"/>
        <v>11</v>
      </c>
    </row>
    <row r="35" spans="1:20" x14ac:dyDescent="0.25">
      <c r="A35" s="271">
        <v>34</v>
      </c>
      <c r="B35" s="272" t="s">
        <v>628</v>
      </c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1">
        <v>0</v>
      </c>
      <c r="T35">
        <f t="shared" si="0"/>
        <v>0</v>
      </c>
    </row>
    <row r="36" spans="1:20" x14ac:dyDescent="0.25">
      <c r="A36" s="271">
        <v>35</v>
      </c>
      <c r="B36" s="272" t="s">
        <v>629</v>
      </c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1">
        <v>0</v>
      </c>
      <c r="T36">
        <f t="shared" si="0"/>
        <v>0</v>
      </c>
    </row>
    <row r="37" spans="1:20" x14ac:dyDescent="0.25">
      <c r="A37" s="271">
        <v>36</v>
      </c>
      <c r="B37" s="272" t="s">
        <v>631</v>
      </c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1">
        <v>0</v>
      </c>
      <c r="T37">
        <f t="shared" si="0"/>
        <v>0</v>
      </c>
    </row>
    <row r="38" spans="1:20" x14ac:dyDescent="0.25">
      <c r="A38" s="271">
        <v>37</v>
      </c>
      <c r="B38" s="272" t="s">
        <v>632</v>
      </c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1">
        <v>0</v>
      </c>
      <c r="T38">
        <f t="shared" si="0"/>
        <v>0</v>
      </c>
    </row>
    <row r="39" spans="1:20" x14ac:dyDescent="0.25">
      <c r="A39" s="271">
        <v>38</v>
      </c>
      <c r="B39" s="272" t="s">
        <v>633</v>
      </c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1">
        <v>0</v>
      </c>
      <c r="T39">
        <f t="shared" si="0"/>
        <v>0</v>
      </c>
    </row>
    <row r="40" spans="1:20" x14ac:dyDescent="0.25">
      <c r="A40" s="271">
        <v>39</v>
      </c>
      <c r="B40" s="272" t="s">
        <v>634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 t="s">
        <v>26</v>
      </c>
      <c r="M40" s="272"/>
      <c r="N40" s="272"/>
      <c r="O40" s="272"/>
      <c r="P40" s="272"/>
      <c r="Q40" s="272"/>
      <c r="R40" s="273">
        <v>11</v>
      </c>
      <c r="T40">
        <f t="shared" si="0"/>
        <v>11</v>
      </c>
    </row>
    <row r="41" spans="1:20" x14ac:dyDescent="0.25">
      <c r="A41" s="271">
        <v>40</v>
      </c>
      <c r="B41" s="272" t="s">
        <v>636</v>
      </c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1">
        <v>0</v>
      </c>
      <c r="T41">
        <f t="shared" si="0"/>
        <v>0</v>
      </c>
    </row>
    <row r="42" spans="1:20" x14ac:dyDescent="0.25">
      <c r="A42" s="271">
        <v>41</v>
      </c>
      <c r="B42" s="272" t="s">
        <v>637</v>
      </c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1">
        <v>0</v>
      </c>
      <c r="T42">
        <f t="shared" si="0"/>
        <v>0</v>
      </c>
    </row>
    <row r="43" spans="1:20" x14ac:dyDescent="0.25">
      <c r="A43" s="271">
        <v>42</v>
      </c>
      <c r="B43" s="272" t="s">
        <v>640</v>
      </c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1">
        <v>0</v>
      </c>
      <c r="T43">
        <f t="shared" si="0"/>
        <v>0</v>
      </c>
    </row>
    <row r="44" spans="1:20" x14ac:dyDescent="0.25">
      <c r="A44" s="271">
        <v>43</v>
      </c>
      <c r="B44" s="272" t="s">
        <v>638</v>
      </c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1">
        <v>0</v>
      </c>
      <c r="T44">
        <f t="shared" si="0"/>
        <v>0</v>
      </c>
    </row>
    <row r="45" spans="1:20" x14ac:dyDescent="0.25">
      <c r="A45" s="271">
        <v>44</v>
      </c>
      <c r="B45" s="272" t="s">
        <v>635</v>
      </c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1">
        <v>0</v>
      </c>
      <c r="T45">
        <f t="shared" si="0"/>
        <v>0</v>
      </c>
    </row>
    <row r="46" spans="1:20" x14ac:dyDescent="0.25">
      <c r="A46" s="271">
        <v>45</v>
      </c>
      <c r="B46" s="272" t="s">
        <v>641</v>
      </c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1">
        <v>0</v>
      </c>
      <c r="T46">
        <f t="shared" si="0"/>
        <v>0</v>
      </c>
    </row>
    <row r="47" spans="1:20" x14ac:dyDescent="0.25">
      <c r="A47" s="271">
        <v>46</v>
      </c>
      <c r="B47" s="272" t="s">
        <v>649</v>
      </c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1">
        <v>0</v>
      </c>
      <c r="T47">
        <f t="shared" si="0"/>
        <v>0</v>
      </c>
    </row>
    <row r="48" spans="1:20" x14ac:dyDescent="0.25">
      <c r="A48" s="271">
        <v>47</v>
      </c>
      <c r="B48" s="272" t="s">
        <v>642</v>
      </c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1">
        <v>0</v>
      </c>
      <c r="T48">
        <f t="shared" si="0"/>
        <v>0</v>
      </c>
    </row>
    <row r="49" spans="1:20" x14ac:dyDescent="0.25">
      <c r="A49" s="271">
        <v>48</v>
      </c>
      <c r="B49" s="272" t="s">
        <v>643</v>
      </c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1">
        <v>0</v>
      </c>
      <c r="T49">
        <f t="shared" si="0"/>
        <v>0</v>
      </c>
    </row>
    <row r="50" spans="1:20" x14ac:dyDescent="0.25">
      <c r="A50" s="271">
        <v>49</v>
      </c>
      <c r="B50" s="272" t="s">
        <v>644</v>
      </c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1">
        <v>0</v>
      </c>
      <c r="T50">
        <f t="shared" si="0"/>
        <v>0</v>
      </c>
    </row>
    <row r="51" spans="1:20" x14ac:dyDescent="0.25">
      <c r="A51" s="271">
        <v>50</v>
      </c>
      <c r="B51" s="272" t="s">
        <v>646</v>
      </c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1">
        <v>0</v>
      </c>
      <c r="T51">
        <f t="shared" si="0"/>
        <v>0</v>
      </c>
    </row>
    <row r="52" spans="1:20" x14ac:dyDescent="0.25">
      <c r="A52" s="271">
        <v>51</v>
      </c>
      <c r="B52" s="272" t="s">
        <v>647</v>
      </c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1">
        <v>0</v>
      </c>
      <c r="T52">
        <f t="shared" si="0"/>
        <v>0</v>
      </c>
    </row>
    <row r="53" spans="1:20" x14ac:dyDescent="0.25">
      <c r="A53" s="271">
        <v>52</v>
      </c>
      <c r="B53" s="272" t="s">
        <v>652</v>
      </c>
      <c r="C53" s="272"/>
      <c r="D53" s="272"/>
      <c r="E53" s="272"/>
      <c r="F53" s="272"/>
      <c r="G53" s="272"/>
      <c r="H53" s="272"/>
      <c r="I53" s="272"/>
      <c r="J53" s="272"/>
      <c r="K53" s="272" t="s">
        <v>65</v>
      </c>
      <c r="L53" s="272"/>
      <c r="M53" s="272"/>
      <c r="N53" s="272"/>
      <c r="O53" s="272"/>
      <c r="P53" s="272"/>
      <c r="Q53" s="272"/>
      <c r="R53" s="273">
        <v>12</v>
      </c>
      <c r="T53">
        <f t="shared" si="0"/>
        <v>12</v>
      </c>
    </row>
    <row r="54" spans="1:20" x14ac:dyDescent="0.25">
      <c r="A54" s="271">
        <v>53</v>
      </c>
      <c r="B54" s="272" t="s">
        <v>653</v>
      </c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1">
        <v>0</v>
      </c>
      <c r="T54">
        <f t="shared" si="0"/>
        <v>0</v>
      </c>
    </row>
    <row r="55" spans="1:20" x14ac:dyDescent="0.25">
      <c r="A55" s="271">
        <v>54</v>
      </c>
      <c r="B55" s="272" t="s">
        <v>654</v>
      </c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1">
        <v>0</v>
      </c>
      <c r="T55">
        <f t="shared" si="0"/>
        <v>0</v>
      </c>
    </row>
    <row r="56" spans="1:20" x14ac:dyDescent="0.25">
      <c r="A56" s="271">
        <v>55</v>
      </c>
      <c r="B56" s="272" t="s">
        <v>655</v>
      </c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1">
        <v>0</v>
      </c>
      <c r="T56">
        <f t="shared" si="0"/>
        <v>0</v>
      </c>
    </row>
    <row r="57" spans="1:20" x14ac:dyDescent="0.25">
      <c r="A57" s="271">
        <v>56</v>
      </c>
      <c r="B57" s="272" t="s">
        <v>656</v>
      </c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1">
        <v>0</v>
      </c>
      <c r="T57">
        <f t="shared" si="0"/>
        <v>0</v>
      </c>
    </row>
    <row r="58" spans="1:20" x14ac:dyDescent="0.25">
      <c r="A58" s="271">
        <v>57</v>
      </c>
      <c r="B58" s="272" t="s">
        <v>657</v>
      </c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1">
        <v>0</v>
      </c>
      <c r="T58">
        <f t="shared" si="0"/>
        <v>0</v>
      </c>
    </row>
    <row r="59" spans="1:20" x14ac:dyDescent="0.25">
      <c r="A59" s="271">
        <v>58</v>
      </c>
      <c r="B59" s="272" t="s">
        <v>658</v>
      </c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1">
        <v>0</v>
      </c>
      <c r="T59">
        <f t="shared" si="0"/>
        <v>0</v>
      </c>
    </row>
    <row r="60" spans="1:20" x14ac:dyDescent="0.25">
      <c r="A60" s="271">
        <v>59</v>
      </c>
      <c r="B60" s="272" t="s">
        <v>659</v>
      </c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1">
        <v>0</v>
      </c>
      <c r="T60">
        <f t="shared" si="0"/>
        <v>0</v>
      </c>
    </row>
    <row r="61" spans="1:20" x14ac:dyDescent="0.25">
      <c r="A61" s="271">
        <v>60</v>
      </c>
      <c r="B61" s="272" t="s">
        <v>660</v>
      </c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1">
        <v>0</v>
      </c>
      <c r="T61">
        <f t="shared" si="0"/>
        <v>0</v>
      </c>
    </row>
    <row r="62" spans="1:20" x14ac:dyDescent="0.25">
      <c r="A62" s="271">
        <v>61</v>
      </c>
      <c r="B62" s="272" t="s">
        <v>661</v>
      </c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1">
        <v>0</v>
      </c>
      <c r="T62">
        <f t="shared" si="0"/>
        <v>0</v>
      </c>
    </row>
    <row r="63" spans="1:20" x14ac:dyDescent="0.25">
      <c r="A63" s="271">
        <v>62</v>
      </c>
      <c r="B63" s="272" t="s">
        <v>662</v>
      </c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1">
        <v>0</v>
      </c>
      <c r="T63">
        <f t="shared" si="0"/>
        <v>0</v>
      </c>
    </row>
    <row r="64" spans="1:20" x14ac:dyDescent="0.25">
      <c r="A64" s="271">
        <v>63</v>
      </c>
      <c r="B64" s="272" t="s">
        <v>668</v>
      </c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1">
        <v>0</v>
      </c>
      <c r="T64">
        <f t="shared" si="0"/>
        <v>0</v>
      </c>
    </row>
    <row r="65" spans="1:18" x14ac:dyDescent="0.25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4">
        <v>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5"/>
  <sheetViews>
    <sheetView zoomScale="85" zoomScaleNormal="85" workbookViewId="0">
      <selection activeCell="B20" sqref="B20"/>
    </sheetView>
  </sheetViews>
  <sheetFormatPr defaultRowHeight="15" x14ac:dyDescent="0.25"/>
  <sheetData>
    <row r="1" spans="1:20" x14ac:dyDescent="0.25">
      <c r="A1" s="275" t="s">
        <v>1</v>
      </c>
      <c r="B1" s="275" t="s">
        <v>6</v>
      </c>
      <c r="C1" s="275" t="s">
        <v>46</v>
      </c>
      <c r="D1" s="275" t="s">
        <v>47</v>
      </c>
      <c r="E1" s="275" t="s">
        <v>48</v>
      </c>
      <c r="F1" s="275" t="s">
        <v>49</v>
      </c>
      <c r="G1" s="275" t="s">
        <v>50</v>
      </c>
      <c r="H1" s="275" t="s">
        <v>51</v>
      </c>
      <c r="I1" s="275" t="s">
        <v>52</v>
      </c>
      <c r="J1" s="275" t="s">
        <v>53</v>
      </c>
      <c r="K1" s="275" t="s">
        <v>54</v>
      </c>
      <c r="L1" s="275" t="s">
        <v>55</v>
      </c>
      <c r="M1" s="275" t="s">
        <v>56</v>
      </c>
      <c r="N1" s="275" t="s">
        <v>57</v>
      </c>
      <c r="O1" s="275" t="s">
        <v>58</v>
      </c>
      <c r="P1" s="275" t="s">
        <v>59</v>
      </c>
      <c r="Q1" s="275" t="s">
        <v>667</v>
      </c>
      <c r="R1" s="275" t="s">
        <v>2</v>
      </c>
    </row>
    <row r="2" spans="1:20" x14ac:dyDescent="0.25">
      <c r="A2" s="276">
        <v>1</v>
      </c>
      <c r="B2" s="277" t="s">
        <v>10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6">
        <v>0</v>
      </c>
      <c r="T2">
        <f t="shared" ref="T2:T64" si="0">C2+D2+E2+F2+G2+H2+I2+J2+K2+L2+M2+N2+O2+P2+Q2</f>
        <v>0</v>
      </c>
    </row>
    <row r="3" spans="1:20" x14ac:dyDescent="0.25">
      <c r="A3" s="276">
        <v>2</v>
      </c>
      <c r="B3" s="277" t="s">
        <v>11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6">
        <v>0</v>
      </c>
      <c r="T3">
        <f t="shared" si="0"/>
        <v>0</v>
      </c>
    </row>
    <row r="4" spans="1:20" x14ac:dyDescent="0.25">
      <c r="A4" s="276">
        <v>3</v>
      </c>
      <c r="B4" s="277" t="s">
        <v>12</v>
      </c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6">
        <v>0</v>
      </c>
      <c r="T4">
        <f t="shared" si="0"/>
        <v>0</v>
      </c>
    </row>
    <row r="5" spans="1:20" x14ac:dyDescent="0.25">
      <c r="A5" s="276">
        <v>4</v>
      </c>
      <c r="B5" s="277" t="s">
        <v>651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6">
        <v>0</v>
      </c>
      <c r="T5">
        <f t="shared" si="0"/>
        <v>0</v>
      </c>
    </row>
    <row r="6" spans="1:20" x14ac:dyDescent="0.25">
      <c r="A6" s="276">
        <v>5</v>
      </c>
      <c r="B6" s="277" t="s">
        <v>14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6">
        <v>0</v>
      </c>
      <c r="T6">
        <f t="shared" si="0"/>
        <v>0</v>
      </c>
    </row>
    <row r="7" spans="1:20" x14ac:dyDescent="0.25">
      <c r="A7" s="276">
        <v>6</v>
      </c>
      <c r="B7" s="277" t="s">
        <v>15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6">
        <v>0</v>
      </c>
      <c r="T7">
        <f t="shared" si="0"/>
        <v>0</v>
      </c>
    </row>
    <row r="8" spans="1:20" x14ac:dyDescent="0.25">
      <c r="A8" s="276">
        <v>7</v>
      </c>
      <c r="B8" s="277" t="s">
        <v>16</v>
      </c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6">
        <v>0</v>
      </c>
      <c r="T8">
        <f t="shared" si="0"/>
        <v>0</v>
      </c>
    </row>
    <row r="9" spans="1:20" x14ac:dyDescent="0.25">
      <c r="A9" s="276">
        <v>8</v>
      </c>
      <c r="B9" s="277" t="s">
        <v>4</v>
      </c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6">
        <v>0</v>
      </c>
      <c r="T9">
        <f t="shared" si="0"/>
        <v>0</v>
      </c>
    </row>
    <row r="10" spans="1:20" x14ac:dyDescent="0.25">
      <c r="A10" s="276">
        <v>9</v>
      </c>
      <c r="B10" s="277" t="s">
        <v>5</v>
      </c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6">
        <v>0</v>
      </c>
      <c r="T10">
        <f t="shared" si="0"/>
        <v>0</v>
      </c>
    </row>
    <row r="11" spans="1:20" x14ac:dyDescent="0.25">
      <c r="A11" s="276">
        <v>10</v>
      </c>
      <c r="B11" s="277" t="s">
        <v>38</v>
      </c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6">
        <v>0</v>
      </c>
      <c r="T11">
        <f t="shared" si="0"/>
        <v>0</v>
      </c>
    </row>
    <row r="12" spans="1:20" x14ac:dyDescent="0.25">
      <c r="A12" s="276">
        <v>11</v>
      </c>
      <c r="B12" s="277" t="s">
        <v>43</v>
      </c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6">
        <v>0</v>
      </c>
      <c r="T12">
        <f t="shared" si="0"/>
        <v>0</v>
      </c>
    </row>
    <row r="13" spans="1:20" x14ac:dyDescent="0.25">
      <c r="A13" s="276">
        <v>12</v>
      </c>
      <c r="B13" s="277" t="s">
        <v>639</v>
      </c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6">
        <v>0</v>
      </c>
      <c r="T13">
        <f t="shared" si="0"/>
        <v>0</v>
      </c>
    </row>
    <row r="14" spans="1:20" x14ac:dyDescent="0.25">
      <c r="A14" s="276">
        <v>13</v>
      </c>
      <c r="B14" s="277" t="s">
        <v>87</v>
      </c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6">
        <v>0</v>
      </c>
      <c r="T14">
        <f t="shared" si="0"/>
        <v>0</v>
      </c>
    </row>
    <row r="15" spans="1:20" x14ac:dyDescent="0.25">
      <c r="A15" s="276">
        <v>14</v>
      </c>
      <c r="B15" s="277" t="s">
        <v>95</v>
      </c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6">
        <v>0</v>
      </c>
      <c r="T15">
        <f t="shared" si="0"/>
        <v>0</v>
      </c>
    </row>
    <row r="16" spans="1:20" x14ac:dyDescent="0.25">
      <c r="A16" s="276">
        <v>15</v>
      </c>
      <c r="B16" s="277" t="s">
        <v>96</v>
      </c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6">
        <v>0</v>
      </c>
      <c r="T16">
        <f t="shared" si="0"/>
        <v>0</v>
      </c>
    </row>
    <row r="17" spans="1:20" x14ac:dyDescent="0.25">
      <c r="A17" s="276">
        <v>16</v>
      </c>
      <c r="B17" s="277" t="s">
        <v>97</v>
      </c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6">
        <v>0</v>
      </c>
      <c r="T17">
        <f t="shared" si="0"/>
        <v>0</v>
      </c>
    </row>
    <row r="18" spans="1:20" x14ac:dyDescent="0.25">
      <c r="A18" s="276">
        <v>17</v>
      </c>
      <c r="B18" s="277" t="s">
        <v>98</v>
      </c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6">
        <v>0</v>
      </c>
      <c r="T18">
        <f t="shared" si="0"/>
        <v>0</v>
      </c>
    </row>
    <row r="19" spans="1:20" x14ac:dyDescent="0.25">
      <c r="A19" s="276">
        <v>18</v>
      </c>
      <c r="B19" s="277" t="s">
        <v>616</v>
      </c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6">
        <v>0</v>
      </c>
      <c r="T19">
        <f t="shared" si="0"/>
        <v>0</v>
      </c>
    </row>
    <row r="20" spans="1:20" x14ac:dyDescent="0.25">
      <c r="A20" s="276">
        <v>19</v>
      </c>
      <c r="B20" s="277" t="s">
        <v>617</v>
      </c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6">
        <v>0</v>
      </c>
      <c r="T20">
        <f t="shared" si="0"/>
        <v>0</v>
      </c>
    </row>
    <row r="21" spans="1:20" x14ac:dyDescent="0.25">
      <c r="A21" s="276">
        <v>20</v>
      </c>
      <c r="B21" s="277" t="s">
        <v>626</v>
      </c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6">
        <v>0</v>
      </c>
      <c r="T21">
        <f t="shared" si="0"/>
        <v>0</v>
      </c>
    </row>
    <row r="22" spans="1:20" x14ac:dyDescent="0.25">
      <c r="A22" s="276">
        <v>21</v>
      </c>
      <c r="B22" s="277" t="s">
        <v>618</v>
      </c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6">
        <v>0</v>
      </c>
      <c r="T22">
        <f t="shared" si="0"/>
        <v>0</v>
      </c>
    </row>
    <row r="23" spans="1:20" x14ac:dyDescent="0.25">
      <c r="A23" s="276">
        <v>22</v>
      </c>
      <c r="B23" s="277" t="s">
        <v>619</v>
      </c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6">
        <v>0</v>
      </c>
      <c r="T23">
        <f t="shared" si="0"/>
        <v>0</v>
      </c>
    </row>
    <row r="24" spans="1:20" x14ac:dyDescent="0.25">
      <c r="A24" s="276">
        <v>23</v>
      </c>
      <c r="B24" s="277" t="s">
        <v>620</v>
      </c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6">
        <v>0</v>
      </c>
      <c r="T24">
        <f t="shared" si="0"/>
        <v>0</v>
      </c>
    </row>
    <row r="25" spans="1:20" x14ac:dyDescent="0.25">
      <c r="A25" s="276">
        <v>24</v>
      </c>
      <c r="B25" s="277" t="s">
        <v>650</v>
      </c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6">
        <v>0</v>
      </c>
      <c r="T25">
        <f t="shared" si="0"/>
        <v>0</v>
      </c>
    </row>
    <row r="26" spans="1:20" x14ac:dyDescent="0.25">
      <c r="A26" s="276">
        <v>25</v>
      </c>
      <c r="B26" s="277" t="s">
        <v>621</v>
      </c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6">
        <v>0</v>
      </c>
      <c r="T26">
        <f t="shared" si="0"/>
        <v>0</v>
      </c>
    </row>
    <row r="27" spans="1:20" x14ac:dyDescent="0.25">
      <c r="A27" s="276">
        <v>26</v>
      </c>
      <c r="B27" s="277" t="s">
        <v>622</v>
      </c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6">
        <v>0</v>
      </c>
      <c r="T27">
        <f t="shared" si="0"/>
        <v>0</v>
      </c>
    </row>
    <row r="28" spans="1:20" x14ac:dyDescent="0.25">
      <c r="A28" s="276">
        <v>27</v>
      </c>
      <c r="B28" s="277" t="s">
        <v>623</v>
      </c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6">
        <v>0</v>
      </c>
      <c r="T28">
        <f t="shared" si="0"/>
        <v>0</v>
      </c>
    </row>
    <row r="29" spans="1:20" x14ac:dyDescent="0.25">
      <c r="A29" s="276">
        <v>28</v>
      </c>
      <c r="B29" s="277" t="s">
        <v>624</v>
      </c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6">
        <v>0</v>
      </c>
      <c r="T29">
        <f t="shared" si="0"/>
        <v>0</v>
      </c>
    </row>
    <row r="30" spans="1:20" x14ac:dyDescent="0.25">
      <c r="A30" s="276">
        <v>29</v>
      </c>
      <c r="B30" s="277" t="s">
        <v>627</v>
      </c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6">
        <v>0</v>
      </c>
      <c r="T30">
        <f t="shared" si="0"/>
        <v>0</v>
      </c>
    </row>
    <row r="31" spans="1:20" x14ac:dyDescent="0.25">
      <c r="A31" s="276">
        <v>30</v>
      </c>
      <c r="B31" s="277" t="s">
        <v>625</v>
      </c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6">
        <v>0</v>
      </c>
      <c r="T31">
        <f t="shared" si="0"/>
        <v>0</v>
      </c>
    </row>
    <row r="32" spans="1:20" x14ac:dyDescent="0.25">
      <c r="A32" s="276">
        <v>31</v>
      </c>
      <c r="B32" s="277" t="s">
        <v>34</v>
      </c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6">
        <v>0</v>
      </c>
      <c r="T32">
        <f t="shared" si="0"/>
        <v>0</v>
      </c>
    </row>
    <row r="33" spans="1:20" x14ac:dyDescent="0.25">
      <c r="A33" s="276">
        <v>32</v>
      </c>
      <c r="B33" s="277" t="s">
        <v>45</v>
      </c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6">
        <v>0</v>
      </c>
      <c r="T33">
        <f t="shared" si="0"/>
        <v>0</v>
      </c>
    </row>
    <row r="34" spans="1:20" x14ac:dyDescent="0.25">
      <c r="A34" s="276">
        <v>33</v>
      </c>
      <c r="B34" s="277" t="s">
        <v>630</v>
      </c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6">
        <v>0</v>
      </c>
      <c r="T34">
        <f t="shared" si="0"/>
        <v>0</v>
      </c>
    </row>
    <row r="35" spans="1:20" x14ac:dyDescent="0.25">
      <c r="A35" s="276">
        <v>34</v>
      </c>
      <c r="B35" s="277" t="s">
        <v>628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6">
        <v>0</v>
      </c>
      <c r="T35">
        <f t="shared" si="0"/>
        <v>0</v>
      </c>
    </row>
    <row r="36" spans="1:20" x14ac:dyDescent="0.25">
      <c r="A36" s="276">
        <v>35</v>
      </c>
      <c r="B36" s="277" t="s">
        <v>629</v>
      </c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6">
        <v>0</v>
      </c>
      <c r="T36">
        <f t="shared" si="0"/>
        <v>0</v>
      </c>
    </row>
    <row r="37" spans="1:20" x14ac:dyDescent="0.25">
      <c r="A37" s="276">
        <v>36</v>
      </c>
      <c r="B37" s="277" t="s">
        <v>631</v>
      </c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6">
        <v>0</v>
      </c>
      <c r="T37">
        <f t="shared" si="0"/>
        <v>0</v>
      </c>
    </row>
    <row r="38" spans="1:20" x14ac:dyDescent="0.25">
      <c r="A38" s="276">
        <v>37</v>
      </c>
      <c r="B38" s="277" t="s">
        <v>632</v>
      </c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6">
        <v>0</v>
      </c>
      <c r="T38">
        <f t="shared" si="0"/>
        <v>0</v>
      </c>
    </row>
    <row r="39" spans="1:20" x14ac:dyDescent="0.25">
      <c r="A39" s="276">
        <v>38</v>
      </c>
      <c r="B39" s="277" t="s">
        <v>633</v>
      </c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6">
        <v>0</v>
      </c>
      <c r="T39">
        <f t="shared" si="0"/>
        <v>0</v>
      </c>
    </row>
    <row r="40" spans="1:20" x14ac:dyDescent="0.25">
      <c r="A40" s="276">
        <v>39</v>
      </c>
      <c r="B40" s="277" t="s">
        <v>634</v>
      </c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 t="s">
        <v>26</v>
      </c>
      <c r="N40" s="277" t="s">
        <v>84</v>
      </c>
      <c r="O40" s="277"/>
      <c r="P40" s="277"/>
      <c r="Q40" s="277" t="s">
        <v>26</v>
      </c>
      <c r="R40" s="278">
        <v>28</v>
      </c>
      <c r="T40">
        <f t="shared" si="0"/>
        <v>28</v>
      </c>
    </row>
    <row r="41" spans="1:20" x14ac:dyDescent="0.25">
      <c r="A41" s="276">
        <v>40</v>
      </c>
      <c r="B41" s="277" t="s">
        <v>636</v>
      </c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6">
        <v>0</v>
      </c>
      <c r="T41">
        <f t="shared" si="0"/>
        <v>0</v>
      </c>
    </row>
    <row r="42" spans="1:20" x14ac:dyDescent="0.25">
      <c r="A42" s="276">
        <v>41</v>
      </c>
      <c r="B42" s="277" t="s">
        <v>637</v>
      </c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6">
        <v>0</v>
      </c>
      <c r="T42">
        <f t="shared" si="0"/>
        <v>0</v>
      </c>
    </row>
    <row r="43" spans="1:20" x14ac:dyDescent="0.25">
      <c r="A43" s="276">
        <v>42</v>
      </c>
      <c r="B43" s="277" t="s">
        <v>640</v>
      </c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6">
        <v>0</v>
      </c>
      <c r="T43">
        <f t="shared" si="0"/>
        <v>0</v>
      </c>
    </row>
    <row r="44" spans="1:20" x14ac:dyDescent="0.25">
      <c r="A44" s="276">
        <v>43</v>
      </c>
      <c r="B44" s="277" t="s">
        <v>638</v>
      </c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6">
        <v>0</v>
      </c>
      <c r="T44">
        <f t="shared" si="0"/>
        <v>0</v>
      </c>
    </row>
    <row r="45" spans="1:20" x14ac:dyDescent="0.25">
      <c r="A45" s="276">
        <v>44</v>
      </c>
      <c r="B45" s="277" t="s">
        <v>635</v>
      </c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6">
        <v>0</v>
      </c>
      <c r="T45">
        <f t="shared" si="0"/>
        <v>0</v>
      </c>
    </row>
    <row r="46" spans="1:20" x14ac:dyDescent="0.25">
      <c r="A46" s="276">
        <v>45</v>
      </c>
      <c r="B46" s="277" t="s">
        <v>641</v>
      </c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6">
        <v>0</v>
      </c>
      <c r="T46">
        <f t="shared" si="0"/>
        <v>0</v>
      </c>
    </row>
    <row r="47" spans="1:20" x14ac:dyDescent="0.25">
      <c r="A47" s="276">
        <v>46</v>
      </c>
      <c r="B47" s="277" t="s">
        <v>649</v>
      </c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6">
        <v>0</v>
      </c>
      <c r="T47">
        <f t="shared" si="0"/>
        <v>0</v>
      </c>
    </row>
    <row r="48" spans="1:20" x14ac:dyDescent="0.25">
      <c r="A48" s="276">
        <v>47</v>
      </c>
      <c r="B48" s="277" t="s">
        <v>642</v>
      </c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6">
        <v>0</v>
      </c>
      <c r="T48">
        <f t="shared" si="0"/>
        <v>0</v>
      </c>
    </row>
    <row r="49" spans="1:20" x14ac:dyDescent="0.25">
      <c r="A49" s="276">
        <v>48</v>
      </c>
      <c r="B49" s="277" t="s">
        <v>643</v>
      </c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6">
        <v>0</v>
      </c>
      <c r="T49">
        <f t="shared" si="0"/>
        <v>0</v>
      </c>
    </row>
    <row r="50" spans="1:20" x14ac:dyDescent="0.25">
      <c r="A50" s="276">
        <v>49</v>
      </c>
      <c r="B50" s="277" t="s">
        <v>644</v>
      </c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6">
        <v>0</v>
      </c>
      <c r="T50">
        <f t="shared" si="0"/>
        <v>0</v>
      </c>
    </row>
    <row r="51" spans="1:20" x14ac:dyDescent="0.25">
      <c r="A51" s="276">
        <v>50</v>
      </c>
      <c r="B51" s="277" t="s">
        <v>646</v>
      </c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6">
        <v>0</v>
      </c>
      <c r="T51">
        <f t="shared" si="0"/>
        <v>0</v>
      </c>
    </row>
    <row r="52" spans="1:20" x14ac:dyDescent="0.25">
      <c r="A52" s="276">
        <v>51</v>
      </c>
      <c r="B52" s="277" t="s">
        <v>647</v>
      </c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6">
        <v>0</v>
      </c>
      <c r="T52">
        <f t="shared" si="0"/>
        <v>0</v>
      </c>
    </row>
    <row r="53" spans="1:20" x14ac:dyDescent="0.25">
      <c r="A53" s="276">
        <v>52</v>
      </c>
      <c r="B53" s="277" t="s">
        <v>652</v>
      </c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6">
        <v>0</v>
      </c>
      <c r="T53">
        <f t="shared" si="0"/>
        <v>0</v>
      </c>
    </row>
    <row r="54" spans="1:20" x14ac:dyDescent="0.25">
      <c r="A54" s="276">
        <v>53</v>
      </c>
      <c r="B54" s="277" t="s">
        <v>653</v>
      </c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6">
        <v>0</v>
      </c>
      <c r="T54">
        <f t="shared" si="0"/>
        <v>0</v>
      </c>
    </row>
    <row r="55" spans="1:20" x14ac:dyDescent="0.25">
      <c r="A55" s="276">
        <v>54</v>
      </c>
      <c r="B55" s="277" t="s">
        <v>654</v>
      </c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6">
        <v>0</v>
      </c>
      <c r="T55">
        <f t="shared" si="0"/>
        <v>0</v>
      </c>
    </row>
    <row r="56" spans="1:20" x14ac:dyDescent="0.25">
      <c r="A56" s="276">
        <v>55</v>
      </c>
      <c r="B56" s="277" t="s">
        <v>655</v>
      </c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6">
        <v>0</v>
      </c>
      <c r="T56">
        <f t="shared" si="0"/>
        <v>0</v>
      </c>
    </row>
    <row r="57" spans="1:20" x14ac:dyDescent="0.25">
      <c r="A57" s="276">
        <v>56</v>
      </c>
      <c r="B57" s="277" t="s">
        <v>656</v>
      </c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6">
        <v>0</v>
      </c>
      <c r="T57">
        <f t="shared" si="0"/>
        <v>0</v>
      </c>
    </row>
    <row r="58" spans="1:20" x14ac:dyDescent="0.25">
      <c r="A58" s="276">
        <v>57</v>
      </c>
      <c r="B58" s="277" t="s">
        <v>657</v>
      </c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6">
        <v>0</v>
      </c>
      <c r="T58">
        <f t="shared" si="0"/>
        <v>0</v>
      </c>
    </row>
    <row r="59" spans="1:20" x14ac:dyDescent="0.25">
      <c r="A59" s="276">
        <v>58</v>
      </c>
      <c r="B59" s="277" t="s">
        <v>658</v>
      </c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6">
        <v>0</v>
      </c>
      <c r="T59">
        <f t="shared" si="0"/>
        <v>0</v>
      </c>
    </row>
    <row r="60" spans="1:20" x14ac:dyDescent="0.25">
      <c r="A60" s="276">
        <v>59</v>
      </c>
      <c r="B60" s="277" t="s">
        <v>659</v>
      </c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6">
        <v>0</v>
      </c>
      <c r="T60">
        <f t="shared" si="0"/>
        <v>0</v>
      </c>
    </row>
    <row r="61" spans="1:20" x14ac:dyDescent="0.25">
      <c r="A61" s="276">
        <v>60</v>
      </c>
      <c r="B61" s="277" t="s">
        <v>660</v>
      </c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6">
        <v>0</v>
      </c>
      <c r="T61">
        <f t="shared" si="0"/>
        <v>0</v>
      </c>
    </row>
    <row r="62" spans="1:20" x14ac:dyDescent="0.25">
      <c r="A62" s="276">
        <v>61</v>
      </c>
      <c r="B62" s="277" t="s">
        <v>661</v>
      </c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6">
        <v>0</v>
      </c>
      <c r="T62">
        <f t="shared" si="0"/>
        <v>0</v>
      </c>
    </row>
    <row r="63" spans="1:20" x14ac:dyDescent="0.25">
      <c r="A63" s="276">
        <v>62</v>
      </c>
      <c r="B63" s="277" t="s">
        <v>662</v>
      </c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6">
        <v>0</v>
      </c>
      <c r="T63">
        <f t="shared" si="0"/>
        <v>0</v>
      </c>
    </row>
    <row r="64" spans="1:20" x14ac:dyDescent="0.25">
      <c r="A64" s="276">
        <v>63</v>
      </c>
      <c r="B64" s="277" t="s">
        <v>668</v>
      </c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6">
        <v>0</v>
      </c>
      <c r="T64">
        <f t="shared" si="0"/>
        <v>0</v>
      </c>
    </row>
    <row r="65" spans="1:18" x14ac:dyDescent="0.2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9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65"/>
  <sheetViews>
    <sheetView zoomScale="70" zoomScaleNormal="70" workbookViewId="0">
      <selection activeCell="B20" sqref="B20"/>
    </sheetView>
  </sheetViews>
  <sheetFormatPr defaultRowHeight="15" x14ac:dyDescent="0.25"/>
  <sheetData>
    <row r="1" spans="1:20" x14ac:dyDescent="0.25">
      <c r="A1" s="280" t="s">
        <v>1</v>
      </c>
      <c r="B1" s="280" t="s">
        <v>6</v>
      </c>
      <c r="C1" s="280" t="s">
        <v>46</v>
      </c>
      <c r="D1" s="280" t="s">
        <v>47</v>
      </c>
      <c r="E1" s="280" t="s">
        <v>48</v>
      </c>
      <c r="F1" s="280" t="s">
        <v>49</v>
      </c>
      <c r="G1" s="280" t="s">
        <v>50</v>
      </c>
      <c r="H1" s="280" t="s">
        <v>51</v>
      </c>
      <c r="I1" s="280" t="s">
        <v>52</v>
      </c>
      <c r="J1" s="280" t="s">
        <v>53</v>
      </c>
      <c r="K1" s="280" t="s">
        <v>54</v>
      </c>
      <c r="L1" s="280" t="s">
        <v>55</v>
      </c>
      <c r="M1" s="280" t="s">
        <v>56</v>
      </c>
      <c r="N1" s="280" t="s">
        <v>57</v>
      </c>
      <c r="O1" s="280" t="s">
        <v>58</v>
      </c>
      <c r="P1" s="280" t="s">
        <v>59</v>
      </c>
      <c r="Q1" s="280" t="s">
        <v>667</v>
      </c>
      <c r="R1" s="280" t="s">
        <v>2</v>
      </c>
    </row>
    <row r="2" spans="1:20" x14ac:dyDescent="0.25">
      <c r="A2" s="281">
        <v>1</v>
      </c>
      <c r="B2" s="282" t="s">
        <v>10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1">
        <v>0</v>
      </c>
      <c r="T2">
        <f t="shared" ref="T2:T64" si="0">C2+D2+E2+F2+G2+H2+I2+J2+K2+L2+M2+N2+O2+P2+Q2</f>
        <v>0</v>
      </c>
    </row>
    <row r="3" spans="1:20" x14ac:dyDescent="0.25">
      <c r="A3" s="281">
        <v>2</v>
      </c>
      <c r="B3" s="282" t="s">
        <v>11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1">
        <v>0</v>
      </c>
      <c r="T3">
        <f t="shared" si="0"/>
        <v>0</v>
      </c>
    </row>
    <row r="4" spans="1:20" x14ac:dyDescent="0.25">
      <c r="A4" s="281">
        <v>3</v>
      </c>
      <c r="B4" s="282" t="s">
        <v>12</v>
      </c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1">
        <v>0</v>
      </c>
      <c r="T4">
        <f t="shared" si="0"/>
        <v>0</v>
      </c>
    </row>
    <row r="5" spans="1:20" x14ac:dyDescent="0.25">
      <c r="A5" s="281">
        <v>4</v>
      </c>
      <c r="B5" s="282" t="s">
        <v>651</v>
      </c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1">
        <v>0</v>
      </c>
      <c r="T5">
        <f t="shared" si="0"/>
        <v>0</v>
      </c>
    </row>
    <row r="6" spans="1:20" x14ac:dyDescent="0.25">
      <c r="A6" s="281">
        <v>5</v>
      </c>
      <c r="B6" s="282" t="s">
        <v>14</v>
      </c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1">
        <v>0</v>
      </c>
      <c r="T6">
        <f t="shared" si="0"/>
        <v>0</v>
      </c>
    </row>
    <row r="7" spans="1:20" x14ac:dyDescent="0.25">
      <c r="A7" s="281">
        <v>6</v>
      </c>
      <c r="B7" s="282" t="s">
        <v>15</v>
      </c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1">
        <v>0</v>
      </c>
      <c r="T7">
        <f t="shared" si="0"/>
        <v>0</v>
      </c>
    </row>
    <row r="8" spans="1:20" x14ac:dyDescent="0.25">
      <c r="A8" s="281">
        <v>7</v>
      </c>
      <c r="B8" s="282" t="s">
        <v>16</v>
      </c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1">
        <v>0</v>
      </c>
      <c r="T8">
        <f t="shared" si="0"/>
        <v>0</v>
      </c>
    </row>
    <row r="9" spans="1:20" x14ac:dyDescent="0.25">
      <c r="A9" s="281">
        <v>8</v>
      </c>
      <c r="B9" s="282" t="s">
        <v>4</v>
      </c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1">
        <v>0</v>
      </c>
      <c r="T9">
        <f t="shared" si="0"/>
        <v>0</v>
      </c>
    </row>
    <row r="10" spans="1:20" x14ac:dyDescent="0.25">
      <c r="A10" s="281">
        <v>9</v>
      </c>
      <c r="B10" s="282" t="s">
        <v>5</v>
      </c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1">
        <v>0</v>
      </c>
      <c r="T10">
        <f t="shared" si="0"/>
        <v>0</v>
      </c>
    </row>
    <row r="11" spans="1:20" x14ac:dyDescent="0.25">
      <c r="A11" s="281">
        <v>10</v>
      </c>
      <c r="B11" s="282" t="s">
        <v>38</v>
      </c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1">
        <v>0</v>
      </c>
      <c r="T11">
        <f t="shared" si="0"/>
        <v>0</v>
      </c>
    </row>
    <row r="12" spans="1:20" x14ac:dyDescent="0.25">
      <c r="A12" s="281">
        <v>11</v>
      </c>
      <c r="B12" s="282" t="s">
        <v>43</v>
      </c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1">
        <v>0</v>
      </c>
      <c r="T12">
        <f t="shared" si="0"/>
        <v>0</v>
      </c>
    </row>
    <row r="13" spans="1:20" x14ac:dyDescent="0.25">
      <c r="A13" s="281">
        <v>12</v>
      </c>
      <c r="B13" s="282" t="s">
        <v>639</v>
      </c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81">
        <v>0</v>
      </c>
      <c r="T13">
        <f t="shared" si="0"/>
        <v>0</v>
      </c>
    </row>
    <row r="14" spans="1:20" x14ac:dyDescent="0.25">
      <c r="A14" s="281">
        <v>13</v>
      </c>
      <c r="B14" s="282" t="s">
        <v>87</v>
      </c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1">
        <v>0</v>
      </c>
      <c r="T14">
        <f t="shared" si="0"/>
        <v>0</v>
      </c>
    </row>
    <row r="15" spans="1:20" x14ac:dyDescent="0.25">
      <c r="A15" s="281">
        <v>14</v>
      </c>
      <c r="B15" s="282" t="s">
        <v>95</v>
      </c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1">
        <v>0</v>
      </c>
      <c r="T15">
        <f t="shared" si="0"/>
        <v>0</v>
      </c>
    </row>
    <row r="16" spans="1:20" x14ac:dyDescent="0.25">
      <c r="A16" s="281">
        <v>15</v>
      </c>
      <c r="B16" s="282" t="s">
        <v>96</v>
      </c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1">
        <v>0</v>
      </c>
      <c r="T16">
        <f t="shared" si="0"/>
        <v>0</v>
      </c>
    </row>
    <row r="17" spans="1:20" x14ac:dyDescent="0.25">
      <c r="A17" s="281">
        <v>16</v>
      </c>
      <c r="B17" s="282" t="s">
        <v>97</v>
      </c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1">
        <v>0</v>
      </c>
      <c r="T17">
        <f t="shared" si="0"/>
        <v>0</v>
      </c>
    </row>
    <row r="18" spans="1:20" x14ac:dyDescent="0.25">
      <c r="A18" s="281">
        <v>17</v>
      </c>
      <c r="B18" s="282" t="s">
        <v>98</v>
      </c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1">
        <v>0</v>
      </c>
      <c r="T18">
        <f t="shared" si="0"/>
        <v>0</v>
      </c>
    </row>
    <row r="19" spans="1:20" x14ac:dyDescent="0.25">
      <c r="A19" s="281">
        <v>18</v>
      </c>
      <c r="B19" s="282" t="s">
        <v>616</v>
      </c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1">
        <v>0</v>
      </c>
      <c r="T19">
        <f t="shared" si="0"/>
        <v>0</v>
      </c>
    </row>
    <row r="20" spans="1:20" x14ac:dyDescent="0.25">
      <c r="A20" s="281">
        <v>19</v>
      </c>
      <c r="B20" s="282" t="s">
        <v>617</v>
      </c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1">
        <v>0</v>
      </c>
      <c r="T20">
        <f t="shared" si="0"/>
        <v>0</v>
      </c>
    </row>
    <row r="21" spans="1:20" x14ac:dyDescent="0.25">
      <c r="A21" s="281">
        <v>20</v>
      </c>
      <c r="B21" s="282" t="s">
        <v>626</v>
      </c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1">
        <v>0</v>
      </c>
      <c r="T21">
        <f t="shared" si="0"/>
        <v>0</v>
      </c>
    </row>
    <row r="22" spans="1:20" x14ac:dyDescent="0.25">
      <c r="A22" s="281">
        <v>21</v>
      </c>
      <c r="B22" s="282" t="s">
        <v>618</v>
      </c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1">
        <v>0</v>
      </c>
      <c r="T22">
        <f t="shared" si="0"/>
        <v>0</v>
      </c>
    </row>
    <row r="23" spans="1:20" x14ac:dyDescent="0.25">
      <c r="A23" s="281">
        <v>22</v>
      </c>
      <c r="B23" s="282" t="s">
        <v>619</v>
      </c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1">
        <v>0</v>
      </c>
      <c r="T23">
        <f t="shared" si="0"/>
        <v>0</v>
      </c>
    </row>
    <row r="24" spans="1:20" x14ac:dyDescent="0.25">
      <c r="A24" s="281">
        <v>23</v>
      </c>
      <c r="B24" s="282" t="s">
        <v>620</v>
      </c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1">
        <v>0</v>
      </c>
      <c r="T24">
        <f t="shared" si="0"/>
        <v>0</v>
      </c>
    </row>
    <row r="25" spans="1:20" x14ac:dyDescent="0.25">
      <c r="A25" s="281">
        <v>24</v>
      </c>
      <c r="B25" s="282" t="s">
        <v>650</v>
      </c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1">
        <v>0</v>
      </c>
      <c r="T25">
        <f t="shared" si="0"/>
        <v>0</v>
      </c>
    </row>
    <row r="26" spans="1:20" x14ac:dyDescent="0.25">
      <c r="A26" s="281">
        <v>25</v>
      </c>
      <c r="B26" s="282" t="s">
        <v>621</v>
      </c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1">
        <v>0</v>
      </c>
      <c r="T26">
        <f t="shared" si="0"/>
        <v>0</v>
      </c>
    </row>
    <row r="27" spans="1:20" x14ac:dyDescent="0.25">
      <c r="A27" s="281">
        <v>26</v>
      </c>
      <c r="B27" s="282" t="s">
        <v>622</v>
      </c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1">
        <v>0</v>
      </c>
      <c r="T27">
        <f t="shared" si="0"/>
        <v>0</v>
      </c>
    </row>
    <row r="28" spans="1:20" x14ac:dyDescent="0.25">
      <c r="A28" s="281">
        <v>27</v>
      </c>
      <c r="B28" s="282" t="s">
        <v>623</v>
      </c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R28" s="281">
        <v>0</v>
      </c>
      <c r="T28">
        <f t="shared" si="0"/>
        <v>0</v>
      </c>
    </row>
    <row r="29" spans="1:20" x14ac:dyDescent="0.25">
      <c r="A29" s="281">
        <v>28</v>
      </c>
      <c r="B29" s="282" t="s">
        <v>624</v>
      </c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R29" s="281">
        <v>0</v>
      </c>
      <c r="T29">
        <f t="shared" si="0"/>
        <v>0</v>
      </c>
    </row>
    <row r="30" spans="1:20" x14ac:dyDescent="0.25">
      <c r="A30" s="281">
        <v>29</v>
      </c>
      <c r="B30" s="282" t="s">
        <v>627</v>
      </c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1">
        <v>0</v>
      </c>
      <c r="T30">
        <f t="shared" si="0"/>
        <v>0</v>
      </c>
    </row>
    <row r="31" spans="1:20" x14ac:dyDescent="0.25">
      <c r="A31" s="281">
        <v>30</v>
      </c>
      <c r="B31" s="282" t="s">
        <v>625</v>
      </c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1">
        <v>0</v>
      </c>
      <c r="T31">
        <f t="shared" si="0"/>
        <v>0</v>
      </c>
    </row>
    <row r="32" spans="1:20" x14ac:dyDescent="0.25">
      <c r="A32" s="281">
        <v>31</v>
      </c>
      <c r="B32" s="282" t="s">
        <v>34</v>
      </c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1">
        <v>0</v>
      </c>
      <c r="T32">
        <f t="shared" si="0"/>
        <v>0</v>
      </c>
    </row>
    <row r="33" spans="1:20" x14ac:dyDescent="0.25">
      <c r="A33" s="281">
        <v>32</v>
      </c>
      <c r="B33" s="282" t="s">
        <v>45</v>
      </c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1">
        <v>0</v>
      </c>
      <c r="T33">
        <f t="shared" si="0"/>
        <v>0</v>
      </c>
    </row>
    <row r="34" spans="1:20" x14ac:dyDescent="0.25">
      <c r="A34" s="281">
        <v>33</v>
      </c>
      <c r="B34" s="282" t="s">
        <v>630</v>
      </c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1">
        <v>0</v>
      </c>
      <c r="T34">
        <f t="shared" si="0"/>
        <v>0</v>
      </c>
    </row>
    <row r="35" spans="1:20" x14ac:dyDescent="0.25">
      <c r="A35" s="281">
        <v>34</v>
      </c>
      <c r="B35" s="282" t="s">
        <v>628</v>
      </c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1">
        <v>0</v>
      </c>
      <c r="T35">
        <f t="shared" si="0"/>
        <v>0</v>
      </c>
    </row>
    <row r="36" spans="1:20" x14ac:dyDescent="0.25">
      <c r="A36" s="281">
        <v>35</v>
      </c>
      <c r="B36" s="282" t="s">
        <v>629</v>
      </c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1">
        <v>0</v>
      </c>
      <c r="T36">
        <f t="shared" si="0"/>
        <v>0</v>
      </c>
    </row>
    <row r="37" spans="1:20" x14ac:dyDescent="0.25">
      <c r="A37" s="281">
        <v>36</v>
      </c>
      <c r="B37" s="282" t="s">
        <v>631</v>
      </c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1">
        <v>0</v>
      </c>
      <c r="T37">
        <f t="shared" si="0"/>
        <v>0</v>
      </c>
    </row>
    <row r="38" spans="1:20" x14ac:dyDescent="0.25">
      <c r="A38" s="281">
        <v>37</v>
      </c>
      <c r="B38" s="282" t="s">
        <v>632</v>
      </c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1">
        <v>0</v>
      </c>
      <c r="T38">
        <f t="shared" si="0"/>
        <v>0</v>
      </c>
    </row>
    <row r="39" spans="1:20" x14ac:dyDescent="0.25">
      <c r="A39" s="281">
        <v>38</v>
      </c>
      <c r="B39" s="282" t="s">
        <v>633</v>
      </c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1">
        <v>0</v>
      </c>
      <c r="T39">
        <f t="shared" si="0"/>
        <v>0</v>
      </c>
    </row>
    <row r="40" spans="1:20" x14ac:dyDescent="0.25">
      <c r="A40" s="281">
        <v>39</v>
      </c>
      <c r="B40" s="282" t="s">
        <v>634</v>
      </c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1">
        <v>0</v>
      </c>
      <c r="T40">
        <f t="shared" si="0"/>
        <v>0</v>
      </c>
    </row>
    <row r="41" spans="1:20" x14ac:dyDescent="0.25">
      <c r="A41" s="281">
        <v>40</v>
      </c>
      <c r="B41" s="282" t="s">
        <v>636</v>
      </c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1">
        <v>0</v>
      </c>
      <c r="T41">
        <f t="shared" si="0"/>
        <v>0</v>
      </c>
    </row>
    <row r="42" spans="1:20" x14ac:dyDescent="0.25">
      <c r="A42" s="281">
        <v>41</v>
      </c>
      <c r="B42" s="282" t="s">
        <v>637</v>
      </c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 t="s">
        <v>26</v>
      </c>
      <c r="N42" s="282"/>
      <c r="O42" s="282"/>
      <c r="P42" s="282"/>
      <c r="Q42" s="282"/>
      <c r="R42" s="283">
        <v>11</v>
      </c>
      <c r="T42">
        <f t="shared" si="0"/>
        <v>11</v>
      </c>
    </row>
    <row r="43" spans="1:20" x14ac:dyDescent="0.25">
      <c r="A43" s="281">
        <v>42</v>
      </c>
      <c r="B43" s="282" t="s">
        <v>640</v>
      </c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1">
        <v>0</v>
      </c>
      <c r="T43">
        <f t="shared" si="0"/>
        <v>0</v>
      </c>
    </row>
    <row r="44" spans="1:20" x14ac:dyDescent="0.25">
      <c r="A44" s="281">
        <v>43</v>
      </c>
      <c r="B44" s="282" t="s">
        <v>638</v>
      </c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1">
        <v>0</v>
      </c>
      <c r="T44">
        <f t="shared" si="0"/>
        <v>0</v>
      </c>
    </row>
    <row r="45" spans="1:20" x14ac:dyDescent="0.25">
      <c r="A45" s="281">
        <v>44</v>
      </c>
      <c r="B45" s="282" t="s">
        <v>635</v>
      </c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1">
        <v>0</v>
      </c>
      <c r="T45">
        <f t="shared" si="0"/>
        <v>0</v>
      </c>
    </row>
    <row r="46" spans="1:20" x14ac:dyDescent="0.25">
      <c r="A46" s="281">
        <v>45</v>
      </c>
      <c r="B46" s="282" t="s">
        <v>641</v>
      </c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1">
        <v>0</v>
      </c>
      <c r="T46">
        <f t="shared" si="0"/>
        <v>0</v>
      </c>
    </row>
    <row r="47" spans="1:20" x14ac:dyDescent="0.25">
      <c r="A47" s="281">
        <v>46</v>
      </c>
      <c r="B47" s="282" t="s">
        <v>649</v>
      </c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1">
        <v>0</v>
      </c>
      <c r="T47">
        <f t="shared" si="0"/>
        <v>0</v>
      </c>
    </row>
    <row r="48" spans="1:20" x14ac:dyDescent="0.25">
      <c r="A48" s="281">
        <v>47</v>
      </c>
      <c r="B48" s="282" t="s">
        <v>642</v>
      </c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1">
        <v>0</v>
      </c>
      <c r="T48">
        <f t="shared" si="0"/>
        <v>0</v>
      </c>
    </row>
    <row r="49" spans="1:20" x14ac:dyDescent="0.25">
      <c r="A49" s="281">
        <v>48</v>
      </c>
      <c r="B49" s="282" t="s">
        <v>643</v>
      </c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1">
        <v>0</v>
      </c>
      <c r="T49">
        <f t="shared" si="0"/>
        <v>0</v>
      </c>
    </row>
    <row r="50" spans="1:20" x14ac:dyDescent="0.25">
      <c r="A50" s="281">
        <v>49</v>
      </c>
      <c r="B50" s="282" t="s">
        <v>644</v>
      </c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1">
        <v>0</v>
      </c>
      <c r="T50">
        <f t="shared" si="0"/>
        <v>0</v>
      </c>
    </row>
    <row r="51" spans="1:20" x14ac:dyDescent="0.25">
      <c r="A51" s="281">
        <v>50</v>
      </c>
      <c r="B51" s="282" t="s">
        <v>646</v>
      </c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1">
        <v>0</v>
      </c>
      <c r="T51">
        <f t="shared" si="0"/>
        <v>0</v>
      </c>
    </row>
    <row r="52" spans="1:20" x14ac:dyDescent="0.25">
      <c r="A52" s="281">
        <v>51</v>
      </c>
      <c r="B52" s="282" t="s">
        <v>647</v>
      </c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1">
        <v>0</v>
      </c>
      <c r="T52">
        <f t="shared" si="0"/>
        <v>0</v>
      </c>
    </row>
    <row r="53" spans="1:20" x14ac:dyDescent="0.25">
      <c r="A53" s="281">
        <v>52</v>
      </c>
      <c r="B53" s="282" t="s">
        <v>652</v>
      </c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1">
        <v>0</v>
      </c>
      <c r="T53">
        <f t="shared" si="0"/>
        <v>0</v>
      </c>
    </row>
    <row r="54" spans="1:20" x14ac:dyDescent="0.25">
      <c r="A54" s="281">
        <v>53</v>
      </c>
      <c r="B54" s="282" t="s">
        <v>653</v>
      </c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1">
        <v>0</v>
      </c>
      <c r="T54">
        <f t="shared" si="0"/>
        <v>0</v>
      </c>
    </row>
    <row r="55" spans="1:20" x14ac:dyDescent="0.25">
      <c r="A55" s="281">
        <v>54</v>
      </c>
      <c r="B55" s="282" t="s">
        <v>654</v>
      </c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1">
        <v>0</v>
      </c>
      <c r="T55">
        <f t="shared" si="0"/>
        <v>0</v>
      </c>
    </row>
    <row r="56" spans="1:20" x14ac:dyDescent="0.25">
      <c r="A56" s="281">
        <v>55</v>
      </c>
      <c r="B56" s="282" t="s">
        <v>655</v>
      </c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1">
        <v>0</v>
      </c>
      <c r="T56">
        <f t="shared" si="0"/>
        <v>0</v>
      </c>
    </row>
    <row r="57" spans="1:20" x14ac:dyDescent="0.25">
      <c r="A57" s="281">
        <v>56</v>
      </c>
      <c r="B57" s="282" t="s">
        <v>656</v>
      </c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1">
        <v>0</v>
      </c>
      <c r="T57">
        <f t="shared" si="0"/>
        <v>0</v>
      </c>
    </row>
    <row r="58" spans="1:20" x14ac:dyDescent="0.25">
      <c r="A58" s="281">
        <v>57</v>
      </c>
      <c r="B58" s="282" t="s">
        <v>657</v>
      </c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1">
        <v>0</v>
      </c>
      <c r="T58">
        <f t="shared" si="0"/>
        <v>0</v>
      </c>
    </row>
    <row r="59" spans="1:20" x14ac:dyDescent="0.25">
      <c r="A59" s="281">
        <v>58</v>
      </c>
      <c r="B59" s="282" t="s">
        <v>658</v>
      </c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1">
        <v>0</v>
      </c>
      <c r="T59">
        <f t="shared" si="0"/>
        <v>0</v>
      </c>
    </row>
    <row r="60" spans="1:20" x14ac:dyDescent="0.25">
      <c r="A60" s="281">
        <v>59</v>
      </c>
      <c r="B60" s="282" t="s">
        <v>659</v>
      </c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1">
        <v>0</v>
      </c>
      <c r="T60">
        <f t="shared" si="0"/>
        <v>0</v>
      </c>
    </row>
    <row r="61" spans="1:20" x14ac:dyDescent="0.25">
      <c r="A61" s="281">
        <v>60</v>
      </c>
      <c r="B61" s="282" t="s">
        <v>660</v>
      </c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1">
        <v>0</v>
      </c>
      <c r="T61">
        <f t="shared" si="0"/>
        <v>0</v>
      </c>
    </row>
    <row r="62" spans="1:20" x14ac:dyDescent="0.25">
      <c r="A62" s="281">
        <v>61</v>
      </c>
      <c r="B62" s="282" t="s">
        <v>661</v>
      </c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1">
        <v>0</v>
      </c>
      <c r="T62">
        <f t="shared" si="0"/>
        <v>0</v>
      </c>
    </row>
    <row r="63" spans="1:20" x14ac:dyDescent="0.25">
      <c r="A63" s="281">
        <v>62</v>
      </c>
      <c r="B63" s="282" t="s">
        <v>662</v>
      </c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1">
        <v>0</v>
      </c>
      <c r="T63">
        <f t="shared" si="0"/>
        <v>0</v>
      </c>
    </row>
    <row r="64" spans="1:20" x14ac:dyDescent="0.25">
      <c r="A64" s="281">
        <v>63</v>
      </c>
      <c r="B64" s="282" t="s">
        <v>668</v>
      </c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1">
        <v>0</v>
      </c>
      <c r="T64">
        <f t="shared" si="0"/>
        <v>0</v>
      </c>
    </row>
    <row r="65" spans="1:18" x14ac:dyDescent="0.25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4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85" t="s">
        <v>1</v>
      </c>
      <c r="B1" s="285" t="s">
        <v>6</v>
      </c>
      <c r="C1" s="285" t="s">
        <v>46</v>
      </c>
      <c r="D1" s="285" t="s">
        <v>47</v>
      </c>
      <c r="E1" s="285" t="s">
        <v>48</v>
      </c>
      <c r="F1" s="285" t="s">
        <v>49</v>
      </c>
      <c r="G1" s="285" t="s">
        <v>50</v>
      </c>
      <c r="H1" s="285" t="s">
        <v>51</v>
      </c>
      <c r="I1" s="285" t="s">
        <v>52</v>
      </c>
      <c r="J1" s="285" t="s">
        <v>53</v>
      </c>
      <c r="K1" s="285" t="s">
        <v>54</v>
      </c>
      <c r="L1" s="285" t="s">
        <v>55</v>
      </c>
      <c r="M1" s="285" t="s">
        <v>56</v>
      </c>
      <c r="N1" s="285" t="s">
        <v>57</v>
      </c>
      <c r="O1" s="285" t="s">
        <v>58</v>
      </c>
      <c r="P1" s="285" t="s">
        <v>59</v>
      </c>
      <c r="Q1" s="285" t="s">
        <v>667</v>
      </c>
      <c r="R1" s="285" t="s">
        <v>2</v>
      </c>
    </row>
    <row r="2" spans="1:20" x14ac:dyDescent="0.25">
      <c r="A2" s="286">
        <v>1</v>
      </c>
      <c r="B2" s="287" t="s">
        <v>10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6">
        <v>0</v>
      </c>
      <c r="T2">
        <f t="shared" ref="T2:T64" si="0">C2+D2+E2+F2+G2+H2+I2+J2+K2+L2+M2+N2+O2+P2+Q2</f>
        <v>0</v>
      </c>
    </row>
    <row r="3" spans="1:20" x14ac:dyDescent="0.25">
      <c r="A3" s="286">
        <v>2</v>
      </c>
      <c r="B3" s="287" t="s">
        <v>11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6">
        <v>0</v>
      </c>
      <c r="T3">
        <f t="shared" si="0"/>
        <v>0</v>
      </c>
    </row>
    <row r="4" spans="1:20" x14ac:dyDescent="0.25">
      <c r="A4" s="286">
        <v>3</v>
      </c>
      <c r="B4" s="287" t="s">
        <v>12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6">
        <v>0</v>
      </c>
      <c r="T4">
        <f t="shared" si="0"/>
        <v>0</v>
      </c>
    </row>
    <row r="5" spans="1:20" x14ac:dyDescent="0.25">
      <c r="A5" s="286">
        <v>4</v>
      </c>
      <c r="B5" s="287" t="s">
        <v>651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6">
        <v>0</v>
      </c>
      <c r="T5">
        <f t="shared" si="0"/>
        <v>0</v>
      </c>
    </row>
    <row r="6" spans="1:20" x14ac:dyDescent="0.25">
      <c r="A6" s="286">
        <v>5</v>
      </c>
      <c r="B6" s="287" t="s">
        <v>14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6">
        <v>0</v>
      </c>
      <c r="T6">
        <f t="shared" si="0"/>
        <v>0</v>
      </c>
    </row>
    <row r="7" spans="1:20" x14ac:dyDescent="0.25">
      <c r="A7" s="286">
        <v>6</v>
      </c>
      <c r="B7" s="287" t="s">
        <v>15</v>
      </c>
      <c r="C7" s="287"/>
      <c r="D7" s="287"/>
      <c r="E7" s="287" t="s">
        <v>26</v>
      </c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8">
        <v>11</v>
      </c>
      <c r="T7">
        <f t="shared" si="0"/>
        <v>11</v>
      </c>
    </row>
    <row r="8" spans="1:20" x14ac:dyDescent="0.25">
      <c r="A8" s="286">
        <v>7</v>
      </c>
      <c r="B8" s="287" t="s">
        <v>16</v>
      </c>
      <c r="C8" s="287" t="s">
        <v>26</v>
      </c>
      <c r="D8" s="287"/>
      <c r="E8" s="287" t="s">
        <v>26</v>
      </c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8">
        <v>33</v>
      </c>
      <c r="T8">
        <f t="shared" si="0"/>
        <v>22</v>
      </c>
    </row>
    <row r="9" spans="1:20" x14ac:dyDescent="0.25">
      <c r="A9" s="286">
        <v>8</v>
      </c>
      <c r="B9" s="287" t="s">
        <v>4</v>
      </c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6">
        <v>0</v>
      </c>
      <c r="T9">
        <f t="shared" si="0"/>
        <v>0</v>
      </c>
    </row>
    <row r="10" spans="1:20" x14ac:dyDescent="0.25">
      <c r="A10" s="286">
        <v>9</v>
      </c>
      <c r="B10" s="287" t="s">
        <v>5</v>
      </c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6">
        <v>0</v>
      </c>
      <c r="T10">
        <f t="shared" si="0"/>
        <v>0</v>
      </c>
    </row>
    <row r="11" spans="1:20" x14ac:dyDescent="0.25">
      <c r="A11" s="286">
        <v>10</v>
      </c>
      <c r="B11" s="287" t="s">
        <v>38</v>
      </c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6">
        <v>0</v>
      </c>
      <c r="T11">
        <f t="shared" si="0"/>
        <v>0</v>
      </c>
    </row>
    <row r="12" spans="1:20" x14ac:dyDescent="0.25">
      <c r="A12" s="286">
        <v>11</v>
      </c>
      <c r="B12" s="287" t="s">
        <v>43</v>
      </c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6">
        <v>0</v>
      </c>
      <c r="T12">
        <f t="shared" si="0"/>
        <v>0</v>
      </c>
    </row>
    <row r="13" spans="1:20" x14ac:dyDescent="0.25">
      <c r="A13" s="286">
        <v>12</v>
      </c>
      <c r="B13" s="287" t="s">
        <v>639</v>
      </c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6">
        <v>0</v>
      </c>
      <c r="T13">
        <f t="shared" si="0"/>
        <v>0</v>
      </c>
    </row>
    <row r="14" spans="1:20" x14ac:dyDescent="0.25">
      <c r="A14" s="286">
        <v>13</v>
      </c>
      <c r="B14" s="287" t="s">
        <v>87</v>
      </c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6">
        <v>0</v>
      </c>
      <c r="T14">
        <f t="shared" si="0"/>
        <v>0</v>
      </c>
    </row>
    <row r="15" spans="1:20" x14ac:dyDescent="0.25">
      <c r="A15" s="286">
        <v>14</v>
      </c>
      <c r="B15" s="287" t="s">
        <v>95</v>
      </c>
      <c r="C15" s="287"/>
      <c r="D15" s="287"/>
      <c r="E15" s="287" t="s">
        <v>26</v>
      </c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8">
        <v>11</v>
      </c>
      <c r="T15">
        <f t="shared" si="0"/>
        <v>11</v>
      </c>
    </row>
    <row r="16" spans="1:20" x14ac:dyDescent="0.25">
      <c r="A16" s="286">
        <v>15</v>
      </c>
      <c r="B16" s="287" t="s">
        <v>96</v>
      </c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6">
        <v>0</v>
      </c>
      <c r="T16">
        <f t="shared" si="0"/>
        <v>0</v>
      </c>
    </row>
    <row r="17" spans="1:20" x14ac:dyDescent="0.25">
      <c r="A17" s="286">
        <v>16</v>
      </c>
      <c r="B17" s="287" t="s">
        <v>97</v>
      </c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6">
        <v>0</v>
      </c>
      <c r="T17">
        <f t="shared" si="0"/>
        <v>0</v>
      </c>
    </row>
    <row r="18" spans="1:20" x14ac:dyDescent="0.25">
      <c r="A18" s="286">
        <v>17</v>
      </c>
      <c r="B18" s="287" t="s">
        <v>98</v>
      </c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6">
        <v>0</v>
      </c>
      <c r="T18">
        <f t="shared" si="0"/>
        <v>0</v>
      </c>
    </row>
    <row r="19" spans="1:20" x14ac:dyDescent="0.25">
      <c r="A19" s="286">
        <v>18</v>
      </c>
      <c r="B19" s="287" t="s">
        <v>616</v>
      </c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6">
        <v>0</v>
      </c>
      <c r="T19">
        <f t="shared" si="0"/>
        <v>0</v>
      </c>
    </row>
    <row r="20" spans="1:20" x14ac:dyDescent="0.25">
      <c r="A20" s="286">
        <v>19</v>
      </c>
      <c r="B20" s="287" t="s">
        <v>617</v>
      </c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6">
        <v>0</v>
      </c>
      <c r="T20">
        <f t="shared" si="0"/>
        <v>0</v>
      </c>
    </row>
    <row r="21" spans="1:20" x14ac:dyDescent="0.25">
      <c r="A21" s="286">
        <v>20</v>
      </c>
      <c r="B21" s="287" t="s">
        <v>626</v>
      </c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6">
        <v>0</v>
      </c>
      <c r="T21">
        <f t="shared" si="0"/>
        <v>0</v>
      </c>
    </row>
    <row r="22" spans="1:20" x14ac:dyDescent="0.25">
      <c r="A22" s="286">
        <v>21</v>
      </c>
      <c r="B22" s="287" t="s">
        <v>618</v>
      </c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6">
        <v>0</v>
      </c>
      <c r="T22">
        <f t="shared" si="0"/>
        <v>0</v>
      </c>
    </row>
    <row r="23" spans="1:20" x14ac:dyDescent="0.25">
      <c r="A23" s="286">
        <v>22</v>
      </c>
      <c r="B23" s="287" t="s">
        <v>619</v>
      </c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6">
        <v>0</v>
      </c>
      <c r="T23">
        <f t="shared" si="0"/>
        <v>0</v>
      </c>
    </row>
    <row r="24" spans="1:20" x14ac:dyDescent="0.25">
      <c r="A24" s="286">
        <v>23</v>
      </c>
      <c r="B24" s="287" t="s">
        <v>620</v>
      </c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6">
        <v>0</v>
      </c>
      <c r="T24">
        <f t="shared" si="0"/>
        <v>0</v>
      </c>
    </row>
    <row r="25" spans="1:20" x14ac:dyDescent="0.25">
      <c r="A25" s="286">
        <v>24</v>
      </c>
      <c r="B25" s="287" t="s">
        <v>650</v>
      </c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6">
        <v>0</v>
      </c>
      <c r="T25">
        <f t="shared" si="0"/>
        <v>0</v>
      </c>
    </row>
    <row r="26" spans="1:20" x14ac:dyDescent="0.25">
      <c r="A26" s="286">
        <v>25</v>
      </c>
      <c r="B26" s="287" t="s">
        <v>621</v>
      </c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6">
        <v>0</v>
      </c>
      <c r="T26">
        <f t="shared" si="0"/>
        <v>0</v>
      </c>
    </row>
    <row r="27" spans="1:20" x14ac:dyDescent="0.25">
      <c r="A27" s="286">
        <v>26</v>
      </c>
      <c r="B27" s="287" t="s">
        <v>622</v>
      </c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6">
        <v>0</v>
      </c>
      <c r="T27">
        <f t="shared" si="0"/>
        <v>0</v>
      </c>
    </row>
    <row r="28" spans="1:20" x14ac:dyDescent="0.25">
      <c r="A28" s="286">
        <v>27</v>
      </c>
      <c r="B28" s="287" t="s">
        <v>623</v>
      </c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6">
        <v>0</v>
      </c>
      <c r="T28">
        <f t="shared" si="0"/>
        <v>0</v>
      </c>
    </row>
    <row r="29" spans="1:20" x14ac:dyDescent="0.25">
      <c r="A29" s="286">
        <v>28</v>
      </c>
      <c r="B29" s="287" t="s">
        <v>624</v>
      </c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6">
        <v>0</v>
      </c>
      <c r="T29">
        <f t="shared" si="0"/>
        <v>0</v>
      </c>
    </row>
    <row r="30" spans="1:20" x14ac:dyDescent="0.25">
      <c r="A30" s="286">
        <v>29</v>
      </c>
      <c r="B30" s="287" t="s">
        <v>627</v>
      </c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6">
        <v>0</v>
      </c>
      <c r="T30">
        <f t="shared" si="0"/>
        <v>0</v>
      </c>
    </row>
    <row r="31" spans="1:20" x14ac:dyDescent="0.25">
      <c r="A31" s="286">
        <v>30</v>
      </c>
      <c r="B31" s="287" t="s">
        <v>625</v>
      </c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6">
        <v>0</v>
      </c>
      <c r="T31">
        <f t="shared" si="0"/>
        <v>0</v>
      </c>
    </row>
    <row r="32" spans="1:20" x14ac:dyDescent="0.25">
      <c r="A32" s="286">
        <v>31</v>
      </c>
      <c r="B32" s="287" t="s">
        <v>34</v>
      </c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6">
        <v>0</v>
      </c>
      <c r="T32">
        <f t="shared" si="0"/>
        <v>0</v>
      </c>
    </row>
    <row r="33" spans="1:20" x14ac:dyDescent="0.25">
      <c r="A33" s="286">
        <v>32</v>
      </c>
      <c r="B33" s="287" t="s">
        <v>45</v>
      </c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6">
        <v>0</v>
      </c>
      <c r="T33">
        <f t="shared" si="0"/>
        <v>0</v>
      </c>
    </row>
    <row r="34" spans="1:20" x14ac:dyDescent="0.25">
      <c r="A34" s="286">
        <v>33</v>
      </c>
      <c r="B34" s="287" t="s">
        <v>630</v>
      </c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6">
        <v>0</v>
      </c>
      <c r="T34">
        <f t="shared" si="0"/>
        <v>0</v>
      </c>
    </row>
    <row r="35" spans="1:20" x14ac:dyDescent="0.25">
      <c r="A35" s="286">
        <v>34</v>
      </c>
      <c r="B35" s="287" t="s">
        <v>628</v>
      </c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6">
        <v>0</v>
      </c>
      <c r="T35">
        <f t="shared" si="0"/>
        <v>0</v>
      </c>
    </row>
    <row r="36" spans="1:20" x14ac:dyDescent="0.25">
      <c r="A36" s="286">
        <v>35</v>
      </c>
      <c r="B36" s="287" t="s">
        <v>629</v>
      </c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6">
        <v>0</v>
      </c>
      <c r="T36">
        <f t="shared" si="0"/>
        <v>0</v>
      </c>
    </row>
    <row r="37" spans="1:20" x14ac:dyDescent="0.25">
      <c r="A37" s="286">
        <v>36</v>
      </c>
      <c r="B37" s="287" t="s">
        <v>631</v>
      </c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6">
        <v>0</v>
      </c>
      <c r="T37">
        <f t="shared" si="0"/>
        <v>0</v>
      </c>
    </row>
    <row r="38" spans="1:20" x14ac:dyDescent="0.25">
      <c r="A38" s="286">
        <v>37</v>
      </c>
      <c r="B38" s="287" t="s">
        <v>632</v>
      </c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6">
        <v>0</v>
      </c>
      <c r="T38">
        <f t="shared" si="0"/>
        <v>0</v>
      </c>
    </row>
    <row r="39" spans="1:20" x14ac:dyDescent="0.25">
      <c r="A39" s="286">
        <v>38</v>
      </c>
      <c r="B39" s="287" t="s">
        <v>633</v>
      </c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6">
        <v>0</v>
      </c>
      <c r="T39">
        <f t="shared" si="0"/>
        <v>0</v>
      </c>
    </row>
    <row r="40" spans="1:20" x14ac:dyDescent="0.25">
      <c r="A40" s="286">
        <v>39</v>
      </c>
      <c r="B40" s="287" t="s">
        <v>634</v>
      </c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6">
        <v>0</v>
      </c>
      <c r="T40">
        <f t="shared" si="0"/>
        <v>0</v>
      </c>
    </row>
    <row r="41" spans="1:20" x14ac:dyDescent="0.25">
      <c r="A41" s="286">
        <v>40</v>
      </c>
      <c r="B41" s="287" t="s">
        <v>636</v>
      </c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6">
        <v>0</v>
      </c>
      <c r="T41">
        <f t="shared" si="0"/>
        <v>0</v>
      </c>
    </row>
    <row r="42" spans="1:20" x14ac:dyDescent="0.25">
      <c r="A42" s="286">
        <v>41</v>
      </c>
      <c r="B42" s="287" t="s">
        <v>637</v>
      </c>
      <c r="C42" s="287"/>
      <c r="D42" s="287"/>
      <c r="E42" s="287" t="s">
        <v>26</v>
      </c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8">
        <v>11</v>
      </c>
      <c r="T42">
        <f t="shared" si="0"/>
        <v>11</v>
      </c>
    </row>
    <row r="43" spans="1:20" x14ac:dyDescent="0.25">
      <c r="A43" s="286">
        <v>42</v>
      </c>
      <c r="B43" s="287" t="s">
        <v>640</v>
      </c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6">
        <v>0</v>
      </c>
      <c r="T43">
        <f t="shared" si="0"/>
        <v>0</v>
      </c>
    </row>
    <row r="44" spans="1:20" x14ac:dyDescent="0.25">
      <c r="A44" s="286">
        <v>43</v>
      </c>
      <c r="B44" s="287" t="s">
        <v>638</v>
      </c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6">
        <v>0</v>
      </c>
      <c r="T44">
        <f t="shared" si="0"/>
        <v>0</v>
      </c>
    </row>
    <row r="45" spans="1:20" x14ac:dyDescent="0.25">
      <c r="A45" s="286">
        <v>44</v>
      </c>
      <c r="B45" s="287" t="s">
        <v>635</v>
      </c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6">
        <v>0</v>
      </c>
      <c r="T45">
        <f t="shared" si="0"/>
        <v>0</v>
      </c>
    </row>
    <row r="46" spans="1:20" x14ac:dyDescent="0.25">
      <c r="A46" s="286">
        <v>45</v>
      </c>
      <c r="B46" s="287" t="s">
        <v>641</v>
      </c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6">
        <v>0</v>
      </c>
      <c r="T46">
        <f t="shared" si="0"/>
        <v>0</v>
      </c>
    </row>
    <row r="47" spans="1:20" x14ac:dyDescent="0.25">
      <c r="A47" s="286">
        <v>46</v>
      </c>
      <c r="B47" s="287" t="s">
        <v>649</v>
      </c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6">
        <v>0</v>
      </c>
      <c r="T47">
        <f t="shared" si="0"/>
        <v>0</v>
      </c>
    </row>
    <row r="48" spans="1:20" x14ac:dyDescent="0.25">
      <c r="A48" s="286">
        <v>47</v>
      </c>
      <c r="B48" s="287" t="s">
        <v>642</v>
      </c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6">
        <v>0</v>
      </c>
      <c r="T48">
        <f t="shared" si="0"/>
        <v>0</v>
      </c>
    </row>
    <row r="49" spans="1:20" x14ac:dyDescent="0.25">
      <c r="A49" s="286">
        <v>48</v>
      </c>
      <c r="B49" s="287" t="s">
        <v>643</v>
      </c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6">
        <v>0</v>
      </c>
      <c r="T49">
        <f t="shared" si="0"/>
        <v>0</v>
      </c>
    </row>
    <row r="50" spans="1:20" x14ac:dyDescent="0.25">
      <c r="A50" s="286">
        <v>49</v>
      </c>
      <c r="B50" s="287" t="s">
        <v>644</v>
      </c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6">
        <v>0</v>
      </c>
      <c r="T50">
        <f t="shared" si="0"/>
        <v>0</v>
      </c>
    </row>
    <row r="51" spans="1:20" x14ac:dyDescent="0.25">
      <c r="A51" s="286">
        <v>50</v>
      </c>
      <c r="B51" s="287" t="s">
        <v>646</v>
      </c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6">
        <v>0</v>
      </c>
      <c r="T51">
        <f t="shared" si="0"/>
        <v>0</v>
      </c>
    </row>
    <row r="52" spans="1:20" x14ac:dyDescent="0.25">
      <c r="A52" s="286">
        <v>51</v>
      </c>
      <c r="B52" s="287" t="s">
        <v>647</v>
      </c>
      <c r="C52" s="287" t="s">
        <v>26</v>
      </c>
      <c r="D52" s="287" t="s">
        <v>26</v>
      </c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8">
        <v>22</v>
      </c>
      <c r="T52">
        <f t="shared" si="0"/>
        <v>22</v>
      </c>
    </row>
    <row r="53" spans="1:20" x14ac:dyDescent="0.25">
      <c r="A53" s="286">
        <v>52</v>
      </c>
      <c r="B53" s="287" t="s">
        <v>652</v>
      </c>
      <c r="C53" s="287"/>
      <c r="D53" s="287"/>
      <c r="E53" s="287" t="s">
        <v>65</v>
      </c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8">
        <v>12</v>
      </c>
      <c r="T53">
        <f t="shared" si="0"/>
        <v>12</v>
      </c>
    </row>
    <row r="54" spans="1:20" x14ac:dyDescent="0.25">
      <c r="A54" s="286">
        <v>53</v>
      </c>
      <c r="B54" s="287" t="s">
        <v>653</v>
      </c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6">
        <v>0</v>
      </c>
      <c r="T54">
        <f t="shared" si="0"/>
        <v>0</v>
      </c>
    </row>
    <row r="55" spans="1:20" x14ac:dyDescent="0.25">
      <c r="A55" s="286">
        <v>54</v>
      </c>
      <c r="B55" s="287" t="s">
        <v>654</v>
      </c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6">
        <v>0</v>
      </c>
      <c r="T55">
        <f t="shared" si="0"/>
        <v>0</v>
      </c>
    </row>
    <row r="56" spans="1:20" x14ac:dyDescent="0.25">
      <c r="A56" s="286">
        <v>55</v>
      </c>
      <c r="B56" s="287" t="s">
        <v>655</v>
      </c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6">
        <v>0</v>
      </c>
      <c r="T56">
        <f t="shared" si="0"/>
        <v>0</v>
      </c>
    </row>
    <row r="57" spans="1:20" x14ac:dyDescent="0.25">
      <c r="A57" s="286">
        <v>56</v>
      </c>
      <c r="B57" s="287" t="s">
        <v>656</v>
      </c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6">
        <v>0</v>
      </c>
      <c r="T57">
        <f t="shared" si="0"/>
        <v>0</v>
      </c>
    </row>
    <row r="58" spans="1:20" x14ac:dyDescent="0.25">
      <c r="A58" s="286">
        <v>57</v>
      </c>
      <c r="B58" s="287" t="s">
        <v>657</v>
      </c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6">
        <v>0</v>
      </c>
      <c r="T58">
        <f t="shared" si="0"/>
        <v>0</v>
      </c>
    </row>
    <row r="59" spans="1:20" x14ac:dyDescent="0.25">
      <c r="A59" s="286">
        <v>58</v>
      </c>
      <c r="B59" s="287" t="s">
        <v>658</v>
      </c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6">
        <v>0</v>
      </c>
      <c r="T59">
        <f t="shared" si="0"/>
        <v>0</v>
      </c>
    </row>
    <row r="60" spans="1:20" x14ac:dyDescent="0.25">
      <c r="A60" s="286">
        <v>59</v>
      </c>
      <c r="B60" s="287" t="s">
        <v>659</v>
      </c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6">
        <v>0</v>
      </c>
      <c r="T60">
        <f t="shared" si="0"/>
        <v>0</v>
      </c>
    </row>
    <row r="61" spans="1:20" x14ac:dyDescent="0.25">
      <c r="A61" s="286">
        <v>60</v>
      </c>
      <c r="B61" s="287" t="s">
        <v>660</v>
      </c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6">
        <v>0</v>
      </c>
      <c r="T61">
        <f t="shared" si="0"/>
        <v>0</v>
      </c>
    </row>
    <row r="62" spans="1:20" x14ac:dyDescent="0.25">
      <c r="A62" s="286">
        <v>61</v>
      </c>
      <c r="B62" s="287" t="s">
        <v>661</v>
      </c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6">
        <v>0</v>
      </c>
      <c r="T62">
        <f t="shared" si="0"/>
        <v>0</v>
      </c>
    </row>
    <row r="63" spans="1:20" x14ac:dyDescent="0.25">
      <c r="A63" s="286">
        <v>62</v>
      </c>
      <c r="B63" s="287" t="s">
        <v>662</v>
      </c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6">
        <v>0</v>
      </c>
      <c r="T63">
        <f t="shared" si="0"/>
        <v>0</v>
      </c>
    </row>
    <row r="64" spans="1:20" x14ac:dyDescent="0.25">
      <c r="A64" s="286">
        <v>63</v>
      </c>
      <c r="B64" s="287" t="s">
        <v>668</v>
      </c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6">
        <v>0</v>
      </c>
      <c r="T64">
        <f t="shared" si="0"/>
        <v>0</v>
      </c>
    </row>
    <row r="65" spans="1:18" x14ac:dyDescent="0.2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9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65"/>
  <sheetViews>
    <sheetView zoomScale="70" zoomScaleNormal="70" workbookViewId="0">
      <selection activeCell="B20" sqref="B20"/>
    </sheetView>
  </sheetViews>
  <sheetFormatPr defaultRowHeight="15" x14ac:dyDescent="0.25"/>
  <sheetData>
    <row r="1" spans="1:20" x14ac:dyDescent="0.25">
      <c r="A1" s="290" t="s">
        <v>1</v>
      </c>
      <c r="B1" s="290" t="s">
        <v>6</v>
      </c>
      <c r="C1" s="290" t="s">
        <v>46</v>
      </c>
      <c r="D1" s="290" t="s">
        <v>47</v>
      </c>
      <c r="E1" s="290" t="s">
        <v>48</v>
      </c>
      <c r="F1" s="290" t="s">
        <v>49</v>
      </c>
      <c r="G1" s="290" t="s">
        <v>50</v>
      </c>
      <c r="H1" s="290" t="s">
        <v>51</v>
      </c>
      <c r="I1" s="290" t="s">
        <v>52</v>
      </c>
      <c r="J1" s="290" t="s">
        <v>53</v>
      </c>
      <c r="K1" s="290" t="s">
        <v>54</v>
      </c>
      <c r="L1" s="290" t="s">
        <v>55</v>
      </c>
      <c r="M1" s="290" t="s">
        <v>56</v>
      </c>
      <c r="N1" s="290" t="s">
        <v>57</v>
      </c>
      <c r="O1" s="290" t="s">
        <v>58</v>
      </c>
      <c r="P1" s="290" t="s">
        <v>59</v>
      </c>
      <c r="Q1" s="290" t="s">
        <v>667</v>
      </c>
      <c r="R1" s="290" t="s">
        <v>2</v>
      </c>
    </row>
    <row r="2" spans="1:20" x14ac:dyDescent="0.25">
      <c r="A2" s="291">
        <v>1</v>
      </c>
      <c r="B2" s="292" t="s">
        <v>10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1">
        <v>0</v>
      </c>
      <c r="T2">
        <f t="shared" ref="T2:T64" si="0">C2+D2+E2+F2+G2+H2+I2+J2+K2+L2+M2+N2+O2+P2+Q2</f>
        <v>0</v>
      </c>
    </row>
    <row r="3" spans="1:20" x14ac:dyDescent="0.25">
      <c r="A3" s="291">
        <v>2</v>
      </c>
      <c r="B3" s="292" t="s">
        <v>11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1">
        <v>0</v>
      </c>
      <c r="T3">
        <f t="shared" si="0"/>
        <v>0</v>
      </c>
    </row>
    <row r="4" spans="1:20" x14ac:dyDescent="0.25">
      <c r="A4" s="291">
        <v>3</v>
      </c>
      <c r="B4" s="292" t="s">
        <v>12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1">
        <v>0</v>
      </c>
      <c r="T4">
        <f t="shared" si="0"/>
        <v>0</v>
      </c>
    </row>
    <row r="5" spans="1:20" x14ac:dyDescent="0.25">
      <c r="A5" s="291">
        <v>4</v>
      </c>
      <c r="B5" s="292" t="s">
        <v>651</v>
      </c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1">
        <v>0</v>
      </c>
      <c r="T5">
        <f t="shared" si="0"/>
        <v>0</v>
      </c>
    </row>
    <row r="6" spans="1:20" x14ac:dyDescent="0.25">
      <c r="A6" s="291">
        <v>5</v>
      </c>
      <c r="B6" s="292" t="s">
        <v>14</v>
      </c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1">
        <v>0</v>
      </c>
      <c r="T6">
        <f t="shared" si="0"/>
        <v>0</v>
      </c>
    </row>
    <row r="7" spans="1:20" x14ac:dyDescent="0.25">
      <c r="A7" s="291">
        <v>6</v>
      </c>
      <c r="B7" s="292" t="s">
        <v>15</v>
      </c>
      <c r="C7" s="292" t="s">
        <v>26</v>
      </c>
      <c r="D7" s="292" t="s">
        <v>26</v>
      </c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3">
        <v>33</v>
      </c>
      <c r="T7">
        <f t="shared" si="0"/>
        <v>22</v>
      </c>
    </row>
    <row r="8" spans="1:20" x14ac:dyDescent="0.25">
      <c r="A8" s="291">
        <v>7</v>
      </c>
      <c r="B8" s="292" t="s">
        <v>16</v>
      </c>
      <c r="C8" s="292"/>
      <c r="D8" s="292" t="s">
        <v>26</v>
      </c>
      <c r="E8" s="292"/>
      <c r="F8" s="292" t="s">
        <v>26</v>
      </c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3">
        <v>22</v>
      </c>
      <c r="T8">
        <f t="shared" si="0"/>
        <v>22</v>
      </c>
    </row>
    <row r="9" spans="1:20" x14ac:dyDescent="0.25">
      <c r="A9" s="291">
        <v>8</v>
      </c>
      <c r="B9" s="292" t="s">
        <v>4</v>
      </c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1">
        <v>0</v>
      </c>
      <c r="T9">
        <f t="shared" si="0"/>
        <v>0</v>
      </c>
    </row>
    <row r="10" spans="1:20" x14ac:dyDescent="0.25">
      <c r="A10" s="291">
        <v>9</v>
      </c>
      <c r="B10" s="292" t="s">
        <v>5</v>
      </c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1">
        <v>0</v>
      </c>
      <c r="T10">
        <f t="shared" si="0"/>
        <v>0</v>
      </c>
    </row>
    <row r="11" spans="1:20" x14ac:dyDescent="0.25">
      <c r="A11" s="291">
        <v>10</v>
      </c>
      <c r="B11" s="292" t="s">
        <v>38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1">
        <v>0</v>
      </c>
      <c r="T11">
        <f t="shared" si="0"/>
        <v>0</v>
      </c>
    </row>
    <row r="12" spans="1:20" x14ac:dyDescent="0.25">
      <c r="A12" s="291">
        <v>11</v>
      </c>
      <c r="B12" s="292" t="s">
        <v>43</v>
      </c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1">
        <v>0</v>
      </c>
      <c r="T12">
        <f t="shared" si="0"/>
        <v>0</v>
      </c>
    </row>
    <row r="13" spans="1:20" x14ac:dyDescent="0.25">
      <c r="A13" s="291">
        <v>12</v>
      </c>
      <c r="B13" s="292" t="s">
        <v>639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1">
        <v>0</v>
      </c>
      <c r="T13">
        <f t="shared" si="0"/>
        <v>0</v>
      </c>
    </row>
    <row r="14" spans="1:20" x14ac:dyDescent="0.25">
      <c r="A14" s="291">
        <v>13</v>
      </c>
      <c r="B14" s="292" t="s">
        <v>87</v>
      </c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1">
        <v>0</v>
      </c>
      <c r="T14">
        <f t="shared" si="0"/>
        <v>0</v>
      </c>
    </row>
    <row r="15" spans="1:20" x14ac:dyDescent="0.25">
      <c r="A15" s="291">
        <v>14</v>
      </c>
      <c r="B15" s="292" t="s">
        <v>95</v>
      </c>
      <c r="C15" s="292" t="s">
        <v>26</v>
      </c>
      <c r="D15" s="292" t="s">
        <v>26</v>
      </c>
      <c r="E15" s="292"/>
      <c r="F15" s="292" t="s">
        <v>26</v>
      </c>
      <c r="G15" s="292"/>
      <c r="H15" s="292"/>
      <c r="I15" s="292" t="s">
        <v>26</v>
      </c>
      <c r="J15" s="292" t="s">
        <v>26</v>
      </c>
      <c r="K15" s="292"/>
      <c r="L15" s="292" t="s">
        <v>26</v>
      </c>
      <c r="M15" s="292" t="s">
        <v>26</v>
      </c>
      <c r="N15" s="292" t="s">
        <v>84</v>
      </c>
      <c r="O15" s="292"/>
      <c r="P15" s="292"/>
      <c r="Q15" s="292" t="s">
        <v>26</v>
      </c>
      <c r="R15" s="293">
        <v>105</v>
      </c>
      <c r="T15">
        <f t="shared" si="0"/>
        <v>94</v>
      </c>
    </row>
    <row r="16" spans="1:20" x14ac:dyDescent="0.25">
      <c r="A16" s="291">
        <v>15</v>
      </c>
      <c r="B16" s="292" t="s">
        <v>96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1">
        <v>0</v>
      </c>
      <c r="T16">
        <f t="shared" si="0"/>
        <v>0</v>
      </c>
    </row>
    <row r="17" spans="1:20" x14ac:dyDescent="0.25">
      <c r="A17" s="291">
        <v>16</v>
      </c>
      <c r="B17" s="292" t="s">
        <v>97</v>
      </c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1">
        <v>0</v>
      </c>
      <c r="T17">
        <f t="shared" si="0"/>
        <v>0</v>
      </c>
    </row>
    <row r="18" spans="1:20" x14ac:dyDescent="0.25">
      <c r="A18" s="291">
        <v>17</v>
      </c>
      <c r="B18" s="292" t="s">
        <v>98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1">
        <v>0</v>
      </c>
      <c r="T18">
        <f t="shared" si="0"/>
        <v>0</v>
      </c>
    </row>
    <row r="19" spans="1:20" x14ac:dyDescent="0.25">
      <c r="A19" s="291">
        <v>18</v>
      </c>
      <c r="B19" s="292" t="s">
        <v>616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1">
        <v>0</v>
      </c>
      <c r="T19">
        <f t="shared" si="0"/>
        <v>0</v>
      </c>
    </row>
    <row r="20" spans="1:20" x14ac:dyDescent="0.25">
      <c r="A20" s="291">
        <v>19</v>
      </c>
      <c r="B20" s="292" t="s">
        <v>617</v>
      </c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1">
        <v>0</v>
      </c>
      <c r="T20">
        <f t="shared" si="0"/>
        <v>0</v>
      </c>
    </row>
    <row r="21" spans="1:20" x14ac:dyDescent="0.25">
      <c r="A21" s="291">
        <v>20</v>
      </c>
      <c r="B21" s="292" t="s">
        <v>626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1">
        <v>0</v>
      </c>
      <c r="T21">
        <f t="shared" si="0"/>
        <v>0</v>
      </c>
    </row>
    <row r="22" spans="1:20" x14ac:dyDescent="0.25">
      <c r="A22" s="291">
        <v>21</v>
      </c>
      <c r="B22" s="292" t="s">
        <v>618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1">
        <v>0</v>
      </c>
      <c r="T22">
        <f t="shared" si="0"/>
        <v>0</v>
      </c>
    </row>
    <row r="23" spans="1:20" x14ac:dyDescent="0.25">
      <c r="A23" s="291">
        <v>22</v>
      </c>
      <c r="B23" s="292" t="s">
        <v>619</v>
      </c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1">
        <v>0</v>
      </c>
      <c r="T23">
        <f t="shared" si="0"/>
        <v>0</v>
      </c>
    </row>
    <row r="24" spans="1:20" x14ac:dyDescent="0.25">
      <c r="A24" s="291">
        <v>23</v>
      </c>
      <c r="B24" s="292" t="s">
        <v>620</v>
      </c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1">
        <v>0</v>
      </c>
      <c r="T24">
        <f t="shared" si="0"/>
        <v>0</v>
      </c>
    </row>
    <row r="25" spans="1:20" x14ac:dyDescent="0.25">
      <c r="A25" s="291">
        <v>24</v>
      </c>
      <c r="B25" s="292" t="s">
        <v>650</v>
      </c>
      <c r="C25" s="292" t="s">
        <v>26</v>
      </c>
      <c r="D25" s="292"/>
      <c r="E25" s="292"/>
      <c r="F25" s="292"/>
      <c r="G25" s="292"/>
      <c r="H25" s="292"/>
      <c r="I25" s="292"/>
      <c r="J25" s="292"/>
      <c r="K25" s="292"/>
      <c r="L25" s="292"/>
      <c r="M25" s="292" t="s">
        <v>26</v>
      </c>
      <c r="N25" s="292" t="s">
        <v>84</v>
      </c>
      <c r="O25" s="292"/>
      <c r="P25" s="292" t="s">
        <v>26</v>
      </c>
      <c r="Q25" s="292"/>
      <c r="R25" s="293">
        <v>50</v>
      </c>
      <c r="T25">
        <f t="shared" si="0"/>
        <v>39</v>
      </c>
    </row>
    <row r="26" spans="1:20" x14ac:dyDescent="0.25">
      <c r="A26" s="291">
        <v>25</v>
      </c>
      <c r="B26" s="292" t="s">
        <v>621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1">
        <v>0</v>
      </c>
      <c r="T26">
        <f t="shared" si="0"/>
        <v>0</v>
      </c>
    </row>
    <row r="27" spans="1:20" x14ac:dyDescent="0.25">
      <c r="A27" s="291">
        <v>26</v>
      </c>
      <c r="B27" s="292" t="s">
        <v>622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1">
        <v>0</v>
      </c>
      <c r="T27">
        <f t="shared" si="0"/>
        <v>0</v>
      </c>
    </row>
    <row r="28" spans="1:20" x14ac:dyDescent="0.25">
      <c r="A28" s="291">
        <v>27</v>
      </c>
      <c r="B28" s="292" t="s">
        <v>623</v>
      </c>
      <c r="C28" s="292"/>
      <c r="D28" s="292"/>
      <c r="E28" s="292"/>
      <c r="F28" s="292"/>
      <c r="G28" s="292"/>
      <c r="H28" s="292"/>
      <c r="I28" s="292" t="s">
        <v>26</v>
      </c>
      <c r="J28" s="292" t="s">
        <v>26</v>
      </c>
      <c r="K28" s="292"/>
      <c r="L28" s="292"/>
      <c r="M28" s="292"/>
      <c r="N28" s="292"/>
      <c r="O28" s="292"/>
      <c r="P28" s="292"/>
      <c r="Q28" s="292"/>
      <c r="R28" s="293">
        <v>22</v>
      </c>
      <c r="T28">
        <f t="shared" si="0"/>
        <v>22</v>
      </c>
    </row>
    <row r="29" spans="1:20" x14ac:dyDescent="0.25">
      <c r="A29" s="291">
        <v>28</v>
      </c>
      <c r="B29" s="292" t="s">
        <v>624</v>
      </c>
      <c r="C29" s="292" t="s">
        <v>26</v>
      </c>
      <c r="D29" s="292"/>
      <c r="E29" s="292"/>
      <c r="F29" s="292" t="s">
        <v>26</v>
      </c>
      <c r="G29" s="292" t="s">
        <v>24</v>
      </c>
      <c r="H29" s="292"/>
      <c r="I29" s="292" t="s">
        <v>26</v>
      </c>
      <c r="J29" s="292" t="s">
        <v>26</v>
      </c>
      <c r="K29" s="292"/>
      <c r="L29" s="292" t="s">
        <v>26</v>
      </c>
      <c r="M29" s="292" t="s">
        <v>26</v>
      </c>
      <c r="N29" s="292" t="s">
        <v>84</v>
      </c>
      <c r="O29" s="292" t="s">
        <v>64</v>
      </c>
      <c r="P29" s="292" t="s">
        <v>26</v>
      </c>
      <c r="Q29" s="292" t="s">
        <v>26</v>
      </c>
      <c r="R29" s="293">
        <v>123</v>
      </c>
      <c r="T29">
        <f t="shared" si="0"/>
        <v>112</v>
      </c>
    </row>
    <row r="30" spans="1:20" x14ac:dyDescent="0.25">
      <c r="A30" s="291">
        <v>29</v>
      </c>
      <c r="B30" s="292" t="s">
        <v>627</v>
      </c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1">
        <v>0</v>
      </c>
      <c r="T30">
        <f t="shared" si="0"/>
        <v>0</v>
      </c>
    </row>
    <row r="31" spans="1:20" x14ac:dyDescent="0.25">
      <c r="A31" s="291">
        <v>30</v>
      </c>
      <c r="B31" s="292" t="s">
        <v>625</v>
      </c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1">
        <v>0</v>
      </c>
      <c r="T31">
        <f t="shared" si="0"/>
        <v>0</v>
      </c>
    </row>
    <row r="32" spans="1:20" x14ac:dyDescent="0.25">
      <c r="A32" s="291">
        <v>31</v>
      </c>
      <c r="B32" s="292" t="s">
        <v>34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1">
        <v>0</v>
      </c>
      <c r="T32">
        <f t="shared" si="0"/>
        <v>0</v>
      </c>
    </row>
    <row r="33" spans="1:20" x14ac:dyDescent="0.25">
      <c r="A33" s="291">
        <v>32</v>
      </c>
      <c r="B33" s="292" t="s">
        <v>45</v>
      </c>
      <c r="C33" s="292" t="s">
        <v>26</v>
      </c>
      <c r="D33" s="292"/>
      <c r="E33" s="292"/>
      <c r="F33" s="292" t="s">
        <v>26</v>
      </c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3">
        <v>22</v>
      </c>
      <c r="T33">
        <f t="shared" si="0"/>
        <v>22</v>
      </c>
    </row>
    <row r="34" spans="1:20" x14ac:dyDescent="0.25">
      <c r="A34" s="291">
        <v>33</v>
      </c>
      <c r="B34" s="292" t="s">
        <v>630</v>
      </c>
      <c r="C34" s="292" t="s">
        <v>26</v>
      </c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3">
        <v>22</v>
      </c>
      <c r="T34">
        <f t="shared" si="0"/>
        <v>11</v>
      </c>
    </row>
    <row r="35" spans="1:20" x14ac:dyDescent="0.25">
      <c r="A35" s="291">
        <v>34</v>
      </c>
      <c r="B35" s="292" t="s">
        <v>628</v>
      </c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1">
        <v>0</v>
      </c>
      <c r="T35">
        <f t="shared" si="0"/>
        <v>0</v>
      </c>
    </row>
    <row r="36" spans="1:20" x14ac:dyDescent="0.25">
      <c r="A36" s="291">
        <v>35</v>
      </c>
      <c r="B36" s="292" t="s">
        <v>629</v>
      </c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1">
        <v>0</v>
      </c>
      <c r="T36">
        <f t="shared" si="0"/>
        <v>0</v>
      </c>
    </row>
    <row r="37" spans="1:20" x14ac:dyDescent="0.25">
      <c r="A37" s="291">
        <v>36</v>
      </c>
      <c r="B37" s="292" t="s">
        <v>631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1">
        <v>0</v>
      </c>
      <c r="T37">
        <f t="shared" si="0"/>
        <v>0</v>
      </c>
    </row>
    <row r="38" spans="1:20" x14ac:dyDescent="0.25">
      <c r="A38" s="291">
        <v>37</v>
      </c>
      <c r="B38" s="292" t="s">
        <v>632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1">
        <v>0</v>
      </c>
      <c r="T38">
        <f t="shared" si="0"/>
        <v>0</v>
      </c>
    </row>
    <row r="39" spans="1:20" x14ac:dyDescent="0.25">
      <c r="A39" s="291">
        <v>38</v>
      </c>
      <c r="B39" s="292" t="s">
        <v>633</v>
      </c>
      <c r="C39" s="292" t="s">
        <v>26</v>
      </c>
      <c r="D39" s="292"/>
      <c r="E39" s="292"/>
      <c r="F39" s="292"/>
      <c r="G39" s="292"/>
      <c r="H39" s="292"/>
      <c r="I39" s="292"/>
      <c r="J39" s="292"/>
      <c r="K39" s="292"/>
      <c r="L39" s="292" t="s">
        <v>26</v>
      </c>
      <c r="M39" s="292"/>
      <c r="N39" s="292"/>
      <c r="O39" s="292"/>
      <c r="P39" s="292"/>
      <c r="Q39" s="292"/>
      <c r="R39" s="293">
        <v>33</v>
      </c>
      <c r="T39">
        <f t="shared" si="0"/>
        <v>22</v>
      </c>
    </row>
    <row r="40" spans="1:20" x14ac:dyDescent="0.25">
      <c r="A40" s="291">
        <v>39</v>
      </c>
      <c r="B40" s="292" t="s">
        <v>634</v>
      </c>
      <c r="C40" s="292" t="s">
        <v>26</v>
      </c>
      <c r="D40" s="292"/>
      <c r="E40" s="292" t="s">
        <v>26</v>
      </c>
      <c r="F40" s="292"/>
      <c r="G40" s="292" t="s">
        <v>84</v>
      </c>
      <c r="H40" s="292"/>
      <c r="I40" s="292" t="s">
        <v>26</v>
      </c>
      <c r="J40" s="292" t="s">
        <v>26</v>
      </c>
      <c r="K40" s="292"/>
      <c r="L40" s="292"/>
      <c r="M40" s="292"/>
      <c r="N40" s="292"/>
      <c r="O40" s="292"/>
      <c r="P40" s="292"/>
      <c r="Q40" s="292"/>
      <c r="R40" s="293">
        <v>61</v>
      </c>
      <c r="T40">
        <f t="shared" si="0"/>
        <v>50</v>
      </c>
    </row>
    <row r="41" spans="1:20" x14ac:dyDescent="0.25">
      <c r="A41" s="291">
        <v>40</v>
      </c>
      <c r="B41" s="292" t="s">
        <v>636</v>
      </c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1">
        <v>0</v>
      </c>
      <c r="T41">
        <f t="shared" si="0"/>
        <v>0</v>
      </c>
    </row>
    <row r="42" spans="1:20" x14ac:dyDescent="0.25">
      <c r="A42" s="291">
        <v>41</v>
      </c>
      <c r="B42" s="292" t="s">
        <v>637</v>
      </c>
      <c r="C42" s="292"/>
      <c r="D42" s="292"/>
      <c r="E42" s="292"/>
      <c r="F42" s="292"/>
      <c r="G42" s="292"/>
      <c r="H42" s="292"/>
      <c r="I42" s="292"/>
      <c r="J42" s="292"/>
      <c r="K42" s="292"/>
      <c r="L42" s="292" t="s">
        <v>26</v>
      </c>
      <c r="M42" s="292"/>
      <c r="N42" s="292"/>
      <c r="O42" s="292"/>
      <c r="P42" s="292"/>
      <c r="Q42" s="292"/>
      <c r="R42" s="293">
        <v>11</v>
      </c>
      <c r="T42">
        <f t="shared" si="0"/>
        <v>11</v>
      </c>
    </row>
    <row r="43" spans="1:20" x14ac:dyDescent="0.25">
      <c r="A43" s="291">
        <v>42</v>
      </c>
      <c r="B43" s="292" t="s">
        <v>640</v>
      </c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1">
        <v>0</v>
      </c>
      <c r="T43">
        <f t="shared" si="0"/>
        <v>0</v>
      </c>
    </row>
    <row r="44" spans="1:20" x14ac:dyDescent="0.25">
      <c r="A44" s="291">
        <v>43</v>
      </c>
      <c r="B44" s="292" t="s">
        <v>638</v>
      </c>
      <c r="C44" s="292" t="s">
        <v>26</v>
      </c>
      <c r="D44" s="292"/>
      <c r="E44" s="292" t="s">
        <v>26</v>
      </c>
      <c r="F44" s="292"/>
      <c r="G44" s="292"/>
      <c r="H44" s="292"/>
      <c r="I44" s="292"/>
      <c r="J44" s="292"/>
      <c r="K44" s="292"/>
      <c r="L44" s="292" t="s">
        <v>26</v>
      </c>
      <c r="M44" s="292"/>
      <c r="N44" s="292"/>
      <c r="O44" s="292"/>
      <c r="P44" s="292"/>
      <c r="Q44" s="292"/>
      <c r="R44" s="293">
        <v>44</v>
      </c>
      <c r="T44">
        <f t="shared" si="0"/>
        <v>33</v>
      </c>
    </row>
    <row r="45" spans="1:20" x14ac:dyDescent="0.25">
      <c r="A45" s="291">
        <v>44</v>
      </c>
      <c r="B45" s="292" t="s">
        <v>635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1">
        <v>0</v>
      </c>
      <c r="T45">
        <f t="shared" si="0"/>
        <v>0</v>
      </c>
    </row>
    <row r="46" spans="1:20" x14ac:dyDescent="0.25">
      <c r="A46" s="291">
        <v>45</v>
      </c>
      <c r="B46" s="292" t="s">
        <v>641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1">
        <v>0</v>
      </c>
      <c r="T46">
        <f t="shared" si="0"/>
        <v>0</v>
      </c>
    </row>
    <row r="47" spans="1:20" x14ac:dyDescent="0.25">
      <c r="A47" s="291">
        <v>46</v>
      </c>
      <c r="B47" s="292" t="s">
        <v>649</v>
      </c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1">
        <v>0</v>
      </c>
      <c r="T47">
        <f t="shared" si="0"/>
        <v>0</v>
      </c>
    </row>
    <row r="48" spans="1:20" x14ac:dyDescent="0.25">
      <c r="A48" s="291">
        <v>47</v>
      </c>
      <c r="B48" s="292" t="s">
        <v>642</v>
      </c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1">
        <v>0</v>
      </c>
      <c r="T48">
        <f t="shared" si="0"/>
        <v>0</v>
      </c>
    </row>
    <row r="49" spans="1:20" x14ac:dyDescent="0.25">
      <c r="A49" s="291">
        <v>48</v>
      </c>
      <c r="B49" s="292" t="s">
        <v>643</v>
      </c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1">
        <v>0</v>
      </c>
      <c r="T49">
        <f t="shared" si="0"/>
        <v>0</v>
      </c>
    </row>
    <row r="50" spans="1:20" x14ac:dyDescent="0.25">
      <c r="A50" s="291">
        <v>49</v>
      </c>
      <c r="B50" s="292" t="s">
        <v>644</v>
      </c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1">
        <v>0</v>
      </c>
      <c r="T50">
        <f t="shared" si="0"/>
        <v>0</v>
      </c>
    </row>
    <row r="51" spans="1:20" x14ac:dyDescent="0.25">
      <c r="A51" s="291">
        <v>50</v>
      </c>
      <c r="B51" s="292" t="s">
        <v>646</v>
      </c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1">
        <v>0</v>
      </c>
      <c r="T51">
        <f t="shared" si="0"/>
        <v>0</v>
      </c>
    </row>
    <row r="52" spans="1:20" x14ac:dyDescent="0.25">
      <c r="A52" s="291">
        <v>51</v>
      </c>
      <c r="B52" s="292" t="s">
        <v>647</v>
      </c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1">
        <v>0</v>
      </c>
      <c r="T52">
        <f t="shared" si="0"/>
        <v>0</v>
      </c>
    </row>
    <row r="53" spans="1:20" x14ac:dyDescent="0.25">
      <c r="A53" s="291">
        <v>52</v>
      </c>
      <c r="B53" s="292" t="s">
        <v>652</v>
      </c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1">
        <v>0</v>
      </c>
      <c r="T53">
        <f t="shared" si="0"/>
        <v>0</v>
      </c>
    </row>
    <row r="54" spans="1:20" x14ac:dyDescent="0.25">
      <c r="A54" s="291">
        <v>53</v>
      </c>
      <c r="B54" s="292" t="s">
        <v>653</v>
      </c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1">
        <v>0</v>
      </c>
      <c r="T54">
        <f t="shared" si="0"/>
        <v>0</v>
      </c>
    </row>
    <row r="55" spans="1:20" x14ac:dyDescent="0.25">
      <c r="A55" s="291">
        <v>54</v>
      </c>
      <c r="B55" s="292" t="s">
        <v>654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1">
        <v>0</v>
      </c>
      <c r="T55">
        <f t="shared" si="0"/>
        <v>0</v>
      </c>
    </row>
    <row r="56" spans="1:20" x14ac:dyDescent="0.25">
      <c r="A56" s="291">
        <v>55</v>
      </c>
      <c r="B56" s="292" t="s">
        <v>655</v>
      </c>
      <c r="C56" s="292" t="s">
        <v>26</v>
      </c>
      <c r="D56" s="292"/>
      <c r="E56" s="292"/>
      <c r="F56" s="292"/>
      <c r="G56" s="292"/>
      <c r="H56" s="292"/>
      <c r="I56" s="292"/>
      <c r="J56" s="292"/>
      <c r="K56" s="292"/>
      <c r="L56" s="292" t="s">
        <v>26</v>
      </c>
      <c r="M56" s="292"/>
      <c r="N56" s="292"/>
      <c r="O56" s="292"/>
      <c r="P56" s="292"/>
      <c r="Q56" s="292"/>
      <c r="R56" s="293">
        <v>33</v>
      </c>
      <c r="T56">
        <f t="shared" si="0"/>
        <v>22</v>
      </c>
    </row>
    <row r="57" spans="1:20" x14ac:dyDescent="0.25">
      <c r="A57" s="291">
        <v>56</v>
      </c>
      <c r="B57" s="292" t="s">
        <v>656</v>
      </c>
      <c r="C57" s="292" t="s">
        <v>26</v>
      </c>
      <c r="D57" s="292" t="s">
        <v>25</v>
      </c>
      <c r="E57" s="292" t="s">
        <v>26</v>
      </c>
      <c r="F57" s="292" t="s">
        <v>26</v>
      </c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3">
        <v>42</v>
      </c>
      <c r="T57">
        <f t="shared" si="0"/>
        <v>42</v>
      </c>
    </row>
    <row r="58" spans="1:20" x14ac:dyDescent="0.25">
      <c r="A58" s="291">
        <v>57</v>
      </c>
      <c r="B58" s="292" t="s">
        <v>657</v>
      </c>
      <c r="C58" s="292" t="s">
        <v>26</v>
      </c>
      <c r="D58" s="292"/>
      <c r="E58" s="292"/>
      <c r="F58" s="292"/>
      <c r="G58" s="292"/>
      <c r="H58" s="292"/>
      <c r="I58" s="292"/>
      <c r="J58" s="292"/>
      <c r="K58" s="292"/>
      <c r="L58" s="292" t="s">
        <v>26</v>
      </c>
      <c r="M58" s="292" t="s">
        <v>26</v>
      </c>
      <c r="N58" s="292" t="s">
        <v>84</v>
      </c>
      <c r="O58" s="292"/>
      <c r="P58" s="292" t="s">
        <v>26</v>
      </c>
      <c r="Q58" s="292"/>
      <c r="R58" s="293">
        <v>61</v>
      </c>
      <c r="T58">
        <f t="shared" si="0"/>
        <v>50</v>
      </c>
    </row>
    <row r="59" spans="1:20" x14ac:dyDescent="0.25">
      <c r="A59" s="291">
        <v>58</v>
      </c>
      <c r="B59" s="292" t="s">
        <v>658</v>
      </c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 t="s">
        <v>26</v>
      </c>
      <c r="N59" s="292"/>
      <c r="O59" s="292"/>
      <c r="P59" s="292" t="s">
        <v>26</v>
      </c>
      <c r="Q59" s="292" t="s">
        <v>26</v>
      </c>
      <c r="R59" s="293">
        <v>44</v>
      </c>
      <c r="T59">
        <f t="shared" si="0"/>
        <v>33</v>
      </c>
    </row>
    <row r="60" spans="1:20" x14ac:dyDescent="0.25">
      <c r="A60" s="291">
        <v>59</v>
      </c>
      <c r="B60" s="292" t="s">
        <v>659</v>
      </c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1">
        <v>0</v>
      </c>
      <c r="T60">
        <f t="shared" si="0"/>
        <v>0</v>
      </c>
    </row>
    <row r="61" spans="1:20" x14ac:dyDescent="0.25">
      <c r="A61" s="291">
        <v>60</v>
      </c>
      <c r="B61" s="292" t="s">
        <v>660</v>
      </c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1">
        <v>0</v>
      </c>
      <c r="T61">
        <f t="shared" si="0"/>
        <v>0</v>
      </c>
    </row>
    <row r="62" spans="1:20" x14ac:dyDescent="0.25">
      <c r="A62" s="291">
        <v>61</v>
      </c>
      <c r="B62" s="292" t="s">
        <v>661</v>
      </c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1">
        <v>0</v>
      </c>
      <c r="T62">
        <f t="shared" si="0"/>
        <v>0</v>
      </c>
    </row>
    <row r="63" spans="1:20" x14ac:dyDescent="0.25">
      <c r="A63" s="291">
        <v>62</v>
      </c>
      <c r="B63" s="292" t="s">
        <v>662</v>
      </c>
      <c r="C63" s="292"/>
      <c r="D63" s="292"/>
      <c r="E63" s="292"/>
      <c r="F63" s="292"/>
      <c r="G63" s="292"/>
      <c r="H63" s="292"/>
      <c r="I63" s="292" t="s">
        <v>26</v>
      </c>
      <c r="J63" s="292"/>
      <c r="K63" s="292"/>
      <c r="L63" s="292"/>
      <c r="M63" s="292"/>
      <c r="N63" s="292"/>
      <c r="O63" s="292"/>
      <c r="P63" s="292"/>
      <c r="Q63" s="292"/>
      <c r="R63" s="293">
        <v>11</v>
      </c>
      <c r="T63">
        <f t="shared" si="0"/>
        <v>11</v>
      </c>
    </row>
    <row r="64" spans="1:20" x14ac:dyDescent="0.25">
      <c r="A64" s="291">
        <v>63</v>
      </c>
      <c r="B64" s="292" t="s">
        <v>668</v>
      </c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1">
        <v>0</v>
      </c>
      <c r="T64">
        <f t="shared" si="0"/>
        <v>0</v>
      </c>
    </row>
    <row r="65" spans="1:18" x14ac:dyDescent="0.25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4">
        <v>739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65"/>
  <sheetViews>
    <sheetView zoomScale="85" zoomScaleNormal="85" workbookViewId="0">
      <selection activeCell="B20" sqref="B20"/>
    </sheetView>
  </sheetViews>
  <sheetFormatPr defaultRowHeight="15" x14ac:dyDescent="0.25"/>
  <sheetData>
    <row r="1" spans="1:35" x14ac:dyDescent="0.25">
      <c r="A1" s="295" t="s">
        <v>1</v>
      </c>
      <c r="B1" s="295" t="s">
        <v>6</v>
      </c>
      <c r="C1" s="295" t="s">
        <v>60</v>
      </c>
      <c r="D1" s="295" t="s">
        <v>61</v>
      </c>
      <c r="E1" s="295" t="s">
        <v>62</v>
      </c>
      <c r="F1" s="295" t="s">
        <v>63</v>
      </c>
      <c r="G1" s="295" t="s">
        <v>83</v>
      </c>
      <c r="H1" s="295" t="s">
        <v>84</v>
      </c>
      <c r="I1" s="295" t="s">
        <v>85</v>
      </c>
      <c r="J1" s="295" t="s">
        <v>24</v>
      </c>
      <c r="K1" s="295" t="s">
        <v>25</v>
      </c>
      <c r="L1" s="295" t="s">
        <v>64</v>
      </c>
      <c r="M1" s="295" t="s">
        <v>26</v>
      </c>
      <c r="N1" s="295" t="s">
        <v>65</v>
      </c>
      <c r="O1" s="295" t="s">
        <v>66</v>
      </c>
      <c r="P1" s="295" t="s">
        <v>67</v>
      </c>
      <c r="Q1" s="295" t="s">
        <v>86</v>
      </c>
      <c r="R1" s="295" t="s">
        <v>46</v>
      </c>
      <c r="S1" s="295" t="s">
        <v>47</v>
      </c>
      <c r="T1" s="295" t="s">
        <v>48</v>
      </c>
      <c r="U1" s="295" t="s">
        <v>49</v>
      </c>
      <c r="V1" s="295" t="s">
        <v>50</v>
      </c>
      <c r="W1" s="295" t="s">
        <v>51</v>
      </c>
      <c r="X1" s="295" t="s">
        <v>52</v>
      </c>
      <c r="Y1" s="295" t="s">
        <v>53</v>
      </c>
      <c r="Z1" s="295" t="s">
        <v>54</v>
      </c>
      <c r="AA1" s="295" t="s">
        <v>55</v>
      </c>
      <c r="AB1" s="295" t="s">
        <v>56</v>
      </c>
      <c r="AC1" s="295" t="s">
        <v>57</v>
      </c>
      <c r="AD1" s="295" t="s">
        <v>58</v>
      </c>
      <c r="AE1" s="295" t="s">
        <v>59</v>
      </c>
      <c r="AF1" s="295" t="s">
        <v>667</v>
      </c>
      <c r="AG1" s="295" t="s">
        <v>2</v>
      </c>
    </row>
    <row r="2" spans="1:35" x14ac:dyDescent="0.25">
      <c r="A2" s="296">
        <v>1</v>
      </c>
      <c r="B2" s="297" t="s">
        <v>10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 t="s">
        <v>84</v>
      </c>
      <c r="W2" s="297"/>
      <c r="X2" s="297" t="s">
        <v>26</v>
      </c>
      <c r="Y2" s="297" t="s">
        <v>26</v>
      </c>
      <c r="Z2" s="297" t="s">
        <v>26</v>
      </c>
      <c r="AA2" s="297"/>
      <c r="AB2" s="297"/>
      <c r="AC2" s="297"/>
      <c r="AD2" s="297"/>
      <c r="AE2" s="297"/>
      <c r="AF2" s="297"/>
      <c r="AG2" s="298">
        <v>39</v>
      </c>
      <c r="AI2">
        <f t="shared" ref="AI2:AI64" si="0">R2+S2+T2+U2+V2+W2+X2+Y2+Z2+AA2+AB2+AC2+AD2+AE2+AF2</f>
        <v>39</v>
      </c>
    </row>
    <row r="3" spans="1:35" x14ac:dyDescent="0.25">
      <c r="A3" s="296">
        <v>2</v>
      </c>
      <c r="B3" s="297" t="s">
        <v>11</v>
      </c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6">
        <v>0</v>
      </c>
      <c r="AI3">
        <f t="shared" si="0"/>
        <v>0</v>
      </c>
    </row>
    <row r="4" spans="1:35" x14ac:dyDescent="0.25">
      <c r="A4" s="296">
        <v>3</v>
      </c>
      <c r="B4" s="297" t="s">
        <v>12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6">
        <v>0</v>
      </c>
      <c r="AI4">
        <f t="shared" si="0"/>
        <v>0</v>
      </c>
    </row>
    <row r="5" spans="1:35" x14ac:dyDescent="0.25">
      <c r="A5" s="296">
        <v>4</v>
      </c>
      <c r="B5" s="297" t="s">
        <v>651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6">
        <v>0</v>
      </c>
      <c r="AI5">
        <f t="shared" si="0"/>
        <v>0</v>
      </c>
    </row>
    <row r="6" spans="1:35" x14ac:dyDescent="0.25">
      <c r="A6" s="296">
        <v>5</v>
      </c>
      <c r="B6" s="297" t="s">
        <v>14</v>
      </c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6">
        <v>0</v>
      </c>
      <c r="AI6">
        <f t="shared" si="0"/>
        <v>0</v>
      </c>
    </row>
    <row r="7" spans="1:35" x14ac:dyDescent="0.25">
      <c r="A7" s="296">
        <v>6</v>
      </c>
      <c r="B7" s="297" t="s">
        <v>15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 t="s">
        <v>26</v>
      </c>
      <c r="Z7" s="297"/>
      <c r="AA7" s="297"/>
      <c r="AB7" s="297"/>
      <c r="AC7" s="297"/>
      <c r="AD7" s="297"/>
      <c r="AE7" s="297"/>
      <c r="AF7" s="297"/>
      <c r="AG7" s="298">
        <v>11</v>
      </c>
      <c r="AI7">
        <f t="shared" si="0"/>
        <v>11</v>
      </c>
    </row>
    <row r="8" spans="1:35" x14ac:dyDescent="0.25">
      <c r="A8" s="296">
        <v>7</v>
      </c>
      <c r="B8" s="297" t="s">
        <v>16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 t="s">
        <v>26</v>
      </c>
      <c r="Y8" s="297" t="s">
        <v>26</v>
      </c>
      <c r="Z8" s="297"/>
      <c r="AA8" s="297"/>
      <c r="AB8" s="297"/>
      <c r="AC8" s="297"/>
      <c r="AD8" s="297"/>
      <c r="AE8" s="297"/>
      <c r="AF8" s="297"/>
      <c r="AG8" s="298">
        <v>22</v>
      </c>
      <c r="AI8">
        <f t="shared" si="0"/>
        <v>22</v>
      </c>
    </row>
    <row r="9" spans="1:35" x14ac:dyDescent="0.25">
      <c r="A9" s="296">
        <v>8</v>
      </c>
      <c r="B9" s="297" t="s">
        <v>4</v>
      </c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6">
        <v>0</v>
      </c>
      <c r="AI9">
        <f t="shared" si="0"/>
        <v>0</v>
      </c>
    </row>
    <row r="10" spans="1:35" x14ac:dyDescent="0.25">
      <c r="A10" s="296">
        <v>9</v>
      </c>
      <c r="B10" s="297" t="s">
        <v>5</v>
      </c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6">
        <v>0</v>
      </c>
      <c r="AI10">
        <f t="shared" si="0"/>
        <v>0</v>
      </c>
    </row>
    <row r="11" spans="1:35" x14ac:dyDescent="0.25">
      <c r="A11" s="296">
        <v>10</v>
      </c>
      <c r="B11" s="297" t="s">
        <v>38</v>
      </c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6">
        <v>0</v>
      </c>
      <c r="AI11">
        <f t="shared" si="0"/>
        <v>0</v>
      </c>
    </row>
    <row r="12" spans="1:35" x14ac:dyDescent="0.25">
      <c r="A12" s="296">
        <v>11</v>
      </c>
      <c r="B12" s="297" t="s">
        <v>43</v>
      </c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6">
        <v>0</v>
      </c>
      <c r="AI12">
        <f t="shared" si="0"/>
        <v>0</v>
      </c>
    </row>
    <row r="13" spans="1:35" x14ac:dyDescent="0.25">
      <c r="A13" s="296">
        <v>12</v>
      </c>
      <c r="B13" s="297" t="s">
        <v>639</v>
      </c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6">
        <v>0</v>
      </c>
      <c r="AI13">
        <f t="shared" si="0"/>
        <v>0</v>
      </c>
    </row>
    <row r="14" spans="1:35" x14ac:dyDescent="0.25">
      <c r="A14" s="296">
        <v>13</v>
      </c>
      <c r="B14" s="297" t="s">
        <v>87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 t="s">
        <v>26</v>
      </c>
      <c r="Y14" s="297" t="s">
        <v>26</v>
      </c>
      <c r="Z14" s="297"/>
      <c r="AA14" s="297"/>
      <c r="AB14" s="297"/>
      <c r="AC14" s="297"/>
      <c r="AD14" s="297"/>
      <c r="AE14" s="297"/>
      <c r="AF14" s="297"/>
      <c r="AG14" s="298">
        <v>22</v>
      </c>
      <c r="AI14">
        <f t="shared" si="0"/>
        <v>22</v>
      </c>
    </row>
    <row r="15" spans="1:35" x14ac:dyDescent="0.25">
      <c r="A15" s="296">
        <v>14</v>
      </c>
      <c r="B15" s="297" t="s">
        <v>95</v>
      </c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6">
        <v>0</v>
      </c>
      <c r="AI15">
        <f t="shared" si="0"/>
        <v>0</v>
      </c>
    </row>
    <row r="16" spans="1:35" x14ac:dyDescent="0.25">
      <c r="A16" s="296">
        <v>15</v>
      </c>
      <c r="B16" s="297" t="s">
        <v>96</v>
      </c>
      <c r="C16" s="297"/>
      <c r="D16" s="297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6">
        <v>0</v>
      </c>
      <c r="AI16">
        <f t="shared" si="0"/>
        <v>0</v>
      </c>
    </row>
    <row r="17" spans="1:35" x14ac:dyDescent="0.25">
      <c r="A17" s="296">
        <v>16</v>
      </c>
      <c r="B17" s="297" t="s">
        <v>97</v>
      </c>
      <c r="C17" s="297"/>
      <c r="D17" s="297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6">
        <v>0</v>
      </c>
      <c r="AI17">
        <f t="shared" si="0"/>
        <v>0</v>
      </c>
    </row>
    <row r="18" spans="1:35" x14ac:dyDescent="0.25">
      <c r="A18" s="296">
        <v>17</v>
      </c>
      <c r="B18" s="297" t="s">
        <v>98</v>
      </c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6">
        <v>0</v>
      </c>
      <c r="AI18">
        <f t="shared" si="0"/>
        <v>0</v>
      </c>
    </row>
    <row r="19" spans="1:35" x14ac:dyDescent="0.25">
      <c r="A19" s="296">
        <v>18</v>
      </c>
      <c r="B19" s="297" t="s">
        <v>616</v>
      </c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6">
        <v>0</v>
      </c>
      <c r="AI19">
        <f t="shared" si="0"/>
        <v>0</v>
      </c>
    </row>
    <row r="20" spans="1:35" x14ac:dyDescent="0.25">
      <c r="A20" s="296">
        <v>19</v>
      </c>
      <c r="B20" s="297" t="s">
        <v>617</v>
      </c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6">
        <v>0</v>
      </c>
      <c r="AI20">
        <f t="shared" si="0"/>
        <v>0</v>
      </c>
    </row>
    <row r="21" spans="1:35" x14ac:dyDescent="0.25">
      <c r="A21" s="296">
        <v>20</v>
      </c>
      <c r="B21" s="297" t="s">
        <v>626</v>
      </c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6">
        <v>0</v>
      </c>
      <c r="AI21">
        <f t="shared" si="0"/>
        <v>0</v>
      </c>
    </row>
    <row r="22" spans="1:35" x14ac:dyDescent="0.25">
      <c r="A22" s="296">
        <v>21</v>
      </c>
      <c r="B22" s="297" t="s">
        <v>618</v>
      </c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6">
        <v>0</v>
      </c>
      <c r="AI22">
        <f t="shared" si="0"/>
        <v>0</v>
      </c>
    </row>
    <row r="23" spans="1:35" x14ac:dyDescent="0.25">
      <c r="A23" s="296">
        <v>22</v>
      </c>
      <c r="B23" s="297" t="s">
        <v>619</v>
      </c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6">
        <v>0</v>
      </c>
      <c r="AI23">
        <f t="shared" si="0"/>
        <v>0</v>
      </c>
    </row>
    <row r="24" spans="1:35" x14ac:dyDescent="0.25">
      <c r="A24" s="296">
        <v>23</v>
      </c>
      <c r="B24" s="297" t="s">
        <v>620</v>
      </c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6">
        <v>0</v>
      </c>
      <c r="AI24">
        <f t="shared" si="0"/>
        <v>0</v>
      </c>
    </row>
    <row r="25" spans="1:35" x14ac:dyDescent="0.25">
      <c r="A25" s="296">
        <v>24</v>
      </c>
      <c r="B25" s="297" t="s">
        <v>650</v>
      </c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 t="s">
        <v>26</v>
      </c>
      <c r="V25" s="297" t="s">
        <v>84</v>
      </c>
      <c r="W25" s="297"/>
      <c r="X25" s="297" t="s">
        <v>26</v>
      </c>
      <c r="Y25" s="297"/>
      <c r="Z25" s="297"/>
      <c r="AA25" s="297"/>
      <c r="AB25" s="297"/>
      <c r="AC25" s="297"/>
      <c r="AD25" s="297"/>
      <c r="AE25" s="297"/>
      <c r="AF25" s="297"/>
      <c r="AG25" s="298">
        <v>28</v>
      </c>
      <c r="AI25">
        <f t="shared" si="0"/>
        <v>28</v>
      </c>
    </row>
    <row r="26" spans="1:35" x14ac:dyDescent="0.25">
      <c r="A26" s="296">
        <v>25</v>
      </c>
      <c r="B26" s="297" t="s">
        <v>621</v>
      </c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6">
        <v>0</v>
      </c>
      <c r="AI26">
        <f t="shared" si="0"/>
        <v>0</v>
      </c>
    </row>
    <row r="27" spans="1:35" x14ac:dyDescent="0.25">
      <c r="A27" s="296">
        <v>26</v>
      </c>
      <c r="B27" s="297" t="s">
        <v>622</v>
      </c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6">
        <v>0</v>
      </c>
      <c r="AI27">
        <f t="shared" si="0"/>
        <v>0</v>
      </c>
    </row>
    <row r="28" spans="1:35" x14ac:dyDescent="0.25">
      <c r="A28" s="296">
        <v>27</v>
      </c>
      <c r="B28" s="297" t="s">
        <v>623</v>
      </c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  <c r="W28" s="297"/>
      <c r="X28" s="297" t="s">
        <v>26</v>
      </c>
      <c r="Y28" s="297" t="s">
        <v>26</v>
      </c>
      <c r="Z28" s="297"/>
      <c r="AA28" s="297"/>
      <c r="AB28" s="297"/>
      <c r="AC28" s="297"/>
      <c r="AD28" s="297"/>
      <c r="AE28" s="297"/>
      <c r="AF28" s="297"/>
      <c r="AG28" s="298">
        <v>22</v>
      </c>
      <c r="AI28">
        <f t="shared" si="0"/>
        <v>22</v>
      </c>
    </row>
    <row r="29" spans="1:35" x14ac:dyDescent="0.25">
      <c r="A29" s="296">
        <v>28</v>
      </c>
      <c r="B29" s="297" t="s">
        <v>624</v>
      </c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6">
        <v>0</v>
      </c>
      <c r="AI29">
        <f t="shared" si="0"/>
        <v>0</v>
      </c>
    </row>
    <row r="30" spans="1:35" x14ac:dyDescent="0.25">
      <c r="A30" s="296">
        <v>29</v>
      </c>
      <c r="B30" s="297" t="s">
        <v>627</v>
      </c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6">
        <v>0</v>
      </c>
      <c r="AI30">
        <f t="shared" si="0"/>
        <v>0</v>
      </c>
    </row>
    <row r="31" spans="1:35" x14ac:dyDescent="0.25">
      <c r="A31" s="296">
        <v>30</v>
      </c>
      <c r="B31" s="297" t="s">
        <v>625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6">
        <v>0</v>
      </c>
      <c r="AI31">
        <f t="shared" si="0"/>
        <v>0</v>
      </c>
    </row>
    <row r="32" spans="1:35" x14ac:dyDescent="0.25">
      <c r="A32" s="296">
        <v>31</v>
      </c>
      <c r="B32" s="297" t="s">
        <v>34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6">
        <v>0</v>
      </c>
      <c r="AI32">
        <f t="shared" si="0"/>
        <v>0</v>
      </c>
    </row>
    <row r="33" spans="1:35" x14ac:dyDescent="0.25">
      <c r="A33" s="296">
        <v>32</v>
      </c>
      <c r="B33" s="297" t="s">
        <v>45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 t="s">
        <v>26</v>
      </c>
      <c r="Y33" s="297" t="s">
        <v>26</v>
      </c>
      <c r="Z33" s="297"/>
      <c r="AA33" s="297"/>
      <c r="AB33" s="297"/>
      <c r="AC33" s="297"/>
      <c r="AD33" s="297"/>
      <c r="AE33" s="297"/>
      <c r="AF33" s="297"/>
      <c r="AG33" s="298">
        <v>22</v>
      </c>
      <c r="AI33">
        <f t="shared" si="0"/>
        <v>22</v>
      </c>
    </row>
    <row r="34" spans="1:35" x14ac:dyDescent="0.25">
      <c r="A34" s="296">
        <v>33</v>
      </c>
      <c r="B34" s="297" t="s">
        <v>630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 t="s">
        <v>26</v>
      </c>
      <c r="Y34" s="297" t="s">
        <v>26</v>
      </c>
      <c r="Z34" s="297"/>
      <c r="AA34" s="297"/>
      <c r="AB34" s="297"/>
      <c r="AC34" s="297"/>
      <c r="AD34" s="297"/>
      <c r="AE34" s="297"/>
      <c r="AF34" s="297"/>
      <c r="AG34" s="298">
        <v>22</v>
      </c>
      <c r="AI34">
        <f t="shared" si="0"/>
        <v>22</v>
      </c>
    </row>
    <row r="35" spans="1:35" x14ac:dyDescent="0.25">
      <c r="A35" s="296">
        <v>34</v>
      </c>
      <c r="B35" s="297" t="s">
        <v>628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6">
        <v>0</v>
      </c>
      <c r="AI35">
        <f t="shared" si="0"/>
        <v>0</v>
      </c>
    </row>
    <row r="36" spans="1:35" x14ac:dyDescent="0.25">
      <c r="A36" s="296">
        <v>35</v>
      </c>
      <c r="B36" s="297" t="s">
        <v>629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6">
        <v>0</v>
      </c>
      <c r="AI36">
        <f t="shared" si="0"/>
        <v>0</v>
      </c>
    </row>
    <row r="37" spans="1:35" x14ac:dyDescent="0.25">
      <c r="A37" s="296">
        <v>36</v>
      </c>
      <c r="B37" s="297" t="s">
        <v>631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 t="s">
        <v>26</v>
      </c>
      <c r="Z37" s="297"/>
      <c r="AA37" s="297"/>
      <c r="AB37" s="297"/>
      <c r="AC37" s="297"/>
      <c r="AD37" s="297"/>
      <c r="AE37" s="297"/>
      <c r="AF37" s="297"/>
      <c r="AG37" s="298">
        <v>11</v>
      </c>
      <c r="AI37">
        <f t="shared" si="0"/>
        <v>11</v>
      </c>
    </row>
    <row r="38" spans="1:35" x14ac:dyDescent="0.25">
      <c r="A38" s="296">
        <v>37</v>
      </c>
      <c r="B38" s="297" t="s">
        <v>632</v>
      </c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6">
        <v>0</v>
      </c>
      <c r="AI38">
        <f t="shared" si="0"/>
        <v>0</v>
      </c>
    </row>
    <row r="39" spans="1:35" x14ac:dyDescent="0.25">
      <c r="A39" s="296">
        <v>38</v>
      </c>
      <c r="B39" s="297" t="s">
        <v>633</v>
      </c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 t="s">
        <v>84</v>
      </c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8">
        <v>6</v>
      </c>
      <c r="AI39">
        <f t="shared" si="0"/>
        <v>6</v>
      </c>
    </row>
    <row r="40" spans="1:35" x14ac:dyDescent="0.25">
      <c r="A40" s="296">
        <v>39</v>
      </c>
      <c r="B40" s="297" t="s">
        <v>634</v>
      </c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6">
        <v>0</v>
      </c>
      <c r="AI40">
        <f t="shared" si="0"/>
        <v>0</v>
      </c>
    </row>
    <row r="41" spans="1:35" x14ac:dyDescent="0.25">
      <c r="A41" s="296">
        <v>40</v>
      </c>
      <c r="B41" s="297" t="s">
        <v>636</v>
      </c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6">
        <v>0</v>
      </c>
      <c r="AI41">
        <f t="shared" si="0"/>
        <v>0</v>
      </c>
    </row>
    <row r="42" spans="1:35" x14ac:dyDescent="0.25">
      <c r="A42" s="296">
        <v>41</v>
      </c>
      <c r="B42" s="297" t="s">
        <v>637</v>
      </c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6">
        <v>0</v>
      </c>
      <c r="AI42">
        <f t="shared" si="0"/>
        <v>0</v>
      </c>
    </row>
    <row r="43" spans="1:35" x14ac:dyDescent="0.25">
      <c r="A43" s="296">
        <v>42</v>
      </c>
      <c r="B43" s="297" t="s">
        <v>640</v>
      </c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6">
        <v>0</v>
      </c>
      <c r="AI43">
        <f t="shared" si="0"/>
        <v>0</v>
      </c>
    </row>
    <row r="44" spans="1:35" x14ac:dyDescent="0.25">
      <c r="A44" s="296">
        <v>43</v>
      </c>
      <c r="B44" s="297" t="s">
        <v>638</v>
      </c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 t="s">
        <v>26</v>
      </c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8">
        <v>11</v>
      </c>
      <c r="AI44">
        <f t="shared" si="0"/>
        <v>11</v>
      </c>
    </row>
    <row r="45" spans="1:35" x14ac:dyDescent="0.25">
      <c r="A45" s="296">
        <v>44</v>
      </c>
      <c r="B45" s="297" t="s">
        <v>635</v>
      </c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6">
        <v>0</v>
      </c>
      <c r="AI45">
        <f t="shared" si="0"/>
        <v>0</v>
      </c>
    </row>
    <row r="46" spans="1:35" x14ac:dyDescent="0.25">
      <c r="A46" s="296">
        <v>45</v>
      </c>
      <c r="B46" s="297" t="s">
        <v>641</v>
      </c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6">
        <v>0</v>
      </c>
      <c r="AI46">
        <f t="shared" si="0"/>
        <v>0</v>
      </c>
    </row>
    <row r="47" spans="1:35" x14ac:dyDescent="0.25">
      <c r="A47" s="296">
        <v>46</v>
      </c>
      <c r="B47" s="297" t="s">
        <v>649</v>
      </c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 t="s">
        <v>26</v>
      </c>
      <c r="AA47" s="297"/>
      <c r="AB47" s="297"/>
      <c r="AC47" s="297"/>
      <c r="AD47" s="297"/>
      <c r="AE47" s="297"/>
      <c r="AF47" s="297"/>
      <c r="AG47" s="298">
        <v>11</v>
      </c>
      <c r="AI47">
        <f t="shared" si="0"/>
        <v>11</v>
      </c>
    </row>
    <row r="48" spans="1:35" x14ac:dyDescent="0.25">
      <c r="A48" s="296">
        <v>47</v>
      </c>
      <c r="B48" s="297" t="s">
        <v>642</v>
      </c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6">
        <v>0</v>
      </c>
      <c r="AI48">
        <f t="shared" si="0"/>
        <v>0</v>
      </c>
    </row>
    <row r="49" spans="1:35" x14ac:dyDescent="0.25">
      <c r="A49" s="296">
        <v>48</v>
      </c>
      <c r="B49" s="297" t="s">
        <v>643</v>
      </c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6">
        <v>0</v>
      </c>
      <c r="AI49">
        <f t="shared" si="0"/>
        <v>0</v>
      </c>
    </row>
    <row r="50" spans="1:35" x14ac:dyDescent="0.25">
      <c r="A50" s="296">
        <v>49</v>
      </c>
      <c r="B50" s="297" t="s">
        <v>644</v>
      </c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6">
        <v>0</v>
      </c>
      <c r="AI50">
        <f t="shared" si="0"/>
        <v>0</v>
      </c>
    </row>
    <row r="51" spans="1:35" x14ac:dyDescent="0.25">
      <c r="A51" s="296">
        <v>50</v>
      </c>
      <c r="B51" s="297" t="s">
        <v>646</v>
      </c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6">
        <v>0</v>
      </c>
      <c r="AI51">
        <f t="shared" si="0"/>
        <v>0</v>
      </c>
    </row>
    <row r="52" spans="1:35" x14ac:dyDescent="0.25">
      <c r="A52" s="296">
        <v>51</v>
      </c>
      <c r="B52" s="297" t="s">
        <v>647</v>
      </c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 t="s">
        <v>26</v>
      </c>
      <c r="V52" s="297" t="s">
        <v>84</v>
      </c>
      <c r="W52" s="297"/>
      <c r="X52" s="297" t="s">
        <v>26</v>
      </c>
      <c r="Y52" s="297" t="s">
        <v>26</v>
      </c>
      <c r="Z52" s="297"/>
      <c r="AA52" s="297"/>
      <c r="AB52" s="297"/>
      <c r="AC52" s="297"/>
      <c r="AD52" s="297"/>
      <c r="AE52" s="297"/>
      <c r="AF52" s="297"/>
      <c r="AG52" s="298">
        <v>39</v>
      </c>
      <c r="AI52">
        <f t="shared" si="0"/>
        <v>39</v>
      </c>
    </row>
    <row r="53" spans="1:35" x14ac:dyDescent="0.25">
      <c r="A53" s="296">
        <v>52</v>
      </c>
      <c r="B53" s="297" t="s">
        <v>652</v>
      </c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 t="s">
        <v>65</v>
      </c>
      <c r="V53" s="297" t="s">
        <v>24</v>
      </c>
      <c r="W53" s="297"/>
      <c r="X53" s="297"/>
      <c r="Y53" s="297"/>
      <c r="Z53" s="297"/>
      <c r="AA53" s="297"/>
      <c r="AB53" s="297"/>
      <c r="AC53" s="297"/>
      <c r="AD53" s="297"/>
      <c r="AE53" s="297"/>
      <c r="AF53" s="297"/>
      <c r="AG53" s="298">
        <v>20</v>
      </c>
      <c r="AI53">
        <f t="shared" si="0"/>
        <v>20</v>
      </c>
    </row>
    <row r="54" spans="1:35" x14ac:dyDescent="0.25">
      <c r="A54" s="296">
        <v>53</v>
      </c>
      <c r="B54" s="297" t="s">
        <v>653</v>
      </c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6">
        <v>0</v>
      </c>
      <c r="AI54">
        <f t="shared" si="0"/>
        <v>0</v>
      </c>
    </row>
    <row r="55" spans="1:35" x14ac:dyDescent="0.25">
      <c r="A55" s="296">
        <v>54</v>
      </c>
      <c r="B55" s="297" t="s">
        <v>654</v>
      </c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  <c r="AC55" s="297"/>
      <c r="AD55" s="297"/>
      <c r="AE55" s="297"/>
      <c r="AF55" s="297"/>
      <c r="AG55" s="296">
        <v>0</v>
      </c>
      <c r="AI55">
        <f t="shared" si="0"/>
        <v>0</v>
      </c>
    </row>
    <row r="56" spans="1:35" x14ac:dyDescent="0.25">
      <c r="A56" s="296">
        <v>55</v>
      </c>
      <c r="B56" s="297" t="s">
        <v>655</v>
      </c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 t="s">
        <v>26</v>
      </c>
      <c r="V56" s="297" t="s">
        <v>84</v>
      </c>
      <c r="W56" s="297"/>
      <c r="X56" s="297" t="s">
        <v>26</v>
      </c>
      <c r="Y56" s="297"/>
      <c r="Z56" s="297" t="s">
        <v>26</v>
      </c>
      <c r="AA56" s="297"/>
      <c r="AB56" s="297"/>
      <c r="AC56" s="297"/>
      <c r="AD56" s="297"/>
      <c r="AE56" s="297"/>
      <c r="AF56" s="297"/>
      <c r="AG56" s="298">
        <v>39</v>
      </c>
      <c r="AI56">
        <f t="shared" si="0"/>
        <v>39</v>
      </c>
    </row>
    <row r="57" spans="1:35" x14ac:dyDescent="0.25">
      <c r="A57" s="296">
        <v>56</v>
      </c>
      <c r="B57" s="297" t="s">
        <v>656</v>
      </c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 t="s">
        <v>26</v>
      </c>
      <c r="AA57" s="297"/>
      <c r="AB57" s="297"/>
      <c r="AC57" s="297"/>
      <c r="AD57" s="297"/>
      <c r="AE57" s="297"/>
      <c r="AF57" s="297"/>
      <c r="AG57" s="298">
        <v>11</v>
      </c>
      <c r="AI57">
        <f t="shared" si="0"/>
        <v>11</v>
      </c>
    </row>
    <row r="58" spans="1:35" x14ac:dyDescent="0.25">
      <c r="A58" s="296">
        <v>57</v>
      </c>
      <c r="B58" s="297" t="s">
        <v>657</v>
      </c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 t="s">
        <v>26</v>
      </c>
      <c r="U58" s="297" t="s">
        <v>26</v>
      </c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8">
        <v>22</v>
      </c>
      <c r="AI58">
        <f t="shared" si="0"/>
        <v>22</v>
      </c>
    </row>
    <row r="59" spans="1:35" x14ac:dyDescent="0.25">
      <c r="A59" s="296">
        <v>58</v>
      </c>
      <c r="B59" s="297" t="s">
        <v>658</v>
      </c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 t="s">
        <v>26</v>
      </c>
      <c r="V59" s="297" t="s">
        <v>84</v>
      </c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8">
        <v>17</v>
      </c>
      <c r="AI59">
        <f t="shared" si="0"/>
        <v>17</v>
      </c>
    </row>
    <row r="60" spans="1:35" x14ac:dyDescent="0.25">
      <c r="A60" s="296">
        <v>59</v>
      </c>
      <c r="B60" s="297" t="s">
        <v>659</v>
      </c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6">
        <v>0</v>
      </c>
      <c r="AI60">
        <f t="shared" si="0"/>
        <v>0</v>
      </c>
    </row>
    <row r="61" spans="1:35" x14ac:dyDescent="0.25">
      <c r="A61" s="296">
        <v>60</v>
      </c>
      <c r="B61" s="297" t="s">
        <v>660</v>
      </c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6">
        <v>0</v>
      </c>
      <c r="AI61">
        <f t="shared" si="0"/>
        <v>0</v>
      </c>
    </row>
    <row r="62" spans="1:35" x14ac:dyDescent="0.25">
      <c r="A62" s="296">
        <v>61</v>
      </c>
      <c r="B62" s="297" t="s">
        <v>661</v>
      </c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 t="s">
        <v>26</v>
      </c>
      <c r="U62" s="297" t="s">
        <v>26</v>
      </c>
      <c r="V62" s="297" t="s">
        <v>25</v>
      </c>
      <c r="W62" s="297"/>
      <c r="X62" s="297" t="s">
        <v>26</v>
      </c>
      <c r="Y62" s="297"/>
      <c r="Z62" s="297"/>
      <c r="AA62" s="297"/>
      <c r="AB62" s="297"/>
      <c r="AC62" s="297"/>
      <c r="AD62" s="297"/>
      <c r="AE62" s="297"/>
      <c r="AF62" s="297"/>
      <c r="AG62" s="298">
        <v>42</v>
      </c>
      <c r="AI62">
        <f t="shared" si="0"/>
        <v>42</v>
      </c>
    </row>
    <row r="63" spans="1:35" x14ac:dyDescent="0.25">
      <c r="A63" s="296">
        <v>62</v>
      </c>
      <c r="B63" s="297" t="s">
        <v>662</v>
      </c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6">
        <v>0</v>
      </c>
      <c r="AI63">
        <f t="shared" si="0"/>
        <v>0</v>
      </c>
    </row>
    <row r="64" spans="1:35" x14ac:dyDescent="0.25">
      <c r="A64" s="296">
        <v>63</v>
      </c>
      <c r="B64" s="297" t="s">
        <v>668</v>
      </c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6">
        <v>0</v>
      </c>
      <c r="AI64">
        <f t="shared" si="0"/>
        <v>0</v>
      </c>
    </row>
    <row r="65" spans="1:33" x14ac:dyDescent="0.25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9">
        <v>417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65"/>
  <sheetViews>
    <sheetView zoomScale="85" zoomScaleNormal="85" workbookViewId="0">
      <selection activeCell="B20" sqref="B20"/>
    </sheetView>
  </sheetViews>
  <sheetFormatPr defaultRowHeight="15" x14ac:dyDescent="0.25"/>
  <sheetData>
    <row r="1" spans="1:20" x14ac:dyDescent="0.25">
      <c r="A1" s="300" t="s">
        <v>1</v>
      </c>
      <c r="B1" s="300" t="s">
        <v>6</v>
      </c>
      <c r="C1" s="300" t="s">
        <v>46</v>
      </c>
      <c r="D1" s="300" t="s">
        <v>47</v>
      </c>
      <c r="E1" s="300" t="s">
        <v>48</v>
      </c>
      <c r="F1" s="300" t="s">
        <v>49</v>
      </c>
      <c r="G1" s="300" t="s">
        <v>50</v>
      </c>
      <c r="H1" s="300" t="s">
        <v>51</v>
      </c>
      <c r="I1" s="300" t="s">
        <v>52</v>
      </c>
      <c r="J1" s="300" t="s">
        <v>53</v>
      </c>
      <c r="K1" s="300" t="s">
        <v>54</v>
      </c>
      <c r="L1" s="300" t="s">
        <v>55</v>
      </c>
      <c r="M1" s="300" t="s">
        <v>56</v>
      </c>
      <c r="N1" s="300" t="s">
        <v>57</v>
      </c>
      <c r="O1" s="300" t="s">
        <v>58</v>
      </c>
      <c r="P1" s="300" t="s">
        <v>59</v>
      </c>
      <c r="Q1" s="300" t="s">
        <v>667</v>
      </c>
      <c r="R1" s="300" t="s">
        <v>2</v>
      </c>
    </row>
    <row r="2" spans="1:20" x14ac:dyDescent="0.25">
      <c r="A2" s="301">
        <v>1</v>
      </c>
      <c r="B2" s="302" t="s">
        <v>10</v>
      </c>
      <c r="C2" s="302"/>
      <c r="D2" s="302"/>
      <c r="E2" s="302"/>
      <c r="F2" s="302"/>
      <c r="G2" s="302"/>
      <c r="H2" s="302"/>
      <c r="I2" s="302"/>
      <c r="J2" s="302"/>
      <c r="K2" s="302"/>
      <c r="L2" s="302" t="s">
        <v>26</v>
      </c>
      <c r="M2" s="302" t="s">
        <v>26</v>
      </c>
      <c r="N2" s="302" t="s">
        <v>84</v>
      </c>
      <c r="O2" s="302"/>
      <c r="P2" s="302" t="s">
        <v>26</v>
      </c>
      <c r="Q2" s="302" t="s">
        <v>26</v>
      </c>
      <c r="R2" s="303">
        <v>50</v>
      </c>
      <c r="T2">
        <f t="shared" ref="T2:T64" si="0">C2+D2+E2+F2+G2+H2+I2+J2+K2+L2+M2+N2+O2+P2+Q2</f>
        <v>50</v>
      </c>
    </row>
    <row r="3" spans="1:20" x14ac:dyDescent="0.25">
      <c r="A3" s="301">
        <v>2</v>
      </c>
      <c r="B3" s="302" t="s">
        <v>11</v>
      </c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1">
        <v>0</v>
      </c>
      <c r="T3">
        <f t="shared" si="0"/>
        <v>0</v>
      </c>
    </row>
    <row r="4" spans="1:20" x14ac:dyDescent="0.25">
      <c r="A4" s="301">
        <v>3</v>
      </c>
      <c r="B4" s="302" t="s">
        <v>12</v>
      </c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1">
        <v>0</v>
      </c>
      <c r="T4">
        <f t="shared" si="0"/>
        <v>0</v>
      </c>
    </row>
    <row r="5" spans="1:20" x14ac:dyDescent="0.25">
      <c r="A5" s="301">
        <v>4</v>
      </c>
      <c r="B5" s="302" t="s">
        <v>651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1">
        <v>0</v>
      </c>
      <c r="T5">
        <f t="shared" si="0"/>
        <v>0</v>
      </c>
    </row>
    <row r="6" spans="1:20" x14ac:dyDescent="0.25">
      <c r="A6" s="301">
        <v>5</v>
      </c>
      <c r="B6" s="302" t="s">
        <v>14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1">
        <v>0</v>
      </c>
      <c r="T6">
        <f t="shared" si="0"/>
        <v>0</v>
      </c>
    </row>
    <row r="7" spans="1:20" x14ac:dyDescent="0.25">
      <c r="A7" s="301">
        <v>6</v>
      </c>
      <c r="B7" s="302" t="s">
        <v>15</v>
      </c>
      <c r="C7" s="302"/>
      <c r="D7" s="302"/>
      <c r="E7" s="302"/>
      <c r="F7" s="302"/>
      <c r="G7" s="302"/>
      <c r="H7" s="302"/>
      <c r="I7" s="302"/>
      <c r="J7" s="302"/>
      <c r="K7" s="302" t="s">
        <v>26</v>
      </c>
      <c r="L7" s="302" t="s">
        <v>26</v>
      </c>
      <c r="M7" s="302" t="s">
        <v>26</v>
      </c>
      <c r="N7" s="302" t="s">
        <v>84</v>
      </c>
      <c r="O7" s="302"/>
      <c r="P7" s="302" t="s">
        <v>26</v>
      </c>
      <c r="Q7" s="302"/>
      <c r="R7" s="303">
        <v>50</v>
      </c>
      <c r="T7">
        <f t="shared" si="0"/>
        <v>50</v>
      </c>
    </row>
    <row r="8" spans="1:20" x14ac:dyDescent="0.25">
      <c r="A8" s="301">
        <v>7</v>
      </c>
      <c r="B8" s="302" t="s">
        <v>16</v>
      </c>
      <c r="C8" s="302"/>
      <c r="D8" s="302"/>
      <c r="E8" s="302"/>
      <c r="F8" s="302"/>
      <c r="G8" s="302"/>
      <c r="H8" s="302"/>
      <c r="I8" s="302"/>
      <c r="J8" s="302"/>
      <c r="K8" s="302" t="s">
        <v>24</v>
      </c>
      <c r="L8" s="302" t="s">
        <v>26</v>
      </c>
      <c r="M8" s="302" t="s">
        <v>25</v>
      </c>
      <c r="N8" s="302"/>
      <c r="O8" s="302"/>
      <c r="P8" s="302" t="s">
        <v>25</v>
      </c>
      <c r="Q8" s="302" t="s">
        <v>25</v>
      </c>
      <c r="R8" s="303">
        <v>46</v>
      </c>
      <c r="T8">
        <f t="shared" si="0"/>
        <v>46</v>
      </c>
    </row>
    <row r="9" spans="1:20" x14ac:dyDescent="0.25">
      <c r="A9" s="301">
        <v>8</v>
      </c>
      <c r="B9" s="302" t="s">
        <v>4</v>
      </c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1">
        <v>0</v>
      </c>
      <c r="T9">
        <f t="shared" si="0"/>
        <v>0</v>
      </c>
    </row>
    <row r="10" spans="1:20" x14ac:dyDescent="0.25">
      <c r="A10" s="301">
        <v>9</v>
      </c>
      <c r="B10" s="302" t="s">
        <v>5</v>
      </c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1">
        <v>0</v>
      </c>
      <c r="T10">
        <f t="shared" si="0"/>
        <v>0</v>
      </c>
    </row>
    <row r="11" spans="1:20" x14ac:dyDescent="0.25">
      <c r="A11" s="301">
        <v>10</v>
      </c>
      <c r="B11" s="302" t="s">
        <v>38</v>
      </c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1">
        <v>0</v>
      </c>
      <c r="T11">
        <f t="shared" si="0"/>
        <v>0</v>
      </c>
    </row>
    <row r="12" spans="1:20" x14ac:dyDescent="0.25">
      <c r="A12" s="301">
        <v>11</v>
      </c>
      <c r="B12" s="302" t="s">
        <v>43</v>
      </c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1">
        <v>0</v>
      </c>
      <c r="T12">
        <f t="shared" si="0"/>
        <v>0</v>
      </c>
    </row>
    <row r="13" spans="1:20" x14ac:dyDescent="0.25">
      <c r="A13" s="301">
        <v>12</v>
      </c>
      <c r="B13" s="302" t="s">
        <v>639</v>
      </c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1">
        <v>0</v>
      </c>
      <c r="T13">
        <f t="shared" si="0"/>
        <v>0</v>
      </c>
    </row>
    <row r="14" spans="1:20" x14ac:dyDescent="0.25">
      <c r="A14" s="301">
        <v>13</v>
      </c>
      <c r="B14" s="302" t="s">
        <v>87</v>
      </c>
      <c r="C14" s="302"/>
      <c r="D14" s="302"/>
      <c r="E14" s="302"/>
      <c r="F14" s="302"/>
      <c r="G14" s="302"/>
      <c r="H14" s="302"/>
      <c r="I14" s="302"/>
      <c r="J14" s="302"/>
      <c r="K14" s="302" t="s">
        <v>26</v>
      </c>
      <c r="L14" s="302" t="s">
        <v>26</v>
      </c>
      <c r="M14" s="302" t="s">
        <v>26</v>
      </c>
      <c r="N14" s="302" t="s">
        <v>84</v>
      </c>
      <c r="O14" s="302"/>
      <c r="P14" s="302" t="s">
        <v>26</v>
      </c>
      <c r="Q14" s="302" t="s">
        <v>26</v>
      </c>
      <c r="R14" s="303">
        <v>61</v>
      </c>
      <c r="T14">
        <f t="shared" si="0"/>
        <v>61</v>
      </c>
    </row>
    <row r="15" spans="1:20" x14ac:dyDescent="0.25">
      <c r="A15" s="301">
        <v>14</v>
      </c>
      <c r="B15" s="302" t="s">
        <v>95</v>
      </c>
      <c r="C15" s="302"/>
      <c r="D15" s="302"/>
      <c r="E15" s="302"/>
      <c r="F15" s="302"/>
      <c r="G15" s="302"/>
      <c r="H15" s="302"/>
      <c r="I15" s="302"/>
      <c r="J15" s="302"/>
      <c r="K15" s="302" t="s">
        <v>26</v>
      </c>
      <c r="L15" s="302"/>
      <c r="M15" s="302"/>
      <c r="N15" s="302"/>
      <c r="O15" s="302"/>
      <c r="P15" s="302" t="s">
        <v>26</v>
      </c>
      <c r="Q15" s="302"/>
      <c r="R15" s="303">
        <v>22</v>
      </c>
      <c r="T15">
        <f t="shared" si="0"/>
        <v>22</v>
      </c>
    </row>
    <row r="16" spans="1:20" x14ac:dyDescent="0.25">
      <c r="A16" s="301">
        <v>15</v>
      </c>
      <c r="B16" s="302" t="s">
        <v>96</v>
      </c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1">
        <v>0</v>
      </c>
      <c r="T16">
        <f t="shared" si="0"/>
        <v>0</v>
      </c>
    </row>
    <row r="17" spans="1:20" x14ac:dyDescent="0.25">
      <c r="A17" s="301">
        <v>16</v>
      </c>
      <c r="B17" s="302" t="s">
        <v>97</v>
      </c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1">
        <v>0</v>
      </c>
      <c r="T17">
        <f t="shared" si="0"/>
        <v>0</v>
      </c>
    </row>
    <row r="18" spans="1:20" x14ac:dyDescent="0.25">
      <c r="A18" s="301">
        <v>17</v>
      </c>
      <c r="B18" s="302" t="s">
        <v>98</v>
      </c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1">
        <v>0</v>
      </c>
      <c r="T18">
        <f t="shared" si="0"/>
        <v>0</v>
      </c>
    </row>
    <row r="19" spans="1:20" x14ac:dyDescent="0.25">
      <c r="A19" s="301">
        <v>18</v>
      </c>
      <c r="B19" s="302" t="s">
        <v>616</v>
      </c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1">
        <v>0</v>
      </c>
      <c r="T19">
        <f t="shared" si="0"/>
        <v>0</v>
      </c>
    </row>
    <row r="20" spans="1:20" x14ac:dyDescent="0.25">
      <c r="A20" s="301">
        <v>19</v>
      </c>
      <c r="B20" s="302" t="s">
        <v>617</v>
      </c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1">
        <v>0</v>
      </c>
      <c r="T20">
        <f t="shared" si="0"/>
        <v>0</v>
      </c>
    </row>
    <row r="21" spans="1:20" x14ac:dyDescent="0.25">
      <c r="A21" s="301">
        <v>20</v>
      </c>
      <c r="B21" s="302" t="s">
        <v>626</v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1">
        <v>0</v>
      </c>
      <c r="T21">
        <f t="shared" si="0"/>
        <v>0</v>
      </c>
    </row>
    <row r="22" spans="1:20" x14ac:dyDescent="0.25">
      <c r="A22" s="301">
        <v>21</v>
      </c>
      <c r="B22" s="302" t="s">
        <v>618</v>
      </c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1">
        <v>0</v>
      </c>
      <c r="T22">
        <f t="shared" si="0"/>
        <v>0</v>
      </c>
    </row>
    <row r="23" spans="1:20" x14ac:dyDescent="0.25">
      <c r="A23" s="301">
        <v>22</v>
      </c>
      <c r="B23" s="302" t="s">
        <v>619</v>
      </c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1">
        <v>0</v>
      </c>
      <c r="T23">
        <f t="shared" si="0"/>
        <v>0</v>
      </c>
    </row>
    <row r="24" spans="1:20" x14ac:dyDescent="0.25">
      <c r="A24" s="301">
        <v>23</v>
      </c>
      <c r="B24" s="302" t="s">
        <v>620</v>
      </c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1">
        <v>0</v>
      </c>
      <c r="T24">
        <f t="shared" si="0"/>
        <v>0</v>
      </c>
    </row>
    <row r="25" spans="1:20" x14ac:dyDescent="0.25">
      <c r="A25" s="301">
        <v>24</v>
      </c>
      <c r="B25" s="302" t="s">
        <v>650</v>
      </c>
      <c r="C25" s="302"/>
      <c r="D25" s="302"/>
      <c r="E25" s="302"/>
      <c r="F25" s="302"/>
      <c r="G25" s="302"/>
      <c r="H25" s="302"/>
      <c r="I25" s="302"/>
      <c r="J25" s="302" t="s">
        <v>26</v>
      </c>
      <c r="K25" s="302" t="s">
        <v>26</v>
      </c>
      <c r="L25" s="302" t="s">
        <v>26</v>
      </c>
      <c r="M25" s="302"/>
      <c r="N25" s="302"/>
      <c r="O25" s="302"/>
      <c r="P25" s="302"/>
      <c r="Q25" s="302" t="s">
        <v>26</v>
      </c>
      <c r="R25" s="303">
        <v>44</v>
      </c>
      <c r="T25">
        <f t="shared" si="0"/>
        <v>44</v>
      </c>
    </row>
    <row r="26" spans="1:20" x14ac:dyDescent="0.25">
      <c r="A26" s="301">
        <v>25</v>
      </c>
      <c r="B26" s="302" t="s">
        <v>621</v>
      </c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1">
        <v>0</v>
      </c>
      <c r="T26">
        <f t="shared" si="0"/>
        <v>0</v>
      </c>
    </row>
    <row r="27" spans="1:20" x14ac:dyDescent="0.25">
      <c r="A27" s="301">
        <v>26</v>
      </c>
      <c r="B27" s="302" t="s">
        <v>622</v>
      </c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1">
        <v>0</v>
      </c>
      <c r="T27">
        <f t="shared" si="0"/>
        <v>0</v>
      </c>
    </row>
    <row r="28" spans="1:20" x14ac:dyDescent="0.25">
      <c r="A28" s="301">
        <v>27</v>
      </c>
      <c r="B28" s="302" t="s">
        <v>623</v>
      </c>
      <c r="C28" s="302"/>
      <c r="D28" s="302"/>
      <c r="E28" s="302"/>
      <c r="F28" s="302"/>
      <c r="G28" s="302"/>
      <c r="H28" s="302"/>
      <c r="I28" s="302"/>
      <c r="J28" s="302"/>
      <c r="K28" s="302" t="s">
        <v>26</v>
      </c>
      <c r="L28" s="302" t="s">
        <v>26</v>
      </c>
      <c r="M28" s="302" t="s">
        <v>26</v>
      </c>
      <c r="N28" s="302"/>
      <c r="O28" s="302"/>
      <c r="P28" s="302" t="s">
        <v>26</v>
      </c>
      <c r="Q28" s="302" t="s">
        <v>24</v>
      </c>
      <c r="R28" s="303">
        <v>52</v>
      </c>
      <c r="T28">
        <f t="shared" si="0"/>
        <v>52</v>
      </c>
    </row>
    <row r="29" spans="1:20" x14ac:dyDescent="0.25">
      <c r="A29" s="301">
        <v>28</v>
      </c>
      <c r="B29" s="302" t="s">
        <v>624</v>
      </c>
      <c r="C29" s="302"/>
      <c r="D29" s="302"/>
      <c r="E29" s="302"/>
      <c r="F29" s="302"/>
      <c r="G29" s="302"/>
      <c r="H29" s="302"/>
      <c r="I29" s="302"/>
      <c r="J29" s="302"/>
      <c r="K29" s="302" t="s">
        <v>26</v>
      </c>
      <c r="L29" s="302"/>
      <c r="M29" s="302"/>
      <c r="N29" s="302"/>
      <c r="O29" s="302"/>
      <c r="P29" s="302"/>
      <c r="Q29" s="302"/>
      <c r="R29" s="303">
        <v>11</v>
      </c>
      <c r="T29">
        <f t="shared" si="0"/>
        <v>11</v>
      </c>
    </row>
    <row r="30" spans="1:20" x14ac:dyDescent="0.25">
      <c r="A30" s="301">
        <v>29</v>
      </c>
      <c r="B30" s="302" t="s">
        <v>627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1">
        <v>0</v>
      </c>
      <c r="T30">
        <f t="shared" si="0"/>
        <v>0</v>
      </c>
    </row>
    <row r="31" spans="1:20" x14ac:dyDescent="0.25">
      <c r="A31" s="301">
        <v>30</v>
      </c>
      <c r="B31" s="302" t="s">
        <v>625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1">
        <v>0</v>
      </c>
      <c r="T31">
        <f t="shared" si="0"/>
        <v>0</v>
      </c>
    </row>
    <row r="32" spans="1:20" x14ac:dyDescent="0.25">
      <c r="A32" s="301">
        <v>31</v>
      </c>
      <c r="B32" s="302" t="s">
        <v>34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1">
        <v>0</v>
      </c>
      <c r="T32">
        <f t="shared" si="0"/>
        <v>0</v>
      </c>
    </row>
    <row r="33" spans="1:20" x14ac:dyDescent="0.25">
      <c r="A33" s="301">
        <v>32</v>
      </c>
      <c r="B33" s="302" t="s">
        <v>45</v>
      </c>
      <c r="C33" s="302"/>
      <c r="D33" s="302"/>
      <c r="E33" s="302"/>
      <c r="F33" s="302"/>
      <c r="G33" s="302"/>
      <c r="H33" s="302"/>
      <c r="I33" s="302"/>
      <c r="J33" s="302"/>
      <c r="K33" s="302" t="s">
        <v>26</v>
      </c>
      <c r="L33" s="302" t="s">
        <v>26</v>
      </c>
      <c r="M33" s="302" t="s">
        <v>26</v>
      </c>
      <c r="N33" s="302"/>
      <c r="O33" s="302"/>
      <c r="P33" s="302"/>
      <c r="Q33" s="302"/>
      <c r="R33" s="303">
        <v>33</v>
      </c>
      <c r="T33">
        <f t="shared" si="0"/>
        <v>33</v>
      </c>
    </row>
    <row r="34" spans="1:20" x14ac:dyDescent="0.25">
      <c r="A34" s="301">
        <v>33</v>
      </c>
      <c r="B34" s="302" t="s">
        <v>630</v>
      </c>
      <c r="C34" s="302"/>
      <c r="D34" s="302"/>
      <c r="E34" s="302"/>
      <c r="F34" s="302"/>
      <c r="G34" s="302"/>
      <c r="H34" s="302"/>
      <c r="I34" s="302"/>
      <c r="J34" s="302"/>
      <c r="K34" s="302" t="s">
        <v>26</v>
      </c>
      <c r="L34" s="302"/>
      <c r="M34" s="302" t="s">
        <v>26</v>
      </c>
      <c r="N34" s="302" t="s">
        <v>84</v>
      </c>
      <c r="O34" s="302"/>
      <c r="P34" s="302" t="s">
        <v>26</v>
      </c>
      <c r="Q34" s="302" t="s">
        <v>26</v>
      </c>
      <c r="R34" s="303">
        <v>50</v>
      </c>
      <c r="T34">
        <f t="shared" si="0"/>
        <v>50</v>
      </c>
    </row>
    <row r="35" spans="1:20" x14ac:dyDescent="0.25">
      <c r="A35" s="301">
        <v>34</v>
      </c>
      <c r="B35" s="302" t="s">
        <v>628</v>
      </c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1">
        <v>0</v>
      </c>
      <c r="T35">
        <f t="shared" si="0"/>
        <v>0</v>
      </c>
    </row>
    <row r="36" spans="1:20" x14ac:dyDescent="0.25">
      <c r="A36" s="301">
        <v>35</v>
      </c>
      <c r="B36" s="302" t="s">
        <v>629</v>
      </c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1">
        <v>0</v>
      </c>
      <c r="T36">
        <f t="shared" si="0"/>
        <v>0</v>
      </c>
    </row>
    <row r="37" spans="1:20" x14ac:dyDescent="0.25">
      <c r="A37" s="301">
        <v>36</v>
      </c>
      <c r="B37" s="302" t="s">
        <v>631</v>
      </c>
      <c r="C37" s="302"/>
      <c r="D37" s="302"/>
      <c r="E37" s="302"/>
      <c r="F37" s="302"/>
      <c r="G37" s="302"/>
      <c r="H37" s="302"/>
      <c r="I37" s="302"/>
      <c r="J37" s="302"/>
      <c r="K37" s="302" t="s">
        <v>26</v>
      </c>
      <c r="L37" s="302" t="s">
        <v>26</v>
      </c>
      <c r="M37" s="302" t="s">
        <v>26</v>
      </c>
      <c r="N37" s="302" t="s">
        <v>84</v>
      </c>
      <c r="O37" s="302"/>
      <c r="P37" s="302" t="s">
        <v>64</v>
      </c>
      <c r="Q37" s="302"/>
      <c r="R37" s="303">
        <v>49</v>
      </c>
      <c r="T37">
        <f t="shared" si="0"/>
        <v>49</v>
      </c>
    </row>
    <row r="38" spans="1:20" x14ac:dyDescent="0.25">
      <c r="A38" s="301">
        <v>37</v>
      </c>
      <c r="B38" s="302" t="s">
        <v>632</v>
      </c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1">
        <v>0</v>
      </c>
      <c r="T38">
        <f t="shared" si="0"/>
        <v>0</v>
      </c>
    </row>
    <row r="39" spans="1:20" x14ac:dyDescent="0.25">
      <c r="A39" s="301">
        <v>38</v>
      </c>
      <c r="B39" s="302" t="s">
        <v>633</v>
      </c>
      <c r="C39" s="302"/>
      <c r="D39" s="302"/>
      <c r="E39" s="302"/>
      <c r="F39" s="302"/>
      <c r="G39" s="302"/>
      <c r="H39" s="302"/>
      <c r="I39" s="302"/>
      <c r="J39" s="302" t="s">
        <v>26</v>
      </c>
      <c r="K39" s="302" t="s">
        <v>26</v>
      </c>
      <c r="L39" s="302"/>
      <c r="M39" s="302"/>
      <c r="N39" s="302"/>
      <c r="O39" s="302"/>
      <c r="P39" s="302"/>
      <c r="Q39" s="302"/>
      <c r="R39" s="303">
        <v>22</v>
      </c>
      <c r="T39">
        <f t="shared" si="0"/>
        <v>22</v>
      </c>
    </row>
    <row r="40" spans="1:20" x14ac:dyDescent="0.25">
      <c r="A40" s="301">
        <v>39</v>
      </c>
      <c r="B40" s="302" t="s">
        <v>634</v>
      </c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 t="s">
        <v>26</v>
      </c>
      <c r="Q40" s="302"/>
      <c r="R40" s="303">
        <v>11</v>
      </c>
      <c r="T40">
        <f t="shared" si="0"/>
        <v>11</v>
      </c>
    </row>
    <row r="41" spans="1:20" x14ac:dyDescent="0.25">
      <c r="A41" s="301">
        <v>40</v>
      </c>
      <c r="B41" s="302" t="s">
        <v>636</v>
      </c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1">
        <v>0</v>
      </c>
      <c r="T41">
        <f t="shared" si="0"/>
        <v>0</v>
      </c>
    </row>
    <row r="42" spans="1:20" x14ac:dyDescent="0.25">
      <c r="A42" s="301">
        <v>41</v>
      </c>
      <c r="B42" s="302" t="s">
        <v>637</v>
      </c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1">
        <v>0</v>
      </c>
      <c r="T42">
        <f t="shared" si="0"/>
        <v>0</v>
      </c>
    </row>
    <row r="43" spans="1:20" x14ac:dyDescent="0.25">
      <c r="A43" s="301">
        <v>42</v>
      </c>
      <c r="B43" s="302" t="s">
        <v>640</v>
      </c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1">
        <v>0</v>
      </c>
      <c r="T43">
        <f t="shared" si="0"/>
        <v>0</v>
      </c>
    </row>
    <row r="44" spans="1:20" x14ac:dyDescent="0.25">
      <c r="A44" s="301">
        <v>43</v>
      </c>
      <c r="B44" s="302" t="s">
        <v>638</v>
      </c>
      <c r="C44" s="302"/>
      <c r="D44" s="302"/>
      <c r="E44" s="302"/>
      <c r="F44" s="302"/>
      <c r="G44" s="302" t="s">
        <v>84</v>
      </c>
      <c r="H44" s="302"/>
      <c r="I44" s="302" t="s">
        <v>26</v>
      </c>
      <c r="J44" s="302" t="s">
        <v>26</v>
      </c>
      <c r="K44" s="302"/>
      <c r="L44" s="302"/>
      <c r="M44" s="302" t="s">
        <v>26</v>
      </c>
      <c r="N44" s="302" t="s">
        <v>84</v>
      </c>
      <c r="O44" s="302"/>
      <c r="P44" s="302" t="s">
        <v>26</v>
      </c>
      <c r="Q44" s="302" t="s">
        <v>26</v>
      </c>
      <c r="R44" s="303">
        <v>67</v>
      </c>
      <c r="T44">
        <f t="shared" si="0"/>
        <v>67</v>
      </c>
    </row>
    <row r="45" spans="1:20" x14ac:dyDescent="0.25">
      <c r="A45" s="301">
        <v>44</v>
      </c>
      <c r="B45" s="302" t="s">
        <v>635</v>
      </c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1">
        <v>0</v>
      </c>
      <c r="T45">
        <f t="shared" si="0"/>
        <v>0</v>
      </c>
    </row>
    <row r="46" spans="1:20" x14ac:dyDescent="0.25">
      <c r="A46" s="301">
        <v>45</v>
      </c>
      <c r="B46" s="302" t="s">
        <v>641</v>
      </c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1">
        <v>0</v>
      </c>
      <c r="T46">
        <f t="shared" si="0"/>
        <v>0</v>
      </c>
    </row>
    <row r="47" spans="1:20" x14ac:dyDescent="0.25">
      <c r="A47" s="301">
        <v>46</v>
      </c>
      <c r="B47" s="302" t="s">
        <v>649</v>
      </c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1">
        <v>0</v>
      </c>
      <c r="T47">
        <f t="shared" si="0"/>
        <v>0</v>
      </c>
    </row>
    <row r="48" spans="1:20" x14ac:dyDescent="0.25">
      <c r="A48" s="301">
        <v>47</v>
      </c>
      <c r="B48" s="302" t="s">
        <v>642</v>
      </c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1">
        <v>0</v>
      </c>
      <c r="T48">
        <f t="shared" si="0"/>
        <v>0</v>
      </c>
    </row>
    <row r="49" spans="1:20" x14ac:dyDescent="0.25">
      <c r="A49" s="301">
        <v>48</v>
      </c>
      <c r="B49" s="302" t="s">
        <v>643</v>
      </c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1">
        <v>0</v>
      </c>
      <c r="T49">
        <f t="shared" si="0"/>
        <v>0</v>
      </c>
    </row>
    <row r="50" spans="1:20" x14ac:dyDescent="0.25">
      <c r="A50" s="301">
        <v>49</v>
      </c>
      <c r="B50" s="302" t="s">
        <v>644</v>
      </c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1">
        <v>0</v>
      </c>
      <c r="T50">
        <f t="shared" si="0"/>
        <v>0</v>
      </c>
    </row>
    <row r="51" spans="1:20" x14ac:dyDescent="0.25">
      <c r="A51" s="301">
        <v>50</v>
      </c>
      <c r="B51" s="302" t="s">
        <v>646</v>
      </c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1">
        <v>0</v>
      </c>
      <c r="T51">
        <f t="shared" si="0"/>
        <v>0</v>
      </c>
    </row>
    <row r="52" spans="1:20" x14ac:dyDescent="0.25">
      <c r="A52" s="301">
        <v>51</v>
      </c>
      <c r="B52" s="302" t="s">
        <v>647</v>
      </c>
      <c r="C52" s="302"/>
      <c r="D52" s="302"/>
      <c r="E52" s="302"/>
      <c r="F52" s="302"/>
      <c r="G52" s="302"/>
      <c r="H52" s="302"/>
      <c r="I52" s="302"/>
      <c r="J52" s="302"/>
      <c r="K52" s="302" t="s">
        <v>26</v>
      </c>
      <c r="L52" s="302" t="s">
        <v>26</v>
      </c>
      <c r="M52" s="302" t="s">
        <v>63</v>
      </c>
      <c r="N52" s="302"/>
      <c r="O52" s="302"/>
      <c r="P52" s="302" t="s">
        <v>26</v>
      </c>
      <c r="Q52" s="302" t="s">
        <v>26</v>
      </c>
      <c r="R52" s="303">
        <v>48</v>
      </c>
      <c r="T52">
        <f t="shared" si="0"/>
        <v>48</v>
      </c>
    </row>
    <row r="53" spans="1:20" x14ac:dyDescent="0.25">
      <c r="A53" s="301">
        <v>52</v>
      </c>
      <c r="B53" s="302" t="s">
        <v>652</v>
      </c>
      <c r="C53" s="302"/>
      <c r="D53" s="302"/>
      <c r="E53" s="302"/>
      <c r="F53" s="302"/>
      <c r="G53" s="302"/>
      <c r="H53" s="302"/>
      <c r="I53" s="302"/>
      <c r="J53" s="302"/>
      <c r="K53" s="302"/>
      <c r="L53" s="302" t="s">
        <v>65</v>
      </c>
      <c r="M53" s="302" t="s">
        <v>65</v>
      </c>
      <c r="N53" s="302" t="s">
        <v>24</v>
      </c>
      <c r="O53" s="302"/>
      <c r="P53" s="302" t="s">
        <v>65</v>
      </c>
      <c r="Q53" s="302" t="s">
        <v>65</v>
      </c>
      <c r="R53" s="303">
        <v>56</v>
      </c>
      <c r="T53">
        <f t="shared" si="0"/>
        <v>56</v>
      </c>
    </row>
    <row r="54" spans="1:20" x14ac:dyDescent="0.25">
      <c r="A54" s="301">
        <v>53</v>
      </c>
      <c r="B54" s="302" t="s">
        <v>653</v>
      </c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 t="s">
        <v>65</v>
      </c>
      <c r="P54" s="302"/>
      <c r="Q54" s="302"/>
      <c r="R54" s="303">
        <v>12</v>
      </c>
      <c r="T54">
        <f t="shared" si="0"/>
        <v>12</v>
      </c>
    </row>
    <row r="55" spans="1:20" x14ac:dyDescent="0.25">
      <c r="A55" s="301">
        <v>54</v>
      </c>
      <c r="B55" s="302" t="s">
        <v>654</v>
      </c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1">
        <v>0</v>
      </c>
      <c r="T55">
        <f t="shared" si="0"/>
        <v>0</v>
      </c>
    </row>
    <row r="56" spans="1:20" x14ac:dyDescent="0.25">
      <c r="A56" s="301">
        <v>55</v>
      </c>
      <c r="B56" s="302" t="s">
        <v>655</v>
      </c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 t="s">
        <v>85</v>
      </c>
      <c r="N56" s="302"/>
      <c r="O56" s="302"/>
      <c r="P56" s="302" t="s">
        <v>26</v>
      </c>
      <c r="Q56" s="302" t="s">
        <v>26</v>
      </c>
      <c r="R56" s="303">
        <v>29</v>
      </c>
      <c r="T56">
        <f t="shared" si="0"/>
        <v>29</v>
      </c>
    </row>
    <row r="57" spans="1:20" x14ac:dyDescent="0.25">
      <c r="A57" s="301">
        <v>56</v>
      </c>
      <c r="B57" s="302" t="s">
        <v>656</v>
      </c>
      <c r="C57" s="302"/>
      <c r="D57" s="302"/>
      <c r="E57" s="302"/>
      <c r="F57" s="302"/>
      <c r="G57" s="302"/>
      <c r="H57" s="302"/>
      <c r="I57" s="302"/>
      <c r="J57" s="302"/>
      <c r="K57" s="302"/>
      <c r="L57" s="302" t="s">
        <v>26</v>
      </c>
      <c r="M57" s="302" t="s">
        <v>64</v>
      </c>
      <c r="N57" s="302" t="s">
        <v>63</v>
      </c>
      <c r="O57" s="302"/>
      <c r="P57" s="302" t="s">
        <v>26</v>
      </c>
      <c r="Q57" s="302" t="s">
        <v>26</v>
      </c>
      <c r="R57" s="303">
        <v>47</v>
      </c>
      <c r="T57">
        <f t="shared" si="0"/>
        <v>47</v>
      </c>
    </row>
    <row r="58" spans="1:20" x14ac:dyDescent="0.25">
      <c r="A58" s="301">
        <v>57</v>
      </c>
      <c r="B58" s="302" t="s">
        <v>657</v>
      </c>
      <c r="C58" s="302"/>
      <c r="D58" s="302"/>
      <c r="E58" s="302"/>
      <c r="F58" s="302"/>
      <c r="G58" s="302"/>
      <c r="H58" s="302"/>
      <c r="I58" s="302" t="s">
        <v>26</v>
      </c>
      <c r="J58" s="302" t="s">
        <v>26</v>
      </c>
      <c r="K58" s="302" t="s">
        <v>26</v>
      </c>
      <c r="L58" s="302"/>
      <c r="M58" s="302"/>
      <c r="N58" s="302"/>
      <c r="O58" s="302"/>
      <c r="P58" s="302"/>
      <c r="Q58" s="302"/>
      <c r="R58" s="303">
        <v>33</v>
      </c>
      <c r="T58">
        <f t="shared" si="0"/>
        <v>33</v>
      </c>
    </row>
    <row r="59" spans="1:20" x14ac:dyDescent="0.25">
      <c r="A59" s="301">
        <v>58</v>
      </c>
      <c r="B59" s="302" t="s">
        <v>658</v>
      </c>
      <c r="C59" s="302"/>
      <c r="D59" s="302"/>
      <c r="E59" s="302"/>
      <c r="F59" s="302"/>
      <c r="G59" s="302"/>
      <c r="H59" s="302"/>
      <c r="I59" s="302" t="s">
        <v>26</v>
      </c>
      <c r="J59" s="302" t="s">
        <v>26</v>
      </c>
      <c r="K59" s="302" t="s">
        <v>26</v>
      </c>
      <c r="L59" s="302" t="s">
        <v>26</v>
      </c>
      <c r="M59" s="302"/>
      <c r="N59" s="302" t="s">
        <v>84</v>
      </c>
      <c r="O59" s="302"/>
      <c r="P59" s="302"/>
      <c r="Q59" s="302"/>
      <c r="R59" s="303">
        <v>50</v>
      </c>
      <c r="T59">
        <f t="shared" si="0"/>
        <v>50</v>
      </c>
    </row>
    <row r="60" spans="1:20" x14ac:dyDescent="0.25">
      <c r="A60" s="301">
        <v>59</v>
      </c>
      <c r="B60" s="302" t="s">
        <v>659</v>
      </c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1">
        <v>0</v>
      </c>
      <c r="T60">
        <f t="shared" si="0"/>
        <v>0</v>
      </c>
    </row>
    <row r="61" spans="1:20" x14ac:dyDescent="0.25">
      <c r="A61" s="301">
        <v>60</v>
      </c>
      <c r="B61" s="302" t="s">
        <v>660</v>
      </c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1">
        <v>0</v>
      </c>
      <c r="T61">
        <f t="shared" si="0"/>
        <v>0</v>
      </c>
    </row>
    <row r="62" spans="1:20" x14ac:dyDescent="0.25">
      <c r="A62" s="301">
        <v>61</v>
      </c>
      <c r="B62" s="302" t="s">
        <v>661</v>
      </c>
      <c r="C62" s="302"/>
      <c r="D62" s="302"/>
      <c r="E62" s="302"/>
      <c r="F62" s="302"/>
      <c r="G62" s="302"/>
      <c r="H62" s="302"/>
      <c r="I62" s="302"/>
      <c r="J62" s="302"/>
      <c r="K62" s="302" t="s">
        <v>26</v>
      </c>
      <c r="L62" s="302" t="s">
        <v>26</v>
      </c>
      <c r="M62" s="302" t="s">
        <v>26</v>
      </c>
      <c r="N62" s="302" t="s">
        <v>84</v>
      </c>
      <c r="O62" s="302"/>
      <c r="P62" s="302" t="s">
        <v>26</v>
      </c>
      <c r="Q62" s="302" t="s">
        <v>26</v>
      </c>
      <c r="R62" s="303">
        <v>61</v>
      </c>
      <c r="T62">
        <f t="shared" si="0"/>
        <v>61</v>
      </c>
    </row>
    <row r="63" spans="1:20" x14ac:dyDescent="0.25">
      <c r="A63" s="301">
        <v>62</v>
      </c>
      <c r="B63" s="302" t="s">
        <v>662</v>
      </c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1">
        <v>0</v>
      </c>
      <c r="T63">
        <f t="shared" si="0"/>
        <v>0</v>
      </c>
    </row>
    <row r="64" spans="1:20" x14ac:dyDescent="0.25">
      <c r="A64" s="301">
        <v>63</v>
      </c>
      <c r="B64" s="302" t="s">
        <v>668</v>
      </c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1">
        <v>0</v>
      </c>
      <c r="T64">
        <f t="shared" si="0"/>
        <v>0</v>
      </c>
    </row>
    <row r="65" spans="1:18" x14ac:dyDescent="0.25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4">
        <v>904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5"/>
  <sheetViews>
    <sheetView workbookViewId="0">
      <selection activeCell="Q20" sqref="G20:Q20"/>
    </sheetView>
  </sheetViews>
  <sheetFormatPr defaultRowHeight="15" x14ac:dyDescent="0.25"/>
  <sheetData>
    <row r="1" spans="1:20" x14ac:dyDescent="0.25">
      <c r="A1" s="244" t="s">
        <v>1</v>
      </c>
      <c r="B1" s="244" t="s">
        <v>6</v>
      </c>
      <c r="C1" s="244" t="s">
        <v>46</v>
      </c>
      <c r="D1" s="244" t="s">
        <v>47</v>
      </c>
      <c r="E1" s="244" t="s">
        <v>48</v>
      </c>
      <c r="F1" s="244" t="s">
        <v>49</v>
      </c>
      <c r="G1" s="244" t="s">
        <v>50</v>
      </c>
      <c r="H1" s="244" t="s">
        <v>51</v>
      </c>
      <c r="I1" s="244" t="s">
        <v>52</v>
      </c>
      <c r="J1" s="244" t="s">
        <v>53</v>
      </c>
      <c r="K1" s="244" t="s">
        <v>54</v>
      </c>
      <c r="L1" s="244" t="s">
        <v>55</v>
      </c>
      <c r="M1" s="244" t="s">
        <v>56</v>
      </c>
      <c r="N1" s="244" t="s">
        <v>57</v>
      </c>
      <c r="O1" s="244" t="s">
        <v>58</v>
      </c>
      <c r="P1" s="244" t="s">
        <v>59</v>
      </c>
      <c r="Q1" s="244" t="s">
        <v>667</v>
      </c>
      <c r="R1" s="244" t="s">
        <v>2</v>
      </c>
    </row>
    <row r="2" spans="1:20" x14ac:dyDescent="0.25">
      <c r="A2" s="245">
        <v>1</v>
      </c>
      <c r="B2" s="246" t="s">
        <v>10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5">
        <v>0</v>
      </c>
      <c r="T2">
        <f t="shared" ref="T2:T64" si="0">C2+D2+E2+F2+G2+H2+I2+J2+K2+L2+M2+N2+O2+P2+Q2</f>
        <v>0</v>
      </c>
    </row>
    <row r="3" spans="1:20" x14ac:dyDescent="0.25">
      <c r="A3" s="245">
        <v>2</v>
      </c>
      <c r="B3" s="246" t="s">
        <v>11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5">
        <v>0</v>
      </c>
      <c r="T3">
        <f t="shared" si="0"/>
        <v>0</v>
      </c>
    </row>
    <row r="4" spans="1:20" x14ac:dyDescent="0.25">
      <c r="A4" s="245">
        <v>3</v>
      </c>
      <c r="B4" s="246" t="s">
        <v>12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5">
        <v>0</v>
      </c>
      <c r="T4">
        <f t="shared" si="0"/>
        <v>0</v>
      </c>
    </row>
    <row r="5" spans="1:20" x14ac:dyDescent="0.25">
      <c r="A5" s="245">
        <v>4</v>
      </c>
      <c r="B5" s="246" t="s">
        <v>651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5">
        <v>0</v>
      </c>
      <c r="T5">
        <f t="shared" si="0"/>
        <v>0</v>
      </c>
    </row>
    <row r="6" spans="1:20" x14ac:dyDescent="0.25">
      <c r="A6" s="245">
        <v>5</v>
      </c>
      <c r="B6" s="246" t="s">
        <v>14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5">
        <v>0</v>
      </c>
      <c r="T6">
        <f t="shared" si="0"/>
        <v>0</v>
      </c>
    </row>
    <row r="7" spans="1:20" x14ac:dyDescent="0.25">
      <c r="A7" s="245">
        <v>6</v>
      </c>
      <c r="B7" s="246" t="s">
        <v>15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5">
        <v>0</v>
      </c>
      <c r="T7">
        <f t="shared" si="0"/>
        <v>0</v>
      </c>
    </row>
    <row r="8" spans="1:20" x14ac:dyDescent="0.25">
      <c r="A8" s="245">
        <v>7</v>
      </c>
      <c r="B8" s="246" t="s">
        <v>16</v>
      </c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5">
        <v>0</v>
      </c>
      <c r="T8">
        <f t="shared" si="0"/>
        <v>0</v>
      </c>
    </row>
    <row r="9" spans="1:20" x14ac:dyDescent="0.25">
      <c r="A9" s="245">
        <v>8</v>
      </c>
      <c r="B9" s="246" t="s">
        <v>4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5">
        <v>0</v>
      </c>
      <c r="T9">
        <f t="shared" si="0"/>
        <v>0</v>
      </c>
    </row>
    <row r="10" spans="1:20" x14ac:dyDescent="0.25">
      <c r="A10" s="245">
        <v>9</v>
      </c>
      <c r="B10" s="246" t="s">
        <v>5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5">
        <v>0</v>
      </c>
      <c r="T10">
        <f t="shared" si="0"/>
        <v>0</v>
      </c>
    </row>
    <row r="11" spans="1:20" x14ac:dyDescent="0.25">
      <c r="A11" s="245">
        <v>10</v>
      </c>
      <c r="B11" s="246" t="s">
        <v>38</v>
      </c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5">
        <v>0</v>
      </c>
      <c r="T11">
        <f t="shared" si="0"/>
        <v>0</v>
      </c>
    </row>
    <row r="12" spans="1:20" x14ac:dyDescent="0.25">
      <c r="A12" s="245">
        <v>11</v>
      </c>
      <c r="B12" s="246" t="s">
        <v>43</v>
      </c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5">
        <v>0</v>
      </c>
      <c r="T12">
        <f t="shared" si="0"/>
        <v>0</v>
      </c>
    </row>
    <row r="13" spans="1:20" x14ac:dyDescent="0.25">
      <c r="A13" s="245">
        <v>12</v>
      </c>
      <c r="B13" s="246" t="s">
        <v>639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5">
        <v>0</v>
      </c>
      <c r="T13">
        <f t="shared" si="0"/>
        <v>0</v>
      </c>
    </row>
    <row r="14" spans="1:20" x14ac:dyDescent="0.25">
      <c r="A14" s="245">
        <v>13</v>
      </c>
      <c r="B14" s="246" t="s">
        <v>87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5">
        <v>0</v>
      </c>
      <c r="T14">
        <f t="shared" si="0"/>
        <v>0</v>
      </c>
    </row>
    <row r="15" spans="1:20" x14ac:dyDescent="0.25">
      <c r="A15" s="245">
        <v>14</v>
      </c>
      <c r="B15" s="246" t="s">
        <v>95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5">
        <v>0</v>
      </c>
      <c r="T15">
        <f t="shared" si="0"/>
        <v>0</v>
      </c>
    </row>
    <row r="16" spans="1:20" x14ac:dyDescent="0.25">
      <c r="A16" s="245">
        <v>15</v>
      </c>
      <c r="B16" s="246" t="s">
        <v>96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5">
        <v>0</v>
      </c>
      <c r="T16">
        <f t="shared" si="0"/>
        <v>0</v>
      </c>
    </row>
    <row r="17" spans="1:20" x14ac:dyDescent="0.25">
      <c r="A17" s="245">
        <v>16</v>
      </c>
      <c r="B17" s="246" t="s">
        <v>97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5">
        <v>0</v>
      </c>
      <c r="T17">
        <f t="shared" si="0"/>
        <v>0</v>
      </c>
    </row>
    <row r="18" spans="1:20" x14ac:dyDescent="0.25">
      <c r="A18" s="245">
        <v>17</v>
      </c>
      <c r="B18" s="246" t="s">
        <v>98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5">
        <v>0</v>
      </c>
      <c r="T18">
        <f t="shared" si="0"/>
        <v>0</v>
      </c>
    </row>
    <row r="19" spans="1:20" x14ac:dyDescent="0.25">
      <c r="A19" s="245">
        <v>18</v>
      </c>
      <c r="B19" s="246" t="s">
        <v>616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5">
        <v>0</v>
      </c>
      <c r="T19">
        <f t="shared" si="0"/>
        <v>0</v>
      </c>
    </row>
    <row r="20" spans="1:20" x14ac:dyDescent="0.25">
      <c r="A20" s="245">
        <v>19</v>
      </c>
      <c r="B20" s="246" t="s">
        <v>617</v>
      </c>
      <c r="C20" s="246"/>
      <c r="D20" s="246"/>
      <c r="E20" s="246"/>
      <c r="F20" s="246"/>
      <c r="G20" s="246" t="s">
        <v>54</v>
      </c>
      <c r="H20" s="246"/>
      <c r="I20" s="246"/>
      <c r="J20" s="246"/>
      <c r="K20" s="246" t="s">
        <v>54</v>
      </c>
      <c r="L20" s="246" t="s">
        <v>54</v>
      </c>
      <c r="M20" s="246" t="s">
        <v>54</v>
      </c>
      <c r="N20" s="246"/>
      <c r="O20" s="246" t="s">
        <v>54</v>
      </c>
      <c r="P20" s="246" t="s">
        <v>54</v>
      </c>
      <c r="Q20" s="246" t="s">
        <v>54</v>
      </c>
      <c r="R20" s="247">
        <v>168</v>
      </c>
      <c r="T20">
        <f>C20+D20+E20+F20+G20+H20+I20+J20+K20+L20+M20+N20+O20+P20+Q20</f>
        <v>168</v>
      </c>
    </row>
    <row r="21" spans="1:20" x14ac:dyDescent="0.25">
      <c r="A21" s="245">
        <v>20</v>
      </c>
      <c r="B21" s="246" t="s">
        <v>626</v>
      </c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5">
        <v>0</v>
      </c>
      <c r="T21">
        <f t="shared" si="0"/>
        <v>0</v>
      </c>
    </row>
    <row r="22" spans="1:20" x14ac:dyDescent="0.25">
      <c r="A22" s="245">
        <v>21</v>
      </c>
      <c r="B22" s="246" t="s">
        <v>618</v>
      </c>
      <c r="C22" s="246"/>
      <c r="D22" s="246"/>
      <c r="E22" s="246"/>
      <c r="F22" s="246"/>
      <c r="G22" s="246" t="s">
        <v>54</v>
      </c>
      <c r="H22" s="246"/>
      <c r="I22" s="246"/>
      <c r="J22" s="246"/>
      <c r="K22" s="246" t="s">
        <v>54</v>
      </c>
      <c r="L22" s="246" t="s">
        <v>54</v>
      </c>
      <c r="M22" s="246" t="s">
        <v>54</v>
      </c>
      <c r="N22" s="246"/>
      <c r="O22" s="246" t="s">
        <v>54</v>
      </c>
      <c r="P22" s="246" t="s">
        <v>54</v>
      </c>
      <c r="Q22" s="246" t="s">
        <v>54</v>
      </c>
      <c r="R22" s="247">
        <v>168</v>
      </c>
      <c r="T22">
        <f t="shared" si="0"/>
        <v>168</v>
      </c>
    </row>
    <row r="23" spans="1:20" x14ac:dyDescent="0.25">
      <c r="A23" s="245">
        <v>22</v>
      </c>
      <c r="B23" s="246" t="s">
        <v>619</v>
      </c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5">
        <v>0</v>
      </c>
      <c r="T23">
        <f t="shared" si="0"/>
        <v>0</v>
      </c>
    </row>
    <row r="24" spans="1:20" x14ac:dyDescent="0.25">
      <c r="A24" s="245">
        <v>23</v>
      </c>
      <c r="B24" s="246" t="s">
        <v>620</v>
      </c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5">
        <v>0</v>
      </c>
      <c r="T24">
        <f t="shared" si="0"/>
        <v>0</v>
      </c>
    </row>
    <row r="25" spans="1:20" x14ac:dyDescent="0.25">
      <c r="A25" s="245">
        <v>24</v>
      </c>
      <c r="B25" s="246" t="s">
        <v>650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5">
        <v>0</v>
      </c>
      <c r="T25">
        <f t="shared" si="0"/>
        <v>0</v>
      </c>
    </row>
    <row r="26" spans="1:20" x14ac:dyDescent="0.25">
      <c r="A26" s="245">
        <v>25</v>
      </c>
      <c r="B26" s="246" t="s">
        <v>621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5">
        <v>0</v>
      </c>
      <c r="T26">
        <f t="shared" si="0"/>
        <v>0</v>
      </c>
    </row>
    <row r="27" spans="1:20" x14ac:dyDescent="0.25">
      <c r="A27" s="245">
        <v>26</v>
      </c>
      <c r="B27" s="246" t="s">
        <v>622</v>
      </c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5">
        <v>0</v>
      </c>
      <c r="T27">
        <f t="shared" si="0"/>
        <v>0</v>
      </c>
    </row>
    <row r="28" spans="1:20" x14ac:dyDescent="0.25">
      <c r="A28" s="245">
        <v>27</v>
      </c>
      <c r="B28" s="246" t="s">
        <v>623</v>
      </c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5">
        <v>0</v>
      </c>
      <c r="T28">
        <f t="shared" si="0"/>
        <v>0</v>
      </c>
    </row>
    <row r="29" spans="1:20" x14ac:dyDescent="0.25">
      <c r="A29" s="245">
        <v>28</v>
      </c>
      <c r="B29" s="246" t="s">
        <v>624</v>
      </c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5">
        <v>0</v>
      </c>
      <c r="T29">
        <f t="shared" si="0"/>
        <v>0</v>
      </c>
    </row>
    <row r="30" spans="1:20" x14ac:dyDescent="0.25">
      <c r="A30" s="245">
        <v>29</v>
      </c>
      <c r="B30" s="246" t="s">
        <v>627</v>
      </c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5">
        <v>0</v>
      </c>
      <c r="T30">
        <f t="shared" si="0"/>
        <v>0</v>
      </c>
    </row>
    <row r="31" spans="1:20" x14ac:dyDescent="0.25">
      <c r="A31" s="245">
        <v>30</v>
      </c>
      <c r="B31" s="246" t="s">
        <v>625</v>
      </c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5">
        <v>0</v>
      </c>
      <c r="T31">
        <f t="shared" si="0"/>
        <v>0</v>
      </c>
    </row>
    <row r="32" spans="1:20" x14ac:dyDescent="0.25">
      <c r="A32" s="245">
        <v>31</v>
      </c>
      <c r="B32" s="246" t="s">
        <v>34</v>
      </c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5">
        <v>0</v>
      </c>
      <c r="T32">
        <f t="shared" si="0"/>
        <v>0</v>
      </c>
    </row>
    <row r="33" spans="1:20" x14ac:dyDescent="0.25">
      <c r="A33" s="245">
        <v>32</v>
      </c>
      <c r="B33" s="246" t="s">
        <v>45</v>
      </c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5">
        <v>0</v>
      </c>
      <c r="T33">
        <f t="shared" si="0"/>
        <v>0</v>
      </c>
    </row>
    <row r="34" spans="1:20" x14ac:dyDescent="0.25">
      <c r="A34" s="245">
        <v>33</v>
      </c>
      <c r="B34" s="246" t="s">
        <v>630</v>
      </c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5">
        <v>0</v>
      </c>
      <c r="T34">
        <f t="shared" si="0"/>
        <v>0</v>
      </c>
    </row>
    <row r="35" spans="1:20" x14ac:dyDescent="0.25">
      <c r="A35" s="245">
        <v>34</v>
      </c>
      <c r="B35" s="246" t="s">
        <v>628</v>
      </c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5">
        <v>0</v>
      </c>
      <c r="T35">
        <f t="shared" si="0"/>
        <v>0</v>
      </c>
    </row>
    <row r="36" spans="1:20" x14ac:dyDescent="0.25">
      <c r="A36" s="245">
        <v>35</v>
      </c>
      <c r="B36" s="246" t="s">
        <v>629</v>
      </c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5">
        <v>0</v>
      </c>
      <c r="T36">
        <f t="shared" si="0"/>
        <v>0</v>
      </c>
    </row>
    <row r="37" spans="1:20" x14ac:dyDescent="0.25">
      <c r="A37" s="245">
        <v>36</v>
      </c>
      <c r="B37" s="246" t="s">
        <v>631</v>
      </c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5">
        <v>0</v>
      </c>
      <c r="T37">
        <f t="shared" si="0"/>
        <v>0</v>
      </c>
    </row>
    <row r="38" spans="1:20" x14ac:dyDescent="0.25">
      <c r="A38" s="245">
        <v>37</v>
      </c>
      <c r="B38" s="246" t="s">
        <v>632</v>
      </c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5">
        <v>0</v>
      </c>
      <c r="T38">
        <f t="shared" si="0"/>
        <v>0</v>
      </c>
    </row>
    <row r="39" spans="1:20" x14ac:dyDescent="0.25">
      <c r="A39" s="245">
        <v>38</v>
      </c>
      <c r="B39" s="246" t="s">
        <v>633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5">
        <v>0</v>
      </c>
      <c r="T39">
        <f t="shared" si="0"/>
        <v>0</v>
      </c>
    </row>
    <row r="40" spans="1:20" x14ac:dyDescent="0.25">
      <c r="A40" s="245">
        <v>39</v>
      </c>
      <c r="B40" s="246" t="s">
        <v>634</v>
      </c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5">
        <v>0</v>
      </c>
      <c r="T40">
        <f t="shared" si="0"/>
        <v>0</v>
      </c>
    </row>
    <row r="41" spans="1:20" x14ac:dyDescent="0.25">
      <c r="A41" s="245">
        <v>40</v>
      </c>
      <c r="B41" s="246" t="s">
        <v>636</v>
      </c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5">
        <v>0</v>
      </c>
      <c r="T41">
        <f t="shared" si="0"/>
        <v>0</v>
      </c>
    </row>
    <row r="42" spans="1:20" x14ac:dyDescent="0.25">
      <c r="A42" s="245">
        <v>41</v>
      </c>
      <c r="B42" s="246" t="s">
        <v>637</v>
      </c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5">
        <v>0</v>
      </c>
      <c r="T42">
        <f t="shared" si="0"/>
        <v>0</v>
      </c>
    </row>
    <row r="43" spans="1:20" x14ac:dyDescent="0.25">
      <c r="A43" s="245">
        <v>42</v>
      </c>
      <c r="B43" s="246" t="s">
        <v>640</v>
      </c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5">
        <v>0</v>
      </c>
      <c r="T43">
        <f t="shared" si="0"/>
        <v>0</v>
      </c>
    </row>
    <row r="44" spans="1:20" x14ac:dyDescent="0.25">
      <c r="A44" s="245">
        <v>43</v>
      </c>
      <c r="B44" s="246" t="s">
        <v>638</v>
      </c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5">
        <v>0</v>
      </c>
      <c r="T44">
        <f t="shared" si="0"/>
        <v>0</v>
      </c>
    </row>
    <row r="45" spans="1:20" x14ac:dyDescent="0.25">
      <c r="A45" s="245">
        <v>44</v>
      </c>
      <c r="B45" s="246" t="s">
        <v>635</v>
      </c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5">
        <v>0</v>
      </c>
      <c r="T45">
        <f t="shared" si="0"/>
        <v>0</v>
      </c>
    </row>
    <row r="46" spans="1:20" x14ac:dyDescent="0.25">
      <c r="A46" s="245">
        <v>45</v>
      </c>
      <c r="B46" s="246" t="s">
        <v>641</v>
      </c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5">
        <v>0</v>
      </c>
      <c r="T46">
        <f t="shared" si="0"/>
        <v>0</v>
      </c>
    </row>
    <row r="47" spans="1:20" x14ac:dyDescent="0.25">
      <c r="A47" s="245">
        <v>46</v>
      </c>
      <c r="B47" s="246" t="s">
        <v>649</v>
      </c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5">
        <v>0</v>
      </c>
      <c r="T47">
        <f t="shared" si="0"/>
        <v>0</v>
      </c>
    </row>
    <row r="48" spans="1:20" x14ac:dyDescent="0.25">
      <c r="A48" s="245">
        <v>47</v>
      </c>
      <c r="B48" s="246" t="s">
        <v>642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5">
        <v>0</v>
      </c>
      <c r="T48">
        <f t="shared" si="0"/>
        <v>0</v>
      </c>
    </row>
    <row r="49" spans="1:20" x14ac:dyDescent="0.25">
      <c r="A49" s="245">
        <v>48</v>
      </c>
      <c r="B49" s="246" t="s">
        <v>643</v>
      </c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5">
        <v>0</v>
      </c>
      <c r="T49">
        <f t="shared" si="0"/>
        <v>0</v>
      </c>
    </row>
    <row r="50" spans="1:20" x14ac:dyDescent="0.25">
      <c r="A50" s="245">
        <v>49</v>
      </c>
      <c r="B50" s="246" t="s">
        <v>644</v>
      </c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5">
        <v>0</v>
      </c>
      <c r="T50">
        <f t="shared" si="0"/>
        <v>0</v>
      </c>
    </row>
    <row r="51" spans="1:20" x14ac:dyDescent="0.25">
      <c r="A51" s="245">
        <v>50</v>
      </c>
      <c r="B51" s="246" t="s">
        <v>646</v>
      </c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5">
        <v>0</v>
      </c>
      <c r="T51">
        <f t="shared" si="0"/>
        <v>0</v>
      </c>
    </row>
    <row r="52" spans="1:20" x14ac:dyDescent="0.25">
      <c r="A52" s="245">
        <v>51</v>
      </c>
      <c r="B52" s="246" t="s">
        <v>647</v>
      </c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5">
        <v>0</v>
      </c>
      <c r="T52">
        <f t="shared" si="0"/>
        <v>0</v>
      </c>
    </row>
    <row r="53" spans="1:20" x14ac:dyDescent="0.25">
      <c r="A53" s="245">
        <v>52</v>
      </c>
      <c r="B53" s="246" t="s">
        <v>652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5">
        <v>0</v>
      </c>
      <c r="T53">
        <f t="shared" si="0"/>
        <v>0</v>
      </c>
    </row>
    <row r="54" spans="1:20" x14ac:dyDescent="0.25">
      <c r="A54" s="245">
        <v>53</v>
      </c>
      <c r="B54" s="246" t="s">
        <v>653</v>
      </c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5">
        <v>0</v>
      </c>
      <c r="T54">
        <f t="shared" si="0"/>
        <v>0</v>
      </c>
    </row>
    <row r="55" spans="1:20" x14ac:dyDescent="0.25">
      <c r="A55" s="245">
        <v>54</v>
      </c>
      <c r="B55" s="246" t="s">
        <v>654</v>
      </c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5">
        <v>0</v>
      </c>
      <c r="T55">
        <f t="shared" si="0"/>
        <v>0</v>
      </c>
    </row>
    <row r="56" spans="1:20" x14ac:dyDescent="0.25">
      <c r="A56" s="245">
        <v>55</v>
      </c>
      <c r="B56" s="246" t="s">
        <v>655</v>
      </c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5">
        <v>0</v>
      </c>
      <c r="T56">
        <f t="shared" si="0"/>
        <v>0</v>
      </c>
    </row>
    <row r="57" spans="1:20" x14ac:dyDescent="0.25">
      <c r="A57" s="245">
        <v>56</v>
      </c>
      <c r="B57" s="246" t="s">
        <v>656</v>
      </c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5">
        <v>0</v>
      </c>
      <c r="T57">
        <f t="shared" si="0"/>
        <v>0</v>
      </c>
    </row>
    <row r="58" spans="1:20" x14ac:dyDescent="0.25">
      <c r="A58" s="245">
        <v>57</v>
      </c>
      <c r="B58" s="246" t="s">
        <v>657</v>
      </c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5">
        <v>0</v>
      </c>
      <c r="T58">
        <f t="shared" si="0"/>
        <v>0</v>
      </c>
    </row>
    <row r="59" spans="1:20" x14ac:dyDescent="0.25">
      <c r="A59" s="245">
        <v>58</v>
      </c>
      <c r="B59" s="246" t="s">
        <v>658</v>
      </c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5">
        <v>0</v>
      </c>
      <c r="T59">
        <f t="shared" si="0"/>
        <v>0</v>
      </c>
    </row>
    <row r="60" spans="1:20" x14ac:dyDescent="0.25">
      <c r="A60" s="245">
        <v>59</v>
      </c>
      <c r="B60" s="246" t="s">
        <v>659</v>
      </c>
      <c r="C60" s="246"/>
      <c r="D60" s="246"/>
      <c r="E60" s="246"/>
      <c r="F60" s="246"/>
      <c r="G60" s="246" t="s">
        <v>54</v>
      </c>
      <c r="H60" s="246"/>
      <c r="I60" s="246"/>
      <c r="J60" s="246"/>
      <c r="K60" s="246" t="s">
        <v>54</v>
      </c>
      <c r="L60" s="246" t="s">
        <v>54</v>
      </c>
      <c r="M60" s="246" t="s">
        <v>54</v>
      </c>
      <c r="N60" s="246"/>
      <c r="O60" s="246" t="s">
        <v>54</v>
      </c>
      <c r="P60" s="246" t="s">
        <v>54</v>
      </c>
      <c r="Q60" s="246" t="s">
        <v>54</v>
      </c>
      <c r="R60" s="247">
        <v>168</v>
      </c>
      <c r="T60">
        <f t="shared" si="0"/>
        <v>168</v>
      </c>
    </row>
    <row r="61" spans="1:20" x14ac:dyDescent="0.25">
      <c r="A61" s="245">
        <v>60</v>
      </c>
      <c r="B61" s="246" t="s">
        <v>660</v>
      </c>
      <c r="C61" s="246"/>
      <c r="D61" s="246"/>
      <c r="E61" s="246"/>
      <c r="F61" s="246"/>
      <c r="G61" s="246" t="s">
        <v>54</v>
      </c>
      <c r="H61" s="246"/>
      <c r="I61" s="246"/>
      <c r="J61" s="246"/>
      <c r="K61" s="246" t="s">
        <v>54</v>
      </c>
      <c r="L61" s="246" t="s">
        <v>54</v>
      </c>
      <c r="M61" s="246" t="s">
        <v>54</v>
      </c>
      <c r="N61" s="246"/>
      <c r="O61" s="246" t="s">
        <v>54</v>
      </c>
      <c r="P61" s="246" t="s">
        <v>54</v>
      </c>
      <c r="Q61" s="246" t="s">
        <v>54</v>
      </c>
      <c r="R61" s="247">
        <v>168</v>
      </c>
      <c r="T61">
        <f t="shared" si="0"/>
        <v>168</v>
      </c>
    </row>
    <row r="62" spans="1:20" x14ac:dyDescent="0.25">
      <c r="A62" s="245">
        <v>61</v>
      </c>
      <c r="B62" s="246" t="s">
        <v>661</v>
      </c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5">
        <v>0</v>
      </c>
      <c r="T62">
        <f t="shared" si="0"/>
        <v>0</v>
      </c>
    </row>
    <row r="63" spans="1:20" x14ac:dyDescent="0.25">
      <c r="A63" s="245">
        <v>62</v>
      </c>
      <c r="B63" s="246" t="s">
        <v>662</v>
      </c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5">
        <v>0</v>
      </c>
      <c r="T63">
        <f t="shared" si="0"/>
        <v>0</v>
      </c>
    </row>
    <row r="64" spans="1:20" x14ac:dyDescent="0.25">
      <c r="A64" s="245">
        <v>63</v>
      </c>
      <c r="B64" s="246" t="s">
        <v>668</v>
      </c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5">
        <v>0</v>
      </c>
      <c r="T64">
        <f t="shared" si="0"/>
        <v>0</v>
      </c>
    </row>
    <row r="65" spans="1:18" x14ac:dyDescent="0.25">
      <c r="A65" s="244"/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8">
        <v>672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1E000000}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Лист2</vt:lpstr>
      <vt:lpstr>Лист1</vt:lpstr>
      <vt:lpstr>Табель цех 16 по 30 вересня</vt:lpstr>
      <vt:lpstr>ИТР</vt:lpstr>
      <vt:lpstr>_ЦО</vt:lpstr>
      <vt:lpstr>МХП лазня</vt:lpstr>
      <vt:lpstr>Катеринополь</vt:lpstr>
      <vt:lpstr>ВООЗ</vt:lpstr>
      <vt:lpstr>Кернел</vt:lpstr>
      <vt:lpstr>Глобино Мк</vt:lpstr>
      <vt:lpstr>ВООЗ ЕМС</vt:lpstr>
      <vt:lpstr>ООН 36</vt:lpstr>
      <vt:lpstr>ООН 37</vt:lpstr>
      <vt:lpstr>ООН 38</vt:lpstr>
      <vt:lpstr>ООН39</vt:lpstr>
      <vt:lpstr>ООН 40</vt:lpstr>
      <vt:lpstr>ООН 43</vt:lpstr>
      <vt:lpstr>ООН 44</vt:lpstr>
      <vt:lpstr>ООН 45</vt:lpstr>
      <vt:lpstr>ООН46</vt:lpstr>
      <vt:lpstr>ООН47</vt:lpstr>
      <vt:lpstr>ООН48</vt:lpstr>
      <vt:lpstr>ООН49</vt:lpstr>
      <vt:lpstr>ООн50</vt:lpstr>
      <vt:lpstr>ООН51</vt:lpstr>
      <vt:lpstr>Форшахта</vt:lpstr>
      <vt:lpstr>ГАлерея 25.6</vt:lpstr>
      <vt:lpstr>ГРП</vt:lpstr>
      <vt:lpstr>Парк меляси</vt:lpstr>
      <vt:lpstr>ООН 42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2025-10-10T09:39:58Z</dcterms:modified>
</cp:coreProperties>
</file>
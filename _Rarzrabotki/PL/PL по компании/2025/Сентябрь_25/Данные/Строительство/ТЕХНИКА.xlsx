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steblianko\Desktop\"/>
    </mc:Choice>
  </mc:AlternateContent>
  <xr:revisionPtr revIDLastSave="0" documentId="8_{95518104-B129-4031-85BD-E5C675701734}" xr6:coauthVersionLast="45" xr6:coauthVersionMax="45" xr10:uidLastSave="{00000000-0000-0000-0000-000000000000}"/>
  <bookViews>
    <workbookView xWindow="-108" yWindow="-108" windowWidth="23256" windowHeight="12600" xr2:uid="{6F0E16E6-6662-4CE8-A9C2-83BD61CE3372}"/>
  </bookViews>
  <sheets>
    <sheet name="Спецтехника  Бюджет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'Спецтехника  Бюджет'!$A$5:$T$40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1" i="1" l="1"/>
  <c r="Q41" i="1"/>
  <c r="P41" i="1"/>
  <c r="O41" i="1"/>
  <c r="H41" i="1"/>
  <c r="X40" i="1"/>
  <c r="S40" i="1"/>
  <c r="J40" i="1"/>
  <c r="S39" i="1"/>
  <c r="S38" i="1"/>
  <c r="S37" i="1"/>
  <c r="R37" i="1"/>
  <c r="T37" i="1" s="1"/>
  <c r="J37" i="1"/>
  <c r="S36" i="1"/>
  <c r="J36" i="1"/>
  <c r="J41" i="1" s="1"/>
  <c r="U34" i="1"/>
  <c r="W34" i="1" s="1"/>
  <c r="Y34" i="1" s="1"/>
  <c r="R34" i="1"/>
  <c r="T34" i="1" s="1"/>
  <c r="T33" i="1"/>
  <c r="U32" i="1"/>
  <c r="R32" i="1"/>
  <c r="T32" i="1" s="1"/>
  <c r="V32" i="1" s="1"/>
  <c r="U31" i="1"/>
  <c r="R31" i="1"/>
  <c r="T31" i="1" s="1"/>
  <c r="V31" i="1" s="1"/>
  <c r="U30" i="1"/>
  <c r="T30" i="1"/>
  <c r="V30" i="1" s="1"/>
  <c r="R30" i="1"/>
  <c r="V29" i="1"/>
  <c r="U29" i="1"/>
  <c r="W29" i="1" s="1"/>
  <c r="U28" i="1"/>
  <c r="R28" i="1"/>
  <c r="T28" i="1" s="1"/>
  <c r="V28" i="1" s="1"/>
  <c r="U26" i="1"/>
  <c r="R26" i="1"/>
  <c r="T26" i="1" s="1"/>
  <c r="V26" i="1" s="1"/>
  <c r="U25" i="1"/>
  <c r="R25" i="1"/>
  <c r="T25" i="1" s="1"/>
  <c r="V25" i="1" s="1"/>
  <c r="V24" i="1"/>
  <c r="U24" i="1"/>
  <c r="W24" i="1" s="1"/>
  <c r="T24" i="1"/>
  <c r="R24" i="1"/>
  <c r="U23" i="1"/>
  <c r="R23" i="1"/>
  <c r="T23" i="1" s="1"/>
  <c r="V23" i="1" s="1"/>
  <c r="U22" i="1"/>
  <c r="R22" i="1"/>
  <c r="T22" i="1" s="1"/>
  <c r="V22" i="1" s="1"/>
  <c r="AA21" i="1"/>
  <c r="AC21" i="1" s="1"/>
  <c r="V21" i="1"/>
  <c r="U21" i="1"/>
  <c r="W21" i="1" s="1"/>
  <c r="V20" i="1"/>
  <c r="U20" i="1"/>
  <c r="W20" i="1" s="1"/>
  <c r="Y20" i="1" s="1"/>
  <c r="T20" i="1"/>
  <c r="R20" i="1"/>
  <c r="U19" i="1"/>
  <c r="R19" i="1"/>
  <c r="T19" i="1" s="1"/>
  <c r="V19" i="1" s="1"/>
  <c r="U18" i="1"/>
  <c r="R18" i="1"/>
  <c r="T18" i="1" s="1"/>
  <c r="V18" i="1" s="1"/>
  <c r="U17" i="1"/>
  <c r="T17" i="1"/>
  <c r="V17" i="1" s="1"/>
  <c r="R17" i="1"/>
  <c r="V16" i="1"/>
  <c r="U16" i="1"/>
  <c r="U39" i="1" s="1"/>
  <c r="U15" i="1"/>
  <c r="U40" i="1" s="1"/>
  <c r="R15" i="1"/>
  <c r="T15" i="1" s="1"/>
  <c r="U14" i="1"/>
  <c r="R14" i="1"/>
  <c r="T14" i="1" s="1"/>
  <c r="V14" i="1" s="1"/>
  <c r="U13" i="1"/>
  <c r="R13" i="1"/>
  <c r="T13" i="1" s="1"/>
  <c r="V13" i="1" s="1"/>
  <c r="AE12" i="1"/>
  <c r="U12" i="1"/>
  <c r="T12" i="1"/>
  <c r="V12" i="1" s="1"/>
  <c r="R12" i="1"/>
  <c r="U11" i="1"/>
  <c r="T11" i="1"/>
  <c r="V11" i="1" s="1"/>
  <c r="R11" i="1"/>
  <c r="U10" i="1"/>
  <c r="U38" i="1" s="1"/>
  <c r="T10" i="1"/>
  <c r="V10" i="1" s="1"/>
  <c r="R10" i="1"/>
  <c r="R38" i="1" s="1"/>
  <c r="T38" i="1" s="1"/>
  <c r="U9" i="1"/>
  <c r="T9" i="1"/>
  <c r="V9" i="1" s="1"/>
  <c r="R9" i="1"/>
  <c r="U8" i="1"/>
  <c r="W8" i="1" s="1"/>
  <c r="T8" i="1"/>
  <c r="V8" i="1" s="1"/>
  <c r="R8" i="1"/>
  <c r="U7" i="1"/>
  <c r="T7" i="1"/>
  <c r="V7" i="1" s="1"/>
  <c r="R7" i="1"/>
  <c r="U6" i="1"/>
  <c r="U36" i="1" s="1"/>
  <c r="R6" i="1"/>
  <c r="R41" i="1" s="1"/>
  <c r="X29" i="1"/>
  <c r="AD25" i="1"/>
  <c r="L23" i="1"/>
  <c r="L9" i="1"/>
  <c r="I23" i="1"/>
  <c r="I20" i="1"/>
  <c r="L32" i="1"/>
  <c r="AD22" i="1"/>
  <c r="L20" i="1"/>
  <c r="I32" i="1"/>
  <c r="AD31" i="1"/>
  <c r="AD28" i="1"/>
  <c r="AD19" i="1"/>
  <c r="I14" i="1"/>
  <c r="AD8" i="1"/>
  <c r="X19" i="1"/>
  <c r="I17" i="1"/>
  <c r="X8" i="1"/>
  <c r="L6" i="1"/>
  <c r="X31" i="1"/>
  <c r="X28" i="1"/>
  <c r="L17" i="1"/>
  <c r="AD13" i="1"/>
  <c r="L25" i="1"/>
  <c r="I25" i="1"/>
  <c r="AD16" i="1"/>
  <c r="X13" i="1"/>
  <c r="I6" i="1"/>
  <c r="AD24" i="1"/>
  <c r="L11" i="1"/>
  <c r="X16" i="1"/>
  <c r="I11" i="1"/>
  <c r="AD34" i="1"/>
  <c r="L22" i="1"/>
  <c r="AD10" i="1"/>
  <c r="X24" i="1"/>
  <c r="I22" i="1"/>
  <c r="L31" i="1"/>
  <c r="L28" i="1"/>
  <c r="AD21" i="1"/>
  <c r="I31" i="1"/>
  <c r="I28" i="1"/>
  <c r="L19" i="1"/>
  <c r="X10" i="1"/>
  <c r="L8" i="1"/>
  <c r="I19" i="1"/>
  <c r="AD15" i="1"/>
  <c r="L13" i="1"/>
  <c r="I8" i="1"/>
  <c r="X9" i="1"/>
  <c r="X22" i="1"/>
  <c r="AD30" i="1"/>
  <c r="AD27" i="1"/>
  <c r="AD18" i="1"/>
  <c r="I13" i="1"/>
  <c r="AD7" i="1"/>
  <c r="AD12" i="1"/>
  <c r="X7" i="1"/>
  <c r="X12" i="1"/>
  <c r="I15" i="1"/>
  <c r="AD9" i="1"/>
  <c r="L7" i="1"/>
  <c r="L34" i="1"/>
  <c r="X30" i="1"/>
  <c r="X27" i="1"/>
  <c r="X21" i="1"/>
  <c r="I34" i="1"/>
  <c r="AD26" i="1"/>
  <c r="L24" i="1"/>
  <c r="L10" i="1"/>
  <c r="I21" i="1"/>
  <c r="I18" i="1"/>
  <c r="I9" i="1"/>
  <c r="AD33" i="1"/>
  <c r="I24" i="1"/>
  <c r="AD23" i="1"/>
  <c r="X33" i="1"/>
  <c r="L21" i="1"/>
  <c r="L15" i="1"/>
  <c r="I10" i="1"/>
  <c r="AD32" i="1"/>
  <c r="L30" i="1"/>
  <c r="AD20" i="1"/>
  <c r="L18" i="1"/>
  <c r="AD14" i="1"/>
  <c r="I30" i="1"/>
  <c r="AD29" i="1"/>
  <c r="L26" i="1"/>
  <c r="AD17" i="1"/>
  <c r="X14" i="1"/>
  <c r="I7" i="1"/>
  <c r="I26" i="1"/>
  <c r="L12" i="1"/>
  <c r="AD6" i="1"/>
  <c r="X17" i="1"/>
  <c r="I12" i="1"/>
  <c r="AD11" i="1"/>
  <c r="X6" i="1"/>
  <c r="X11" i="1"/>
  <c r="L14" i="1"/>
  <c r="X41" i="1" l="1"/>
  <c r="X36" i="1"/>
  <c r="P37" i="1"/>
  <c r="Y21" i="1"/>
  <c r="Y27" i="1"/>
  <c r="K40" i="1"/>
  <c r="L40" i="1" s="1"/>
  <c r="Y22" i="1"/>
  <c r="Y9" i="1"/>
  <c r="X38" i="1"/>
  <c r="Y10" i="1"/>
  <c r="Y38" i="1" s="1"/>
  <c r="K37" i="1"/>
  <c r="L37" i="1" s="1"/>
  <c r="Y24" i="1"/>
  <c r="X39" i="1"/>
  <c r="Y16" i="1"/>
  <c r="Y39" i="1" s="1"/>
  <c r="P36" i="1"/>
  <c r="K36" i="1"/>
  <c r="I41" i="1"/>
  <c r="X37" i="1"/>
  <c r="Y8" i="1"/>
  <c r="Y29" i="1"/>
  <c r="W31" i="1"/>
  <c r="W37" i="1" s="1"/>
  <c r="W18" i="1"/>
  <c r="Y18" i="1" s="1"/>
  <c r="W9" i="1"/>
  <c r="W22" i="1"/>
  <c r="W32" i="1"/>
  <c r="Y32" i="1" s="1"/>
  <c r="W11" i="1"/>
  <c r="Y11" i="1" s="1"/>
  <c r="W12" i="1"/>
  <c r="Y12" i="1" s="1"/>
  <c r="W23" i="1"/>
  <c r="Y23" i="1" s="1"/>
  <c r="W13" i="1"/>
  <c r="Y13" i="1" s="1"/>
  <c r="W14" i="1"/>
  <c r="Y14" i="1" s="1"/>
  <c r="W26" i="1"/>
  <c r="Y26" i="1" s="1"/>
  <c r="W30" i="1"/>
  <c r="Y30" i="1" s="1"/>
  <c r="W19" i="1"/>
  <c r="Y19" i="1" s="1"/>
  <c r="W25" i="1"/>
  <c r="Y25" i="1" s="1"/>
  <c r="W28" i="1"/>
  <c r="Y28" i="1" s="1"/>
  <c r="W7" i="1"/>
  <c r="Y7" i="1" s="1"/>
  <c r="W17" i="1"/>
  <c r="Y17" i="1" s="1"/>
  <c r="R40" i="1"/>
  <c r="T40" i="1" s="1"/>
  <c r="U37" i="1"/>
  <c r="W15" i="1"/>
  <c r="W10" i="1"/>
  <c r="W16" i="1"/>
  <c r="W39" i="1" s="1"/>
  <c r="T6" i="1"/>
  <c r="R36" i="1"/>
  <c r="T36" i="1" s="1"/>
  <c r="R39" i="1"/>
  <c r="T39" i="1" s="1"/>
  <c r="P39" i="1" l="1"/>
  <c r="P40" i="1"/>
  <c r="L36" i="1"/>
  <c r="L41" i="1" s="1"/>
  <c r="K41" i="1"/>
  <c r="Y31" i="1"/>
  <c r="Y37" i="1" s="1"/>
  <c r="W38" i="1"/>
  <c r="T41" i="1"/>
  <c r="V6" i="1"/>
  <c r="W6" i="1" s="1"/>
  <c r="W40" i="1"/>
  <c r="Y15" i="1"/>
  <c r="Y40" i="1" s="1"/>
  <c r="P38" i="1"/>
  <c r="W41" i="1" l="1"/>
  <c r="W36" i="1"/>
  <c r="Y6" i="1"/>
  <c r="Y41" i="1" l="1"/>
  <c r="Y36" i="1"/>
</calcChain>
</file>

<file path=xl/sharedStrings.xml><?xml version="1.0" encoding="utf-8"?>
<sst xmlns="http://schemas.openxmlformats.org/spreadsheetml/2006/main" count="94" uniqueCount="49">
  <si>
    <t>ИЮНЬ</t>
  </si>
  <si>
    <t>Результат накопительно, грн</t>
  </si>
  <si>
    <t>На начало периода</t>
  </si>
  <si>
    <t>Наименование хники</t>
  </si>
  <si>
    <t>Обьект</t>
  </si>
  <si>
    <t>На начало июня</t>
  </si>
  <si>
    <t>Начислено</t>
  </si>
  <si>
    <t>Оплачено</t>
  </si>
  <si>
    <t>Корректировка по единицам техники, грн</t>
  </si>
  <si>
    <t>Распределение оплаченного</t>
  </si>
  <si>
    <t>Долги</t>
  </si>
  <si>
    <t>ФОТ</t>
  </si>
  <si>
    <t>На начало Августа</t>
  </si>
  <si>
    <t xml:space="preserve">Оплачено </t>
  </si>
  <si>
    <t>Долг за Август</t>
  </si>
  <si>
    <t xml:space="preserve">Предоплата на Сентябрь ( 60 %) </t>
  </si>
  <si>
    <t xml:space="preserve">Итого: </t>
  </si>
  <si>
    <t>Начислено Сентябрь</t>
  </si>
  <si>
    <t xml:space="preserve">Долг Сентябрь </t>
  </si>
  <si>
    <t>Предоплата 60 % Октябрь,</t>
  </si>
  <si>
    <t>Факт</t>
  </si>
  <si>
    <t>План</t>
  </si>
  <si>
    <t>Автокран XCMG</t>
  </si>
  <si>
    <t>Глобино 2</t>
  </si>
  <si>
    <t>Автокран клинцы</t>
  </si>
  <si>
    <t>Автокран XCMG 55</t>
  </si>
  <si>
    <t>РДК 250 (2)</t>
  </si>
  <si>
    <t>Телескоп №1</t>
  </si>
  <si>
    <t>Тищенки</t>
  </si>
  <si>
    <t>Телескоп №2</t>
  </si>
  <si>
    <t>Телескоп №5</t>
  </si>
  <si>
    <t>Телескоп №4</t>
  </si>
  <si>
    <t>Экскаватор JCB 2007</t>
  </si>
  <si>
    <t>Экскаватор  JCB 3CX 2008</t>
  </si>
  <si>
    <t>Подгорцы</t>
  </si>
  <si>
    <t>КМД2</t>
  </si>
  <si>
    <t>Экскаватор JCB 2013</t>
  </si>
  <si>
    <t>Экскаватор JCB 220</t>
  </si>
  <si>
    <t>Виброкаток</t>
  </si>
  <si>
    <t>МАЗ 264</t>
  </si>
  <si>
    <t>МАЗ 265</t>
  </si>
  <si>
    <t>Самосвал МАЗ</t>
  </si>
  <si>
    <t xml:space="preserve">Самосвал МАЗ №2 </t>
  </si>
  <si>
    <t>Самосвал камаз</t>
  </si>
  <si>
    <t>Ротор Пегасус</t>
  </si>
  <si>
    <t>Катеринополь</t>
  </si>
  <si>
    <t>Подъемник Haulotte №2</t>
  </si>
  <si>
    <t>Задолженность</t>
  </si>
  <si>
    <t>Итого :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</si>
</sst>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mmm"/>
  </numFmts>
  <fonts count="8" x14ac:knownFonts="1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2" fillId="0" borderId="0" xfId="1"/>
    <xf numFmtId="164" fontId="4" fillId="2" borderId="1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5" fontId="2" fillId="0" borderId="0" xfId="1" applyNumberFormat="1"/>
    <xf numFmtId="164" fontId="4" fillId="2" borderId="3" xfId="0" applyNumberFormat="1" applyFont="1" applyFill="1" applyBorder="1" applyAlignment="1">
      <alignment horizontal="center" vertical="center" wrapText="1"/>
    </xf>
    <xf numFmtId="0" fontId="1" fillId="0" borderId="0" xfId="1" applyFont="1"/>
    <xf numFmtId="0" fontId="2" fillId="0" borderId="4" xfId="1" applyBorder="1"/>
    <xf numFmtId="164" fontId="0" fillId="2" borderId="4" xfId="0" applyNumberFormat="1" applyFill="1" applyBorder="1"/>
    <xf numFmtId="3" fontId="5" fillId="3" borderId="4" xfId="0" applyNumberFormat="1" applyFont="1" applyFill="1" applyBorder="1"/>
    <xf numFmtId="4" fontId="2" fillId="0" borderId="4" xfId="1" applyNumberFormat="1" applyBorder="1"/>
    <xf numFmtId="0" fontId="1" fillId="0" borderId="4" xfId="2" applyBorder="1"/>
    <xf numFmtId="0" fontId="2" fillId="4" borderId="5" xfId="1" applyFill="1" applyBorder="1"/>
    <xf numFmtId="0" fontId="2" fillId="4" borderId="6" xfId="1" applyFill="1" applyBorder="1"/>
    <xf numFmtId="4" fontId="2" fillId="4" borderId="6" xfId="1" applyNumberFormat="1" applyFill="1" applyBorder="1"/>
    <xf numFmtId="4" fontId="6" fillId="4" borderId="6" xfId="1" applyNumberFormat="1" applyFont="1" applyFill="1" applyBorder="1"/>
    <xf numFmtId="4" fontId="2" fillId="4" borderId="6" xfId="1" applyNumberFormat="1" applyFill="1" applyBorder="1" applyAlignment="1">
      <alignment horizontal="center" vertical="center"/>
    </xf>
    <xf numFmtId="4" fontId="7" fillId="4" borderId="7" xfId="1" applyNumberFormat="1" applyFont="1" applyFill="1" applyBorder="1"/>
    <xf numFmtId="0" fontId="2" fillId="4" borderId="8" xfId="1" applyFill="1" applyBorder="1"/>
    <xf numFmtId="0" fontId="2" fillId="4" borderId="9" xfId="1" applyFill="1" applyBorder="1"/>
    <xf numFmtId="4" fontId="2" fillId="4" borderId="9" xfId="1" applyNumberFormat="1" applyFill="1" applyBorder="1"/>
    <xf numFmtId="4" fontId="6" fillId="4" borderId="9" xfId="1" applyNumberFormat="1" applyFont="1" applyFill="1" applyBorder="1"/>
    <xf numFmtId="0" fontId="0" fillId="4" borderId="10" xfId="0" applyFill="1" applyBorder="1"/>
    <xf numFmtId="4" fontId="2" fillId="4" borderId="11" xfId="1" applyNumberFormat="1" applyFill="1" applyBorder="1"/>
    <xf numFmtId="0" fontId="2" fillId="4" borderId="11" xfId="1" applyFill="1" applyBorder="1"/>
    <xf numFmtId="4" fontId="6" fillId="4" borderId="11" xfId="1" applyNumberFormat="1" applyFont="1" applyFill="1" applyBorder="1"/>
    <xf numFmtId="4" fontId="2" fillId="4" borderId="10" xfId="1" applyNumberFormat="1" applyFill="1" applyBorder="1" applyAlignment="1">
      <alignment horizontal="center" vertical="center"/>
    </xf>
    <xf numFmtId="0" fontId="2" fillId="4" borderId="12" xfId="1" applyFill="1" applyBorder="1"/>
    <xf numFmtId="0" fontId="2" fillId="5" borderId="13" xfId="1" applyFill="1" applyBorder="1"/>
    <xf numFmtId="0" fontId="2" fillId="5" borderId="14" xfId="1" applyFill="1" applyBorder="1"/>
    <xf numFmtId="4" fontId="3" fillId="5" borderId="14" xfId="1" applyNumberFormat="1" applyFont="1" applyFill="1" applyBorder="1"/>
    <xf numFmtId="4" fontId="6" fillId="5" borderId="14" xfId="1" applyNumberFormat="1" applyFont="1" applyFill="1" applyBorder="1"/>
    <xf numFmtId="4" fontId="2" fillId="5" borderId="14" xfId="1" applyNumberFormat="1" applyFill="1" applyBorder="1"/>
    <xf numFmtId="4" fontId="2" fillId="5" borderId="15" xfId="1" applyNumberFormat="1" applyFill="1" applyBorder="1"/>
  </cellXfs>
  <cellStyles count="3">
    <cellStyle name="Обычный" xfId="0" builtinId="0"/>
    <cellStyle name="Обычный 32 2" xfId="2" xr:uid="{DA41C156-8B9A-4523-9A00-9CB2E605937E}"/>
    <cellStyle name="Обычный 32 2 2" xfId="1" xr:uid="{76653C2C-7489-4C1E-8C03-004B829BB4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&#1041;&#1102;&#1076;&#1078;&#1077;&#1090;/2025/&#1041;&#1102;&#1076;&#1078;&#1077;&#1090;%2010.2025-12.2025/&#1041;&#1102;&#1076;&#1078;&#1077;&#1090;_&#1046;&#1086;&#1074;&#1090;&#1077;&#1085;&#1100;25-&#1043;&#1088;&#1091;&#1076;&#1077;&#1085;&#1100;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&#1041;&#1102;&#1076;&#1078;&#1077;&#1090;/2025/&#1041;&#1102;&#1076;&#1078;&#1077;&#1090;%2007.2025-09.2025/&#1044;&#1072;&#1085;&#1085;&#1099;&#1077;/&#1057;&#1087;&#1077;&#1094;&#1090;&#1077;&#1093;&#1085;&#1080;&#1082;&#1072;/&#1057;&#1087;&#1077;&#1094;&#1090;&#1077;&#1093;&#1085;&#1080;&#1082;&#1072;_&#1048;&#1070;&#1053;&#1068;_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&#1041;&#1102;&#1076;&#1078;&#1077;&#1090;/2025/&#1041;&#1102;&#1076;&#1078;&#1077;&#1090;%2008.2025-10.2025/&#1044;&#1072;&#1085;&#1085;&#1099;&#1077;/&#1057;&#1087;&#1077;&#1094;&#1090;&#1077;&#1093;&#1085;&#1080;&#1082;&#1072;/&#1057;&#1087;&#1077;&#1094;&#1090;&#1077;&#1093;&#1085;&#1080;&#1082;&#1072;_&#1048;&#1102;&#1083;&#1100;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овая маржа (2)"/>
      <sheetName val="И.П.С."/>
      <sheetName val="Подгорцы 9-10"/>
      <sheetName val="КГ Подгорцы"/>
      <sheetName val="AllSh"/>
      <sheetName val="Анализ CF"/>
      <sheetName val="Остатки ДС"/>
      <sheetName val="Плановая маржа"/>
      <sheetName val="СВОД "/>
      <sheetName val="ЦО"/>
      <sheetName val="Долина"/>
      <sheetName val="СВОД_Строительство"/>
      <sheetName val="Строительство ЦО"/>
      <sheetName val="Крушинка"/>
      <sheetName val="Ретал.ГПУ"/>
      <sheetName val="МХП Катеринополь"/>
      <sheetName val="Нежин 4"/>
      <sheetName val="Приднепровский-2"/>
      <sheetName val="Астарта. Тищенки"/>
      <sheetName val="Глобино-2"/>
      <sheetName val="КМД-2"/>
      <sheetName val="Турбина-3"/>
      <sheetName val="Турбина"/>
      <sheetName val="ООН_КиевскаяОбл"/>
      <sheetName val="Турбина-2"/>
      <sheetName val="МЭЗ СЕТИ внешние"/>
      <sheetName val="ООН_ЧерниговскаяОбл"/>
      <sheetName val="ЦЕХ"/>
      <sheetName val="СВОД_Производство"/>
      <sheetName val="ЦО_Производство"/>
      <sheetName val="МК Ладыжин-3"/>
      <sheetName val="МК РДК Кран"/>
      <sheetName val="МК Ворота"/>
      <sheetName val="МД Нежин"/>
      <sheetName val="АСТАРТА ТИЩИНКИ"/>
      <sheetName val="МХП Лазня"/>
      <sheetName val="Глобино МК"/>
      <sheetName val="МД ООН_2025"/>
      <sheetName val="Кернел Кухня"/>
      <sheetName val="МД ВООЗ"/>
      <sheetName val="IRS"/>
      <sheetName val="МД ВООЗ ЕМС"/>
      <sheetName val="Червоний хрест"/>
      <sheetName val="МК МХП Катеринополь"/>
      <sheetName val="МК Нежин 2025"/>
      <sheetName val="Укрнафта Львов"/>
      <sheetName val="МХП Туалетный блок"/>
      <sheetName val="Укрнафта контейнер 3 на 4"/>
      <sheetName val="МД МХП Франковск"/>
      <sheetName val="МК Староконстантинов"/>
      <sheetName val="МК Армокаркасы"/>
      <sheetName val="МК ЛифтМаркет"/>
      <sheetName val="МК Щедро.Флекситанки"/>
      <sheetName val="МД УкрНафта"/>
      <sheetName val="МК Укркотлопром"/>
      <sheetName val="МК Металургбуд.поддоны"/>
      <sheetName val="МД Бытовка ИТР Нежин"/>
      <sheetName val="МК Укркотлопром (2)"/>
      <sheetName val="Металлизация"/>
      <sheetName val="НГУ"/>
      <sheetName val="МД Польск.Акция"/>
      <sheetName val="Производство Долги"/>
      <sheetName val="МХП  Туалетний блок"/>
      <sheetName val="USAID"/>
      <sheetName val="Логистика"/>
      <sheetName val="ЦО_Логистика"/>
      <sheetName val="Экспедиция"/>
      <sheetName val="Тягач Форд"/>
      <sheetName val="MAN Blue KA1783HI"/>
      <sheetName val="MAN green KA2790IE"/>
      <sheetName val="MAN white KA7837HO"/>
      <sheetName val="MAN KA3597HO"/>
      <sheetName val="МАN №5КА5697НВ"/>
      <sheetName val="Свод по спецтехнике"/>
      <sheetName val="ЦО_Спецтехника"/>
      <sheetName val="Телескоп №1"/>
      <sheetName val="Телескоп №2"/>
      <sheetName val="Телескоп №3"/>
      <sheetName val="Телескоп №4"/>
      <sheetName val="Телескоп №5"/>
      <sheetName val="Виброкаток"/>
      <sheetName val="Ротор Пегасус"/>
      <sheetName val="Экскаватор JCB 2007"/>
      <sheetName val="Экскаватор  JCB 3CX 2008"/>
      <sheetName val="Экскаватор JCB 2013"/>
      <sheetName val="Экскаватор JCB 220"/>
      <sheetName val="МАЗ 264"/>
      <sheetName val="МАЗ 265"/>
      <sheetName val="Самосвал МАЗ"/>
      <sheetName val="Самосвал МАЗ №2 "/>
      <sheetName val="Самосвал камаз"/>
      <sheetName val="РДК 250"/>
      <sheetName val="РДК 250 (2)"/>
      <sheetName val="Автокран XCMG"/>
      <sheetName val="Автокран XCMG 55"/>
      <sheetName val="Автокран клинцы"/>
      <sheetName val="Подъемник Haulotte №1"/>
      <sheetName val="Подъемник Haulotte №2"/>
      <sheetName val="Спецтехника  Бюдж"/>
      <sheetName val="Спецтехника  Бюджет"/>
      <sheetName val="Спецтехника"/>
      <sheetName val="Спецтехника  Бюдже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>
        <row r="6">
          <cell r="A6" t="str">
            <v>Автокран XCMG</v>
          </cell>
          <cell r="B6" t="str">
            <v>Глобино 2</v>
          </cell>
          <cell r="P6">
            <v>199122</v>
          </cell>
        </row>
        <row r="7">
          <cell r="A7" t="str">
            <v>Автокран клинцы</v>
          </cell>
          <cell r="B7" t="str">
            <v>Глобино 2</v>
          </cell>
          <cell r="P7">
            <v>130070.95999999999</v>
          </cell>
        </row>
        <row r="8">
          <cell r="A8" t="str">
            <v>Автокран XCMG 55</v>
          </cell>
          <cell r="B8" t="str">
            <v>Глобино 2</v>
          </cell>
          <cell r="P8">
            <v>113975.94</v>
          </cell>
        </row>
        <row r="9">
          <cell r="A9" t="str">
            <v>РДК 250 (2)</v>
          </cell>
          <cell r="B9" t="str">
            <v>Глобино 2</v>
          </cell>
          <cell r="P9">
            <v>15089.1</v>
          </cell>
        </row>
        <row r="10">
          <cell r="A10" t="str">
            <v>Телескоп №1</v>
          </cell>
          <cell r="B10" t="str">
            <v>Тищенки</v>
          </cell>
          <cell r="P10">
            <v>221603.76</v>
          </cell>
        </row>
        <row r="11">
          <cell r="A11" t="str">
            <v>Телескоп №2</v>
          </cell>
          <cell r="B11" t="str">
            <v>Глобино 2</v>
          </cell>
          <cell r="P11">
            <v>183790.42</v>
          </cell>
        </row>
        <row r="12">
          <cell r="A12" t="str">
            <v>Телескоп №4</v>
          </cell>
          <cell r="B12" t="str">
            <v>Глобино 2</v>
          </cell>
          <cell r="P12">
            <v>102887.46</v>
          </cell>
        </row>
        <row r="13">
          <cell r="A13" t="str">
            <v>Телескоп №5</v>
          </cell>
          <cell r="B13" t="str">
            <v>Глобино 2</v>
          </cell>
          <cell r="P13">
            <v>103766.84</v>
          </cell>
        </row>
        <row r="14">
          <cell r="A14" t="str">
            <v>Экскаватор JCB 2007</v>
          </cell>
          <cell r="B14" t="str">
            <v>Глобино 2</v>
          </cell>
          <cell r="P14">
            <v>159803.62</v>
          </cell>
        </row>
        <row r="15">
          <cell r="A15" t="str">
            <v>Экскаватор  JCB 3CX 2008</v>
          </cell>
          <cell r="B15" t="str">
            <v>КМД2</v>
          </cell>
          <cell r="P15">
            <v>36250</v>
          </cell>
        </row>
        <row r="16">
          <cell r="A16" t="str">
            <v>Экскаватор JCB 2013</v>
          </cell>
          <cell r="B16" t="str">
            <v>Тищенки</v>
          </cell>
          <cell r="P16">
            <v>14827.14</v>
          </cell>
        </row>
        <row r="17">
          <cell r="A17" t="str">
            <v>Экскаватор JCB 220</v>
          </cell>
          <cell r="B17" t="str">
            <v>Тищенки</v>
          </cell>
          <cell r="P17">
            <v>438401.53</v>
          </cell>
        </row>
        <row r="18">
          <cell r="A18" t="str">
            <v>Виброкаток</v>
          </cell>
          <cell r="B18" t="str">
            <v>Тищенки</v>
          </cell>
          <cell r="P18">
            <v>68299.349999999991</v>
          </cell>
        </row>
        <row r="19">
          <cell r="A19" t="str">
            <v>МАЗ 264</v>
          </cell>
          <cell r="B19" t="str">
            <v>Глобино 2</v>
          </cell>
          <cell r="P19">
            <v>124145.68000000001</v>
          </cell>
        </row>
        <row r="20">
          <cell r="A20" t="str">
            <v>МАЗ 265</v>
          </cell>
          <cell r="B20" t="str">
            <v>Тищенки</v>
          </cell>
          <cell r="P20">
            <v>142709.52000000002</v>
          </cell>
        </row>
        <row r="21">
          <cell r="A21" t="str">
            <v>Самосвал МАЗ</v>
          </cell>
          <cell r="B21" t="str">
            <v>Тищенки</v>
          </cell>
          <cell r="P21">
            <v>144878.44</v>
          </cell>
        </row>
        <row r="22">
          <cell r="A22" t="str">
            <v>Самосвал камаз</v>
          </cell>
          <cell r="B22" t="str">
            <v>КМД2</v>
          </cell>
          <cell r="P22">
            <v>0</v>
          </cell>
        </row>
        <row r="23">
          <cell r="A23" t="str">
            <v>Экскаватор  JCB 3CX 2008</v>
          </cell>
          <cell r="B23" t="str">
            <v>Подгорцы</v>
          </cell>
          <cell r="P23">
            <v>0</v>
          </cell>
        </row>
        <row r="24">
          <cell r="A24" t="str">
            <v>Ротор Пегасус</v>
          </cell>
          <cell r="B24" t="str">
            <v>Катеринополь</v>
          </cell>
          <cell r="P2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 (2)"/>
      <sheetName val="ФОТ для Бюдж "/>
      <sheetName val="Спецтехника для Бюдж"/>
      <sheetName val="ФОТ"/>
      <sheetName val="Взаиморасчеты по Направлениям"/>
      <sheetName val="Лист1"/>
      <sheetName val="Лист5"/>
      <sheetName val="date"/>
      <sheetName val="Данн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 (2)"/>
      <sheetName val="ФОТ для Бюдж "/>
      <sheetName val="ФОТ"/>
      <sheetName val="Взаиморасчеты по Направлениям"/>
      <sheetName val="Лист1"/>
      <sheetName val="Спецтехника для Бюдж"/>
      <sheetName val="ЗП"/>
      <sheetName val="Спецтехника для Бюдж (2)"/>
      <sheetName val="ФОТ для Бюдж  (2)"/>
      <sheetName val="date"/>
      <sheetName val="Данн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8612-923B-43FA-80E9-08192FFFC6F0}">
  <sheetPr>
    <pageSetUpPr fitToPage="1"/>
  </sheetPr>
  <dimension ref="A1:AE41"/>
  <sheetViews>
    <sheetView tabSelected="1" topLeftCell="A5" workbookViewId="0">
      <pane xSplit="14" ySplit="1" topLeftCell="Q30" activePane="bottomRight" state="frozen"/>
      <selection activeCell="K149" sqref="K149"/>
      <selection pane="topRight" activeCell="K149" sqref="K149"/>
      <selection pane="bottomLeft" activeCell="K149" sqref="K149"/>
      <selection pane="bottomRight" activeCell="T44" sqref="T44"/>
    </sheetView>
  </sheetViews>
  <sheetFormatPr defaultColWidth="9.140625" defaultRowHeight="14.4" outlineLevelCol="2" x14ac:dyDescent="0.3"/>
  <cols>
    <col min="1" max="1" width="29.28515625" style="1" bestFit="1" customWidth="1"/>
    <col min="2" max="2" width="17.140625" style="1" bestFit="1" customWidth="1"/>
    <col min="3" max="3" width="29.28515625" style="1" hidden="1" customWidth="1" outlineLevel="1"/>
    <col min="4" max="4" width="25.140625" style="1" hidden="1" customWidth="1" outlineLevel="1"/>
    <col min="5" max="5" width="21.85546875" style="1" hidden="1" customWidth="1" outlineLevel="2"/>
    <col min="6" max="6" width="20.42578125" style="1" hidden="1" customWidth="1" outlineLevel="2"/>
    <col min="7" max="7" width="24.140625" style="1" hidden="1" customWidth="1" outlineLevel="2"/>
    <col min="8" max="8" width="12.7109375" style="1" hidden="1" customWidth="1" outlineLevel="1"/>
    <col min="9" max="11" width="14.7109375" style="1" hidden="1" customWidth="1" outlineLevel="1"/>
    <col min="12" max="12" width="19.28515625" style="1" hidden="1" customWidth="1" collapsed="1"/>
    <col min="13" max="13" width="12.28515625" style="1" hidden="1" customWidth="1"/>
    <col min="14" max="14" width="0" style="1" hidden="1" customWidth="1"/>
    <col min="15" max="15" width="19.7109375" style="1" customWidth="1"/>
    <col min="16" max="16" width="18.28515625" style="1" customWidth="1"/>
    <col min="17" max="17" width="16.140625" style="1" customWidth="1"/>
    <col min="18" max="18" width="21" style="1" customWidth="1"/>
    <col min="19" max="19" width="32.85546875" style="1" bestFit="1" customWidth="1"/>
    <col min="20" max="20" width="23.28515625" style="1" customWidth="1"/>
    <col min="21" max="21" width="23.7109375" style="1" bestFit="1" customWidth="1"/>
    <col min="22" max="22" width="17.28515625" style="1" customWidth="1"/>
    <col min="23" max="23" width="18" style="1" customWidth="1"/>
    <col min="24" max="24" width="30" style="1" bestFit="1" customWidth="1"/>
    <col min="25" max="25" width="18.140625" style="1" customWidth="1"/>
    <col min="26" max="16384" width="9.140625" style="1"/>
  </cols>
  <sheetData>
    <row r="1" spans="1:31" ht="15" hidden="1" thickBot="1" x14ac:dyDescent="0.35">
      <c r="C1" s="1" t="s">
        <v>0</v>
      </c>
      <c r="D1" s="1">
        <v>6</v>
      </c>
    </row>
    <row r="2" spans="1:31" ht="15" hidden="1" thickBot="1" x14ac:dyDescent="0.35">
      <c r="C2" s="2" t="s">
        <v>1</v>
      </c>
    </row>
    <row r="3" spans="1:31" ht="15" hidden="1" thickBot="1" x14ac:dyDescent="0.35">
      <c r="C3" s="3"/>
    </row>
    <row r="4" spans="1:31" ht="14.4" hidden="1" customHeight="1" x14ac:dyDescent="0.3">
      <c r="C4" s="1" t="s">
        <v>2</v>
      </c>
      <c r="D4" s="4">
        <v>45809</v>
      </c>
    </row>
    <row r="5" spans="1:31" ht="43.8" thickBot="1" x14ac:dyDescent="0.3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>
        <v>0.6</v>
      </c>
      <c r="J5" s="5"/>
      <c r="K5" s="5" t="s">
        <v>11</v>
      </c>
      <c r="L5" s="5"/>
      <c r="M5" s="5"/>
      <c r="N5" s="5"/>
      <c r="O5" s="5" t="s">
        <v>12</v>
      </c>
      <c r="P5" s="5" t="s">
        <v>6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13</v>
      </c>
      <c r="W5" s="5" t="s">
        <v>18</v>
      </c>
      <c r="X5" s="5" t="s">
        <v>19</v>
      </c>
      <c r="Y5" s="5" t="s">
        <v>16</v>
      </c>
      <c r="Z5" s="6" t="s">
        <v>20</v>
      </c>
      <c r="AA5" s="6" t="s">
        <v>21</v>
      </c>
    </row>
    <row r="6" spans="1:31" x14ac:dyDescent="0.3">
      <c r="A6" s="7" t="s">
        <v>22</v>
      </c>
      <c r="B6" s="7" t="s">
        <v>23</v>
      </c>
      <c r="C6" s="8">
        <v>0</v>
      </c>
      <c r="D6" s="9">
        <v>0</v>
      </c>
      <c r="E6" s="10"/>
      <c r="F6" s="10"/>
      <c r="G6" s="10"/>
      <c r="H6" s="10"/>
      <c r="I6" s="10" t="e">
        <f ca="1">INDIRECT(CONCATENATE("'",$A6,"'","!$B$8"))</f>
        <v>#REF!</v>
      </c>
      <c r="J6" s="7"/>
      <c r="K6" s="7">
        <v>0</v>
      </c>
      <c r="L6" s="10" t="e">
        <f ca="1">INDIRECT(CONCATENATE("'",$A6,"'","!$B$9"))</f>
        <v>#REF!</v>
      </c>
      <c r="M6" s="7"/>
      <c r="N6" s="7"/>
      <c r="O6" s="8">
        <v>67534.61383803864</v>
      </c>
      <c r="P6" s="8">
        <v>191536.40000000002</v>
      </c>
      <c r="Q6" s="8">
        <v>217478.90740350576</v>
      </c>
      <c r="R6" s="8">
        <f>O6+P6-Q6</f>
        <v>41592.106434532907</v>
      </c>
      <c r="S6" s="8">
        <v>109232.64000000001</v>
      </c>
      <c r="T6" s="8">
        <f>S6+R6</f>
        <v>150824.74643453292</v>
      </c>
      <c r="U6" s="8">
        <f>SUMIFS('[1]Спецтехника  Бюджет1'!$P$6:$P$24,'[1]Спецтехника  Бюджет1'!$A$6:$A$24,A6,'[1]Спецтехника  Бюджет1'!$B$6:$B$24,B6)</f>
        <v>199122</v>
      </c>
      <c r="V6" s="8">
        <f>T6</f>
        <v>150824.74643453292</v>
      </c>
      <c r="W6" s="8">
        <f>U6+R6-V6</f>
        <v>89889.359999999986</v>
      </c>
      <c r="X6" s="8" t="e">
        <f ca="1">INDIRECT(CONCATENATE("'",$A6,"'","!$B$8"))</f>
        <v>#REF!</v>
      </c>
      <c r="Y6" s="8" t="e">
        <f ca="1">X6+W6</f>
        <v>#REF!</v>
      </c>
      <c r="Z6" s="1">
        <v>210</v>
      </c>
      <c r="AA6" s="1">
        <v>192</v>
      </c>
      <c r="AB6" s="1">
        <v>948.2</v>
      </c>
      <c r="AC6" s="1">
        <v>17067.600000000002</v>
      </c>
      <c r="AD6" s="1" t="e">
        <f ca="1">INDIRECT(CONCATENATE("'",$A6,"'","!$H$7"))-INDIRECT(CONCATENATE("'",$A6,"'","!$D$7"))</f>
        <v>#REF!</v>
      </c>
    </row>
    <row r="7" spans="1:31" x14ac:dyDescent="0.3">
      <c r="A7" s="7" t="s">
        <v>24</v>
      </c>
      <c r="B7" s="7" t="s">
        <v>23</v>
      </c>
      <c r="C7" s="8">
        <v>0</v>
      </c>
      <c r="D7" s="9">
        <v>0</v>
      </c>
      <c r="E7" s="10"/>
      <c r="F7" s="10"/>
      <c r="G7" s="10"/>
      <c r="H7" s="10"/>
      <c r="I7" s="10" t="e">
        <f t="shared" ref="I7:I34" ca="1" si="0">INDIRECT(CONCATENATE("'",$A7,"'","!$B$8"))</f>
        <v>#REF!</v>
      </c>
      <c r="J7" s="7"/>
      <c r="K7" s="7">
        <v>0</v>
      </c>
      <c r="L7" s="10" t="e">
        <f t="shared" ref="L7:L34" ca="1" si="1">INDIRECT(CONCATENATE("'",$A7,"'","!$B$9"))</f>
        <v>#REF!</v>
      </c>
      <c r="M7" s="7"/>
      <c r="N7" s="7"/>
      <c r="O7" s="8">
        <v>50093.966724205748</v>
      </c>
      <c r="P7" s="8">
        <v>94130.3</v>
      </c>
      <c r="Q7" s="8">
        <v>121070.03204866726</v>
      </c>
      <c r="R7" s="8">
        <f t="shared" ref="R7:R34" si="2">O7+P7-Q7</f>
        <v>23154.234675538493</v>
      </c>
      <c r="S7" s="8">
        <v>98580.096000000005</v>
      </c>
      <c r="T7" s="8">
        <f t="shared" ref="T7:T34" si="3">S7+R7</f>
        <v>121734.3306755385</v>
      </c>
      <c r="U7" s="8">
        <f>SUMIFS('[1]Спецтехника  Бюджет1'!$P$6:$P$24,'[1]Спецтехника  Бюджет1'!$A$6:$A$24,A7,'[1]Спецтехника  Бюджет1'!$B$6:$B$24,B7)</f>
        <v>130070.95999999999</v>
      </c>
      <c r="V7" s="8">
        <f t="shared" ref="V7:V32" si="4">T7</f>
        <v>121734.3306755385</v>
      </c>
      <c r="W7" s="8">
        <f t="shared" ref="W7:W34" si="5">U7+R7-V7</f>
        <v>31490.863999999987</v>
      </c>
      <c r="X7" s="8" t="e">
        <f t="shared" ref="X7:X33" ca="1" si="6">INDIRECT(CONCATENATE("'",$A7,"'","!$B$8"))</f>
        <v>#REF!</v>
      </c>
      <c r="Y7" s="8" t="e">
        <f t="shared" ref="Y7:Y34" ca="1" si="7">X7+W7</f>
        <v>#REF!</v>
      </c>
      <c r="Z7" s="1">
        <v>152</v>
      </c>
      <c r="AA7" s="1">
        <v>192</v>
      </c>
      <c r="AB7" s="1">
        <v>855.73</v>
      </c>
      <c r="AC7" s="1">
        <v>-34229.199999999997</v>
      </c>
      <c r="AD7" s="1" t="e">
        <f t="shared" ref="AD7:AD34" ca="1" si="8">INDIRECT(CONCATENATE("'",$A7,"'","!$H$7"))-INDIRECT(CONCATENATE("'",$A7,"'","!$D$7"))</f>
        <v>#REF!</v>
      </c>
    </row>
    <row r="8" spans="1:31" x14ac:dyDescent="0.3">
      <c r="A8" s="7" t="s">
        <v>25</v>
      </c>
      <c r="B8" s="7" t="s">
        <v>23</v>
      </c>
      <c r="C8" s="8">
        <v>0</v>
      </c>
      <c r="D8" s="9">
        <v>0</v>
      </c>
      <c r="E8" s="10"/>
      <c r="F8" s="10"/>
      <c r="G8" s="10"/>
      <c r="H8" s="10"/>
      <c r="I8" s="10" t="e">
        <f t="shared" ca="1" si="0"/>
        <v>#REF!</v>
      </c>
      <c r="J8" s="7"/>
      <c r="K8" s="7">
        <v>0</v>
      </c>
      <c r="L8" s="10" t="e">
        <f t="shared" ca="1" si="1"/>
        <v>#REF!</v>
      </c>
      <c r="M8" s="7"/>
      <c r="N8" s="7"/>
      <c r="O8" s="8">
        <v>14568.137660366658</v>
      </c>
      <c r="P8" s="8">
        <v>0</v>
      </c>
      <c r="Q8" s="8">
        <v>12229.32127505813</v>
      </c>
      <c r="R8" s="8">
        <f t="shared" si="2"/>
        <v>2338.816385308528</v>
      </c>
      <c r="S8" s="8">
        <v>105208.56</v>
      </c>
      <c r="T8" s="8">
        <f t="shared" si="3"/>
        <v>107547.37638530853</v>
      </c>
      <c r="U8" s="8">
        <f>SUMIFS('[1]Спецтехника  Бюджет1'!$P$6:$P$24,'[1]Спецтехника  Бюджет1'!$A$6:$A$24,A8,'[1]Спецтехника  Бюджет1'!$B$6:$B$24,B8)</f>
        <v>113975.94</v>
      </c>
      <c r="V8" s="8">
        <f t="shared" si="4"/>
        <v>107547.37638530853</v>
      </c>
      <c r="W8" s="8">
        <f t="shared" si="5"/>
        <v>8767.3800000000047</v>
      </c>
      <c r="X8" s="8" t="e">
        <f t="shared" ca="1" si="6"/>
        <v>#REF!</v>
      </c>
      <c r="Y8" s="8" t="e">
        <f t="shared" ca="1" si="7"/>
        <v>#REF!</v>
      </c>
      <c r="Z8" s="1">
        <v>78</v>
      </c>
      <c r="AA8" s="1">
        <v>120</v>
      </c>
      <c r="AB8" s="1">
        <v>1461.23</v>
      </c>
      <c r="AC8" s="1">
        <v>-61371.66</v>
      </c>
      <c r="AD8" s="1" t="e">
        <f t="shared" ca="1" si="8"/>
        <v>#REF!</v>
      </c>
    </row>
    <row r="9" spans="1:31" x14ac:dyDescent="0.3">
      <c r="A9" s="7" t="s">
        <v>26</v>
      </c>
      <c r="B9" s="7" t="s">
        <v>23</v>
      </c>
      <c r="C9" s="8">
        <v>0</v>
      </c>
      <c r="D9" s="9">
        <v>0</v>
      </c>
      <c r="E9" s="10"/>
      <c r="F9" s="10"/>
      <c r="G9" s="10"/>
      <c r="H9" s="10"/>
      <c r="I9" s="10" t="e">
        <f t="shared" ca="1" si="0"/>
        <v>#REF!</v>
      </c>
      <c r="J9" s="7"/>
      <c r="K9" s="7">
        <v>0</v>
      </c>
      <c r="L9" s="10" t="e">
        <f t="shared" ca="1" si="1"/>
        <v>#REF!</v>
      </c>
      <c r="M9" s="7"/>
      <c r="N9" s="7"/>
      <c r="O9" s="8">
        <v>33221.175452736905</v>
      </c>
      <c r="P9" s="8">
        <v>69409.86</v>
      </c>
      <c r="Q9" s="8">
        <v>86154.313928401709</v>
      </c>
      <c r="R9" s="8">
        <f t="shared" si="2"/>
        <v>16476.721524335197</v>
      </c>
      <c r="S9" s="8">
        <v>57942.144</v>
      </c>
      <c r="T9" s="8">
        <f t="shared" si="3"/>
        <v>74418.865524335197</v>
      </c>
      <c r="U9" s="8">
        <f>SUMIFS('[1]Спецтехника  Бюджет1'!$P$6:$P$24,'[1]Спецтехника  Бюджет1'!$A$6:$A$24,A9,'[1]Спецтехника  Бюджет1'!$B$6:$B$24,B9)</f>
        <v>15089.1</v>
      </c>
      <c r="V9" s="8">
        <f t="shared" si="4"/>
        <v>74418.865524335197</v>
      </c>
      <c r="W9" s="8">
        <f t="shared" si="5"/>
        <v>-42853.044000000002</v>
      </c>
      <c r="X9" s="8" t="e">
        <f t="shared" ca="1" si="6"/>
        <v>#REF!</v>
      </c>
      <c r="Y9" s="8" t="e">
        <f t="shared" ca="1" si="7"/>
        <v>#REF!</v>
      </c>
      <c r="Z9" s="1">
        <v>30</v>
      </c>
      <c r="AA9" s="1">
        <v>192</v>
      </c>
      <c r="AB9" s="1">
        <v>502.97</v>
      </c>
      <c r="AC9" s="1">
        <v>-81481.14</v>
      </c>
      <c r="AD9" s="1" t="e">
        <f t="shared" ca="1" si="8"/>
        <v>#REF!</v>
      </c>
    </row>
    <row r="10" spans="1:31" x14ac:dyDescent="0.3">
      <c r="A10" s="7" t="s">
        <v>27</v>
      </c>
      <c r="B10" s="7" t="s">
        <v>28</v>
      </c>
      <c r="C10" s="8">
        <v>0</v>
      </c>
      <c r="D10" s="9">
        <v>0</v>
      </c>
      <c r="E10" s="10"/>
      <c r="F10" s="10"/>
      <c r="G10" s="10"/>
      <c r="H10" s="10"/>
      <c r="I10" s="10" t="e">
        <f t="shared" ca="1" si="0"/>
        <v>#REF!</v>
      </c>
      <c r="J10" s="7"/>
      <c r="K10" s="7">
        <v>0</v>
      </c>
      <c r="L10" s="10" t="e">
        <f t="shared" ca="1" si="1"/>
        <v>#REF!</v>
      </c>
      <c r="M10" s="7"/>
      <c r="N10" s="7"/>
      <c r="O10" s="8">
        <v>1</v>
      </c>
      <c r="P10" s="8">
        <v>113440.01999999999</v>
      </c>
      <c r="Q10" s="8">
        <v>46632.958821344582</v>
      </c>
      <c r="R10" s="8">
        <f t="shared" si="2"/>
        <v>66808.061178655407</v>
      </c>
      <c r="S10" s="8">
        <v>101304.57599999999</v>
      </c>
      <c r="T10" s="8">
        <f t="shared" si="3"/>
        <v>168112.63717865539</v>
      </c>
      <c r="U10" s="8">
        <f>SUMIFS('[1]Спецтехника  Бюджет1'!$P$6:$P$24,'[1]Спецтехника  Бюджет1'!$A$6:$A$24,A10,'[1]Спецтехника  Бюджет1'!$B$6:$B$24,B10)</f>
        <v>221603.76</v>
      </c>
      <c r="V10" s="8">
        <f t="shared" si="4"/>
        <v>168112.63717865539</v>
      </c>
      <c r="W10" s="8">
        <f t="shared" si="5"/>
        <v>120299.18400000004</v>
      </c>
      <c r="X10" s="8" t="e">
        <f t="shared" ca="1" si="6"/>
        <v>#REF!</v>
      </c>
      <c r="Y10" s="8" t="e">
        <f t="shared" ca="1" si="7"/>
        <v>#REF!</v>
      </c>
      <c r="Z10" s="1">
        <v>252</v>
      </c>
      <c r="AA10" s="1">
        <v>192</v>
      </c>
      <c r="AB10" s="1">
        <v>879.38</v>
      </c>
      <c r="AC10" s="1">
        <v>52762.8</v>
      </c>
      <c r="AD10" s="1" t="e">
        <f t="shared" ca="1" si="8"/>
        <v>#REF!</v>
      </c>
    </row>
    <row r="11" spans="1:31" x14ac:dyDescent="0.3">
      <c r="A11" s="7" t="s">
        <v>29</v>
      </c>
      <c r="B11" s="7" t="s">
        <v>23</v>
      </c>
      <c r="C11" s="8">
        <v>0</v>
      </c>
      <c r="D11" s="9">
        <v>0</v>
      </c>
      <c r="E11" s="10"/>
      <c r="F11" s="10"/>
      <c r="G11" s="10"/>
      <c r="H11" s="10"/>
      <c r="I11" s="10" t="e">
        <f t="shared" ca="1" si="0"/>
        <v>#REF!</v>
      </c>
      <c r="J11" s="7"/>
      <c r="K11" s="7">
        <v>0</v>
      </c>
      <c r="L11" s="10" t="e">
        <f t="shared" ca="1" si="1"/>
        <v>#REF!</v>
      </c>
      <c r="M11" s="7"/>
      <c r="N11" s="7"/>
      <c r="O11" s="8">
        <v>64875.84410207055</v>
      </c>
      <c r="P11" s="8">
        <v>180272.9</v>
      </c>
      <c r="Q11" s="8">
        <v>205791.76430748921</v>
      </c>
      <c r="R11" s="8">
        <f t="shared" si="2"/>
        <v>39356.979794581333</v>
      </c>
      <c r="S11" s="8">
        <v>101304.57599999999</v>
      </c>
      <c r="T11" s="8">
        <f t="shared" si="3"/>
        <v>140661.55579458131</v>
      </c>
      <c r="U11" s="8">
        <f>SUMIFS('[1]Спецтехника  Бюджет1'!$P$6:$P$24,'[1]Спецтехника  Бюджет1'!$A$6:$A$24,A11,'[1]Спецтехника  Бюджет1'!$B$6:$B$24,B11)</f>
        <v>183790.42</v>
      </c>
      <c r="V11" s="8">
        <f t="shared" si="4"/>
        <v>140661.55579458131</v>
      </c>
      <c r="W11" s="8">
        <f t="shared" si="5"/>
        <v>82485.844000000041</v>
      </c>
      <c r="X11" s="8" t="e">
        <f t="shared" ca="1" si="6"/>
        <v>#REF!</v>
      </c>
      <c r="Y11" s="8" t="e">
        <f t="shared" ca="1" si="7"/>
        <v>#REF!</v>
      </c>
      <c r="Z11" s="1">
        <v>209</v>
      </c>
      <c r="AA11" s="1">
        <v>192</v>
      </c>
      <c r="AB11" s="1">
        <v>879.38</v>
      </c>
      <c r="AC11" s="1">
        <v>14949.46</v>
      </c>
      <c r="AD11" s="1" t="e">
        <f t="shared" ca="1" si="8"/>
        <v>#REF!</v>
      </c>
    </row>
    <row r="12" spans="1:31" x14ac:dyDescent="0.3">
      <c r="A12" s="7" t="s">
        <v>30</v>
      </c>
      <c r="B12" s="7" t="s">
        <v>23</v>
      </c>
      <c r="C12" s="8">
        <v>0</v>
      </c>
      <c r="D12" s="9">
        <v>0</v>
      </c>
      <c r="E12" s="10"/>
      <c r="F12" s="10"/>
      <c r="G12" s="10"/>
      <c r="H12" s="10"/>
      <c r="I12" s="10" t="e">
        <f t="shared" ca="1" si="0"/>
        <v>#REF!</v>
      </c>
      <c r="J12" s="7"/>
      <c r="K12" s="7">
        <v>0</v>
      </c>
      <c r="L12" s="10" t="e">
        <f t="shared" ca="1" si="1"/>
        <v>#REF!</v>
      </c>
      <c r="M12" s="7"/>
      <c r="N12" s="7"/>
      <c r="O12" s="8">
        <v>46268.080488383595</v>
      </c>
      <c r="P12" s="8">
        <v>160926.54</v>
      </c>
      <c r="Q12" s="8">
        <v>173930.91961985288</v>
      </c>
      <c r="R12" s="8">
        <f t="shared" si="2"/>
        <v>33263.700868530723</v>
      </c>
      <c r="S12" s="8">
        <v>75978.432000000001</v>
      </c>
      <c r="T12" s="8">
        <f t="shared" si="3"/>
        <v>109242.13286853072</v>
      </c>
      <c r="U12" s="8">
        <f>SUMIFS('[1]Спецтехника  Бюджет1'!$P$6:$P$24,'[1]Спецтехника  Бюджет1'!$A$6:$A$24,A12,'[1]Спецтехника  Бюджет1'!$B$6:$B$24,B12)</f>
        <v>103766.84</v>
      </c>
      <c r="V12" s="8">
        <f t="shared" si="4"/>
        <v>109242.13286853072</v>
      </c>
      <c r="W12" s="8">
        <f t="shared" si="5"/>
        <v>27788.407999999996</v>
      </c>
      <c r="X12" s="8" t="e">
        <f t="shared" ca="1" si="6"/>
        <v>#REF!</v>
      </c>
      <c r="Y12" s="8" t="e">
        <f t="shared" ca="1" si="7"/>
        <v>#REF!</v>
      </c>
      <c r="Z12" s="1">
        <v>118</v>
      </c>
      <c r="AA12" s="1">
        <v>144</v>
      </c>
      <c r="AB12" s="1">
        <v>879.38</v>
      </c>
      <c r="AC12" s="1">
        <v>-22863.88</v>
      </c>
      <c r="AD12" s="1" t="e">
        <f t="shared" ca="1" si="8"/>
        <v>#REF!</v>
      </c>
      <c r="AE12" s="1">
        <f>AA12/8</f>
        <v>18</v>
      </c>
    </row>
    <row r="13" spans="1:31" x14ac:dyDescent="0.3">
      <c r="A13" s="7" t="s">
        <v>31</v>
      </c>
      <c r="B13" s="7" t="s">
        <v>23</v>
      </c>
      <c r="C13" s="8">
        <v>0</v>
      </c>
      <c r="D13" s="9">
        <v>0</v>
      </c>
      <c r="E13" s="10"/>
      <c r="F13" s="10"/>
      <c r="G13" s="10"/>
      <c r="H13" s="10"/>
      <c r="I13" s="10" t="e">
        <f t="shared" ca="1" si="0"/>
        <v>#REF!</v>
      </c>
      <c r="J13" s="7"/>
      <c r="K13" s="7">
        <v>0</v>
      </c>
      <c r="L13" s="10" t="e">
        <f t="shared" ca="1" si="1"/>
        <v>#REF!</v>
      </c>
      <c r="M13" s="7"/>
      <c r="N13" s="7"/>
      <c r="O13" s="8">
        <v>36279.066802766494</v>
      </c>
      <c r="P13" s="8">
        <v>150373.98000000001</v>
      </c>
      <c r="Q13" s="8">
        <v>156687.1572424476</v>
      </c>
      <c r="R13" s="8">
        <f t="shared" si="2"/>
        <v>29965.889560318901</v>
      </c>
      <c r="S13" s="8">
        <v>75978.432000000001</v>
      </c>
      <c r="T13" s="8">
        <f t="shared" si="3"/>
        <v>105944.3215603189</v>
      </c>
      <c r="U13" s="8">
        <f>SUMIFS('[1]Спецтехника  Бюджет1'!$P$6:$P$24,'[1]Спецтехника  Бюджет1'!$A$6:$A$24,A13,'[1]Спецтехника  Бюджет1'!$B$6:$B$24,B13)</f>
        <v>102887.46</v>
      </c>
      <c r="V13" s="8">
        <f t="shared" si="4"/>
        <v>105944.3215603189</v>
      </c>
      <c r="W13" s="8">
        <f t="shared" si="5"/>
        <v>26909.02800000002</v>
      </c>
      <c r="X13" s="8" t="e">
        <f t="shared" ca="1" si="6"/>
        <v>#REF!</v>
      </c>
      <c r="Y13" s="8" t="e">
        <f t="shared" ca="1" si="7"/>
        <v>#REF!</v>
      </c>
      <c r="Z13" s="1">
        <v>117</v>
      </c>
      <c r="AA13" s="1">
        <v>144</v>
      </c>
      <c r="AB13" s="1">
        <v>879.38</v>
      </c>
      <c r="AC13" s="1">
        <v>-23743.26</v>
      </c>
      <c r="AD13" s="1" t="e">
        <f t="shared" ca="1" si="8"/>
        <v>#REF!</v>
      </c>
    </row>
    <row r="14" spans="1:31" x14ac:dyDescent="0.3">
      <c r="A14" s="7" t="s">
        <v>32</v>
      </c>
      <c r="B14" s="7" t="s">
        <v>23</v>
      </c>
      <c r="C14" s="8">
        <v>0</v>
      </c>
      <c r="D14" s="9">
        <v>0</v>
      </c>
      <c r="E14" s="10"/>
      <c r="F14" s="10"/>
      <c r="G14" s="10"/>
      <c r="H14" s="10"/>
      <c r="I14" s="10" t="e">
        <f t="shared" ca="1" si="0"/>
        <v>#REF!</v>
      </c>
      <c r="J14" s="7"/>
      <c r="K14" s="7">
        <v>0</v>
      </c>
      <c r="L14" s="10" t="e">
        <f t="shared" ca="1" si="1"/>
        <v>#REF!</v>
      </c>
      <c r="M14" s="7"/>
      <c r="N14" s="7"/>
      <c r="O14" s="8">
        <v>50123.904827127728</v>
      </c>
      <c r="P14" s="8">
        <v>162274.81</v>
      </c>
      <c r="Q14" s="8">
        <v>178299.53166196417</v>
      </c>
      <c r="R14" s="8">
        <f t="shared" si="2"/>
        <v>34099.183165163558</v>
      </c>
      <c r="S14" s="8">
        <v>94893.695999999996</v>
      </c>
      <c r="T14" s="8">
        <f t="shared" si="3"/>
        <v>128992.87916516355</v>
      </c>
      <c r="U14" s="8">
        <f>SUMIFS('[1]Спецтехника  Бюджет1'!$P$6:$P$24,'[1]Спецтехника  Бюджет1'!$A$6:$A$24,A14,'[1]Спецтехника  Бюджет1'!$B$6:$B$24,B14)</f>
        <v>159803.62</v>
      </c>
      <c r="V14" s="8">
        <f t="shared" si="4"/>
        <v>128992.87916516355</v>
      </c>
      <c r="W14" s="8">
        <f t="shared" si="5"/>
        <v>64909.923999999999</v>
      </c>
      <c r="X14" s="8" t="e">
        <f t="shared" ca="1" si="6"/>
        <v>#REF!</v>
      </c>
      <c r="Y14" s="8" t="e">
        <f t="shared" ca="1" si="7"/>
        <v>#REF!</v>
      </c>
      <c r="Z14" s="1">
        <v>194</v>
      </c>
      <c r="AA14" s="1">
        <v>192</v>
      </c>
      <c r="AB14" s="1">
        <v>823.73</v>
      </c>
      <c r="AC14" s="1">
        <v>1647.46</v>
      </c>
      <c r="AD14" s="1" t="e">
        <f t="shared" ca="1" si="8"/>
        <v>#REF!</v>
      </c>
    </row>
    <row r="15" spans="1:31" x14ac:dyDescent="0.3">
      <c r="A15" s="7" t="s">
        <v>33</v>
      </c>
      <c r="B15" s="7" t="s">
        <v>34</v>
      </c>
      <c r="C15" s="8">
        <v>0</v>
      </c>
      <c r="D15" s="9">
        <v>0</v>
      </c>
      <c r="E15" s="10"/>
      <c r="F15" s="10"/>
      <c r="G15" s="10"/>
      <c r="H15" s="10"/>
      <c r="I15" s="10" t="e">
        <f t="shared" ca="1" si="0"/>
        <v>#REF!</v>
      </c>
      <c r="J15" s="7"/>
      <c r="K15" s="7">
        <v>0</v>
      </c>
      <c r="L15" s="10" t="e">
        <f t="shared" ca="1" si="1"/>
        <v>#REF!</v>
      </c>
      <c r="M15" s="7"/>
      <c r="N15" s="7"/>
      <c r="O15" s="8">
        <v>275949</v>
      </c>
      <c r="P15" s="8">
        <v>157500</v>
      </c>
      <c r="Q15" s="8">
        <v>346648</v>
      </c>
      <c r="R15" s="8">
        <f t="shared" si="2"/>
        <v>86801</v>
      </c>
      <c r="S15" s="8">
        <v>0</v>
      </c>
      <c r="T15" s="8">
        <f t="shared" si="3"/>
        <v>86801</v>
      </c>
      <c r="U15" s="8">
        <f>SUMIFS('[1]Спецтехника  Бюджет1'!$P$6:$P$24,'[1]Спецтехника  Бюджет1'!$A$6:$A$24,A15,'[1]Спецтехника  Бюджет1'!$B$6:$B$24,B15)</f>
        <v>0</v>
      </c>
      <c r="V15" s="8">
        <v>0</v>
      </c>
      <c r="W15" s="8">
        <f t="shared" si="5"/>
        <v>86801</v>
      </c>
      <c r="X15" s="8">
        <v>0</v>
      </c>
      <c r="Y15" s="8">
        <f t="shared" si="7"/>
        <v>86801</v>
      </c>
      <c r="Z15" s="1">
        <v>0</v>
      </c>
      <c r="AA15" s="1">
        <v>0</v>
      </c>
      <c r="AB15" s="1">
        <v>0</v>
      </c>
      <c r="AC15" s="1">
        <v>0</v>
      </c>
      <c r="AD15" s="1" t="e">
        <f t="shared" ca="1" si="8"/>
        <v>#REF!</v>
      </c>
    </row>
    <row r="16" spans="1:31" x14ac:dyDescent="0.3">
      <c r="A16" s="7" t="s">
        <v>33</v>
      </c>
      <c r="B16" s="11" t="s">
        <v>35</v>
      </c>
      <c r="C16" s="8"/>
      <c r="D16" s="9"/>
      <c r="E16" s="10"/>
      <c r="F16" s="10"/>
      <c r="G16" s="10"/>
      <c r="H16" s="10"/>
      <c r="I16" s="10"/>
      <c r="J16" s="7"/>
      <c r="K16" s="7"/>
      <c r="L16" s="10"/>
      <c r="M16" s="7"/>
      <c r="N16" s="7"/>
      <c r="O16" s="8"/>
      <c r="P16" s="8"/>
      <c r="Q16" s="8"/>
      <c r="R16" s="8"/>
      <c r="S16" s="8"/>
      <c r="T16" s="8"/>
      <c r="U16" s="8">
        <f>SUMIFS('[1]Спецтехника  Бюджет1'!$P$6:$P$24,'[1]Спецтехника  Бюджет1'!$A$6:$A$24,A16,'[1]Спецтехника  Бюджет1'!$B$6:$B$24,B16)</f>
        <v>36250</v>
      </c>
      <c r="V16" s="8">
        <f t="shared" si="4"/>
        <v>0</v>
      </c>
      <c r="W16" s="8">
        <f t="shared" si="5"/>
        <v>36250</v>
      </c>
      <c r="X16" s="8" t="e">
        <f t="shared" ca="1" si="6"/>
        <v>#REF!</v>
      </c>
      <c r="Y16" s="8" t="e">
        <f t="shared" ca="1" si="7"/>
        <v>#REF!</v>
      </c>
      <c r="Z16" s="1">
        <v>29</v>
      </c>
      <c r="AA16" s="1">
        <v>0</v>
      </c>
      <c r="AB16" s="1">
        <v>1250</v>
      </c>
      <c r="AC16" s="1">
        <v>36250</v>
      </c>
      <c r="AD16" s="1" t="e">
        <f t="shared" ca="1" si="8"/>
        <v>#REF!</v>
      </c>
    </row>
    <row r="17" spans="1:30" x14ac:dyDescent="0.3">
      <c r="A17" s="7" t="s">
        <v>36</v>
      </c>
      <c r="B17" s="7" t="s">
        <v>28</v>
      </c>
      <c r="C17" s="8">
        <v>0</v>
      </c>
      <c r="D17" s="9">
        <v>0</v>
      </c>
      <c r="E17" s="10"/>
      <c r="F17" s="10"/>
      <c r="G17" s="10"/>
      <c r="H17" s="10"/>
      <c r="I17" s="10" t="e">
        <f t="shared" ca="1" si="0"/>
        <v>#REF!</v>
      </c>
      <c r="J17" s="7"/>
      <c r="K17" s="7">
        <v>0</v>
      </c>
      <c r="L17" s="10" t="e">
        <f t="shared" ca="1" si="1"/>
        <v>#REF!</v>
      </c>
      <c r="M17" s="7"/>
      <c r="N17" s="7"/>
      <c r="O17" s="8">
        <v>824.73000000001048</v>
      </c>
      <c r="P17" s="8">
        <v>103789.98</v>
      </c>
      <c r="Q17" s="8">
        <v>43004.668536450976</v>
      </c>
      <c r="R17" s="8">
        <f t="shared" si="2"/>
        <v>61610.041463549031</v>
      </c>
      <c r="S17" s="8">
        <v>79078.079999999987</v>
      </c>
      <c r="T17" s="8">
        <f t="shared" si="3"/>
        <v>140688.12146354903</v>
      </c>
      <c r="U17" s="8">
        <f>SUMIFS('[1]Спецтехника  Бюджет1'!$P$6:$P$24,'[1]Спецтехника  Бюджет1'!$A$6:$A$24,A17,'[1]Спецтехника  Бюджет1'!$B$6:$B$24,B17)</f>
        <v>14827.14</v>
      </c>
      <c r="V17" s="8">
        <f t="shared" si="4"/>
        <v>140688.12146354903</v>
      </c>
      <c r="W17" s="8">
        <f t="shared" si="5"/>
        <v>-64250.94</v>
      </c>
      <c r="X17" s="8" t="e">
        <f t="shared" ca="1" si="6"/>
        <v>#REF!</v>
      </c>
      <c r="Y17" s="8" t="e">
        <f t="shared" ca="1" si="7"/>
        <v>#REF!</v>
      </c>
      <c r="Z17" s="1">
        <v>18</v>
      </c>
      <c r="AA17" s="1">
        <v>160</v>
      </c>
      <c r="AB17" s="1">
        <v>823.73</v>
      </c>
      <c r="AC17" s="1">
        <v>-116969.66</v>
      </c>
      <c r="AD17" s="1" t="e">
        <f t="shared" ca="1" si="8"/>
        <v>#REF!</v>
      </c>
    </row>
    <row r="18" spans="1:30" x14ac:dyDescent="0.3">
      <c r="A18" s="7" t="s">
        <v>37</v>
      </c>
      <c r="B18" s="7" t="s">
        <v>23</v>
      </c>
      <c r="C18" s="8">
        <v>0</v>
      </c>
      <c r="D18" s="9">
        <v>0</v>
      </c>
      <c r="E18" s="10"/>
      <c r="F18" s="10"/>
      <c r="G18" s="10"/>
      <c r="H18" s="10"/>
      <c r="I18" s="10" t="e">
        <f t="shared" ca="1" si="0"/>
        <v>#REF!</v>
      </c>
      <c r="J18" s="7"/>
      <c r="K18" s="7">
        <v>0</v>
      </c>
      <c r="L18" s="10" t="e">
        <f t="shared" ca="1" si="1"/>
        <v>#REF!</v>
      </c>
      <c r="M18" s="7"/>
      <c r="N18" s="7"/>
      <c r="O18" s="8">
        <v>56081.848237111262</v>
      </c>
      <c r="P18" s="8">
        <v>0</v>
      </c>
      <c r="Q18" s="8">
        <v>47078.285212567411</v>
      </c>
      <c r="R18" s="8">
        <f t="shared" si="2"/>
        <v>9003.5630245438515</v>
      </c>
      <c r="S18" s="8">
        <v>0</v>
      </c>
      <c r="T18" s="8">
        <f t="shared" si="3"/>
        <v>9003.5630245438515</v>
      </c>
      <c r="U18" s="8">
        <f>SUMIFS('[1]Спецтехника  Бюджет1'!$P$6:$P$24,'[1]Спецтехника  Бюджет1'!$A$6:$A$24,A18,'[1]Спецтехника  Бюджет1'!$B$6:$B$24,B18)</f>
        <v>0</v>
      </c>
      <c r="V18" s="8">
        <f t="shared" si="4"/>
        <v>9003.5630245438515</v>
      </c>
      <c r="W18" s="8">
        <f t="shared" si="5"/>
        <v>0</v>
      </c>
      <c r="X18" s="8">
        <v>0</v>
      </c>
      <c r="Y18" s="8">
        <f t="shared" si="7"/>
        <v>0</v>
      </c>
      <c r="Z18" s="1">
        <v>0</v>
      </c>
      <c r="AA18" s="1">
        <v>0</v>
      </c>
      <c r="AB18" s="1">
        <v>0</v>
      </c>
      <c r="AC18" s="1">
        <v>0</v>
      </c>
      <c r="AD18" s="1" t="e">
        <f t="shared" ca="1" si="8"/>
        <v>#REF!</v>
      </c>
    </row>
    <row r="19" spans="1:30" x14ac:dyDescent="0.3">
      <c r="A19" s="7" t="s">
        <v>37</v>
      </c>
      <c r="B19" s="7" t="s">
        <v>28</v>
      </c>
      <c r="C19" s="8">
        <v>0</v>
      </c>
      <c r="D19" s="9">
        <v>0</v>
      </c>
      <c r="E19" s="10"/>
      <c r="F19" s="10"/>
      <c r="G19" s="10"/>
      <c r="H19" s="10"/>
      <c r="I19" s="10" t="e">
        <f t="shared" ca="1" si="0"/>
        <v>#REF!</v>
      </c>
      <c r="J19" s="7"/>
      <c r="K19" s="7">
        <v>0</v>
      </c>
      <c r="L19" s="10" t="e">
        <f t="shared" ca="1" si="1"/>
        <v>#REF!</v>
      </c>
      <c r="M19" s="7"/>
      <c r="N19" s="7"/>
      <c r="O19" s="8">
        <v>28776.390000000014</v>
      </c>
      <c r="P19" s="8">
        <v>333455.99</v>
      </c>
      <c r="Q19" s="8">
        <v>148905.28717299656</v>
      </c>
      <c r="R19" s="8">
        <f t="shared" si="2"/>
        <v>213327.09282700345</v>
      </c>
      <c r="S19" s="8">
        <v>81248.160000000003</v>
      </c>
      <c r="T19" s="8">
        <f t="shared" si="3"/>
        <v>294575.25282700348</v>
      </c>
      <c r="U19" s="8">
        <f>SUMIFS('[1]Спецтехника  Бюджет1'!$P$6:$P$24,'[1]Спецтехника  Бюджет1'!$A$6:$A$24,A19,'[1]Спецтехника  Бюджет1'!$B$6:$B$24,B19)</f>
        <v>438401.53</v>
      </c>
      <c r="V19" s="8">
        <f t="shared" si="4"/>
        <v>294575.25282700348</v>
      </c>
      <c r="W19" s="8">
        <f t="shared" si="5"/>
        <v>357153.37</v>
      </c>
      <c r="X19" s="8" t="e">
        <f t="shared" ca="1" si="6"/>
        <v>#REF!</v>
      </c>
      <c r="Y19" s="8" t="e">
        <f t="shared" ca="1" si="7"/>
        <v>#REF!</v>
      </c>
      <c r="Z19" s="1">
        <v>259</v>
      </c>
      <c r="AA19" s="1">
        <v>80</v>
      </c>
      <c r="AB19" s="1">
        <v>1692.67</v>
      </c>
      <c r="AC19" s="1">
        <v>302987.93</v>
      </c>
      <c r="AD19" s="1" t="e">
        <f t="shared" ca="1" si="8"/>
        <v>#REF!</v>
      </c>
    </row>
    <row r="20" spans="1:30" x14ac:dyDescent="0.3">
      <c r="A20" s="7" t="s">
        <v>38</v>
      </c>
      <c r="B20" s="7" t="s">
        <v>23</v>
      </c>
      <c r="C20" s="8">
        <v>0</v>
      </c>
      <c r="D20" s="9">
        <v>0</v>
      </c>
      <c r="E20" s="10"/>
      <c r="F20" s="10"/>
      <c r="G20" s="10"/>
      <c r="H20" s="10"/>
      <c r="I20" s="10" t="e">
        <f t="shared" ca="1" si="0"/>
        <v>#REF!</v>
      </c>
      <c r="J20" s="7"/>
      <c r="K20" s="7">
        <v>0</v>
      </c>
      <c r="L20" s="10" t="e">
        <f t="shared" ca="1" si="1"/>
        <v>#REF!</v>
      </c>
      <c r="M20" s="7"/>
      <c r="N20" s="7"/>
      <c r="O20" s="8">
        <v>10649.390121587654</v>
      </c>
      <c r="P20" s="8">
        <v>3925.25</v>
      </c>
      <c r="Q20" s="8">
        <v>12234.779809924019</v>
      </c>
      <c r="R20" s="8">
        <f t="shared" si="2"/>
        <v>2339.860311663635</v>
      </c>
      <c r="S20" s="8">
        <v>56523.6</v>
      </c>
      <c r="T20" s="8">
        <f t="shared" si="3"/>
        <v>58863.460311663635</v>
      </c>
      <c r="U20" s="8">
        <f>SUMIFS('[1]Спецтехника  Бюджет1'!$P$6:$P$24,'[1]Спецтехника  Бюджет1'!$A$6:$A$24,A20,'[1]Спецтехника  Бюджет1'!$B$6:$B$24,B20)</f>
        <v>0</v>
      </c>
      <c r="V20" s="8">
        <f t="shared" si="4"/>
        <v>58863.460311663635</v>
      </c>
      <c r="W20" s="8">
        <f t="shared" si="5"/>
        <v>-56523.6</v>
      </c>
      <c r="X20" s="8">
        <v>0</v>
      </c>
      <c r="Y20" s="8">
        <f t="shared" si="7"/>
        <v>-56523.6</v>
      </c>
      <c r="Z20" s="1">
        <v>0</v>
      </c>
      <c r="AA20" s="1">
        <v>0</v>
      </c>
      <c r="AB20" s="1">
        <v>0</v>
      </c>
      <c r="AC20" s="1">
        <v>0</v>
      </c>
      <c r="AD20" s="1" t="e">
        <f t="shared" ca="1" si="8"/>
        <v>#REF!</v>
      </c>
    </row>
    <row r="21" spans="1:30" x14ac:dyDescent="0.3">
      <c r="A21" s="7" t="s">
        <v>38</v>
      </c>
      <c r="B21" s="7" t="s">
        <v>28</v>
      </c>
      <c r="C21" s="8">
        <v>0</v>
      </c>
      <c r="D21" s="9">
        <v>0</v>
      </c>
      <c r="E21" s="10"/>
      <c r="F21" s="10"/>
      <c r="G21" s="10"/>
      <c r="H21" s="10"/>
      <c r="I21" s="10" t="e">
        <f t="shared" ca="1" si="0"/>
        <v>#REF!</v>
      </c>
      <c r="J21" s="7"/>
      <c r="K21" s="7">
        <v>0</v>
      </c>
      <c r="L21" s="10" t="e">
        <f t="shared" ca="1" si="1"/>
        <v>#REF!</v>
      </c>
      <c r="M21" s="7"/>
      <c r="N21" s="7"/>
      <c r="O21" s="8"/>
      <c r="P21" s="8"/>
      <c r="Q21" s="8"/>
      <c r="R21" s="8"/>
      <c r="S21" s="8"/>
      <c r="T21" s="8"/>
      <c r="U21" s="8">
        <f>SUMIFS('[1]Спецтехника  Бюджет1'!$P$6:$P$24,'[1]Спецтехника  Бюджет1'!$A$6:$A$24,A21,'[1]Спецтехника  Бюджет1'!$B$6:$B$24,B21)</f>
        <v>68299.349999999991</v>
      </c>
      <c r="V21" s="8">
        <f t="shared" si="4"/>
        <v>0</v>
      </c>
      <c r="W21" s="8">
        <f t="shared" si="5"/>
        <v>68299.349999999991</v>
      </c>
      <c r="X21" s="8" t="e">
        <f t="shared" ca="1" si="6"/>
        <v>#REF!</v>
      </c>
      <c r="Y21" s="8" t="e">
        <f t="shared" ca="1" si="7"/>
        <v>#REF!</v>
      </c>
      <c r="Z21" s="1">
        <v>87</v>
      </c>
      <c r="AA21" s="1">
        <f>15*8</f>
        <v>120</v>
      </c>
      <c r="AB21" s="1">
        <v>785.05</v>
      </c>
      <c r="AC21" s="1">
        <f>(Z21-AA21)*AB21</f>
        <v>-25906.649999999998</v>
      </c>
      <c r="AD21" s="1" t="e">
        <f t="shared" ca="1" si="8"/>
        <v>#REF!</v>
      </c>
    </row>
    <row r="22" spans="1:30" x14ac:dyDescent="0.3">
      <c r="A22" s="7" t="s">
        <v>39</v>
      </c>
      <c r="B22" s="7" t="s">
        <v>23</v>
      </c>
      <c r="C22" s="8">
        <v>0</v>
      </c>
      <c r="D22" s="9">
        <v>0</v>
      </c>
      <c r="E22" s="10"/>
      <c r="F22" s="10"/>
      <c r="G22" s="10"/>
      <c r="H22" s="10"/>
      <c r="I22" s="10" t="e">
        <f t="shared" ca="1" si="0"/>
        <v>#REF!</v>
      </c>
      <c r="J22" s="7"/>
      <c r="K22" s="7">
        <v>0</v>
      </c>
      <c r="L22" s="10" t="e">
        <f t="shared" ca="1" si="1"/>
        <v>#REF!</v>
      </c>
      <c r="M22" s="7"/>
      <c r="N22" s="7"/>
      <c r="O22" s="8">
        <v>22163.111390299542</v>
      </c>
      <c r="P22" s="8">
        <v>185836.64</v>
      </c>
      <c r="Q22" s="8">
        <v>174606.79217800385</v>
      </c>
      <c r="R22" s="8">
        <f t="shared" si="2"/>
        <v>33392.959212295711</v>
      </c>
      <c r="S22" s="8">
        <v>55691.519999999997</v>
      </c>
      <c r="T22" s="8">
        <f t="shared" si="3"/>
        <v>89084.479212295701</v>
      </c>
      <c r="U22" s="8">
        <f>SUMIFS('[1]Спецтехника  Бюджет1'!$P$6:$P$24,'[1]Спецтехника  Бюджет1'!$A$6:$A$24,A22,'[1]Спецтехника  Бюджет1'!$B$6:$B$24,B22)</f>
        <v>124145.68000000001</v>
      </c>
      <c r="V22" s="8">
        <f t="shared" si="4"/>
        <v>89084.479212295701</v>
      </c>
      <c r="W22" s="8">
        <f t="shared" si="5"/>
        <v>68454.16</v>
      </c>
      <c r="X22" s="8" t="e">
        <f t="shared" ca="1" si="6"/>
        <v>#REF!</v>
      </c>
      <c r="Y22" s="8" t="e">
        <f t="shared" ca="1" si="7"/>
        <v>#REF!</v>
      </c>
      <c r="Z22" s="1">
        <v>214</v>
      </c>
      <c r="AA22" s="1">
        <v>160</v>
      </c>
      <c r="AB22" s="1">
        <v>580.12</v>
      </c>
      <c r="AC22" s="1">
        <v>31326.48</v>
      </c>
      <c r="AD22" s="1" t="e">
        <f t="shared" ca="1" si="8"/>
        <v>#REF!</v>
      </c>
    </row>
    <row r="23" spans="1:30" x14ac:dyDescent="0.3">
      <c r="A23" s="7" t="s">
        <v>40</v>
      </c>
      <c r="B23" s="7" t="s">
        <v>23</v>
      </c>
      <c r="C23" s="8">
        <v>0</v>
      </c>
      <c r="D23" s="9">
        <v>0</v>
      </c>
      <c r="E23" s="10"/>
      <c r="F23" s="10"/>
      <c r="G23" s="10"/>
      <c r="H23" s="10"/>
      <c r="I23" s="10" t="e">
        <f t="shared" ca="1" si="0"/>
        <v>#REF!</v>
      </c>
      <c r="J23" s="7"/>
      <c r="K23" s="7">
        <v>0</v>
      </c>
      <c r="L23" s="10" t="e">
        <f t="shared" ca="1" si="1"/>
        <v>#REF!</v>
      </c>
      <c r="M23" s="7"/>
      <c r="N23" s="7"/>
      <c r="O23" s="8">
        <v>25072.087824240363</v>
      </c>
      <c r="P23" s="8">
        <v>19143.96</v>
      </c>
      <c r="Q23" s="8">
        <v>37117.459140097184</v>
      </c>
      <c r="R23" s="8">
        <f t="shared" si="2"/>
        <v>7098.5886841431784</v>
      </c>
      <c r="S23" s="8">
        <v>0</v>
      </c>
      <c r="T23" s="8">
        <f t="shared" si="3"/>
        <v>7098.5886841431784</v>
      </c>
      <c r="U23" s="8">
        <f>SUMIFS('[1]Спецтехника  Бюджет1'!$P$6:$P$24,'[1]Спецтехника  Бюджет1'!$A$6:$A$24,A23,'[1]Спецтехника  Бюджет1'!$B$6:$B$24,B23)</f>
        <v>0</v>
      </c>
      <c r="V23" s="8">
        <f t="shared" si="4"/>
        <v>7098.5886841431784</v>
      </c>
      <c r="W23" s="8">
        <f t="shared" si="5"/>
        <v>0</v>
      </c>
      <c r="X23" s="8">
        <v>0</v>
      </c>
      <c r="Y23" s="8">
        <f t="shared" si="7"/>
        <v>0</v>
      </c>
      <c r="Z23" s="1">
        <v>0</v>
      </c>
      <c r="AA23" s="1">
        <v>0</v>
      </c>
      <c r="AB23" s="1">
        <v>0</v>
      </c>
      <c r="AC23" s="1">
        <v>0</v>
      </c>
      <c r="AD23" s="1" t="e">
        <f t="shared" ca="1" si="8"/>
        <v>#REF!</v>
      </c>
    </row>
    <row r="24" spans="1:30" x14ac:dyDescent="0.3">
      <c r="A24" s="7" t="s">
        <v>40</v>
      </c>
      <c r="B24" s="7" t="s">
        <v>28</v>
      </c>
      <c r="C24" s="8">
        <v>0</v>
      </c>
      <c r="D24" s="9">
        <v>0</v>
      </c>
      <c r="E24" s="10"/>
      <c r="F24" s="10"/>
      <c r="G24" s="10"/>
      <c r="H24" s="10"/>
      <c r="I24" s="10" t="e">
        <f t="shared" ca="1" si="0"/>
        <v>#REF!</v>
      </c>
      <c r="J24" s="7"/>
      <c r="K24" s="7">
        <v>0</v>
      </c>
      <c r="L24" s="10" t="e">
        <f t="shared" ca="1" si="1"/>
        <v>#REF!</v>
      </c>
      <c r="M24" s="7"/>
      <c r="N24" s="7"/>
      <c r="O24" s="8">
        <v>1</v>
      </c>
      <c r="P24" s="8">
        <v>95719.8</v>
      </c>
      <c r="Q24" s="8">
        <v>39348.589467426871</v>
      </c>
      <c r="R24" s="8">
        <f t="shared" si="2"/>
        <v>56372.210532573132</v>
      </c>
      <c r="S24" s="8">
        <v>55691.519999999997</v>
      </c>
      <c r="T24" s="8">
        <f t="shared" si="3"/>
        <v>112063.73053257313</v>
      </c>
      <c r="U24" s="8">
        <f>SUMIFS('[1]Спецтехника  Бюджет1'!$P$6:$P$24,'[1]Спецтехника  Бюджет1'!$A$6:$A$24,A24,'[1]Спецтехника  Бюджет1'!$B$6:$B$24,B24)</f>
        <v>142709.52000000002</v>
      </c>
      <c r="V24" s="8">
        <f t="shared" si="4"/>
        <v>112063.73053257313</v>
      </c>
      <c r="W24" s="8">
        <f t="shared" si="5"/>
        <v>87018.000000000029</v>
      </c>
      <c r="X24" s="8" t="e">
        <f t="shared" ca="1" si="6"/>
        <v>#REF!</v>
      </c>
      <c r="Y24" s="8" t="e">
        <f t="shared" ca="1" si="7"/>
        <v>#REF!</v>
      </c>
      <c r="Z24" s="1">
        <v>246</v>
      </c>
      <c r="AA24" s="1">
        <v>160</v>
      </c>
      <c r="AB24" s="1">
        <v>580.12</v>
      </c>
      <c r="AC24" s="1">
        <v>49890.32</v>
      </c>
      <c r="AD24" s="1" t="e">
        <f t="shared" ca="1" si="8"/>
        <v>#REF!</v>
      </c>
    </row>
    <row r="25" spans="1:30" x14ac:dyDescent="0.3">
      <c r="A25" s="7" t="s">
        <v>41</v>
      </c>
      <c r="B25" s="7" t="s">
        <v>23</v>
      </c>
      <c r="C25" s="8">
        <v>0</v>
      </c>
      <c r="D25" s="9">
        <v>0</v>
      </c>
      <c r="E25" s="10"/>
      <c r="F25" s="10"/>
      <c r="G25" s="10"/>
      <c r="H25" s="10"/>
      <c r="I25" s="10" t="e">
        <f t="shared" ca="1" si="0"/>
        <v>#REF!</v>
      </c>
      <c r="J25" s="7"/>
      <c r="K25" s="7">
        <v>0</v>
      </c>
      <c r="L25" s="10" t="e">
        <f t="shared" ca="1" si="1"/>
        <v>#REF!</v>
      </c>
      <c r="M25" s="7"/>
      <c r="N25" s="7"/>
      <c r="O25" s="8">
        <v>57756.340684237875</v>
      </c>
      <c r="P25" s="8">
        <v>64549.8</v>
      </c>
      <c r="Q25" s="8">
        <v>102670.71352635461</v>
      </c>
      <c r="R25" s="8">
        <f t="shared" si="2"/>
        <v>19635.42715788327</v>
      </c>
      <c r="S25" s="8">
        <v>0</v>
      </c>
      <c r="T25" s="8">
        <f t="shared" si="3"/>
        <v>19635.42715788327</v>
      </c>
      <c r="U25" s="8">
        <f>SUMIFS('[1]Спецтехника  Бюджет1'!$P$6:$P$24,'[1]Спецтехника  Бюджет1'!$A$6:$A$24,A25,'[1]Спецтехника  Бюджет1'!$B$6:$B$24,B25)</f>
        <v>0</v>
      </c>
      <c r="V25" s="8">
        <f t="shared" si="4"/>
        <v>19635.42715788327</v>
      </c>
      <c r="W25" s="8">
        <f t="shared" si="5"/>
        <v>0</v>
      </c>
      <c r="X25" s="8">
        <v>0</v>
      </c>
      <c r="Y25" s="8">
        <f t="shared" si="7"/>
        <v>0</v>
      </c>
      <c r="Z25" s="1">
        <v>0</v>
      </c>
      <c r="AA25" s="1">
        <v>0</v>
      </c>
      <c r="AB25" s="1">
        <v>717.22</v>
      </c>
      <c r="AC25" s="1">
        <v>0</v>
      </c>
      <c r="AD25" s="1" t="e">
        <f t="shared" ca="1" si="8"/>
        <v>#REF!</v>
      </c>
    </row>
    <row r="26" spans="1:30" x14ac:dyDescent="0.3">
      <c r="A26" s="7" t="s">
        <v>42</v>
      </c>
      <c r="B26" s="7" t="s">
        <v>23</v>
      </c>
      <c r="C26" s="8">
        <v>0</v>
      </c>
      <c r="D26" s="9">
        <v>0</v>
      </c>
      <c r="E26" s="10"/>
      <c r="F26" s="10"/>
      <c r="G26" s="10"/>
      <c r="H26" s="10"/>
      <c r="I26" s="10" t="e">
        <f t="shared" ca="1" si="0"/>
        <v>#REF!</v>
      </c>
      <c r="J26" s="7"/>
      <c r="K26" s="7">
        <v>0</v>
      </c>
      <c r="L26" s="10" t="e">
        <f t="shared" ca="1" si="1"/>
        <v>#REF!</v>
      </c>
      <c r="M26" s="7"/>
      <c r="N26" s="7"/>
      <c r="O26" s="8">
        <v>61845.703873143299</v>
      </c>
      <c r="P26" s="8">
        <v>0</v>
      </c>
      <c r="Q26" s="8">
        <v>51916.792645666188</v>
      </c>
      <c r="R26" s="8">
        <f t="shared" si="2"/>
        <v>9928.9112274771105</v>
      </c>
      <c r="S26" s="8">
        <v>34426.560000000005</v>
      </c>
      <c r="T26" s="8">
        <f t="shared" si="3"/>
        <v>44355.471227477115</v>
      </c>
      <c r="U26" s="8">
        <f>SUMIFS('[1]Спецтехника  Бюджет1'!$P$6:$P$24,'[1]Спецтехника  Бюджет1'!$A$6:$A$24,A26,'[1]Спецтехника  Бюджет1'!$B$6:$B$24,B26)</f>
        <v>0</v>
      </c>
      <c r="V26" s="8">
        <f t="shared" si="4"/>
        <v>44355.471227477115</v>
      </c>
      <c r="W26" s="8">
        <f t="shared" si="5"/>
        <v>-34426.560000000005</v>
      </c>
      <c r="X26" s="8">
        <v>0</v>
      </c>
      <c r="Y26" s="8">
        <f t="shared" si="7"/>
        <v>-34426.560000000005</v>
      </c>
      <c r="Z26" s="1">
        <v>0</v>
      </c>
      <c r="AA26" s="1">
        <v>0</v>
      </c>
      <c r="AB26" s="1">
        <v>0</v>
      </c>
      <c r="AC26" s="1">
        <v>0</v>
      </c>
      <c r="AD26" s="1" t="e">
        <f t="shared" ca="1" si="8"/>
        <v>#REF!</v>
      </c>
    </row>
    <row r="27" spans="1:30" x14ac:dyDescent="0.3">
      <c r="A27" s="7" t="s">
        <v>42</v>
      </c>
      <c r="B27" s="7" t="s">
        <v>28</v>
      </c>
      <c r="C27" s="8"/>
      <c r="D27" s="9"/>
      <c r="E27" s="10"/>
      <c r="F27" s="10"/>
      <c r="G27" s="10"/>
      <c r="H27" s="10"/>
      <c r="I27" s="10"/>
      <c r="J27" s="7"/>
      <c r="K27" s="7"/>
      <c r="L27" s="10"/>
      <c r="M27" s="7"/>
      <c r="N27" s="7"/>
      <c r="O27" s="8"/>
      <c r="P27" s="8"/>
      <c r="Q27" s="8"/>
      <c r="R27" s="8"/>
      <c r="S27" s="8"/>
      <c r="T27" s="8"/>
      <c r="U27" s="8"/>
      <c r="V27" s="8"/>
      <c r="W27" s="8"/>
      <c r="X27" s="8" t="e">
        <f t="shared" ca="1" si="6"/>
        <v>#REF!</v>
      </c>
      <c r="Y27" s="8" t="e">
        <f t="shared" ca="1" si="7"/>
        <v>#REF!</v>
      </c>
      <c r="Z27" s="1">
        <v>0</v>
      </c>
      <c r="AA27" s="1">
        <v>0</v>
      </c>
      <c r="AB27" s="1">
        <v>0</v>
      </c>
      <c r="AC27" s="1">
        <v>0</v>
      </c>
      <c r="AD27" s="1" t="e">
        <f t="shared" ca="1" si="8"/>
        <v>#REF!</v>
      </c>
    </row>
    <row r="28" spans="1:30" x14ac:dyDescent="0.3">
      <c r="A28" s="7" t="s">
        <v>41</v>
      </c>
      <c r="B28" s="7" t="s">
        <v>28</v>
      </c>
      <c r="C28" s="8">
        <v>0</v>
      </c>
      <c r="D28" s="9">
        <v>0</v>
      </c>
      <c r="E28" s="10"/>
      <c r="F28" s="10"/>
      <c r="G28" s="10"/>
      <c r="H28" s="10"/>
      <c r="I28" s="10" t="e">
        <f t="shared" ca="1" si="0"/>
        <v>#REF!</v>
      </c>
      <c r="J28" s="7"/>
      <c r="K28" s="7">
        <v>0</v>
      </c>
      <c r="L28" s="10" t="e">
        <f t="shared" ca="1" si="1"/>
        <v>#REF!</v>
      </c>
      <c r="M28" s="7"/>
      <c r="N28" s="7"/>
      <c r="O28" s="8">
        <v>10042.08</v>
      </c>
      <c r="P28" s="8">
        <v>10758.300000000001</v>
      </c>
      <c r="Q28" s="8">
        <v>8550.5513262162094</v>
      </c>
      <c r="R28" s="8">
        <f t="shared" si="2"/>
        <v>12249.828673783792</v>
      </c>
      <c r="S28" s="8">
        <v>68853.12000000001</v>
      </c>
      <c r="T28" s="8">
        <f t="shared" si="3"/>
        <v>81102.948673783801</v>
      </c>
      <c r="U28" s="8">
        <f>SUMIFS('[1]Спецтехника  Бюджет1'!$P$6:$P$24,'[1]Спецтехника  Бюджет1'!$A$6:$A$24,A28,'[1]Спецтехника  Бюджет1'!$B$6:$B$24,B28)</f>
        <v>144878.44</v>
      </c>
      <c r="V28" s="8">
        <f t="shared" si="4"/>
        <v>81102.948673783801</v>
      </c>
      <c r="W28" s="8">
        <f t="shared" si="5"/>
        <v>76025.320000000007</v>
      </c>
      <c r="X28" s="8" t="e">
        <f t="shared" ca="1" si="6"/>
        <v>#REF!</v>
      </c>
      <c r="Y28" s="8" t="e">
        <f t="shared" ca="1" si="7"/>
        <v>#REF!</v>
      </c>
      <c r="Z28" s="1">
        <v>202</v>
      </c>
      <c r="AA28" s="1">
        <v>160</v>
      </c>
      <c r="AB28" s="1">
        <v>717.22</v>
      </c>
      <c r="AC28" s="1">
        <v>30123.24</v>
      </c>
      <c r="AD28" s="1" t="e">
        <f t="shared" ca="1" si="8"/>
        <v>#REF!</v>
      </c>
    </row>
    <row r="29" spans="1:30" x14ac:dyDescent="0.3">
      <c r="A29" s="11" t="s">
        <v>43</v>
      </c>
      <c r="B29" s="11" t="s">
        <v>35</v>
      </c>
      <c r="C29" s="8"/>
      <c r="D29" s="9"/>
      <c r="E29" s="10"/>
      <c r="F29" s="10"/>
      <c r="G29" s="10"/>
      <c r="H29" s="10"/>
      <c r="I29" s="10"/>
      <c r="J29" s="7"/>
      <c r="K29" s="7"/>
      <c r="L29" s="10"/>
      <c r="M29" s="7"/>
      <c r="N29" s="7"/>
      <c r="O29" s="8"/>
      <c r="P29" s="8"/>
      <c r="Q29" s="8"/>
      <c r="R29" s="8"/>
      <c r="S29" s="8">
        <v>0</v>
      </c>
      <c r="T29" s="8"/>
      <c r="U29" s="8">
        <f>SUMIFS('[1]Спецтехника  Бюджет1'!$P$6:$P$24,'[1]Спецтехника  Бюджет1'!$A$6:$A$24,A29,'[1]Спецтехника  Бюджет1'!$B$6:$B$24,B29)</f>
        <v>0</v>
      </c>
      <c r="V29" s="8">
        <f t="shared" si="4"/>
        <v>0</v>
      </c>
      <c r="W29" s="8">
        <f t="shared" si="5"/>
        <v>0</v>
      </c>
      <c r="X29" s="8" t="e">
        <f t="shared" ca="1" si="6"/>
        <v>#REF!</v>
      </c>
      <c r="Y29" s="8" t="e">
        <f t="shared" ca="1" si="7"/>
        <v>#REF!</v>
      </c>
      <c r="Z29" s="1">
        <v>0</v>
      </c>
      <c r="AA29" s="1">
        <v>0</v>
      </c>
      <c r="AB29" s="1">
        <v>0</v>
      </c>
      <c r="AC29" s="1">
        <v>0</v>
      </c>
      <c r="AD29" s="1" t="e">
        <f t="shared" ca="1" si="8"/>
        <v>#REF!</v>
      </c>
    </row>
    <row r="30" spans="1:30" x14ac:dyDescent="0.3">
      <c r="A30" s="7" t="s">
        <v>44</v>
      </c>
      <c r="B30" s="7" t="s">
        <v>28</v>
      </c>
      <c r="C30" s="8">
        <v>0</v>
      </c>
      <c r="D30" s="9">
        <v>0</v>
      </c>
      <c r="E30" s="10"/>
      <c r="F30" s="10"/>
      <c r="G30" s="10"/>
      <c r="H30" s="10"/>
      <c r="I30" s="10" t="e">
        <f t="shared" ca="1" si="0"/>
        <v>#REF!</v>
      </c>
      <c r="J30" s="7"/>
      <c r="K30" s="7">
        <v>0</v>
      </c>
      <c r="L30" s="10" t="e">
        <f t="shared" ca="1" si="1"/>
        <v>#REF!</v>
      </c>
      <c r="M30" s="7"/>
      <c r="N30" s="7"/>
      <c r="O30" s="8">
        <v>1</v>
      </c>
      <c r="P30" s="8">
        <v>67531.520000000004</v>
      </c>
      <c r="Q30" s="8">
        <v>27761.044675564714</v>
      </c>
      <c r="R30" s="8">
        <f t="shared" si="2"/>
        <v>39771.475324435291</v>
      </c>
      <c r="S30" s="8">
        <v>104191.488</v>
      </c>
      <c r="T30" s="8">
        <f t="shared" si="3"/>
        <v>143962.96332443529</v>
      </c>
      <c r="U30" s="8">
        <f>SUMIFS('[1]Спецтехника  Бюджет1'!$P$6:$P$24,'[1]Спецтехника  Бюджет1'!$A$6:$A$24,A30,'[1]Спецтехника  Бюджет1'!$B$6:$B$24,B30)</f>
        <v>0</v>
      </c>
      <c r="V30" s="8">
        <f t="shared" si="4"/>
        <v>143962.96332443529</v>
      </c>
      <c r="W30" s="8">
        <f t="shared" si="5"/>
        <v>-104191.488</v>
      </c>
      <c r="X30" s="8" t="e">
        <f t="shared" ca="1" si="6"/>
        <v>#REF!</v>
      </c>
      <c r="Y30" s="8" t="e">
        <f t="shared" ca="1" si="7"/>
        <v>#REF!</v>
      </c>
      <c r="Z30" s="1">
        <v>0</v>
      </c>
      <c r="AA30" s="1">
        <v>0</v>
      </c>
      <c r="AB30" s="1">
        <v>0</v>
      </c>
      <c r="AC30" s="1">
        <v>0</v>
      </c>
      <c r="AD30" s="1" t="e">
        <f t="shared" ca="1" si="8"/>
        <v>#REF!</v>
      </c>
    </row>
    <row r="31" spans="1:30" x14ac:dyDescent="0.3">
      <c r="A31" s="7" t="s">
        <v>44</v>
      </c>
      <c r="B31" s="7" t="s">
        <v>45</v>
      </c>
      <c r="C31" s="8">
        <v>0</v>
      </c>
      <c r="D31" s="9">
        <v>0</v>
      </c>
      <c r="E31" s="10"/>
      <c r="F31" s="10"/>
      <c r="G31" s="10"/>
      <c r="H31" s="10"/>
      <c r="I31" s="10" t="e">
        <f t="shared" ca="1" si="0"/>
        <v>#REF!</v>
      </c>
      <c r="J31" s="7"/>
      <c r="K31" s="7">
        <v>0</v>
      </c>
      <c r="L31" s="10" t="e">
        <f t="shared" ca="1" si="1"/>
        <v>#REF!</v>
      </c>
      <c r="M31" s="7"/>
      <c r="N31" s="7"/>
      <c r="O31" s="8">
        <v>-67772.704000000027</v>
      </c>
      <c r="P31" s="8">
        <v>81037.823999999993</v>
      </c>
      <c r="Q31" s="8">
        <v>0</v>
      </c>
      <c r="R31" s="8">
        <f t="shared" si="2"/>
        <v>13265.119999999966</v>
      </c>
      <c r="S31" s="8">
        <v>0</v>
      </c>
      <c r="T31" s="8">
        <f t="shared" si="3"/>
        <v>13265.119999999966</v>
      </c>
      <c r="U31" s="8">
        <f>SUMIFS('[1]Спецтехника  Бюджет1'!$P$6:$P$24,'[1]Спецтехника  Бюджет1'!$A$6:$A$24,A31,'[1]Спецтехника  Бюджет1'!$B$6:$B$24,B31)</f>
        <v>0</v>
      </c>
      <c r="V31" s="8">
        <f t="shared" si="4"/>
        <v>13265.119999999966</v>
      </c>
      <c r="W31" s="8">
        <f t="shared" si="5"/>
        <v>0</v>
      </c>
      <c r="X31" s="8" t="e">
        <f t="shared" ca="1" si="6"/>
        <v>#REF!</v>
      </c>
      <c r="Y31" s="8" t="e">
        <f t="shared" ca="1" si="7"/>
        <v>#REF!</v>
      </c>
      <c r="Z31" s="1">
        <v>0</v>
      </c>
      <c r="AA31" s="1">
        <v>0</v>
      </c>
      <c r="AB31" s="1">
        <v>0</v>
      </c>
      <c r="AC31" s="1">
        <v>0</v>
      </c>
      <c r="AD31" s="1" t="e">
        <f t="shared" ca="1" si="8"/>
        <v>#REF!</v>
      </c>
    </row>
    <row r="32" spans="1:30" x14ac:dyDescent="0.3">
      <c r="A32" s="7" t="s">
        <v>38</v>
      </c>
      <c r="B32" s="7" t="s">
        <v>35</v>
      </c>
      <c r="C32" s="8">
        <v>0</v>
      </c>
      <c r="D32" s="9">
        <v>0</v>
      </c>
      <c r="E32" s="10"/>
      <c r="F32" s="10"/>
      <c r="G32" s="10"/>
      <c r="H32" s="10"/>
      <c r="I32" s="10" t="e">
        <f t="shared" ca="1" si="0"/>
        <v>#REF!</v>
      </c>
      <c r="J32" s="7"/>
      <c r="K32" s="7">
        <v>0</v>
      </c>
      <c r="L32" s="10" t="e">
        <f t="shared" ca="1" si="1"/>
        <v>#REF!</v>
      </c>
      <c r="M32" s="7"/>
      <c r="N32" s="7"/>
      <c r="O32" s="8">
        <v>0</v>
      </c>
      <c r="P32" s="8">
        <v>0</v>
      </c>
      <c r="Q32" s="8">
        <v>0</v>
      </c>
      <c r="R32" s="8">
        <f t="shared" si="2"/>
        <v>0</v>
      </c>
      <c r="S32" s="8">
        <v>0</v>
      </c>
      <c r="T32" s="8">
        <f t="shared" si="3"/>
        <v>0</v>
      </c>
      <c r="U32" s="8">
        <f>SUMIFS('[1]Спецтехника  Бюджет1'!$P$6:$P$24,'[1]Спецтехника  Бюджет1'!$A$6:$A$24,A32,'[1]Спецтехника  Бюджет1'!$B$6:$B$24,B32)</f>
        <v>0</v>
      </c>
      <c r="V32" s="8">
        <f t="shared" si="4"/>
        <v>0</v>
      </c>
      <c r="W32" s="8">
        <f t="shared" si="5"/>
        <v>0</v>
      </c>
      <c r="X32" s="8">
        <v>0</v>
      </c>
      <c r="Y32" s="8">
        <f t="shared" si="7"/>
        <v>0</v>
      </c>
      <c r="Z32" s="1">
        <v>0</v>
      </c>
      <c r="AA32" s="1">
        <v>0</v>
      </c>
      <c r="AB32" s="1">
        <v>0</v>
      </c>
      <c r="AC32" s="1">
        <v>0</v>
      </c>
      <c r="AD32" s="1" t="e">
        <f t="shared" ca="1" si="8"/>
        <v>#REF!</v>
      </c>
    </row>
    <row r="33" spans="1:30" x14ac:dyDescent="0.3">
      <c r="A33" s="7" t="s">
        <v>46</v>
      </c>
      <c r="B33" s="7" t="s">
        <v>23</v>
      </c>
      <c r="C33" s="8"/>
      <c r="D33" s="9"/>
      <c r="E33" s="10"/>
      <c r="F33" s="10"/>
      <c r="G33" s="10"/>
      <c r="H33" s="10"/>
      <c r="I33" s="10"/>
      <c r="J33" s="7"/>
      <c r="K33" s="7"/>
      <c r="L33" s="10"/>
      <c r="M33" s="7"/>
      <c r="N33" s="7"/>
      <c r="O33" s="8"/>
      <c r="P33" s="8"/>
      <c r="Q33" s="8"/>
      <c r="R33" s="8"/>
      <c r="S33" s="8">
        <v>28800</v>
      </c>
      <c r="T33" s="8">
        <f t="shared" si="3"/>
        <v>28800</v>
      </c>
      <c r="U33" s="8"/>
      <c r="V33" s="8">
        <v>0</v>
      </c>
      <c r="W33" s="8"/>
      <c r="X33" s="8" t="e">
        <f t="shared" ca="1" si="6"/>
        <v>#REF!</v>
      </c>
      <c r="Y33" s="8"/>
      <c r="Z33" s="1">
        <v>0</v>
      </c>
      <c r="AA33" s="1">
        <v>0</v>
      </c>
      <c r="AB33" s="1">
        <v>0</v>
      </c>
      <c r="AC33" s="1">
        <v>0</v>
      </c>
      <c r="AD33" s="1" t="e">
        <f t="shared" ca="1" si="8"/>
        <v>#REF!</v>
      </c>
    </row>
    <row r="34" spans="1:30" x14ac:dyDescent="0.3">
      <c r="A34" s="7" t="s">
        <v>37</v>
      </c>
      <c r="B34" s="7" t="s">
        <v>35</v>
      </c>
      <c r="C34" s="8">
        <v>0</v>
      </c>
      <c r="D34" s="9">
        <v>0</v>
      </c>
      <c r="E34" s="10"/>
      <c r="F34" s="10"/>
      <c r="G34" s="10"/>
      <c r="H34" s="10"/>
      <c r="I34" s="10" t="e">
        <f t="shared" ca="1" si="0"/>
        <v>#REF!</v>
      </c>
      <c r="J34" s="7"/>
      <c r="K34" s="7">
        <v>0</v>
      </c>
      <c r="L34" s="10" t="e">
        <f t="shared" ca="1" si="1"/>
        <v>#REF!</v>
      </c>
      <c r="M34" s="7"/>
      <c r="N34" s="7"/>
      <c r="O34" s="8">
        <v>0</v>
      </c>
      <c r="P34" s="8">
        <v>0</v>
      </c>
      <c r="Q34" s="8">
        <v>0</v>
      </c>
      <c r="R34" s="8">
        <f t="shared" si="2"/>
        <v>0</v>
      </c>
      <c r="S34" s="8">
        <v>81248.160000000003</v>
      </c>
      <c r="T34" s="8">
        <f t="shared" si="3"/>
        <v>81248.160000000003</v>
      </c>
      <c r="U34" s="8">
        <f>SUMIFS('[1]Спецтехника  Бюджет1'!$P$6:$P$24,'[1]Спецтехника  Бюджет1'!$A$6:$A$24,A34,'[1]Спецтехника  Бюджет1'!$B$6:$B$24,B34)</f>
        <v>0</v>
      </c>
      <c r="V34" s="8">
        <v>0</v>
      </c>
      <c r="W34" s="8">
        <f t="shared" si="5"/>
        <v>0</v>
      </c>
      <c r="X34" s="8">
        <v>0</v>
      </c>
      <c r="Y34" s="8">
        <f t="shared" si="7"/>
        <v>0</v>
      </c>
      <c r="Z34" s="1">
        <v>0</v>
      </c>
      <c r="AA34" s="1">
        <v>0</v>
      </c>
      <c r="AB34" s="1">
        <v>0</v>
      </c>
      <c r="AC34" s="1">
        <v>0</v>
      </c>
      <c r="AD34" s="1" t="e">
        <f t="shared" ca="1" si="8"/>
        <v>#REF!</v>
      </c>
    </row>
    <row r="35" spans="1:30" ht="15" thickBot="1" x14ac:dyDescent="0.35">
      <c r="A35" s="7"/>
      <c r="B35" s="7"/>
      <c r="C35" s="8"/>
      <c r="D35" s="9"/>
      <c r="E35" s="10"/>
      <c r="F35" s="10"/>
      <c r="G35" s="10"/>
      <c r="H35" s="10"/>
      <c r="I35" s="10"/>
      <c r="J35" s="7"/>
      <c r="K35" s="7"/>
      <c r="L35" s="10"/>
      <c r="M35" s="7"/>
      <c r="N35" s="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30" ht="18.600000000000001" thickBot="1" x14ac:dyDescent="0.4">
      <c r="A36" s="12" t="s">
        <v>47</v>
      </c>
      <c r="B36" s="13" t="s">
        <v>23</v>
      </c>
      <c r="C36" s="14"/>
      <c r="D36" s="14"/>
      <c r="E36" s="14"/>
      <c r="F36" s="14"/>
      <c r="G36" s="14"/>
      <c r="H36" s="14"/>
      <c r="I36" s="13"/>
      <c r="J36" s="14">
        <f>SUMIF($B:$B,$B36,$H:$H)</f>
        <v>0</v>
      </c>
      <c r="K36" s="14" t="e">
        <f ca="1">SUMIF($B:$B,$B36,$I:$I)</f>
        <v>#REF!</v>
      </c>
      <c r="L36" s="15" t="e">
        <f ca="1">K36+J36</f>
        <v>#REF!</v>
      </c>
      <c r="M36" s="13"/>
      <c r="N36" s="13"/>
      <c r="O36" s="13"/>
      <c r="P36" s="16">
        <f ca="1">SUMIF(B6:N34,B36,P6:P34)</f>
        <v>1282380.4400000002</v>
      </c>
      <c r="Q36" s="13"/>
      <c r="R36" s="14">
        <f>SUMIF($B$6:$B$34,$B36,$R$6:$R$34)</f>
        <v>301646.94202631642</v>
      </c>
      <c r="S36" s="14">
        <f>SUMIF($B$6:$B$34,$B36,$S$6:$S$34)</f>
        <v>894560.25600000017</v>
      </c>
      <c r="T36" s="17">
        <f>R36+S36</f>
        <v>1196207.1980263167</v>
      </c>
      <c r="U36" s="14">
        <f>SUMIF($B$6:$B$34,$B36,$U$6:$U$34)</f>
        <v>1132652.0199999998</v>
      </c>
      <c r="W36" s="14">
        <f>SUMIF($B$6:$B$34,$B36,$W$6:$W$34)</f>
        <v>266891.76400000002</v>
      </c>
      <c r="X36" s="14" t="e">
        <f ca="1">SUMIF($B$6:$B$34,$B36,$X$6:$X$34)</f>
        <v>#REF!</v>
      </c>
      <c r="Y36" s="14" t="e">
        <f ca="1">SUMIF($B$6:$B$34,$B36,$Y$6:$Y$34)</f>
        <v>#REF!</v>
      </c>
    </row>
    <row r="37" spans="1:30" ht="18.600000000000001" thickBot="1" x14ac:dyDescent="0.4">
      <c r="A37" s="18" t="s">
        <v>47</v>
      </c>
      <c r="B37" s="19" t="s">
        <v>45</v>
      </c>
      <c r="C37" s="20"/>
      <c r="D37" s="20"/>
      <c r="E37" s="20"/>
      <c r="F37" s="20"/>
      <c r="G37" s="20"/>
      <c r="H37" s="20"/>
      <c r="I37" s="19"/>
      <c r="J37" s="20">
        <f>SUMIF($B:$B,$B37,$H:$H)</f>
        <v>0</v>
      </c>
      <c r="K37" s="20" t="e">
        <f ca="1">SUMIF($B:$B,$B37,$I:$I)</f>
        <v>#REF!</v>
      </c>
      <c r="L37" s="21" t="e">
        <f t="shared" ref="L37:L40" ca="1" si="9">K37+J37</f>
        <v>#REF!</v>
      </c>
      <c r="M37" s="19"/>
      <c r="N37" s="19"/>
      <c r="O37" s="19"/>
      <c r="P37" s="16">
        <f ca="1">SUMIF(B7:N35,B37,P7:P35)</f>
        <v>81037.823999999993</v>
      </c>
      <c r="Q37" s="19"/>
      <c r="R37" s="14">
        <f>SUMIF($B$6:$B$34,$B37,$R$6:$R$34)</f>
        <v>13265.119999999966</v>
      </c>
      <c r="S37" s="14">
        <f>SUMIF($B$6:$B$34,$B37,$S$6:$S$34)</f>
        <v>0</v>
      </c>
      <c r="T37" s="17">
        <f t="shared" ref="T37:T40" si="10">R37+S37</f>
        <v>13265.119999999966</v>
      </c>
      <c r="U37" s="14">
        <f>SUMIF($B$6:$B$34,$B37,$U$6:$U$34)</f>
        <v>0</v>
      </c>
      <c r="W37" s="14">
        <f>SUMIF($B$6:$B$34,$B37,$W$6:$W$34)</f>
        <v>0</v>
      </c>
      <c r="X37" s="14" t="e">
        <f ca="1">SUMIF($B$6:$B$34,$B37,$X$6:$X$34)</f>
        <v>#REF!</v>
      </c>
      <c r="Y37" s="14" t="e">
        <f ca="1">SUMIF($B$6:$B$34,$B37,$Y$6:$Y$34)</f>
        <v>#REF!</v>
      </c>
    </row>
    <row r="38" spans="1:30" ht="18.600000000000001" thickBot="1" x14ac:dyDescent="0.4">
      <c r="A38" s="22" t="s">
        <v>47</v>
      </c>
      <c r="B38" s="19" t="s">
        <v>28</v>
      </c>
      <c r="C38" s="23"/>
      <c r="D38" s="23"/>
      <c r="E38" s="23"/>
      <c r="F38" s="23"/>
      <c r="G38" s="23"/>
      <c r="H38" s="23"/>
      <c r="I38" s="24"/>
      <c r="J38" s="23"/>
      <c r="K38" s="23"/>
      <c r="L38" s="25"/>
      <c r="M38" s="24"/>
      <c r="N38" s="24"/>
      <c r="O38" s="16"/>
      <c r="P38" s="16">
        <f ca="1">SUMIF(B8:N36,B38,P8:P36)</f>
        <v>724695.6100000001</v>
      </c>
      <c r="Q38" s="24"/>
      <c r="R38" s="14">
        <f>SUMIF($B$6:$B$34,$B38,$R$6:$R$34)</f>
        <v>450138.71000000008</v>
      </c>
      <c r="S38" s="14">
        <f>SUMIF($B$6:$B$34,$B38,$S$6:$S$34)</f>
        <v>490366.94399999996</v>
      </c>
      <c r="T38" s="17">
        <f t="shared" si="10"/>
        <v>940505.6540000001</v>
      </c>
      <c r="U38" s="14">
        <f>SUMIF($B$6:$B$34,$B38,$U$6:$U$34)</f>
        <v>1030719.74</v>
      </c>
      <c r="W38" s="14">
        <f>SUMIF($B$6:$B$34,$B38,$W$6:$W$34)</f>
        <v>540352.79599999997</v>
      </c>
      <c r="X38" s="14" t="e">
        <f ca="1">SUMIF($B$6:$B$34,$B38,$X$6:$X$34)</f>
        <v>#REF!</v>
      </c>
      <c r="Y38" s="14" t="e">
        <f ca="1">SUMIF($B$6:$B$34,$B38,$Y$6:$Y$34)</f>
        <v>#REF!</v>
      </c>
    </row>
    <row r="39" spans="1:30" ht="18.600000000000001" thickBot="1" x14ac:dyDescent="0.4">
      <c r="A39" s="22" t="s">
        <v>47</v>
      </c>
      <c r="B39" s="19" t="s">
        <v>35</v>
      </c>
      <c r="C39" s="23"/>
      <c r="D39" s="23"/>
      <c r="E39" s="23"/>
      <c r="F39" s="23"/>
      <c r="G39" s="23"/>
      <c r="H39" s="23"/>
      <c r="I39" s="24"/>
      <c r="J39" s="23"/>
      <c r="K39" s="23"/>
      <c r="L39" s="25"/>
      <c r="M39" s="24"/>
      <c r="N39" s="24"/>
      <c r="O39" s="26"/>
      <c r="P39" s="16">
        <f ca="1">SUMIF(B9:N37,B39,P9:P37)</f>
        <v>0</v>
      </c>
      <c r="Q39" s="24"/>
      <c r="R39" s="14">
        <f>SUMIF($B$6:$B$34,$B39,$R$6:$R$34)</f>
        <v>0</v>
      </c>
      <c r="S39" s="14">
        <f>SUMIF($B$6:$B$34,$B39,$S$6:$S$34)</f>
        <v>81248.160000000003</v>
      </c>
      <c r="T39" s="17">
        <f t="shared" si="10"/>
        <v>81248.160000000003</v>
      </c>
      <c r="U39" s="14">
        <f>SUMIF($B$6:$B$34,$B39,$U$6:$U$34)</f>
        <v>36250</v>
      </c>
      <c r="W39" s="14">
        <f>SUMIF($B$6:$B$34,$B39,$W$6:$W$34)</f>
        <v>36250</v>
      </c>
      <c r="X39" s="14" t="e">
        <f ca="1">SUMIF($B$6:$B$34,$B39,$X$6:$X$34)</f>
        <v>#REF!</v>
      </c>
      <c r="Y39" s="14" t="e">
        <f ca="1">SUMIF($B$6:$B$34,$B39,$Y$6:$Y$34)</f>
        <v>#REF!</v>
      </c>
    </row>
    <row r="40" spans="1:30" ht="18.600000000000001" thickBot="1" x14ac:dyDescent="0.4">
      <c r="A40" s="27" t="s">
        <v>47</v>
      </c>
      <c r="B40" s="24" t="s">
        <v>34</v>
      </c>
      <c r="C40" s="23"/>
      <c r="D40" s="23"/>
      <c r="E40" s="23"/>
      <c r="F40" s="23"/>
      <c r="G40" s="23"/>
      <c r="H40" s="23"/>
      <c r="I40" s="24"/>
      <c r="J40" s="23">
        <f>SUMIF($B:$B,$B40,$H:$H)</f>
        <v>0</v>
      </c>
      <c r="K40" s="23" t="e">
        <f ca="1">SUMIF($B:$B,$B40,$I:$I)</f>
        <v>#REF!</v>
      </c>
      <c r="L40" s="25" t="e">
        <f t="shared" ca="1" si="9"/>
        <v>#REF!</v>
      </c>
      <c r="M40" s="24"/>
      <c r="N40" s="24"/>
      <c r="O40" s="24"/>
      <c r="P40" s="16">
        <f ca="1">SUMIF(B9:N37,B40,P9:P37)</f>
        <v>157500</v>
      </c>
      <c r="Q40" s="24"/>
      <c r="R40" s="14">
        <f>SUMIF($B$6:$B$34,$B40,$R$6:$R$34)</f>
        <v>86801</v>
      </c>
      <c r="S40" s="14">
        <f>SUMIF($B$6:$B$34,$B40,$S$6:$S$34)</f>
        <v>0</v>
      </c>
      <c r="T40" s="17">
        <f t="shared" si="10"/>
        <v>86801</v>
      </c>
      <c r="U40" s="14">
        <f>SUMIF($B$6:$B$34,$B40,$U$6:$U$34)</f>
        <v>0</v>
      </c>
      <c r="W40" s="14">
        <f>SUMIF($B$6:$B$34,$B40,$W$6:$W$34)</f>
        <v>86801</v>
      </c>
      <c r="X40" s="14">
        <f>SUMIF($B$6:$B$34,$B40,$X$6:$X$34)</f>
        <v>0</v>
      </c>
      <c r="Y40" s="14">
        <f>SUMIF($B$6:$B$34,$B40,$Y$6:$Y$34)</f>
        <v>86801</v>
      </c>
    </row>
    <row r="41" spans="1:30" ht="18.600000000000001" thickBot="1" x14ac:dyDescent="0.4">
      <c r="A41" s="28" t="s">
        <v>48</v>
      </c>
      <c r="B41" s="29"/>
      <c r="C41" s="29"/>
      <c r="D41" s="29"/>
      <c r="E41" s="29"/>
      <c r="F41" s="29"/>
      <c r="G41" s="29"/>
      <c r="H41" s="30">
        <f>SUM(H6:H28)</f>
        <v>0</v>
      </c>
      <c r="I41" s="30" t="e">
        <f ca="1">SUM(I6:I28)</f>
        <v>#REF!</v>
      </c>
      <c r="J41" s="30">
        <f>SUM(J36:J40)</f>
        <v>0</v>
      </c>
      <c r="K41" s="30" t="e">
        <f ca="1">SUM(K36:K40)</f>
        <v>#REF!</v>
      </c>
      <c r="L41" s="31" t="e">
        <f ca="1">SUM(L36:L40)</f>
        <v>#REF!</v>
      </c>
      <c r="M41" s="29"/>
      <c r="N41" s="29"/>
      <c r="O41" s="32">
        <f t="shared" ref="O41:T41" si="11">SUBTOTAL(9,O6:O28)</f>
        <v>912127.47202631622</v>
      </c>
      <c r="P41" s="32">
        <f t="shared" si="11"/>
        <v>2097044.53</v>
      </c>
      <c r="Q41" s="32">
        <f t="shared" si="11"/>
        <v>2210356.8253244353</v>
      </c>
      <c r="R41" s="32">
        <f t="shared" si="11"/>
        <v>798815.17670188134</v>
      </c>
      <c r="S41" s="32">
        <f t="shared" si="11"/>
        <v>1251935.7120000003</v>
      </c>
      <c r="T41" s="33">
        <f t="shared" si="11"/>
        <v>2050750.8887018813</v>
      </c>
      <c r="W41" s="33">
        <f>SUBTOTAL(9,W6:W34)</f>
        <v>930295.55999999994</v>
      </c>
      <c r="X41" s="33" t="e">
        <f ca="1">SUBTOTAL(9,X6:X34)</f>
        <v>#REF!</v>
      </c>
      <c r="Y41" s="33" t="e">
        <f ca="1">SUBTOTAL(9,Y6:Y34)</f>
        <v>#REF!</v>
      </c>
    </row>
  </sheetData>
  <autoFilter ref="A5:T40" xr:uid="{0B3723EE-9E52-4EE9-BAF0-4B0F49C82578}"/>
  <mergeCells count="1">
    <mergeCell ref="C2:C3"/>
  </mergeCells>
  <pageMargins left="0.7" right="0.7" top="0.75" bottom="0.75" header="0.3" footer="0.3"/>
  <pageSetup paperSize="9" scale="93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539B8E-1023-415A-A6EB-D2D2B0BFFE27}">
          <x14:formula1>
            <xm:f>'C:\public\Фінансовий відділ\! Бюджет\2025\Бюджет 07.2025-09.2025\Данные\Спецтехника\[Спецтехника_ИЮНЬ_2025.xlsx]Данные'!#REF!</xm:f>
          </x14:formula1>
          <xm:sqref>B40 B36:B37</xm:sqref>
        </x14:dataValidation>
        <x14:dataValidation type="list" allowBlank="1" showInputMessage="1" showErrorMessage="1" xr:uid="{06546262-C66F-4F6E-982C-BFC79DEE5D3B}">
          <x14:formula1>
            <xm:f>'C:\public\Фінансовий відділ\! Бюджет\2025\Бюджет 08.2025-10.2025\Данные\Спецтехника\[Спецтехника_Июль_2025.xlsx]Данные'!#REF!</xm:f>
          </x14:formula1>
          <xm:sqref>B38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Спецтехника  Бюджет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2025-10-22T07:46:28Z</dcterms:created>
  <dcterms:modified xsi:type="dcterms:W3CDTF">2025-10-22T07:46:45Z</dcterms:modified>
</cp:coreProperties>
</file>
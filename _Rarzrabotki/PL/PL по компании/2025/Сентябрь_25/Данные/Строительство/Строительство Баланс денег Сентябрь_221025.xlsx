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Сентябрь_25\Данные\Строительство\"/>
    </mc:Choice>
  </mc:AlternateContent>
  <xr:revisionPtr revIDLastSave="0" documentId="13_ncr:1_{4AB19AF5-D892-4398-A442-69341871773F}" xr6:coauthVersionLast="45" xr6:coauthVersionMax="45" xr10:uidLastSave="{00000000-0000-0000-0000-000000000000}"/>
  <bookViews>
    <workbookView xWindow="-108" yWindow="-108" windowWidth="23256" windowHeight="12600" activeTab="3" xr2:uid="{00000000-000D-0000-FFFF-FFFF00000000}"/>
  </bookViews>
  <sheets>
    <sheet name="Ретал ГПУ" sheetId="5" r:id="rId1"/>
    <sheet name="Нежин-4" sheetId="6" r:id="rId2"/>
    <sheet name="МХП Катеринополь" sheetId="4" r:id="rId3"/>
    <sheet name="Глобино 2" sheetId="3" r:id="rId4"/>
    <sheet name="Астарта.Тищенки" sheetId="7" r:id="rId5"/>
  </sheets>
  <externalReferences>
    <externalReference r:id="rId6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3" l="1"/>
  <c r="B37" i="3"/>
  <c r="E37" i="3"/>
  <c r="B40" i="3"/>
  <c r="B39" i="3"/>
  <c r="B38" i="3"/>
  <c r="B23" i="3"/>
  <c r="B22" i="3" s="1"/>
  <c r="B30" i="3"/>
  <c r="B9" i="3"/>
  <c r="B12" i="3"/>
  <c r="E27" i="7" l="1"/>
  <c r="B23" i="7"/>
  <c r="E34" i="7"/>
  <c r="E31" i="7"/>
  <c r="B28" i="7" l="1"/>
  <c r="B34" i="4"/>
  <c r="B35" i="4"/>
  <c r="B36" i="4"/>
  <c r="B24" i="6" l="1"/>
  <c r="B25" i="6"/>
  <c r="E34" i="6"/>
  <c r="E38" i="7" l="1"/>
  <c r="B33" i="7"/>
  <c r="E33" i="7" s="1"/>
  <c r="E30" i="7"/>
  <c r="E29" i="7"/>
  <c r="E26" i="7"/>
  <c r="E25" i="7"/>
  <c r="E24" i="7"/>
  <c r="E21" i="7"/>
  <c r="E20" i="7"/>
  <c r="B19" i="7"/>
  <c r="E9" i="7"/>
  <c r="B9" i="7"/>
  <c r="B3" i="7"/>
  <c r="D2" i="7"/>
  <c r="B4" i="3"/>
  <c r="B15" i="7" l="1"/>
  <c r="E17" i="7" s="1"/>
  <c r="E35" i="7"/>
  <c r="B38" i="7" s="1"/>
  <c r="B39" i="7" l="1"/>
  <c r="C39" i="7" s="1"/>
  <c r="B23" i="5" l="1"/>
  <c r="B23" i="6"/>
  <c r="E29" i="3" l="1"/>
  <c r="E30" i="3" l="1"/>
  <c r="E38" i="6" l="1"/>
  <c r="B33" i="6"/>
  <c r="E33" i="6" s="1"/>
  <c r="E30" i="6"/>
  <c r="E29" i="6"/>
  <c r="B28" i="6"/>
  <c r="E26" i="6"/>
  <c r="E25" i="6"/>
  <c r="E24" i="6"/>
  <c r="E21" i="6"/>
  <c r="E20" i="6"/>
  <c r="B19" i="6"/>
  <c r="E9" i="6"/>
  <c r="B9" i="6"/>
  <c r="B3" i="6"/>
  <c r="D2" i="6"/>
  <c r="E34" i="4"/>
  <c r="E35" i="6" l="1"/>
  <c r="B15" i="6"/>
  <c r="E17" i="6" s="1"/>
  <c r="D3" i="3"/>
  <c r="D2" i="4"/>
  <c r="E34" i="5"/>
  <c r="D2" i="5"/>
  <c r="B38" i="6" l="1"/>
  <c r="B39" i="6" s="1"/>
  <c r="C39" i="6" s="1"/>
  <c r="B36" i="5"/>
  <c r="B34" i="5"/>
  <c r="B4" i="5" l="1"/>
  <c r="B33" i="4" l="1"/>
  <c r="E38" i="5"/>
  <c r="E42" i="3"/>
  <c r="E38" i="4"/>
  <c r="B33" i="5"/>
  <c r="E33" i="5" s="1"/>
  <c r="E30" i="5"/>
  <c r="E29" i="5"/>
  <c r="B28" i="5"/>
  <c r="E26" i="5"/>
  <c r="E25" i="5"/>
  <c r="E24" i="5"/>
  <c r="E21" i="5"/>
  <c r="E20" i="5"/>
  <c r="B19" i="5"/>
  <c r="E9" i="5"/>
  <c r="B9" i="5"/>
  <c r="B3" i="5"/>
  <c r="E35" i="5" l="1"/>
  <c r="B15" i="5"/>
  <c r="B38" i="5" l="1"/>
  <c r="E17" i="5"/>
  <c r="E21" i="4"/>
  <c r="B19" i="4"/>
  <c r="B39" i="5" l="1"/>
  <c r="C39" i="5" s="1"/>
  <c r="E33" i="4"/>
  <c r="E30" i="4"/>
  <c r="E29" i="4"/>
  <c r="B28" i="4"/>
  <c r="E25" i="4"/>
  <c r="E24" i="4"/>
  <c r="E20" i="4"/>
  <c r="E9" i="4"/>
  <c r="B9" i="4"/>
  <c r="B3" i="4"/>
  <c r="B11" i="3"/>
  <c r="E33" i="3"/>
  <c r="B15" i="4" l="1"/>
  <c r="E17" i="4" s="1"/>
  <c r="E32" i="3"/>
  <c r="E27" i="3"/>
  <c r="E26" i="3"/>
  <c r="B31" i="3"/>
  <c r="B36" i="3"/>
  <c r="E36" i="3" s="1"/>
  <c r="E11" i="3"/>
  <c r="E22" i="3" l="1"/>
  <c r="B21" i="3"/>
  <c r="B17" i="3"/>
  <c r="E23" i="3"/>
  <c r="E19" i="3" l="1"/>
  <c r="F19" i="3" s="1"/>
  <c r="E26" i="4"/>
  <c r="E35" i="4" s="1"/>
  <c r="B38" i="4" s="1"/>
  <c r="B39" i="4" s="1"/>
  <c r="C39" i="4" s="1"/>
  <c r="B23" i="4"/>
  <c r="E28" i="3"/>
  <c r="E38" i="3" s="1"/>
  <c r="B42" i="3" s="1"/>
  <c r="B43" i="3" s="1"/>
  <c r="C43" i="3" s="1"/>
  <c r="B25" i="3"/>
</calcChain>
</file>

<file path=xl/sharedStrings.xml><?xml version="1.0" encoding="utf-8"?>
<sst xmlns="http://schemas.openxmlformats.org/spreadsheetml/2006/main" count="186" uniqueCount="47">
  <si>
    <t xml:space="preserve">CF </t>
  </si>
  <si>
    <t>Поступление от возврата денежных средств</t>
  </si>
  <si>
    <t>Поступление от заказчика</t>
  </si>
  <si>
    <t>Прочие поступления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</si>
  <si>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</si>
  <si>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</si>
  <si>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</si>
  <si>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</si>
  <si>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</si>
  <si>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</si>
  <si>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</si>
  <si>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</si>
  <si>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</si>
  <si>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</si>
  <si>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</si>
  <si>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</si>
  <si>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</si>
  <si>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Гарантийные платежи - 3 %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</si>
  <si>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</si>
  <si>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</si>
  <si>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</si>
  <si>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</si>
  <si>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</si>
  <si>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</si>
  <si>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Склады Глобино 2, грн</t>
  </si>
  <si>
    <t>Склады Цех - ИС, грн</t>
  </si>
  <si>
    <t>Склад - ЦКС, грн</t>
  </si>
  <si>
    <t>Итого DIFF с учетом Остатков и Задолженностей:</t>
  </si>
  <si>
    <t>СкладыКатеринополь, грн</t>
  </si>
  <si>
    <t>КТ</t>
  </si>
  <si>
    <t>МШП, грн</t>
  </si>
  <si>
    <t>Склады Ретал ГПУ, грн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</si>
  <si>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</si>
  <si>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</si>
  <si>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</si>
  <si>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</si>
  <si>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</si>
  <si>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Склады Нежин-4, грн</t>
  </si>
  <si>
    <t>КТ фин.пом, грн</t>
  </si>
  <si>
    <t>Вложено денег компании в проект, грн</t>
  </si>
  <si>
    <t>Получение кредита</t>
  </si>
  <si>
    <t>Возврат кредита, грн</t>
  </si>
  <si>
    <t>Склады, грн</t>
  </si>
  <si>
    <t>01/09/2024 - 31/09/2025</t>
  </si>
  <si>
    <t>Задолженность  Заказчика  на 30-09-2025</t>
  </si>
  <si>
    <t xml:space="preserve">Когда </t>
  </si>
  <si>
    <t>Возврат ФП,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</si>
</sst>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2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8"/>
      <color indexed="21"/>
      <name val="Arial"/>
      <family val="2"/>
      <charset val="204"/>
    </font>
    <font>
      <sz val="14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</borders>
  <cellStyleXfs count="42598">
    <xf numFmtId="0" fontId="0" fillId="0" borderId="0"/>
    <xf numFmtId="0" fontId="5" fillId="0" borderId="0" applyNumberFormat="0" applyFont="0" applyFill="0" applyBorder="0" applyAlignment="0">
      <alignment horizontal="center" vertical="center"/>
    </xf>
    <xf numFmtId="167" fontId="6" fillId="0" borderId="0" applyFont="0" applyFill="0" applyBorder="0" applyAlignment="0" applyProtection="0"/>
    <xf numFmtId="168" fontId="7" fillId="0" borderId="0"/>
    <xf numFmtId="49" fontId="8" fillId="0" borderId="0">
      <alignment horizontal="left" vertical="center" wrapText="1"/>
    </xf>
    <xf numFmtId="0" fontId="9" fillId="0" borderId="0">
      <alignment horizontal="left" vertical="center"/>
    </xf>
    <xf numFmtId="0" fontId="10" fillId="0" borderId="1">
      <alignment horizontal="left" vertical="center" wrapText="1"/>
    </xf>
    <xf numFmtId="0" fontId="9" fillId="0" borderId="1">
      <alignment horizontal="right" vertical="center"/>
    </xf>
    <xf numFmtId="0" fontId="10" fillId="0" borderId="2">
      <alignment horizontal="left" vertical="center" wrapText="1"/>
    </xf>
    <xf numFmtId="0" fontId="10" fillId="0" borderId="3">
      <alignment horizontal="center" vertical="center" wrapText="1"/>
    </xf>
    <xf numFmtId="0" fontId="10" fillId="0" borderId="3">
      <alignment horizontal="right" vertical="center" wrapText="1"/>
    </xf>
    <xf numFmtId="49" fontId="10" fillId="0" borderId="4">
      <alignment horizontal="right" vertical="top" wrapText="1"/>
    </xf>
    <xf numFmtId="0" fontId="11" fillId="0" borderId="3">
      <alignment horizontal="center" vertical="center" wrapText="1"/>
    </xf>
    <xf numFmtId="49" fontId="11" fillId="0" borderId="3">
      <alignment horizontal="left" vertical="center" wrapText="1"/>
    </xf>
    <xf numFmtId="49" fontId="11" fillId="0" borderId="2">
      <alignment horizontal="left" vertical="center" wrapText="1"/>
    </xf>
    <xf numFmtId="0" fontId="11" fillId="0" borderId="3">
      <alignment horizontal="right" vertical="center" wrapText="1"/>
    </xf>
    <xf numFmtId="49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1" fillId="0" borderId="3">
      <alignment horizontal="center" vertical="center" wrapText="1"/>
    </xf>
    <xf numFmtId="0" fontId="9" fillId="0" borderId="1">
      <alignment horizontal="right" vertical="center" wrapText="1"/>
    </xf>
    <xf numFmtId="0" fontId="10" fillId="0" borderId="5">
      <alignment horizontal="left" vertical="center" wrapText="1"/>
    </xf>
    <xf numFmtId="49" fontId="11" fillId="0" borderId="6">
      <alignment horizontal="center" vertical="top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1" fillId="0" borderId="2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1" fillId="0" borderId="3">
      <alignment horizontal="right" vertical="center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2" fillId="0" borderId="10">
      <alignment horizontal="center" vertical="center" wrapText="1"/>
    </xf>
    <xf numFmtId="0" fontId="9" fillId="0" borderId="11">
      <alignment horizontal="center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0" fontId="10" fillId="0" borderId="7">
      <alignment horizontal="left" vertical="center" wrapText="1"/>
    </xf>
    <xf numFmtId="0" fontId="10" fillId="0" borderId="12">
      <alignment horizontal="left" vertical="center" wrapText="1"/>
    </xf>
    <xf numFmtId="0" fontId="10" fillId="0" borderId="13">
      <alignment horizontal="left" vertical="center" wrapText="1"/>
    </xf>
    <xf numFmtId="49" fontId="11" fillId="0" borderId="14">
      <alignment horizontal="left" vertical="center" wrapText="1"/>
    </xf>
    <xf numFmtId="0" fontId="10" fillId="0" borderId="15">
      <alignment horizontal="left" vertical="center" wrapText="1"/>
    </xf>
    <xf numFmtId="0" fontId="10" fillId="0" borderId="16">
      <alignment horizontal="left" vertical="center" wrapText="1"/>
    </xf>
    <xf numFmtId="49" fontId="11" fillId="0" borderId="12">
      <alignment horizontal="right" vertical="center" wrapText="1"/>
    </xf>
    <xf numFmtId="0" fontId="11" fillId="0" borderId="12">
      <alignment horizontal="left" vertical="center" wrapText="1"/>
    </xf>
    <xf numFmtId="49" fontId="10" fillId="0" borderId="17">
      <alignment horizontal="center" vertical="center" wrapText="1"/>
    </xf>
    <xf numFmtId="0" fontId="9" fillId="0" borderId="18">
      <alignment horizontal="center" vertical="center" wrapText="1"/>
    </xf>
    <xf numFmtId="0" fontId="11" fillId="0" borderId="19">
      <alignment horizontal="left" vertical="center" wrapText="1"/>
    </xf>
    <xf numFmtId="49" fontId="11" fillId="0" borderId="19">
      <alignment horizontal="left" wrapText="1"/>
    </xf>
    <xf numFmtId="0" fontId="10" fillId="0" borderId="20">
      <alignment horizontal="left" vertical="center" wrapText="1"/>
    </xf>
    <xf numFmtId="0" fontId="10" fillId="0" borderId="21">
      <alignment horizontal="left" vertical="center" wrapText="1"/>
    </xf>
    <xf numFmtId="49" fontId="11" fillId="0" borderId="22">
      <alignment horizontal="right" vertical="center" wrapText="1"/>
    </xf>
    <xf numFmtId="0" fontId="11" fillId="0" borderId="23">
      <alignment horizontal="left" vertical="center" wrapText="1"/>
    </xf>
    <xf numFmtId="0" fontId="10" fillId="0" borderId="19">
      <alignment horizontal="left" vertical="center" wrapText="1"/>
    </xf>
    <xf numFmtId="49" fontId="11" fillId="0" borderId="7">
      <alignment horizontal="right" vertical="center" wrapText="1"/>
    </xf>
    <xf numFmtId="0" fontId="11" fillId="0" borderId="11">
      <alignment horizontal="left" vertical="center" wrapText="1"/>
    </xf>
    <xf numFmtId="49" fontId="11" fillId="0" borderId="11">
      <alignment horizontal="left" vertical="center" wrapText="1"/>
    </xf>
    <xf numFmtId="49" fontId="11" fillId="0" borderId="2">
      <alignment horizontal="center" vertical="center" wrapText="1"/>
    </xf>
    <xf numFmtId="0" fontId="11" fillId="0" borderId="24">
      <alignment horizontal="left" vertical="center" wrapText="1"/>
    </xf>
    <xf numFmtId="0" fontId="11" fillId="0" borderId="25">
      <alignment horizontal="left" vertical="center" wrapText="1"/>
    </xf>
    <xf numFmtId="0" fontId="11" fillId="0" borderId="10">
      <alignment horizontal="right" vertical="center" wrapText="1"/>
    </xf>
    <xf numFmtId="0" fontId="11" fillId="0" borderId="26">
      <alignment horizontal="left" vertical="center" wrapText="1"/>
    </xf>
    <xf numFmtId="49" fontId="10" fillId="0" borderId="27">
      <alignment horizontal="left" vertical="center" wrapText="1"/>
    </xf>
    <xf numFmtId="0" fontId="10" fillId="0" borderId="28">
      <alignment horizontal="left" vertical="center" wrapText="1"/>
    </xf>
    <xf numFmtId="49" fontId="10" fillId="0" borderId="29">
      <alignment horizontal="right" vertical="center" wrapText="1"/>
    </xf>
    <xf numFmtId="49" fontId="10" fillId="0" borderId="4">
      <alignment horizontal="left" vertical="center" wrapText="1"/>
    </xf>
    <xf numFmtId="49" fontId="10" fillId="0" borderId="7">
      <alignment horizontal="right" vertical="center" wrapText="1"/>
    </xf>
    <xf numFmtId="0" fontId="11" fillId="0" borderId="8">
      <alignment horizontal="left" vertical="center" wrapText="1"/>
    </xf>
    <xf numFmtId="0" fontId="10" fillId="0" borderId="24">
      <alignment horizontal="center" vertical="center" wrapText="1"/>
    </xf>
    <xf numFmtId="0" fontId="11" fillId="0" borderId="9">
      <alignment horizontal="left" vertical="center" wrapText="1"/>
    </xf>
    <xf numFmtId="0" fontId="11" fillId="0" borderId="8">
      <alignment horizontal="left" vertical="center" wrapText="1"/>
    </xf>
    <xf numFmtId="0" fontId="11" fillId="0" borderId="9">
      <alignment horizontal="left" vertical="center" wrapText="1"/>
    </xf>
    <xf numFmtId="49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0" fillId="0" borderId="24">
      <alignment horizontal="left" vertical="center" wrapText="1"/>
    </xf>
    <xf numFmtId="49" fontId="10" fillId="0" borderId="0">
      <alignment horizontal="left" vertical="center"/>
    </xf>
    <xf numFmtId="0" fontId="10" fillId="0" borderId="0">
      <alignment horizontal="left" vertical="center"/>
    </xf>
    <xf numFmtId="0" fontId="10" fillId="0" borderId="25">
      <alignment horizontal="center" vertical="center" wrapText="1"/>
    </xf>
    <xf numFmtId="0" fontId="10" fillId="0" borderId="27">
      <alignment horizontal="left" vertical="center" wrapText="1"/>
    </xf>
    <xf numFmtId="49" fontId="11" fillId="0" borderId="6">
      <alignment horizontal="center" vertical="center" wrapText="1"/>
    </xf>
    <xf numFmtId="0" fontId="10" fillId="0" borderId="30">
      <alignment horizontal="center" vertical="center" wrapText="1"/>
    </xf>
    <xf numFmtId="0" fontId="9" fillId="0" borderId="3">
      <alignment horizontal="center" vertical="center" wrapText="1"/>
    </xf>
    <xf numFmtId="0" fontId="10" fillId="0" borderId="0">
      <alignment horizontal="left" vertical="center" wrapText="1"/>
    </xf>
    <xf numFmtId="0" fontId="13" fillId="0" borderId="0">
      <alignment horizontal="left" vertical="center"/>
    </xf>
    <xf numFmtId="0" fontId="10" fillId="0" borderId="31">
      <alignment horizontal="left" vertical="center" wrapText="1"/>
    </xf>
    <xf numFmtId="0" fontId="9" fillId="0" borderId="11">
      <alignment horizontal="left" vertical="center" wrapText="1"/>
    </xf>
    <xf numFmtId="0" fontId="10" fillId="0" borderId="32">
      <alignment horizontal="left" vertical="center" wrapText="1"/>
    </xf>
    <xf numFmtId="0" fontId="9" fillId="0" borderId="27">
      <alignment horizontal="left" vertical="center" wrapText="1"/>
    </xf>
    <xf numFmtId="0" fontId="10" fillId="0" borderId="4">
      <alignment horizontal="left" vertical="center" wrapText="1"/>
    </xf>
    <xf numFmtId="0" fontId="9" fillId="0" borderId="27">
      <alignment horizontal="center" vertical="center" wrapText="1"/>
    </xf>
    <xf numFmtId="49" fontId="10" fillId="0" borderId="3">
      <alignment horizontal="center" vertical="center" wrapText="1"/>
    </xf>
    <xf numFmtId="0" fontId="9" fillId="0" borderId="27">
      <alignment horizontal="center" vertical="center" wrapText="1"/>
    </xf>
    <xf numFmtId="49" fontId="10" fillId="0" borderId="7">
      <alignment horizontal="center" vertical="center" wrapText="1"/>
    </xf>
    <xf numFmtId="0" fontId="9" fillId="0" borderId="33">
      <alignment horizontal="left" vertical="center" wrapText="1"/>
    </xf>
    <xf numFmtId="49" fontId="10" fillId="0" borderId="2">
      <alignment horizontal="center" vertical="center" wrapText="1"/>
    </xf>
    <xf numFmtId="0" fontId="9" fillId="0" borderId="33">
      <alignment horizontal="center" vertical="center" wrapText="1"/>
    </xf>
    <xf numFmtId="0" fontId="10" fillId="0" borderId="4">
      <alignment horizontal="center" vertical="center" wrapText="1"/>
    </xf>
    <xf numFmtId="0" fontId="9" fillId="0" borderId="33">
      <alignment horizontal="center" vertical="center" wrapText="1"/>
    </xf>
    <xf numFmtId="0" fontId="11" fillId="0" borderId="3">
      <alignment horizontal="center" vertical="center" wrapText="1"/>
    </xf>
    <xf numFmtId="0" fontId="13" fillId="0" borderId="34">
      <alignment horizontal="left" vertical="center" wrapText="1"/>
    </xf>
    <xf numFmtId="49" fontId="11" fillId="0" borderId="3">
      <alignment horizontal="left" vertical="center" wrapText="1"/>
    </xf>
    <xf numFmtId="0" fontId="13" fillId="0" borderId="34">
      <alignment horizontal="center" vertical="center" wrapText="1"/>
    </xf>
    <xf numFmtId="0" fontId="11" fillId="0" borderId="8">
      <alignment horizontal="center" vertical="center" wrapText="1"/>
    </xf>
    <xf numFmtId="0" fontId="13" fillId="0" borderId="34">
      <alignment horizontal="center" vertical="center" wrapText="1"/>
    </xf>
    <xf numFmtId="49" fontId="14" fillId="0" borderId="0">
      <alignment horizontal="center" vertical="center" wrapText="1"/>
    </xf>
    <xf numFmtId="0" fontId="13" fillId="0" borderId="0">
      <alignment horizontal="right" vertical="center"/>
    </xf>
    <xf numFmtId="0" fontId="11" fillId="0" borderId="8">
      <alignment horizontal="right" vertical="center" wrapText="1"/>
    </xf>
    <xf numFmtId="0" fontId="9" fillId="0" borderId="35">
      <alignment horizontal="left" vertical="center" wrapText="1"/>
    </xf>
    <xf numFmtId="0" fontId="11" fillId="0" borderId="9">
      <alignment horizontal="right" vertical="center" wrapText="1"/>
    </xf>
    <xf numFmtId="0" fontId="9" fillId="0" borderId="35">
      <alignment horizontal="center" vertical="center" wrapText="1"/>
    </xf>
    <xf numFmtId="0" fontId="11" fillId="0" borderId="7">
      <alignment horizontal="right" vertical="center" wrapText="1"/>
    </xf>
    <xf numFmtId="0" fontId="9" fillId="0" borderId="35">
      <alignment horizontal="center" vertical="center" wrapText="1"/>
    </xf>
    <xf numFmtId="0" fontId="11" fillId="0" borderId="2">
      <alignment horizontal="left" vertical="center" wrapText="1"/>
    </xf>
    <xf numFmtId="0" fontId="9" fillId="0" borderId="4">
      <alignment horizontal="left" vertical="center" wrapText="1"/>
    </xf>
    <xf numFmtId="0" fontId="11" fillId="0" borderId="3">
      <alignment horizontal="right" vertical="center" wrapText="1"/>
    </xf>
    <xf numFmtId="0" fontId="9" fillId="0" borderId="4">
      <alignment horizontal="center" vertical="center" wrapText="1"/>
    </xf>
    <xf numFmtId="0" fontId="11" fillId="0" borderId="3">
      <alignment horizontal="left" vertical="center" wrapText="1"/>
    </xf>
    <xf numFmtId="0" fontId="9" fillId="0" borderId="4">
      <alignment horizontal="center" vertical="center" wrapText="1"/>
    </xf>
    <xf numFmtId="0" fontId="11" fillId="0" borderId="3">
      <alignment horizontal="center" vertical="center" wrapText="1"/>
    </xf>
    <xf numFmtId="0" fontId="9" fillId="0" borderId="24">
      <alignment horizontal="left" vertical="center" wrapText="1"/>
    </xf>
    <xf numFmtId="49" fontId="11" fillId="0" borderId="3">
      <alignment horizontal="left" vertical="center" wrapText="1"/>
    </xf>
    <xf numFmtId="0" fontId="11" fillId="0" borderId="8">
      <alignment horizontal="center" vertical="center" wrapText="1"/>
    </xf>
    <xf numFmtId="0" fontId="11" fillId="0" borderId="8">
      <alignment horizontal="right" vertical="center" wrapText="1"/>
    </xf>
    <xf numFmtId="0" fontId="9" fillId="0" borderId="0">
      <alignment horizontal="left" vertical="center"/>
    </xf>
    <xf numFmtId="49" fontId="10" fillId="0" borderId="0">
      <alignment horizontal="left" vertical="center" wrapText="1"/>
    </xf>
    <xf numFmtId="0" fontId="9" fillId="0" borderId="0">
      <alignment horizontal="left" vertical="center" wrapText="1"/>
    </xf>
    <xf numFmtId="0" fontId="11" fillId="0" borderId="9">
      <alignment horizontal="right" vertical="center" wrapText="1"/>
    </xf>
    <xf numFmtId="0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11">
      <alignment horizontal="left" vertical="center" wrapText="1"/>
    </xf>
    <xf numFmtId="49" fontId="10" fillId="0" borderId="3">
      <alignment horizontal="right" vertical="center" wrapText="1"/>
    </xf>
    <xf numFmtId="49" fontId="15" fillId="0" borderId="11">
      <alignment horizontal="center" wrapText="1"/>
    </xf>
    <xf numFmtId="49" fontId="8" fillId="0" borderId="0">
      <alignment horizontal="center" vertical="center" wrapText="1"/>
    </xf>
    <xf numFmtId="0" fontId="13" fillId="0" borderId="0">
      <alignment horizontal="left" vertical="center"/>
    </xf>
    <xf numFmtId="49" fontId="15" fillId="0" borderId="10">
      <alignment horizontal="center" wrapText="1"/>
    </xf>
    <xf numFmtId="49" fontId="10" fillId="0" borderId="2">
      <alignment horizontal="left" vertical="center" wrapText="1"/>
    </xf>
    <xf numFmtId="0" fontId="10" fillId="0" borderId="3">
      <alignment horizontal="left" vertical="center" wrapText="1"/>
    </xf>
    <xf numFmtId="49" fontId="10" fillId="0" borderId="4">
      <alignment horizontal="center" vertical="top" wrapText="1"/>
    </xf>
    <xf numFmtId="49" fontId="10" fillId="0" borderId="6">
      <alignment horizontal="center" vertical="top" wrapText="1"/>
    </xf>
    <xf numFmtId="0" fontId="10" fillId="0" borderId="36">
      <alignment horizontal="left" vertical="center" wrapText="1"/>
    </xf>
    <xf numFmtId="0" fontId="10" fillId="0" borderId="4">
      <alignment horizontal="left" vertical="center" wrapText="1"/>
    </xf>
    <xf numFmtId="0" fontId="10" fillId="0" borderId="4">
      <alignment horizontal="right" vertical="top" wrapText="1"/>
    </xf>
    <xf numFmtId="0" fontId="10" fillId="0" borderId="6">
      <alignment horizontal="left" vertical="center" wrapText="1"/>
    </xf>
    <xf numFmtId="0" fontId="10" fillId="0" borderId="37">
      <alignment horizontal="left" vertical="center" wrapText="1"/>
    </xf>
    <xf numFmtId="0" fontId="8" fillId="0" borderId="0">
      <alignment horizontal="center" vertical="center" wrapText="1"/>
    </xf>
    <xf numFmtId="0" fontId="9" fillId="0" borderId="0">
      <alignment horizontal="left" vertical="center" wrapText="1"/>
    </xf>
    <xf numFmtId="49" fontId="10" fillId="0" borderId="11">
      <alignment horizontal="center" vertical="center" wrapText="1"/>
    </xf>
    <xf numFmtId="49" fontId="10" fillId="0" borderId="11">
      <alignment horizontal="right" vertical="center" wrapText="1"/>
    </xf>
    <xf numFmtId="49" fontId="10" fillId="0" borderId="26">
      <alignment horizontal="left" vertical="center" wrapText="1"/>
    </xf>
    <xf numFmtId="0" fontId="10" fillId="0" borderId="11">
      <alignment horizontal="left" vertical="center" wrapText="1"/>
    </xf>
    <xf numFmtId="49" fontId="10" fillId="0" borderId="27">
      <alignment horizontal="center" vertical="top" wrapText="1"/>
    </xf>
    <xf numFmtId="49" fontId="10" fillId="0" borderId="29">
      <alignment horizontal="center" vertical="top" wrapText="1"/>
    </xf>
    <xf numFmtId="0" fontId="10" fillId="0" borderId="27">
      <alignment horizontal="right" vertical="top" wrapText="1"/>
    </xf>
    <xf numFmtId="0" fontId="10" fillId="0" borderId="29">
      <alignment horizontal="left" vertical="center" wrapText="1"/>
    </xf>
    <xf numFmtId="0" fontId="10" fillId="0" borderId="4">
      <alignment horizontal="center" vertical="center" wrapText="1"/>
    </xf>
    <xf numFmtId="0" fontId="10" fillId="0" borderId="4">
      <alignment horizontal="right" vertical="center" wrapText="1"/>
    </xf>
    <xf numFmtId="0" fontId="10" fillId="0" borderId="0">
      <alignment horizontal="center" vertical="center" wrapText="1"/>
    </xf>
    <xf numFmtId="0" fontId="13" fillId="0" borderId="0">
      <alignment horizontal="center" vertical="center" wrapText="1"/>
    </xf>
    <xf numFmtId="0" fontId="10" fillId="0" borderId="6">
      <alignment horizontal="right" vertical="center" wrapText="1"/>
    </xf>
    <xf numFmtId="49" fontId="10" fillId="0" borderId="37">
      <alignment horizontal="left" vertical="center" wrapText="1"/>
    </xf>
    <xf numFmtId="49" fontId="10" fillId="0" borderId="4">
      <alignment horizontal="center" vertical="center" wrapText="1"/>
    </xf>
    <xf numFmtId="49" fontId="10" fillId="0" borderId="4">
      <alignment horizontal="right" vertical="center" wrapText="1"/>
    </xf>
    <xf numFmtId="0" fontId="10" fillId="0" borderId="27">
      <alignment horizontal="center" vertical="center" wrapText="1"/>
    </xf>
    <xf numFmtId="0" fontId="10" fillId="0" borderId="27">
      <alignment horizontal="right" vertical="center" wrapText="1"/>
    </xf>
    <xf numFmtId="0" fontId="10" fillId="0" borderId="29">
      <alignment horizontal="right" vertical="center" wrapText="1"/>
    </xf>
    <xf numFmtId="49" fontId="10" fillId="0" borderId="36">
      <alignment horizontal="left" vertical="center" wrapText="1"/>
    </xf>
    <xf numFmtId="49" fontId="10" fillId="0" borderId="27">
      <alignment horizontal="center" vertical="center" wrapText="1"/>
    </xf>
    <xf numFmtId="49" fontId="10" fillId="0" borderId="27">
      <alignment horizontal="right" vertical="center" wrapText="1"/>
    </xf>
    <xf numFmtId="0" fontId="11" fillId="0" borderId="0">
      <alignment horizontal="right" vertical="center" wrapText="1"/>
    </xf>
    <xf numFmtId="0" fontId="11" fillId="0" borderId="24">
      <alignment horizontal="center" vertical="center" wrapText="1"/>
    </xf>
    <xf numFmtId="0" fontId="11" fillId="0" borderId="24">
      <alignment horizontal="right" vertical="center" wrapText="1"/>
    </xf>
    <xf numFmtId="0" fontId="11" fillId="0" borderId="25">
      <alignment horizontal="right" vertical="center" wrapText="1"/>
    </xf>
    <xf numFmtId="49" fontId="12" fillId="0" borderId="10">
      <alignment horizontal="center" wrapText="1"/>
    </xf>
    <xf numFmtId="49" fontId="11" fillId="0" borderId="2">
      <alignment horizontal="left" vertical="center" wrapText="1"/>
    </xf>
    <xf numFmtId="49" fontId="11" fillId="0" borderId="3">
      <alignment horizontal="right" vertical="center" wrapText="1"/>
    </xf>
    <xf numFmtId="0" fontId="10" fillId="0" borderId="5">
      <alignment horizontal="left" vertical="center" wrapText="1"/>
    </xf>
    <xf numFmtId="0" fontId="10" fillId="0" borderId="1">
      <alignment horizontal="left" vertical="center" wrapText="1"/>
    </xf>
    <xf numFmtId="0" fontId="10" fillId="0" borderId="32">
      <alignment horizontal="left" vertical="center" wrapText="1"/>
    </xf>
    <xf numFmtId="49" fontId="11" fillId="0" borderId="6">
      <alignment horizontal="center" vertical="top" wrapText="1"/>
    </xf>
    <xf numFmtId="49" fontId="10" fillId="0" borderId="0">
      <alignment horizontal="right" vertical="center"/>
    </xf>
    <xf numFmtId="0" fontId="9" fillId="0" borderId="1">
      <alignment horizontal="left" vertical="center"/>
    </xf>
    <xf numFmtId="0" fontId="10" fillId="0" borderId="31">
      <alignment horizontal="left" vertical="center" wrapText="1"/>
    </xf>
    <xf numFmtId="0" fontId="16" fillId="0" borderId="3">
      <alignment horizontal="center" vertical="center" wrapText="1"/>
    </xf>
    <xf numFmtId="49" fontId="16" fillId="0" borderId="3">
      <alignment horizontal="left" vertical="center" wrapText="1"/>
    </xf>
    <xf numFmtId="0" fontId="16" fillId="0" borderId="8">
      <alignment horizontal="center" vertical="center" wrapText="1"/>
    </xf>
    <xf numFmtId="0" fontId="16" fillId="0" borderId="8">
      <alignment horizontal="right" vertical="center" wrapText="1"/>
    </xf>
    <xf numFmtId="0" fontId="16" fillId="0" borderId="9">
      <alignment horizontal="right" vertical="center" wrapText="1"/>
    </xf>
    <xf numFmtId="0" fontId="16" fillId="0" borderId="7">
      <alignment horizontal="right" vertical="center" wrapText="1"/>
    </xf>
    <xf numFmtId="0" fontId="16" fillId="0" borderId="2">
      <alignment horizontal="left" vertical="center" wrapText="1"/>
    </xf>
    <xf numFmtId="0" fontId="16" fillId="0" borderId="3">
      <alignment horizontal="right" vertical="center" wrapText="1"/>
    </xf>
    <xf numFmtId="0" fontId="16" fillId="0" borderId="3">
      <alignment horizontal="left" vertical="center" wrapText="1"/>
    </xf>
    <xf numFmtId="0" fontId="17" fillId="0" borderId="0"/>
    <xf numFmtId="0" fontId="6" fillId="0" borderId="0" applyNumberFormat="0" applyFill="0" applyBorder="0" applyProtection="0">
      <alignment vertical="top" wrapText="1"/>
    </xf>
    <xf numFmtId="0" fontId="18" fillId="0" borderId="0">
      <alignment vertical="top"/>
    </xf>
    <xf numFmtId="0" fontId="19" fillId="0" borderId="0"/>
    <xf numFmtId="0" fontId="20" fillId="0" borderId="0"/>
    <xf numFmtId="0" fontId="21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8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9" fillId="0" borderId="0"/>
    <xf numFmtId="0" fontId="19" fillId="0" borderId="0"/>
    <xf numFmtId="0" fontId="25" fillId="0" borderId="0">
      <alignment horizontal="left"/>
    </xf>
    <xf numFmtId="0" fontId="6" fillId="0" borderId="0" applyNumberFormat="0" applyFill="0" applyBorder="0" applyProtection="0">
      <alignment vertical="top" wrapText="1"/>
    </xf>
    <xf numFmtId="0" fontId="25" fillId="0" borderId="0">
      <alignment horizontal="left"/>
    </xf>
    <xf numFmtId="0" fontId="17" fillId="0" borderId="0"/>
    <xf numFmtId="0" fontId="25" fillId="0" borderId="0">
      <alignment horizontal="left"/>
    </xf>
    <xf numFmtId="0" fontId="31" fillId="0" borderId="0"/>
    <xf numFmtId="0" fontId="25" fillId="0" borderId="0">
      <alignment horizontal="left"/>
    </xf>
    <xf numFmtId="0" fontId="32" fillId="0" borderId="0"/>
    <xf numFmtId="0" fontId="25" fillId="0" borderId="0">
      <alignment horizontal="left"/>
    </xf>
    <xf numFmtId="0" fontId="3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5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8" fillId="0" borderId="0"/>
    <xf numFmtId="0" fontId="26" fillId="0" borderId="0"/>
    <xf numFmtId="0" fontId="18" fillId="0" borderId="0">
      <alignment vertical="top"/>
    </xf>
    <xf numFmtId="0" fontId="28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33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5" fillId="0" borderId="0">
      <alignment horizontal="left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Protection="0">
      <alignment vertical="top" wrapText="1"/>
    </xf>
    <xf numFmtId="0" fontId="6" fillId="0" borderId="0" applyNumberFormat="0" applyFill="0" applyBorder="0" applyProtection="0">
      <alignment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" fillId="0" borderId="0"/>
    <xf numFmtId="9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" fillId="0" borderId="0"/>
  </cellStyleXfs>
  <cellXfs count="89">
    <xf numFmtId="0" fontId="0" fillId="0" borderId="0" xfId="0"/>
    <xf numFmtId="0" fontId="4" fillId="0" borderId="0" xfId="0" applyFont="1"/>
    <xf numFmtId="165" fontId="36" fillId="0" borderId="0" xfId="0" applyNumberFormat="1" applyFont="1"/>
    <xf numFmtId="0" fontId="36" fillId="0" borderId="0" xfId="0" applyFont="1"/>
    <xf numFmtId="165" fontId="36" fillId="0" borderId="0" xfId="0" applyNumberFormat="1" applyFont="1" applyAlignment="1">
      <alignment horizontal="center"/>
    </xf>
    <xf numFmtId="0" fontId="36" fillId="0" borderId="41" xfId="0" applyFont="1" applyBorder="1"/>
    <xf numFmtId="0" fontId="4" fillId="0" borderId="41" xfId="0" applyFont="1" applyBorder="1"/>
    <xf numFmtId="166" fontId="36" fillId="0" borderId="0" xfId="0" applyNumberFormat="1" applyFont="1"/>
    <xf numFmtId="0" fontId="39" fillId="4" borderId="47" xfId="0" applyFont="1" applyFill="1" applyBorder="1" applyAlignment="1">
      <alignment horizontal="centerContinuous"/>
    </xf>
    <xf numFmtId="0" fontId="39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6" fillId="0" borderId="42" xfId="0" applyFont="1" applyBorder="1"/>
    <xf numFmtId="0" fontId="36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6" fillId="0" borderId="38" xfId="0" applyFont="1" applyBorder="1"/>
    <xf numFmtId="4" fontId="5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6" fillId="0" borderId="47" xfId="0" applyFont="1" applyBorder="1"/>
    <xf numFmtId="0" fontId="36" fillId="0" borderId="40" xfId="0" applyFont="1" applyBorder="1"/>
    <xf numFmtId="0" fontId="37" fillId="3" borderId="47" xfId="0" applyFont="1" applyFill="1" applyBorder="1"/>
    <xf numFmtId="0" fontId="36" fillId="3" borderId="50" xfId="0" applyFont="1" applyFill="1" applyBorder="1"/>
    <xf numFmtId="165" fontId="36" fillId="3" borderId="50" xfId="0" applyNumberFormat="1" applyFont="1" applyFill="1" applyBorder="1"/>
    <xf numFmtId="165" fontId="36" fillId="3" borderId="50" xfId="0" applyNumberFormat="1" applyFont="1" applyFill="1" applyBorder="1" applyAlignment="1">
      <alignment horizontal="center"/>
    </xf>
    <xf numFmtId="165" fontId="38" fillId="3" borderId="40" xfId="0" applyNumberFormat="1" applyFont="1" applyFill="1" applyBorder="1"/>
    <xf numFmtId="0" fontId="37" fillId="0" borderId="38" xfId="0" applyFont="1" applyBorder="1"/>
    <xf numFmtId="4" fontId="37" fillId="0" borderId="39" xfId="0" applyNumberFormat="1" applyFont="1" applyBorder="1"/>
    <xf numFmtId="0" fontId="36" fillId="0" borderId="45" xfId="0" applyFont="1" applyBorder="1" applyAlignment="1">
      <alignment horizontal="right"/>
    </xf>
    <xf numFmtId="0" fontId="36" fillId="0" borderId="41" xfId="0" applyFont="1" applyBorder="1" applyAlignment="1">
      <alignment horizontal="right"/>
    </xf>
    <xf numFmtId="0" fontId="36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5" fillId="2" borderId="46" xfId="0" applyNumberFormat="1" applyFont="1" applyFill="1" applyBorder="1" applyAlignment="1">
      <alignment horizontal="right" vertical="top" wrapText="1"/>
    </xf>
    <xf numFmtId="4" fontId="25" fillId="2" borderId="42" xfId="0" applyNumberFormat="1" applyFont="1" applyFill="1" applyBorder="1" applyAlignment="1">
      <alignment horizontal="right" vertical="top" wrapText="1"/>
    </xf>
    <xf numFmtId="4" fontId="25" fillId="2" borderId="44" xfId="0" applyNumberFormat="1" applyFont="1" applyFill="1" applyBorder="1" applyAlignment="1">
      <alignment horizontal="right" vertical="top" wrapText="1"/>
    </xf>
    <xf numFmtId="0" fontId="36" fillId="0" borderId="43" xfId="0" applyFont="1" applyBorder="1"/>
    <xf numFmtId="0" fontId="36" fillId="0" borderId="48" xfId="0" applyFont="1" applyBorder="1" applyAlignment="1">
      <alignment horizontal="right"/>
    </xf>
    <xf numFmtId="4" fontId="25" fillId="2" borderId="49" xfId="0" applyNumberFormat="1" applyFont="1" applyFill="1" applyBorder="1" applyAlignment="1">
      <alignment horizontal="right" vertical="top" wrapText="1"/>
    </xf>
    <xf numFmtId="165" fontId="36" fillId="0" borderId="51" xfId="0" applyNumberFormat="1" applyFont="1" applyBorder="1" applyAlignment="1">
      <alignment horizontal="center"/>
    </xf>
    <xf numFmtId="165" fontId="36" fillId="0" borderId="52" xfId="0" applyNumberFormat="1" applyFont="1" applyBorder="1"/>
    <xf numFmtId="165" fontId="36" fillId="0" borderId="53" xfId="0" applyNumberFormat="1" applyFont="1" applyBorder="1" applyAlignment="1">
      <alignment horizontal="center"/>
    </xf>
    <xf numFmtId="165" fontId="36" fillId="0" borderId="54" xfId="0" applyNumberFormat="1" applyFont="1" applyBorder="1"/>
    <xf numFmtId="165" fontId="36" fillId="0" borderId="55" xfId="0" applyNumberFormat="1" applyFont="1" applyBorder="1" applyAlignment="1">
      <alignment horizontal="center"/>
    </xf>
    <xf numFmtId="165" fontId="36" fillId="0" borderId="56" xfId="0" applyNumberFormat="1" applyFont="1" applyBorder="1"/>
    <xf numFmtId="165" fontId="37" fillId="0" borderId="55" xfId="0" applyNumberFormat="1" applyFont="1" applyBorder="1" applyAlignment="1">
      <alignment horizontal="left"/>
    </xf>
    <xf numFmtId="165" fontId="36" fillId="0" borderId="57" xfId="0" applyNumberFormat="1" applyFont="1" applyBorder="1" applyAlignment="1">
      <alignment horizontal="center"/>
    </xf>
    <xf numFmtId="165" fontId="36" fillId="0" borderId="58" xfId="0" applyNumberFormat="1" applyFont="1" applyBorder="1"/>
    <xf numFmtId="165" fontId="38" fillId="3" borderId="56" xfId="0" applyNumberFormat="1" applyFont="1" applyFill="1" applyBorder="1"/>
    <xf numFmtId="165" fontId="36" fillId="0" borderId="54" xfId="0" applyNumberFormat="1" applyFont="1" applyBorder="1" applyAlignment="1">
      <alignment horizontal="right"/>
    </xf>
    <xf numFmtId="0" fontId="37" fillId="5" borderId="38" xfId="0" applyFont="1" applyFill="1" applyBorder="1"/>
    <xf numFmtId="4" fontId="37" fillId="5" borderId="39" xfId="0" applyNumberFormat="1" applyFont="1" applyFill="1" applyBorder="1"/>
    <xf numFmtId="0" fontId="36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6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6" fillId="0" borderId="0" xfId="0" applyNumberFormat="1" applyFont="1"/>
    <xf numFmtId="0" fontId="36" fillId="0" borderId="60" xfId="0" applyFont="1" applyBorder="1" applyAlignment="1">
      <alignment horizontal="right"/>
    </xf>
    <xf numFmtId="4" fontId="25" fillId="2" borderId="61" xfId="0" applyNumberFormat="1" applyFont="1" applyFill="1" applyBorder="1" applyAlignment="1">
      <alignment horizontal="right" vertical="top" wrapText="1"/>
    </xf>
    <xf numFmtId="165" fontId="38" fillId="6" borderId="56" xfId="0" applyNumberFormat="1" applyFont="1" applyFill="1" applyBorder="1"/>
    <xf numFmtId="0" fontId="36" fillId="5" borderId="60" xfId="0" applyFont="1" applyFill="1" applyBorder="1"/>
    <xf numFmtId="4" fontId="0" fillId="5" borderId="61" xfId="0" applyNumberFormat="1" applyFont="1" applyFill="1" applyBorder="1" applyAlignment="1">
      <alignment horizontal="right" vertical="top"/>
    </xf>
    <xf numFmtId="0" fontId="36" fillId="5" borderId="48" xfId="0" applyFont="1" applyFill="1" applyBorder="1"/>
    <xf numFmtId="4" fontId="0" fillId="5" borderId="49" xfId="0" applyNumberFormat="1" applyFont="1" applyFill="1" applyBorder="1" applyAlignment="1">
      <alignment horizontal="right" vertical="top"/>
    </xf>
    <xf numFmtId="0" fontId="36" fillId="0" borderId="62" xfId="0" applyFont="1" applyBorder="1" applyAlignment="1">
      <alignment horizontal="right"/>
    </xf>
    <xf numFmtId="0" fontId="36" fillId="0" borderId="63" xfId="0" applyFont="1" applyBorder="1" applyAlignment="1">
      <alignment horizontal="right"/>
    </xf>
    <xf numFmtId="0" fontId="36" fillId="0" borderId="64" xfId="0" applyFont="1" applyBorder="1" applyAlignment="1">
      <alignment horizontal="right"/>
    </xf>
    <xf numFmtId="4" fontId="25" fillId="2" borderId="65" xfId="0" applyNumberFormat="1" applyFont="1" applyFill="1" applyBorder="1" applyAlignment="1">
      <alignment horizontal="right" vertical="top" wrapText="1"/>
    </xf>
    <xf numFmtId="4" fontId="25" fillId="2" borderId="66" xfId="0" applyNumberFormat="1" applyFont="1" applyFill="1" applyBorder="1" applyAlignment="1">
      <alignment horizontal="right" vertical="top" wrapText="1"/>
    </xf>
    <xf numFmtId="4" fontId="25" fillId="2" borderId="67" xfId="0" applyNumberFormat="1" applyFont="1" applyFill="1" applyBorder="1" applyAlignment="1">
      <alignment horizontal="right" vertical="top" wrapText="1"/>
    </xf>
    <xf numFmtId="4" fontId="40" fillId="2" borderId="68" xfId="0" applyNumberFormat="1" applyFont="1" applyFill="1" applyBorder="1" applyAlignment="1">
      <alignment horizontal="right" vertical="top" wrapText="1"/>
    </xf>
    <xf numFmtId="4" fontId="0" fillId="0" borderId="49" xfId="0" applyNumberFormat="1" applyFont="1" applyBorder="1" applyAlignment="1">
      <alignment horizontal="right" vertical="top"/>
    </xf>
    <xf numFmtId="165" fontId="36" fillId="0" borderId="55" xfId="0" applyNumberFormat="1" applyFont="1" applyBorder="1" applyAlignment="1">
      <alignment horizontal="left"/>
    </xf>
    <xf numFmtId="0" fontId="36" fillId="3" borderId="47" xfId="0" applyFont="1" applyFill="1" applyBorder="1"/>
    <xf numFmtId="166" fontId="36" fillId="3" borderId="50" xfId="0" applyNumberFormat="1" applyFont="1" applyFill="1" applyBorder="1"/>
    <xf numFmtId="165" fontId="36" fillId="3" borderId="40" xfId="0" applyNumberFormat="1" applyFont="1" applyFill="1" applyBorder="1"/>
    <xf numFmtId="0" fontId="36" fillId="4" borderId="47" xfId="0" applyFont="1" applyFill="1" applyBorder="1"/>
    <xf numFmtId="165" fontId="36" fillId="4" borderId="50" xfId="0" applyNumberFormat="1" applyFont="1" applyFill="1" applyBorder="1" applyAlignment="1">
      <alignment horizontal="center"/>
    </xf>
    <xf numFmtId="165" fontId="36" fillId="4" borderId="40" xfId="0" applyNumberFormat="1" applyFont="1" applyFill="1" applyBorder="1"/>
    <xf numFmtId="166" fontId="41" fillId="4" borderId="50" xfId="0" applyNumberFormat="1" applyFont="1" applyFill="1" applyBorder="1"/>
    <xf numFmtId="172" fontId="38" fillId="4" borderId="50" xfId="0" applyNumberFormat="1" applyFont="1" applyFill="1" applyBorder="1" applyAlignment="1">
      <alignment horizontal="center" vertical="center"/>
    </xf>
    <xf numFmtId="4" fontId="0" fillId="0" borderId="69" xfId="0" applyNumberFormat="1" applyFont="1" applyBorder="1" applyAlignment="1">
      <alignment horizontal="right" vertical="top"/>
    </xf>
    <xf numFmtId="4" fontId="0" fillId="0" borderId="59" xfId="0" applyNumberFormat="1" applyFont="1" applyBorder="1" applyAlignment="1">
      <alignment horizontal="right" vertical="top" wrapText="1"/>
    </xf>
    <xf numFmtId="4" fontId="0" fillId="3" borderId="42" xfId="0" applyNumberFormat="1" applyFont="1" applyFill="1" applyBorder="1" applyAlignment="1">
      <alignment horizontal="right" vertical="top"/>
    </xf>
    <xf numFmtId="4" fontId="25" fillId="0" borderId="46" xfId="0" applyNumberFormat="1" applyFont="1" applyFill="1" applyBorder="1" applyAlignment="1">
      <alignment horizontal="right" vertical="top" wrapText="1"/>
    </xf>
    <xf numFmtId="4" fontId="25" fillId="0" borderId="42" xfId="0" applyNumberFormat="1" applyFont="1" applyFill="1" applyBorder="1" applyAlignment="1">
      <alignment horizontal="right" vertical="top" wrapText="1"/>
    </xf>
    <xf numFmtId="4" fontId="25" fillId="0" borderId="49" xfId="0" applyNumberFormat="1" applyFont="1" applyFill="1" applyBorder="1" applyAlignment="1">
      <alignment horizontal="right" vertical="top" wrapText="1"/>
    </xf>
    <xf numFmtId="4" fontId="25" fillId="0" borderId="44" xfId="0" applyNumberFormat="1" applyFont="1" applyFill="1" applyBorder="1" applyAlignment="1">
      <alignment horizontal="right" vertical="top" wrapText="1"/>
    </xf>
    <xf numFmtId="3" fontId="25" fillId="2" borderId="46" xfId="0" applyNumberFormat="1" applyFont="1" applyFill="1" applyBorder="1" applyAlignment="1">
      <alignment horizontal="right" vertical="top" wrapText="1"/>
    </xf>
    <xf numFmtId="3" fontId="37" fillId="0" borderId="39" xfId="0" applyNumberFormat="1" applyFont="1" applyBorder="1"/>
    <xf numFmtId="0" fontId="36" fillId="3" borderId="43" xfId="0" applyFont="1" applyFill="1" applyBorder="1" applyAlignment="1">
      <alignment horizontal="right"/>
    </xf>
    <xf numFmtId="4" fontId="25" fillId="3" borderId="44" xfId="0" applyNumberFormat="1" applyFont="1" applyFill="1" applyBorder="1" applyAlignment="1">
      <alignment horizontal="right" vertical="top" wrapText="1"/>
    </xf>
  </cellXfs>
  <cellStyles count="42598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32 2" xfId="42597" xr:uid="{26CE24BA-7772-45E7-AE9A-831F54F96B23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BA5-FDD4-46BD-995E-360C0BDB1717}">
  <sheetPr>
    <tabColor rgb="FFFF0000"/>
  </sheetPr>
  <dimension ref="A1:H39"/>
  <sheetViews>
    <sheetView topLeftCell="A10" workbookViewId="0">
      <selection activeCell="B25" sqref="B25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43</v>
      </c>
      <c r="B2" s="18"/>
      <c r="C2" s="2"/>
      <c r="D2" s="17" t="str">
        <f>A2</f>
        <v>01/09/2024 - 31/09/2025</v>
      </c>
      <c r="E2" s="18"/>
      <c r="G2" s="1"/>
      <c r="H2" s="1"/>
    </row>
    <row r="3" spans="1:8" s="3" customFormat="1">
      <c r="A3" s="57" t="s">
        <v>15</v>
      </c>
      <c r="B3" s="58">
        <f>SUM(B4:B7)</f>
        <v>19937962.390000001</v>
      </c>
      <c r="C3" s="2"/>
      <c r="D3" s="49" t="s">
        <v>15</v>
      </c>
      <c r="E3" s="50">
        <v>19949162.640000001</v>
      </c>
      <c r="F3" s="53"/>
      <c r="G3" s="1"/>
      <c r="H3" s="1"/>
    </row>
    <row r="4" spans="1:8" s="3" customFormat="1" outlineLevel="1">
      <c r="A4" s="5" t="s">
        <v>1</v>
      </c>
      <c r="B4" s="10">
        <f>11000+10781.62</f>
        <v>21781.620000000003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8">
        <v>19875180.77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41000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11101724.82</v>
      </c>
      <c r="C9" s="2"/>
      <c r="D9" s="51" t="s">
        <v>16</v>
      </c>
      <c r="E9" s="52">
        <f>E3-E15</f>
        <v>6338747.0966878869</v>
      </c>
      <c r="G9" s="1"/>
      <c r="H9" s="1"/>
    </row>
    <row r="10" spans="1:8" s="3" customFormat="1" outlineLevel="1">
      <c r="A10" s="5" t="s">
        <v>4</v>
      </c>
      <c r="B10" s="10">
        <v>10886385.800000001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0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215339.02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>
        <v>0</v>
      </c>
      <c r="C13" s="2"/>
      <c r="D13" s="5"/>
      <c r="E13" s="10"/>
      <c r="G13" s="1"/>
      <c r="H13" s="1"/>
    </row>
    <row r="14" spans="1:8" s="3" customFormat="1" ht="13.8" outlineLevel="1" thickBot="1">
      <c r="A14" s="59" t="s">
        <v>13</v>
      </c>
      <c r="B14" s="60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8836237.5700000003</v>
      </c>
      <c r="C15" s="2"/>
      <c r="D15" s="14"/>
      <c r="E15" s="15">
        <v>13610415.543312114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4774177.9733121134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44</v>
      </c>
      <c r="B19" s="48">
        <f>B20-B21</f>
        <v>32981.870000000003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32981.870000000003</v>
      </c>
      <c r="C20" s="2"/>
      <c r="D20" s="38"/>
      <c r="E20" s="39">
        <f>B20</f>
        <v>32981.870000000003</v>
      </c>
      <c r="G20" s="1"/>
      <c r="H20" s="1"/>
    </row>
    <row r="21" spans="1:8" s="3" customFormat="1">
      <c r="A21" s="27" t="s">
        <v>29</v>
      </c>
      <c r="B21" s="10"/>
      <c r="C21" s="2"/>
      <c r="D21" s="38"/>
      <c r="E21" s="39">
        <f>-B21</f>
        <v>0</v>
      </c>
      <c r="G21" s="1"/>
      <c r="H21" s="1"/>
    </row>
    <row r="22" spans="1:8" s="3" customFormat="1" ht="13.8" thickBot="1">
      <c r="A22" s="34"/>
      <c r="B22" s="68"/>
      <c r="C22" s="2"/>
      <c r="D22" s="40"/>
      <c r="E22" s="41"/>
      <c r="G22" s="1"/>
      <c r="H22" s="1"/>
    </row>
    <row r="23" spans="1:8" s="3" customFormat="1" ht="13.8" thickBot="1">
      <c r="A23" s="47" t="s">
        <v>36</v>
      </c>
      <c r="B23" s="48">
        <f>SUM(B24:B27)</f>
        <v>4934038.5200000005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1">
        <v>153816.79</v>
      </c>
      <c r="C24" s="2"/>
      <c r="D24" s="38"/>
      <c r="E24" s="39">
        <f>-B24</f>
        <v>-153816.79</v>
      </c>
      <c r="G24" s="1"/>
      <c r="H24" s="1"/>
    </row>
    <row r="25" spans="1:8" s="3" customFormat="1" ht="12.6" customHeight="1">
      <c r="A25" s="27" t="s">
        <v>19</v>
      </c>
      <c r="B25" s="31">
        <v>4780221.7300000004</v>
      </c>
      <c r="C25" s="2"/>
      <c r="D25" s="38"/>
      <c r="E25" s="39">
        <f>B25</f>
        <v>4780221.7300000004</v>
      </c>
      <c r="G25" s="1"/>
      <c r="H25" s="1"/>
    </row>
    <row r="26" spans="1:8" s="3" customFormat="1">
      <c r="A26" s="27" t="s">
        <v>20</v>
      </c>
      <c r="B26" s="31">
        <v>0</v>
      </c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23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SUM(B34:B36)*1.2</f>
        <v>124938.948</v>
      </c>
      <c r="D33" s="38"/>
      <c r="E33" s="39">
        <f>--B33</f>
        <v>124938.948</v>
      </c>
    </row>
    <row r="34" spans="1:6">
      <c r="A34" s="61" t="s">
        <v>31</v>
      </c>
      <c r="B34" s="65">
        <f>98014.99</f>
        <v>98014.99</v>
      </c>
      <c r="D34" s="69" t="s">
        <v>32</v>
      </c>
      <c r="E34" s="39">
        <f>-222274.36+B12</f>
        <v>-6935.3399999999965</v>
      </c>
    </row>
    <row r="35" spans="1:6">
      <c r="A35" s="62" t="s">
        <v>25</v>
      </c>
      <c r="B35" s="64">
        <v>0</v>
      </c>
      <c r="D35" s="42" t="s">
        <v>27</v>
      </c>
      <c r="E35" s="45">
        <f>SUM(E20:E34)</f>
        <v>4777390.4180000005</v>
      </c>
      <c r="F35" s="7"/>
    </row>
    <row r="36" spans="1:6" ht="13.8" thickBot="1">
      <c r="A36" s="63" t="s">
        <v>30</v>
      </c>
      <c r="B36" s="66">
        <f>6100.8</f>
        <v>6100.8</v>
      </c>
      <c r="D36" s="43"/>
      <c r="E36" s="44"/>
    </row>
    <row r="37" spans="1:6" ht="13.8" thickBot="1"/>
    <row r="38" spans="1:6" ht="13.8" thickBot="1">
      <c r="A38" s="70" t="s">
        <v>33</v>
      </c>
      <c r="B38" s="71">
        <f>B15+E35</f>
        <v>13613627.988000002</v>
      </c>
      <c r="C38" s="21"/>
      <c r="D38" s="22"/>
      <c r="E38" s="72">
        <f>E15</f>
        <v>13610415.543312114</v>
      </c>
      <c r="F38" s="7"/>
    </row>
    <row r="39" spans="1:6" ht="18.600000000000001" thickBot="1">
      <c r="A39" s="73" t="s">
        <v>34</v>
      </c>
      <c r="B39" s="76">
        <f>B38-E38</f>
        <v>3212.4446878880262</v>
      </c>
      <c r="C39" s="77">
        <f>B39/E3</f>
        <v>1.6103155535194063E-4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CA99-F390-4363-A41E-4A13DFD93663}">
  <sheetPr>
    <tabColor rgb="FFFF0000"/>
  </sheetPr>
  <dimension ref="A1:H39"/>
  <sheetViews>
    <sheetView workbookViewId="0">
      <selection activeCell="B25" sqref="B25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43</v>
      </c>
      <c r="B2" s="18"/>
      <c r="C2" s="2"/>
      <c r="D2" s="17" t="str">
        <f>A2</f>
        <v>01/09/2024 - 31/09/2025</v>
      </c>
      <c r="E2" s="18"/>
      <c r="G2" s="1"/>
      <c r="H2" s="1"/>
    </row>
    <row r="3" spans="1:8" s="3" customFormat="1">
      <c r="A3" s="57" t="s">
        <v>15</v>
      </c>
      <c r="B3" s="58">
        <f>SUM(B4:B7)</f>
        <v>8050625.96</v>
      </c>
      <c r="C3" s="2"/>
      <c r="D3" s="49" t="s">
        <v>15</v>
      </c>
      <c r="E3" s="50">
        <v>6662556.9900000002</v>
      </c>
      <c r="F3" s="53"/>
      <c r="G3" s="1"/>
      <c r="H3" s="1"/>
    </row>
    <row r="4" spans="1:8" s="3" customFormat="1" outlineLevel="1">
      <c r="A4" s="5" t="s">
        <v>1</v>
      </c>
      <c r="B4" s="10">
        <v>2280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8">
        <v>8048345.96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/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3700507.3800000004</v>
      </c>
      <c r="C9" s="2"/>
      <c r="D9" s="51" t="s">
        <v>16</v>
      </c>
      <c r="E9" s="52">
        <f>E3-E15</f>
        <v>4413304.5336889382</v>
      </c>
      <c r="H9" s="1"/>
    </row>
    <row r="10" spans="1:8" s="3" customFormat="1" outlineLevel="1">
      <c r="A10" s="5" t="s">
        <v>4</v>
      </c>
      <c r="B10" s="10">
        <v>3419043.69</v>
      </c>
      <c r="C10" s="2"/>
      <c r="D10" s="5"/>
      <c r="E10" s="10"/>
      <c r="H10" s="1"/>
    </row>
    <row r="11" spans="1:8" s="3" customFormat="1" outlineLevel="1">
      <c r="A11" s="5" t="s">
        <v>5</v>
      </c>
      <c r="B11" s="10">
        <v>163950.45000000001</v>
      </c>
      <c r="C11" s="2"/>
      <c r="D11" s="5"/>
      <c r="E11" s="10"/>
      <c r="H11" s="1"/>
    </row>
    <row r="12" spans="1:8" s="3" customFormat="1" outlineLevel="1">
      <c r="A12" s="5" t="s">
        <v>6</v>
      </c>
      <c r="B12" s="10">
        <v>117513.24</v>
      </c>
      <c r="C12" s="2"/>
      <c r="D12" s="5"/>
      <c r="E12" s="10"/>
      <c r="H12" s="1"/>
    </row>
    <row r="13" spans="1:8" s="3" customFormat="1" outlineLevel="1">
      <c r="A13" s="5" t="s">
        <v>12</v>
      </c>
      <c r="B13" s="10"/>
      <c r="C13" s="2"/>
      <c r="D13" s="5"/>
      <c r="E13" s="10"/>
      <c r="H13" s="1"/>
    </row>
    <row r="14" spans="1:8" s="3" customFormat="1" ht="13.8" outlineLevel="1" thickBot="1">
      <c r="A14" s="59" t="s">
        <v>13</v>
      </c>
      <c r="B14" s="60"/>
      <c r="C14" s="2"/>
      <c r="D14" s="12"/>
      <c r="E14" s="13"/>
      <c r="H14" s="1"/>
    </row>
    <row r="15" spans="1:8" s="3" customFormat="1" ht="13.8" thickBot="1">
      <c r="A15" s="14" t="s">
        <v>7</v>
      </c>
      <c r="B15" s="15">
        <f>B3-B9</f>
        <v>4350118.58</v>
      </c>
      <c r="C15" s="2"/>
      <c r="D15" s="14"/>
      <c r="E15" s="15">
        <v>2249252.4563110615</v>
      </c>
      <c r="H15" s="1"/>
    </row>
    <row r="16" spans="1:8" s="3" customFormat="1" ht="13.8" thickBot="1">
      <c r="C16" s="2"/>
      <c r="D16" s="4"/>
      <c r="E16" s="2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-2100866.1236889386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44</v>
      </c>
      <c r="B19" s="48">
        <f>B20-B21</f>
        <v>-1396830.22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67"/>
      <c r="C20" s="2"/>
      <c r="D20" s="38"/>
      <c r="E20" s="39">
        <f>B20</f>
        <v>0</v>
      </c>
      <c r="G20" s="1"/>
      <c r="H20" s="1"/>
    </row>
    <row r="21" spans="1:8" s="3" customFormat="1">
      <c r="A21" s="27" t="s">
        <v>29</v>
      </c>
      <c r="B21" s="10">
        <v>1396830.22</v>
      </c>
      <c r="C21" s="2"/>
      <c r="D21" s="38"/>
      <c r="E21" s="39">
        <f>-B21</f>
        <v>-1396830.22</v>
      </c>
      <c r="H21" s="1"/>
    </row>
    <row r="22" spans="1:8" s="3" customFormat="1" ht="13.8" thickBot="1">
      <c r="A22" s="34"/>
      <c r="B22" s="68"/>
      <c r="C22" s="2"/>
      <c r="D22" s="40"/>
      <c r="E22" s="41"/>
      <c r="H22" s="1"/>
    </row>
    <row r="23" spans="1:8" s="3" customFormat="1" ht="13.8" thickBot="1">
      <c r="A23" s="47" t="s">
        <v>36</v>
      </c>
      <c r="B23" s="48">
        <f>SUM(B24:B27)</f>
        <v>864055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1">
        <f>689774.71+107705.29</f>
        <v>797480</v>
      </c>
      <c r="C24" s="2"/>
      <c r="D24" s="38"/>
      <c r="E24" s="39">
        <f>-B24</f>
        <v>-797480</v>
      </c>
      <c r="G24" s="1"/>
      <c r="H24" s="1"/>
    </row>
    <row r="25" spans="1:8" s="3" customFormat="1" ht="12.6" customHeight="1">
      <c r="A25" s="27" t="s">
        <v>19</v>
      </c>
      <c r="B25" s="31">
        <f>56775.01+9799.99</f>
        <v>66575</v>
      </c>
      <c r="C25" s="2"/>
      <c r="D25" s="38"/>
      <c r="E25" s="39">
        <f>B25</f>
        <v>66575</v>
      </c>
      <c r="G25" s="1"/>
      <c r="H25" s="1"/>
    </row>
    <row r="26" spans="1:8" s="3" customFormat="1">
      <c r="A26" s="27" t="s">
        <v>20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23</v>
      </c>
      <c r="B30" s="31"/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SUM(B34:B36)*1.2</f>
        <v>130162.73999999999</v>
      </c>
      <c r="D33" s="38"/>
      <c r="E33" s="39">
        <f>--B33</f>
        <v>130162.73999999999</v>
      </c>
    </row>
    <row r="34" spans="1:6">
      <c r="A34" s="61" t="s">
        <v>37</v>
      </c>
      <c r="B34" s="65">
        <v>6553.73</v>
      </c>
      <c r="D34" s="69" t="s">
        <v>32</v>
      </c>
      <c r="E34" s="39">
        <f>-170153.64+B12</f>
        <v>-52640.400000000009</v>
      </c>
    </row>
    <row r="35" spans="1:6">
      <c r="A35" s="62" t="s">
        <v>25</v>
      </c>
      <c r="B35" s="64"/>
      <c r="D35" s="42" t="s">
        <v>27</v>
      </c>
      <c r="E35" s="45">
        <f>SUM(E20:E34)</f>
        <v>-2050212.8799999997</v>
      </c>
      <c r="F35" s="7"/>
    </row>
    <row r="36" spans="1:6" ht="13.8" thickBot="1">
      <c r="A36" s="63" t="s">
        <v>30</v>
      </c>
      <c r="B36" s="66">
        <v>101915.22</v>
      </c>
      <c r="D36" s="43"/>
      <c r="E36" s="44"/>
    </row>
    <row r="37" spans="1:6" ht="13.8" thickBot="1"/>
    <row r="38" spans="1:6" ht="13.8" thickBot="1">
      <c r="A38" s="70" t="s">
        <v>33</v>
      </c>
      <c r="B38" s="71">
        <f>B15+E35</f>
        <v>2299905.7000000002</v>
      </c>
      <c r="C38" s="21"/>
      <c r="D38" s="22"/>
      <c r="E38" s="72">
        <f>E15</f>
        <v>2249252.4563110615</v>
      </c>
      <c r="F38" s="7"/>
    </row>
    <row r="39" spans="1:6" ht="18.600000000000001" thickBot="1">
      <c r="A39" s="73" t="s">
        <v>34</v>
      </c>
      <c r="B39" s="76">
        <f>B38-E38</f>
        <v>50653.243688938674</v>
      </c>
      <c r="C39" s="77">
        <f>B39/E3</f>
        <v>7.6026732326590837E-3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20A1-5CC2-46FD-82D0-90C21A2A46F5}">
  <sheetPr>
    <tabColor rgb="FFFF0000"/>
  </sheetPr>
  <dimension ref="A1:H39"/>
  <sheetViews>
    <sheetView topLeftCell="A13" workbookViewId="0">
      <selection activeCell="E33" sqref="E33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43</v>
      </c>
      <c r="B2" s="18"/>
      <c r="C2" s="2"/>
      <c r="D2" s="17" t="str">
        <f>A2</f>
        <v>01/09/2024 - 31/09/2025</v>
      </c>
      <c r="E2" s="18"/>
      <c r="G2" s="1"/>
      <c r="H2" s="1"/>
    </row>
    <row r="3" spans="1:8" s="3" customFormat="1">
      <c r="A3" s="49" t="s">
        <v>15</v>
      </c>
      <c r="B3" s="50">
        <f>SUM(B4:B7)</f>
        <v>40049656.399999999</v>
      </c>
      <c r="C3" s="2"/>
      <c r="D3" s="49" t="s">
        <v>15</v>
      </c>
      <c r="E3" s="50">
        <v>39317598.100000001</v>
      </c>
      <c r="F3" s="53"/>
      <c r="G3" s="1"/>
      <c r="H3" s="1"/>
    </row>
    <row r="4" spans="1:8" s="3" customFormat="1" outlineLevel="1">
      <c r="A4" s="5" t="s">
        <v>1</v>
      </c>
      <c r="B4" s="10">
        <v>27140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40022516.399999999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29548517.300000001</v>
      </c>
      <c r="C9" s="2"/>
      <c r="D9" s="51" t="s">
        <v>16</v>
      </c>
      <c r="E9" s="52">
        <f>E3-E15</f>
        <v>29523710.68348372</v>
      </c>
      <c r="G9" s="1"/>
      <c r="H9" s="1"/>
    </row>
    <row r="10" spans="1:8" s="3" customFormat="1" outlineLevel="1">
      <c r="A10" s="5" t="s">
        <v>4</v>
      </c>
      <c r="B10" s="10">
        <v>28899705.960000001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149059.66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499751.67999999999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>
        <v>0</v>
      </c>
      <c r="C13" s="2"/>
      <c r="D13" s="5"/>
      <c r="E13" s="10"/>
      <c r="G13" s="1"/>
      <c r="H13" s="1"/>
    </row>
    <row r="14" spans="1:8" s="3" customFormat="1" ht="13.8" outlineLevel="1" thickBot="1">
      <c r="A14" s="12" t="s">
        <v>13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10501139.099999998</v>
      </c>
      <c r="C15" s="2"/>
      <c r="D15" s="14"/>
      <c r="E15" s="15">
        <v>9793887.4165162798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-707251.68348371796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44</v>
      </c>
      <c r="B19" s="48">
        <f>B20-B21</f>
        <v>-967432.49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321955.19</v>
      </c>
      <c r="C20" s="2"/>
      <c r="D20" s="38"/>
      <c r="E20" s="39">
        <f>B20</f>
        <v>321955.19</v>
      </c>
      <c r="G20" s="1"/>
      <c r="H20" s="1"/>
    </row>
    <row r="21" spans="1:8" s="3" customFormat="1">
      <c r="A21" s="27" t="s">
        <v>29</v>
      </c>
      <c r="B21" s="10">
        <v>1289387.68</v>
      </c>
      <c r="C21" s="2"/>
      <c r="D21" s="38"/>
      <c r="E21" s="39">
        <f>-B21</f>
        <v>-1289387.68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36</v>
      </c>
      <c r="B23" s="48">
        <f>SUM(B24:B27)</f>
        <v>1594092.5899999999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0">
        <v>1443928.18</v>
      </c>
      <c r="C24" s="2"/>
      <c r="D24" s="38"/>
      <c r="E24" s="39">
        <f>-B24</f>
        <v>-1443928.18</v>
      </c>
      <c r="G24" s="1"/>
      <c r="H24" s="1"/>
    </row>
    <row r="25" spans="1:8" s="3" customFormat="1" ht="12.6" customHeight="1">
      <c r="A25" s="27" t="s">
        <v>19</v>
      </c>
      <c r="B25" s="31">
        <v>150164.41</v>
      </c>
      <c r="C25" s="2"/>
      <c r="D25" s="38"/>
      <c r="E25" s="39">
        <f>B25</f>
        <v>150164.41</v>
      </c>
      <c r="G25" s="1"/>
      <c r="H25" s="1"/>
    </row>
    <row r="26" spans="1:8" s="3" customFormat="1">
      <c r="A26" s="27" t="s">
        <v>20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439335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54500</v>
      </c>
      <c r="C29" s="2"/>
      <c r="D29" s="38"/>
      <c r="E29" s="39">
        <f>-B29</f>
        <v>-54500</v>
      </c>
      <c r="G29" s="1"/>
      <c r="H29" s="1"/>
    </row>
    <row r="30" spans="1:8" s="3" customFormat="1">
      <c r="A30" s="27" t="s">
        <v>23</v>
      </c>
      <c r="B30" s="31">
        <v>384835</v>
      </c>
      <c r="C30" s="2"/>
      <c r="D30" s="38"/>
      <c r="E30" s="39">
        <f>-B30</f>
        <v>-384835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SUM(B34:B36)*1.2</f>
        <v>2259690.2999999998</v>
      </c>
      <c r="D33" s="38"/>
      <c r="E33" s="39">
        <f>--B33</f>
        <v>2259690.2999999998</v>
      </c>
    </row>
    <row r="34" spans="1:6">
      <c r="A34" s="54" t="s">
        <v>28</v>
      </c>
      <c r="B34" s="55">
        <f>943488.39</f>
        <v>943488.39</v>
      </c>
      <c r="D34" s="69" t="s">
        <v>32</v>
      </c>
      <c r="E34" s="39">
        <f>-508210.82+B12</f>
        <v>-8459.140000000014</v>
      </c>
    </row>
    <row r="35" spans="1:6">
      <c r="A35" s="27" t="s">
        <v>25</v>
      </c>
      <c r="B35" s="31">
        <f>858440.85</f>
        <v>858440.85</v>
      </c>
      <c r="D35" s="42" t="s">
        <v>27</v>
      </c>
      <c r="E35" s="45">
        <f>SUM(E20:E34)</f>
        <v>-449300.1</v>
      </c>
      <c r="F35" s="7"/>
    </row>
    <row r="36" spans="1:6" ht="13.8" thickBot="1">
      <c r="A36" s="34" t="s">
        <v>30</v>
      </c>
      <c r="B36" s="35">
        <f>81146.01</f>
        <v>81146.009999999995</v>
      </c>
      <c r="D36" s="43"/>
      <c r="E36" s="44"/>
    </row>
    <row r="37" spans="1:6" ht="13.8" thickBot="1"/>
    <row r="38" spans="1:6" ht="13.8" thickBot="1">
      <c r="A38" s="70" t="s">
        <v>33</v>
      </c>
      <c r="B38" s="71">
        <f>B15+E35</f>
        <v>10051838.999999998</v>
      </c>
      <c r="C38" s="21"/>
      <c r="D38" s="22"/>
      <c r="E38" s="72">
        <f>E15</f>
        <v>9793887.4165162798</v>
      </c>
      <c r="F38" s="7"/>
    </row>
    <row r="39" spans="1:6" ht="18.600000000000001" thickBot="1">
      <c r="A39" s="73" t="s">
        <v>34</v>
      </c>
      <c r="B39" s="76">
        <f>B38-E38</f>
        <v>257951.58348371834</v>
      </c>
      <c r="C39" s="77">
        <f>B39/E3</f>
        <v>6.5607157087176782E-3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E7C3-C5D8-4786-9722-D89C2202EED0}">
  <sheetPr>
    <tabColor rgb="FFFF0000"/>
  </sheetPr>
  <dimension ref="A1:H45"/>
  <sheetViews>
    <sheetView tabSelected="1" workbookViewId="0">
      <selection activeCell="B16" sqref="B16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ht="13.8" thickBot="1"/>
    <row r="2" spans="1:8" s="3" customFormat="1" ht="16.2" thickBot="1">
      <c r="A2" s="8" t="s">
        <v>0</v>
      </c>
      <c r="B2" s="9"/>
      <c r="C2" s="2"/>
      <c r="D2" s="8" t="s">
        <v>8</v>
      </c>
      <c r="E2" s="9"/>
      <c r="G2" s="1"/>
      <c r="H2" s="1"/>
    </row>
    <row r="3" spans="1:8" s="3" customFormat="1" ht="13.8" thickBot="1">
      <c r="A3" s="17" t="s">
        <v>43</v>
      </c>
      <c r="B3" s="18"/>
      <c r="C3" s="2"/>
      <c r="D3" s="17" t="str">
        <f>A3</f>
        <v>01/09/2024 - 31/09/2025</v>
      </c>
      <c r="E3" s="18"/>
      <c r="G3" s="1"/>
      <c r="H3" s="1"/>
    </row>
    <row r="4" spans="1:8" s="3" customFormat="1">
      <c r="A4" s="49" t="s">
        <v>15</v>
      </c>
      <c r="B4" s="50">
        <f>SUM(B5:B10)</f>
        <v>402413768.52000004</v>
      </c>
      <c r="C4" s="2"/>
      <c r="D4" s="49" t="s">
        <v>15</v>
      </c>
      <c r="E4" s="50">
        <v>407990309.29000002</v>
      </c>
      <c r="G4" s="1"/>
      <c r="H4" s="1"/>
    </row>
    <row r="5" spans="1:8" s="3" customFormat="1" outlineLevel="1">
      <c r="A5" s="5" t="s">
        <v>1</v>
      </c>
      <c r="B5" s="10">
        <v>137648.20000000001</v>
      </c>
      <c r="C5" s="2"/>
      <c r="D5" s="5"/>
      <c r="E5" s="10"/>
      <c r="G5" s="1"/>
      <c r="H5" s="1"/>
    </row>
    <row r="6" spans="1:8" s="3" customFormat="1" outlineLevel="1">
      <c r="A6" s="5" t="s">
        <v>2</v>
      </c>
      <c r="B6" s="10">
        <v>391545109.66000003</v>
      </c>
      <c r="C6" s="2"/>
      <c r="D6" s="5"/>
      <c r="E6" s="10"/>
      <c r="G6" s="1"/>
      <c r="H6" s="1"/>
    </row>
    <row r="7" spans="1:8" s="3" customFormat="1" outlineLevel="1">
      <c r="A7" s="5" t="s">
        <v>3</v>
      </c>
      <c r="B7" s="10">
        <v>180525.85</v>
      </c>
      <c r="C7" s="2"/>
      <c r="D7" s="5"/>
      <c r="E7" s="10"/>
      <c r="G7" s="1"/>
      <c r="H7" s="1"/>
    </row>
    <row r="8" spans="1:8" s="3" customFormat="1" outlineLevel="1">
      <c r="A8" s="5" t="s">
        <v>40</v>
      </c>
      <c r="B8" s="80">
        <v>0</v>
      </c>
      <c r="C8" s="2"/>
      <c r="D8" s="5"/>
      <c r="E8" s="10"/>
      <c r="G8" s="1"/>
      <c r="H8" s="1"/>
    </row>
    <row r="9" spans="1:8" s="3" customFormat="1" outlineLevel="1">
      <c r="A9" s="5" t="s">
        <v>35</v>
      </c>
      <c r="B9" s="80">
        <f>18741012.81-8190528</f>
        <v>10550484.809999999</v>
      </c>
      <c r="C9" s="2"/>
      <c r="D9" s="5"/>
      <c r="E9" s="11"/>
      <c r="G9" s="1"/>
      <c r="H9" s="1"/>
    </row>
    <row r="10" spans="1:8" s="3" customFormat="1" ht="12" customHeight="1">
      <c r="A10" s="5"/>
      <c r="B10" s="10"/>
      <c r="C10" s="2"/>
      <c r="D10" s="5"/>
      <c r="E10" s="10"/>
      <c r="G10" s="1"/>
      <c r="H10" s="1"/>
    </row>
    <row r="11" spans="1:8" s="3" customFormat="1">
      <c r="A11" s="51" t="s">
        <v>16</v>
      </c>
      <c r="B11" s="52">
        <f>SUM(B12:B16)</f>
        <v>335700536.66000003</v>
      </c>
      <c r="C11" s="2"/>
      <c r="D11" s="51" t="s">
        <v>16</v>
      </c>
      <c r="E11" s="52">
        <f>E4-E17</f>
        <v>302276290.14992881</v>
      </c>
      <c r="G11" s="1"/>
      <c r="H11" s="1"/>
    </row>
    <row r="12" spans="1:8" s="3" customFormat="1" outlineLevel="1">
      <c r="A12" s="5" t="s">
        <v>4</v>
      </c>
      <c r="B12" s="10">
        <f>331258729.21</f>
        <v>331258729.20999998</v>
      </c>
      <c r="C12" s="2"/>
      <c r="D12" s="5"/>
      <c r="E12" s="10"/>
      <c r="G12" s="1"/>
      <c r="H12" s="1"/>
    </row>
    <row r="13" spans="1:8" s="3" customFormat="1" outlineLevel="1">
      <c r="A13" s="5" t="s">
        <v>5</v>
      </c>
      <c r="B13" s="10">
        <v>751631.79</v>
      </c>
      <c r="C13" s="2"/>
      <c r="D13" s="5"/>
      <c r="E13" s="10"/>
      <c r="G13" s="1"/>
      <c r="H13" s="1"/>
    </row>
    <row r="14" spans="1:8" s="3" customFormat="1" outlineLevel="1">
      <c r="A14" s="5" t="s">
        <v>6</v>
      </c>
      <c r="B14" s="10">
        <v>3192260.44</v>
      </c>
      <c r="C14" s="2"/>
      <c r="D14" s="5"/>
      <c r="E14" s="10"/>
      <c r="G14" s="1"/>
      <c r="H14" s="1"/>
    </row>
    <row r="15" spans="1:8" s="3" customFormat="1" outlineLevel="1">
      <c r="A15" s="5" t="s">
        <v>12</v>
      </c>
      <c r="B15" s="10">
        <f>48422.95+218029.27+121174+110289</f>
        <v>497915.22</v>
      </c>
      <c r="C15" s="2"/>
      <c r="D15" s="5"/>
      <c r="E15" s="10"/>
      <c r="G15" s="1"/>
      <c r="H15" s="1"/>
    </row>
    <row r="16" spans="1:8" s="3" customFormat="1" ht="13.8" outlineLevel="1" thickBot="1">
      <c r="A16" s="12" t="s">
        <v>13</v>
      </c>
      <c r="B16" s="13"/>
      <c r="C16" s="2"/>
      <c r="D16" s="12"/>
      <c r="E16" s="13"/>
      <c r="G16" s="1"/>
      <c r="H16" s="1"/>
    </row>
    <row r="17" spans="1:8" s="3" customFormat="1" ht="13.8" thickBot="1">
      <c r="A17" s="14" t="s">
        <v>7</v>
      </c>
      <c r="B17" s="15">
        <f>B4-B11</f>
        <v>66713231.860000014</v>
      </c>
      <c r="C17" s="2"/>
      <c r="D17" s="14"/>
      <c r="E17" s="15">
        <v>105714019.1400712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19" t="s">
        <v>9</v>
      </c>
      <c r="B19" s="20"/>
      <c r="C19" s="21"/>
      <c r="D19" s="22"/>
      <c r="E19" s="23">
        <f>E17-B17</f>
        <v>39000787.280071184</v>
      </c>
      <c r="F19" s="7">
        <f>E19-B23</f>
        <v>26911600.168171182</v>
      </c>
      <c r="G19" s="1"/>
      <c r="H19" s="1"/>
    </row>
    <row r="20" spans="1:8" s="3" customFormat="1" ht="13.8" thickBot="1">
      <c r="C20" s="2"/>
      <c r="D20" s="4"/>
      <c r="E20" s="2"/>
      <c r="G20" s="1"/>
      <c r="H20" s="1"/>
    </row>
    <row r="21" spans="1:8" s="3" customFormat="1" ht="13.8" thickBot="1">
      <c r="A21" s="47" t="s">
        <v>44</v>
      </c>
      <c r="B21" s="48">
        <f>B22+B23</f>
        <v>16445199.630000001</v>
      </c>
      <c r="C21" s="2"/>
      <c r="D21" s="36"/>
      <c r="E21" s="37"/>
      <c r="G21" s="79"/>
      <c r="H21" s="1"/>
    </row>
    <row r="22" spans="1:8" s="3" customFormat="1">
      <c r="A22" s="26" t="s">
        <v>10</v>
      </c>
      <c r="B22" s="16">
        <f>16250397.16+194802.47-B23</f>
        <v>4356012.5181000009</v>
      </c>
      <c r="C22" s="2"/>
      <c r="D22" s="38"/>
      <c r="E22" s="39">
        <f>B22</f>
        <v>4356012.5181000009</v>
      </c>
      <c r="G22" s="1"/>
      <c r="H22" s="1"/>
    </row>
    <row r="23" spans="1:8" s="3" customFormat="1">
      <c r="A23" s="27" t="s">
        <v>17</v>
      </c>
      <c r="B23" s="10">
        <f>(E4-5017405.56)*3%</f>
        <v>12089187.1119</v>
      </c>
      <c r="C23" s="2"/>
      <c r="D23" s="38"/>
      <c r="E23" s="39">
        <f>B23</f>
        <v>12089187.1119</v>
      </c>
      <c r="G23" s="1"/>
      <c r="H23" s="1"/>
    </row>
    <row r="24" spans="1:8" s="3" customFormat="1" ht="13.8" thickBot="1">
      <c r="A24" s="28"/>
      <c r="B24" s="29"/>
      <c r="C24" s="2"/>
      <c r="D24" s="40"/>
      <c r="E24" s="41"/>
      <c r="G24" s="1"/>
      <c r="H24" s="1"/>
    </row>
    <row r="25" spans="1:8" s="3" customFormat="1" ht="13.8" thickBot="1">
      <c r="A25" s="47" t="s">
        <v>36</v>
      </c>
      <c r="B25" s="48">
        <f>SUM(B26:B30)</f>
        <v>59330670.253999993</v>
      </c>
      <c r="C25" s="2"/>
      <c r="D25" s="40"/>
      <c r="E25" s="41"/>
      <c r="G25" s="1"/>
      <c r="H25" s="1"/>
    </row>
    <row r="26" spans="1:8" s="3" customFormat="1">
      <c r="A26" s="26" t="s">
        <v>18</v>
      </c>
      <c r="B26" s="81">
        <v>26876709.539999999</v>
      </c>
      <c r="C26" s="2"/>
      <c r="D26" s="38"/>
      <c r="E26" s="39">
        <f>-B26</f>
        <v>-26876709.539999999</v>
      </c>
      <c r="G26" s="1"/>
      <c r="H26" s="1"/>
    </row>
    <row r="27" spans="1:8" s="3" customFormat="1" ht="12.6" customHeight="1">
      <c r="A27" s="27" t="s">
        <v>19</v>
      </c>
      <c r="B27" s="82">
        <v>21636584.140000001</v>
      </c>
      <c r="C27" s="2"/>
      <c r="D27" s="38"/>
      <c r="E27" s="39">
        <f>B27</f>
        <v>21636584.140000001</v>
      </c>
      <c r="G27" s="1"/>
      <c r="H27" s="1"/>
    </row>
    <row r="28" spans="1:8" s="3" customFormat="1">
      <c r="A28" s="27" t="s">
        <v>20</v>
      </c>
      <c r="B28" s="82">
        <v>266891.76400000002</v>
      </c>
      <c r="C28" s="2"/>
      <c r="D28" s="38"/>
      <c r="E28" s="46">
        <f>-B28</f>
        <v>-266891.76400000002</v>
      </c>
      <c r="G28" s="1"/>
      <c r="H28" s="1"/>
    </row>
    <row r="29" spans="1:8" s="3" customFormat="1">
      <c r="A29" s="28" t="s">
        <v>41</v>
      </c>
      <c r="B29" s="84"/>
      <c r="C29" s="2"/>
      <c r="D29" s="40"/>
      <c r="E29" s="46">
        <f>-B29</f>
        <v>0</v>
      </c>
      <c r="G29" s="1"/>
      <c r="H29" s="1"/>
    </row>
    <row r="30" spans="1:8" s="3" customFormat="1" ht="13.8" thickBot="1">
      <c r="A30" s="87" t="s">
        <v>38</v>
      </c>
      <c r="B30" s="88">
        <f>B9</f>
        <v>10550484.809999999</v>
      </c>
      <c r="C30" s="2"/>
      <c r="D30" s="40"/>
      <c r="E30" s="46">
        <f>-B30</f>
        <v>-10550484.809999999</v>
      </c>
      <c r="G30" s="1"/>
      <c r="H30" s="1"/>
    </row>
    <row r="31" spans="1:8" s="3" customFormat="1" ht="13.8" thickBot="1">
      <c r="A31" s="24" t="s">
        <v>11</v>
      </c>
      <c r="B31" s="25">
        <f>B32+B33</f>
        <v>502600</v>
      </c>
      <c r="C31" s="2"/>
      <c r="D31" s="40"/>
      <c r="E31" s="41"/>
      <c r="G31" s="1"/>
      <c r="H31" s="1"/>
    </row>
    <row r="32" spans="1:8" s="3" customFormat="1">
      <c r="A32" s="26" t="s">
        <v>22</v>
      </c>
      <c r="B32" s="81">
        <v>502600</v>
      </c>
      <c r="C32" s="2"/>
      <c r="D32" s="38"/>
      <c r="E32" s="39">
        <f>-B32</f>
        <v>-502600</v>
      </c>
      <c r="G32" s="1"/>
      <c r="H32" s="1"/>
    </row>
    <row r="33" spans="1:8" s="3" customFormat="1">
      <c r="A33" s="27" t="s">
        <v>23</v>
      </c>
      <c r="B33" s="82"/>
      <c r="C33" s="2"/>
      <c r="D33" s="38"/>
      <c r="E33" s="39">
        <f>-B33</f>
        <v>0</v>
      </c>
      <c r="G33" s="1"/>
      <c r="H33" s="1"/>
    </row>
    <row r="34" spans="1:8" s="3" customFormat="1">
      <c r="A34" s="6"/>
      <c r="B34" s="31"/>
      <c r="C34" s="2"/>
      <c r="D34" s="40"/>
      <c r="E34" s="41"/>
      <c r="G34" s="1"/>
      <c r="H34" s="1"/>
    </row>
    <row r="35" spans="1:8" ht="13.8" thickBot="1">
      <c r="A35" s="33"/>
      <c r="B35" s="32"/>
      <c r="D35" s="40"/>
      <c r="E35" s="41"/>
    </row>
    <row r="36" spans="1:8" ht="13.8" thickBot="1">
      <c r="A36" s="47" t="s">
        <v>14</v>
      </c>
      <c r="B36" s="48">
        <f>SUM(B37:B40)*1.2</f>
        <v>40700954.387999989</v>
      </c>
      <c r="D36" s="38"/>
      <c r="E36" s="39">
        <f>--B36</f>
        <v>40700954.387999989</v>
      </c>
    </row>
    <row r="37" spans="1:8">
      <c r="A37" s="26" t="s">
        <v>24</v>
      </c>
      <c r="B37" s="30">
        <f>23910355.15-B38</f>
        <v>19200208.43</v>
      </c>
      <c r="D37" s="69" t="s">
        <v>32</v>
      </c>
      <c r="E37" s="39">
        <f>-4531887.02+B14</f>
        <v>-1339626.5799999996</v>
      </c>
    </row>
    <row r="38" spans="1:8">
      <c r="A38" s="27" t="s">
        <v>25</v>
      </c>
      <c r="B38" s="31">
        <f>4710146.72</f>
        <v>4710146.72</v>
      </c>
      <c r="D38" s="42" t="s">
        <v>27</v>
      </c>
      <c r="E38" s="45">
        <f>SUM(E22:E37)</f>
        <v>39246425.463999994</v>
      </c>
      <c r="F38" s="7"/>
    </row>
    <row r="39" spans="1:8">
      <c r="A39" s="28" t="s">
        <v>30</v>
      </c>
      <c r="B39" s="32">
        <f>313159.16</f>
        <v>313159.15999999997</v>
      </c>
      <c r="D39" s="42"/>
      <c r="E39" s="56"/>
      <c r="F39" s="7"/>
    </row>
    <row r="40" spans="1:8" ht="13.8" thickBot="1">
      <c r="A40" s="34" t="s">
        <v>26</v>
      </c>
      <c r="B40" s="83">
        <f>9693947.68</f>
        <v>9693947.6799999997</v>
      </c>
      <c r="D40" s="43"/>
      <c r="E40" s="44"/>
    </row>
    <row r="41" spans="1:8" ht="13.8" thickBot="1"/>
    <row r="42" spans="1:8" ht="13.8" thickBot="1">
      <c r="A42" s="70" t="s">
        <v>33</v>
      </c>
      <c r="B42" s="71">
        <f>B17+E38</f>
        <v>105959657.324</v>
      </c>
      <c r="C42" s="21"/>
      <c r="D42" s="22"/>
      <c r="E42" s="72">
        <f>E17</f>
        <v>105714019.1400712</v>
      </c>
      <c r="F42" s="7"/>
    </row>
    <row r="43" spans="1:8" ht="18.600000000000001" thickBot="1">
      <c r="A43" s="73" t="s">
        <v>39</v>
      </c>
      <c r="B43" s="76">
        <f>B42-E42</f>
        <v>245638.18392880261</v>
      </c>
      <c r="C43" s="77">
        <f>B43/E4</f>
        <v>6.020686725532069E-4</v>
      </c>
      <c r="D43" s="74"/>
      <c r="E43" s="75"/>
    </row>
    <row r="45" spans="1:8">
      <c r="B45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6127-6DC0-4592-B3F5-0578EBBDA625}">
  <sheetPr>
    <tabColor rgb="FFFF0000"/>
  </sheetPr>
  <dimension ref="A1:H41"/>
  <sheetViews>
    <sheetView topLeftCell="A19" workbookViewId="0">
      <selection activeCell="B27" sqref="B27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43</v>
      </c>
      <c r="B2" s="18"/>
      <c r="C2" s="2"/>
      <c r="D2" s="17" t="str">
        <f>A2</f>
        <v>01/09/2024 - 31/09/2025</v>
      </c>
      <c r="E2" s="18"/>
      <c r="G2" s="1"/>
      <c r="H2" s="1"/>
    </row>
    <row r="3" spans="1:8" s="3" customFormat="1">
      <c r="A3" s="49" t="s">
        <v>15</v>
      </c>
      <c r="B3" s="50">
        <f>SUM(B4:B7)</f>
        <v>8541734.9399999995</v>
      </c>
      <c r="C3" s="2"/>
      <c r="D3" s="49" t="s">
        <v>15</v>
      </c>
      <c r="E3" s="50">
        <v>10150147.300000001</v>
      </c>
      <c r="F3" s="53"/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6381821.3399999999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/>
      <c r="C6" s="2"/>
      <c r="D6" s="5"/>
      <c r="E6" s="10"/>
      <c r="G6" s="1"/>
      <c r="H6" s="1"/>
    </row>
    <row r="7" spans="1:8" s="3" customFormat="1" outlineLevel="1">
      <c r="A7" s="5" t="s">
        <v>35</v>
      </c>
      <c r="B7" s="10">
        <v>2159913.6</v>
      </c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9844792.6699999999</v>
      </c>
      <c r="C9" s="2"/>
      <c r="D9" s="51" t="s">
        <v>16</v>
      </c>
      <c r="E9" s="52">
        <f>E3-E15</f>
        <v>10845545.494584829</v>
      </c>
      <c r="G9" s="1"/>
      <c r="H9" s="1"/>
    </row>
    <row r="10" spans="1:8" s="3" customFormat="1" outlineLevel="1">
      <c r="A10" s="5" t="s">
        <v>4</v>
      </c>
      <c r="B10" s="10">
        <v>9550092.6099999994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177220.34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117479.72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13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-1303057.7300000004</v>
      </c>
      <c r="C15" s="2"/>
      <c r="D15" s="14"/>
      <c r="E15" s="15">
        <v>-695398.19458482764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607659.53541517281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44</v>
      </c>
      <c r="B19" s="48">
        <f>B20-B21</f>
        <v>3768325.96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3768325.96</v>
      </c>
      <c r="C20" s="2"/>
      <c r="D20" s="38"/>
      <c r="E20" s="39">
        <f>B20</f>
        <v>3768325.96</v>
      </c>
      <c r="G20" s="1"/>
      <c r="H20" s="1"/>
    </row>
    <row r="21" spans="1:8" s="3" customFormat="1">
      <c r="A21" s="27" t="s">
        <v>29</v>
      </c>
      <c r="B21" s="10"/>
      <c r="C21" s="2"/>
      <c r="D21" s="38"/>
      <c r="E21" s="39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36</v>
      </c>
      <c r="B23" s="48">
        <f>SUM(B24:B27)</f>
        <v>8499319.3259999994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0">
        <v>7160914.8799999999</v>
      </c>
      <c r="C24" s="2"/>
      <c r="D24" s="38"/>
      <c r="E24" s="39">
        <f>-B24</f>
        <v>-7160914.8799999999</v>
      </c>
      <c r="G24" s="1"/>
      <c r="H24" s="1"/>
    </row>
    <row r="25" spans="1:8" s="3" customFormat="1" ht="12.6" customHeight="1">
      <c r="A25" s="27" t="s">
        <v>19</v>
      </c>
      <c r="B25" s="31">
        <v>798051.65</v>
      </c>
      <c r="C25" s="2"/>
      <c r="D25" s="38"/>
      <c r="E25" s="39">
        <f>B25</f>
        <v>798051.65</v>
      </c>
      <c r="G25" s="1"/>
      <c r="H25" s="1"/>
    </row>
    <row r="26" spans="1:8" s="3" customFormat="1">
      <c r="A26" s="27" t="s">
        <v>20</v>
      </c>
      <c r="B26" s="31">
        <v>540352.79599999997</v>
      </c>
      <c r="C26" s="2"/>
      <c r="D26" s="38"/>
      <c r="E26" s="46">
        <f>-B26</f>
        <v>-540352.79599999997</v>
      </c>
      <c r="G26" s="1"/>
      <c r="H26" s="1"/>
    </row>
    <row r="27" spans="1:8" s="3" customFormat="1" ht="13.8" thickBot="1">
      <c r="A27" s="87" t="s">
        <v>46</v>
      </c>
      <c r="B27" s="88"/>
      <c r="C27" s="2"/>
      <c r="D27" s="40"/>
      <c r="E27" s="46">
        <f>-B27</f>
        <v>0</v>
      </c>
      <c r="G27" s="1"/>
      <c r="H27" s="1"/>
    </row>
    <row r="28" spans="1:8" s="3" customFormat="1" ht="13.8" thickBot="1">
      <c r="A28" s="24" t="s">
        <v>11</v>
      </c>
      <c r="B28" s="86">
        <f>B29+B30+B31</f>
        <v>639553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85">
        <v>208200</v>
      </c>
      <c r="C29" s="2"/>
      <c r="D29" s="38"/>
      <c r="E29" s="39">
        <f>-B29</f>
        <v>-208200</v>
      </c>
      <c r="G29" s="1"/>
      <c r="H29" s="1"/>
    </row>
    <row r="30" spans="1:8" s="3" customFormat="1">
      <c r="A30" s="27" t="s">
        <v>23</v>
      </c>
      <c r="B30" s="31">
        <v>431353</v>
      </c>
      <c r="C30" s="2"/>
      <c r="D30" s="38"/>
      <c r="E30" s="39">
        <f>-B30</f>
        <v>-431353</v>
      </c>
      <c r="G30" s="1"/>
      <c r="H30" s="1"/>
    </row>
    <row r="31" spans="1:8" s="3" customFormat="1">
      <c r="A31" s="27"/>
      <c r="B31" s="31"/>
      <c r="C31" s="2"/>
      <c r="D31" s="40"/>
      <c r="E31" s="39">
        <f>-B31</f>
        <v>0</v>
      </c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SUM(B34:B36)*1.2</f>
        <v>6758618.6159999995</v>
      </c>
      <c r="D33" s="38"/>
      <c r="E33" s="39">
        <f>--B33</f>
        <v>6758618.6159999995</v>
      </c>
    </row>
    <row r="34" spans="1:6">
      <c r="A34" s="54" t="s">
        <v>42</v>
      </c>
      <c r="B34" s="55">
        <v>5470036.0999999996</v>
      </c>
      <c r="D34" s="69" t="s">
        <v>32</v>
      </c>
      <c r="E34" s="39">
        <f>-251839.25+B12</f>
        <v>-134359.53</v>
      </c>
    </row>
    <row r="35" spans="1:6">
      <c r="A35" s="27" t="s">
        <v>25</v>
      </c>
      <c r="B35" s="31"/>
      <c r="D35" s="42" t="s">
        <v>27</v>
      </c>
      <c r="E35" s="45">
        <f>SUM(E20:E34)</f>
        <v>2849816.0199999996</v>
      </c>
      <c r="F35" s="7"/>
    </row>
    <row r="36" spans="1:6" ht="13.8" thickBot="1">
      <c r="A36" s="34" t="s">
        <v>30</v>
      </c>
      <c r="B36" s="35">
        <v>162146.07999999999</v>
      </c>
      <c r="D36" s="43"/>
      <c r="E36" s="44"/>
    </row>
    <row r="37" spans="1:6" ht="13.8" thickBot="1"/>
    <row r="38" spans="1:6" ht="13.8" thickBot="1">
      <c r="A38" s="70" t="s">
        <v>33</v>
      </c>
      <c r="B38" s="71">
        <f>B15+E35</f>
        <v>1546758.2899999991</v>
      </c>
      <c r="C38" s="21"/>
      <c r="D38" s="22"/>
      <c r="E38" s="72">
        <f>E15</f>
        <v>-695398.19458482764</v>
      </c>
      <c r="F38" s="7"/>
    </row>
    <row r="39" spans="1:6" ht="18.600000000000001" thickBot="1">
      <c r="A39" s="73" t="s">
        <v>34</v>
      </c>
      <c r="B39" s="76">
        <f>B38-E38</f>
        <v>2242156.484584827</v>
      </c>
      <c r="C39" s="77">
        <f>B39/E3</f>
        <v>0.22089891095322595</v>
      </c>
      <c r="D39" s="74"/>
      <c r="E39" s="75"/>
    </row>
    <row r="41" spans="1:6">
      <c r="A41" s="3" t="s">
        <v>45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Ретал ГПУ</vt:lpstr>
      <vt:lpstr>Нежин-4</vt:lpstr>
      <vt:lpstr>МХП Катеринополь</vt:lpstr>
      <vt:lpstr>Глобино 2</vt:lpstr>
      <vt:lpstr>Астарта.Тищенки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2025-04-29T07:19:21Z</dcterms:created>
  <dcterms:modified xsi:type="dcterms:W3CDTF">2025-10-22T22:10:44Z</dcterms:modified>
</cp:coreProperties>
</file>
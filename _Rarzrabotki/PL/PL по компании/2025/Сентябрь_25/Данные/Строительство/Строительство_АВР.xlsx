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Сентябрь_2025\Данные\Строительство\"/>
    </mc:Choice>
  </mc:AlternateContent>
  <xr:revisionPtr revIDLastSave="0" documentId="13_ncr:1_{41167F92-D0A3-4625-8BAE-FEC21B32E0F0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Sheet1" sheetId="1" r:id="rId1"/>
  </sheets>
  <definedNames>
    <definedName name="_xlnm._FilterDatabase" localSheetId="0" hidden="1">Sheet1!$A$1:$I$93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16" i="1" l="1"/>
  <c r="D97" i="1" l="1"/>
  <c r="D96" i="1"/>
  <c r="D101" i="1"/>
  <c r="D102" i="1" s="1"/>
  <c r="D100" i="1"/>
  <c r="D99" i="1"/>
  <c r="D98" i="1"/>
  <c r="D93" i="1"/>
</calcChain>
</file>

<file path=xl/sharedStrings.xml><?xml version="1.0" encoding="utf-8"?>
<sst xmlns="http://schemas.openxmlformats.org/spreadsheetml/2006/main" count="831" uniqueCount="305">
  <si>
    <t>Дата</t>
  </si>
  <si>
    <t>Номер</t>
  </si>
  <si>
    <t>Контрагент</t>
  </si>
  <si>
    <t>Сума</t>
  </si>
  <si>
    <t>Валюта</t>
  </si>
  <si>
    <t>Підрозділ</t>
  </si>
  <si>
    <t>Організація</t>
  </si>
  <si>
    <t>Відповідальний</t>
  </si>
  <si>
    <t>Коментар</t>
  </si>
  <si>
    <t>01.09.2025 00:00:00</t>
  </si>
  <si>
    <t>ІБ00-000531</t>
  </si>
  <si>
    <t>КАТЕРИНОПІЛЬСЬКИЙ ЕЛЕВАТОР ТОВ</t>
  </si>
  <si>
    <t>грн</t>
  </si>
  <si>
    <t>Виробничий (Катеринопіль МХП)</t>
  </si>
  <si>
    <t>ТОВ "ІНДАСТРІАЛБУД"</t>
  </si>
  <si>
    <t>Хлань Елена</t>
  </si>
  <si>
    <t>Акт 5 (Охолодження макухи)</t>
  </si>
  <si>
    <t>01.09.2025 14:41:57</t>
  </si>
  <si>
    <t>ІБ00-000526</t>
  </si>
  <si>
    <t>АГРОФІРМА ІМ. ДОВЖЕНКА ТОВ</t>
  </si>
  <si>
    <t>Виробничий (Астарта_Тищенки)</t>
  </si>
  <si>
    <t>Корівник № 7 Акт  2-2</t>
  </si>
  <si>
    <t>01.09.2025 14:43:51</t>
  </si>
  <si>
    <t>ІБ00-000527</t>
  </si>
  <si>
    <t>Корівник № 6 Акт  1-01</t>
  </si>
  <si>
    <t>АСТАРТА АГРО ПРОТЕЇН ТОВ</t>
  </si>
  <si>
    <t>Виробничий (Глобине-2)</t>
  </si>
  <si>
    <t>01.09.2025 17:39:48</t>
  </si>
  <si>
    <t>ІБ00-000532</t>
  </si>
  <si>
    <t>Акт 8 № 09/05/2025ВО від 09.05.2025</t>
  </si>
  <si>
    <t>03.09.2025 14:53:34</t>
  </si>
  <si>
    <t>ІБ00-000535</t>
  </si>
  <si>
    <t>Аулова Маргарита</t>
  </si>
  <si>
    <t>Корівник № 7 Акт  2-3</t>
  </si>
  <si>
    <t>03.09.2025 14:57:22</t>
  </si>
  <si>
    <t>ІБ00-000536</t>
  </si>
  <si>
    <t>Корівник № 6 Акт  1-02</t>
  </si>
  <si>
    <t>04.09.2025 00:00:00</t>
  </si>
  <si>
    <t>ІБ00-000474</t>
  </si>
  <si>
    <t xml:space="preserve"> Акт 25/1.14-КБ (Котельня)</t>
  </si>
  <si>
    <t>ІБ00-000505</t>
  </si>
  <si>
    <t>Акт 66/1.3-КМ(Цех екстракції поз. 3 ГБ)</t>
  </si>
  <si>
    <t>ІБ00-000506</t>
  </si>
  <si>
    <t>Акт 67/1.3-КМ(Цех екстракції поз. 3 ГБ)</t>
  </si>
  <si>
    <t>ІБ00-000507</t>
  </si>
  <si>
    <t>Акт 68/1.3-КМ(Цех екстракції поз. 3 ГБ)</t>
  </si>
  <si>
    <t>ІБ00-000513</t>
  </si>
  <si>
    <t>Акт 31/1.3-ТХ (Цех екстракції поз. 3 ГБ) мат підрядника, МШП</t>
  </si>
  <si>
    <t>ІБ00-000514</t>
  </si>
  <si>
    <t>Акт 32/1.3-ТХ (Цех екстракції поз. 3 ГБ)</t>
  </si>
  <si>
    <t>ІБ00-000515</t>
  </si>
  <si>
    <t xml:space="preserve"> Акт 17/1.9-КМ (СПК)</t>
  </si>
  <si>
    <t>ІБ00-000516</t>
  </si>
  <si>
    <t>Акт 69/1.3-КМ(Цех екстракції поз. 3 ГБ)</t>
  </si>
  <si>
    <t>ІБ00-000517</t>
  </si>
  <si>
    <t xml:space="preserve"> Акт 23/1.9-ЗБ</t>
  </si>
  <si>
    <t>ІБ00-000518</t>
  </si>
  <si>
    <t xml:space="preserve">Акт 31/1.3-КБ(Цех екстракції поз. 3 ГБ) </t>
  </si>
  <si>
    <t>ІБ00-000519</t>
  </si>
  <si>
    <t xml:space="preserve"> Акт 3/1.16-КМ (Пожежний резервуар)</t>
  </si>
  <si>
    <t>ІБ00-000520</t>
  </si>
  <si>
    <t xml:space="preserve"> Акт 1/1.7-КМ (списання цех)</t>
  </si>
  <si>
    <t>ІБ00-000522</t>
  </si>
  <si>
    <t xml:space="preserve"> Акт 5/1.1-АР</t>
  </si>
  <si>
    <t>09.09.2025 18:14:20</t>
  </si>
  <si>
    <t>ІБ00-000538</t>
  </si>
  <si>
    <t>Акт 4 (Транспортна галерея)</t>
  </si>
  <si>
    <t>10.09.2025 00:00:00</t>
  </si>
  <si>
    <t>ІБ00-000539</t>
  </si>
  <si>
    <t xml:space="preserve"> Акт 6/1.1-АР</t>
  </si>
  <si>
    <t xml:space="preserve"> Акт 17/1.14-АР (Котельня)</t>
  </si>
  <si>
    <t>ІБ00-000541</t>
  </si>
  <si>
    <t>Акт 71/1.3-КМ(Цех екстракції поз. 3 ГБ)</t>
  </si>
  <si>
    <t>ІБ00-000542</t>
  </si>
  <si>
    <t>Акт 16/1.16-КБ (Насосна пожежогасіння поз.7 по ГП)</t>
  </si>
  <si>
    <t>ІБ00-000543</t>
  </si>
  <si>
    <t xml:space="preserve"> Акт 20/1.10-КБ</t>
  </si>
  <si>
    <t>ІБ00-000544</t>
  </si>
  <si>
    <t>Акт 32/1.3-КБ(Цех екстракції поз. 3 ГБ)</t>
  </si>
  <si>
    <t>ІБ00-000545</t>
  </si>
  <si>
    <t>Акт 70/1.3-КМ(Цех екстракції поз. 3 ГБ)</t>
  </si>
  <si>
    <t>ІБ00-000546</t>
  </si>
  <si>
    <t xml:space="preserve"> Акт 2/1.7-КМ</t>
  </si>
  <si>
    <t>ІБ00-000549</t>
  </si>
  <si>
    <t>Акт 33/1.3-ТХ (Цех екстракції поз. 3 ГБ)</t>
  </si>
  <si>
    <t>10.09.2025 17:59:45</t>
  </si>
  <si>
    <t>ІБ00-000566</t>
  </si>
  <si>
    <t>Акт 9 № 09/05/2025ВО від 09.05.2025</t>
  </si>
  <si>
    <t>10.09.2025 17:59:50</t>
  </si>
  <si>
    <t>ІБ00-000575</t>
  </si>
  <si>
    <t>Акт 5 (Транспортна галерея)</t>
  </si>
  <si>
    <t>11.09.2025 16:23:44</t>
  </si>
  <si>
    <t>ІБ00-000551</t>
  </si>
  <si>
    <t>Корівник № 6 Акт  1-03</t>
  </si>
  <si>
    <t>11.09.2025 16:24:25</t>
  </si>
  <si>
    <t>ІБ00-000552</t>
  </si>
  <si>
    <t>Корівник № 7 Акт  2-4</t>
  </si>
  <si>
    <t>12.09.2025 13:50:00</t>
  </si>
  <si>
    <t>ІБ00-000554</t>
  </si>
  <si>
    <t>Акт 2 ДУ 6</t>
  </si>
  <si>
    <t>12.09.2025 13:51:58</t>
  </si>
  <si>
    <t>ІБ00-000555</t>
  </si>
  <si>
    <t>Акт 16</t>
  </si>
  <si>
    <t>12.09.2025 23:00:23</t>
  </si>
  <si>
    <t>ІБ00-000607</t>
  </si>
  <si>
    <t>Акт 1 ДУ 9</t>
  </si>
  <si>
    <t>15.09.2025 11:28:18</t>
  </si>
  <si>
    <t>ІБ00-000567</t>
  </si>
  <si>
    <t>НІЖИНСЬКИЙ ЖИРКОМБІНАТ ПрАТ</t>
  </si>
  <si>
    <t>Виробничий (Ніжин-4)</t>
  </si>
  <si>
    <t>Акт 11</t>
  </si>
  <si>
    <t>15.09.2025 11:28:52</t>
  </si>
  <si>
    <t>ІБ00-000568</t>
  </si>
  <si>
    <t>Акт 12</t>
  </si>
  <si>
    <t>15.09.2025 11:29:17</t>
  </si>
  <si>
    <t>ІБ00-000569</t>
  </si>
  <si>
    <t>Акт 13</t>
  </si>
  <si>
    <t>15.09.2025 11:46:19</t>
  </si>
  <si>
    <t>ІБ00-000570</t>
  </si>
  <si>
    <t>Акт 14</t>
  </si>
  <si>
    <t>15.09.2025 11:46:49</t>
  </si>
  <si>
    <t>ІБ00-000571</t>
  </si>
  <si>
    <t>Акт 15</t>
  </si>
  <si>
    <t>15.09.2025 11:47:19</t>
  </si>
  <si>
    <t>ІБ00-000572</t>
  </si>
  <si>
    <t>15.09.2025 11:47:46</t>
  </si>
  <si>
    <t>ІБ00-000573</t>
  </si>
  <si>
    <t>Акт 17</t>
  </si>
  <si>
    <t>15.09.2025 11:48:15</t>
  </si>
  <si>
    <t>ІБ00-000574</t>
  </si>
  <si>
    <t>Акт 18</t>
  </si>
  <si>
    <t>16.09.2025 00:00:00</t>
  </si>
  <si>
    <t>ІБ00-000481</t>
  </si>
  <si>
    <t>РЕТАЛ УКРАЇНА ТОВ</t>
  </si>
  <si>
    <t>Виробничий (Ретал ГПУ)</t>
  </si>
  <si>
    <t>Акт 1 Договір підряду № 19/02/25 від 19.02.2025</t>
  </si>
  <si>
    <t>16.09.2025 09:25:47</t>
  </si>
  <si>
    <t>ІБ00-000482</t>
  </si>
  <si>
    <t>Акт 2 Договір підряду № 19/02/25 від 19.02.2025</t>
  </si>
  <si>
    <t>16.09.2025 09:26:31</t>
  </si>
  <si>
    <t>ІБ00-000483</t>
  </si>
  <si>
    <t>Акт 3 Договір підряду № 19/02/25 від 19.02.2025</t>
  </si>
  <si>
    <t>16.09.2025 11:54:47</t>
  </si>
  <si>
    <t>ІБ00-000503</t>
  </si>
  <si>
    <t>Акт 4 Договір підряду № 19/02/25 від 19.02.2025</t>
  </si>
  <si>
    <t>16.09.2025 16:09:09</t>
  </si>
  <si>
    <t>ІБ00-000583</t>
  </si>
  <si>
    <t>Акт 5 Договір підряду № 19/02/25 від 19.02.2025</t>
  </si>
  <si>
    <t>17.09.2025 16:46:18</t>
  </si>
  <si>
    <t>ІБ00-000550</t>
  </si>
  <si>
    <t>Акт 10/1.5-КБ (насосна,градирня)</t>
  </si>
  <si>
    <t>17.09.2025 17:03:44</t>
  </si>
  <si>
    <t>ІБ00-000556</t>
  </si>
  <si>
    <t xml:space="preserve"> Акт 7/1.1-АР</t>
  </si>
  <si>
    <t>17.09.2025 17:06:04</t>
  </si>
  <si>
    <t>ІБ00-000557</t>
  </si>
  <si>
    <t>17.09.2025 17:10:06</t>
  </si>
  <si>
    <t>ІБ00-000558</t>
  </si>
  <si>
    <t xml:space="preserve"> Акт 18/1.9-КМ (СПК)</t>
  </si>
  <si>
    <t>17.09.2025 17:14:27</t>
  </si>
  <si>
    <t>ІБ00-000559</t>
  </si>
  <si>
    <t xml:space="preserve"> Акт 21/1.10-КБ</t>
  </si>
  <si>
    <t>17.09.2025 17:15:27</t>
  </si>
  <si>
    <t>ІБ00-000560</t>
  </si>
  <si>
    <t xml:space="preserve"> Акт 18/1.14-АР (Котельня)</t>
  </si>
  <si>
    <t>17.09.2025 17:17:39</t>
  </si>
  <si>
    <t>ІБ00-000561</t>
  </si>
  <si>
    <t>Акт 9/1.5-КМ (насосна,градирня)</t>
  </si>
  <si>
    <t>17.09.2025 17:19:31</t>
  </si>
  <si>
    <t>ІБ00-000562</t>
  </si>
  <si>
    <t xml:space="preserve"> Акт 3/1.7-КМ</t>
  </si>
  <si>
    <t>17.09.2025 17:22:12</t>
  </si>
  <si>
    <t>ІБ00-000563</t>
  </si>
  <si>
    <t>Акт 73/1.3-КМ(Цех екстракції поз. 3 ГБ)</t>
  </si>
  <si>
    <t>17.09.2025 17:24:19</t>
  </si>
  <si>
    <t>ІБ00-000564</t>
  </si>
  <si>
    <t>Акт 72/1.3-КМ(Цех екстракції поз. 3 ГБ)</t>
  </si>
  <si>
    <t>17.09.2025 17:27:46</t>
  </si>
  <si>
    <t>ІБ00-000565</t>
  </si>
  <si>
    <t xml:space="preserve"> Акт 1/1.18-КБ</t>
  </si>
  <si>
    <t>18.09.2025 15:23:59</t>
  </si>
  <si>
    <t>ІБ00-000580</t>
  </si>
  <si>
    <t>Акт 34/1.3-ТХ (Цех екстракції поз. 3 ГБ) підрядник Капіталбудмонтаж</t>
  </si>
  <si>
    <t>18.09.2025 15:24:32</t>
  </si>
  <si>
    <t>ІБ00-000581</t>
  </si>
  <si>
    <t>Акт 35/1.3-ТХ (Цех екстракції поз. 3 ГБ)</t>
  </si>
  <si>
    <t>18.09.2025 15:31:21</t>
  </si>
  <si>
    <t>ІБ00-000582</t>
  </si>
  <si>
    <t>Акт 36/1.3-ТХ (Цех екстракції поз. 3 ГБ)</t>
  </si>
  <si>
    <t>18.09.2025 17:04:20</t>
  </si>
  <si>
    <t>ІБ00-000584</t>
  </si>
  <si>
    <t>ГЛОБИНСЬКИЙ ПЕРЕРОБНИЙ ЗАВОД ТОВ</t>
  </si>
  <si>
    <t xml:space="preserve"> Акт 10/ГПЗ</t>
  </si>
  <si>
    <t>22.09.2025 11:11:37</t>
  </si>
  <si>
    <t>ІБ00-000615</t>
  </si>
  <si>
    <t>Акт 6 (Транспортна галерея)</t>
  </si>
  <si>
    <t>22.09.2025 18:00:01</t>
  </si>
  <si>
    <t>ІБ00-000610</t>
  </si>
  <si>
    <t>Акт 1 ДУ 10</t>
  </si>
  <si>
    <t>23.09.2025 14:38:04</t>
  </si>
  <si>
    <t>ІБ00-000586</t>
  </si>
  <si>
    <t>Ємність освітлених вод Акт  3-02</t>
  </si>
  <si>
    <t>23.09.2025 15:07:39</t>
  </si>
  <si>
    <t>ІБ00-000588</t>
  </si>
  <si>
    <t>Доїльно-молочний блок Акт 4-01</t>
  </si>
  <si>
    <t>23.09.2025 15:18:33</t>
  </si>
  <si>
    <t>ІБ00-000589</t>
  </si>
  <si>
    <t>Доїльно-молочний блок Акт 4-02/без списання земл роботи</t>
  </si>
  <si>
    <t>23.09.2025 15:43:57</t>
  </si>
  <si>
    <t>ІБ00-000590</t>
  </si>
  <si>
    <t>Корівник № 6 Акт  1-04</t>
  </si>
  <si>
    <t>23.09.2025 15:46:00</t>
  </si>
  <si>
    <t>ІБ00-000591</t>
  </si>
  <si>
    <t>Корівник № 6 Акт  1-05</t>
  </si>
  <si>
    <t>23.09.2025 16:08:46</t>
  </si>
  <si>
    <t>ІБ00-000605</t>
  </si>
  <si>
    <t>Корівник № 7 Акт  2-06</t>
  </si>
  <si>
    <t>23.09.2025 16:10:24</t>
  </si>
  <si>
    <t>ІБ00-000606</t>
  </si>
  <si>
    <t>Корівник № 7 Акт  2-05</t>
  </si>
  <si>
    <t>23.09.2025 18:00:39</t>
  </si>
  <si>
    <t>ІБ00-000617</t>
  </si>
  <si>
    <t>Акт 1 ДУ 2 № 09/05/2025ВО від 09.05.2025</t>
  </si>
  <si>
    <t>25.09.2025 15:48:21</t>
  </si>
  <si>
    <t>ІБ00-000521</t>
  </si>
  <si>
    <t>Акт 5/1.5-ТХ (Насосна пожежогасіння поз.7 по ГП)</t>
  </si>
  <si>
    <t>25.09.2025 15:49:19</t>
  </si>
  <si>
    <t>ІБ00-000592</t>
  </si>
  <si>
    <t>Акт 11/1.5-КБ (насосна,градирня)</t>
  </si>
  <si>
    <t>25.09.2025 15:50:02</t>
  </si>
  <si>
    <t>ІБ00-000593</t>
  </si>
  <si>
    <t>Акт 74/1.3-КМ(Цех екстракції поз. 3 ГБ)</t>
  </si>
  <si>
    <t>25.09.2025 15:50:40</t>
  </si>
  <si>
    <t>ІБ00-000594</t>
  </si>
  <si>
    <t xml:space="preserve"> Акт 2/1.18-КБ</t>
  </si>
  <si>
    <t>25.09.2025 15:52:22</t>
  </si>
  <si>
    <t>ІБ00-000595</t>
  </si>
  <si>
    <t xml:space="preserve"> Акт 20/1.1-КБ (АПК)</t>
  </si>
  <si>
    <t>25.09.2025 15:53:23</t>
  </si>
  <si>
    <t>ІБ00-000596</t>
  </si>
  <si>
    <t xml:space="preserve"> Акт 17/1.26_Б</t>
  </si>
  <si>
    <t>25.09.2025 15:54:02</t>
  </si>
  <si>
    <t>ІБ00-000597</t>
  </si>
  <si>
    <t xml:space="preserve"> Акт 18/1.26_Б</t>
  </si>
  <si>
    <t>25.09.2025 15:59:17</t>
  </si>
  <si>
    <t>ІБ00-000598</t>
  </si>
  <si>
    <t xml:space="preserve"> Акт 19/1.9-КМ (СПК)</t>
  </si>
  <si>
    <t>25.09.2025 16:00:03</t>
  </si>
  <si>
    <t>ІБ00-000599</t>
  </si>
  <si>
    <t xml:space="preserve"> Акт 19/1.14-АР (Котельня)</t>
  </si>
  <si>
    <t>25.09.2025 16:00:42</t>
  </si>
  <si>
    <t>ІБ00-000600</t>
  </si>
  <si>
    <t xml:space="preserve"> Акт 8/1.1-АР</t>
  </si>
  <si>
    <t>25.09.2025 16:02:28</t>
  </si>
  <si>
    <t>ІБ00-000601</t>
  </si>
  <si>
    <t xml:space="preserve"> Акт 1/1.3-АР</t>
  </si>
  <si>
    <t>25.09.2025 16:03:28</t>
  </si>
  <si>
    <t>ІБ00-000602</t>
  </si>
  <si>
    <t xml:space="preserve"> Акт 24/1.9-ЗБ (підрядник без списання)</t>
  </si>
  <si>
    <t>25.09.2025 16:04:41</t>
  </si>
  <si>
    <t>ІБ00-000603</t>
  </si>
  <si>
    <t xml:space="preserve"> Акт 4/1.16-КМ (Пожежний резервуар)</t>
  </si>
  <si>
    <t>25.09.2025 16:05:01</t>
  </si>
  <si>
    <t>ІБ00-000611</t>
  </si>
  <si>
    <t>Акт 37/1.3-ТХ (Цех екстракції поз. 3 ГБ)</t>
  </si>
  <si>
    <t>25.09.2025 16:05:32</t>
  </si>
  <si>
    <t>ІБ00-000604</t>
  </si>
  <si>
    <t>Акт 17/1.16-КБ (Насосна пожежогасіння поз.7 по ГП)</t>
  </si>
  <si>
    <t>30.09.2025 00:00:00</t>
  </si>
  <si>
    <t>ІБ00-000618</t>
  </si>
  <si>
    <t>Ємність освітлених вод Акт  3-03</t>
  </si>
  <si>
    <t>ІБ00-000619</t>
  </si>
  <si>
    <t>Доїльно-молочний блок Акт 4-03</t>
  </si>
  <si>
    <t>ІБ00-000620</t>
  </si>
  <si>
    <t>Корівник № 7 Акт  2-07</t>
  </si>
  <si>
    <t>Астарта.Тищенки</t>
  </si>
  <si>
    <t>Глобино-2</t>
  </si>
  <si>
    <t>МХП Катеринополь</t>
  </si>
  <si>
    <t>Нежин-4</t>
  </si>
  <si>
    <t>Ретал.ГПУ</t>
  </si>
  <si>
    <t>05.12.2024 00:00:00</t>
  </si>
  <si>
    <t>ІБ00-000247</t>
  </si>
  <si>
    <t>АВІА ВЕНЧУРС ТОВ</t>
  </si>
  <si>
    <t>Виробничий (Крушинка)</t>
  </si>
  <si>
    <t>Акт № 14 ДУ № 13 від 20.09.2023, року ДОГОВІР 20230815-3 від 15.08.2023</t>
  </si>
  <si>
    <t>13.08.2025 00:00:00</t>
  </si>
  <si>
    <t>ІБ00-000645</t>
  </si>
  <si>
    <t>акт №1 за червень 2024 ДУ № 3 ДОГОВІР ПІДРЯДУ № 20230815-3 від 15.08.2023</t>
  </si>
  <si>
    <t>ІБ00-000648</t>
  </si>
  <si>
    <t>Акт № 8 ДУ № 13 від 20.09.2023, року ДОГОВІР 20230815-3 від 15.08.2023</t>
  </si>
  <si>
    <t>ІБ00-000651</t>
  </si>
  <si>
    <t>Акт № 21 ДУ № 13 від 20.09.2023, року ДОГОВІР 20230815-3 від 15.08.2023</t>
  </si>
  <si>
    <t>ІБ00-000650</t>
  </si>
  <si>
    <t>Акт № 20 ДУ № 13 від 20.09.2023, року ДОГОВІР 20230815-3 від 15.08.2023</t>
  </si>
  <si>
    <t>ІБ00-000647</t>
  </si>
  <si>
    <t>акт №5 ДУ № 7 ДОГОВІР ПІДРЯДУ № 20230815-3 від 15.08.2023</t>
  </si>
  <si>
    <t>ІБ00-000652</t>
  </si>
  <si>
    <t>Акт № 22 ДУ № 13 від 20.09.2023, року ДОГОВІР 20230815-3 від 15.08.2023</t>
  </si>
  <si>
    <t>ІБ00-000646</t>
  </si>
  <si>
    <t>акт №4 ДУ № 7 ДОГОВІР ПІДРЯДУ № 20230815-3 від 15.08.2023</t>
  </si>
  <si>
    <t>ІБ00-000649</t>
  </si>
  <si>
    <t>Акт № 19 ДУ № 13 від 20.09.2023, року ДОГОВІР 20230815-3 від 15.08.2023</t>
  </si>
  <si>
    <t>13.08.2025 23:00:10</t>
  </si>
  <si>
    <t>ІБ00-000653</t>
  </si>
  <si>
    <t>(до акту № 248, сума 1837963,40) Акт № 9 ДУ № 13 від 20.09.2023, року ДОГОВІР 20230815-3 від 15.08.2023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</si>
</sst>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3" fillId="2" borderId="1" xfId="1" applyNumberFormat="1" applyFont="1" applyFill="1" applyBorder="1" applyAlignment="1">
      <alignment horizontal="left" vertical="top"/>
    </xf>
    <xf numFmtId="0" fontId="4" fillId="2" borderId="1" xfId="1" applyNumberFormat="1" applyFont="1" applyFill="1" applyBorder="1" applyAlignment="1">
      <alignment horizontal="left" vertical="top"/>
    </xf>
    <xf numFmtId="4" fontId="4" fillId="2" borderId="1" xfId="1" applyNumberFormat="1" applyFont="1" applyFill="1" applyBorder="1" applyAlignment="1">
      <alignment horizontal="right" vertical="top"/>
    </xf>
    <xf numFmtId="4" fontId="0" fillId="0" borderId="0" xfId="0" applyNumberFormat="1"/>
    <xf numFmtId="4" fontId="1" fillId="0" borderId="0" xfId="0" applyNumberFormat="1" applyFont="1"/>
  </cellXfs>
  <cellStyles count="2">
    <cellStyle name="Обычный" xfId="0" builtinId="0"/>
    <cellStyle name="Обычный_Sheet1" xfId="1" xr:uid="{A4CBD336-2455-4BFE-AA39-A0D27E8D5B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6"/>
  <sheetViews>
    <sheetView tabSelected="1" topLeftCell="A94" workbookViewId="0">
      <selection activeCell="E119" sqref="E119"/>
    </sheetView>
  </sheetViews>
  <sheetFormatPr defaultRowHeight="14.4" x14ac:dyDescent="0.3"/>
  <cols>
    <col min="1" max="1" width="14" bestFit="1" customWidth="1"/>
    <col min="2" max="2" width="9.21875" bestFit="1" customWidth="1"/>
    <col min="3" max="3" width="33" bestFit="1" customWidth="1"/>
    <col min="4" max="4" width="12.33203125" bestFit="1" customWidth="1"/>
    <col min="5" max="5" width="7.6640625" bestFit="1" customWidth="1"/>
    <col min="6" max="6" width="26" bestFit="1" customWidth="1"/>
    <col min="7" max="7" width="16.6640625" bestFit="1" customWidth="1"/>
    <col min="8" max="8" width="14.5546875" bestFit="1" customWidth="1"/>
    <col min="9" max="9" width="47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3">
        <v>311010.92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3">
      <c r="A3" s="2" t="s">
        <v>17</v>
      </c>
      <c r="B3" s="2" t="s">
        <v>18</v>
      </c>
      <c r="C3" s="2" t="s">
        <v>19</v>
      </c>
      <c r="D3" s="3">
        <v>321478.31</v>
      </c>
      <c r="E3" s="2" t="s">
        <v>12</v>
      </c>
      <c r="F3" s="2" t="s">
        <v>20</v>
      </c>
      <c r="G3" s="2" t="s">
        <v>14</v>
      </c>
      <c r="H3" s="2" t="s">
        <v>15</v>
      </c>
      <c r="I3" s="2" t="s">
        <v>21</v>
      </c>
    </row>
    <row r="4" spans="1:9" x14ac:dyDescent="0.3">
      <c r="A4" s="2" t="s">
        <v>22</v>
      </c>
      <c r="B4" s="2" t="s">
        <v>23</v>
      </c>
      <c r="C4" s="2" t="s">
        <v>19</v>
      </c>
      <c r="D4" s="3">
        <v>177666.97</v>
      </c>
      <c r="E4" s="2" t="s">
        <v>12</v>
      </c>
      <c r="F4" s="2" t="s">
        <v>20</v>
      </c>
      <c r="G4" s="2" t="s">
        <v>14</v>
      </c>
      <c r="H4" s="2" t="s">
        <v>15</v>
      </c>
      <c r="I4" s="2" t="s">
        <v>24</v>
      </c>
    </row>
    <row r="5" spans="1:9" x14ac:dyDescent="0.3">
      <c r="A5" s="2" t="s">
        <v>27</v>
      </c>
      <c r="B5" s="2" t="s">
        <v>28</v>
      </c>
      <c r="C5" s="2" t="s">
        <v>11</v>
      </c>
      <c r="D5" s="3">
        <v>281181.08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29</v>
      </c>
    </row>
    <row r="6" spans="1:9" x14ac:dyDescent="0.3">
      <c r="A6" s="2" t="s">
        <v>30</v>
      </c>
      <c r="B6" s="2" t="s">
        <v>31</v>
      </c>
      <c r="C6" s="2" t="s">
        <v>19</v>
      </c>
      <c r="D6" s="3">
        <v>973145.04</v>
      </c>
      <c r="E6" s="2" t="s">
        <v>12</v>
      </c>
      <c r="F6" s="2" t="s">
        <v>20</v>
      </c>
      <c r="G6" s="2" t="s">
        <v>14</v>
      </c>
      <c r="H6" s="2" t="s">
        <v>32</v>
      </c>
      <c r="I6" s="2" t="s">
        <v>33</v>
      </c>
    </row>
    <row r="7" spans="1:9" x14ac:dyDescent="0.3">
      <c r="A7" s="2" t="s">
        <v>34</v>
      </c>
      <c r="B7" s="2" t="s">
        <v>35</v>
      </c>
      <c r="C7" s="2" t="s">
        <v>19</v>
      </c>
      <c r="D7" s="3">
        <v>304013.3</v>
      </c>
      <c r="E7" s="2" t="s">
        <v>12</v>
      </c>
      <c r="F7" s="2" t="s">
        <v>20</v>
      </c>
      <c r="G7" s="2" t="s">
        <v>14</v>
      </c>
      <c r="H7" s="2" t="s">
        <v>32</v>
      </c>
      <c r="I7" s="2" t="s">
        <v>36</v>
      </c>
    </row>
    <row r="8" spans="1:9" x14ac:dyDescent="0.3">
      <c r="A8" s="2" t="s">
        <v>37</v>
      </c>
      <c r="B8" s="2" t="s">
        <v>38</v>
      </c>
      <c r="C8" s="2" t="s">
        <v>25</v>
      </c>
      <c r="D8" s="3">
        <v>207507.59</v>
      </c>
      <c r="E8" s="2" t="s">
        <v>12</v>
      </c>
      <c r="F8" s="2" t="s">
        <v>26</v>
      </c>
      <c r="G8" s="2" t="s">
        <v>14</v>
      </c>
      <c r="H8" s="2" t="s">
        <v>15</v>
      </c>
      <c r="I8" s="2" t="s">
        <v>39</v>
      </c>
    </row>
    <row r="9" spans="1:9" x14ac:dyDescent="0.3">
      <c r="A9" s="2" t="s">
        <v>37</v>
      </c>
      <c r="B9" s="2" t="s">
        <v>40</v>
      </c>
      <c r="C9" s="2" t="s">
        <v>25</v>
      </c>
      <c r="D9" s="3">
        <v>1534926.04</v>
      </c>
      <c r="E9" s="2" t="s">
        <v>12</v>
      </c>
      <c r="F9" s="2" t="s">
        <v>26</v>
      </c>
      <c r="G9" s="2" t="s">
        <v>14</v>
      </c>
      <c r="H9" s="2" t="s">
        <v>15</v>
      </c>
      <c r="I9" s="2" t="s">
        <v>41</v>
      </c>
    </row>
    <row r="10" spans="1:9" x14ac:dyDescent="0.3">
      <c r="A10" s="2" t="s">
        <v>37</v>
      </c>
      <c r="B10" s="2" t="s">
        <v>42</v>
      </c>
      <c r="C10" s="2" t="s">
        <v>25</v>
      </c>
      <c r="D10" s="3">
        <v>1578367.57</v>
      </c>
      <c r="E10" s="2" t="s">
        <v>12</v>
      </c>
      <c r="F10" s="2" t="s">
        <v>26</v>
      </c>
      <c r="G10" s="2" t="s">
        <v>14</v>
      </c>
      <c r="H10" s="2" t="s">
        <v>15</v>
      </c>
      <c r="I10" s="2" t="s">
        <v>43</v>
      </c>
    </row>
    <row r="11" spans="1:9" x14ac:dyDescent="0.3">
      <c r="A11" s="2" t="s">
        <v>37</v>
      </c>
      <c r="B11" s="2" t="s">
        <v>44</v>
      </c>
      <c r="C11" s="2" t="s">
        <v>25</v>
      </c>
      <c r="D11" s="3">
        <v>1849400.86</v>
      </c>
      <c r="E11" s="2" t="s">
        <v>12</v>
      </c>
      <c r="F11" s="2" t="s">
        <v>26</v>
      </c>
      <c r="G11" s="2" t="s">
        <v>14</v>
      </c>
      <c r="H11" s="2" t="s">
        <v>15</v>
      </c>
      <c r="I11" s="2" t="s">
        <v>45</v>
      </c>
    </row>
    <row r="12" spans="1:9" x14ac:dyDescent="0.3">
      <c r="A12" s="2" t="s">
        <v>37</v>
      </c>
      <c r="B12" s="2" t="s">
        <v>46</v>
      </c>
      <c r="C12" s="2" t="s">
        <v>25</v>
      </c>
      <c r="D12" s="3">
        <v>55197.599999999999</v>
      </c>
      <c r="E12" s="2" t="s">
        <v>12</v>
      </c>
      <c r="F12" s="2" t="s">
        <v>26</v>
      </c>
      <c r="G12" s="2" t="s">
        <v>14</v>
      </c>
      <c r="H12" s="2" t="s">
        <v>15</v>
      </c>
      <c r="I12" s="2" t="s">
        <v>47</v>
      </c>
    </row>
    <row r="13" spans="1:9" x14ac:dyDescent="0.3">
      <c r="A13" s="2" t="s">
        <v>37</v>
      </c>
      <c r="B13" s="2" t="s">
        <v>48</v>
      </c>
      <c r="C13" s="2" t="s">
        <v>25</v>
      </c>
      <c r="D13" s="3">
        <v>3532554.86</v>
      </c>
      <c r="E13" s="2" t="s">
        <v>12</v>
      </c>
      <c r="F13" s="2" t="s">
        <v>26</v>
      </c>
      <c r="G13" s="2" t="s">
        <v>14</v>
      </c>
      <c r="H13" s="2" t="s">
        <v>15</v>
      </c>
      <c r="I13" s="2" t="s">
        <v>49</v>
      </c>
    </row>
    <row r="14" spans="1:9" x14ac:dyDescent="0.3">
      <c r="A14" s="2" t="s">
        <v>37</v>
      </c>
      <c r="B14" s="2" t="s">
        <v>50</v>
      </c>
      <c r="C14" s="2" t="s">
        <v>25</v>
      </c>
      <c r="D14" s="3">
        <v>953302.7</v>
      </c>
      <c r="E14" s="2" t="s">
        <v>12</v>
      </c>
      <c r="F14" s="2" t="s">
        <v>26</v>
      </c>
      <c r="G14" s="2" t="s">
        <v>14</v>
      </c>
      <c r="H14" s="2" t="s">
        <v>15</v>
      </c>
      <c r="I14" s="2" t="s">
        <v>51</v>
      </c>
    </row>
    <row r="15" spans="1:9" x14ac:dyDescent="0.3">
      <c r="A15" s="2" t="s">
        <v>37</v>
      </c>
      <c r="B15" s="2" t="s">
        <v>52</v>
      </c>
      <c r="C15" s="2" t="s">
        <v>25</v>
      </c>
      <c r="D15" s="3">
        <v>599265.48</v>
      </c>
      <c r="E15" s="2" t="s">
        <v>12</v>
      </c>
      <c r="F15" s="2" t="s">
        <v>26</v>
      </c>
      <c r="G15" s="2" t="s">
        <v>14</v>
      </c>
      <c r="H15" s="2" t="s">
        <v>15</v>
      </c>
      <c r="I15" s="2" t="s">
        <v>53</v>
      </c>
    </row>
    <row r="16" spans="1:9" x14ac:dyDescent="0.3">
      <c r="A16" s="2" t="s">
        <v>37</v>
      </c>
      <c r="B16" s="2" t="s">
        <v>54</v>
      </c>
      <c r="C16" s="2" t="s">
        <v>25</v>
      </c>
      <c r="D16" s="3">
        <v>632543.65</v>
      </c>
      <c r="E16" s="2" t="s">
        <v>12</v>
      </c>
      <c r="F16" s="2" t="s">
        <v>26</v>
      </c>
      <c r="G16" s="2" t="s">
        <v>14</v>
      </c>
      <c r="H16" s="2" t="s">
        <v>15</v>
      </c>
      <c r="I16" s="2" t="s">
        <v>55</v>
      </c>
    </row>
    <row r="17" spans="1:9" x14ac:dyDescent="0.3">
      <c r="A17" s="2" t="s">
        <v>37</v>
      </c>
      <c r="B17" s="2" t="s">
        <v>56</v>
      </c>
      <c r="C17" s="2" t="s">
        <v>25</v>
      </c>
      <c r="D17" s="3">
        <v>19888.490000000002</v>
      </c>
      <c r="E17" s="2" t="s">
        <v>12</v>
      </c>
      <c r="F17" s="2" t="s">
        <v>26</v>
      </c>
      <c r="G17" s="2" t="s">
        <v>14</v>
      </c>
      <c r="H17" s="2" t="s">
        <v>15</v>
      </c>
      <c r="I17" s="2" t="s">
        <v>57</v>
      </c>
    </row>
    <row r="18" spans="1:9" x14ac:dyDescent="0.3">
      <c r="A18" s="2" t="s">
        <v>37</v>
      </c>
      <c r="B18" s="2" t="s">
        <v>58</v>
      </c>
      <c r="C18" s="2" t="s">
        <v>25</v>
      </c>
      <c r="D18" s="3">
        <v>108987.05</v>
      </c>
      <c r="E18" s="2" t="s">
        <v>12</v>
      </c>
      <c r="F18" s="2" t="s">
        <v>26</v>
      </c>
      <c r="G18" s="2" t="s">
        <v>14</v>
      </c>
      <c r="H18" s="2" t="s">
        <v>15</v>
      </c>
      <c r="I18" s="2" t="s">
        <v>59</v>
      </c>
    </row>
    <row r="19" spans="1:9" x14ac:dyDescent="0.3">
      <c r="A19" s="2" t="s">
        <v>37</v>
      </c>
      <c r="B19" s="2" t="s">
        <v>60</v>
      </c>
      <c r="C19" s="2" t="s">
        <v>25</v>
      </c>
      <c r="D19" s="3">
        <v>724640.35</v>
      </c>
      <c r="E19" s="2" t="s">
        <v>12</v>
      </c>
      <c r="F19" s="2" t="s">
        <v>26</v>
      </c>
      <c r="G19" s="2" t="s">
        <v>14</v>
      </c>
      <c r="H19" s="2" t="s">
        <v>15</v>
      </c>
      <c r="I19" s="2" t="s">
        <v>61</v>
      </c>
    </row>
    <row r="20" spans="1:9" x14ac:dyDescent="0.3">
      <c r="A20" s="2" t="s">
        <v>37</v>
      </c>
      <c r="B20" s="2" t="s">
        <v>62</v>
      </c>
      <c r="C20" s="2" t="s">
        <v>25</v>
      </c>
      <c r="D20" s="3">
        <v>173331.6</v>
      </c>
      <c r="E20" s="2" t="s">
        <v>12</v>
      </c>
      <c r="F20" s="2" t="s">
        <v>26</v>
      </c>
      <c r="G20" s="2" t="s">
        <v>14</v>
      </c>
      <c r="H20" s="2" t="s">
        <v>15</v>
      </c>
      <c r="I20" s="2" t="s">
        <v>63</v>
      </c>
    </row>
    <row r="21" spans="1:9" x14ac:dyDescent="0.3">
      <c r="A21" s="2" t="s">
        <v>64</v>
      </c>
      <c r="B21" s="2" t="s">
        <v>65</v>
      </c>
      <c r="C21" s="2" t="s">
        <v>11</v>
      </c>
      <c r="D21" s="3">
        <v>1392991.79</v>
      </c>
      <c r="E21" s="2" t="s">
        <v>12</v>
      </c>
      <c r="F21" s="2" t="s">
        <v>13</v>
      </c>
      <c r="G21" s="2" t="s">
        <v>14</v>
      </c>
      <c r="H21" s="2" t="s">
        <v>32</v>
      </c>
      <c r="I21" s="2" t="s">
        <v>66</v>
      </c>
    </row>
    <row r="22" spans="1:9" x14ac:dyDescent="0.3">
      <c r="A22" s="2" t="s">
        <v>67</v>
      </c>
      <c r="B22" s="2" t="s">
        <v>68</v>
      </c>
      <c r="C22" s="2" t="s">
        <v>25</v>
      </c>
      <c r="D22" s="3">
        <v>259260.79999999999</v>
      </c>
      <c r="E22" s="2" t="s">
        <v>12</v>
      </c>
      <c r="F22" s="2" t="s">
        <v>26</v>
      </c>
      <c r="G22" s="2" t="s">
        <v>14</v>
      </c>
      <c r="H22" s="2" t="s">
        <v>32</v>
      </c>
      <c r="I22" s="2" t="s">
        <v>69</v>
      </c>
    </row>
    <row r="23" spans="1:9" x14ac:dyDescent="0.3">
      <c r="A23" s="2" t="s">
        <v>67</v>
      </c>
      <c r="B23" s="2" t="s">
        <v>71</v>
      </c>
      <c r="C23" s="2" t="s">
        <v>25</v>
      </c>
      <c r="D23" s="3">
        <v>565805.94999999995</v>
      </c>
      <c r="E23" s="2" t="s">
        <v>12</v>
      </c>
      <c r="F23" s="2" t="s">
        <v>26</v>
      </c>
      <c r="G23" s="2" t="s">
        <v>14</v>
      </c>
      <c r="H23" s="2" t="s">
        <v>32</v>
      </c>
      <c r="I23" s="2" t="s">
        <v>72</v>
      </c>
    </row>
    <row r="24" spans="1:9" x14ac:dyDescent="0.3">
      <c r="A24" s="2" t="s">
        <v>67</v>
      </c>
      <c r="B24" s="2" t="s">
        <v>73</v>
      </c>
      <c r="C24" s="2" t="s">
        <v>25</v>
      </c>
      <c r="D24" s="3">
        <v>63130.46</v>
      </c>
      <c r="E24" s="2" t="s">
        <v>12</v>
      </c>
      <c r="F24" s="2" t="s">
        <v>26</v>
      </c>
      <c r="G24" s="2" t="s">
        <v>14</v>
      </c>
      <c r="H24" s="2" t="s">
        <v>32</v>
      </c>
      <c r="I24" s="2" t="s">
        <v>74</v>
      </c>
    </row>
    <row r="25" spans="1:9" x14ac:dyDescent="0.3">
      <c r="A25" s="2" t="s">
        <v>67</v>
      </c>
      <c r="B25" s="2" t="s">
        <v>75</v>
      </c>
      <c r="C25" s="2" t="s">
        <v>25</v>
      </c>
      <c r="D25" s="3">
        <v>10161.01</v>
      </c>
      <c r="E25" s="2" t="s">
        <v>12</v>
      </c>
      <c r="F25" s="2" t="s">
        <v>26</v>
      </c>
      <c r="G25" s="2" t="s">
        <v>14</v>
      </c>
      <c r="H25" s="2" t="s">
        <v>32</v>
      </c>
      <c r="I25" s="2" t="s">
        <v>76</v>
      </c>
    </row>
    <row r="26" spans="1:9" x14ac:dyDescent="0.3">
      <c r="A26" s="2" t="s">
        <v>67</v>
      </c>
      <c r="B26" s="2" t="s">
        <v>77</v>
      </c>
      <c r="C26" s="2" t="s">
        <v>25</v>
      </c>
      <c r="D26" s="3">
        <v>451509.88</v>
      </c>
      <c r="E26" s="2" t="s">
        <v>12</v>
      </c>
      <c r="F26" s="2" t="s">
        <v>26</v>
      </c>
      <c r="G26" s="2" t="s">
        <v>14</v>
      </c>
      <c r="H26" s="2" t="s">
        <v>32</v>
      </c>
      <c r="I26" s="2" t="s">
        <v>78</v>
      </c>
    </row>
    <row r="27" spans="1:9" x14ac:dyDescent="0.3">
      <c r="A27" s="2" t="s">
        <v>67</v>
      </c>
      <c r="B27" s="2" t="s">
        <v>79</v>
      </c>
      <c r="C27" s="2" t="s">
        <v>25</v>
      </c>
      <c r="D27" s="3">
        <v>1841657.5</v>
      </c>
      <c r="E27" s="2" t="s">
        <v>12</v>
      </c>
      <c r="F27" s="2" t="s">
        <v>26</v>
      </c>
      <c r="G27" s="2" t="s">
        <v>14</v>
      </c>
      <c r="H27" s="2" t="s">
        <v>32</v>
      </c>
      <c r="I27" s="2" t="s">
        <v>80</v>
      </c>
    </row>
    <row r="28" spans="1:9" x14ac:dyDescent="0.3">
      <c r="A28" s="2" t="s">
        <v>67</v>
      </c>
      <c r="B28" s="2" t="s">
        <v>81</v>
      </c>
      <c r="C28" s="2" t="s">
        <v>25</v>
      </c>
      <c r="D28" s="3">
        <v>2169493.85</v>
      </c>
      <c r="E28" s="2" t="s">
        <v>12</v>
      </c>
      <c r="F28" s="2" t="s">
        <v>26</v>
      </c>
      <c r="G28" s="2" t="s">
        <v>14</v>
      </c>
      <c r="H28" s="2" t="s">
        <v>32</v>
      </c>
      <c r="I28" s="2" t="s">
        <v>82</v>
      </c>
    </row>
    <row r="29" spans="1:9" x14ac:dyDescent="0.3">
      <c r="A29" s="2" t="s">
        <v>67</v>
      </c>
      <c r="B29" s="2" t="s">
        <v>83</v>
      </c>
      <c r="C29" s="2" t="s">
        <v>25</v>
      </c>
      <c r="D29" s="3">
        <v>6549927.9100000001</v>
      </c>
      <c r="E29" s="2" t="s">
        <v>12</v>
      </c>
      <c r="F29" s="2" t="s">
        <v>26</v>
      </c>
      <c r="G29" s="2" t="s">
        <v>14</v>
      </c>
      <c r="H29" s="2" t="s">
        <v>32</v>
      </c>
      <c r="I29" s="2" t="s">
        <v>84</v>
      </c>
    </row>
    <row r="30" spans="1:9" x14ac:dyDescent="0.3">
      <c r="A30" s="2" t="s">
        <v>85</v>
      </c>
      <c r="B30" s="2" t="s">
        <v>86</v>
      </c>
      <c r="C30" s="2" t="s">
        <v>11</v>
      </c>
      <c r="D30" s="3">
        <v>158198.75</v>
      </c>
      <c r="E30" s="2" t="s">
        <v>12</v>
      </c>
      <c r="F30" s="2" t="s">
        <v>13</v>
      </c>
      <c r="G30" s="2" t="s">
        <v>14</v>
      </c>
      <c r="H30" s="2" t="s">
        <v>15</v>
      </c>
      <c r="I30" s="2" t="s">
        <v>87</v>
      </c>
    </row>
    <row r="31" spans="1:9" x14ac:dyDescent="0.3">
      <c r="A31" s="2" t="s">
        <v>88</v>
      </c>
      <c r="B31" s="2" t="s">
        <v>89</v>
      </c>
      <c r="C31" s="2" t="s">
        <v>11</v>
      </c>
      <c r="D31" s="3">
        <v>2016993.47</v>
      </c>
      <c r="E31" s="2" t="s">
        <v>12</v>
      </c>
      <c r="F31" s="2" t="s">
        <v>13</v>
      </c>
      <c r="G31" s="2" t="s">
        <v>14</v>
      </c>
      <c r="H31" s="2" t="s">
        <v>15</v>
      </c>
      <c r="I31" s="2" t="s">
        <v>90</v>
      </c>
    </row>
    <row r="32" spans="1:9" x14ac:dyDescent="0.3">
      <c r="A32" s="2" t="s">
        <v>91</v>
      </c>
      <c r="B32" s="2" t="s">
        <v>92</v>
      </c>
      <c r="C32" s="2" t="s">
        <v>19</v>
      </c>
      <c r="D32" s="3">
        <v>668786.07999999996</v>
      </c>
      <c r="E32" s="2" t="s">
        <v>12</v>
      </c>
      <c r="F32" s="2" t="s">
        <v>20</v>
      </c>
      <c r="G32" s="2" t="s">
        <v>14</v>
      </c>
      <c r="H32" s="2" t="s">
        <v>32</v>
      </c>
      <c r="I32" s="2" t="s">
        <v>93</v>
      </c>
    </row>
    <row r="33" spans="1:9" x14ac:dyDescent="0.3">
      <c r="A33" s="2" t="s">
        <v>94</v>
      </c>
      <c r="B33" s="2" t="s">
        <v>95</v>
      </c>
      <c r="C33" s="2" t="s">
        <v>19</v>
      </c>
      <c r="D33" s="3">
        <v>803123.35</v>
      </c>
      <c r="E33" s="2" t="s">
        <v>12</v>
      </c>
      <c r="F33" s="2" t="s">
        <v>20</v>
      </c>
      <c r="G33" s="2" t="s">
        <v>14</v>
      </c>
      <c r="H33" s="2" t="s">
        <v>32</v>
      </c>
      <c r="I33" s="2" t="s">
        <v>96</v>
      </c>
    </row>
    <row r="34" spans="1:9" x14ac:dyDescent="0.3">
      <c r="A34" s="2" t="s">
        <v>97</v>
      </c>
      <c r="B34" s="2" t="s">
        <v>98</v>
      </c>
      <c r="C34" s="2" t="s">
        <v>11</v>
      </c>
      <c r="D34" s="3">
        <v>38726.06</v>
      </c>
      <c r="E34" s="2" t="s">
        <v>12</v>
      </c>
      <c r="F34" s="2" t="s">
        <v>13</v>
      </c>
      <c r="G34" s="2" t="s">
        <v>14</v>
      </c>
      <c r="H34" s="2" t="s">
        <v>32</v>
      </c>
      <c r="I34" s="2" t="s">
        <v>99</v>
      </c>
    </row>
    <row r="35" spans="1:9" x14ac:dyDescent="0.3">
      <c r="A35" s="2" t="s">
        <v>100</v>
      </c>
      <c r="B35" s="2" t="s">
        <v>101</v>
      </c>
      <c r="C35" s="2" t="s">
        <v>11</v>
      </c>
      <c r="D35" s="3">
        <v>174413.35</v>
      </c>
      <c r="E35" s="2" t="s">
        <v>12</v>
      </c>
      <c r="F35" s="2" t="s">
        <v>13</v>
      </c>
      <c r="G35" s="2" t="s">
        <v>14</v>
      </c>
      <c r="H35" s="2" t="s">
        <v>32</v>
      </c>
      <c r="I35" s="2" t="s">
        <v>102</v>
      </c>
    </row>
    <row r="36" spans="1:9" x14ac:dyDescent="0.3">
      <c r="A36" s="2" t="s">
        <v>103</v>
      </c>
      <c r="B36" s="2" t="s">
        <v>104</v>
      </c>
      <c r="C36" s="2" t="s">
        <v>11</v>
      </c>
      <c r="D36" s="3">
        <v>287046.89</v>
      </c>
      <c r="E36" s="2" t="s">
        <v>12</v>
      </c>
      <c r="F36" s="2" t="s">
        <v>13</v>
      </c>
      <c r="G36" s="2" t="s">
        <v>14</v>
      </c>
      <c r="H36" s="2" t="s">
        <v>32</v>
      </c>
      <c r="I36" s="2" t="s">
        <v>105</v>
      </c>
    </row>
    <row r="37" spans="1:9" x14ac:dyDescent="0.3">
      <c r="A37" s="2" t="s">
        <v>106</v>
      </c>
      <c r="B37" s="2" t="s">
        <v>107</v>
      </c>
      <c r="C37" s="2" t="s">
        <v>108</v>
      </c>
      <c r="D37" s="3">
        <v>57750</v>
      </c>
      <c r="E37" s="2" t="s">
        <v>12</v>
      </c>
      <c r="F37" s="2" t="s">
        <v>109</v>
      </c>
      <c r="G37" s="2" t="s">
        <v>14</v>
      </c>
      <c r="H37" s="2" t="s">
        <v>15</v>
      </c>
      <c r="I37" s="2" t="s">
        <v>110</v>
      </c>
    </row>
    <row r="38" spans="1:9" x14ac:dyDescent="0.3">
      <c r="A38" s="2" t="s">
        <v>111</v>
      </c>
      <c r="B38" s="2" t="s">
        <v>112</v>
      </c>
      <c r="C38" s="2" t="s">
        <v>108</v>
      </c>
      <c r="D38" s="3">
        <v>438839.2</v>
      </c>
      <c r="E38" s="2" t="s">
        <v>12</v>
      </c>
      <c r="F38" s="2" t="s">
        <v>109</v>
      </c>
      <c r="G38" s="2" t="s">
        <v>14</v>
      </c>
      <c r="H38" s="2" t="s">
        <v>15</v>
      </c>
      <c r="I38" s="2" t="s">
        <v>113</v>
      </c>
    </row>
    <row r="39" spans="1:9" x14ac:dyDescent="0.3">
      <c r="A39" s="2" t="s">
        <v>114</v>
      </c>
      <c r="B39" s="2" t="s">
        <v>115</v>
      </c>
      <c r="C39" s="2" t="s">
        <v>108</v>
      </c>
      <c r="D39" s="3">
        <v>201717.63</v>
      </c>
      <c r="E39" s="2" t="s">
        <v>12</v>
      </c>
      <c r="F39" s="2" t="s">
        <v>109</v>
      </c>
      <c r="G39" s="2" t="s">
        <v>14</v>
      </c>
      <c r="H39" s="2" t="s">
        <v>15</v>
      </c>
      <c r="I39" s="2" t="s">
        <v>116</v>
      </c>
    </row>
    <row r="40" spans="1:9" x14ac:dyDescent="0.3">
      <c r="A40" s="2" t="s">
        <v>117</v>
      </c>
      <c r="B40" s="2" t="s">
        <v>118</v>
      </c>
      <c r="C40" s="2" t="s">
        <v>108</v>
      </c>
      <c r="D40" s="3">
        <v>135328.5</v>
      </c>
      <c r="E40" s="2" t="s">
        <v>12</v>
      </c>
      <c r="F40" s="2" t="s">
        <v>109</v>
      </c>
      <c r="G40" s="2" t="s">
        <v>14</v>
      </c>
      <c r="H40" s="2" t="s">
        <v>15</v>
      </c>
      <c r="I40" s="2" t="s">
        <v>119</v>
      </c>
    </row>
    <row r="41" spans="1:9" x14ac:dyDescent="0.3">
      <c r="A41" s="2" t="s">
        <v>120</v>
      </c>
      <c r="B41" s="2" t="s">
        <v>121</v>
      </c>
      <c r="C41" s="2" t="s">
        <v>108</v>
      </c>
      <c r="D41" s="3">
        <v>174800</v>
      </c>
      <c r="E41" s="2" t="s">
        <v>12</v>
      </c>
      <c r="F41" s="2" t="s">
        <v>109</v>
      </c>
      <c r="G41" s="2" t="s">
        <v>14</v>
      </c>
      <c r="H41" s="2" t="s">
        <v>15</v>
      </c>
      <c r="I41" s="2" t="s">
        <v>122</v>
      </c>
    </row>
    <row r="42" spans="1:9" x14ac:dyDescent="0.3">
      <c r="A42" s="2" t="s">
        <v>123</v>
      </c>
      <c r="B42" s="2" t="s">
        <v>124</v>
      </c>
      <c r="C42" s="2" t="s">
        <v>108</v>
      </c>
      <c r="D42" s="3">
        <v>1126492.19</v>
      </c>
      <c r="E42" s="2" t="s">
        <v>12</v>
      </c>
      <c r="F42" s="2" t="s">
        <v>109</v>
      </c>
      <c r="G42" s="2" t="s">
        <v>14</v>
      </c>
      <c r="H42" s="2" t="s">
        <v>15</v>
      </c>
      <c r="I42" s="2" t="s">
        <v>102</v>
      </c>
    </row>
    <row r="43" spans="1:9" x14ac:dyDescent="0.3">
      <c r="A43" s="2" t="s">
        <v>125</v>
      </c>
      <c r="B43" s="2" t="s">
        <v>126</v>
      </c>
      <c r="C43" s="2" t="s">
        <v>108</v>
      </c>
      <c r="D43" s="3">
        <v>880022</v>
      </c>
      <c r="E43" s="2" t="s">
        <v>12</v>
      </c>
      <c r="F43" s="2" t="s">
        <v>109</v>
      </c>
      <c r="G43" s="2" t="s">
        <v>14</v>
      </c>
      <c r="H43" s="2" t="s">
        <v>15</v>
      </c>
      <c r="I43" s="2" t="s">
        <v>127</v>
      </c>
    </row>
    <row r="44" spans="1:9" x14ac:dyDescent="0.3">
      <c r="A44" s="2" t="s">
        <v>128</v>
      </c>
      <c r="B44" s="2" t="s">
        <v>129</v>
      </c>
      <c r="C44" s="2" t="s">
        <v>108</v>
      </c>
      <c r="D44" s="3">
        <v>453750</v>
      </c>
      <c r="E44" s="2" t="s">
        <v>12</v>
      </c>
      <c r="F44" s="2" t="s">
        <v>109</v>
      </c>
      <c r="G44" s="2" t="s">
        <v>14</v>
      </c>
      <c r="H44" s="2" t="s">
        <v>15</v>
      </c>
      <c r="I44" s="2" t="s">
        <v>130</v>
      </c>
    </row>
    <row r="45" spans="1:9" x14ac:dyDescent="0.3">
      <c r="A45" s="2" t="s">
        <v>131</v>
      </c>
      <c r="B45" s="2" t="s">
        <v>132</v>
      </c>
      <c r="C45" s="2" t="s">
        <v>133</v>
      </c>
      <c r="D45" s="3">
        <v>2238938.9500000002</v>
      </c>
      <c r="E45" s="2" t="s">
        <v>12</v>
      </c>
      <c r="F45" s="2" t="s">
        <v>134</v>
      </c>
      <c r="G45" s="2" t="s">
        <v>14</v>
      </c>
      <c r="H45" s="2" t="s">
        <v>15</v>
      </c>
      <c r="I45" s="2" t="s">
        <v>135</v>
      </c>
    </row>
    <row r="46" spans="1:9" x14ac:dyDescent="0.3">
      <c r="A46" s="2" t="s">
        <v>136</v>
      </c>
      <c r="B46" s="2" t="s">
        <v>137</v>
      </c>
      <c r="C46" s="2" t="s">
        <v>133</v>
      </c>
      <c r="D46" s="3">
        <v>3469222.44</v>
      </c>
      <c r="E46" s="2" t="s">
        <v>12</v>
      </c>
      <c r="F46" s="2" t="s">
        <v>134</v>
      </c>
      <c r="G46" s="2" t="s">
        <v>14</v>
      </c>
      <c r="H46" s="2" t="s">
        <v>15</v>
      </c>
      <c r="I46" s="2" t="s">
        <v>138</v>
      </c>
    </row>
    <row r="47" spans="1:9" x14ac:dyDescent="0.3">
      <c r="A47" s="2" t="s">
        <v>139</v>
      </c>
      <c r="B47" s="2" t="s">
        <v>140</v>
      </c>
      <c r="C47" s="2" t="s">
        <v>133</v>
      </c>
      <c r="D47" s="3">
        <v>2859743.24</v>
      </c>
      <c r="E47" s="2" t="s">
        <v>12</v>
      </c>
      <c r="F47" s="2" t="s">
        <v>134</v>
      </c>
      <c r="G47" s="2" t="s">
        <v>14</v>
      </c>
      <c r="H47" s="2" t="s">
        <v>15</v>
      </c>
      <c r="I47" s="2" t="s">
        <v>141</v>
      </c>
    </row>
    <row r="48" spans="1:9" x14ac:dyDescent="0.3">
      <c r="A48" s="2" t="s">
        <v>142</v>
      </c>
      <c r="B48" s="2" t="s">
        <v>143</v>
      </c>
      <c r="C48" s="2" t="s">
        <v>133</v>
      </c>
      <c r="D48" s="3">
        <v>2820261.89</v>
      </c>
      <c r="E48" s="2" t="s">
        <v>12</v>
      </c>
      <c r="F48" s="2" t="s">
        <v>134</v>
      </c>
      <c r="G48" s="2" t="s">
        <v>14</v>
      </c>
      <c r="H48" s="2" t="s">
        <v>15</v>
      </c>
      <c r="I48" s="2" t="s">
        <v>144</v>
      </c>
    </row>
    <row r="49" spans="1:9" x14ac:dyDescent="0.3">
      <c r="A49" s="2" t="s">
        <v>145</v>
      </c>
      <c r="B49" s="2" t="s">
        <v>146</v>
      </c>
      <c r="C49" s="2" t="s">
        <v>133</v>
      </c>
      <c r="D49" s="3">
        <v>541874.55000000005</v>
      </c>
      <c r="E49" s="2" t="s">
        <v>12</v>
      </c>
      <c r="F49" s="2" t="s">
        <v>134</v>
      </c>
      <c r="G49" s="2" t="s">
        <v>14</v>
      </c>
      <c r="H49" s="2" t="s">
        <v>15</v>
      </c>
      <c r="I49" s="2" t="s">
        <v>147</v>
      </c>
    </row>
    <row r="50" spans="1:9" x14ac:dyDescent="0.3">
      <c r="A50" s="2" t="s">
        <v>148</v>
      </c>
      <c r="B50" s="2" t="s">
        <v>149</v>
      </c>
      <c r="C50" s="2" t="s">
        <v>25</v>
      </c>
      <c r="D50" s="3">
        <v>34298.239999999998</v>
      </c>
      <c r="E50" s="2" t="s">
        <v>12</v>
      </c>
      <c r="F50" s="2" t="s">
        <v>26</v>
      </c>
      <c r="G50" s="2" t="s">
        <v>14</v>
      </c>
      <c r="H50" s="2" t="s">
        <v>32</v>
      </c>
      <c r="I50" s="2" t="s">
        <v>150</v>
      </c>
    </row>
    <row r="51" spans="1:9" x14ac:dyDescent="0.3">
      <c r="A51" s="2" t="s">
        <v>151</v>
      </c>
      <c r="B51" s="2" t="s">
        <v>152</v>
      </c>
      <c r="C51" s="2" t="s">
        <v>25</v>
      </c>
      <c r="D51" s="3">
        <v>1202273.53</v>
      </c>
      <c r="E51" s="2" t="s">
        <v>12</v>
      </c>
      <c r="F51" s="2" t="s">
        <v>26</v>
      </c>
      <c r="G51" s="2" t="s">
        <v>14</v>
      </c>
      <c r="H51" s="2" t="s">
        <v>32</v>
      </c>
      <c r="I51" s="2" t="s">
        <v>153</v>
      </c>
    </row>
    <row r="52" spans="1:9" x14ac:dyDescent="0.3">
      <c r="A52" s="2" t="s">
        <v>154</v>
      </c>
      <c r="B52" s="2" t="s">
        <v>155</v>
      </c>
      <c r="C52" s="2" t="s">
        <v>25</v>
      </c>
      <c r="D52" s="3">
        <v>665104.55000000005</v>
      </c>
      <c r="E52" s="2" t="s">
        <v>12</v>
      </c>
      <c r="F52" s="2" t="s">
        <v>26</v>
      </c>
      <c r="G52" s="2" t="s">
        <v>14</v>
      </c>
      <c r="H52" s="2" t="s">
        <v>32</v>
      </c>
      <c r="I52" s="2" t="s">
        <v>70</v>
      </c>
    </row>
    <row r="53" spans="1:9" x14ac:dyDescent="0.3">
      <c r="A53" s="2" t="s">
        <v>156</v>
      </c>
      <c r="B53" s="2" t="s">
        <v>157</v>
      </c>
      <c r="C53" s="2" t="s">
        <v>25</v>
      </c>
      <c r="D53" s="3">
        <v>983403.13</v>
      </c>
      <c r="E53" s="2" t="s">
        <v>12</v>
      </c>
      <c r="F53" s="2" t="s">
        <v>26</v>
      </c>
      <c r="G53" s="2" t="s">
        <v>14</v>
      </c>
      <c r="H53" s="2" t="s">
        <v>32</v>
      </c>
      <c r="I53" s="2" t="s">
        <v>158</v>
      </c>
    </row>
    <row r="54" spans="1:9" x14ac:dyDescent="0.3">
      <c r="A54" s="2" t="s">
        <v>159</v>
      </c>
      <c r="B54" s="2" t="s">
        <v>160</v>
      </c>
      <c r="C54" s="2" t="s">
        <v>25</v>
      </c>
      <c r="D54" s="3">
        <v>338321.08</v>
      </c>
      <c r="E54" s="2" t="s">
        <v>12</v>
      </c>
      <c r="F54" s="2" t="s">
        <v>26</v>
      </c>
      <c r="G54" s="2" t="s">
        <v>14</v>
      </c>
      <c r="H54" s="2" t="s">
        <v>32</v>
      </c>
      <c r="I54" s="2" t="s">
        <v>161</v>
      </c>
    </row>
    <row r="55" spans="1:9" x14ac:dyDescent="0.3">
      <c r="A55" s="2" t="s">
        <v>162</v>
      </c>
      <c r="B55" s="2" t="s">
        <v>163</v>
      </c>
      <c r="C55" s="2" t="s">
        <v>25</v>
      </c>
      <c r="D55" s="3">
        <v>1666535.24</v>
      </c>
      <c r="E55" s="2" t="s">
        <v>12</v>
      </c>
      <c r="F55" s="2" t="s">
        <v>26</v>
      </c>
      <c r="G55" s="2" t="s">
        <v>14</v>
      </c>
      <c r="H55" s="2" t="s">
        <v>32</v>
      </c>
      <c r="I55" s="2" t="s">
        <v>164</v>
      </c>
    </row>
    <row r="56" spans="1:9" x14ac:dyDescent="0.3">
      <c r="A56" s="2" t="s">
        <v>165</v>
      </c>
      <c r="B56" s="2" t="s">
        <v>166</v>
      </c>
      <c r="C56" s="2" t="s">
        <v>25</v>
      </c>
      <c r="D56" s="3">
        <v>442084.46</v>
      </c>
      <c r="E56" s="2" t="s">
        <v>12</v>
      </c>
      <c r="F56" s="2" t="s">
        <v>26</v>
      </c>
      <c r="G56" s="2" t="s">
        <v>14</v>
      </c>
      <c r="H56" s="2" t="s">
        <v>32</v>
      </c>
      <c r="I56" s="2" t="s">
        <v>167</v>
      </c>
    </row>
    <row r="57" spans="1:9" x14ac:dyDescent="0.3">
      <c r="A57" s="2" t="s">
        <v>168</v>
      </c>
      <c r="B57" s="2" t="s">
        <v>169</v>
      </c>
      <c r="C57" s="2" t="s">
        <v>25</v>
      </c>
      <c r="D57" s="3">
        <v>77560.100000000006</v>
      </c>
      <c r="E57" s="2" t="s">
        <v>12</v>
      </c>
      <c r="F57" s="2" t="s">
        <v>26</v>
      </c>
      <c r="G57" s="2" t="s">
        <v>14</v>
      </c>
      <c r="H57" s="2" t="s">
        <v>32</v>
      </c>
      <c r="I57" s="2" t="s">
        <v>170</v>
      </c>
    </row>
    <row r="58" spans="1:9" x14ac:dyDescent="0.3">
      <c r="A58" s="2" t="s">
        <v>171</v>
      </c>
      <c r="B58" s="2" t="s">
        <v>172</v>
      </c>
      <c r="C58" s="2" t="s">
        <v>25</v>
      </c>
      <c r="D58" s="3">
        <v>1499160.11</v>
      </c>
      <c r="E58" s="2" t="s">
        <v>12</v>
      </c>
      <c r="F58" s="2" t="s">
        <v>26</v>
      </c>
      <c r="G58" s="2" t="s">
        <v>14</v>
      </c>
      <c r="H58" s="2" t="s">
        <v>32</v>
      </c>
      <c r="I58" s="2" t="s">
        <v>173</v>
      </c>
    </row>
    <row r="59" spans="1:9" x14ac:dyDescent="0.3">
      <c r="A59" s="2" t="s">
        <v>174</v>
      </c>
      <c r="B59" s="2" t="s">
        <v>175</v>
      </c>
      <c r="C59" s="2" t="s">
        <v>25</v>
      </c>
      <c r="D59" s="3">
        <v>482766.29</v>
      </c>
      <c r="E59" s="2" t="s">
        <v>12</v>
      </c>
      <c r="F59" s="2" t="s">
        <v>26</v>
      </c>
      <c r="G59" s="2" t="s">
        <v>14</v>
      </c>
      <c r="H59" s="2" t="s">
        <v>32</v>
      </c>
      <c r="I59" s="2" t="s">
        <v>176</v>
      </c>
    </row>
    <row r="60" spans="1:9" x14ac:dyDescent="0.3">
      <c r="A60" s="2" t="s">
        <v>177</v>
      </c>
      <c r="B60" s="2" t="s">
        <v>178</v>
      </c>
      <c r="C60" s="2" t="s">
        <v>25</v>
      </c>
      <c r="D60" s="3">
        <v>153921.22</v>
      </c>
      <c r="E60" s="2" t="s">
        <v>12</v>
      </c>
      <c r="F60" s="2" t="s">
        <v>26</v>
      </c>
      <c r="G60" s="2" t="s">
        <v>14</v>
      </c>
      <c r="H60" s="2" t="s">
        <v>32</v>
      </c>
      <c r="I60" s="2" t="s">
        <v>179</v>
      </c>
    </row>
    <row r="61" spans="1:9" x14ac:dyDescent="0.3">
      <c r="A61" s="2" t="s">
        <v>180</v>
      </c>
      <c r="B61" s="2" t="s">
        <v>181</v>
      </c>
      <c r="C61" s="2" t="s">
        <v>25</v>
      </c>
      <c r="D61" s="3">
        <v>1933752.55</v>
      </c>
      <c r="E61" s="2" t="s">
        <v>12</v>
      </c>
      <c r="F61" s="2" t="s">
        <v>26</v>
      </c>
      <c r="G61" s="2" t="s">
        <v>14</v>
      </c>
      <c r="H61" s="2" t="s">
        <v>15</v>
      </c>
      <c r="I61" s="2" t="s">
        <v>182</v>
      </c>
    </row>
    <row r="62" spans="1:9" x14ac:dyDescent="0.3">
      <c r="A62" s="2" t="s">
        <v>183</v>
      </c>
      <c r="B62" s="2" t="s">
        <v>184</v>
      </c>
      <c r="C62" s="2" t="s">
        <v>25</v>
      </c>
      <c r="D62" s="3">
        <v>2955819.37</v>
      </c>
      <c r="E62" s="2" t="s">
        <v>12</v>
      </c>
      <c r="F62" s="2" t="s">
        <v>26</v>
      </c>
      <c r="G62" s="2" t="s">
        <v>14</v>
      </c>
      <c r="H62" s="2" t="s">
        <v>15</v>
      </c>
      <c r="I62" s="2" t="s">
        <v>185</v>
      </c>
    </row>
    <row r="63" spans="1:9" x14ac:dyDescent="0.3">
      <c r="A63" s="2" t="s">
        <v>186</v>
      </c>
      <c r="B63" s="2" t="s">
        <v>187</v>
      </c>
      <c r="C63" s="2" t="s">
        <v>25</v>
      </c>
      <c r="D63" s="3">
        <v>3300141.28</v>
      </c>
      <c r="E63" s="2" t="s">
        <v>12</v>
      </c>
      <c r="F63" s="2" t="s">
        <v>26</v>
      </c>
      <c r="G63" s="2" t="s">
        <v>14</v>
      </c>
      <c r="H63" s="2" t="s">
        <v>15</v>
      </c>
      <c r="I63" s="2" t="s">
        <v>188</v>
      </c>
    </row>
    <row r="64" spans="1:9" x14ac:dyDescent="0.3">
      <c r="A64" s="2" t="s">
        <v>189</v>
      </c>
      <c r="B64" s="2" t="s">
        <v>190</v>
      </c>
      <c r="C64" s="2" t="s">
        <v>191</v>
      </c>
      <c r="D64" s="3">
        <v>3146245.87</v>
      </c>
      <c r="E64" s="2" t="s">
        <v>12</v>
      </c>
      <c r="F64" s="2" t="s">
        <v>26</v>
      </c>
      <c r="G64" s="2" t="s">
        <v>14</v>
      </c>
      <c r="H64" s="2" t="s">
        <v>32</v>
      </c>
      <c r="I64" s="2" t="s">
        <v>192</v>
      </c>
    </row>
    <row r="65" spans="1:9" x14ac:dyDescent="0.3">
      <c r="A65" s="2" t="s">
        <v>193</v>
      </c>
      <c r="B65" s="2" t="s">
        <v>194</v>
      </c>
      <c r="C65" s="2" t="s">
        <v>11</v>
      </c>
      <c r="D65" s="3">
        <v>1049640.73</v>
      </c>
      <c r="E65" s="2" t="s">
        <v>12</v>
      </c>
      <c r="F65" s="2" t="s">
        <v>13</v>
      </c>
      <c r="G65" s="2" t="s">
        <v>14</v>
      </c>
      <c r="H65" s="2" t="s">
        <v>15</v>
      </c>
      <c r="I65" s="2" t="s">
        <v>195</v>
      </c>
    </row>
    <row r="66" spans="1:9" x14ac:dyDescent="0.3">
      <c r="A66" s="2" t="s">
        <v>196</v>
      </c>
      <c r="B66" s="2" t="s">
        <v>197</v>
      </c>
      <c r="C66" s="2" t="s">
        <v>11</v>
      </c>
      <c r="D66" s="3">
        <v>577431.06999999995</v>
      </c>
      <c r="E66" s="2" t="s">
        <v>12</v>
      </c>
      <c r="F66" s="2" t="s">
        <v>13</v>
      </c>
      <c r="G66" s="2" t="s">
        <v>14</v>
      </c>
      <c r="H66" s="2" t="s">
        <v>15</v>
      </c>
      <c r="I66" s="2" t="s">
        <v>198</v>
      </c>
    </row>
    <row r="67" spans="1:9" x14ac:dyDescent="0.3">
      <c r="A67" s="2" t="s">
        <v>199</v>
      </c>
      <c r="B67" s="2" t="s">
        <v>200</v>
      </c>
      <c r="C67" s="2" t="s">
        <v>19</v>
      </c>
      <c r="D67" s="3">
        <v>160548.16</v>
      </c>
      <c r="E67" s="2" t="s">
        <v>12</v>
      </c>
      <c r="F67" s="2" t="s">
        <v>20</v>
      </c>
      <c r="G67" s="2" t="s">
        <v>14</v>
      </c>
      <c r="H67" s="2" t="s">
        <v>32</v>
      </c>
      <c r="I67" s="2" t="s">
        <v>201</v>
      </c>
    </row>
    <row r="68" spans="1:9" x14ac:dyDescent="0.3">
      <c r="A68" s="2" t="s">
        <v>202</v>
      </c>
      <c r="B68" s="2" t="s">
        <v>203</v>
      </c>
      <c r="C68" s="2" t="s">
        <v>19</v>
      </c>
      <c r="D68" s="3">
        <v>69057.14</v>
      </c>
      <c r="E68" s="2" t="s">
        <v>12</v>
      </c>
      <c r="F68" s="2" t="s">
        <v>20</v>
      </c>
      <c r="G68" s="2" t="s">
        <v>14</v>
      </c>
      <c r="H68" s="2" t="s">
        <v>32</v>
      </c>
      <c r="I68" s="2" t="s">
        <v>204</v>
      </c>
    </row>
    <row r="69" spans="1:9" x14ac:dyDescent="0.3">
      <c r="A69" s="2" t="s">
        <v>205</v>
      </c>
      <c r="B69" s="2" t="s">
        <v>206</v>
      </c>
      <c r="C69" s="2" t="s">
        <v>19</v>
      </c>
      <c r="D69" s="3">
        <v>89812.44</v>
      </c>
      <c r="E69" s="2" t="s">
        <v>12</v>
      </c>
      <c r="F69" s="2" t="s">
        <v>20</v>
      </c>
      <c r="G69" s="2" t="s">
        <v>14</v>
      </c>
      <c r="H69" s="2" t="s">
        <v>32</v>
      </c>
      <c r="I69" s="2" t="s">
        <v>207</v>
      </c>
    </row>
    <row r="70" spans="1:9" x14ac:dyDescent="0.3">
      <c r="A70" s="2" t="s">
        <v>208</v>
      </c>
      <c r="B70" s="2" t="s">
        <v>209</v>
      </c>
      <c r="C70" s="2" t="s">
        <v>19</v>
      </c>
      <c r="D70" s="3">
        <v>10053.01</v>
      </c>
      <c r="E70" s="2" t="s">
        <v>12</v>
      </c>
      <c r="F70" s="2" t="s">
        <v>20</v>
      </c>
      <c r="G70" s="2" t="s">
        <v>14</v>
      </c>
      <c r="H70" s="2" t="s">
        <v>32</v>
      </c>
      <c r="I70" s="2" t="s">
        <v>210</v>
      </c>
    </row>
    <row r="71" spans="1:9" x14ac:dyDescent="0.3">
      <c r="A71" s="2" t="s">
        <v>211</v>
      </c>
      <c r="B71" s="2" t="s">
        <v>212</v>
      </c>
      <c r="C71" s="2" t="s">
        <v>19</v>
      </c>
      <c r="D71" s="3">
        <v>236572.38</v>
      </c>
      <c r="E71" s="2" t="s">
        <v>12</v>
      </c>
      <c r="F71" s="2" t="s">
        <v>20</v>
      </c>
      <c r="G71" s="2" t="s">
        <v>14</v>
      </c>
      <c r="H71" s="2" t="s">
        <v>32</v>
      </c>
      <c r="I71" s="2" t="s">
        <v>213</v>
      </c>
    </row>
    <row r="72" spans="1:9" x14ac:dyDescent="0.3">
      <c r="A72" s="2" t="s">
        <v>214</v>
      </c>
      <c r="B72" s="2" t="s">
        <v>215</v>
      </c>
      <c r="C72" s="2" t="s">
        <v>19</v>
      </c>
      <c r="D72" s="3">
        <v>799775.57</v>
      </c>
      <c r="E72" s="2" t="s">
        <v>12</v>
      </c>
      <c r="F72" s="2" t="s">
        <v>20</v>
      </c>
      <c r="G72" s="2" t="s">
        <v>14</v>
      </c>
      <c r="H72" s="2" t="s">
        <v>32</v>
      </c>
      <c r="I72" s="2" t="s">
        <v>216</v>
      </c>
    </row>
    <row r="73" spans="1:9" x14ac:dyDescent="0.3">
      <c r="A73" s="2" t="s">
        <v>217</v>
      </c>
      <c r="B73" s="2" t="s">
        <v>218</v>
      </c>
      <c r="C73" s="2" t="s">
        <v>19</v>
      </c>
      <c r="D73" s="3">
        <v>593079.54</v>
      </c>
      <c r="E73" s="2" t="s">
        <v>12</v>
      </c>
      <c r="F73" s="2" t="s">
        <v>20</v>
      </c>
      <c r="G73" s="2" t="s">
        <v>14</v>
      </c>
      <c r="H73" s="2" t="s">
        <v>32</v>
      </c>
      <c r="I73" s="2" t="s">
        <v>219</v>
      </c>
    </row>
    <row r="74" spans="1:9" x14ac:dyDescent="0.3">
      <c r="A74" s="2" t="s">
        <v>220</v>
      </c>
      <c r="B74" s="2" t="s">
        <v>221</v>
      </c>
      <c r="C74" s="2" t="s">
        <v>11</v>
      </c>
      <c r="D74" s="3">
        <v>152486.70000000001</v>
      </c>
      <c r="E74" s="2" t="s">
        <v>12</v>
      </c>
      <c r="F74" s="2" t="s">
        <v>13</v>
      </c>
      <c r="G74" s="2" t="s">
        <v>14</v>
      </c>
      <c r="H74" s="2" t="s">
        <v>15</v>
      </c>
      <c r="I74" s="2" t="s">
        <v>222</v>
      </c>
    </row>
    <row r="75" spans="1:9" x14ac:dyDescent="0.3">
      <c r="A75" s="2" t="s">
        <v>223</v>
      </c>
      <c r="B75" s="2" t="s">
        <v>224</v>
      </c>
      <c r="C75" s="2" t="s">
        <v>25</v>
      </c>
      <c r="D75" s="3">
        <v>370846.78</v>
      </c>
      <c r="E75" s="2" t="s">
        <v>12</v>
      </c>
      <c r="F75" s="2" t="s">
        <v>26</v>
      </c>
      <c r="G75" s="2" t="s">
        <v>14</v>
      </c>
      <c r="H75" s="2" t="s">
        <v>15</v>
      </c>
      <c r="I75" s="2" t="s">
        <v>225</v>
      </c>
    </row>
    <row r="76" spans="1:9" x14ac:dyDescent="0.3">
      <c r="A76" s="2" t="s">
        <v>226</v>
      </c>
      <c r="B76" s="2" t="s">
        <v>227</v>
      </c>
      <c r="C76" s="2" t="s">
        <v>25</v>
      </c>
      <c r="D76" s="3">
        <v>87264.28</v>
      </c>
      <c r="E76" s="2" t="s">
        <v>12</v>
      </c>
      <c r="F76" s="2" t="s">
        <v>26</v>
      </c>
      <c r="G76" s="2" t="s">
        <v>14</v>
      </c>
      <c r="H76" s="2" t="s">
        <v>32</v>
      </c>
      <c r="I76" s="2" t="s">
        <v>228</v>
      </c>
    </row>
    <row r="77" spans="1:9" x14ac:dyDescent="0.3">
      <c r="A77" s="2" t="s">
        <v>229</v>
      </c>
      <c r="B77" s="2" t="s">
        <v>230</v>
      </c>
      <c r="C77" s="2" t="s">
        <v>25</v>
      </c>
      <c r="D77" s="3">
        <v>375666.02</v>
      </c>
      <c r="E77" s="2" t="s">
        <v>12</v>
      </c>
      <c r="F77" s="2" t="s">
        <v>26</v>
      </c>
      <c r="G77" s="2" t="s">
        <v>14</v>
      </c>
      <c r="H77" s="2" t="s">
        <v>32</v>
      </c>
      <c r="I77" s="2" t="s">
        <v>231</v>
      </c>
    </row>
    <row r="78" spans="1:9" x14ac:dyDescent="0.3">
      <c r="A78" s="2" t="s">
        <v>232</v>
      </c>
      <c r="B78" s="2" t="s">
        <v>233</v>
      </c>
      <c r="C78" s="2" t="s">
        <v>25</v>
      </c>
      <c r="D78" s="3">
        <v>227134.34</v>
      </c>
      <c r="E78" s="2" t="s">
        <v>12</v>
      </c>
      <c r="F78" s="2" t="s">
        <v>26</v>
      </c>
      <c r="G78" s="2" t="s">
        <v>14</v>
      </c>
      <c r="H78" s="2" t="s">
        <v>32</v>
      </c>
      <c r="I78" s="2" t="s">
        <v>234</v>
      </c>
    </row>
    <row r="79" spans="1:9" x14ac:dyDescent="0.3">
      <c r="A79" s="2" t="s">
        <v>235</v>
      </c>
      <c r="B79" s="2" t="s">
        <v>236</v>
      </c>
      <c r="C79" s="2" t="s">
        <v>25</v>
      </c>
      <c r="D79" s="3">
        <v>42704.72</v>
      </c>
      <c r="E79" s="2" t="s">
        <v>12</v>
      </c>
      <c r="F79" s="2" t="s">
        <v>26</v>
      </c>
      <c r="G79" s="2" t="s">
        <v>14</v>
      </c>
      <c r="H79" s="2" t="s">
        <v>32</v>
      </c>
      <c r="I79" s="2" t="s">
        <v>237</v>
      </c>
    </row>
    <row r="80" spans="1:9" x14ac:dyDescent="0.3">
      <c r="A80" s="2" t="s">
        <v>238</v>
      </c>
      <c r="B80" s="2" t="s">
        <v>239</v>
      </c>
      <c r="C80" s="2" t="s">
        <v>25</v>
      </c>
      <c r="D80" s="3">
        <v>304841.86</v>
      </c>
      <c r="E80" s="2" t="s">
        <v>12</v>
      </c>
      <c r="F80" s="2" t="s">
        <v>26</v>
      </c>
      <c r="G80" s="2" t="s">
        <v>14</v>
      </c>
      <c r="H80" s="2" t="s">
        <v>32</v>
      </c>
      <c r="I80" s="2" t="s">
        <v>240</v>
      </c>
    </row>
    <row r="81" spans="1:9" x14ac:dyDescent="0.3">
      <c r="A81" s="2" t="s">
        <v>241</v>
      </c>
      <c r="B81" s="2" t="s">
        <v>242</v>
      </c>
      <c r="C81" s="2" t="s">
        <v>25</v>
      </c>
      <c r="D81" s="3">
        <v>70158</v>
      </c>
      <c r="E81" s="2" t="s">
        <v>12</v>
      </c>
      <c r="F81" s="2" t="s">
        <v>26</v>
      </c>
      <c r="G81" s="2" t="s">
        <v>14</v>
      </c>
      <c r="H81" s="2" t="s">
        <v>32</v>
      </c>
      <c r="I81" s="2" t="s">
        <v>243</v>
      </c>
    </row>
    <row r="82" spans="1:9" x14ac:dyDescent="0.3">
      <c r="A82" s="2" t="s">
        <v>244</v>
      </c>
      <c r="B82" s="2" t="s">
        <v>245</v>
      </c>
      <c r="C82" s="2" t="s">
        <v>25</v>
      </c>
      <c r="D82" s="3">
        <v>550328.77</v>
      </c>
      <c r="E82" s="2" t="s">
        <v>12</v>
      </c>
      <c r="F82" s="2" t="s">
        <v>26</v>
      </c>
      <c r="G82" s="2" t="s">
        <v>14</v>
      </c>
      <c r="H82" s="2" t="s">
        <v>32</v>
      </c>
      <c r="I82" s="2" t="s">
        <v>246</v>
      </c>
    </row>
    <row r="83" spans="1:9" x14ac:dyDescent="0.3">
      <c r="A83" s="2" t="s">
        <v>247</v>
      </c>
      <c r="B83" s="2" t="s">
        <v>248</v>
      </c>
      <c r="C83" s="2" t="s">
        <v>25</v>
      </c>
      <c r="D83" s="3">
        <v>150959.45000000001</v>
      </c>
      <c r="E83" s="2" t="s">
        <v>12</v>
      </c>
      <c r="F83" s="2" t="s">
        <v>26</v>
      </c>
      <c r="G83" s="2" t="s">
        <v>14</v>
      </c>
      <c r="H83" s="2" t="s">
        <v>32</v>
      </c>
      <c r="I83" s="2" t="s">
        <v>249</v>
      </c>
    </row>
    <row r="84" spans="1:9" x14ac:dyDescent="0.3">
      <c r="A84" s="2" t="s">
        <v>250</v>
      </c>
      <c r="B84" s="2" t="s">
        <v>251</v>
      </c>
      <c r="C84" s="2" t="s">
        <v>25</v>
      </c>
      <c r="D84" s="3">
        <v>501921.8</v>
      </c>
      <c r="E84" s="2" t="s">
        <v>12</v>
      </c>
      <c r="F84" s="2" t="s">
        <v>26</v>
      </c>
      <c r="G84" s="2" t="s">
        <v>14</v>
      </c>
      <c r="H84" s="2" t="s">
        <v>32</v>
      </c>
      <c r="I84" s="2" t="s">
        <v>252</v>
      </c>
    </row>
    <row r="85" spans="1:9" x14ac:dyDescent="0.3">
      <c r="A85" s="2" t="s">
        <v>253</v>
      </c>
      <c r="B85" s="2" t="s">
        <v>254</v>
      </c>
      <c r="C85" s="2" t="s">
        <v>25</v>
      </c>
      <c r="D85" s="3">
        <v>43374.34</v>
      </c>
      <c r="E85" s="2" t="s">
        <v>12</v>
      </c>
      <c r="F85" s="2" t="s">
        <v>26</v>
      </c>
      <c r="G85" s="2" t="s">
        <v>14</v>
      </c>
      <c r="H85" s="2" t="s">
        <v>32</v>
      </c>
      <c r="I85" s="2" t="s">
        <v>255</v>
      </c>
    </row>
    <row r="86" spans="1:9" x14ac:dyDescent="0.3">
      <c r="A86" s="2" t="s">
        <v>256</v>
      </c>
      <c r="B86" s="2" t="s">
        <v>257</v>
      </c>
      <c r="C86" s="2" t="s">
        <v>25</v>
      </c>
      <c r="D86" s="3">
        <v>218121.67</v>
      </c>
      <c r="E86" s="2" t="s">
        <v>12</v>
      </c>
      <c r="F86" s="2" t="s">
        <v>26</v>
      </c>
      <c r="G86" s="2" t="s">
        <v>14</v>
      </c>
      <c r="H86" s="2" t="s">
        <v>32</v>
      </c>
      <c r="I86" s="2" t="s">
        <v>258</v>
      </c>
    </row>
    <row r="87" spans="1:9" x14ac:dyDescent="0.3">
      <c r="A87" s="2" t="s">
        <v>259</v>
      </c>
      <c r="B87" s="2" t="s">
        <v>260</v>
      </c>
      <c r="C87" s="2" t="s">
        <v>25</v>
      </c>
      <c r="D87" s="3">
        <v>54997.16</v>
      </c>
      <c r="E87" s="2" t="s">
        <v>12</v>
      </c>
      <c r="F87" s="2" t="s">
        <v>26</v>
      </c>
      <c r="G87" s="2" t="s">
        <v>14</v>
      </c>
      <c r="H87" s="2" t="s">
        <v>32</v>
      </c>
      <c r="I87" s="2" t="s">
        <v>261</v>
      </c>
    </row>
    <row r="88" spans="1:9" x14ac:dyDescent="0.3">
      <c r="A88" s="2" t="s">
        <v>262</v>
      </c>
      <c r="B88" s="2" t="s">
        <v>263</v>
      </c>
      <c r="C88" s="2" t="s">
        <v>25</v>
      </c>
      <c r="D88" s="3">
        <v>2082896.89</v>
      </c>
      <c r="E88" s="2" t="s">
        <v>12</v>
      </c>
      <c r="F88" s="2" t="s">
        <v>26</v>
      </c>
      <c r="G88" s="2" t="s">
        <v>14</v>
      </c>
      <c r="H88" s="2" t="s">
        <v>32</v>
      </c>
      <c r="I88" s="2" t="s">
        <v>264</v>
      </c>
    </row>
    <row r="89" spans="1:9" x14ac:dyDescent="0.3">
      <c r="A89" s="2" t="s">
        <v>265</v>
      </c>
      <c r="B89" s="2" t="s">
        <v>266</v>
      </c>
      <c r="C89" s="2" t="s">
        <v>25</v>
      </c>
      <c r="D89" s="3">
        <v>2189131.0099999998</v>
      </c>
      <c r="E89" s="2" t="s">
        <v>12</v>
      </c>
      <c r="F89" s="2" t="s">
        <v>26</v>
      </c>
      <c r="G89" s="2" t="s">
        <v>14</v>
      </c>
      <c r="H89" s="2" t="s">
        <v>32</v>
      </c>
      <c r="I89" s="2" t="s">
        <v>267</v>
      </c>
    </row>
    <row r="90" spans="1:9" x14ac:dyDescent="0.3">
      <c r="A90" s="2" t="s">
        <v>268</v>
      </c>
      <c r="B90" s="2" t="s">
        <v>269</v>
      </c>
      <c r="C90" s="2" t="s">
        <v>19</v>
      </c>
      <c r="D90" s="3">
        <v>1176121.44</v>
      </c>
      <c r="E90" s="2" t="s">
        <v>12</v>
      </c>
      <c r="F90" s="2" t="s">
        <v>20</v>
      </c>
      <c r="G90" s="2" t="s">
        <v>14</v>
      </c>
      <c r="H90" s="2" t="s">
        <v>15</v>
      </c>
      <c r="I90" s="2" t="s">
        <v>270</v>
      </c>
    </row>
    <row r="91" spans="1:9" x14ac:dyDescent="0.3">
      <c r="A91" s="2" t="s">
        <v>268</v>
      </c>
      <c r="B91" s="2" t="s">
        <v>271</v>
      </c>
      <c r="C91" s="2" t="s">
        <v>19</v>
      </c>
      <c r="D91" s="3">
        <v>482922.18</v>
      </c>
      <c r="E91" s="2" t="s">
        <v>12</v>
      </c>
      <c r="F91" s="2" t="s">
        <v>20</v>
      </c>
      <c r="G91" s="2" t="s">
        <v>14</v>
      </c>
      <c r="H91" s="2" t="s">
        <v>15</v>
      </c>
      <c r="I91" s="2" t="s">
        <v>272</v>
      </c>
    </row>
    <row r="92" spans="1:9" x14ac:dyDescent="0.3">
      <c r="A92" s="2" t="s">
        <v>268</v>
      </c>
      <c r="B92" s="2" t="s">
        <v>273</v>
      </c>
      <c r="C92" s="2" t="s">
        <v>19</v>
      </c>
      <c r="D92" s="3">
        <v>1340105.6499999999</v>
      </c>
      <c r="E92" s="2" t="s">
        <v>12</v>
      </c>
      <c r="F92" s="2" t="s">
        <v>20</v>
      </c>
      <c r="G92" s="2" t="s">
        <v>14</v>
      </c>
      <c r="H92" s="2" t="s">
        <v>15</v>
      </c>
      <c r="I92" s="2" t="s">
        <v>274</v>
      </c>
    </row>
    <row r="93" spans="1:9" x14ac:dyDescent="0.3">
      <c r="D93" s="5">
        <f>SUM(D2:D92)</f>
        <v>80077717.269999996</v>
      </c>
    </row>
    <row r="96" spans="1:9" x14ac:dyDescent="0.3">
      <c r="C96" s="4"/>
      <c r="D96" s="4">
        <f>D3+D4+D6+D32+D7+D33+D68+D67+D69+D70+D71+D72+D73+D90+D91+D92</f>
        <v>8206260.5600000005</v>
      </c>
      <c r="E96" t="s">
        <v>275</v>
      </c>
    </row>
    <row r="97" spans="1:9" x14ac:dyDescent="0.3">
      <c r="C97" s="4"/>
      <c r="D97" s="4">
        <f>D8+D9+D10+D11+D12+D13+D14+D15+D16+D17+D18+D19+D20+D22+D23+D24+D25+D26+D27+D28+D29+D50+D51+D52+D53+D54+D55+D56+D57+D58+D59+D60+D61+D62+D63+D64+D76+D75+D77+D78+D80+D79+D81+D82+D83+D84+D85+D86+D87+D88+D89</f>
        <v>50032595.31000001</v>
      </c>
      <c r="E97" t="s">
        <v>276</v>
      </c>
    </row>
    <row r="98" spans="1:9" x14ac:dyDescent="0.3">
      <c r="D98" s="4">
        <f>D2+D5+D21+D30+D31+D35+D34+D36+D65+D66+D74</f>
        <v>6440120.8099999996</v>
      </c>
      <c r="E98" t="s">
        <v>277</v>
      </c>
    </row>
    <row r="99" spans="1:9" x14ac:dyDescent="0.3">
      <c r="D99" s="4">
        <f>D37+D38+D39+D40+D41+D42+D43+D44</f>
        <v>3468699.52</v>
      </c>
      <c r="E99" t="s">
        <v>278</v>
      </c>
    </row>
    <row r="100" spans="1:9" x14ac:dyDescent="0.3">
      <c r="D100" s="4">
        <f>D45+D46+D47+D48+D49</f>
        <v>11930041.070000002</v>
      </c>
      <c r="E100" t="s">
        <v>279</v>
      </c>
    </row>
    <row r="101" spans="1:9" x14ac:dyDescent="0.3">
      <c r="D101" s="5">
        <f>SUBTOTAL(9,D96:D100)</f>
        <v>80077717.270000026</v>
      </c>
    </row>
    <row r="102" spans="1:9" x14ac:dyDescent="0.3">
      <c r="D102" s="4">
        <f>D101-D93</f>
        <v>0</v>
      </c>
    </row>
    <row r="105" spans="1:9" x14ac:dyDescent="0.3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  <c r="G105" s="1" t="s">
        <v>6</v>
      </c>
      <c r="H105" s="1" t="s">
        <v>7</v>
      </c>
      <c r="I105" s="1" t="s">
        <v>8</v>
      </c>
    </row>
    <row r="106" spans="1:9" x14ac:dyDescent="0.3">
      <c r="A106" s="2" t="s">
        <v>280</v>
      </c>
      <c r="B106" s="2" t="s">
        <v>281</v>
      </c>
      <c r="C106" s="2" t="s">
        <v>282</v>
      </c>
      <c r="D106" s="3">
        <v>140030.92000000001</v>
      </c>
      <c r="E106" s="2" t="s">
        <v>12</v>
      </c>
      <c r="F106" s="2" t="s">
        <v>283</v>
      </c>
      <c r="G106" s="2" t="s">
        <v>14</v>
      </c>
      <c r="H106" s="2" t="s">
        <v>15</v>
      </c>
      <c r="I106" s="2" t="s">
        <v>284</v>
      </c>
    </row>
    <row r="107" spans="1:9" x14ac:dyDescent="0.3">
      <c r="A107" s="2" t="s">
        <v>285</v>
      </c>
      <c r="B107" s="2" t="s">
        <v>286</v>
      </c>
      <c r="C107" s="2" t="s">
        <v>282</v>
      </c>
      <c r="D107" s="3">
        <v>98309.75</v>
      </c>
      <c r="E107" s="2" t="s">
        <v>12</v>
      </c>
      <c r="F107" s="2" t="s">
        <v>283</v>
      </c>
      <c r="G107" s="2" t="s">
        <v>14</v>
      </c>
      <c r="H107" s="2" t="s">
        <v>15</v>
      </c>
      <c r="I107" s="2" t="s">
        <v>287</v>
      </c>
    </row>
    <row r="108" spans="1:9" x14ac:dyDescent="0.3">
      <c r="A108" s="2" t="s">
        <v>285</v>
      </c>
      <c r="B108" s="2" t="s">
        <v>288</v>
      </c>
      <c r="C108" s="2" t="s">
        <v>282</v>
      </c>
      <c r="D108" s="3">
        <v>147281.76</v>
      </c>
      <c r="E108" s="2" t="s">
        <v>12</v>
      </c>
      <c r="F108" s="2" t="s">
        <v>283</v>
      </c>
      <c r="G108" s="2" t="s">
        <v>14</v>
      </c>
      <c r="H108" s="2" t="s">
        <v>15</v>
      </c>
      <c r="I108" s="2" t="s">
        <v>289</v>
      </c>
    </row>
    <row r="109" spans="1:9" x14ac:dyDescent="0.3">
      <c r="A109" s="2" t="s">
        <v>285</v>
      </c>
      <c r="B109" s="2" t="s">
        <v>290</v>
      </c>
      <c r="C109" s="2" t="s">
        <v>282</v>
      </c>
      <c r="D109" s="3">
        <v>570551.65</v>
      </c>
      <c r="E109" s="2" t="s">
        <v>12</v>
      </c>
      <c r="F109" s="2" t="s">
        <v>283</v>
      </c>
      <c r="G109" s="2" t="s">
        <v>14</v>
      </c>
      <c r="H109" s="2" t="s">
        <v>15</v>
      </c>
      <c r="I109" s="2" t="s">
        <v>291</v>
      </c>
    </row>
    <row r="110" spans="1:9" x14ac:dyDescent="0.3">
      <c r="A110" s="2" t="s">
        <v>285</v>
      </c>
      <c r="B110" s="2" t="s">
        <v>292</v>
      </c>
      <c r="C110" s="2" t="s">
        <v>282</v>
      </c>
      <c r="D110" s="3">
        <v>189159.72</v>
      </c>
      <c r="E110" s="2" t="s">
        <v>12</v>
      </c>
      <c r="F110" s="2" t="s">
        <v>283</v>
      </c>
      <c r="G110" s="2" t="s">
        <v>14</v>
      </c>
      <c r="H110" s="2" t="s">
        <v>15</v>
      </c>
      <c r="I110" s="2" t="s">
        <v>293</v>
      </c>
    </row>
    <row r="111" spans="1:9" x14ac:dyDescent="0.3">
      <c r="A111" s="2" t="s">
        <v>285</v>
      </c>
      <c r="B111" s="2" t="s">
        <v>294</v>
      </c>
      <c r="C111" s="2" t="s">
        <v>282</v>
      </c>
      <c r="D111" s="3">
        <v>420779.93</v>
      </c>
      <c r="E111" s="2" t="s">
        <v>12</v>
      </c>
      <c r="F111" s="2" t="s">
        <v>283</v>
      </c>
      <c r="G111" s="2" t="s">
        <v>14</v>
      </c>
      <c r="H111" s="2" t="s">
        <v>15</v>
      </c>
      <c r="I111" s="2" t="s">
        <v>295</v>
      </c>
    </row>
    <row r="112" spans="1:9" x14ac:dyDescent="0.3">
      <c r="A112" s="2" t="s">
        <v>285</v>
      </c>
      <c r="B112" s="2" t="s">
        <v>296</v>
      </c>
      <c r="C112" s="2" t="s">
        <v>282</v>
      </c>
      <c r="D112" s="3">
        <v>566892.80000000005</v>
      </c>
      <c r="E112" s="2" t="s">
        <v>12</v>
      </c>
      <c r="F112" s="2" t="s">
        <v>283</v>
      </c>
      <c r="G112" s="2" t="s">
        <v>14</v>
      </c>
      <c r="H112" s="2" t="s">
        <v>15</v>
      </c>
      <c r="I112" s="2" t="s">
        <v>297</v>
      </c>
    </row>
    <row r="113" spans="1:9" x14ac:dyDescent="0.3">
      <c r="A113" s="2" t="s">
        <v>285</v>
      </c>
      <c r="B113" s="2" t="s">
        <v>298</v>
      </c>
      <c r="C113" s="2" t="s">
        <v>282</v>
      </c>
      <c r="D113" s="3">
        <v>511254.29</v>
      </c>
      <c r="E113" s="2" t="s">
        <v>12</v>
      </c>
      <c r="F113" s="2" t="s">
        <v>283</v>
      </c>
      <c r="G113" s="2" t="s">
        <v>14</v>
      </c>
      <c r="H113" s="2" t="s">
        <v>15</v>
      </c>
      <c r="I113" s="2" t="s">
        <v>299</v>
      </c>
    </row>
    <row r="114" spans="1:9" x14ac:dyDescent="0.3">
      <c r="A114" s="2" t="s">
        <v>285</v>
      </c>
      <c r="B114" s="2" t="s">
        <v>300</v>
      </c>
      <c r="C114" s="2" t="s">
        <v>282</v>
      </c>
      <c r="D114" s="3">
        <v>263678.28000000003</v>
      </c>
      <c r="E114" s="2" t="s">
        <v>12</v>
      </c>
      <c r="F114" s="2" t="s">
        <v>283</v>
      </c>
      <c r="G114" s="2" t="s">
        <v>14</v>
      </c>
      <c r="H114" s="2" t="s">
        <v>15</v>
      </c>
      <c r="I114" s="2" t="s">
        <v>301</v>
      </c>
    </row>
    <row r="115" spans="1:9" x14ac:dyDescent="0.3">
      <c r="A115" s="2" t="s">
        <v>302</v>
      </c>
      <c r="B115" s="2" t="s">
        <v>303</v>
      </c>
      <c r="C115" s="2" t="s">
        <v>282</v>
      </c>
      <c r="D115" s="3">
        <v>350008.07</v>
      </c>
      <c r="E115" s="2" t="s">
        <v>12</v>
      </c>
      <c r="F115" s="2" t="s">
        <v>283</v>
      </c>
      <c r="G115" s="2" t="s">
        <v>14</v>
      </c>
      <c r="H115" s="2" t="s">
        <v>15</v>
      </c>
      <c r="I115" s="2" t="s">
        <v>304</v>
      </c>
    </row>
    <row r="116" spans="1:9" x14ac:dyDescent="0.3">
      <c r="D116" s="4">
        <f>SUM(D106:D115)</f>
        <v>3257947.1700000004</v>
      </c>
    </row>
  </sheetData>
  <autoFilter ref="A1:I93" xr:uid="{AE741866-0E2D-4C24-889B-46975A0A1314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2015-06-05T18:17:20Z</dcterms:created>
  <dcterms:modified xsi:type="dcterms:W3CDTF">2025-10-21T14:30:37Z</dcterms:modified>
</cp:coreProperties>
</file>
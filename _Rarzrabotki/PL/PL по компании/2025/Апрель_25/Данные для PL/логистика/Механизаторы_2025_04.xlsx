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8_{1755D134-B60B-4E42-B548-1F558BBDADA2}" xr6:coauthVersionLast="45" xr6:coauthVersionMax="45" xr10:uidLastSave="{00000000-0000-0000-0000-000000000000}"/>
  <bookViews>
    <workbookView xWindow="-108" yWindow="-108" windowWidth="23256" windowHeight="12600" tabRatio="720" firstSheet="6" activeTab="10" xr2:uid="{00000000-000D-0000-FFFF-FFFF00000000}"/>
  </bookViews>
  <sheets>
    <sheet name="Контакты" sheetId="13" state="hidden" r:id="rId1"/>
    <sheet name="Лист2" sheetId="65" state="hidden" r:id="rId2"/>
    <sheet name="Лист3" sheetId="87" state="hidden" r:id="rId3"/>
    <sheet name="Лист1" sheetId="88" state="hidden" r:id="rId4"/>
    <sheet name="IBAN" sheetId="85" state="hidden" r:id="rId5"/>
    <sheet name="МЕХАНИЗАТОРЫ ноябрь" sheetId="91" state="hidden" r:id="rId6"/>
    <sheet name="2025_01_01" sheetId="113" r:id="rId7"/>
    <sheet name="2025_02_01 " sheetId="114" r:id="rId8"/>
    <sheet name="2025_03_01" sheetId="115" r:id="rId9"/>
    <sheet name="2025_04_01" sheetId="116" r:id="rId10"/>
    <sheet name="МЕХАНИЗАТОРЫ апрель" sheetId="109" r:id="rId11"/>
    <sheet name="Лист4 (2)" sheetId="101" r:id="rId12"/>
    <sheet name="Лист5" sheetId="92" r:id="rId13"/>
  </sheets>
  <externalReferences>
    <externalReference r:id="rId14"/>
    <externalReference r:id="rId15"/>
    <externalReference r:id="rId16"/>
  </externalReferences>
  <definedNames>
    <definedName name="_xlnm._FilterDatabase" localSheetId="6" hidden="1">'2025_01_01'!$A$3:$V$39</definedName>
    <definedName name="_xlnm._FilterDatabase" localSheetId="7" hidden="1">'2025_02_01 '!$A$3:$W$39</definedName>
    <definedName name="_xlnm._FilterDatabase" localSheetId="8" hidden="1">'2025_03_01'!$A$3:$W$39</definedName>
    <definedName name="_xlnm._FilterDatabase" localSheetId="9" hidden="1">'2025_04_01'!$A$3:$W$39</definedName>
    <definedName name="_xlnm._FilterDatabase" localSheetId="1" hidden="1">Лист2!$A$1:$C$65</definedName>
    <definedName name="_xlnm._FilterDatabase" localSheetId="2" hidden="1">Лист3!$A$3:$N$3</definedName>
    <definedName name="_xlnm._FilterDatabase" localSheetId="10" hidden="1">'МЕХАНИЗАТОРЫ апрель'!$B$134:$AB$163</definedName>
    <definedName name="_xlnm._FilterDatabase" localSheetId="5" hidden="1">'МЕХАНИЗАТОРЫ ноябрь'!$B$134:$AB$183</definedName>
    <definedName name="Excel_BuiltIn_Print_Area_4">"#REF!"</definedName>
    <definedName name="Excel_BuiltIn_Print_Area_4_1">"#REF!"</definedName>
    <definedName name="Excel_BuiltIn_Print_Area_7">"#REF!"</definedName>
    <definedName name="Excel_BuiltIn_Print_Area_7_1">"#REF!"</definedName>
    <definedName name="Механизаторі" localSheetId="10">'МЕХАНИЗАТОРЫ апрель'!$C$7:$C$20</definedName>
    <definedName name="Механизаторі">'МЕХАНИЗАТОРЫ ноябрь'!$C$7:$C$20</definedName>
    <definedName name="Механизаторы" localSheetId="10">'МЕХАНИЗАТОРЫ апрель'!$C$7:$C$20</definedName>
    <definedName name="Механизаторы">'МЕХАНИЗАТОРЫ ноябрь'!$C$7:$C$20</definedName>
    <definedName name="Объекты">[1]Объекты!$B$2:$B$12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0" i="116" l="1"/>
  <c r="O15" i="116"/>
  <c r="K50" i="116"/>
  <c r="J50" i="116"/>
  <c r="K49" i="116"/>
  <c r="J49" i="116"/>
  <c r="H49" i="116" l="1"/>
  <c r="L24" i="116"/>
  <c r="H50" i="116" l="1"/>
  <c r="J10" i="116" l="1"/>
  <c r="K10" i="116" s="1"/>
  <c r="J11" i="116"/>
  <c r="K11" i="116" s="1"/>
  <c r="J12" i="116"/>
  <c r="K12" i="116" s="1"/>
  <c r="L41" i="116"/>
  <c r="Q40" i="116"/>
  <c r="P39" i="116"/>
  <c r="S39" i="116" s="1"/>
  <c r="M39" i="116"/>
  <c r="N39" i="116" s="1"/>
  <c r="S38" i="116"/>
  <c r="Q38" i="116"/>
  <c r="V38" i="116" s="1"/>
  <c r="M38" i="116"/>
  <c r="N38" i="116" s="1"/>
  <c r="Q37" i="116"/>
  <c r="M37" i="116"/>
  <c r="J37" i="116"/>
  <c r="V37" i="116" s="1"/>
  <c r="Q36" i="116"/>
  <c r="M36" i="116"/>
  <c r="J36" i="116"/>
  <c r="N36" i="116" s="1"/>
  <c r="Q35" i="116"/>
  <c r="M35" i="116"/>
  <c r="J35" i="116"/>
  <c r="K35" i="116" s="1"/>
  <c r="Q34" i="116"/>
  <c r="M34" i="116"/>
  <c r="J34" i="116"/>
  <c r="Q33" i="116"/>
  <c r="M33" i="116"/>
  <c r="J33" i="116"/>
  <c r="Q32" i="116"/>
  <c r="M32" i="116"/>
  <c r="J32" i="116"/>
  <c r="N32" i="116" s="1"/>
  <c r="Q31" i="116"/>
  <c r="M31" i="116"/>
  <c r="J31" i="116"/>
  <c r="K31" i="116" s="1"/>
  <c r="Q30" i="116"/>
  <c r="J30" i="116"/>
  <c r="Q29" i="116"/>
  <c r="J29" i="116"/>
  <c r="K29" i="116" s="1"/>
  <c r="Q28" i="116"/>
  <c r="V28" i="116" s="1"/>
  <c r="K28" i="116"/>
  <c r="Q27" i="116"/>
  <c r="J27" i="116"/>
  <c r="K27" i="116" s="1"/>
  <c r="P26" i="116"/>
  <c r="Q26" i="116" s="1"/>
  <c r="J26" i="116"/>
  <c r="P25" i="116"/>
  <c r="J25" i="116"/>
  <c r="K25" i="116" s="1"/>
  <c r="J24" i="116"/>
  <c r="P23" i="116"/>
  <c r="J23" i="116"/>
  <c r="J22" i="116"/>
  <c r="K22" i="116" s="1"/>
  <c r="J21" i="116"/>
  <c r="J20" i="116"/>
  <c r="P19" i="116"/>
  <c r="J19" i="116"/>
  <c r="K19" i="116" s="1"/>
  <c r="J18" i="116"/>
  <c r="J17" i="116"/>
  <c r="J16" i="116"/>
  <c r="K16" i="116" s="1"/>
  <c r="O41" i="116"/>
  <c r="J15" i="116"/>
  <c r="J14" i="116"/>
  <c r="P13" i="116"/>
  <c r="Q12" i="116" s="1"/>
  <c r="J13" i="116"/>
  <c r="K13" i="116" s="1"/>
  <c r="P12" i="116"/>
  <c r="P11" i="116"/>
  <c r="Q11" i="116" s="1"/>
  <c r="P10" i="116"/>
  <c r="Q10" i="116" s="1"/>
  <c r="J9" i="116"/>
  <c r="J8" i="116"/>
  <c r="K8" i="116" s="1"/>
  <c r="P6" i="116"/>
  <c r="J6" i="116"/>
  <c r="K6" i="116" s="1"/>
  <c r="P5" i="116"/>
  <c r="J5" i="116"/>
  <c r="J4" i="116"/>
  <c r="K4" i="116" s="1"/>
  <c r="G2" i="116"/>
  <c r="F2" i="116"/>
  <c r="E2" i="116"/>
  <c r="F143" i="109"/>
  <c r="F144" i="109"/>
  <c r="R149" i="109"/>
  <c r="S149" i="109"/>
  <c r="T149" i="109" s="1"/>
  <c r="R150" i="109"/>
  <c r="S150" i="109"/>
  <c r="T150" i="109" s="1"/>
  <c r="R151" i="109"/>
  <c r="S151" i="109"/>
  <c r="T151" i="109" s="1"/>
  <c r="R152" i="109"/>
  <c r="S152" i="109"/>
  <c r="T152" i="109" s="1"/>
  <c r="R153" i="109"/>
  <c r="S153" i="109"/>
  <c r="T153" i="109" s="1"/>
  <c r="R154" i="109"/>
  <c r="S154" i="109"/>
  <c r="T154" i="109"/>
  <c r="R146" i="109"/>
  <c r="S146" i="109"/>
  <c r="T146" i="109" s="1"/>
  <c r="R141" i="109"/>
  <c r="S141" i="109"/>
  <c r="T141" i="109" s="1"/>
  <c r="R142" i="109"/>
  <c r="S142" i="109"/>
  <c r="T142" i="109" s="1"/>
  <c r="O154" i="109"/>
  <c r="E155" i="109"/>
  <c r="R155" i="109" s="1"/>
  <c r="E145" i="109"/>
  <c r="E136" i="109"/>
  <c r="E137" i="109"/>
  <c r="E138" i="109"/>
  <c r="Q5" i="116" l="1"/>
  <c r="V10" i="116"/>
  <c r="V26" i="116"/>
  <c r="V36" i="116"/>
  <c r="V31" i="116"/>
  <c r="N34" i="116"/>
  <c r="V30" i="116"/>
  <c r="V33" i="116"/>
  <c r="V25" i="116"/>
  <c r="Q39" i="116"/>
  <c r="V39" i="116" s="1"/>
  <c r="V29" i="116"/>
  <c r="N37" i="116"/>
  <c r="V32" i="116"/>
  <c r="N35" i="116"/>
  <c r="V27" i="116"/>
  <c r="N33" i="116"/>
  <c r="V35" i="116"/>
  <c r="N31" i="116"/>
  <c r="V34" i="116"/>
  <c r="J2" i="116"/>
  <c r="V19" i="116"/>
  <c r="V6" i="116"/>
  <c r="V13" i="116"/>
  <c r="K17" i="116"/>
  <c r="V12" i="116"/>
  <c r="V11" i="116"/>
  <c r="V23" i="116"/>
  <c r="K15" i="116"/>
  <c r="K24" i="116"/>
  <c r="K34" i="116"/>
  <c r="K5" i="116"/>
  <c r="K21" i="116"/>
  <c r="K30" i="116"/>
  <c r="K37" i="116"/>
  <c r="K9" i="116"/>
  <c r="J41" i="116"/>
  <c r="P16" i="116"/>
  <c r="K7" i="116"/>
  <c r="K14" i="116"/>
  <c r="K18" i="116"/>
  <c r="K26" i="116"/>
  <c r="K33" i="116"/>
  <c r="K23" i="116"/>
  <c r="V5" i="116"/>
  <c r="K20" i="116"/>
  <c r="K32" i="116"/>
  <c r="K36" i="116"/>
  <c r="P21" i="116"/>
  <c r="V21" i="116" s="1"/>
  <c r="S155" i="109"/>
  <c r="T155" i="109" s="1"/>
  <c r="F153" i="109"/>
  <c r="O153" i="109" s="1"/>
  <c r="W153" i="109"/>
  <c r="U153" i="109"/>
  <c r="P153" i="109"/>
  <c r="J153" i="109"/>
  <c r="W147" i="109"/>
  <c r="P147" i="109"/>
  <c r="O147" i="109"/>
  <c r="J147" i="109"/>
  <c r="E147" i="109"/>
  <c r="F136" i="109"/>
  <c r="W149" i="109"/>
  <c r="P149" i="109"/>
  <c r="O149" i="109"/>
  <c r="J149" i="109"/>
  <c r="F146" i="109"/>
  <c r="P137" i="109"/>
  <c r="O137" i="109"/>
  <c r="J137" i="109"/>
  <c r="W144" i="109"/>
  <c r="P144" i="109"/>
  <c r="O144" i="109"/>
  <c r="J144" i="109"/>
  <c r="E144" i="109"/>
  <c r="W151" i="109"/>
  <c r="P151" i="109"/>
  <c r="O151" i="109"/>
  <c r="J151" i="109"/>
  <c r="F142" i="109"/>
  <c r="M141" i="109"/>
  <c r="L141" i="109"/>
  <c r="F141" i="109"/>
  <c r="F140" i="109"/>
  <c r="O140" i="109" s="1"/>
  <c r="L41" i="115"/>
  <c r="Q28" i="115"/>
  <c r="Q29" i="115"/>
  <c r="Q30" i="115"/>
  <c r="Q31" i="115"/>
  <c r="Q32" i="115"/>
  <c r="Q33" i="115"/>
  <c r="Q34" i="115"/>
  <c r="Q35" i="115"/>
  <c r="Q36" i="115"/>
  <c r="Q37" i="115"/>
  <c r="Q38" i="115"/>
  <c r="Q40" i="115"/>
  <c r="Q27" i="115"/>
  <c r="Q16" i="116" l="1"/>
  <c r="V16" i="116" s="1"/>
  <c r="K41" i="116"/>
  <c r="Q144" i="109"/>
  <c r="Q149" i="109"/>
  <c r="Z149" i="109" s="1"/>
  <c r="Q153" i="109"/>
  <c r="V153" i="109" s="1"/>
  <c r="Q151" i="109"/>
  <c r="Z151" i="109" s="1"/>
  <c r="Q137" i="109"/>
  <c r="S147" i="109"/>
  <c r="T147" i="109" s="1"/>
  <c r="R147" i="109"/>
  <c r="Q147" i="109"/>
  <c r="Z147" i="109" s="1"/>
  <c r="O141" i="109"/>
  <c r="U151" i="109"/>
  <c r="O16" i="115"/>
  <c r="O15" i="115"/>
  <c r="Z153" i="109" l="1"/>
  <c r="Z144" i="109"/>
  <c r="V151" i="109"/>
  <c r="H49" i="115"/>
  <c r="K49" i="115" s="1"/>
  <c r="H50" i="115"/>
  <c r="J50" i="115" s="1"/>
  <c r="C16" i="115" l="1"/>
  <c r="J14" i="115"/>
  <c r="J15" i="115"/>
  <c r="J16" i="115"/>
  <c r="P5" i="115" l="1"/>
  <c r="P6" i="115"/>
  <c r="Q5" i="115" s="1"/>
  <c r="P7" i="115"/>
  <c r="P8" i="115"/>
  <c r="P9" i="115"/>
  <c r="P10" i="115"/>
  <c r="P11" i="115"/>
  <c r="P12" i="115"/>
  <c r="P13" i="115"/>
  <c r="P16" i="115"/>
  <c r="Q16" i="115" s="1"/>
  <c r="P17" i="115"/>
  <c r="P19" i="115"/>
  <c r="P20" i="115"/>
  <c r="P22" i="115"/>
  <c r="Q22" i="115" s="1"/>
  <c r="C18" i="116" s="1"/>
  <c r="P18" i="116" s="1"/>
  <c r="P23" i="115"/>
  <c r="Q23" i="115" s="1"/>
  <c r="C20" i="116" s="1"/>
  <c r="P20" i="116" s="1"/>
  <c r="Q20" i="116" s="1"/>
  <c r="V20" i="116" s="1"/>
  <c r="P24" i="115"/>
  <c r="Q24" i="115" s="1"/>
  <c r="C22" i="116" s="1"/>
  <c r="P22" i="116" s="1"/>
  <c r="Q22" i="116" s="1"/>
  <c r="V22" i="116" s="1"/>
  <c r="P25" i="115"/>
  <c r="Q25" i="115" s="1"/>
  <c r="C8" i="116" s="1"/>
  <c r="P26" i="115"/>
  <c r="P4" i="115"/>
  <c r="V18" i="116" l="1"/>
  <c r="Q18" i="116"/>
  <c r="P8" i="116"/>
  <c r="Q8" i="116" s="1"/>
  <c r="Q26" i="115"/>
  <c r="C24" i="116" s="1"/>
  <c r="Q19" i="115"/>
  <c r="Q4" i="115"/>
  <c r="C9" i="116" s="1"/>
  <c r="Q11" i="115"/>
  <c r="Q7" i="115"/>
  <c r="J49" i="115"/>
  <c r="P39" i="115"/>
  <c r="M39" i="115"/>
  <c r="N39" i="115" s="1"/>
  <c r="V38" i="115"/>
  <c r="M38" i="115"/>
  <c r="N38" i="115" s="1"/>
  <c r="M37" i="115"/>
  <c r="J37" i="115"/>
  <c r="K37" i="115" s="1"/>
  <c r="M36" i="115"/>
  <c r="J36" i="115"/>
  <c r="K36" i="115" s="1"/>
  <c r="M35" i="115"/>
  <c r="J35" i="115"/>
  <c r="K35" i="115" s="1"/>
  <c r="M34" i="115"/>
  <c r="J34" i="115"/>
  <c r="K34" i="115" s="1"/>
  <c r="M33" i="115"/>
  <c r="J33" i="115"/>
  <c r="K33" i="115" s="1"/>
  <c r="M32" i="115"/>
  <c r="J32" i="115"/>
  <c r="K32" i="115" s="1"/>
  <c r="M31" i="115"/>
  <c r="J31" i="115"/>
  <c r="K31" i="115" s="1"/>
  <c r="J30" i="115"/>
  <c r="J29" i="115"/>
  <c r="K29" i="115" s="1"/>
  <c r="K28" i="115"/>
  <c r="J27" i="115"/>
  <c r="K27" i="115" s="1"/>
  <c r="J26" i="115"/>
  <c r="K26" i="115" s="1"/>
  <c r="J25" i="115"/>
  <c r="J24" i="115"/>
  <c r="K24" i="115" s="1"/>
  <c r="J23" i="115"/>
  <c r="K23" i="115" s="1"/>
  <c r="J22" i="115"/>
  <c r="K22" i="115" s="1"/>
  <c r="J21" i="115"/>
  <c r="K21" i="115" s="1"/>
  <c r="J20" i="115"/>
  <c r="J19" i="115"/>
  <c r="J18" i="115"/>
  <c r="K18" i="115" s="1"/>
  <c r="J17" i="115"/>
  <c r="K17" i="115" s="1"/>
  <c r="O41" i="115"/>
  <c r="K15" i="115"/>
  <c r="K14" i="115"/>
  <c r="J13" i="115"/>
  <c r="K13" i="115" s="1"/>
  <c r="J12" i="115"/>
  <c r="J11" i="115"/>
  <c r="K10" i="115"/>
  <c r="J9" i="115"/>
  <c r="K9" i="115" s="1"/>
  <c r="J8" i="115"/>
  <c r="K8" i="115" s="1"/>
  <c r="J7" i="115"/>
  <c r="J6" i="115"/>
  <c r="K6" i="115" s="1"/>
  <c r="J5" i="115"/>
  <c r="V5" i="115" s="1"/>
  <c r="J4" i="115"/>
  <c r="G2" i="115"/>
  <c r="F2" i="115"/>
  <c r="E2" i="115"/>
  <c r="P24" i="116" l="1"/>
  <c r="Q24" i="116" s="1"/>
  <c r="V24" i="116" s="1"/>
  <c r="P9" i="116"/>
  <c r="Q9" i="116" s="1"/>
  <c r="V9" i="116" s="1"/>
  <c r="S39" i="115"/>
  <c r="Q39" i="115"/>
  <c r="K4" i="115"/>
  <c r="J41" i="115"/>
  <c r="N36" i="115"/>
  <c r="N33" i="115"/>
  <c r="N32" i="115"/>
  <c r="V37" i="115"/>
  <c r="N34" i="115"/>
  <c r="V39" i="115"/>
  <c r="N37" i="115"/>
  <c r="N35" i="115"/>
  <c r="V4" i="115"/>
  <c r="K5" i="115"/>
  <c r="N31" i="115"/>
  <c r="J2" i="115"/>
  <c r="V28" i="115"/>
  <c r="Q9" i="115"/>
  <c r="V9" i="115" s="1"/>
  <c r="V29" i="115"/>
  <c r="V23" i="115"/>
  <c r="V8" i="115"/>
  <c r="K12" i="115"/>
  <c r="K16" i="115"/>
  <c r="K7" i="115"/>
  <c r="V13" i="115"/>
  <c r="V22" i="115"/>
  <c r="V12" i="115"/>
  <c r="V30" i="115"/>
  <c r="V31" i="115"/>
  <c r="V32" i="115"/>
  <c r="V33" i="115"/>
  <c r="V34" i="115"/>
  <c r="V35" i="115"/>
  <c r="V36" i="115"/>
  <c r="V7" i="115"/>
  <c r="V11" i="115"/>
  <c r="V19" i="115"/>
  <c r="V25" i="115"/>
  <c r="K50" i="115"/>
  <c r="K51" i="115" s="1"/>
  <c r="V17" i="115"/>
  <c r="K20" i="115"/>
  <c r="V27" i="115"/>
  <c r="K30" i="115"/>
  <c r="S38" i="115"/>
  <c r="K19" i="115"/>
  <c r="K11" i="115"/>
  <c r="K25" i="115"/>
  <c r="V20" i="115" l="1"/>
  <c r="V26" i="115"/>
  <c r="K41" i="115"/>
  <c r="V6" i="115"/>
  <c r="Q10" i="115"/>
  <c r="V24" i="115"/>
  <c r="V16" i="115"/>
  <c r="S156" i="109"/>
  <c r="T156" i="109" s="1"/>
  <c r="R156" i="109"/>
  <c r="S157" i="109"/>
  <c r="T157" i="109" s="1"/>
  <c r="R157" i="109"/>
  <c r="E148" i="109"/>
  <c r="E143" i="109"/>
  <c r="E140" i="109"/>
  <c r="E139" i="109"/>
  <c r="P138" i="109"/>
  <c r="O138" i="109"/>
  <c r="J138" i="109"/>
  <c r="S138" i="109"/>
  <c r="T138" i="109" s="1"/>
  <c r="P143" i="109"/>
  <c r="O143" i="109"/>
  <c r="J143" i="109"/>
  <c r="W140" i="109"/>
  <c r="P142" i="109"/>
  <c r="O142" i="109"/>
  <c r="J142" i="109"/>
  <c r="V10" i="115" l="1"/>
  <c r="C7" i="116"/>
  <c r="R140" i="109"/>
  <c r="S140" i="109"/>
  <c r="T140" i="109" s="1"/>
  <c r="R148" i="109"/>
  <c r="S148" i="109"/>
  <c r="T148" i="109" s="1"/>
  <c r="Q143" i="109"/>
  <c r="R143" i="109" s="1"/>
  <c r="R139" i="109"/>
  <c r="S139" i="109"/>
  <c r="T139" i="109" s="1"/>
  <c r="Q142" i="109"/>
  <c r="V138" i="109"/>
  <c r="R138" i="109"/>
  <c r="U138" i="109" s="1"/>
  <c r="F163" i="109"/>
  <c r="W157" i="109"/>
  <c r="W156" i="109"/>
  <c r="P7" i="116" l="1"/>
  <c r="V7" i="116" s="1"/>
  <c r="S143" i="109"/>
  <c r="T143" i="109" s="1"/>
  <c r="R144" i="109"/>
  <c r="U144" i="109" s="1"/>
  <c r="S144" i="109"/>
  <c r="T144" i="109" s="1"/>
  <c r="V144" i="109" s="1"/>
  <c r="Z142" i="109"/>
  <c r="Z138" i="109"/>
  <c r="Z143" i="109"/>
  <c r="W135" i="109"/>
  <c r="Q7" i="116" l="1"/>
  <c r="V8" i="116" s="1"/>
  <c r="W143" i="109"/>
  <c r="W138" i="109"/>
  <c r="W139" i="109"/>
  <c r="W145" i="109"/>
  <c r="W152" i="109"/>
  <c r="W154" i="109"/>
  <c r="W148" i="109" l="1"/>
  <c r="W146" i="109"/>
  <c r="W150" i="109"/>
  <c r="W141" i="109"/>
  <c r="W142" i="109"/>
  <c r="Q159" i="109"/>
  <c r="D28" i="114"/>
  <c r="W155" i="109" l="1"/>
  <c r="O41" i="114"/>
  <c r="O16" i="114"/>
  <c r="P7" i="114" l="1"/>
  <c r="S7" i="114" s="1"/>
  <c r="P5" i="114"/>
  <c r="S5" i="114" s="1"/>
  <c r="P8" i="114"/>
  <c r="Q8" i="114" s="1"/>
  <c r="P9" i="114"/>
  <c r="Q9" i="114" s="1"/>
  <c r="P12" i="114"/>
  <c r="Q12" i="114" s="1"/>
  <c r="P14" i="114"/>
  <c r="Q14" i="114" s="1"/>
  <c r="P15" i="114"/>
  <c r="S15" i="114" s="1"/>
  <c r="P17" i="114"/>
  <c r="S17" i="114" s="1"/>
  <c r="P18" i="114"/>
  <c r="S18" i="114" s="1"/>
  <c r="P19" i="114"/>
  <c r="Q19" i="114" s="1"/>
  <c r="P21" i="114"/>
  <c r="Q21" i="114" s="1"/>
  <c r="P23" i="114"/>
  <c r="S23" i="114" s="1"/>
  <c r="P25" i="114"/>
  <c r="Q25" i="114" s="1"/>
  <c r="P27" i="114"/>
  <c r="Q27" i="114" s="1"/>
  <c r="S9" i="114" l="1"/>
  <c r="S27" i="114"/>
  <c r="Q23" i="114"/>
  <c r="S21" i="114"/>
  <c r="Q15" i="114"/>
  <c r="S12" i="114"/>
  <c r="S14" i="114"/>
  <c r="S8" i="114"/>
  <c r="S25" i="114"/>
  <c r="Q17" i="114"/>
  <c r="S19" i="114"/>
  <c r="D22" i="114"/>
  <c r="D24" i="114"/>
  <c r="P24" i="114" s="1"/>
  <c r="D26" i="114"/>
  <c r="P26" i="114" s="1"/>
  <c r="Q24" i="114" l="1"/>
  <c r="S24" i="114"/>
  <c r="Q26" i="114"/>
  <c r="S26" i="114"/>
  <c r="H50" i="114"/>
  <c r="J50" i="114" s="1"/>
  <c r="H49" i="114"/>
  <c r="K49" i="114" s="1"/>
  <c r="L41" i="114"/>
  <c r="P39" i="114"/>
  <c r="M39" i="114"/>
  <c r="N39" i="114" s="1"/>
  <c r="P38" i="114"/>
  <c r="M38" i="114"/>
  <c r="N38" i="114" s="1"/>
  <c r="P37" i="114"/>
  <c r="M37" i="114"/>
  <c r="J37" i="114"/>
  <c r="K37" i="114" s="1"/>
  <c r="P36" i="114"/>
  <c r="M36" i="114"/>
  <c r="J36" i="114"/>
  <c r="P35" i="114"/>
  <c r="M35" i="114"/>
  <c r="J35" i="114"/>
  <c r="P34" i="114"/>
  <c r="M34" i="114"/>
  <c r="J34" i="114"/>
  <c r="K34" i="114" s="1"/>
  <c r="P33" i="114"/>
  <c r="M33" i="114"/>
  <c r="J33" i="114"/>
  <c r="K33" i="114" s="1"/>
  <c r="P32" i="114"/>
  <c r="M32" i="114"/>
  <c r="J32" i="114"/>
  <c r="K32" i="114" s="1"/>
  <c r="P31" i="114"/>
  <c r="M31" i="114"/>
  <c r="J31" i="114"/>
  <c r="K31" i="114" s="1"/>
  <c r="P30" i="114"/>
  <c r="J30" i="114"/>
  <c r="P29" i="114"/>
  <c r="J29" i="114"/>
  <c r="K29" i="114" s="1"/>
  <c r="P28" i="114"/>
  <c r="J27" i="114"/>
  <c r="J26" i="114"/>
  <c r="K26" i="114" s="1"/>
  <c r="J25" i="114"/>
  <c r="J24" i="114"/>
  <c r="J23" i="114"/>
  <c r="K23" i="114" s="1"/>
  <c r="J22" i="114"/>
  <c r="K22" i="114" s="1"/>
  <c r="J21" i="114"/>
  <c r="K21" i="114" s="1"/>
  <c r="J20" i="114"/>
  <c r="J19" i="114"/>
  <c r="J18" i="114"/>
  <c r="K18" i="114" s="1"/>
  <c r="J17" i="114"/>
  <c r="J16" i="114"/>
  <c r="K16" i="114" s="1"/>
  <c r="K15" i="114"/>
  <c r="K14" i="114"/>
  <c r="J13" i="114"/>
  <c r="K13" i="114" s="1"/>
  <c r="J12" i="114"/>
  <c r="J11" i="114"/>
  <c r="K11" i="114" s="1"/>
  <c r="J10" i="114"/>
  <c r="J9" i="114"/>
  <c r="J8" i="114"/>
  <c r="K8" i="114" s="1"/>
  <c r="J7" i="114"/>
  <c r="K7" i="114" s="1"/>
  <c r="J6" i="114"/>
  <c r="K6" i="114" s="1"/>
  <c r="J5" i="114"/>
  <c r="K5" i="114" s="1"/>
  <c r="J4" i="114"/>
  <c r="G2" i="114"/>
  <c r="F2" i="114"/>
  <c r="E2" i="114"/>
  <c r="L50" i="114" l="1"/>
  <c r="L50" i="115" s="1"/>
  <c r="K51" i="114"/>
  <c r="K50" i="114"/>
  <c r="J49" i="114"/>
  <c r="L49" i="114"/>
  <c r="L49" i="115" s="1"/>
  <c r="Q33" i="114"/>
  <c r="V33" i="114" s="1"/>
  <c r="S33" i="114"/>
  <c r="V38" i="114"/>
  <c r="S38" i="114"/>
  <c r="S28" i="114"/>
  <c r="Q28" i="114"/>
  <c r="Q31" i="114"/>
  <c r="V31" i="114" s="1"/>
  <c r="S31" i="114"/>
  <c r="Q35" i="114"/>
  <c r="V35" i="114" s="1"/>
  <c r="S35" i="114"/>
  <c r="Q37" i="114"/>
  <c r="V37" i="114" s="1"/>
  <c r="S37" i="114"/>
  <c r="S29" i="114"/>
  <c r="Q29" i="114"/>
  <c r="Q30" i="114"/>
  <c r="V30" i="114" s="1"/>
  <c r="S30" i="114"/>
  <c r="Q32" i="114"/>
  <c r="V32" i="114" s="1"/>
  <c r="S32" i="114"/>
  <c r="S34" i="114"/>
  <c r="Q34" i="114"/>
  <c r="V34" i="114" s="1"/>
  <c r="Q36" i="114"/>
  <c r="V36" i="114" s="1"/>
  <c r="S36" i="114"/>
  <c r="V39" i="114"/>
  <c r="S39" i="114"/>
  <c r="V17" i="114"/>
  <c r="N33" i="114"/>
  <c r="N31" i="114"/>
  <c r="J41" i="114"/>
  <c r="N36" i="114"/>
  <c r="V29" i="114"/>
  <c r="N32" i="114"/>
  <c r="N34" i="114"/>
  <c r="N37" i="114"/>
  <c r="N35" i="114"/>
  <c r="V28" i="114"/>
  <c r="V27" i="114"/>
  <c r="V26" i="114"/>
  <c r="V8" i="114"/>
  <c r="V15" i="114"/>
  <c r="V7" i="114"/>
  <c r="V19" i="114"/>
  <c r="V12" i="114"/>
  <c r="V23" i="114"/>
  <c r="V18" i="114"/>
  <c r="V24" i="114"/>
  <c r="J2" i="114"/>
  <c r="V14" i="114"/>
  <c r="V21" i="114"/>
  <c r="V9" i="114"/>
  <c r="K4" i="114"/>
  <c r="K10" i="114"/>
  <c r="K28" i="114"/>
  <c r="K36" i="114"/>
  <c r="K12" i="114"/>
  <c r="K20" i="114"/>
  <c r="K35" i="114"/>
  <c r="K9" i="114"/>
  <c r="K19" i="114"/>
  <c r="K24" i="114"/>
  <c r="V25" i="114"/>
  <c r="K27" i="114"/>
  <c r="V5" i="114"/>
  <c r="K17" i="114"/>
  <c r="K25" i="114"/>
  <c r="K30" i="114"/>
  <c r="U139" i="109"/>
  <c r="U140" i="109"/>
  <c r="U155" i="109"/>
  <c r="U156" i="109"/>
  <c r="U157" i="109"/>
  <c r="G173" i="109"/>
  <c r="I173" i="109" s="1"/>
  <c r="K41" i="114" l="1"/>
  <c r="G184" i="109"/>
  <c r="J136" i="109"/>
  <c r="J139" i="109"/>
  <c r="J140" i="109"/>
  <c r="Q140" i="109" s="1"/>
  <c r="J141" i="109"/>
  <c r="Q141" i="109" s="1"/>
  <c r="J145" i="109"/>
  <c r="J146" i="109"/>
  <c r="J148" i="109"/>
  <c r="J150" i="109"/>
  <c r="J152" i="109"/>
  <c r="J154" i="109"/>
  <c r="Q154" i="109" s="1"/>
  <c r="J155" i="109"/>
  <c r="J135" i="109"/>
  <c r="O136" i="109"/>
  <c r="P136" i="109"/>
  <c r="O139" i="109"/>
  <c r="P139" i="109"/>
  <c r="O148" i="109"/>
  <c r="P148" i="109"/>
  <c r="P150" i="109"/>
  <c r="P154" i="109"/>
  <c r="O155" i="109"/>
  <c r="O156" i="109"/>
  <c r="P156" i="109"/>
  <c r="P158" i="109"/>
  <c r="O158" i="109"/>
  <c r="P155" i="109"/>
  <c r="P152" i="109"/>
  <c r="O152" i="109"/>
  <c r="Q152" i="109" s="1"/>
  <c r="O150" i="109"/>
  <c r="O146" i="109"/>
  <c r="P145" i="109"/>
  <c r="O145" i="109"/>
  <c r="Q148" i="109" l="1"/>
  <c r="Q150" i="109"/>
  <c r="Q136" i="109"/>
  <c r="R136" i="109" s="1"/>
  <c r="Q155" i="109"/>
  <c r="Q146" i="109"/>
  <c r="Q145" i="109"/>
  <c r="Q139" i="109"/>
  <c r="V139" i="109" s="1"/>
  <c r="O157" i="109"/>
  <c r="Q156" i="109"/>
  <c r="Z156" i="109" s="1"/>
  <c r="P146" i="109"/>
  <c r="P157" i="109"/>
  <c r="U152" i="109"/>
  <c r="Q158" i="109"/>
  <c r="P141" i="109"/>
  <c r="P140" i="109"/>
  <c r="O135" i="109"/>
  <c r="Q135" i="109" s="1"/>
  <c r="H54" i="113"/>
  <c r="J54" i="113" s="1"/>
  <c r="H52" i="113"/>
  <c r="S137" i="109" l="1"/>
  <c r="T137" i="109" s="1"/>
  <c r="V137" i="109" s="1"/>
  <c r="R137" i="109"/>
  <c r="U137" i="109" s="1"/>
  <c r="S136" i="109"/>
  <c r="T136" i="109" s="1"/>
  <c r="V136" i="109" s="1"/>
  <c r="U147" i="109"/>
  <c r="V147" i="109"/>
  <c r="V149" i="109"/>
  <c r="U149" i="109"/>
  <c r="Z148" i="109"/>
  <c r="V148" i="109"/>
  <c r="U148" i="109"/>
  <c r="Z150" i="109"/>
  <c r="Z146" i="109"/>
  <c r="V140" i="109"/>
  <c r="Z140" i="109"/>
  <c r="Z154" i="109"/>
  <c r="Q157" i="109"/>
  <c r="Z157" i="109" s="1"/>
  <c r="Z145" i="109"/>
  <c r="Z152" i="109"/>
  <c r="V156" i="109"/>
  <c r="V155" i="109"/>
  <c r="Z139" i="109"/>
  <c r="Z155" i="109"/>
  <c r="V152" i="109"/>
  <c r="U136" i="109"/>
  <c r="J52" i="113"/>
  <c r="K54" i="113"/>
  <c r="H51" i="113"/>
  <c r="J51" i="113"/>
  <c r="K51" i="113" s="1"/>
  <c r="H49" i="113"/>
  <c r="K49" i="113" s="1"/>
  <c r="H50" i="113"/>
  <c r="J50" i="113" s="1"/>
  <c r="H53" i="113"/>
  <c r="K53" i="113" s="1"/>
  <c r="U142" i="109" l="1"/>
  <c r="V142" i="109"/>
  <c r="U143" i="109"/>
  <c r="V143" i="109"/>
  <c r="U158" i="109"/>
  <c r="V157" i="109"/>
  <c r="K50" i="113"/>
  <c r="L49" i="113" s="1"/>
  <c r="V158" i="109"/>
  <c r="J53" i="113"/>
  <c r="F56" i="113" l="1"/>
  <c r="Z141" i="109"/>
  <c r="O14" i="113"/>
  <c r="O6" i="113"/>
  <c r="O7" i="113"/>
  <c r="P7" i="113" s="1"/>
  <c r="C6" i="114" s="1"/>
  <c r="O10" i="113"/>
  <c r="O11" i="113"/>
  <c r="O12" i="113"/>
  <c r="O13" i="113"/>
  <c r="O15" i="113"/>
  <c r="O17" i="113"/>
  <c r="O18" i="113"/>
  <c r="P18" i="113" s="1"/>
  <c r="O19" i="113"/>
  <c r="P19" i="113" s="1"/>
  <c r="O21" i="113"/>
  <c r="O22" i="113"/>
  <c r="O23" i="113"/>
  <c r="O24" i="113"/>
  <c r="P24" i="113" s="1"/>
  <c r="O26" i="113"/>
  <c r="P26" i="113" s="1"/>
  <c r="O27" i="113"/>
  <c r="P27" i="113" s="1"/>
  <c r="O28" i="113"/>
  <c r="P28" i="113" s="1"/>
  <c r="O29" i="113"/>
  <c r="P29" i="113" s="1"/>
  <c r="O30" i="113"/>
  <c r="P30" i="113" s="1"/>
  <c r="O31" i="113"/>
  <c r="O32" i="113"/>
  <c r="P32" i="113" s="1"/>
  <c r="J12" i="113"/>
  <c r="K12" i="113" s="1"/>
  <c r="J49" i="113"/>
  <c r="L41" i="113"/>
  <c r="O39" i="113"/>
  <c r="U39" i="113" s="1"/>
  <c r="M39" i="113"/>
  <c r="N39" i="113" s="1"/>
  <c r="O38" i="113"/>
  <c r="U38" i="113" s="1"/>
  <c r="M38" i="113"/>
  <c r="N38" i="113" s="1"/>
  <c r="O37" i="113"/>
  <c r="M37" i="113"/>
  <c r="J37" i="113"/>
  <c r="K37" i="113" s="1"/>
  <c r="O36" i="113"/>
  <c r="M36" i="113"/>
  <c r="J36" i="113"/>
  <c r="K36" i="113" s="1"/>
  <c r="O35" i="113"/>
  <c r="M35" i="113"/>
  <c r="J35" i="113"/>
  <c r="K35" i="113" s="1"/>
  <c r="O34" i="113"/>
  <c r="M34" i="113"/>
  <c r="J34" i="113"/>
  <c r="K34" i="113" s="1"/>
  <c r="O33" i="113"/>
  <c r="P33" i="113" s="1"/>
  <c r="M33" i="113"/>
  <c r="J33" i="113"/>
  <c r="K33" i="113" s="1"/>
  <c r="M32" i="113"/>
  <c r="J32" i="113"/>
  <c r="K32" i="113" s="1"/>
  <c r="M31" i="113"/>
  <c r="J31" i="113"/>
  <c r="K31" i="113" s="1"/>
  <c r="J30" i="113"/>
  <c r="J29" i="113"/>
  <c r="K29" i="113" s="1"/>
  <c r="J28" i="113"/>
  <c r="K28" i="113" s="1"/>
  <c r="J27" i="113"/>
  <c r="J26" i="113"/>
  <c r="K26" i="113" s="1"/>
  <c r="J25" i="113"/>
  <c r="J24" i="113"/>
  <c r="K24" i="113" s="1"/>
  <c r="J23" i="113"/>
  <c r="J22" i="113"/>
  <c r="K22" i="113" s="1"/>
  <c r="J21" i="113"/>
  <c r="K21" i="113" s="1"/>
  <c r="J20" i="113"/>
  <c r="J19" i="113"/>
  <c r="J18" i="113"/>
  <c r="K18" i="113" s="1"/>
  <c r="J17" i="113"/>
  <c r="K17" i="113" s="1"/>
  <c r="J16" i="113"/>
  <c r="J15" i="113"/>
  <c r="K15" i="113" s="1"/>
  <c r="J14" i="113"/>
  <c r="J13" i="113"/>
  <c r="J11" i="113"/>
  <c r="K11" i="113" s="1"/>
  <c r="J10" i="113"/>
  <c r="J9" i="113"/>
  <c r="K9" i="113" s="1"/>
  <c r="J8" i="113"/>
  <c r="K8" i="113" s="1"/>
  <c r="J7" i="113"/>
  <c r="J6" i="113"/>
  <c r="J5" i="113"/>
  <c r="K5" i="113" s="1"/>
  <c r="J4" i="113"/>
  <c r="G2" i="113"/>
  <c r="F2" i="113"/>
  <c r="E2" i="113"/>
  <c r="P6" i="114" l="1"/>
  <c r="S6" i="114" s="1"/>
  <c r="P14" i="113"/>
  <c r="N32" i="113"/>
  <c r="P21" i="113"/>
  <c r="U21" i="113" s="1"/>
  <c r="U27" i="113"/>
  <c r="P10" i="113"/>
  <c r="U10" i="113" s="1"/>
  <c r="U18" i="113"/>
  <c r="U32" i="113"/>
  <c r="N37" i="113"/>
  <c r="N33" i="113"/>
  <c r="N35" i="113"/>
  <c r="U35" i="113"/>
  <c r="U37" i="113"/>
  <c r="U33" i="113"/>
  <c r="N31" i="113"/>
  <c r="N34" i="113"/>
  <c r="N36" i="113"/>
  <c r="K27" i="113"/>
  <c r="J41" i="113"/>
  <c r="U36" i="113"/>
  <c r="P31" i="113"/>
  <c r="U31" i="113" s="1"/>
  <c r="U23" i="113"/>
  <c r="U19" i="113"/>
  <c r="U24" i="113"/>
  <c r="U30" i="113"/>
  <c r="U12" i="113"/>
  <c r="U15" i="113"/>
  <c r="U29" i="113"/>
  <c r="U11" i="113"/>
  <c r="U26" i="113"/>
  <c r="U14" i="113"/>
  <c r="U6" i="113"/>
  <c r="K14" i="113"/>
  <c r="K20" i="113"/>
  <c r="K23" i="113"/>
  <c r="K7" i="113"/>
  <c r="K10" i="113"/>
  <c r="U7" i="113"/>
  <c r="P17" i="113"/>
  <c r="K25" i="113"/>
  <c r="K30" i="113"/>
  <c r="K4" i="113"/>
  <c r="K6" i="113"/>
  <c r="U28" i="113"/>
  <c r="P13" i="113"/>
  <c r="U22" i="113"/>
  <c r="U34" i="113"/>
  <c r="J2" i="113"/>
  <c r="K13" i="113"/>
  <c r="K16" i="113"/>
  <c r="K19" i="113"/>
  <c r="K52" i="113"/>
  <c r="V161" i="109"/>
  <c r="E135" i="109"/>
  <c r="G174" i="109"/>
  <c r="Q6" i="114" l="1"/>
  <c r="V6" i="114" s="1"/>
  <c r="R135" i="109"/>
  <c r="S135" i="109"/>
  <c r="T135" i="109" s="1"/>
  <c r="U13" i="113"/>
  <c r="C13" i="114"/>
  <c r="P13" i="114" s="1"/>
  <c r="U17" i="113"/>
  <c r="C20" i="114"/>
  <c r="P20" i="114" s="1"/>
  <c r="F57" i="113"/>
  <c r="K55" i="113"/>
  <c r="L52" i="113"/>
  <c r="K41" i="113"/>
  <c r="U135" i="109" l="1"/>
  <c r="V135" i="109"/>
  <c r="Q20" i="114"/>
  <c r="S20" i="114"/>
  <c r="Q13" i="114"/>
  <c r="S13" i="114"/>
  <c r="O160" i="109"/>
  <c r="O163" i="109" s="1"/>
  <c r="O166" i="109" s="1"/>
  <c r="P160" i="109"/>
  <c r="V20" i="114" l="1"/>
  <c r="C21" i="115"/>
  <c r="P21" i="115" s="1"/>
  <c r="Q21" i="115" s="1"/>
  <c r="V13" i="114"/>
  <c r="C18" i="115"/>
  <c r="P18" i="115" s="1"/>
  <c r="Q18" i="115" s="1"/>
  <c r="Q160" i="109"/>
  <c r="V18" i="115" l="1"/>
  <c r="C4" i="116"/>
  <c r="V21" i="115"/>
  <c r="C17" i="116"/>
  <c r="V160" i="109"/>
  <c r="Q163" i="109"/>
  <c r="U150" i="109"/>
  <c r="V150" i="109"/>
  <c r="P17" i="116" l="1"/>
  <c r="Q17" i="116" s="1"/>
  <c r="V17" i="116" s="1"/>
  <c r="P4" i="116"/>
  <c r="Q4" i="116" s="1"/>
  <c r="V4" i="116" s="1"/>
  <c r="O5" i="113"/>
  <c r="P5" i="113" s="1"/>
  <c r="U5" i="113" s="1"/>
  <c r="O4" i="113"/>
  <c r="P4" i="113" s="1"/>
  <c r="U4" i="113" l="1"/>
  <c r="C4" i="114"/>
  <c r="S145" i="109"/>
  <c r="T145" i="109" s="1"/>
  <c r="V145" i="109" s="1"/>
  <c r="R145" i="109"/>
  <c r="U145" i="109" s="1"/>
  <c r="L163" i="109"/>
  <c r="G185" i="109"/>
  <c r="G183" i="109"/>
  <c r="G182" i="109"/>
  <c r="G181" i="109"/>
  <c r="G180" i="109"/>
  <c r="G179" i="109"/>
  <c r="G178" i="109"/>
  <c r="G177" i="109"/>
  <c r="G176" i="109"/>
  <c r="G175" i="109"/>
  <c r="G172" i="109"/>
  <c r="G171" i="109"/>
  <c r="G170" i="109"/>
  <c r="G169" i="109"/>
  <c r="G168" i="109"/>
  <c r="G167" i="109"/>
  <c r="G166" i="109"/>
  <c r="Z161" i="109"/>
  <c r="Z160" i="109"/>
  <c r="P159" i="109"/>
  <c r="P135" i="109"/>
  <c r="M107" i="109"/>
  <c r="L107" i="109"/>
  <c r="J107" i="109"/>
  <c r="F107" i="109"/>
  <c r="D107" i="109"/>
  <c r="E107" i="109" s="1"/>
  <c r="S106" i="109"/>
  <c r="T106" i="109" s="1"/>
  <c r="R106" i="109"/>
  <c r="U106" i="109" s="1"/>
  <c r="M106" i="109"/>
  <c r="L106" i="109"/>
  <c r="J106" i="109"/>
  <c r="F106" i="109"/>
  <c r="D106" i="109"/>
  <c r="U105" i="109"/>
  <c r="S105" i="109"/>
  <c r="T105" i="109" s="1"/>
  <c r="M105" i="109"/>
  <c r="L105" i="109"/>
  <c r="J105" i="109"/>
  <c r="F105" i="109"/>
  <c r="D105" i="109"/>
  <c r="M104" i="109"/>
  <c r="L104" i="109"/>
  <c r="J104" i="109"/>
  <c r="F104" i="109"/>
  <c r="D104" i="109"/>
  <c r="E104" i="109" s="1"/>
  <c r="S103" i="109"/>
  <c r="T103" i="109" s="1"/>
  <c r="R103" i="109"/>
  <c r="U103" i="109" s="1"/>
  <c r="M103" i="109"/>
  <c r="L103" i="109"/>
  <c r="J103" i="109"/>
  <c r="F103" i="109"/>
  <c r="D103" i="109"/>
  <c r="M102" i="109"/>
  <c r="L102" i="109"/>
  <c r="J102" i="109"/>
  <c r="F102" i="109"/>
  <c r="D102" i="109"/>
  <c r="E102" i="109" s="1"/>
  <c r="M101" i="109"/>
  <c r="L101" i="109"/>
  <c r="J101" i="109"/>
  <c r="F101" i="109"/>
  <c r="D101" i="109"/>
  <c r="M100" i="109"/>
  <c r="L100" i="109"/>
  <c r="J100" i="109"/>
  <c r="F100" i="109"/>
  <c r="D100" i="109"/>
  <c r="E100" i="109" s="1"/>
  <c r="M99" i="109"/>
  <c r="L99" i="109"/>
  <c r="J99" i="109"/>
  <c r="F99" i="109"/>
  <c r="D99" i="109"/>
  <c r="E99" i="109" s="1"/>
  <c r="M98" i="109"/>
  <c r="L98" i="109"/>
  <c r="J98" i="109"/>
  <c r="F98" i="109"/>
  <c r="D98" i="109"/>
  <c r="E98" i="109" s="1"/>
  <c r="S98" i="109" s="1"/>
  <c r="M97" i="109"/>
  <c r="L97" i="109"/>
  <c r="J97" i="109"/>
  <c r="F97" i="109"/>
  <c r="D97" i="109"/>
  <c r="E97" i="109" s="1"/>
  <c r="M96" i="109"/>
  <c r="L96" i="109"/>
  <c r="J96" i="109"/>
  <c r="F96" i="109"/>
  <c r="D96" i="109"/>
  <c r="E96" i="109" s="1"/>
  <c r="U95" i="109"/>
  <c r="S95" i="109"/>
  <c r="T95" i="109" s="1"/>
  <c r="M95" i="109"/>
  <c r="L95" i="109"/>
  <c r="J95" i="109"/>
  <c r="F95" i="109"/>
  <c r="D95" i="109"/>
  <c r="M94" i="109"/>
  <c r="L94" i="109"/>
  <c r="J94" i="109"/>
  <c r="F94" i="109"/>
  <c r="D94" i="109"/>
  <c r="E94" i="109" s="1"/>
  <c r="M93" i="109"/>
  <c r="L93" i="109"/>
  <c r="J93" i="109"/>
  <c r="F93" i="109"/>
  <c r="D93" i="109"/>
  <c r="E93" i="109" s="1"/>
  <c r="S92" i="109"/>
  <c r="T92" i="109" s="1"/>
  <c r="R92" i="109"/>
  <c r="U92" i="109" s="1"/>
  <c r="M92" i="109"/>
  <c r="L92" i="109"/>
  <c r="J92" i="109"/>
  <c r="F92" i="109"/>
  <c r="D92" i="109"/>
  <c r="M91" i="109"/>
  <c r="L91" i="109"/>
  <c r="J91" i="109"/>
  <c r="F91" i="109"/>
  <c r="D91" i="109"/>
  <c r="E91" i="109" s="1"/>
  <c r="R91" i="109" s="1"/>
  <c r="U91" i="109" s="1"/>
  <c r="M90" i="109"/>
  <c r="L90" i="109"/>
  <c r="J90" i="109"/>
  <c r="F90" i="109"/>
  <c r="D90" i="109"/>
  <c r="M89" i="109"/>
  <c r="L89" i="109"/>
  <c r="J89" i="109"/>
  <c r="F89" i="109"/>
  <c r="D89" i="109"/>
  <c r="E89" i="109" s="1"/>
  <c r="M88" i="109"/>
  <c r="L88" i="109"/>
  <c r="J88" i="109"/>
  <c r="F88" i="109"/>
  <c r="D88" i="109"/>
  <c r="M87" i="109"/>
  <c r="L87" i="109"/>
  <c r="J87" i="109"/>
  <c r="F87" i="109"/>
  <c r="D87" i="109"/>
  <c r="E87" i="109" s="1"/>
  <c r="M86" i="109"/>
  <c r="M108" i="109" s="1"/>
  <c r="L86" i="109"/>
  <c r="J86" i="109"/>
  <c r="F86" i="109"/>
  <c r="F108" i="109" s="1"/>
  <c r="D86" i="109"/>
  <c r="E86" i="109" s="1"/>
  <c r="B82" i="109"/>
  <c r="E77" i="109"/>
  <c r="S76" i="109"/>
  <c r="T76" i="109" s="1"/>
  <c r="R76" i="109"/>
  <c r="U76" i="109" s="1"/>
  <c r="M76" i="109"/>
  <c r="L76" i="109"/>
  <c r="J76" i="109"/>
  <c r="F76" i="109"/>
  <c r="D76" i="109"/>
  <c r="S75" i="109"/>
  <c r="T75" i="109" s="1"/>
  <c r="R75" i="109"/>
  <c r="U75" i="109" s="1"/>
  <c r="M75" i="109"/>
  <c r="L75" i="109"/>
  <c r="J75" i="109"/>
  <c r="F75" i="109"/>
  <c r="D75" i="109"/>
  <c r="S74" i="109"/>
  <c r="T74" i="109" s="1"/>
  <c r="R74" i="109"/>
  <c r="U74" i="109" s="1"/>
  <c r="M74" i="109"/>
  <c r="L74" i="109"/>
  <c r="J74" i="109"/>
  <c r="F74" i="109"/>
  <c r="D74" i="109"/>
  <c r="S73" i="109"/>
  <c r="T73" i="109" s="1"/>
  <c r="R73" i="109"/>
  <c r="U73" i="109" s="1"/>
  <c r="M73" i="109"/>
  <c r="L73" i="109"/>
  <c r="J73" i="109"/>
  <c r="F73" i="109"/>
  <c r="D73" i="109"/>
  <c r="S72" i="109"/>
  <c r="T72" i="109" s="1"/>
  <c r="R72" i="109"/>
  <c r="U72" i="109" s="1"/>
  <c r="M72" i="109"/>
  <c r="L72" i="109"/>
  <c r="J72" i="109"/>
  <c r="F72" i="109"/>
  <c r="D72" i="109"/>
  <c r="S71" i="109"/>
  <c r="T71" i="109" s="1"/>
  <c r="R71" i="109"/>
  <c r="U71" i="109" s="1"/>
  <c r="M71" i="109"/>
  <c r="L71" i="109"/>
  <c r="J71" i="109"/>
  <c r="F71" i="109"/>
  <c r="D71" i="109"/>
  <c r="S70" i="109"/>
  <c r="T70" i="109" s="1"/>
  <c r="R70" i="109"/>
  <c r="U70" i="109" s="1"/>
  <c r="M70" i="109"/>
  <c r="L70" i="109"/>
  <c r="J70" i="109"/>
  <c r="F70" i="109"/>
  <c r="D70" i="109"/>
  <c r="B70" i="109"/>
  <c r="B71" i="109" s="1"/>
  <c r="B72" i="109" s="1"/>
  <c r="B73" i="109" s="1"/>
  <c r="B74" i="109" s="1"/>
  <c r="B75" i="109" s="1"/>
  <c r="B76" i="109" s="1"/>
  <c r="S69" i="109"/>
  <c r="T69" i="109" s="1"/>
  <c r="R69" i="109"/>
  <c r="U69" i="109" s="1"/>
  <c r="M69" i="109"/>
  <c r="L69" i="109"/>
  <c r="J69" i="109"/>
  <c r="F69" i="109"/>
  <c r="D69" i="109"/>
  <c r="S68" i="109"/>
  <c r="T68" i="109" s="1"/>
  <c r="R68" i="109"/>
  <c r="U68" i="109" s="1"/>
  <c r="M68" i="109"/>
  <c r="L68" i="109"/>
  <c r="J68" i="109"/>
  <c r="F68" i="109"/>
  <c r="D68" i="109"/>
  <c r="S67" i="109"/>
  <c r="T67" i="109" s="1"/>
  <c r="R67" i="109"/>
  <c r="U67" i="109" s="1"/>
  <c r="M67" i="109"/>
  <c r="L67" i="109"/>
  <c r="J67" i="109"/>
  <c r="F67" i="109"/>
  <c r="D67" i="109"/>
  <c r="S66" i="109"/>
  <c r="T66" i="109" s="1"/>
  <c r="R66" i="109"/>
  <c r="U66" i="109" s="1"/>
  <c r="M66" i="109"/>
  <c r="L66" i="109"/>
  <c r="J66" i="109"/>
  <c r="F66" i="109"/>
  <c r="D66" i="109"/>
  <c r="S65" i="109"/>
  <c r="T65" i="109" s="1"/>
  <c r="R65" i="109"/>
  <c r="U65" i="109" s="1"/>
  <c r="M65" i="109"/>
  <c r="L65" i="109"/>
  <c r="J65" i="109"/>
  <c r="F65" i="109"/>
  <c r="D65" i="109"/>
  <c r="S64" i="109"/>
  <c r="T64" i="109" s="1"/>
  <c r="R64" i="109"/>
  <c r="U64" i="109" s="1"/>
  <c r="M64" i="109"/>
  <c r="L64" i="109"/>
  <c r="J64" i="109"/>
  <c r="F64" i="109"/>
  <c r="D64" i="109"/>
  <c r="S63" i="109"/>
  <c r="T63" i="109" s="1"/>
  <c r="R63" i="109"/>
  <c r="U63" i="109" s="1"/>
  <c r="M63" i="109"/>
  <c r="L63" i="109"/>
  <c r="J63" i="109"/>
  <c r="F63" i="109"/>
  <c r="D63" i="109"/>
  <c r="S62" i="109"/>
  <c r="T62" i="109" s="1"/>
  <c r="R62" i="109"/>
  <c r="U62" i="109" s="1"/>
  <c r="M62" i="109"/>
  <c r="L62" i="109"/>
  <c r="J62" i="109"/>
  <c r="F62" i="109"/>
  <c r="D62" i="109"/>
  <c r="S61" i="109"/>
  <c r="T61" i="109" s="1"/>
  <c r="R61" i="109"/>
  <c r="U61" i="109" s="1"/>
  <c r="M61" i="109"/>
  <c r="L61" i="109"/>
  <c r="J61" i="109"/>
  <c r="F61" i="109"/>
  <c r="D61" i="109"/>
  <c r="M60" i="109"/>
  <c r="L60" i="109"/>
  <c r="J60" i="109"/>
  <c r="F60" i="109"/>
  <c r="D60" i="109"/>
  <c r="M59" i="109"/>
  <c r="L59" i="109"/>
  <c r="J59" i="109"/>
  <c r="F59" i="109"/>
  <c r="D59" i="109"/>
  <c r="S58" i="109"/>
  <c r="T58" i="109" s="1"/>
  <c r="R58" i="109"/>
  <c r="M58" i="109"/>
  <c r="L58" i="109"/>
  <c r="J58" i="109"/>
  <c r="F58" i="109"/>
  <c r="D58" i="109"/>
  <c r="S57" i="109"/>
  <c r="R57" i="109"/>
  <c r="U57" i="109" s="1"/>
  <c r="M57" i="109"/>
  <c r="M54" i="109" s="1"/>
  <c r="L57" i="109"/>
  <c r="J57" i="109"/>
  <c r="F57" i="109"/>
  <c r="F54" i="109" s="1"/>
  <c r="D57" i="109"/>
  <c r="B53" i="109"/>
  <c r="S47" i="109"/>
  <c r="T47" i="109" s="1"/>
  <c r="R47" i="109"/>
  <c r="U47" i="109" s="1"/>
  <c r="M47" i="109"/>
  <c r="L47" i="109"/>
  <c r="J47" i="109"/>
  <c r="F47" i="109"/>
  <c r="D47" i="109"/>
  <c r="M46" i="109"/>
  <c r="L46" i="109"/>
  <c r="J46" i="109"/>
  <c r="F46" i="109"/>
  <c r="D46" i="109"/>
  <c r="M45" i="109"/>
  <c r="L45" i="109"/>
  <c r="J45" i="109"/>
  <c r="F45" i="109"/>
  <c r="D45" i="109"/>
  <c r="S44" i="109"/>
  <c r="T44" i="109" s="1"/>
  <c r="R44" i="109"/>
  <c r="U44" i="109" s="1"/>
  <c r="M44" i="109"/>
  <c r="L44" i="109"/>
  <c r="J44" i="109"/>
  <c r="F44" i="109"/>
  <c r="D44" i="109"/>
  <c r="S43" i="109"/>
  <c r="T43" i="109" s="1"/>
  <c r="R43" i="109"/>
  <c r="U43" i="109" s="1"/>
  <c r="M43" i="109"/>
  <c r="L43" i="109"/>
  <c r="J43" i="109"/>
  <c r="F43" i="109"/>
  <c r="D43" i="109"/>
  <c r="S42" i="109"/>
  <c r="T42" i="109" s="1"/>
  <c r="R42" i="109"/>
  <c r="U42" i="109" s="1"/>
  <c r="M42" i="109"/>
  <c r="L42" i="109"/>
  <c r="J42" i="109"/>
  <c r="F42" i="109"/>
  <c r="D42" i="109"/>
  <c r="S41" i="109"/>
  <c r="T41" i="109" s="1"/>
  <c r="R41" i="109"/>
  <c r="U41" i="109" s="1"/>
  <c r="M41" i="109"/>
  <c r="L41" i="109"/>
  <c r="J41" i="109"/>
  <c r="F41" i="109"/>
  <c r="D41" i="109"/>
  <c r="S40" i="109"/>
  <c r="T40" i="109" s="1"/>
  <c r="R40" i="109"/>
  <c r="U40" i="109" s="1"/>
  <c r="M40" i="109"/>
  <c r="L40" i="109"/>
  <c r="J40" i="109"/>
  <c r="F40" i="109"/>
  <c r="D40" i="109"/>
  <c r="J39" i="109"/>
  <c r="F39" i="109"/>
  <c r="O39" i="109" s="1"/>
  <c r="D39" i="109"/>
  <c r="M38" i="109"/>
  <c r="L38" i="109"/>
  <c r="J38" i="109"/>
  <c r="F38" i="109"/>
  <c r="D38" i="109"/>
  <c r="S37" i="109"/>
  <c r="T37" i="109" s="1"/>
  <c r="R37" i="109"/>
  <c r="U37" i="109" s="1"/>
  <c r="M37" i="109"/>
  <c r="L37" i="109"/>
  <c r="J37" i="109"/>
  <c r="F37" i="109"/>
  <c r="D37" i="109"/>
  <c r="S36" i="109"/>
  <c r="T36" i="109" s="1"/>
  <c r="R36" i="109"/>
  <c r="U36" i="109" s="1"/>
  <c r="M36" i="109"/>
  <c r="L36" i="109"/>
  <c r="J36" i="109"/>
  <c r="F36" i="109"/>
  <c r="D36" i="109"/>
  <c r="S35" i="109"/>
  <c r="T35" i="109" s="1"/>
  <c r="R35" i="109"/>
  <c r="U35" i="109" s="1"/>
  <c r="M35" i="109"/>
  <c r="L35" i="109"/>
  <c r="J35" i="109"/>
  <c r="F35" i="109"/>
  <c r="D35" i="109"/>
  <c r="S34" i="109"/>
  <c r="T34" i="109" s="1"/>
  <c r="R34" i="109"/>
  <c r="U34" i="109" s="1"/>
  <c r="M34" i="109"/>
  <c r="L34" i="109"/>
  <c r="J34" i="109"/>
  <c r="F34" i="109"/>
  <c r="D34" i="109"/>
  <c r="M33" i="109"/>
  <c r="L33" i="109"/>
  <c r="J33" i="109"/>
  <c r="F33" i="109"/>
  <c r="D33" i="109"/>
  <c r="M32" i="109"/>
  <c r="L32" i="109"/>
  <c r="J32" i="109"/>
  <c r="F32" i="109"/>
  <c r="D32" i="109"/>
  <c r="S31" i="109"/>
  <c r="T31" i="109" s="1"/>
  <c r="R31" i="109"/>
  <c r="U31" i="109" s="1"/>
  <c r="M31" i="109"/>
  <c r="L31" i="109"/>
  <c r="J31" i="109"/>
  <c r="F31" i="109"/>
  <c r="D31" i="109"/>
  <c r="S30" i="109"/>
  <c r="R30" i="109"/>
  <c r="M30" i="109"/>
  <c r="M48" i="109" s="1"/>
  <c r="L30" i="109"/>
  <c r="L48" i="109" s="1"/>
  <c r="J30" i="109"/>
  <c r="F30" i="109"/>
  <c r="D30" i="109"/>
  <c r="B27" i="109"/>
  <c r="E22" i="109"/>
  <c r="S21" i="109"/>
  <c r="T21" i="109" s="1"/>
  <c r="R21" i="109"/>
  <c r="M21" i="109"/>
  <c r="L21" i="109"/>
  <c r="I21" i="109"/>
  <c r="F21" i="109"/>
  <c r="S20" i="109"/>
  <c r="T20" i="109" s="1"/>
  <c r="R20" i="109"/>
  <c r="M20" i="109"/>
  <c r="L20" i="109"/>
  <c r="I20" i="109"/>
  <c r="F20" i="109"/>
  <c r="S19" i="109"/>
  <c r="T19" i="109" s="1"/>
  <c r="R19" i="109"/>
  <c r="M19" i="109"/>
  <c r="L19" i="109"/>
  <c r="I19" i="109"/>
  <c r="F19" i="109"/>
  <c r="S18" i="109"/>
  <c r="T18" i="109" s="1"/>
  <c r="R18" i="109"/>
  <c r="M18" i="109"/>
  <c r="L18" i="109"/>
  <c r="I18" i="109"/>
  <c r="F18" i="109"/>
  <c r="S17" i="109"/>
  <c r="T17" i="109" s="1"/>
  <c r="R17" i="109"/>
  <c r="M17" i="109"/>
  <c r="L17" i="109"/>
  <c r="I17" i="109"/>
  <c r="F17" i="109"/>
  <c r="S16" i="109"/>
  <c r="T16" i="109" s="1"/>
  <c r="R16" i="109"/>
  <c r="M16" i="109"/>
  <c r="L16" i="109"/>
  <c r="I16" i="109"/>
  <c r="F16" i="109"/>
  <c r="S15" i="109"/>
  <c r="T15" i="109" s="1"/>
  <c r="R15" i="109"/>
  <c r="M15" i="109"/>
  <c r="L15" i="109"/>
  <c r="I15" i="109"/>
  <c r="F15" i="109"/>
  <c r="S14" i="109"/>
  <c r="T14" i="109" s="1"/>
  <c r="R14" i="109"/>
  <c r="M14" i="109"/>
  <c r="L14" i="109"/>
  <c r="I14" i="109"/>
  <c r="F14" i="109"/>
  <c r="S13" i="109"/>
  <c r="T13" i="109" s="1"/>
  <c r="R13" i="109"/>
  <c r="M13" i="109"/>
  <c r="L13" i="109"/>
  <c r="I13" i="109"/>
  <c r="F13" i="109"/>
  <c r="S12" i="109"/>
  <c r="T12" i="109" s="1"/>
  <c r="R12" i="109"/>
  <c r="M12" i="109"/>
  <c r="L12" i="109"/>
  <c r="I12" i="109"/>
  <c r="F12" i="109"/>
  <c r="S11" i="109"/>
  <c r="T11" i="109" s="1"/>
  <c r="R11" i="109"/>
  <c r="M11" i="109"/>
  <c r="L11" i="109"/>
  <c r="I11" i="109"/>
  <c r="F11" i="109"/>
  <c r="S10" i="109"/>
  <c r="T10" i="109" s="1"/>
  <c r="R10" i="109"/>
  <c r="M10" i="109"/>
  <c r="L10" i="109"/>
  <c r="I10" i="109"/>
  <c r="F10" i="109"/>
  <c r="B10" i="109"/>
  <c r="B11" i="109" s="1"/>
  <c r="B12" i="109" s="1"/>
  <c r="B13" i="109" s="1"/>
  <c r="B14" i="109" s="1"/>
  <c r="S9" i="109"/>
  <c r="T9" i="109" s="1"/>
  <c r="R9" i="109"/>
  <c r="M9" i="109"/>
  <c r="L9" i="109"/>
  <c r="I9" i="109"/>
  <c r="F9" i="109"/>
  <c r="S8" i="109"/>
  <c r="T8" i="109" s="1"/>
  <c r="R8" i="109"/>
  <c r="M8" i="109"/>
  <c r="L8" i="109"/>
  <c r="I8" i="109"/>
  <c r="F8" i="109"/>
  <c r="S7" i="109"/>
  <c r="R7" i="109"/>
  <c r="M7" i="109"/>
  <c r="M22" i="109" s="1"/>
  <c r="L7" i="109"/>
  <c r="L22" i="109" s="1"/>
  <c r="I7" i="109"/>
  <c r="F7" i="109"/>
  <c r="B4" i="109"/>
  <c r="Q159" i="91"/>
  <c r="U141" i="109" l="1"/>
  <c r="V141" i="109"/>
  <c r="V146" i="109"/>
  <c r="U146" i="109"/>
  <c r="P4" i="114"/>
  <c r="S4" i="114" s="1"/>
  <c r="V154" i="109"/>
  <c r="U154" i="109"/>
  <c r="I175" i="109"/>
  <c r="O107" i="109"/>
  <c r="O100" i="109"/>
  <c r="Q100" i="109" s="1"/>
  <c r="S100" i="109" s="1"/>
  <c r="O13" i="109"/>
  <c r="Q13" i="109" s="1"/>
  <c r="V13" i="109" s="1"/>
  <c r="O21" i="109"/>
  <c r="Q21" i="109" s="1"/>
  <c r="V21" i="109" s="1"/>
  <c r="M77" i="109"/>
  <c r="O102" i="109"/>
  <c r="Q102" i="109" s="1"/>
  <c r="O60" i="109"/>
  <c r="Q60" i="109" s="1"/>
  <c r="F83" i="109"/>
  <c r="O93" i="109"/>
  <c r="Q93" i="109" s="1"/>
  <c r="O9" i="109"/>
  <c r="Q9" i="109" s="1"/>
  <c r="V9" i="109" s="1"/>
  <c r="O65" i="109"/>
  <c r="Q65" i="109" s="1"/>
  <c r="V65" i="109" s="1"/>
  <c r="Z158" i="109"/>
  <c r="O76" i="109"/>
  <c r="Q76" i="109" s="1"/>
  <c r="V76" i="109" s="1"/>
  <c r="O34" i="109"/>
  <c r="Q34" i="109" s="1"/>
  <c r="V34" i="109" s="1"/>
  <c r="O7" i="109"/>
  <c r="Q7" i="109" s="1"/>
  <c r="Q22" i="109" s="1"/>
  <c r="O31" i="109"/>
  <c r="Q31" i="109" s="1"/>
  <c r="V31" i="109" s="1"/>
  <c r="Q39" i="109"/>
  <c r="O47" i="109"/>
  <c r="Q47" i="109" s="1"/>
  <c r="V47" i="109" s="1"/>
  <c r="O59" i="109"/>
  <c r="Q59" i="109" s="1"/>
  <c r="O63" i="109"/>
  <c r="Q63" i="109" s="1"/>
  <c r="V63" i="109" s="1"/>
  <c r="O73" i="109"/>
  <c r="Q73" i="109" s="1"/>
  <c r="V73" i="109" s="1"/>
  <c r="O58" i="109"/>
  <c r="Q58" i="109" s="1"/>
  <c r="V58" i="109" s="1"/>
  <c r="O71" i="109"/>
  <c r="Q71" i="109" s="1"/>
  <c r="V71" i="109" s="1"/>
  <c r="O98" i="109"/>
  <c r="Q98" i="109" s="1"/>
  <c r="Z98" i="109" s="1"/>
  <c r="O104" i="109"/>
  <c r="Q104" i="109" s="1"/>
  <c r="Z104" i="109" s="1"/>
  <c r="O88" i="109"/>
  <c r="Q88" i="109" s="1"/>
  <c r="R86" i="109"/>
  <c r="U86" i="109" s="1"/>
  <c r="S86" i="109"/>
  <c r="T86" i="109" s="1"/>
  <c r="O101" i="109"/>
  <c r="Q101" i="109" s="1"/>
  <c r="F22" i="109"/>
  <c r="O90" i="109"/>
  <c r="Q90" i="109" s="1"/>
  <c r="O38" i="109"/>
  <c r="Q38" i="109" s="1"/>
  <c r="O40" i="109"/>
  <c r="Q40" i="109" s="1"/>
  <c r="V40" i="109" s="1"/>
  <c r="O62" i="109"/>
  <c r="Q62" i="109" s="1"/>
  <c r="V62" i="109" s="1"/>
  <c r="O66" i="109"/>
  <c r="Q66" i="109" s="1"/>
  <c r="V66" i="109" s="1"/>
  <c r="O87" i="109"/>
  <c r="Q87" i="109" s="1"/>
  <c r="O89" i="109"/>
  <c r="Q89" i="109" s="1"/>
  <c r="S89" i="109" s="1"/>
  <c r="O92" i="109"/>
  <c r="Q92" i="109" s="1"/>
  <c r="V92" i="109" s="1"/>
  <c r="O99" i="109"/>
  <c r="Q99" i="109" s="1"/>
  <c r="O15" i="109"/>
  <c r="Q15" i="109" s="1"/>
  <c r="V15" i="109" s="1"/>
  <c r="O16" i="109"/>
  <c r="Q16" i="109" s="1"/>
  <c r="V16" i="109" s="1"/>
  <c r="O32" i="109"/>
  <c r="Q32" i="109" s="1"/>
  <c r="O42" i="109"/>
  <c r="Q42" i="109" s="1"/>
  <c r="V42" i="109" s="1"/>
  <c r="O67" i="109"/>
  <c r="Q67" i="109" s="1"/>
  <c r="V67" i="109" s="1"/>
  <c r="O105" i="109"/>
  <c r="Q105" i="109" s="1"/>
  <c r="V105" i="109" s="1"/>
  <c r="O70" i="109"/>
  <c r="Q70" i="109" s="1"/>
  <c r="V70" i="109" s="1"/>
  <c r="O94" i="109"/>
  <c r="Q94" i="109" s="1"/>
  <c r="Z94" i="109" s="1"/>
  <c r="O10" i="109"/>
  <c r="Q10" i="109" s="1"/>
  <c r="V10" i="109" s="1"/>
  <c r="O35" i="109"/>
  <c r="Q35" i="109" s="1"/>
  <c r="V35" i="109" s="1"/>
  <c r="F77" i="109"/>
  <c r="Q107" i="109"/>
  <c r="R99" i="109"/>
  <c r="U99" i="109" s="1"/>
  <c r="S99" i="109"/>
  <c r="T99" i="109" s="1"/>
  <c r="O19" i="109"/>
  <c r="Q19" i="109" s="1"/>
  <c r="V19" i="109" s="1"/>
  <c r="O11" i="109"/>
  <c r="Q11" i="109" s="1"/>
  <c r="V11" i="109" s="1"/>
  <c r="O61" i="109"/>
  <c r="Q61" i="109" s="1"/>
  <c r="V61" i="109" s="1"/>
  <c r="O20" i="109"/>
  <c r="Q20" i="109" s="1"/>
  <c r="V20" i="109" s="1"/>
  <c r="O41" i="109"/>
  <c r="Q41" i="109" s="1"/>
  <c r="V41" i="109" s="1"/>
  <c r="M83" i="109"/>
  <c r="O106" i="109"/>
  <c r="Q106" i="109" s="1"/>
  <c r="V106" i="109" s="1"/>
  <c r="O75" i="109"/>
  <c r="Q75" i="109" s="1"/>
  <c r="V75" i="109" s="1"/>
  <c r="O8" i="109"/>
  <c r="Q8" i="109" s="1"/>
  <c r="V8" i="109" s="1"/>
  <c r="O36" i="109"/>
  <c r="Q36" i="109" s="1"/>
  <c r="V36" i="109" s="1"/>
  <c r="O46" i="109"/>
  <c r="Q46" i="109" s="1"/>
  <c r="O64" i="109"/>
  <c r="Q64" i="109" s="1"/>
  <c r="V64" i="109" s="1"/>
  <c r="O68" i="109"/>
  <c r="Q68" i="109" s="1"/>
  <c r="V68" i="109" s="1"/>
  <c r="O69" i="109"/>
  <c r="Q69" i="109" s="1"/>
  <c r="V69" i="109" s="1"/>
  <c r="R22" i="109"/>
  <c r="O95" i="109"/>
  <c r="Q95" i="109" s="1"/>
  <c r="V95" i="109" s="1"/>
  <c r="O12" i="109"/>
  <c r="Q12" i="109" s="1"/>
  <c r="V12" i="109" s="1"/>
  <c r="O17" i="109"/>
  <c r="Q17" i="109" s="1"/>
  <c r="V17" i="109" s="1"/>
  <c r="O18" i="109"/>
  <c r="Q18" i="109" s="1"/>
  <c r="V18" i="109" s="1"/>
  <c r="O44" i="109"/>
  <c r="Q44" i="109" s="1"/>
  <c r="V44" i="109" s="1"/>
  <c r="O45" i="109"/>
  <c r="Q45" i="109" s="1"/>
  <c r="O91" i="109"/>
  <c r="Q91" i="109" s="1"/>
  <c r="O97" i="109"/>
  <c r="B16" i="109"/>
  <c r="B17" i="109" s="1"/>
  <c r="B18" i="109" s="1"/>
  <c r="B19" i="109" s="1"/>
  <c r="B20" i="109" s="1"/>
  <c r="B21" i="109" s="1"/>
  <c r="B15" i="109"/>
  <c r="S22" i="109"/>
  <c r="T7" i="109"/>
  <c r="T22" i="109" s="1"/>
  <c r="T30" i="109"/>
  <c r="O57" i="109"/>
  <c r="L77" i="109"/>
  <c r="L54" i="109"/>
  <c r="L83" i="109"/>
  <c r="O86" i="109"/>
  <c r="L108" i="109"/>
  <c r="S93" i="109"/>
  <c r="T93" i="109" s="1"/>
  <c r="V93" i="109" s="1"/>
  <c r="R93" i="109"/>
  <c r="U93" i="109" s="1"/>
  <c r="U30" i="109"/>
  <c r="S107" i="109"/>
  <c r="T107" i="109" s="1"/>
  <c r="R107" i="109"/>
  <c r="U107" i="109" s="1"/>
  <c r="O103" i="109"/>
  <c r="O30" i="109"/>
  <c r="F48" i="109"/>
  <c r="F132" i="109"/>
  <c r="U58" i="109"/>
  <c r="S102" i="109"/>
  <c r="T102" i="109" s="1"/>
  <c r="R102" i="109"/>
  <c r="U102" i="109" s="1"/>
  <c r="M163" i="109"/>
  <c r="O14" i="109"/>
  <c r="Q14" i="109" s="1"/>
  <c r="V14" i="109" s="1"/>
  <c r="O33" i="109"/>
  <c r="Q33" i="109" s="1"/>
  <c r="T98" i="109"/>
  <c r="R98" i="109"/>
  <c r="U98" i="109" s="1"/>
  <c r="E108" i="109"/>
  <c r="O74" i="109"/>
  <c r="Q74" i="109" s="1"/>
  <c r="V74" i="109" s="1"/>
  <c r="S96" i="109"/>
  <c r="T96" i="109" s="1"/>
  <c r="R96" i="109"/>
  <c r="U96" i="109" s="1"/>
  <c r="L132" i="109"/>
  <c r="O72" i="109"/>
  <c r="Q72" i="109" s="1"/>
  <c r="V72" i="109" s="1"/>
  <c r="O96" i="109"/>
  <c r="O37" i="109"/>
  <c r="Q37" i="109" s="1"/>
  <c r="V37" i="109" s="1"/>
  <c r="O43" i="109"/>
  <c r="Q43" i="109" s="1"/>
  <c r="V43" i="109" s="1"/>
  <c r="T57" i="109"/>
  <c r="S91" i="109"/>
  <c r="T91" i="109" s="1"/>
  <c r="R94" i="109"/>
  <c r="U94" i="109" s="1"/>
  <c r="R97" i="109"/>
  <c r="U97" i="109" s="1"/>
  <c r="R104" i="109"/>
  <c r="U104" i="109" s="1"/>
  <c r="S94" i="109"/>
  <c r="T94" i="109" s="1"/>
  <c r="S97" i="109"/>
  <c r="T97" i="109" s="1"/>
  <c r="S104" i="109"/>
  <c r="T104" i="109" s="1"/>
  <c r="M132" i="109"/>
  <c r="R163" i="109" l="1"/>
  <c r="T163" i="109"/>
  <c r="Q4" i="114"/>
  <c r="V4" i="114" s="1"/>
  <c r="V159" i="109"/>
  <c r="V163" i="109" s="1"/>
  <c r="Z107" i="109"/>
  <c r="Z159" i="109"/>
  <c r="S60" i="109"/>
  <c r="T60" i="109" s="1"/>
  <c r="V60" i="109" s="1"/>
  <c r="E45" i="109"/>
  <c r="S45" i="109" s="1"/>
  <c r="T45" i="109" s="1"/>
  <c r="V45" i="109" s="1"/>
  <c r="E38" i="109"/>
  <c r="R38" i="109" s="1"/>
  <c r="U38" i="109" s="1"/>
  <c r="R60" i="109"/>
  <c r="U60" i="109" s="1"/>
  <c r="Z102" i="109"/>
  <c r="V107" i="109"/>
  <c r="V102" i="109"/>
  <c r="E46" i="109"/>
  <c r="R46" i="109" s="1"/>
  <c r="U46" i="109" s="1"/>
  <c r="R87" i="109"/>
  <c r="U87" i="109" s="1"/>
  <c r="U108" i="109" s="1"/>
  <c r="S87" i="109"/>
  <c r="S108" i="109" s="1"/>
  <c r="O22" i="109"/>
  <c r="Z93" i="109"/>
  <c r="V94" i="109"/>
  <c r="E39" i="109"/>
  <c r="S39" i="109" s="1"/>
  <c r="T39" i="109" s="1"/>
  <c r="V39" i="109" s="1"/>
  <c r="R90" i="109"/>
  <c r="U90" i="109" s="1"/>
  <c r="Z88" i="109"/>
  <c r="R59" i="109"/>
  <c r="U59" i="109" s="1"/>
  <c r="U77" i="109" s="1"/>
  <c r="Z95" i="109"/>
  <c r="S59" i="109"/>
  <c r="S77" i="109" s="1"/>
  <c r="Z101" i="109"/>
  <c r="Z105" i="109"/>
  <c r="Q97" i="109"/>
  <c r="V97" i="109" s="1"/>
  <c r="V98" i="109"/>
  <c r="Z90" i="109"/>
  <c r="S88" i="109"/>
  <c r="T88" i="109" s="1"/>
  <c r="V88" i="109" s="1"/>
  <c r="R88" i="109"/>
  <c r="U88" i="109" s="1"/>
  <c r="R100" i="109"/>
  <c r="U100" i="109" s="1"/>
  <c r="Z87" i="109"/>
  <c r="V99" i="109"/>
  <c r="Q96" i="109"/>
  <c r="V96" i="109" s="1"/>
  <c r="V91" i="109"/>
  <c r="S90" i="109"/>
  <c r="T90" i="109" s="1"/>
  <c r="V90" i="109" s="1"/>
  <c r="E33" i="109"/>
  <c r="Z99" i="109"/>
  <c r="Z89" i="109"/>
  <c r="Z91" i="109"/>
  <c r="V104" i="109"/>
  <c r="Z92" i="109"/>
  <c r="O54" i="109"/>
  <c r="Q57" i="109"/>
  <c r="O77" i="109"/>
  <c r="E32" i="109"/>
  <c r="O132" i="109"/>
  <c r="O129" i="109" s="1"/>
  <c r="R89" i="109"/>
  <c r="U89" i="109" s="1"/>
  <c r="Z100" i="109"/>
  <c r="T100" i="109"/>
  <c r="V100" i="109" s="1"/>
  <c r="Q86" i="109"/>
  <c r="Z86" i="109" s="1"/>
  <c r="O83" i="109"/>
  <c r="O108" i="109"/>
  <c r="R101" i="109"/>
  <c r="U101" i="109" s="1"/>
  <c r="Q103" i="109"/>
  <c r="V103" i="109" s="1"/>
  <c r="V7" i="109"/>
  <c r="V22" i="109" s="1"/>
  <c r="O48" i="109"/>
  <c r="Q30" i="109"/>
  <c r="S101" i="109"/>
  <c r="T101" i="109" s="1"/>
  <c r="V101" i="109" s="1"/>
  <c r="T89" i="109"/>
  <c r="V89" i="109" s="1"/>
  <c r="Z106" i="109"/>
  <c r="V166" i="109" l="1"/>
  <c r="R45" i="109"/>
  <c r="U45" i="109" s="1"/>
  <c r="S38" i="109"/>
  <c r="T38" i="109" s="1"/>
  <c r="V38" i="109" s="1"/>
  <c r="S46" i="109"/>
  <c r="T46" i="109" s="1"/>
  <c r="V46" i="109" s="1"/>
  <c r="R39" i="109"/>
  <c r="U39" i="109" s="1"/>
  <c r="T87" i="109"/>
  <c r="T108" i="109" s="1"/>
  <c r="Z97" i="109"/>
  <c r="R108" i="109"/>
  <c r="Z96" i="109"/>
  <c r="Z135" i="109"/>
  <c r="R77" i="109"/>
  <c r="T59" i="109"/>
  <c r="Q48" i="109"/>
  <c r="V30" i="109"/>
  <c r="V48" i="109" s="1"/>
  <c r="Q77" i="109"/>
  <c r="V57" i="109"/>
  <c r="V77" i="109" s="1"/>
  <c r="S33" i="109"/>
  <c r="T33" i="109" s="1"/>
  <c r="V33" i="109" s="1"/>
  <c r="R33" i="109"/>
  <c r="U33" i="109" s="1"/>
  <c r="Q108" i="109"/>
  <c r="V86" i="109"/>
  <c r="V108" i="109" s="1"/>
  <c r="Z103" i="109"/>
  <c r="E48" i="109"/>
  <c r="R32" i="109"/>
  <c r="S32" i="109"/>
  <c r="S48" i="109" s="1"/>
  <c r="U163" i="109" l="1"/>
  <c r="V87" i="109"/>
  <c r="S163" i="109"/>
  <c r="V59" i="109"/>
  <c r="T77" i="109"/>
  <c r="U32" i="109"/>
  <c r="U48" i="109" s="1"/>
  <c r="R48" i="109"/>
  <c r="T32" i="109"/>
  <c r="V32" i="109" l="1"/>
  <c r="T48" i="109"/>
  <c r="F145" i="91" l="1"/>
  <c r="W159" i="91"/>
  <c r="W160" i="91"/>
  <c r="W161" i="91"/>
  <c r="W162" i="91"/>
  <c r="W163" i="91"/>
  <c r="W164" i="91"/>
  <c r="W165" i="91"/>
  <c r="W166" i="91"/>
  <c r="W167" i="91"/>
  <c r="W168" i="91"/>
  <c r="W169" i="91"/>
  <c r="W170" i="91"/>
  <c r="W171" i="91"/>
  <c r="W173" i="91"/>
  <c r="W177" i="91"/>
  <c r="W178" i="91"/>
  <c r="W179" i="91"/>
  <c r="F153" i="91"/>
  <c r="M153" i="91"/>
  <c r="M144" i="91"/>
  <c r="F144" i="91"/>
  <c r="M154" i="91"/>
  <c r="F154" i="91"/>
  <c r="F158" i="91"/>
  <c r="L158" i="91"/>
  <c r="L142" i="91"/>
  <c r="F142" i="91"/>
  <c r="M138" i="91"/>
  <c r="F138" i="91"/>
  <c r="L155" i="91"/>
  <c r="F155" i="91"/>
  <c r="L152" i="91"/>
  <c r="F152" i="91"/>
  <c r="L135" i="91"/>
  <c r="F135" i="91"/>
  <c r="M157" i="91"/>
  <c r="F157" i="91"/>
  <c r="L145" i="91"/>
  <c r="O145" i="91" l="1"/>
  <c r="P16" i="113" l="1"/>
  <c r="C16" i="114" s="1"/>
  <c r="P16" i="114" s="1"/>
  <c r="S16" i="114" s="1"/>
  <c r="O20" i="113"/>
  <c r="P20" i="113" s="1"/>
  <c r="U20" i="113" l="1"/>
  <c r="C22" i="114"/>
  <c r="P22" i="114" s="1"/>
  <c r="U16" i="113"/>
  <c r="O8" i="113"/>
  <c r="O25" i="113"/>
  <c r="P25" i="113" s="1"/>
  <c r="U25" i="113" s="1"/>
  <c r="J177" i="91"/>
  <c r="J178" i="91"/>
  <c r="O141" i="91"/>
  <c r="E159" i="91"/>
  <c r="S159" i="91" s="1"/>
  <c r="T159" i="91" s="1"/>
  <c r="V159" i="91" s="1"/>
  <c r="Q22" i="114" l="1"/>
  <c r="V22" i="114" s="1"/>
  <c r="S22" i="114"/>
  <c r="Q16" i="114"/>
  <c r="O9" i="113"/>
  <c r="P9" i="113" s="1"/>
  <c r="P8" i="113"/>
  <c r="R159" i="91"/>
  <c r="U159" i="91" s="1"/>
  <c r="O41" i="113" l="1"/>
  <c r="O43" i="113" s="1"/>
  <c r="V16" i="114"/>
  <c r="C14" i="115"/>
  <c r="U9" i="113"/>
  <c r="C11" i="114"/>
  <c r="P11" i="114" s="1"/>
  <c r="U8" i="113"/>
  <c r="C10" i="114"/>
  <c r="P10" i="114" s="1"/>
  <c r="G205" i="91"/>
  <c r="E137" i="91"/>
  <c r="S137" i="91" s="1"/>
  <c r="T137" i="91" s="1"/>
  <c r="J157" i="91"/>
  <c r="P136" i="91"/>
  <c r="P137" i="91"/>
  <c r="P139" i="91"/>
  <c r="P140" i="91"/>
  <c r="P141" i="91"/>
  <c r="P142" i="91"/>
  <c r="P146" i="91"/>
  <c r="P147" i="91"/>
  <c r="P148" i="91"/>
  <c r="P149" i="91"/>
  <c r="P150" i="91"/>
  <c r="P151" i="91"/>
  <c r="P153" i="91"/>
  <c r="P154" i="91"/>
  <c r="P155" i="91"/>
  <c r="P156" i="91"/>
  <c r="P158" i="91"/>
  <c r="P159" i="91"/>
  <c r="P160" i="91"/>
  <c r="P161" i="91"/>
  <c r="P162" i="91"/>
  <c r="P163" i="91"/>
  <c r="P164" i="91"/>
  <c r="P165" i="91"/>
  <c r="P166" i="91"/>
  <c r="M143" i="91"/>
  <c r="L143" i="91"/>
  <c r="F143" i="91"/>
  <c r="J141" i="91"/>
  <c r="Q141" i="91" s="1"/>
  <c r="E141" i="91"/>
  <c r="P157" i="91"/>
  <c r="M152" i="91"/>
  <c r="P152" i="91" s="1"/>
  <c r="J152" i="91"/>
  <c r="J150" i="91"/>
  <c r="O150" i="91"/>
  <c r="E150" i="91"/>
  <c r="F149" i="91"/>
  <c r="J139" i="91"/>
  <c r="O139" i="91"/>
  <c r="E140" i="91"/>
  <c r="J140" i="91"/>
  <c r="O140" i="91"/>
  <c r="F147" i="91"/>
  <c r="P145" i="91"/>
  <c r="L144" i="91"/>
  <c r="P144" i="91" s="1"/>
  <c r="E144" i="91"/>
  <c r="S144" i="91" s="1"/>
  <c r="T144" i="91" s="1"/>
  <c r="E143" i="91"/>
  <c r="R143" i="91" s="1"/>
  <c r="U143" i="91" s="1"/>
  <c r="L138" i="91"/>
  <c r="P138" i="91" s="1"/>
  <c r="M135" i="91"/>
  <c r="P135" i="91" s="1"/>
  <c r="P143" i="91" l="1"/>
  <c r="P14" i="115"/>
  <c r="Q14" i="115" s="1"/>
  <c r="Q10" i="114"/>
  <c r="V10" i="114" s="1"/>
  <c r="S10" i="114"/>
  <c r="P41" i="114"/>
  <c r="P43" i="114" s="1"/>
  <c r="Q11" i="114"/>
  <c r="S11" i="114"/>
  <c r="O135" i="91"/>
  <c r="W141" i="91"/>
  <c r="Q140" i="91"/>
  <c r="Z140" i="91" s="1"/>
  <c r="Q139" i="91"/>
  <c r="W139" i="91" s="1"/>
  <c r="R137" i="91"/>
  <c r="U137" i="91" s="1"/>
  <c r="S143" i="91"/>
  <c r="T143" i="91" s="1"/>
  <c r="R144" i="91"/>
  <c r="U144" i="91" s="1"/>
  <c r="Z141" i="91"/>
  <c r="O152" i="91"/>
  <c r="Q150" i="91"/>
  <c r="W150" i="91" s="1"/>
  <c r="V14" i="115" l="1"/>
  <c r="C15" i="116"/>
  <c r="V11" i="114"/>
  <c r="C15" i="115"/>
  <c r="W174" i="91"/>
  <c r="W180" i="91"/>
  <c r="W140" i="91"/>
  <c r="W172" i="91"/>
  <c r="R140" i="91"/>
  <c r="U140" i="91" s="1"/>
  <c r="Q152" i="91"/>
  <c r="R141" i="91"/>
  <c r="U141" i="91" s="1"/>
  <c r="S140" i="91"/>
  <c r="T140" i="91" s="1"/>
  <c r="V140" i="91" s="1"/>
  <c r="S141" i="91"/>
  <c r="T141" i="91" s="1"/>
  <c r="Z150" i="91"/>
  <c r="Z139" i="91"/>
  <c r="P15" i="116" l="1"/>
  <c r="P15" i="115"/>
  <c r="P41" i="115" s="1"/>
  <c r="W176" i="91"/>
  <c r="W175" i="91"/>
  <c r="Z152" i="91"/>
  <c r="W152" i="91"/>
  <c r="Q15" i="115" l="1"/>
  <c r="Q15" i="116"/>
  <c r="V15" i="116" s="1"/>
  <c r="J164" i="91"/>
  <c r="J163" i="91"/>
  <c r="J162" i="91"/>
  <c r="O161" i="91"/>
  <c r="J161" i="91"/>
  <c r="O155" i="91"/>
  <c r="J155" i="91"/>
  <c r="E155" i="91"/>
  <c r="O142" i="91"/>
  <c r="J142" i="91"/>
  <c r="E142" i="91"/>
  <c r="O158" i="91"/>
  <c r="V15" i="115" l="1"/>
  <c r="C14" i="116"/>
  <c r="R142" i="91"/>
  <c r="U142" i="91" s="1"/>
  <c r="U185" i="91" s="1"/>
  <c r="S142" i="91"/>
  <c r="T142" i="91" s="1"/>
  <c r="S155" i="91"/>
  <c r="T155" i="91" s="1"/>
  <c r="R155" i="91"/>
  <c r="U155" i="91" s="1"/>
  <c r="Q155" i="91"/>
  <c r="Q142" i="91"/>
  <c r="O138" i="91"/>
  <c r="J138" i="91"/>
  <c r="O137" i="91"/>
  <c r="O136" i="91"/>
  <c r="P14" i="116" l="1"/>
  <c r="Z142" i="91"/>
  <c r="W142" i="91"/>
  <c r="Z155" i="91"/>
  <c r="W155" i="91"/>
  <c r="Q138" i="91"/>
  <c r="W138" i="91" s="1"/>
  <c r="V155" i="91"/>
  <c r="V142" i="91"/>
  <c r="Z161" i="91"/>
  <c r="O143" i="91"/>
  <c r="P41" i="116" l="1"/>
  <c r="Q14" i="116"/>
  <c r="V14" i="116" s="1"/>
  <c r="Z138" i="91"/>
  <c r="O170" i="91" l="1"/>
  <c r="G204" i="91" l="1"/>
  <c r="G188" i="91" l="1"/>
  <c r="E148" i="91" l="1"/>
  <c r="E147" i="91"/>
  <c r="E146" i="91"/>
  <c r="E154" i="91"/>
  <c r="S154" i="91" l="1"/>
  <c r="T154" i="91" s="1"/>
  <c r="R154" i="91"/>
  <c r="U154" i="91" s="1"/>
  <c r="S147" i="91"/>
  <c r="T147" i="91" s="1"/>
  <c r="R147" i="91"/>
  <c r="U147" i="91" s="1"/>
  <c r="S148" i="91"/>
  <c r="T148" i="91" s="1"/>
  <c r="R148" i="91"/>
  <c r="U148" i="91" s="1"/>
  <c r="O178" i="91"/>
  <c r="P178" i="91"/>
  <c r="O179" i="91"/>
  <c r="Z179" i="91" s="1"/>
  <c r="P179" i="91"/>
  <c r="O177" i="91" l="1"/>
  <c r="P170" i="91"/>
  <c r="J170" i="91"/>
  <c r="P169" i="91"/>
  <c r="O169" i="91"/>
  <c r="J169" i="91"/>
  <c r="O147" i="91"/>
  <c r="O148" i="91"/>
  <c r="J147" i="91"/>
  <c r="J148" i="91"/>
  <c r="O174" i="91"/>
  <c r="P174" i="91"/>
  <c r="O175" i="91"/>
  <c r="P175" i="91"/>
  <c r="J175" i="91"/>
  <c r="J176" i="91"/>
  <c r="O165" i="91"/>
  <c r="J143" i="91"/>
  <c r="Q143" i="91" s="1"/>
  <c r="W143" i="91" s="1"/>
  <c r="Z143" i="91" l="1"/>
  <c r="V143" i="91"/>
  <c r="Q147" i="91"/>
  <c r="Q148" i="91"/>
  <c r="Z169" i="91"/>
  <c r="Z177" i="91"/>
  <c r="Z170" i="91"/>
  <c r="Z175" i="91"/>
  <c r="P177" i="91"/>
  <c r="O176" i="91"/>
  <c r="P176" i="91"/>
  <c r="O166" i="91"/>
  <c r="V148" i="91" l="1"/>
  <c r="W148" i="91"/>
  <c r="Z147" i="91"/>
  <c r="W147" i="91"/>
  <c r="Z148" i="91"/>
  <c r="Z178" i="91"/>
  <c r="E145" i="91"/>
  <c r="Z176" i="91" l="1"/>
  <c r="O162" i="91"/>
  <c r="M183" i="91" l="1"/>
  <c r="F183" i="91"/>
  <c r="Z180" i="91"/>
  <c r="Z181" i="91"/>
  <c r="G199" i="91"/>
  <c r="E158" i="91" l="1"/>
  <c r="J166" i="91"/>
  <c r="J156" i="91"/>
  <c r="O156" i="91"/>
  <c r="E156" i="91"/>
  <c r="O144" i="91"/>
  <c r="J144" i="91"/>
  <c r="O159" i="91"/>
  <c r="O164" i="91"/>
  <c r="J158" i="91"/>
  <c r="Q158" i="91" s="1"/>
  <c r="W158" i="91" s="1"/>
  <c r="R156" i="91" l="1"/>
  <c r="U156" i="91" s="1"/>
  <c r="S156" i="91"/>
  <c r="T156" i="91" s="1"/>
  <c r="R158" i="91"/>
  <c r="U158" i="91" s="1"/>
  <c r="S158" i="91"/>
  <c r="T158" i="91" s="1"/>
  <c r="V158" i="91" s="1"/>
  <c r="Q156" i="91"/>
  <c r="W156" i="91" s="1"/>
  <c r="Q144" i="91"/>
  <c r="W144" i="91" s="1"/>
  <c r="Z166" i="91"/>
  <c r="L183" i="91"/>
  <c r="O163" i="91"/>
  <c r="O160" i="91"/>
  <c r="O157" i="91"/>
  <c r="Q157" i="91" s="1"/>
  <c r="W157" i="91" s="1"/>
  <c r="O153" i="91"/>
  <c r="J153" i="91"/>
  <c r="E153" i="91"/>
  <c r="J136" i="91"/>
  <c r="Q136" i="91" s="1"/>
  <c r="W136" i="91" s="1"/>
  <c r="E136" i="91"/>
  <c r="E135" i="91"/>
  <c r="J165" i="91"/>
  <c r="Z144" i="91" l="1"/>
  <c r="V144" i="91"/>
  <c r="V156" i="91"/>
  <c r="S135" i="91"/>
  <c r="T135" i="91" s="1"/>
  <c r="R135" i="91"/>
  <c r="U135" i="91" s="1"/>
  <c r="S136" i="91"/>
  <c r="T136" i="91" s="1"/>
  <c r="V136" i="91" s="1"/>
  <c r="R136" i="91"/>
  <c r="U136" i="91" s="1"/>
  <c r="S153" i="91"/>
  <c r="T153" i="91" s="1"/>
  <c r="R153" i="91"/>
  <c r="U153" i="91" s="1"/>
  <c r="Q153" i="91"/>
  <c r="Z157" i="91"/>
  <c r="Z156" i="91"/>
  <c r="Z165" i="91"/>
  <c r="Z153" i="91" l="1"/>
  <c r="W153" i="91"/>
  <c r="V153" i="91"/>
  <c r="Z163" i="91"/>
  <c r="Z136" i="91"/>
  <c r="Z158" i="91"/>
  <c r="F112" i="101" l="1"/>
  <c r="G112" i="101"/>
  <c r="E59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32" i="101"/>
  <c r="E37" i="101"/>
  <c r="E32" i="101"/>
  <c r="E33" i="101"/>
  <c r="E34" i="101"/>
  <c r="E35" i="101"/>
  <c r="E36" i="101"/>
  <c r="E29" i="101"/>
  <c r="E30" i="101"/>
  <c r="E31" i="101"/>
  <c r="E19" i="101"/>
  <c r="E20" i="101"/>
  <c r="E21" i="101"/>
  <c r="E22" i="101"/>
  <c r="E23" i="101"/>
  <c r="E24" i="101"/>
  <c r="E25" i="101"/>
  <c r="E26" i="101"/>
  <c r="E27" i="101"/>
  <c r="E28" i="101"/>
  <c r="V179" i="91" l="1"/>
  <c r="E9" i="101"/>
  <c r="E10" i="101"/>
  <c r="E11" i="101"/>
  <c r="E12" i="101"/>
  <c r="E13" i="101"/>
  <c r="E14" i="101"/>
  <c r="E15" i="101"/>
  <c r="E16" i="101"/>
  <c r="E17" i="101"/>
  <c r="E18" i="101"/>
  <c r="E3" i="101"/>
  <c r="E4" i="101"/>
  <c r="E5" i="101"/>
  <c r="E6" i="101"/>
  <c r="E7" i="101"/>
  <c r="E8" i="101"/>
  <c r="E2" i="101"/>
  <c r="E112" i="101" l="1"/>
  <c r="G202" i="91"/>
  <c r="G203" i="91"/>
  <c r="G201" i="91"/>
  <c r="O154" i="91"/>
  <c r="J154" i="91"/>
  <c r="Q154" i="91" l="1"/>
  <c r="V154" i="91" l="1"/>
  <c r="W154" i="91"/>
  <c r="Z154" i="91"/>
  <c r="J145" i="91"/>
  <c r="O171" i="91"/>
  <c r="O168" i="91"/>
  <c r="O151" i="91"/>
  <c r="O173" i="91"/>
  <c r="F132" i="91" l="1"/>
  <c r="L132" i="91"/>
  <c r="Q145" i="91"/>
  <c r="W145" i="91" s="1"/>
  <c r="M132" i="91"/>
  <c r="O149" i="91"/>
  <c r="O172" i="91"/>
  <c r="O146" i="91"/>
  <c r="O167" i="91"/>
  <c r="O132" i="91" l="1"/>
  <c r="O183" i="91"/>
  <c r="Z145" i="91" l="1"/>
  <c r="G200" i="91" l="1"/>
  <c r="J135" i="91" l="1"/>
  <c r="Q135" i="91" s="1"/>
  <c r="P172" i="91"/>
  <c r="J172" i="91"/>
  <c r="V135" i="91" l="1"/>
  <c r="W135" i="91"/>
  <c r="Z164" i="91"/>
  <c r="Z172" i="91"/>
  <c r="Z135" i="91"/>
  <c r="G198" i="91" l="1"/>
  <c r="J146" i="91"/>
  <c r="Q146" i="91" s="1"/>
  <c r="W146" i="91" s="1"/>
  <c r="S146" i="91" l="1"/>
  <c r="T146" i="91" s="1"/>
  <c r="V146" i="91" s="1"/>
  <c r="R146" i="91"/>
  <c r="U146" i="91" s="1"/>
  <c r="S145" i="91"/>
  <c r="T145" i="91" s="1"/>
  <c r="V145" i="91" s="1"/>
  <c r="R145" i="91"/>
  <c r="U145" i="91" s="1"/>
  <c r="Z146" i="91"/>
  <c r="V147" i="91" l="1"/>
  <c r="J174" i="91" l="1"/>
  <c r="J173" i="91"/>
  <c r="J171" i="91"/>
  <c r="J168" i="91"/>
  <c r="J167" i="91"/>
  <c r="J160" i="91"/>
  <c r="J159" i="91"/>
  <c r="J151" i="91"/>
  <c r="Q151" i="91" s="1"/>
  <c r="W151" i="91" s="1"/>
  <c r="J149" i="91"/>
  <c r="Q149" i="91" s="1"/>
  <c r="W149" i="91" s="1"/>
  <c r="J137" i="91"/>
  <c r="Q137" i="91" s="1"/>
  <c r="P167" i="91"/>
  <c r="P168" i="91"/>
  <c r="P171" i="91"/>
  <c r="P173" i="91"/>
  <c r="V137" i="91" l="1"/>
  <c r="W137" i="91"/>
  <c r="R150" i="91"/>
  <c r="U150" i="91" s="1"/>
  <c r="S150" i="91"/>
  <c r="T150" i="91" s="1"/>
  <c r="V150" i="91" s="1"/>
  <c r="S152" i="91"/>
  <c r="T152" i="91" s="1"/>
  <c r="V152" i="91" s="1"/>
  <c r="R152" i="91"/>
  <c r="U152" i="91" s="1"/>
  <c r="S151" i="91"/>
  <c r="T151" i="91" s="1"/>
  <c r="V151" i="91" s="1"/>
  <c r="R151" i="91"/>
  <c r="U151" i="91" s="1"/>
  <c r="V141" i="91"/>
  <c r="R139" i="91"/>
  <c r="U139" i="91" s="1"/>
  <c r="S139" i="91"/>
  <c r="T139" i="91" s="1"/>
  <c r="V139" i="91" s="1"/>
  <c r="Q183" i="91"/>
  <c r="R138" i="91"/>
  <c r="U138" i="91" s="1"/>
  <c r="S138" i="91"/>
  <c r="T138" i="91" s="1"/>
  <c r="V138" i="91" s="1"/>
  <c r="Z162" i="91"/>
  <c r="Z174" i="91"/>
  <c r="Z168" i="91"/>
  <c r="Z171" i="91"/>
  <c r="Z151" i="91"/>
  <c r="Z149" i="91"/>
  <c r="Z173" i="91" l="1"/>
  <c r="Z159" i="91"/>
  <c r="Z160" i="91"/>
  <c r="Z167" i="91"/>
  <c r="Z137" i="91"/>
  <c r="G186" i="91" l="1"/>
  <c r="E157" i="91"/>
  <c r="E149" i="91"/>
  <c r="S157" i="91" l="1"/>
  <c r="T157" i="91" s="1"/>
  <c r="V157" i="91" s="1"/>
  <c r="R157" i="91"/>
  <c r="U157" i="91" s="1"/>
  <c r="S149" i="91"/>
  <c r="T149" i="91" s="1"/>
  <c r="V149" i="91" s="1"/>
  <c r="R149" i="91"/>
  <c r="U149" i="91" s="1"/>
  <c r="U183" i="91" s="1"/>
  <c r="E183" i="91"/>
  <c r="V183" i="91" l="1"/>
  <c r="V184" i="91" s="1"/>
  <c r="T183" i="91"/>
  <c r="T184" i="91" s="1"/>
  <c r="S185" i="91"/>
  <c r="R185" i="91"/>
  <c r="S183" i="91"/>
  <c r="R183" i="91"/>
  <c r="T185" i="91" l="1"/>
  <c r="G192" i="91" l="1"/>
  <c r="G187" i="91"/>
  <c r="G189" i="91"/>
  <c r="G190" i="91"/>
  <c r="G191" i="91"/>
  <c r="G193" i="91"/>
  <c r="G194" i="91"/>
  <c r="G195" i="91"/>
  <c r="G196" i="91"/>
  <c r="G197" i="91"/>
  <c r="I195" i="91" l="1"/>
  <c r="L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L7" i="92"/>
  <c r="L6" i="92"/>
  <c r="L5" i="92"/>
  <c r="L4" i="92"/>
  <c r="L3" i="92"/>
  <c r="L2" i="92"/>
  <c r="M107" i="91" l="1"/>
  <c r="L107" i="91"/>
  <c r="J107" i="91"/>
  <c r="F107" i="91"/>
  <c r="D107" i="91"/>
  <c r="E107" i="91" s="1"/>
  <c r="R107" i="91" s="1"/>
  <c r="U107" i="91" s="1"/>
  <c r="S106" i="91"/>
  <c r="T106" i="91" s="1"/>
  <c r="R106" i="91"/>
  <c r="U106" i="91" s="1"/>
  <c r="M106" i="91"/>
  <c r="L106" i="91"/>
  <c r="J106" i="91"/>
  <c r="F106" i="91"/>
  <c r="D106" i="91"/>
  <c r="U105" i="91"/>
  <c r="S105" i="91"/>
  <c r="T105" i="91" s="1"/>
  <c r="M105" i="91"/>
  <c r="L105" i="91"/>
  <c r="J105" i="91"/>
  <c r="F105" i="91"/>
  <c r="D105" i="91"/>
  <c r="M104" i="91"/>
  <c r="L104" i="91"/>
  <c r="J104" i="91"/>
  <c r="F104" i="91"/>
  <c r="D104" i="91"/>
  <c r="E104" i="91" s="1"/>
  <c r="S103" i="91"/>
  <c r="T103" i="91" s="1"/>
  <c r="R103" i="91"/>
  <c r="U103" i="91" s="1"/>
  <c r="M103" i="91"/>
  <c r="L103" i="91"/>
  <c r="J103" i="91"/>
  <c r="F103" i="91"/>
  <c r="D103" i="91"/>
  <c r="M102" i="91"/>
  <c r="L102" i="91"/>
  <c r="J102" i="91"/>
  <c r="F102" i="91"/>
  <c r="D102" i="91"/>
  <c r="E102" i="91" s="1"/>
  <c r="M101" i="91"/>
  <c r="L101" i="91"/>
  <c r="J101" i="91"/>
  <c r="F101" i="91"/>
  <c r="D101" i="91"/>
  <c r="M100" i="91"/>
  <c r="L100" i="91"/>
  <c r="J100" i="91"/>
  <c r="F100" i="91"/>
  <c r="D100" i="91"/>
  <c r="E100" i="91" s="1"/>
  <c r="M99" i="91"/>
  <c r="L99" i="91"/>
  <c r="J99" i="91"/>
  <c r="F99" i="91"/>
  <c r="D99" i="91"/>
  <c r="E99" i="91" s="1"/>
  <c r="S99" i="91" s="1"/>
  <c r="M98" i="91"/>
  <c r="L98" i="91"/>
  <c r="J98" i="91"/>
  <c r="F98" i="91"/>
  <c r="D98" i="91"/>
  <c r="E98" i="91" s="1"/>
  <c r="S98" i="91" s="1"/>
  <c r="M97" i="91"/>
  <c r="L97" i="91"/>
  <c r="J97" i="91"/>
  <c r="F97" i="91"/>
  <c r="D97" i="91"/>
  <c r="E97" i="91" s="1"/>
  <c r="M96" i="91"/>
  <c r="L96" i="91"/>
  <c r="J96" i="91"/>
  <c r="F96" i="91"/>
  <c r="D96" i="91"/>
  <c r="E96" i="91" s="1"/>
  <c r="S96" i="91" s="1"/>
  <c r="T96" i="91" s="1"/>
  <c r="U95" i="91"/>
  <c r="S95" i="91"/>
  <c r="T95" i="91" s="1"/>
  <c r="M95" i="91"/>
  <c r="L95" i="91"/>
  <c r="J95" i="91"/>
  <c r="F95" i="91"/>
  <c r="D95" i="91"/>
  <c r="M94" i="91"/>
  <c r="L94" i="91"/>
  <c r="J94" i="91"/>
  <c r="F94" i="91"/>
  <c r="D94" i="91"/>
  <c r="E94" i="91" s="1"/>
  <c r="M93" i="91"/>
  <c r="L93" i="91"/>
  <c r="J93" i="91"/>
  <c r="F93" i="91"/>
  <c r="D93" i="91"/>
  <c r="E93" i="91" s="1"/>
  <c r="S92" i="91"/>
  <c r="T92" i="91" s="1"/>
  <c r="R92" i="91"/>
  <c r="U92" i="91" s="1"/>
  <c r="M92" i="91"/>
  <c r="L92" i="91"/>
  <c r="J92" i="91"/>
  <c r="F92" i="91"/>
  <c r="D92" i="91"/>
  <c r="M91" i="91"/>
  <c r="L91" i="91"/>
  <c r="J91" i="91"/>
  <c r="F91" i="91"/>
  <c r="D91" i="91"/>
  <c r="E91" i="91" s="1"/>
  <c r="R91" i="91" s="1"/>
  <c r="U91" i="91" s="1"/>
  <c r="M90" i="91"/>
  <c r="L90" i="91"/>
  <c r="J90" i="91"/>
  <c r="F90" i="91"/>
  <c r="D90" i="91"/>
  <c r="M89" i="91"/>
  <c r="L89" i="91"/>
  <c r="J89" i="91"/>
  <c r="F89" i="91"/>
  <c r="D89" i="91"/>
  <c r="E89" i="91" s="1"/>
  <c r="M88" i="91"/>
  <c r="L88" i="91"/>
  <c r="J88" i="91"/>
  <c r="F88" i="91"/>
  <c r="D88" i="91"/>
  <c r="M87" i="91"/>
  <c r="L87" i="91"/>
  <c r="J87" i="91"/>
  <c r="F87" i="91"/>
  <c r="D87" i="91"/>
  <c r="E87" i="91" s="1"/>
  <c r="M86" i="91"/>
  <c r="L86" i="91"/>
  <c r="J86" i="91"/>
  <c r="F86" i="91"/>
  <c r="D86" i="91"/>
  <c r="E86" i="91" s="1"/>
  <c r="B82" i="91"/>
  <c r="E77" i="91"/>
  <c r="S76" i="91"/>
  <c r="T76" i="91" s="1"/>
  <c r="R76" i="91"/>
  <c r="U76" i="91" s="1"/>
  <c r="M76" i="91"/>
  <c r="L76" i="91"/>
  <c r="J76" i="91"/>
  <c r="F76" i="91"/>
  <c r="D76" i="91"/>
  <c r="S75" i="91"/>
  <c r="T75" i="91" s="1"/>
  <c r="R75" i="91"/>
  <c r="U75" i="91" s="1"/>
  <c r="M75" i="91"/>
  <c r="L75" i="91"/>
  <c r="J75" i="91"/>
  <c r="F75" i="91"/>
  <c r="D75" i="91"/>
  <c r="S74" i="91"/>
  <c r="T74" i="91" s="1"/>
  <c r="R74" i="91"/>
  <c r="U74" i="91" s="1"/>
  <c r="M74" i="91"/>
  <c r="L74" i="91"/>
  <c r="J74" i="91"/>
  <c r="F74" i="91"/>
  <c r="D74" i="91"/>
  <c r="S73" i="91"/>
  <c r="T73" i="91" s="1"/>
  <c r="R73" i="91"/>
  <c r="U73" i="91" s="1"/>
  <c r="M73" i="91"/>
  <c r="L73" i="91"/>
  <c r="J73" i="91"/>
  <c r="F73" i="91"/>
  <c r="D73" i="91"/>
  <c r="S72" i="91"/>
  <c r="T72" i="91" s="1"/>
  <c r="R72" i="91"/>
  <c r="U72" i="91" s="1"/>
  <c r="M72" i="91"/>
  <c r="L72" i="91"/>
  <c r="J72" i="91"/>
  <c r="F72" i="91"/>
  <c r="D72" i="91"/>
  <c r="S71" i="91"/>
  <c r="T71" i="91" s="1"/>
  <c r="R71" i="91"/>
  <c r="U71" i="91" s="1"/>
  <c r="M71" i="91"/>
  <c r="L71" i="91"/>
  <c r="J71" i="91"/>
  <c r="F71" i="91"/>
  <c r="D71" i="91"/>
  <c r="S70" i="91"/>
  <c r="T70" i="91" s="1"/>
  <c r="R70" i="91"/>
  <c r="U70" i="91" s="1"/>
  <c r="M70" i="91"/>
  <c r="L70" i="91"/>
  <c r="J70" i="91"/>
  <c r="F70" i="91"/>
  <c r="D70" i="91"/>
  <c r="B70" i="91"/>
  <c r="B71" i="91" s="1"/>
  <c r="B72" i="91" s="1"/>
  <c r="B73" i="91" s="1"/>
  <c r="B74" i="91" s="1"/>
  <c r="B75" i="91" s="1"/>
  <c r="B76" i="91" s="1"/>
  <c r="S69" i="91"/>
  <c r="T69" i="91" s="1"/>
  <c r="R69" i="91"/>
  <c r="U69" i="91" s="1"/>
  <c r="M69" i="91"/>
  <c r="L69" i="91"/>
  <c r="J69" i="91"/>
  <c r="F69" i="91"/>
  <c r="D69" i="91"/>
  <c r="S68" i="91"/>
  <c r="T68" i="91" s="1"/>
  <c r="R68" i="91"/>
  <c r="U68" i="91" s="1"/>
  <c r="M68" i="91"/>
  <c r="L68" i="91"/>
  <c r="J68" i="91"/>
  <c r="F68" i="91"/>
  <c r="D68" i="91"/>
  <c r="S67" i="91"/>
  <c r="T67" i="91" s="1"/>
  <c r="R67" i="91"/>
  <c r="U67" i="91" s="1"/>
  <c r="M67" i="91"/>
  <c r="L67" i="91"/>
  <c r="J67" i="91"/>
  <c r="F67" i="91"/>
  <c r="D67" i="91"/>
  <c r="S66" i="91"/>
  <c r="T66" i="91" s="1"/>
  <c r="R66" i="91"/>
  <c r="U66" i="91" s="1"/>
  <c r="M66" i="91"/>
  <c r="L66" i="91"/>
  <c r="J66" i="91"/>
  <c r="F66" i="91"/>
  <c r="D66" i="91"/>
  <c r="S65" i="91"/>
  <c r="T65" i="91" s="1"/>
  <c r="R65" i="91"/>
  <c r="U65" i="91" s="1"/>
  <c r="M65" i="91"/>
  <c r="L65" i="91"/>
  <c r="J65" i="91"/>
  <c r="F65" i="91"/>
  <c r="D65" i="91"/>
  <c r="S64" i="91"/>
  <c r="T64" i="91" s="1"/>
  <c r="R64" i="91"/>
  <c r="U64" i="91" s="1"/>
  <c r="M64" i="91"/>
  <c r="L64" i="91"/>
  <c r="J64" i="91"/>
  <c r="F64" i="91"/>
  <c r="D64" i="91"/>
  <c r="S63" i="91"/>
  <c r="T63" i="91" s="1"/>
  <c r="R63" i="91"/>
  <c r="U63" i="91" s="1"/>
  <c r="M63" i="91"/>
  <c r="L63" i="91"/>
  <c r="J63" i="91"/>
  <c r="F63" i="91"/>
  <c r="D63" i="91"/>
  <c r="S62" i="91"/>
  <c r="T62" i="91" s="1"/>
  <c r="R62" i="91"/>
  <c r="U62" i="91" s="1"/>
  <c r="M62" i="91"/>
  <c r="L62" i="91"/>
  <c r="J62" i="91"/>
  <c r="F62" i="91"/>
  <c r="D62" i="91"/>
  <c r="S61" i="91"/>
  <c r="T61" i="91" s="1"/>
  <c r="R61" i="91"/>
  <c r="U61" i="91" s="1"/>
  <c r="M61" i="91"/>
  <c r="L61" i="91"/>
  <c r="J61" i="91"/>
  <c r="F61" i="91"/>
  <c r="D61" i="91"/>
  <c r="M60" i="91"/>
  <c r="L60" i="91"/>
  <c r="J60" i="91"/>
  <c r="F60" i="91"/>
  <c r="D60" i="91"/>
  <c r="M59" i="91"/>
  <c r="L59" i="91"/>
  <c r="J59" i="91"/>
  <c r="F59" i="91"/>
  <c r="D59" i="91"/>
  <c r="S58" i="91"/>
  <c r="T58" i="91" s="1"/>
  <c r="R58" i="91"/>
  <c r="M58" i="91"/>
  <c r="L58" i="91"/>
  <c r="J58" i="91"/>
  <c r="F58" i="91"/>
  <c r="D58" i="91"/>
  <c r="S57" i="91"/>
  <c r="R57" i="91"/>
  <c r="U57" i="91" s="1"/>
  <c r="M57" i="91"/>
  <c r="L57" i="91"/>
  <c r="J57" i="91"/>
  <c r="F57" i="91"/>
  <c r="D57" i="91"/>
  <c r="B53" i="91"/>
  <c r="S47" i="91"/>
  <c r="T47" i="91" s="1"/>
  <c r="R47" i="91"/>
  <c r="U47" i="91" s="1"/>
  <c r="M47" i="91"/>
  <c r="L47" i="91"/>
  <c r="J47" i="91"/>
  <c r="F47" i="91"/>
  <c r="D47" i="91"/>
  <c r="M46" i="91"/>
  <c r="L46" i="91"/>
  <c r="J46" i="91"/>
  <c r="F46" i="91"/>
  <c r="D46" i="91"/>
  <c r="M45" i="91"/>
  <c r="L45" i="91"/>
  <c r="J45" i="91"/>
  <c r="F45" i="91"/>
  <c r="D45" i="91"/>
  <c r="S44" i="91"/>
  <c r="T44" i="91" s="1"/>
  <c r="R44" i="91"/>
  <c r="U44" i="91" s="1"/>
  <c r="M44" i="91"/>
  <c r="L44" i="91"/>
  <c r="J44" i="91"/>
  <c r="F44" i="91"/>
  <c r="D44" i="91"/>
  <c r="S43" i="91"/>
  <c r="T43" i="91" s="1"/>
  <c r="R43" i="91"/>
  <c r="U43" i="91" s="1"/>
  <c r="M43" i="91"/>
  <c r="L43" i="91"/>
  <c r="J43" i="91"/>
  <c r="F43" i="91"/>
  <c r="D43" i="91"/>
  <c r="S42" i="91"/>
  <c r="T42" i="91" s="1"/>
  <c r="R42" i="91"/>
  <c r="U42" i="91" s="1"/>
  <c r="M42" i="91"/>
  <c r="L42" i="91"/>
  <c r="J42" i="91"/>
  <c r="F42" i="91"/>
  <c r="D42" i="91"/>
  <c r="S41" i="91"/>
  <c r="T41" i="91" s="1"/>
  <c r="R41" i="91"/>
  <c r="U41" i="91" s="1"/>
  <c r="M41" i="91"/>
  <c r="L41" i="91"/>
  <c r="J41" i="91"/>
  <c r="F41" i="91"/>
  <c r="D41" i="91"/>
  <c r="S40" i="91"/>
  <c r="T40" i="91" s="1"/>
  <c r="R40" i="91"/>
  <c r="U40" i="91" s="1"/>
  <c r="M40" i="91"/>
  <c r="L40" i="91"/>
  <c r="J40" i="91"/>
  <c r="F40" i="91"/>
  <c r="D40" i="91"/>
  <c r="J39" i="91"/>
  <c r="F39" i="91"/>
  <c r="O39" i="91" s="1"/>
  <c r="D39" i="91"/>
  <c r="M38" i="91"/>
  <c r="L38" i="91"/>
  <c r="J38" i="91"/>
  <c r="F38" i="91"/>
  <c r="D38" i="91"/>
  <c r="S37" i="91"/>
  <c r="T37" i="91" s="1"/>
  <c r="R37" i="91"/>
  <c r="U37" i="91" s="1"/>
  <c r="M37" i="91"/>
  <c r="L37" i="91"/>
  <c r="J37" i="91"/>
  <c r="F37" i="91"/>
  <c r="D37" i="91"/>
  <c r="S36" i="91"/>
  <c r="T36" i="91" s="1"/>
  <c r="R36" i="91"/>
  <c r="U36" i="91" s="1"/>
  <c r="M36" i="91"/>
  <c r="L36" i="91"/>
  <c r="J36" i="91"/>
  <c r="F36" i="91"/>
  <c r="D36" i="91"/>
  <c r="S35" i="91"/>
  <c r="T35" i="91" s="1"/>
  <c r="R35" i="91"/>
  <c r="U35" i="91" s="1"/>
  <c r="M35" i="91"/>
  <c r="L35" i="91"/>
  <c r="J35" i="91"/>
  <c r="F35" i="91"/>
  <c r="D35" i="91"/>
  <c r="S34" i="91"/>
  <c r="T34" i="91" s="1"/>
  <c r="R34" i="91"/>
  <c r="U34" i="91" s="1"/>
  <c r="M34" i="91"/>
  <c r="L34" i="91"/>
  <c r="J34" i="91"/>
  <c r="F34" i="91"/>
  <c r="D34" i="91"/>
  <c r="M33" i="91"/>
  <c r="L33" i="91"/>
  <c r="J33" i="91"/>
  <c r="F33" i="91"/>
  <c r="D33" i="91"/>
  <c r="M32" i="91"/>
  <c r="L32" i="91"/>
  <c r="J32" i="91"/>
  <c r="F32" i="91"/>
  <c r="D32" i="91"/>
  <c r="S31" i="91"/>
  <c r="T31" i="91" s="1"/>
  <c r="R31" i="91"/>
  <c r="U31" i="91" s="1"/>
  <c r="M31" i="91"/>
  <c r="L31" i="91"/>
  <c r="J31" i="91"/>
  <c r="F31" i="91"/>
  <c r="D31" i="91"/>
  <c r="S30" i="91"/>
  <c r="T30" i="91" s="1"/>
  <c r="R30" i="91"/>
  <c r="M30" i="91"/>
  <c r="L30" i="91"/>
  <c r="J30" i="91"/>
  <c r="F30" i="91"/>
  <c r="D30" i="91"/>
  <c r="B27" i="91"/>
  <c r="E22" i="91"/>
  <c r="S21" i="91"/>
  <c r="T21" i="91" s="1"/>
  <c r="R21" i="91"/>
  <c r="M21" i="91"/>
  <c r="L21" i="91"/>
  <c r="I21" i="91"/>
  <c r="F21" i="91"/>
  <c r="S20" i="91"/>
  <c r="T20" i="91" s="1"/>
  <c r="R20" i="91"/>
  <c r="M20" i="91"/>
  <c r="L20" i="91"/>
  <c r="I20" i="91"/>
  <c r="F20" i="91"/>
  <c r="S19" i="91"/>
  <c r="T19" i="91" s="1"/>
  <c r="R19" i="91"/>
  <c r="M19" i="91"/>
  <c r="L19" i="91"/>
  <c r="I19" i="91"/>
  <c r="F19" i="91"/>
  <c r="S18" i="91"/>
  <c r="T18" i="91" s="1"/>
  <c r="R18" i="91"/>
  <c r="M18" i="91"/>
  <c r="L18" i="91"/>
  <c r="I18" i="91"/>
  <c r="F18" i="91"/>
  <c r="S17" i="91"/>
  <c r="T17" i="91" s="1"/>
  <c r="R17" i="91"/>
  <c r="M17" i="91"/>
  <c r="L17" i="91"/>
  <c r="I17" i="91"/>
  <c r="F17" i="91"/>
  <c r="S16" i="91"/>
  <c r="T16" i="91" s="1"/>
  <c r="R16" i="91"/>
  <c r="M16" i="91"/>
  <c r="L16" i="91"/>
  <c r="I16" i="91"/>
  <c r="F16" i="91"/>
  <c r="S15" i="91"/>
  <c r="T15" i="91" s="1"/>
  <c r="R15" i="91"/>
  <c r="M15" i="91"/>
  <c r="L15" i="91"/>
  <c r="I15" i="91"/>
  <c r="F15" i="91"/>
  <c r="S14" i="91"/>
  <c r="T14" i="91" s="1"/>
  <c r="R14" i="91"/>
  <c r="M14" i="91"/>
  <c r="L14" i="91"/>
  <c r="I14" i="91"/>
  <c r="F14" i="91"/>
  <c r="S13" i="91"/>
  <c r="T13" i="91" s="1"/>
  <c r="R13" i="91"/>
  <c r="M13" i="91"/>
  <c r="L13" i="91"/>
  <c r="I13" i="91"/>
  <c r="F13" i="91"/>
  <c r="S12" i="91"/>
  <c r="T12" i="91" s="1"/>
  <c r="R12" i="91"/>
  <c r="M12" i="91"/>
  <c r="L12" i="91"/>
  <c r="I12" i="91"/>
  <c r="F12" i="91"/>
  <c r="S11" i="91"/>
  <c r="T11" i="91" s="1"/>
  <c r="R11" i="91"/>
  <c r="M11" i="91"/>
  <c r="L11" i="91"/>
  <c r="I11" i="91"/>
  <c r="F11" i="91"/>
  <c r="S10" i="91"/>
  <c r="T10" i="91" s="1"/>
  <c r="R10" i="91"/>
  <c r="M10" i="91"/>
  <c r="L10" i="91"/>
  <c r="I10" i="91"/>
  <c r="F10" i="91"/>
  <c r="B10" i="91"/>
  <c r="B11" i="91" s="1"/>
  <c r="B12" i="91" s="1"/>
  <c r="B13" i="91" s="1"/>
  <c r="B14" i="91" s="1"/>
  <c r="S9" i="91"/>
  <c r="T9" i="91" s="1"/>
  <c r="R9" i="91"/>
  <c r="M9" i="91"/>
  <c r="L9" i="91"/>
  <c r="I9" i="91"/>
  <c r="F9" i="91"/>
  <c r="S8" i="91"/>
  <c r="T8" i="91" s="1"/>
  <c r="R8" i="91"/>
  <c r="M8" i="91"/>
  <c r="L8" i="91"/>
  <c r="I8" i="91"/>
  <c r="F8" i="91"/>
  <c r="S7" i="91"/>
  <c r="T7" i="91" s="1"/>
  <c r="R7" i="91"/>
  <c r="M7" i="91"/>
  <c r="L7" i="91"/>
  <c r="I7" i="91"/>
  <c r="F7" i="91"/>
  <c r="B4" i="91"/>
  <c r="O93" i="91" l="1"/>
  <c r="L77" i="91"/>
  <c r="M48" i="91"/>
  <c r="F108" i="91"/>
  <c r="O46" i="91"/>
  <c r="Q46" i="91" s="1"/>
  <c r="O67" i="91"/>
  <c r="Q67" i="91" s="1"/>
  <c r="V67" i="91" s="1"/>
  <c r="O100" i="91"/>
  <c r="Q100" i="91" s="1"/>
  <c r="O45" i="91"/>
  <c r="Q45" i="91" s="1"/>
  <c r="O14" i="91"/>
  <c r="Q14" i="91" s="1"/>
  <c r="V14" i="91" s="1"/>
  <c r="O17" i="91"/>
  <c r="Q17" i="91" s="1"/>
  <c r="V17" i="91" s="1"/>
  <c r="O21" i="91"/>
  <c r="Q21" i="91" s="1"/>
  <c r="V21" i="91" s="1"/>
  <c r="O59" i="91"/>
  <c r="Q59" i="91" s="1"/>
  <c r="M83" i="91"/>
  <c r="O98" i="91"/>
  <c r="Q98" i="91" s="1"/>
  <c r="Z98" i="91" s="1"/>
  <c r="O101" i="91"/>
  <c r="Q101" i="91" s="1"/>
  <c r="O47" i="91"/>
  <c r="Q47" i="91" s="1"/>
  <c r="V47" i="91" s="1"/>
  <c r="O94" i="91"/>
  <c r="Q94" i="91" s="1"/>
  <c r="Z94" i="91" s="1"/>
  <c r="R99" i="91"/>
  <c r="U99" i="91" s="1"/>
  <c r="M22" i="91"/>
  <c r="O35" i="91"/>
  <c r="Q35" i="91" s="1"/>
  <c r="V35" i="91" s="1"/>
  <c r="O75" i="91"/>
  <c r="Q75" i="91" s="1"/>
  <c r="V75" i="91" s="1"/>
  <c r="O87" i="91"/>
  <c r="Q87" i="91" s="1"/>
  <c r="R87" i="91" s="1"/>
  <c r="R98" i="91"/>
  <c r="U98" i="91" s="1"/>
  <c r="O65" i="91"/>
  <c r="Q65" i="91" s="1"/>
  <c r="V65" i="91" s="1"/>
  <c r="O90" i="91"/>
  <c r="Q90" i="91" s="1"/>
  <c r="Z90" i="91" s="1"/>
  <c r="O41" i="91"/>
  <c r="Q41" i="91" s="1"/>
  <c r="V41" i="91" s="1"/>
  <c r="O74" i="91"/>
  <c r="Q74" i="91" s="1"/>
  <c r="V74" i="91" s="1"/>
  <c r="O19" i="91"/>
  <c r="Q19" i="91" s="1"/>
  <c r="V19" i="91" s="1"/>
  <c r="O69" i="91"/>
  <c r="Q69" i="91" s="1"/>
  <c r="V69" i="91" s="1"/>
  <c r="O70" i="91"/>
  <c r="Q70" i="91" s="1"/>
  <c r="V70" i="91" s="1"/>
  <c r="O88" i="91"/>
  <c r="Q88" i="91" s="1"/>
  <c r="O103" i="91"/>
  <c r="Q103" i="91" s="1"/>
  <c r="V103" i="91" s="1"/>
  <c r="O60" i="91"/>
  <c r="Q60" i="91" s="1"/>
  <c r="O68" i="91"/>
  <c r="Q68" i="91" s="1"/>
  <c r="V68" i="91" s="1"/>
  <c r="O104" i="91"/>
  <c r="Q104" i="91" s="1"/>
  <c r="S94" i="91"/>
  <c r="T94" i="91" s="1"/>
  <c r="R94" i="91"/>
  <c r="U94" i="91" s="1"/>
  <c r="S93" i="91"/>
  <c r="T93" i="91" s="1"/>
  <c r="O63" i="91"/>
  <c r="Q63" i="91" s="1"/>
  <c r="V63" i="91" s="1"/>
  <c r="L83" i="91"/>
  <c r="O107" i="91"/>
  <c r="Q107" i="91" s="1"/>
  <c r="O33" i="91"/>
  <c r="Q33" i="91" s="1"/>
  <c r="O34" i="91"/>
  <c r="Q34" i="91" s="1"/>
  <c r="V34" i="91" s="1"/>
  <c r="O37" i="91"/>
  <c r="Q37" i="91" s="1"/>
  <c r="V37" i="91" s="1"/>
  <c r="O38" i="91"/>
  <c r="Q38" i="91" s="1"/>
  <c r="O66" i="91"/>
  <c r="Q66" i="91" s="1"/>
  <c r="V66" i="91" s="1"/>
  <c r="O91" i="91"/>
  <c r="O95" i="91"/>
  <c r="Q95" i="91" s="1"/>
  <c r="V95" i="91" s="1"/>
  <c r="O9" i="91"/>
  <c r="Q9" i="91" s="1"/>
  <c r="V9" i="91" s="1"/>
  <c r="O36" i="91"/>
  <c r="Q36" i="91" s="1"/>
  <c r="V36" i="91" s="1"/>
  <c r="O97" i="91"/>
  <c r="Q97" i="91" s="1"/>
  <c r="O106" i="91"/>
  <c r="Q106" i="91" s="1"/>
  <c r="V106" i="91" s="1"/>
  <c r="O18" i="91"/>
  <c r="Q18" i="91" s="1"/>
  <c r="V18" i="91" s="1"/>
  <c r="O96" i="91"/>
  <c r="Q96" i="91" s="1"/>
  <c r="V96" i="91" s="1"/>
  <c r="O43" i="91"/>
  <c r="Q43" i="91" s="1"/>
  <c r="V43" i="91" s="1"/>
  <c r="O10" i="91"/>
  <c r="Q10" i="91" s="1"/>
  <c r="V10" i="91" s="1"/>
  <c r="O11" i="91"/>
  <c r="Q11" i="91" s="1"/>
  <c r="V11" i="91" s="1"/>
  <c r="O12" i="91"/>
  <c r="Q12" i="91" s="1"/>
  <c r="V12" i="91" s="1"/>
  <c r="O20" i="91"/>
  <c r="Q20" i="91" s="1"/>
  <c r="V20" i="91" s="1"/>
  <c r="O62" i="91"/>
  <c r="Q62" i="91" s="1"/>
  <c r="V62" i="91" s="1"/>
  <c r="O72" i="91"/>
  <c r="Q72" i="91" s="1"/>
  <c r="V72" i="91" s="1"/>
  <c r="O76" i="91"/>
  <c r="Q76" i="91" s="1"/>
  <c r="V76" i="91" s="1"/>
  <c r="S107" i="91"/>
  <c r="T107" i="91" s="1"/>
  <c r="O15" i="91"/>
  <c r="Q15" i="91" s="1"/>
  <c r="V15" i="91" s="1"/>
  <c r="O13" i="91"/>
  <c r="Q13" i="91" s="1"/>
  <c r="V13" i="91" s="1"/>
  <c r="O16" i="91"/>
  <c r="Q16" i="91" s="1"/>
  <c r="V16" i="91" s="1"/>
  <c r="O31" i="91"/>
  <c r="Q31" i="91" s="1"/>
  <c r="V31" i="91" s="1"/>
  <c r="O58" i="91"/>
  <c r="Q58" i="91" s="1"/>
  <c r="V58" i="91" s="1"/>
  <c r="O8" i="91"/>
  <c r="Q8" i="91" s="1"/>
  <c r="V8" i="91" s="1"/>
  <c r="O32" i="91"/>
  <c r="Q32" i="91" s="1"/>
  <c r="Q39" i="91"/>
  <c r="O64" i="91"/>
  <c r="Q64" i="91" s="1"/>
  <c r="V64" i="91" s="1"/>
  <c r="O105" i="91"/>
  <c r="Q105" i="91" s="1"/>
  <c r="V105" i="91" s="1"/>
  <c r="B16" i="91"/>
  <c r="B17" i="91" s="1"/>
  <c r="B18" i="91" s="1"/>
  <c r="B19" i="91" s="1"/>
  <c r="B20" i="91" s="1"/>
  <c r="B21" i="91" s="1"/>
  <c r="B15" i="91"/>
  <c r="O30" i="91"/>
  <c r="F48" i="91"/>
  <c r="O61" i="91"/>
  <c r="Q61" i="91" s="1"/>
  <c r="V61" i="91" s="1"/>
  <c r="F54" i="91"/>
  <c r="S97" i="91"/>
  <c r="T97" i="91" s="1"/>
  <c r="R97" i="91"/>
  <c r="U97" i="91" s="1"/>
  <c r="O40" i="91"/>
  <c r="Q40" i="91" s="1"/>
  <c r="V40" i="91" s="1"/>
  <c r="O42" i="91"/>
  <c r="Q42" i="91" s="1"/>
  <c r="V42" i="91" s="1"/>
  <c r="O44" i="91"/>
  <c r="Q44" i="91" s="1"/>
  <c r="V44" i="91" s="1"/>
  <c r="L22" i="91"/>
  <c r="L48" i="91"/>
  <c r="F22" i="91"/>
  <c r="O7" i="91"/>
  <c r="S22" i="91"/>
  <c r="E108" i="91"/>
  <c r="R86" i="91"/>
  <c r="S86" i="91"/>
  <c r="U58" i="91"/>
  <c r="R22" i="91"/>
  <c r="T22" i="91"/>
  <c r="F77" i="91"/>
  <c r="M54" i="91"/>
  <c r="O71" i="91"/>
  <c r="Q71" i="91" s="1"/>
  <c r="V71" i="91" s="1"/>
  <c r="O73" i="91"/>
  <c r="Q73" i="91" s="1"/>
  <c r="V73" i="91" s="1"/>
  <c r="S91" i="91"/>
  <c r="T91" i="91" s="1"/>
  <c r="T98" i="91"/>
  <c r="T99" i="91"/>
  <c r="O57" i="91"/>
  <c r="L108" i="91"/>
  <c r="M108" i="91"/>
  <c r="F83" i="91"/>
  <c r="L54" i="91"/>
  <c r="O86" i="91"/>
  <c r="O99" i="91"/>
  <c r="U30" i="91"/>
  <c r="T57" i="91"/>
  <c r="M77" i="91"/>
  <c r="O92" i="91"/>
  <c r="O102" i="91"/>
  <c r="R104" i="91"/>
  <c r="U104" i="91" s="1"/>
  <c r="S187" i="91"/>
  <c r="T187" i="91" s="1"/>
  <c r="R187" i="91"/>
  <c r="O89" i="91"/>
  <c r="Q93" i="91"/>
  <c r="Z93" i="91" s="1"/>
  <c r="S104" i="91"/>
  <c r="T104" i="91" s="1"/>
  <c r="R93" i="91"/>
  <c r="U93" i="91" s="1"/>
  <c r="R96" i="91"/>
  <c r="U96" i="91" s="1"/>
  <c r="R102" i="91"/>
  <c r="U102" i="91" s="1"/>
  <c r="S102" i="91"/>
  <c r="T102" i="91" s="1"/>
  <c r="E45" i="91" l="1"/>
  <c r="S45" i="91" s="1"/>
  <c r="T45" i="91" s="1"/>
  <c r="V45" i="91" s="1"/>
  <c r="S60" i="91"/>
  <c r="T60" i="91" s="1"/>
  <c r="V60" i="91" s="1"/>
  <c r="Z100" i="91"/>
  <c r="Z104" i="91"/>
  <c r="V104" i="91"/>
  <c r="E38" i="91"/>
  <c r="R38" i="91" s="1"/>
  <c r="U38" i="91" s="1"/>
  <c r="S59" i="91"/>
  <c r="T59" i="91" s="1"/>
  <c r="V59" i="91" s="1"/>
  <c r="Z105" i="91"/>
  <c r="E39" i="91"/>
  <c r="S39" i="91" s="1"/>
  <c r="T39" i="91" s="1"/>
  <c r="V39" i="91" s="1"/>
  <c r="Z95" i="91"/>
  <c r="Z101" i="91"/>
  <c r="R100" i="91"/>
  <c r="U100" i="91" s="1"/>
  <c r="R60" i="91"/>
  <c r="U60" i="91" s="1"/>
  <c r="E33" i="91"/>
  <c r="R33" i="91" s="1"/>
  <c r="R59" i="91"/>
  <c r="U59" i="91" s="1"/>
  <c r="O129" i="91"/>
  <c r="Z103" i="91"/>
  <c r="Z87" i="91"/>
  <c r="R88" i="91"/>
  <c r="U88" i="91" s="1"/>
  <c r="Z88" i="91"/>
  <c r="E32" i="91"/>
  <c r="V97" i="91"/>
  <c r="V107" i="91"/>
  <c r="Q91" i="91"/>
  <c r="Z91" i="91" s="1"/>
  <c r="U87" i="91"/>
  <c r="Z96" i="91"/>
  <c r="V93" i="91"/>
  <c r="Q99" i="91"/>
  <c r="V99" i="91" s="1"/>
  <c r="S100" i="91"/>
  <c r="T100" i="91" s="1"/>
  <c r="V100" i="91" s="1"/>
  <c r="Q92" i="91"/>
  <c r="V92" i="91" s="1"/>
  <c r="U86" i="91"/>
  <c r="Z97" i="91"/>
  <c r="Z106" i="91"/>
  <c r="S88" i="91"/>
  <c r="T88" i="91" s="1"/>
  <c r="V88" i="91" s="1"/>
  <c r="S87" i="91"/>
  <c r="T87" i="91" s="1"/>
  <c r="V87" i="91" s="1"/>
  <c r="V98" i="91"/>
  <c r="T86" i="91"/>
  <c r="Q7" i="91"/>
  <c r="O22" i="91"/>
  <c r="O48" i="91"/>
  <c r="Q30" i="91"/>
  <c r="Q86" i="91"/>
  <c r="Z86" i="91" s="1"/>
  <c r="O83" i="91"/>
  <c r="O108" i="91"/>
  <c r="Q89" i="91"/>
  <c r="Z89" i="91" s="1"/>
  <c r="Z107" i="91"/>
  <c r="Q102" i="91"/>
  <c r="V102" i="91" s="1"/>
  <c r="V94" i="91"/>
  <c r="R101" i="91"/>
  <c r="U101" i="91" s="1"/>
  <c r="S101" i="91"/>
  <c r="T101" i="91" s="1"/>
  <c r="V101" i="91" s="1"/>
  <c r="O54" i="91"/>
  <c r="Q57" i="91"/>
  <c r="O77" i="91"/>
  <c r="E46" i="91"/>
  <c r="R45" i="91" l="1"/>
  <c r="U45" i="91" s="1"/>
  <c r="S38" i="91"/>
  <c r="T38" i="91" s="1"/>
  <c r="V38" i="91" s="1"/>
  <c r="U77" i="91"/>
  <c r="R39" i="91"/>
  <c r="U39" i="91" s="1"/>
  <c r="S77" i="91"/>
  <c r="S33" i="91"/>
  <c r="T33" i="91" s="1"/>
  <c r="V33" i="91" s="1"/>
  <c r="R77" i="91"/>
  <c r="Z99" i="91"/>
  <c r="V91" i="91"/>
  <c r="T77" i="91"/>
  <c r="S32" i="91"/>
  <c r="T32" i="91" s="1"/>
  <c r="V32" i="91" s="1"/>
  <c r="R32" i="91"/>
  <c r="U32" i="91" s="1"/>
  <c r="Z102" i="91"/>
  <c r="Z92" i="91"/>
  <c r="S89" i="91"/>
  <c r="T89" i="91" s="1"/>
  <c r="S90" i="91"/>
  <c r="T90" i="91" s="1"/>
  <c r="V90" i="91" s="1"/>
  <c r="R90" i="91"/>
  <c r="U90" i="91" s="1"/>
  <c r="R89" i="91"/>
  <c r="Q48" i="91"/>
  <c r="V30" i="91"/>
  <c r="R46" i="91"/>
  <c r="U46" i="91" s="1"/>
  <c r="S46" i="91"/>
  <c r="T46" i="91" s="1"/>
  <c r="V46" i="91" s="1"/>
  <c r="E48" i="91"/>
  <c r="U33" i="91"/>
  <c r="V57" i="91"/>
  <c r="V77" i="91" s="1"/>
  <c r="Q77" i="91"/>
  <c r="Q108" i="91"/>
  <c r="V86" i="91"/>
  <c r="Q22" i="91"/>
  <c r="V7" i="91"/>
  <c r="V22" i="91" s="1"/>
  <c r="T48" i="91" l="1"/>
  <c r="S48" i="91"/>
  <c r="R48" i="91"/>
  <c r="U48" i="91"/>
  <c r="T108" i="91"/>
  <c r="V89" i="91"/>
  <c r="V108" i="91" s="1"/>
  <c r="S108" i="91"/>
  <c r="V48" i="91"/>
  <c r="U89" i="91"/>
  <c r="U108" i="91" s="1"/>
  <c r="R108" i="91"/>
  <c r="B22" i="88" l="1"/>
  <c r="C22" i="88" l="1"/>
  <c r="B23" i="88" s="1"/>
  <c r="K20" i="87"/>
  <c r="J20" i="87"/>
  <c r="H20" i="87"/>
  <c r="G20" i="87"/>
  <c r="F20" i="87"/>
  <c r="K19" i="87"/>
  <c r="J19" i="87"/>
  <c r="H19" i="87"/>
  <c r="G19" i="87"/>
  <c r="F19" i="87"/>
  <c r="K18" i="87"/>
  <c r="J18" i="87"/>
  <c r="H18" i="87"/>
  <c r="G18" i="87"/>
  <c r="F18" i="87"/>
  <c r="K17" i="87"/>
  <c r="J17" i="87"/>
  <c r="H17" i="87"/>
  <c r="G17" i="87"/>
  <c r="F17" i="87"/>
  <c r="K16" i="87"/>
  <c r="J16" i="87"/>
  <c r="H16" i="87"/>
  <c r="G16" i="87"/>
  <c r="F16" i="87"/>
  <c r="K15" i="87"/>
  <c r="J15" i="87"/>
  <c r="H15" i="87"/>
  <c r="G15" i="87"/>
  <c r="F15" i="87"/>
  <c r="K14" i="87"/>
  <c r="J14" i="87"/>
  <c r="H14" i="87"/>
  <c r="G14" i="87"/>
  <c r="F14" i="87"/>
  <c r="K13" i="87"/>
  <c r="J13" i="87"/>
  <c r="H13" i="87"/>
  <c r="G13" i="87"/>
  <c r="F13" i="87"/>
  <c r="K12" i="87"/>
  <c r="J12" i="87"/>
  <c r="H12" i="87"/>
  <c r="G12" i="87"/>
  <c r="F12" i="87"/>
  <c r="K11" i="87"/>
  <c r="J11" i="87"/>
  <c r="H11" i="87"/>
  <c r="G11" i="87"/>
  <c r="F11" i="87"/>
  <c r="K10" i="87"/>
  <c r="J10" i="87"/>
  <c r="H10" i="87"/>
  <c r="G10" i="87"/>
  <c r="F10" i="87"/>
  <c r="K9" i="87"/>
  <c r="J9" i="87"/>
  <c r="H9" i="87"/>
  <c r="G9" i="87"/>
  <c r="F9" i="87"/>
  <c r="K8" i="87"/>
  <c r="J8" i="87"/>
  <c r="H8" i="87"/>
  <c r="G8" i="87"/>
  <c r="F8" i="87"/>
  <c r="K7" i="87"/>
  <c r="J7" i="87"/>
  <c r="H7" i="87"/>
  <c r="G7" i="87"/>
  <c r="F7" i="87"/>
  <c r="K6" i="87"/>
  <c r="J6" i="87"/>
  <c r="H6" i="87"/>
  <c r="G6" i="87"/>
  <c r="F6" i="87"/>
  <c r="K5" i="87"/>
  <c r="J5" i="87"/>
  <c r="H5" i="87"/>
  <c r="G5" i="87"/>
  <c r="F5" i="87"/>
  <c r="K4" i="87"/>
  <c r="J4" i="87"/>
  <c r="H4" i="87"/>
  <c r="G4" i="87"/>
  <c r="F4" i="87"/>
  <c r="I9" i="87" l="1"/>
  <c r="L4" i="87"/>
  <c r="L7" i="87"/>
  <c r="L16" i="87"/>
  <c r="L6" i="87"/>
  <c r="L5" i="87"/>
  <c r="L12" i="87"/>
  <c r="I15" i="87"/>
  <c r="L9" i="87"/>
  <c r="I16" i="87"/>
  <c r="L17" i="87"/>
  <c r="L20" i="87"/>
  <c r="I12" i="87"/>
  <c r="L13" i="87"/>
  <c r="L15" i="87"/>
  <c r="I8" i="87"/>
  <c r="L11" i="87"/>
  <c r="I19" i="87"/>
  <c r="I4" i="87"/>
  <c r="L8" i="87"/>
  <c r="I13" i="87"/>
  <c r="L19" i="87"/>
  <c r="I5" i="87"/>
  <c r="I6" i="87"/>
  <c r="I7" i="87"/>
  <c r="L10" i="87"/>
  <c r="I14" i="87"/>
  <c r="L18" i="87"/>
  <c r="I10" i="87"/>
  <c r="I11" i="87"/>
  <c r="L14" i="87"/>
  <c r="I17" i="87"/>
  <c r="I18" i="87"/>
  <c r="I20" i="87"/>
  <c r="N9" i="87"/>
  <c r="N5" i="87" l="1"/>
  <c r="N8" i="87"/>
  <c r="N12" i="87"/>
  <c r="N11" i="87"/>
  <c r="N20" i="87"/>
  <c r="N16" i="87"/>
  <c r="N13" i="87"/>
  <c r="N7" i="87"/>
  <c r="N17" i="87"/>
  <c r="N6" i="87"/>
  <c r="N4" i="87"/>
  <c r="N14" i="87"/>
  <c r="N15" i="87"/>
  <c r="N18" i="87"/>
  <c r="N19" i="87"/>
  <c r="N10" i="87"/>
  <c r="P20" i="87" l="1"/>
  <c r="P13" i="87"/>
  <c r="P12" i="87"/>
  <c r="P6" i="87"/>
  <c r="P5" i="87"/>
  <c r="P4" i="87"/>
  <c r="P18" i="87"/>
  <c r="P10" i="87"/>
  <c r="P15" i="87"/>
  <c r="P14" i="87"/>
  <c r="P7" i="87"/>
  <c r="P17" i="87"/>
  <c r="P16" i="87"/>
  <c r="P9" i="87"/>
  <c r="P8" i="87"/>
  <c r="P19" i="87"/>
  <c r="P11" i="8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95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учета больничного листа за Ноябрь 2023
</t>
        </r>
      </text>
    </comment>
    <comment ref="L145" authorId="0" shapeId="0" xr:uid="{00000000-0006-0000-1200-000002000000}">
      <text>
        <r>
          <rPr>
            <b/>
            <sz val="9"/>
            <color indexed="81"/>
            <rFont val="Tahoma"/>
            <family val="2"/>
            <charset val="204"/>
          </rPr>
          <t>12 не подтвердил Гриценко/Манжула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15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заморожено по топливу 50% до выяснения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16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заморожено по топливу 50% до выяснения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-10 000 грн удержания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9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учета больничного листа за Ноябрь 2023
</t>
        </r>
      </text>
    </comment>
  </commentList>
</comments>
</file>

<file path=xl/sharedStrings.xml><?xml version="1.0" encoding="utf-8"?>
<sst xmlns="http://schemas.openxmlformats.org/spreadsheetml/2006/main" count="2235" uniqueCount="686">
  <si>
    <t>Виброкаток</t>
  </si>
  <si>
    <t>РДК 250</t>
  </si>
  <si>
    <t>Пологи</t>
  </si>
  <si>
    <t>Беловод</t>
  </si>
  <si>
    <t>Харьков</t>
  </si>
  <si>
    <t>Ладыжин</t>
  </si>
  <si>
    <t>№</t>
  </si>
  <si>
    <t>Наименование</t>
  </si>
  <si>
    <t>Модель</t>
  </si>
  <si>
    <t>Год выпуска</t>
  </si>
  <si>
    <t>Оператор</t>
  </si>
  <si>
    <t>Место работы на данный момент</t>
  </si>
  <si>
    <t>Экскаватор-Погрузчик</t>
  </si>
  <si>
    <t>JCB 3CX SM 4T</t>
  </si>
  <si>
    <t>Карбунар Ярослав  098-243-50-47</t>
  </si>
  <si>
    <t>Староконстантинов</t>
  </si>
  <si>
    <t>JCB 3CX</t>
  </si>
  <si>
    <r>
      <t xml:space="preserve">Горячий Иван  050-560-96-15; </t>
    </r>
    <r>
      <rPr>
        <sz val="11"/>
        <color theme="1"/>
        <rFont val="Calibri"/>
        <family val="2"/>
        <scheme val="minor"/>
      </rPr>
      <t>Поддубный Гена  050-714-94-57</t>
    </r>
  </si>
  <si>
    <r>
      <rPr>
        <sz val="11"/>
        <color theme="1"/>
        <rFont val="Calibri"/>
        <family val="2"/>
        <scheme val="minor"/>
      </rPr>
      <t>Нагородняк Славик 098-493-11-38; Чижевский Анатолий 098-613-46-09</t>
    </r>
  </si>
  <si>
    <t>Телескопический Погрузчик</t>
  </si>
  <si>
    <t>JCB 535-125</t>
  </si>
  <si>
    <t>Ложечник Богдан 099-451-22-32 Грабищенко Николай 095-462-78-70</t>
  </si>
  <si>
    <t>Вербицкий Виктор 050-866-01-57 Рудаков Александр 050-130-74-12</t>
  </si>
  <si>
    <t>JCB 535-140</t>
  </si>
  <si>
    <t xml:space="preserve">Гергель  Анатолий  050-859-40-24;  Чередниченко Саша 099-264-47-33 </t>
  </si>
  <si>
    <t>JCB 533-105</t>
  </si>
  <si>
    <t xml:space="preserve">Мазуренко Женя 093-340-37-82 </t>
  </si>
  <si>
    <t xml:space="preserve">Автокран  </t>
  </si>
  <si>
    <t>Клинцы кс-55713-1к</t>
  </si>
  <si>
    <r>
      <t xml:space="preserve">Болох  Владимир 068-403-20-82; </t>
    </r>
    <r>
      <rPr>
        <sz val="11"/>
        <color theme="1"/>
        <rFont val="Calibri"/>
        <family val="2"/>
        <scheme val="minor"/>
      </rPr>
      <t>Вандяк Иван  Петрович 096-467-69-88</t>
    </r>
  </si>
  <si>
    <t>XCMG Q25K</t>
  </si>
  <si>
    <t>Романюк Миша 097-813-09-30</t>
  </si>
  <si>
    <t>XCMG  QAY55</t>
  </si>
  <si>
    <t>Січкар Володимир 098-475-35-91                     Іванченко Володимир 095-366-69-82</t>
  </si>
  <si>
    <t>Гусеничный кран</t>
  </si>
  <si>
    <t>Манчук Сергей  095-003-55-89</t>
  </si>
  <si>
    <t xml:space="preserve">Самосвал  </t>
  </si>
  <si>
    <t>МАЗ 5550 С(№264)</t>
  </si>
  <si>
    <r>
      <rPr>
        <sz val="11"/>
        <color theme="1"/>
        <rFont val="Calibri"/>
        <family val="2"/>
        <scheme val="minor"/>
      </rPr>
      <t>Гринько Дима  066-770-58-66;     Рябцев Максим 066-619-64-60</t>
    </r>
  </si>
  <si>
    <t xml:space="preserve">15.01 перезд Староконстантинов </t>
  </si>
  <si>
    <t>МАЗ 5550 С(№265)</t>
  </si>
  <si>
    <t>Романюк Вова  098-406-30-33;</t>
  </si>
  <si>
    <t>Камаз</t>
  </si>
  <si>
    <t>Чижевский Сергей  098-657-38-27</t>
  </si>
  <si>
    <t>Экскаватор гусеничный</t>
  </si>
  <si>
    <t>JCB 220 LC</t>
  </si>
  <si>
    <t>Вичев Валерий 066-472-00-73</t>
  </si>
  <si>
    <t>HAMM3307</t>
  </si>
  <si>
    <t>Роторный телескопический погрузчик</t>
  </si>
  <si>
    <t>Dieci Pegasus 40.25</t>
  </si>
  <si>
    <t xml:space="preserve">Зоря Богдан 097-435-86-58 </t>
  </si>
  <si>
    <t>Тягач</t>
  </si>
  <si>
    <t>Ford 1824T</t>
  </si>
  <si>
    <t>Зоря Руслан 068-639-65-53</t>
  </si>
  <si>
    <t>РДК 250-3 №2</t>
  </si>
  <si>
    <t xml:space="preserve">Трохименко Виталик 093-114-59-89; </t>
  </si>
  <si>
    <t>Львов</t>
  </si>
  <si>
    <t>540-170</t>
  </si>
  <si>
    <t>Мисюрко Валерий 097-966-15-32</t>
  </si>
  <si>
    <t>Экскаватор JCB 220</t>
  </si>
  <si>
    <t>Працівники організацій</t>
  </si>
  <si>
    <t>К выплате</t>
  </si>
  <si>
    <t>Итого</t>
  </si>
  <si>
    <t>Счет в 1С</t>
  </si>
  <si>
    <t>Автокран Клинцы</t>
  </si>
  <si>
    <t>Подразделение</t>
  </si>
  <si>
    <t>Самосвал Камаз</t>
  </si>
  <si>
    <t>Телескоп 2</t>
  </si>
  <si>
    <t>Телескоп 1</t>
  </si>
  <si>
    <t>Автокран XCMG</t>
  </si>
  <si>
    <t>Ротор Пегасус</t>
  </si>
  <si>
    <t>Экскаватор  JCB</t>
  </si>
  <si>
    <t>Телескоп JCB 540-170 №5</t>
  </si>
  <si>
    <t>Экскаватор  JCB 2013</t>
  </si>
  <si>
    <t>Экскаватор  JCB 3CX 2008</t>
  </si>
  <si>
    <t>МАЗ 264</t>
  </si>
  <si>
    <t>Телескоп JCB 535-140 (№4)</t>
  </si>
  <si>
    <t xml:space="preserve">Экскаватор  JCB 220 </t>
  </si>
  <si>
    <t>Цена за час/рейс</t>
  </si>
  <si>
    <t>Всего часы/ рейсы</t>
  </si>
  <si>
    <t>ТО грн/час</t>
  </si>
  <si>
    <t xml:space="preserve">Раб. Часов / ко-во рейсов </t>
  </si>
  <si>
    <t>ТО / простой / коротк. рейс</t>
  </si>
  <si>
    <t>IBAN</t>
  </si>
  <si>
    <t>ИНН</t>
  </si>
  <si>
    <t>РКО</t>
  </si>
  <si>
    <t>МАЗ 265</t>
  </si>
  <si>
    <t>UA373005280000000262082288297</t>
  </si>
  <si>
    <t>UA593005280000000262022288260</t>
  </si>
  <si>
    <t>UA363005280000000262022288286</t>
  </si>
  <si>
    <t>UA733005280000000262041996371</t>
  </si>
  <si>
    <t>UA153005280000000262022196417</t>
  </si>
  <si>
    <t>UA373005280000000262032288289</t>
  </si>
  <si>
    <t>UA453005280000000262072233715</t>
  </si>
  <si>
    <t>UA643005280000000262041994496</t>
  </si>
  <si>
    <t>UA173005280000000262092288290</t>
  </si>
  <si>
    <t>UA353005280000000262062288291</t>
  </si>
  <si>
    <t>UA553005280000000262052288298</t>
  </si>
  <si>
    <t>UA093005280000000262021994474</t>
  </si>
  <si>
    <t>UA503005280000000262022288228</t>
  </si>
  <si>
    <t>UA353005280000000262052282838</t>
  </si>
  <si>
    <t>UA153005280000000262012282823</t>
  </si>
  <si>
    <t>UA023005280000000262022282787</t>
  </si>
  <si>
    <t>UA153005280000000262062282831</t>
  </si>
  <si>
    <t>UA023005280000000262072282795</t>
  </si>
  <si>
    <t>UA783005280000000262042282819</t>
  </si>
  <si>
    <t>Аксенчіков Сергій Олександрович</t>
  </si>
  <si>
    <t>UA263005280000000262022269551</t>
  </si>
  <si>
    <t>Антонович Тетяна Сергіївна</t>
  </si>
  <si>
    <t>UA093005280000000262062269553</t>
  </si>
  <si>
    <t>Аулова Маргарита Володимирівна</t>
  </si>
  <si>
    <t>UA623005280000000262012269561</t>
  </si>
  <si>
    <t>Бабошина Ольга Михайлівна</t>
  </si>
  <si>
    <t>UA463005280000000262062269566</t>
  </si>
  <si>
    <t>Бондар Ярослав Михайлович</t>
  </si>
  <si>
    <t>UA813005280000000262042269573</t>
  </si>
  <si>
    <t>Бутенко Матвій Анатолійович</t>
  </si>
  <si>
    <t>UA933005280000000262062194709</t>
  </si>
  <si>
    <t>Глузд Дмитро Михайлович</t>
  </si>
  <si>
    <t>UA063005280000000262011992664</t>
  </si>
  <si>
    <t>Гриценко Олександр Вікторович</t>
  </si>
  <si>
    <t>UA833005280000000262062269579</t>
  </si>
  <si>
    <t>Гриценко Сергій Миколайович</t>
  </si>
  <si>
    <t>UA403005280000000262092290107</t>
  </si>
  <si>
    <t>Гурнік Артем Ігорович</t>
  </si>
  <si>
    <t>UA813005280000000262092269581</t>
  </si>
  <si>
    <t>Демедюк Юрій Юрійович</t>
  </si>
  <si>
    <t>UA123005280000000262001993408</t>
  </si>
  <si>
    <t>Демченко Вадим Олександрович</t>
  </si>
  <si>
    <t>UA383005280000000262002269584</t>
  </si>
  <si>
    <t>Дяченко Анна Володимирівна</t>
  </si>
  <si>
    <t>UA053005280000000262051994512</t>
  </si>
  <si>
    <t>Житнюк Ірина Вікторівна</t>
  </si>
  <si>
    <t>UA213005280000000262092269594</t>
  </si>
  <si>
    <t>Жорж Олександр Сергійович</t>
  </si>
  <si>
    <t>UA753005280000000262002269597</t>
  </si>
  <si>
    <t>Задригун Іван Іванович</t>
  </si>
  <si>
    <t>UA213005280000000262052282702</t>
  </si>
  <si>
    <t>Зеленкова Антона Михайловича</t>
  </si>
  <si>
    <t>UA413005280000000262082269601</t>
  </si>
  <si>
    <t>Климович Олена Олександрівна</t>
  </si>
  <si>
    <t>UA723005280000000262012288296</t>
  </si>
  <si>
    <t>Лагошний Дмитро Сергійович</t>
  </si>
  <si>
    <t>UA603005280000000262062269605</t>
  </si>
  <si>
    <t>Латиш Сергій Володимирович</t>
  </si>
  <si>
    <t>UA813005280000000262071992701</t>
  </si>
  <si>
    <t>Манжула Максим Анатолійович</t>
  </si>
  <si>
    <t>UA593005280000000262051952800</t>
  </si>
  <si>
    <t>Огірчук Інна Валеріївна</t>
  </si>
  <si>
    <t>UA343005280000000262041994551</t>
  </si>
  <si>
    <t>Огоновський Дмитро Анатолійович</t>
  </si>
  <si>
    <t>UA773005280000000262072269611</t>
  </si>
  <si>
    <t>Потьомко Михайло Володиимирович</t>
  </si>
  <si>
    <t>UA963005280000000262052269615</t>
  </si>
  <si>
    <t>Рубець Ольга Вікторівна</t>
  </si>
  <si>
    <t>UA813005280000000262072271382</t>
  </si>
  <si>
    <t>Сикал Павло Анатолійович</t>
  </si>
  <si>
    <t>UA823005280000000262082271385</t>
  </si>
  <si>
    <t>Соломоненко Олексій Юрійович</t>
  </si>
  <si>
    <t>UA213005280000000262022271387</t>
  </si>
  <si>
    <t>Сорокін Микола Володимирович</t>
  </si>
  <si>
    <t>UA883005280000000262002275183</t>
  </si>
  <si>
    <t>Старіков Сергій Вікторович</t>
  </si>
  <si>
    <t>UA543005280000000262082275187</t>
  </si>
  <si>
    <t>Стеблянко Ігор Юрійович</t>
  </si>
  <si>
    <t>UA703005280000000262082275190</t>
  </si>
  <si>
    <t>Степаненко Руслан Вікторович</t>
  </si>
  <si>
    <t>UA933005280000000262082282633</t>
  </si>
  <si>
    <t>Федорова Ганна Олександрівна</t>
  </si>
  <si>
    <t>UA853005280000000262022282651</t>
  </si>
  <si>
    <t>Хлань Олена Вікторівна</t>
  </si>
  <si>
    <t>UA093005280000000262052286410</t>
  </si>
  <si>
    <t>Хурсін Тарас Євгенійович</t>
  </si>
  <si>
    <t>UA633005280000000262012286421</t>
  </si>
  <si>
    <t>Шарова Олена Артурівна</t>
  </si>
  <si>
    <t>UA903005280000000262012004247</t>
  </si>
  <si>
    <t>Шевченко Євген Анатолійович</t>
  </si>
  <si>
    <t>UA923005280000000262002286460</t>
  </si>
  <si>
    <t>Ширшов Олександр Леонідович</t>
  </si>
  <si>
    <t>UA523005280000000262061994463</t>
  </si>
  <si>
    <t>Шкурат Ігор Миколайович</t>
  </si>
  <si>
    <t>UA703005280000000262031994464</t>
  </si>
  <si>
    <t>Мусієнко Ігор Іванович</t>
  </si>
  <si>
    <t>Грабіщенко Микола Миколайович</t>
  </si>
  <si>
    <t>Будус Йосип Йосипович</t>
  </si>
  <si>
    <t>Косік Юрій Анатолійович</t>
  </si>
  <si>
    <t>Трохименко Віталій Якович</t>
  </si>
  <si>
    <t>UA983005280000000262092288287</t>
  </si>
  <si>
    <t>Місюрко Валерій Васильович</t>
  </si>
  <si>
    <t>Карбунар Ярослав Дмитрович</t>
  </si>
  <si>
    <t>Горячий Іван Васильович</t>
  </si>
  <si>
    <t>Ковальчук Валентин Вікторович</t>
  </si>
  <si>
    <t>Болох Володимир Васильович</t>
  </si>
  <si>
    <t>Борисенко Олексій Миколайович</t>
  </si>
  <si>
    <t>Якубовський Василь Григорович</t>
  </si>
  <si>
    <t>Бунтило Віталій Іванович</t>
  </si>
  <si>
    <t>Скоц Сергій Іванович</t>
  </si>
  <si>
    <t>UA303005280000000262062233576</t>
  </si>
  <si>
    <t>Сахневич Богдан Леонідович</t>
  </si>
  <si>
    <t>Бланченко Олександр Миколайович</t>
  </si>
  <si>
    <t>Зоря Руслан Леонідович</t>
  </si>
  <si>
    <t>UA623005280000000262041992689</t>
  </si>
  <si>
    <t>КОНОНЕНКО Олег Миколайович</t>
  </si>
  <si>
    <t>КОЧЕТ ВІКТОР МИКОЛАЙОВИЧ</t>
  </si>
  <si>
    <t>UA043005280000000262092282801</t>
  </si>
  <si>
    <t>Куста Роман Миколайович</t>
  </si>
  <si>
    <t>Мовчан Віктор Георгійович</t>
  </si>
  <si>
    <t>ПОПОВ ОЛЕКСАНДР ГРИГОРОВИЧ</t>
  </si>
  <si>
    <t>Середа Володимир Михайлович</t>
  </si>
  <si>
    <t>Терещенко Арсен Валерійович</t>
  </si>
  <si>
    <t>UA273005280000000262042316426</t>
  </si>
  <si>
    <t>ГАВРИЧЕНКО ОЛЕКСАНДР БОРИСОВИЧ</t>
  </si>
  <si>
    <t>UA893005280000000262072265903</t>
  </si>
  <si>
    <t>ПІБ</t>
  </si>
  <si>
    <t>ІНН</t>
  </si>
  <si>
    <t>ІВАН</t>
  </si>
  <si>
    <t>конечное сальдо</t>
  </si>
  <si>
    <t>UA303005280000000262082289199</t>
  </si>
  <si>
    <t>Яковишин Олег Васильович</t>
  </si>
  <si>
    <t>UA973005280000000262062555283</t>
  </si>
  <si>
    <t>Краснов Антон Ростиславович</t>
  </si>
  <si>
    <t>UA273005280000000262052553321</t>
  </si>
  <si>
    <t>Каунін Олег Вячеславович</t>
  </si>
  <si>
    <t>UA463005280000000262082553333</t>
  </si>
  <si>
    <t>Кустра Роман Миколайович</t>
  </si>
  <si>
    <t>Манчук Сергій Валіардович</t>
  </si>
  <si>
    <t>UA643005280000000262032238527</t>
  </si>
  <si>
    <t>Горячий</t>
  </si>
  <si>
    <t>Скоц</t>
  </si>
  <si>
    <t>Болох</t>
  </si>
  <si>
    <t>Борисенко</t>
  </si>
  <si>
    <t>Бунтило</t>
  </si>
  <si>
    <t>Трохименко</t>
  </si>
  <si>
    <t>Ковальчук</t>
  </si>
  <si>
    <t>Механизатор</t>
  </si>
  <si>
    <t>ТО</t>
  </si>
  <si>
    <t>Карбунар</t>
  </si>
  <si>
    <t>Зенкін</t>
  </si>
  <si>
    <t>Самойленко</t>
  </si>
  <si>
    <t>Шамоян</t>
  </si>
  <si>
    <t>UA403005280000000262032507261</t>
  </si>
  <si>
    <t>UA503005280000000262002590729</t>
  </si>
  <si>
    <t>Шамоян Агмад Даватевич</t>
  </si>
  <si>
    <t>Мусієнко І.І.</t>
  </si>
  <si>
    <t>Карбунар Я.Д.</t>
  </si>
  <si>
    <t>Зенкін Д.Ю.</t>
  </si>
  <si>
    <t>Болох В.В.</t>
  </si>
  <si>
    <t>Бунтило В.І.</t>
  </si>
  <si>
    <t>Якубовський В.Г.</t>
  </si>
  <si>
    <t>Борисенко О.М.</t>
  </si>
  <si>
    <t>Божков В.В.</t>
  </si>
  <si>
    <t>Кушнірюк М.В.</t>
  </si>
  <si>
    <t>Красношапка М.П.</t>
  </si>
  <si>
    <t>Дучук М.Ф.</t>
  </si>
  <si>
    <t>Скоц С.І.</t>
  </si>
  <si>
    <t>Зенкін Дмитро Юрійович</t>
  </si>
  <si>
    <t>Самойленко Віктор Миколайович</t>
  </si>
  <si>
    <t>Шостак Жанета Германівна</t>
  </si>
  <si>
    <t>UA463005280000000262022247463</t>
  </si>
  <si>
    <t>Геворкян Вануш Геворгович</t>
  </si>
  <si>
    <t>UA453005280000000262032275535</t>
  </si>
  <si>
    <t>Чешко Сергій Анатолійович</t>
  </si>
  <si>
    <t>UA463005280000000262092275546</t>
  </si>
  <si>
    <t>КОЗЄЄВ РОМАН СЕРГІЙОВИЧ</t>
  </si>
  <si>
    <t>UA553005280000000262071996370</t>
  </si>
  <si>
    <t>Таньшин Леонід Олександрович</t>
  </si>
  <si>
    <t>UA943005280000000262092284867</t>
  </si>
  <si>
    <t>Хомич Олександр Віталійович</t>
  </si>
  <si>
    <t>UA433005280000000262032271982</t>
  </si>
  <si>
    <t>Гончаренко Ігор Володимирович</t>
  </si>
  <si>
    <t>UA533005280000000262022279541</t>
  </si>
  <si>
    <t>Бартко Василь Федорович</t>
  </si>
  <si>
    <t>UA933005280000000262042296517</t>
  </si>
  <si>
    <t>Івженко Олег Васильович</t>
  </si>
  <si>
    <t>UA923005280000000262032296514</t>
  </si>
  <si>
    <t>Хруст Сергій Іванович</t>
  </si>
  <si>
    <t>UA803005280000000262032238530</t>
  </si>
  <si>
    <t>Добрянський Валерій Олександрович</t>
  </si>
  <si>
    <t>UA933005280000000262022300355</t>
  </si>
  <si>
    <t>Горич Сергій Григорович</t>
  </si>
  <si>
    <t>UA923005280000000262062302203</t>
  </si>
  <si>
    <t>Євган Олег Миколайович</t>
  </si>
  <si>
    <t>UA653005280000000262092305953</t>
  </si>
  <si>
    <t>Миронова Ганна Іванівна</t>
  </si>
  <si>
    <t>UA243005280000000262062352994</t>
  </si>
  <si>
    <t>Шевцов Сергій Віталійович</t>
  </si>
  <si>
    <t>UA123005280000000262072240517</t>
  </si>
  <si>
    <t>Волков Олександр Юрійович</t>
  </si>
  <si>
    <t>Нагапетян Вадим Олександрович</t>
  </si>
  <si>
    <t>UA923005280000000262012500851</t>
  </si>
  <si>
    <t>Павленко Володимир Федорович</t>
  </si>
  <si>
    <t>UA913005280000000262092484159</t>
  </si>
  <si>
    <t>Олійник Валерій Миколайович</t>
  </si>
  <si>
    <t>UA133005280000000262011992635</t>
  </si>
  <si>
    <t>Перегончук Віктор Андрійович</t>
  </si>
  <si>
    <t>UA943005280000000262052555316</t>
  </si>
  <si>
    <t>Джумига Олександр Іванович</t>
  </si>
  <si>
    <t>UA633005280000000262052531042</t>
  </si>
  <si>
    <t>Чілібін Микола Євгенович</t>
  </si>
  <si>
    <t>UA923005280000000262042531081</t>
  </si>
  <si>
    <t>Кравченко Євген Олександрович</t>
  </si>
  <si>
    <t>UA083005280000000262062574345</t>
  </si>
  <si>
    <t>Драч Валентина Віталіївна</t>
  </si>
  <si>
    <t>UA553005280000000262072574393</t>
  </si>
  <si>
    <t>БРЕУС ВІТАЛІЙ ГРИГОРОВИЧ</t>
  </si>
  <si>
    <t>UA473005280000000262042586793</t>
  </si>
  <si>
    <t>Мельник Святослав Євгенович</t>
  </si>
  <si>
    <t>UA833052990000026207906233669</t>
  </si>
  <si>
    <t>Стефанюк Марія Юріївна </t>
  </si>
  <si>
    <t>UA733005280000000262012505461</t>
  </si>
  <si>
    <t>Дзюба Ігор Олегович </t>
  </si>
  <si>
    <t>UA313005280000000262082505491</t>
  </si>
  <si>
    <t>Енрікес Бландон Антоніо Норманович </t>
  </si>
  <si>
    <t>UA243005280000000262022590657</t>
  </si>
  <si>
    <t>Стецюк Тетяна Леонідівна</t>
  </si>
  <si>
    <t>UA713052990000026204675058640</t>
  </si>
  <si>
    <t>Яцюта Артем Олександрович</t>
  </si>
  <si>
    <t>UA683005280000000262042551980</t>
  </si>
  <si>
    <t>Гуняга Олег Володимировижорч </t>
  </si>
  <si>
    <t>UA303005280000000262012522046</t>
  </si>
  <si>
    <t>Хоменко Роман Віталійович</t>
  </si>
  <si>
    <t>UA523005280000000262092513088</t>
  </si>
  <si>
    <t>Скрипник Сергій Павлович  </t>
  </si>
  <si>
    <t>UA123005280000000262031996381</t>
  </si>
  <si>
    <t>Штиченко Олександр Володимирович</t>
  </si>
  <si>
    <t>UA563005280000000262092526208</t>
  </si>
  <si>
    <t>Ковтун Кирило Олександрович</t>
  </si>
  <si>
    <t>UA033005280000000262032578931</t>
  </si>
  <si>
    <t>Соколенко Тарас Вікторович</t>
  </si>
  <si>
    <t>UA423005280000000262082575133</t>
  </si>
  <si>
    <t>Каткова Аліна Ігорівна</t>
  </si>
  <si>
    <t>UA353005280000000262012584424</t>
  </si>
  <si>
    <t>Олександр Пилипчук Анатолійович</t>
  </si>
  <si>
    <t>UA973005280000000262072804788</t>
  </si>
  <si>
    <t>Савранский Іван Володимирович</t>
  </si>
  <si>
    <t>Кушнірюк Микола Володимирович</t>
  </si>
  <si>
    <t>UA593005280000000262022584401</t>
  </si>
  <si>
    <t>Сумма к выплате</t>
  </si>
  <si>
    <t>Фамилия</t>
  </si>
  <si>
    <t>Имя</t>
  </si>
  <si>
    <t>Отчество</t>
  </si>
  <si>
    <t>Отправитель</t>
  </si>
  <si>
    <t>Банк</t>
  </si>
  <si>
    <t>ОТП</t>
  </si>
  <si>
    <t>Номер</t>
  </si>
  <si>
    <t>Ф2</t>
  </si>
  <si>
    <t>Назначение платежа</t>
  </si>
  <si>
    <t>Комментарий</t>
  </si>
  <si>
    <t>РДК 250-3№2</t>
  </si>
  <si>
    <t>Самосвал МАЗ</t>
  </si>
  <si>
    <t>Работы</t>
  </si>
  <si>
    <t xml:space="preserve"> год.роботы</t>
  </si>
  <si>
    <t xml:space="preserve">+ </t>
  </si>
  <si>
    <t>год.ТО</t>
  </si>
  <si>
    <t xml:space="preserve"> х </t>
  </si>
  <si>
    <t xml:space="preserve"> грн</t>
  </si>
  <si>
    <t>Божков Валерій Вікторович</t>
  </si>
  <si>
    <t>Соколнеко Т.</t>
  </si>
  <si>
    <t>Начальное сальдно</t>
  </si>
  <si>
    <t>Проверка</t>
  </si>
  <si>
    <t>UA523005280000000262032797754</t>
  </si>
  <si>
    <t>Васюхник Богдан Володимирович</t>
  </si>
  <si>
    <t>UA953005280000000262092793808</t>
  </si>
  <si>
    <t>Кравченко Олексій Григорович</t>
  </si>
  <si>
    <t>UA193005280000000262052799554</t>
  </si>
  <si>
    <t>UA623005280000000262082722504</t>
  </si>
  <si>
    <t>Мацанек В'ячеслав Дмитрович</t>
  </si>
  <si>
    <t>UA193005280000000262052797420</t>
  </si>
  <si>
    <t>Селівончик Ігор Петрович</t>
  </si>
  <si>
    <t>UA563005280000000262012773099</t>
  </si>
  <si>
    <t>КОВАЛЬ ВАЛЕРІЙ ВАСИЛЬОВИЧ</t>
  </si>
  <si>
    <t>UA813005280000000262042330004</t>
  </si>
  <si>
    <t>Горячий І.В.</t>
  </si>
  <si>
    <t>Ковальчук В.В.</t>
  </si>
  <si>
    <t xml:space="preserve"> год.роботи</t>
  </si>
  <si>
    <t>Савранский І.В.</t>
  </si>
  <si>
    <t>Косік Ю.А.</t>
  </si>
  <si>
    <t>Селивончик И.П.</t>
  </si>
  <si>
    <t>Трохименко В.Я.</t>
  </si>
  <si>
    <t>Шамоян А.Д.</t>
  </si>
  <si>
    <t>Шестоковський Ю.А.</t>
  </si>
  <si>
    <t>Самойленко В.М.</t>
  </si>
  <si>
    <t>UA883005280000000262002769495</t>
  </si>
  <si>
    <t>Передано через Гриценко С.</t>
  </si>
  <si>
    <t>Мусієнко</t>
  </si>
  <si>
    <t>Ігор</t>
  </si>
  <si>
    <t>Іванович</t>
  </si>
  <si>
    <t>Валентин</t>
  </si>
  <si>
    <t>Вікторович</t>
  </si>
  <si>
    <t>Божков</t>
  </si>
  <si>
    <t>Валерій</t>
  </si>
  <si>
    <t>Селівончик</t>
  </si>
  <si>
    <t>Петрович</t>
  </si>
  <si>
    <t>Савранский</t>
  </si>
  <si>
    <t>Іван</t>
  </si>
  <si>
    <t>Володимирович</t>
  </si>
  <si>
    <t>Васильович</t>
  </si>
  <si>
    <t>Кушнірюк</t>
  </si>
  <si>
    <t>Микола</t>
  </si>
  <si>
    <t>Косік</t>
  </si>
  <si>
    <t>Юрій</t>
  </si>
  <si>
    <t>Анатолійович</t>
  </si>
  <si>
    <t>Віталій</t>
  </si>
  <si>
    <t>Якович</t>
  </si>
  <si>
    <t>Ярослав</t>
  </si>
  <si>
    <t>Дмитрович</t>
  </si>
  <si>
    <t>Дмитро</t>
  </si>
  <si>
    <t>Юрійович</t>
  </si>
  <si>
    <t>Володимир</t>
  </si>
  <si>
    <t>Олексій</t>
  </si>
  <si>
    <t>Миколайович</t>
  </si>
  <si>
    <t>Віктор</t>
  </si>
  <si>
    <t>Якубовський</t>
  </si>
  <si>
    <t>Василь</t>
  </si>
  <si>
    <t>Григорович</t>
  </si>
  <si>
    <t>Агмад</t>
  </si>
  <si>
    <t>Даватевич</t>
  </si>
  <si>
    <t>Сергій</t>
  </si>
  <si>
    <t>ИТОГО:</t>
  </si>
  <si>
    <t>ИТОГО С РКО:</t>
  </si>
  <si>
    <t>ЗП за 01.01.2024 - 31.01.2024
141 год.роботи х 170 грн. + 18 год.ТО и заправки х 100 грн. = 
До виплати 25 770 грн.</t>
  </si>
  <si>
    <t>ЗП за 01.01.2024 - 31.01.2024
155 год.роботи х 170 грн. + 0 год.ТО и заправки х 100 грн. = 
До виплати 26 350 грн.</t>
  </si>
  <si>
    <t>ЗП за 01.01.2024 - 31.01.2024
163 год.роботи х 170 грн. + 29 год.ТО и заправки х 100 грн. = 
До виплати 30 610 грн.</t>
  </si>
  <si>
    <t>ЗП за 01.01.2024 - 31.01.2024
179 год.роботи х 170 грн. + 20 год.ТО и заправки х 100 грн. = 
До виплати 32 430 грн.</t>
  </si>
  <si>
    <t>ЗП за 01.01.2024 - 31.01.2024
193 год.роботи х 170 грн. + 23 год.ТО и заправки х 100 грн. = 
До виплати 35 110 грн.</t>
  </si>
  <si>
    <t>ЗП за 01.01.2024 - 31.01.2024
143 год.роботи х 170 грн. + 0 год.ТО и заправки х 100 грн. = 
До виплати 24 310 грн.</t>
  </si>
  <si>
    <t>ЗП за 01.01.2024 - 31.01.2024
116 год.роботи х 180 грн. + 33 год.ТО и заправки х 100 грн. = 
До виплати 24 180 грн.</t>
  </si>
  <si>
    <t>ЗП за 01.01.2024 - 31.01.2024
110 год.роботи х 140 грн. + 8 год.ТО и заправки х 100 грн. = 
До виплати 16 200 грн.</t>
  </si>
  <si>
    <t>ЗП за 01.01.2024 - 31.01.2024
66 год.роботи х 170 грн. + 36 год.ТО и заправки х 100 грн. = 
До виплати 14 820 грн.</t>
  </si>
  <si>
    <t>ЗП за 01.01.2024 - 31.01.2024
12 год.роботи х 170 грн. + 30 год.ТО и заправки х 100 грн. = 
До виплати 5 040 грн.</t>
  </si>
  <si>
    <t>ЗП за 01.01.2024 - 31.01.2024
4 год.роботи х 170 грн. + 0 год.ТО и заправки х 100 грн. = 
До виплати 680 грн.</t>
  </si>
  <si>
    <t>ЗП за 01.01.2024 - 31.01.2024
92 год.роботи х 140 грн. + 4 год.ТО и заправки х 100 грн. = 
До виплати 13 280 грн.</t>
  </si>
  <si>
    <t>ЗП за 01.01.2024 - 31.01.2024
73 год.роботи х 140 грн. + 6 год.ТО и заправки х 100 грн. = 
До виплати 10 820 грн.</t>
  </si>
  <si>
    <t>ЗП за 01.01.2024 - 31.01.2024
159 год.роботи х 140 грн. + 5 год.ТО и заправки х 100 грн. = 
До виплати 22 760 грн.</t>
  </si>
  <si>
    <t>ЗП за 01.01.2024 - 31.01.2024
158 год.роботи х 140 грн. + 0 год.ТО и заправки х 100 грн. = 
До виплати 22 120 грн.</t>
  </si>
  <si>
    <t>ЗП за 01.01.2024 - 31.01.2024
14 год.роботи х 140 грн. + 2 год.ТО и заправки х 100 грн. = 
До виплати 2 160 грн.</t>
  </si>
  <si>
    <t>ЗП за 01.01.2024 - 31.01.2024
147 год.роботи х 140 грн. + 6 год.ТО и заправки х 100 грн. = 
До виплати 21 180 грн.</t>
  </si>
  <si>
    <t>Трубилко В.Т.</t>
  </si>
  <si>
    <t xml:space="preserve">Трубилко Володимир Трохимович </t>
  </si>
  <si>
    <t>UA973005280000000262022794013</t>
  </si>
  <si>
    <t>Самосвал камаз</t>
  </si>
  <si>
    <t>Телескоп №1</t>
  </si>
  <si>
    <t>Телескоп №2</t>
  </si>
  <si>
    <t>Экскаватор JCB 2007</t>
  </si>
  <si>
    <t>Телескоп №4</t>
  </si>
  <si>
    <t>РДК 250 (2)</t>
  </si>
  <si>
    <t>Телескоп №5</t>
  </si>
  <si>
    <t>Экскаватор JCB 2013</t>
  </si>
  <si>
    <t>ФИО</t>
  </si>
  <si>
    <t>Общий километраж, км</t>
  </si>
  <si>
    <t>Ставка на км</t>
  </si>
  <si>
    <t>ЗП, грн</t>
  </si>
  <si>
    <t>№ п/п</t>
  </si>
  <si>
    <t>Начислено в сентябре 2023</t>
  </si>
  <si>
    <t>Всего</t>
  </si>
  <si>
    <t>Спец.техника</t>
  </si>
  <si>
    <r>
      <t xml:space="preserve">Ставка за работу, </t>
    </r>
    <r>
      <rPr>
        <sz val="11"/>
        <color theme="1"/>
        <rFont val="Calibri"/>
        <family val="2"/>
        <scheme val="minor"/>
      </rPr>
      <t>грн/час</t>
    </r>
  </si>
  <si>
    <r>
      <t xml:space="preserve">Ставка за ТО, </t>
    </r>
    <r>
      <rPr>
        <sz val="11"/>
        <color theme="1"/>
        <rFont val="Calibri"/>
        <family val="2"/>
        <scheme val="minor"/>
      </rPr>
      <t>грн/час</t>
    </r>
  </si>
  <si>
    <t>Заправка</t>
  </si>
  <si>
    <t>Без ТО и заправок</t>
  </si>
  <si>
    <t>ИТОГО ЗП по часам</t>
  </si>
  <si>
    <t>Начисления на ЗП Ф1 (22%)</t>
  </si>
  <si>
    <t>Удержано по Ф1 (19,5%)</t>
  </si>
  <si>
    <t>Начислено ЗП по Ф1 (аванс)</t>
  </si>
  <si>
    <t>Остаток ЗП за период (по Ф2)</t>
  </si>
  <si>
    <t>Боранов В.В.</t>
  </si>
  <si>
    <t>Михайлов В.О.</t>
  </si>
  <si>
    <t>Яцюк Ю.Г.</t>
  </si>
  <si>
    <t>ИТОГО</t>
  </si>
  <si>
    <t>1С Alias</t>
  </si>
  <si>
    <t>Начислено в Октябре 2023</t>
  </si>
  <si>
    <t>Ед. спецтехник</t>
  </si>
  <si>
    <t>ФОТ + Начисления</t>
  </si>
  <si>
    <t>Автокран клинцы</t>
  </si>
  <si>
    <t>перегон на ладыжины (16 часов - 4 часа ТО - 1 час заправка)</t>
  </si>
  <si>
    <t>Телескоп №3</t>
  </si>
  <si>
    <t>Начислено в Ноябрь 2023</t>
  </si>
  <si>
    <t>Начислено в Декабре 2023</t>
  </si>
  <si>
    <t>ЗП за 01.12.2023 - 31.12.2023</t>
  </si>
  <si>
    <t>Дополнено табелем за ноябрья с 01.11 по 08.11 - 41 час работы</t>
  </si>
  <si>
    <t>Механизатор проставил себе часы ТО без подписи прораба или РМ (10+3 часов ТО и заправка)</t>
  </si>
  <si>
    <t>Механизатор проставил себе часы ТО без подписи прораба или РМ (10+2 часов ТО и заправка), во второй половине 12+1</t>
  </si>
  <si>
    <t>Виробничий (Придніпровський ОЕЗ)</t>
  </si>
  <si>
    <t>Виробничий (Старокостянтинів)</t>
  </si>
  <si>
    <t>Виробничий Турбіна2</t>
  </si>
  <si>
    <t xml:space="preserve">Ляшко Сергій Миколайович </t>
  </si>
  <si>
    <t>Подразделение в Казне</t>
  </si>
  <si>
    <t>Название листа в бюджете</t>
  </si>
  <si>
    <t>ID</t>
  </si>
  <si>
    <t>Ставка, грн/час</t>
  </si>
  <si>
    <t>Госномер авто</t>
  </si>
  <si>
    <t>Серийный номер</t>
  </si>
  <si>
    <t>16871АІ</t>
  </si>
  <si>
    <t>JCB5ANTGL81510876</t>
  </si>
  <si>
    <t>24257АІ</t>
  </si>
  <si>
    <t>JCB5ANSGE01524978</t>
  </si>
  <si>
    <t>Телескоп JCB 533-105 (№3)</t>
  </si>
  <si>
    <t>74869АА</t>
  </si>
  <si>
    <t>JCB5AHTGK02146340</t>
  </si>
  <si>
    <t>76330АА</t>
  </si>
  <si>
    <t>JCB5APWGL02176323</t>
  </si>
  <si>
    <t>79905АА</t>
  </si>
  <si>
    <t>5APXGJ02174932</t>
  </si>
  <si>
    <t>26123АІ</t>
  </si>
  <si>
    <t>H1890380</t>
  </si>
  <si>
    <t>25685АІ</t>
  </si>
  <si>
    <t>HVL1561265</t>
  </si>
  <si>
    <t>23510АІ</t>
  </si>
  <si>
    <t>JCB3CX4TP70978367</t>
  </si>
  <si>
    <t>76742АА</t>
  </si>
  <si>
    <t>JCB3CX4TL81343587</t>
  </si>
  <si>
    <t>74303АА</t>
  </si>
  <si>
    <t>JCB3CX4TC02112313</t>
  </si>
  <si>
    <t>72992АА</t>
  </si>
  <si>
    <t>JCBJS22EV02135397</t>
  </si>
  <si>
    <t>АА9157КМ</t>
  </si>
  <si>
    <t>Y3M5550C3K0000264</t>
  </si>
  <si>
    <t>АА9158КМ</t>
  </si>
  <si>
    <t>Y3M5550C3K0000265</t>
  </si>
  <si>
    <t>КА2057АМ</t>
  </si>
  <si>
    <t>XTC53215R92363382</t>
  </si>
  <si>
    <t>КА2204ВС</t>
  </si>
  <si>
    <t>LXGCPA291GA008030</t>
  </si>
  <si>
    <t>Автокран XCMG QAY55</t>
  </si>
  <si>
    <t>Автокран XCMG 55</t>
  </si>
  <si>
    <t>75855АА</t>
  </si>
  <si>
    <t>LXGCPA364EA015832</t>
  </si>
  <si>
    <t>КА6916АР</t>
  </si>
  <si>
    <t>XTC55111R82327398</t>
  </si>
  <si>
    <t>Подъемник Haulotte №1</t>
  </si>
  <si>
    <t>79025АА</t>
  </si>
  <si>
    <t>CD109095</t>
  </si>
  <si>
    <t>KA5409BB</t>
  </si>
  <si>
    <t>Y3M651628L000050</t>
  </si>
  <si>
    <t>Объект</t>
  </si>
  <si>
    <t>GPS</t>
  </si>
  <si>
    <t>Топливный бак, л.</t>
  </si>
  <si>
    <t>Код подразделения в казне</t>
  </si>
  <si>
    <t>Цена за 1 час до 01.10.</t>
  </si>
  <si>
    <t>Цена за 1 час после 01.10.</t>
  </si>
  <si>
    <t>Комментарии</t>
  </si>
  <si>
    <t>ЗА 1 день (без  оператора и топлива)</t>
  </si>
  <si>
    <t>Крушинка</t>
  </si>
  <si>
    <t>Нежин</t>
  </si>
  <si>
    <t>в т ч перегон</t>
  </si>
  <si>
    <t xml:space="preserve">Самойленко Віктор Миколайович </t>
  </si>
  <si>
    <t xml:space="preserve">Ф2 </t>
  </si>
  <si>
    <t>Здоровик О.О</t>
  </si>
  <si>
    <t>Подгорцы</t>
  </si>
  <si>
    <t>Петрашенко Я.Е</t>
  </si>
  <si>
    <t>Голуб И.Л</t>
  </si>
  <si>
    <t xml:space="preserve">Томченко Олег </t>
  </si>
  <si>
    <t>1 с казна</t>
  </si>
  <si>
    <t>автомобиль</t>
  </si>
  <si>
    <t>МАН5</t>
  </si>
  <si>
    <t>Итого к выплате</t>
  </si>
  <si>
    <t xml:space="preserve">Староконстантинов </t>
  </si>
  <si>
    <t>Ед. Спецтехник</t>
  </si>
  <si>
    <t>Цена за 1 час после 01.07.2024</t>
  </si>
  <si>
    <t>Глобино</t>
  </si>
  <si>
    <t xml:space="preserve">Карбунар Ярослав Дмитрович </t>
  </si>
  <si>
    <t xml:space="preserve">Шамоян Агмад Даватевич </t>
  </si>
  <si>
    <t>Ковальчук В.В</t>
  </si>
  <si>
    <t>Скоц С.И</t>
  </si>
  <si>
    <t>Болох В.В</t>
  </si>
  <si>
    <t>Филянович Ю.В.</t>
  </si>
  <si>
    <t>Самойленко В.М</t>
  </si>
  <si>
    <t>Божков В.В</t>
  </si>
  <si>
    <t xml:space="preserve">Філянович Юрій Володимирович </t>
  </si>
  <si>
    <t>Борисенко О.М</t>
  </si>
  <si>
    <t>Карбунар Я.Д</t>
  </si>
  <si>
    <t>Селивончик И.П</t>
  </si>
  <si>
    <t>Шамоян А.Д</t>
  </si>
  <si>
    <t>Мазуренко Е.В</t>
  </si>
  <si>
    <t>Дата</t>
  </si>
  <si>
    <t>Имя единицы спец.техника</t>
  </si>
  <si>
    <t>Примечание по строке</t>
  </si>
  <si>
    <t>Часов всего то/заправки</t>
  </si>
  <si>
    <t>Автокран XCMG QAY56</t>
  </si>
  <si>
    <t>Автокран XCMG QAY57</t>
  </si>
  <si>
    <t xml:space="preserve">Переезд </t>
  </si>
  <si>
    <t xml:space="preserve">МАЗ 264 </t>
  </si>
  <si>
    <t xml:space="preserve">Шевчук Олександр Миколайович </t>
  </si>
  <si>
    <t>МАН3</t>
  </si>
  <si>
    <t>Шевчук О.М.</t>
  </si>
  <si>
    <t>Глобино-2</t>
  </si>
  <si>
    <t>Ляшко С.М.</t>
  </si>
  <si>
    <t>KA9802BB</t>
  </si>
  <si>
    <t>Самосвал МАЗ №2</t>
  </si>
  <si>
    <t xml:space="preserve">Васіліу Руслан Георгійович </t>
  </si>
  <si>
    <t>Василиу Р.Г.</t>
  </si>
  <si>
    <t xml:space="preserve">Черненко Андрій Сергійович </t>
  </si>
  <si>
    <t xml:space="preserve">Комаров Денис Володимирович </t>
  </si>
  <si>
    <t xml:space="preserve">Роменський Валерій Вікторович </t>
  </si>
  <si>
    <t>Иванив Б.И.</t>
  </si>
  <si>
    <t>Глобино Щебень</t>
  </si>
  <si>
    <t xml:space="preserve">Запара Сергій Миколайович </t>
  </si>
  <si>
    <t>ЗП за 01.10.2024 - 30.09.2024</t>
  </si>
  <si>
    <t>заморожено</t>
  </si>
  <si>
    <t>Гриценко</t>
  </si>
  <si>
    <t>Зубко О.В.</t>
  </si>
  <si>
    <t>Скоц С.И.</t>
  </si>
  <si>
    <t>НЖК</t>
  </si>
  <si>
    <t>Путровка</t>
  </si>
  <si>
    <t>Роменский В.В.</t>
  </si>
  <si>
    <t>Черненко А.С.</t>
  </si>
  <si>
    <t>Гончаренко О.П.</t>
  </si>
  <si>
    <t xml:space="preserve">Запара С.М </t>
  </si>
  <si>
    <t>Комаров Д.В.</t>
  </si>
  <si>
    <t xml:space="preserve">Іванів Богдан Іванович </t>
  </si>
  <si>
    <t xml:space="preserve">Мазуренко Євгеній Вікторович </t>
  </si>
  <si>
    <t xml:space="preserve">Скоц Сергій Іванович </t>
  </si>
  <si>
    <t xml:space="preserve">Борисенко Олексій Миколайович </t>
  </si>
  <si>
    <t>Начислено в Ноябре 2024</t>
  </si>
  <si>
    <t>Гончаренко В.П.</t>
  </si>
  <si>
    <t>Удержано по Ф1 (23%)</t>
  </si>
  <si>
    <t>Грунковский В.В.</t>
  </si>
  <si>
    <t>Сокур С.О.</t>
  </si>
  <si>
    <t>ФОТ за январь 2025</t>
  </si>
  <si>
    <t xml:space="preserve">Січень 2025 = </t>
  </si>
  <si>
    <t>с 01.01-31.01(</t>
  </si>
  <si>
    <t>ФОТ января</t>
  </si>
  <si>
    <t>МАН4</t>
  </si>
  <si>
    <t>24.01.25 – Цех + перегон МАН 3 на СТО</t>
  </si>
  <si>
    <t>согласовано директором</t>
  </si>
  <si>
    <t xml:space="preserve">Голуб </t>
  </si>
  <si>
    <t xml:space="preserve">Томченко </t>
  </si>
  <si>
    <t xml:space="preserve">24.01.25 – Цех + перегон МАН 5 на СТО; 28.01.25 – прохождение ТО, техническое обслуживание и шиномонтаж </t>
  </si>
  <si>
    <t>на карту</t>
  </si>
  <si>
    <t xml:space="preserve">карта </t>
  </si>
  <si>
    <t>Начислено в Феврале 2025</t>
  </si>
  <si>
    <t>Тройняк О.В.</t>
  </si>
  <si>
    <t>Окольничий В.О.</t>
  </si>
  <si>
    <t>Котик М.А.</t>
  </si>
  <si>
    <t>Щебинь</t>
  </si>
  <si>
    <t>Котик Микола Аполінарович</t>
  </si>
  <si>
    <t>Котлогаз</t>
  </si>
  <si>
    <t>ФОТ за февраль 2025</t>
  </si>
  <si>
    <t xml:space="preserve">ФОТ  февраля </t>
  </si>
  <si>
    <t>Конечное сальдо</t>
  </si>
  <si>
    <t>Заморожено по топливу</t>
  </si>
  <si>
    <t xml:space="preserve">Лютий  2025 = </t>
  </si>
  <si>
    <t>с 01.02-28.02(</t>
  </si>
  <si>
    <t>Ильину Р.</t>
  </si>
  <si>
    <t>Стажировка</t>
  </si>
  <si>
    <t>Васіліу Руслан</t>
  </si>
  <si>
    <t>Зубко Олег</t>
  </si>
  <si>
    <t>Трояняк Оллександр</t>
  </si>
  <si>
    <t>Філянович Ю.</t>
  </si>
  <si>
    <t>Борисенко О.</t>
  </si>
  <si>
    <t>Гончаренко О.</t>
  </si>
  <si>
    <t>Ляшко С.В.</t>
  </si>
  <si>
    <t>Комаров Денис</t>
  </si>
  <si>
    <t>Черненко А.</t>
  </si>
  <si>
    <t>Окольничий Віталій</t>
  </si>
  <si>
    <t>Гончаренко Валерій</t>
  </si>
  <si>
    <t>Сокур С</t>
  </si>
  <si>
    <t>Котик Микола</t>
  </si>
  <si>
    <t xml:space="preserve"> Ільїн Ростислав</t>
  </si>
  <si>
    <t>МХП Катеринополь</t>
  </si>
  <si>
    <t>Ільїн Ростислав Русланович</t>
  </si>
  <si>
    <t>ФОТ за март  2025</t>
  </si>
  <si>
    <t xml:space="preserve"> + 5 дней ч 1 500 грн = 7 500 грн</t>
  </si>
  <si>
    <t xml:space="preserve"> + 5 дней ч 1 500 грн = 7 500 грн</t>
  </si>
  <si>
    <t>в т ч снято 10 000 грн разрешительная док</t>
  </si>
  <si>
    <t>Роменський Валерій Вікторович</t>
  </si>
  <si>
    <t>выплата зп ф1 март</t>
  </si>
  <si>
    <t>Болох В.</t>
  </si>
  <si>
    <t>Зубко О.</t>
  </si>
  <si>
    <t>Котик М.</t>
  </si>
  <si>
    <t>Василиу Р.</t>
  </si>
  <si>
    <t>Тройняк О.</t>
  </si>
  <si>
    <t>Ляшко С.</t>
  </si>
  <si>
    <t>Гончаренко О</t>
  </si>
  <si>
    <t>Комаров Д.</t>
  </si>
  <si>
    <t>Окольничий В.</t>
  </si>
  <si>
    <t>Гончаренко В.</t>
  </si>
  <si>
    <t>Сокур С.</t>
  </si>
  <si>
    <t>Ільїн Р.</t>
  </si>
  <si>
    <t>Щебень  64,12 т</t>
  </si>
  <si>
    <t>ФОТ за апрель 2025</t>
  </si>
  <si>
    <t xml:space="preserve">Голуб И </t>
  </si>
  <si>
    <t>ФОТ  апрель</t>
  </si>
  <si>
    <t>1 500 грн (07.04 робота в БЦ діагностика та ремонт МАН 5)
8800 получил за рейс  Днепр - Гайсин - Жажков</t>
  </si>
  <si>
    <t>Томченко О</t>
  </si>
  <si>
    <t>8800 получил за рейс  Днепр - Гайсин - Жажков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</si>
</sst>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[$-419]mmmm\ yyyy;@"/>
    <numFmt numFmtId="166" formatCode="dd/mm/yy;@"/>
    <numFmt numFmtId="167" formatCode="#,##0.00_ ;\-#,##0.00\ 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sz val="10"/>
      <color rgb="FF1F497D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333333"/>
      <name val="Arial"/>
      <family val="2"/>
      <charset val="204"/>
    </font>
    <font>
      <sz val="8"/>
      <color indexed="63"/>
      <name val="Arial"/>
      <family val="2"/>
    </font>
    <font>
      <sz val="10"/>
      <color indexed="63"/>
      <name val="Arial"/>
      <family val="2"/>
      <charset val="204"/>
    </font>
    <font>
      <sz val="10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969696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1">
    <xf numFmtId="0" fontId="0" fillId="0" borderId="0"/>
    <xf numFmtId="0" fontId="15" fillId="0" borderId="0"/>
    <xf numFmtId="0" fontId="14" fillId="0" borderId="0"/>
    <xf numFmtId="0" fontId="25" fillId="0" borderId="0"/>
    <xf numFmtId="0" fontId="14" fillId="0" borderId="0"/>
    <xf numFmtId="0" fontId="9" fillId="0" borderId="0"/>
    <xf numFmtId="0" fontId="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</cellStyleXfs>
  <cellXfs count="625">
    <xf numFmtId="0" fontId="0" fillId="0" borderId="0" xfId="0"/>
    <xf numFmtId="0" fontId="16" fillId="0" borderId="1" xfId="1" applyFont="1" applyBorder="1"/>
    <xf numFmtId="0" fontId="16" fillId="3" borderId="1" xfId="1" applyFont="1" applyFill="1" applyBorder="1"/>
    <xf numFmtId="0" fontId="15" fillId="0" borderId="0" xfId="1"/>
    <xf numFmtId="0" fontId="15" fillId="0" borderId="1" xfId="1" applyBorder="1"/>
    <xf numFmtId="0" fontId="15" fillId="0" borderId="1" xfId="1" applyBorder="1" applyAlignment="1">
      <alignment vertical="center"/>
    </xf>
    <xf numFmtId="0" fontId="15" fillId="0" borderId="1" xfId="1" applyBorder="1" applyAlignment="1">
      <alignment horizontal="left" vertical="center"/>
    </xf>
    <xf numFmtId="0" fontId="15" fillId="0" borderId="1" xfId="1" applyBorder="1" applyAlignment="1">
      <alignment wrapText="1"/>
    </xf>
    <xf numFmtId="0" fontId="17" fillId="0" borderId="1" xfId="1" applyFont="1" applyBorder="1" applyAlignment="1">
      <alignment wrapText="1"/>
    </xf>
    <xf numFmtId="0" fontId="17" fillId="3" borderId="1" xfId="1" applyFont="1" applyFill="1" applyBorder="1" applyAlignment="1">
      <alignment wrapText="1"/>
    </xf>
    <xf numFmtId="0" fontId="15" fillId="3" borderId="1" xfId="1" applyFill="1" applyBorder="1" applyAlignment="1">
      <alignment wrapText="1"/>
    </xf>
    <xf numFmtId="0" fontId="15" fillId="3" borderId="1" xfId="1" applyFill="1" applyBorder="1" applyAlignment="1">
      <alignment vertical="center"/>
    </xf>
    <xf numFmtId="0" fontId="15" fillId="0" borderId="2" xfId="1" applyBorder="1"/>
    <xf numFmtId="4" fontId="0" fillId="0" borderId="0" xfId="0" applyNumberFormat="1"/>
    <xf numFmtId="0" fontId="0" fillId="0" borderId="5" xfId="0" applyBorder="1"/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3" fontId="0" fillId="0" borderId="0" xfId="0" applyNumberFormat="1"/>
    <xf numFmtId="0" fontId="11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1" fillId="0" borderId="0" xfId="0" applyFont="1"/>
    <xf numFmtId="4" fontId="21" fillId="0" borderId="0" xfId="0" applyNumberFormat="1" applyFont="1"/>
    <xf numFmtId="0" fontId="26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/>
    <xf numFmtId="3" fontId="21" fillId="3" borderId="5" xfId="0" applyNumberFormat="1" applyFont="1" applyFill="1" applyBorder="1"/>
    <xf numFmtId="0" fontId="29" fillId="0" borderId="5" xfId="0" applyFont="1" applyBorder="1" applyAlignment="1">
      <alignment vertical="center" wrapText="1"/>
    </xf>
    <xf numFmtId="0" fontId="29" fillId="0" borderId="0" xfId="0" applyFont="1"/>
    <xf numFmtId="0" fontId="30" fillId="0" borderId="5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3" fontId="21" fillId="3" borderId="13" xfId="0" applyNumberFormat="1" applyFont="1" applyFill="1" applyBorder="1"/>
    <xf numFmtId="3" fontId="0" fillId="0" borderId="4" xfId="0" applyNumberFormat="1" applyBorder="1"/>
    <xf numFmtId="0" fontId="16" fillId="0" borderId="5" xfId="0" applyFont="1" applyBorder="1"/>
    <xf numFmtId="0" fontId="16" fillId="0" borderId="5" xfId="0" applyFont="1" applyBorder="1" applyAlignment="1">
      <alignment horizontal="center" vertical="center"/>
    </xf>
    <xf numFmtId="3" fontId="21" fillId="0" borderId="5" xfId="0" applyNumberFormat="1" applyFont="1" applyBorder="1"/>
    <xf numFmtId="0" fontId="29" fillId="2" borderId="5" xfId="0" applyFont="1" applyFill="1" applyBorder="1" applyAlignment="1">
      <alignment vertical="center" wrapText="1"/>
    </xf>
    <xf numFmtId="0" fontId="0" fillId="0" borderId="13" xfId="0" applyBorder="1"/>
    <xf numFmtId="0" fontId="16" fillId="0" borderId="5" xfId="0" applyFont="1" applyBorder="1" applyAlignment="1">
      <alignment horizontal="left" vertical="center"/>
    </xf>
    <xf numFmtId="0" fontId="29" fillId="2" borderId="0" xfId="0" applyFont="1" applyFill="1"/>
    <xf numFmtId="0" fontId="33" fillId="0" borderId="0" xfId="0" applyFont="1" applyAlignment="1">
      <alignment vertical="center"/>
    </xf>
    <xf numFmtId="0" fontId="34" fillId="4" borderId="16" xfId="0" applyFont="1" applyFill="1" applyBorder="1" applyAlignment="1">
      <alignment vertical="center"/>
    </xf>
    <xf numFmtId="0" fontId="0" fillId="0" borderId="0" xfId="0" quotePrefix="1"/>
    <xf numFmtId="3" fontId="21" fillId="3" borderId="3" xfId="0" applyNumberFormat="1" applyFont="1" applyFill="1" applyBorder="1"/>
    <xf numFmtId="0" fontId="19" fillId="2" borderId="15" xfId="9" applyFill="1" applyBorder="1" applyAlignment="1">
      <alignment horizontal="left" vertical="top"/>
    </xf>
    <xf numFmtId="3" fontId="21" fillId="0" borderId="4" xfId="0" applyNumberFormat="1" applyFont="1" applyBorder="1"/>
    <xf numFmtId="3" fontId="35" fillId="6" borderId="18" xfId="10" applyNumberFormat="1" applyFont="1" applyFill="1" applyBorder="1" applyAlignment="1">
      <alignment horizontal="right" vertical="top"/>
    </xf>
    <xf numFmtId="0" fontId="35" fillId="6" borderId="18" xfId="10" applyFont="1" applyFill="1" applyBorder="1" applyAlignment="1">
      <alignment horizontal="left" vertical="top"/>
    </xf>
    <xf numFmtId="4" fontId="35" fillId="6" borderId="18" xfId="10" applyNumberFormat="1" applyFont="1" applyFill="1" applyBorder="1" applyAlignment="1">
      <alignment horizontal="right" vertical="top"/>
    </xf>
    <xf numFmtId="0" fontId="35" fillId="6" borderId="18" xfId="10" applyFont="1" applyFill="1" applyBorder="1" applyAlignment="1">
      <alignment horizontal="left" vertical="top" wrapText="1"/>
    </xf>
    <xf numFmtId="2" fontId="35" fillId="6" borderId="18" xfId="1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right"/>
    </xf>
    <xf numFmtId="0" fontId="0" fillId="0" borderId="14" xfId="0" applyBorder="1"/>
    <xf numFmtId="3" fontId="16" fillId="0" borderId="7" xfId="0" applyNumberFormat="1" applyFont="1" applyBorder="1"/>
    <xf numFmtId="3" fontId="7" fillId="0" borderId="6" xfId="0" applyNumberFormat="1" applyFont="1" applyBorder="1"/>
    <xf numFmtId="3" fontId="7" fillId="0" borderId="9" xfId="0" applyNumberFormat="1" applyFont="1" applyBorder="1"/>
    <xf numFmtId="0" fontId="36" fillId="7" borderId="18" xfId="10" applyFont="1" applyFill="1" applyBorder="1" applyAlignment="1">
      <alignment horizontal="left" vertical="top"/>
    </xf>
    <xf numFmtId="0" fontId="26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0" fillId="0" borderId="19" xfId="0" applyBorder="1"/>
    <xf numFmtId="4" fontId="37" fillId="8" borderId="11" xfId="11" applyNumberFormat="1" applyFont="1" applyFill="1" applyBorder="1" applyAlignment="1">
      <alignment horizontal="right" vertical="top"/>
    </xf>
    <xf numFmtId="4" fontId="0" fillId="0" borderId="19" xfId="0" applyNumberFormat="1" applyBorder="1"/>
    <xf numFmtId="0" fontId="6" fillId="0" borderId="0" xfId="12" applyAlignment="1">
      <alignment horizontal="center"/>
    </xf>
    <xf numFmtId="0" fontId="6" fillId="0" borderId="0" xfId="12"/>
    <xf numFmtId="0" fontId="6" fillId="0" borderId="0" xfId="12" applyAlignment="1">
      <alignment horizontal="right" indent="1"/>
    </xf>
    <xf numFmtId="0" fontId="16" fillId="0" borderId="0" xfId="12" applyFont="1" applyAlignment="1">
      <alignment horizontal="center"/>
    </xf>
    <xf numFmtId="0" fontId="16" fillId="0" borderId="0" xfId="12" applyFont="1" applyAlignment="1">
      <alignment horizontal="right" indent="1"/>
    </xf>
    <xf numFmtId="0" fontId="16" fillId="0" borderId="13" xfId="12" applyFont="1" applyBorder="1" applyAlignment="1">
      <alignment horizontal="center" vertical="center" wrapText="1"/>
    </xf>
    <xf numFmtId="0" fontId="16" fillId="0" borderId="13" xfId="12" applyFont="1" applyBorder="1" applyAlignment="1">
      <alignment horizontal="right" vertical="center" wrapText="1" indent="1"/>
    </xf>
    <xf numFmtId="0" fontId="16" fillId="0" borderId="21" xfId="12" applyFont="1" applyBorder="1" applyAlignment="1">
      <alignment horizontal="center" vertical="center" wrapText="1"/>
    </xf>
    <xf numFmtId="0" fontId="6" fillId="0" borderId="0" xfId="12" applyAlignment="1">
      <alignment horizontal="center" vertical="center" wrapText="1"/>
    </xf>
    <xf numFmtId="0" fontId="6" fillId="0" borderId="13" xfId="12" applyBorder="1" applyAlignment="1">
      <alignment horizontal="center" vertical="center" wrapText="1"/>
    </xf>
    <xf numFmtId="0" fontId="6" fillId="0" borderId="4" xfId="12" applyBorder="1" applyAlignment="1">
      <alignment horizontal="center"/>
    </xf>
    <xf numFmtId="0" fontId="6" fillId="2" borderId="4" xfId="12" applyFill="1" applyBorder="1"/>
    <xf numFmtId="4" fontId="17" fillId="0" borderId="4" xfId="12" applyNumberFormat="1" applyFont="1" applyBorder="1" applyAlignment="1">
      <alignment horizontal="right" indent="1"/>
    </xf>
    <xf numFmtId="0" fontId="17" fillId="0" borderId="4" xfId="12" applyFont="1" applyBorder="1" applyAlignment="1">
      <alignment horizontal="right" indent="1"/>
    </xf>
    <xf numFmtId="0" fontId="17" fillId="0" borderId="4" xfId="12" applyFont="1" applyBorder="1" applyAlignment="1">
      <alignment horizontal="center"/>
    </xf>
    <xf numFmtId="0" fontId="17" fillId="0" borderId="22" xfId="12" applyFont="1" applyBorder="1" applyAlignment="1">
      <alignment horizontal="center"/>
    </xf>
    <xf numFmtId="4" fontId="6" fillId="0" borderId="4" xfId="12" applyNumberFormat="1" applyBorder="1"/>
    <xf numFmtId="0" fontId="38" fillId="0" borderId="19" xfId="12" applyFont="1" applyBorder="1"/>
    <xf numFmtId="0" fontId="38" fillId="0" borderId="4" xfId="12" applyFont="1" applyBorder="1"/>
    <xf numFmtId="4" fontId="38" fillId="0" borderId="4" xfId="12" applyNumberFormat="1" applyFont="1" applyBorder="1"/>
    <xf numFmtId="0" fontId="6" fillId="0" borderId="19" xfId="12" applyBorder="1" applyAlignment="1">
      <alignment horizontal="center"/>
    </xf>
    <xf numFmtId="0" fontId="6" fillId="2" borderId="19" xfId="12" applyFill="1" applyBorder="1"/>
    <xf numFmtId="0" fontId="17" fillId="0" borderId="19" xfId="12" applyFont="1" applyBorder="1" applyAlignment="1">
      <alignment horizontal="right" indent="1"/>
    </xf>
    <xf numFmtId="0" fontId="17" fillId="0" borderId="19" xfId="12" applyFont="1" applyBorder="1" applyAlignment="1">
      <alignment horizontal="center"/>
    </xf>
    <xf numFmtId="0" fontId="17" fillId="0" borderId="23" xfId="12" applyFont="1" applyBorder="1" applyAlignment="1">
      <alignment horizontal="center"/>
    </xf>
    <xf numFmtId="4" fontId="6" fillId="0" borderId="19" xfId="12" applyNumberFormat="1" applyBorder="1"/>
    <xf numFmtId="4" fontId="38" fillId="0" borderId="19" xfId="12" applyNumberFormat="1" applyFont="1" applyBorder="1"/>
    <xf numFmtId="0" fontId="38" fillId="0" borderId="3" xfId="12" applyFont="1" applyBorder="1"/>
    <xf numFmtId="4" fontId="17" fillId="0" borderId="13" xfId="12" applyNumberFormat="1" applyFont="1" applyBorder="1" applyAlignment="1">
      <alignment horizontal="right" indent="1"/>
    </xf>
    <xf numFmtId="0" fontId="17" fillId="0" borderId="13" xfId="12" applyFont="1" applyBorder="1" applyAlignment="1">
      <alignment horizontal="right" indent="1"/>
    </xf>
    <xf numFmtId="0" fontId="17" fillId="0" borderId="13" xfId="12" applyFont="1" applyBorder="1" applyAlignment="1">
      <alignment horizontal="center"/>
    </xf>
    <xf numFmtId="0" fontId="17" fillId="0" borderId="21" xfId="12" applyFont="1" applyBorder="1" applyAlignment="1">
      <alignment horizontal="center"/>
    </xf>
    <xf numFmtId="4" fontId="6" fillId="0" borderId="13" xfId="12" applyNumberFormat="1" applyBorder="1"/>
    <xf numFmtId="4" fontId="38" fillId="0" borderId="13" xfId="12" applyNumberFormat="1" applyFont="1" applyBorder="1"/>
    <xf numFmtId="0" fontId="6" fillId="0" borderId="24" xfId="12" applyBorder="1" applyAlignment="1">
      <alignment horizontal="center" vertical="center"/>
    </xf>
    <xf numFmtId="1" fontId="16" fillId="0" borderId="24" xfId="12" applyNumberFormat="1" applyFont="1" applyBorder="1" applyAlignment="1">
      <alignment vertical="center"/>
    </xf>
    <xf numFmtId="1" fontId="16" fillId="0" borderId="20" xfId="12" applyNumberFormat="1" applyFont="1" applyBorder="1" applyAlignment="1">
      <alignment vertical="center"/>
    </xf>
    <xf numFmtId="4" fontId="16" fillId="0" borderId="20" xfId="12" applyNumberFormat="1" applyFont="1" applyBorder="1" applyAlignment="1">
      <alignment vertical="center"/>
    </xf>
    <xf numFmtId="3" fontId="27" fillId="0" borderId="24" xfId="12" applyNumberFormat="1" applyFont="1" applyBorder="1" applyAlignment="1">
      <alignment horizontal="right" vertical="center" indent="1"/>
    </xf>
    <xf numFmtId="3" fontId="27" fillId="0" borderId="24" xfId="12" applyNumberFormat="1" applyFont="1" applyBorder="1" applyAlignment="1">
      <alignment horizontal="center" vertical="center"/>
    </xf>
    <xf numFmtId="1" fontId="27" fillId="0" borderId="24" xfId="12" applyNumberFormat="1" applyFont="1" applyBorder="1" applyAlignment="1">
      <alignment horizontal="center" vertical="center"/>
    </xf>
    <xf numFmtId="1" fontId="27" fillId="0" borderId="25" xfId="12" applyNumberFormat="1" applyFont="1" applyBorder="1" applyAlignment="1">
      <alignment horizontal="center" vertical="center"/>
    </xf>
    <xf numFmtId="0" fontId="6" fillId="0" borderId="0" xfId="12" applyAlignment="1">
      <alignment vertical="center"/>
    </xf>
    <xf numFmtId="4" fontId="6" fillId="0" borderId="17" xfId="12" applyNumberFormat="1" applyBorder="1"/>
    <xf numFmtId="0" fontId="17" fillId="0" borderId="4" xfId="12" applyFont="1" applyBorder="1"/>
    <xf numFmtId="4" fontId="17" fillId="0" borderId="4" xfId="12" applyNumberFormat="1" applyFont="1" applyBorder="1"/>
    <xf numFmtId="0" fontId="39" fillId="5" borderId="19" xfId="12" applyFont="1" applyFill="1" applyBorder="1" applyAlignment="1">
      <alignment horizontal="center"/>
    </xf>
    <xf numFmtId="4" fontId="17" fillId="2" borderId="4" xfId="12" applyNumberFormat="1" applyFont="1" applyFill="1" applyBorder="1"/>
    <xf numFmtId="0" fontId="6" fillId="0" borderId="20" xfId="12" applyBorder="1" applyAlignment="1">
      <alignment horizontal="center"/>
    </xf>
    <xf numFmtId="0" fontId="17" fillId="0" borderId="13" xfId="12" applyFont="1" applyBorder="1"/>
    <xf numFmtId="0" fontId="17" fillId="0" borderId="20" xfId="12" applyFont="1" applyBorder="1"/>
    <xf numFmtId="4" fontId="17" fillId="0" borderId="20" xfId="12" applyNumberFormat="1" applyFont="1" applyBorder="1" applyAlignment="1">
      <alignment horizontal="right" indent="1"/>
    </xf>
    <xf numFmtId="0" fontId="17" fillId="0" borderId="20" xfId="12" applyFont="1" applyBorder="1" applyAlignment="1">
      <alignment horizontal="right" indent="1"/>
    </xf>
    <xf numFmtId="0" fontId="39" fillId="5" borderId="13" xfId="12" applyFont="1" applyFill="1" applyBorder="1" applyAlignment="1">
      <alignment horizontal="center"/>
    </xf>
    <xf numFmtId="0" fontId="17" fillId="0" borderId="20" xfId="12" applyFont="1" applyBorder="1" applyAlignment="1">
      <alignment horizontal="center"/>
    </xf>
    <xf numFmtId="4" fontId="17" fillId="0" borderId="20" xfId="12" applyNumberFormat="1" applyFont="1" applyBorder="1"/>
    <xf numFmtId="4" fontId="17" fillId="2" borderId="20" xfId="12" applyNumberFormat="1" applyFont="1" applyFill="1" applyBorder="1"/>
    <xf numFmtId="0" fontId="17" fillId="0" borderId="27" xfId="12" applyFont="1" applyBorder="1"/>
    <xf numFmtId="0" fontId="17" fillId="0" borderId="27" xfId="12" applyFont="1" applyBorder="1" applyAlignment="1">
      <alignment horizontal="right" indent="1"/>
    </xf>
    <xf numFmtId="0" fontId="39" fillId="5" borderId="27" xfId="12" applyFont="1" applyFill="1" applyBorder="1" applyAlignment="1">
      <alignment horizontal="center"/>
    </xf>
    <xf numFmtId="0" fontId="17" fillId="0" borderId="27" xfId="12" applyFont="1" applyBorder="1" applyAlignment="1">
      <alignment horizontal="center"/>
    </xf>
    <xf numFmtId="0" fontId="17" fillId="0" borderId="28" xfId="12" applyFont="1" applyBorder="1" applyAlignment="1">
      <alignment horizontal="center"/>
    </xf>
    <xf numFmtId="4" fontId="17" fillId="0" borderId="27" xfId="12" applyNumberFormat="1" applyFont="1" applyBorder="1"/>
    <xf numFmtId="4" fontId="17" fillId="2" borderId="27" xfId="12" applyNumberFormat="1" applyFont="1" applyFill="1" applyBorder="1"/>
    <xf numFmtId="4" fontId="17" fillId="0" borderId="13" xfId="12" applyNumberFormat="1" applyFont="1" applyBorder="1"/>
    <xf numFmtId="0" fontId="39" fillId="5" borderId="4" xfId="12" applyFont="1" applyFill="1" applyBorder="1" applyAlignment="1">
      <alignment horizontal="center"/>
    </xf>
    <xf numFmtId="0" fontId="17" fillId="0" borderId="19" xfId="12" applyFont="1" applyBorder="1"/>
    <xf numFmtId="4" fontId="6" fillId="0" borderId="0" xfId="12" applyNumberFormat="1"/>
    <xf numFmtId="0" fontId="16" fillId="0" borderId="0" xfId="12" applyFont="1" applyAlignment="1">
      <alignment horizontal="center" vertical="center"/>
    </xf>
    <xf numFmtId="3" fontId="16" fillId="0" borderId="19" xfId="12" applyNumberFormat="1" applyFont="1" applyBorder="1" applyAlignment="1">
      <alignment horizontal="center" vertical="center"/>
    </xf>
    <xf numFmtId="0" fontId="16" fillId="0" borderId="19" xfId="12" applyFont="1" applyBorder="1" applyAlignment="1">
      <alignment horizontal="center" vertical="center"/>
    </xf>
    <xf numFmtId="4" fontId="17" fillId="2" borderId="4" xfId="12" applyNumberFormat="1" applyFont="1" applyFill="1" applyBorder="1" applyAlignment="1">
      <alignment horizontal="right" indent="1"/>
    </xf>
    <xf numFmtId="4" fontId="17" fillId="2" borderId="20" xfId="12" applyNumberFormat="1" applyFont="1" applyFill="1" applyBorder="1" applyAlignment="1">
      <alignment horizontal="right" indent="1"/>
    </xf>
    <xf numFmtId="0" fontId="6" fillId="0" borderId="17" xfId="12" applyBorder="1" applyAlignment="1">
      <alignment horizontal="center"/>
    </xf>
    <xf numFmtId="0" fontId="17" fillId="0" borderId="3" xfId="12" applyFont="1" applyBorder="1"/>
    <xf numFmtId="4" fontId="17" fillId="2" borderId="3" xfId="12" applyNumberFormat="1" applyFont="1" applyFill="1" applyBorder="1" applyAlignment="1">
      <alignment horizontal="right" indent="1"/>
    </xf>
    <xf numFmtId="0" fontId="17" fillId="0" borderId="3" xfId="12" applyFont="1" applyBorder="1" applyAlignment="1">
      <alignment horizontal="right" indent="1"/>
    </xf>
    <xf numFmtId="0" fontId="17" fillId="0" borderId="17" xfId="12" applyFont="1" applyBorder="1" applyAlignment="1">
      <alignment horizontal="right" indent="1"/>
    </xf>
    <xf numFmtId="0" fontId="39" fillId="5" borderId="3" xfId="12" applyFont="1" applyFill="1" applyBorder="1" applyAlignment="1">
      <alignment horizontal="center"/>
    </xf>
    <xf numFmtId="0" fontId="17" fillId="0" borderId="3" xfId="12" applyFont="1" applyBorder="1" applyAlignment="1">
      <alignment horizontal="center"/>
    </xf>
    <xf numFmtId="0" fontId="17" fillId="0" borderId="29" xfId="12" applyFont="1" applyBorder="1" applyAlignment="1">
      <alignment horizontal="center"/>
    </xf>
    <xf numFmtId="4" fontId="17" fillId="0" borderId="17" xfId="12" applyNumberFormat="1" applyFont="1" applyBorder="1"/>
    <xf numFmtId="4" fontId="17" fillId="2" borderId="17" xfId="12" applyNumberFormat="1" applyFont="1" applyFill="1" applyBorder="1"/>
    <xf numFmtId="0" fontId="6" fillId="0" borderId="19" xfId="12" applyBorder="1" applyAlignment="1">
      <alignment horizontal="center" vertical="center"/>
    </xf>
    <xf numFmtId="4" fontId="17" fillId="2" borderId="19" xfId="12" applyNumberFormat="1" applyFont="1" applyFill="1" applyBorder="1" applyAlignment="1">
      <alignment horizontal="right" vertical="center" indent="1"/>
    </xf>
    <xf numFmtId="4" fontId="17" fillId="0" borderId="19" xfId="12" applyNumberFormat="1" applyFont="1" applyBorder="1"/>
    <xf numFmtId="4" fontId="17" fillId="2" borderId="19" xfId="12" applyNumberFormat="1" applyFont="1" applyFill="1" applyBorder="1"/>
    <xf numFmtId="4" fontId="17" fillId="2" borderId="19" xfId="12" applyNumberFormat="1" applyFont="1" applyFill="1" applyBorder="1" applyAlignment="1">
      <alignment horizontal="right" indent="1"/>
    </xf>
    <xf numFmtId="0" fontId="6" fillId="0" borderId="13" xfId="12" applyBorder="1" applyAlignment="1">
      <alignment horizontal="center"/>
    </xf>
    <xf numFmtId="4" fontId="17" fillId="2" borderId="13" xfId="12" applyNumberFormat="1" applyFont="1" applyFill="1" applyBorder="1" applyAlignment="1">
      <alignment horizontal="right" indent="1"/>
    </xf>
    <xf numFmtId="4" fontId="17" fillId="2" borderId="13" xfId="12" applyNumberFormat="1" applyFont="1" applyFill="1" applyBorder="1"/>
    <xf numFmtId="0" fontId="6" fillId="0" borderId="20" xfId="12" applyBorder="1" applyAlignment="1">
      <alignment horizontal="center" vertical="center"/>
    </xf>
    <xf numFmtId="3" fontId="27" fillId="0" borderId="20" xfId="12" applyNumberFormat="1" applyFont="1" applyBorder="1" applyAlignment="1">
      <alignment horizontal="right" vertical="center" indent="1"/>
    </xf>
    <xf numFmtId="3" fontId="27" fillId="0" borderId="20" xfId="12" applyNumberFormat="1" applyFont="1" applyBorder="1" applyAlignment="1">
      <alignment horizontal="center" vertical="center"/>
    </xf>
    <xf numFmtId="1" fontId="27" fillId="0" borderId="20" xfId="12" applyNumberFormat="1" applyFont="1" applyBorder="1" applyAlignment="1">
      <alignment horizontal="center" vertical="center"/>
    </xf>
    <xf numFmtId="1" fontId="27" fillId="0" borderId="32" xfId="12" applyNumberFormat="1" applyFont="1" applyBorder="1" applyAlignment="1">
      <alignment horizontal="center" vertical="center"/>
    </xf>
    <xf numFmtId="0" fontId="40" fillId="0" borderId="21" xfId="12" applyFont="1" applyBorder="1" applyAlignment="1">
      <alignment horizontal="center" vertical="center" wrapText="1"/>
    </xf>
    <xf numFmtId="4" fontId="17" fillId="0" borderId="24" xfId="12" applyNumberFormat="1" applyFont="1" applyBorder="1" applyAlignment="1">
      <alignment horizontal="right"/>
    </xf>
    <xf numFmtId="0" fontId="17" fillId="0" borderId="32" xfId="12" applyFont="1" applyBorder="1" applyAlignment="1">
      <alignment horizontal="center"/>
    </xf>
    <xf numFmtId="4" fontId="17" fillId="0" borderId="4" xfId="12" applyNumberFormat="1" applyFont="1" applyBorder="1" applyAlignment="1">
      <alignment horizontal="right"/>
    </xf>
    <xf numFmtId="4" fontId="17" fillId="2" borderId="4" xfId="12" applyNumberFormat="1" applyFont="1" applyFill="1" applyBorder="1" applyAlignment="1">
      <alignment horizontal="right"/>
    </xf>
    <xf numFmtId="0" fontId="17" fillId="2" borderId="17" xfId="12" applyFont="1" applyFill="1" applyBorder="1"/>
    <xf numFmtId="0" fontId="17" fillId="0" borderId="17" xfId="12" applyFont="1" applyBorder="1"/>
    <xf numFmtId="0" fontId="17" fillId="0" borderId="17" xfId="12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4" fontId="17" fillId="0" borderId="13" xfId="12" applyNumberFormat="1" applyFont="1" applyBorder="1" applyAlignment="1">
      <alignment horizontal="right"/>
    </xf>
    <xf numFmtId="0" fontId="17" fillId="2" borderId="19" xfId="12" applyFont="1" applyFill="1" applyBorder="1"/>
    <xf numFmtId="4" fontId="17" fillId="0" borderId="19" xfId="12" applyNumberFormat="1" applyFont="1" applyBorder="1" applyAlignment="1">
      <alignment horizontal="right"/>
    </xf>
    <xf numFmtId="4" fontId="17" fillId="0" borderId="17" xfId="12" applyNumberFormat="1" applyFont="1" applyBorder="1" applyAlignment="1">
      <alignment horizontal="right"/>
    </xf>
    <xf numFmtId="3" fontId="6" fillId="0" borderId="0" xfId="12" applyNumberFormat="1"/>
    <xf numFmtId="0" fontId="19" fillId="0" borderId="34" xfId="9" applyBorder="1" applyAlignment="1">
      <alignment vertical="top" wrapText="1" indent="4"/>
    </xf>
    <xf numFmtId="0" fontId="19" fillId="0" borderId="34" xfId="9" applyBorder="1" applyAlignment="1">
      <alignment vertical="top"/>
    </xf>
    <xf numFmtId="4" fontId="19" fillId="0" borderId="34" xfId="9" applyNumberFormat="1" applyBorder="1" applyAlignment="1">
      <alignment horizontal="right" vertical="top"/>
    </xf>
    <xf numFmtId="0" fontId="19" fillId="6" borderId="34" xfId="9" applyFill="1" applyBorder="1" applyAlignment="1">
      <alignment vertical="top" wrapText="1" indent="2"/>
    </xf>
    <xf numFmtId="4" fontId="19" fillId="6" borderId="34" xfId="9" applyNumberFormat="1" applyFill="1" applyBorder="1" applyAlignment="1">
      <alignment horizontal="right" vertical="top"/>
    </xf>
    <xf numFmtId="2" fontId="19" fillId="0" borderId="34" xfId="9" applyNumberFormat="1" applyBorder="1" applyAlignment="1">
      <alignment horizontal="right" vertical="top"/>
    </xf>
    <xf numFmtId="3" fontId="16" fillId="0" borderId="35" xfId="12" applyNumberFormat="1" applyFont="1" applyBorder="1" applyAlignment="1">
      <alignment horizontal="center" vertical="center"/>
    </xf>
    <xf numFmtId="0" fontId="16" fillId="0" borderId="35" xfId="12" applyFont="1" applyBorder="1" applyAlignment="1">
      <alignment horizontal="center" vertical="center"/>
    </xf>
    <xf numFmtId="164" fontId="16" fillId="0" borderId="0" xfId="12" applyNumberFormat="1" applyFont="1"/>
    <xf numFmtId="4" fontId="17" fillId="2" borderId="35" xfId="12" applyNumberFormat="1" applyFont="1" applyFill="1" applyBorder="1"/>
    <xf numFmtId="4" fontId="6" fillId="0" borderId="37" xfId="12" applyNumberFormat="1" applyBorder="1" applyAlignment="1">
      <alignment horizontal="right" vertical="top"/>
    </xf>
    <xf numFmtId="2" fontId="19" fillId="0" borderId="34" xfId="9" applyNumberFormat="1" applyBorder="1" applyAlignment="1">
      <alignment vertical="top"/>
    </xf>
    <xf numFmtId="3" fontId="16" fillId="0" borderId="0" xfId="12" applyNumberFormat="1" applyFont="1" applyAlignment="1">
      <alignment horizontal="center" vertical="center"/>
    </xf>
    <xf numFmtId="4" fontId="19" fillId="0" borderId="0" xfId="9" applyNumberFormat="1" applyAlignment="1">
      <alignment horizontal="right" vertical="top"/>
    </xf>
    <xf numFmtId="4" fontId="19" fillId="6" borderId="0" xfId="9" applyNumberFormat="1" applyFill="1" applyAlignment="1">
      <alignment horizontal="right" vertical="top"/>
    </xf>
    <xf numFmtId="0" fontId="16" fillId="0" borderId="0" xfId="0" applyFont="1" applyAlignment="1">
      <alignment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9" xfId="0" applyBorder="1" applyAlignment="1">
      <alignment horizontal="left"/>
    </xf>
    <xf numFmtId="0" fontId="16" fillId="0" borderId="36" xfId="12" applyFont="1" applyBorder="1" applyAlignment="1">
      <alignment horizontal="center" vertical="center" wrapText="1"/>
    </xf>
    <xf numFmtId="0" fontId="17" fillId="0" borderId="31" xfId="12" applyFont="1" applyBorder="1" applyAlignment="1">
      <alignment horizontal="center"/>
    </xf>
    <xf numFmtId="0" fontId="17" fillId="0" borderId="30" xfId="12" applyFont="1" applyBorder="1" applyAlignment="1">
      <alignment horizontal="center"/>
    </xf>
    <xf numFmtId="0" fontId="17" fillId="0" borderId="36" xfId="12" applyFont="1" applyBorder="1" applyAlignment="1">
      <alignment horizontal="center"/>
    </xf>
    <xf numFmtId="1" fontId="27" fillId="0" borderId="38" xfId="12" applyNumberFormat="1" applyFont="1" applyBorder="1" applyAlignment="1">
      <alignment horizontal="center" vertical="center"/>
    </xf>
    <xf numFmtId="0" fontId="17" fillId="0" borderId="39" xfId="12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1" fontId="27" fillId="0" borderId="12" xfId="12" applyNumberFormat="1" applyFont="1" applyBorder="1" applyAlignment="1">
      <alignment horizontal="center" vertical="center"/>
    </xf>
    <xf numFmtId="0" fontId="40" fillId="0" borderId="36" xfId="12" applyFont="1" applyBorder="1" applyAlignment="1">
      <alignment horizontal="center" vertical="center" wrapText="1"/>
    </xf>
    <xf numFmtId="0" fontId="17" fillId="0" borderId="12" xfId="12" applyFont="1" applyBorder="1" applyAlignment="1">
      <alignment horizontal="center"/>
    </xf>
    <xf numFmtId="0" fontId="17" fillId="0" borderId="0" xfId="12" applyFont="1" applyAlignment="1">
      <alignment horizontal="center"/>
    </xf>
    <xf numFmtId="0" fontId="0" fillId="0" borderId="45" xfId="0" applyBorder="1"/>
    <xf numFmtId="0" fontId="17" fillId="0" borderId="45" xfId="12" applyFont="1" applyBorder="1" applyAlignment="1">
      <alignment horizontal="right" indent="1"/>
    </xf>
    <xf numFmtId="0" fontId="17" fillId="0" borderId="45" xfId="12" applyFont="1" applyBorder="1"/>
    <xf numFmtId="4" fontId="17" fillId="0" borderId="45" xfId="12" applyNumberFormat="1" applyFont="1" applyBorder="1"/>
    <xf numFmtId="0" fontId="6" fillId="0" borderId="45" xfId="12" applyBorder="1"/>
    <xf numFmtId="0" fontId="17" fillId="0" borderId="45" xfId="0" applyFont="1" applyBorder="1"/>
    <xf numFmtId="4" fontId="17" fillId="0" borderId="45" xfId="12" applyNumberFormat="1" applyFont="1" applyBorder="1" applyAlignment="1">
      <alignment horizontal="right"/>
    </xf>
    <xf numFmtId="0" fontId="17" fillId="0" borderId="45" xfId="12" applyFont="1" applyBorder="1" applyAlignment="1">
      <alignment horizontal="center"/>
    </xf>
    <xf numFmtId="0" fontId="6" fillId="0" borderId="45" xfId="12" applyBorder="1" applyAlignment="1">
      <alignment vertical="center"/>
    </xf>
    <xf numFmtId="0" fontId="6" fillId="0" borderId="4" xfId="12" applyBorder="1" applyAlignment="1">
      <alignment vertical="center"/>
    </xf>
    <xf numFmtId="4" fontId="16" fillId="0" borderId="22" xfId="12" applyNumberFormat="1" applyFont="1" applyBorder="1"/>
    <xf numFmtId="4" fontId="22" fillId="0" borderId="22" xfId="12" applyNumberFormat="1" applyFont="1" applyBorder="1"/>
    <xf numFmtId="4" fontId="16" fillId="0" borderId="32" xfId="12" applyNumberFormat="1" applyFont="1" applyBorder="1" applyAlignment="1">
      <alignment vertical="center"/>
    </xf>
    <xf numFmtId="4" fontId="27" fillId="0" borderId="22" xfId="12" applyNumberFormat="1" applyFont="1" applyBorder="1"/>
    <xf numFmtId="4" fontId="27" fillId="0" borderId="32" xfId="12" applyNumberFormat="1" applyFont="1" applyBorder="1"/>
    <xf numFmtId="4" fontId="27" fillId="0" borderId="28" xfId="12" applyNumberFormat="1" applyFont="1" applyBorder="1"/>
    <xf numFmtId="4" fontId="27" fillId="0" borderId="33" xfId="12" applyNumberFormat="1" applyFont="1" applyBorder="1"/>
    <xf numFmtId="0" fontId="6" fillId="0" borderId="17" xfId="12" applyBorder="1" applyAlignment="1">
      <alignment vertical="center"/>
    </xf>
    <xf numFmtId="0" fontId="6" fillId="0" borderId="17" xfId="12" applyBorder="1"/>
    <xf numFmtId="0" fontId="39" fillId="5" borderId="45" xfId="12" applyFont="1" applyFill="1" applyBorder="1" applyAlignment="1">
      <alignment horizontal="center"/>
    </xf>
    <xf numFmtId="3" fontId="4" fillId="0" borderId="0" xfId="12" applyNumberFormat="1" applyFont="1"/>
    <xf numFmtId="4" fontId="17" fillId="0" borderId="35" xfId="12" applyNumberFormat="1" applyFont="1" applyBorder="1"/>
    <xf numFmtId="4" fontId="0" fillId="0" borderId="45" xfId="0" applyNumberFormat="1" applyBorder="1"/>
    <xf numFmtId="0" fontId="6" fillId="0" borderId="45" xfId="12" applyBorder="1" applyAlignment="1">
      <alignment horizontal="center" vertical="center"/>
    </xf>
    <xf numFmtId="1" fontId="16" fillId="0" borderId="45" xfId="12" applyNumberFormat="1" applyFont="1" applyBorder="1" applyAlignment="1">
      <alignment vertical="center"/>
    </xf>
    <xf numFmtId="4" fontId="16" fillId="0" borderId="45" xfId="12" applyNumberFormat="1" applyFont="1" applyBorder="1" applyAlignment="1">
      <alignment vertical="center"/>
    </xf>
    <xf numFmtId="3" fontId="27" fillId="0" borderId="45" xfId="12" applyNumberFormat="1" applyFont="1" applyBorder="1" applyAlignment="1">
      <alignment horizontal="right" vertical="center" indent="1"/>
    </xf>
    <xf numFmtId="3" fontId="27" fillId="0" borderId="45" xfId="12" applyNumberFormat="1" applyFont="1" applyBorder="1" applyAlignment="1">
      <alignment horizontal="center" vertical="center"/>
    </xf>
    <xf numFmtId="1" fontId="27" fillId="0" borderId="45" xfId="12" applyNumberFormat="1" applyFont="1" applyBorder="1" applyAlignment="1">
      <alignment horizontal="center" vertical="center"/>
    </xf>
    <xf numFmtId="0" fontId="6" fillId="0" borderId="47" xfId="12" applyBorder="1"/>
    <xf numFmtId="0" fontId="6" fillId="0" borderId="47" xfId="12" applyBorder="1" applyAlignment="1">
      <alignment vertical="center"/>
    </xf>
    <xf numFmtId="4" fontId="19" fillId="0" borderId="48" xfId="9" applyNumberFormat="1" applyBorder="1" applyAlignment="1">
      <alignment horizontal="right" vertical="top"/>
    </xf>
    <xf numFmtId="3" fontId="0" fillId="0" borderId="48" xfId="0" applyNumberFormat="1" applyBorder="1"/>
    <xf numFmtId="0" fontId="21" fillId="0" borderId="4" xfId="0" applyFont="1" applyBorder="1" applyAlignment="1">
      <alignment vertical="center"/>
    </xf>
    <xf numFmtId="3" fontId="21" fillId="0" borderId="0" xfId="0" applyNumberFormat="1" applyFont="1"/>
    <xf numFmtId="0" fontId="17" fillId="0" borderId="48" xfId="0" applyFont="1" applyBorder="1"/>
    <xf numFmtId="4" fontId="6" fillId="0" borderId="0" xfId="12" applyNumberFormat="1" applyAlignment="1">
      <alignment horizontal="right" indent="1"/>
    </xf>
    <xf numFmtId="0" fontId="0" fillId="0" borderId="50" xfId="0" applyBorder="1"/>
    <xf numFmtId="14" fontId="43" fillId="0" borderId="26" xfId="0" applyNumberFormat="1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14" fontId="44" fillId="0" borderId="48" xfId="0" applyNumberFormat="1" applyFont="1" applyBorder="1" applyAlignment="1">
      <alignment horizontal="center" vertical="center" wrapText="1"/>
    </xf>
    <xf numFmtId="0" fontId="0" fillId="0" borderId="48" xfId="0" applyBorder="1"/>
    <xf numFmtId="14" fontId="44" fillId="0" borderId="50" xfId="0" applyNumberFormat="1" applyFont="1" applyBorder="1" applyAlignment="1">
      <alignment horizontal="center" vertical="center" wrapText="1"/>
    </xf>
    <xf numFmtId="0" fontId="0" fillId="0" borderId="24" xfId="0" applyBorder="1"/>
    <xf numFmtId="0" fontId="0" fillId="0" borderId="57" xfId="0" applyBorder="1"/>
    <xf numFmtId="3" fontId="21" fillId="0" borderId="4" xfId="0" applyNumberFormat="1" applyFont="1" applyBorder="1" applyAlignment="1">
      <alignment vertical="center"/>
    </xf>
    <xf numFmtId="4" fontId="18" fillId="0" borderId="4" xfId="0" applyNumberFormat="1" applyFont="1" applyBorder="1" applyAlignment="1">
      <alignment horizontal="center"/>
    </xf>
    <xf numFmtId="4" fontId="21" fillId="0" borderId="4" xfId="0" applyNumberFormat="1" applyFont="1" applyBorder="1" applyAlignment="1">
      <alignment horizontal="right" vertical="center"/>
    </xf>
    <xf numFmtId="3" fontId="21" fillId="0" borderId="4" xfId="0" applyNumberFormat="1" applyFont="1" applyBorder="1" applyAlignment="1">
      <alignment horizontal="right" vertical="center"/>
    </xf>
    <xf numFmtId="4" fontId="21" fillId="0" borderId="48" xfId="0" applyNumberFormat="1" applyFont="1" applyBorder="1"/>
    <xf numFmtId="2" fontId="16" fillId="0" borderId="52" xfId="12" applyNumberFormat="1" applyFont="1" applyBorder="1" applyAlignment="1">
      <alignment horizontal="center" vertical="center" wrapText="1"/>
    </xf>
    <xf numFmtId="3" fontId="17" fillId="0" borderId="61" xfId="12" applyNumberFormat="1" applyFont="1" applyBorder="1"/>
    <xf numFmtId="3" fontId="17" fillId="0" borderId="62" xfId="12" applyNumberFormat="1" applyFont="1" applyBorder="1"/>
    <xf numFmtId="3" fontId="17" fillId="0" borderId="52" xfId="12" applyNumberFormat="1" applyFont="1" applyBorder="1"/>
    <xf numFmtId="3" fontId="27" fillId="0" borderId="63" xfId="12" applyNumberFormat="1" applyFont="1" applyBorder="1" applyAlignment="1">
      <alignment vertical="center"/>
    </xf>
    <xf numFmtId="3" fontId="17" fillId="0" borderId="51" xfId="12" applyNumberFormat="1" applyFont="1" applyBorder="1"/>
    <xf numFmtId="3" fontId="16" fillId="0" borderId="58" xfId="12" applyNumberFormat="1" applyFont="1" applyBorder="1" applyAlignment="1">
      <alignment horizontal="center" vertical="center"/>
    </xf>
    <xf numFmtId="3" fontId="17" fillId="0" borderId="64" xfId="12" applyNumberFormat="1" applyFont="1" applyBorder="1"/>
    <xf numFmtId="3" fontId="27" fillId="0" borderId="65" xfId="12" applyNumberFormat="1" applyFont="1" applyBorder="1" applyAlignment="1">
      <alignment vertical="center"/>
    </xf>
    <xf numFmtId="3" fontId="17" fillId="0" borderId="65" xfId="12" applyNumberFormat="1" applyFont="1" applyBorder="1"/>
    <xf numFmtId="3" fontId="17" fillId="2" borderId="52" xfId="12" applyNumberFormat="1" applyFont="1" applyFill="1" applyBorder="1"/>
    <xf numFmtId="3" fontId="17" fillId="0" borderId="28" xfId="12" applyNumberFormat="1" applyFont="1" applyBorder="1" applyAlignment="1">
      <alignment horizontal="right" indent="1"/>
    </xf>
    <xf numFmtId="3" fontId="27" fillId="0" borderId="58" xfId="12" applyNumberFormat="1" applyFont="1" applyBorder="1" applyAlignment="1">
      <alignment horizontal="right" vertical="center" indent="1"/>
    </xf>
    <xf numFmtId="0" fontId="16" fillId="0" borderId="54" xfId="12" applyFont="1" applyBorder="1" applyAlignment="1">
      <alignment horizontal="center" vertical="center" wrapText="1"/>
    </xf>
    <xf numFmtId="3" fontId="16" fillId="0" borderId="55" xfId="12" applyNumberFormat="1" applyFont="1" applyBorder="1"/>
    <xf numFmtId="3" fontId="22" fillId="0" borderId="55" xfId="12" applyNumberFormat="1" applyFont="1" applyBorder="1"/>
    <xf numFmtId="3" fontId="16" fillId="0" borderId="60" xfId="12" applyNumberFormat="1" applyFont="1" applyBorder="1"/>
    <xf numFmtId="3" fontId="22" fillId="0" borderId="60" xfId="12" applyNumberFormat="1" applyFont="1" applyBorder="1"/>
    <xf numFmtId="3" fontId="22" fillId="0" borderId="54" xfId="12" applyNumberFormat="1" applyFont="1" applyBorder="1"/>
    <xf numFmtId="3" fontId="16" fillId="0" borderId="66" xfId="12" applyNumberFormat="1" applyFont="1" applyBorder="1" applyAlignment="1">
      <alignment vertical="center"/>
    </xf>
    <xf numFmtId="3" fontId="27" fillId="0" borderId="55" xfId="12" applyNumberFormat="1" applyFont="1" applyBorder="1"/>
    <xf numFmtId="3" fontId="27" fillId="0" borderId="66" xfId="12" applyNumberFormat="1" applyFont="1" applyBorder="1"/>
    <xf numFmtId="3" fontId="27" fillId="0" borderId="53" xfId="12" applyNumberFormat="1" applyFont="1" applyBorder="1"/>
    <xf numFmtId="3" fontId="27" fillId="0" borderId="54" xfId="12" applyNumberFormat="1" applyFont="1" applyBorder="1"/>
    <xf numFmtId="3" fontId="27" fillId="0" borderId="60" xfId="12" applyNumberFormat="1" applyFont="1" applyBorder="1"/>
    <xf numFmtId="3" fontId="27" fillId="0" borderId="59" xfId="12" applyNumberFormat="1" applyFont="1" applyBorder="1"/>
    <xf numFmtId="3" fontId="16" fillId="0" borderId="60" xfId="12" applyNumberFormat="1" applyFont="1" applyBorder="1" applyAlignment="1">
      <alignment vertical="center"/>
    </xf>
    <xf numFmtId="167" fontId="21" fillId="2" borderId="60" xfId="12" applyNumberFormat="1" applyFont="1" applyFill="1" applyBorder="1"/>
    <xf numFmtId="0" fontId="6" fillId="0" borderId="67" xfId="12" applyBorder="1"/>
    <xf numFmtId="165" fontId="6" fillId="0" borderId="17" xfId="12" applyNumberFormat="1" applyBorder="1"/>
    <xf numFmtId="0" fontId="6" fillId="0" borderId="17" xfId="12" applyBorder="1" applyAlignment="1">
      <alignment horizontal="center" vertical="center" wrapText="1"/>
    </xf>
    <xf numFmtId="0" fontId="16" fillId="0" borderId="17" xfId="12" applyFont="1" applyBorder="1" applyAlignment="1">
      <alignment horizontal="center" vertical="center"/>
    </xf>
    <xf numFmtId="4" fontId="17" fillId="0" borderId="27" xfId="18" applyNumberFormat="1" applyFont="1" applyBorder="1"/>
    <xf numFmtId="0" fontId="21" fillId="0" borderId="27" xfId="12" applyFont="1" applyBorder="1"/>
    <xf numFmtId="0" fontId="21" fillId="0" borderId="27" xfId="0" applyFont="1" applyBorder="1"/>
    <xf numFmtId="4" fontId="21" fillId="0" borderId="27" xfId="12" applyNumberFormat="1" applyFont="1" applyBorder="1" applyAlignment="1">
      <alignment horizontal="right"/>
    </xf>
    <xf numFmtId="0" fontId="21" fillId="0" borderId="27" xfId="12" applyFont="1" applyBorder="1" applyAlignment="1">
      <alignment horizontal="right" indent="1"/>
    </xf>
    <xf numFmtId="0" fontId="21" fillId="0" borderId="4" xfId="12" applyFont="1" applyBorder="1"/>
    <xf numFmtId="0" fontId="21" fillId="0" borderId="4" xfId="0" applyFont="1" applyBorder="1"/>
    <xf numFmtId="4" fontId="21" fillId="0" borderId="4" xfId="12" applyNumberFormat="1" applyFont="1" applyBorder="1" applyAlignment="1">
      <alignment horizontal="right"/>
    </xf>
    <xf numFmtId="0" fontId="21" fillId="0" borderId="4" xfId="12" applyFont="1" applyBorder="1" applyAlignment="1">
      <alignment horizontal="right" indent="1"/>
    </xf>
    <xf numFmtId="0" fontId="16" fillId="0" borderId="69" xfId="12" applyFont="1" applyBorder="1" applyAlignment="1">
      <alignment horizontal="center" vertical="center" wrapText="1"/>
    </xf>
    <xf numFmtId="0" fontId="16" fillId="0" borderId="69" xfId="12" applyFont="1" applyBorder="1" applyAlignment="1">
      <alignment horizontal="right" vertical="center" wrapText="1" indent="1"/>
    </xf>
    <xf numFmtId="0" fontId="40" fillId="0" borderId="69" xfId="12" applyFont="1" applyBorder="1" applyAlignment="1">
      <alignment horizontal="center" vertical="center" wrapText="1"/>
    </xf>
    <xf numFmtId="2" fontId="16" fillId="0" borderId="69" xfId="12" applyNumberFormat="1" applyFont="1" applyBorder="1" applyAlignment="1">
      <alignment horizontal="center" vertical="center" wrapText="1"/>
    </xf>
    <xf numFmtId="0" fontId="16" fillId="0" borderId="70" xfId="12" applyFont="1" applyBorder="1" applyAlignment="1">
      <alignment horizontal="center" vertical="center" wrapText="1"/>
    </xf>
    <xf numFmtId="0" fontId="6" fillId="0" borderId="69" xfId="12" applyBorder="1" applyAlignment="1">
      <alignment horizontal="center" vertical="center" wrapText="1"/>
    </xf>
    <xf numFmtId="3" fontId="17" fillId="0" borderId="4" xfId="12" applyNumberFormat="1" applyFont="1" applyBorder="1" applyAlignment="1">
      <alignment horizontal="right" indent="1"/>
    </xf>
    <xf numFmtId="3" fontId="17" fillId="0" borderId="27" xfId="12" applyNumberFormat="1" applyFont="1" applyBorder="1" applyAlignment="1">
      <alignment horizontal="right" indent="1"/>
    </xf>
    <xf numFmtId="0" fontId="6" fillId="0" borderId="27" xfId="12" applyBorder="1"/>
    <xf numFmtId="4" fontId="19" fillId="2" borderId="49" xfId="9" applyNumberFormat="1" applyFill="1" applyBorder="1" applyAlignment="1">
      <alignment horizontal="right" vertical="top"/>
    </xf>
    <xf numFmtId="2" fontId="19" fillId="2" borderId="49" xfId="9" applyNumberFormat="1" applyFill="1" applyBorder="1" applyAlignment="1">
      <alignment vertical="top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wrapText="1"/>
    </xf>
    <xf numFmtId="3" fontId="18" fillId="0" borderId="4" xfId="0" applyNumberFormat="1" applyFont="1" applyBorder="1" applyAlignment="1">
      <alignment horizontal="center"/>
    </xf>
    <xf numFmtId="0" fontId="42" fillId="0" borderId="8" xfId="0" applyFont="1" applyBorder="1" applyAlignment="1">
      <alignment horizontal="center" vertical="center" wrapText="1"/>
    </xf>
    <xf numFmtId="0" fontId="6" fillId="0" borderId="4" xfId="12" applyBorder="1"/>
    <xf numFmtId="0" fontId="32" fillId="0" borderId="0" xfId="12" applyFont="1" applyAlignment="1">
      <alignment horizontal="center"/>
    </xf>
    <xf numFmtId="0" fontId="21" fillId="0" borderId="72" xfId="12" applyFont="1" applyBorder="1"/>
    <xf numFmtId="0" fontId="21" fillId="0" borderId="72" xfId="0" applyFont="1" applyBorder="1"/>
    <xf numFmtId="4" fontId="21" fillId="0" borderId="72" xfId="12" applyNumberFormat="1" applyFont="1" applyBorder="1" applyAlignment="1">
      <alignment horizontal="right"/>
    </xf>
    <xf numFmtId="0" fontId="21" fillId="0" borderId="72" xfId="12" applyFont="1" applyBorder="1" applyAlignment="1">
      <alignment horizontal="right" indent="1"/>
    </xf>
    <xf numFmtId="0" fontId="17" fillId="0" borderId="72" xfId="12" applyFont="1" applyBorder="1" applyAlignment="1">
      <alignment horizontal="right" indent="1"/>
    </xf>
    <xf numFmtId="0" fontId="17" fillId="0" borderId="73" xfId="12" applyFont="1" applyBorder="1" applyAlignment="1">
      <alignment horizontal="right" indent="1"/>
    </xf>
    <xf numFmtId="0" fontId="39" fillId="5" borderId="72" xfId="12" applyFont="1" applyFill="1" applyBorder="1" applyAlignment="1">
      <alignment horizontal="center"/>
    </xf>
    <xf numFmtId="0" fontId="17" fillId="0" borderId="72" xfId="12" applyFont="1" applyBorder="1" applyAlignment="1">
      <alignment horizontal="center"/>
    </xf>
    <xf numFmtId="3" fontId="17" fillId="0" borderId="72" xfId="12" applyNumberFormat="1" applyFont="1" applyBorder="1" applyAlignment="1">
      <alignment horizontal="right" indent="1"/>
    </xf>
    <xf numFmtId="0" fontId="6" fillId="0" borderId="72" xfId="12" applyBorder="1"/>
    <xf numFmtId="3" fontId="27" fillId="0" borderId="73" xfId="12" applyNumberFormat="1" applyFont="1" applyBorder="1"/>
    <xf numFmtId="4" fontId="17" fillId="0" borderId="72" xfId="12" applyNumberFormat="1" applyFont="1" applyBorder="1"/>
    <xf numFmtId="4" fontId="17" fillId="0" borderId="72" xfId="18" applyNumberFormat="1" applyFont="1" applyBorder="1"/>
    <xf numFmtId="0" fontId="6" fillId="0" borderId="74" xfId="12" applyBorder="1"/>
    <xf numFmtId="0" fontId="6" fillId="0" borderId="73" xfId="12" applyBorder="1"/>
    <xf numFmtId="0" fontId="6" fillId="0" borderId="22" xfId="12" applyBorder="1"/>
    <xf numFmtId="0" fontId="6" fillId="0" borderId="55" xfId="12" applyBorder="1"/>
    <xf numFmtId="0" fontId="21" fillId="0" borderId="73" xfId="12" applyFont="1" applyBorder="1"/>
    <xf numFmtId="0" fontId="21" fillId="0" borderId="73" xfId="0" applyFont="1" applyBorder="1"/>
    <xf numFmtId="4" fontId="21" fillId="0" borderId="73" xfId="12" applyNumberFormat="1" applyFont="1" applyBorder="1" applyAlignment="1">
      <alignment horizontal="right"/>
    </xf>
    <xf numFmtId="0" fontId="21" fillId="0" borderId="73" xfId="12" applyFont="1" applyBorder="1" applyAlignment="1">
      <alignment horizontal="right" indent="1"/>
    </xf>
    <xf numFmtId="0" fontId="39" fillId="5" borderId="73" xfId="12" applyFont="1" applyFill="1" applyBorder="1" applyAlignment="1">
      <alignment horizontal="center"/>
    </xf>
    <xf numFmtId="0" fontId="17" fillId="0" borderId="73" xfId="12" applyFont="1" applyBorder="1" applyAlignment="1">
      <alignment horizontal="center"/>
    </xf>
    <xf numFmtId="3" fontId="17" fillId="0" borderId="73" xfId="12" applyNumberFormat="1" applyFont="1" applyBorder="1" applyAlignment="1">
      <alignment horizontal="right" indent="1"/>
    </xf>
    <xf numFmtId="4" fontId="17" fillId="0" borderId="73" xfId="12" applyNumberFormat="1" applyFont="1" applyBorder="1"/>
    <xf numFmtId="4" fontId="17" fillId="0" borderId="73" xfId="18" applyNumberFormat="1" applyFont="1" applyBorder="1"/>
    <xf numFmtId="0" fontId="6" fillId="0" borderId="73" xfId="12" applyBorder="1" applyAlignment="1">
      <alignment vertical="center"/>
    </xf>
    <xf numFmtId="0" fontId="21" fillId="0" borderId="73" xfId="12" applyFont="1" applyBorder="1" applyAlignment="1">
      <alignment vertical="center"/>
    </xf>
    <xf numFmtId="0" fontId="21" fillId="0" borderId="73" xfId="12" applyFont="1" applyBorder="1" applyAlignment="1">
      <alignment horizontal="center"/>
    </xf>
    <xf numFmtId="4" fontId="21" fillId="0" borderId="73" xfId="12" applyNumberFormat="1" applyFont="1" applyBorder="1"/>
    <xf numFmtId="0" fontId="0" fillId="0" borderId="73" xfId="0" applyBorder="1"/>
    <xf numFmtId="3" fontId="21" fillId="0" borderId="73" xfId="12" applyNumberFormat="1" applyFont="1" applyBorder="1" applyAlignment="1">
      <alignment horizontal="right" indent="1"/>
    </xf>
    <xf numFmtId="3" fontId="42" fillId="0" borderId="73" xfId="12" applyNumberFormat="1" applyFont="1" applyBorder="1"/>
    <xf numFmtId="4" fontId="21" fillId="0" borderId="73" xfId="18" applyNumberFormat="1" applyFont="1" applyBorder="1"/>
    <xf numFmtId="0" fontId="17" fillId="0" borderId="73" xfId="12" applyFont="1" applyBorder="1" applyAlignment="1">
      <alignment vertical="center"/>
    </xf>
    <xf numFmtId="0" fontId="17" fillId="0" borderId="73" xfId="12" applyFont="1" applyBorder="1"/>
    <xf numFmtId="0" fontId="6" fillId="0" borderId="56" xfId="12" applyBorder="1"/>
    <xf numFmtId="0" fontId="21" fillId="0" borderId="24" xfId="12" applyFont="1" applyBorder="1"/>
    <xf numFmtId="0" fontId="21" fillId="0" borderId="24" xfId="0" applyFont="1" applyBorder="1"/>
    <xf numFmtId="4" fontId="21" fillId="0" borderId="24" xfId="12" applyNumberFormat="1" applyFont="1" applyBorder="1" applyAlignment="1">
      <alignment horizontal="right"/>
    </xf>
    <xf numFmtId="0" fontId="21" fillId="0" borderId="24" xfId="12" applyFont="1" applyBorder="1" applyAlignment="1">
      <alignment horizontal="right" indent="1"/>
    </xf>
    <xf numFmtId="0" fontId="17" fillId="0" borderId="24" xfId="12" applyFont="1" applyBorder="1" applyAlignment="1">
      <alignment horizontal="right" indent="1"/>
    </xf>
    <xf numFmtId="0" fontId="39" fillId="5" borderId="24" xfId="12" applyFont="1" applyFill="1" applyBorder="1" applyAlignment="1">
      <alignment horizontal="center"/>
    </xf>
    <xf numFmtId="0" fontId="17" fillId="0" borderId="24" xfId="12" applyFont="1" applyBorder="1" applyAlignment="1">
      <alignment horizontal="center"/>
    </xf>
    <xf numFmtId="3" fontId="17" fillId="0" borderId="24" xfId="12" applyNumberFormat="1" applyFont="1" applyBorder="1" applyAlignment="1">
      <alignment horizontal="right" indent="1"/>
    </xf>
    <xf numFmtId="0" fontId="6" fillId="0" borderId="24" xfId="12" applyBorder="1"/>
    <xf numFmtId="3" fontId="27" fillId="0" borderId="24" xfId="12" applyNumberFormat="1" applyFont="1" applyBorder="1"/>
    <xf numFmtId="4" fontId="17" fillId="0" borderId="24" xfId="12" applyNumberFormat="1" applyFont="1" applyBorder="1"/>
    <xf numFmtId="4" fontId="17" fillId="0" borderId="24" xfId="18" applyNumberFormat="1" applyFont="1" applyBorder="1"/>
    <xf numFmtId="0" fontId="6" fillId="0" borderId="68" xfId="12" applyBorder="1"/>
    <xf numFmtId="0" fontId="21" fillId="0" borderId="26" xfId="12" applyFont="1" applyBorder="1"/>
    <xf numFmtId="0" fontId="21" fillId="0" borderId="26" xfId="0" applyFont="1" applyBorder="1"/>
    <xf numFmtId="4" fontId="21" fillId="0" borderId="26" xfId="12" applyNumberFormat="1" applyFont="1" applyBorder="1" applyAlignment="1">
      <alignment horizontal="right"/>
    </xf>
    <xf numFmtId="0" fontId="21" fillId="0" borderId="26" xfId="12" applyFont="1" applyBorder="1" applyAlignment="1">
      <alignment horizontal="right" indent="1"/>
    </xf>
    <xf numFmtId="0" fontId="17" fillId="0" borderId="26" xfId="12" applyFont="1" applyBorder="1" applyAlignment="1">
      <alignment horizontal="right" indent="1"/>
    </xf>
    <xf numFmtId="0" fontId="39" fillId="5" borderId="26" xfId="12" applyFont="1" applyFill="1" applyBorder="1" applyAlignment="1">
      <alignment horizontal="center"/>
    </xf>
    <xf numFmtId="0" fontId="17" fillId="0" borderId="26" xfId="12" applyFont="1" applyBorder="1" applyAlignment="1">
      <alignment horizontal="center"/>
    </xf>
    <xf numFmtId="3" fontId="17" fillId="0" borderId="26" xfId="12" applyNumberFormat="1" applyFont="1" applyBorder="1" applyAlignment="1">
      <alignment horizontal="right" indent="1"/>
    </xf>
    <xf numFmtId="0" fontId="6" fillId="0" borderId="26" xfId="12" applyBorder="1"/>
    <xf numFmtId="3" fontId="27" fillId="0" borderId="26" xfId="12" applyNumberFormat="1" applyFont="1" applyBorder="1"/>
    <xf numFmtId="4" fontId="17" fillId="0" borderId="26" xfId="12" applyNumberFormat="1" applyFont="1" applyBorder="1"/>
    <xf numFmtId="4" fontId="17" fillId="0" borderId="26" xfId="18" applyNumberFormat="1" applyFont="1" applyBorder="1"/>
    <xf numFmtId="0" fontId="6" fillId="0" borderId="42" xfId="12" applyBorder="1"/>
    <xf numFmtId="3" fontId="27" fillId="0" borderId="27" xfId="12" applyNumberFormat="1" applyFont="1" applyBorder="1"/>
    <xf numFmtId="0" fontId="6" fillId="0" borderId="75" xfId="12" applyBorder="1"/>
    <xf numFmtId="0" fontId="21" fillId="0" borderId="76" xfId="12" applyFont="1" applyBorder="1"/>
    <xf numFmtId="0" fontId="21" fillId="0" borderId="76" xfId="0" applyFont="1" applyBorder="1"/>
    <xf numFmtId="4" fontId="21" fillId="0" borderId="76" xfId="12" applyNumberFormat="1" applyFont="1" applyBorder="1" applyAlignment="1">
      <alignment horizontal="right"/>
    </xf>
    <xf numFmtId="0" fontId="21" fillId="0" borderId="76" xfId="12" applyFont="1" applyBorder="1" applyAlignment="1">
      <alignment horizontal="right" indent="1"/>
    </xf>
    <xf numFmtId="0" fontId="17" fillId="0" borderId="76" xfId="12" applyFont="1" applyBorder="1" applyAlignment="1">
      <alignment horizontal="right" indent="1"/>
    </xf>
    <xf numFmtId="0" fontId="39" fillId="5" borderId="76" xfId="12" applyFont="1" applyFill="1" applyBorder="1" applyAlignment="1">
      <alignment horizontal="center"/>
    </xf>
    <xf numFmtId="0" fontId="17" fillId="0" borderId="76" xfId="12" applyFont="1" applyBorder="1" applyAlignment="1">
      <alignment horizontal="center"/>
    </xf>
    <xf numFmtId="3" fontId="17" fillId="0" borderId="76" xfId="12" applyNumberFormat="1" applyFont="1" applyBorder="1" applyAlignment="1">
      <alignment horizontal="right" indent="1"/>
    </xf>
    <xf numFmtId="0" fontId="6" fillId="0" borderId="76" xfId="12" applyBorder="1"/>
    <xf numFmtId="3" fontId="27" fillId="0" borderId="76" xfId="12" applyNumberFormat="1" applyFont="1" applyBorder="1"/>
    <xf numFmtId="4" fontId="17" fillId="0" borderId="76" xfId="12" applyNumberFormat="1" applyFont="1" applyBorder="1"/>
    <xf numFmtId="4" fontId="17" fillId="0" borderId="76" xfId="18" applyNumberFormat="1" applyFont="1" applyBorder="1"/>
    <xf numFmtId="0" fontId="6" fillId="0" borderId="77" xfId="12" applyBorder="1"/>
    <xf numFmtId="3" fontId="27" fillId="0" borderId="72" xfId="12" applyNumberFormat="1" applyFont="1" applyBorder="1"/>
    <xf numFmtId="0" fontId="6" fillId="0" borderId="24" xfId="12" applyBorder="1" applyAlignment="1">
      <alignment vertical="center"/>
    </xf>
    <xf numFmtId="0" fontId="17" fillId="2" borderId="24" xfId="12" applyFont="1" applyFill="1" applyBorder="1" applyAlignment="1">
      <alignment horizontal="right" indent="1"/>
    </xf>
    <xf numFmtId="0" fontId="21" fillId="0" borderId="24" xfId="12" applyFont="1" applyBorder="1" applyAlignment="1">
      <alignment vertical="center"/>
    </xf>
    <xf numFmtId="0" fontId="21" fillId="0" borderId="68" xfId="12" applyFont="1" applyBorder="1"/>
    <xf numFmtId="0" fontId="21" fillId="0" borderId="26" xfId="12" applyFont="1" applyBorder="1" applyAlignment="1">
      <alignment horizontal="center"/>
    </xf>
    <xf numFmtId="4" fontId="21" fillId="0" borderId="26" xfId="12" applyNumberFormat="1" applyFont="1" applyBorder="1"/>
    <xf numFmtId="4" fontId="19" fillId="0" borderId="49" xfId="9" applyNumberFormat="1" applyBorder="1" applyAlignment="1">
      <alignment horizontal="right" vertical="top"/>
    </xf>
    <xf numFmtId="2" fontId="19" fillId="0" borderId="49" xfId="9" applyNumberFormat="1" applyBorder="1" applyAlignment="1">
      <alignment vertical="top"/>
    </xf>
    <xf numFmtId="0" fontId="6" fillId="0" borderId="78" xfId="12" applyBorder="1" applyAlignment="1">
      <alignment horizontal="center" vertical="center" wrapText="1"/>
    </xf>
    <xf numFmtId="4" fontId="16" fillId="0" borderId="71" xfId="12" applyNumberFormat="1" applyFont="1" applyBorder="1"/>
    <xf numFmtId="4" fontId="22" fillId="0" borderId="71" xfId="12" applyNumberFormat="1" applyFont="1" applyBorder="1"/>
    <xf numFmtId="4" fontId="22" fillId="0" borderId="78" xfId="12" applyNumberFormat="1" applyFont="1" applyBorder="1"/>
    <xf numFmtId="4" fontId="27" fillId="0" borderId="71" xfId="12" applyNumberFormat="1" applyFont="1" applyBorder="1"/>
    <xf numFmtId="4" fontId="27" fillId="0" borderId="78" xfId="12" applyNumberFormat="1" applyFont="1" applyBorder="1"/>
    <xf numFmtId="0" fontId="6" fillId="0" borderId="79" xfId="12" applyBorder="1" applyAlignment="1">
      <alignment horizontal="center" vertical="center" wrapText="1"/>
    </xf>
    <xf numFmtId="164" fontId="27" fillId="0" borderId="25" xfId="12" applyNumberFormat="1" applyFont="1" applyBorder="1"/>
    <xf numFmtId="164" fontId="27" fillId="0" borderId="80" xfId="12" applyNumberFormat="1" applyFont="1" applyBorder="1"/>
    <xf numFmtId="164" fontId="27" fillId="0" borderId="28" xfId="12" applyNumberFormat="1" applyFont="1" applyBorder="1"/>
    <xf numFmtId="164" fontId="27" fillId="0" borderId="79" xfId="12" applyNumberFormat="1" applyFont="1" applyBorder="1"/>
    <xf numFmtId="164" fontId="42" fillId="0" borderId="80" xfId="12" applyNumberFormat="1" applyFont="1" applyBorder="1"/>
    <xf numFmtId="164" fontId="27" fillId="0" borderId="71" xfId="12" applyNumberFormat="1" applyFont="1" applyBorder="1"/>
    <xf numFmtId="164" fontId="42" fillId="0" borderId="71" xfId="12" applyNumberFormat="1" applyFont="1" applyBorder="1"/>
    <xf numFmtId="164" fontId="27" fillId="0" borderId="0" xfId="12" applyNumberFormat="1" applyFont="1"/>
    <xf numFmtId="3" fontId="16" fillId="0" borderId="81" xfId="12" applyNumberFormat="1" applyFont="1" applyBorder="1" applyAlignment="1">
      <alignment vertical="center"/>
    </xf>
    <xf numFmtId="0" fontId="6" fillId="0" borderId="82" xfId="12" applyBorder="1"/>
    <xf numFmtId="0" fontId="6" fillId="0" borderId="83" xfId="12" applyBorder="1"/>
    <xf numFmtId="0" fontId="6" fillId="0" borderId="53" xfId="12" applyBorder="1"/>
    <xf numFmtId="0" fontId="6" fillId="0" borderId="84" xfId="12" applyBorder="1"/>
    <xf numFmtId="0" fontId="6" fillId="0" borderId="85" xfId="12" applyBorder="1"/>
    <xf numFmtId="0" fontId="21" fillId="0" borderId="83" xfId="12" applyFont="1" applyBorder="1"/>
    <xf numFmtId="0" fontId="21" fillId="0" borderId="74" xfId="12" applyFont="1" applyBorder="1"/>
    <xf numFmtId="0" fontId="17" fillId="0" borderId="74" xfId="12" applyFont="1" applyBorder="1"/>
    <xf numFmtId="165" fontId="6" fillId="2" borderId="0" xfId="12" applyNumberFormat="1" applyFill="1"/>
    <xf numFmtId="4" fontId="16" fillId="0" borderId="0" xfId="12" applyNumberFormat="1" applyFont="1"/>
    <xf numFmtId="4" fontId="22" fillId="0" borderId="0" xfId="12" applyNumberFormat="1" applyFont="1"/>
    <xf numFmtId="4" fontId="16" fillId="0" borderId="0" xfId="12" applyNumberFormat="1" applyFont="1" applyAlignment="1">
      <alignment vertical="center"/>
    </xf>
    <xf numFmtId="4" fontId="27" fillId="0" borderId="0" xfId="12" applyNumberFormat="1" applyFont="1"/>
    <xf numFmtId="0" fontId="6" fillId="2" borderId="0" xfId="12" applyFill="1"/>
    <xf numFmtId="166" fontId="6" fillId="2" borderId="0" xfId="12" applyNumberFormat="1" applyFill="1" applyAlignment="1">
      <alignment horizontal="center"/>
    </xf>
    <xf numFmtId="0" fontId="6" fillId="0" borderId="0" xfId="12" applyAlignment="1">
      <alignment vertical="center" wrapText="1"/>
    </xf>
    <xf numFmtId="0" fontId="41" fillId="2" borderId="0" xfId="12" applyFont="1" applyFill="1"/>
    <xf numFmtId="0" fontId="22" fillId="2" borderId="0" xfId="12" applyFont="1" applyFill="1"/>
    <xf numFmtId="0" fontId="3" fillId="0" borderId="0" xfId="12" applyFont="1" applyAlignment="1">
      <alignment horizontal="center" vertical="center" wrapText="1"/>
    </xf>
    <xf numFmtId="166" fontId="6" fillId="0" borderId="0" xfId="12" applyNumberFormat="1"/>
    <xf numFmtId="0" fontId="21" fillId="0" borderId="0" xfId="12" applyFont="1"/>
    <xf numFmtId="0" fontId="17" fillId="0" borderId="0" xfId="12" applyFont="1"/>
    <xf numFmtId="164" fontId="27" fillId="0" borderId="78" xfId="12" applyNumberFormat="1" applyFont="1" applyBorder="1"/>
    <xf numFmtId="4" fontId="38" fillId="0" borderId="27" xfId="12" applyNumberFormat="1" applyFont="1" applyBorder="1"/>
    <xf numFmtId="0" fontId="21" fillId="9" borderId="26" xfId="12" applyFont="1" applyFill="1" applyBorder="1"/>
    <xf numFmtId="4" fontId="21" fillId="0" borderId="4" xfId="0" applyNumberFormat="1" applyFont="1" applyBorder="1"/>
    <xf numFmtId="4" fontId="21" fillId="0" borderId="17" xfId="0" applyNumberFormat="1" applyFont="1" applyBorder="1"/>
    <xf numFmtId="0" fontId="6" fillId="0" borderId="88" xfId="12" applyBorder="1" applyAlignment="1">
      <alignment horizontal="center" vertical="center" wrapText="1"/>
    </xf>
    <xf numFmtId="3" fontId="16" fillId="0" borderId="90" xfId="12" applyNumberFormat="1" applyFont="1" applyBorder="1" applyAlignment="1">
      <alignment vertical="center"/>
    </xf>
    <xf numFmtId="4" fontId="6" fillId="0" borderId="22" xfId="12" applyNumberFormat="1" applyBorder="1"/>
    <xf numFmtId="4" fontId="38" fillId="0" borderId="22" xfId="12" applyNumberFormat="1" applyFont="1" applyBorder="1"/>
    <xf numFmtId="4" fontId="6" fillId="0" borderId="89" xfId="12" applyNumberFormat="1" applyBorder="1"/>
    <xf numFmtId="4" fontId="38" fillId="0" borderId="89" xfId="12" applyNumberFormat="1" applyFont="1" applyBorder="1"/>
    <xf numFmtId="4" fontId="38" fillId="0" borderId="88" xfId="12" applyNumberFormat="1" applyFont="1" applyBorder="1"/>
    <xf numFmtId="0" fontId="16" fillId="0" borderId="88" xfId="12" applyFont="1" applyBorder="1" applyAlignment="1">
      <alignment horizontal="center" vertical="center" wrapText="1"/>
    </xf>
    <xf numFmtId="4" fontId="17" fillId="2" borderId="22" xfId="12" applyNumberFormat="1" applyFont="1" applyFill="1" applyBorder="1"/>
    <xf numFmtId="4" fontId="17" fillId="2" borderId="32" xfId="12" applyNumberFormat="1" applyFont="1" applyFill="1" applyBorder="1"/>
    <xf numFmtId="4" fontId="17" fillId="2" borderId="28" xfId="12" applyNumberFormat="1" applyFont="1" applyFill="1" applyBorder="1"/>
    <xf numFmtId="4" fontId="17" fillId="0" borderId="22" xfId="12" applyNumberFormat="1" applyFont="1" applyBorder="1"/>
    <xf numFmtId="4" fontId="17" fillId="0" borderId="32" xfId="12" applyNumberFormat="1" applyFont="1" applyBorder="1"/>
    <xf numFmtId="4" fontId="17" fillId="2" borderId="33" xfId="12" applyNumberFormat="1" applyFont="1" applyFill="1" applyBorder="1"/>
    <xf numFmtId="4" fontId="17" fillId="2" borderId="89" xfId="12" applyNumberFormat="1" applyFont="1" applyFill="1" applyBorder="1"/>
    <xf numFmtId="4" fontId="17" fillId="2" borderId="88" xfId="12" applyNumberFormat="1" applyFont="1" applyFill="1" applyBorder="1"/>
    <xf numFmtId="4" fontId="17" fillId="0" borderId="28" xfId="12" applyNumberFormat="1" applyFont="1" applyBorder="1"/>
    <xf numFmtId="4" fontId="17" fillId="0" borderId="89" xfId="12" applyNumberFormat="1" applyFont="1" applyBorder="1"/>
    <xf numFmtId="4" fontId="17" fillId="0" borderId="88" xfId="12" applyNumberFormat="1" applyFont="1" applyBorder="1"/>
    <xf numFmtId="0" fontId="0" fillId="0" borderId="86" xfId="0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86" xfId="0" applyFont="1" applyBorder="1" applyAlignment="1">
      <alignment horizontal="center" vertical="center" wrapText="1"/>
    </xf>
    <xf numFmtId="0" fontId="21" fillId="0" borderId="48" xfId="0" applyFont="1" applyBorder="1"/>
    <xf numFmtId="3" fontId="18" fillId="0" borderId="48" xfId="0" applyNumberFormat="1" applyFont="1" applyBorder="1" applyAlignment="1">
      <alignment horizontal="center"/>
    </xf>
    <xf numFmtId="3" fontId="21" fillId="0" borderId="48" xfId="0" applyNumberFormat="1" applyFont="1" applyBorder="1"/>
    <xf numFmtId="4" fontId="21" fillId="0" borderId="48" xfId="0" applyNumberFormat="1" applyFont="1" applyBorder="1" applyAlignment="1">
      <alignment horizontal="right" vertical="center"/>
    </xf>
    <xf numFmtId="0" fontId="21" fillId="0" borderId="48" xfId="0" applyFont="1" applyBorder="1" applyAlignment="1">
      <alignment vertical="center"/>
    </xf>
    <xf numFmtId="4" fontId="18" fillId="0" borderId="48" xfId="0" applyNumberFormat="1" applyFont="1" applyBorder="1" applyAlignment="1">
      <alignment horizontal="center"/>
    </xf>
    <xf numFmtId="164" fontId="21" fillId="0" borderId="48" xfId="0" applyNumberFormat="1" applyFont="1" applyBorder="1"/>
    <xf numFmtId="0" fontId="42" fillId="0" borderId="48" xfId="0" applyFont="1" applyBorder="1"/>
    <xf numFmtId="3" fontId="42" fillId="0" borderId="48" xfId="0" applyNumberFormat="1" applyFont="1" applyBorder="1"/>
    <xf numFmtId="3" fontId="0" fillId="0" borderId="86" xfId="0" applyNumberFormat="1" applyBorder="1"/>
    <xf numFmtId="0" fontId="46" fillId="0" borderId="41" xfId="0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 wrapText="1"/>
    </xf>
    <xf numFmtId="0" fontId="46" fillId="0" borderId="68" xfId="0" applyFont="1" applyBorder="1" applyAlignment="1">
      <alignment horizontal="center" vertical="center"/>
    </xf>
    <xf numFmtId="0" fontId="46" fillId="0" borderId="91" xfId="0" applyFont="1" applyBorder="1" applyAlignment="1">
      <alignment horizontal="center" vertical="center" wrapText="1"/>
    </xf>
    <xf numFmtId="0" fontId="21" fillId="0" borderId="42" xfId="0" applyFont="1" applyBorder="1"/>
    <xf numFmtId="0" fontId="21" fillId="0" borderId="46" xfId="0" applyFont="1" applyBorder="1"/>
    <xf numFmtId="0" fontId="21" fillId="0" borderId="87" xfId="0" applyFont="1" applyBorder="1"/>
    <xf numFmtId="3" fontId="27" fillId="0" borderId="0" xfId="0" applyNumberFormat="1" applyFont="1"/>
    <xf numFmtId="0" fontId="18" fillId="0" borderId="48" xfId="0" applyFont="1" applyBorder="1" applyAlignment="1">
      <alignment vertical="center"/>
    </xf>
    <xf numFmtId="3" fontId="18" fillId="0" borderId="48" xfId="0" applyNumberFormat="1" applyFont="1" applyBorder="1" applyAlignment="1">
      <alignment horizontal="right" vertical="center"/>
    </xf>
    <xf numFmtId="0" fontId="18" fillId="0" borderId="48" xfId="0" applyFont="1" applyBorder="1" applyAlignment="1">
      <alignment horizontal="right" vertical="center"/>
    </xf>
    <xf numFmtId="0" fontId="21" fillId="0" borderId="51" xfId="0" applyFont="1" applyBorder="1"/>
    <xf numFmtId="0" fontId="21" fillId="0" borderId="92" xfId="0" applyFont="1" applyBorder="1"/>
    <xf numFmtId="0" fontId="21" fillId="0" borderId="52" xfId="0" applyFont="1" applyBorder="1"/>
    <xf numFmtId="0" fontId="18" fillId="0" borderId="27" xfId="0" applyFont="1" applyBorder="1" applyAlignment="1">
      <alignment vertical="center"/>
    </xf>
    <xf numFmtId="3" fontId="18" fillId="0" borderId="27" xfId="0" applyNumberFormat="1" applyFont="1" applyBorder="1" applyAlignment="1">
      <alignment horizontal="right" vertical="center"/>
    </xf>
    <xf numFmtId="0" fontId="18" fillId="0" borderId="27" xfId="0" applyFont="1" applyBorder="1" applyAlignment="1">
      <alignment horizontal="right" vertical="center"/>
    </xf>
    <xf numFmtId="3" fontId="21" fillId="0" borderId="27" xfId="0" applyNumberFormat="1" applyFont="1" applyBorder="1"/>
    <xf numFmtId="0" fontId="18" fillId="0" borderId="44" xfId="0" applyFont="1" applyBorder="1" applyAlignment="1">
      <alignment vertical="center"/>
    </xf>
    <xf numFmtId="3" fontId="18" fillId="0" borderId="44" xfId="0" applyNumberFormat="1" applyFont="1" applyBorder="1" applyAlignment="1">
      <alignment horizontal="right" vertical="center"/>
    </xf>
    <xf numFmtId="0" fontId="18" fillId="0" borderId="44" xfId="0" applyFont="1" applyBorder="1" applyAlignment="1">
      <alignment horizontal="right" vertical="center"/>
    </xf>
    <xf numFmtId="3" fontId="21" fillId="0" borderId="44" xfId="0" applyNumberFormat="1" applyFont="1" applyBorder="1"/>
    <xf numFmtId="0" fontId="18" fillId="0" borderId="86" xfId="0" applyFont="1" applyBorder="1" applyAlignment="1">
      <alignment vertical="center"/>
    </xf>
    <xf numFmtId="3" fontId="18" fillId="0" borderId="86" xfId="0" applyNumberFormat="1" applyFont="1" applyBorder="1" applyAlignment="1">
      <alignment horizontal="right" vertical="center"/>
    </xf>
    <xf numFmtId="0" fontId="18" fillId="0" borderId="86" xfId="0" applyFont="1" applyBorder="1" applyAlignment="1">
      <alignment horizontal="right" vertical="center"/>
    </xf>
    <xf numFmtId="0" fontId="21" fillId="0" borderId="22" xfId="0" applyFont="1" applyBorder="1"/>
    <xf numFmtId="0" fontId="21" fillId="0" borderId="89" xfId="0" applyFont="1" applyBorder="1"/>
    <xf numFmtId="4" fontId="21" fillId="2" borderId="48" xfId="0" applyNumberFormat="1" applyFont="1" applyFill="1" applyBorder="1"/>
    <xf numFmtId="4" fontId="21" fillId="2" borderId="0" xfId="0" applyNumberFormat="1" applyFont="1" applyFill="1"/>
    <xf numFmtId="3" fontId="20" fillId="2" borderId="48" xfId="0" applyNumberFormat="1" applyFont="1" applyFill="1" applyBorder="1"/>
    <xf numFmtId="0" fontId="20" fillId="2" borderId="48" xfId="0" applyFont="1" applyFill="1" applyBorder="1"/>
    <xf numFmtId="4" fontId="20" fillId="2" borderId="48" xfId="0" applyNumberFormat="1" applyFont="1" applyFill="1" applyBorder="1"/>
    <xf numFmtId="3" fontId="20" fillId="2" borderId="4" xfId="0" applyNumberFormat="1" applyFont="1" applyFill="1" applyBorder="1"/>
    <xf numFmtId="3" fontId="47" fillId="2" borderId="48" xfId="0" applyNumberFormat="1" applyFont="1" applyFill="1" applyBorder="1" applyAlignment="1">
      <alignment horizontal="center"/>
    </xf>
    <xf numFmtId="3" fontId="20" fillId="2" borderId="4" xfId="0" applyNumberFormat="1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4" fontId="47" fillId="2" borderId="4" xfId="0" applyNumberFormat="1" applyFont="1" applyFill="1" applyBorder="1" applyAlignment="1">
      <alignment horizontal="center"/>
    </xf>
    <xf numFmtId="4" fontId="20" fillId="2" borderId="4" xfId="0" applyNumberFormat="1" applyFont="1" applyFill="1" applyBorder="1" applyAlignment="1">
      <alignment horizontal="right" vertical="center"/>
    </xf>
    <xf numFmtId="3" fontId="20" fillId="2" borderId="4" xfId="0" applyNumberFormat="1" applyFont="1" applyFill="1" applyBorder="1" applyAlignment="1">
      <alignment horizontal="right" vertical="center"/>
    </xf>
    <xf numFmtId="4" fontId="20" fillId="2" borderId="0" xfId="0" applyNumberFormat="1" applyFont="1" applyFill="1"/>
    <xf numFmtId="3" fontId="20" fillId="2" borderId="0" xfId="0" applyNumberFormat="1" applyFont="1" applyFill="1"/>
    <xf numFmtId="0" fontId="20" fillId="2" borderId="0" xfId="0" applyFont="1" applyFill="1"/>
    <xf numFmtId="3" fontId="21" fillId="10" borderId="27" xfId="0" applyNumberFormat="1" applyFont="1" applyFill="1" applyBorder="1"/>
    <xf numFmtId="3" fontId="21" fillId="10" borderId="48" xfId="0" applyNumberFormat="1" applyFont="1" applyFill="1" applyBorder="1"/>
    <xf numFmtId="3" fontId="21" fillId="10" borderId="86" xfId="0" applyNumberFormat="1" applyFont="1" applyFill="1" applyBorder="1"/>
    <xf numFmtId="0" fontId="16" fillId="0" borderId="98" xfId="12" applyFont="1" applyBorder="1" applyAlignment="1">
      <alignment horizontal="center" vertical="center" wrapText="1"/>
    </xf>
    <xf numFmtId="0" fontId="16" fillId="0" borderId="98" xfId="12" applyFont="1" applyBorder="1" applyAlignment="1">
      <alignment horizontal="right" vertical="center" wrapText="1" indent="1"/>
    </xf>
    <xf numFmtId="0" fontId="40" fillId="0" borderId="98" xfId="12" applyFont="1" applyBorder="1" applyAlignment="1">
      <alignment horizontal="center" vertical="center" wrapText="1"/>
    </xf>
    <xf numFmtId="2" fontId="16" fillId="0" borderId="98" xfId="12" applyNumberFormat="1" applyFont="1" applyBorder="1" applyAlignment="1">
      <alignment horizontal="center" vertical="center" wrapText="1"/>
    </xf>
    <xf numFmtId="0" fontId="16" fillId="0" borderId="99" xfId="12" applyFont="1" applyBorder="1" applyAlignment="1">
      <alignment horizontal="center" vertical="center" wrapText="1"/>
    </xf>
    <xf numFmtId="0" fontId="6" fillId="0" borderId="98" xfId="12" applyBorder="1" applyAlignment="1">
      <alignment horizontal="center" vertical="center" wrapText="1"/>
    </xf>
    <xf numFmtId="0" fontId="2" fillId="0" borderId="98" xfId="12" applyFont="1" applyBorder="1" applyAlignment="1">
      <alignment horizontal="center" vertical="center" wrapText="1"/>
    </xf>
    <xf numFmtId="0" fontId="16" fillId="0" borderId="100" xfId="12" applyFont="1" applyBorder="1" applyAlignment="1">
      <alignment horizontal="center" vertical="center" wrapText="1"/>
    </xf>
    <xf numFmtId="3" fontId="27" fillId="0" borderId="20" xfId="12" applyNumberFormat="1" applyFont="1" applyBorder="1"/>
    <xf numFmtId="0" fontId="6" fillId="0" borderId="97" xfId="12" applyBorder="1"/>
    <xf numFmtId="0" fontId="17" fillId="0" borderId="97" xfId="12" applyFont="1" applyBorder="1" applyAlignment="1">
      <alignment horizontal="right" indent="1"/>
    </xf>
    <xf numFmtId="0" fontId="6" fillId="0" borderId="101" xfId="12" applyBorder="1"/>
    <xf numFmtId="4" fontId="17" fillId="0" borderId="4" xfId="18" applyNumberFormat="1" applyFont="1" applyBorder="1"/>
    <xf numFmtId="0" fontId="6" fillId="0" borderId="96" xfId="12" applyBorder="1"/>
    <xf numFmtId="0" fontId="6" fillId="0" borderId="96" xfId="12" applyBorder="1" applyAlignment="1">
      <alignment vertical="center"/>
    </xf>
    <xf numFmtId="164" fontId="6" fillId="0" borderId="0" xfId="12" applyNumberFormat="1"/>
    <xf numFmtId="0" fontId="6" fillId="0" borderId="101" xfId="12" applyBorder="1" applyAlignment="1">
      <alignment horizontal="center" vertical="center" wrapText="1"/>
    </xf>
    <xf numFmtId="4" fontId="16" fillId="0" borderId="101" xfId="12" applyNumberFormat="1" applyFont="1" applyBorder="1"/>
    <xf numFmtId="4" fontId="22" fillId="0" borderId="101" xfId="12" applyNumberFormat="1" applyFont="1" applyBorder="1"/>
    <xf numFmtId="4" fontId="16" fillId="0" borderId="101" xfId="12" applyNumberFormat="1" applyFont="1" applyBorder="1" applyAlignment="1">
      <alignment vertical="center"/>
    </xf>
    <xf numFmtId="4" fontId="27" fillId="0" borderId="101" xfId="12" applyNumberFormat="1" applyFont="1" applyBorder="1"/>
    <xf numFmtId="0" fontId="16" fillId="0" borderId="101" xfId="12" applyFont="1" applyBorder="1" applyAlignment="1">
      <alignment horizontal="center" vertical="center"/>
    </xf>
    <xf numFmtId="0" fontId="6" fillId="0" borderId="100" xfId="12" applyBorder="1" applyAlignment="1">
      <alignment horizontal="center" vertical="center" wrapText="1"/>
    </xf>
    <xf numFmtId="164" fontId="27" fillId="0" borderId="101" xfId="12" applyNumberFormat="1" applyFont="1" applyBorder="1"/>
    <xf numFmtId="164" fontId="27" fillId="0" borderId="31" xfId="12" applyNumberFormat="1" applyFont="1" applyBorder="1"/>
    <xf numFmtId="164" fontId="27" fillId="0" borderId="102" xfId="12" applyNumberFormat="1" applyFont="1" applyBorder="1"/>
    <xf numFmtId="3" fontId="16" fillId="0" borderId="101" xfId="12" applyNumberFormat="1" applyFont="1" applyBorder="1" applyAlignment="1">
      <alignment vertical="center"/>
    </xf>
    <xf numFmtId="4" fontId="21" fillId="0" borderId="103" xfId="0" applyNumberFormat="1" applyFont="1" applyBorder="1"/>
    <xf numFmtId="3" fontId="21" fillId="0" borderId="103" xfId="0" applyNumberFormat="1" applyFont="1" applyBorder="1"/>
    <xf numFmtId="167" fontId="21" fillId="0" borderId="106" xfId="0" applyNumberFormat="1" applyFont="1" applyBorder="1"/>
    <xf numFmtId="3" fontId="21" fillId="0" borderId="86" xfId="0" applyNumberFormat="1" applyFont="1" applyBorder="1"/>
    <xf numFmtId="0" fontId="21" fillId="0" borderId="108" xfId="0" applyFont="1" applyBorder="1" applyAlignment="1">
      <alignment horizontal="center" vertical="center" wrapText="1"/>
    </xf>
    <xf numFmtId="0" fontId="21" fillId="0" borderId="106" xfId="0" applyFont="1" applyBorder="1"/>
    <xf numFmtId="4" fontId="21" fillId="2" borderId="103" xfId="0" applyNumberFormat="1" applyFont="1" applyFill="1" applyBorder="1"/>
    <xf numFmtId="0" fontId="6" fillId="0" borderId="4" xfId="12" applyBorder="1" applyAlignment="1">
      <alignment horizontal="center" vertical="center"/>
    </xf>
    <xf numFmtId="0" fontId="6" fillId="0" borderId="109" xfId="12" applyBorder="1"/>
    <xf numFmtId="0" fontId="6" fillId="0" borderId="109" xfId="12" applyBorder="1" applyAlignment="1">
      <alignment vertical="center"/>
    </xf>
    <xf numFmtId="0" fontId="21" fillId="0" borderId="109" xfId="12" applyFont="1" applyBorder="1"/>
    <xf numFmtId="0" fontId="21" fillId="0" borderId="109" xfId="0" applyFont="1" applyBorder="1"/>
    <xf numFmtId="4" fontId="21" fillId="0" borderId="109" xfId="12" applyNumberFormat="1" applyFont="1" applyBorder="1" applyAlignment="1">
      <alignment horizontal="right"/>
    </xf>
    <xf numFmtId="0" fontId="21" fillId="0" borderId="109" xfId="12" applyFont="1" applyBorder="1" applyAlignment="1">
      <alignment horizontal="right" indent="1"/>
    </xf>
    <xf numFmtId="0" fontId="17" fillId="0" borderId="109" xfId="12" applyFont="1" applyBorder="1" applyAlignment="1">
      <alignment horizontal="right" indent="1"/>
    </xf>
    <xf numFmtId="0" fontId="39" fillId="5" borderId="109" xfId="12" applyFont="1" applyFill="1" applyBorder="1" applyAlignment="1">
      <alignment horizontal="center"/>
    </xf>
    <xf numFmtId="0" fontId="17" fillId="0" borderId="109" xfId="12" applyFont="1" applyBorder="1" applyAlignment="1">
      <alignment horizontal="center"/>
    </xf>
    <xf numFmtId="3" fontId="17" fillId="0" borderId="109" xfId="12" applyNumberFormat="1" applyFont="1" applyBorder="1" applyAlignment="1">
      <alignment horizontal="right" indent="1"/>
    </xf>
    <xf numFmtId="4" fontId="17" fillId="0" borderId="109" xfId="18" applyNumberFormat="1" applyFont="1" applyBorder="1"/>
    <xf numFmtId="0" fontId="6" fillId="0" borderId="110" xfId="12" applyBorder="1"/>
    <xf numFmtId="3" fontId="27" fillId="0" borderId="4" xfId="12" applyNumberFormat="1" applyFont="1" applyBorder="1"/>
    <xf numFmtId="164" fontId="27" fillId="0" borderId="22" xfId="12" applyNumberFormat="1" applyFont="1" applyBorder="1"/>
    <xf numFmtId="3" fontId="27" fillId="0" borderId="109" xfId="12" applyNumberFormat="1" applyFont="1" applyBorder="1"/>
    <xf numFmtId="164" fontId="27" fillId="0" borderId="109" xfId="12" applyNumberFormat="1" applyFont="1" applyBorder="1"/>
    <xf numFmtId="3" fontId="27" fillId="2" borderId="109" xfId="12" applyNumberFormat="1" applyFont="1" applyFill="1" applyBorder="1"/>
    <xf numFmtId="0" fontId="0" fillId="0" borderId="111" xfId="0" applyBorder="1" applyAlignment="1">
      <alignment horizontal="center" vertical="center" wrapText="1"/>
    </xf>
    <xf numFmtId="0" fontId="21" fillId="0" borderId="111" xfId="0" applyFont="1" applyBorder="1" applyAlignment="1">
      <alignment horizontal="center" vertical="center" wrapText="1"/>
    </xf>
    <xf numFmtId="3" fontId="0" fillId="0" borderId="109" xfId="0" applyNumberFormat="1" applyBorder="1"/>
    <xf numFmtId="0" fontId="21" fillId="0" borderId="109" xfId="0" applyFont="1" applyBorder="1" applyAlignment="1">
      <alignment vertical="center"/>
    </xf>
    <xf numFmtId="4" fontId="21" fillId="0" borderId="109" xfId="0" applyNumberFormat="1" applyFont="1" applyBorder="1"/>
    <xf numFmtId="3" fontId="21" fillId="0" borderId="109" xfId="0" applyNumberFormat="1" applyFont="1" applyBorder="1"/>
    <xf numFmtId="3" fontId="21" fillId="11" borderId="48" xfId="0" applyNumberFormat="1" applyFont="1" applyFill="1" applyBorder="1"/>
    <xf numFmtId="4" fontId="17" fillId="0" borderId="109" xfId="12" applyNumberFormat="1" applyFont="1" applyBorder="1"/>
    <xf numFmtId="0" fontId="0" fillId="0" borderId="109" xfId="0" applyBorder="1"/>
    <xf numFmtId="0" fontId="6" fillId="0" borderId="104" xfId="12" applyBorder="1"/>
    <xf numFmtId="0" fontId="6" fillId="0" borderId="103" xfId="12" applyBorder="1"/>
    <xf numFmtId="4" fontId="19" fillId="11" borderId="49" xfId="9" applyNumberFormat="1" applyFill="1" applyBorder="1" applyAlignment="1">
      <alignment horizontal="right" vertical="top"/>
    </xf>
    <xf numFmtId="4" fontId="20" fillId="0" borderId="109" xfId="0" applyNumberFormat="1" applyFont="1" applyBorder="1"/>
    <xf numFmtId="0" fontId="16" fillId="0" borderId="13" xfId="0" applyFont="1" applyBorder="1" applyAlignment="1">
      <alignment horizontal="center"/>
    </xf>
    <xf numFmtId="0" fontId="32" fillId="0" borderId="0" xfId="12" applyFont="1" applyAlignment="1">
      <alignment horizontal="center"/>
    </xf>
    <xf numFmtId="4" fontId="17" fillId="0" borderId="17" xfId="12" applyNumberFormat="1" applyFont="1" applyBorder="1" applyAlignment="1">
      <alignment horizontal="right" vertical="center"/>
    </xf>
    <xf numFmtId="4" fontId="17" fillId="0" borderId="20" xfId="12" applyNumberFormat="1" applyFont="1" applyBorder="1" applyAlignment="1">
      <alignment horizontal="right" vertical="center"/>
    </xf>
    <xf numFmtId="0" fontId="16" fillId="0" borderId="0" xfId="12" applyFont="1" applyAlignment="1">
      <alignment horizontal="center"/>
    </xf>
    <xf numFmtId="0" fontId="6" fillId="0" borderId="26" xfId="12" applyBorder="1" applyAlignment="1">
      <alignment horizontal="center" vertical="center"/>
    </xf>
    <xf numFmtId="0" fontId="6" fillId="0" borderId="20" xfId="12" applyBorder="1" applyAlignment="1">
      <alignment horizontal="center" vertical="center"/>
    </xf>
    <xf numFmtId="4" fontId="17" fillId="2" borderId="26" xfId="12" applyNumberFormat="1" applyFont="1" applyFill="1" applyBorder="1" applyAlignment="1">
      <alignment horizontal="right" vertical="center" indent="1"/>
    </xf>
    <xf numFmtId="4" fontId="17" fillId="2" borderId="20" xfId="12" applyNumberFormat="1" applyFont="1" applyFill="1" applyBorder="1" applyAlignment="1">
      <alignment horizontal="right" vertical="center" indent="1"/>
    </xf>
    <xf numFmtId="0" fontId="6" fillId="2" borderId="20" xfId="12" applyFill="1" applyBorder="1" applyAlignment="1">
      <alignment horizontal="center" vertical="center"/>
    </xf>
    <xf numFmtId="0" fontId="6" fillId="0" borderId="72" xfId="12" applyBorder="1" applyAlignment="1">
      <alignment horizontal="center" vertical="center"/>
    </xf>
    <xf numFmtId="0" fontId="6" fillId="0" borderId="4" xfId="12" applyBorder="1" applyAlignment="1">
      <alignment horizontal="center" vertical="center"/>
    </xf>
    <xf numFmtId="4" fontId="21" fillId="0" borderId="86" xfId="0" applyNumberFormat="1" applyFont="1" applyBorder="1" applyAlignment="1">
      <alignment horizontal="center"/>
    </xf>
    <xf numFmtId="4" fontId="21" fillId="0" borderId="4" xfId="0" applyNumberFormat="1" applyFont="1" applyBorder="1" applyAlignment="1">
      <alignment horizontal="center"/>
    </xf>
    <xf numFmtId="4" fontId="21" fillId="0" borderId="17" xfId="0" applyNumberFormat="1" applyFont="1" applyBorder="1" applyAlignment="1">
      <alignment horizontal="center"/>
    </xf>
    <xf numFmtId="3" fontId="21" fillId="0" borderId="43" xfId="0" applyNumberFormat="1" applyFont="1" applyBorder="1" applyAlignment="1">
      <alignment horizontal="center"/>
    </xf>
    <xf numFmtId="3" fontId="21" fillId="0" borderId="93" xfId="0" applyNumberFormat="1" applyFont="1" applyBorder="1" applyAlignment="1">
      <alignment horizontal="center"/>
    </xf>
    <xf numFmtId="3" fontId="21" fillId="0" borderId="95" xfId="0" applyNumberFormat="1" applyFont="1" applyBorder="1" applyAlignment="1">
      <alignment horizontal="center"/>
    </xf>
    <xf numFmtId="3" fontId="21" fillId="0" borderId="94" xfId="0" applyNumberFormat="1" applyFont="1" applyBorder="1" applyAlignment="1">
      <alignment horizontal="center"/>
    </xf>
    <xf numFmtId="3" fontId="0" fillId="0" borderId="8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21" fillId="0" borderId="12" xfId="0" applyFont="1" applyBorder="1" applyAlignment="1">
      <alignment horizontal="center"/>
    </xf>
    <xf numFmtId="4" fontId="21" fillId="0" borderId="107" xfId="0" applyNumberFormat="1" applyFont="1" applyBorder="1" applyAlignment="1">
      <alignment horizontal="center"/>
    </xf>
    <xf numFmtId="4" fontId="21" fillId="0" borderId="105" xfId="0" applyNumberFormat="1" applyFon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07" xfId="0" applyNumberFormat="1" applyBorder="1" applyAlignment="1">
      <alignment horizontal="center"/>
    </xf>
    <xf numFmtId="3" fontId="21" fillId="0" borderId="106" xfId="0" applyNumberFormat="1" applyFont="1" applyBorder="1" applyAlignment="1">
      <alignment horizontal="center"/>
    </xf>
    <xf numFmtId="3" fontId="0" fillId="0" borderId="109" xfId="0" applyNumberFormat="1" applyBorder="1" applyAlignment="1">
      <alignment horizontal="center"/>
    </xf>
    <xf numFmtId="4" fontId="21" fillId="0" borderId="111" xfId="0" applyNumberFormat="1" applyFont="1" applyBorder="1" applyAlignment="1">
      <alignment horizontal="center"/>
    </xf>
    <xf numFmtId="4" fontId="21" fillId="0" borderId="112" xfId="0" applyNumberFormat="1" applyFont="1" applyBorder="1" applyAlignment="1">
      <alignment horizontal="center"/>
    </xf>
    <xf numFmtId="4" fontId="21" fillId="0" borderId="113" xfId="0" applyNumberFormat="1" applyFont="1" applyBorder="1" applyAlignment="1">
      <alignment horizontal="center"/>
    </xf>
    <xf numFmtId="3" fontId="21" fillId="0" borderId="114" xfId="0" applyNumberFormat="1" applyFont="1" applyBorder="1" applyAlignment="1">
      <alignment horizontal="center"/>
    </xf>
    <xf numFmtId="3" fontId="21" fillId="0" borderId="4" xfId="0" applyNumberFormat="1" applyFont="1" applyBorder="1" applyAlignment="1">
      <alignment horizontal="center"/>
    </xf>
    <xf numFmtId="14" fontId="43" fillId="0" borderId="56" xfId="0" applyNumberFormat="1" applyFont="1" applyBorder="1" applyAlignment="1">
      <alignment horizontal="center" vertical="center" wrapText="1"/>
    </xf>
    <xf numFmtId="14" fontId="43" fillId="0" borderId="24" xfId="0" applyNumberFormat="1" applyFont="1" applyBorder="1" applyAlignment="1">
      <alignment horizontal="center" vertical="center" wrapText="1"/>
    </xf>
  </cellXfs>
  <cellStyles count="21">
    <cellStyle name="Обычный" xfId="0" builtinId="0"/>
    <cellStyle name="Обычный 2" xfId="1" xr:uid="{00000000-0005-0000-0000-000001000000}"/>
    <cellStyle name="Обычный 2 2" xfId="4" xr:uid="{00000000-0005-0000-0000-000002000000}"/>
    <cellStyle name="Обычный 2 2 2" xfId="15" xr:uid="{00000000-0005-0000-0000-000003000000}"/>
    <cellStyle name="Обычный 2 3" xfId="7" xr:uid="{00000000-0005-0000-0000-000004000000}"/>
    <cellStyle name="Обычный 2 4" xfId="13" xr:uid="{00000000-0005-0000-0000-000005000000}"/>
    <cellStyle name="Обычный 3" xfId="3" xr:uid="{00000000-0005-0000-0000-000006000000}"/>
    <cellStyle name="Обычный 3 2" xfId="8" xr:uid="{00000000-0005-0000-0000-000007000000}"/>
    <cellStyle name="Обычный 3 3" xfId="19" xr:uid="{00000000-0005-0000-0000-000008000000}"/>
    <cellStyle name="Обычный 4" xfId="2" xr:uid="{00000000-0005-0000-0000-000009000000}"/>
    <cellStyle name="Обычный 4 2" xfId="14" xr:uid="{00000000-0005-0000-0000-00000A000000}"/>
    <cellStyle name="Обычный 5" xfId="5" xr:uid="{00000000-0005-0000-0000-00000B000000}"/>
    <cellStyle name="Обычный 5 2" xfId="16" xr:uid="{00000000-0005-0000-0000-00000C000000}"/>
    <cellStyle name="Обычный 6" xfId="6" xr:uid="{00000000-0005-0000-0000-00000D000000}"/>
    <cellStyle name="Обычный 6 2" xfId="17" xr:uid="{00000000-0005-0000-0000-00000E000000}"/>
    <cellStyle name="Обычный 7" xfId="12" xr:uid="{00000000-0005-0000-0000-00000F000000}"/>
    <cellStyle name="Обычный 7 2" xfId="18" xr:uid="{00000000-0005-0000-0000-000010000000}"/>
    <cellStyle name="Обычный 7 3" xfId="20" xr:uid="{00000000-0005-0000-0000-000011000000}"/>
    <cellStyle name="Обычный_Лист1" xfId="10" xr:uid="{00000000-0005-0000-0000-000012000000}"/>
    <cellStyle name="Обычный_Лист3" xfId="11" xr:uid="{00000000-0005-0000-0000-000013000000}"/>
    <cellStyle name="Обычный_МЕХАНИЗАТОРЫ" xfId="9" xr:uid="{00000000-0005-0000-0000-000014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62</xdr:row>
      <xdr:rowOff>0</xdr:rowOff>
    </xdr:from>
    <xdr:to>
      <xdr:col>27</xdr:col>
      <xdr:colOff>211074</xdr:colOff>
      <xdr:row>118</xdr:row>
      <xdr:rowOff>44434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6CD9D20-F616-0834-8EBD-34B657DA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966978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58</xdr:row>
      <xdr:rowOff>0</xdr:rowOff>
    </xdr:from>
    <xdr:to>
      <xdr:col>36</xdr:col>
      <xdr:colOff>576834</xdr:colOff>
      <xdr:row>114</xdr:row>
      <xdr:rowOff>44434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CD9D60B-A497-CFD1-B33E-354AD4CBE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9296400"/>
          <a:ext cx="18285714" cy="102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73;&#1097;&#1072;&#1103;/&#1047;&#1055;%20&#1084;&#1077;&#1093;&#1072;&#1085;&#1080;&#1079;&#1072;&#1090;&#1086;&#1088;&#1099;/&#1058;&#1072;&#1073;&#1077;&#1083;&#1100;&#1057;&#1087;&#1077;&#1094;&#1090;&#1077;&#1093;&#1085;&#1080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52;&#1072;&#1088;&#1090;/&#1058;&#1072;&#1073;&#1077;&#1083;&#1100;&#1057;&#1087;&#1077;&#1094;&#1090;&#1077;&#1093;&#1085;&#1080;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INetCache/Content.Outlook/Z3RYQ9R0/&#1047;&#1055;%20&#1041;&#1045;&#1056;&#1045;&#1047;&#1045;&#1053;&#1068;%202025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ель"/>
      <sheetName val="ИНФО"/>
      <sheetName val="МЕХАНИЗАТОРЫ"/>
      <sheetName val="СВОД"/>
      <sheetName val="График"/>
      <sheetName val="ИНФО_СПЕЦТЕХНИКА"/>
      <sheetName val="Объекты"/>
      <sheetName val="КОД"/>
    </sheetNames>
    <sheetDataSet>
      <sheetData sheetId="0">
        <row r="1">
          <cell r="B1" t="str">
            <v>РАПОРТЫ ПО ЕДИНИЦАМ СТРОИТЕЛЬНОЙ ТЕХНИКИ</v>
          </cell>
        </row>
        <row r="2">
          <cell r="J2">
            <v>19417</v>
          </cell>
          <cell r="K2">
            <v>1982</v>
          </cell>
          <cell r="L2">
            <v>366</v>
          </cell>
        </row>
        <row r="3">
          <cell r="B3" t="str">
            <v>Дата</v>
          </cell>
          <cell r="E3" t="str">
            <v>Механизатор</v>
          </cell>
          <cell r="F3" t="str">
            <v>Имя единицы спец.техника</v>
          </cell>
          <cell r="I3" t="str">
            <v>ID</v>
          </cell>
          <cell r="J3" t="str">
            <v>Часов всего</v>
          </cell>
          <cell r="K3" t="str">
            <v>ТО</v>
          </cell>
          <cell r="L3" t="str">
            <v>Заправка</v>
          </cell>
        </row>
        <row r="4">
          <cell r="B4">
            <v>45133</v>
          </cell>
          <cell r="E4" t="str">
            <v>Лівіцький Л.І.</v>
          </cell>
          <cell r="F4" t="str">
            <v>Экскаватор JCB 2007</v>
          </cell>
          <cell r="I4">
            <v>8</v>
          </cell>
          <cell r="J4">
            <v>10</v>
          </cell>
          <cell r="K4">
            <v>3</v>
          </cell>
        </row>
        <row r="5">
          <cell r="B5">
            <v>45134</v>
          </cell>
          <cell r="E5" t="str">
            <v>Лівіцький Л.І.</v>
          </cell>
          <cell r="F5" t="str">
            <v>Экскаватор JCB 2007</v>
          </cell>
          <cell r="I5">
            <v>8</v>
          </cell>
          <cell r="J5">
            <v>10</v>
          </cell>
          <cell r="K5">
            <v>3</v>
          </cell>
        </row>
        <row r="6">
          <cell r="B6">
            <v>45135</v>
          </cell>
          <cell r="E6" t="str">
            <v>Лівіцький Л.І.</v>
          </cell>
          <cell r="F6" t="str">
            <v>Экскаватор JCB 2007</v>
          </cell>
          <cell r="I6">
            <v>8</v>
          </cell>
          <cell r="J6">
            <v>9</v>
          </cell>
          <cell r="K6">
            <v>1</v>
          </cell>
        </row>
        <row r="7">
          <cell r="B7">
            <v>45136</v>
          </cell>
          <cell r="E7" t="str">
            <v>Лівіцький Л.І.</v>
          </cell>
          <cell r="F7" t="str">
            <v>Экскаватор JCB 2007</v>
          </cell>
          <cell r="I7">
            <v>8</v>
          </cell>
          <cell r="J7">
            <v>9</v>
          </cell>
          <cell r="K7">
            <v>1</v>
          </cell>
        </row>
        <row r="8">
          <cell r="B8">
            <v>45138</v>
          </cell>
          <cell r="E8" t="str">
            <v>Лівіцький Л.І.</v>
          </cell>
          <cell r="F8" t="str">
            <v>Экскаватор JCB 2007</v>
          </cell>
          <cell r="I8">
            <v>8</v>
          </cell>
          <cell r="J8">
            <v>9</v>
          </cell>
          <cell r="K8">
            <v>1</v>
          </cell>
        </row>
        <row r="9">
          <cell r="B9">
            <v>45108</v>
          </cell>
          <cell r="E9" t="str">
            <v>Горячий І.В.</v>
          </cell>
          <cell r="F9" t="str">
            <v>Телескоп №2</v>
          </cell>
          <cell r="I9">
            <v>2</v>
          </cell>
          <cell r="J9">
            <v>6</v>
          </cell>
        </row>
        <row r="10">
          <cell r="B10">
            <v>45109</v>
          </cell>
          <cell r="E10" t="str">
            <v>Горячий І.В.</v>
          </cell>
          <cell r="F10" t="str">
            <v>Телескоп №2</v>
          </cell>
          <cell r="I10">
            <v>2</v>
          </cell>
          <cell r="J10">
            <v>7</v>
          </cell>
          <cell r="K10">
            <v>7</v>
          </cell>
        </row>
        <row r="11">
          <cell r="B11">
            <v>45110</v>
          </cell>
          <cell r="E11" t="str">
            <v>Горячий І.В.</v>
          </cell>
          <cell r="F11" t="str">
            <v>Телескоп №2</v>
          </cell>
          <cell r="I11">
            <v>2</v>
          </cell>
          <cell r="J11">
            <v>10</v>
          </cell>
          <cell r="K11">
            <v>1</v>
          </cell>
        </row>
        <row r="12">
          <cell r="B12">
            <v>45111</v>
          </cell>
          <cell r="E12" t="str">
            <v>Горячий І.В.</v>
          </cell>
          <cell r="F12" t="str">
            <v>Телескоп №2</v>
          </cell>
          <cell r="I12">
            <v>2</v>
          </cell>
          <cell r="J12">
            <v>10</v>
          </cell>
        </row>
        <row r="13">
          <cell r="B13">
            <v>45112</v>
          </cell>
          <cell r="E13" t="str">
            <v>Горячий І.В.</v>
          </cell>
          <cell r="F13" t="str">
            <v>Телескоп №2</v>
          </cell>
          <cell r="I13">
            <v>2</v>
          </cell>
          <cell r="J13">
            <v>10</v>
          </cell>
        </row>
        <row r="14">
          <cell r="B14">
            <v>45113</v>
          </cell>
          <cell r="E14" t="str">
            <v>Горячий І.В.</v>
          </cell>
          <cell r="F14" t="str">
            <v>Телескоп №2</v>
          </cell>
          <cell r="I14">
            <v>2</v>
          </cell>
          <cell r="J14">
            <v>11</v>
          </cell>
          <cell r="L14">
            <v>1</v>
          </cell>
        </row>
        <row r="15">
          <cell r="B15">
            <v>45114</v>
          </cell>
          <cell r="E15" t="str">
            <v>Горячий І.В.</v>
          </cell>
          <cell r="F15" t="str">
            <v>Телескоп №2</v>
          </cell>
          <cell r="I15">
            <v>2</v>
          </cell>
          <cell r="J15">
            <v>6</v>
          </cell>
        </row>
        <row r="16">
          <cell r="B16">
            <v>45116</v>
          </cell>
          <cell r="E16" t="str">
            <v>Горячий І.В.</v>
          </cell>
          <cell r="F16" t="str">
            <v>Телескоп №2</v>
          </cell>
          <cell r="I16">
            <v>2</v>
          </cell>
          <cell r="J16">
            <v>6</v>
          </cell>
          <cell r="K16">
            <v>6</v>
          </cell>
        </row>
        <row r="17">
          <cell r="B17">
            <v>45118</v>
          </cell>
          <cell r="E17" t="str">
            <v>Горячий І.В.</v>
          </cell>
          <cell r="F17" t="str">
            <v>Телескоп №2</v>
          </cell>
          <cell r="I17">
            <v>2</v>
          </cell>
          <cell r="J17">
            <v>10</v>
          </cell>
        </row>
        <row r="18">
          <cell r="B18">
            <v>45119</v>
          </cell>
          <cell r="E18" t="str">
            <v>Горячий І.В.</v>
          </cell>
          <cell r="F18" t="str">
            <v>Телескоп №2</v>
          </cell>
          <cell r="I18">
            <v>2</v>
          </cell>
          <cell r="J18">
            <v>10</v>
          </cell>
        </row>
        <row r="19">
          <cell r="B19">
            <v>45120</v>
          </cell>
          <cell r="E19" t="str">
            <v>Горячий І.В.</v>
          </cell>
          <cell r="F19" t="str">
            <v>Телескоп №2</v>
          </cell>
          <cell r="I19">
            <v>2</v>
          </cell>
          <cell r="J19">
            <v>10</v>
          </cell>
          <cell r="K19">
            <v>1</v>
          </cell>
        </row>
        <row r="20">
          <cell r="B20">
            <v>45121</v>
          </cell>
          <cell r="E20" t="str">
            <v>Горячий І.В.</v>
          </cell>
          <cell r="F20" t="str">
            <v>Телескоп №2</v>
          </cell>
          <cell r="I20">
            <v>2</v>
          </cell>
          <cell r="J20">
            <v>10</v>
          </cell>
        </row>
        <row r="21">
          <cell r="B21">
            <v>45122</v>
          </cell>
          <cell r="E21" t="str">
            <v>Горячий І.В.</v>
          </cell>
          <cell r="F21" t="str">
            <v>Телескоп №2</v>
          </cell>
          <cell r="I21">
            <v>2</v>
          </cell>
          <cell r="J21">
            <v>8</v>
          </cell>
          <cell r="K21">
            <v>1</v>
          </cell>
        </row>
        <row r="22">
          <cell r="B22">
            <v>45123</v>
          </cell>
          <cell r="E22" t="str">
            <v>Горячий І.В.</v>
          </cell>
          <cell r="F22" t="str">
            <v>Телескоп №2</v>
          </cell>
          <cell r="I22">
            <v>2</v>
          </cell>
          <cell r="J22">
            <v>6</v>
          </cell>
          <cell r="K22">
            <v>6</v>
          </cell>
        </row>
        <row r="23">
          <cell r="B23">
            <v>45124</v>
          </cell>
          <cell r="E23" t="str">
            <v>Горячий І.В.</v>
          </cell>
          <cell r="F23" t="str">
            <v>Телескоп №2</v>
          </cell>
          <cell r="I23">
            <v>2</v>
          </cell>
          <cell r="J23">
            <v>10</v>
          </cell>
        </row>
        <row r="24">
          <cell r="B24">
            <v>45125</v>
          </cell>
          <cell r="E24" t="str">
            <v>Горячий І.В.</v>
          </cell>
          <cell r="F24" t="str">
            <v>Телескоп №2</v>
          </cell>
          <cell r="I24">
            <v>2</v>
          </cell>
          <cell r="J24">
            <v>10</v>
          </cell>
          <cell r="K24">
            <v>1</v>
          </cell>
        </row>
        <row r="25">
          <cell r="B25">
            <v>45126</v>
          </cell>
          <cell r="E25" t="str">
            <v>Горячий І.В.</v>
          </cell>
          <cell r="F25" t="str">
            <v>Телескоп №2</v>
          </cell>
          <cell r="I25">
            <v>2</v>
          </cell>
          <cell r="J25">
            <v>9</v>
          </cell>
          <cell r="K25">
            <v>8</v>
          </cell>
        </row>
        <row r="26">
          <cell r="B26">
            <v>45127</v>
          </cell>
          <cell r="E26" t="str">
            <v>Горячий І.В.</v>
          </cell>
          <cell r="F26" t="str">
            <v>Телескоп №2</v>
          </cell>
          <cell r="I26">
            <v>2</v>
          </cell>
          <cell r="J26">
            <v>10</v>
          </cell>
        </row>
        <row r="27">
          <cell r="B27">
            <v>45128</v>
          </cell>
          <cell r="E27" t="str">
            <v>Горячий І.В.</v>
          </cell>
          <cell r="F27" t="str">
            <v>Телескоп №2</v>
          </cell>
          <cell r="I27">
            <v>2</v>
          </cell>
          <cell r="J27">
            <v>10</v>
          </cell>
          <cell r="K27">
            <v>1</v>
          </cell>
        </row>
        <row r="28">
          <cell r="B28">
            <v>45129</v>
          </cell>
          <cell r="E28" t="str">
            <v>Горячий І.В.</v>
          </cell>
          <cell r="F28" t="str">
            <v>Телескоп №2</v>
          </cell>
          <cell r="I28">
            <v>2</v>
          </cell>
          <cell r="J28">
            <v>10</v>
          </cell>
          <cell r="K28">
            <v>6</v>
          </cell>
          <cell r="L28">
            <v>1</v>
          </cell>
        </row>
        <row r="29">
          <cell r="B29">
            <v>45131</v>
          </cell>
          <cell r="E29" t="str">
            <v>Горячий І.В.</v>
          </cell>
          <cell r="F29" t="str">
            <v>Телескоп №2</v>
          </cell>
          <cell r="I29">
            <v>2</v>
          </cell>
          <cell r="J29">
            <v>10</v>
          </cell>
          <cell r="K29">
            <v>1</v>
          </cell>
        </row>
        <row r="30">
          <cell r="B30">
            <v>45132</v>
          </cell>
          <cell r="E30" t="str">
            <v>Горячий І.В.</v>
          </cell>
          <cell r="F30" t="str">
            <v>Телескоп №2</v>
          </cell>
          <cell r="I30">
            <v>2</v>
          </cell>
          <cell r="J30">
            <v>10</v>
          </cell>
          <cell r="K30">
            <v>2</v>
          </cell>
        </row>
        <row r="31">
          <cell r="B31">
            <v>45133</v>
          </cell>
          <cell r="E31" t="str">
            <v>Горячий І.В.</v>
          </cell>
          <cell r="F31" t="str">
            <v>Телескоп №2</v>
          </cell>
          <cell r="I31">
            <v>2</v>
          </cell>
          <cell r="J31">
            <v>7</v>
          </cell>
          <cell r="K31">
            <v>1</v>
          </cell>
        </row>
        <row r="32">
          <cell r="B32">
            <v>45134</v>
          </cell>
          <cell r="E32" t="str">
            <v>Горячий І.В.</v>
          </cell>
          <cell r="F32" t="str">
            <v>Телескоп №2</v>
          </cell>
          <cell r="I32">
            <v>2</v>
          </cell>
          <cell r="J32">
            <v>10</v>
          </cell>
          <cell r="K32">
            <v>2</v>
          </cell>
        </row>
        <row r="33">
          <cell r="B33">
            <v>45135</v>
          </cell>
          <cell r="E33" t="str">
            <v>Горячий І.В.</v>
          </cell>
          <cell r="F33" t="str">
            <v>Телескоп №2</v>
          </cell>
          <cell r="I33">
            <v>2</v>
          </cell>
          <cell r="J33">
            <v>10</v>
          </cell>
        </row>
        <row r="34">
          <cell r="B34">
            <v>45136</v>
          </cell>
          <cell r="E34" t="str">
            <v>Горячий І.В.</v>
          </cell>
          <cell r="F34" t="str">
            <v>Телескоп №2</v>
          </cell>
          <cell r="I34">
            <v>2</v>
          </cell>
          <cell r="J34">
            <v>10</v>
          </cell>
        </row>
        <row r="35">
          <cell r="B35">
            <v>45137</v>
          </cell>
          <cell r="E35" t="str">
            <v>Горячий І.В.</v>
          </cell>
          <cell r="F35" t="str">
            <v>Телескоп №2</v>
          </cell>
          <cell r="I35">
            <v>2</v>
          </cell>
          <cell r="J35">
            <v>6</v>
          </cell>
          <cell r="K35">
            <v>6</v>
          </cell>
        </row>
        <row r="36">
          <cell r="B36">
            <v>45138</v>
          </cell>
          <cell r="E36" t="str">
            <v>Горячий І.В.</v>
          </cell>
          <cell r="F36" t="str">
            <v>Телескоп №2</v>
          </cell>
          <cell r="I36">
            <v>2</v>
          </cell>
          <cell r="J36">
            <v>10</v>
          </cell>
        </row>
        <row r="37">
          <cell r="B37">
            <v>45108</v>
          </cell>
          <cell r="E37" t="str">
            <v>Косік Ю.А.</v>
          </cell>
          <cell r="F37" t="str">
            <v>Телескоп №4</v>
          </cell>
          <cell r="I37">
            <v>4</v>
          </cell>
          <cell r="J37">
            <v>8</v>
          </cell>
          <cell r="K37">
            <v>1</v>
          </cell>
        </row>
        <row r="38">
          <cell r="B38">
            <v>45110</v>
          </cell>
          <cell r="E38" t="str">
            <v>Косік Ю.А.</v>
          </cell>
          <cell r="F38" t="str">
            <v>Телескоп №4</v>
          </cell>
          <cell r="I38">
            <v>4</v>
          </cell>
          <cell r="J38">
            <v>8</v>
          </cell>
        </row>
        <row r="39">
          <cell r="B39">
            <v>45111</v>
          </cell>
          <cell r="E39" t="str">
            <v>Косік Ю.А.</v>
          </cell>
          <cell r="F39" t="str">
            <v>Телескоп №4</v>
          </cell>
          <cell r="I39">
            <v>4</v>
          </cell>
          <cell r="J39">
            <v>9</v>
          </cell>
          <cell r="K39">
            <v>1</v>
          </cell>
        </row>
        <row r="40">
          <cell r="B40">
            <v>45112</v>
          </cell>
          <cell r="E40" t="str">
            <v>Косік Ю.А.</v>
          </cell>
          <cell r="F40" t="str">
            <v>Телескоп №4</v>
          </cell>
          <cell r="I40">
            <v>4</v>
          </cell>
          <cell r="J40">
            <v>9</v>
          </cell>
        </row>
        <row r="41">
          <cell r="B41">
            <v>45113</v>
          </cell>
          <cell r="E41" t="str">
            <v>Косік Ю.А.</v>
          </cell>
          <cell r="F41" t="str">
            <v>Телескоп №4</v>
          </cell>
          <cell r="I41">
            <v>4</v>
          </cell>
          <cell r="J41">
            <v>11</v>
          </cell>
          <cell r="K41">
            <v>3</v>
          </cell>
        </row>
        <row r="42">
          <cell r="B42">
            <v>45114</v>
          </cell>
          <cell r="E42" t="str">
            <v>Косік Ю.А.</v>
          </cell>
          <cell r="F42" t="str">
            <v>Телескоп №4</v>
          </cell>
          <cell r="I42">
            <v>4</v>
          </cell>
          <cell r="J42">
            <v>11</v>
          </cell>
          <cell r="K42">
            <v>3</v>
          </cell>
        </row>
        <row r="43">
          <cell r="B43">
            <v>45115</v>
          </cell>
          <cell r="E43" t="str">
            <v>Косік Ю.А.</v>
          </cell>
          <cell r="F43" t="str">
            <v>Телескоп №4</v>
          </cell>
          <cell r="I43">
            <v>4</v>
          </cell>
          <cell r="J43">
            <v>8</v>
          </cell>
          <cell r="L43">
            <v>1</v>
          </cell>
        </row>
        <row r="44">
          <cell r="B44">
            <v>45117</v>
          </cell>
          <cell r="E44" t="str">
            <v>Косік Ю.А.</v>
          </cell>
          <cell r="F44" t="str">
            <v>Телескоп №4</v>
          </cell>
          <cell r="I44">
            <v>4</v>
          </cell>
          <cell r="J44">
            <v>8</v>
          </cell>
        </row>
        <row r="45">
          <cell r="B45">
            <v>45118</v>
          </cell>
          <cell r="E45" t="str">
            <v>Косік Ю.А.</v>
          </cell>
          <cell r="F45" t="str">
            <v>Телескоп №4</v>
          </cell>
          <cell r="I45">
            <v>4</v>
          </cell>
          <cell r="J45">
            <v>8</v>
          </cell>
        </row>
        <row r="46">
          <cell r="B46">
            <v>45119</v>
          </cell>
          <cell r="E46" t="str">
            <v>Косік Ю.А.</v>
          </cell>
          <cell r="F46" t="str">
            <v>Телескоп №4</v>
          </cell>
          <cell r="I46">
            <v>4</v>
          </cell>
          <cell r="J46">
            <v>9</v>
          </cell>
          <cell r="L46">
            <v>1</v>
          </cell>
        </row>
        <row r="47">
          <cell r="B47">
            <v>45120</v>
          </cell>
          <cell r="E47" t="str">
            <v>Косік Ю.А.</v>
          </cell>
          <cell r="F47" t="str">
            <v>Телескоп №4</v>
          </cell>
          <cell r="I47">
            <v>4</v>
          </cell>
          <cell r="J47">
            <v>9</v>
          </cell>
        </row>
        <row r="48">
          <cell r="B48">
            <v>45121</v>
          </cell>
          <cell r="E48" t="str">
            <v>Косік Ю.А.</v>
          </cell>
          <cell r="F48" t="str">
            <v>Телескоп №4</v>
          </cell>
          <cell r="I48">
            <v>4</v>
          </cell>
          <cell r="J48">
            <v>10</v>
          </cell>
          <cell r="K48">
            <v>1</v>
          </cell>
        </row>
        <row r="49">
          <cell r="B49">
            <v>45122</v>
          </cell>
          <cell r="E49" t="str">
            <v>Косік Ю.А.</v>
          </cell>
          <cell r="F49" t="str">
            <v>Телескоп №4</v>
          </cell>
          <cell r="I49">
            <v>4</v>
          </cell>
          <cell r="J49">
            <v>8</v>
          </cell>
          <cell r="K49">
            <v>1</v>
          </cell>
        </row>
        <row r="50">
          <cell r="B50">
            <v>45124</v>
          </cell>
          <cell r="E50" t="str">
            <v>Косік Ю.А.</v>
          </cell>
          <cell r="F50" t="str">
            <v>Телескоп №4</v>
          </cell>
          <cell r="I50">
            <v>4</v>
          </cell>
          <cell r="J50">
            <v>8</v>
          </cell>
        </row>
        <row r="51">
          <cell r="B51">
            <v>45125</v>
          </cell>
          <cell r="E51" t="str">
            <v>Косік Ю.А.</v>
          </cell>
          <cell r="F51" t="str">
            <v>Телескоп №4</v>
          </cell>
          <cell r="I51">
            <v>4</v>
          </cell>
          <cell r="J51">
            <v>9</v>
          </cell>
          <cell r="K51">
            <v>1</v>
          </cell>
        </row>
        <row r="52">
          <cell r="B52">
            <v>45126</v>
          </cell>
          <cell r="E52" t="str">
            <v>Косік Ю.А.</v>
          </cell>
          <cell r="F52" t="str">
            <v>Телескоп №4</v>
          </cell>
          <cell r="I52">
            <v>4</v>
          </cell>
          <cell r="J52">
            <v>9</v>
          </cell>
          <cell r="L52">
            <v>1</v>
          </cell>
        </row>
        <row r="53">
          <cell r="B53">
            <v>45127</v>
          </cell>
          <cell r="E53" t="str">
            <v>Косік Ю.А.</v>
          </cell>
          <cell r="F53" t="str">
            <v>Телескоп №4</v>
          </cell>
          <cell r="I53">
            <v>4</v>
          </cell>
          <cell r="J53">
            <v>8</v>
          </cell>
        </row>
        <row r="54">
          <cell r="B54">
            <v>45128</v>
          </cell>
          <cell r="E54" t="str">
            <v>Косік Ю.А.</v>
          </cell>
          <cell r="F54" t="str">
            <v>Телескоп №4</v>
          </cell>
          <cell r="I54">
            <v>4</v>
          </cell>
          <cell r="J54">
            <v>9</v>
          </cell>
          <cell r="L54">
            <v>1</v>
          </cell>
        </row>
        <row r="55">
          <cell r="B55">
            <v>45129</v>
          </cell>
          <cell r="E55" t="str">
            <v>Косік Ю.А.</v>
          </cell>
          <cell r="F55" t="str">
            <v>Телескоп №4</v>
          </cell>
          <cell r="I55">
            <v>4</v>
          </cell>
          <cell r="J55">
            <v>7</v>
          </cell>
          <cell r="K55">
            <v>3</v>
          </cell>
        </row>
        <row r="56">
          <cell r="B56">
            <v>45131</v>
          </cell>
          <cell r="E56" t="str">
            <v>Косік Ю.А.</v>
          </cell>
          <cell r="F56" t="str">
            <v>Телескоп №4</v>
          </cell>
          <cell r="I56">
            <v>4</v>
          </cell>
          <cell r="J56">
            <v>8</v>
          </cell>
        </row>
        <row r="57">
          <cell r="B57">
            <v>45132</v>
          </cell>
          <cell r="E57" t="str">
            <v>Косік Ю.А.</v>
          </cell>
          <cell r="F57" t="str">
            <v>Телескоп №4</v>
          </cell>
          <cell r="I57">
            <v>4</v>
          </cell>
          <cell r="J57">
            <v>9</v>
          </cell>
          <cell r="K57">
            <v>1</v>
          </cell>
        </row>
        <row r="58">
          <cell r="B58">
            <v>45133</v>
          </cell>
          <cell r="E58" t="str">
            <v>Косік Ю.А.</v>
          </cell>
          <cell r="F58" t="str">
            <v>Телескоп №4</v>
          </cell>
          <cell r="I58">
            <v>4</v>
          </cell>
          <cell r="J58">
            <v>8</v>
          </cell>
        </row>
        <row r="59">
          <cell r="B59">
            <v>45134</v>
          </cell>
          <cell r="E59" t="str">
            <v>Косік Ю.А.</v>
          </cell>
          <cell r="F59" t="str">
            <v>Телескоп №4</v>
          </cell>
          <cell r="I59">
            <v>4</v>
          </cell>
          <cell r="J59">
            <v>8</v>
          </cell>
        </row>
        <row r="60">
          <cell r="B60">
            <v>45135</v>
          </cell>
          <cell r="E60" t="str">
            <v>Косік Ю.А.</v>
          </cell>
          <cell r="F60" t="str">
            <v>Телескоп №4</v>
          </cell>
          <cell r="I60">
            <v>4</v>
          </cell>
          <cell r="J60">
            <v>9</v>
          </cell>
        </row>
        <row r="61">
          <cell r="B61">
            <v>45136</v>
          </cell>
          <cell r="E61" t="str">
            <v>Косік Ю.А.</v>
          </cell>
          <cell r="F61" t="str">
            <v>Телескоп №4</v>
          </cell>
          <cell r="I61">
            <v>4</v>
          </cell>
          <cell r="J61">
            <v>8</v>
          </cell>
          <cell r="K61">
            <v>1</v>
          </cell>
          <cell r="L61">
            <v>1</v>
          </cell>
        </row>
        <row r="62">
          <cell r="B62">
            <v>45138</v>
          </cell>
          <cell r="E62" t="str">
            <v>Косік Ю.А.</v>
          </cell>
          <cell r="F62" t="str">
            <v>Телескоп №4</v>
          </cell>
          <cell r="I62">
            <v>4</v>
          </cell>
          <cell r="J62">
            <v>9</v>
          </cell>
        </row>
        <row r="63">
          <cell r="B63">
            <v>45110</v>
          </cell>
          <cell r="E63" t="str">
            <v>Ковальчук В.В.</v>
          </cell>
          <cell r="F63" t="str">
            <v>Экскаватор  JCB 3CX 2008</v>
          </cell>
          <cell r="I63">
            <v>9</v>
          </cell>
          <cell r="J63">
            <v>10</v>
          </cell>
          <cell r="K63">
            <v>6</v>
          </cell>
        </row>
        <row r="64">
          <cell r="B64">
            <v>45111</v>
          </cell>
          <cell r="E64" t="str">
            <v>Ковальчук В.В.</v>
          </cell>
          <cell r="F64" t="str">
            <v>Экскаватор  JCB 3CX 2008</v>
          </cell>
          <cell r="I64">
            <v>9</v>
          </cell>
          <cell r="J64">
            <v>10</v>
          </cell>
          <cell r="K64">
            <v>5</v>
          </cell>
        </row>
        <row r="65">
          <cell r="B65">
            <v>45112</v>
          </cell>
          <cell r="E65" t="str">
            <v>Ковальчук В.В.</v>
          </cell>
          <cell r="F65" t="str">
            <v>Экскаватор  JCB 3CX 2008</v>
          </cell>
          <cell r="I65">
            <v>9</v>
          </cell>
          <cell r="J65">
            <v>10</v>
          </cell>
          <cell r="K65">
            <v>5</v>
          </cell>
        </row>
        <row r="66">
          <cell r="B66">
            <v>45113</v>
          </cell>
          <cell r="E66" t="str">
            <v>Ковальчук В.В.</v>
          </cell>
          <cell r="F66" t="str">
            <v>Экскаватор  JCB 3CX 2008</v>
          </cell>
          <cell r="I66">
            <v>9</v>
          </cell>
          <cell r="J66">
            <v>10</v>
          </cell>
          <cell r="K66">
            <v>6</v>
          </cell>
        </row>
        <row r="67">
          <cell r="B67">
            <v>45117</v>
          </cell>
          <cell r="E67" t="str">
            <v>Ковальчук В.В.</v>
          </cell>
          <cell r="F67" t="str">
            <v>Экскаватор  JCB 3CX 2008</v>
          </cell>
          <cell r="I67">
            <v>9</v>
          </cell>
          <cell r="J67">
            <v>7</v>
          </cell>
          <cell r="K67">
            <v>2</v>
          </cell>
        </row>
        <row r="68">
          <cell r="B68">
            <v>45118</v>
          </cell>
          <cell r="E68" t="str">
            <v>Ковальчук В.В.</v>
          </cell>
          <cell r="F68" t="str">
            <v>Экскаватор  JCB 3CX 2008</v>
          </cell>
          <cell r="I68">
            <v>9</v>
          </cell>
          <cell r="J68">
            <v>10</v>
          </cell>
          <cell r="K68">
            <v>6</v>
          </cell>
        </row>
        <row r="69">
          <cell r="B69">
            <v>45119</v>
          </cell>
          <cell r="E69" t="str">
            <v>Ковальчук В.В.</v>
          </cell>
          <cell r="F69" t="str">
            <v>Экскаватор  JCB 3CX 2008</v>
          </cell>
          <cell r="I69">
            <v>9</v>
          </cell>
          <cell r="J69">
            <v>10</v>
          </cell>
          <cell r="K69">
            <v>5</v>
          </cell>
        </row>
        <row r="70">
          <cell r="B70">
            <v>45120</v>
          </cell>
          <cell r="E70" t="str">
            <v>Ковальчук В.В.</v>
          </cell>
          <cell r="F70" t="str">
            <v>Экскаватор  JCB 3CX 2008</v>
          </cell>
          <cell r="I70">
            <v>9</v>
          </cell>
          <cell r="J70">
            <v>10</v>
          </cell>
          <cell r="K70">
            <v>5</v>
          </cell>
        </row>
        <row r="71">
          <cell r="B71">
            <v>45121</v>
          </cell>
          <cell r="E71" t="str">
            <v>Ковальчук В.В.</v>
          </cell>
          <cell r="F71" t="str">
            <v>Экскаватор  JCB 3CX 2008</v>
          </cell>
          <cell r="I71">
            <v>9</v>
          </cell>
          <cell r="J71">
            <v>10</v>
          </cell>
          <cell r="K71">
            <v>5</v>
          </cell>
        </row>
        <row r="72">
          <cell r="B72">
            <v>45117</v>
          </cell>
          <cell r="E72" t="str">
            <v>Горячий І.В.</v>
          </cell>
          <cell r="F72" t="str">
            <v>Экскаватор JCB 2013</v>
          </cell>
          <cell r="I72">
            <v>10</v>
          </cell>
          <cell r="J72">
            <v>10</v>
          </cell>
        </row>
        <row r="73">
          <cell r="B73">
            <v>45110</v>
          </cell>
          <cell r="E73" t="str">
            <v>Скоц С.І.</v>
          </cell>
          <cell r="F73" t="str">
            <v>Экскаватор JCB 220</v>
          </cell>
          <cell r="I73">
            <v>11</v>
          </cell>
          <cell r="J73">
            <v>10</v>
          </cell>
        </row>
        <row r="74">
          <cell r="B74">
            <v>45111</v>
          </cell>
          <cell r="E74" t="str">
            <v>Скоц С.І.</v>
          </cell>
          <cell r="F74" t="str">
            <v>Экскаватор JCB 220</v>
          </cell>
          <cell r="I74">
            <v>11</v>
          </cell>
          <cell r="J74">
            <v>10</v>
          </cell>
        </row>
        <row r="75">
          <cell r="B75">
            <v>45112</v>
          </cell>
          <cell r="E75" t="str">
            <v>Скоц С.І.</v>
          </cell>
          <cell r="F75" t="str">
            <v>Экскаватор JCB 220</v>
          </cell>
          <cell r="I75">
            <v>11</v>
          </cell>
          <cell r="J75">
            <v>10</v>
          </cell>
        </row>
        <row r="76">
          <cell r="B76">
            <v>45113</v>
          </cell>
          <cell r="E76" t="str">
            <v>Скоц С.І.</v>
          </cell>
          <cell r="F76" t="str">
            <v>Экскаватор JCB 220</v>
          </cell>
          <cell r="I76">
            <v>11</v>
          </cell>
          <cell r="J76">
            <v>9</v>
          </cell>
        </row>
        <row r="77">
          <cell r="B77">
            <v>45117</v>
          </cell>
          <cell r="E77" t="str">
            <v>Скоц С.І.</v>
          </cell>
          <cell r="F77" t="str">
            <v>Экскаватор JCB 220</v>
          </cell>
          <cell r="I77">
            <v>11</v>
          </cell>
          <cell r="J77">
            <v>7</v>
          </cell>
        </row>
        <row r="78">
          <cell r="B78">
            <v>45118</v>
          </cell>
          <cell r="E78" t="str">
            <v>Скоц С.І.</v>
          </cell>
          <cell r="F78" t="str">
            <v>Экскаватор JCB 220</v>
          </cell>
          <cell r="I78">
            <v>11</v>
          </cell>
          <cell r="J78">
            <v>9</v>
          </cell>
        </row>
        <row r="79">
          <cell r="B79">
            <v>45119</v>
          </cell>
          <cell r="E79" t="str">
            <v>Скоц С.І.</v>
          </cell>
          <cell r="F79" t="str">
            <v>Экскаватор JCB 220</v>
          </cell>
          <cell r="I79">
            <v>11</v>
          </cell>
          <cell r="J79">
            <v>10</v>
          </cell>
        </row>
        <row r="80">
          <cell r="B80">
            <v>45120</v>
          </cell>
          <cell r="E80" t="str">
            <v>Скоц С.І.</v>
          </cell>
          <cell r="F80" t="str">
            <v>Экскаватор JCB 220</v>
          </cell>
          <cell r="I80">
            <v>11</v>
          </cell>
          <cell r="J80">
            <v>10</v>
          </cell>
        </row>
        <row r="81">
          <cell r="B81">
            <v>45121</v>
          </cell>
          <cell r="E81" t="str">
            <v>Скоц С.І.</v>
          </cell>
          <cell r="F81" t="str">
            <v>Экскаватор JCB 220</v>
          </cell>
          <cell r="I81">
            <v>11</v>
          </cell>
          <cell r="J81">
            <v>9</v>
          </cell>
        </row>
        <row r="82">
          <cell r="B82">
            <v>45108</v>
          </cell>
          <cell r="E82" t="str">
            <v>Скоц С.І.</v>
          </cell>
          <cell r="F82" t="str">
            <v>Экскаватор JCB 220</v>
          </cell>
          <cell r="I82">
            <v>11</v>
          </cell>
          <cell r="J82">
            <v>8</v>
          </cell>
          <cell r="K82">
            <v>8</v>
          </cell>
        </row>
        <row r="83">
          <cell r="B83">
            <v>45112</v>
          </cell>
          <cell r="E83" t="str">
            <v>Скоц С.І.</v>
          </cell>
          <cell r="F83" t="str">
            <v>Экскаватор JCB 220</v>
          </cell>
          <cell r="I83">
            <v>11</v>
          </cell>
          <cell r="J83">
            <v>1</v>
          </cell>
          <cell r="L83">
            <v>1</v>
          </cell>
        </row>
        <row r="84">
          <cell r="B84">
            <v>45113</v>
          </cell>
          <cell r="E84" t="str">
            <v>Скоц С.І.</v>
          </cell>
          <cell r="F84" t="str">
            <v>Экскаватор JCB 220</v>
          </cell>
          <cell r="I84">
            <v>11</v>
          </cell>
          <cell r="J84">
            <v>1</v>
          </cell>
          <cell r="K84">
            <v>1</v>
          </cell>
        </row>
        <row r="85">
          <cell r="B85">
            <v>45118</v>
          </cell>
          <cell r="E85" t="str">
            <v>Скоц С.І.</v>
          </cell>
          <cell r="F85" t="str">
            <v>Экскаватор JCB 220</v>
          </cell>
          <cell r="I85">
            <v>11</v>
          </cell>
          <cell r="J85">
            <v>1</v>
          </cell>
          <cell r="L85">
            <v>1</v>
          </cell>
        </row>
        <row r="86">
          <cell r="B86">
            <v>45121</v>
          </cell>
          <cell r="E86" t="str">
            <v>Скоц С.І.</v>
          </cell>
          <cell r="F86" t="str">
            <v>Экскаватор JCB 220</v>
          </cell>
          <cell r="I86">
            <v>11</v>
          </cell>
          <cell r="J86">
            <v>2</v>
          </cell>
          <cell r="K86">
            <v>1</v>
          </cell>
          <cell r="L86">
            <v>1</v>
          </cell>
        </row>
        <row r="87">
          <cell r="B87">
            <v>45124</v>
          </cell>
          <cell r="E87" t="str">
            <v>Скоц С.І.</v>
          </cell>
          <cell r="F87" t="str">
            <v>Экскаватор JCB 220</v>
          </cell>
          <cell r="I87">
            <v>11</v>
          </cell>
          <cell r="J87">
            <v>1</v>
          </cell>
          <cell r="K87">
            <v>1</v>
          </cell>
        </row>
        <row r="88">
          <cell r="B88">
            <v>45127</v>
          </cell>
          <cell r="E88" t="str">
            <v>Скоц С.І.</v>
          </cell>
          <cell r="F88" t="str">
            <v>Экскаватор JCB 220</v>
          </cell>
          <cell r="I88">
            <v>11</v>
          </cell>
          <cell r="J88">
            <v>1</v>
          </cell>
          <cell r="K88">
            <v>1</v>
          </cell>
        </row>
        <row r="89">
          <cell r="B89">
            <v>45131</v>
          </cell>
          <cell r="E89" t="str">
            <v>Скоц С.І.</v>
          </cell>
          <cell r="F89" t="str">
            <v>Экскаватор JCB 220</v>
          </cell>
          <cell r="I89">
            <v>11</v>
          </cell>
          <cell r="J89">
            <v>1</v>
          </cell>
          <cell r="K89">
            <v>1</v>
          </cell>
        </row>
        <row r="90">
          <cell r="B90">
            <v>45132</v>
          </cell>
          <cell r="E90" t="str">
            <v>Скоц С.І.</v>
          </cell>
          <cell r="F90" t="str">
            <v>Экскаватор JCB 220</v>
          </cell>
          <cell r="I90">
            <v>11</v>
          </cell>
          <cell r="J90">
            <v>1</v>
          </cell>
          <cell r="L90">
            <v>1</v>
          </cell>
        </row>
        <row r="91">
          <cell r="B91">
            <v>45135</v>
          </cell>
          <cell r="E91" t="str">
            <v>Скоц С.І.</v>
          </cell>
          <cell r="F91" t="str">
            <v>Экскаватор JCB 220</v>
          </cell>
          <cell r="I91">
            <v>11</v>
          </cell>
          <cell r="J91">
            <v>1</v>
          </cell>
          <cell r="K91">
            <v>1</v>
          </cell>
        </row>
        <row r="92">
          <cell r="B92">
            <v>45138</v>
          </cell>
          <cell r="E92" t="str">
            <v>Скоц С.І.</v>
          </cell>
          <cell r="F92" t="str">
            <v>Экскаватор JCB 220</v>
          </cell>
          <cell r="I92">
            <v>11</v>
          </cell>
          <cell r="J92">
            <v>1</v>
          </cell>
          <cell r="K92">
            <v>1</v>
          </cell>
        </row>
        <row r="93">
          <cell r="B93">
            <v>45134</v>
          </cell>
          <cell r="E93" t="str">
            <v>Скоц С.І.</v>
          </cell>
          <cell r="F93" t="str">
            <v>Экскаватор JCB 220</v>
          </cell>
          <cell r="I93">
            <v>11</v>
          </cell>
          <cell r="J93">
            <v>3</v>
          </cell>
        </row>
        <row r="94">
          <cell r="B94">
            <v>45135</v>
          </cell>
          <cell r="E94" t="str">
            <v>Скоц С.І.</v>
          </cell>
          <cell r="F94" t="str">
            <v>Экскаватор JCB 220</v>
          </cell>
          <cell r="I94">
            <v>11</v>
          </cell>
          <cell r="J94">
            <v>4</v>
          </cell>
        </row>
        <row r="95">
          <cell r="B95">
            <v>45136</v>
          </cell>
          <cell r="E95" t="str">
            <v>Скоц С.І.</v>
          </cell>
          <cell r="F95" t="str">
            <v>Экскаватор JCB 220</v>
          </cell>
          <cell r="I95">
            <v>11</v>
          </cell>
          <cell r="J95">
            <v>3</v>
          </cell>
        </row>
        <row r="96">
          <cell r="B96">
            <v>45121</v>
          </cell>
          <cell r="E96" t="str">
            <v>Власюк М.І.</v>
          </cell>
          <cell r="F96" t="str">
            <v>МАЗ 264</v>
          </cell>
          <cell r="I96">
            <v>12</v>
          </cell>
          <cell r="J96">
            <v>8</v>
          </cell>
          <cell r="K96">
            <v>2</v>
          </cell>
        </row>
        <row r="97">
          <cell r="B97">
            <v>45122</v>
          </cell>
          <cell r="E97" t="str">
            <v>Власюк М.І.</v>
          </cell>
          <cell r="F97" t="str">
            <v>МАЗ 264</v>
          </cell>
          <cell r="I97">
            <v>12</v>
          </cell>
          <cell r="J97">
            <v>8</v>
          </cell>
          <cell r="L97">
            <v>1</v>
          </cell>
        </row>
        <row r="98">
          <cell r="B98">
            <v>45124</v>
          </cell>
          <cell r="E98" t="str">
            <v>Власюк М.І.</v>
          </cell>
          <cell r="F98" t="str">
            <v>МАЗ 264</v>
          </cell>
          <cell r="I98">
            <v>12</v>
          </cell>
          <cell r="J98">
            <v>8</v>
          </cell>
        </row>
        <row r="99">
          <cell r="B99">
            <v>45125</v>
          </cell>
          <cell r="E99" t="str">
            <v>Власюк М.І.</v>
          </cell>
          <cell r="F99" t="str">
            <v>МАЗ 264</v>
          </cell>
          <cell r="I99">
            <v>12</v>
          </cell>
          <cell r="J99">
            <v>4</v>
          </cell>
          <cell r="K99">
            <v>2</v>
          </cell>
        </row>
        <row r="100">
          <cell r="B100">
            <v>45126</v>
          </cell>
          <cell r="E100" t="str">
            <v>Власюк М.І.</v>
          </cell>
          <cell r="F100" t="str">
            <v>МАЗ 264</v>
          </cell>
          <cell r="I100">
            <v>12</v>
          </cell>
          <cell r="J100">
            <v>8</v>
          </cell>
          <cell r="K100">
            <v>1</v>
          </cell>
        </row>
        <row r="101">
          <cell r="B101">
            <v>45135</v>
          </cell>
          <cell r="E101" t="str">
            <v>Власюк М.І.</v>
          </cell>
          <cell r="F101" t="str">
            <v>МАЗ 264</v>
          </cell>
          <cell r="I101">
            <v>12</v>
          </cell>
          <cell r="J101">
            <v>11</v>
          </cell>
        </row>
        <row r="102">
          <cell r="B102">
            <v>45136</v>
          </cell>
          <cell r="E102" t="str">
            <v>Власюк М.І.</v>
          </cell>
          <cell r="F102" t="str">
            <v>МАЗ 264</v>
          </cell>
          <cell r="I102">
            <v>12</v>
          </cell>
          <cell r="J102">
            <v>8</v>
          </cell>
        </row>
        <row r="103">
          <cell r="B103">
            <v>45138</v>
          </cell>
          <cell r="E103" t="str">
            <v>Власюк М.І.</v>
          </cell>
          <cell r="F103" t="str">
            <v>МАЗ 264</v>
          </cell>
          <cell r="I103">
            <v>12</v>
          </cell>
          <cell r="J103">
            <v>8</v>
          </cell>
          <cell r="K103">
            <v>1</v>
          </cell>
        </row>
        <row r="104">
          <cell r="B104">
            <v>45108</v>
          </cell>
          <cell r="E104" t="str">
            <v>Болох В.В.</v>
          </cell>
          <cell r="F104" t="str">
            <v>Автокран XCMG</v>
          </cell>
          <cell r="I104">
            <v>17</v>
          </cell>
          <cell r="J104">
            <v>8</v>
          </cell>
          <cell r="K104">
            <v>4</v>
          </cell>
        </row>
        <row r="105">
          <cell r="B105">
            <v>45110</v>
          </cell>
          <cell r="E105" t="str">
            <v>Болох В.В.</v>
          </cell>
          <cell r="F105" t="str">
            <v>Автокран XCMG</v>
          </cell>
          <cell r="I105">
            <v>17</v>
          </cell>
          <cell r="J105">
            <v>10</v>
          </cell>
          <cell r="K105">
            <v>2</v>
          </cell>
        </row>
        <row r="106">
          <cell r="B106">
            <v>45111</v>
          </cell>
          <cell r="E106" t="str">
            <v>Болох В.В.</v>
          </cell>
          <cell r="F106" t="str">
            <v>Автокран XCMG</v>
          </cell>
          <cell r="I106">
            <v>17</v>
          </cell>
          <cell r="J106">
            <v>10</v>
          </cell>
          <cell r="K106">
            <v>2</v>
          </cell>
        </row>
        <row r="107">
          <cell r="B107">
            <v>45112</v>
          </cell>
          <cell r="E107" t="str">
            <v>Болох В.В.</v>
          </cell>
          <cell r="F107" t="str">
            <v>Автокран XCMG</v>
          </cell>
          <cell r="I107">
            <v>17</v>
          </cell>
          <cell r="J107">
            <v>10</v>
          </cell>
          <cell r="K107">
            <v>2</v>
          </cell>
        </row>
        <row r="108">
          <cell r="B108">
            <v>45113</v>
          </cell>
          <cell r="E108" t="str">
            <v>Болох В.В.</v>
          </cell>
          <cell r="F108" t="str">
            <v>Автокран XCMG</v>
          </cell>
          <cell r="I108">
            <v>17</v>
          </cell>
          <cell r="J108">
            <v>10</v>
          </cell>
          <cell r="K108">
            <v>6</v>
          </cell>
        </row>
        <row r="109">
          <cell r="B109">
            <v>45114</v>
          </cell>
          <cell r="E109" t="str">
            <v>Болох В.В.</v>
          </cell>
          <cell r="F109" t="str">
            <v>Автокран XCMG</v>
          </cell>
          <cell r="I109">
            <v>17</v>
          </cell>
          <cell r="J109">
            <v>10</v>
          </cell>
          <cell r="K109">
            <v>10</v>
          </cell>
        </row>
        <row r="110">
          <cell r="B110">
            <v>45115</v>
          </cell>
          <cell r="E110" t="str">
            <v>Болох В.В.</v>
          </cell>
          <cell r="F110" t="str">
            <v>Автокран XCMG</v>
          </cell>
          <cell r="I110">
            <v>17</v>
          </cell>
          <cell r="J110">
            <v>10</v>
          </cell>
          <cell r="K110">
            <v>10</v>
          </cell>
        </row>
        <row r="111">
          <cell r="B111">
            <v>45117</v>
          </cell>
          <cell r="E111" t="str">
            <v>Болох В.В.</v>
          </cell>
          <cell r="F111" t="str">
            <v>Автокран XCMG</v>
          </cell>
          <cell r="I111">
            <v>17</v>
          </cell>
          <cell r="J111">
            <v>10</v>
          </cell>
          <cell r="K111">
            <v>2</v>
          </cell>
        </row>
        <row r="112">
          <cell r="B112">
            <v>45118</v>
          </cell>
          <cell r="E112" t="str">
            <v>Болох В.В.</v>
          </cell>
          <cell r="F112" t="str">
            <v>Автокран XCMG</v>
          </cell>
          <cell r="I112">
            <v>17</v>
          </cell>
          <cell r="J112">
            <v>10</v>
          </cell>
          <cell r="K112">
            <v>2</v>
          </cell>
        </row>
        <row r="113">
          <cell r="B113">
            <v>45119</v>
          </cell>
          <cell r="E113" t="str">
            <v>Болох В.В.</v>
          </cell>
          <cell r="F113" t="str">
            <v>Автокран XCMG</v>
          </cell>
          <cell r="I113">
            <v>17</v>
          </cell>
          <cell r="J113">
            <v>10</v>
          </cell>
          <cell r="K113">
            <v>2</v>
          </cell>
        </row>
        <row r="114">
          <cell r="B114">
            <v>45120</v>
          </cell>
          <cell r="E114" t="str">
            <v>Болох В.В.</v>
          </cell>
          <cell r="F114" t="str">
            <v>Автокран XCMG</v>
          </cell>
          <cell r="I114">
            <v>17</v>
          </cell>
          <cell r="J114">
            <v>10</v>
          </cell>
          <cell r="K114">
            <v>2</v>
          </cell>
        </row>
        <row r="115">
          <cell r="B115">
            <v>45121</v>
          </cell>
          <cell r="E115" t="str">
            <v>Болох В.В.</v>
          </cell>
          <cell r="F115" t="str">
            <v>Автокран XCMG</v>
          </cell>
          <cell r="I115">
            <v>17</v>
          </cell>
          <cell r="J115">
            <v>8</v>
          </cell>
          <cell r="K115">
            <v>8</v>
          </cell>
        </row>
        <row r="116">
          <cell r="B116">
            <v>45122</v>
          </cell>
          <cell r="E116" t="str">
            <v>Болох В.В.</v>
          </cell>
          <cell r="F116" t="str">
            <v>Автокран XCMG</v>
          </cell>
          <cell r="I116">
            <v>17</v>
          </cell>
          <cell r="J116">
            <v>8</v>
          </cell>
          <cell r="K116">
            <v>8</v>
          </cell>
        </row>
        <row r="117">
          <cell r="B117">
            <v>45123</v>
          </cell>
          <cell r="E117" t="str">
            <v>Болох В.В.</v>
          </cell>
          <cell r="F117" t="str">
            <v>Автокран XCMG</v>
          </cell>
          <cell r="I117">
            <v>17</v>
          </cell>
          <cell r="J117">
            <v>8</v>
          </cell>
          <cell r="K117">
            <v>8</v>
          </cell>
        </row>
        <row r="118">
          <cell r="B118">
            <v>45124</v>
          </cell>
          <cell r="E118" t="str">
            <v>Болох В.В.</v>
          </cell>
          <cell r="F118" t="str">
            <v>Автокран XCMG</v>
          </cell>
          <cell r="I118">
            <v>17</v>
          </cell>
          <cell r="J118">
            <v>10</v>
          </cell>
          <cell r="K118">
            <v>1</v>
          </cell>
        </row>
        <row r="119">
          <cell r="B119">
            <v>45125</v>
          </cell>
          <cell r="E119" t="str">
            <v>Болох В.В.</v>
          </cell>
          <cell r="F119" t="str">
            <v>Автокран XCMG</v>
          </cell>
          <cell r="I119">
            <v>17</v>
          </cell>
          <cell r="J119">
            <v>10</v>
          </cell>
          <cell r="K119">
            <v>4</v>
          </cell>
        </row>
        <row r="120">
          <cell r="B120">
            <v>45126</v>
          </cell>
          <cell r="E120" t="str">
            <v>Болох В.В.</v>
          </cell>
          <cell r="F120" t="str">
            <v>Автокран XCMG</v>
          </cell>
          <cell r="I120">
            <v>17</v>
          </cell>
          <cell r="J120">
            <v>10</v>
          </cell>
          <cell r="K120">
            <v>9</v>
          </cell>
        </row>
        <row r="121">
          <cell r="B121">
            <v>45127</v>
          </cell>
          <cell r="E121" t="str">
            <v>Болох В.В.</v>
          </cell>
          <cell r="F121" t="str">
            <v>Автокран XCMG</v>
          </cell>
          <cell r="I121">
            <v>17</v>
          </cell>
          <cell r="J121">
            <v>10</v>
          </cell>
          <cell r="K121">
            <v>2</v>
          </cell>
        </row>
        <row r="122">
          <cell r="B122">
            <v>45128</v>
          </cell>
          <cell r="E122" t="str">
            <v>Болох В.В.</v>
          </cell>
          <cell r="F122" t="str">
            <v>Автокран XCMG</v>
          </cell>
          <cell r="I122">
            <v>17</v>
          </cell>
          <cell r="J122">
            <v>10</v>
          </cell>
          <cell r="K122">
            <v>2</v>
          </cell>
        </row>
        <row r="123">
          <cell r="B123">
            <v>45129</v>
          </cell>
          <cell r="E123" t="str">
            <v>Болох В.В.</v>
          </cell>
          <cell r="F123" t="str">
            <v>Автокран XCMG</v>
          </cell>
          <cell r="I123">
            <v>17</v>
          </cell>
          <cell r="J123">
            <v>10</v>
          </cell>
          <cell r="K123">
            <v>9</v>
          </cell>
        </row>
        <row r="124">
          <cell r="B124">
            <v>45131</v>
          </cell>
          <cell r="E124" t="str">
            <v>Болох В.В.</v>
          </cell>
          <cell r="F124" t="str">
            <v>Автокран XCMG</v>
          </cell>
          <cell r="I124">
            <v>17</v>
          </cell>
          <cell r="J124">
            <v>10</v>
          </cell>
          <cell r="K124">
            <v>8</v>
          </cell>
        </row>
        <row r="125">
          <cell r="B125">
            <v>45132</v>
          </cell>
          <cell r="E125" t="str">
            <v>Болох В.В.</v>
          </cell>
          <cell r="F125" t="str">
            <v>Автокран XCMG</v>
          </cell>
          <cell r="I125">
            <v>17</v>
          </cell>
          <cell r="J125">
            <v>10</v>
          </cell>
          <cell r="K125">
            <v>10</v>
          </cell>
        </row>
        <row r="126">
          <cell r="B126">
            <v>45133</v>
          </cell>
          <cell r="E126" t="str">
            <v>Болох В.В.</v>
          </cell>
          <cell r="F126" t="str">
            <v>Автокран XCMG</v>
          </cell>
          <cell r="I126">
            <v>17</v>
          </cell>
          <cell r="J126">
            <v>10</v>
          </cell>
          <cell r="K126">
            <v>10</v>
          </cell>
        </row>
        <row r="127">
          <cell r="B127">
            <v>45134</v>
          </cell>
          <cell r="E127" t="str">
            <v>Болох В.В.</v>
          </cell>
          <cell r="F127" t="str">
            <v>Автокран XCMG</v>
          </cell>
          <cell r="I127">
            <v>17</v>
          </cell>
          <cell r="J127">
            <v>10</v>
          </cell>
          <cell r="K127">
            <v>2</v>
          </cell>
        </row>
        <row r="128">
          <cell r="B128">
            <v>45135</v>
          </cell>
          <cell r="E128" t="str">
            <v>Болох В.В.</v>
          </cell>
          <cell r="F128" t="str">
            <v>Автокран XCMG</v>
          </cell>
          <cell r="I128">
            <v>17</v>
          </cell>
          <cell r="J128">
            <v>10</v>
          </cell>
        </row>
        <row r="129">
          <cell r="B129">
            <v>45136</v>
          </cell>
          <cell r="E129" t="str">
            <v>Болох В.В.</v>
          </cell>
          <cell r="F129" t="str">
            <v>Автокран XCMG</v>
          </cell>
          <cell r="I129">
            <v>17</v>
          </cell>
          <cell r="J129">
            <v>10</v>
          </cell>
          <cell r="K129">
            <v>1</v>
          </cell>
        </row>
        <row r="130">
          <cell r="B130">
            <v>45138</v>
          </cell>
          <cell r="E130" t="str">
            <v>Болох В.В.</v>
          </cell>
          <cell r="F130" t="str">
            <v>Автокран XCMG</v>
          </cell>
          <cell r="I130">
            <v>17</v>
          </cell>
          <cell r="J130">
            <v>10</v>
          </cell>
          <cell r="K130">
            <v>1</v>
          </cell>
          <cell r="L130">
            <v>1</v>
          </cell>
        </row>
        <row r="131">
          <cell r="B131">
            <v>45125</v>
          </cell>
          <cell r="E131" t="str">
            <v>Бунтило В.І.</v>
          </cell>
          <cell r="F131" t="str">
            <v>Самосвал камаз</v>
          </cell>
          <cell r="I131">
            <v>16</v>
          </cell>
          <cell r="J131">
            <v>10</v>
          </cell>
          <cell r="K131">
            <v>6</v>
          </cell>
        </row>
        <row r="132">
          <cell r="B132">
            <v>45126</v>
          </cell>
          <cell r="E132" t="str">
            <v>Бунтило В.І.</v>
          </cell>
          <cell r="F132" t="str">
            <v>Самосвал камаз</v>
          </cell>
          <cell r="I132">
            <v>16</v>
          </cell>
          <cell r="J132">
            <v>12</v>
          </cell>
          <cell r="K132">
            <v>1</v>
          </cell>
        </row>
        <row r="133">
          <cell r="B133">
            <v>45127</v>
          </cell>
          <cell r="E133" t="str">
            <v>Бунтило В.І.</v>
          </cell>
          <cell r="F133" t="str">
            <v>Самосвал камаз</v>
          </cell>
          <cell r="I133">
            <v>16</v>
          </cell>
          <cell r="J133">
            <v>10</v>
          </cell>
          <cell r="K133">
            <v>2</v>
          </cell>
        </row>
        <row r="134">
          <cell r="B134">
            <v>45133</v>
          </cell>
          <cell r="E134" t="str">
            <v>Бунтило В.І.</v>
          </cell>
          <cell r="F134" t="str">
            <v>Самосвал камаз</v>
          </cell>
          <cell r="I134">
            <v>16</v>
          </cell>
          <cell r="J134">
            <v>10</v>
          </cell>
        </row>
        <row r="135">
          <cell r="B135">
            <v>45134</v>
          </cell>
          <cell r="E135" t="str">
            <v>Бунтило В.І.</v>
          </cell>
          <cell r="F135" t="str">
            <v>Самосвал камаз</v>
          </cell>
          <cell r="I135">
            <v>16</v>
          </cell>
          <cell r="J135">
            <v>12</v>
          </cell>
          <cell r="K135">
            <v>2</v>
          </cell>
        </row>
        <row r="136">
          <cell r="B136">
            <v>45135</v>
          </cell>
          <cell r="E136" t="str">
            <v>Бунтило В.І.</v>
          </cell>
          <cell r="F136" t="str">
            <v>Самосвал камаз</v>
          </cell>
          <cell r="I136">
            <v>16</v>
          </cell>
          <cell r="J136">
            <v>12</v>
          </cell>
          <cell r="K136">
            <v>1</v>
          </cell>
          <cell r="L136">
            <v>1</v>
          </cell>
        </row>
        <row r="137">
          <cell r="B137">
            <v>45136</v>
          </cell>
          <cell r="E137" t="str">
            <v>Бунтило В.І.</v>
          </cell>
          <cell r="F137" t="str">
            <v>Самосвал камаз</v>
          </cell>
          <cell r="I137">
            <v>16</v>
          </cell>
          <cell r="J137">
            <v>11</v>
          </cell>
          <cell r="K137">
            <v>4</v>
          </cell>
          <cell r="L137">
            <v>1</v>
          </cell>
        </row>
        <row r="138">
          <cell r="B138">
            <v>45128</v>
          </cell>
          <cell r="E138" t="str">
            <v>Бунтило В.І.</v>
          </cell>
          <cell r="F138" t="str">
            <v>Виброкаток</v>
          </cell>
          <cell r="I138">
            <v>6</v>
          </cell>
          <cell r="J138">
            <v>1</v>
          </cell>
        </row>
        <row r="139">
          <cell r="B139">
            <v>45129</v>
          </cell>
          <cell r="E139" t="str">
            <v>Бунтило В.І.</v>
          </cell>
          <cell r="F139" t="str">
            <v>Виброкаток</v>
          </cell>
          <cell r="I139">
            <v>6</v>
          </cell>
          <cell r="J139">
            <v>2</v>
          </cell>
        </row>
        <row r="140">
          <cell r="B140">
            <v>45131</v>
          </cell>
          <cell r="E140" t="str">
            <v>Бунтило В.І.</v>
          </cell>
          <cell r="F140" t="str">
            <v>Виброкаток</v>
          </cell>
          <cell r="I140">
            <v>6</v>
          </cell>
          <cell r="J140">
            <v>2</v>
          </cell>
          <cell r="L140">
            <v>1</v>
          </cell>
        </row>
        <row r="141">
          <cell r="B141">
            <v>45132</v>
          </cell>
          <cell r="E141" t="str">
            <v>Бунтило В.І.</v>
          </cell>
          <cell r="F141" t="str">
            <v>Виброкаток</v>
          </cell>
          <cell r="I141">
            <v>6</v>
          </cell>
          <cell r="J141">
            <v>3</v>
          </cell>
          <cell r="K141">
            <v>2</v>
          </cell>
        </row>
        <row r="142">
          <cell r="B142">
            <v>45133</v>
          </cell>
          <cell r="E142" t="str">
            <v>Бунтило В.І.</v>
          </cell>
          <cell r="F142" t="str">
            <v>Виброкаток</v>
          </cell>
          <cell r="I142">
            <v>6</v>
          </cell>
          <cell r="J142">
            <v>1</v>
          </cell>
        </row>
        <row r="143">
          <cell r="B143">
            <v>45108</v>
          </cell>
          <cell r="E143" t="str">
            <v>Борисенко О.М.</v>
          </cell>
          <cell r="F143" t="str">
            <v>Автокран клинцы</v>
          </cell>
          <cell r="I143">
            <v>19</v>
          </cell>
          <cell r="J143">
            <v>8</v>
          </cell>
          <cell r="K143">
            <v>1</v>
          </cell>
        </row>
        <row r="144">
          <cell r="B144">
            <v>45110</v>
          </cell>
          <cell r="E144" t="str">
            <v>Борисенко О.М.</v>
          </cell>
          <cell r="F144" t="str">
            <v>Автокран клинцы</v>
          </cell>
          <cell r="I144">
            <v>19</v>
          </cell>
          <cell r="J144">
            <v>8</v>
          </cell>
        </row>
        <row r="145">
          <cell r="B145">
            <v>45111</v>
          </cell>
          <cell r="E145" t="str">
            <v>Борисенко О.М.</v>
          </cell>
          <cell r="F145" t="str">
            <v>Автокран клинцы</v>
          </cell>
          <cell r="I145">
            <v>19</v>
          </cell>
          <cell r="J145">
            <v>8</v>
          </cell>
        </row>
        <row r="146">
          <cell r="B146">
            <v>45112</v>
          </cell>
          <cell r="E146" t="str">
            <v>Борисенко О.М.</v>
          </cell>
          <cell r="F146" t="str">
            <v>Автокран клинцы</v>
          </cell>
          <cell r="I146">
            <v>19</v>
          </cell>
          <cell r="J146">
            <v>10</v>
          </cell>
          <cell r="K146">
            <v>2</v>
          </cell>
        </row>
        <row r="147">
          <cell r="B147">
            <v>45113</v>
          </cell>
          <cell r="E147" t="str">
            <v>Борисенко О.М.</v>
          </cell>
          <cell r="F147" t="str">
            <v>Автокран клинцы</v>
          </cell>
          <cell r="I147">
            <v>19</v>
          </cell>
          <cell r="J147">
            <v>8</v>
          </cell>
        </row>
        <row r="148">
          <cell r="B148">
            <v>45114</v>
          </cell>
          <cell r="E148" t="str">
            <v>Борисенко О.М.</v>
          </cell>
          <cell r="F148" t="str">
            <v>Автокран клинцы</v>
          </cell>
          <cell r="I148">
            <v>19</v>
          </cell>
          <cell r="J148">
            <v>8</v>
          </cell>
          <cell r="L148">
            <v>1</v>
          </cell>
        </row>
        <row r="149">
          <cell r="B149">
            <v>45115</v>
          </cell>
          <cell r="E149" t="str">
            <v>Борисенко О.М.</v>
          </cell>
          <cell r="F149" t="str">
            <v>Автокран клинцы</v>
          </cell>
          <cell r="I149">
            <v>19</v>
          </cell>
          <cell r="J149">
            <v>8</v>
          </cell>
        </row>
        <row r="150">
          <cell r="B150">
            <v>45117</v>
          </cell>
          <cell r="E150" t="str">
            <v>Борисенко О.М.</v>
          </cell>
          <cell r="F150" t="str">
            <v>Автокран клинцы</v>
          </cell>
          <cell r="I150">
            <v>19</v>
          </cell>
          <cell r="J150">
            <v>8</v>
          </cell>
        </row>
        <row r="151">
          <cell r="B151">
            <v>45118</v>
          </cell>
          <cell r="E151" t="str">
            <v>Борисенко О.М.</v>
          </cell>
          <cell r="F151" t="str">
            <v>Автокран клинцы</v>
          </cell>
          <cell r="I151">
            <v>19</v>
          </cell>
          <cell r="J151">
            <v>8</v>
          </cell>
        </row>
        <row r="152">
          <cell r="B152">
            <v>45119</v>
          </cell>
          <cell r="E152" t="str">
            <v>Борисенко О.М.</v>
          </cell>
          <cell r="F152" t="str">
            <v>Автокран клинцы</v>
          </cell>
          <cell r="I152">
            <v>19</v>
          </cell>
          <cell r="J152">
            <v>9</v>
          </cell>
          <cell r="K152">
            <v>1</v>
          </cell>
        </row>
        <row r="153">
          <cell r="B153">
            <v>45120</v>
          </cell>
          <cell r="E153" t="str">
            <v>Борисенко О.М.</v>
          </cell>
          <cell r="F153" t="str">
            <v>Автокран клинцы</v>
          </cell>
          <cell r="I153">
            <v>19</v>
          </cell>
          <cell r="J153">
            <v>8</v>
          </cell>
        </row>
        <row r="154">
          <cell r="B154">
            <v>45121</v>
          </cell>
          <cell r="E154" t="str">
            <v>Борисенко О.М.</v>
          </cell>
          <cell r="F154" t="str">
            <v>Автокран клинцы</v>
          </cell>
          <cell r="I154">
            <v>19</v>
          </cell>
          <cell r="J154">
            <v>9</v>
          </cell>
          <cell r="K154">
            <v>1</v>
          </cell>
        </row>
        <row r="155">
          <cell r="B155">
            <v>45122</v>
          </cell>
          <cell r="E155" t="str">
            <v>Борисенко О.М.</v>
          </cell>
          <cell r="F155" t="str">
            <v>Автокран клинцы</v>
          </cell>
          <cell r="I155">
            <v>19</v>
          </cell>
          <cell r="J155">
            <v>8</v>
          </cell>
          <cell r="K155">
            <v>1</v>
          </cell>
        </row>
        <row r="156">
          <cell r="B156">
            <v>45124</v>
          </cell>
          <cell r="E156" t="str">
            <v>Борисенко О.М.</v>
          </cell>
          <cell r="F156" t="str">
            <v>Автокран клинцы</v>
          </cell>
          <cell r="I156">
            <v>19</v>
          </cell>
          <cell r="J156">
            <v>8</v>
          </cell>
        </row>
        <row r="157">
          <cell r="B157">
            <v>45125</v>
          </cell>
          <cell r="E157" t="str">
            <v>Борисенко О.М.</v>
          </cell>
          <cell r="F157" t="str">
            <v>Автокран клинцы</v>
          </cell>
          <cell r="I157">
            <v>19</v>
          </cell>
          <cell r="J157">
            <v>8</v>
          </cell>
        </row>
        <row r="158">
          <cell r="B158">
            <v>45126</v>
          </cell>
          <cell r="E158" t="str">
            <v>Борисенко О.М.</v>
          </cell>
          <cell r="F158" t="str">
            <v>Автокран клинцы</v>
          </cell>
          <cell r="I158">
            <v>19</v>
          </cell>
          <cell r="J158">
            <v>8</v>
          </cell>
          <cell r="K158">
            <v>4</v>
          </cell>
        </row>
        <row r="159">
          <cell r="B159">
            <v>45127</v>
          </cell>
          <cell r="E159" t="str">
            <v>Борисенко О.М.</v>
          </cell>
          <cell r="F159" t="str">
            <v>Автокран клинцы</v>
          </cell>
          <cell r="I159">
            <v>19</v>
          </cell>
          <cell r="J159">
            <v>8</v>
          </cell>
        </row>
        <row r="160">
          <cell r="B160">
            <v>45128</v>
          </cell>
          <cell r="E160" t="str">
            <v>Борисенко О.М.</v>
          </cell>
          <cell r="F160" t="str">
            <v>Автокран клинцы</v>
          </cell>
          <cell r="I160">
            <v>19</v>
          </cell>
          <cell r="J160">
            <v>10</v>
          </cell>
          <cell r="K160">
            <v>2</v>
          </cell>
        </row>
        <row r="161">
          <cell r="B161">
            <v>45129</v>
          </cell>
          <cell r="E161" t="str">
            <v>Борисенко О.М.</v>
          </cell>
          <cell r="F161" t="str">
            <v>Автокран клинцы</v>
          </cell>
          <cell r="I161">
            <v>19</v>
          </cell>
          <cell r="J161">
            <v>7</v>
          </cell>
          <cell r="K161">
            <v>3</v>
          </cell>
        </row>
        <row r="162">
          <cell r="B162">
            <v>45131</v>
          </cell>
          <cell r="E162" t="str">
            <v>Борисенко О.М.</v>
          </cell>
          <cell r="F162" t="str">
            <v>Автокран клинцы</v>
          </cell>
          <cell r="I162">
            <v>19</v>
          </cell>
          <cell r="J162">
            <v>4</v>
          </cell>
        </row>
        <row r="163">
          <cell r="B163">
            <v>45108</v>
          </cell>
          <cell r="E163" t="str">
            <v>Трохименко В.Я.</v>
          </cell>
          <cell r="F163" t="str">
            <v>РДК 250</v>
          </cell>
          <cell r="I163">
            <v>14</v>
          </cell>
          <cell r="J163">
            <v>8</v>
          </cell>
        </row>
        <row r="164">
          <cell r="B164">
            <v>45110</v>
          </cell>
          <cell r="E164" t="str">
            <v>Трохименко В.Я.</v>
          </cell>
          <cell r="F164" t="str">
            <v>РДК 250</v>
          </cell>
          <cell r="I164">
            <v>14</v>
          </cell>
          <cell r="J164">
            <v>8</v>
          </cell>
        </row>
        <row r="165">
          <cell r="B165">
            <v>45111</v>
          </cell>
          <cell r="E165" t="str">
            <v>Трохименко В.Я.</v>
          </cell>
          <cell r="F165" t="str">
            <v>РДК 250</v>
          </cell>
          <cell r="I165">
            <v>14</v>
          </cell>
          <cell r="J165">
            <v>8</v>
          </cell>
        </row>
        <row r="166">
          <cell r="B166">
            <v>45112</v>
          </cell>
          <cell r="E166" t="str">
            <v>Трохименко В.Я.</v>
          </cell>
          <cell r="F166" t="str">
            <v>РДК 250</v>
          </cell>
          <cell r="I166">
            <v>14</v>
          </cell>
          <cell r="J166">
            <v>11</v>
          </cell>
          <cell r="K166">
            <v>3</v>
          </cell>
        </row>
        <row r="167">
          <cell r="B167">
            <v>45113</v>
          </cell>
          <cell r="E167" t="str">
            <v>Трохименко В.Я.</v>
          </cell>
          <cell r="F167" t="str">
            <v>РДК 250</v>
          </cell>
          <cell r="I167">
            <v>14</v>
          </cell>
          <cell r="J167">
            <v>11</v>
          </cell>
          <cell r="K167">
            <v>3</v>
          </cell>
        </row>
        <row r="168">
          <cell r="B168">
            <v>45114</v>
          </cell>
          <cell r="E168" t="str">
            <v>Трохименко В.Я.</v>
          </cell>
          <cell r="F168" t="str">
            <v>РДК 250</v>
          </cell>
          <cell r="I168">
            <v>14</v>
          </cell>
          <cell r="J168">
            <v>8</v>
          </cell>
        </row>
        <row r="169">
          <cell r="B169">
            <v>45115</v>
          </cell>
          <cell r="E169" t="str">
            <v>Трохименко В.Я.</v>
          </cell>
          <cell r="F169" t="str">
            <v>РДК 250</v>
          </cell>
          <cell r="I169">
            <v>14</v>
          </cell>
          <cell r="J169">
            <v>8</v>
          </cell>
        </row>
        <row r="170">
          <cell r="B170">
            <v>45116</v>
          </cell>
          <cell r="E170" t="str">
            <v>Трохименко В.Я.</v>
          </cell>
          <cell r="F170" t="str">
            <v>РДК 250</v>
          </cell>
          <cell r="I170">
            <v>14</v>
          </cell>
          <cell r="J170">
            <v>4</v>
          </cell>
        </row>
        <row r="171">
          <cell r="B171">
            <v>45118</v>
          </cell>
          <cell r="E171" t="str">
            <v>Трохименко В.Я.</v>
          </cell>
          <cell r="F171" t="str">
            <v>РДК 250</v>
          </cell>
          <cell r="I171">
            <v>14</v>
          </cell>
          <cell r="J171">
            <v>8</v>
          </cell>
        </row>
        <row r="172">
          <cell r="B172">
            <v>45119</v>
          </cell>
          <cell r="E172" t="str">
            <v>Трохименко В.Я.</v>
          </cell>
          <cell r="F172" t="str">
            <v>РДК 250</v>
          </cell>
          <cell r="I172">
            <v>14</v>
          </cell>
          <cell r="J172">
            <v>9</v>
          </cell>
          <cell r="L172">
            <v>1</v>
          </cell>
        </row>
        <row r="173">
          <cell r="B173">
            <v>45120</v>
          </cell>
          <cell r="E173" t="str">
            <v>Трохименко В.Я.</v>
          </cell>
          <cell r="F173" t="str">
            <v>РДК 250</v>
          </cell>
          <cell r="I173">
            <v>14</v>
          </cell>
          <cell r="J173">
            <v>9</v>
          </cell>
          <cell r="K173">
            <v>1</v>
          </cell>
        </row>
        <row r="174">
          <cell r="B174">
            <v>45121</v>
          </cell>
          <cell r="E174" t="str">
            <v>Трохименко В.Я.</v>
          </cell>
          <cell r="F174" t="str">
            <v>РДК 250</v>
          </cell>
          <cell r="I174">
            <v>14</v>
          </cell>
          <cell r="J174">
            <v>9</v>
          </cell>
          <cell r="K174">
            <v>1</v>
          </cell>
        </row>
        <row r="175">
          <cell r="B175">
            <v>45122</v>
          </cell>
          <cell r="E175" t="str">
            <v>Трохименко В.Я.</v>
          </cell>
          <cell r="F175" t="str">
            <v>РДК 250</v>
          </cell>
          <cell r="I175">
            <v>14</v>
          </cell>
          <cell r="J175">
            <v>9</v>
          </cell>
          <cell r="K175">
            <v>1</v>
          </cell>
        </row>
        <row r="176">
          <cell r="B176">
            <v>45124</v>
          </cell>
          <cell r="E176" t="str">
            <v>Трохименко В.Я.</v>
          </cell>
          <cell r="F176" t="str">
            <v>РДК 250</v>
          </cell>
          <cell r="I176">
            <v>14</v>
          </cell>
          <cell r="J176">
            <v>9</v>
          </cell>
          <cell r="K176">
            <v>1</v>
          </cell>
        </row>
        <row r="177">
          <cell r="B177">
            <v>45125</v>
          </cell>
          <cell r="E177" t="str">
            <v>Трохименко В.Я.</v>
          </cell>
          <cell r="F177" t="str">
            <v>РДК 250</v>
          </cell>
          <cell r="I177">
            <v>14</v>
          </cell>
          <cell r="J177">
            <v>9</v>
          </cell>
          <cell r="K177">
            <v>1</v>
          </cell>
        </row>
        <row r="178">
          <cell r="B178">
            <v>45126</v>
          </cell>
          <cell r="E178" t="str">
            <v>Трохименко В.Я.</v>
          </cell>
          <cell r="F178" t="str">
            <v>РДК 250</v>
          </cell>
          <cell r="I178">
            <v>14</v>
          </cell>
          <cell r="J178">
            <v>10</v>
          </cell>
          <cell r="K178">
            <v>1</v>
          </cell>
          <cell r="L178">
            <v>1</v>
          </cell>
        </row>
        <row r="179">
          <cell r="B179">
            <v>45127</v>
          </cell>
          <cell r="E179" t="str">
            <v>Трохименко В.Я.</v>
          </cell>
          <cell r="F179" t="str">
            <v>РДК 250</v>
          </cell>
          <cell r="I179">
            <v>14</v>
          </cell>
          <cell r="J179">
            <v>9</v>
          </cell>
          <cell r="K179">
            <v>1</v>
          </cell>
        </row>
        <row r="180">
          <cell r="B180">
            <v>45128</v>
          </cell>
          <cell r="E180" t="str">
            <v>Трохименко В.Я.</v>
          </cell>
          <cell r="F180" t="str">
            <v>РДК 250</v>
          </cell>
          <cell r="I180">
            <v>14</v>
          </cell>
          <cell r="J180">
            <v>9</v>
          </cell>
          <cell r="K180">
            <v>1</v>
          </cell>
        </row>
        <row r="181">
          <cell r="B181">
            <v>45129</v>
          </cell>
          <cell r="E181" t="str">
            <v>Трохименко В.Я.</v>
          </cell>
          <cell r="F181" t="str">
            <v>РДК 250</v>
          </cell>
          <cell r="I181">
            <v>14</v>
          </cell>
          <cell r="J181">
            <v>9</v>
          </cell>
          <cell r="K181">
            <v>1</v>
          </cell>
        </row>
        <row r="182">
          <cell r="B182">
            <v>45130</v>
          </cell>
          <cell r="E182" t="str">
            <v>Трохименко В.Я.</v>
          </cell>
          <cell r="F182" t="str">
            <v>РДК 250</v>
          </cell>
          <cell r="I182">
            <v>14</v>
          </cell>
          <cell r="J182">
            <v>8</v>
          </cell>
        </row>
        <row r="183">
          <cell r="B183">
            <v>45131</v>
          </cell>
          <cell r="E183" t="str">
            <v>Трохименко В.Я.</v>
          </cell>
          <cell r="F183" t="str">
            <v>РДК 250</v>
          </cell>
          <cell r="I183">
            <v>14</v>
          </cell>
          <cell r="J183">
            <v>9</v>
          </cell>
          <cell r="K183">
            <v>1</v>
          </cell>
        </row>
        <row r="184">
          <cell r="B184">
            <v>45132</v>
          </cell>
          <cell r="E184" t="str">
            <v>Трохименко В.Я.</v>
          </cell>
          <cell r="F184" t="str">
            <v>РДК 250</v>
          </cell>
          <cell r="I184">
            <v>14</v>
          </cell>
          <cell r="J184">
            <v>9</v>
          </cell>
          <cell r="K184">
            <v>1</v>
          </cell>
        </row>
        <row r="185">
          <cell r="B185">
            <v>45133</v>
          </cell>
          <cell r="E185" t="str">
            <v>Трохименко В.Я.</v>
          </cell>
          <cell r="F185" t="str">
            <v>РДК 250</v>
          </cell>
          <cell r="I185">
            <v>14</v>
          </cell>
          <cell r="J185">
            <v>9</v>
          </cell>
          <cell r="K185">
            <v>1</v>
          </cell>
        </row>
        <row r="186">
          <cell r="B186">
            <v>45134</v>
          </cell>
          <cell r="E186" t="str">
            <v>Трохименко В.Я.</v>
          </cell>
          <cell r="F186" t="str">
            <v>РДК 250</v>
          </cell>
          <cell r="I186">
            <v>14</v>
          </cell>
          <cell r="J186">
            <v>9</v>
          </cell>
          <cell r="K186">
            <v>1</v>
          </cell>
        </row>
        <row r="187">
          <cell r="B187">
            <v>45135</v>
          </cell>
          <cell r="E187" t="str">
            <v>Трохименко В.Я.</v>
          </cell>
          <cell r="F187" t="str">
            <v>РДК 250</v>
          </cell>
          <cell r="I187">
            <v>14</v>
          </cell>
          <cell r="J187">
            <v>8</v>
          </cell>
          <cell r="K187">
            <v>2</v>
          </cell>
        </row>
        <row r="188">
          <cell r="B188">
            <v>45136</v>
          </cell>
          <cell r="E188" t="str">
            <v>Титор И.В.</v>
          </cell>
          <cell r="F188" t="str">
            <v>РДК 250</v>
          </cell>
          <cell r="I188">
            <v>14</v>
          </cell>
        </row>
        <row r="189">
          <cell r="B189">
            <v>45137</v>
          </cell>
          <cell r="E189" t="str">
            <v>Титор И.В.</v>
          </cell>
          <cell r="F189" t="str">
            <v>РДК 250</v>
          </cell>
          <cell r="I189">
            <v>14</v>
          </cell>
        </row>
        <row r="190">
          <cell r="B190">
            <v>45138</v>
          </cell>
          <cell r="E190" t="str">
            <v>Титор И.В.</v>
          </cell>
          <cell r="F190" t="str">
            <v>РДК 250</v>
          </cell>
          <cell r="I190">
            <v>14</v>
          </cell>
        </row>
        <row r="191">
          <cell r="B191">
            <v>45139</v>
          </cell>
          <cell r="E191" t="str">
            <v>Ковальчук В.В.</v>
          </cell>
          <cell r="F191" t="str">
            <v>Экскаватор JCB 2007</v>
          </cell>
          <cell r="I191">
            <v>8</v>
          </cell>
          <cell r="J191">
            <v>9</v>
          </cell>
        </row>
        <row r="192">
          <cell r="B192">
            <v>45140</v>
          </cell>
          <cell r="E192" t="str">
            <v>Ковальчук В.В.</v>
          </cell>
          <cell r="F192" t="str">
            <v>Экскаватор JCB 2007</v>
          </cell>
          <cell r="I192">
            <v>8</v>
          </cell>
          <cell r="J192">
            <v>9</v>
          </cell>
        </row>
        <row r="193">
          <cell r="B193">
            <v>45141</v>
          </cell>
          <cell r="E193" t="str">
            <v>Ковальчук В.В.</v>
          </cell>
          <cell r="F193" t="str">
            <v>Экскаватор JCB 2007</v>
          </cell>
          <cell r="I193">
            <v>8</v>
          </cell>
          <cell r="J193">
            <v>10</v>
          </cell>
          <cell r="L193">
            <v>1</v>
          </cell>
        </row>
        <row r="194">
          <cell r="B194">
            <v>45142</v>
          </cell>
          <cell r="E194" t="str">
            <v>Ковальчук В.В.</v>
          </cell>
          <cell r="F194" t="str">
            <v>Экскаватор JCB 2007</v>
          </cell>
          <cell r="I194">
            <v>8</v>
          </cell>
          <cell r="J194">
            <v>9</v>
          </cell>
        </row>
        <row r="195">
          <cell r="B195">
            <v>45143</v>
          </cell>
          <cell r="E195" t="str">
            <v>Ковальчук В.В.</v>
          </cell>
          <cell r="F195" t="str">
            <v>Экскаватор JCB 2007</v>
          </cell>
          <cell r="I195">
            <v>8</v>
          </cell>
          <cell r="J195">
            <v>9</v>
          </cell>
          <cell r="L195">
            <v>1</v>
          </cell>
        </row>
        <row r="196">
          <cell r="B196">
            <v>45146</v>
          </cell>
          <cell r="E196" t="str">
            <v>Ковальчук В.В.</v>
          </cell>
          <cell r="F196" t="str">
            <v>Экскаватор JCB 2007</v>
          </cell>
          <cell r="I196">
            <v>8</v>
          </cell>
          <cell r="J196">
            <v>11</v>
          </cell>
        </row>
        <row r="197">
          <cell r="B197">
            <v>45147</v>
          </cell>
          <cell r="E197" t="str">
            <v>Ковальчук В.В.</v>
          </cell>
          <cell r="F197" t="str">
            <v>Экскаватор JCB 2007</v>
          </cell>
          <cell r="I197">
            <v>8</v>
          </cell>
          <cell r="J197">
            <v>11</v>
          </cell>
          <cell r="L197">
            <v>1</v>
          </cell>
        </row>
        <row r="198">
          <cell r="B198">
            <v>45148</v>
          </cell>
          <cell r="E198" t="str">
            <v>Ковальчук В.В.</v>
          </cell>
          <cell r="F198" t="str">
            <v>Экскаватор JCB 2007</v>
          </cell>
          <cell r="I198">
            <v>8</v>
          </cell>
          <cell r="J198">
            <v>9</v>
          </cell>
        </row>
        <row r="199">
          <cell r="B199">
            <v>45149</v>
          </cell>
          <cell r="E199" t="str">
            <v>Ковальчук В.В.</v>
          </cell>
          <cell r="F199" t="str">
            <v>Экскаватор JCB 2007</v>
          </cell>
          <cell r="I199">
            <v>8</v>
          </cell>
          <cell r="J199">
            <v>8</v>
          </cell>
        </row>
        <row r="200">
          <cell r="B200">
            <v>45150</v>
          </cell>
          <cell r="E200" t="str">
            <v>Ковальчук В.В.</v>
          </cell>
          <cell r="F200" t="str">
            <v>Экскаватор JCB 2007</v>
          </cell>
          <cell r="I200">
            <v>8</v>
          </cell>
          <cell r="J200">
            <v>7</v>
          </cell>
        </row>
        <row r="201">
          <cell r="B201">
            <v>45152</v>
          </cell>
          <cell r="E201" t="str">
            <v>Ковальчук В.В.</v>
          </cell>
          <cell r="F201" t="str">
            <v>Экскаватор JCB 2007</v>
          </cell>
          <cell r="I201">
            <v>8</v>
          </cell>
          <cell r="J201">
            <v>9</v>
          </cell>
        </row>
        <row r="202">
          <cell r="B202">
            <v>45153</v>
          </cell>
          <cell r="E202" t="str">
            <v>Ковальчук В.В.</v>
          </cell>
          <cell r="F202" t="str">
            <v>Экскаватор JCB 2007</v>
          </cell>
          <cell r="I202">
            <v>8</v>
          </cell>
          <cell r="J202">
            <v>11</v>
          </cell>
          <cell r="K202">
            <v>1</v>
          </cell>
          <cell r="L202">
            <v>2</v>
          </cell>
        </row>
        <row r="203">
          <cell r="B203">
            <v>45159</v>
          </cell>
          <cell r="E203" t="str">
            <v>Карбунар Я.Д.</v>
          </cell>
          <cell r="F203" t="str">
            <v>Экскаватор JCB 2007</v>
          </cell>
          <cell r="I203">
            <v>8</v>
          </cell>
          <cell r="J203">
            <v>10</v>
          </cell>
        </row>
        <row r="204">
          <cell r="B204">
            <v>45160</v>
          </cell>
          <cell r="E204" t="str">
            <v>Карбунар Я.Д.</v>
          </cell>
          <cell r="F204" t="str">
            <v>Экскаватор JCB 2007</v>
          </cell>
          <cell r="I204">
            <v>8</v>
          </cell>
          <cell r="J204">
            <v>10</v>
          </cell>
        </row>
        <row r="205">
          <cell r="B205">
            <v>45161</v>
          </cell>
          <cell r="E205" t="str">
            <v>Карбунар Я.Д.</v>
          </cell>
          <cell r="F205" t="str">
            <v>Экскаватор JCB 2007</v>
          </cell>
          <cell r="I205">
            <v>8</v>
          </cell>
          <cell r="J205">
            <v>11</v>
          </cell>
          <cell r="L205">
            <v>1</v>
          </cell>
        </row>
        <row r="206">
          <cell r="B206">
            <v>45162</v>
          </cell>
          <cell r="E206" t="str">
            <v>Карбунар Я.Д.</v>
          </cell>
          <cell r="F206" t="str">
            <v>Экскаватор JCB 2007</v>
          </cell>
          <cell r="I206">
            <v>8</v>
          </cell>
          <cell r="J206">
            <v>11</v>
          </cell>
        </row>
        <row r="207">
          <cell r="B207">
            <v>45163</v>
          </cell>
          <cell r="E207" t="str">
            <v>Карбунар Я.Д.</v>
          </cell>
          <cell r="F207" t="str">
            <v>Экскаватор JCB 2007</v>
          </cell>
          <cell r="I207">
            <v>8</v>
          </cell>
          <cell r="J207">
            <v>10</v>
          </cell>
        </row>
        <row r="208">
          <cell r="B208">
            <v>45164</v>
          </cell>
          <cell r="E208" t="str">
            <v>Карбунар Я.Д.</v>
          </cell>
          <cell r="F208" t="str">
            <v>Экскаватор JCB 2007</v>
          </cell>
          <cell r="I208">
            <v>8</v>
          </cell>
          <cell r="J208">
            <v>8</v>
          </cell>
        </row>
        <row r="209">
          <cell r="B209">
            <v>45166</v>
          </cell>
          <cell r="E209" t="str">
            <v>Карбунар Я.Д.</v>
          </cell>
          <cell r="F209" t="str">
            <v>Экскаватор JCB 2007</v>
          </cell>
          <cell r="I209">
            <v>8</v>
          </cell>
          <cell r="J209">
            <v>9</v>
          </cell>
        </row>
        <row r="210">
          <cell r="B210">
            <v>45167</v>
          </cell>
          <cell r="E210" t="str">
            <v>Карбунар Я.Д.</v>
          </cell>
          <cell r="F210" t="str">
            <v>Экскаватор JCB 2007</v>
          </cell>
          <cell r="I210">
            <v>8</v>
          </cell>
          <cell r="J210">
            <v>9</v>
          </cell>
          <cell r="L210">
            <v>1</v>
          </cell>
        </row>
        <row r="211">
          <cell r="B211">
            <v>45168</v>
          </cell>
          <cell r="E211" t="str">
            <v>Карбунар Я.Д.</v>
          </cell>
          <cell r="F211" t="str">
            <v>Экскаватор JCB 2007</v>
          </cell>
          <cell r="I211">
            <v>8</v>
          </cell>
          <cell r="J211">
            <v>10</v>
          </cell>
        </row>
        <row r="212">
          <cell r="B212">
            <v>45169</v>
          </cell>
          <cell r="E212" t="str">
            <v>Карбунар Я.Д.</v>
          </cell>
          <cell r="F212" t="str">
            <v>Экскаватор JCB 2007</v>
          </cell>
          <cell r="I212">
            <v>8</v>
          </cell>
          <cell r="J212">
            <v>10</v>
          </cell>
        </row>
        <row r="213">
          <cell r="B213">
            <v>45162</v>
          </cell>
          <cell r="E213" t="str">
            <v>Дніпренко А.В.</v>
          </cell>
          <cell r="F213" t="str">
            <v>Экскаватор JCB 2013</v>
          </cell>
          <cell r="I213">
            <v>10</v>
          </cell>
          <cell r="J213">
            <v>4</v>
          </cell>
        </row>
        <row r="214">
          <cell r="B214">
            <v>45163</v>
          </cell>
          <cell r="E214" t="str">
            <v>Дніпренко А.В.</v>
          </cell>
          <cell r="F214" t="str">
            <v>Экскаватор JCB 2013</v>
          </cell>
          <cell r="I214">
            <v>10</v>
          </cell>
          <cell r="J214">
            <v>4</v>
          </cell>
        </row>
        <row r="215">
          <cell r="B215">
            <v>45164</v>
          </cell>
          <cell r="E215" t="str">
            <v>Дніпренко А.В.</v>
          </cell>
          <cell r="F215" t="str">
            <v>Экскаватор JCB 2013</v>
          </cell>
          <cell r="I215">
            <v>10</v>
          </cell>
          <cell r="J215">
            <v>8</v>
          </cell>
        </row>
        <row r="216">
          <cell r="B216">
            <v>45165</v>
          </cell>
          <cell r="E216" t="str">
            <v>Дніпренко А.В.</v>
          </cell>
          <cell r="F216" t="str">
            <v>Экскаватор JCB 2013</v>
          </cell>
          <cell r="I216">
            <v>10</v>
          </cell>
          <cell r="J216">
            <v>4</v>
          </cell>
        </row>
        <row r="217">
          <cell r="B217">
            <v>45166</v>
          </cell>
          <cell r="E217" t="str">
            <v>Дніпренко А.В.</v>
          </cell>
          <cell r="F217" t="str">
            <v>Экскаватор JCB 2013</v>
          </cell>
          <cell r="I217">
            <v>10</v>
          </cell>
          <cell r="J217">
            <v>0</v>
          </cell>
        </row>
        <row r="218">
          <cell r="B218">
            <v>45167</v>
          </cell>
          <cell r="E218" t="str">
            <v>Дніпренко А.В.</v>
          </cell>
          <cell r="F218" t="str">
            <v>Экскаватор JCB 2013</v>
          </cell>
          <cell r="I218">
            <v>10</v>
          </cell>
          <cell r="J218">
            <v>0</v>
          </cell>
        </row>
        <row r="219">
          <cell r="B219">
            <v>45168</v>
          </cell>
          <cell r="E219" t="str">
            <v>Дніпренко А.В.</v>
          </cell>
          <cell r="F219" t="str">
            <v>Экскаватор JCB 2013</v>
          </cell>
          <cell r="I219">
            <v>10</v>
          </cell>
          <cell r="J219">
            <v>8</v>
          </cell>
        </row>
        <row r="220">
          <cell r="B220">
            <v>45169</v>
          </cell>
          <cell r="E220" t="str">
            <v>Дніпренко А.В.</v>
          </cell>
          <cell r="F220" t="str">
            <v>Экскаватор JCB 2013</v>
          </cell>
          <cell r="I220">
            <v>10</v>
          </cell>
          <cell r="J220">
            <v>8</v>
          </cell>
        </row>
        <row r="221">
          <cell r="B221">
            <v>45139</v>
          </cell>
          <cell r="E221" t="str">
            <v>Лівіцький Л.І.</v>
          </cell>
          <cell r="F221" t="str">
            <v>Экскаватор JCB 220</v>
          </cell>
          <cell r="I221">
            <v>11</v>
          </cell>
          <cell r="J221">
            <v>6</v>
          </cell>
        </row>
        <row r="222">
          <cell r="B222">
            <v>45140</v>
          </cell>
          <cell r="E222" t="str">
            <v>Лівіцький Л.І.</v>
          </cell>
          <cell r="F222" t="str">
            <v>Экскаватор JCB 220</v>
          </cell>
          <cell r="I222">
            <v>11</v>
          </cell>
          <cell r="J222">
            <v>11</v>
          </cell>
        </row>
        <row r="223">
          <cell r="B223">
            <v>45141</v>
          </cell>
          <cell r="E223" t="str">
            <v>Лівіцький Л.І.</v>
          </cell>
          <cell r="F223" t="str">
            <v>Экскаватор JCB 220</v>
          </cell>
          <cell r="I223">
            <v>11</v>
          </cell>
          <cell r="J223">
            <v>10</v>
          </cell>
        </row>
        <row r="224">
          <cell r="B224">
            <v>45142</v>
          </cell>
          <cell r="E224" t="str">
            <v>Лівіцький Л.І.</v>
          </cell>
          <cell r="F224" t="str">
            <v>Экскаватор JCB 220</v>
          </cell>
          <cell r="I224">
            <v>11</v>
          </cell>
          <cell r="J224">
            <v>10</v>
          </cell>
        </row>
        <row r="225">
          <cell r="B225">
            <v>45145</v>
          </cell>
          <cell r="E225" t="str">
            <v>Лівіцький Л.І.</v>
          </cell>
          <cell r="F225" t="str">
            <v>Экскаватор JCB 220</v>
          </cell>
          <cell r="I225">
            <v>11</v>
          </cell>
          <cell r="J225">
            <v>4</v>
          </cell>
        </row>
        <row r="226">
          <cell r="B226">
            <v>45146</v>
          </cell>
          <cell r="E226" t="str">
            <v>Лівіцький Л.І.</v>
          </cell>
          <cell r="F226" t="str">
            <v>Экскаватор JCB 220</v>
          </cell>
          <cell r="I226">
            <v>11</v>
          </cell>
          <cell r="J226">
            <v>10</v>
          </cell>
        </row>
        <row r="227">
          <cell r="B227">
            <v>45147</v>
          </cell>
          <cell r="E227" t="str">
            <v>Лівіцький Л.І.</v>
          </cell>
          <cell r="F227" t="str">
            <v>Экскаватор JCB 220</v>
          </cell>
          <cell r="I227">
            <v>11</v>
          </cell>
          <cell r="J227">
            <v>10</v>
          </cell>
        </row>
        <row r="228">
          <cell r="B228">
            <v>45148</v>
          </cell>
          <cell r="E228" t="str">
            <v>Лівіцький Л.І.</v>
          </cell>
          <cell r="F228" t="str">
            <v>Экскаватор JCB 220</v>
          </cell>
          <cell r="I228">
            <v>11</v>
          </cell>
          <cell r="J228">
            <v>10</v>
          </cell>
        </row>
        <row r="229">
          <cell r="B229">
            <v>45149</v>
          </cell>
          <cell r="E229" t="str">
            <v>Лівіцький Л.І.</v>
          </cell>
          <cell r="F229" t="str">
            <v>Экскаватор JCB 220</v>
          </cell>
          <cell r="I229">
            <v>11</v>
          </cell>
          <cell r="J229">
            <v>10</v>
          </cell>
        </row>
        <row r="230">
          <cell r="B230">
            <v>45150</v>
          </cell>
          <cell r="E230" t="str">
            <v>Лівіцький Л.І.</v>
          </cell>
          <cell r="F230" t="str">
            <v>Экскаватор JCB 220</v>
          </cell>
          <cell r="I230">
            <v>11</v>
          </cell>
          <cell r="J230">
            <v>6</v>
          </cell>
        </row>
        <row r="231">
          <cell r="B231">
            <v>45152</v>
          </cell>
          <cell r="E231" t="str">
            <v>Лівіцький Л.І.</v>
          </cell>
          <cell r="F231" t="str">
            <v>Экскаватор JCB 220</v>
          </cell>
          <cell r="I231">
            <v>11</v>
          </cell>
          <cell r="J231">
            <v>10</v>
          </cell>
        </row>
        <row r="232">
          <cell r="B232">
            <v>45153</v>
          </cell>
          <cell r="E232" t="str">
            <v>Лівіцький Л.І.</v>
          </cell>
          <cell r="F232" t="str">
            <v>Экскаватор JCB 220</v>
          </cell>
          <cell r="I232">
            <v>11</v>
          </cell>
          <cell r="J232">
            <v>10</v>
          </cell>
        </row>
        <row r="233">
          <cell r="B233">
            <v>45161</v>
          </cell>
          <cell r="E233" t="str">
            <v>Скоц С.І.</v>
          </cell>
          <cell r="F233" t="str">
            <v>Экскаватор JCB 220</v>
          </cell>
          <cell r="I233">
            <v>11</v>
          </cell>
          <cell r="J233">
            <v>8</v>
          </cell>
        </row>
        <row r="234">
          <cell r="B234">
            <v>45154</v>
          </cell>
          <cell r="E234" t="str">
            <v>Горячий І.В.</v>
          </cell>
          <cell r="F234" t="str">
            <v>Телескоп №2</v>
          </cell>
          <cell r="I234">
            <v>2</v>
          </cell>
          <cell r="J234">
            <v>10</v>
          </cell>
          <cell r="L234">
            <v>1</v>
          </cell>
        </row>
        <row r="235">
          <cell r="B235">
            <v>45155</v>
          </cell>
          <cell r="E235" t="str">
            <v>Горячий І.В.</v>
          </cell>
          <cell r="F235" t="str">
            <v>Телескоп №2</v>
          </cell>
          <cell r="I235">
            <v>2</v>
          </cell>
          <cell r="J235">
            <v>10</v>
          </cell>
          <cell r="K235">
            <v>2</v>
          </cell>
        </row>
        <row r="236">
          <cell r="B236">
            <v>45156</v>
          </cell>
          <cell r="E236" t="str">
            <v>Горячий І.В.</v>
          </cell>
          <cell r="F236" t="str">
            <v>Телескоп №2</v>
          </cell>
          <cell r="I236">
            <v>2</v>
          </cell>
          <cell r="J236">
            <v>10</v>
          </cell>
        </row>
        <row r="237">
          <cell r="B237">
            <v>45157</v>
          </cell>
          <cell r="E237" t="str">
            <v>Горячий І.В.</v>
          </cell>
          <cell r="F237" t="str">
            <v>Телескоп №2</v>
          </cell>
          <cell r="I237">
            <v>2</v>
          </cell>
          <cell r="J237">
            <v>6</v>
          </cell>
          <cell r="K237">
            <v>1</v>
          </cell>
        </row>
        <row r="238">
          <cell r="B238">
            <v>45159</v>
          </cell>
          <cell r="E238" t="str">
            <v>Горячий І.В.</v>
          </cell>
          <cell r="F238" t="str">
            <v>Телескоп №2</v>
          </cell>
          <cell r="I238">
            <v>2</v>
          </cell>
          <cell r="J238">
            <v>9</v>
          </cell>
        </row>
        <row r="239">
          <cell r="B239">
            <v>45160</v>
          </cell>
          <cell r="E239" t="str">
            <v>Горячий І.В.</v>
          </cell>
          <cell r="F239" t="str">
            <v>Телескоп №2</v>
          </cell>
          <cell r="I239">
            <v>2</v>
          </cell>
          <cell r="J239">
            <v>10</v>
          </cell>
          <cell r="K239">
            <v>2</v>
          </cell>
        </row>
        <row r="240">
          <cell r="B240">
            <v>45161</v>
          </cell>
          <cell r="E240" t="str">
            <v>Горячий І.В.</v>
          </cell>
          <cell r="F240" t="str">
            <v>Телескоп №2</v>
          </cell>
          <cell r="I240">
            <v>2</v>
          </cell>
          <cell r="J240">
            <v>10</v>
          </cell>
          <cell r="L240">
            <v>1</v>
          </cell>
        </row>
        <row r="241">
          <cell r="B241">
            <v>45162</v>
          </cell>
          <cell r="E241" t="str">
            <v>Горячий І.В.</v>
          </cell>
          <cell r="F241" t="str">
            <v>Телескоп №2</v>
          </cell>
          <cell r="I241">
            <v>2</v>
          </cell>
          <cell r="J241">
            <v>9</v>
          </cell>
        </row>
        <row r="242">
          <cell r="B242">
            <v>45163</v>
          </cell>
          <cell r="E242" t="str">
            <v>Горячий І.В.</v>
          </cell>
          <cell r="F242" t="str">
            <v>Телескоп №2</v>
          </cell>
          <cell r="I242">
            <v>2</v>
          </cell>
          <cell r="J242">
            <v>10</v>
          </cell>
          <cell r="K242">
            <v>1</v>
          </cell>
        </row>
        <row r="243">
          <cell r="B243">
            <v>45164</v>
          </cell>
          <cell r="E243" t="str">
            <v>Горячий І.В.</v>
          </cell>
          <cell r="F243" t="str">
            <v>Телескоп №2</v>
          </cell>
          <cell r="I243">
            <v>2</v>
          </cell>
          <cell r="J243">
            <v>4</v>
          </cell>
        </row>
        <row r="244">
          <cell r="B244">
            <v>45166</v>
          </cell>
          <cell r="E244" t="str">
            <v>Горячий І.В.</v>
          </cell>
          <cell r="F244" t="str">
            <v>Телескоп №2</v>
          </cell>
          <cell r="I244">
            <v>2</v>
          </cell>
          <cell r="J244">
            <v>4</v>
          </cell>
        </row>
        <row r="245">
          <cell r="B245">
            <v>45167</v>
          </cell>
          <cell r="E245" t="str">
            <v>Горячий І.В.</v>
          </cell>
          <cell r="F245" t="str">
            <v>Телескоп №2</v>
          </cell>
          <cell r="I245">
            <v>2</v>
          </cell>
          <cell r="J245">
            <v>10</v>
          </cell>
        </row>
        <row r="246">
          <cell r="B246">
            <v>45168</v>
          </cell>
          <cell r="E246" t="str">
            <v>Горячий І.В.</v>
          </cell>
          <cell r="F246" t="str">
            <v>Телескоп №2</v>
          </cell>
          <cell r="I246">
            <v>2</v>
          </cell>
          <cell r="J246">
            <v>10</v>
          </cell>
          <cell r="K246">
            <v>1</v>
          </cell>
        </row>
        <row r="247">
          <cell r="B247">
            <v>45169</v>
          </cell>
          <cell r="E247" t="str">
            <v>Горячий І.В.</v>
          </cell>
          <cell r="F247" t="str">
            <v>Телескоп №2</v>
          </cell>
          <cell r="I247">
            <v>2</v>
          </cell>
          <cell r="J247">
            <v>9</v>
          </cell>
          <cell r="K247">
            <v>1</v>
          </cell>
        </row>
        <row r="248">
          <cell r="B248">
            <v>45139</v>
          </cell>
          <cell r="E248" t="str">
            <v>Горячий І.В.</v>
          </cell>
          <cell r="F248" t="str">
            <v>Телескоп №2</v>
          </cell>
          <cell r="I248">
            <v>2</v>
          </cell>
          <cell r="J248">
            <v>10</v>
          </cell>
          <cell r="K248">
            <v>1</v>
          </cell>
        </row>
        <row r="249">
          <cell r="B249">
            <v>45140</v>
          </cell>
          <cell r="E249" t="str">
            <v>Горячий І.В.</v>
          </cell>
          <cell r="F249" t="str">
            <v>Телескоп №2</v>
          </cell>
          <cell r="I249">
            <v>2</v>
          </cell>
          <cell r="J249">
            <v>10</v>
          </cell>
        </row>
        <row r="250">
          <cell r="B250">
            <v>45141</v>
          </cell>
          <cell r="E250" t="str">
            <v>Горячий І.В.</v>
          </cell>
          <cell r="F250" t="str">
            <v>Телескоп №2</v>
          </cell>
          <cell r="I250">
            <v>2</v>
          </cell>
          <cell r="J250">
            <v>9</v>
          </cell>
          <cell r="L250">
            <v>1</v>
          </cell>
        </row>
        <row r="251">
          <cell r="B251">
            <v>45142</v>
          </cell>
          <cell r="E251" t="str">
            <v>Горячий І.В.</v>
          </cell>
          <cell r="F251" t="str">
            <v>Телескоп №2</v>
          </cell>
          <cell r="I251">
            <v>2</v>
          </cell>
          <cell r="J251">
            <v>8</v>
          </cell>
        </row>
        <row r="252">
          <cell r="B252">
            <v>45143</v>
          </cell>
          <cell r="E252" t="str">
            <v>Горячий І.В.</v>
          </cell>
          <cell r="F252" t="str">
            <v>Телескоп №2</v>
          </cell>
          <cell r="I252">
            <v>2</v>
          </cell>
          <cell r="J252">
            <v>7</v>
          </cell>
          <cell r="K252">
            <v>1</v>
          </cell>
        </row>
        <row r="253">
          <cell r="B253">
            <v>45145</v>
          </cell>
          <cell r="E253" t="str">
            <v>Горячий І.В.</v>
          </cell>
          <cell r="F253" t="str">
            <v>Телескоп №2</v>
          </cell>
          <cell r="I253">
            <v>2</v>
          </cell>
          <cell r="J253">
            <v>9</v>
          </cell>
          <cell r="K253">
            <v>1</v>
          </cell>
        </row>
        <row r="254">
          <cell r="B254">
            <v>45146</v>
          </cell>
          <cell r="E254" t="str">
            <v>Горячий І.В.</v>
          </cell>
          <cell r="F254" t="str">
            <v>Телескоп №2</v>
          </cell>
          <cell r="I254">
            <v>2</v>
          </cell>
          <cell r="J254">
            <v>9</v>
          </cell>
        </row>
        <row r="255">
          <cell r="B255">
            <v>45147</v>
          </cell>
          <cell r="E255" t="str">
            <v>Горячий І.В.</v>
          </cell>
          <cell r="F255" t="str">
            <v>Телескоп №2</v>
          </cell>
          <cell r="I255">
            <v>2</v>
          </cell>
          <cell r="J255">
            <v>10</v>
          </cell>
        </row>
        <row r="256">
          <cell r="B256">
            <v>45148</v>
          </cell>
          <cell r="E256" t="str">
            <v>Горячий І.В.</v>
          </cell>
          <cell r="F256" t="str">
            <v>Телескоп №2</v>
          </cell>
          <cell r="I256">
            <v>2</v>
          </cell>
          <cell r="J256">
            <v>6</v>
          </cell>
          <cell r="K256">
            <v>1</v>
          </cell>
        </row>
        <row r="257">
          <cell r="B257">
            <v>45152</v>
          </cell>
          <cell r="E257" t="str">
            <v>Горячий І.В.</v>
          </cell>
          <cell r="F257" t="str">
            <v>Телескоп №2</v>
          </cell>
          <cell r="I257">
            <v>2</v>
          </cell>
          <cell r="J257">
            <v>9</v>
          </cell>
        </row>
        <row r="258">
          <cell r="B258">
            <v>45153</v>
          </cell>
          <cell r="E258" t="str">
            <v>Горячий І.В.</v>
          </cell>
          <cell r="F258" t="str">
            <v>Телескоп №2</v>
          </cell>
          <cell r="I258">
            <v>2</v>
          </cell>
          <cell r="J258">
            <v>11</v>
          </cell>
          <cell r="K258">
            <v>1</v>
          </cell>
          <cell r="L258">
            <v>1</v>
          </cell>
        </row>
        <row r="259">
          <cell r="B259">
            <v>45139</v>
          </cell>
          <cell r="E259" t="str">
            <v>Косік Ю.А.</v>
          </cell>
          <cell r="F259" t="str">
            <v>Телескоп №4</v>
          </cell>
          <cell r="I259">
            <v>4</v>
          </cell>
          <cell r="J259">
            <v>10</v>
          </cell>
          <cell r="K259">
            <v>1</v>
          </cell>
        </row>
        <row r="260">
          <cell r="B260">
            <v>45140</v>
          </cell>
          <cell r="E260" t="str">
            <v>Косік Ю.А.</v>
          </cell>
          <cell r="F260" t="str">
            <v>Телескоп №4</v>
          </cell>
          <cell r="I260">
            <v>4</v>
          </cell>
          <cell r="J260">
            <v>10</v>
          </cell>
          <cell r="L260">
            <v>1</v>
          </cell>
        </row>
        <row r="261">
          <cell r="B261">
            <v>45141</v>
          </cell>
          <cell r="E261" t="str">
            <v>Косік Ю.А.</v>
          </cell>
          <cell r="F261" t="str">
            <v>Телескоп №4</v>
          </cell>
          <cell r="I261">
            <v>4</v>
          </cell>
          <cell r="J261">
            <v>10</v>
          </cell>
        </row>
        <row r="262">
          <cell r="B262">
            <v>45142</v>
          </cell>
          <cell r="E262" t="str">
            <v>Косік Ю.А.</v>
          </cell>
          <cell r="F262" t="str">
            <v>Телескоп №4</v>
          </cell>
          <cell r="I262">
            <v>4</v>
          </cell>
          <cell r="J262">
            <v>10</v>
          </cell>
        </row>
        <row r="263">
          <cell r="B263">
            <v>45143</v>
          </cell>
          <cell r="E263" t="str">
            <v>Косік Ю.А.</v>
          </cell>
          <cell r="F263" t="str">
            <v>Телескоп №4</v>
          </cell>
          <cell r="I263">
            <v>4</v>
          </cell>
          <cell r="J263">
            <v>9</v>
          </cell>
          <cell r="L263">
            <v>1</v>
          </cell>
        </row>
        <row r="264">
          <cell r="B264">
            <v>45145</v>
          </cell>
          <cell r="E264" t="str">
            <v>Косік Ю.А.</v>
          </cell>
          <cell r="F264" t="str">
            <v>Телескоп №4</v>
          </cell>
          <cell r="I264">
            <v>4</v>
          </cell>
          <cell r="J264">
            <v>9</v>
          </cell>
        </row>
        <row r="265">
          <cell r="B265">
            <v>45146</v>
          </cell>
          <cell r="E265" t="str">
            <v>Косік Ю.А.</v>
          </cell>
          <cell r="F265" t="str">
            <v>Телескоп №4</v>
          </cell>
          <cell r="I265">
            <v>4</v>
          </cell>
          <cell r="J265">
            <v>12</v>
          </cell>
        </row>
        <row r="266">
          <cell r="B266">
            <v>45147</v>
          </cell>
          <cell r="E266" t="str">
            <v>Косік Ю.А.</v>
          </cell>
          <cell r="F266" t="str">
            <v>Телескоп №4</v>
          </cell>
          <cell r="I266">
            <v>4</v>
          </cell>
          <cell r="J266">
            <v>10</v>
          </cell>
          <cell r="L266">
            <v>1</v>
          </cell>
        </row>
        <row r="267">
          <cell r="B267">
            <v>45149</v>
          </cell>
          <cell r="E267" t="str">
            <v>Косік Ю.А.</v>
          </cell>
          <cell r="F267" t="str">
            <v>Телескоп №4</v>
          </cell>
          <cell r="I267">
            <v>4</v>
          </cell>
          <cell r="J267">
            <v>8</v>
          </cell>
        </row>
        <row r="268">
          <cell r="B268">
            <v>45150</v>
          </cell>
          <cell r="E268" t="str">
            <v>Косік Ю.А.</v>
          </cell>
          <cell r="F268" t="str">
            <v>Телескоп №4</v>
          </cell>
          <cell r="I268">
            <v>4</v>
          </cell>
          <cell r="J268">
            <v>7</v>
          </cell>
        </row>
        <row r="269">
          <cell r="B269">
            <v>45152</v>
          </cell>
          <cell r="E269" t="str">
            <v>Косік Ю.А.</v>
          </cell>
          <cell r="F269" t="str">
            <v>Телескоп №4</v>
          </cell>
          <cell r="I269">
            <v>4</v>
          </cell>
          <cell r="J269">
            <v>9</v>
          </cell>
        </row>
        <row r="270">
          <cell r="B270">
            <v>45153</v>
          </cell>
          <cell r="E270" t="str">
            <v>Косік Ю.А.</v>
          </cell>
          <cell r="F270" t="str">
            <v>Телескоп №4</v>
          </cell>
          <cell r="I270">
            <v>4</v>
          </cell>
          <cell r="J270">
            <v>10</v>
          </cell>
          <cell r="K270">
            <v>1</v>
          </cell>
        </row>
        <row r="271">
          <cell r="B271">
            <v>45154</v>
          </cell>
          <cell r="E271" t="str">
            <v>Косік Ю.А.</v>
          </cell>
          <cell r="F271" t="str">
            <v>Телескоп №4</v>
          </cell>
          <cell r="I271">
            <v>4</v>
          </cell>
          <cell r="J271">
            <v>10</v>
          </cell>
          <cell r="L271">
            <v>1</v>
          </cell>
        </row>
        <row r="272">
          <cell r="B272">
            <v>45159</v>
          </cell>
          <cell r="E272" t="str">
            <v>Косік Ю.А.</v>
          </cell>
          <cell r="F272" t="str">
            <v>Телескоп №4</v>
          </cell>
          <cell r="I272">
            <v>4</v>
          </cell>
          <cell r="J272">
            <v>9</v>
          </cell>
        </row>
        <row r="273">
          <cell r="B273">
            <v>45160</v>
          </cell>
          <cell r="E273" t="str">
            <v>Косік Ю.А.</v>
          </cell>
          <cell r="F273" t="str">
            <v>Телескоп №4</v>
          </cell>
          <cell r="I273">
            <v>4</v>
          </cell>
          <cell r="J273">
            <v>10</v>
          </cell>
        </row>
        <row r="274">
          <cell r="B274">
            <v>45161</v>
          </cell>
          <cell r="E274" t="str">
            <v>Косік Ю.А.</v>
          </cell>
          <cell r="F274" t="str">
            <v>Телескоп №4</v>
          </cell>
          <cell r="I274">
            <v>4</v>
          </cell>
          <cell r="J274">
            <v>10</v>
          </cell>
        </row>
        <row r="275">
          <cell r="B275">
            <v>45162</v>
          </cell>
          <cell r="E275" t="str">
            <v>Косік Ю.А.</v>
          </cell>
          <cell r="F275" t="str">
            <v>Телескоп №4</v>
          </cell>
          <cell r="I275">
            <v>4</v>
          </cell>
          <cell r="J275">
            <v>9</v>
          </cell>
        </row>
        <row r="276">
          <cell r="B276">
            <v>45163</v>
          </cell>
          <cell r="E276" t="str">
            <v>Косік Ю.А.</v>
          </cell>
          <cell r="F276" t="str">
            <v>Телескоп №4</v>
          </cell>
          <cell r="I276">
            <v>4</v>
          </cell>
          <cell r="J276">
            <v>9</v>
          </cell>
        </row>
        <row r="277">
          <cell r="B277">
            <v>45164</v>
          </cell>
          <cell r="E277" t="str">
            <v>Косік Ю.А.</v>
          </cell>
          <cell r="F277" t="str">
            <v>Телескоп №4</v>
          </cell>
          <cell r="I277">
            <v>4</v>
          </cell>
          <cell r="J277">
            <v>7</v>
          </cell>
          <cell r="L277">
            <v>1</v>
          </cell>
        </row>
        <row r="278">
          <cell r="B278">
            <v>45166</v>
          </cell>
          <cell r="E278" t="str">
            <v>Косік Ю.А.</v>
          </cell>
          <cell r="F278" t="str">
            <v>Телескоп №4</v>
          </cell>
          <cell r="I278">
            <v>4</v>
          </cell>
          <cell r="J278">
            <v>8</v>
          </cell>
        </row>
        <row r="279">
          <cell r="B279">
            <v>45167</v>
          </cell>
          <cell r="E279" t="str">
            <v>Косік Ю.А.</v>
          </cell>
          <cell r="F279" t="str">
            <v>Телескоп №4</v>
          </cell>
          <cell r="I279">
            <v>4</v>
          </cell>
          <cell r="J279">
            <v>8</v>
          </cell>
        </row>
        <row r="280">
          <cell r="B280">
            <v>45168</v>
          </cell>
          <cell r="E280" t="str">
            <v>Косік Ю.А.</v>
          </cell>
          <cell r="F280" t="str">
            <v>Телескоп №4</v>
          </cell>
          <cell r="I280">
            <v>4</v>
          </cell>
          <cell r="J280">
            <v>10</v>
          </cell>
        </row>
        <row r="281">
          <cell r="B281">
            <v>45169</v>
          </cell>
          <cell r="E281" t="str">
            <v>Косік Ю.А.</v>
          </cell>
          <cell r="F281" t="str">
            <v>Телескоп №4</v>
          </cell>
          <cell r="I281">
            <v>4</v>
          </cell>
          <cell r="J281">
            <v>9</v>
          </cell>
        </row>
        <row r="282">
          <cell r="B282">
            <v>45155</v>
          </cell>
          <cell r="E282" t="str">
            <v>Косік Ю.А.</v>
          </cell>
          <cell r="F282" t="str">
            <v>Телескоп №4</v>
          </cell>
          <cell r="I282">
            <v>4</v>
          </cell>
          <cell r="J282">
            <v>9</v>
          </cell>
        </row>
        <row r="283">
          <cell r="B283">
            <v>45156</v>
          </cell>
          <cell r="E283" t="str">
            <v>Косік Ю.А.</v>
          </cell>
          <cell r="F283" t="str">
            <v>Телескоп №4</v>
          </cell>
          <cell r="I283">
            <v>4</v>
          </cell>
          <cell r="J283">
            <v>9</v>
          </cell>
          <cell r="L283">
            <v>1</v>
          </cell>
        </row>
        <row r="284">
          <cell r="B284">
            <v>45157</v>
          </cell>
          <cell r="E284" t="str">
            <v>Косік Ю.А.</v>
          </cell>
          <cell r="F284" t="str">
            <v>Телескоп №4</v>
          </cell>
          <cell r="I284">
            <v>4</v>
          </cell>
          <cell r="J284">
            <v>7</v>
          </cell>
          <cell r="K284">
            <v>2</v>
          </cell>
        </row>
        <row r="285">
          <cell r="B285">
            <v>45145</v>
          </cell>
          <cell r="E285" t="str">
            <v>Борисенко О.М.</v>
          </cell>
          <cell r="F285" t="str">
            <v>Автокран XCMG</v>
          </cell>
          <cell r="I285">
            <v>17</v>
          </cell>
          <cell r="J285">
            <v>6</v>
          </cell>
          <cell r="K285">
            <v>3</v>
          </cell>
        </row>
        <row r="286">
          <cell r="B286">
            <v>45146</v>
          </cell>
          <cell r="E286" t="str">
            <v>Борисенко О.М.</v>
          </cell>
          <cell r="F286" t="str">
            <v>Автокран XCMG</v>
          </cell>
          <cell r="I286">
            <v>17</v>
          </cell>
          <cell r="J286">
            <v>9</v>
          </cell>
        </row>
        <row r="287">
          <cell r="B287">
            <v>45147</v>
          </cell>
          <cell r="E287" t="str">
            <v>Борисенко О.М.</v>
          </cell>
          <cell r="F287" t="str">
            <v>Автокран XCMG</v>
          </cell>
          <cell r="I287">
            <v>17</v>
          </cell>
          <cell r="J287">
            <v>10</v>
          </cell>
        </row>
        <row r="288">
          <cell r="B288">
            <v>45148</v>
          </cell>
          <cell r="E288" t="str">
            <v>Борисенко О.М.</v>
          </cell>
          <cell r="F288" t="str">
            <v>Автокран XCMG</v>
          </cell>
          <cell r="I288">
            <v>17</v>
          </cell>
          <cell r="J288">
            <v>8</v>
          </cell>
        </row>
        <row r="289">
          <cell r="B289">
            <v>45151</v>
          </cell>
          <cell r="E289" t="str">
            <v>Борисенко О.М.</v>
          </cell>
          <cell r="F289" t="str">
            <v>Автокран XCMG</v>
          </cell>
          <cell r="I289">
            <v>17</v>
          </cell>
          <cell r="J289">
            <v>8</v>
          </cell>
        </row>
        <row r="290">
          <cell r="B290">
            <v>45152</v>
          </cell>
          <cell r="E290" t="str">
            <v>Борисенко О.М.</v>
          </cell>
          <cell r="F290" t="str">
            <v>Автокран XCMG</v>
          </cell>
          <cell r="I290">
            <v>17</v>
          </cell>
          <cell r="J290">
            <v>9</v>
          </cell>
        </row>
        <row r="291">
          <cell r="B291">
            <v>45153</v>
          </cell>
          <cell r="E291" t="str">
            <v>Борисенко О.М.</v>
          </cell>
          <cell r="F291" t="str">
            <v>Автокран XCMG</v>
          </cell>
          <cell r="I291">
            <v>17</v>
          </cell>
          <cell r="J291">
            <v>8</v>
          </cell>
        </row>
        <row r="292">
          <cell r="B292">
            <v>45164</v>
          </cell>
          <cell r="E292" t="str">
            <v>Борисенко О.М.</v>
          </cell>
          <cell r="F292" t="str">
            <v>Автокран XCMG</v>
          </cell>
          <cell r="I292">
            <v>17</v>
          </cell>
          <cell r="J292">
            <v>6</v>
          </cell>
          <cell r="K292">
            <v>2</v>
          </cell>
        </row>
        <row r="293">
          <cell r="B293">
            <v>45166</v>
          </cell>
          <cell r="E293" t="str">
            <v>Болох В.В.</v>
          </cell>
          <cell r="F293" t="str">
            <v>Автокран XCMG</v>
          </cell>
          <cell r="I293">
            <v>17</v>
          </cell>
          <cell r="J293">
            <v>8</v>
          </cell>
          <cell r="K293">
            <v>8</v>
          </cell>
        </row>
        <row r="294">
          <cell r="B294">
            <v>45167</v>
          </cell>
          <cell r="E294" t="str">
            <v>Болох В.В.</v>
          </cell>
          <cell r="F294" t="str">
            <v>Автокран XCMG</v>
          </cell>
          <cell r="I294">
            <v>17</v>
          </cell>
          <cell r="J294">
            <v>8</v>
          </cell>
          <cell r="K294">
            <v>8</v>
          </cell>
        </row>
        <row r="295">
          <cell r="B295">
            <v>45168</v>
          </cell>
          <cell r="E295" t="str">
            <v>Болох В.В.</v>
          </cell>
          <cell r="F295" t="str">
            <v>Автокран XCMG</v>
          </cell>
          <cell r="I295">
            <v>17</v>
          </cell>
          <cell r="J295">
            <v>8</v>
          </cell>
          <cell r="K295">
            <v>8</v>
          </cell>
        </row>
        <row r="296">
          <cell r="B296">
            <v>45169</v>
          </cell>
          <cell r="E296" t="str">
            <v>Болох В.В.</v>
          </cell>
          <cell r="F296" t="str">
            <v>Автокран XCMG</v>
          </cell>
          <cell r="I296">
            <v>17</v>
          </cell>
          <cell r="J296">
            <v>9</v>
          </cell>
          <cell r="K296">
            <v>2</v>
          </cell>
        </row>
        <row r="297">
          <cell r="B297">
            <v>45154</v>
          </cell>
          <cell r="E297" t="str">
            <v>Борисенко О.М.</v>
          </cell>
          <cell r="F297" t="str">
            <v>Автокран XCMG</v>
          </cell>
          <cell r="I297">
            <v>17</v>
          </cell>
          <cell r="J297">
            <v>8</v>
          </cell>
        </row>
        <row r="298">
          <cell r="B298">
            <v>45155</v>
          </cell>
          <cell r="E298" t="str">
            <v>Борисенко О.М.</v>
          </cell>
          <cell r="F298" t="str">
            <v>Автокран XCMG</v>
          </cell>
          <cell r="I298">
            <v>17</v>
          </cell>
          <cell r="J298">
            <v>8</v>
          </cell>
        </row>
        <row r="299">
          <cell r="B299">
            <v>45156</v>
          </cell>
          <cell r="E299" t="str">
            <v>Борисенко О.М.</v>
          </cell>
          <cell r="F299" t="str">
            <v>Автокран XCMG</v>
          </cell>
          <cell r="I299">
            <v>17</v>
          </cell>
          <cell r="J299">
            <v>10</v>
          </cell>
        </row>
        <row r="300">
          <cell r="B300">
            <v>45157</v>
          </cell>
          <cell r="E300" t="str">
            <v>Борисенко О.М.</v>
          </cell>
          <cell r="F300" t="str">
            <v>Автокран XCMG</v>
          </cell>
          <cell r="I300">
            <v>17</v>
          </cell>
          <cell r="J300">
            <v>6</v>
          </cell>
          <cell r="K300">
            <v>1</v>
          </cell>
        </row>
        <row r="301">
          <cell r="B301">
            <v>45159</v>
          </cell>
          <cell r="E301" t="str">
            <v>Борисенко О.М.</v>
          </cell>
          <cell r="F301" t="str">
            <v>Автокран XCMG</v>
          </cell>
          <cell r="I301">
            <v>17</v>
          </cell>
          <cell r="J301">
            <v>9</v>
          </cell>
        </row>
        <row r="302">
          <cell r="B302">
            <v>45160</v>
          </cell>
          <cell r="E302" t="str">
            <v>Борисенко О.М.</v>
          </cell>
          <cell r="F302" t="str">
            <v>Автокран XCMG</v>
          </cell>
          <cell r="I302">
            <v>17</v>
          </cell>
          <cell r="J302">
            <v>9</v>
          </cell>
        </row>
        <row r="303">
          <cell r="B303">
            <v>45161</v>
          </cell>
          <cell r="E303" t="str">
            <v>Борисенко О.М.</v>
          </cell>
          <cell r="F303" t="str">
            <v>Автокран XCMG</v>
          </cell>
          <cell r="I303">
            <v>17</v>
          </cell>
          <cell r="J303">
            <v>9</v>
          </cell>
        </row>
        <row r="304">
          <cell r="B304">
            <v>45162</v>
          </cell>
          <cell r="E304" t="str">
            <v>Борисенко О.М.</v>
          </cell>
          <cell r="F304" t="str">
            <v>Автокран XCMG</v>
          </cell>
          <cell r="I304">
            <v>17</v>
          </cell>
          <cell r="J304">
            <v>8</v>
          </cell>
        </row>
        <row r="305">
          <cell r="B305">
            <v>45163</v>
          </cell>
          <cell r="E305" t="str">
            <v>Борисенко О.М.</v>
          </cell>
          <cell r="F305" t="str">
            <v>Автокран XCMG</v>
          </cell>
          <cell r="I305">
            <v>17</v>
          </cell>
          <cell r="J305">
            <v>8</v>
          </cell>
          <cell r="K305">
            <v>4</v>
          </cell>
        </row>
        <row r="306">
          <cell r="B306">
            <v>45139</v>
          </cell>
          <cell r="E306" t="str">
            <v>Ковальчук В.В.</v>
          </cell>
          <cell r="F306" t="str">
            <v>Виброкаток</v>
          </cell>
          <cell r="I306">
            <v>6</v>
          </cell>
          <cell r="J306">
            <v>2</v>
          </cell>
        </row>
        <row r="307">
          <cell r="B307">
            <v>45140</v>
          </cell>
          <cell r="E307" t="str">
            <v>Ковальчук В.В.</v>
          </cell>
          <cell r="F307" t="str">
            <v>Виброкаток</v>
          </cell>
          <cell r="I307">
            <v>6</v>
          </cell>
          <cell r="J307">
            <v>2</v>
          </cell>
        </row>
        <row r="308">
          <cell r="B308">
            <v>45141</v>
          </cell>
          <cell r="E308" t="str">
            <v>Ковальчук В.В.</v>
          </cell>
          <cell r="F308" t="str">
            <v>Виброкаток</v>
          </cell>
          <cell r="I308">
            <v>6</v>
          </cell>
          <cell r="J308">
            <v>2</v>
          </cell>
        </row>
        <row r="309">
          <cell r="B309">
            <v>45142</v>
          </cell>
          <cell r="E309" t="str">
            <v>Ковальчук В.В.</v>
          </cell>
          <cell r="F309" t="str">
            <v>Виброкаток</v>
          </cell>
          <cell r="I309">
            <v>6</v>
          </cell>
          <cell r="J309">
            <v>2</v>
          </cell>
        </row>
        <row r="310">
          <cell r="B310">
            <v>45143</v>
          </cell>
          <cell r="E310" t="str">
            <v>Ковальчук В.В.</v>
          </cell>
          <cell r="F310" t="str">
            <v>Виброкаток</v>
          </cell>
          <cell r="I310">
            <v>6</v>
          </cell>
          <cell r="J310">
            <v>1</v>
          </cell>
        </row>
        <row r="311">
          <cell r="B311">
            <v>45146</v>
          </cell>
          <cell r="E311" t="str">
            <v>Ковальчук В.В.</v>
          </cell>
          <cell r="F311" t="str">
            <v>Виброкаток</v>
          </cell>
          <cell r="I311">
            <v>6</v>
          </cell>
          <cell r="J311">
            <v>1</v>
          </cell>
        </row>
        <row r="312">
          <cell r="B312">
            <v>45147</v>
          </cell>
          <cell r="E312" t="str">
            <v>Ковальчук В.В.</v>
          </cell>
          <cell r="F312" t="str">
            <v>Виброкаток</v>
          </cell>
          <cell r="I312">
            <v>6</v>
          </cell>
          <cell r="J312">
            <v>1</v>
          </cell>
        </row>
        <row r="313">
          <cell r="B313">
            <v>45148</v>
          </cell>
          <cell r="E313" t="str">
            <v>Ковальчук В.В.</v>
          </cell>
          <cell r="F313" t="str">
            <v>Виброкаток</v>
          </cell>
          <cell r="I313">
            <v>6</v>
          </cell>
          <cell r="J313">
            <v>1</v>
          </cell>
        </row>
        <row r="314">
          <cell r="B314">
            <v>45159</v>
          </cell>
          <cell r="E314" t="str">
            <v>Карбунар Я.Д.</v>
          </cell>
          <cell r="F314" t="str">
            <v>Виброкаток</v>
          </cell>
          <cell r="I314">
            <v>6</v>
          </cell>
          <cell r="J314">
            <v>2</v>
          </cell>
        </row>
        <row r="315">
          <cell r="B315">
            <v>45160</v>
          </cell>
          <cell r="E315" t="str">
            <v>Карбунар Я.Д.</v>
          </cell>
          <cell r="F315" t="str">
            <v>Виброкаток</v>
          </cell>
          <cell r="I315">
            <v>6</v>
          </cell>
          <cell r="J315">
            <v>1</v>
          </cell>
        </row>
        <row r="316">
          <cell r="B316">
            <v>45162</v>
          </cell>
          <cell r="E316" t="str">
            <v>Карбунар Я.Д.</v>
          </cell>
          <cell r="F316" t="str">
            <v>Виброкаток</v>
          </cell>
          <cell r="I316">
            <v>6</v>
          </cell>
          <cell r="J316">
            <v>1</v>
          </cell>
        </row>
        <row r="317">
          <cell r="B317">
            <v>45163</v>
          </cell>
          <cell r="E317" t="str">
            <v>Карбунар Я.Д.</v>
          </cell>
          <cell r="F317" t="str">
            <v>Виброкаток</v>
          </cell>
          <cell r="I317">
            <v>6</v>
          </cell>
          <cell r="J317">
            <v>1</v>
          </cell>
        </row>
        <row r="318">
          <cell r="B318">
            <v>45164</v>
          </cell>
          <cell r="E318" t="str">
            <v>Карбунар Я.Д.</v>
          </cell>
          <cell r="F318" t="str">
            <v>Виброкаток</v>
          </cell>
          <cell r="I318">
            <v>6</v>
          </cell>
          <cell r="J318">
            <v>2</v>
          </cell>
        </row>
        <row r="319">
          <cell r="B319">
            <v>45166</v>
          </cell>
          <cell r="E319" t="str">
            <v>Карбунар Я.Д.</v>
          </cell>
          <cell r="F319" t="str">
            <v>Виброкаток</v>
          </cell>
          <cell r="I319">
            <v>6</v>
          </cell>
          <cell r="J319">
            <v>1</v>
          </cell>
        </row>
        <row r="320">
          <cell r="B320">
            <v>45146</v>
          </cell>
          <cell r="E320" t="str">
            <v>Власюк М.І.</v>
          </cell>
          <cell r="F320" t="str">
            <v>МАЗ 264</v>
          </cell>
          <cell r="I320">
            <v>12</v>
          </cell>
          <cell r="J320">
            <v>9</v>
          </cell>
        </row>
        <row r="321">
          <cell r="B321">
            <v>45147</v>
          </cell>
          <cell r="E321" t="str">
            <v>Власюк М.І.</v>
          </cell>
          <cell r="F321" t="str">
            <v>МАЗ 264</v>
          </cell>
          <cell r="I321">
            <v>12</v>
          </cell>
          <cell r="J321">
            <v>9</v>
          </cell>
        </row>
        <row r="322">
          <cell r="B322">
            <v>45148</v>
          </cell>
          <cell r="E322" t="str">
            <v>Власюк М.І.</v>
          </cell>
          <cell r="F322" t="str">
            <v>МАЗ 264</v>
          </cell>
          <cell r="I322">
            <v>12</v>
          </cell>
          <cell r="J322">
            <v>8</v>
          </cell>
        </row>
        <row r="323">
          <cell r="B323">
            <v>45149</v>
          </cell>
          <cell r="E323" t="str">
            <v>Власюк М.І.</v>
          </cell>
          <cell r="F323" t="str">
            <v>МАЗ 264</v>
          </cell>
          <cell r="I323">
            <v>12</v>
          </cell>
          <cell r="J323">
            <v>8</v>
          </cell>
        </row>
        <row r="324">
          <cell r="B324">
            <v>45152</v>
          </cell>
          <cell r="E324" t="str">
            <v>Власюк М.І.</v>
          </cell>
          <cell r="F324" t="str">
            <v>МАЗ 264</v>
          </cell>
          <cell r="I324">
            <v>12</v>
          </cell>
          <cell r="J324">
            <v>9</v>
          </cell>
          <cell r="L324">
            <v>1</v>
          </cell>
        </row>
        <row r="325">
          <cell r="B325">
            <v>45153</v>
          </cell>
          <cell r="E325" t="str">
            <v>Власюк М.І.</v>
          </cell>
          <cell r="F325" t="str">
            <v>МАЗ 264</v>
          </cell>
          <cell r="I325">
            <v>12</v>
          </cell>
          <cell r="J325">
            <v>8</v>
          </cell>
        </row>
        <row r="326">
          <cell r="B326">
            <v>45154</v>
          </cell>
          <cell r="E326" t="str">
            <v>Власюк М.І.</v>
          </cell>
          <cell r="F326" t="str">
            <v>МАЗ 264</v>
          </cell>
          <cell r="I326">
            <v>12</v>
          </cell>
          <cell r="J326">
            <v>8</v>
          </cell>
          <cell r="K326">
            <v>4</v>
          </cell>
        </row>
        <row r="327">
          <cell r="B327">
            <v>45155</v>
          </cell>
          <cell r="E327" t="str">
            <v>Власюк М.І.</v>
          </cell>
          <cell r="F327" t="str">
            <v>МАЗ 264</v>
          </cell>
          <cell r="I327">
            <v>12</v>
          </cell>
          <cell r="J327">
            <v>8</v>
          </cell>
          <cell r="K327">
            <v>4</v>
          </cell>
        </row>
        <row r="328">
          <cell r="B328">
            <v>45156</v>
          </cell>
          <cell r="E328" t="str">
            <v>Власюк М.І.</v>
          </cell>
          <cell r="F328" t="str">
            <v>МАЗ 264</v>
          </cell>
          <cell r="I328">
            <v>12</v>
          </cell>
          <cell r="J328">
            <v>8</v>
          </cell>
        </row>
        <row r="329">
          <cell r="B329">
            <v>45157</v>
          </cell>
          <cell r="E329" t="str">
            <v>Власюк М.І.</v>
          </cell>
          <cell r="F329" t="str">
            <v>МАЗ 264</v>
          </cell>
          <cell r="I329">
            <v>12</v>
          </cell>
          <cell r="J329">
            <v>8</v>
          </cell>
        </row>
        <row r="330">
          <cell r="B330">
            <v>45139</v>
          </cell>
          <cell r="E330" t="str">
            <v>Власюк М.І.</v>
          </cell>
          <cell r="F330" t="str">
            <v>МАЗ 264</v>
          </cell>
          <cell r="I330">
            <v>12</v>
          </cell>
          <cell r="J330">
            <v>9</v>
          </cell>
        </row>
        <row r="331">
          <cell r="B331">
            <v>45140</v>
          </cell>
          <cell r="E331" t="str">
            <v>Власюк М.І.</v>
          </cell>
          <cell r="F331" t="str">
            <v>МАЗ 264</v>
          </cell>
          <cell r="I331">
            <v>12</v>
          </cell>
          <cell r="J331">
            <v>9</v>
          </cell>
          <cell r="K331">
            <v>1</v>
          </cell>
          <cell r="L331">
            <v>1</v>
          </cell>
        </row>
        <row r="332">
          <cell r="B332">
            <v>45141</v>
          </cell>
          <cell r="E332" t="str">
            <v>Власюк М.І.</v>
          </cell>
          <cell r="F332" t="str">
            <v>МАЗ 264</v>
          </cell>
          <cell r="I332">
            <v>12</v>
          </cell>
          <cell r="J332">
            <v>8</v>
          </cell>
          <cell r="K332">
            <v>1</v>
          </cell>
        </row>
        <row r="333">
          <cell r="B333">
            <v>45142</v>
          </cell>
          <cell r="E333" t="str">
            <v>Власюк М.І.</v>
          </cell>
          <cell r="F333" t="str">
            <v>МАЗ 264</v>
          </cell>
          <cell r="I333">
            <v>12</v>
          </cell>
          <cell r="J333">
            <v>9</v>
          </cell>
        </row>
        <row r="334">
          <cell r="B334">
            <v>45143</v>
          </cell>
          <cell r="E334" t="str">
            <v>Власюк М.І.</v>
          </cell>
          <cell r="F334" t="str">
            <v>МАЗ 264</v>
          </cell>
          <cell r="I334">
            <v>12</v>
          </cell>
          <cell r="J334">
            <v>9</v>
          </cell>
        </row>
        <row r="335">
          <cell r="B335">
            <v>45145</v>
          </cell>
          <cell r="E335" t="str">
            <v>Власюк М.І.</v>
          </cell>
          <cell r="F335" t="str">
            <v>МАЗ 264</v>
          </cell>
          <cell r="I335">
            <v>12</v>
          </cell>
          <cell r="J335">
            <v>8</v>
          </cell>
          <cell r="K335">
            <v>1</v>
          </cell>
        </row>
        <row r="336">
          <cell r="B336">
            <v>45147</v>
          </cell>
          <cell r="E336" t="str">
            <v>Урсул М.В.</v>
          </cell>
          <cell r="F336" t="str">
            <v>РДК 250</v>
          </cell>
          <cell r="I336">
            <v>14</v>
          </cell>
          <cell r="J336">
            <v>8</v>
          </cell>
          <cell r="K336">
            <v>1</v>
          </cell>
        </row>
        <row r="337">
          <cell r="B337">
            <v>45148</v>
          </cell>
          <cell r="E337" t="str">
            <v>Урсул М.В.</v>
          </cell>
          <cell r="F337" t="str">
            <v>РДК 250</v>
          </cell>
          <cell r="I337">
            <v>14</v>
          </cell>
          <cell r="J337">
            <v>8</v>
          </cell>
          <cell r="K337">
            <v>1</v>
          </cell>
        </row>
        <row r="338">
          <cell r="B338">
            <v>45149</v>
          </cell>
          <cell r="E338" t="str">
            <v>Урсул М.В.</v>
          </cell>
          <cell r="F338" t="str">
            <v>РДК 250</v>
          </cell>
          <cell r="I338">
            <v>14</v>
          </cell>
          <cell r="J338">
            <v>8</v>
          </cell>
          <cell r="K338">
            <v>1</v>
          </cell>
        </row>
        <row r="339">
          <cell r="B339">
            <v>45150</v>
          </cell>
          <cell r="E339" t="str">
            <v>Урсул М.В.</v>
          </cell>
          <cell r="F339" t="str">
            <v>РДК 250</v>
          </cell>
          <cell r="I339">
            <v>14</v>
          </cell>
          <cell r="J339">
            <v>6</v>
          </cell>
          <cell r="K339">
            <v>1</v>
          </cell>
        </row>
        <row r="340">
          <cell r="B340">
            <v>45151</v>
          </cell>
          <cell r="E340" t="str">
            <v>Урсул М.В.</v>
          </cell>
          <cell r="F340" t="str">
            <v>РДК 250</v>
          </cell>
          <cell r="I340">
            <v>14</v>
          </cell>
          <cell r="J340">
            <v>8</v>
          </cell>
          <cell r="K340">
            <v>1</v>
          </cell>
        </row>
        <row r="341">
          <cell r="B341">
            <v>45139</v>
          </cell>
          <cell r="E341" t="str">
            <v>Титор И.В.</v>
          </cell>
          <cell r="F341" t="str">
            <v>РДК 250</v>
          </cell>
          <cell r="I341">
            <v>14</v>
          </cell>
          <cell r="J341">
            <v>8</v>
          </cell>
          <cell r="K341">
            <v>1</v>
          </cell>
        </row>
        <row r="342">
          <cell r="B342">
            <v>45140</v>
          </cell>
          <cell r="E342" t="str">
            <v>Титор И.В.</v>
          </cell>
          <cell r="F342" t="str">
            <v>РДК 250</v>
          </cell>
          <cell r="I342">
            <v>14</v>
          </cell>
          <cell r="J342">
            <v>9</v>
          </cell>
          <cell r="K342">
            <v>1</v>
          </cell>
        </row>
        <row r="343">
          <cell r="B343">
            <v>45141</v>
          </cell>
          <cell r="E343" t="str">
            <v>Титор И.В.</v>
          </cell>
          <cell r="F343" t="str">
            <v>РДК 250</v>
          </cell>
          <cell r="I343">
            <v>14</v>
          </cell>
          <cell r="J343">
            <v>8</v>
          </cell>
          <cell r="K343">
            <v>1</v>
          </cell>
        </row>
        <row r="344">
          <cell r="B344">
            <v>45142</v>
          </cell>
          <cell r="E344" t="str">
            <v>Титор И.В.</v>
          </cell>
          <cell r="F344" t="str">
            <v>РДК 250</v>
          </cell>
          <cell r="I344">
            <v>14</v>
          </cell>
          <cell r="J344">
            <v>9</v>
          </cell>
          <cell r="K344">
            <v>1</v>
          </cell>
        </row>
        <row r="345">
          <cell r="B345">
            <v>45143</v>
          </cell>
          <cell r="E345" t="str">
            <v>Титор И.В.</v>
          </cell>
          <cell r="F345" t="str">
            <v>РДК 250</v>
          </cell>
          <cell r="I345">
            <v>14</v>
          </cell>
          <cell r="J345">
            <v>8</v>
          </cell>
          <cell r="K345">
            <v>1</v>
          </cell>
        </row>
        <row r="346">
          <cell r="B346">
            <v>45145</v>
          </cell>
          <cell r="E346" t="str">
            <v>Титор И.В.</v>
          </cell>
          <cell r="F346" t="str">
            <v>РДК 250</v>
          </cell>
          <cell r="I346">
            <v>14</v>
          </cell>
          <cell r="J346">
            <v>9</v>
          </cell>
          <cell r="K346">
            <v>1</v>
          </cell>
        </row>
        <row r="347">
          <cell r="B347">
            <v>45146</v>
          </cell>
          <cell r="E347" t="str">
            <v>Титор И.В.</v>
          </cell>
          <cell r="F347" t="str">
            <v>РДК 250</v>
          </cell>
          <cell r="I347">
            <v>14</v>
          </cell>
          <cell r="J347">
            <v>8</v>
          </cell>
          <cell r="K347">
            <v>1</v>
          </cell>
        </row>
        <row r="348">
          <cell r="B348">
            <v>45146</v>
          </cell>
          <cell r="E348" t="str">
            <v>Трохименко В.Я.</v>
          </cell>
          <cell r="F348" t="str">
            <v>РДК 250 (2)</v>
          </cell>
          <cell r="I348">
            <v>15</v>
          </cell>
          <cell r="J348">
            <v>8</v>
          </cell>
          <cell r="K348">
            <v>8</v>
          </cell>
        </row>
        <row r="349">
          <cell r="B349">
            <v>45147</v>
          </cell>
          <cell r="E349" t="str">
            <v>Трохименко В.Я.</v>
          </cell>
          <cell r="F349" t="str">
            <v>РДК 250 (2)</v>
          </cell>
          <cell r="I349">
            <v>15</v>
          </cell>
          <cell r="J349">
            <v>8</v>
          </cell>
          <cell r="K349">
            <v>8</v>
          </cell>
        </row>
        <row r="350">
          <cell r="B350">
            <v>45148</v>
          </cell>
          <cell r="E350" t="str">
            <v>Трохименко В.Я.</v>
          </cell>
          <cell r="F350" t="str">
            <v>РДК 250 (2)</v>
          </cell>
          <cell r="I350">
            <v>15</v>
          </cell>
          <cell r="J350">
            <v>8</v>
          </cell>
        </row>
        <row r="351">
          <cell r="B351">
            <v>45149</v>
          </cell>
          <cell r="E351" t="str">
            <v>Трохименко В.Я.</v>
          </cell>
          <cell r="F351" t="str">
            <v>РДК 250 (2)</v>
          </cell>
          <cell r="I351">
            <v>15</v>
          </cell>
          <cell r="J351">
            <v>9</v>
          </cell>
          <cell r="K351">
            <v>1</v>
          </cell>
        </row>
        <row r="352">
          <cell r="B352">
            <v>45150</v>
          </cell>
          <cell r="E352" t="str">
            <v>Трохименко В.Я.</v>
          </cell>
          <cell r="F352" t="str">
            <v>РДК 250 (2)</v>
          </cell>
          <cell r="I352">
            <v>15</v>
          </cell>
          <cell r="J352">
            <v>9</v>
          </cell>
          <cell r="K352">
            <v>1</v>
          </cell>
        </row>
        <row r="353">
          <cell r="B353">
            <v>45152</v>
          </cell>
          <cell r="E353" t="str">
            <v>Трохименко В.Я.</v>
          </cell>
          <cell r="F353" t="str">
            <v>РДК 250 (2)</v>
          </cell>
          <cell r="I353">
            <v>15</v>
          </cell>
          <cell r="J353">
            <v>8</v>
          </cell>
        </row>
        <row r="354">
          <cell r="B354">
            <v>45153</v>
          </cell>
          <cell r="E354" t="str">
            <v>Трохименко В.Я.</v>
          </cell>
          <cell r="F354" t="str">
            <v>РДК 250 (2)</v>
          </cell>
          <cell r="I354">
            <v>15</v>
          </cell>
          <cell r="J354">
            <v>9</v>
          </cell>
          <cell r="K354">
            <v>1</v>
          </cell>
        </row>
        <row r="355">
          <cell r="B355">
            <v>45154</v>
          </cell>
          <cell r="E355" t="str">
            <v>Трохименко В.Я.</v>
          </cell>
          <cell r="F355" t="str">
            <v>РДК 250 (2)</v>
          </cell>
          <cell r="I355">
            <v>15</v>
          </cell>
          <cell r="J355">
            <v>9</v>
          </cell>
          <cell r="K355">
            <v>1</v>
          </cell>
        </row>
        <row r="356">
          <cell r="B356">
            <v>45155</v>
          </cell>
          <cell r="E356" t="str">
            <v>Трохименко В.Я.</v>
          </cell>
          <cell r="F356" t="str">
            <v>РДК 250 (2)</v>
          </cell>
          <cell r="I356">
            <v>15</v>
          </cell>
          <cell r="J356">
            <v>10</v>
          </cell>
        </row>
        <row r="357">
          <cell r="B357">
            <v>45156</v>
          </cell>
          <cell r="E357" t="str">
            <v>Трохименко В.Я.</v>
          </cell>
          <cell r="F357" t="str">
            <v>РДК 250 (2)</v>
          </cell>
          <cell r="I357">
            <v>15</v>
          </cell>
          <cell r="J357">
            <v>9</v>
          </cell>
          <cell r="K357">
            <v>1</v>
          </cell>
        </row>
        <row r="358">
          <cell r="B358">
            <v>45159</v>
          </cell>
          <cell r="E358" t="str">
            <v>Трохименко В.Я.</v>
          </cell>
          <cell r="F358" t="str">
            <v>РДК 250 (2)</v>
          </cell>
          <cell r="I358">
            <v>15</v>
          </cell>
          <cell r="J358">
            <v>8</v>
          </cell>
        </row>
        <row r="359">
          <cell r="B359">
            <v>45160</v>
          </cell>
          <cell r="E359" t="str">
            <v>Трохименко В.Я.</v>
          </cell>
          <cell r="F359" t="str">
            <v>РДК 250 (2)</v>
          </cell>
          <cell r="I359">
            <v>15</v>
          </cell>
          <cell r="J359">
            <v>8</v>
          </cell>
          <cell r="K359">
            <v>5</v>
          </cell>
        </row>
        <row r="360">
          <cell r="B360">
            <v>45161</v>
          </cell>
          <cell r="E360" t="str">
            <v>Трохименко В.Я.</v>
          </cell>
          <cell r="F360" t="str">
            <v>РДК 250 (2)</v>
          </cell>
          <cell r="I360">
            <v>15</v>
          </cell>
          <cell r="J360">
            <v>11</v>
          </cell>
        </row>
        <row r="361">
          <cell r="B361">
            <v>45162</v>
          </cell>
          <cell r="E361" t="str">
            <v>Трохименко В.Я.</v>
          </cell>
          <cell r="F361" t="str">
            <v>РДК 250 (2)</v>
          </cell>
          <cell r="I361">
            <v>15</v>
          </cell>
          <cell r="J361">
            <v>9</v>
          </cell>
        </row>
        <row r="362">
          <cell r="B362">
            <v>45163</v>
          </cell>
          <cell r="E362" t="str">
            <v>Трохименко В.Я.</v>
          </cell>
          <cell r="F362" t="str">
            <v>РДК 250 (2)</v>
          </cell>
          <cell r="I362">
            <v>15</v>
          </cell>
          <cell r="J362">
            <v>9</v>
          </cell>
          <cell r="K362">
            <v>3</v>
          </cell>
        </row>
        <row r="363">
          <cell r="B363">
            <v>45166</v>
          </cell>
          <cell r="E363" t="str">
            <v>Трохименко В.Я.</v>
          </cell>
          <cell r="F363" t="str">
            <v>РДК 250 (2)</v>
          </cell>
          <cell r="I363">
            <v>15</v>
          </cell>
          <cell r="J363">
            <v>9</v>
          </cell>
        </row>
        <row r="364">
          <cell r="B364">
            <v>45167</v>
          </cell>
          <cell r="E364" t="str">
            <v>Трохименко В.Я.</v>
          </cell>
          <cell r="F364" t="str">
            <v>РДК 250 (2)</v>
          </cell>
          <cell r="I364">
            <v>15</v>
          </cell>
          <cell r="J364">
            <v>9</v>
          </cell>
          <cell r="K364">
            <v>1</v>
          </cell>
        </row>
        <row r="365">
          <cell r="B365">
            <v>45168</v>
          </cell>
          <cell r="E365" t="str">
            <v>Трохименко В.Я.</v>
          </cell>
          <cell r="F365" t="str">
            <v>РДК 250 (2)</v>
          </cell>
          <cell r="I365">
            <v>15</v>
          </cell>
          <cell r="J365">
            <v>10</v>
          </cell>
        </row>
        <row r="366">
          <cell r="B366">
            <v>45169</v>
          </cell>
          <cell r="E366" t="str">
            <v>Трохименко В.Я.</v>
          </cell>
          <cell r="F366" t="str">
            <v>РДК 250 (2)</v>
          </cell>
          <cell r="I366">
            <v>15</v>
          </cell>
          <cell r="J366">
            <v>9</v>
          </cell>
          <cell r="K366">
            <v>1</v>
          </cell>
        </row>
        <row r="367">
          <cell r="B367">
            <v>45159</v>
          </cell>
          <cell r="E367" t="str">
            <v>Поліщук В.В.</v>
          </cell>
          <cell r="F367" t="str">
            <v>МАЗ 264</v>
          </cell>
          <cell r="I367">
            <v>12</v>
          </cell>
          <cell r="J367">
            <v>12</v>
          </cell>
        </row>
        <row r="368">
          <cell r="B368">
            <v>45160</v>
          </cell>
          <cell r="E368" t="str">
            <v>Поліщук В.В.</v>
          </cell>
          <cell r="F368" t="str">
            <v>МАЗ 264</v>
          </cell>
          <cell r="I368">
            <v>12</v>
          </cell>
          <cell r="J368">
            <v>7</v>
          </cell>
        </row>
        <row r="369">
          <cell r="B369">
            <v>45161</v>
          </cell>
          <cell r="E369" t="str">
            <v>Поліщук В.В.</v>
          </cell>
          <cell r="F369" t="str">
            <v>МАЗ 264</v>
          </cell>
          <cell r="I369">
            <v>12</v>
          </cell>
          <cell r="J369">
            <v>10</v>
          </cell>
        </row>
        <row r="370">
          <cell r="B370">
            <v>45162</v>
          </cell>
          <cell r="E370" t="str">
            <v>Поліщук В.В.</v>
          </cell>
          <cell r="F370" t="str">
            <v>МАЗ 264</v>
          </cell>
          <cell r="I370">
            <v>12</v>
          </cell>
          <cell r="J370">
            <v>10</v>
          </cell>
        </row>
        <row r="371">
          <cell r="B371">
            <v>45163</v>
          </cell>
          <cell r="E371" t="str">
            <v>Поліщук В.В.</v>
          </cell>
          <cell r="F371" t="str">
            <v>МАЗ 264</v>
          </cell>
          <cell r="I371">
            <v>12</v>
          </cell>
          <cell r="J371">
            <v>4</v>
          </cell>
        </row>
        <row r="372">
          <cell r="B372">
            <v>45160</v>
          </cell>
          <cell r="E372" t="str">
            <v>Ковальчук В.В.</v>
          </cell>
          <cell r="F372" t="str">
            <v>Экскаватор  JCB 3CX 2008</v>
          </cell>
          <cell r="I372">
            <v>9</v>
          </cell>
          <cell r="J372">
            <v>10</v>
          </cell>
          <cell r="K372">
            <v>9</v>
          </cell>
          <cell r="L372">
            <v>1</v>
          </cell>
        </row>
        <row r="373">
          <cell r="B373">
            <v>45161</v>
          </cell>
          <cell r="E373" t="str">
            <v>Ковальчук В.В.</v>
          </cell>
          <cell r="F373" t="str">
            <v>Экскаватор  JCB 3CX 2008</v>
          </cell>
          <cell r="I373">
            <v>9</v>
          </cell>
          <cell r="J373">
            <v>10</v>
          </cell>
          <cell r="K373">
            <v>1</v>
          </cell>
        </row>
        <row r="374">
          <cell r="B374">
            <v>45162</v>
          </cell>
          <cell r="E374" t="str">
            <v>Ковальчук В.В.</v>
          </cell>
          <cell r="F374" t="str">
            <v>Экскаватор  JCB 3CX 2008</v>
          </cell>
          <cell r="I374">
            <v>9</v>
          </cell>
          <cell r="J374">
            <v>11</v>
          </cell>
          <cell r="L374">
            <v>1</v>
          </cell>
        </row>
        <row r="375">
          <cell r="B375">
            <v>45163</v>
          </cell>
          <cell r="E375" t="str">
            <v>Ковальчук В.В.</v>
          </cell>
          <cell r="F375" t="str">
            <v>Экскаватор  JCB 3CX 2008</v>
          </cell>
          <cell r="I375">
            <v>9</v>
          </cell>
          <cell r="J375">
            <v>10</v>
          </cell>
          <cell r="L375">
            <v>1</v>
          </cell>
        </row>
        <row r="376">
          <cell r="B376">
            <v>45164</v>
          </cell>
          <cell r="E376" t="str">
            <v>Ковальчук В.В.</v>
          </cell>
          <cell r="F376" t="str">
            <v>Экскаватор  JCB 3CX 2008</v>
          </cell>
          <cell r="I376">
            <v>9</v>
          </cell>
          <cell r="J376">
            <v>10</v>
          </cell>
        </row>
        <row r="377">
          <cell r="B377">
            <v>45165</v>
          </cell>
          <cell r="E377" t="str">
            <v>Ковальчук В.В.</v>
          </cell>
          <cell r="F377" t="str">
            <v>Экскаватор  JCB 3CX 2008</v>
          </cell>
          <cell r="I377">
            <v>9</v>
          </cell>
          <cell r="J377">
            <v>4</v>
          </cell>
        </row>
        <row r="378">
          <cell r="B378">
            <v>45166</v>
          </cell>
          <cell r="E378" t="str">
            <v>Ковальчук В.В.</v>
          </cell>
          <cell r="F378" t="str">
            <v>Экскаватор  JCB 3CX 2008</v>
          </cell>
          <cell r="I378">
            <v>9</v>
          </cell>
          <cell r="J378">
            <v>10</v>
          </cell>
          <cell r="K378">
            <v>3</v>
          </cell>
        </row>
        <row r="379">
          <cell r="B379">
            <v>45167</v>
          </cell>
          <cell r="E379" t="str">
            <v>Ковальчук В.В.</v>
          </cell>
          <cell r="F379" t="str">
            <v>Экскаватор  JCB 3CX 2008</v>
          </cell>
          <cell r="I379">
            <v>9</v>
          </cell>
          <cell r="J379">
            <v>10</v>
          </cell>
        </row>
        <row r="380">
          <cell r="B380">
            <v>45170</v>
          </cell>
          <cell r="E380" t="str">
            <v>Карбунар Я.Д.</v>
          </cell>
          <cell r="F380" t="str">
            <v>Экскаватор JCB 2007</v>
          </cell>
          <cell r="I380">
            <v>8</v>
          </cell>
          <cell r="J380">
            <v>10</v>
          </cell>
        </row>
        <row r="381">
          <cell r="B381">
            <v>45171</v>
          </cell>
          <cell r="E381" t="str">
            <v>Карбунар Я.Д.</v>
          </cell>
          <cell r="F381" t="str">
            <v>Экскаватор JCB 2007</v>
          </cell>
          <cell r="I381">
            <v>8</v>
          </cell>
          <cell r="J381">
            <v>9</v>
          </cell>
          <cell r="L381">
            <v>1</v>
          </cell>
        </row>
        <row r="382">
          <cell r="B382">
            <v>45172</v>
          </cell>
          <cell r="E382" t="str">
            <v>Карбунар Я.Д.</v>
          </cell>
          <cell r="F382" t="str">
            <v>Экскаватор JCB 2007</v>
          </cell>
          <cell r="I382">
            <v>8</v>
          </cell>
          <cell r="J382">
            <v>8</v>
          </cell>
        </row>
        <row r="383">
          <cell r="B383">
            <v>45173</v>
          </cell>
          <cell r="E383" t="str">
            <v>Карбунар Я.Д.</v>
          </cell>
          <cell r="F383" t="str">
            <v>Экскаватор JCB 2007</v>
          </cell>
          <cell r="I383">
            <v>8</v>
          </cell>
          <cell r="J383">
            <v>10</v>
          </cell>
        </row>
        <row r="384">
          <cell r="B384">
            <v>45174</v>
          </cell>
          <cell r="E384" t="str">
            <v>Карбунар Я.Д.</v>
          </cell>
          <cell r="F384" t="str">
            <v>Экскаватор JCB 2007</v>
          </cell>
          <cell r="I384">
            <v>8</v>
          </cell>
          <cell r="J384">
            <v>10</v>
          </cell>
          <cell r="L384">
            <v>1</v>
          </cell>
        </row>
        <row r="385">
          <cell r="B385">
            <v>45175</v>
          </cell>
          <cell r="E385" t="str">
            <v>Карбунар Я.Д.</v>
          </cell>
          <cell r="F385" t="str">
            <v>Экскаватор JCB 2007</v>
          </cell>
          <cell r="I385">
            <v>8</v>
          </cell>
          <cell r="J385">
            <v>10</v>
          </cell>
        </row>
        <row r="386">
          <cell r="B386">
            <v>45176</v>
          </cell>
          <cell r="E386" t="str">
            <v>Карбунар Я.Д.</v>
          </cell>
          <cell r="F386" t="str">
            <v>Экскаватор JCB 2007</v>
          </cell>
          <cell r="I386">
            <v>8</v>
          </cell>
          <cell r="J386">
            <v>10</v>
          </cell>
        </row>
        <row r="387">
          <cell r="B387">
            <v>45177</v>
          </cell>
          <cell r="E387" t="str">
            <v>Карбунар Я.Д.</v>
          </cell>
          <cell r="F387" t="str">
            <v>Экскаватор JCB 2007</v>
          </cell>
          <cell r="I387">
            <v>8</v>
          </cell>
          <cell r="J387">
            <v>12</v>
          </cell>
        </row>
        <row r="388">
          <cell r="B388">
            <v>45178</v>
          </cell>
          <cell r="E388" t="str">
            <v>Карбунар Я.Д.</v>
          </cell>
          <cell r="F388" t="str">
            <v>Экскаватор JCB 2007</v>
          </cell>
          <cell r="I388">
            <v>8</v>
          </cell>
          <cell r="J388">
            <v>11</v>
          </cell>
        </row>
        <row r="389">
          <cell r="B389">
            <v>45180</v>
          </cell>
          <cell r="E389" t="str">
            <v>Карбунар Я.Д.</v>
          </cell>
          <cell r="F389" t="str">
            <v>Экскаватор JCB 2007</v>
          </cell>
          <cell r="I389">
            <v>8</v>
          </cell>
          <cell r="J389">
            <v>11</v>
          </cell>
        </row>
        <row r="390">
          <cell r="B390">
            <v>45181</v>
          </cell>
          <cell r="E390" t="str">
            <v>Карбунар Я.Д.</v>
          </cell>
          <cell r="F390" t="str">
            <v>Экскаватор JCB 2007</v>
          </cell>
          <cell r="I390">
            <v>8</v>
          </cell>
          <cell r="J390">
            <v>12</v>
          </cell>
        </row>
        <row r="391">
          <cell r="B391">
            <v>45182</v>
          </cell>
          <cell r="E391" t="str">
            <v>Карбунар Я.Д.</v>
          </cell>
          <cell r="F391" t="str">
            <v>Экскаватор JCB 2007</v>
          </cell>
          <cell r="I391">
            <v>8</v>
          </cell>
          <cell r="J391">
            <v>12</v>
          </cell>
        </row>
        <row r="392">
          <cell r="B392">
            <v>45183</v>
          </cell>
          <cell r="E392" t="str">
            <v>Карбунар Я.Д.</v>
          </cell>
          <cell r="F392" t="str">
            <v>Экскаватор JCB 2007</v>
          </cell>
          <cell r="I392">
            <v>8</v>
          </cell>
          <cell r="J392">
            <v>12</v>
          </cell>
        </row>
        <row r="393">
          <cell r="B393">
            <v>45184</v>
          </cell>
          <cell r="E393" t="str">
            <v>Карбунар Я.Д.</v>
          </cell>
          <cell r="F393" t="str">
            <v>Экскаватор JCB 2007</v>
          </cell>
          <cell r="I393">
            <v>8</v>
          </cell>
          <cell r="J393">
            <v>10</v>
          </cell>
        </row>
        <row r="394">
          <cell r="B394">
            <v>45185</v>
          </cell>
          <cell r="E394" t="str">
            <v>Карбунар Я.Д.</v>
          </cell>
          <cell r="F394" t="str">
            <v>Экскаватор JCB 2007</v>
          </cell>
          <cell r="I394">
            <v>8</v>
          </cell>
          <cell r="J394">
            <v>10</v>
          </cell>
        </row>
        <row r="395">
          <cell r="B395">
            <v>45186</v>
          </cell>
          <cell r="E395" t="str">
            <v>Карбунар Я.Д.</v>
          </cell>
          <cell r="F395" t="str">
            <v>Экскаватор JCB 2007</v>
          </cell>
          <cell r="I395">
            <v>8</v>
          </cell>
          <cell r="J395">
            <v>6</v>
          </cell>
          <cell r="K395">
            <v>6</v>
          </cell>
        </row>
        <row r="396">
          <cell r="B396">
            <v>45187</v>
          </cell>
          <cell r="E396" t="str">
            <v>Карбунар Я.Д.</v>
          </cell>
          <cell r="F396" t="str">
            <v>Экскаватор JCB 2007</v>
          </cell>
          <cell r="I396">
            <v>8</v>
          </cell>
          <cell r="J396">
            <v>9</v>
          </cell>
        </row>
        <row r="397">
          <cell r="B397">
            <v>45188</v>
          </cell>
          <cell r="E397" t="str">
            <v>Карбунар Я.Д.</v>
          </cell>
          <cell r="F397" t="str">
            <v>Экскаватор JCB 2007</v>
          </cell>
          <cell r="I397">
            <v>8</v>
          </cell>
          <cell r="J397">
            <v>4</v>
          </cell>
        </row>
        <row r="398">
          <cell r="B398">
            <v>45173</v>
          </cell>
          <cell r="E398" t="str">
            <v>Зенкін Д.Ю.</v>
          </cell>
          <cell r="F398" t="str">
            <v>Экскаватор  JCB 3CX 2008</v>
          </cell>
          <cell r="I398">
            <v>9</v>
          </cell>
          <cell r="J398">
            <v>10</v>
          </cell>
          <cell r="K398">
            <v>7</v>
          </cell>
          <cell r="L398">
            <v>1</v>
          </cell>
        </row>
        <row r="399">
          <cell r="B399">
            <v>45174</v>
          </cell>
          <cell r="E399" t="str">
            <v>Зенкін Д.Ю.</v>
          </cell>
          <cell r="F399" t="str">
            <v>Экскаватор  JCB 3CX 2008</v>
          </cell>
          <cell r="I399">
            <v>9</v>
          </cell>
          <cell r="J399">
            <v>10</v>
          </cell>
        </row>
        <row r="400">
          <cell r="B400">
            <v>45175</v>
          </cell>
          <cell r="E400" t="str">
            <v>Зенкін Д.Ю.</v>
          </cell>
          <cell r="F400" t="str">
            <v>Экскаватор  JCB 3CX 2008</v>
          </cell>
          <cell r="I400">
            <v>9</v>
          </cell>
          <cell r="J400">
            <v>10</v>
          </cell>
        </row>
        <row r="401">
          <cell r="B401">
            <v>45176</v>
          </cell>
          <cell r="E401" t="str">
            <v>Зенкін Д.Ю.</v>
          </cell>
          <cell r="F401" t="str">
            <v>Экскаватор  JCB 3CX 2008</v>
          </cell>
          <cell r="I401">
            <v>9</v>
          </cell>
          <cell r="J401">
            <v>11</v>
          </cell>
        </row>
        <row r="402">
          <cell r="B402">
            <v>45177</v>
          </cell>
          <cell r="E402" t="str">
            <v>Зенкін Д.Ю.</v>
          </cell>
          <cell r="F402" t="str">
            <v>Экскаватор  JCB 3CX 2008</v>
          </cell>
          <cell r="I402">
            <v>9</v>
          </cell>
          <cell r="J402">
            <v>11</v>
          </cell>
        </row>
        <row r="403">
          <cell r="B403">
            <v>45178</v>
          </cell>
          <cell r="E403" t="str">
            <v>Зенкін Д.Ю.</v>
          </cell>
          <cell r="F403" t="str">
            <v>Экскаватор  JCB 3CX 2008</v>
          </cell>
          <cell r="I403">
            <v>9</v>
          </cell>
          <cell r="J403">
            <v>9</v>
          </cell>
        </row>
        <row r="404">
          <cell r="B404">
            <v>45180</v>
          </cell>
          <cell r="E404" t="str">
            <v>Зенкін Д.Ю.</v>
          </cell>
          <cell r="F404" t="str">
            <v>Экскаватор  JCB 3CX 2008</v>
          </cell>
          <cell r="I404">
            <v>9</v>
          </cell>
          <cell r="J404">
            <v>11</v>
          </cell>
          <cell r="L404">
            <v>1</v>
          </cell>
        </row>
        <row r="405">
          <cell r="B405">
            <v>45181</v>
          </cell>
          <cell r="E405" t="str">
            <v>Зенкін Д.Ю.</v>
          </cell>
          <cell r="F405" t="str">
            <v>Экскаватор  JCB 3CX 2008</v>
          </cell>
          <cell r="I405">
            <v>9</v>
          </cell>
          <cell r="J405">
            <v>11</v>
          </cell>
        </row>
        <row r="406">
          <cell r="B406">
            <v>45182</v>
          </cell>
          <cell r="E406" t="str">
            <v>Зенкін Д.Ю.</v>
          </cell>
          <cell r="F406" t="str">
            <v>Экскаватор  JCB 3CX 2008</v>
          </cell>
          <cell r="I406">
            <v>9</v>
          </cell>
          <cell r="J406">
            <v>10</v>
          </cell>
        </row>
        <row r="407">
          <cell r="B407">
            <v>45183</v>
          </cell>
          <cell r="E407" t="str">
            <v>Зенкін Д.Ю.</v>
          </cell>
          <cell r="F407" t="str">
            <v>Экскаватор  JCB 3CX 2008</v>
          </cell>
          <cell r="I407">
            <v>9</v>
          </cell>
          <cell r="J407">
            <v>11</v>
          </cell>
          <cell r="K407">
            <v>1</v>
          </cell>
        </row>
        <row r="408">
          <cell r="B408">
            <v>45184</v>
          </cell>
          <cell r="E408" t="str">
            <v>Зенкін Д.Ю.</v>
          </cell>
          <cell r="F408" t="str">
            <v>Экскаватор  JCB 3CX 2008</v>
          </cell>
          <cell r="I408">
            <v>9</v>
          </cell>
          <cell r="J408">
            <v>11</v>
          </cell>
        </row>
        <row r="409">
          <cell r="B409">
            <v>45185</v>
          </cell>
          <cell r="E409" t="str">
            <v>Зенкін Д.Ю.</v>
          </cell>
          <cell r="F409" t="str">
            <v>Экскаватор  JCB 3CX 2008</v>
          </cell>
          <cell r="I409">
            <v>9</v>
          </cell>
          <cell r="J409">
            <v>10</v>
          </cell>
        </row>
        <row r="410">
          <cell r="B410">
            <v>45187</v>
          </cell>
          <cell r="E410" t="str">
            <v>Зенкін Д.Ю.</v>
          </cell>
          <cell r="F410" t="str">
            <v>Экскаватор  JCB 3CX 2008</v>
          </cell>
          <cell r="I410">
            <v>9</v>
          </cell>
          <cell r="J410">
            <v>9</v>
          </cell>
        </row>
        <row r="411">
          <cell r="B411">
            <v>45188</v>
          </cell>
          <cell r="E411" t="str">
            <v>Зенкін Д.Ю.</v>
          </cell>
          <cell r="F411" t="str">
            <v>Экскаватор  JCB 3CX 2008</v>
          </cell>
          <cell r="I411">
            <v>9</v>
          </cell>
          <cell r="J411">
            <v>10</v>
          </cell>
        </row>
        <row r="412">
          <cell r="B412">
            <v>45189</v>
          </cell>
          <cell r="E412" t="str">
            <v>Зенкін Д.Ю.</v>
          </cell>
          <cell r="F412" t="str">
            <v>Экскаватор  JCB 3CX 2008</v>
          </cell>
          <cell r="I412">
            <v>9</v>
          </cell>
          <cell r="J412">
            <v>11</v>
          </cell>
          <cell r="L412">
            <v>1</v>
          </cell>
        </row>
        <row r="413">
          <cell r="B413">
            <v>45190</v>
          </cell>
          <cell r="E413" t="str">
            <v>Зенкін Д.Ю.</v>
          </cell>
          <cell r="F413" t="str">
            <v>Экскаватор  JCB 3CX 2008</v>
          </cell>
          <cell r="I413">
            <v>9</v>
          </cell>
          <cell r="J413">
            <v>10</v>
          </cell>
        </row>
        <row r="414">
          <cell r="B414">
            <v>45191</v>
          </cell>
          <cell r="E414" t="str">
            <v>Зенкін Д.Ю.</v>
          </cell>
          <cell r="F414" t="str">
            <v>Экскаватор  JCB 3CX 2008</v>
          </cell>
          <cell r="I414">
            <v>9</v>
          </cell>
          <cell r="J414">
            <v>11</v>
          </cell>
        </row>
        <row r="415">
          <cell r="B415">
            <v>45192</v>
          </cell>
          <cell r="E415" t="str">
            <v>Зенкін Д.Ю.</v>
          </cell>
          <cell r="F415" t="str">
            <v>Экскаватор  JCB 3CX 2008</v>
          </cell>
          <cell r="I415">
            <v>9</v>
          </cell>
          <cell r="J415">
            <v>9</v>
          </cell>
          <cell r="L415">
            <v>1</v>
          </cell>
        </row>
        <row r="416">
          <cell r="B416">
            <v>45194</v>
          </cell>
          <cell r="E416" t="str">
            <v>Зенкін Д.Ю.</v>
          </cell>
          <cell r="F416" t="str">
            <v>Экскаватор  JCB 3CX 2008</v>
          </cell>
          <cell r="I416">
            <v>9</v>
          </cell>
          <cell r="J416">
            <v>10</v>
          </cell>
        </row>
        <row r="417">
          <cell r="B417">
            <v>45195</v>
          </cell>
          <cell r="E417" t="str">
            <v>Зенкін Д.Ю.</v>
          </cell>
          <cell r="F417" t="str">
            <v>Экскаватор  JCB 3CX 2008</v>
          </cell>
          <cell r="I417">
            <v>9</v>
          </cell>
          <cell r="J417">
            <v>10</v>
          </cell>
        </row>
        <row r="418">
          <cell r="B418">
            <v>45196</v>
          </cell>
          <cell r="E418" t="str">
            <v>Зенкін Д.Ю.</v>
          </cell>
          <cell r="F418" t="str">
            <v>Экскаватор  JCB 3CX 2008</v>
          </cell>
          <cell r="I418">
            <v>9</v>
          </cell>
          <cell r="J418">
            <v>11</v>
          </cell>
          <cell r="K418">
            <v>2</v>
          </cell>
          <cell r="L418">
            <v>1</v>
          </cell>
        </row>
        <row r="419">
          <cell r="B419">
            <v>45197</v>
          </cell>
          <cell r="E419" t="str">
            <v>Зенкін Д.Ю.</v>
          </cell>
          <cell r="F419" t="str">
            <v>Экскаватор  JCB 3CX 2008</v>
          </cell>
          <cell r="I419">
            <v>9</v>
          </cell>
          <cell r="J419">
            <v>11</v>
          </cell>
        </row>
        <row r="420">
          <cell r="B420">
            <v>45173</v>
          </cell>
          <cell r="E420" t="str">
            <v>Скоц С.І.</v>
          </cell>
          <cell r="F420" t="str">
            <v>Экскаватор JCB 220</v>
          </cell>
          <cell r="I420">
            <v>11</v>
          </cell>
          <cell r="J420">
            <v>10</v>
          </cell>
        </row>
        <row r="421">
          <cell r="B421">
            <v>45174</v>
          </cell>
          <cell r="E421" t="str">
            <v>Скоц С.І.</v>
          </cell>
          <cell r="F421" t="str">
            <v>Экскаватор JCB 220</v>
          </cell>
          <cell r="I421">
            <v>11</v>
          </cell>
          <cell r="J421">
            <v>11</v>
          </cell>
          <cell r="L421">
            <v>1</v>
          </cell>
        </row>
        <row r="422">
          <cell r="B422">
            <v>45175</v>
          </cell>
          <cell r="E422" t="str">
            <v>Скоц С.І.</v>
          </cell>
          <cell r="F422" t="str">
            <v>Экскаватор JCB 220</v>
          </cell>
          <cell r="I422">
            <v>11</v>
          </cell>
          <cell r="J422">
            <v>11</v>
          </cell>
          <cell r="K422">
            <v>1</v>
          </cell>
        </row>
        <row r="423">
          <cell r="B423">
            <v>45176</v>
          </cell>
          <cell r="E423" t="str">
            <v>Скоц С.І.</v>
          </cell>
          <cell r="F423" t="str">
            <v>Экскаватор JCB 220</v>
          </cell>
          <cell r="I423">
            <v>11</v>
          </cell>
          <cell r="J423">
            <v>11</v>
          </cell>
          <cell r="K423">
            <v>1</v>
          </cell>
        </row>
        <row r="424">
          <cell r="B424">
            <v>45177</v>
          </cell>
          <cell r="E424" t="str">
            <v>Скоц С.І.</v>
          </cell>
          <cell r="F424" t="str">
            <v>Экскаватор JCB 220</v>
          </cell>
          <cell r="I424">
            <v>11</v>
          </cell>
          <cell r="J424">
            <v>11</v>
          </cell>
          <cell r="L424">
            <v>1</v>
          </cell>
        </row>
        <row r="425">
          <cell r="B425">
            <v>45178</v>
          </cell>
          <cell r="E425" t="str">
            <v>Скоц С.І.</v>
          </cell>
          <cell r="F425" t="str">
            <v>Экскаватор JCB 220</v>
          </cell>
          <cell r="I425">
            <v>11</v>
          </cell>
          <cell r="J425">
            <v>10</v>
          </cell>
        </row>
        <row r="426">
          <cell r="B426">
            <v>45174</v>
          </cell>
          <cell r="E426" t="str">
            <v>Мусієнко І.І.</v>
          </cell>
          <cell r="F426" t="str">
            <v>Телескоп №1</v>
          </cell>
          <cell r="I426">
            <v>1</v>
          </cell>
          <cell r="J426">
            <v>10</v>
          </cell>
          <cell r="K426">
            <v>2</v>
          </cell>
        </row>
        <row r="427">
          <cell r="B427">
            <v>45176</v>
          </cell>
          <cell r="E427" t="str">
            <v>Мусієнко І.І.</v>
          </cell>
          <cell r="F427" t="str">
            <v>Телескоп №1</v>
          </cell>
          <cell r="I427">
            <v>1</v>
          </cell>
          <cell r="J427">
            <v>10</v>
          </cell>
          <cell r="L427">
            <v>1</v>
          </cell>
        </row>
        <row r="428">
          <cell r="B428">
            <v>45177</v>
          </cell>
          <cell r="E428" t="str">
            <v>Мусієнко І.І.</v>
          </cell>
          <cell r="F428" t="str">
            <v>Телескоп №1</v>
          </cell>
          <cell r="I428">
            <v>1</v>
          </cell>
          <cell r="J428">
            <v>10</v>
          </cell>
          <cell r="L428">
            <v>1</v>
          </cell>
        </row>
        <row r="429">
          <cell r="B429">
            <v>45178</v>
          </cell>
          <cell r="E429" t="str">
            <v>Мусієнко І.І.</v>
          </cell>
          <cell r="F429" t="str">
            <v>Телескоп №1</v>
          </cell>
          <cell r="I429">
            <v>1</v>
          </cell>
          <cell r="J429">
            <v>10</v>
          </cell>
        </row>
        <row r="430">
          <cell r="B430">
            <v>45180</v>
          </cell>
          <cell r="E430" t="str">
            <v>Мусієнко І.І.</v>
          </cell>
          <cell r="F430" t="str">
            <v>Телескоп №1</v>
          </cell>
          <cell r="I430">
            <v>1</v>
          </cell>
          <cell r="J430">
            <v>11</v>
          </cell>
          <cell r="L430">
            <v>1</v>
          </cell>
        </row>
        <row r="431">
          <cell r="B431">
            <v>45181</v>
          </cell>
          <cell r="E431" t="str">
            <v>Мусієнко І.І.</v>
          </cell>
          <cell r="F431" t="str">
            <v>Телескоп №1</v>
          </cell>
          <cell r="I431">
            <v>1</v>
          </cell>
          <cell r="J431">
            <v>10</v>
          </cell>
        </row>
        <row r="432">
          <cell r="B432">
            <v>45182</v>
          </cell>
          <cell r="E432" t="str">
            <v>Мусієнко І.І.</v>
          </cell>
          <cell r="F432" t="str">
            <v>Телескоп №1</v>
          </cell>
          <cell r="I432">
            <v>1</v>
          </cell>
          <cell r="J432">
            <v>10</v>
          </cell>
        </row>
        <row r="433">
          <cell r="B433">
            <v>45183</v>
          </cell>
          <cell r="E433" t="str">
            <v>Мусієнко І.І.</v>
          </cell>
          <cell r="F433" t="str">
            <v>Телескоп №1</v>
          </cell>
          <cell r="I433">
            <v>1</v>
          </cell>
          <cell r="J433">
            <v>11</v>
          </cell>
          <cell r="L433">
            <v>1</v>
          </cell>
        </row>
        <row r="434">
          <cell r="B434">
            <v>45184</v>
          </cell>
          <cell r="E434" t="str">
            <v>Мусієнко І.І.</v>
          </cell>
          <cell r="F434" t="str">
            <v>Телескоп №1</v>
          </cell>
          <cell r="I434">
            <v>1</v>
          </cell>
          <cell r="J434">
            <v>10</v>
          </cell>
        </row>
        <row r="435">
          <cell r="B435">
            <v>45185</v>
          </cell>
          <cell r="E435" t="str">
            <v>Мусієнко І.І.</v>
          </cell>
          <cell r="F435" t="str">
            <v>Телескоп №1</v>
          </cell>
          <cell r="I435">
            <v>1</v>
          </cell>
          <cell r="J435">
            <v>10</v>
          </cell>
        </row>
        <row r="436">
          <cell r="B436">
            <v>45187</v>
          </cell>
          <cell r="E436" t="str">
            <v>Мусієнко І.І.</v>
          </cell>
          <cell r="F436" t="str">
            <v>Телескоп №1</v>
          </cell>
          <cell r="I436">
            <v>1</v>
          </cell>
          <cell r="J436">
            <v>10</v>
          </cell>
        </row>
        <row r="437">
          <cell r="B437">
            <v>45188</v>
          </cell>
          <cell r="E437" t="str">
            <v>Мусієнко І.І.</v>
          </cell>
          <cell r="F437" t="str">
            <v>Телескоп №1</v>
          </cell>
          <cell r="I437">
            <v>1</v>
          </cell>
          <cell r="J437">
            <v>10</v>
          </cell>
        </row>
        <row r="438">
          <cell r="B438">
            <v>45189</v>
          </cell>
          <cell r="E438" t="str">
            <v>Мусієнко І.І.</v>
          </cell>
          <cell r="F438" t="str">
            <v>Телескоп №1</v>
          </cell>
          <cell r="I438">
            <v>1</v>
          </cell>
          <cell r="J438">
            <v>11</v>
          </cell>
          <cell r="K438">
            <v>1</v>
          </cell>
        </row>
        <row r="439">
          <cell r="B439">
            <v>45190</v>
          </cell>
          <cell r="E439" t="str">
            <v>Мусієнко І.І.</v>
          </cell>
          <cell r="F439" t="str">
            <v>Телескоп №1</v>
          </cell>
          <cell r="I439">
            <v>1</v>
          </cell>
          <cell r="J439">
            <v>11</v>
          </cell>
          <cell r="K439">
            <v>1</v>
          </cell>
        </row>
        <row r="440">
          <cell r="B440">
            <v>45191</v>
          </cell>
          <cell r="E440" t="str">
            <v>Мусієнко І.І.</v>
          </cell>
          <cell r="F440" t="str">
            <v>Телескоп №1</v>
          </cell>
          <cell r="I440">
            <v>1</v>
          </cell>
          <cell r="J440">
            <v>11</v>
          </cell>
          <cell r="K440">
            <v>1</v>
          </cell>
        </row>
        <row r="441">
          <cell r="B441">
            <v>45192</v>
          </cell>
          <cell r="E441" t="str">
            <v>Мусієнко І.І.</v>
          </cell>
          <cell r="F441" t="str">
            <v>Телескоп №1</v>
          </cell>
          <cell r="I441">
            <v>1</v>
          </cell>
          <cell r="J441">
            <v>10</v>
          </cell>
        </row>
        <row r="442">
          <cell r="B442">
            <v>45194</v>
          </cell>
          <cell r="E442" t="str">
            <v>Мусієнко І.І.</v>
          </cell>
          <cell r="F442" t="str">
            <v>Телескоп №1</v>
          </cell>
          <cell r="I442">
            <v>1</v>
          </cell>
          <cell r="J442">
            <v>10</v>
          </cell>
        </row>
        <row r="443">
          <cell r="B443">
            <v>45170</v>
          </cell>
          <cell r="E443" t="str">
            <v>Горячий І.В.</v>
          </cell>
          <cell r="F443" t="str">
            <v>Телескоп №2</v>
          </cell>
          <cell r="I443">
            <v>2</v>
          </cell>
          <cell r="J443">
            <v>9</v>
          </cell>
          <cell r="K443">
            <v>1</v>
          </cell>
        </row>
        <row r="444">
          <cell r="B444">
            <v>45171</v>
          </cell>
          <cell r="E444" t="str">
            <v>Горячий І.В.</v>
          </cell>
          <cell r="F444" t="str">
            <v>Телескоп №2</v>
          </cell>
          <cell r="I444">
            <v>2</v>
          </cell>
          <cell r="J444">
            <v>6</v>
          </cell>
          <cell r="K444">
            <v>1</v>
          </cell>
          <cell r="L444">
            <v>1</v>
          </cell>
        </row>
        <row r="445">
          <cell r="B445">
            <v>45173</v>
          </cell>
          <cell r="E445" t="str">
            <v>Горячий І.В.</v>
          </cell>
          <cell r="F445" t="str">
            <v>Телескоп №2</v>
          </cell>
          <cell r="I445">
            <v>2</v>
          </cell>
          <cell r="J445">
            <v>4</v>
          </cell>
        </row>
        <row r="446">
          <cell r="B446">
            <v>45174</v>
          </cell>
          <cell r="E446" t="str">
            <v>Горячий І.В.</v>
          </cell>
          <cell r="F446" t="str">
            <v>Телескоп №2</v>
          </cell>
          <cell r="I446">
            <v>2</v>
          </cell>
          <cell r="J446">
            <v>8</v>
          </cell>
        </row>
        <row r="447">
          <cell r="B447">
            <v>45175</v>
          </cell>
          <cell r="E447" t="str">
            <v>Горячий І.В.</v>
          </cell>
          <cell r="F447" t="str">
            <v>Телескоп №2</v>
          </cell>
          <cell r="I447">
            <v>2</v>
          </cell>
          <cell r="J447">
            <v>8</v>
          </cell>
        </row>
        <row r="448">
          <cell r="B448">
            <v>45176</v>
          </cell>
          <cell r="E448" t="str">
            <v>Горячий І.В.</v>
          </cell>
          <cell r="F448" t="str">
            <v>Телескоп №2</v>
          </cell>
          <cell r="I448">
            <v>2</v>
          </cell>
          <cell r="J448">
            <v>8</v>
          </cell>
          <cell r="K448">
            <v>1</v>
          </cell>
        </row>
        <row r="449">
          <cell r="B449">
            <v>45177</v>
          </cell>
          <cell r="E449" t="str">
            <v>Горячий І.В.</v>
          </cell>
          <cell r="F449" t="str">
            <v>Телескоп №2</v>
          </cell>
          <cell r="I449">
            <v>2</v>
          </cell>
          <cell r="J449">
            <v>9</v>
          </cell>
        </row>
        <row r="450">
          <cell r="B450">
            <v>45178</v>
          </cell>
          <cell r="E450" t="str">
            <v>Горячий І.В.</v>
          </cell>
          <cell r="F450" t="str">
            <v>Телескоп №2</v>
          </cell>
          <cell r="I450">
            <v>2</v>
          </cell>
          <cell r="J450">
            <v>4</v>
          </cell>
          <cell r="K450">
            <v>1</v>
          </cell>
        </row>
        <row r="451">
          <cell r="B451">
            <v>45180</v>
          </cell>
          <cell r="E451" t="str">
            <v>Горячий І.В.</v>
          </cell>
          <cell r="F451" t="str">
            <v>Телескоп №2</v>
          </cell>
          <cell r="I451">
            <v>2</v>
          </cell>
          <cell r="J451">
            <v>9</v>
          </cell>
          <cell r="K451">
            <v>4</v>
          </cell>
        </row>
        <row r="452">
          <cell r="B452">
            <v>45181</v>
          </cell>
          <cell r="E452" t="str">
            <v>Горячий І.В.</v>
          </cell>
          <cell r="F452" t="str">
            <v>Телескоп №2</v>
          </cell>
          <cell r="I452">
            <v>2</v>
          </cell>
          <cell r="J452">
            <v>9</v>
          </cell>
        </row>
        <row r="453">
          <cell r="B453">
            <v>45182</v>
          </cell>
          <cell r="E453" t="str">
            <v>Горячий І.В.</v>
          </cell>
          <cell r="F453" t="str">
            <v>Телескоп №2</v>
          </cell>
          <cell r="I453">
            <v>2</v>
          </cell>
          <cell r="J453">
            <v>9</v>
          </cell>
          <cell r="L453">
            <v>1</v>
          </cell>
        </row>
        <row r="454">
          <cell r="B454">
            <v>45183</v>
          </cell>
          <cell r="E454" t="str">
            <v>Горячий І.В.</v>
          </cell>
          <cell r="F454" t="str">
            <v>Телескоп №2</v>
          </cell>
          <cell r="I454">
            <v>2</v>
          </cell>
          <cell r="J454">
            <v>10</v>
          </cell>
        </row>
        <row r="455">
          <cell r="B455">
            <v>45184</v>
          </cell>
          <cell r="E455" t="str">
            <v>Горячий І.В.</v>
          </cell>
          <cell r="F455" t="str">
            <v>Телескоп №2</v>
          </cell>
          <cell r="I455">
            <v>2</v>
          </cell>
          <cell r="J455">
            <v>9</v>
          </cell>
        </row>
        <row r="456">
          <cell r="B456">
            <v>45185</v>
          </cell>
          <cell r="E456" t="str">
            <v>Горячий І.В.</v>
          </cell>
          <cell r="F456" t="str">
            <v>Телескоп №2</v>
          </cell>
          <cell r="I456">
            <v>2</v>
          </cell>
          <cell r="J456">
            <v>9</v>
          </cell>
        </row>
        <row r="457">
          <cell r="B457">
            <v>45187</v>
          </cell>
          <cell r="E457" t="str">
            <v>Горячий І.В.</v>
          </cell>
          <cell r="F457" t="str">
            <v>Телескоп №2</v>
          </cell>
          <cell r="I457">
            <v>2</v>
          </cell>
          <cell r="J457">
            <v>9</v>
          </cell>
        </row>
        <row r="458">
          <cell r="B458">
            <v>45188</v>
          </cell>
          <cell r="E458" t="str">
            <v>Горячий І.В.</v>
          </cell>
          <cell r="F458" t="str">
            <v>Телескоп №2</v>
          </cell>
          <cell r="I458">
            <v>2</v>
          </cell>
          <cell r="J458">
            <v>9</v>
          </cell>
        </row>
        <row r="459">
          <cell r="B459">
            <v>45189</v>
          </cell>
          <cell r="E459" t="str">
            <v>Горячий І.В.</v>
          </cell>
          <cell r="F459" t="str">
            <v>Телескоп №2</v>
          </cell>
          <cell r="I459">
            <v>2</v>
          </cell>
          <cell r="J459">
            <v>8</v>
          </cell>
        </row>
        <row r="460">
          <cell r="B460">
            <v>45190</v>
          </cell>
          <cell r="E460" t="str">
            <v>Горячий І.В.</v>
          </cell>
          <cell r="F460" t="str">
            <v>Телескоп №2</v>
          </cell>
          <cell r="I460">
            <v>2</v>
          </cell>
          <cell r="J460">
            <v>9</v>
          </cell>
          <cell r="K460">
            <v>1</v>
          </cell>
        </row>
        <row r="461">
          <cell r="B461">
            <v>45191</v>
          </cell>
          <cell r="E461" t="str">
            <v>Горячий І.В.</v>
          </cell>
          <cell r="F461" t="str">
            <v>Телескоп №2</v>
          </cell>
          <cell r="I461">
            <v>2</v>
          </cell>
          <cell r="J461">
            <v>8</v>
          </cell>
        </row>
        <row r="462">
          <cell r="B462">
            <v>45192</v>
          </cell>
          <cell r="E462" t="str">
            <v>Горячий І.В.</v>
          </cell>
          <cell r="F462" t="str">
            <v>Телескоп №2</v>
          </cell>
          <cell r="I462">
            <v>2</v>
          </cell>
          <cell r="J462">
            <v>4</v>
          </cell>
        </row>
        <row r="463">
          <cell r="B463">
            <v>45194</v>
          </cell>
          <cell r="E463" t="str">
            <v>Горячий І.В.</v>
          </cell>
          <cell r="F463" t="str">
            <v>Телескоп №2</v>
          </cell>
          <cell r="I463">
            <v>2</v>
          </cell>
          <cell r="J463">
            <v>9</v>
          </cell>
          <cell r="L463">
            <v>1</v>
          </cell>
        </row>
        <row r="464">
          <cell r="B464">
            <v>45195</v>
          </cell>
          <cell r="E464" t="str">
            <v>Горячий І.В.</v>
          </cell>
          <cell r="F464" t="str">
            <v>Телескоп №2</v>
          </cell>
          <cell r="I464">
            <v>2</v>
          </cell>
          <cell r="J464">
            <v>8</v>
          </cell>
        </row>
        <row r="465">
          <cell r="B465">
            <v>45196</v>
          </cell>
          <cell r="E465" t="str">
            <v>Горячий І.В.</v>
          </cell>
          <cell r="F465" t="str">
            <v>Телескоп №2</v>
          </cell>
          <cell r="I465">
            <v>2</v>
          </cell>
          <cell r="J465">
            <v>8</v>
          </cell>
        </row>
        <row r="466">
          <cell r="B466">
            <v>45197</v>
          </cell>
          <cell r="E466" t="str">
            <v>Горячий І.В.</v>
          </cell>
          <cell r="F466" t="str">
            <v>Телескоп №2</v>
          </cell>
          <cell r="I466">
            <v>2</v>
          </cell>
          <cell r="J466">
            <v>9</v>
          </cell>
          <cell r="K466">
            <v>1</v>
          </cell>
        </row>
        <row r="467">
          <cell r="B467">
            <v>45198</v>
          </cell>
          <cell r="E467" t="str">
            <v>Горячий І.В.</v>
          </cell>
          <cell r="F467" t="str">
            <v>Телескоп №2</v>
          </cell>
          <cell r="I467">
            <v>2</v>
          </cell>
          <cell r="J467">
            <v>8</v>
          </cell>
        </row>
        <row r="468">
          <cell r="B468">
            <v>45199</v>
          </cell>
          <cell r="E468" t="str">
            <v>Горячий І.В.</v>
          </cell>
          <cell r="F468" t="str">
            <v>Телескоп №2</v>
          </cell>
          <cell r="I468">
            <v>2</v>
          </cell>
          <cell r="J468">
            <v>7</v>
          </cell>
        </row>
        <row r="469">
          <cell r="B469">
            <v>45170</v>
          </cell>
          <cell r="E469" t="str">
            <v>Косік Ю.А.</v>
          </cell>
          <cell r="F469" t="str">
            <v>Телескоп №4</v>
          </cell>
          <cell r="I469">
            <v>4</v>
          </cell>
          <cell r="J469">
            <v>10</v>
          </cell>
        </row>
        <row r="470">
          <cell r="B470">
            <v>45171</v>
          </cell>
          <cell r="E470" t="str">
            <v>Косік Ю.А.</v>
          </cell>
          <cell r="F470" t="str">
            <v>Телескоп №4</v>
          </cell>
          <cell r="I470">
            <v>4</v>
          </cell>
          <cell r="J470">
            <v>8</v>
          </cell>
          <cell r="L470">
            <v>1</v>
          </cell>
        </row>
        <row r="471">
          <cell r="B471">
            <v>45173</v>
          </cell>
          <cell r="E471" t="str">
            <v>Косік Ю.А.</v>
          </cell>
          <cell r="F471" t="str">
            <v>Телескоп №4</v>
          </cell>
          <cell r="I471">
            <v>4</v>
          </cell>
          <cell r="J471">
            <v>10</v>
          </cell>
        </row>
        <row r="472">
          <cell r="B472">
            <v>45174</v>
          </cell>
          <cell r="E472" t="str">
            <v>Косік Ю.А.</v>
          </cell>
          <cell r="F472" t="str">
            <v>Телескоп №4</v>
          </cell>
          <cell r="I472">
            <v>4</v>
          </cell>
          <cell r="J472">
            <v>9</v>
          </cell>
        </row>
        <row r="473">
          <cell r="B473">
            <v>45175</v>
          </cell>
          <cell r="E473" t="str">
            <v>Косік Ю.А.</v>
          </cell>
          <cell r="F473" t="str">
            <v>Телескоп №4</v>
          </cell>
          <cell r="I473">
            <v>4</v>
          </cell>
          <cell r="J473">
            <v>10</v>
          </cell>
        </row>
        <row r="474">
          <cell r="B474">
            <v>45176</v>
          </cell>
          <cell r="E474" t="str">
            <v>Косік Ю.А.</v>
          </cell>
          <cell r="F474" t="str">
            <v>Телескоп №4</v>
          </cell>
          <cell r="I474">
            <v>4</v>
          </cell>
          <cell r="J474">
            <v>10</v>
          </cell>
        </row>
        <row r="475">
          <cell r="B475">
            <v>45177</v>
          </cell>
          <cell r="E475" t="str">
            <v>Косік Ю.А.</v>
          </cell>
          <cell r="F475" t="str">
            <v>Телескоп №4</v>
          </cell>
          <cell r="I475">
            <v>4</v>
          </cell>
          <cell r="J475">
            <v>7</v>
          </cell>
        </row>
        <row r="476">
          <cell r="B476">
            <v>45198</v>
          </cell>
          <cell r="E476" t="str">
            <v>Косік Ю.А.</v>
          </cell>
          <cell r="F476" t="str">
            <v>Телескоп №4</v>
          </cell>
          <cell r="I476">
            <v>4</v>
          </cell>
          <cell r="J476">
            <v>9</v>
          </cell>
        </row>
        <row r="477">
          <cell r="B477">
            <v>45199</v>
          </cell>
          <cell r="E477" t="str">
            <v>Косік Ю.А.</v>
          </cell>
          <cell r="F477" t="str">
            <v>Телескоп №4</v>
          </cell>
          <cell r="I477">
            <v>4</v>
          </cell>
          <cell r="J477">
            <v>8</v>
          </cell>
        </row>
        <row r="478">
          <cell r="B478">
            <v>45170</v>
          </cell>
          <cell r="E478" t="str">
            <v>Болох В.В.</v>
          </cell>
          <cell r="F478" t="str">
            <v>Автокран XCMG</v>
          </cell>
          <cell r="I478">
            <v>17</v>
          </cell>
          <cell r="J478">
            <v>9</v>
          </cell>
        </row>
        <row r="479">
          <cell r="B479">
            <v>45173</v>
          </cell>
          <cell r="E479" t="str">
            <v>Болох В.В.</v>
          </cell>
          <cell r="F479" t="str">
            <v>Автокран XCMG</v>
          </cell>
          <cell r="I479">
            <v>17</v>
          </cell>
          <cell r="J479">
            <v>8</v>
          </cell>
          <cell r="K479">
            <v>4</v>
          </cell>
        </row>
        <row r="480">
          <cell r="B480">
            <v>45174</v>
          </cell>
          <cell r="E480" t="str">
            <v>Болох В.В.</v>
          </cell>
          <cell r="F480" t="str">
            <v>Автокран XCMG</v>
          </cell>
          <cell r="I480">
            <v>17</v>
          </cell>
          <cell r="J480">
            <v>10</v>
          </cell>
        </row>
        <row r="481">
          <cell r="B481">
            <v>45175</v>
          </cell>
          <cell r="E481" t="str">
            <v>Болох В.В.</v>
          </cell>
          <cell r="F481" t="str">
            <v>Автокран XCMG</v>
          </cell>
          <cell r="I481">
            <v>17</v>
          </cell>
          <cell r="J481">
            <v>8</v>
          </cell>
        </row>
        <row r="482">
          <cell r="B482">
            <v>45176</v>
          </cell>
          <cell r="E482" t="str">
            <v>Болох В.В.</v>
          </cell>
          <cell r="F482" t="str">
            <v>Автокран XCMG</v>
          </cell>
          <cell r="I482">
            <v>17</v>
          </cell>
          <cell r="J482">
            <v>10</v>
          </cell>
        </row>
        <row r="483">
          <cell r="B483">
            <v>45177</v>
          </cell>
          <cell r="E483" t="str">
            <v>Болох В.В.</v>
          </cell>
          <cell r="F483" t="str">
            <v>Автокран XCMG</v>
          </cell>
          <cell r="I483">
            <v>17</v>
          </cell>
          <cell r="J483">
            <v>8</v>
          </cell>
          <cell r="K483">
            <v>8</v>
          </cell>
        </row>
        <row r="484">
          <cell r="B484">
            <v>45178</v>
          </cell>
          <cell r="E484" t="str">
            <v>Болох В.В.</v>
          </cell>
          <cell r="F484" t="str">
            <v>Автокран XCMG</v>
          </cell>
          <cell r="I484">
            <v>17</v>
          </cell>
          <cell r="J484">
            <v>8</v>
          </cell>
          <cell r="K484">
            <v>1</v>
          </cell>
        </row>
        <row r="485">
          <cell r="B485">
            <v>45180</v>
          </cell>
          <cell r="E485" t="str">
            <v>Болох В.В.</v>
          </cell>
          <cell r="F485" t="str">
            <v>Автокран XCMG</v>
          </cell>
          <cell r="I485">
            <v>17</v>
          </cell>
          <cell r="J485">
            <v>8</v>
          </cell>
          <cell r="K485">
            <v>8</v>
          </cell>
        </row>
        <row r="486">
          <cell r="B486">
            <v>45181</v>
          </cell>
          <cell r="E486" t="str">
            <v>Болох В.В.</v>
          </cell>
          <cell r="F486" t="str">
            <v>Автокран XCMG</v>
          </cell>
          <cell r="I486">
            <v>17</v>
          </cell>
          <cell r="J486">
            <v>10</v>
          </cell>
        </row>
        <row r="487">
          <cell r="B487">
            <v>45182</v>
          </cell>
          <cell r="E487" t="str">
            <v>Болох В.В.</v>
          </cell>
          <cell r="F487" t="str">
            <v>Автокран XCMG</v>
          </cell>
          <cell r="I487">
            <v>17</v>
          </cell>
          <cell r="J487">
            <v>10</v>
          </cell>
        </row>
        <row r="488">
          <cell r="B488">
            <v>45183</v>
          </cell>
          <cell r="E488" t="str">
            <v>Болох В.В.</v>
          </cell>
          <cell r="F488" t="str">
            <v>Автокран XCMG</v>
          </cell>
          <cell r="I488">
            <v>17</v>
          </cell>
          <cell r="J488">
            <v>10</v>
          </cell>
        </row>
        <row r="489">
          <cell r="B489">
            <v>45184</v>
          </cell>
          <cell r="E489" t="str">
            <v>Болох В.В.</v>
          </cell>
          <cell r="F489" t="str">
            <v>Автокран XCMG</v>
          </cell>
          <cell r="I489">
            <v>17</v>
          </cell>
          <cell r="J489">
            <v>9</v>
          </cell>
        </row>
        <row r="490">
          <cell r="B490">
            <v>45185</v>
          </cell>
          <cell r="E490" t="str">
            <v>Болох В.В.</v>
          </cell>
          <cell r="F490" t="str">
            <v>Автокран XCMG</v>
          </cell>
          <cell r="I490">
            <v>17</v>
          </cell>
          <cell r="J490">
            <v>10</v>
          </cell>
          <cell r="L490">
            <v>1</v>
          </cell>
        </row>
        <row r="491">
          <cell r="B491">
            <v>45187</v>
          </cell>
          <cell r="E491" t="str">
            <v>Болох В.В.</v>
          </cell>
          <cell r="F491" t="str">
            <v>Автокран XCMG</v>
          </cell>
          <cell r="I491">
            <v>17</v>
          </cell>
          <cell r="J491">
            <v>9</v>
          </cell>
          <cell r="K491">
            <v>1</v>
          </cell>
        </row>
        <row r="492">
          <cell r="B492">
            <v>45188</v>
          </cell>
          <cell r="E492" t="str">
            <v>Болох В.В.</v>
          </cell>
          <cell r="F492" t="str">
            <v>Автокран XCMG</v>
          </cell>
          <cell r="I492">
            <v>17</v>
          </cell>
          <cell r="J492">
            <v>9</v>
          </cell>
        </row>
        <row r="493">
          <cell r="B493">
            <v>45189</v>
          </cell>
          <cell r="E493" t="str">
            <v>Болох В.В.</v>
          </cell>
          <cell r="F493" t="str">
            <v>Автокран XCMG</v>
          </cell>
          <cell r="I493">
            <v>17</v>
          </cell>
          <cell r="J493">
            <v>8</v>
          </cell>
        </row>
        <row r="494">
          <cell r="B494">
            <v>45190</v>
          </cell>
          <cell r="E494" t="str">
            <v>Болох В.В.</v>
          </cell>
          <cell r="F494" t="str">
            <v>Автокран XCMG</v>
          </cell>
          <cell r="I494">
            <v>17</v>
          </cell>
          <cell r="J494">
            <v>8</v>
          </cell>
        </row>
        <row r="495">
          <cell r="B495">
            <v>45191</v>
          </cell>
          <cell r="E495" t="str">
            <v>Болох В.В.</v>
          </cell>
          <cell r="F495" t="str">
            <v>Автокран XCMG</v>
          </cell>
          <cell r="I495">
            <v>17</v>
          </cell>
          <cell r="J495">
            <v>9</v>
          </cell>
          <cell r="K495">
            <v>1</v>
          </cell>
        </row>
        <row r="496">
          <cell r="B496">
            <v>45192</v>
          </cell>
          <cell r="E496" t="str">
            <v>Болох В.В.</v>
          </cell>
          <cell r="F496" t="str">
            <v>Автокран XCMG</v>
          </cell>
          <cell r="I496">
            <v>17</v>
          </cell>
          <cell r="J496">
            <v>8</v>
          </cell>
          <cell r="K496">
            <v>4</v>
          </cell>
        </row>
        <row r="497">
          <cell r="B497">
            <v>45194</v>
          </cell>
          <cell r="E497" t="str">
            <v>Болох В.В.</v>
          </cell>
          <cell r="F497" t="str">
            <v>Автокран XCMG</v>
          </cell>
          <cell r="I497">
            <v>17</v>
          </cell>
          <cell r="J497">
            <v>10</v>
          </cell>
        </row>
        <row r="498">
          <cell r="B498">
            <v>45195</v>
          </cell>
          <cell r="E498" t="str">
            <v>Болох В.В.</v>
          </cell>
          <cell r="F498" t="str">
            <v>Автокран XCMG</v>
          </cell>
          <cell r="I498">
            <v>17</v>
          </cell>
          <cell r="J498">
            <v>9</v>
          </cell>
        </row>
        <row r="499">
          <cell r="B499">
            <v>45196</v>
          </cell>
          <cell r="E499" t="str">
            <v>Болох В.В.</v>
          </cell>
          <cell r="F499" t="str">
            <v>Автокран XCMG</v>
          </cell>
          <cell r="I499">
            <v>17</v>
          </cell>
          <cell r="J499">
            <v>9</v>
          </cell>
        </row>
        <row r="500">
          <cell r="B500">
            <v>45197</v>
          </cell>
          <cell r="E500" t="str">
            <v>Болох В.В.</v>
          </cell>
          <cell r="F500" t="str">
            <v>Автокран XCMG</v>
          </cell>
          <cell r="I500">
            <v>17</v>
          </cell>
          <cell r="J500">
            <v>9</v>
          </cell>
          <cell r="K500">
            <v>1</v>
          </cell>
        </row>
        <row r="501">
          <cell r="B501">
            <v>45198</v>
          </cell>
          <cell r="E501" t="str">
            <v>Болох В.В.</v>
          </cell>
          <cell r="F501" t="str">
            <v>Автокран XCMG</v>
          </cell>
          <cell r="I501">
            <v>17</v>
          </cell>
          <cell r="J501">
            <v>8</v>
          </cell>
        </row>
        <row r="502">
          <cell r="B502">
            <v>45199</v>
          </cell>
          <cell r="E502" t="str">
            <v>Болох В.В.</v>
          </cell>
          <cell r="F502" t="str">
            <v>Автокран XCMG</v>
          </cell>
          <cell r="I502">
            <v>17</v>
          </cell>
          <cell r="J502">
            <v>8</v>
          </cell>
          <cell r="K502">
            <v>4</v>
          </cell>
        </row>
        <row r="503">
          <cell r="B503">
            <v>45170</v>
          </cell>
          <cell r="E503" t="str">
            <v>Якубовський В.Г.</v>
          </cell>
          <cell r="F503" t="str">
            <v>Самосвал камаз</v>
          </cell>
          <cell r="I503">
            <v>16</v>
          </cell>
          <cell r="J503">
            <v>10</v>
          </cell>
          <cell r="K503">
            <v>10</v>
          </cell>
        </row>
        <row r="504">
          <cell r="B504">
            <v>45171</v>
          </cell>
          <cell r="E504" t="str">
            <v>Якубовський В.Г.</v>
          </cell>
          <cell r="F504" t="str">
            <v>Самосвал камаз</v>
          </cell>
          <cell r="I504">
            <v>16</v>
          </cell>
          <cell r="J504">
            <v>8</v>
          </cell>
        </row>
        <row r="505">
          <cell r="B505">
            <v>45172</v>
          </cell>
          <cell r="E505" t="str">
            <v>Якубовський В.Г.</v>
          </cell>
          <cell r="F505" t="str">
            <v>Самосвал камаз</v>
          </cell>
          <cell r="I505">
            <v>16</v>
          </cell>
          <cell r="J505">
            <v>8</v>
          </cell>
        </row>
        <row r="506">
          <cell r="B506">
            <v>45173</v>
          </cell>
          <cell r="E506" t="str">
            <v>Якубовський В.Г.</v>
          </cell>
          <cell r="F506" t="str">
            <v>Самосвал камаз</v>
          </cell>
          <cell r="I506">
            <v>16</v>
          </cell>
          <cell r="J506">
            <v>10</v>
          </cell>
          <cell r="K506">
            <v>6</v>
          </cell>
        </row>
        <row r="507">
          <cell r="B507">
            <v>45174</v>
          </cell>
          <cell r="E507" t="str">
            <v>Якубовський В.Г.</v>
          </cell>
          <cell r="F507" t="str">
            <v>Самосвал камаз</v>
          </cell>
          <cell r="I507">
            <v>16</v>
          </cell>
          <cell r="J507">
            <v>10</v>
          </cell>
          <cell r="K507">
            <v>10</v>
          </cell>
        </row>
        <row r="508">
          <cell r="B508">
            <v>45175</v>
          </cell>
          <cell r="E508" t="str">
            <v>Якубовський В.Г.</v>
          </cell>
          <cell r="F508" t="str">
            <v>Самосвал камаз</v>
          </cell>
          <cell r="I508">
            <v>16</v>
          </cell>
          <cell r="J508">
            <v>10</v>
          </cell>
        </row>
        <row r="509">
          <cell r="B509">
            <v>45176</v>
          </cell>
          <cell r="E509" t="str">
            <v>Якубовський В.Г.</v>
          </cell>
          <cell r="F509" t="str">
            <v>Самосвал камаз</v>
          </cell>
          <cell r="I509">
            <v>16</v>
          </cell>
          <cell r="J509">
            <v>10</v>
          </cell>
        </row>
        <row r="510">
          <cell r="B510">
            <v>45177</v>
          </cell>
          <cell r="E510" t="str">
            <v>Якубовський В.Г.</v>
          </cell>
          <cell r="F510" t="str">
            <v>Самосвал камаз</v>
          </cell>
          <cell r="I510">
            <v>16</v>
          </cell>
          <cell r="J510">
            <v>12</v>
          </cell>
        </row>
        <row r="511">
          <cell r="B511">
            <v>45178</v>
          </cell>
          <cell r="E511" t="str">
            <v>Якубовський В.Г.</v>
          </cell>
          <cell r="F511" t="str">
            <v>Самосвал камаз</v>
          </cell>
          <cell r="I511">
            <v>16</v>
          </cell>
          <cell r="J511">
            <v>11</v>
          </cell>
        </row>
        <row r="512">
          <cell r="B512">
            <v>45180</v>
          </cell>
          <cell r="E512" t="str">
            <v>Якубовський В.Г.</v>
          </cell>
          <cell r="F512" t="str">
            <v>Самосвал камаз</v>
          </cell>
          <cell r="I512">
            <v>16</v>
          </cell>
          <cell r="J512">
            <v>11</v>
          </cell>
          <cell r="K512">
            <v>1</v>
          </cell>
        </row>
        <row r="513">
          <cell r="B513">
            <v>45181</v>
          </cell>
          <cell r="E513" t="str">
            <v>Якубовський В.Г.</v>
          </cell>
          <cell r="F513" t="str">
            <v>Самосвал камаз</v>
          </cell>
          <cell r="I513">
            <v>16</v>
          </cell>
          <cell r="J513">
            <v>12</v>
          </cell>
        </row>
        <row r="514">
          <cell r="B514">
            <v>45182</v>
          </cell>
          <cell r="E514" t="str">
            <v>Якубовський В.Г.</v>
          </cell>
          <cell r="F514" t="str">
            <v>Самосвал камаз</v>
          </cell>
          <cell r="I514">
            <v>16</v>
          </cell>
          <cell r="J514">
            <v>12</v>
          </cell>
        </row>
        <row r="515">
          <cell r="B515">
            <v>45183</v>
          </cell>
          <cell r="E515" t="str">
            <v>Якубовський В.Г.</v>
          </cell>
          <cell r="F515" t="str">
            <v>Самосвал камаз</v>
          </cell>
          <cell r="I515">
            <v>16</v>
          </cell>
          <cell r="J515">
            <v>3</v>
          </cell>
        </row>
        <row r="516">
          <cell r="B516">
            <v>45195</v>
          </cell>
          <cell r="E516" t="str">
            <v>Борисенко О.М.</v>
          </cell>
          <cell r="F516" t="str">
            <v>Виброкаток</v>
          </cell>
          <cell r="I516">
            <v>6</v>
          </cell>
          <cell r="J516">
            <v>9</v>
          </cell>
        </row>
        <row r="517">
          <cell r="B517">
            <v>45198</v>
          </cell>
          <cell r="E517" t="str">
            <v>Борисенко О.М.</v>
          </cell>
          <cell r="F517" t="str">
            <v>Виброкаток</v>
          </cell>
          <cell r="I517">
            <v>6</v>
          </cell>
          <cell r="J517">
            <v>8</v>
          </cell>
        </row>
        <row r="518">
          <cell r="B518">
            <v>45188</v>
          </cell>
          <cell r="E518" t="str">
            <v>Борисенко О.М.</v>
          </cell>
          <cell r="F518" t="str">
            <v>Автокран клинцы</v>
          </cell>
          <cell r="I518">
            <v>19</v>
          </cell>
          <cell r="J518">
            <v>4</v>
          </cell>
          <cell r="K518">
            <v>4</v>
          </cell>
        </row>
        <row r="519">
          <cell r="B519">
            <v>45189</v>
          </cell>
          <cell r="E519" t="str">
            <v>Борисенко О.М.</v>
          </cell>
          <cell r="F519" t="str">
            <v>Автокран клинцы</v>
          </cell>
          <cell r="I519">
            <v>19</v>
          </cell>
          <cell r="J519">
            <v>8</v>
          </cell>
          <cell r="K519">
            <v>5</v>
          </cell>
        </row>
        <row r="520">
          <cell r="B520">
            <v>45190</v>
          </cell>
          <cell r="E520" t="str">
            <v>Борисенко О.М.</v>
          </cell>
          <cell r="F520" t="str">
            <v>Автокран клинцы</v>
          </cell>
          <cell r="I520">
            <v>19</v>
          </cell>
          <cell r="J520">
            <v>9</v>
          </cell>
          <cell r="K520">
            <v>6</v>
          </cell>
        </row>
        <row r="521">
          <cell r="B521">
            <v>45191</v>
          </cell>
          <cell r="E521" t="str">
            <v>Борисенко О.М.</v>
          </cell>
          <cell r="F521" t="str">
            <v>Автокран клинцы</v>
          </cell>
          <cell r="I521">
            <v>19</v>
          </cell>
          <cell r="J521">
            <v>10</v>
          </cell>
        </row>
        <row r="522">
          <cell r="B522">
            <v>45192</v>
          </cell>
          <cell r="E522" t="str">
            <v>Борисенко О.М.</v>
          </cell>
          <cell r="F522" t="str">
            <v>Автокран клинцы</v>
          </cell>
          <cell r="I522">
            <v>19</v>
          </cell>
          <cell r="J522">
            <v>5</v>
          </cell>
          <cell r="K522">
            <v>1</v>
          </cell>
        </row>
        <row r="523">
          <cell r="B523">
            <v>45194</v>
          </cell>
          <cell r="E523" t="str">
            <v>Борисенко О.М.</v>
          </cell>
          <cell r="F523" t="str">
            <v>Автокран клинцы</v>
          </cell>
          <cell r="I523">
            <v>19</v>
          </cell>
          <cell r="J523">
            <v>6</v>
          </cell>
          <cell r="K523">
            <v>6</v>
          </cell>
        </row>
        <row r="524">
          <cell r="B524">
            <v>45196</v>
          </cell>
          <cell r="E524" t="str">
            <v>Борисенко О.М.</v>
          </cell>
          <cell r="F524" t="str">
            <v>Автокран клинцы</v>
          </cell>
          <cell r="I524">
            <v>19</v>
          </cell>
          <cell r="J524">
            <v>9</v>
          </cell>
          <cell r="K524">
            <v>2</v>
          </cell>
        </row>
        <row r="525">
          <cell r="B525">
            <v>45197</v>
          </cell>
          <cell r="E525" t="str">
            <v>Борисенко О.М.</v>
          </cell>
          <cell r="F525" t="str">
            <v>Автокран клинцы</v>
          </cell>
          <cell r="I525">
            <v>19</v>
          </cell>
          <cell r="J525">
            <v>8</v>
          </cell>
        </row>
        <row r="526">
          <cell r="B526">
            <v>45199</v>
          </cell>
          <cell r="E526" t="str">
            <v>Борисенко О.М.</v>
          </cell>
          <cell r="F526" t="str">
            <v>Автокран клинцы</v>
          </cell>
          <cell r="I526">
            <v>19</v>
          </cell>
          <cell r="J526">
            <v>10</v>
          </cell>
        </row>
        <row r="527">
          <cell r="B527">
            <v>45173</v>
          </cell>
          <cell r="E527" t="str">
            <v>Самойленко В.М.</v>
          </cell>
          <cell r="F527" t="str">
            <v>МАЗ 264</v>
          </cell>
          <cell r="I527">
            <v>12</v>
          </cell>
          <cell r="J527">
            <v>10</v>
          </cell>
          <cell r="K527">
            <v>10</v>
          </cell>
        </row>
        <row r="528">
          <cell r="B528">
            <v>45174</v>
          </cell>
          <cell r="E528" t="str">
            <v>Самойленко В.М.</v>
          </cell>
          <cell r="F528" t="str">
            <v>МАЗ 264</v>
          </cell>
          <cell r="I528">
            <v>12</v>
          </cell>
          <cell r="J528">
            <v>11</v>
          </cell>
          <cell r="K528">
            <v>1</v>
          </cell>
        </row>
        <row r="529">
          <cell r="B529">
            <v>45175</v>
          </cell>
          <cell r="E529" t="str">
            <v>Самойленко В.М.</v>
          </cell>
          <cell r="F529" t="str">
            <v>МАЗ 264</v>
          </cell>
          <cell r="I529">
            <v>12</v>
          </cell>
          <cell r="J529">
            <v>10</v>
          </cell>
          <cell r="K529">
            <v>5</v>
          </cell>
        </row>
        <row r="530">
          <cell r="B530">
            <v>45176</v>
          </cell>
          <cell r="E530" t="str">
            <v>Самойленко В.М.</v>
          </cell>
          <cell r="F530" t="str">
            <v>МАЗ 264</v>
          </cell>
          <cell r="I530">
            <v>12</v>
          </cell>
          <cell r="J530">
            <v>11</v>
          </cell>
          <cell r="K530">
            <v>4</v>
          </cell>
        </row>
        <row r="531">
          <cell r="B531">
            <v>45177</v>
          </cell>
          <cell r="E531" t="str">
            <v>Самойленко В.М.</v>
          </cell>
          <cell r="F531" t="str">
            <v>МАЗ 264</v>
          </cell>
          <cell r="I531">
            <v>12</v>
          </cell>
          <cell r="J531">
            <v>11</v>
          </cell>
          <cell r="L531">
            <v>1</v>
          </cell>
        </row>
        <row r="532">
          <cell r="B532">
            <v>45178</v>
          </cell>
          <cell r="E532" t="str">
            <v>Самойленко В.М.</v>
          </cell>
          <cell r="F532" t="str">
            <v>МАЗ 264</v>
          </cell>
          <cell r="I532">
            <v>12</v>
          </cell>
          <cell r="J532">
            <v>10</v>
          </cell>
          <cell r="L532">
            <v>1</v>
          </cell>
        </row>
        <row r="533">
          <cell r="B533">
            <v>45180</v>
          </cell>
          <cell r="E533" t="str">
            <v>Самойленко В.М.</v>
          </cell>
          <cell r="F533" t="str">
            <v>МАЗ 264</v>
          </cell>
          <cell r="I533">
            <v>12</v>
          </cell>
          <cell r="J533">
            <v>11</v>
          </cell>
          <cell r="L533">
            <v>1</v>
          </cell>
        </row>
        <row r="534">
          <cell r="B534">
            <v>45181</v>
          </cell>
          <cell r="E534" t="str">
            <v>Самойленко В.М.</v>
          </cell>
          <cell r="F534" t="str">
            <v>МАЗ 264</v>
          </cell>
          <cell r="I534">
            <v>12</v>
          </cell>
          <cell r="J534">
            <v>10</v>
          </cell>
          <cell r="K534">
            <v>5</v>
          </cell>
        </row>
        <row r="535">
          <cell r="B535">
            <v>45182</v>
          </cell>
          <cell r="E535" t="str">
            <v>Самойленко В.М.</v>
          </cell>
          <cell r="F535" t="str">
            <v>МАЗ 264</v>
          </cell>
          <cell r="I535">
            <v>12</v>
          </cell>
          <cell r="J535">
            <v>8</v>
          </cell>
          <cell r="K535">
            <v>3</v>
          </cell>
        </row>
        <row r="536">
          <cell r="B536">
            <v>45183</v>
          </cell>
          <cell r="E536" t="str">
            <v>Самойленко В.М.</v>
          </cell>
          <cell r="F536" t="str">
            <v>МАЗ 264</v>
          </cell>
          <cell r="I536">
            <v>12</v>
          </cell>
          <cell r="J536">
            <v>11</v>
          </cell>
          <cell r="L536">
            <v>1</v>
          </cell>
        </row>
        <row r="537">
          <cell r="B537">
            <v>45184</v>
          </cell>
          <cell r="E537" t="str">
            <v>Самойленко В.М.</v>
          </cell>
          <cell r="F537" t="str">
            <v>МАЗ 264</v>
          </cell>
          <cell r="I537">
            <v>12</v>
          </cell>
          <cell r="J537">
            <v>10</v>
          </cell>
          <cell r="L537">
            <v>1</v>
          </cell>
        </row>
        <row r="538">
          <cell r="B538">
            <v>45185</v>
          </cell>
          <cell r="E538" t="str">
            <v>Самойленко В.М.</v>
          </cell>
          <cell r="F538" t="str">
            <v>МАЗ 264</v>
          </cell>
          <cell r="I538">
            <v>12</v>
          </cell>
          <cell r="J538">
            <v>10</v>
          </cell>
          <cell r="K538">
            <v>1</v>
          </cell>
        </row>
        <row r="539">
          <cell r="B539">
            <v>45187</v>
          </cell>
          <cell r="E539" t="str">
            <v>Самойленко В.М.</v>
          </cell>
          <cell r="F539" t="str">
            <v>МАЗ 264</v>
          </cell>
          <cell r="I539">
            <v>12</v>
          </cell>
          <cell r="J539">
            <v>11</v>
          </cell>
        </row>
        <row r="540">
          <cell r="B540">
            <v>45188</v>
          </cell>
          <cell r="E540" t="str">
            <v>Самойленко В.М.</v>
          </cell>
          <cell r="F540" t="str">
            <v>МАЗ 264</v>
          </cell>
          <cell r="I540">
            <v>12</v>
          </cell>
          <cell r="J540">
            <v>10</v>
          </cell>
          <cell r="K540">
            <v>4</v>
          </cell>
        </row>
        <row r="541">
          <cell r="B541">
            <v>45189</v>
          </cell>
          <cell r="E541" t="str">
            <v>Самойленко В.М.</v>
          </cell>
          <cell r="F541" t="str">
            <v>МАЗ 264</v>
          </cell>
          <cell r="I541">
            <v>12</v>
          </cell>
          <cell r="J541">
            <v>10</v>
          </cell>
          <cell r="K541">
            <v>4</v>
          </cell>
        </row>
        <row r="542">
          <cell r="B542">
            <v>45190</v>
          </cell>
          <cell r="E542" t="str">
            <v>Самойленко В.М.</v>
          </cell>
          <cell r="F542" t="str">
            <v>МАЗ 264</v>
          </cell>
          <cell r="I542">
            <v>12</v>
          </cell>
          <cell r="J542">
            <v>12</v>
          </cell>
          <cell r="K542">
            <v>2</v>
          </cell>
        </row>
        <row r="543">
          <cell r="B543">
            <v>45191</v>
          </cell>
          <cell r="E543" t="str">
            <v>Самойленко В.М.</v>
          </cell>
          <cell r="F543" t="str">
            <v>МАЗ 264</v>
          </cell>
          <cell r="I543">
            <v>12</v>
          </cell>
          <cell r="J543">
            <v>11</v>
          </cell>
          <cell r="L543">
            <v>1</v>
          </cell>
        </row>
        <row r="544">
          <cell r="B544">
            <v>45192</v>
          </cell>
          <cell r="E544" t="str">
            <v>Самойленко В.М.</v>
          </cell>
          <cell r="F544" t="str">
            <v>МАЗ 264</v>
          </cell>
          <cell r="I544">
            <v>12</v>
          </cell>
          <cell r="J544">
            <v>10</v>
          </cell>
        </row>
        <row r="545">
          <cell r="B545">
            <v>45194</v>
          </cell>
          <cell r="E545" t="str">
            <v>Самойленко В.М.</v>
          </cell>
          <cell r="F545" t="str">
            <v>МАЗ 264</v>
          </cell>
          <cell r="I545">
            <v>12</v>
          </cell>
          <cell r="J545">
            <v>10</v>
          </cell>
        </row>
        <row r="546">
          <cell r="B546">
            <v>45195</v>
          </cell>
          <cell r="E546" t="str">
            <v>Самойленко В.М.</v>
          </cell>
          <cell r="F546" t="str">
            <v>МАЗ 264</v>
          </cell>
          <cell r="I546">
            <v>12</v>
          </cell>
          <cell r="J546">
            <v>10</v>
          </cell>
        </row>
        <row r="547">
          <cell r="B547">
            <v>45196</v>
          </cell>
          <cell r="E547" t="str">
            <v>Самойленко В.М.</v>
          </cell>
          <cell r="F547" t="str">
            <v>МАЗ 264</v>
          </cell>
          <cell r="I547">
            <v>12</v>
          </cell>
          <cell r="J547">
            <v>10</v>
          </cell>
          <cell r="L547">
            <v>1</v>
          </cell>
        </row>
        <row r="548">
          <cell r="B548">
            <v>45197</v>
          </cell>
          <cell r="E548" t="str">
            <v>Самойленко В.М.</v>
          </cell>
          <cell r="F548" t="str">
            <v>МАЗ 264</v>
          </cell>
          <cell r="I548">
            <v>12</v>
          </cell>
          <cell r="J548">
            <v>10</v>
          </cell>
        </row>
        <row r="549">
          <cell r="B549">
            <v>45174</v>
          </cell>
          <cell r="E549" t="str">
            <v>Шамоян А.Д.</v>
          </cell>
          <cell r="F549" t="str">
            <v>МАЗ 265</v>
          </cell>
          <cell r="I549">
            <v>13</v>
          </cell>
          <cell r="J549">
            <v>11</v>
          </cell>
          <cell r="K549">
            <v>8</v>
          </cell>
        </row>
        <row r="550">
          <cell r="B550">
            <v>45175</v>
          </cell>
          <cell r="E550" t="str">
            <v>Шамоян А.Д.</v>
          </cell>
          <cell r="F550" t="str">
            <v>МАЗ 265</v>
          </cell>
          <cell r="I550">
            <v>13</v>
          </cell>
          <cell r="J550">
            <v>9</v>
          </cell>
        </row>
        <row r="551">
          <cell r="B551">
            <v>45176</v>
          </cell>
          <cell r="E551" t="str">
            <v>Шамоян А.Д.</v>
          </cell>
          <cell r="F551" t="str">
            <v>МАЗ 265</v>
          </cell>
          <cell r="I551">
            <v>13</v>
          </cell>
          <cell r="J551">
            <v>10</v>
          </cell>
        </row>
        <row r="552">
          <cell r="B552">
            <v>45177</v>
          </cell>
          <cell r="E552" t="str">
            <v>Шамоян А.Д.</v>
          </cell>
          <cell r="F552" t="str">
            <v>МАЗ 265</v>
          </cell>
          <cell r="I552">
            <v>13</v>
          </cell>
          <cell r="J552">
            <v>10</v>
          </cell>
          <cell r="L552">
            <v>1</v>
          </cell>
        </row>
        <row r="553">
          <cell r="B553">
            <v>45178</v>
          </cell>
          <cell r="E553" t="str">
            <v>Шамоян А.Д.</v>
          </cell>
          <cell r="F553" t="str">
            <v>МАЗ 265</v>
          </cell>
          <cell r="I553">
            <v>13</v>
          </cell>
          <cell r="J553">
            <v>10</v>
          </cell>
        </row>
        <row r="554">
          <cell r="B554">
            <v>45180</v>
          </cell>
          <cell r="E554" t="str">
            <v>Шамоян А.Д.</v>
          </cell>
          <cell r="F554" t="str">
            <v>МАЗ 265</v>
          </cell>
          <cell r="I554">
            <v>13</v>
          </cell>
          <cell r="J554">
            <v>10</v>
          </cell>
        </row>
        <row r="555">
          <cell r="B555">
            <v>45181</v>
          </cell>
          <cell r="E555" t="str">
            <v>Шамоян А.Д.</v>
          </cell>
          <cell r="F555" t="str">
            <v>МАЗ 265</v>
          </cell>
          <cell r="I555">
            <v>13</v>
          </cell>
          <cell r="J555">
            <v>10</v>
          </cell>
        </row>
        <row r="556">
          <cell r="B556">
            <v>45182</v>
          </cell>
          <cell r="E556" t="str">
            <v>Шамоян А.Д.</v>
          </cell>
          <cell r="F556" t="str">
            <v>МАЗ 265</v>
          </cell>
          <cell r="I556">
            <v>13</v>
          </cell>
          <cell r="J556">
            <v>9</v>
          </cell>
          <cell r="L556">
            <v>1</v>
          </cell>
        </row>
        <row r="557">
          <cell r="B557">
            <v>45183</v>
          </cell>
          <cell r="E557" t="str">
            <v>Шамоян А.Д.</v>
          </cell>
          <cell r="F557" t="str">
            <v>МАЗ 265</v>
          </cell>
          <cell r="I557">
            <v>13</v>
          </cell>
          <cell r="J557">
            <v>10</v>
          </cell>
        </row>
        <row r="558">
          <cell r="B558">
            <v>45184</v>
          </cell>
          <cell r="E558" t="str">
            <v>Шамоян А.Д.</v>
          </cell>
          <cell r="F558" t="str">
            <v>МАЗ 265</v>
          </cell>
          <cell r="I558">
            <v>13</v>
          </cell>
          <cell r="J558">
            <v>10</v>
          </cell>
        </row>
        <row r="559">
          <cell r="B559">
            <v>45185</v>
          </cell>
          <cell r="E559" t="str">
            <v>Шамоян А.Д.</v>
          </cell>
          <cell r="F559" t="str">
            <v>МАЗ 265</v>
          </cell>
          <cell r="I559">
            <v>13</v>
          </cell>
          <cell r="J559">
            <v>10</v>
          </cell>
        </row>
        <row r="560">
          <cell r="B560">
            <v>45187</v>
          </cell>
          <cell r="E560" t="str">
            <v>Шамоян А.Д.</v>
          </cell>
          <cell r="F560" t="str">
            <v>МАЗ 265</v>
          </cell>
          <cell r="I560">
            <v>13</v>
          </cell>
          <cell r="J560">
            <v>10</v>
          </cell>
        </row>
        <row r="561">
          <cell r="B561">
            <v>45188</v>
          </cell>
          <cell r="E561" t="str">
            <v>Шамоян А.Д.</v>
          </cell>
          <cell r="F561" t="str">
            <v>МАЗ 265</v>
          </cell>
          <cell r="I561">
            <v>13</v>
          </cell>
          <cell r="J561">
            <v>10</v>
          </cell>
        </row>
        <row r="562">
          <cell r="B562">
            <v>45189</v>
          </cell>
          <cell r="E562" t="str">
            <v>Шамоян А.Д.</v>
          </cell>
          <cell r="F562" t="str">
            <v>МАЗ 265</v>
          </cell>
          <cell r="I562">
            <v>13</v>
          </cell>
          <cell r="J562">
            <v>11</v>
          </cell>
          <cell r="L562">
            <v>1</v>
          </cell>
        </row>
        <row r="563">
          <cell r="B563">
            <v>45190</v>
          </cell>
          <cell r="E563" t="str">
            <v>Шамоян А.Д.</v>
          </cell>
          <cell r="F563" t="str">
            <v>МАЗ 265</v>
          </cell>
          <cell r="I563">
            <v>13</v>
          </cell>
          <cell r="J563">
            <v>10</v>
          </cell>
        </row>
        <row r="564">
          <cell r="B564">
            <v>45191</v>
          </cell>
          <cell r="E564" t="str">
            <v>Шамоян А.Д.</v>
          </cell>
          <cell r="F564" t="str">
            <v>МАЗ 265</v>
          </cell>
          <cell r="I564">
            <v>13</v>
          </cell>
          <cell r="J564">
            <v>11</v>
          </cell>
          <cell r="K564">
            <v>1</v>
          </cell>
        </row>
        <row r="565">
          <cell r="B565">
            <v>45192</v>
          </cell>
          <cell r="E565" t="str">
            <v>Шамоян А.Д.</v>
          </cell>
          <cell r="F565" t="str">
            <v>МАЗ 265</v>
          </cell>
          <cell r="I565">
            <v>13</v>
          </cell>
          <cell r="J565">
            <v>10</v>
          </cell>
        </row>
        <row r="566">
          <cell r="B566">
            <v>45194</v>
          </cell>
          <cell r="E566" t="str">
            <v>Шамоян А.Д.</v>
          </cell>
          <cell r="F566" t="str">
            <v>МАЗ 265</v>
          </cell>
          <cell r="I566">
            <v>13</v>
          </cell>
          <cell r="J566">
            <v>10</v>
          </cell>
        </row>
        <row r="567">
          <cell r="B567">
            <v>45195</v>
          </cell>
          <cell r="E567" t="str">
            <v>Шамоян А.Д.</v>
          </cell>
          <cell r="F567" t="str">
            <v>МАЗ 265</v>
          </cell>
          <cell r="I567">
            <v>13</v>
          </cell>
          <cell r="J567">
            <v>10</v>
          </cell>
        </row>
        <row r="568">
          <cell r="B568">
            <v>45196</v>
          </cell>
          <cell r="E568" t="str">
            <v>Шамоян А.Д.</v>
          </cell>
          <cell r="F568" t="str">
            <v>МАЗ 265</v>
          </cell>
          <cell r="I568">
            <v>13</v>
          </cell>
          <cell r="J568">
            <v>10</v>
          </cell>
          <cell r="L568">
            <v>1</v>
          </cell>
        </row>
        <row r="569">
          <cell r="B569">
            <v>45174</v>
          </cell>
          <cell r="E569" t="str">
            <v>Яцюк Ю.Г.</v>
          </cell>
          <cell r="F569" t="str">
            <v>РДК 250</v>
          </cell>
          <cell r="I569">
            <v>14</v>
          </cell>
          <cell r="J569">
            <v>8</v>
          </cell>
        </row>
        <row r="570">
          <cell r="B570">
            <v>45175</v>
          </cell>
          <cell r="E570" t="str">
            <v>Яцюк Ю.Г.</v>
          </cell>
          <cell r="F570" t="str">
            <v>РДК 250</v>
          </cell>
          <cell r="I570">
            <v>14</v>
          </cell>
          <cell r="J570">
            <v>8</v>
          </cell>
        </row>
        <row r="571">
          <cell r="B571">
            <v>45176</v>
          </cell>
          <cell r="E571" t="str">
            <v>Яцюк Ю.Г.</v>
          </cell>
          <cell r="F571" t="str">
            <v>РДК 250</v>
          </cell>
          <cell r="I571">
            <v>14</v>
          </cell>
          <cell r="J571">
            <v>8</v>
          </cell>
        </row>
        <row r="572">
          <cell r="B572">
            <v>45177</v>
          </cell>
          <cell r="E572" t="str">
            <v>Яцюк Ю.Г.</v>
          </cell>
          <cell r="F572" t="str">
            <v>РДК 250</v>
          </cell>
          <cell r="I572">
            <v>14</v>
          </cell>
          <cell r="J572">
            <v>8</v>
          </cell>
        </row>
        <row r="573">
          <cell r="B573">
            <v>45178</v>
          </cell>
          <cell r="E573" t="str">
            <v>Яцюк Ю.Г.</v>
          </cell>
          <cell r="F573" t="str">
            <v>РДК 250</v>
          </cell>
          <cell r="I573">
            <v>14</v>
          </cell>
          <cell r="J573">
            <v>8</v>
          </cell>
        </row>
        <row r="574">
          <cell r="B574">
            <v>45180</v>
          </cell>
          <cell r="E574" t="str">
            <v>Яцюк Ю.Г.</v>
          </cell>
          <cell r="F574" t="str">
            <v>РДК 250</v>
          </cell>
          <cell r="I574">
            <v>14</v>
          </cell>
          <cell r="J574">
            <v>8</v>
          </cell>
        </row>
        <row r="575">
          <cell r="B575">
            <v>45181</v>
          </cell>
          <cell r="E575" t="str">
            <v>Яцюк Ю.Г.</v>
          </cell>
          <cell r="F575" t="str">
            <v>РДК 250</v>
          </cell>
          <cell r="I575">
            <v>14</v>
          </cell>
          <cell r="J575">
            <v>9</v>
          </cell>
        </row>
        <row r="576">
          <cell r="B576">
            <v>45182</v>
          </cell>
          <cell r="E576" t="str">
            <v>Яцюк Ю.Г.</v>
          </cell>
          <cell r="F576" t="str">
            <v>РДК 250</v>
          </cell>
          <cell r="I576">
            <v>14</v>
          </cell>
          <cell r="J576">
            <v>10</v>
          </cell>
        </row>
        <row r="577">
          <cell r="B577">
            <v>45183</v>
          </cell>
          <cell r="E577" t="str">
            <v>Яцюк Ю.Г.</v>
          </cell>
          <cell r="F577" t="str">
            <v>РДК 250</v>
          </cell>
          <cell r="I577">
            <v>14</v>
          </cell>
          <cell r="J577">
            <v>11</v>
          </cell>
        </row>
        <row r="578">
          <cell r="B578">
            <v>45184</v>
          </cell>
          <cell r="E578" t="str">
            <v>Яцюк Ю.Г.</v>
          </cell>
          <cell r="F578" t="str">
            <v>РДК 250</v>
          </cell>
          <cell r="I578">
            <v>14</v>
          </cell>
          <cell r="J578">
            <v>10</v>
          </cell>
        </row>
        <row r="579">
          <cell r="B579">
            <v>45185</v>
          </cell>
          <cell r="E579" t="str">
            <v>Яцюк Ю.Г.</v>
          </cell>
          <cell r="F579" t="str">
            <v>РДК 250</v>
          </cell>
          <cell r="I579">
            <v>14</v>
          </cell>
          <cell r="J579">
            <v>8</v>
          </cell>
        </row>
        <row r="580">
          <cell r="B580">
            <v>45187</v>
          </cell>
          <cell r="E580" t="str">
            <v>Яцюк Ю.Г.</v>
          </cell>
          <cell r="F580" t="str">
            <v>РДК 250</v>
          </cell>
          <cell r="I580">
            <v>14</v>
          </cell>
          <cell r="J580">
            <v>8</v>
          </cell>
        </row>
        <row r="581">
          <cell r="B581">
            <v>45188</v>
          </cell>
          <cell r="E581" t="str">
            <v>Яцюк Ю.Г.</v>
          </cell>
          <cell r="F581" t="str">
            <v>РДК 250</v>
          </cell>
          <cell r="I581">
            <v>14</v>
          </cell>
          <cell r="J581">
            <v>10</v>
          </cell>
        </row>
        <row r="582">
          <cell r="B582">
            <v>45189</v>
          </cell>
          <cell r="E582" t="str">
            <v>Яцюк Ю.Г.</v>
          </cell>
          <cell r="F582" t="str">
            <v>РДК 250</v>
          </cell>
          <cell r="I582">
            <v>14</v>
          </cell>
          <cell r="J582">
            <v>8</v>
          </cell>
        </row>
        <row r="583">
          <cell r="B583">
            <v>45190</v>
          </cell>
          <cell r="E583" t="str">
            <v>Яцюк Ю.Г.</v>
          </cell>
          <cell r="F583" t="str">
            <v>РДК 250</v>
          </cell>
          <cell r="I583">
            <v>14</v>
          </cell>
          <cell r="J583">
            <v>8</v>
          </cell>
        </row>
        <row r="584">
          <cell r="B584">
            <v>45191</v>
          </cell>
          <cell r="E584" t="str">
            <v>Яцюк Ю.Г.</v>
          </cell>
          <cell r="F584" t="str">
            <v>РДК 250</v>
          </cell>
          <cell r="I584">
            <v>14</v>
          </cell>
          <cell r="J584">
            <v>5</v>
          </cell>
          <cell r="K584">
            <v>5</v>
          </cell>
        </row>
        <row r="585">
          <cell r="B585">
            <v>45192</v>
          </cell>
          <cell r="E585" t="str">
            <v>Яцюк Ю.Г.</v>
          </cell>
          <cell r="F585" t="str">
            <v>РДК 250</v>
          </cell>
          <cell r="I585">
            <v>14</v>
          </cell>
          <cell r="J585">
            <v>8</v>
          </cell>
        </row>
        <row r="586">
          <cell r="B586">
            <v>45194</v>
          </cell>
          <cell r="E586" t="str">
            <v>Яцюк Ю.Г.</v>
          </cell>
          <cell r="F586" t="str">
            <v>РДК 250</v>
          </cell>
          <cell r="I586">
            <v>14</v>
          </cell>
          <cell r="J586">
            <v>8</v>
          </cell>
        </row>
        <row r="587">
          <cell r="B587">
            <v>45195</v>
          </cell>
          <cell r="E587" t="str">
            <v>Яцюк Ю.Г.</v>
          </cell>
          <cell r="F587" t="str">
            <v>РДК 250</v>
          </cell>
          <cell r="I587">
            <v>14</v>
          </cell>
          <cell r="J587">
            <v>8</v>
          </cell>
        </row>
        <row r="588">
          <cell r="B588">
            <v>45196</v>
          </cell>
          <cell r="E588" t="str">
            <v>Яцюк Ю.Г.</v>
          </cell>
          <cell r="F588" t="str">
            <v>РДК 250</v>
          </cell>
          <cell r="I588">
            <v>14</v>
          </cell>
          <cell r="J588">
            <v>10</v>
          </cell>
        </row>
        <row r="589">
          <cell r="B589">
            <v>45197</v>
          </cell>
          <cell r="E589" t="str">
            <v>Яцюк Ю.Г.</v>
          </cell>
          <cell r="F589" t="str">
            <v>РДК 250</v>
          </cell>
          <cell r="I589">
            <v>14</v>
          </cell>
          <cell r="J589">
            <v>8</v>
          </cell>
        </row>
        <row r="590">
          <cell r="B590">
            <v>45198</v>
          </cell>
          <cell r="E590" t="str">
            <v>Яцюк Ю.Г.</v>
          </cell>
          <cell r="F590" t="str">
            <v>РДК 250</v>
          </cell>
          <cell r="I590">
            <v>14</v>
          </cell>
          <cell r="J590">
            <v>8</v>
          </cell>
        </row>
        <row r="591">
          <cell r="B591">
            <v>45199</v>
          </cell>
          <cell r="E591" t="str">
            <v>Яцюк Ю.Г.</v>
          </cell>
          <cell r="F591" t="str">
            <v>РДК 250</v>
          </cell>
          <cell r="I591">
            <v>14</v>
          </cell>
          <cell r="J591">
            <v>8</v>
          </cell>
        </row>
        <row r="592">
          <cell r="B592">
            <v>45170</v>
          </cell>
          <cell r="E592" t="str">
            <v>Красношапка М.П.</v>
          </cell>
          <cell r="F592" t="str">
            <v>РДК 250 (2)</v>
          </cell>
          <cell r="I592">
            <v>15</v>
          </cell>
          <cell r="J592">
            <v>12</v>
          </cell>
        </row>
        <row r="593">
          <cell r="B593">
            <v>45173</v>
          </cell>
          <cell r="E593" t="str">
            <v>Красношапка М.П.</v>
          </cell>
          <cell r="F593" t="str">
            <v>РДК 250 (2)</v>
          </cell>
          <cell r="I593">
            <v>15</v>
          </cell>
          <cell r="J593">
            <v>8</v>
          </cell>
        </row>
        <row r="594">
          <cell r="B594">
            <v>45174</v>
          </cell>
          <cell r="E594" t="str">
            <v>Красношапка М.П.</v>
          </cell>
          <cell r="F594" t="str">
            <v>РДК 250 (2)</v>
          </cell>
          <cell r="I594">
            <v>15</v>
          </cell>
          <cell r="J594">
            <v>8</v>
          </cell>
        </row>
        <row r="595">
          <cell r="B595">
            <v>45175</v>
          </cell>
          <cell r="E595" t="str">
            <v>Красношапка М.П.</v>
          </cell>
          <cell r="F595" t="str">
            <v>РДК 250 (2)</v>
          </cell>
          <cell r="I595">
            <v>15</v>
          </cell>
          <cell r="J595">
            <v>8</v>
          </cell>
        </row>
        <row r="596">
          <cell r="B596">
            <v>45176</v>
          </cell>
          <cell r="E596" t="str">
            <v>Красношапка М.П.</v>
          </cell>
          <cell r="F596" t="str">
            <v>РДК 250 (2)</v>
          </cell>
          <cell r="I596">
            <v>15</v>
          </cell>
          <cell r="J596">
            <v>8</v>
          </cell>
        </row>
        <row r="597">
          <cell r="B597">
            <v>45177</v>
          </cell>
          <cell r="E597" t="str">
            <v>Красношапка М.П.</v>
          </cell>
          <cell r="F597" t="str">
            <v>РДК 250 (2)</v>
          </cell>
          <cell r="I597">
            <v>15</v>
          </cell>
          <cell r="J597">
            <v>10</v>
          </cell>
        </row>
        <row r="598">
          <cell r="B598">
            <v>45178</v>
          </cell>
          <cell r="E598" t="str">
            <v>Красношапка М.П.</v>
          </cell>
          <cell r="F598" t="str">
            <v>РДК 250 (2)</v>
          </cell>
          <cell r="I598">
            <v>15</v>
          </cell>
          <cell r="J598">
            <v>6</v>
          </cell>
        </row>
        <row r="599">
          <cell r="B599">
            <v>45180</v>
          </cell>
          <cell r="E599" t="str">
            <v>Красношапка М.П.</v>
          </cell>
          <cell r="F599" t="str">
            <v>РДК 250 (2)</v>
          </cell>
          <cell r="I599">
            <v>15</v>
          </cell>
          <cell r="J599">
            <v>8</v>
          </cell>
        </row>
        <row r="600">
          <cell r="B600">
            <v>45181</v>
          </cell>
          <cell r="E600" t="str">
            <v>Красношапка М.П.</v>
          </cell>
          <cell r="F600" t="str">
            <v>РДК 250 (2)</v>
          </cell>
          <cell r="I600">
            <v>15</v>
          </cell>
          <cell r="J600">
            <v>8</v>
          </cell>
        </row>
        <row r="601">
          <cell r="B601">
            <v>45182</v>
          </cell>
          <cell r="E601" t="str">
            <v>Красношапка М.П.</v>
          </cell>
          <cell r="F601" t="str">
            <v>РДК 250 (2)</v>
          </cell>
          <cell r="I601">
            <v>15</v>
          </cell>
          <cell r="J601">
            <v>8</v>
          </cell>
        </row>
        <row r="602">
          <cell r="B602">
            <v>45183</v>
          </cell>
          <cell r="E602" t="str">
            <v>Красношапка М.П.</v>
          </cell>
          <cell r="F602" t="str">
            <v>РДК 250 (2)</v>
          </cell>
          <cell r="I602">
            <v>15</v>
          </cell>
          <cell r="J602">
            <v>8</v>
          </cell>
        </row>
        <row r="603">
          <cell r="B603">
            <v>45184</v>
          </cell>
          <cell r="E603" t="str">
            <v>Красношапка М.П.</v>
          </cell>
          <cell r="F603" t="str">
            <v>РДК 250 (2)</v>
          </cell>
          <cell r="I603">
            <v>15</v>
          </cell>
          <cell r="J603">
            <v>8</v>
          </cell>
        </row>
        <row r="604">
          <cell r="B604">
            <v>45185</v>
          </cell>
          <cell r="E604" t="str">
            <v>Красношапка М.П.</v>
          </cell>
          <cell r="F604" t="str">
            <v>РДК 250 (2)</v>
          </cell>
          <cell r="I604">
            <v>15</v>
          </cell>
          <cell r="J604">
            <v>6</v>
          </cell>
        </row>
        <row r="605">
          <cell r="B605">
            <v>45187</v>
          </cell>
          <cell r="E605" t="str">
            <v>Красношапка М.П.</v>
          </cell>
          <cell r="F605" t="str">
            <v>РДК 250 (2)</v>
          </cell>
          <cell r="I605">
            <v>15</v>
          </cell>
          <cell r="J605">
            <v>9</v>
          </cell>
        </row>
        <row r="606">
          <cell r="B606">
            <v>45188</v>
          </cell>
          <cell r="E606" t="str">
            <v>Красношапка М.П.</v>
          </cell>
          <cell r="F606" t="str">
            <v>РДК 250 (2)</v>
          </cell>
          <cell r="I606">
            <v>15</v>
          </cell>
          <cell r="J606">
            <v>8</v>
          </cell>
        </row>
        <row r="607">
          <cell r="B607">
            <v>45189</v>
          </cell>
          <cell r="E607" t="str">
            <v>Красношапка М.П.</v>
          </cell>
          <cell r="F607" t="str">
            <v>РДК 250 (2)</v>
          </cell>
          <cell r="I607">
            <v>15</v>
          </cell>
          <cell r="J607">
            <v>9</v>
          </cell>
        </row>
        <row r="608">
          <cell r="B608">
            <v>45190</v>
          </cell>
          <cell r="E608" t="str">
            <v>Красношапка М.П.</v>
          </cell>
          <cell r="F608" t="str">
            <v>РДК 250 (2)</v>
          </cell>
          <cell r="I608">
            <v>15</v>
          </cell>
          <cell r="J608">
            <v>8</v>
          </cell>
        </row>
        <row r="609">
          <cell r="B609">
            <v>45191</v>
          </cell>
          <cell r="E609" t="str">
            <v>Красношапка М.П.</v>
          </cell>
          <cell r="F609" t="str">
            <v>РДК 250 (2)</v>
          </cell>
          <cell r="I609">
            <v>15</v>
          </cell>
          <cell r="J609">
            <v>8</v>
          </cell>
        </row>
        <row r="610">
          <cell r="B610">
            <v>45192</v>
          </cell>
          <cell r="E610" t="str">
            <v>Красношапка М.П.</v>
          </cell>
          <cell r="F610" t="str">
            <v>РДК 250 (2)</v>
          </cell>
          <cell r="I610">
            <v>15</v>
          </cell>
          <cell r="J610">
            <v>6</v>
          </cell>
        </row>
        <row r="611">
          <cell r="B611">
            <v>45194</v>
          </cell>
          <cell r="E611" t="str">
            <v>Красношапка М.П.</v>
          </cell>
          <cell r="F611" t="str">
            <v>РДК 250 (2)</v>
          </cell>
          <cell r="I611">
            <v>15</v>
          </cell>
          <cell r="J611">
            <v>8</v>
          </cell>
        </row>
        <row r="612">
          <cell r="B612">
            <v>45195</v>
          </cell>
          <cell r="E612" t="str">
            <v>Красношапка М.П.</v>
          </cell>
          <cell r="F612" t="str">
            <v>РДК 250 (2)</v>
          </cell>
          <cell r="I612">
            <v>15</v>
          </cell>
          <cell r="J612">
            <v>8</v>
          </cell>
        </row>
        <row r="613">
          <cell r="B613">
            <v>45196</v>
          </cell>
          <cell r="E613" t="str">
            <v>Красношапка М.П.</v>
          </cell>
          <cell r="F613" t="str">
            <v>РДК 250 (2)</v>
          </cell>
          <cell r="I613">
            <v>15</v>
          </cell>
          <cell r="J613">
            <v>8</v>
          </cell>
        </row>
        <row r="614">
          <cell r="B614">
            <v>45197</v>
          </cell>
          <cell r="E614" t="str">
            <v>Красношапка М.П.</v>
          </cell>
          <cell r="F614" t="str">
            <v>РДК 250 (2)</v>
          </cell>
          <cell r="I614">
            <v>15</v>
          </cell>
          <cell r="J614">
            <v>8</v>
          </cell>
        </row>
        <row r="615">
          <cell r="B615">
            <v>45198</v>
          </cell>
          <cell r="E615" t="str">
            <v>Красношапка М.П.</v>
          </cell>
          <cell r="F615" t="str">
            <v>РДК 250 (2)</v>
          </cell>
          <cell r="I615">
            <v>15</v>
          </cell>
          <cell r="J615">
            <v>8</v>
          </cell>
        </row>
        <row r="616">
          <cell r="B616">
            <v>45199</v>
          </cell>
          <cell r="E616" t="str">
            <v>Красношапка М.П.</v>
          </cell>
          <cell r="F616" t="str">
            <v>РДК 250 (2)</v>
          </cell>
          <cell r="I616">
            <v>15</v>
          </cell>
          <cell r="J616">
            <v>6</v>
          </cell>
        </row>
        <row r="617">
          <cell r="B617">
            <v>45174</v>
          </cell>
          <cell r="E617" t="str">
            <v>Боранов В.В.</v>
          </cell>
          <cell r="F617" t="str">
            <v>Экскаватор JCB 2013</v>
          </cell>
          <cell r="I617">
            <v>10</v>
          </cell>
          <cell r="J617">
            <v>8</v>
          </cell>
        </row>
        <row r="618">
          <cell r="B618">
            <v>45175</v>
          </cell>
          <cell r="E618" t="str">
            <v>Боранов В.В.</v>
          </cell>
          <cell r="F618" t="str">
            <v>Экскаватор JCB 2013</v>
          </cell>
          <cell r="I618">
            <v>10</v>
          </cell>
          <cell r="J618">
            <v>8</v>
          </cell>
        </row>
        <row r="619">
          <cell r="B619">
            <v>45176</v>
          </cell>
          <cell r="E619" t="str">
            <v>Боранов В.В.</v>
          </cell>
          <cell r="F619" t="str">
            <v>Экскаватор JCB 2013</v>
          </cell>
          <cell r="I619">
            <v>10</v>
          </cell>
          <cell r="J619">
            <v>8</v>
          </cell>
        </row>
        <row r="620">
          <cell r="B620">
            <v>45177</v>
          </cell>
          <cell r="E620" t="str">
            <v>Боранов В.В.</v>
          </cell>
          <cell r="F620" t="str">
            <v>Экскаватор JCB 2013</v>
          </cell>
          <cell r="I620">
            <v>10</v>
          </cell>
          <cell r="J620">
            <v>8</v>
          </cell>
        </row>
        <row r="621">
          <cell r="B621">
            <v>45181</v>
          </cell>
          <cell r="E621" t="str">
            <v>Боранов В.В.</v>
          </cell>
          <cell r="F621" t="str">
            <v>Экскаватор JCB 2013</v>
          </cell>
          <cell r="I621">
            <v>10</v>
          </cell>
          <cell r="J621">
            <v>8</v>
          </cell>
        </row>
        <row r="622">
          <cell r="B622">
            <v>45182</v>
          </cell>
          <cell r="E622" t="str">
            <v>Боранов В.В.</v>
          </cell>
          <cell r="F622" t="str">
            <v>Экскаватор JCB 2013</v>
          </cell>
          <cell r="I622">
            <v>10</v>
          </cell>
          <cell r="J622">
            <v>9</v>
          </cell>
        </row>
        <row r="623">
          <cell r="B623">
            <v>45183</v>
          </cell>
          <cell r="E623" t="str">
            <v>Боранов В.В.</v>
          </cell>
          <cell r="F623" t="str">
            <v>Экскаватор JCB 2013</v>
          </cell>
          <cell r="I623">
            <v>10</v>
          </cell>
          <cell r="J623">
            <v>8</v>
          </cell>
        </row>
        <row r="624">
          <cell r="B624">
            <v>45184</v>
          </cell>
          <cell r="E624" t="str">
            <v>Боранов В.В.</v>
          </cell>
          <cell r="F624" t="str">
            <v>Экскаватор JCB 2013</v>
          </cell>
          <cell r="I624">
            <v>10</v>
          </cell>
          <cell r="J624">
            <v>10</v>
          </cell>
        </row>
        <row r="625">
          <cell r="B625">
            <v>45187</v>
          </cell>
          <cell r="E625" t="str">
            <v>Боранов В.В.</v>
          </cell>
          <cell r="F625" t="str">
            <v>Экскаватор JCB 2013</v>
          </cell>
          <cell r="I625">
            <v>10</v>
          </cell>
          <cell r="J625">
            <v>7</v>
          </cell>
        </row>
        <row r="626">
          <cell r="B626">
            <v>45188</v>
          </cell>
          <cell r="E626" t="str">
            <v>Боранов В.В.</v>
          </cell>
          <cell r="F626" t="str">
            <v>Экскаватор JCB 2013</v>
          </cell>
          <cell r="I626">
            <v>10</v>
          </cell>
          <cell r="J626">
            <v>8</v>
          </cell>
        </row>
        <row r="627">
          <cell r="B627">
            <v>45189</v>
          </cell>
          <cell r="E627" t="str">
            <v>Боранов В.В.</v>
          </cell>
          <cell r="F627" t="str">
            <v>Экскаватор JCB 2013</v>
          </cell>
          <cell r="I627">
            <v>10</v>
          </cell>
          <cell r="J627">
            <v>8</v>
          </cell>
        </row>
        <row r="628">
          <cell r="B628">
            <v>45190</v>
          </cell>
          <cell r="E628" t="str">
            <v>Боранов В.В.</v>
          </cell>
          <cell r="F628" t="str">
            <v>Экскаватор JCB 2013</v>
          </cell>
          <cell r="I628">
            <v>10</v>
          </cell>
          <cell r="J628">
            <v>8</v>
          </cell>
        </row>
        <row r="629">
          <cell r="B629">
            <v>45191</v>
          </cell>
          <cell r="E629" t="str">
            <v>Боранов В.В.</v>
          </cell>
          <cell r="F629" t="str">
            <v>Экскаватор JCB 2013</v>
          </cell>
          <cell r="I629">
            <v>10</v>
          </cell>
          <cell r="J629">
            <v>8</v>
          </cell>
        </row>
        <row r="630">
          <cell r="B630">
            <v>45194</v>
          </cell>
          <cell r="E630" t="str">
            <v>Боранов В.В.</v>
          </cell>
          <cell r="F630" t="str">
            <v>Экскаватор JCB 2013</v>
          </cell>
          <cell r="I630">
            <v>10</v>
          </cell>
          <cell r="J630">
            <v>8</v>
          </cell>
        </row>
        <row r="631">
          <cell r="B631">
            <v>45197</v>
          </cell>
          <cell r="E631" t="str">
            <v>Боранов В.В.</v>
          </cell>
          <cell r="F631" t="str">
            <v>Экскаватор JCB 2013</v>
          </cell>
          <cell r="I631">
            <v>10</v>
          </cell>
          <cell r="J631">
            <v>8</v>
          </cell>
        </row>
        <row r="632">
          <cell r="B632">
            <v>45198</v>
          </cell>
          <cell r="E632" t="str">
            <v>Боранов В.В.</v>
          </cell>
          <cell r="F632" t="str">
            <v>Экскаватор JCB 2013</v>
          </cell>
          <cell r="I632">
            <v>10</v>
          </cell>
          <cell r="J632">
            <v>8</v>
          </cell>
        </row>
        <row r="633">
          <cell r="B633">
            <v>45180</v>
          </cell>
          <cell r="E633" t="str">
            <v>Михайлов В.О.</v>
          </cell>
          <cell r="F633" t="str">
            <v>Экскаватор JCB 220</v>
          </cell>
          <cell r="I633">
            <v>11</v>
          </cell>
          <cell r="J633">
            <v>10</v>
          </cell>
        </row>
        <row r="634">
          <cell r="B634">
            <v>45181</v>
          </cell>
          <cell r="E634" t="str">
            <v>Михайлов В.О.</v>
          </cell>
          <cell r="F634" t="str">
            <v>Экскаватор JCB 220</v>
          </cell>
          <cell r="I634">
            <v>11</v>
          </cell>
          <cell r="J634">
            <v>11</v>
          </cell>
          <cell r="L634">
            <v>1</v>
          </cell>
        </row>
        <row r="635">
          <cell r="B635">
            <v>45182</v>
          </cell>
          <cell r="E635" t="str">
            <v>Михайлов В.О.</v>
          </cell>
          <cell r="F635" t="str">
            <v>Экскаватор JCB 220</v>
          </cell>
          <cell r="I635">
            <v>11</v>
          </cell>
          <cell r="J635">
            <v>11</v>
          </cell>
          <cell r="L635">
            <v>1</v>
          </cell>
        </row>
        <row r="636">
          <cell r="B636">
            <v>45183</v>
          </cell>
          <cell r="E636" t="str">
            <v>Михайлов В.О.</v>
          </cell>
          <cell r="F636" t="str">
            <v>Экскаватор JCB 220</v>
          </cell>
          <cell r="I636">
            <v>11</v>
          </cell>
          <cell r="J636">
            <v>11</v>
          </cell>
          <cell r="K636">
            <v>1</v>
          </cell>
        </row>
        <row r="637">
          <cell r="B637">
            <v>45184</v>
          </cell>
          <cell r="E637" t="str">
            <v>Михайлов В.О.</v>
          </cell>
          <cell r="F637" t="str">
            <v>Экскаватор JCB 220</v>
          </cell>
          <cell r="I637">
            <v>11</v>
          </cell>
          <cell r="J637">
            <v>10</v>
          </cell>
        </row>
        <row r="638">
          <cell r="B638">
            <v>45185</v>
          </cell>
          <cell r="E638" t="str">
            <v>Михайлов В.О.</v>
          </cell>
          <cell r="F638" t="str">
            <v>Экскаватор JCB 220</v>
          </cell>
          <cell r="I638">
            <v>11</v>
          </cell>
          <cell r="J638">
            <v>10</v>
          </cell>
        </row>
        <row r="639">
          <cell r="B639">
            <v>45190</v>
          </cell>
          <cell r="E639" t="str">
            <v>Скоц С.І.</v>
          </cell>
          <cell r="F639" t="str">
            <v>Экскаватор JCB 2007</v>
          </cell>
          <cell r="I639">
            <v>8</v>
          </cell>
          <cell r="J639">
            <v>10</v>
          </cell>
        </row>
        <row r="640">
          <cell r="B640">
            <v>45191</v>
          </cell>
          <cell r="E640" t="str">
            <v>Скоц С.І.</v>
          </cell>
          <cell r="F640" t="str">
            <v>Экскаватор JCB 2007</v>
          </cell>
          <cell r="I640">
            <v>8</v>
          </cell>
          <cell r="J640">
            <v>12</v>
          </cell>
          <cell r="L640">
            <v>1</v>
          </cell>
        </row>
        <row r="641">
          <cell r="B641">
            <v>45192</v>
          </cell>
          <cell r="E641" t="str">
            <v>Скоц С.І.</v>
          </cell>
          <cell r="F641" t="str">
            <v>Экскаватор JCB 2007</v>
          </cell>
          <cell r="I641">
            <v>8</v>
          </cell>
          <cell r="J641">
            <v>9</v>
          </cell>
          <cell r="K641">
            <v>1</v>
          </cell>
        </row>
        <row r="642">
          <cell r="B642">
            <v>45196</v>
          </cell>
          <cell r="E642" t="str">
            <v>Скоц С.І.</v>
          </cell>
          <cell r="F642" t="str">
            <v>Экскаватор JCB 2007</v>
          </cell>
          <cell r="I642">
            <v>8</v>
          </cell>
          <cell r="J642">
            <v>11</v>
          </cell>
          <cell r="L642">
            <v>1</v>
          </cell>
        </row>
        <row r="643">
          <cell r="B643">
            <v>45197</v>
          </cell>
          <cell r="E643" t="str">
            <v>Скоц С.І.</v>
          </cell>
          <cell r="F643" t="str">
            <v>Экскаватор JCB 2007</v>
          </cell>
          <cell r="I643">
            <v>8</v>
          </cell>
          <cell r="J643">
            <v>11</v>
          </cell>
        </row>
        <row r="644">
          <cell r="B644">
            <v>45198</v>
          </cell>
          <cell r="E644" t="str">
            <v>Скоц С.І.</v>
          </cell>
          <cell r="F644" t="str">
            <v>Экскаватор JCB 2007</v>
          </cell>
          <cell r="I644">
            <v>8</v>
          </cell>
        </row>
        <row r="645">
          <cell r="B645">
            <v>45182</v>
          </cell>
          <cell r="E645" t="str">
            <v>Карбунар Я.Д.</v>
          </cell>
          <cell r="F645" t="str">
            <v>Виброкаток</v>
          </cell>
          <cell r="I645">
            <v>6</v>
          </cell>
          <cell r="J645">
            <v>2</v>
          </cell>
        </row>
        <row r="646">
          <cell r="B646">
            <v>45183</v>
          </cell>
          <cell r="E646" t="str">
            <v>Карбунар Я.Д.</v>
          </cell>
          <cell r="F646" t="str">
            <v>Виброкаток</v>
          </cell>
          <cell r="I646">
            <v>6</v>
          </cell>
          <cell r="J646">
            <v>2</v>
          </cell>
        </row>
        <row r="647">
          <cell r="B647">
            <v>45184</v>
          </cell>
          <cell r="E647" t="str">
            <v>Карбунар Я.Д.</v>
          </cell>
          <cell r="F647" t="str">
            <v>Виброкаток</v>
          </cell>
          <cell r="I647">
            <v>6</v>
          </cell>
          <cell r="J647">
            <v>2</v>
          </cell>
        </row>
        <row r="648">
          <cell r="B648">
            <v>45175</v>
          </cell>
          <cell r="E648" t="str">
            <v>Кривунда В.А.</v>
          </cell>
          <cell r="F648" t="str">
            <v>Автокран клинцы</v>
          </cell>
          <cell r="I648">
            <v>19</v>
          </cell>
          <cell r="J648">
            <v>8</v>
          </cell>
          <cell r="K648">
            <v>8</v>
          </cell>
        </row>
        <row r="649">
          <cell r="B649">
            <v>45176</v>
          </cell>
          <cell r="E649" t="str">
            <v>Кривунда В.А.</v>
          </cell>
          <cell r="F649" t="str">
            <v>Автокран клинцы</v>
          </cell>
          <cell r="I649">
            <v>19</v>
          </cell>
          <cell r="J649">
            <v>8</v>
          </cell>
          <cell r="K649">
            <v>8</v>
          </cell>
        </row>
        <row r="650">
          <cell r="B650">
            <v>45177</v>
          </cell>
          <cell r="E650" t="str">
            <v>Кривунда В.А.</v>
          </cell>
          <cell r="F650" t="str">
            <v>Автокран клинцы</v>
          </cell>
          <cell r="I650">
            <v>19</v>
          </cell>
          <cell r="J650">
            <v>8</v>
          </cell>
          <cell r="K650">
            <v>8</v>
          </cell>
        </row>
        <row r="651">
          <cell r="B651">
            <v>45180</v>
          </cell>
          <cell r="E651" t="str">
            <v>Кривунда В.А.</v>
          </cell>
          <cell r="F651" t="str">
            <v>Автокран клинцы</v>
          </cell>
          <cell r="I651">
            <v>19</v>
          </cell>
          <cell r="J651">
            <v>11</v>
          </cell>
          <cell r="K651">
            <v>11</v>
          </cell>
        </row>
        <row r="652">
          <cell r="B652">
            <v>45181</v>
          </cell>
          <cell r="E652" t="str">
            <v>Кривунда В.А.</v>
          </cell>
          <cell r="F652" t="str">
            <v>Автокран клинцы</v>
          </cell>
          <cell r="I652">
            <v>19</v>
          </cell>
          <cell r="J652">
            <v>8</v>
          </cell>
          <cell r="K652">
            <v>8</v>
          </cell>
        </row>
        <row r="653">
          <cell r="B653">
            <v>45182</v>
          </cell>
          <cell r="E653" t="str">
            <v>Кривунда В.А.</v>
          </cell>
          <cell r="F653" t="str">
            <v>Автокран клинцы</v>
          </cell>
          <cell r="I653">
            <v>19</v>
          </cell>
          <cell r="J653">
            <v>8</v>
          </cell>
          <cell r="K653">
            <v>8</v>
          </cell>
        </row>
        <row r="654">
          <cell r="B654">
            <v>45183</v>
          </cell>
          <cell r="E654" t="str">
            <v>Кривунда В.А.</v>
          </cell>
          <cell r="F654" t="str">
            <v>Автокран клинцы</v>
          </cell>
          <cell r="I654">
            <v>19</v>
          </cell>
          <cell r="J654">
            <v>8</v>
          </cell>
          <cell r="K654">
            <v>8</v>
          </cell>
        </row>
        <row r="655">
          <cell r="B655">
            <v>45184</v>
          </cell>
          <cell r="E655" t="str">
            <v>Кривунда В.А.</v>
          </cell>
          <cell r="F655" t="str">
            <v>Автокран клинцы</v>
          </cell>
          <cell r="I655">
            <v>19</v>
          </cell>
          <cell r="J655">
            <v>8</v>
          </cell>
          <cell r="K655">
            <v>8</v>
          </cell>
        </row>
        <row r="656">
          <cell r="B656">
            <v>45185</v>
          </cell>
          <cell r="E656" t="str">
            <v>Кривунда В.А.</v>
          </cell>
          <cell r="F656" t="str">
            <v>Автокран клинцы</v>
          </cell>
          <cell r="I656">
            <v>19</v>
          </cell>
          <cell r="J656">
            <v>4</v>
          </cell>
          <cell r="K656">
            <v>4</v>
          </cell>
        </row>
        <row r="657">
          <cell r="B657">
            <v>45187</v>
          </cell>
          <cell r="E657" t="str">
            <v>Кривунда В.А.</v>
          </cell>
          <cell r="F657" t="str">
            <v>Автокран клинцы</v>
          </cell>
          <cell r="I657">
            <v>19</v>
          </cell>
          <cell r="J657">
            <v>9</v>
          </cell>
          <cell r="K657">
            <v>6</v>
          </cell>
        </row>
        <row r="658">
          <cell r="B658">
            <v>45201</v>
          </cell>
          <cell r="E658" t="str">
            <v>Зенкін Д.Ю.</v>
          </cell>
          <cell r="F658" t="str">
            <v>Экскаватор  JCB 3CX 2008</v>
          </cell>
          <cell r="I658">
            <v>9</v>
          </cell>
          <cell r="J658">
            <v>9</v>
          </cell>
          <cell r="K658">
            <v>1</v>
          </cell>
        </row>
        <row r="659">
          <cell r="B659">
            <v>45202</v>
          </cell>
          <cell r="E659" t="str">
            <v>Зенкін Д.Ю.</v>
          </cell>
          <cell r="F659" t="str">
            <v>Экскаватор  JCB 3CX 2008</v>
          </cell>
          <cell r="I659">
            <v>9</v>
          </cell>
          <cell r="J659">
            <v>10</v>
          </cell>
        </row>
        <row r="660">
          <cell r="B660">
            <v>45203</v>
          </cell>
          <cell r="E660" t="str">
            <v>Зенкін Д.Ю.</v>
          </cell>
          <cell r="F660" t="str">
            <v>Экскаватор  JCB 3CX 2008</v>
          </cell>
          <cell r="I660">
            <v>9</v>
          </cell>
          <cell r="J660">
            <v>9</v>
          </cell>
        </row>
        <row r="661">
          <cell r="B661">
            <v>45204</v>
          </cell>
          <cell r="E661" t="str">
            <v>Зенкін Д.Ю.</v>
          </cell>
          <cell r="F661" t="str">
            <v>Экскаватор  JCB 3CX 2008</v>
          </cell>
          <cell r="I661">
            <v>9</v>
          </cell>
          <cell r="J661">
            <v>10</v>
          </cell>
        </row>
        <row r="662">
          <cell r="B662">
            <v>45205</v>
          </cell>
          <cell r="E662" t="str">
            <v>Зенкін Д.Ю.</v>
          </cell>
          <cell r="F662" t="str">
            <v>Экскаватор  JCB 3CX 2008</v>
          </cell>
          <cell r="I662">
            <v>9</v>
          </cell>
          <cell r="J662">
            <v>10</v>
          </cell>
        </row>
        <row r="663">
          <cell r="B663">
            <v>45206</v>
          </cell>
          <cell r="E663" t="str">
            <v>Зенкін Д.Ю.</v>
          </cell>
          <cell r="F663" t="str">
            <v>Экскаватор  JCB 3CX 2008</v>
          </cell>
          <cell r="I663">
            <v>9</v>
          </cell>
          <cell r="J663">
            <v>8</v>
          </cell>
        </row>
        <row r="664">
          <cell r="B664">
            <v>45208</v>
          </cell>
          <cell r="E664" t="str">
            <v>Зенкін Д.Ю.</v>
          </cell>
          <cell r="F664" t="str">
            <v>Экскаватор  JCB 3CX 2008</v>
          </cell>
          <cell r="I664">
            <v>9</v>
          </cell>
          <cell r="J664">
            <v>10</v>
          </cell>
        </row>
        <row r="665">
          <cell r="B665">
            <v>45209</v>
          </cell>
          <cell r="E665" t="str">
            <v>Зенкін Д.Ю.</v>
          </cell>
          <cell r="F665" t="str">
            <v>Экскаватор  JCB 3CX 2008</v>
          </cell>
          <cell r="I665">
            <v>9</v>
          </cell>
          <cell r="J665">
            <v>10</v>
          </cell>
          <cell r="K665">
            <v>1</v>
          </cell>
        </row>
        <row r="666">
          <cell r="B666">
            <v>45210</v>
          </cell>
          <cell r="E666" t="str">
            <v>Зенкін Д.Ю.</v>
          </cell>
          <cell r="F666" t="str">
            <v>Экскаватор  JCB 3CX 2008</v>
          </cell>
          <cell r="I666">
            <v>9</v>
          </cell>
          <cell r="J666">
            <v>9</v>
          </cell>
        </row>
        <row r="667">
          <cell r="B667">
            <v>45211</v>
          </cell>
          <cell r="E667" t="str">
            <v>Зенкін Д.Ю.</v>
          </cell>
          <cell r="F667" t="str">
            <v>Экскаватор  JCB 3CX 2008</v>
          </cell>
          <cell r="I667">
            <v>9</v>
          </cell>
          <cell r="J667">
            <v>11</v>
          </cell>
          <cell r="L667">
            <v>1</v>
          </cell>
        </row>
        <row r="668">
          <cell r="B668">
            <v>45212</v>
          </cell>
          <cell r="E668" t="str">
            <v>Зенкін Д.Ю.</v>
          </cell>
          <cell r="F668" t="str">
            <v>Экскаватор  JCB 3CX 2008</v>
          </cell>
          <cell r="I668">
            <v>9</v>
          </cell>
          <cell r="J668">
            <v>10</v>
          </cell>
        </row>
        <row r="669">
          <cell r="B669">
            <v>45213</v>
          </cell>
          <cell r="E669" t="str">
            <v>Зенкін Д.Ю.</v>
          </cell>
          <cell r="F669" t="str">
            <v>Экскаватор  JCB 3CX 2008</v>
          </cell>
          <cell r="I669">
            <v>9</v>
          </cell>
          <cell r="J669">
            <v>8</v>
          </cell>
          <cell r="K669">
            <v>2</v>
          </cell>
        </row>
        <row r="670">
          <cell r="B670">
            <v>45215</v>
          </cell>
          <cell r="E670" t="str">
            <v>Зенкін Д.Ю.</v>
          </cell>
          <cell r="F670" t="str">
            <v>Экскаватор  JCB 3CX 2008</v>
          </cell>
          <cell r="I670">
            <v>9</v>
          </cell>
          <cell r="J670">
            <v>8</v>
          </cell>
        </row>
        <row r="671">
          <cell r="B671">
            <v>45216</v>
          </cell>
          <cell r="E671" t="str">
            <v>Зенкін Д.Ю.</v>
          </cell>
          <cell r="F671" t="str">
            <v>Экскаватор  JCB 3CX 2008</v>
          </cell>
          <cell r="I671">
            <v>9</v>
          </cell>
          <cell r="J671">
            <v>9</v>
          </cell>
        </row>
        <row r="672">
          <cell r="B672">
            <v>45217</v>
          </cell>
          <cell r="E672" t="str">
            <v>Зенкін Д.Ю.</v>
          </cell>
          <cell r="F672" t="str">
            <v>Экскаватор  JCB 3CX 2008</v>
          </cell>
          <cell r="I672">
            <v>9</v>
          </cell>
          <cell r="J672">
            <v>9</v>
          </cell>
        </row>
        <row r="673">
          <cell r="B673">
            <v>45218</v>
          </cell>
          <cell r="E673" t="str">
            <v>Зенкін Д.Ю.</v>
          </cell>
          <cell r="F673" t="str">
            <v>Экскаватор  JCB 3CX 2008</v>
          </cell>
          <cell r="I673">
            <v>9</v>
          </cell>
          <cell r="J673">
            <v>10</v>
          </cell>
          <cell r="L673">
            <v>1</v>
          </cell>
        </row>
        <row r="674">
          <cell r="B674">
            <v>45219</v>
          </cell>
          <cell r="E674" t="str">
            <v>Зенкін Д.Ю.</v>
          </cell>
          <cell r="F674" t="str">
            <v>Экскаватор  JCB 3CX 2008</v>
          </cell>
          <cell r="I674">
            <v>9</v>
          </cell>
          <cell r="J674">
            <v>10</v>
          </cell>
          <cell r="L674">
            <v>1</v>
          </cell>
        </row>
        <row r="675">
          <cell r="B675">
            <v>45220</v>
          </cell>
          <cell r="E675" t="str">
            <v>Зенкін Д.Ю.</v>
          </cell>
          <cell r="F675" t="str">
            <v>Экскаватор  JCB 3CX 2008</v>
          </cell>
          <cell r="I675">
            <v>9</v>
          </cell>
          <cell r="J675">
            <v>9</v>
          </cell>
          <cell r="L675">
            <v>1</v>
          </cell>
        </row>
        <row r="676">
          <cell r="B676">
            <v>45222</v>
          </cell>
          <cell r="E676" t="str">
            <v>Зенкін Д.Ю.</v>
          </cell>
          <cell r="F676" t="str">
            <v>Экскаватор  JCB 3CX 2008</v>
          </cell>
          <cell r="I676">
            <v>9</v>
          </cell>
          <cell r="J676">
            <v>9</v>
          </cell>
          <cell r="K676">
            <v>1</v>
          </cell>
        </row>
        <row r="677">
          <cell r="B677">
            <v>45223</v>
          </cell>
          <cell r="E677" t="str">
            <v>Зенкін Д.Ю.</v>
          </cell>
          <cell r="F677" t="str">
            <v>Экскаватор  JCB 3CX 2008</v>
          </cell>
          <cell r="I677">
            <v>9</v>
          </cell>
          <cell r="J677">
            <v>13</v>
          </cell>
          <cell r="L677">
            <v>1</v>
          </cell>
        </row>
        <row r="678">
          <cell r="B678">
            <v>45224</v>
          </cell>
          <cell r="E678" t="str">
            <v>Зенкін Д.Ю.</v>
          </cell>
          <cell r="F678" t="str">
            <v>Экскаватор  JCB 3CX 2008</v>
          </cell>
          <cell r="I678">
            <v>9</v>
          </cell>
          <cell r="J678">
            <v>7</v>
          </cell>
          <cell r="K678">
            <v>4</v>
          </cell>
        </row>
        <row r="679">
          <cell r="B679">
            <v>45225</v>
          </cell>
          <cell r="E679" t="str">
            <v>Зенкін Д.Ю.</v>
          </cell>
          <cell r="F679" t="str">
            <v>Экскаватор  JCB 3CX 2008</v>
          </cell>
          <cell r="I679">
            <v>9</v>
          </cell>
          <cell r="J679">
            <v>10</v>
          </cell>
          <cell r="L679">
            <v>1</v>
          </cell>
        </row>
        <row r="680">
          <cell r="B680">
            <v>45226</v>
          </cell>
          <cell r="E680" t="str">
            <v>Зенкін Д.Ю.</v>
          </cell>
          <cell r="F680" t="str">
            <v>Экскаватор  JCB 3CX 2008</v>
          </cell>
          <cell r="I680">
            <v>9</v>
          </cell>
          <cell r="J680">
            <v>9</v>
          </cell>
        </row>
        <row r="681">
          <cell r="B681">
            <v>45227</v>
          </cell>
          <cell r="E681" t="str">
            <v>Зенкін Д.Ю.</v>
          </cell>
          <cell r="F681" t="str">
            <v>Экскаватор  JCB 3CX 2008</v>
          </cell>
          <cell r="I681">
            <v>9</v>
          </cell>
          <cell r="J681">
            <v>10</v>
          </cell>
          <cell r="L681">
            <v>1</v>
          </cell>
        </row>
        <row r="682">
          <cell r="B682">
            <v>45229</v>
          </cell>
          <cell r="E682" t="str">
            <v>Зенкін Д.Ю.</v>
          </cell>
          <cell r="F682" t="str">
            <v>Экскаватор  JCB 3CX 2008</v>
          </cell>
          <cell r="I682">
            <v>9</v>
          </cell>
          <cell r="J682">
            <v>8</v>
          </cell>
        </row>
        <row r="683">
          <cell r="B683">
            <v>45230</v>
          </cell>
          <cell r="E683" t="str">
            <v>Зенкін Д.Ю.</v>
          </cell>
          <cell r="F683" t="str">
            <v>Экскаватор  JCB 3CX 2008</v>
          </cell>
          <cell r="I683">
            <v>9</v>
          </cell>
          <cell r="J683">
            <v>10</v>
          </cell>
        </row>
        <row r="684">
          <cell r="B684">
            <v>45200</v>
          </cell>
          <cell r="E684" t="str">
            <v>Трохименко В.Я.</v>
          </cell>
          <cell r="F684" t="str">
            <v>Телескоп №1</v>
          </cell>
          <cell r="I684">
            <v>1</v>
          </cell>
          <cell r="J684">
            <v>4</v>
          </cell>
        </row>
        <row r="685">
          <cell r="B685">
            <v>45201</v>
          </cell>
          <cell r="E685" t="str">
            <v>Трохименко В.Я.</v>
          </cell>
          <cell r="F685" t="str">
            <v>Телескоп №1</v>
          </cell>
          <cell r="I685">
            <v>1</v>
          </cell>
          <cell r="J685">
            <v>10</v>
          </cell>
        </row>
        <row r="686">
          <cell r="B686">
            <v>45202</v>
          </cell>
          <cell r="E686" t="str">
            <v>Трохименко В.Я.</v>
          </cell>
          <cell r="F686" t="str">
            <v>Телескоп №1</v>
          </cell>
          <cell r="I686">
            <v>1</v>
          </cell>
          <cell r="J686">
            <v>9</v>
          </cell>
        </row>
        <row r="687">
          <cell r="B687">
            <v>45203</v>
          </cell>
          <cell r="E687" t="str">
            <v>Трохименко В.Я.</v>
          </cell>
          <cell r="F687" t="str">
            <v>Телескоп №1</v>
          </cell>
          <cell r="I687">
            <v>1</v>
          </cell>
          <cell r="J687">
            <v>10</v>
          </cell>
          <cell r="K687">
            <v>1</v>
          </cell>
        </row>
        <row r="688">
          <cell r="B688">
            <v>45204</v>
          </cell>
          <cell r="E688" t="str">
            <v>Трохименко В.Я.</v>
          </cell>
          <cell r="F688" t="str">
            <v>Телескоп №1</v>
          </cell>
          <cell r="I688">
            <v>1</v>
          </cell>
          <cell r="J688">
            <v>10</v>
          </cell>
        </row>
        <row r="689">
          <cell r="B689">
            <v>45205</v>
          </cell>
          <cell r="E689" t="str">
            <v>Трохименко В.Я.</v>
          </cell>
          <cell r="F689" t="str">
            <v>Телескоп №1</v>
          </cell>
          <cell r="I689">
            <v>1</v>
          </cell>
          <cell r="J689">
            <v>10</v>
          </cell>
        </row>
        <row r="690">
          <cell r="B690">
            <v>45206</v>
          </cell>
          <cell r="E690" t="str">
            <v>Трохименко В.Я.</v>
          </cell>
          <cell r="F690" t="str">
            <v>Телескоп №1</v>
          </cell>
          <cell r="I690">
            <v>1</v>
          </cell>
          <cell r="J690">
            <v>11</v>
          </cell>
        </row>
        <row r="691">
          <cell r="B691">
            <v>45208</v>
          </cell>
          <cell r="E691" t="str">
            <v>Трохименко В.Я.</v>
          </cell>
          <cell r="F691" t="str">
            <v>Телескоп №1</v>
          </cell>
          <cell r="I691">
            <v>1</v>
          </cell>
          <cell r="J691">
            <v>10</v>
          </cell>
        </row>
        <row r="692">
          <cell r="B692">
            <v>45209</v>
          </cell>
          <cell r="E692" t="str">
            <v>Трохименко В.Я.</v>
          </cell>
          <cell r="F692" t="str">
            <v>Телескоп №1</v>
          </cell>
          <cell r="I692">
            <v>1</v>
          </cell>
          <cell r="J692">
            <v>9</v>
          </cell>
        </row>
        <row r="693">
          <cell r="B693">
            <v>45210</v>
          </cell>
          <cell r="E693" t="str">
            <v>Трохименко В.Я.</v>
          </cell>
          <cell r="F693" t="str">
            <v>Телескоп №1</v>
          </cell>
          <cell r="I693">
            <v>1</v>
          </cell>
          <cell r="J693">
            <v>9</v>
          </cell>
        </row>
        <row r="694">
          <cell r="B694">
            <v>45211</v>
          </cell>
          <cell r="E694" t="str">
            <v>Трохименко В.Я.</v>
          </cell>
          <cell r="F694" t="str">
            <v>Телескоп №1</v>
          </cell>
          <cell r="I694">
            <v>1</v>
          </cell>
          <cell r="J694">
            <v>10</v>
          </cell>
        </row>
        <row r="695">
          <cell r="B695">
            <v>45212</v>
          </cell>
          <cell r="E695" t="str">
            <v>Трохименко В.Я.</v>
          </cell>
          <cell r="F695" t="str">
            <v>Телескоп №1</v>
          </cell>
          <cell r="I695">
            <v>1</v>
          </cell>
          <cell r="J695">
            <v>10</v>
          </cell>
        </row>
        <row r="696">
          <cell r="B696">
            <v>45213</v>
          </cell>
          <cell r="E696" t="str">
            <v>Трохименко В.Я.</v>
          </cell>
          <cell r="F696" t="str">
            <v>Телескоп №1</v>
          </cell>
          <cell r="I696">
            <v>1</v>
          </cell>
          <cell r="J696">
            <v>11</v>
          </cell>
          <cell r="K696">
            <v>1</v>
          </cell>
        </row>
        <row r="697">
          <cell r="B697">
            <v>45215</v>
          </cell>
          <cell r="E697" t="str">
            <v>Трохименко В.Я.</v>
          </cell>
          <cell r="F697" t="str">
            <v>Телескоп №1</v>
          </cell>
          <cell r="I697">
            <v>1</v>
          </cell>
          <cell r="J697">
            <v>8</v>
          </cell>
        </row>
        <row r="698">
          <cell r="B698">
            <v>45216</v>
          </cell>
          <cell r="E698" t="str">
            <v>Трохименко В.Я.</v>
          </cell>
          <cell r="F698" t="str">
            <v>Телескоп №1</v>
          </cell>
          <cell r="I698">
            <v>1</v>
          </cell>
          <cell r="J698">
            <v>11</v>
          </cell>
          <cell r="K698">
            <v>1</v>
          </cell>
        </row>
        <row r="699">
          <cell r="B699">
            <v>45217</v>
          </cell>
          <cell r="E699" t="str">
            <v>Трохименко В.Я.</v>
          </cell>
          <cell r="F699" t="str">
            <v>Телескоп №1</v>
          </cell>
          <cell r="I699">
            <v>1</v>
          </cell>
          <cell r="J699">
            <v>11</v>
          </cell>
          <cell r="L699">
            <v>2</v>
          </cell>
        </row>
        <row r="700">
          <cell r="B700">
            <v>45218</v>
          </cell>
          <cell r="E700" t="str">
            <v>Трохименко В.Я.</v>
          </cell>
          <cell r="F700" t="str">
            <v>Телескоп №1</v>
          </cell>
          <cell r="I700">
            <v>1</v>
          </cell>
          <cell r="J700">
            <v>11</v>
          </cell>
        </row>
        <row r="701">
          <cell r="B701">
            <v>45219</v>
          </cell>
          <cell r="E701" t="str">
            <v>Мусієнко І.І.</v>
          </cell>
          <cell r="F701" t="str">
            <v>Телескоп №1</v>
          </cell>
          <cell r="I701">
            <v>1</v>
          </cell>
          <cell r="J701">
            <v>8</v>
          </cell>
        </row>
        <row r="702">
          <cell r="B702">
            <v>45220</v>
          </cell>
          <cell r="E702" t="str">
            <v>Мусієнко І.І.</v>
          </cell>
          <cell r="F702" t="str">
            <v>Телескоп №1</v>
          </cell>
          <cell r="I702">
            <v>1</v>
          </cell>
          <cell r="J702">
            <v>10</v>
          </cell>
          <cell r="L702">
            <v>1</v>
          </cell>
        </row>
        <row r="703">
          <cell r="B703">
            <v>45222</v>
          </cell>
          <cell r="E703" t="str">
            <v>Мусієнко І.І.</v>
          </cell>
          <cell r="F703" t="str">
            <v>Телескоп №1</v>
          </cell>
          <cell r="I703">
            <v>1</v>
          </cell>
          <cell r="J703">
            <v>9</v>
          </cell>
        </row>
        <row r="704">
          <cell r="B704">
            <v>45223</v>
          </cell>
          <cell r="E704" t="str">
            <v>Мусієнко І.І.</v>
          </cell>
          <cell r="F704" t="str">
            <v>Телескоп №1</v>
          </cell>
          <cell r="I704">
            <v>1</v>
          </cell>
          <cell r="J704">
            <v>12</v>
          </cell>
        </row>
        <row r="705">
          <cell r="B705">
            <v>45225</v>
          </cell>
          <cell r="E705" t="str">
            <v>Мусієнко І.І.</v>
          </cell>
          <cell r="F705" t="str">
            <v>Телескоп №1</v>
          </cell>
          <cell r="I705">
            <v>1</v>
          </cell>
          <cell r="J705">
            <v>11</v>
          </cell>
          <cell r="K705">
            <v>2</v>
          </cell>
          <cell r="L705">
            <v>1</v>
          </cell>
        </row>
        <row r="706">
          <cell r="B706">
            <v>45226</v>
          </cell>
          <cell r="E706" t="str">
            <v>Мусієнко І.І.</v>
          </cell>
          <cell r="F706" t="str">
            <v>Телескоп №1</v>
          </cell>
          <cell r="I706">
            <v>1</v>
          </cell>
          <cell r="J706">
            <v>10</v>
          </cell>
          <cell r="K706">
            <v>1</v>
          </cell>
        </row>
        <row r="707">
          <cell r="B707">
            <v>45227</v>
          </cell>
          <cell r="E707" t="str">
            <v>Мусієнко І.І.</v>
          </cell>
          <cell r="F707" t="str">
            <v>Телескоп №1</v>
          </cell>
          <cell r="I707">
            <v>1</v>
          </cell>
          <cell r="J707">
            <v>13</v>
          </cell>
          <cell r="L707">
            <v>1</v>
          </cell>
        </row>
        <row r="708">
          <cell r="B708">
            <v>45229</v>
          </cell>
          <cell r="E708" t="str">
            <v>Мусієнко І.І.</v>
          </cell>
          <cell r="F708" t="str">
            <v>Телескоп №1</v>
          </cell>
          <cell r="I708">
            <v>1</v>
          </cell>
          <cell r="J708">
            <v>9</v>
          </cell>
        </row>
        <row r="709">
          <cell r="B709">
            <v>45230</v>
          </cell>
          <cell r="E709" t="str">
            <v>Мусієнко І.І.</v>
          </cell>
          <cell r="F709" t="str">
            <v>Телескоп №1</v>
          </cell>
          <cell r="I709">
            <v>1</v>
          </cell>
          <cell r="J709">
            <v>10</v>
          </cell>
          <cell r="L709">
            <v>1</v>
          </cell>
        </row>
        <row r="710">
          <cell r="B710">
            <v>45208</v>
          </cell>
          <cell r="E710" t="str">
            <v>Скоц С.І.</v>
          </cell>
          <cell r="F710" t="str">
            <v>Экскаватор JCB 220</v>
          </cell>
          <cell r="I710">
            <v>11</v>
          </cell>
          <cell r="J710">
            <v>8</v>
          </cell>
          <cell r="K710">
            <v>4</v>
          </cell>
        </row>
        <row r="711">
          <cell r="B711">
            <v>45209</v>
          </cell>
          <cell r="E711" t="str">
            <v>Скоц С.І.</v>
          </cell>
          <cell r="F711" t="str">
            <v>Экскаватор JCB 220</v>
          </cell>
          <cell r="I711">
            <v>11</v>
          </cell>
          <cell r="J711">
            <v>9</v>
          </cell>
          <cell r="K711">
            <v>2</v>
          </cell>
        </row>
        <row r="712">
          <cell r="B712">
            <v>45210</v>
          </cell>
          <cell r="E712" t="str">
            <v>Скоц С.І.</v>
          </cell>
          <cell r="F712" t="str">
            <v>Экскаватор JCB 220</v>
          </cell>
          <cell r="I712">
            <v>11</v>
          </cell>
          <cell r="J712">
            <v>9</v>
          </cell>
          <cell r="K712">
            <v>5</v>
          </cell>
        </row>
        <row r="713">
          <cell r="B713">
            <v>45211</v>
          </cell>
          <cell r="E713" t="str">
            <v>Скоц С.І.</v>
          </cell>
          <cell r="F713" t="str">
            <v>Экскаватор JCB 220</v>
          </cell>
          <cell r="I713">
            <v>11</v>
          </cell>
          <cell r="J713">
            <v>8</v>
          </cell>
          <cell r="K713">
            <v>8</v>
          </cell>
        </row>
        <row r="714">
          <cell r="B714">
            <v>45212</v>
          </cell>
          <cell r="E714" t="str">
            <v>Скоц С.І.</v>
          </cell>
          <cell r="F714" t="str">
            <v>Экскаватор JCB 220</v>
          </cell>
          <cell r="I714">
            <v>11</v>
          </cell>
          <cell r="J714">
            <v>9</v>
          </cell>
          <cell r="K714">
            <v>9</v>
          </cell>
        </row>
        <row r="715">
          <cell r="B715">
            <v>45213</v>
          </cell>
          <cell r="E715" t="str">
            <v>Скоц С.І.</v>
          </cell>
          <cell r="F715" t="str">
            <v>Экскаватор JCB 220</v>
          </cell>
          <cell r="I715">
            <v>11</v>
          </cell>
          <cell r="J715">
            <v>5</v>
          </cell>
          <cell r="K715">
            <v>5</v>
          </cell>
        </row>
        <row r="716">
          <cell r="B716">
            <v>45215</v>
          </cell>
          <cell r="E716" t="str">
            <v>Скоц С.І.</v>
          </cell>
          <cell r="F716" t="str">
            <v>Экскаватор JCB 220</v>
          </cell>
          <cell r="I716">
            <v>11</v>
          </cell>
          <cell r="J716">
            <v>8</v>
          </cell>
          <cell r="K716">
            <v>8</v>
          </cell>
        </row>
        <row r="717">
          <cell r="B717">
            <v>45216</v>
          </cell>
          <cell r="E717" t="str">
            <v>Скоц С.І.</v>
          </cell>
          <cell r="F717" t="str">
            <v>Экскаватор JCB 220</v>
          </cell>
          <cell r="I717">
            <v>11</v>
          </cell>
          <cell r="J717">
            <v>10</v>
          </cell>
          <cell r="K717">
            <v>6</v>
          </cell>
        </row>
        <row r="718">
          <cell r="B718">
            <v>45217</v>
          </cell>
          <cell r="E718" t="str">
            <v>Скоц С.І.</v>
          </cell>
          <cell r="F718" t="str">
            <v>Экскаватор JCB 220</v>
          </cell>
          <cell r="I718">
            <v>11</v>
          </cell>
          <cell r="J718">
            <v>11</v>
          </cell>
          <cell r="L718">
            <v>1</v>
          </cell>
        </row>
        <row r="719">
          <cell r="B719">
            <v>45218</v>
          </cell>
          <cell r="E719" t="str">
            <v>Скоц С.І.</v>
          </cell>
          <cell r="F719" t="str">
            <v>Экскаватор JCB 220</v>
          </cell>
          <cell r="I719">
            <v>11</v>
          </cell>
          <cell r="J719">
            <v>11</v>
          </cell>
          <cell r="K719">
            <v>1</v>
          </cell>
        </row>
        <row r="720">
          <cell r="B720">
            <v>45219</v>
          </cell>
          <cell r="E720" t="str">
            <v>Скоц С.І.</v>
          </cell>
          <cell r="F720" t="str">
            <v>Экскаватор JCB 220</v>
          </cell>
          <cell r="I720">
            <v>11</v>
          </cell>
          <cell r="J720">
            <v>9</v>
          </cell>
        </row>
        <row r="721">
          <cell r="B721">
            <v>45220</v>
          </cell>
          <cell r="E721" t="str">
            <v>Скоц С.І.</v>
          </cell>
          <cell r="F721" t="str">
            <v>Экскаватор JCB 220</v>
          </cell>
          <cell r="I721">
            <v>11</v>
          </cell>
          <cell r="J721">
            <v>10</v>
          </cell>
        </row>
        <row r="722">
          <cell r="B722">
            <v>45221</v>
          </cell>
          <cell r="E722" t="str">
            <v>Скоц С.І.</v>
          </cell>
          <cell r="F722" t="str">
            <v>Экскаватор JCB 220</v>
          </cell>
          <cell r="I722">
            <v>11</v>
          </cell>
          <cell r="J722">
            <v>5</v>
          </cell>
          <cell r="K722">
            <v>1</v>
          </cell>
        </row>
        <row r="723">
          <cell r="B723">
            <v>45222</v>
          </cell>
          <cell r="E723" t="str">
            <v>Скоц С.І.</v>
          </cell>
          <cell r="F723" t="str">
            <v>Экскаватор JCB 220</v>
          </cell>
          <cell r="I723">
            <v>11</v>
          </cell>
          <cell r="J723">
            <v>8</v>
          </cell>
          <cell r="K723">
            <v>8</v>
          </cell>
        </row>
        <row r="724">
          <cell r="B724">
            <v>45224</v>
          </cell>
          <cell r="E724" t="str">
            <v>Скоц С.І.</v>
          </cell>
          <cell r="F724" t="str">
            <v>Экскаватор JCB 220</v>
          </cell>
          <cell r="I724">
            <v>11</v>
          </cell>
          <cell r="J724">
            <v>5</v>
          </cell>
          <cell r="K724">
            <v>4</v>
          </cell>
        </row>
        <row r="725">
          <cell r="B725">
            <v>45225</v>
          </cell>
          <cell r="E725" t="str">
            <v>Скоц С.І.</v>
          </cell>
          <cell r="F725" t="str">
            <v>Экскаватор JCB 220</v>
          </cell>
          <cell r="I725">
            <v>11</v>
          </cell>
          <cell r="J725">
            <v>10</v>
          </cell>
          <cell r="L725">
            <v>1</v>
          </cell>
        </row>
        <row r="726">
          <cell r="B726">
            <v>45226</v>
          </cell>
          <cell r="E726" t="str">
            <v>Скоц С.І.</v>
          </cell>
          <cell r="F726" t="str">
            <v>Экскаватор JCB 220</v>
          </cell>
          <cell r="I726">
            <v>11</v>
          </cell>
          <cell r="J726">
            <v>8</v>
          </cell>
        </row>
        <row r="727">
          <cell r="B727">
            <v>45227</v>
          </cell>
          <cell r="E727" t="str">
            <v>Скоц С.І.</v>
          </cell>
          <cell r="F727" t="str">
            <v>Экскаватор JCB 220</v>
          </cell>
          <cell r="I727">
            <v>11</v>
          </cell>
          <cell r="J727">
            <v>7</v>
          </cell>
          <cell r="K727">
            <v>7</v>
          </cell>
        </row>
        <row r="728">
          <cell r="B728">
            <v>45228</v>
          </cell>
          <cell r="E728" t="str">
            <v>Скоц С.І.</v>
          </cell>
          <cell r="F728" t="str">
            <v>Экскаватор JCB 220</v>
          </cell>
          <cell r="I728">
            <v>11</v>
          </cell>
          <cell r="J728">
            <v>9</v>
          </cell>
        </row>
        <row r="729">
          <cell r="B729">
            <v>45229</v>
          </cell>
          <cell r="E729" t="str">
            <v>Скоц С.І.</v>
          </cell>
          <cell r="F729" t="str">
            <v>Экскаватор JCB 220</v>
          </cell>
          <cell r="I729">
            <v>11</v>
          </cell>
          <cell r="J729">
            <v>9</v>
          </cell>
        </row>
        <row r="730">
          <cell r="B730">
            <v>45230</v>
          </cell>
          <cell r="E730" t="str">
            <v>Скоц С.І.</v>
          </cell>
          <cell r="F730" t="str">
            <v>Экскаватор JCB 220</v>
          </cell>
          <cell r="I730">
            <v>11</v>
          </cell>
          <cell r="J730">
            <v>10</v>
          </cell>
        </row>
        <row r="731">
          <cell r="B731">
            <v>45203</v>
          </cell>
          <cell r="E731" t="str">
            <v>Борисенко О.М.</v>
          </cell>
          <cell r="F731" t="str">
            <v>Виброкаток</v>
          </cell>
          <cell r="I731">
            <v>6</v>
          </cell>
          <cell r="J731">
            <v>8</v>
          </cell>
        </row>
        <row r="732">
          <cell r="B732">
            <v>45201</v>
          </cell>
          <cell r="E732" t="str">
            <v>Карбунар Я.Д.</v>
          </cell>
          <cell r="F732" t="str">
            <v>Виброкаток</v>
          </cell>
          <cell r="I732">
            <v>6</v>
          </cell>
          <cell r="J732">
            <v>10</v>
          </cell>
        </row>
        <row r="733">
          <cell r="B733">
            <v>45223</v>
          </cell>
          <cell r="E733" t="str">
            <v>Борисенко О.М.</v>
          </cell>
          <cell r="F733" t="str">
            <v>Виброкаток</v>
          </cell>
          <cell r="I733">
            <v>6</v>
          </cell>
          <cell r="J733">
            <v>8</v>
          </cell>
        </row>
        <row r="734">
          <cell r="B734">
            <v>45226</v>
          </cell>
          <cell r="E734" t="str">
            <v>Борисенко О.М.</v>
          </cell>
          <cell r="F734" t="str">
            <v>Виброкаток</v>
          </cell>
          <cell r="I734">
            <v>6</v>
          </cell>
          <cell r="J734">
            <v>2</v>
          </cell>
          <cell r="L734">
            <v>1</v>
          </cell>
        </row>
        <row r="735">
          <cell r="B735">
            <v>45227</v>
          </cell>
          <cell r="E735" t="str">
            <v>Борисенко О.М.</v>
          </cell>
          <cell r="F735" t="str">
            <v>Виброкаток</v>
          </cell>
          <cell r="I735">
            <v>6</v>
          </cell>
          <cell r="J735">
            <v>8</v>
          </cell>
        </row>
        <row r="736">
          <cell r="B736">
            <v>45228</v>
          </cell>
          <cell r="E736" t="str">
            <v>Борисенко О.М.</v>
          </cell>
          <cell r="F736" t="str">
            <v>Виброкаток</v>
          </cell>
          <cell r="I736">
            <v>6</v>
          </cell>
          <cell r="J736">
            <v>3</v>
          </cell>
        </row>
        <row r="737">
          <cell r="B737">
            <v>45229</v>
          </cell>
          <cell r="E737" t="str">
            <v>Борисенко О.М.</v>
          </cell>
          <cell r="F737" t="str">
            <v>Виброкаток</v>
          </cell>
          <cell r="I737">
            <v>6</v>
          </cell>
          <cell r="J737">
            <v>9</v>
          </cell>
        </row>
        <row r="738">
          <cell r="B738">
            <v>45229</v>
          </cell>
          <cell r="E738" t="str">
            <v>Борисенко О.М.</v>
          </cell>
          <cell r="F738" t="str">
            <v>Виброкаток</v>
          </cell>
          <cell r="I738">
            <v>6</v>
          </cell>
          <cell r="J738">
            <v>9</v>
          </cell>
        </row>
        <row r="739">
          <cell r="B739">
            <v>45201</v>
          </cell>
          <cell r="E739" t="str">
            <v>Божков В.В.</v>
          </cell>
          <cell r="F739" t="str">
            <v>МАЗ 264</v>
          </cell>
          <cell r="I739">
            <v>12</v>
          </cell>
          <cell r="J739">
            <v>10</v>
          </cell>
        </row>
        <row r="740">
          <cell r="B740">
            <v>45202</v>
          </cell>
          <cell r="E740" t="str">
            <v>Божков В.В.</v>
          </cell>
          <cell r="F740" t="str">
            <v>МАЗ 264</v>
          </cell>
          <cell r="I740">
            <v>12</v>
          </cell>
          <cell r="J740">
            <v>8</v>
          </cell>
        </row>
        <row r="741">
          <cell r="B741">
            <v>45203</v>
          </cell>
          <cell r="E741" t="str">
            <v>Божков В.В.</v>
          </cell>
          <cell r="F741" t="str">
            <v>МАЗ 264</v>
          </cell>
          <cell r="I741">
            <v>12</v>
          </cell>
          <cell r="J741">
            <v>10</v>
          </cell>
        </row>
        <row r="742">
          <cell r="B742">
            <v>45204</v>
          </cell>
          <cell r="E742" t="str">
            <v>Божков В.В.</v>
          </cell>
          <cell r="F742" t="str">
            <v>МАЗ 264</v>
          </cell>
          <cell r="I742">
            <v>12</v>
          </cell>
          <cell r="J742">
            <v>9</v>
          </cell>
          <cell r="K742">
            <v>2</v>
          </cell>
        </row>
        <row r="743">
          <cell r="B743">
            <v>45205</v>
          </cell>
          <cell r="E743" t="str">
            <v>Божков В.В.</v>
          </cell>
          <cell r="F743" t="str">
            <v>МАЗ 264</v>
          </cell>
          <cell r="I743">
            <v>12</v>
          </cell>
          <cell r="J743">
            <v>9</v>
          </cell>
          <cell r="K743">
            <v>2</v>
          </cell>
        </row>
        <row r="744">
          <cell r="B744">
            <v>45206</v>
          </cell>
          <cell r="E744" t="str">
            <v>Божков В.В.</v>
          </cell>
          <cell r="F744" t="str">
            <v>МАЗ 264</v>
          </cell>
          <cell r="I744">
            <v>12</v>
          </cell>
          <cell r="J744">
            <v>2</v>
          </cell>
        </row>
        <row r="745">
          <cell r="B745">
            <v>45208</v>
          </cell>
          <cell r="E745" t="str">
            <v>Божков В.В.</v>
          </cell>
          <cell r="F745" t="str">
            <v>МАЗ 264</v>
          </cell>
          <cell r="I745">
            <v>12</v>
          </cell>
          <cell r="J745">
            <v>9</v>
          </cell>
        </row>
        <row r="746">
          <cell r="B746">
            <v>45209</v>
          </cell>
          <cell r="E746" t="str">
            <v>Божков В.В.</v>
          </cell>
          <cell r="F746" t="str">
            <v>МАЗ 264</v>
          </cell>
          <cell r="I746">
            <v>12</v>
          </cell>
          <cell r="J746">
            <v>10</v>
          </cell>
          <cell r="K746">
            <v>1</v>
          </cell>
        </row>
        <row r="747">
          <cell r="B747">
            <v>45210</v>
          </cell>
          <cell r="E747" t="str">
            <v>Божков В.В.</v>
          </cell>
          <cell r="F747" t="str">
            <v>МАЗ 264</v>
          </cell>
          <cell r="I747">
            <v>12</v>
          </cell>
          <cell r="J747">
            <v>10</v>
          </cell>
        </row>
        <row r="748">
          <cell r="B748">
            <v>45211</v>
          </cell>
          <cell r="E748" t="str">
            <v>Божков В.В.</v>
          </cell>
          <cell r="F748" t="str">
            <v>МАЗ 264</v>
          </cell>
          <cell r="I748">
            <v>12</v>
          </cell>
          <cell r="J748">
            <v>9</v>
          </cell>
        </row>
        <row r="749">
          <cell r="B749">
            <v>45212</v>
          </cell>
          <cell r="E749" t="str">
            <v>Божков В.В.</v>
          </cell>
          <cell r="F749" t="str">
            <v>МАЗ 264</v>
          </cell>
          <cell r="I749">
            <v>12</v>
          </cell>
          <cell r="J749">
            <v>11</v>
          </cell>
          <cell r="K749">
            <v>1</v>
          </cell>
        </row>
        <row r="750">
          <cell r="B750">
            <v>45213</v>
          </cell>
          <cell r="E750" t="str">
            <v>Божков В.В.</v>
          </cell>
          <cell r="F750" t="str">
            <v>МАЗ 264</v>
          </cell>
          <cell r="I750">
            <v>12</v>
          </cell>
          <cell r="J750">
            <v>10</v>
          </cell>
          <cell r="K750">
            <v>1</v>
          </cell>
        </row>
        <row r="751">
          <cell r="B751">
            <v>45215</v>
          </cell>
          <cell r="E751" t="str">
            <v>Божков В.В.</v>
          </cell>
          <cell r="F751" t="str">
            <v>МАЗ 264</v>
          </cell>
          <cell r="I751">
            <v>12</v>
          </cell>
          <cell r="J751">
            <v>4</v>
          </cell>
          <cell r="K751">
            <v>4</v>
          </cell>
        </row>
        <row r="752">
          <cell r="B752">
            <v>45216</v>
          </cell>
          <cell r="E752" t="str">
            <v>Божков В.В.</v>
          </cell>
          <cell r="F752" t="str">
            <v>МАЗ 264</v>
          </cell>
          <cell r="I752">
            <v>12</v>
          </cell>
          <cell r="J752">
            <v>10</v>
          </cell>
        </row>
        <row r="753">
          <cell r="B753">
            <v>45217</v>
          </cell>
          <cell r="E753" t="str">
            <v>Божков В.В.</v>
          </cell>
          <cell r="F753" t="str">
            <v>МАЗ 264</v>
          </cell>
          <cell r="I753">
            <v>12</v>
          </cell>
          <cell r="J753">
            <v>9</v>
          </cell>
        </row>
        <row r="754">
          <cell r="B754">
            <v>45218</v>
          </cell>
          <cell r="E754" t="str">
            <v>Божков В.В.</v>
          </cell>
          <cell r="F754" t="str">
            <v>МАЗ 264</v>
          </cell>
          <cell r="I754">
            <v>12</v>
          </cell>
          <cell r="J754">
            <v>3</v>
          </cell>
        </row>
        <row r="755">
          <cell r="B755">
            <v>45225</v>
          </cell>
          <cell r="E755" t="str">
            <v>Божков В.В.</v>
          </cell>
          <cell r="F755" t="str">
            <v>МАЗ 264</v>
          </cell>
          <cell r="I755">
            <v>12</v>
          </cell>
          <cell r="J755">
            <v>6</v>
          </cell>
        </row>
        <row r="756">
          <cell r="B756">
            <v>45217</v>
          </cell>
          <cell r="E756" t="str">
            <v>Самойленко В.М.</v>
          </cell>
          <cell r="F756" t="str">
            <v>МАЗ 264</v>
          </cell>
          <cell r="I756">
            <v>12</v>
          </cell>
          <cell r="J756">
            <v>10</v>
          </cell>
        </row>
        <row r="757">
          <cell r="B757">
            <v>45218</v>
          </cell>
          <cell r="E757" t="str">
            <v>Самойленко В.М.</v>
          </cell>
          <cell r="F757" t="str">
            <v>МАЗ 264</v>
          </cell>
          <cell r="I757">
            <v>12</v>
          </cell>
          <cell r="J757">
            <v>11</v>
          </cell>
          <cell r="K757">
            <v>3</v>
          </cell>
        </row>
        <row r="758">
          <cell r="B758">
            <v>45219</v>
          </cell>
          <cell r="E758" t="str">
            <v>Самойленко В.М.</v>
          </cell>
          <cell r="F758" t="str">
            <v>МАЗ 264</v>
          </cell>
          <cell r="I758">
            <v>12</v>
          </cell>
          <cell r="J758">
            <v>4</v>
          </cell>
        </row>
        <row r="759">
          <cell r="B759">
            <v>45220</v>
          </cell>
          <cell r="E759" t="str">
            <v>Самойленко В.М.</v>
          </cell>
          <cell r="F759" t="str">
            <v>МАЗ 264</v>
          </cell>
          <cell r="I759">
            <v>12</v>
          </cell>
          <cell r="J759">
            <v>9</v>
          </cell>
          <cell r="L759">
            <v>1</v>
          </cell>
        </row>
        <row r="760">
          <cell r="B760">
            <v>45221</v>
          </cell>
          <cell r="E760" t="str">
            <v>Самойленко В.М.</v>
          </cell>
          <cell r="F760" t="str">
            <v>МАЗ 264</v>
          </cell>
          <cell r="I760">
            <v>12</v>
          </cell>
          <cell r="J760">
            <v>5</v>
          </cell>
        </row>
        <row r="761">
          <cell r="B761">
            <v>45222</v>
          </cell>
          <cell r="E761" t="str">
            <v>Самойленко В.М.</v>
          </cell>
          <cell r="F761" t="str">
            <v>МАЗ 264</v>
          </cell>
          <cell r="I761">
            <v>12</v>
          </cell>
          <cell r="J761">
            <v>10</v>
          </cell>
        </row>
        <row r="762">
          <cell r="B762">
            <v>45223</v>
          </cell>
          <cell r="E762" t="str">
            <v>Самойленко В.М.</v>
          </cell>
          <cell r="F762" t="str">
            <v>МАЗ 264</v>
          </cell>
          <cell r="I762">
            <v>12</v>
          </cell>
          <cell r="J762">
            <v>10</v>
          </cell>
        </row>
        <row r="763">
          <cell r="B763">
            <v>45224</v>
          </cell>
          <cell r="E763" t="str">
            <v>Самойленко В.М.</v>
          </cell>
          <cell r="F763" t="str">
            <v>МАЗ 264</v>
          </cell>
          <cell r="I763">
            <v>12</v>
          </cell>
          <cell r="J763">
            <v>2</v>
          </cell>
        </row>
        <row r="764">
          <cell r="B764">
            <v>45226</v>
          </cell>
          <cell r="E764" t="str">
            <v>Самойленко В.М.</v>
          </cell>
          <cell r="F764" t="str">
            <v>МАЗ 264</v>
          </cell>
          <cell r="I764">
            <v>12</v>
          </cell>
          <cell r="J764">
            <v>2</v>
          </cell>
        </row>
        <row r="765">
          <cell r="B765">
            <v>45227</v>
          </cell>
          <cell r="E765" t="str">
            <v>Самойленко В.М.</v>
          </cell>
          <cell r="F765" t="str">
            <v>МАЗ 264</v>
          </cell>
          <cell r="I765">
            <v>12</v>
          </cell>
          <cell r="J765">
            <v>9</v>
          </cell>
        </row>
        <row r="766">
          <cell r="B766">
            <v>45228</v>
          </cell>
          <cell r="E766" t="str">
            <v>Самойленко В.М.</v>
          </cell>
          <cell r="F766" t="str">
            <v>МАЗ 264</v>
          </cell>
          <cell r="I766">
            <v>12</v>
          </cell>
          <cell r="J766">
            <v>4</v>
          </cell>
          <cell r="K766">
            <v>1</v>
          </cell>
          <cell r="L766">
            <v>1</v>
          </cell>
        </row>
        <row r="767">
          <cell r="B767">
            <v>45229</v>
          </cell>
          <cell r="E767" t="str">
            <v>Самойленко В.М.</v>
          </cell>
          <cell r="F767" t="str">
            <v>МАЗ 264</v>
          </cell>
          <cell r="I767">
            <v>12</v>
          </cell>
          <cell r="J767">
            <v>9</v>
          </cell>
        </row>
        <row r="768">
          <cell r="B768">
            <v>45230</v>
          </cell>
          <cell r="E768" t="str">
            <v>Самойленко В.М.</v>
          </cell>
          <cell r="F768" t="str">
            <v>МАЗ 264</v>
          </cell>
          <cell r="I768">
            <v>12</v>
          </cell>
          <cell r="J768">
            <v>9</v>
          </cell>
        </row>
        <row r="769">
          <cell r="B769">
            <v>45201</v>
          </cell>
          <cell r="E769" t="str">
            <v>Шамоян А.Д.</v>
          </cell>
          <cell r="F769" t="str">
            <v>МАЗ 265</v>
          </cell>
          <cell r="I769">
            <v>13</v>
          </cell>
          <cell r="J769">
            <v>10</v>
          </cell>
        </row>
        <row r="770">
          <cell r="B770">
            <v>45202</v>
          </cell>
          <cell r="E770" t="str">
            <v>Шамоян А.Д.</v>
          </cell>
          <cell r="F770" t="str">
            <v>МАЗ 265</v>
          </cell>
          <cell r="I770">
            <v>13</v>
          </cell>
          <cell r="J770">
            <v>6</v>
          </cell>
        </row>
        <row r="771">
          <cell r="B771">
            <v>45203</v>
          </cell>
          <cell r="E771" t="str">
            <v>Шамоян А.Д.</v>
          </cell>
          <cell r="F771" t="str">
            <v>МАЗ 265</v>
          </cell>
          <cell r="I771">
            <v>13</v>
          </cell>
          <cell r="J771">
            <v>10</v>
          </cell>
        </row>
        <row r="772">
          <cell r="B772">
            <v>45204</v>
          </cell>
          <cell r="E772" t="str">
            <v>Шамоян А.Д.</v>
          </cell>
          <cell r="F772" t="str">
            <v>МАЗ 265</v>
          </cell>
          <cell r="I772">
            <v>13</v>
          </cell>
          <cell r="J772">
            <v>9</v>
          </cell>
        </row>
        <row r="773">
          <cell r="B773">
            <v>45205</v>
          </cell>
          <cell r="E773" t="str">
            <v>Шамоян А.Д.</v>
          </cell>
          <cell r="F773" t="str">
            <v>МАЗ 265</v>
          </cell>
          <cell r="I773">
            <v>13</v>
          </cell>
          <cell r="J773">
            <v>10</v>
          </cell>
        </row>
        <row r="774">
          <cell r="B774">
            <v>45206</v>
          </cell>
          <cell r="E774" t="str">
            <v>Шамоян А.Д.</v>
          </cell>
          <cell r="F774" t="str">
            <v>МАЗ 265</v>
          </cell>
          <cell r="I774">
            <v>13</v>
          </cell>
          <cell r="J774">
            <v>4</v>
          </cell>
        </row>
        <row r="775">
          <cell r="B775">
            <v>45208</v>
          </cell>
          <cell r="E775" t="str">
            <v>Шамоян А.Д.</v>
          </cell>
          <cell r="F775" t="str">
            <v>МАЗ 265</v>
          </cell>
          <cell r="I775">
            <v>13</v>
          </cell>
          <cell r="J775">
            <v>9</v>
          </cell>
        </row>
        <row r="776">
          <cell r="B776">
            <v>45209</v>
          </cell>
          <cell r="E776" t="str">
            <v>Шамоян А.Д.</v>
          </cell>
          <cell r="F776" t="str">
            <v>МАЗ 265</v>
          </cell>
          <cell r="I776">
            <v>13</v>
          </cell>
          <cell r="J776">
            <v>9</v>
          </cell>
        </row>
        <row r="777">
          <cell r="B777">
            <v>45210</v>
          </cell>
          <cell r="E777" t="str">
            <v>Шамоян А.Д.</v>
          </cell>
          <cell r="F777" t="str">
            <v>МАЗ 265</v>
          </cell>
          <cell r="I777">
            <v>13</v>
          </cell>
          <cell r="J777">
            <v>10</v>
          </cell>
        </row>
        <row r="778">
          <cell r="B778">
            <v>45211</v>
          </cell>
          <cell r="E778" t="str">
            <v>Шамоян А.Д.</v>
          </cell>
          <cell r="F778" t="str">
            <v>МАЗ 265</v>
          </cell>
          <cell r="I778">
            <v>13</v>
          </cell>
          <cell r="J778">
            <v>10</v>
          </cell>
        </row>
        <row r="779">
          <cell r="B779">
            <v>45212</v>
          </cell>
          <cell r="E779" t="str">
            <v>Шамоян А.Д.</v>
          </cell>
          <cell r="F779" t="str">
            <v>МАЗ 265</v>
          </cell>
          <cell r="I779">
            <v>13</v>
          </cell>
          <cell r="J779">
            <v>10</v>
          </cell>
        </row>
        <row r="780">
          <cell r="B780">
            <v>45213</v>
          </cell>
          <cell r="E780" t="str">
            <v>Шамоян А.Д.</v>
          </cell>
          <cell r="F780" t="str">
            <v>МАЗ 265</v>
          </cell>
          <cell r="I780">
            <v>13</v>
          </cell>
          <cell r="J780">
            <v>9</v>
          </cell>
        </row>
        <row r="781">
          <cell r="B781">
            <v>45215</v>
          </cell>
          <cell r="E781" t="str">
            <v>Шамоян А.Д.</v>
          </cell>
          <cell r="F781" t="str">
            <v>МАЗ 265</v>
          </cell>
          <cell r="I781">
            <v>13</v>
          </cell>
          <cell r="J781">
            <v>4</v>
          </cell>
          <cell r="K781">
            <v>4</v>
          </cell>
        </row>
        <row r="782">
          <cell r="B782">
            <v>45216</v>
          </cell>
          <cell r="E782" t="str">
            <v>Шамоян А.Д.</v>
          </cell>
          <cell r="F782" t="str">
            <v>МАЗ 265</v>
          </cell>
          <cell r="I782">
            <v>13</v>
          </cell>
          <cell r="J782">
            <v>10</v>
          </cell>
        </row>
        <row r="783">
          <cell r="B783">
            <v>45217</v>
          </cell>
          <cell r="E783" t="str">
            <v>Шамоян А.Д.</v>
          </cell>
          <cell r="F783" t="str">
            <v>МАЗ 265</v>
          </cell>
          <cell r="I783">
            <v>13</v>
          </cell>
          <cell r="J783">
            <v>10</v>
          </cell>
        </row>
        <row r="784">
          <cell r="B784">
            <v>45218</v>
          </cell>
          <cell r="E784" t="str">
            <v>Шамоян А.Д.</v>
          </cell>
          <cell r="F784" t="str">
            <v>МАЗ 265</v>
          </cell>
          <cell r="I784">
            <v>13</v>
          </cell>
          <cell r="J784">
            <v>10</v>
          </cell>
        </row>
        <row r="785">
          <cell r="B785">
            <v>45219</v>
          </cell>
          <cell r="E785" t="str">
            <v>Шамоян А.Д.</v>
          </cell>
          <cell r="F785" t="str">
            <v>МАЗ 265</v>
          </cell>
          <cell r="I785">
            <v>13</v>
          </cell>
          <cell r="J785">
            <v>4</v>
          </cell>
        </row>
        <row r="786">
          <cell r="B786">
            <v>45220</v>
          </cell>
          <cell r="E786" t="str">
            <v>Шамоян А.Д.</v>
          </cell>
          <cell r="F786" t="str">
            <v>МАЗ 265</v>
          </cell>
          <cell r="I786">
            <v>13</v>
          </cell>
          <cell r="J786">
            <v>9</v>
          </cell>
        </row>
        <row r="787">
          <cell r="B787">
            <v>45221</v>
          </cell>
          <cell r="E787" t="str">
            <v>Шамоян А.Д.</v>
          </cell>
          <cell r="F787" t="str">
            <v>МАЗ 265</v>
          </cell>
          <cell r="I787">
            <v>13</v>
          </cell>
          <cell r="J787">
            <v>5</v>
          </cell>
        </row>
        <row r="788">
          <cell r="B788">
            <v>45222</v>
          </cell>
          <cell r="E788" t="str">
            <v>Шамоян А.Д.</v>
          </cell>
          <cell r="F788" t="str">
            <v>МАЗ 265</v>
          </cell>
          <cell r="I788">
            <v>13</v>
          </cell>
          <cell r="J788">
            <v>10</v>
          </cell>
        </row>
        <row r="789">
          <cell r="B789">
            <v>45223</v>
          </cell>
          <cell r="E789" t="str">
            <v>Шамоян А.Д.</v>
          </cell>
          <cell r="F789" t="str">
            <v>МАЗ 265</v>
          </cell>
          <cell r="I789">
            <v>13</v>
          </cell>
          <cell r="J789">
            <v>12</v>
          </cell>
        </row>
        <row r="790">
          <cell r="B790">
            <v>45224</v>
          </cell>
          <cell r="E790" t="str">
            <v>Шамоян А.Д.</v>
          </cell>
          <cell r="F790" t="str">
            <v>МАЗ 265</v>
          </cell>
          <cell r="I790">
            <v>13</v>
          </cell>
          <cell r="J790">
            <v>2</v>
          </cell>
          <cell r="K790">
            <v>2</v>
          </cell>
        </row>
        <row r="791">
          <cell r="B791">
            <v>45225</v>
          </cell>
          <cell r="E791" t="str">
            <v>Шамоян А.Д.</v>
          </cell>
          <cell r="F791" t="str">
            <v>МАЗ 265</v>
          </cell>
          <cell r="I791">
            <v>13</v>
          </cell>
          <cell r="J791">
            <v>10</v>
          </cell>
          <cell r="K791">
            <v>1</v>
          </cell>
        </row>
        <row r="792">
          <cell r="B792">
            <v>45226</v>
          </cell>
          <cell r="E792" t="str">
            <v>Шамоян А.Д.</v>
          </cell>
          <cell r="F792" t="str">
            <v>МАЗ 265</v>
          </cell>
          <cell r="I792">
            <v>13</v>
          </cell>
          <cell r="J792">
            <v>9</v>
          </cell>
        </row>
        <row r="793">
          <cell r="B793">
            <v>45227</v>
          </cell>
          <cell r="E793" t="str">
            <v>Шамоян А.Д.</v>
          </cell>
          <cell r="F793" t="str">
            <v>МАЗ 265</v>
          </cell>
          <cell r="I793">
            <v>13</v>
          </cell>
          <cell r="J793">
            <v>4</v>
          </cell>
          <cell r="K793">
            <v>1</v>
          </cell>
          <cell r="L793">
            <v>1</v>
          </cell>
        </row>
        <row r="794">
          <cell r="B794">
            <v>45229</v>
          </cell>
          <cell r="E794" t="str">
            <v>Шамоян А.Д.</v>
          </cell>
          <cell r="F794" t="str">
            <v>МАЗ 265</v>
          </cell>
          <cell r="I794">
            <v>13</v>
          </cell>
          <cell r="J794">
            <v>5</v>
          </cell>
        </row>
        <row r="795">
          <cell r="B795">
            <v>45230</v>
          </cell>
          <cell r="E795" t="str">
            <v>Шамоян А.Д.</v>
          </cell>
          <cell r="F795" t="str">
            <v>МАЗ 265</v>
          </cell>
          <cell r="I795">
            <v>13</v>
          </cell>
          <cell r="J795">
            <v>8</v>
          </cell>
        </row>
        <row r="796">
          <cell r="B796">
            <v>45215</v>
          </cell>
          <cell r="E796" t="str">
            <v>Борисенко О.М.</v>
          </cell>
          <cell r="F796" t="str">
            <v>Автокран клинцы</v>
          </cell>
          <cell r="I796">
            <v>19</v>
          </cell>
          <cell r="J796">
            <v>8</v>
          </cell>
        </row>
        <row r="797">
          <cell r="B797">
            <v>45216</v>
          </cell>
          <cell r="E797" t="str">
            <v>Борисенко О.М.</v>
          </cell>
          <cell r="F797" t="str">
            <v>Автокран клинцы</v>
          </cell>
          <cell r="I797">
            <v>19</v>
          </cell>
          <cell r="J797">
            <v>8</v>
          </cell>
        </row>
        <row r="798">
          <cell r="B798">
            <v>45217</v>
          </cell>
          <cell r="E798" t="str">
            <v>Борисенко О.М.</v>
          </cell>
          <cell r="F798" t="str">
            <v>Автокран клинцы</v>
          </cell>
          <cell r="I798">
            <v>19</v>
          </cell>
          <cell r="J798">
            <v>9</v>
          </cell>
        </row>
        <row r="799">
          <cell r="B799">
            <v>45218</v>
          </cell>
          <cell r="E799" t="str">
            <v>Борисенко О.М.</v>
          </cell>
          <cell r="F799" t="str">
            <v>Автокран клинцы</v>
          </cell>
          <cell r="I799">
            <v>19</v>
          </cell>
          <cell r="J799">
            <v>9</v>
          </cell>
        </row>
        <row r="800">
          <cell r="B800">
            <v>45219</v>
          </cell>
          <cell r="E800" t="str">
            <v>Борисенко О.М.</v>
          </cell>
          <cell r="F800" t="str">
            <v>Автокран клинцы</v>
          </cell>
          <cell r="I800">
            <v>19</v>
          </cell>
          <cell r="J800">
            <v>8</v>
          </cell>
        </row>
        <row r="801">
          <cell r="B801">
            <v>45220</v>
          </cell>
          <cell r="E801" t="str">
            <v>Борисенко О.М.</v>
          </cell>
          <cell r="F801" t="str">
            <v>Автокран клинцы</v>
          </cell>
          <cell r="I801">
            <v>19</v>
          </cell>
          <cell r="J801">
            <v>8</v>
          </cell>
          <cell r="K801">
            <v>1</v>
          </cell>
        </row>
        <row r="802">
          <cell r="B802">
            <v>45222</v>
          </cell>
          <cell r="E802" t="str">
            <v>Борисенко О.М.</v>
          </cell>
          <cell r="F802" t="str">
            <v>Автокран клинцы</v>
          </cell>
          <cell r="I802">
            <v>19</v>
          </cell>
          <cell r="J802">
            <v>8</v>
          </cell>
        </row>
        <row r="803">
          <cell r="B803">
            <v>45223</v>
          </cell>
          <cell r="E803" t="str">
            <v>Борисенко О.М.</v>
          </cell>
          <cell r="F803" t="str">
            <v>Автокран клинцы</v>
          </cell>
          <cell r="I803">
            <v>19</v>
          </cell>
          <cell r="J803">
            <v>4</v>
          </cell>
        </row>
        <row r="804">
          <cell r="B804">
            <v>45224</v>
          </cell>
          <cell r="E804" t="str">
            <v>Борисенко О.М.</v>
          </cell>
          <cell r="F804" t="str">
            <v>Автокран клинцы</v>
          </cell>
          <cell r="I804">
            <v>19</v>
          </cell>
          <cell r="J804">
            <v>4</v>
          </cell>
          <cell r="K804">
            <v>4</v>
          </cell>
        </row>
        <row r="805">
          <cell r="B805">
            <v>45225</v>
          </cell>
          <cell r="E805" t="str">
            <v>Борисенко О.М.</v>
          </cell>
          <cell r="F805" t="str">
            <v>Автокран клинцы</v>
          </cell>
          <cell r="I805">
            <v>19</v>
          </cell>
          <cell r="J805">
            <v>9</v>
          </cell>
        </row>
        <row r="806">
          <cell r="B806">
            <v>45226</v>
          </cell>
          <cell r="E806" t="str">
            <v>Борисенко О.М.</v>
          </cell>
          <cell r="F806" t="str">
            <v>Автокран клинцы</v>
          </cell>
          <cell r="I806">
            <v>19</v>
          </cell>
          <cell r="J806">
            <v>8</v>
          </cell>
        </row>
        <row r="807">
          <cell r="B807">
            <v>45228</v>
          </cell>
          <cell r="E807" t="str">
            <v>Борисенко О.М.</v>
          </cell>
          <cell r="F807" t="str">
            <v>Автокран клинцы</v>
          </cell>
          <cell r="I807">
            <v>19</v>
          </cell>
          <cell r="J807">
            <v>5</v>
          </cell>
        </row>
        <row r="808">
          <cell r="B808">
            <v>45201</v>
          </cell>
          <cell r="E808" t="str">
            <v>Горячий І.В.</v>
          </cell>
          <cell r="F808" t="str">
            <v>Телескоп №2</v>
          </cell>
          <cell r="I808">
            <v>2</v>
          </cell>
          <cell r="J808">
            <v>9</v>
          </cell>
        </row>
        <row r="809">
          <cell r="B809">
            <v>45202</v>
          </cell>
          <cell r="E809" t="str">
            <v>Горячий І.В.</v>
          </cell>
          <cell r="F809" t="str">
            <v>Телескоп №2</v>
          </cell>
          <cell r="I809">
            <v>2</v>
          </cell>
          <cell r="J809">
            <v>8</v>
          </cell>
          <cell r="K809">
            <v>4</v>
          </cell>
        </row>
        <row r="810">
          <cell r="B810">
            <v>45203</v>
          </cell>
          <cell r="E810" t="str">
            <v>Горячий І.В.</v>
          </cell>
          <cell r="F810" t="str">
            <v>Телескоп №2</v>
          </cell>
          <cell r="I810">
            <v>2</v>
          </cell>
          <cell r="J810">
            <v>8</v>
          </cell>
        </row>
        <row r="811">
          <cell r="B811">
            <v>45204</v>
          </cell>
          <cell r="E811" t="str">
            <v>Горячий І.В.</v>
          </cell>
          <cell r="F811" t="str">
            <v>Телескоп №2</v>
          </cell>
          <cell r="I811">
            <v>2</v>
          </cell>
          <cell r="J811">
            <v>8</v>
          </cell>
        </row>
        <row r="812">
          <cell r="B812">
            <v>45205</v>
          </cell>
          <cell r="E812" t="str">
            <v>Горячий І.В.</v>
          </cell>
          <cell r="F812" t="str">
            <v>Телескоп №2</v>
          </cell>
          <cell r="I812">
            <v>2</v>
          </cell>
          <cell r="J812">
            <v>9</v>
          </cell>
          <cell r="L812">
            <v>1</v>
          </cell>
        </row>
        <row r="813">
          <cell r="B813">
            <v>45206</v>
          </cell>
          <cell r="E813" t="str">
            <v>Горячий І.В.</v>
          </cell>
          <cell r="F813" t="str">
            <v>Телескоп №2</v>
          </cell>
          <cell r="I813">
            <v>2</v>
          </cell>
          <cell r="J813">
            <v>4</v>
          </cell>
        </row>
        <row r="814">
          <cell r="B814">
            <v>45208</v>
          </cell>
          <cell r="E814" t="str">
            <v>Горячий І.В.</v>
          </cell>
          <cell r="F814" t="str">
            <v>Телескоп №2</v>
          </cell>
          <cell r="I814">
            <v>2</v>
          </cell>
          <cell r="J814">
            <v>8</v>
          </cell>
        </row>
        <row r="815">
          <cell r="B815">
            <v>45209</v>
          </cell>
          <cell r="E815" t="str">
            <v>Горячий І.В.</v>
          </cell>
          <cell r="F815" t="str">
            <v>Телескоп №2</v>
          </cell>
          <cell r="I815">
            <v>2</v>
          </cell>
          <cell r="J815">
            <v>8</v>
          </cell>
        </row>
        <row r="816">
          <cell r="B816">
            <v>45210</v>
          </cell>
          <cell r="E816" t="str">
            <v>Горячий І.В.</v>
          </cell>
          <cell r="F816" t="str">
            <v>Телескоп №2</v>
          </cell>
          <cell r="I816">
            <v>2</v>
          </cell>
          <cell r="J816">
            <v>9</v>
          </cell>
          <cell r="K816">
            <v>1</v>
          </cell>
        </row>
        <row r="817">
          <cell r="B817">
            <v>45211</v>
          </cell>
          <cell r="E817" t="str">
            <v>Горячий І.В.</v>
          </cell>
          <cell r="F817" t="str">
            <v>Телескоп №2</v>
          </cell>
          <cell r="I817">
            <v>2</v>
          </cell>
          <cell r="J817">
            <v>8</v>
          </cell>
        </row>
        <row r="818">
          <cell r="B818">
            <v>45212</v>
          </cell>
          <cell r="E818" t="str">
            <v>Горячий І.В.</v>
          </cell>
          <cell r="F818" t="str">
            <v>Телескоп №2</v>
          </cell>
          <cell r="I818">
            <v>2</v>
          </cell>
          <cell r="J818">
            <v>9</v>
          </cell>
          <cell r="L818">
            <v>1</v>
          </cell>
        </row>
        <row r="819">
          <cell r="B819">
            <v>45213</v>
          </cell>
          <cell r="E819" t="str">
            <v>Горячий І.В.</v>
          </cell>
          <cell r="F819" t="str">
            <v>Телескоп №2</v>
          </cell>
          <cell r="I819">
            <v>2</v>
          </cell>
          <cell r="J819">
            <v>8</v>
          </cell>
          <cell r="K819">
            <v>4</v>
          </cell>
        </row>
        <row r="820">
          <cell r="B820">
            <v>45215</v>
          </cell>
          <cell r="E820" t="str">
            <v>Горячий І.В.</v>
          </cell>
          <cell r="F820" t="str">
            <v>Телескоп №2</v>
          </cell>
          <cell r="I820">
            <v>2</v>
          </cell>
          <cell r="J820">
            <v>4</v>
          </cell>
          <cell r="K820">
            <v>4</v>
          </cell>
        </row>
        <row r="821">
          <cell r="B821">
            <v>45216</v>
          </cell>
          <cell r="E821" t="str">
            <v>Горячий І.В.</v>
          </cell>
          <cell r="F821" t="str">
            <v>Телескоп №2</v>
          </cell>
          <cell r="I821">
            <v>2</v>
          </cell>
          <cell r="J821">
            <v>8</v>
          </cell>
        </row>
        <row r="822">
          <cell r="B822">
            <v>45217</v>
          </cell>
          <cell r="E822" t="str">
            <v>Горячий І.В.</v>
          </cell>
          <cell r="F822" t="str">
            <v>Телескоп №2</v>
          </cell>
          <cell r="I822">
            <v>2</v>
          </cell>
          <cell r="J822">
            <v>9</v>
          </cell>
          <cell r="K822">
            <v>1</v>
          </cell>
        </row>
        <row r="823">
          <cell r="B823">
            <v>45218</v>
          </cell>
          <cell r="E823" t="str">
            <v>Горячий І.В.</v>
          </cell>
          <cell r="F823" t="str">
            <v>Телескоп №2</v>
          </cell>
          <cell r="I823">
            <v>2</v>
          </cell>
          <cell r="J823">
            <v>9</v>
          </cell>
        </row>
        <row r="824">
          <cell r="B824">
            <v>45219</v>
          </cell>
          <cell r="E824" t="str">
            <v>Горячий І.В.</v>
          </cell>
          <cell r="F824" t="str">
            <v>Телескоп №2</v>
          </cell>
          <cell r="I824">
            <v>2</v>
          </cell>
          <cell r="J824">
            <v>9</v>
          </cell>
        </row>
        <row r="825">
          <cell r="B825">
            <v>45220</v>
          </cell>
          <cell r="E825" t="str">
            <v>Горячий І.В.</v>
          </cell>
          <cell r="F825" t="str">
            <v>Телескоп №2</v>
          </cell>
          <cell r="I825">
            <v>2</v>
          </cell>
          <cell r="J825">
            <v>4</v>
          </cell>
        </row>
        <row r="826">
          <cell r="B826">
            <v>45223</v>
          </cell>
          <cell r="E826" t="str">
            <v>Горячий І.В.</v>
          </cell>
          <cell r="F826" t="str">
            <v>Телескоп №2</v>
          </cell>
          <cell r="I826">
            <v>2</v>
          </cell>
          <cell r="J826">
            <v>9</v>
          </cell>
          <cell r="K826">
            <v>1</v>
          </cell>
        </row>
        <row r="827">
          <cell r="B827">
            <v>45224</v>
          </cell>
          <cell r="E827" t="str">
            <v>Горячий І.В.</v>
          </cell>
          <cell r="F827" t="str">
            <v>Телескоп №2</v>
          </cell>
          <cell r="I827">
            <v>2</v>
          </cell>
          <cell r="J827">
            <v>10</v>
          </cell>
        </row>
        <row r="828">
          <cell r="B828">
            <v>45225</v>
          </cell>
          <cell r="E828" t="str">
            <v>Горячий І.В.</v>
          </cell>
          <cell r="F828" t="str">
            <v>Телескоп №2</v>
          </cell>
          <cell r="I828">
            <v>2</v>
          </cell>
          <cell r="J828">
            <v>9</v>
          </cell>
        </row>
        <row r="829">
          <cell r="B829">
            <v>45226</v>
          </cell>
          <cell r="E829" t="str">
            <v>Горячий І.В.</v>
          </cell>
          <cell r="F829" t="str">
            <v>Телескоп №2</v>
          </cell>
          <cell r="I829">
            <v>2</v>
          </cell>
          <cell r="J829">
            <v>10</v>
          </cell>
        </row>
        <row r="830">
          <cell r="B830">
            <v>45228</v>
          </cell>
          <cell r="E830" t="str">
            <v>Горячий І.В.</v>
          </cell>
          <cell r="F830" t="str">
            <v>Телескоп №2</v>
          </cell>
          <cell r="I830">
            <v>2</v>
          </cell>
          <cell r="J830">
            <v>10</v>
          </cell>
          <cell r="L830">
            <v>1</v>
          </cell>
        </row>
        <row r="831">
          <cell r="B831">
            <v>45229</v>
          </cell>
          <cell r="E831" t="str">
            <v>Горячий І.В.</v>
          </cell>
          <cell r="F831" t="str">
            <v>Телескоп №2</v>
          </cell>
          <cell r="I831">
            <v>2</v>
          </cell>
          <cell r="J831">
            <v>4</v>
          </cell>
        </row>
        <row r="832">
          <cell r="B832">
            <v>45230</v>
          </cell>
          <cell r="E832" t="str">
            <v>Горячий І.В.</v>
          </cell>
          <cell r="F832" t="str">
            <v>Телескоп №2</v>
          </cell>
          <cell r="I832">
            <v>2</v>
          </cell>
          <cell r="J832">
            <v>9</v>
          </cell>
          <cell r="K832">
            <v>1</v>
          </cell>
        </row>
        <row r="833">
          <cell r="B833">
            <v>45224</v>
          </cell>
          <cell r="E833" t="str">
            <v>Трохименко В.Я.</v>
          </cell>
          <cell r="F833" t="str">
            <v>Телескоп №3</v>
          </cell>
          <cell r="I833">
            <v>3</v>
          </cell>
          <cell r="J833">
            <v>7</v>
          </cell>
          <cell r="L833">
            <v>2</v>
          </cell>
        </row>
        <row r="834">
          <cell r="B834">
            <v>45225</v>
          </cell>
          <cell r="E834" t="str">
            <v>Трохименко В.Я.</v>
          </cell>
          <cell r="F834" t="str">
            <v>Телескоп №3</v>
          </cell>
          <cell r="I834">
            <v>3</v>
          </cell>
          <cell r="J834">
            <v>11</v>
          </cell>
          <cell r="K834">
            <v>4</v>
          </cell>
          <cell r="L834">
            <v>2</v>
          </cell>
        </row>
        <row r="835">
          <cell r="B835">
            <v>45226</v>
          </cell>
          <cell r="E835" t="str">
            <v>Трохименко В.Я.</v>
          </cell>
          <cell r="F835" t="str">
            <v>Телескоп №3</v>
          </cell>
          <cell r="I835">
            <v>3</v>
          </cell>
          <cell r="J835">
            <v>10</v>
          </cell>
          <cell r="K835">
            <v>4</v>
          </cell>
        </row>
        <row r="836">
          <cell r="B836">
            <v>45227</v>
          </cell>
          <cell r="E836" t="str">
            <v>Трохименко В.Я.</v>
          </cell>
          <cell r="F836" t="str">
            <v>Телескоп №3</v>
          </cell>
          <cell r="I836">
            <v>3</v>
          </cell>
          <cell r="J836">
            <v>13</v>
          </cell>
          <cell r="L836">
            <v>1</v>
          </cell>
        </row>
        <row r="837">
          <cell r="B837">
            <v>45229</v>
          </cell>
          <cell r="E837" t="str">
            <v>Трохименко В.Я.</v>
          </cell>
          <cell r="F837" t="str">
            <v>Телескоп №3</v>
          </cell>
          <cell r="I837">
            <v>3</v>
          </cell>
          <cell r="J837">
            <v>10</v>
          </cell>
          <cell r="L837">
            <v>1</v>
          </cell>
        </row>
        <row r="838">
          <cell r="B838">
            <v>45230</v>
          </cell>
          <cell r="E838" t="str">
            <v>Трохименко В.Я.</v>
          </cell>
          <cell r="F838" t="str">
            <v>Телескоп №3</v>
          </cell>
          <cell r="I838">
            <v>3</v>
          </cell>
          <cell r="J838">
            <v>10</v>
          </cell>
          <cell r="L838">
            <v>1</v>
          </cell>
        </row>
        <row r="839">
          <cell r="B839">
            <v>45201</v>
          </cell>
          <cell r="E839" t="str">
            <v>Косік Ю.А.</v>
          </cell>
          <cell r="F839" t="str">
            <v>Телескоп №4</v>
          </cell>
          <cell r="I839">
            <v>4</v>
          </cell>
          <cell r="J839">
            <v>9</v>
          </cell>
        </row>
        <row r="840">
          <cell r="B840">
            <v>45202</v>
          </cell>
          <cell r="E840" t="str">
            <v>Косік Ю.А.</v>
          </cell>
          <cell r="F840" t="str">
            <v>Телескоп №4</v>
          </cell>
          <cell r="I840">
            <v>4</v>
          </cell>
          <cell r="J840">
            <v>9</v>
          </cell>
        </row>
        <row r="841">
          <cell r="B841">
            <v>45203</v>
          </cell>
          <cell r="E841" t="str">
            <v>Косік Ю.А.</v>
          </cell>
          <cell r="F841" t="str">
            <v>Телескоп №4</v>
          </cell>
          <cell r="I841">
            <v>4</v>
          </cell>
          <cell r="J841">
            <v>9</v>
          </cell>
        </row>
        <row r="842">
          <cell r="B842">
            <v>45204</v>
          </cell>
          <cell r="E842" t="str">
            <v>Косік Ю.А.</v>
          </cell>
          <cell r="F842" t="str">
            <v>Телескоп №4</v>
          </cell>
          <cell r="I842">
            <v>4</v>
          </cell>
          <cell r="J842">
            <v>9</v>
          </cell>
        </row>
        <row r="843">
          <cell r="B843">
            <v>45205</v>
          </cell>
          <cell r="E843" t="str">
            <v>Косік Ю.А.</v>
          </cell>
          <cell r="F843" t="str">
            <v>Телескоп №4</v>
          </cell>
          <cell r="I843">
            <v>4</v>
          </cell>
          <cell r="J843">
            <v>8</v>
          </cell>
        </row>
        <row r="844">
          <cell r="B844">
            <v>45208</v>
          </cell>
          <cell r="E844" t="str">
            <v>Косік Ю.А.</v>
          </cell>
          <cell r="F844" t="str">
            <v>Телескоп №4</v>
          </cell>
          <cell r="I844">
            <v>4</v>
          </cell>
          <cell r="J844">
            <v>8</v>
          </cell>
        </row>
        <row r="845">
          <cell r="B845">
            <v>45209</v>
          </cell>
          <cell r="E845" t="str">
            <v>Косік Ю.А.</v>
          </cell>
          <cell r="F845" t="str">
            <v>Телескоп №4</v>
          </cell>
          <cell r="I845">
            <v>4</v>
          </cell>
          <cell r="J845">
            <v>8</v>
          </cell>
        </row>
        <row r="846">
          <cell r="B846">
            <v>45210</v>
          </cell>
          <cell r="E846" t="str">
            <v>Косік Ю.А.</v>
          </cell>
          <cell r="F846" t="str">
            <v>Телескоп №4</v>
          </cell>
          <cell r="I846">
            <v>4</v>
          </cell>
          <cell r="J846">
            <v>8</v>
          </cell>
        </row>
        <row r="847">
          <cell r="B847">
            <v>45211</v>
          </cell>
          <cell r="E847" t="str">
            <v>Косік Ю.А.</v>
          </cell>
          <cell r="F847" t="str">
            <v>Телескоп №4</v>
          </cell>
          <cell r="I847">
            <v>4</v>
          </cell>
          <cell r="J847">
            <v>9</v>
          </cell>
          <cell r="K847">
            <v>1</v>
          </cell>
        </row>
        <row r="848">
          <cell r="B848">
            <v>45212</v>
          </cell>
          <cell r="E848" t="str">
            <v>Косік Ю.А.</v>
          </cell>
          <cell r="F848" t="str">
            <v>Телескоп №4</v>
          </cell>
          <cell r="I848">
            <v>4</v>
          </cell>
          <cell r="J848">
            <v>8</v>
          </cell>
        </row>
        <row r="849">
          <cell r="B849">
            <v>45213</v>
          </cell>
          <cell r="E849" t="str">
            <v>Косік Ю.А.</v>
          </cell>
          <cell r="F849" t="str">
            <v>Телескоп №4</v>
          </cell>
          <cell r="I849">
            <v>4</v>
          </cell>
          <cell r="J849">
            <v>7</v>
          </cell>
        </row>
        <row r="850">
          <cell r="B850">
            <v>45214</v>
          </cell>
          <cell r="E850" t="str">
            <v>Косік Ю.А.</v>
          </cell>
          <cell r="F850" t="str">
            <v>Телескоп №4</v>
          </cell>
          <cell r="I850">
            <v>4</v>
          </cell>
          <cell r="J850">
            <v>8</v>
          </cell>
        </row>
        <row r="851">
          <cell r="B851">
            <v>45216</v>
          </cell>
          <cell r="E851" t="str">
            <v>Косік Ю.А.</v>
          </cell>
          <cell r="F851" t="str">
            <v>Телескоп №4</v>
          </cell>
          <cell r="I851">
            <v>4</v>
          </cell>
          <cell r="J851">
            <v>9</v>
          </cell>
          <cell r="L851">
            <v>1</v>
          </cell>
        </row>
        <row r="852">
          <cell r="B852">
            <v>45217</v>
          </cell>
          <cell r="E852" t="str">
            <v>Косік Ю.А.</v>
          </cell>
          <cell r="F852" t="str">
            <v>Телескоп №4</v>
          </cell>
          <cell r="I852">
            <v>4</v>
          </cell>
          <cell r="J852">
            <v>8</v>
          </cell>
        </row>
        <row r="853">
          <cell r="B853">
            <v>45218</v>
          </cell>
          <cell r="E853" t="str">
            <v>Косік Ю.А.</v>
          </cell>
          <cell r="F853" t="str">
            <v>Телескоп №4</v>
          </cell>
          <cell r="I853">
            <v>4</v>
          </cell>
          <cell r="J853">
            <v>8</v>
          </cell>
        </row>
        <row r="854">
          <cell r="B854">
            <v>45219</v>
          </cell>
          <cell r="E854" t="str">
            <v>Косік Ю.А.</v>
          </cell>
          <cell r="F854" t="str">
            <v>Телескоп №4</v>
          </cell>
          <cell r="I854">
            <v>4</v>
          </cell>
          <cell r="J854">
            <v>10</v>
          </cell>
        </row>
        <row r="855">
          <cell r="B855">
            <v>45220</v>
          </cell>
          <cell r="E855" t="str">
            <v>Косік Ю.А.</v>
          </cell>
          <cell r="F855" t="str">
            <v>Телескоп №4</v>
          </cell>
          <cell r="I855">
            <v>4</v>
          </cell>
          <cell r="J855">
            <v>7</v>
          </cell>
        </row>
        <row r="856">
          <cell r="B856">
            <v>45222</v>
          </cell>
          <cell r="E856" t="str">
            <v>Косік Ю.А.</v>
          </cell>
          <cell r="F856" t="str">
            <v>Телескоп №4</v>
          </cell>
          <cell r="I856">
            <v>4</v>
          </cell>
          <cell r="J856">
            <v>8</v>
          </cell>
        </row>
        <row r="857">
          <cell r="B857">
            <v>45223</v>
          </cell>
          <cell r="E857" t="str">
            <v>Косік Ю.А.</v>
          </cell>
          <cell r="F857" t="str">
            <v>Телескоп №4</v>
          </cell>
          <cell r="I857">
            <v>4</v>
          </cell>
          <cell r="J857">
            <v>9</v>
          </cell>
        </row>
        <row r="858">
          <cell r="B858">
            <v>45224</v>
          </cell>
          <cell r="E858" t="str">
            <v>Косік Ю.А.</v>
          </cell>
          <cell r="F858" t="str">
            <v>Телескоп №4</v>
          </cell>
          <cell r="I858">
            <v>4</v>
          </cell>
          <cell r="J858">
            <v>8</v>
          </cell>
        </row>
        <row r="859">
          <cell r="B859">
            <v>45225</v>
          </cell>
          <cell r="E859" t="str">
            <v>Косік Ю.А.</v>
          </cell>
          <cell r="F859" t="str">
            <v>Телескоп №4</v>
          </cell>
          <cell r="I859">
            <v>4</v>
          </cell>
          <cell r="J859">
            <v>8</v>
          </cell>
        </row>
        <row r="860">
          <cell r="B860">
            <v>45226</v>
          </cell>
          <cell r="E860" t="str">
            <v>Косік Ю.А.</v>
          </cell>
          <cell r="F860" t="str">
            <v>Телескоп №4</v>
          </cell>
          <cell r="I860">
            <v>4</v>
          </cell>
          <cell r="J860">
            <v>8</v>
          </cell>
        </row>
        <row r="861">
          <cell r="B861">
            <v>45229</v>
          </cell>
          <cell r="E861" t="str">
            <v>Косік Ю.А.</v>
          </cell>
          <cell r="F861" t="str">
            <v>Телескоп №4</v>
          </cell>
          <cell r="I861">
            <v>4</v>
          </cell>
          <cell r="J861">
            <v>10</v>
          </cell>
          <cell r="L861">
            <v>1</v>
          </cell>
        </row>
        <row r="862">
          <cell r="B862">
            <v>45230</v>
          </cell>
          <cell r="E862" t="str">
            <v>Косік Ю.А.</v>
          </cell>
          <cell r="F862" t="str">
            <v>Телескоп №4</v>
          </cell>
          <cell r="I862">
            <v>4</v>
          </cell>
          <cell r="J862">
            <v>8</v>
          </cell>
        </row>
        <row r="863">
          <cell r="B863">
            <v>45202</v>
          </cell>
          <cell r="E863" t="str">
            <v>Карбунар Я.Д.</v>
          </cell>
          <cell r="F863" t="str">
            <v>Экскаватор JCB 2007</v>
          </cell>
          <cell r="I863">
            <v>8</v>
          </cell>
          <cell r="J863">
            <v>10</v>
          </cell>
        </row>
        <row r="864">
          <cell r="B864">
            <v>45203</v>
          </cell>
          <cell r="E864" t="str">
            <v>Карбунар Я.Д.</v>
          </cell>
          <cell r="F864" t="str">
            <v>Экскаватор JCB 2007</v>
          </cell>
          <cell r="I864">
            <v>8</v>
          </cell>
          <cell r="J864">
            <v>10</v>
          </cell>
        </row>
        <row r="865">
          <cell r="B865">
            <v>45204</v>
          </cell>
          <cell r="E865" t="str">
            <v>Карбунар Я.Д.</v>
          </cell>
          <cell r="F865" t="str">
            <v>Экскаватор JCB 2007</v>
          </cell>
          <cell r="I865">
            <v>8</v>
          </cell>
          <cell r="J865">
            <v>10</v>
          </cell>
        </row>
        <row r="866">
          <cell r="B866">
            <v>45205</v>
          </cell>
          <cell r="E866" t="str">
            <v>Карбунар Я.Д.</v>
          </cell>
          <cell r="F866" t="str">
            <v>Экскаватор JCB 2007</v>
          </cell>
          <cell r="I866">
            <v>8</v>
          </cell>
          <cell r="J866">
            <v>10</v>
          </cell>
        </row>
        <row r="867">
          <cell r="B867">
            <v>45206</v>
          </cell>
          <cell r="E867" t="str">
            <v>Карбунар Я.Д.</v>
          </cell>
          <cell r="F867" t="str">
            <v>Экскаватор JCB 2007</v>
          </cell>
          <cell r="I867">
            <v>8</v>
          </cell>
          <cell r="J867">
            <v>11</v>
          </cell>
          <cell r="L867">
            <v>1</v>
          </cell>
        </row>
        <row r="868">
          <cell r="B868">
            <v>45207</v>
          </cell>
          <cell r="E868" t="str">
            <v>Карбунар Я.Д.</v>
          </cell>
          <cell r="F868" t="str">
            <v>Экскаватор JCB 2007</v>
          </cell>
          <cell r="I868">
            <v>8</v>
          </cell>
          <cell r="J868">
            <v>10</v>
          </cell>
        </row>
        <row r="869">
          <cell r="B869">
            <v>45208</v>
          </cell>
          <cell r="E869" t="str">
            <v>Карбунар Я.Д.</v>
          </cell>
          <cell r="F869" t="str">
            <v>Экскаватор JCB 2007</v>
          </cell>
          <cell r="I869">
            <v>8</v>
          </cell>
          <cell r="J869">
            <v>12</v>
          </cell>
          <cell r="K869">
            <v>1</v>
          </cell>
          <cell r="L869">
            <v>1</v>
          </cell>
        </row>
        <row r="870">
          <cell r="B870">
            <v>45209</v>
          </cell>
          <cell r="E870" t="str">
            <v>Карбунар Я.Д.</v>
          </cell>
          <cell r="F870" t="str">
            <v>Экскаватор JCB 2007</v>
          </cell>
          <cell r="I870">
            <v>8</v>
          </cell>
          <cell r="J870">
            <v>10</v>
          </cell>
          <cell r="L870">
            <v>1</v>
          </cell>
        </row>
        <row r="871">
          <cell r="B871">
            <v>45210</v>
          </cell>
          <cell r="E871" t="str">
            <v>Карбунар Я.Д.</v>
          </cell>
          <cell r="F871" t="str">
            <v>Экскаватор JCB 2007</v>
          </cell>
          <cell r="I871">
            <v>8</v>
          </cell>
          <cell r="J871">
            <v>10</v>
          </cell>
          <cell r="L871">
            <v>1</v>
          </cell>
        </row>
        <row r="872">
          <cell r="B872">
            <v>45211</v>
          </cell>
          <cell r="E872" t="str">
            <v>Карбунар Я.Д.</v>
          </cell>
          <cell r="F872" t="str">
            <v>Экскаватор JCB 2007</v>
          </cell>
          <cell r="I872">
            <v>8</v>
          </cell>
          <cell r="J872">
            <v>11</v>
          </cell>
          <cell r="K872">
            <v>3</v>
          </cell>
        </row>
        <row r="873">
          <cell r="B873">
            <v>45212</v>
          </cell>
          <cell r="E873" t="str">
            <v>Карбунар Я.Д.</v>
          </cell>
          <cell r="F873" t="str">
            <v>Экскаватор JCB 2007</v>
          </cell>
          <cell r="I873">
            <v>8</v>
          </cell>
          <cell r="J873">
            <v>12</v>
          </cell>
          <cell r="L873">
            <v>2</v>
          </cell>
        </row>
        <row r="874">
          <cell r="B874">
            <v>45213</v>
          </cell>
          <cell r="E874" t="str">
            <v>Карбунар Я.Д.</v>
          </cell>
          <cell r="F874" t="str">
            <v>Экскаватор JCB 2007</v>
          </cell>
          <cell r="I874">
            <v>8</v>
          </cell>
          <cell r="J874">
            <v>10</v>
          </cell>
        </row>
        <row r="875">
          <cell r="B875">
            <v>45201</v>
          </cell>
          <cell r="E875" t="str">
            <v>Болох В.В.</v>
          </cell>
          <cell r="F875" t="str">
            <v>Автокран XCMG</v>
          </cell>
          <cell r="I875">
            <v>17</v>
          </cell>
          <cell r="J875">
            <v>8</v>
          </cell>
          <cell r="K875">
            <v>4</v>
          </cell>
        </row>
        <row r="876">
          <cell r="B876">
            <v>45202</v>
          </cell>
          <cell r="E876" t="str">
            <v>Болох В.В.</v>
          </cell>
          <cell r="F876" t="str">
            <v>Автокран XCMG</v>
          </cell>
          <cell r="I876">
            <v>17</v>
          </cell>
          <cell r="J876">
            <v>9</v>
          </cell>
        </row>
        <row r="877">
          <cell r="B877">
            <v>45203</v>
          </cell>
          <cell r="E877" t="str">
            <v>Болох В.В.</v>
          </cell>
          <cell r="F877" t="str">
            <v>Автокран XCMG</v>
          </cell>
          <cell r="I877">
            <v>17</v>
          </cell>
          <cell r="J877">
            <v>10</v>
          </cell>
        </row>
        <row r="878">
          <cell r="B878">
            <v>45204</v>
          </cell>
          <cell r="E878" t="str">
            <v>Болох В.В.</v>
          </cell>
          <cell r="F878" t="str">
            <v>Автокран XCMG</v>
          </cell>
          <cell r="I878">
            <v>17</v>
          </cell>
          <cell r="J878">
            <v>9</v>
          </cell>
        </row>
        <row r="879">
          <cell r="B879">
            <v>45205</v>
          </cell>
          <cell r="E879" t="str">
            <v>Болох В.В.</v>
          </cell>
          <cell r="F879" t="str">
            <v>Автокран XCMG</v>
          </cell>
          <cell r="I879">
            <v>17</v>
          </cell>
          <cell r="J879">
            <v>8</v>
          </cell>
          <cell r="K879">
            <v>4</v>
          </cell>
        </row>
        <row r="880">
          <cell r="B880">
            <v>45209</v>
          </cell>
          <cell r="E880" t="str">
            <v>Болох В.В.</v>
          </cell>
          <cell r="F880" t="str">
            <v>Автокран XCMG</v>
          </cell>
          <cell r="I880">
            <v>17</v>
          </cell>
          <cell r="J880">
            <v>8</v>
          </cell>
          <cell r="K880">
            <v>8</v>
          </cell>
        </row>
        <row r="881">
          <cell r="B881">
            <v>45210</v>
          </cell>
          <cell r="E881" t="str">
            <v>Болох В.В.</v>
          </cell>
          <cell r="F881" t="str">
            <v>Автокран XCMG</v>
          </cell>
          <cell r="I881">
            <v>17</v>
          </cell>
          <cell r="J881">
            <v>9</v>
          </cell>
        </row>
        <row r="882">
          <cell r="B882">
            <v>45211</v>
          </cell>
          <cell r="E882" t="str">
            <v>Болох В.В.</v>
          </cell>
          <cell r="F882" t="str">
            <v>Автокран XCMG</v>
          </cell>
          <cell r="I882">
            <v>17</v>
          </cell>
          <cell r="J882">
            <v>9</v>
          </cell>
          <cell r="K882">
            <v>1</v>
          </cell>
        </row>
        <row r="883">
          <cell r="B883">
            <v>45212</v>
          </cell>
          <cell r="E883" t="str">
            <v>Болох В.В.</v>
          </cell>
          <cell r="F883" t="str">
            <v>Автокран XCMG</v>
          </cell>
          <cell r="I883">
            <v>17</v>
          </cell>
          <cell r="J883">
            <v>8</v>
          </cell>
        </row>
        <row r="884">
          <cell r="B884">
            <v>45213</v>
          </cell>
          <cell r="E884" t="str">
            <v>Болох В.В.</v>
          </cell>
          <cell r="F884" t="str">
            <v>Автокран XCMG</v>
          </cell>
          <cell r="I884">
            <v>17</v>
          </cell>
          <cell r="J884">
            <v>8</v>
          </cell>
          <cell r="K884">
            <v>4</v>
          </cell>
        </row>
        <row r="885">
          <cell r="B885">
            <v>45215</v>
          </cell>
          <cell r="E885" t="str">
            <v>Болох В.В.</v>
          </cell>
          <cell r="F885" t="str">
            <v>Автокран XCMG</v>
          </cell>
          <cell r="I885">
            <v>17</v>
          </cell>
          <cell r="J885">
            <v>4</v>
          </cell>
          <cell r="K885">
            <v>4</v>
          </cell>
        </row>
        <row r="886">
          <cell r="B886">
            <v>45216</v>
          </cell>
          <cell r="E886" t="str">
            <v>Болох В.В.</v>
          </cell>
          <cell r="F886" t="str">
            <v>Автокран XCMG</v>
          </cell>
          <cell r="I886">
            <v>17</v>
          </cell>
          <cell r="J886">
            <v>9</v>
          </cell>
        </row>
        <row r="887">
          <cell r="B887">
            <v>45217</v>
          </cell>
          <cell r="E887" t="str">
            <v>Болох В.В.</v>
          </cell>
          <cell r="F887" t="str">
            <v>Автокран XCMG</v>
          </cell>
          <cell r="I887">
            <v>17</v>
          </cell>
          <cell r="J887">
            <v>9</v>
          </cell>
        </row>
        <row r="888">
          <cell r="B888">
            <v>45218</v>
          </cell>
          <cell r="E888" t="str">
            <v>Болох В.В.</v>
          </cell>
          <cell r="F888" t="str">
            <v>Автокран XCMG</v>
          </cell>
          <cell r="I888">
            <v>17</v>
          </cell>
          <cell r="J888">
            <v>9</v>
          </cell>
        </row>
        <row r="889">
          <cell r="B889">
            <v>45219</v>
          </cell>
          <cell r="E889" t="str">
            <v>Болох В.В.</v>
          </cell>
          <cell r="F889" t="str">
            <v>Автокран XCMG</v>
          </cell>
          <cell r="I889">
            <v>17</v>
          </cell>
          <cell r="J889">
            <v>9</v>
          </cell>
        </row>
        <row r="890">
          <cell r="B890">
            <v>45220</v>
          </cell>
          <cell r="E890" t="str">
            <v>Болох В.В.</v>
          </cell>
          <cell r="F890" t="str">
            <v>Автокран XCMG</v>
          </cell>
          <cell r="I890">
            <v>17</v>
          </cell>
          <cell r="J890">
            <v>10</v>
          </cell>
          <cell r="K890">
            <v>1</v>
          </cell>
          <cell r="L890">
            <v>1</v>
          </cell>
        </row>
        <row r="891">
          <cell r="B891">
            <v>45222</v>
          </cell>
          <cell r="E891" t="str">
            <v>Болох В.В.</v>
          </cell>
          <cell r="F891" t="str">
            <v>Автокран XCMG</v>
          </cell>
          <cell r="I891">
            <v>17</v>
          </cell>
          <cell r="J891">
            <v>9</v>
          </cell>
          <cell r="K891">
            <v>1</v>
          </cell>
        </row>
        <row r="892">
          <cell r="B892">
            <v>45223</v>
          </cell>
          <cell r="E892" t="str">
            <v>Болох В.В.</v>
          </cell>
          <cell r="F892" t="str">
            <v>Автокран XCMG</v>
          </cell>
          <cell r="I892">
            <v>17</v>
          </cell>
          <cell r="J892">
            <v>9</v>
          </cell>
        </row>
        <row r="893">
          <cell r="B893">
            <v>45224</v>
          </cell>
          <cell r="E893" t="str">
            <v>Болох В.В.</v>
          </cell>
          <cell r="F893" t="str">
            <v>Автокран XCMG</v>
          </cell>
          <cell r="I893">
            <v>17</v>
          </cell>
          <cell r="J893">
            <v>8</v>
          </cell>
          <cell r="K893">
            <v>8</v>
          </cell>
        </row>
        <row r="894">
          <cell r="B894">
            <v>45225</v>
          </cell>
          <cell r="E894" t="str">
            <v>Болох В.В.</v>
          </cell>
          <cell r="F894" t="str">
            <v>Автокран XCMG</v>
          </cell>
          <cell r="I894">
            <v>17</v>
          </cell>
          <cell r="J894">
            <v>9</v>
          </cell>
        </row>
        <row r="895">
          <cell r="B895">
            <v>45226</v>
          </cell>
          <cell r="E895" t="str">
            <v>Болох В.В.</v>
          </cell>
          <cell r="F895" t="str">
            <v>Автокран XCMG</v>
          </cell>
          <cell r="I895">
            <v>17</v>
          </cell>
          <cell r="J895">
            <v>8</v>
          </cell>
          <cell r="K895">
            <v>4</v>
          </cell>
        </row>
        <row r="896">
          <cell r="B896">
            <v>45215</v>
          </cell>
          <cell r="E896" t="str">
            <v>Карбунар Я.Д.</v>
          </cell>
          <cell r="F896" t="str">
            <v>Экскаватор JCB 2007</v>
          </cell>
          <cell r="I896">
            <v>8</v>
          </cell>
          <cell r="J896">
            <v>13</v>
          </cell>
          <cell r="K896">
            <v>5</v>
          </cell>
        </row>
        <row r="897">
          <cell r="B897">
            <v>45216</v>
          </cell>
          <cell r="E897" t="str">
            <v>Карбунар Я.Д.</v>
          </cell>
          <cell r="F897" t="str">
            <v>Экскаватор JCB 2007</v>
          </cell>
          <cell r="I897">
            <v>8</v>
          </cell>
          <cell r="J897">
            <v>9</v>
          </cell>
        </row>
        <row r="898">
          <cell r="B898">
            <v>45217</v>
          </cell>
          <cell r="E898" t="str">
            <v>Карбунар Я.Д.</v>
          </cell>
          <cell r="F898" t="str">
            <v>Экскаватор JCB 2007</v>
          </cell>
          <cell r="I898">
            <v>8</v>
          </cell>
          <cell r="J898">
            <v>10</v>
          </cell>
        </row>
        <row r="899">
          <cell r="B899">
            <v>45218</v>
          </cell>
          <cell r="E899" t="str">
            <v>Карбунар Я.Д.</v>
          </cell>
          <cell r="F899" t="str">
            <v>Экскаватор JCB 2007</v>
          </cell>
          <cell r="I899">
            <v>8</v>
          </cell>
          <cell r="J899">
            <v>11</v>
          </cell>
        </row>
        <row r="900">
          <cell r="B900">
            <v>45219</v>
          </cell>
          <cell r="E900" t="str">
            <v>Карбунар Я.Д.</v>
          </cell>
          <cell r="F900" t="str">
            <v>Экскаватор JCB 2007</v>
          </cell>
          <cell r="I900">
            <v>8</v>
          </cell>
          <cell r="J900">
            <v>11</v>
          </cell>
        </row>
        <row r="901">
          <cell r="B901">
            <v>45220</v>
          </cell>
          <cell r="E901" t="str">
            <v>Карбунар Я.Д.</v>
          </cell>
          <cell r="F901" t="str">
            <v>Экскаватор JCB 2007</v>
          </cell>
          <cell r="I901">
            <v>8</v>
          </cell>
          <cell r="J901">
            <v>11</v>
          </cell>
        </row>
        <row r="902">
          <cell r="B902">
            <v>45221</v>
          </cell>
          <cell r="E902" t="str">
            <v>Карбунар Я.Д.</v>
          </cell>
          <cell r="F902" t="str">
            <v>Экскаватор JCB 2007</v>
          </cell>
          <cell r="I902">
            <v>8</v>
          </cell>
          <cell r="J902">
            <v>10</v>
          </cell>
          <cell r="L902">
            <v>2</v>
          </cell>
        </row>
        <row r="903">
          <cell r="B903">
            <v>45222</v>
          </cell>
          <cell r="E903" t="str">
            <v>Карбунар Я.Д.</v>
          </cell>
          <cell r="F903" t="str">
            <v>Экскаватор JCB 2007</v>
          </cell>
          <cell r="I903">
            <v>8</v>
          </cell>
          <cell r="J903">
            <v>11</v>
          </cell>
        </row>
        <row r="904">
          <cell r="B904">
            <v>45223</v>
          </cell>
          <cell r="E904" t="str">
            <v>Карбунар Я.Д.</v>
          </cell>
          <cell r="F904" t="str">
            <v>Экскаватор JCB 2007</v>
          </cell>
          <cell r="I904">
            <v>8</v>
          </cell>
          <cell r="J904">
            <v>12</v>
          </cell>
        </row>
        <row r="905">
          <cell r="B905">
            <v>45224</v>
          </cell>
          <cell r="E905" t="str">
            <v>Карбунар Я.Д.</v>
          </cell>
          <cell r="F905" t="str">
            <v>Экскаватор JCB 2007</v>
          </cell>
          <cell r="I905">
            <v>8</v>
          </cell>
          <cell r="J905">
            <v>13</v>
          </cell>
          <cell r="K905">
            <v>2</v>
          </cell>
        </row>
        <row r="906">
          <cell r="B906">
            <v>45225</v>
          </cell>
          <cell r="E906" t="str">
            <v>Карбунар Я.Д.</v>
          </cell>
          <cell r="F906" t="str">
            <v>Экскаватор JCB 2007</v>
          </cell>
          <cell r="I906">
            <v>8</v>
          </cell>
          <cell r="J906">
            <v>12</v>
          </cell>
        </row>
        <row r="907">
          <cell r="B907">
            <v>45226</v>
          </cell>
          <cell r="E907" t="str">
            <v>Карбунар Я.Д.</v>
          </cell>
          <cell r="F907" t="str">
            <v>Экскаватор JCB 2007</v>
          </cell>
          <cell r="I907">
            <v>8</v>
          </cell>
          <cell r="J907">
            <v>12</v>
          </cell>
        </row>
        <row r="908">
          <cell r="B908">
            <v>45227</v>
          </cell>
          <cell r="E908" t="str">
            <v>Карбунар Я.Д.</v>
          </cell>
          <cell r="F908" t="str">
            <v>Экскаватор JCB 2007</v>
          </cell>
          <cell r="I908">
            <v>8</v>
          </cell>
          <cell r="J908">
            <v>10</v>
          </cell>
        </row>
        <row r="909">
          <cell r="B909">
            <v>45228</v>
          </cell>
          <cell r="E909" t="str">
            <v>Карбунар Я.Д.</v>
          </cell>
          <cell r="F909" t="str">
            <v>Экскаватор JCB 2007</v>
          </cell>
          <cell r="I909">
            <v>8</v>
          </cell>
          <cell r="J909">
            <v>8</v>
          </cell>
        </row>
        <row r="910">
          <cell r="B910">
            <v>45229</v>
          </cell>
          <cell r="E910" t="str">
            <v>Карбунар Я.Д.</v>
          </cell>
          <cell r="F910" t="str">
            <v>Экскаватор JCB 2007</v>
          </cell>
          <cell r="I910">
            <v>8</v>
          </cell>
          <cell r="J910">
            <v>12</v>
          </cell>
        </row>
        <row r="911">
          <cell r="B911">
            <v>45230</v>
          </cell>
          <cell r="E911" t="str">
            <v>Карбунар Я.Д.</v>
          </cell>
          <cell r="F911" t="str">
            <v>Экскаватор JCB 2007</v>
          </cell>
          <cell r="I911">
            <v>8</v>
          </cell>
          <cell r="J911">
            <v>12</v>
          </cell>
        </row>
        <row r="912">
          <cell r="B912">
            <v>45217</v>
          </cell>
          <cell r="E912" t="str">
            <v>Бунтило В.І.</v>
          </cell>
          <cell r="F912" t="str">
            <v>Самосвал камаз</v>
          </cell>
          <cell r="I912">
            <v>16</v>
          </cell>
          <cell r="J912">
            <v>16</v>
          </cell>
          <cell r="K912">
            <v>3</v>
          </cell>
          <cell r="L912">
            <v>1</v>
          </cell>
        </row>
        <row r="913">
          <cell r="B913">
            <v>45218</v>
          </cell>
          <cell r="E913" t="str">
            <v>Бунтило В.І.</v>
          </cell>
          <cell r="F913" t="str">
            <v>Самосвал камаз</v>
          </cell>
          <cell r="I913">
            <v>16</v>
          </cell>
          <cell r="J913">
            <v>12</v>
          </cell>
          <cell r="K913">
            <v>1</v>
          </cell>
        </row>
        <row r="914">
          <cell r="B914">
            <v>45219</v>
          </cell>
          <cell r="E914" t="str">
            <v>Бунтило В.І.</v>
          </cell>
          <cell r="F914" t="str">
            <v>Самосвал камаз</v>
          </cell>
          <cell r="I914">
            <v>16</v>
          </cell>
          <cell r="J914">
            <v>11</v>
          </cell>
        </row>
        <row r="915">
          <cell r="B915">
            <v>45220</v>
          </cell>
          <cell r="E915" t="str">
            <v>Бунтило В.І.</v>
          </cell>
          <cell r="F915" t="str">
            <v>Самосвал камаз</v>
          </cell>
          <cell r="I915">
            <v>16</v>
          </cell>
          <cell r="J915">
            <v>11</v>
          </cell>
        </row>
        <row r="916">
          <cell r="B916">
            <v>45221</v>
          </cell>
          <cell r="E916" t="str">
            <v>Бунтило В.І.</v>
          </cell>
          <cell r="F916" t="str">
            <v>Самосвал камаз</v>
          </cell>
          <cell r="I916">
            <v>16</v>
          </cell>
          <cell r="J916">
            <v>10</v>
          </cell>
          <cell r="K916">
            <v>2</v>
          </cell>
        </row>
        <row r="917">
          <cell r="B917">
            <v>45222</v>
          </cell>
          <cell r="E917" t="str">
            <v>Бунтило В.І.</v>
          </cell>
          <cell r="F917" t="str">
            <v>Самосвал камаз</v>
          </cell>
          <cell r="I917">
            <v>16</v>
          </cell>
          <cell r="J917">
            <v>12</v>
          </cell>
        </row>
        <row r="918">
          <cell r="B918">
            <v>45223</v>
          </cell>
          <cell r="E918" t="str">
            <v>Бунтило В.І.</v>
          </cell>
          <cell r="F918" t="str">
            <v>Самосвал камаз</v>
          </cell>
          <cell r="I918">
            <v>16</v>
          </cell>
          <cell r="J918">
            <v>12</v>
          </cell>
          <cell r="L918">
            <v>1</v>
          </cell>
        </row>
        <row r="919">
          <cell r="B919">
            <v>45224</v>
          </cell>
          <cell r="E919" t="str">
            <v>Бунтило В.І.</v>
          </cell>
          <cell r="F919" t="str">
            <v>Самосвал камаз</v>
          </cell>
          <cell r="I919">
            <v>16</v>
          </cell>
          <cell r="J919">
            <v>13</v>
          </cell>
          <cell r="K919">
            <v>2</v>
          </cell>
        </row>
        <row r="920">
          <cell r="B920">
            <v>45225</v>
          </cell>
          <cell r="E920" t="str">
            <v>Бунтило В.І.</v>
          </cell>
          <cell r="F920" t="str">
            <v>Самосвал камаз</v>
          </cell>
          <cell r="I920">
            <v>16</v>
          </cell>
          <cell r="J920">
            <v>12</v>
          </cell>
          <cell r="K920">
            <v>1</v>
          </cell>
        </row>
        <row r="921">
          <cell r="B921">
            <v>45226</v>
          </cell>
          <cell r="E921" t="str">
            <v>Бунтило В.І.</v>
          </cell>
          <cell r="F921" t="str">
            <v>Самосвал камаз</v>
          </cell>
          <cell r="I921">
            <v>16</v>
          </cell>
          <cell r="J921">
            <v>12</v>
          </cell>
        </row>
        <row r="922">
          <cell r="B922">
            <v>45227</v>
          </cell>
          <cell r="E922" t="str">
            <v>Бунтило В.І.</v>
          </cell>
          <cell r="F922" t="str">
            <v>Самосвал камаз</v>
          </cell>
          <cell r="I922">
            <v>16</v>
          </cell>
          <cell r="J922">
            <v>11</v>
          </cell>
          <cell r="L922">
            <v>1</v>
          </cell>
        </row>
        <row r="923">
          <cell r="B923">
            <v>45228</v>
          </cell>
          <cell r="E923" t="str">
            <v>Бунтило В.І.</v>
          </cell>
          <cell r="F923" t="str">
            <v>Самосвал камаз</v>
          </cell>
          <cell r="I923">
            <v>16</v>
          </cell>
          <cell r="J923">
            <v>10</v>
          </cell>
          <cell r="K923">
            <v>2</v>
          </cell>
        </row>
        <row r="924">
          <cell r="B924">
            <v>45229</v>
          </cell>
          <cell r="E924" t="str">
            <v>Бунтило В.І.</v>
          </cell>
          <cell r="F924" t="str">
            <v>Самосвал камаз</v>
          </cell>
          <cell r="I924">
            <v>16</v>
          </cell>
          <cell r="J924">
            <v>11</v>
          </cell>
          <cell r="K924">
            <v>8</v>
          </cell>
        </row>
        <row r="925">
          <cell r="B925">
            <v>45201</v>
          </cell>
          <cell r="E925" t="str">
            <v>Борисенко О.М.</v>
          </cell>
          <cell r="F925" t="str">
            <v>Автокран клинцы</v>
          </cell>
          <cell r="I925">
            <v>19</v>
          </cell>
          <cell r="J925">
            <v>9</v>
          </cell>
        </row>
        <row r="926">
          <cell r="B926">
            <v>45202</v>
          </cell>
          <cell r="E926" t="str">
            <v>Борисенко О.М.</v>
          </cell>
          <cell r="F926" t="str">
            <v>Автокран клинцы</v>
          </cell>
          <cell r="I926">
            <v>19</v>
          </cell>
          <cell r="J926">
            <v>8</v>
          </cell>
        </row>
        <row r="927">
          <cell r="B927">
            <v>45204</v>
          </cell>
          <cell r="E927" t="str">
            <v>Борисенко О.М.</v>
          </cell>
          <cell r="F927" t="str">
            <v>Автокран клинцы</v>
          </cell>
          <cell r="I927">
            <v>19</v>
          </cell>
          <cell r="J927">
            <v>9</v>
          </cell>
        </row>
        <row r="928">
          <cell r="B928">
            <v>45205</v>
          </cell>
          <cell r="E928" t="str">
            <v>Борисенко О.М.</v>
          </cell>
          <cell r="F928" t="str">
            <v>Автокран клинцы</v>
          </cell>
          <cell r="I928">
            <v>19</v>
          </cell>
          <cell r="J928">
            <v>9</v>
          </cell>
        </row>
        <row r="929">
          <cell r="B929">
            <v>45206</v>
          </cell>
          <cell r="E929" t="str">
            <v>Борисенко О.М.</v>
          </cell>
          <cell r="F929" t="str">
            <v>Автокран клинцы</v>
          </cell>
          <cell r="I929">
            <v>19</v>
          </cell>
          <cell r="J929">
            <v>8</v>
          </cell>
        </row>
        <row r="930">
          <cell r="B930">
            <v>45207</v>
          </cell>
          <cell r="E930" t="str">
            <v>Борисенко О.М.</v>
          </cell>
          <cell r="F930" t="str">
            <v>Автокран клинцы</v>
          </cell>
          <cell r="I930">
            <v>19</v>
          </cell>
          <cell r="J930">
            <v>2</v>
          </cell>
        </row>
        <row r="931">
          <cell r="B931">
            <v>45208</v>
          </cell>
          <cell r="E931" t="str">
            <v>Борисенко О.М.</v>
          </cell>
          <cell r="F931" t="str">
            <v>Автокран клинцы</v>
          </cell>
          <cell r="I931">
            <v>19</v>
          </cell>
          <cell r="J931">
            <v>9</v>
          </cell>
        </row>
        <row r="932">
          <cell r="B932">
            <v>45209</v>
          </cell>
          <cell r="E932" t="str">
            <v>Борисенко О.М.</v>
          </cell>
          <cell r="F932" t="str">
            <v>Автокран клинцы</v>
          </cell>
          <cell r="I932">
            <v>19</v>
          </cell>
          <cell r="J932">
            <v>9</v>
          </cell>
        </row>
        <row r="933">
          <cell r="B933">
            <v>45210</v>
          </cell>
          <cell r="E933" t="str">
            <v>Борисенко О.М.</v>
          </cell>
          <cell r="F933" t="str">
            <v>Автокран клинцы</v>
          </cell>
          <cell r="I933">
            <v>19</v>
          </cell>
          <cell r="J933">
            <v>8</v>
          </cell>
          <cell r="K933">
            <v>6</v>
          </cell>
        </row>
        <row r="934">
          <cell r="B934">
            <v>45211</v>
          </cell>
          <cell r="E934" t="str">
            <v>Борисенко О.М.</v>
          </cell>
          <cell r="F934" t="str">
            <v>Автокран клинцы</v>
          </cell>
          <cell r="I934">
            <v>19</v>
          </cell>
          <cell r="J934">
            <v>8</v>
          </cell>
          <cell r="K934">
            <v>8</v>
          </cell>
        </row>
        <row r="935">
          <cell r="B935">
            <v>45212</v>
          </cell>
          <cell r="E935" t="str">
            <v>Борисенко О.М.</v>
          </cell>
          <cell r="F935" t="str">
            <v>Автокран клинцы</v>
          </cell>
          <cell r="I935">
            <v>19</v>
          </cell>
          <cell r="J935">
            <v>9</v>
          </cell>
        </row>
        <row r="936">
          <cell r="B936">
            <v>45213</v>
          </cell>
          <cell r="E936" t="str">
            <v>Борисенко О.М.</v>
          </cell>
          <cell r="F936" t="str">
            <v>Автокран клинцы</v>
          </cell>
          <cell r="I936">
            <v>19</v>
          </cell>
          <cell r="J936">
            <v>4</v>
          </cell>
        </row>
        <row r="937">
          <cell r="B937">
            <v>45201</v>
          </cell>
          <cell r="E937" t="str">
            <v>Красношапка М.П.</v>
          </cell>
          <cell r="F937" t="str">
            <v>РДК 250 (2)</v>
          </cell>
          <cell r="I937">
            <v>15</v>
          </cell>
          <cell r="J937">
            <v>11</v>
          </cell>
        </row>
        <row r="938">
          <cell r="B938">
            <v>45202</v>
          </cell>
          <cell r="E938" t="str">
            <v>Красношапка М.П.</v>
          </cell>
          <cell r="F938" t="str">
            <v>РДК 250 (2)</v>
          </cell>
          <cell r="I938">
            <v>15</v>
          </cell>
          <cell r="J938">
            <v>8</v>
          </cell>
        </row>
        <row r="939">
          <cell r="B939">
            <v>45203</v>
          </cell>
          <cell r="E939" t="str">
            <v>Красношапка М.П.</v>
          </cell>
          <cell r="F939" t="str">
            <v>РДК 250 (2)</v>
          </cell>
          <cell r="I939">
            <v>15</v>
          </cell>
          <cell r="J939">
            <v>9</v>
          </cell>
        </row>
        <row r="940">
          <cell r="B940">
            <v>45204</v>
          </cell>
          <cell r="E940" t="str">
            <v>Красношапка М.П.</v>
          </cell>
          <cell r="F940" t="str">
            <v>РДК 250 (2)</v>
          </cell>
          <cell r="I940">
            <v>15</v>
          </cell>
          <cell r="J940">
            <v>8</v>
          </cell>
        </row>
        <row r="941">
          <cell r="B941">
            <v>45205</v>
          </cell>
          <cell r="E941" t="str">
            <v>Красношапка М.П.</v>
          </cell>
          <cell r="F941" t="str">
            <v>РДК 250 (2)</v>
          </cell>
          <cell r="I941">
            <v>15</v>
          </cell>
          <cell r="J941">
            <v>6</v>
          </cell>
        </row>
        <row r="942">
          <cell r="B942">
            <v>45206</v>
          </cell>
          <cell r="E942" t="str">
            <v>Красношапка М.П.</v>
          </cell>
          <cell r="F942" t="str">
            <v>РДК 250 (2)</v>
          </cell>
          <cell r="I942">
            <v>15</v>
          </cell>
          <cell r="J942">
            <v>12</v>
          </cell>
        </row>
        <row r="943">
          <cell r="B943">
            <v>45208</v>
          </cell>
          <cell r="E943" t="str">
            <v>Красношапка М.П.</v>
          </cell>
          <cell r="F943" t="str">
            <v>РДК 250 (2)</v>
          </cell>
          <cell r="I943">
            <v>15</v>
          </cell>
          <cell r="J943">
            <v>8</v>
          </cell>
        </row>
        <row r="944">
          <cell r="B944">
            <v>45209</v>
          </cell>
          <cell r="E944" t="str">
            <v>Красношапка М.П.</v>
          </cell>
          <cell r="F944" t="str">
            <v>РДК 250 (2)</v>
          </cell>
          <cell r="I944">
            <v>15</v>
          </cell>
          <cell r="J944">
            <v>2</v>
          </cell>
        </row>
        <row r="945">
          <cell r="B945">
            <v>45210</v>
          </cell>
          <cell r="E945" t="str">
            <v>Красношапка М.П.</v>
          </cell>
          <cell r="F945" t="str">
            <v>РДК 250 (2)</v>
          </cell>
          <cell r="I945">
            <v>15</v>
          </cell>
          <cell r="J945">
            <v>9</v>
          </cell>
        </row>
        <row r="946">
          <cell r="B946">
            <v>45211</v>
          </cell>
          <cell r="E946" t="str">
            <v>Красношапка М.П.</v>
          </cell>
          <cell r="F946" t="str">
            <v>РДК 250 (2)</v>
          </cell>
          <cell r="I946">
            <v>15</v>
          </cell>
          <cell r="J946">
            <v>6</v>
          </cell>
        </row>
        <row r="947">
          <cell r="B947">
            <v>45212</v>
          </cell>
          <cell r="E947" t="str">
            <v>Красношапка М.П.</v>
          </cell>
          <cell r="F947" t="str">
            <v>РДК 250 (2)</v>
          </cell>
          <cell r="I947">
            <v>15</v>
          </cell>
          <cell r="J947">
            <v>8</v>
          </cell>
        </row>
        <row r="948">
          <cell r="B948">
            <v>45213</v>
          </cell>
          <cell r="E948" t="str">
            <v>Красношапка М.П.</v>
          </cell>
          <cell r="F948" t="str">
            <v>РДК 250 (2)</v>
          </cell>
          <cell r="I948">
            <v>15</v>
          </cell>
          <cell r="J948">
            <v>6</v>
          </cell>
        </row>
        <row r="949">
          <cell r="B949">
            <v>45215</v>
          </cell>
          <cell r="E949" t="str">
            <v>Красношапка М.П.</v>
          </cell>
          <cell r="F949" t="str">
            <v>РДК 250 (2)</v>
          </cell>
          <cell r="I949">
            <v>15</v>
          </cell>
          <cell r="J949">
            <v>8</v>
          </cell>
        </row>
        <row r="950">
          <cell r="B950">
            <v>45216</v>
          </cell>
          <cell r="E950" t="str">
            <v>Красношапка М.П.</v>
          </cell>
          <cell r="F950" t="str">
            <v>РДК 250 (2)</v>
          </cell>
          <cell r="I950">
            <v>15</v>
          </cell>
          <cell r="J950">
            <v>8</v>
          </cell>
        </row>
        <row r="951">
          <cell r="B951">
            <v>45217</v>
          </cell>
          <cell r="E951" t="str">
            <v>Красношапка М.П.</v>
          </cell>
          <cell r="F951" t="str">
            <v>РДК 250 (2)</v>
          </cell>
          <cell r="I951">
            <v>15</v>
          </cell>
          <cell r="J951">
            <v>8</v>
          </cell>
        </row>
        <row r="952">
          <cell r="B952">
            <v>45218</v>
          </cell>
          <cell r="E952" t="str">
            <v>Красношапка М.П.</v>
          </cell>
          <cell r="F952" t="str">
            <v>РДК 250 (2)</v>
          </cell>
          <cell r="I952">
            <v>15</v>
          </cell>
          <cell r="J952">
            <v>9</v>
          </cell>
        </row>
        <row r="953">
          <cell r="B953">
            <v>45219</v>
          </cell>
          <cell r="E953" t="str">
            <v>Красношапка М.П.</v>
          </cell>
          <cell r="F953" t="str">
            <v>РДК 250 (2)</v>
          </cell>
          <cell r="I953">
            <v>15</v>
          </cell>
          <cell r="J953">
            <v>8</v>
          </cell>
        </row>
        <row r="954">
          <cell r="B954">
            <v>45220</v>
          </cell>
          <cell r="E954" t="str">
            <v>Красношапка М.П.</v>
          </cell>
          <cell r="F954" t="str">
            <v>РДК 250 (2)</v>
          </cell>
          <cell r="I954">
            <v>15</v>
          </cell>
          <cell r="J954">
            <v>5</v>
          </cell>
        </row>
        <row r="955">
          <cell r="B955">
            <v>45222</v>
          </cell>
          <cell r="E955" t="str">
            <v>Красношапка М.П.</v>
          </cell>
          <cell r="F955" t="str">
            <v>РДК 250 (2)</v>
          </cell>
          <cell r="I955">
            <v>15</v>
          </cell>
          <cell r="J955">
            <v>11</v>
          </cell>
        </row>
        <row r="956">
          <cell r="B956">
            <v>45223</v>
          </cell>
          <cell r="E956" t="str">
            <v>Красношапка М.П.</v>
          </cell>
          <cell r="F956" t="str">
            <v>РДК 250 (2)</v>
          </cell>
          <cell r="I956">
            <v>15</v>
          </cell>
          <cell r="J956">
            <v>8</v>
          </cell>
        </row>
        <row r="957">
          <cell r="B957">
            <v>45224</v>
          </cell>
          <cell r="E957" t="str">
            <v>Красношапка М.П.</v>
          </cell>
          <cell r="F957" t="str">
            <v>РДК 250 (2)</v>
          </cell>
          <cell r="I957">
            <v>15</v>
          </cell>
          <cell r="J957">
            <v>5</v>
          </cell>
        </row>
        <row r="958">
          <cell r="B958">
            <v>45225</v>
          </cell>
          <cell r="E958" t="str">
            <v>Красношапка М.П.</v>
          </cell>
          <cell r="F958" t="str">
            <v>РДК 250 (2)</v>
          </cell>
          <cell r="I958">
            <v>15</v>
          </cell>
          <cell r="J958">
            <v>8</v>
          </cell>
        </row>
        <row r="959">
          <cell r="B959">
            <v>45226</v>
          </cell>
          <cell r="E959" t="str">
            <v>Красношапка М.П.</v>
          </cell>
          <cell r="F959" t="str">
            <v>РДК 250 (2)</v>
          </cell>
          <cell r="I959">
            <v>15</v>
          </cell>
          <cell r="J959">
            <v>8</v>
          </cell>
        </row>
        <row r="960">
          <cell r="B960">
            <v>45227</v>
          </cell>
          <cell r="E960" t="str">
            <v>Красношапка М.П.</v>
          </cell>
          <cell r="F960" t="str">
            <v>РДК 250 (2)</v>
          </cell>
          <cell r="I960">
            <v>15</v>
          </cell>
          <cell r="J960">
            <v>3</v>
          </cell>
        </row>
        <row r="961">
          <cell r="B961">
            <v>45229</v>
          </cell>
          <cell r="E961" t="str">
            <v>Красношапка М.П.</v>
          </cell>
          <cell r="F961" t="str">
            <v>РДК 250 (2)</v>
          </cell>
          <cell r="I961">
            <v>15</v>
          </cell>
          <cell r="J961">
            <v>10</v>
          </cell>
        </row>
        <row r="962">
          <cell r="B962">
            <v>45230</v>
          </cell>
          <cell r="E962" t="str">
            <v>Красношапка М.П.</v>
          </cell>
          <cell r="F962" t="str">
            <v>РДК 250 (2)</v>
          </cell>
          <cell r="I962">
            <v>15</v>
          </cell>
          <cell r="J962">
            <v>9</v>
          </cell>
        </row>
        <row r="963">
          <cell r="B963">
            <v>45201</v>
          </cell>
          <cell r="E963" t="str">
            <v>Боранов В.В.</v>
          </cell>
          <cell r="F963" t="str">
            <v>Экскаватор JCB 2013</v>
          </cell>
          <cell r="I963">
            <v>10</v>
          </cell>
          <cell r="J963">
            <v>8</v>
          </cell>
        </row>
        <row r="964">
          <cell r="B964">
            <v>45203</v>
          </cell>
          <cell r="E964" t="str">
            <v>Боранов В.В.</v>
          </cell>
          <cell r="F964" t="str">
            <v>Экскаватор JCB 2013</v>
          </cell>
          <cell r="I964">
            <v>10</v>
          </cell>
          <cell r="J964">
            <v>8</v>
          </cell>
        </row>
        <row r="965">
          <cell r="B965">
            <v>45204</v>
          </cell>
          <cell r="E965" t="str">
            <v>Боранов В.В.</v>
          </cell>
          <cell r="F965" t="str">
            <v>Экскаватор JCB 2013</v>
          </cell>
          <cell r="I965">
            <v>10</v>
          </cell>
          <cell r="J965">
            <v>8</v>
          </cell>
        </row>
        <row r="966">
          <cell r="B966">
            <v>45205</v>
          </cell>
          <cell r="E966" t="str">
            <v>Боранов В.В.</v>
          </cell>
          <cell r="F966" t="str">
            <v>Экскаватор JCB 2013</v>
          </cell>
          <cell r="I966">
            <v>10</v>
          </cell>
          <cell r="J966">
            <v>8</v>
          </cell>
        </row>
        <row r="967">
          <cell r="B967">
            <v>45209</v>
          </cell>
          <cell r="E967" t="str">
            <v>Боранов В.В.</v>
          </cell>
          <cell r="F967" t="str">
            <v>Экскаватор JCB 2013</v>
          </cell>
          <cell r="I967">
            <v>10</v>
          </cell>
          <cell r="J967">
            <v>8</v>
          </cell>
        </row>
        <row r="968">
          <cell r="B968">
            <v>45210</v>
          </cell>
          <cell r="E968" t="str">
            <v>Боранов В.В.</v>
          </cell>
          <cell r="F968" t="str">
            <v>Экскаватор JCB 2013</v>
          </cell>
          <cell r="I968">
            <v>10</v>
          </cell>
          <cell r="J968">
            <v>8</v>
          </cell>
        </row>
        <row r="969">
          <cell r="B969">
            <v>45215</v>
          </cell>
          <cell r="E969" t="str">
            <v>Боранов В.В.</v>
          </cell>
          <cell r="F969" t="str">
            <v>Экскаватор JCB 2013</v>
          </cell>
          <cell r="I969">
            <v>10</v>
          </cell>
          <cell r="J969">
            <v>8</v>
          </cell>
        </row>
        <row r="970">
          <cell r="B970">
            <v>45216</v>
          </cell>
          <cell r="E970" t="str">
            <v>Боранов В.В.</v>
          </cell>
          <cell r="F970" t="str">
            <v>Экскаватор JCB 2013</v>
          </cell>
          <cell r="I970">
            <v>10</v>
          </cell>
          <cell r="J970">
            <v>8</v>
          </cell>
        </row>
        <row r="971">
          <cell r="B971">
            <v>45218</v>
          </cell>
          <cell r="E971" t="str">
            <v>Боранов В.В.</v>
          </cell>
          <cell r="F971" t="str">
            <v>Экскаватор JCB 2013</v>
          </cell>
          <cell r="I971">
            <v>10</v>
          </cell>
          <cell r="J971">
            <v>8</v>
          </cell>
        </row>
        <row r="972">
          <cell r="B972">
            <v>45219</v>
          </cell>
          <cell r="E972" t="str">
            <v>Боранов В.В.</v>
          </cell>
          <cell r="F972" t="str">
            <v>Экскаватор JCB 2013</v>
          </cell>
          <cell r="I972">
            <v>10</v>
          </cell>
          <cell r="J972">
            <v>8</v>
          </cell>
        </row>
        <row r="973">
          <cell r="B973">
            <v>45222</v>
          </cell>
          <cell r="E973" t="str">
            <v>Боранов В.В.</v>
          </cell>
          <cell r="F973" t="str">
            <v>Экскаватор JCB 2013</v>
          </cell>
          <cell r="I973">
            <v>10</v>
          </cell>
          <cell r="J973">
            <v>8</v>
          </cell>
        </row>
        <row r="974">
          <cell r="B974">
            <v>45223</v>
          </cell>
          <cell r="E974" t="str">
            <v>Боранов В.В.</v>
          </cell>
          <cell r="F974" t="str">
            <v>Экскаватор JCB 2013</v>
          </cell>
          <cell r="I974">
            <v>10</v>
          </cell>
          <cell r="J974">
            <v>8</v>
          </cell>
        </row>
        <row r="975">
          <cell r="B975">
            <v>45224</v>
          </cell>
          <cell r="E975" t="str">
            <v>Боранов В.В.</v>
          </cell>
          <cell r="F975" t="str">
            <v>Экскаватор JCB 2013</v>
          </cell>
          <cell r="I975">
            <v>10</v>
          </cell>
          <cell r="J975">
            <v>8</v>
          </cell>
        </row>
        <row r="976">
          <cell r="B976">
            <v>45225</v>
          </cell>
          <cell r="E976" t="str">
            <v>Боранов В.В.</v>
          </cell>
          <cell r="F976" t="str">
            <v>Экскаватор JCB 2013</v>
          </cell>
          <cell r="I976">
            <v>10</v>
          </cell>
          <cell r="J976">
            <v>8</v>
          </cell>
        </row>
        <row r="977">
          <cell r="B977">
            <v>45227</v>
          </cell>
          <cell r="E977" t="str">
            <v>Боранов В.В.</v>
          </cell>
          <cell r="F977" t="str">
            <v>Экскаватор JCB 2013</v>
          </cell>
          <cell r="I977">
            <v>10</v>
          </cell>
          <cell r="J977">
            <v>8</v>
          </cell>
        </row>
        <row r="978">
          <cell r="B978">
            <v>45229</v>
          </cell>
          <cell r="E978" t="str">
            <v>Боранов В.В.</v>
          </cell>
          <cell r="F978" t="str">
            <v>Экскаватор JCB 2013</v>
          </cell>
          <cell r="I978">
            <v>10</v>
          </cell>
          <cell r="J978">
            <v>8</v>
          </cell>
        </row>
        <row r="979">
          <cell r="B979">
            <v>45230</v>
          </cell>
          <cell r="E979" t="str">
            <v>Боранов В.В.</v>
          </cell>
          <cell r="F979" t="str">
            <v>Экскаватор JCB 2013</v>
          </cell>
          <cell r="I979">
            <v>10</v>
          </cell>
          <cell r="J979">
            <v>8</v>
          </cell>
          <cell r="K979">
            <v>2</v>
          </cell>
        </row>
        <row r="980">
          <cell r="B980">
            <v>45231</v>
          </cell>
          <cell r="E980" t="str">
            <v>Красношапка М.П.</v>
          </cell>
          <cell r="F980" t="str">
            <v>РДК 250 (2)</v>
          </cell>
          <cell r="I980">
            <v>15</v>
          </cell>
          <cell r="J980">
            <v>8</v>
          </cell>
        </row>
        <row r="981">
          <cell r="B981">
            <v>45232</v>
          </cell>
          <cell r="E981" t="str">
            <v>Красношапка М.П.</v>
          </cell>
          <cell r="F981" t="str">
            <v>РДК 250 (2)</v>
          </cell>
          <cell r="I981">
            <v>15</v>
          </cell>
          <cell r="J981">
            <v>7</v>
          </cell>
        </row>
        <row r="982">
          <cell r="B982">
            <v>45233</v>
          </cell>
          <cell r="E982" t="str">
            <v>Красношапка М.П.</v>
          </cell>
          <cell r="F982" t="str">
            <v>РДК 250 (2)</v>
          </cell>
          <cell r="I982">
            <v>15</v>
          </cell>
          <cell r="J982">
            <v>11</v>
          </cell>
        </row>
        <row r="983">
          <cell r="B983">
            <v>45234</v>
          </cell>
          <cell r="E983" t="str">
            <v>Красношапка М.П.</v>
          </cell>
          <cell r="F983" t="str">
            <v>РДК 250 (2)</v>
          </cell>
          <cell r="I983">
            <v>15</v>
          </cell>
          <cell r="J983">
            <v>5</v>
          </cell>
        </row>
        <row r="984">
          <cell r="B984">
            <v>45236</v>
          </cell>
          <cell r="E984" t="str">
            <v>Красношапка М.П.</v>
          </cell>
          <cell r="F984" t="str">
            <v>РДК 250 (2)</v>
          </cell>
          <cell r="I984">
            <v>15</v>
          </cell>
          <cell r="J984">
            <v>8</v>
          </cell>
        </row>
        <row r="985">
          <cell r="B985">
            <v>45237</v>
          </cell>
          <cell r="E985" t="str">
            <v>Красношапка М.П.</v>
          </cell>
          <cell r="F985" t="str">
            <v>РДК 250 (2)</v>
          </cell>
          <cell r="I985">
            <v>15</v>
          </cell>
          <cell r="J985">
            <v>8</v>
          </cell>
        </row>
        <row r="986">
          <cell r="B986">
            <v>45238</v>
          </cell>
          <cell r="E986" t="str">
            <v>Красношапка М.П.</v>
          </cell>
          <cell r="F986" t="str">
            <v>РДК 250 (2)</v>
          </cell>
          <cell r="I986">
            <v>15</v>
          </cell>
          <cell r="J986">
            <v>5</v>
          </cell>
        </row>
        <row r="987">
          <cell r="B987">
            <v>45239</v>
          </cell>
          <cell r="E987" t="str">
            <v>Красношапка М.П.</v>
          </cell>
          <cell r="F987" t="str">
            <v>РДК 250 (2)</v>
          </cell>
          <cell r="I987">
            <v>15</v>
          </cell>
          <cell r="J987">
            <v>8</v>
          </cell>
        </row>
        <row r="988">
          <cell r="B988">
            <v>45240</v>
          </cell>
          <cell r="E988" t="str">
            <v>Красношапка М.П.</v>
          </cell>
          <cell r="F988" t="str">
            <v>РДК 250 (2)</v>
          </cell>
          <cell r="I988">
            <v>15</v>
          </cell>
          <cell r="J988">
            <v>8</v>
          </cell>
        </row>
        <row r="989">
          <cell r="B989">
            <v>45241</v>
          </cell>
          <cell r="E989" t="str">
            <v>Красношапка М.П.</v>
          </cell>
          <cell r="F989" t="str">
            <v>РДК 250 (2)</v>
          </cell>
          <cell r="I989">
            <v>15</v>
          </cell>
          <cell r="J989">
            <v>7</v>
          </cell>
        </row>
        <row r="990">
          <cell r="B990">
            <v>45243</v>
          </cell>
          <cell r="E990" t="str">
            <v>Красношапка М.П.</v>
          </cell>
          <cell r="F990" t="str">
            <v>РДК 250 (2)</v>
          </cell>
          <cell r="I990">
            <v>15</v>
          </cell>
          <cell r="J990">
            <v>8</v>
          </cell>
        </row>
        <row r="991">
          <cell r="B991">
            <v>45244</v>
          </cell>
          <cell r="E991" t="str">
            <v>Красношапка М.П.</v>
          </cell>
          <cell r="F991" t="str">
            <v>РДК 250 (2)</v>
          </cell>
          <cell r="I991">
            <v>15</v>
          </cell>
          <cell r="J991">
            <v>8</v>
          </cell>
        </row>
        <row r="992">
          <cell r="B992">
            <v>45245</v>
          </cell>
          <cell r="E992" t="str">
            <v>Красношапка М.П.</v>
          </cell>
          <cell r="F992" t="str">
            <v>РДК 250 (2)</v>
          </cell>
          <cell r="I992">
            <v>15</v>
          </cell>
          <cell r="J992">
            <v>11</v>
          </cell>
        </row>
        <row r="993">
          <cell r="B993">
            <v>45246</v>
          </cell>
          <cell r="E993" t="str">
            <v>Красношапка М.П.</v>
          </cell>
          <cell r="F993" t="str">
            <v>РДК 250 (2)</v>
          </cell>
          <cell r="I993">
            <v>15</v>
          </cell>
          <cell r="J993">
            <v>7</v>
          </cell>
        </row>
        <row r="994">
          <cell r="B994">
            <v>45247</v>
          </cell>
          <cell r="E994" t="str">
            <v>Красношапка М.П.</v>
          </cell>
          <cell r="F994" t="str">
            <v>РДК 250 (2)</v>
          </cell>
          <cell r="I994">
            <v>15</v>
          </cell>
          <cell r="J994">
            <v>8</v>
          </cell>
        </row>
        <row r="995">
          <cell r="B995">
            <v>45250</v>
          </cell>
          <cell r="E995" t="str">
            <v>Красношапка М.П.</v>
          </cell>
          <cell r="F995" t="str">
            <v>РДК 250 (2)</v>
          </cell>
          <cell r="I995">
            <v>15</v>
          </cell>
          <cell r="J995">
            <v>8</v>
          </cell>
        </row>
        <row r="996">
          <cell r="B996">
            <v>45251</v>
          </cell>
          <cell r="E996" t="str">
            <v>Красношапка М.П.</v>
          </cell>
          <cell r="F996" t="str">
            <v>РДК 250 (2)</v>
          </cell>
          <cell r="I996">
            <v>15</v>
          </cell>
          <cell r="J996">
            <v>8</v>
          </cell>
        </row>
        <row r="997">
          <cell r="B997">
            <v>45252</v>
          </cell>
          <cell r="E997" t="str">
            <v>Красношапка М.П.</v>
          </cell>
          <cell r="F997" t="str">
            <v>РДК 250 (2)</v>
          </cell>
          <cell r="I997">
            <v>15</v>
          </cell>
          <cell r="J997">
            <v>7</v>
          </cell>
        </row>
        <row r="998">
          <cell r="B998">
            <v>45253</v>
          </cell>
          <cell r="E998" t="str">
            <v>Красношапка М.П.</v>
          </cell>
          <cell r="F998" t="str">
            <v>РДК 250 (2)</v>
          </cell>
          <cell r="I998">
            <v>15</v>
          </cell>
          <cell r="J998">
            <v>8</v>
          </cell>
        </row>
        <row r="999">
          <cell r="B999">
            <v>45254</v>
          </cell>
          <cell r="E999" t="str">
            <v>Красношапка М.П.</v>
          </cell>
          <cell r="F999" t="str">
            <v>РДК 250 (2)</v>
          </cell>
          <cell r="I999">
            <v>15</v>
          </cell>
          <cell r="J999">
            <v>7</v>
          </cell>
        </row>
        <row r="1000">
          <cell r="B1000">
            <v>45257</v>
          </cell>
          <cell r="E1000" t="str">
            <v>Красношапка М.П.</v>
          </cell>
          <cell r="F1000" t="str">
            <v>РДК 250 (2)</v>
          </cell>
          <cell r="I1000">
            <v>15</v>
          </cell>
          <cell r="J1000">
            <v>4</v>
          </cell>
        </row>
        <row r="1001">
          <cell r="B1001">
            <v>45258</v>
          </cell>
          <cell r="E1001" t="str">
            <v>Дучук М.Ф.</v>
          </cell>
          <cell r="F1001" t="str">
            <v>РДК 250 (2)</v>
          </cell>
          <cell r="I1001">
            <v>15</v>
          </cell>
          <cell r="J1001">
            <v>8</v>
          </cell>
        </row>
        <row r="1002">
          <cell r="B1002">
            <v>45259</v>
          </cell>
          <cell r="E1002" t="str">
            <v>Дучук М.Ф.</v>
          </cell>
          <cell r="F1002" t="str">
            <v>РДК 250 (2)</v>
          </cell>
          <cell r="I1002">
            <v>15</v>
          </cell>
          <cell r="J1002">
            <v>8</v>
          </cell>
        </row>
        <row r="1003">
          <cell r="B1003">
            <v>45231</v>
          </cell>
          <cell r="E1003" t="str">
            <v>Зенкін Д.Ю.</v>
          </cell>
          <cell r="F1003" t="str">
            <v>Экскаватор  JCB 3CX 2008</v>
          </cell>
          <cell r="I1003">
            <v>9</v>
          </cell>
          <cell r="J1003">
            <v>12</v>
          </cell>
          <cell r="L1003">
            <v>2</v>
          </cell>
        </row>
        <row r="1004">
          <cell r="B1004">
            <v>45232</v>
          </cell>
          <cell r="E1004" t="str">
            <v>Зенкін Д.Ю.</v>
          </cell>
          <cell r="F1004" t="str">
            <v>Экскаватор  JCB 3CX 2008</v>
          </cell>
          <cell r="I1004">
            <v>9</v>
          </cell>
          <cell r="J1004">
            <v>12</v>
          </cell>
          <cell r="L1004">
            <v>1</v>
          </cell>
        </row>
        <row r="1005">
          <cell r="B1005">
            <v>45233</v>
          </cell>
          <cell r="E1005" t="str">
            <v>Зенкін Д.Ю.</v>
          </cell>
          <cell r="F1005" t="str">
            <v>Экскаватор  JCB 3CX 2008</v>
          </cell>
          <cell r="I1005">
            <v>9</v>
          </cell>
          <cell r="J1005">
            <v>10</v>
          </cell>
        </row>
        <row r="1006">
          <cell r="B1006">
            <v>45234</v>
          </cell>
          <cell r="E1006" t="str">
            <v>Зенкін Д.Ю.</v>
          </cell>
          <cell r="F1006" t="str">
            <v>Экскаватор  JCB 3CX 2008</v>
          </cell>
          <cell r="I1006">
            <v>9</v>
          </cell>
          <cell r="J1006">
            <v>6</v>
          </cell>
          <cell r="L1006">
            <v>1</v>
          </cell>
        </row>
        <row r="1007">
          <cell r="B1007">
            <v>45236</v>
          </cell>
          <cell r="E1007" t="str">
            <v>Зенкін Д.Ю.</v>
          </cell>
          <cell r="F1007" t="str">
            <v>Экскаватор  JCB 3CX 2008</v>
          </cell>
          <cell r="I1007">
            <v>9</v>
          </cell>
          <cell r="J1007">
            <v>10</v>
          </cell>
          <cell r="L1007">
            <v>1</v>
          </cell>
        </row>
        <row r="1008">
          <cell r="B1008">
            <v>45237</v>
          </cell>
          <cell r="E1008" t="str">
            <v>Зенкін Д.Ю.</v>
          </cell>
          <cell r="F1008" t="str">
            <v>Экскаватор  JCB 3CX 2008</v>
          </cell>
          <cell r="I1008">
            <v>9</v>
          </cell>
          <cell r="J1008">
            <v>10</v>
          </cell>
          <cell r="L1008">
            <v>1</v>
          </cell>
        </row>
        <row r="1009">
          <cell r="B1009">
            <v>45238</v>
          </cell>
          <cell r="E1009" t="str">
            <v>Зенкін Д.Ю.</v>
          </cell>
          <cell r="F1009" t="str">
            <v>Экскаватор  JCB 3CX 2008</v>
          </cell>
          <cell r="I1009">
            <v>9</v>
          </cell>
          <cell r="J1009">
            <v>6</v>
          </cell>
          <cell r="K1009">
            <v>1</v>
          </cell>
        </row>
        <row r="1010">
          <cell r="B1010">
            <v>45239</v>
          </cell>
          <cell r="E1010" t="str">
            <v>Зенкін Д.Ю.</v>
          </cell>
          <cell r="F1010" t="str">
            <v>Экскаватор  JCB 3CX 2008</v>
          </cell>
          <cell r="I1010">
            <v>9</v>
          </cell>
          <cell r="J1010">
            <v>10</v>
          </cell>
          <cell r="K1010">
            <v>1</v>
          </cell>
        </row>
        <row r="1011">
          <cell r="B1011">
            <v>45240</v>
          </cell>
          <cell r="E1011" t="str">
            <v>Зенкін Д.Ю.</v>
          </cell>
          <cell r="F1011" t="str">
            <v>Экскаватор  JCB 3CX 2008</v>
          </cell>
          <cell r="I1011">
            <v>9</v>
          </cell>
          <cell r="J1011">
            <v>12</v>
          </cell>
          <cell r="K1011">
            <v>1</v>
          </cell>
          <cell r="L1011">
            <v>1</v>
          </cell>
        </row>
        <row r="1012">
          <cell r="B1012">
            <v>45241</v>
          </cell>
          <cell r="E1012" t="str">
            <v>Зенкін Д.Ю.</v>
          </cell>
          <cell r="F1012" t="str">
            <v>Экскаватор  JCB 3CX 2008</v>
          </cell>
          <cell r="I1012">
            <v>9</v>
          </cell>
          <cell r="J1012">
            <v>4</v>
          </cell>
        </row>
        <row r="1013">
          <cell r="B1013">
            <v>45243</v>
          </cell>
          <cell r="E1013" t="str">
            <v>Зенкін Д.Ю.</v>
          </cell>
          <cell r="F1013" t="str">
            <v>Экскаватор  JCB 3CX 2008</v>
          </cell>
          <cell r="I1013">
            <v>9</v>
          </cell>
          <cell r="J1013">
            <v>9</v>
          </cell>
          <cell r="L1013">
            <v>1</v>
          </cell>
        </row>
        <row r="1014">
          <cell r="B1014">
            <v>45244</v>
          </cell>
          <cell r="E1014" t="str">
            <v>Зенкін Д.Ю.</v>
          </cell>
          <cell r="F1014" t="str">
            <v>Экскаватор  JCB 3CX 2008</v>
          </cell>
          <cell r="I1014">
            <v>9</v>
          </cell>
          <cell r="J1014">
            <v>10</v>
          </cell>
          <cell r="L1014">
            <v>1</v>
          </cell>
        </row>
        <row r="1015">
          <cell r="B1015">
            <v>45245</v>
          </cell>
          <cell r="E1015" t="str">
            <v>Зенкін Д.Ю.</v>
          </cell>
          <cell r="F1015" t="str">
            <v>Экскаватор  JCB 3CX 2008</v>
          </cell>
          <cell r="I1015">
            <v>9</v>
          </cell>
          <cell r="J1015">
            <v>10</v>
          </cell>
          <cell r="L1015">
            <v>1</v>
          </cell>
        </row>
        <row r="1016">
          <cell r="B1016">
            <v>45246</v>
          </cell>
          <cell r="E1016" t="str">
            <v>Зенкін Д.Ю.</v>
          </cell>
          <cell r="F1016" t="str">
            <v>Экскаватор  JCB 3CX 2008</v>
          </cell>
          <cell r="I1016">
            <v>9</v>
          </cell>
          <cell r="J1016">
            <v>12</v>
          </cell>
          <cell r="L1016">
            <v>1</v>
          </cell>
        </row>
        <row r="1017">
          <cell r="B1017">
            <v>45247</v>
          </cell>
          <cell r="E1017" t="str">
            <v>Зенкін Д.Ю.</v>
          </cell>
          <cell r="F1017" t="str">
            <v>Экскаватор  JCB 3CX 2008</v>
          </cell>
          <cell r="I1017">
            <v>9</v>
          </cell>
          <cell r="J1017">
            <v>13</v>
          </cell>
          <cell r="L1017">
            <v>2</v>
          </cell>
        </row>
        <row r="1018">
          <cell r="B1018">
            <v>45248</v>
          </cell>
          <cell r="E1018" t="str">
            <v>Зенкін Д.Ю.</v>
          </cell>
          <cell r="F1018" t="str">
            <v>Экскаватор  JCB 3CX 2008</v>
          </cell>
          <cell r="I1018">
            <v>9</v>
          </cell>
          <cell r="J1018">
            <v>10</v>
          </cell>
          <cell r="L1018">
            <v>1</v>
          </cell>
        </row>
        <row r="1019">
          <cell r="B1019">
            <v>45250</v>
          </cell>
          <cell r="E1019" t="str">
            <v>Зенкін Д.Ю.</v>
          </cell>
          <cell r="F1019" t="str">
            <v>Экскаватор  JCB 3CX 2008</v>
          </cell>
          <cell r="I1019">
            <v>9</v>
          </cell>
          <cell r="J1019">
            <v>8</v>
          </cell>
        </row>
        <row r="1020">
          <cell r="B1020">
            <v>45251</v>
          </cell>
          <cell r="E1020" t="str">
            <v>Зенкін Д.Ю.</v>
          </cell>
          <cell r="F1020" t="str">
            <v>Экскаватор  JCB 3CX 2008</v>
          </cell>
          <cell r="I1020">
            <v>9</v>
          </cell>
          <cell r="J1020">
            <v>10</v>
          </cell>
          <cell r="L1020">
            <v>1</v>
          </cell>
        </row>
        <row r="1021">
          <cell r="B1021">
            <v>45252</v>
          </cell>
          <cell r="E1021" t="str">
            <v>Зенкін Д.Ю.</v>
          </cell>
          <cell r="F1021" t="str">
            <v>Экскаватор  JCB 3CX 2008</v>
          </cell>
          <cell r="I1021">
            <v>9</v>
          </cell>
          <cell r="J1021">
            <v>9</v>
          </cell>
          <cell r="K1021">
            <v>2</v>
          </cell>
          <cell r="L1021">
            <v>1</v>
          </cell>
        </row>
        <row r="1022">
          <cell r="B1022">
            <v>45253</v>
          </cell>
          <cell r="E1022" t="str">
            <v>Зенкін Д.Ю.</v>
          </cell>
          <cell r="F1022" t="str">
            <v>Экскаватор  JCB 3CX 2008</v>
          </cell>
          <cell r="I1022">
            <v>9</v>
          </cell>
          <cell r="J1022">
            <v>8</v>
          </cell>
          <cell r="K1022">
            <v>8</v>
          </cell>
        </row>
        <row r="1023">
          <cell r="B1023">
            <v>45257</v>
          </cell>
          <cell r="E1023" t="str">
            <v>Зенкін Д.Ю.</v>
          </cell>
          <cell r="F1023" t="str">
            <v>Экскаватор  JCB 3CX 2008</v>
          </cell>
          <cell r="I1023">
            <v>9</v>
          </cell>
          <cell r="J1023">
            <v>9</v>
          </cell>
        </row>
        <row r="1024">
          <cell r="B1024">
            <v>45258</v>
          </cell>
          <cell r="E1024" t="str">
            <v>Зенкін Д.Ю.</v>
          </cell>
          <cell r="F1024" t="str">
            <v>Экскаватор  JCB 3CX 2008</v>
          </cell>
          <cell r="I1024">
            <v>9</v>
          </cell>
          <cell r="J1024">
            <v>13</v>
          </cell>
        </row>
        <row r="1025">
          <cell r="B1025">
            <v>45259</v>
          </cell>
          <cell r="E1025" t="str">
            <v>Зенкін Д.Ю.</v>
          </cell>
          <cell r="F1025" t="str">
            <v>Экскаватор  JCB 3CX 2008</v>
          </cell>
          <cell r="I1025">
            <v>9</v>
          </cell>
          <cell r="J1025">
            <v>12</v>
          </cell>
        </row>
        <row r="1026">
          <cell r="B1026">
            <v>45246</v>
          </cell>
          <cell r="E1026" t="str">
            <v>Скоц С.І.</v>
          </cell>
          <cell r="F1026" t="str">
            <v>Экскаватор JCB 220</v>
          </cell>
          <cell r="I1026">
            <v>11</v>
          </cell>
          <cell r="J1026">
            <v>8</v>
          </cell>
          <cell r="K1026">
            <v>8</v>
          </cell>
        </row>
        <row r="1027">
          <cell r="B1027">
            <v>45247</v>
          </cell>
          <cell r="E1027" t="str">
            <v>Скоц С.І.</v>
          </cell>
          <cell r="F1027" t="str">
            <v>Экскаватор JCB 220</v>
          </cell>
          <cell r="I1027">
            <v>11</v>
          </cell>
          <cell r="J1027">
            <v>8</v>
          </cell>
          <cell r="K1027">
            <v>8</v>
          </cell>
        </row>
        <row r="1028">
          <cell r="B1028">
            <v>45248</v>
          </cell>
          <cell r="E1028" t="str">
            <v>Скоц С.І.</v>
          </cell>
          <cell r="F1028" t="str">
            <v>Экскаватор JCB 220</v>
          </cell>
          <cell r="I1028">
            <v>11</v>
          </cell>
          <cell r="J1028">
            <v>14</v>
          </cell>
        </row>
        <row r="1029">
          <cell r="B1029">
            <v>45249</v>
          </cell>
          <cell r="E1029" t="str">
            <v>Скоц С.І.</v>
          </cell>
          <cell r="F1029" t="str">
            <v>Экскаватор JCB 220</v>
          </cell>
          <cell r="I1029">
            <v>11</v>
          </cell>
          <cell r="J1029">
            <v>14</v>
          </cell>
        </row>
        <row r="1030">
          <cell r="B1030">
            <v>45250</v>
          </cell>
          <cell r="E1030" t="str">
            <v>Скоц С.І.</v>
          </cell>
          <cell r="F1030" t="str">
            <v>Экскаватор JCB 220</v>
          </cell>
          <cell r="I1030">
            <v>11</v>
          </cell>
          <cell r="J1030">
            <v>14</v>
          </cell>
        </row>
        <row r="1031">
          <cell r="B1031">
            <v>45251</v>
          </cell>
          <cell r="E1031" t="str">
            <v>Скоц С.І.</v>
          </cell>
          <cell r="F1031" t="str">
            <v>Экскаватор JCB 220</v>
          </cell>
          <cell r="I1031">
            <v>11</v>
          </cell>
          <cell r="J1031">
            <v>13</v>
          </cell>
          <cell r="K1031">
            <v>2</v>
          </cell>
          <cell r="L1031">
            <v>1</v>
          </cell>
        </row>
        <row r="1032">
          <cell r="B1032">
            <v>45252</v>
          </cell>
          <cell r="E1032" t="str">
            <v>Скоц С.І.</v>
          </cell>
          <cell r="F1032" t="str">
            <v>Экскаватор JCB 220</v>
          </cell>
          <cell r="I1032">
            <v>11</v>
          </cell>
          <cell r="J1032">
            <v>8</v>
          </cell>
          <cell r="K1032">
            <v>8</v>
          </cell>
        </row>
        <row r="1033">
          <cell r="B1033">
            <v>45253</v>
          </cell>
          <cell r="E1033" t="str">
            <v>Скоц С.І.</v>
          </cell>
          <cell r="F1033" t="str">
            <v>Экскаватор JCB 220</v>
          </cell>
          <cell r="I1033">
            <v>11</v>
          </cell>
          <cell r="J1033">
            <v>13</v>
          </cell>
        </row>
        <row r="1034">
          <cell r="B1034">
            <v>45231</v>
          </cell>
          <cell r="E1034" t="str">
            <v>Мусієнко І.І.</v>
          </cell>
          <cell r="F1034" t="str">
            <v>Телескоп №1</v>
          </cell>
          <cell r="I1034">
            <v>1</v>
          </cell>
          <cell r="J1034">
            <v>11</v>
          </cell>
        </row>
        <row r="1035">
          <cell r="B1035">
            <v>45232</v>
          </cell>
          <cell r="E1035" t="str">
            <v>Мусієнко І.І.</v>
          </cell>
          <cell r="F1035" t="str">
            <v>Телескоп №1</v>
          </cell>
          <cell r="I1035">
            <v>1</v>
          </cell>
          <cell r="J1035">
            <v>12</v>
          </cell>
          <cell r="L1035">
            <v>1</v>
          </cell>
        </row>
        <row r="1036">
          <cell r="B1036">
            <v>45233</v>
          </cell>
          <cell r="E1036" t="str">
            <v>Мусієнко І.І.</v>
          </cell>
          <cell r="F1036" t="str">
            <v>Телескоп №1</v>
          </cell>
          <cell r="I1036">
            <v>1</v>
          </cell>
          <cell r="J1036">
            <v>10</v>
          </cell>
          <cell r="K1036">
            <v>1</v>
          </cell>
        </row>
        <row r="1037">
          <cell r="B1037">
            <v>45234</v>
          </cell>
          <cell r="E1037" t="str">
            <v>Мусієнко І.І.</v>
          </cell>
          <cell r="F1037" t="str">
            <v>Телескоп №1</v>
          </cell>
          <cell r="I1037">
            <v>1</v>
          </cell>
          <cell r="J1037">
            <v>5</v>
          </cell>
        </row>
        <row r="1038">
          <cell r="B1038">
            <v>45235</v>
          </cell>
          <cell r="E1038" t="str">
            <v>Мусієнко І.І.</v>
          </cell>
          <cell r="F1038" t="str">
            <v>Телескоп №1</v>
          </cell>
          <cell r="I1038">
            <v>1</v>
          </cell>
          <cell r="J1038">
            <v>8</v>
          </cell>
        </row>
        <row r="1039">
          <cell r="B1039">
            <v>45237</v>
          </cell>
          <cell r="E1039" t="str">
            <v>Мусієнко І.І.</v>
          </cell>
          <cell r="F1039" t="str">
            <v>Телескоп №1</v>
          </cell>
          <cell r="I1039">
            <v>1</v>
          </cell>
          <cell r="J1039">
            <v>11</v>
          </cell>
          <cell r="K1039">
            <v>9</v>
          </cell>
        </row>
        <row r="1040">
          <cell r="B1040">
            <v>45238</v>
          </cell>
          <cell r="E1040" t="str">
            <v>Мусієнко І.І.</v>
          </cell>
          <cell r="F1040" t="str">
            <v>Телескоп №1</v>
          </cell>
          <cell r="I1040">
            <v>1</v>
          </cell>
          <cell r="J1040">
            <v>6</v>
          </cell>
          <cell r="L1040">
            <v>1</v>
          </cell>
        </row>
        <row r="1041">
          <cell r="B1041">
            <v>45239</v>
          </cell>
          <cell r="E1041" t="str">
            <v>Мусієнко І.І.</v>
          </cell>
          <cell r="F1041" t="str">
            <v>Телескоп №1</v>
          </cell>
          <cell r="I1041">
            <v>1</v>
          </cell>
          <cell r="J1041">
            <v>9</v>
          </cell>
        </row>
        <row r="1042">
          <cell r="B1042">
            <v>45240</v>
          </cell>
          <cell r="E1042" t="str">
            <v>Мусієнко І.І.</v>
          </cell>
          <cell r="F1042" t="str">
            <v>Телескоп №1</v>
          </cell>
          <cell r="I1042">
            <v>1</v>
          </cell>
          <cell r="J1042">
            <v>12</v>
          </cell>
          <cell r="K1042">
            <v>1</v>
          </cell>
        </row>
        <row r="1043">
          <cell r="B1043">
            <v>45241</v>
          </cell>
          <cell r="E1043" t="str">
            <v>Мусієнко І.І.</v>
          </cell>
          <cell r="F1043" t="str">
            <v>Телескоп №1</v>
          </cell>
          <cell r="I1043">
            <v>1</v>
          </cell>
          <cell r="J1043">
            <v>6</v>
          </cell>
        </row>
        <row r="1044">
          <cell r="B1044">
            <v>45243</v>
          </cell>
          <cell r="E1044" t="str">
            <v>Мусієнко І.І.</v>
          </cell>
          <cell r="F1044" t="str">
            <v>Телескоп №1</v>
          </cell>
          <cell r="I1044">
            <v>1</v>
          </cell>
          <cell r="J1044">
            <v>11</v>
          </cell>
        </row>
        <row r="1045">
          <cell r="B1045">
            <v>45244</v>
          </cell>
          <cell r="E1045" t="str">
            <v>Мусієнко І.І.</v>
          </cell>
          <cell r="F1045" t="str">
            <v>Телескоп №1</v>
          </cell>
          <cell r="I1045">
            <v>1</v>
          </cell>
          <cell r="J1045">
            <v>10</v>
          </cell>
        </row>
        <row r="1046">
          <cell r="B1046">
            <v>45245</v>
          </cell>
          <cell r="E1046" t="str">
            <v>Мусієнко І.І.</v>
          </cell>
          <cell r="F1046" t="str">
            <v>Телескоп №1</v>
          </cell>
          <cell r="I1046">
            <v>1</v>
          </cell>
          <cell r="J1046">
            <v>10</v>
          </cell>
        </row>
        <row r="1047">
          <cell r="B1047">
            <v>45246</v>
          </cell>
          <cell r="E1047" t="str">
            <v>Мусієнко І.І.</v>
          </cell>
          <cell r="F1047" t="str">
            <v>Телескоп №1</v>
          </cell>
          <cell r="I1047">
            <v>1</v>
          </cell>
          <cell r="J1047">
            <v>10</v>
          </cell>
        </row>
        <row r="1048">
          <cell r="B1048">
            <v>45247</v>
          </cell>
          <cell r="E1048" t="str">
            <v>Мусієнко І.І.</v>
          </cell>
          <cell r="F1048" t="str">
            <v>Телескоп №1</v>
          </cell>
          <cell r="I1048">
            <v>1</v>
          </cell>
          <cell r="J1048">
            <v>9</v>
          </cell>
          <cell r="K1048">
            <v>9</v>
          </cell>
        </row>
        <row r="1049">
          <cell r="B1049">
            <v>45250</v>
          </cell>
          <cell r="E1049" t="str">
            <v>Мусієнко І.І.</v>
          </cell>
          <cell r="F1049" t="str">
            <v>Телескоп №1</v>
          </cell>
          <cell r="I1049">
            <v>1</v>
          </cell>
          <cell r="J1049">
            <v>8</v>
          </cell>
          <cell r="K1049">
            <v>8</v>
          </cell>
        </row>
        <row r="1050">
          <cell r="B1050">
            <v>45251</v>
          </cell>
          <cell r="E1050" t="str">
            <v>Мусієнко І.І.</v>
          </cell>
          <cell r="F1050" t="str">
            <v>Телескоп №1</v>
          </cell>
          <cell r="I1050">
            <v>1</v>
          </cell>
          <cell r="J1050">
            <v>8</v>
          </cell>
          <cell r="K1050">
            <v>8</v>
          </cell>
        </row>
        <row r="1051">
          <cell r="B1051">
            <v>45252</v>
          </cell>
          <cell r="E1051" t="str">
            <v>Мусієнко І.І.</v>
          </cell>
          <cell r="F1051" t="str">
            <v>Телескоп №1</v>
          </cell>
          <cell r="I1051">
            <v>1</v>
          </cell>
          <cell r="J1051">
            <v>8</v>
          </cell>
          <cell r="K1051">
            <v>8</v>
          </cell>
        </row>
        <row r="1052">
          <cell r="B1052">
            <v>45253</v>
          </cell>
          <cell r="E1052" t="str">
            <v>Мусієнко І.І.</v>
          </cell>
          <cell r="F1052" t="str">
            <v>Телескоп №1</v>
          </cell>
          <cell r="I1052">
            <v>1</v>
          </cell>
          <cell r="J1052">
            <v>8</v>
          </cell>
          <cell r="K1052">
            <v>8</v>
          </cell>
        </row>
        <row r="1053">
          <cell r="B1053">
            <v>45254</v>
          </cell>
          <cell r="E1053" t="str">
            <v>Мусієнко І.І.</v>
          </cell>
          <cell r="F1053" t="str">
            <v>Телескоп №1</v>
          </cell>
          <cell r="I1053">
            <v>1</v>
          </cell>
          <cell r="J1053">
            <v>8</v>
          </cell>
          <cell r="K1053">
            <v>8</v>
          </cell>
        </row>
        <row r="1054">
          <cell r="B1054">
            <v>45255</v>
          </cell>
          <cell r="E1054" t="str">
            <v>Мусієнко І.І.</v>
          </cell>
          <cell r="F1054" t="str">
            <v>Телескоп №1</v>
          </cell>
          <cell r="I1054">
            <v>1</v>
          </cell>
          <cell r="J1054">
            <v>10</v>
          </cell>
          <cell r="K1054">
            <v>6</v>
          </cell>
        </row>
        <row r="1055">
          <cell r="B1055">
            <v>45256</v>
          </cell>
          <cell r="E1055" t="str">
            <v>Мусієнко І.І.</v>
          </cell>
          <cell r="F1055" t="str">
            <v>Телескоп №1</v>
          </cell>
          <cell r="I1055">
            <v>1</v>
          </cell>
          <cell r="J1055">
            <v>9</v>
          </cell>
        </row>
        <row r="1056">
          <cell r="B1056">
            <v>45257</v>
          </cell>
          <cell r="E1056" t="str">
            <v>Мусієнко І.І.</v>
          </cell>
          <cell r="F1056" t="str">
            <v>Телескоп №1</v>
          </cell>
          <cell r="I1056">
            <v>1</v>
          </cell>
          <cell r="J1056">
            <v>12</v>
          </cell>
          <cell r="L1056">
            <v>1</v>
          </cell>
        </row>
        <row r="1057">
          <cell r="B1057">
            <v>45258</v>
          </cell>
          <cell r="E1057" t="str">
            <v>Мусієнко І.І.</v>
          </cell>
          <cell r="F1057" t="str">
            <v>Телескоп №1</v>
          </cell>
          <cell r="I1057">
            <v>1</v>
          </cell>
          <cell r="J1057">
            <v>10</v>
          </cell>
        </row>
        <row r="1058">
          <cell r="B1058">
            <v>45259</v>
          </cell>
          <cell r="E1058" t="str">
            <v>Мусієнко І.І.</v>
          </cell>
          <cell r="F1058" t="str">
            <v>Телескоп №1</v>
          </cell>
          <cell r="I1058">
            <v>1</v>
          </cell>
          <cell r="J1058">
            <v>11</v>
          </cell>
          <cell r="L1058">
            <v>1</v>
          </cell>
        </row>
        <row r="1059">
          <cell r="B1059">
            <v>45260</v>
          </cell>
          <cell r="E1059" t="str">
            <v>Мусієнко І.І.</v>
          </cell>
          <cell r="F1059" t="str">
            <v>Телескоп №1</v>
          </cell>
          <cell r="I1059">
            <v>1</v>
          </cell>
          <cell r="J1059">
            <v>9</v>
          </cell>
        </row>
        <row r="1060">
          <cell r="B1060">
            <v>45231</v>
          </cell>
          <cell r="E1060" t="str">
            <v>Горячий І.В.</v>
          </cell>
          <cell r="F1060" t="str">
            <v>Телескоп №2</v>
          </cell>
          <cell r="I1060">
            <v>2</v>
          </cell>
          <cell r="J1060">
            <v>9</v>
          </cell>
          <cell r="L1060">
            <v>1</v>
          </cell>
        </row>
        <row r="1061">
          <cell r="B1061">
            <v>45232</v>
          </cell>
          <cell r="E1061" t="str">
            <v>Горячий І.В.</v>
          </cell>
          <cell r="F1061" t="str">
            <v>Телескоп №2</v>
          </cell>
          <cell r="I1061">
            <v>2</v>
          </cell>
          <cell r="J1061">
            <v>8</v>
          </cell>
        </row>
        <row r="1062">
          <cell r="B1062">
            <v>45233</v>
          </cell>
          <cell r="E1062" t="str">
            <v>Горячий І.В.</v>
          </cell>
          <cell r="F1062" t="str">
            <v>Телескоп №2</v>
          </cell>
          <cell r="I1062">
            <v>2</v>
          </cell>
          <cell r="J1062">
            <v>9</v>
          </cell>
          <cell r="K1062">
            <v>1</v>
          </cell>
        </row>
        <row r="1063">
          <cell r="B1063">
            <v>45234</v>
          </cell>
          <cell r="E1063" t="str">
            <v>Горячий І.В.</v>
          </cell>
          <cell r="F1063" t="str">
            <v>Телескоп №2</v>
          </cell>
          <cell r="I1063">
            <v>2</v>
          </cell>
          <cell r="J1063">
            <v>4</v>
          </cell>
        </row>
        <row r="1064">
          <cell r="B1064">
            <v>45236</v>
          </cell>
          <cell r="E1064" t="str">
            <v>Горячий І.В.</v>
          </cell>
          <cell r="F1064" t="str">
            <v>Телескоп №2</v>
          </cell>
          <cell r="I1064">
            <v>2</v>
          </cell>
          <cell r="J1064">
            <v>10</v>
          </cell>
        </row>
        <row r="1065">
          <cell r="B1065">
            <v>45237</v>
          </cell>
          <cell r="E1065" t="str">
            <v>Горячий І.В.</v>
          </cell>
          <cell r="F1065" t="str">
            <v>Телескоп №2</v>
          </cell>
          <cell r="I1065">
            <v>2</v>
          </cell>
          <cell r="J1065">
            <v>9</v>
          </cell>
        </row>
        <row r="1066">
          <cell r="B1066">
            <v>45238</v>
          </cell>
          <cell r="E1066" t="str">
            <v>Горячий І.В.</v>
          </cell>
          <cell r="F1066" t="str">
            <v>Телескоп №2</v>
          </cell>
          <cell r="I1066">
            <v>2</v>
          </cell>
          <cell r="J1066">
            <v>9</v>
          </cell>
        </row>
        <row r="1067">
          <cell r="B1067">
            <v>45239</v>
          </cell>
          <cell r="E1067" t="str">
            <v>Горячий І.В.</v>
          </cell>
          <cell r="F1067" t="str">
            <v>Телескоп №2</v>
          </cell>
          <cell r="I1067">
            <v>2</v>
          </cell>
          <cell r="J1067">
            <v>8</v>
          </cell>
        </row>
        <row r="1068">
          <cell r="B1068">
            <v>45240</v>
          </cell>
          <cell r="E1068" t="str">
            <v>Горячий І.В.</v>
          </cell>
          <cell r="F1068" t="str">
            <v>Телескоп №2</v>
          </cell>
          <cell r="I1068">
            <v>2</v>
          </cell>
          <cell r="J1068">
            <v>10</v>
          </cell>
          <cell r="K1068">
            <v>1</v>
          </cell>
          <cell r="L1068">
            <v>1</v>
          </cell>
        </row>
        <row r="1069">
          <cell r="B1069">
            <v>45243</v>
          </cell>
          <cell r="E1069" t="str">
            <v>Горячий І.В.</v>
          </cell>
          <cell r="F1069" t="str">
            <v>Телескоп №2</v>
          </cell>
          <cell r="I1069">
            <v>2</v>
          </cell>
          <cell r="J1069">
            <v>11</v>
          </cell>
        </row>
        <row r="1070">
          <cell r="B1070">
            <v>45244</v>
          </cell>
          <cell r="E1070" t="str">
            <v>Горячий І.В.</v>
          </cell>
          <cell r="F1070" t="str">
            <v>Телескоп №2</v>
          </cell>
          <cell r="I1070">
            <v>2</v>
          </cell>
          <cell r="J1070">
            <v>6</v>
          </cell>
        </row>
        <row r="1071">
          <cell r="B1071">
            <v>45245</v>
          </cell>
          <cell r="E1071" t="str">
            <v>Горячий І.В.</v>
          </cell>
          <cell r="F1071" t="str">
            <v>Телескоп №2</v>
          </cell>
          <cell r="I1071">
            <v>2</v>
          </cell>
          <cell r="J1071">
            <v>8</v>
          </cell>
        </row>
        <row r="1072">
          <cell r="B1072">
            <v>45246</v>
          </cell>
          <cell r="E1072" t="str">
            <v>Горячий І.В.</v>
          </cell>
          <cell r="F1072" t="str">
            <v>Телескоп №2</v>
          </cell>
          <cell r="I1072">
            <v>2</v>
          </cell>
          <cell r="J1072">
            <v>10</v>
          </cell>
          <cell r="K1072">
            <v>2</v>
          </cell>
        </row>
        <row r="1073">
          <cell r="B1073">
            <v>45247</v>
          </cell>
          <cell r="E1073" t="str">
            <v>Савранский І.В.</v>
          </cell>
          <cell r="F1073" t="str">
            <v>Телескоп №2</v>
          </cell>
          <cell r="I1073">
            <v>2</v>
          </cell>
          <cell r="J1073">
            <v>8</v>
          </cell>
        </row>
        <row r="1074">
          <cell r="B1074">
            <v>45248</v>
          </cell>
          <cell r="E1074" t="str">
            <v>Савранский І.В.</v>
          </cell>
          <cell r="F1074" t="str">
            <v>Телескоп №2</v>
          </cell>
          <cell r="I1074">
            <v>2</v>
          </cell>
          <cell r="J1074">
            <v>4</v>
          </cell>
        </row>
        <row r="1075">
          <cell r="B1075">
            <v>45250</v>
          </cell>
          <cell r="E1075" t="str">
            <v>Савранский І.В.</v>
          </cell>
          <cell r="F1075" t="str">
            <v>Телескоп №2</v>
          </cell>
          <cell r="I1075">
            <v>2</v>
          </cell>
          <cell r="J1075">
            <v>8</v>
          </cell>
          <cell r="K1075">
            <v>8</v>
          </cell>
        </row>
        <row r="1076">
          <cell r="B1076">
            <v>45251</v>
          </cell>
          <cell r="E1076" t="str">
            <v>Савранский І.В.</v>
          </cell>
          <cell r="F1076" t="str">
            <v>Телескоп №2</v>
          </cell>
          <cell r="I1076">
            <v>2</v>
          </cell>
          <cell r="J1076">
            <v>8</v>
          </cell>
          <cell r="K1076">
            <v>8</v>
          </cell>
        </row>
        <row r="1077">
          <cell r="B1077">
            <v>45252</v>
          </cell>
          <cell r="E1077" t="str">
            <v>Савранский І.В.</v>
          </cell>
          <cell r="F1077" t="str">
            <v>Телескоп №2</v>
          </cell>
          <cell r="I1077">
            <v>2</v>
          </cell>
          <cell r="J1077">
            <v>6</v>
          </cell>
          <cell r="K1077">
            <v>6</v>
          </cell>
        </row>
        <row r="1078">
          <cell r="B1078">
            <v>45253</v>
          </cell>
          <cell r="E1078" t="str">
            <v>Савранский І.В.</v>
          </cell>
          <cell r="F1078" t="str">
            <v>Телескоп №2</v>
          </cell>
          <cell r="I1078">
            <v>2</v>
          </cell>
          <cell r="J1078">
            <v>8</v>
          </cell>
        </row>
        <row r="1079">
          <cell r="B1079">
            <v>45259</v>
          </cell>
          <cell r="E1079" t="str">
            <v>Савранский І.В.</v>
          </cell>
          <cell r="F1079" t="str">
            <v>Телескоп №2</v>
          </cell>
          <cell r="I1079">
            <v>2</v>
          </cell>
          <cell r="J1079">
            <v>7</v>
          </cell>
          <cell r="K1079">
            <v>7</v>
          </cell>
        </row>
        <row r="1080">
          <cell r="B1080">
            <v>45260</v>
          </cell>
          <cell r="E1080" t="str">
            <v>Савранский І.В.</v>
          </cell>
          <cell r="F1080" t="str">
            <v>Телескоп №2</v>
          </cell>
          <cell r="I1080">
            <v>2</v>
          </cell>
          <cell r="J1080">
            <v>8</v>
          </cell>
          <cell r="L1080">
            <v>1</v>
          </cell>
        </row>
        <row r="1081">
          <cell r="B1081">
            <v>45231</v>
          </cell>
          <cell r="E1081" t="str">
            <v>Скоц С.І.</v>
          </cell>
          <cell r="F1081" t="str">
            <v>Экскаватор JCB 220</v>
          </cell>
          <cell r="I1081">
            <v>11</v>
          </cell>
          <cell r="J1081">
            <v>8</v>
          </cell>
          <cell r="K1081">
            <v>3</v>
          </cell>
        </row>
        <row r="1082">
          <cell r="B1082">
            <v>45232</v>
          </cell>
          <cell r="E1082" t="str">
            <v>Скоц С.І.</v>
          </cell>
          <cell r="F1082" t="str">
            <v>Экскаватор JCB 220</v>
          </cell>
          <cell r="I1082">
            <v>11</v>
          </cell>
          <cell r="J1082">
            <v>9</v>
          </cell>
        </row>
        <row r="1083">
          <cell r="B1083">
            <v>45233</v>
          </cell>
          <cell r="E1083" t="str">
            <v>Скоц С.І.</v>
          </cell>
          <cell r="F1083" t="str">
            <v>Экскаватор JCB 220</v>
          </cell>
          <cell r="I1083">
            <v>11</v>
          </cell>
          <cell r="J1083">
            <v>9</v>
          </cell>
          <cell r="K1083">
            <v>4</v>
          </cell>
        </row>
        <row r="1084">
          <cell r="B1084">
            <v>45234</v>
          </cell>
          <cell r="E1084" t="str">
            <v>Скоц С.І.</v>
          </cell>
          <cell r="F1084" t="str">
            <v>Экскаватор JCB 220</v>
          </cell>
          <cell r="I1084">
            <v>11</v>
          </cell>
          <cell r="J1084">
            <v>8</v>
          </cell>
          <cell r="K1084">
            <v>8</v>
          </cell>
        </row>
        <row r="1085">
          <cell r="B1085">
            <v>45235</v>
          </cell>
          <cell r="E1085" t="str">
            <v>Скоц С.І.</v>
          </cell>
          <cell r="F1085" t="str">
            <v>Экскаватор JCB 220</v>
          </cell>
          <cell r="I1085">
            <v>11</v>
          </cell>
          <cell r="J1085">
            <v>8</v>
          </cell>
        </row>
        <row r="1086">
          <cell r="B1086">
            <v>45236</v>
          </cell>
          <cell r="E1086" t="str">
            <v>Скоц С.І.</v>
          </cell>
          <cell r="F1086" t="str">
            <v>Экскаватор JCB 220</v>
          </cell>
          <cell r="I1086">
            <v>11</v>
          </cell>
          <cell r="J1086">
            <v>11</v>
          </cell>
        </row>
        <row r="1087">
          <cell r="B1087">
            <v>45237</v>
          </cell>
          <cell r="E1087" t="str">
            <v>Скоц С.І.</v>
          </cell>
          <cell r="F1087" t="str">
            <v>Экскаватор JCB 220</v>
          </cell>
          <cell r="I1087">
            <v>11</v>
          </cell>
          <cell r="J1087">
            <v>11</v>
          </cell>
        </row>
        <row r="1088">
          <cell r="B1088">
            <v>45238</v>
          </cell>
          <cell r="E1088" t="str">
            <v>Скоц С.І.</v>
          </cell>
          <cell r="F1088" t="str">
            <v>Экскаватор JCB 220</v>
          </cell>
          <cell r="I1088">
            <v>11</v>
          </cell>
          <cell r="J1088">
            <v>5</v>
          </cell>
        </row>
        <row r="1089">
          <cell r="B1089">
            <v>45239</v>
          </cell>
          <cell r="E1089" t="str">
            <v>Скоц С.І.</v>
          </cell>
          <cell r="F1089" t="str">
            <v>Экскаватор JCB 220</v>
          </cell>
          <cell r="I1089">
            <v>11</v>
          </cell>
          <cell r="J1089">
            <v>10</v>
          </cell>
          <cell r="L1089">
            <v>1</v>
          </cell>
        </row>
        <row r="1090">
          <cell r="B1090">
            <v>45240</v>
          </cell>
          <cell r="E1090" t="str">
            <v>Скоц С.І.</v>
          </cell>
          <cell r="F1090" t="str">
            <v>Экскаватор JCB 220</v>
          </cell>
          <cell r="I1090">
            <v>11</v>
          </cell>
          <cell r="J1090">
            <v>10</v>
          </cell>
        </row>
        <row r="1091">
          <cell r="B1091">
            <v>45241</v>
          </cell>
          <cell r="E1091" t="str">
            <v>Скоц С.І.</v>
          </cell>
          <cell r="F1091" t="str">
            <v>Экскаватор JCB 220</v>
          </cell>
          <cell r="I1091">
            <v>11</v>
          </cell>
          <cell r="J1091">
            <v>5</v>
          </cell>
          <cell r="K1091">
            <v>5</v>
          </cell>
        </row>
        <row r="1092">
          <cell r="B1092">
            <v>45245</v>
          </cell>
          <cell r="E1092" t="str">
            <v>Скоц С.І.</v>
          </cell>
          <cell r="F1092" t="str">
            <v>Экскаватор JCB 220</v>
          </cell>
          <cell r="I1092">
            <v>11</v>
          </cell>
          <cell r="J1092">
            <v>8</v>
          </cell>
          <cell r="K1092">
            <v>3</v>
          </cell>
        </row>
        <row r="1093">
          <cell r="B1093">
            <v>45238</v>
          </cell>
          <cell r="E1093" t="str">
            <v>Косік Ю.А.</v>
          </cell>
          <cell r="F1093" t="str">
            <v>Телескоп №4</v>
          </cell>
          <cell r="I1093">
            <v>4</v>
          </cell>
          <cell r="J1093">
            <v>8</v>
          </cell>
        </row>
        <row r="1094">
          <cell r="B1094">
            <v>45239</v>
          </cell>
          <cell r="E1094" t="str">
            <v>Косік Ю.А.</v>
          </cell>
          <cell r="F1094" t="str">
            <v>Телескоп №4</v>
          </cell>
          <cell r="I1094">
            <v>4</v>
          </cell>
          <cell r="J1094">
            <v>8</v>
          </cell>
        </row>
        <row r="1095">
          <cell r="B1095">
            <v>45240</v>
          </cell>
          <cell r="E1095" t="str">
            <v>Косік Ю.А.</v>
          </cell>
          <cell r="F1095" t="str">
            <v>Телескоп №4</v>
          </cell>
          <cell r="I1095">
            <v>4</v>
          </cell>
          <cell r="J1095">
            <v>8</v>
          </cell>
        </row>
        <row r="1096">
          <cell r="B1096">
            <v>45241</v>
          </cell>
          <cell r="E1096" t="str">
            <v>Косік Ю.А.</v>
          </cell>
          <cell r="F1096" t="str">
            <v>Телескоп №4</v>
          </cell>
          <cell r="I1096">
            <v>4</v>
          </cell>
          <cell r="J1096">
            <v>7</v>
          </cell>
        </row>
        <row r="1097">
          <cell r="B1097">
            <v>45243</v>
          </cell>
          <cell r="E1097" t="str">
            <v>Косік Ю.А.</v>
          </cell>
          <cell r="F1097" t="str">
            <v>Телескоп №4</v>
          </cell>
          <cell r="I1097">
            <v>4</v>
          </cell>
          <cell r="J1097">
            <v>8</v>
          </cell>
        </row>
        <row r="1098">
          <cell r="B1098">
            <v>45244</v>
          </cell>
          <cell r="E1098" t="str">
            <v>Косік Ю.А.</v>
          </cell>
          <cell r="F1098" t="str">
            <v>Телескоп №4</v>
          </cell>
          <cell r="I1098">
            <v>4</v>
          </cell>
          <cell r="J1098">
            <v>8</v>
          </cell>
        </row>
        <row r="1099">
          <cell r="B1099">
            <v>45245</v>
          </cell>
          <cell r="E1099" t="str">
            <v>Косік Ю.А.</v>
          </cell>
          <cell r="F1099" t="str">
            <v>Телескоп №4</v>
          </cell>
          <cell r="I1099">
            <v>4</v>
          </cell>
          <cell r="J1099">
            <v>8</v>
          </cell>
        </row>
        <row r="1100">
          <cell r="B1100">
            <v>45246</v>
          </cell>
          <cell r="E1100" t="str">
            <v>Косік Ю.А.</v>
          </cell>
          <cell r="F1100" t="str">
            <v>Телескоп №4</v>
          </cell>
          <cell r="I1100">
            <v>4</v>
          </cell>
          <cell r="J1100">
            <v>8</v>
          </cell>
        </row>
        <row r="1101">
          <cell r="B1101">
            <v>45247</v>
          </cell>
          <cell r="E1101" t="str">
            <v>Косік Ю.А.</v>
          </cell>
          <cell r="F1101" t="str">
            <v>Телескоп №4</v>
          </cell>
          <cell r="I1101">
            <v>4</v>
          </cell>
          <cell r="J1101">
            <v>8</v>
          </cell>
        </row>
        <row r="1102">
          <cell r="B1102">
            <v>45248</v>
          </cell>
          <cell r="E1102" t="str">
            <v>Косік Ю.А.</v>
          </cell>
          <cell r="F1102" t="str">
            <v>Телескоп №4</v>
          </cell>
          <cell r="I1102">
            <v>4</v>
          </cell>
          <cell r="J1102">
            <v>7</v>
          </cell>
        </row>
        <row r="1103">
          <cell r="B1103">
            <v>45250</v>
          </cell>
          <cell r="E1103" t="str">
            <v>Косік Ю.А.</v>
          </cell>
          <cell r="F1103" t="str">
            <v>Телескоп №4</v>
          </cell>
          <cell r="I1103">
            <v>4</v>
          </cell>
          <cell r="J1103">
            <v>8</v>
          </cell>
        </row>
        <row r="1104">
          <cell r="B1104">
            <v>45251</v>
          </cell>
          <cell r="E1104" t="str">
            <v>Косік Ю.А.</v>
          </cell>
          <cell r="F1104" t="str">
            <v>Телескоп №4</v>
          </cell>
          <cell r="I1104">
            <v>4</v>
          </cell>
          <cell r="J1104">
            <v>8</v>
          </cell>
        </row>
        <row r="1105">
          <cell r="B1105">
            <v>45252</v>
          </cell>
          <cell r="E1105" t="str">
            <v>Косік Ю.А.</v>
          </cell>
          <cell r="F1105" t="str">
            <v>Телескоп №4</v>
          </cell>
          <cell r="I1105">
            <v>4</v>
          </cell>
          <cell r="J1105">
            <v>8</v>
          </cell>
        </row>
        <row r="1106">
          <cell r="B1106">
            <v>45253</v>
          </cell>
          <cell r="E1106" t="str">
            <v>Косік Ю.А.</v>
          </cell>
          <cell r="F1106" t="str">
            <v>Телескоп №4</v>
          </cell>
          <cell r="I1106">
            <v>4</v>
          </cell>
          <cell r="J1106">
            <v>8</v>
          </cell>
        </row>
        <row r="1107">
          <cell r="B1107">
            <v>45254</v>
          </cell>
          <cell r="E1107" t="str">
            <v>Косік Ю.А.</v>
          </cell>
          <cell r="F1107" t="str">
            <v>Телескоп №4</v>
          </cell>
          <cell r="I1107">
            <v>4</v>
          </cell>
          <cell r="J1107">
            <v>8</v>
          </cell>
        </row>
        <row r="1108">
          <cell r="B1108">
            <v>45257</v>
          </cell>
          <cell r="E1108" t="str">
            <v>Косік Ю.А.</v>
          </cell>
          <cell r="F1108" t="str">
            <v>Телескоп №4</v>
          </cell>
          <cell r="I1108">
            <v>4</v>
          </cell>
          <cell r="J1108">
            <v>8</v>
          </cell>
        </row>
        <row r="1109">
          <cell r="B1109">
            <v>45258</v>
          </cell>
          <cell r="E1109" t="str">
            <v>Косік Ю.А.</v>
          </cell>
          <cell r="F1109" t="str">
            <v>Телескоп №4</v>
          </cell>
          <cell r="I1109">
            <v>4</v>
          </cell>
          <cell r="J1109">
            <v>9</v>
          </cell>
        </row>
        <row r="1110">
          <cell r="B1110">
            <v>45259</v>
          </cell>
          <cell r="E1110" t="str">
            <v>Косік Ю.А.</v>
          </cell>
          <cell r="F1110" t="str">
            <v>Телескоп №4</v>
          </cell>
          <cell r="I1110">
            <v>4</v>
          </cell>
          <cell r="J1110">
            <v>8</v>
          </cell>
        </row>
        <row r="1111">
          <cell r="B1111">
            <v>45260</v>
          </cell>
          <cell r="E1111" t="str">
            <v>Косік Ю.А.</v>
          </cell>
          <cell r="F1111" t="str">
            <v>Телескоп №4</v>
          </cell>
          <cell r="I1111">
            <v>4</v>
          </cell>
          <cell r="J1111">
            <v>8</v>
          </cell>
        </row>
        <row r="1112">
          <cell r="B1112">
            <v>45240</v>
          </cell>
          <cell r="E1112" t="str">
            <v>Трохименко В.Я.</v>
          </cell>
          <cell r="F1112" t="str">
            <v>Телескоп №5</v>
          </cell>
          <cell r="I1112">
            <v>5</v>
          </cell>
          <cell r="J1112">
            <v>12</v>
          </cell>
          <cell r="K1112">
            <v>6</v>
          </cell>
        </row>
        <row r="1113">
          <cell r="B1113">
            <v>45241</v>
          </cell>
          <cell r="E1113" t="str">
            <v>Трохименко В.Я.</v>
          </cell>
          <cell r="F1113" t="str">
            <v>Телескоп №5</v>
          </cell>
          <cell r="I1113">
            <v>5</v>
          </cell>
          <cell r="J1113">
            <v>6</v>
          </cell>
        </row>
        <row r="1114">
          <cell r="B1114">
            <v>45243</v>
          </cell>
          <cell r="E1114" t="str">
            <v>Трохименко В.Я.</v>
          </cell>
          <cell r="F1114" t="str">
            <v>Телескоп №5</v>
          </cell>
          <cell r="I1114">
            <v>5</v>
          </cell>
          <cell r="J1114">
            <v>12</v>
          </cell>
          <cell r="L1114">
            <v>2</v>
          </cell>
        </row>
        <row r="1115">
          <cell r="B1115">
            <v>45244</v>
          </cell>
          <cell r="E1115" t="str">
            <v>Трохименко В.Я.</v>
          </cell>
          <cell r="F1115" t="str">
            <v>Телескоп №5</v>
          </cell>
          <cell r="I1115">
            <v>5</v>
          </cell>
          <cell r="J1115">
            <v>11</v>
          </cell>
          <cell r="L1115">
            <v>2</v>
          </cell>
        </row>
        <row r="1116">
          <cell r="B1116">
            <v>45245</v>
          </cell>
          <cell r="E1116" t="str">
            <v>Трохименко В.Я.</v>
          </cell>
          <cell r="F1116" t="str">
            <v>Телескоп №5</v>
          </cell>
          <cell r="I1116">
            <v>5</v>
          </cell>
          <cell r="J1116">
            <v>10</v>
          </cell>
          <cell r="L1116">
            <v>1</v>
          </cell>
        </row>
        <row r="1117">
          <cell r="B1117">
            <v>45246</v>
          </cell>
          <cell r="E1117" t="str">
            <v>Трохименко В.Я.</v>
          </cell>
          <cell r="F1117" t="str">
            <v>Телескоп №5</v>
          </cell>
          <cell r="I1117">
            <v>5</v>
          </cell>
          <cell r="J1117">
            <v>12</v>
          </cell>
          <cell r="L1117">
            <v>1</v>
          </cell>
        </row>
        <row r="1118">
          <cell r="B1118">
            <v>45247</v>
          </cell>
          <cell r="E1118" t="str">
            <v>Трохименко В.Я.</v>
          </cell>
          <cell r="F1118" t="str">
            <v>Телескоп №5</v>
          </cell>
          <cell r="I1118">
            <v>5</v>
          </cell>
          <cell r="J1118">
            <v>13</v>
          </cell>
          <cell r="L1118">
            <v>2</v>
          </cell>
        </row>
        <row r="1119">
          <cell r="B1119">
            <v>45248</v>
          </cell>
          <cell r="E1119" t="str">
            <v>Трохименко В.Я.</v>
          </cell>
          <cell r="F1119" t="str">
            <v>Телескоп №5</v>
          </cell>
          <cell r="I1119">
            <v>5</v>
          </cell>
          <cell r="J1119">
            <v>10</v>
          </cell>
          <cell r="L1119">
            <v>1</v>
          </cell>
        </row>
        <row r="1120">
          <cell r="B1120">
            <v>45250</v>
          </cell>
          <cell r="E1120" t="str">
            <v>Трохименко В.Я.</v>
          </cell>
          <cell r="F1120" t="str">
            <v>Телескоп №5</v>
          </cell>
          <cell r="I1120">
            <v>5</v>
          </cell>
          <cell r="J1120">
            <v>10</v>
          </cell>
          <cell r="L1120">
            <v>1</v>
          </cell>
        </row>
        <row r="1121">
          <cell r="B1121">
            <v>45251</v>
          </cell>
          <cell r="E1121" t="str">
            <v>Трохименко В.Я.</v>
          </cell>
          <cell r="F1121" t="str">
            <v>Телескоп №5</v>
          </cell>
          <cell r="I1121">
            <v>5</v>
          </cell>
          <cell r="J1121">
            <v>11</v>
          </cell>
          <cell r="L1121">
            <v>1</v>
          </cell>
        </row>
        <row r="1122">
          <cell r="B1122">
            <v>45252</v>
          </cell>
          <cell r="E1122" t="str">
            <v>Трохименко В.Я.</v>
          </cell>
          <cell r="F1122" t="str">
            <v>Телескоп №5</v>
          </cell>
          <cell r="I1122">
            <v>5</v>
          </cell>
          <cell r="J1122">
            <v>10</v>
          </cell>
          <cell r="L1122">
            <v>1</v>
          </cell>
        </row>
        <row r="1123">
          <cell r="B1123">
            <v>45253</v>
          </cell>
          <cell r="E1123" t="str">
            <v>Трохименко В.Я.</v>
          </cell>
          <cell r="F1123" t="str">
            <v>Телескоп №5</v>
          </cell>
          <cell r="I1123">
            <v>5</v>
          </cell>
          <cell r="J1123">
            <v>10</v>
          </cell>
        </row>
        <row r="1124">
          <cell r="B1124">
            <v>45254</v>
          </cell>
          <cell r="E1124" t="str">
            <v>Трохименко В.Я.</v>
          </cell>
          <cell r="F1124" t="str">
            <v>Телескоп №5</v>
          </cell>
          <cell r="I1124">
            <v>5</v>
          </cell>
          <cell r="J1124">
            <v>10</v>
          </cell>
          <cell r="L1124">
            <v>1</v>
          </cell>
        </row>
        <row r="1125">
          <cell r="B1125">
            <v>45255</v>
          </cell>
          <cell r="E1125" t="str">
            <v>Трохименко В.Я.</v>
          </cell>
          <cell r="F1125" t="str">
            <v>Телескоп №5</v>
          </cell>
          <cell r="I1125">
            <v>5</v>
          </cell>
          <cell r="J1125">
            <v>9</v>
          </cell>
          <cell r="L1125">
            <v>1</v>
          </cell>
        </row>
        <row r="1126">
          <cell r="B1126">
            <v>45257</v>
          </cell>
          <cell r="E1126" t="str">
            <v>Трохименко В.Я.</v>
          </cell>
          <cell r="F1126" t="str">
            <v>Телескоп №5</v>
          </cell>
          <cell r="I1126">
            <v>5</v>
          </cell>
          <cell r="J1126">
            <v>7</v>
          </cell>
        </row>
        <row r="1127">
          <cell r="B1127">
            <v>45258</v>
          </cell>
          <cell r="E1127" t="str">
            <v>Трохименко В.Я.</v>
          </cell>
          <cell r="F1127" t="str">
            <v>Телескоп №5</v>
          </cell>
          <cell r="I1127">
            <v>5</v>
          </cell>
          <cell r="J1127">
            <v>13</v>
          </cell>
          <cell r="L1127">
            <v>2</v>
          </cell>
        </row>
        <row r="1128">
          <cell r="B1128">
            <v>45259</v>
          </cell>
          <cell r="E1128" t="str">
            <v>Трохименко В.Я.</v>
          </cell>
          <cell r="F1128" t="str">
            <v>Телескоп №5</v>
          </cell>
          <cell r="I1128">
            <v>5</v>
          </cell>
          <cell r="J1128">
            <v>4</v>
          </cell>
        </row>
        <row r="1129">
          <cell r="B1129">
            <v>45239</v>
          </cell>
          <cell r="E1129" t="str">
            <v>Болох В.В.</v>
          </cell>
          <cell r="F1129" t="str">
            <v>Автокран XCMG</v>
          </cell>
          <cell r="I1129">
            <v>17</v>
          </cell>
          <cell r="J1129">
            <v>8</v>
          </cell>
          <cell r="K1129">
            <v>8</v>
          </cell>
        </row>
        <row r="1130">
          <cell r="B1130">
            <v>45240</v>
          </cell>
          <cell r="E1130" t="str">
            <v>Болох В.В.</v>
          </cell>
          <cell r="F1130" t="str">
            <v>Автокран XCMG</v>
          </cell>
          <cell r="I1130">
            <v>17</v>
          </cell>
          <cell r="J1130">
            <v>8</v>
          </cell>
        </row>
        <row r="1131">
          <cell r="B1131">
            <v>45241</v>
          </cell>
          <cell r="E1131" t="str">
            <v>Болох В.В.</v>
          </cell>
          <cell r="F1131" t="str">
            <v>Автокран XCMG</v>
          </cell>
          <cell r="I1131">
            <v>17</v>
          </cell>
          <cell r="J1131">
            <v>8</v>
          </cell>
          <cell r="K1131">
            <v>8</v>
          </cell>
        </row>
        <row r="1132">
          <cell r="B1132">
            <v>45243</v>
          </cell>
          <cell r="E1132" t="str">
            <v>Болох В.В.</v>
          </cell>
          <cell r="F1132" t="str">
            <v>Автокран XCMG</v>
          </cell>
          <cell r="I1132">
            <v>17</v>
          </cell>
          <cell r="J1132">
            <v>11</v>
          </cell>
        </row>
        <row r="1133">
          <cell r="B1133">
            <v>45244</v>
          </cell>
          <cell r="E1133" t="str">
            <v>Болох В.В.</v>
          </cell>
          <cell r="F1133" t="str">
            <v>Автокран XCMG</v>
          </cell>
          <cell r="I1133">
            <v>17</v>
          </cell>
          <cell r="J1133">
            <v>11</v>
          </cell>
          <cell r="K1133">
            <v>8</v>
          </cell>
        </row>
        <row r="1134">
          <cell r="B1134">
            <v>45245</v>
          </cell>
          <cell r="E1134" t="str">
            <v>Болох В.В.</v>
          </cell>
          <cell r="F1134" t="str">
            <v>Автокран XCMG</v>
          </cell>
          <cell r="I1134">
            <v>17</v>
          </cell>
          <cell r="J1134">
            <v>9</v>
          </cell>
          <cell r="L1134">
            <v>1</v>
          </cell>
        </row>
        <row r="1135">
          <cell r="B1135">
            <v>45246</v>
          </cell>
          <cell r="E1135" t="str">
            <v>Болох В.В.</v>
          </cell>
          <cell r="F1135" t="str">
            <v>Автокран XCMG</v>
          </cell>
          <cell r="I1135">
            <v>17</v>
          </cell>
          <cell r="J1135">
            <v>8</v>
          </cell>
        </row>
        <row r="1136">
          <cell r="B1136">
            <v>45247</v>
          </cell>
          <cell r="E1136" t="str">
            <v>Болох В.В.</v>
          </cell>
          <cell r="F1136" t="str">
            <v>Автокран XCMG</v>
          </cell>
          <cell r="I1136">
            <v>17</v>
          </cell>
          <cell r="J1136">
            <v>8</v>
          </cell>
        </row>
        <row r="1137">
          <cell r="B1137">
            <v>45248</v>
          </cell>
          <cell r="E1137" t="str">
            <v>Болох В.В.</v>
          </cell>
          <cell r="F1137" t="str">
            <v>Автокран XCMG</v>
          </cell>
          <cell r="I1137">
            <v>17</v>
          </cell>
          <cell r="J1137">
            <v>8</v>
          </cell>
        </row>
        <row r="1138">
          <cell r="B1138">
            <v>45250</v>
          </cell>
          <cell r="E1138" t="str">
            <v>Болох В.В.</v>
          </cell>
          <cell r="F1138" t="str">
            <v>Автокран XCMG</v>
          </cell>
          <cell r="I1138">
            <v>17</v>
          </cell>
          <cell r="J1138">
            <v>8</v>
          </cell>
        </row>
        <row r="1139">
          <cell r="B1139">
            <v>45251</v>
          </cell>
          <cell r="E1139" t="str">
            <v>Болох В.В.</v>
          </cell>
          <cell r="F1139" t="str">
            <v>Автокран XCMG</v>
          </cell>
          <cell r="I1139">
            <v>17</v>
          </cell>
          <cell r="J1139">
            <v>8</v>
          </cell>
        </row>
        <row r="1140">
          <cell r="B1140">
            <v>45252</v>
          </cell>
          <cell r="E1140" t="str">
            <v>Болох В.В.</v>
          </cell>
          <cell r="F1140" t="str">
            <v>Автокран XCMG</v>
          </cell>
          <cell r="I1140">
            <v>17</v>
          </cell>
          <cell r="J1140">
            <v>8</v>
          </cell>
        </row>
        <row r="1141">
          <cell r="B1141">
            <v>45253</v>
          </cell>
          <cell r="E1141" t="str">
            <v>Болох В.В.</v>
          </cell>
          <cell r="F1141" t="str">
            <v>Автокран XCMG</v>
          </cell>
          <cell r="I1141">
            <v>17</v>
          </cell>
          <cell r="J1141">
            <v>8</v>
          </cell>
        </row>
        <row r="1142">
          <cell r="B1142">
            <v>45254</v>
          </cell>
          <cell r="E1142" t="str">
            <v>Болох В.В.</v>
          </cell>
          <cell r="F1142" t="str">
            <v>Автокран XCMG</v>
          </cell>
          <cell r="I1142">
            <v>17</v>
          </cell>
          <cell r="J1142">
            <v>9</v>
          </cell>
          <cell r="K1142">
            <v>1</v>
          </cell>
        </row>
        <row r="1143">
          <cell r="B1143">
            <v>45255</v>
          </cell>
          <cell r="E1143" t="str">
            <v>Болох В.В.</v>
          </cell>
          <cell r="F1143" t="str">
            <v>Автокран XCMG</v>
          </cell>
          <cell r="I1143">
            <v>17</v>
          </cell>
          <cell r="J1143">
            <v>9</v>
          </cell>
          <cell r="L1143">
            <v>1</v>
          </cell>
        </row>
        <row r="1144">
          <cell r="B1144">
            <v>45257</v>
          </cell>
          <cell r="E1144" t="str">
            <v>Болох В.В.</v>
          </cell>
          <cell r="F1144" t="str">
            <v>Автокран XCMG</v>
          </cell>
          <cell r="I1144">
            <v>17</v>
          </cell>
          <cell r="J1144">
            <v>8</v>
          </cell>
        </row>
        <row r="1145">
          <cell r="B1145">
            <v>45258</v>
          </cell>
          <cell r="E1145" t="str">
            <v>Болох В.В.</v>
          </cell>
          <cell r="F1145" t="str">
            <v>Автокран XCMG</v>
          </cell>
          <cell r="I1145">
            <v>17</v>
          </cell>
          <cell r="J1145">
            <v>9</v>
          </cell>
          <cell r="K1145">
            <v>1</v>
          </cell>
        </row>
        <row r="1146">
          <cell r="B1146">
            <v>45259</v>
          </cell>
          <cell r="E1146" t="str">
            <v>Болох В.В.</v>
          </cell>
          <cell r="F1146" t="str">
            <v>Автокран XCMG</v>
          </cell>
          <cell r="I1146">
            <v>17</v>
          </cell>
          <cell r="J1146">
            <v>8</v>
          </cell>
        </row>
        <row r="1147">
          <cell r="B1147">
            <v>45260</v>
          </cell>
          <cell r="E1147" t="str">
            <v>Болох В.В.</v>
          </cell>
          <cell r="F1147" t="str">
            <v>Автокран XCMG</v>
          </cell>
          <cell r="I1147">
            <v>17</v>
          </cell>
          <cell r="J1147">
            <v>9</v>
          </cell>
          <cell r="K1147">
            <v>1</v>
          </cell>
        </row>
        <row r="1148">
          <cell r="B1148">
            <v>45240</v>
          </cell>
          <cell r="E1148" t="str">
            <v>Бунтило В.І.</v>
          </cell>
          <cell r="F1148" t="str">
            <v>Самосвал камаз</v>
          </cell>
          <cell r="I1148">
            <v>16</v>
          </cell>
          <cell r="J1148">
            <v>13</v>
          </cell>
          <cell r="K1148">
            <v>13</v>
          </cell>
        </row>
        <row r="1149">
          <cell r="B1149">
            <v>45241</v>
          </cell>
          <cell r="E1149" t="str">
            <v>Бунтило В.І.</v>
          </cell>
          <cell r="F1149" t="str">
            <v>Самосвал камаз</v>
          </cell>
          <cell r="I1149">
            <v>16</v>
          </cell>
          <cell r="J1149">
            <v>8</v>
          </cell>
          <cell r="K1149">
            <v>8</v>
          </cell>
        </row>
        <row r="1150">
          <cell r="B1150">
            <v>45243</v>
          </cell>
          <cell r="E1150" t="str">
            <v>Бунтило В.І.</v>
          </cell>
          <cell r="F1150" t="str">
            <v>Самосвал камаз</v>
          </cell>
          <cell r="I1150">
            <v>16</v>
          </cell>
          <cell r="J1150">
            <v>10</v>
          </cell>
        </row>
        <row r="1151">
          <cell r="B1151">
            <v>45244</v>
          </cell>
          <cell r="E1151" t="str">
            <v>Бунтило В.І.</v>
          </cell>
          <cell r="F1151" t="str">
            <v>Самосвал камаз</v>
          </cell>
          <cell r="I1151">
            <v>16</v>
          </cell>
          <cell r="J1151">
            <v>11</v>
          </cell>
        </row>
        <row r="1152">
          <cell r="B1152">
            <v>45245</v>
          </cell>
          <cell r="E1152" t="str">
            <v>Бунтило В.І.</v>
          </cell>
          <cell r="F1152" t="str">
            <v>Самосвал камаз</v>
          </cell>
          <cell r="I1152">
            <v>16</v>
          </cell>
          <cell r="J1152">
            <v>6</v>
          </cell>
          <cell r="K1152">
            <v>6</v>
          </cell>
        </row>
        <row r="1153">
          <cell r="B1153">
            <v>45250</v>
          </cell>
          <cell r="E1153" t="str">
            <v>Якубовський В.Г.</v>
          </cell>
          <cell r="F1153" t="str">
            <v>Самосвал камаз</v>
          </cell>
          <cell r="I1153">
            <v>16</v>
          </cell>
          <cell r="J1153">
            <v>10</v>
          </cell>
          <cell r="K1153">
            <v>10</v>
          </cell>
        </row>
        <row r="1154">
          <cell r="B1154">
            <v>45251</v>
          </cell>
          <cell r="E1154" t="str">
            <v>Якубовський В.Г.</v>
          </cell>
          <cell r="F1154" t="str">
            <v>Самосвал камаз</v>
          </cell>
          <cell r="I1154">
            <v>16</v>
          </cell>
          <cell r="J1154">
            <v>10</v>
          </cell>
          <cell r="K1154">
            <v>7</v>
          </cell>
        </row>
        <row r="1155">
          <cell r="B1155">
            <v>45252</v>
          </cell>
          <cell r="E1155" t="str">
            <v>Якубовський В.Г.</v>
          </cell>
          <cell r="F1155" t="str">
            <v>Самосвал камаз</v>
          </cell>
          <cell r="I1155">
            <v>16</v>
          </cell>
          <cell r="J1155">
            <v>10</v>
          </cell>
          <cell r="K1155">
            <v>8</v>
          </cell>
        </row>
        <row r="1156">
          <cell r="B1156">
            <v>45253</v>
          </cell>
          <cell r="E1156" t="str">
            <v>Якубовський В.Г.</v>
          </cell>
          <cell r="F1156" t="str">
            <v>Самосвал камаз</v>
          </cell>
          <cell r="I1156">
            <v>16</v>
          </cell>
          <cell r="J1156">
            <v>8</v>
          </cell>
          <cell r="K1156">
            <v>4</v>
          </cell>
        </row>
        <row r="1157">
          <cell r="B1157">
            <v>45254</v>
          </cell>
          <cell r="E1157" t="str">
            <v>Якубовський В.Г.</v>
          </cell>
          <cell r="F1157" t="str">
            <v>Самосвал камаз</v>
          </cell>
          <cell r="I1157">
            <v>16</v>
          </cell>
          <cell r="J1157">
            <v>8</v>
          </cell>
          <cell r="K1157">
            <v>4</v>
          </cell>
        </row>
        <row r="1158">
          <cell r="B1158">
            <v>45255</v>
          </cell>
          <cell r="E1158" t="str">
            <v>Якубовський В.Г.</v>
          </cell>
          <cell r="F1158" t="str">
            <v>Самосвал камаз</v>
          </cell>
          <cell r="I1158">
            <v>16</v>
          </cell>
          <cell r="J1158">
            <v>8</v>
          </cell>
          <cell r="K1158">
            <v>4</v>
          </cell>
        </row>
        <row r="1159">
          <cell r="B1159">
            <v>45256</v>
          </cell>
          <cell r="E1159" t="str">
            <v>Якубовський В.Г.</v>
          </cell>
          <cell r="F1159" t="str">
            <v>Самосвал камаз</v>
          </cell>
          <cell r="I1159">
            <v>16</v>
          </cell>
          <cell r="J1159">
            <v>8</v>
          </cell>
        </row>
        <row r="1160">
          <cell r="B1160">
            <v>45257</v>
          </cell>
          <cell r="E1160" t="str">
            <v>Якубовський В.Г.</v>
          </cell>
          <cell r="F1160" t="str">
            <v>Самосвал камаз</v>
          </cell>
          <cell r="I1160">
            <v>16</v>
          </cell>
          <cell r="J1160">
            <v>8</v>
          </cell>
          <cell r="K1160">
            <v>4</v>
          </cell>
        </row>
        <row r="1161">
          <cell r="B1161">
            <v>45258</v>
          </cell>
          <cell r="E1161" t="str">
            <v>Якубовський В.Г.</v>
          </cell>
          <cell r="F1161" t="str">
            <v>Самосвал камаз</v>
          </cell>
          <cell r="I1161">
            <v>16</v>
          </cell>
          <cell r="J1161">
            <v>10</v>
          </cell>
          <cell r="K1161">
            <v>10</v>
          </cell>
        </row>
        <row r="1162">
          <cell r="B1162">
            <v>45259</v>
          </cell>
          <cell r="E1162" t="str">
            <v>Якубовський В.Г.</v>
          </cell>
          <cell r="F1162" t="str">
            <v>Самосвал камаз</v>
          </cell>
          <cell r="I1162">
            <v>16</v>
          </cell>
          <cell r="J1162">
            <v>8</v>
          </cell>
          <cell r="K1162">
            <v>4</v>
          </cell>
        </row>
        <row r="1163">
          <cell r="B1163">
            <v>45260</v>
          </cell>
          <cell r="E1163" t="str">
            <v>Якубовський В.Г.</v>
          </cell>
          <cell r="F1163" t="str">
            <v>Самосвал камаз</v>
          </cell>
          <cell r="I1163">
            <v>16</v>
          </cell>
          <cell r="J1163">
            <v>8</v>
          </cell>
          <cell r="K1163">
            <v>4</v>
          </cell>
        </row>
        <row r="1164">
          <cell r="B1164">
            <v>45231</v>
          </cell>
          <cell r="E1164" t="str">
            <v>Борисенко О.М.</v>
          </cell>
          <cell r="F1164" t="str">
            <v>Виброкаток</v>
          </cell>
          <cell r="I1164">
            <v>6</v>
          </cell>
          <cell r="J1164">
            <v>5</v>
          </cell>
        </row>
        <row r="1165">
          <cell r="B1165">
            <v>45233</v>
          </cell>
          <cell r="E1165" t="str">
            <v>Борисенко О.М.</v>
          </cell>
          <cell r="F1165" t="str">
            <v>Виброкаток</v>
          </cell>
          <cell r="I1165">
            <v>6</v>
          </cell>
          <cell r="J1165">
            <v>9</v>
          </cell>
        </row>
        <row r="1166">
          <cell r="B1166">
            <v>45245</v>
          </cell>
          <cell r="E1166" t="str">
            <v>Борисенко О.М.</v>
          </cell>
          <cell r="F1166" t="str">
            <v>Виброкаток</v>
          </cell>
          <cell r="I1166">
            <v>6</v>
          </cell>
          <cell r="J1166">
            <v>9</v>
          </cell>
        </row>
        <row r="1167">
          <cell r="B1167">
            <v>45231</v>
          </cell>
          <cell r="E1167" t="str">
            <v>Божков В.В.</v>
          </cell>
          <cell r="F1167" t="str">
            <v>МАЗ 264</v>
          </cell>
          <cell r="I1167">
            <v>12</v>
          </cell>
          <cell r="J1167">
            <v>5</v>
          </cell>
        </row>
        <row r="1168">
          <cell r="B1168">
            <v>45232</v>
          </cell>
          <cell r="E1168" t="str">
            <v>Божков В.В.</v>
          </cell>
          <cell r="F1168" t="str">
            <v>МАЗ 264</v>
          </cell>
          <cell r="I1168">
            <v>12</v>
          </cell>
          <cell r="J1168">
            <v>9</v>
          </cell>
        </row>
        <row r="1169">
          <cell r="B1169">
            <v>45233</v>
          </cell>
          <cell r="E1169" t="str">
            <v>Божков В.В.</v>
          </cell>
          <cell r="F1169" t="str">
            <v>МАЗ 264</v>
          </cell>
          <cell r="I1169">
            <v>12</v>
          </cell>
          <cell r="J1169">
            <v>9</v>
          </cell>
        </row>
        <row r="1170">
          <cell r="B1170">
            <v>45236</v>
          </cell>
          <cell r="E1170" t="str">
            <v>Божков В.В.</v>
          </cell>
          <cell r="F1170" t="str">
            <v>МАЗ 264</v>
          </cell>
          <cell r="I1170">
            <v>12</v>
          </cell>
          <cell r="J1170">
            <v>7</v>
          </cell>
        </row>
        <row r="1171">
          <cell r="B1171">
            <v>45237</v>
          </cell>
          <cell r="E1171" t="str">
            <v>Божков В.В.</v>
          </cell>
          <cell r="F1171" t="str">
            <v>МАЗ 264</v>
          </cell>
          <cell r="I1171">
            <v>12</v>
          </cell>
          <cell r="J1171">
            <v>10</v>
          </cell>
          <cell r="L1171">
            <v>1</v>
          </cell>
        </row>
        <row r="1172">
          <cell r="B1172">
            <v>45238</v>
          </cell>
          <cell r="E1172" t="str">
            <v>Божков В.В.</v>
          </cell>
          <cell r="F1172" t="str">
            <v>МАЗ 264</v>
          </cell>
          <cell r="I1172">
            <v>12</v>
          </cell>
          <cell r="J1172">
            <v>5</v>
          </cell>
          <cell r="K1172">
            <v>5</v>
          </cell>
        </row>
        <row r="1173">
          <cell r="B1173">
            <v>45239</v>
          </cell>
          <cell r="E1173" t="str">
            <v>Божков В.В.</v>
          </cell>
          <cell r="F1173" t="str">
            <v>МАЗ 264</v>
          </cell>
          <cell r="I1173">
            <v>12</v>
          </cell>
          <cell r="J1173">
            <v>8</v>
          </cell>
          <cell r="L1173">
            <v>1</v>
          </cell>
        </row>
        <row r="1174">
          <cell r="B1174">
            <v>45240</v>
          </cell>
          <cell r="E1174" t="str">
            <v>Божков В.В.</v>
          </cell>
          <cell r="F1174" t="str">
            <v>МАЗ 264</v>
          </cell>
          <cell r="I1174">
            <v>12</v>
          </cell>
          <cell r="J1174">
            <v>10</v>
          </cell>
        </row>
        <row r="1175">
          <cell r="B1175">
            <v>45241</v>
          </cell>
          <cell r="E1175" t="str">
            <v>Божков В.В.</v>
          </cell>
          <cell r="F1175" t="str">
            <v>МАЗ 264</v>
          </cell>
          <cell r="I1175">
            <v>12</v>
          </cell>
          <cell r="J1175">
            <v>4</v>
          </cell>
        </row>
        <row r="1176">
          <cell r="B1176">
            <v>45243</v>
          </cell>
          <cell r="E1176" t="str">
            <v>Божков В.В.</v>
          </cell>
          <cell r="F1176" t="str">
            <v>МАЗ 264</v>
          </cell>
          <cell r="I1176">
            <v>12</v>
          </cell>
          <cell r="J1176">
            <v>9</v>
          </cell>
          <cell r="K1176">
            <v>5</v>
          </cell>
        </row>
        <row r="1177">
          <cell r="B1177">
            <v>45244</v>
          </cell>
          <cell r="E1177" t="str">
            <v>Божков В.В.</v>
          </cell>
          <cell r="F1177" t="str">
            <v>МАЗ 264</v>
          </cell>
          <cell r="I1177">
            <v>12</v>
          </cell>
          <cell r="J1177">
            <v>6</v>
          </cell>
        </row>
        <row r="1178">
          <cell r="B1178">
            <v>45245</v>
          </cell>
          <cell r="E1178" t="str">
            <v>Божков В.В.</v>
          </cell>
          <cell r="F1178" t="str">
            <v>МАЗ 264</v>
          </cell>
          <cell r="I1178">
            <v>12</v>
          </cell>
          <cell r="J1178">
            <v>4</v>
          </cell>
        </row>
        <row r="1179">
          <cell r="B1179">
            <v>45248</v>
          </cell>
          <cell r="E1179" t="str">
            <v>Божков В.В.</v>
          </cell>
          <cell r="F1179" t="str">
            <v>МАЗ 264</v>
          </cell>
          <cell r="I1179">
            <v>12</v>
          </cell>
          <cell r="J1179">
            <v>13</v>
          </cell>
        </row>
        <row r="1180">
          <cell r="B1180">
            <v>45249</v>
          </cell>
          <cell r="E1180" t="str">
            <v>Божков В.В.</v>
          </cell>
          <cell r="F1180" t="str">
            <v>МАЗ 264</v>
          </cell>
          <cell r="I1180">
            <v>12</v>
          </cell>
          <cell r="J1180">
            <v>13</v>
          </cell>
        </row>
        <row r="1181">
          <cell r="B1181">
            <v>45250</v>
          </cell>
          <cell r="E1181" t="str">
            <v>Божков В.В.</v>
          </cell>
          <cell r="F1181" t="str">
            <v>МАЗ 264</v>
          </cell>
          <cell r="I1181">
            <v>12</v>
          </cell>
          <cell r="J1181">
            <v>13</v>
          </cell>
        </row>
        <row r="1182">
          <cell r="B1182">
            <v>45251</v>
          </cell>
          <cell r="E1182" t="str">
            <v>Божков В.В.</v>
          </cell>
          <cell r="F1182" t="str">
            <v>МАЗ 264</v>
          </cell>
          <cell r="I1182">
            <v>12</v>
          </cell>
          <cell r="J1182">
            <v>13</v>
          </cell>
          <cell r="K1182">
            <v>3</v>
          </cell>
          <cell r="L1182">
            <v>1</v>
          </cell>
        </row>
        <row r="1183">
          <cell r="B1183">
            <v>45253</v>
          </cell>
          <cell r="E1183" t="str">
            <v>Божков В.В.</v>
          </cell>
          <cell r="F1183" t="str">
            <v>МАЗ 264</v>
          </cell>
          <cell r="I1183">
            <v>12</v>
          </cell>
          <cell r="J1183">
            <v>13</v>
          </cell>
        </row>
        <row r="1184">
          <cell r="B1184">
            <v>45246</v>
          </cell>
          <cell r="E1184" t="str">
            <v>Самойленко В.М.</v>
          </cell>
          <cell r="F1184" t="str">
            <v>МАЗ 264</v>
          </cell>
          <cell r="I1184">
            <v>12</v>
          </cell>
          <cell r="J1184">
            <v>10</v>
          </cell>
        </row>
        <row r="1185">
          <cell r="B1185">
            <v>45247</v>
          </cell>
          <cell r="E1185" t="str">
            <v>Самойленко В.М.</v>
          </cell>
          <cell r="F1185" t="str">
            <v>МАЗ 264</v>
          </cell>
          <cell r="I1185">
            <v>12</v>
          </cell>
          <cell r="J1185">
            <v>9</v>
          </cell>
        </row>
        <row r="1186">
          <cell r="B1186">
            <v>45248</v>
          </cell>
          <cell r="E1186" t="str">
            <v>Самойленко В.М.</v>
          </cell>
          <cell r="F1186" t="str">
            <v>МАЗ 264</v>
          </cell>
          <cell r="I1186">
            <v>12</v>
          </cell>
          <cell r="J1186">
            <v>8</v>
          </cell>
        </row>
        <row r="1187">
          <cell r="B1187">
            <v>45249</v>
          </cell>
          <cell r="E1187" t="str">
            <v>Самойленко В.М.</v>
          </cell>
          <cell r="F1187" t="str">
            <v>МАЗ 264</v>
          </cell>
          <cell r="I1187">
            <v>12</v>
          </cell>
          <cell r="J1187">
            <v>8</v>
          </cell>
        </row>
        <row r="1188">
          <cell r="B1188">
            <v>45250</v>
          </cell>
          <cell r="E1188" t="str">
            <v>Самойленко В.М.</v>
          </cell>
          <cell r="F1188" t="str">
            <v>МАЗ 264</v>
          </cell>
          <cell r="I1188">
            <v>12</v>
          </cell>
          <cell r="J1188">
            <v>10</v>
          </cell>
          <cell r="K1188">
            <v>1</v>
          </cell>
        </row>
        <row r="1189">
          <cell r="B1189">
            <v>45251</v>
          </cell>
          <cell r="E1189" t="str">
            <v>Самойленко В.М.</v>
          </cell>
          <cell r="F1189" t="str">
            <v>МАЗ 264</v>
          </cell>
          <cell r="I1189">
            <v>12</v>
          </cell>
          <cell r="J1189">
            <v>9</v>
          </cell>
        </row>
        <row r="1190">
          <cell r="B1190">
            <v>45252</v>
          </cell>
          <cell r="E1190" t="str">
            <v>Самойленко В.М.</v>
          </cell>
          <cell r="F1190" t="str">
            <v>МАЗ 264</v>
          </cell>
          <cell r="I1190">
            <v>12</v>
          </cell>
          <cell r="J1190">
            <v>5</v>
          </cell>
        </row>
        <row r="1191">
          <cell r="B1191">
            <v>45253</v>
          </cell>
          <cell r="E1191" t="str">
            <v>Самойленко В.М.</v>
          </cell>
          <cell r="F1191" t="str">
            <v>МАЗ 264</v>
          </cell>
          <cell r="I1191">
            <v>12</v>
          </cell>
          <cell r="J1191">
            <v>8</v>
          </cell>
        </row>
        <row r="1192">
          <cell r="B1192">
            <v>45254</v>
          </cell>
          <cell r="E1192" t="str">
            <v>Самойленко В.М.</v>
          </cell>
          <cell r="F1192" t="str">
            <v>МАЗ 264</v>
          </cell>
          <cell r="I1192">
            <v>12</v>
          </cell>
          <cell r="J1192">
            <v>7</v>
          </cell>
        </row>
        <row r="1193">
          <cell r="B1193">
            <v>45255</v>
          </cell>
          <cell r="E1193" t="str">
            <v>Самойленко В.М.</v>
          </cell>
          <cell r="F1193" t="str">
            <v>МАЗ 264</v>
          </cell>
          <cell r="I1193">
            <v>12</v>
          </cell>
          <cell r="J1193">
            <v>4</v>
          </cell>
          <cell r="K1193">
            <v>1</v>
          </cell>
        </row>
        <row r="1194">
          <cell r="B1194">
            <v>45256</v>
          </cell>
          <cell r="E1194" t="str">
            <v>Самойленко В.М.</v>
          </cell>
          <cell r="F1194" t="str">
            <v>МАЗ 264</v>
          </cell>
          <cell r="I1194">
            <v>12</v>
          </cell>
          <cell r="J1194">
            <v>9</v>
          </cell>
        </row>
        <row r="1195">
          <cell r="B1195">
            <v>45257</v>
          </cell>
          <cell r="E1195" t="str">
            <v>Самойленко В.М.</v>
          </cell>
          <cell r="F1195" t="str">
            <v>МАЗ 264</v>
          </cell>
          <cell r="I1195">
            <v>12</v>
          </cell>
          <cell r="J1195">
            <v>11</v>
          </cell>
          <cell r="L1195">
            <v>1</v>
          </cell>
        </row>
        <row r="1196">
          <cell r="B1196">
            <v>45258</v>
          </cell>
          <cell r="E1196" t="str">
            <v>Самойленко В.М.</v>
          </cell>
          <cell r="F1196" t="str">
            <v>МАЗ 264</v>
          </cell>
          <cell r="I1196">
            <v>12</v>
          </cell>
          <cell r="J1196">
            <v>9</v>
          </cell>
          <cell r="L1196">
            <v>1</v>
          </cell>
        </row>
        <row r="1197">
          <cell r="B1197">
            <v>45259</v>
          </cell>
          <cell r="E1197" t="str">
            <v>Самойленко В.М.</v>
          </cell>
          <cell r="F1197" t="str">
            <v>МАЗ 264</v>
          </cell>
          <cell r="I1197">
            <v>12</v>
          </cell>
          <cell r="J1197">
            <v>5</v>
          </cell>
          <cell r="K1197">
            <v>5</v>
          </cell>
        </row>
        <row r="1198">
          <cell r="B1198">
            <v>45260</v>
          </cell>
          <cell r="E1198" t="str">
            <v>Самойленко В.М.</v>
          </cell>
          <cell r="F1198" t="str">
            <v>МАЗ 264</v>
          </cell>
          <cell r="I1198">
            <v>12</v>
          </cell>
          <cell r="J1198">
            <v>6</v>
          </cell>
        </row>
        <row r="1199">
          <cell r="B1199">
            <v>45257</v>
          </cell>
          <cell r="E1199" t="str">
            <v>Божков В.В.</v>
          </cell>
          <cell r="F1199" t="str">
            <v>МАЗ 264</v>
          </cell>
          <cell r="I1199">
            <v>12</v>
          </cell>
          <cell r="J1199">
            <v>12</v>
          </cell>
          <cell r="K1199">
            <v>2</v>
          </cell>
        </row>
        <row r="1200">
          <cell r="B1200">
            <v>45258</v>
          </cell>
          <cell r="E1200" t="str">
            <v>Божков В.В.</v>
          </cell>
          <cell r="F1200" t="str">
            <v>МАЗ 264</v>
          </cell>
          <cell r="I1200">
            <v>12</v>
          </cell>
          <cell r="J1200">
            <v>12</v>
          </cell>
          <cell r="K1200">
            <v>2</v>
          </cell>
        </row>
        <row r="1201">
          <cell r="B1201">
            <v>45259</v>
          </cell>
          <cell r="E1201" t="str">
            <v>Божков В.В.</v>
          </cell>
          <cell r="F1201" t="str">
            <v>МАЗ 264</v>
          </cell>
          <cell r="I1201">
            <v>12</v>
          </cell>
          <cell r="J1201">
            <v>11</v>
          </cell>
        </row>
        <row r="1202">
          <cell r="B1202">
            <v>45246</v>
          </cell>
          <cell r="E1202" t="str">
            <v>Шамоян А.Д.</v>
          </cell>
          <cell r="F1202" t="str">
            <v>МАЗ 265</v>
          </cell>
          <cell r="I1202">
            <v>13</v>
          </cell>
          <cell r="J1202">
            <v>10</v>
          </cell>
        </row>
        <row r="1203">
          <cell r="B1203">
            <v>45247</v>
          </cell>
          <cell r="E1203" t="str">
            <v>Шамоян А.Д.</v>
          </cell>
          <cell r="F1203" t="str">
            <v>МАЗ 265</v>
          </cell>
          <cell r="I1203">
            <v>13</v>
          </cell>
          <cell r="J1203">
            <v>9</v>
          </cell>
        </row>
        <row r="1204">
          <cell r="B1204">
            <v>45248</v>
          </cell>
          <cell r="E1204" t="str">
            <v>Шамоян А.Д.</v>
          </cell>
          <cell r="F1204" t="str">
            <v>МАЗ 265</v>
          </cell>
          <cell r="I1204">
            <v>13</v>
          </cell>
          <cell r="J1204">
            <v>8</v>
          </cell>
        </row>
        <row r="1205">
          <cell r="B1205">
            <v>45249</v>
          </cell>
          <cell r="E1205" t="str">
            <v>Шамоян А.Д.</v>
          </cell>
          <cell r="F1205" t="str">
            <v>МАЗ 265</v>
          </cell>
          <cell r="I1205">
            <v>13</v>
          </cell>
          <cell r="J1205">
            <v>8</v>
          </cell>
        </row>
        <row r="1206">
          <cell r="B1206">
            <v>45250</v>
          </cell>
          <cell r="E1206" t="str">
            <v>Шамоян А.Д.</v>
          </cell>
          <cell r="F1206" t="str">
            <v>МАЗ 265</v>
          </cell>
          <cell r="I1206">
            <v>13</v>
          </cell>
          <cell r="J1206">
            <v>6</v>
          </cell>
          <cell r="L1206">
            <v>1</v>
          </cell>
        </row>
        <row r="1207">
          <cell r="B1207">
            <v>45251</v>
          </cell>
          <cell r="E1207" t="str">
            <v>Шамоян А.Д.</v>
          </cell>
          <cell r="F1207" t="str">
            <v>МАЗ 265</v>
          </cell>
          <cell r="I1207">
            <v>13</v>
          </cell>
          <cell r="J1207">
            <v>9</v>
          </cell>
        </row>
        <row r="1208">
          <cell r="B1208">
            <v>45252</v>
          </cell>
          <cell r="E1208" t="str">
            <v>Шамоян А.Д.</v>
          </cell>
          <cell r="F1208" t="str">
            <v>МАЗ 265</v>
          </cell>
          <cell r="I1208">
            <v>13</v>
          </cell>
          <cell r="J1208">
            <v>5</v>
          </cell>
        </row>
        <row r="1209">
          <cell r="B1209">
            <v>45253</v>
          </cell>
          <cell r="E1209" t="str">
            <v>Шамоян А.Д.</v>
          </cell>
          <cell r="F1209" t="str">
            <v>МАЗ 265</v>
          </cell>
          <cell r="I1209">
            <v>13</v>
          </cell>
          <cell r="J1209">
            <v>8</v>
          </cell>
        </row>
        <row r="1210">
          <cell r="B1210">
            <v>45254</v>
          </cell>
          <cell r="E1210" t="str">
            <v>Шамоян А.Д.</v>
          </cell>
          <cell r="F1210" t="str">
            <v>МАЗ 265</v>
          </cell>
          <cell r="I1210">
            <v>13</v>
          </cell>
          <cell r="J1210">
            <v>7</v>
          </cell>
        </row>
        <row r="1211">
          <cell r="B1211">
            <v>45255</v>
          </cell>
          <cell r="E1211" t="str">
            <v>Шамоян А.Д.</v>
          </cell>
          <cell r="F1211" t="str">
            <v>МАЗ 265</v>
          </cell>
          <cell r="I1211">
            <v>13</v>
          </cell>
          <cell r="J1211">
            <v>4</v>
          </cell>
          <cell r="L1211">
            <v>1</v>
          </cell>
        </row>
        <row r="1212">
          <cell r="B1212">
            <v>45256</v>
          </cell>
          <cell r="E1212" t="str">
            <v>Шамоян А.Д.</v>
          </cell>
          <cell r="F1212" t="str">
            <v>МАЗ 265</v>
          </cell>
          <cell r="I1212">
            <v>13</v>
          </cell>
          <cell r="J1212">
            <v>9</v>
          </cell>
        </row>
        <row r="1213">
          <cell r="B1213">
            <v>45257</v>
          </cell>
          <cell r="E1213" t="str">
            <v>Шамоян А.Д.</v>
          </cell>
          <cell r="F1213" t="str">
            <v>МАЗ 265</v>
          </cell>
          <cell r="I1213">
            <v>13</v>
          </cell>
          <cell r="J1213">
            <v>11</v>
          </cell>
          <cell r="L1213">
            <v>1</v>
          </cell>
        </row>
        <row r="1214">
          <cell r="B1214">
            <v>45258</v>
          </cell>
          <cell r="E1214" t="str">
            <v>Шамоян А.Д.</v>
          </cell>
          <cell r="F1214" t="str">
            <v>МАЗ 265</v>
          </cell>
          <cell r="I1214">
            <v>13</v>
          </cell>
          <cell r="J1214">
            <v>9</v>
          </cell>
          <cell r="L1214">
            <v>1</v>
          </cell>
        </row>
        <row r="1215">
          <cell r="B1215">
            <v>45259</v>
          </cell>
          <cell r="E1215" t="str">
            <v>Шамоян А.Д.</v>
          </cell>
          <cell r="F1215" t="str">
            <v>МАЗ 265</v>
          </cell>
          <cell r="I1215">
            <v>13</v>
          </cell>
          <cell r="J1215">
            <v>5</v>
          </cell>
          <cell r="K1215">
            <v>5</v>
          </cell>
        </row>
        <row r="1216">
          <cell r="B1216">
            <v>45260</v>
          </cell>
          <cell r="E1216" t="str">
            <v>Шамоян А.Д.</v>
          </cell>
          <cell r="F1216" t="str">
            <v>МАЗ 265</v>
          </cell>
          <cell r="I1216">
            <v>13</v>
          </cell>
          <cell r="J1216">
            <v>6</v>
          </cell>
        </row>
        <row r="1217">
          <cell r="B1217">
            <v>45231</v>
          </cell>
          <cell r="E1217" t="str">
            <v>Трохименко В.Я.</v>
          </cell>
          <cell r="F1217" t="str">
            <v>Телескоп №5</v>
          </cell>
          <cell r="I1217">
            <v>5</v>
          </cell>
          <cell r="J1217">
            <v>12</v>
          </cell>
          <cell r="L1217">
            <v>2</v>
          </cell>
        </row>
        <row r="1218">
          <cell r="B1218">
            <v>45232</v>
          </cell>
          <cell r="E1218" t="str">
            <v>Трохименко В.Я.</v>
          </cell>
          <cell r="F1218" t="str">
            <v>Телескоп №5</v>
          </cell>
          <cell r="I1218">
            <v>5</v>
          </cell>
          <cell r="J1218">
            <v>13</v>
          </cell>
          <cell r="L1218">
            <v>2</v>
          </cell>
        </row>
        <row r="1219">
          <cell r="B1219">
            <v>45233</v>
          </cell>
          <cell r="E1219" t="str">
            <v>Трохименко В.Я.</v>
          </cell>
          <cell r="F1219" t="str">
            <v>Телескоп №5</v>
          </cell>
          <cell r="I1219">
            <v>5</v>
          </cell>
          <cell r="J1219">
            <v>12</v>
          </cell>
          <cell r="L1219">
            <v>2</v>
          </cell>
        </row>
        <row r="1220">
          <cell r="B1220">
            <v>45236</v>
          </cell>
          <cell r="E1220" t="str">
            <v>Трохименко В.Я.</v>
          </cell>
          <cell r="F1220" t="str">
            <v>Телескоп №5</v>
          </cell>
          <cell r="I1220">
            <v>5</v>
          </cell>
          <cell r="J1220">
            <v>13</v>
          </cell>
          <cell r="L1220">
            <v>2</v>
          </cell>
        </row>
        <row r="1221">
          <cell r="B1221">
            <v>45237</v>
          </cell>
          <cell r="E1221" t="str">
            <v>Трохименко В.Я.</v>
          </cell>
          <cell r="F1221" t="str">
            <v>Телескоп №5</v>
          </cell>
          <cell r="I1221">
            <v>5</v>
          </cell>
          <cell r="J1221">
            <v>11</v>
          </cell>
          <cell r="L1221">
            <v>2</v>
          </cell>
        </row>
        <row r="1222">
          <cell r="B1222">
            <v>45238</v>
          </cell>
          <cell r="E1222" t="str">
            <v>Трохименко В.Я.</v>
          </cell>
          <cell r="F1222" t="str">
            <v>Телескоп №5</v>
          </cell>
          <cell r="I1222">
            <v>5</v>
          </cell>
          <cell r="J1222">
            <v>5</v>
          </cell>
          <cell r="K1222">
            <v>2</v>
          </cell>
        </row>
        <row r="1223">
          <cell r="B1223">
            <v>45239</v>
          </cell>
          <cell r="E1223" t="str">
            <v>Трохименко В.Я.</v>
          </cell>
          <cell r="F1223" t="str">
            <v>Телескоп №5</v>
          </cell>
          <cell r="I1223">
            <v>5</v>
          </cell>
          <cell r="J1223">
            <v>14</v>
          </cell>
        </row>
        <row r="1224">
          <cell r="B1224">
            <v>45231</v>
          </cell>
          <cell r="E1224" t="str">
            <v>Борисенко О.М.</v>
          </cell>
          <cell r="F1224" t="str">
            <v>Автокран клинцы</v>
          </cell>
          <cell r="I1224">
            <v>19</v>
          </cell>
          <cell r="J1224">
            <v>6</v>
          </cell>
        </row>
        <row r="1225">
          <cell r="B1225">
            <v>45232</v>
          </cell>
          <cell r="E1225" t="str">
            <v>Борисенко О.М.</v>
          </cell>
          <cell r="F1225" t="str">
            <v>Автокран клинцы</v>
          </cell>
          <cell r="I1225">
            <v>19</v>
          </cell>
          <cell r="J1225">
            <v>10</v>
          </cell>
        </row>
        <row r="1226">
          <cell r="B1226">
            <v>45236</v>
          </cell>
          <cell r="E1226" t="str">
            <v>Борисенко О.М.</v>
          </cell>
          <cell r="F1226" t="str">
            <v>Автокран клинцы</v>
          </cell>
          <cell r="I1226">
            <v>19</v>
          </cell>
          <cell r="J1226">
            <v>9</v>
          </cell>
        </row>
        <row r="1227">
          <cell r="B1227">
            <v>45237</v>
          </cell>
          <cell r="E1227" t="str">
            <v>Борисенко О.М.</v>
          </cell>
          <cell r="F1227" t="str">
            <v>Автокран клинцы</v>
          </cell>
          <cell r="I1227">
            <v>19</v>
          </cell>
          <cell r="J1227">
            <v>11</v>
          </cell>
        </row>
        <row r="1228">
          <cell r="B1228">
            <v>45238</v>
          </cell>
          <cell r="E1228" t="str">
            <v>Борисенко О.М.</v>
          </cell>
          <cell r="F1228" t="str">
            <v>Автокран клинцы</v>
          </cell>
          <cell r="I1228">
            <v>19</v>
          </cell>
          <cell r="J1228">
            <v>8</v>
          </cell>
          <cell r="K1228">
            <v>4</v>
          </cell>
        </row>
        <row r="1229">
          <cell r="B1229">
            <v>45239</v>
          </cell>
          <cell r="E1229" t="str">
            <v>Борисенко О.М.</v>
          </cell>
          <cell r="F1229" t="str">
            <v>Автокран клинцы</v>
          </cell>
          <cell r="I1229">
            <v>19</v>
          </cell>
          <cell r="J1229">
            <v>9</v>
          </cell>
        </row>
        <row r="1230">
          <cell r="B1230">
            <v>45240</v>
          </cell>
          <cell r="E1230" t="str">
            <v>Борисенко О.М.</v>
          </cell>
          <cell r="F1230" t="str">
            <v>Автокран клинцы</v>
          </cell>
          <cell r="I1230">
            <v>19</v>
          </cell>
          <cell r="J1230">
            <v>11</v>
          </cell>
        </row>
        <row r="1231">
          <cell r="B1231">
            <v>45241</v>
          </cell>
          <cell r="E1231" t="str">
            <v>Борисенко О.М.</v>
          </cell>
          <cell r="F1231" t="str">
            <v>Автокран клинцы</v>
          </cell>
          <cell r="I1231">
            <v>19</v>
          </cell>
          <cell r="J1231">
            <v>6</v>
          </cell>
        </row>
        <row r="1232">
          <cell r="B1232">
            <v>45243</v>
          </cell>
          <cell r="E1232" t="str">
            <v>Борисенко О.М.</v>
          </cell>
          <cell r="F1232" t="str">
            <v>Автокран клинцы</v>
          </cell>
          <cell r="I1232">
            <v>19</v>
          </cell>
          <cell r="J1232">
            <v>9</v>
          </cell>
        </row>
        <row r="1233">
          <cell r="B1233">
            <v>45244</v>
          </cell>
          <cell r="E1233" t="str">
            <v>Борисенко О.М.</v>
          </cell>
          <cell r="F1233" t="str">
            <v>Автокран клинцы</v>
          </cell>
          <cell r="I1233">
            <v>19</v>
          </cell>
          <cell r="J1233">
            <v>6</v>
          </cell>
          <cell r="K1233">
            <v>2</v>
          </cell>
        </row>
        <row r="1234">
          <cell r="B1234">
            <v>45246</v>
          </cell>
          <cell r="E1234" t="str">
            <v>Борисенко О.М.</v>
          </cell>
          <cell r="F1234" t="str">
            <v>Виброкаток</v>
          </cell>
          <cell r="I1234">
            <v>6</v>
          </cell>
          <cell r="J1234">
            <v>9</v>
          </cell>
        </row>
        <row r="1235">
          <cell r="B1235">
            <v>45247</v>
          </cell>
          <cell r="E1235" t="str">
            <v>Борисенко О.М.</v>
          </cell>
          <cell r="F1235" t="str">
            <v>Виброкаток</v>
          </cell>
          <cell r="I1235">
            <v>6</v>
          </cell>
          <cell r="J1235">
            <v>9</v>
          </cell>
        </row>
        <row r="1236">
          <cell r="B1236">
            <v>45248</v>
          </cell>
          <cell r="E1236" t="str">
            <v>Борисенко О.М.</v>
          </cell>
          <cell r="F1236" t="str">
            <v>Виброкаток</v>
          </cell>
          <cell r="I1236">
            <v>6</v>
          </cell>
          <cell r="J1236">
            <v>7</v>
          </cell>
        </row>
        <row r="1237">
          <cell r="B1237">
            <v>45249</v>
          </cell>
          <cell r="E1237" t="str">
            <v>Борисенко О.М.</v>
          </cell>
          <cell r="F1237" t="str">
            <v>Виброкаток</v>
          </cell>
          <cell r="I1237">
            <v>6</v>
          </cell>
          <cell r="J1237">
            <v>2</v>
          </cell>
        </row>
        <row r="1238">
          <cell r="B1238">
            <v>45250</v>
          </cell>
          <cell r="E1238" t="str">
            <v>Борисенко О.М.</v>
          </cell>
          <cell r="F1238" t="str">
            <v>Виброкаток</v>
          </cell>
          <cell r="I1238">
            <v>6</v>
          </cell>
          <cell r="J1238">
            <v>9</v>
          </cell>
        </row>
        <row r="1239">
          <cell r="B1239">
            <v>45251</v>
          </cell>
          <cell r="E1239" t="str">
            <v>Борисенко О.М.</v>
          </cell>
          <cell r="F1239" t="str">
            <v>Виброкаток</v>
          </cell>
          <cell r="I1239">
            <v>6</v>
          </cell>
          <cell r="J1239">
            <v>6</v>
          </cell>
        </row>
        <row r="1240">
          <cell r="B1240">
            <v>45257</v>
          </cell>
          <cell r="E1240" t="str">
            <v>Борисенко О.М.</v>
          </cell>
          <cell r="F1240" t="str">
            <v>Виброкаток</v>
          </cell>
          <cell r="I1240">
            <v>6</v>
          </cell>
          <cell r="J1240">
            <v>9</v>
          </cell>
        </row>
        <row r="1241">
          <cell r="B1241">
            <v>45258</v>
          </cell>
          <cell r="E1241" t="str">
            <v>Борисенко О.М.</v>
          </cell>
          <cell r="F1241" t="str">
            <v>Виброкаток</v>
          </cell>
          <cell r="I1241">
            <v>6</v>
          </cell>
          <cell r="J1241">
            <v>9</v>
          </cell>
          <cell r="L1241">
            <v>1</v>
          </cell>
        </row>
        <row r="1242">
          <cell r="B1242">
            <v>45260</v>
          </cell>
          <cell r="E1242" t="str">
            <v>Борисенко О.М.</v>
          </cell>
          <cell r="F1242" t="str">
            <v>Виброкаток</v>
          </cell>
          <cell r="I1242">
            <v>6</v>
          </cell>
          <cell r="J1242">
            <v>4</v>
          </cell>
        </row>
        <row r="1243">
          <cell r="B1243">
            <v>45248</v>
          </cell>
          <cell r="E1243" t="str">
            <v>Борисенко О.М.</v>
          </cell>
          <cell r="F1243" t="str">
            <v>Автокран клинцы</v>
          </cell>
          <cell r="I1243">
            <v>19</v>
          </cell>
          <cell r="J1243">
            <v>2</v>
          </cell>
        </row>
        <row r="1244">
          <cell r="B1244">
            <v>45249</v>
          </cell>
          <cell r="E1244" t="str">
            <v>Борисенко О.М.</v>
          </cell>
          <cell r="F1244" t="str">
            <v>Автокран клинцы</v>
          </cell>
          <cell r="I1244">
            <v>19</v>
          </cell>
          <cell r="J1244">
            <v>5</v>
          </cell>
        </row>
        <row r="1245">
          <cell r="B1245">
            <v>45251</v>
          </cell>
          <cell r="E1245" t="str">
            <v>Борисенко О.М.</v>
          </cell>
          <cell r="F1245" t="str">
            <v>Автокран клинцы</v>
          </cell>
          <cell r="I1245">
            <v>19</v>
          </cell>
          <cell r="J1245">
            <v>4</v>
          </cell>
        </row>
        <row r="1246">
          <cell r="B1246">
            <v>45252</v>
          </cell>
          <cell r="E1246" t="str">
            <v>Борисенко О.М.</v>
          </cell>
          <cell r="F1246" t="str">
            <v>Автокран клинцы</v>
          </cell>
          <cell r="I1246">
            <v>19</v>
          </cell>
          <cell r="J1246">
            <v>5</v>
          </cell>
        </row>
        <row r="1247">
          <cell r="B1247">
            <v>45253</v>
          </cell>
          <cell r="E1247" t="str">
            <v>Борисенко О.М.</v>
          </cell>
          <cell r="F1247" t="str">
            <v>Автокран клинцы</v>
          </cell>
          <cell r="I1247">
            <v>19</v>
          </cell>
          <cell r="J1247">
            <v>7</v>
          </cell>
          <cell r="K1247">
            <v>7</v>
          </cell>
        </row>
        <row r="1248">
          <cell r="B1248">
            <v>45259</v>
          </cell>
          <cell r="E1248" t="str">
            <v>Борисенко О.М.</v>
          </cell>
          <cell r="F1248" t="str">
            <v>Автокран клинцы</v>
          </cell>
          <cell r="I1248">
            <v>19</v>
          </cell>
          <cell r="J1248">
            <v>9</v>
          </cell>
          <cell r="K1248">
            <v>3</v>
          </cell>
        </row>
        <row r="1249">
          <cell r="B1249">
            <v>45260</v>
          </cell>
          <cell r="E1249" t="str">
            <v>Борисенко О.М.</v>
          </cell>
          <cell r="F1249" t="str">
            <v>Автокран клинцы</v>
          </cell>
          <cell r="I1249">
            <v>19</v>
          </cell>
          <cell r="J1249">
            <v>4</v>
          </cell>
          <cell r="K1249">
            <v>4</v>
          </cell>
        </row>
        <row r="1250">
          <cell r="B1250">
            <v>45231</v>
          </cell>
          <cell r="E1250" t="str">
            <v>Карбунар Я.Д.</v>
          </cell>
          <cell r="F1250" t="str">
            <v>Экскаватор JCB 2007</v>
          </cell>
          <cell r="I1250">
            <v>8</v>
          </cell>
          <cell r="J1250">
            <v>11</v>
          </cell>
        </row>
        <row r="1251">
          <cell r="B1251">
            <v>45232</v>
          </cell>
          <cell r="E1251" t="str">
            <v>Карбунар Я.Д.</v>
          </cell>
          <cell r="F1251" t="str">
            <v>Экскаватор JCB 2007</v>
          </cell>
          <cell r="I1251">
            <v>8</v>
          </cell>
          <cell r="J1251">
            <v>11</v>
          </cell>
        </row>
        <row r="1252">
          <cell r="B1252">
            <v>45233</v>
          </cell>
          <cell r="E1252" t="str">
            <v>Карбунар Я.Д.</v>
          </cell>
          <cell r="F1252" t="str">
            <v>Экскаватор JCB 2007</v>
          </cell>
          <cell r="I1252">
            <v>8</v>
          </cell>
          <cell r="J1252">
            <v>11</v>
          </cell>
        </row>
        <row r="1253">
          <cell r="B1253">
            <v>45234</v>
          </cell>
          <cell r="E1253" t="str">
            <v>Карбунар Я.Д.</v>
          </cell>
          <cell r="F1253" t="str">
            <v>Экскаватор JCB 2007</v>
          </cell>
          <cell r="I1253">
            <v>8</v>
          </cell>
          <cell r="J1253">
            <v>10</v>
          </cell>
        </row>
        <row r="1254">
          <cell r="B1254">
            <v>45236</v>
          </cell>
          <cell r="E1254" t="str">
            <v>Карбунар Я.Д.</v>
          </cell>
          <cell r="F1254" t="str">
            <v>Экскаватор JCB 2007</v>
          </cell>
          <cell r="I1254">
            <v>8</v>
          </cell>
          <cell r="J1254">
            <v>10</v>
          </cell>
        </row>
        <row r="1255">
          <cell r="B1255">
            <v>45237</v>
          </cell>
          <cell r="E1255" t="str">
            <v>Карбунар Я.Д.</v>
          </cell>
          <cell r="F1255" t="str">
            <v>Экскаватор JCB 2007</v>
          </cell>
          <cell r="I1255">
            <v>8</v>
          </cell>
          <cell r="J1255">
            <v>10</v>
          </cell>
        </row>
        <row r="1256">
          <cell r="B1256">
            <v>45238</v>
          </cell>
          <cell r="E1256" t="str">
            <v>Карбунар Я.Д.</v>
          </cell>
          <cell r="F1256" t="str">
            <v>Экскаватор JCB 2007</v>
          </cell>
          <cell r="I1256">
            <v>8</v>
          </cell>
          <cell r="J1256">
            <v>10</v>
          </cell>
        </row>
        <row r="1257">
          <cell r="B1257">
            <v>45239</v>
          </cell>
          <cell r="E1257" t="str">
            <v>Карбунар Я.Д.</v>
          </cell>
          <cell r="F1257" t="str">
            <v>Экскаватор JCB 2007</v>
          </cell>
          <cell r="I1257">
            <v>8</v>
          </cell>
          <cell r="J1257">
            <v>10</v>
          </cell>
        </row>
        <row r="1258">
          <cell r="B1258">
            <v>45240</v>
          </cell>
          <cell r="E1258" t="str">
            <v>Карбунар Я.Д.</v>
          </cell>
          <cell r="F1258" t="str">
            <v>Экскаватор JCB 2007</v>
          </cell>
          <cell r="I1258">
            <v>8</v>
          </cell>
          <cell r="J1258">
            <v>11</v>
          </cell>
          <cell r="L1258">
            <v>1</v>
          </cell>
        </row>
        <row r="1259">
          <cell r="B1259">
            <v>45241</v>
          </cell>
          <cell r="E1259" t="str">
            <v>Карбунар Я.Д.</v>
          </cell>
          <cell r="F1259" t="str">
            <v>Экскаватор JCB 2007</v>
          </cell>
          <cell r="I1259">
            <v>8</v>
          </cell>
          <cell r="J1259">
            <v>10</v>
          </cell>
        </row>
        <row r="1260">
          <cell r="B1260">
            <v>45243</v>
          </cell>
          <cell r="E1260" t="str">
            <v>Карбунар Я.Д.</v>
          </cell>
          <cell r="F1260" t="str">
            <v>Экскаватор JCB 2007</v>
          </cell>
          <cell r="I1260">
            <v>8</v>
          </cell>
          <cell r="J1260">
            <v>13</v>
          </cell>
        </row>
        <row r="1261">
          <cell r="B1261">
            <v>45244</v>
          </cell>
          <cell r="E1261" t="str">
            <v>Карбунар Я.Д.</v>
          </cell>
          <cell r="F1261" t="str">
            <v>Экскаватор JCB 2007</v>
          </cell>
          <cell r="I1261">
            <v>8</v>
          </cell>
          <cell r="J1261">
            <v>11</v>
          </cell>
        </row>
        <row r="1262">
          <cell r="B1262">
            <v>45245</v>
          </cell>
          <cell r="E1262" t="str">
            <v>Карбунар Я.Д.</v>
          </cell>
          <cell r="F1262" t="str">
            <v>Экскаватор JCB 2007</v>
          </cell>
          <cell r="I1262">
            <v>8</v>
          </cell>
          <cell r="J1262">
            <v>14</v>
          </cell>
          <cell r="K1262">
            <v>2</v>
          </cell>
        </row>
        <row r="1263">
          <cell r="B1263">
            <v>45246</v>
          </cell>
          <cell r="E1263" t="str">
            <v>Карбунар Я.Д.</v>
          </cell>
          <cell r="F1263" t="str">
            <v>Экскаватор JCB 2007</v>
          </cell>
          <cell r="I1263">
            <v>8</v>
          </cell>
          <cell r="J1263">
            <v>10</v>
          </cell>
        </row>
        <row r="1264">
          <cell r="B1264">
            <v>45247</v>
          </cell>
          <cell r="E1264" t="str">
            <v>Карбунар Я.Д.</v>
          </cell>
          <cell r="F1264" t="str">
            <v>Экскаватор JCB 2007</v>
          </cell>
          <cell r="I1264">
            <v>8</v>
          </cell>
          <cell r="J1264">
            <v>11</v>
          </cell>
        </row>
        <row r="1265">
          <cell r="B1265">
            <v>45248</v>
          </cell>
          <cell r="E1265" t="str">
            <v>Карбунар Я.Д.</v>
          </cell>
          <cell r="F1265" t="str">
            <v>Экскаватор JCB 2007</v>
          </cell>
          <cell r="I1265">
            <v>8</v>
          </cell>
          <cell r="J1265">
            <v>10</v>
          </cell>
        </row>
        <row r="1266">
          <cell r="B1266">
            <v>45250</v>
          </cell>
          <cell r="E1266" t="str">
            <v>Карбунар Я.Д.</v>
          </cell>
          <cell r="F1266" t="str">
            <v>Экскаватор JCB 2007</v>
          </cell>
          <cell r="I1266">
            <v>8</v>
          </cell>
          <cell r="J1266">
            <v>12</v>
          </cell>
        </row>
        <row r="1267">
          <cell r="B1267">
            <v>45251</v>
          </cell>
          <cell r="E1267" t="str">
            <v>Карбунар Я.Д.</v>
          </cell>
          <cell r="F1267" t="str">
            <v>Экскаватор JCB 2007</v>
          </cell>
          <cell r="I1267">
            <v>8</v>
          </cell>
          <cell r="J1267">
            <v>10</v>
          </cell>
        </row>
        <row r="1268">
          <cell r="B1268">
            <v>45252</v>
          </cell>
          <cell r="E1268" t="str">
            <v>Карбунар Я.Д.</v>
          </cell>
          <cell r="F1268" t="str">
            <v>Экскаватор JCB 2007</v>
          </cell>
          <cell r="I1268">
            <v>8</v>
          </cell>
          <cell r="J1268">
            <v>10</v>
          </cell>
        </row>
        <row r="1269">
          <cell r="B1269">
            <v>45253</v>
          </cell>
          <cell r="E1269" t="str">
            <v>Карбунар Я.Д.</v>
          </cell>
          <cell r="F1269" t="str">
            <v>Экскаватор JCB 2007</v>
          </cell>
          <cell r="I1269">
            <v>8</v>
          </cell>
          <cell r="J1269">
            <v>11</v>
          </cell>
          <cell r="L1269">
            <v>1</v>
          </cell>
        </row>
        <row r="1270">
          <cell r="B1270">
            <v>45254</v>
          </cell>
          <cell r="E1270" t="str">
            <v>Карбунар Я.Д.</v>
          </cell>
          <cell r="F1270" t="str">
            <v>Экскаватор JCB 2007</v>
          </cell>
          <cell r="I1270">
            <v>8</v>
          </cell>
          <cell r="J1270">
            <v>10</v>
          </cell>
        </row>
        <row r="1271">
          <cell r="B1271">
            <v>45255</v>
          </cell>
          <cell r="E1271" t="str">
            <v>Карбунар Я.Д.</v>
          </cell>
          <cell r="F1271" t="str">
            <v>Экскаватор JCB 2007</v>
          </cell>
          <cell r="I1271">
            <v>8</v>
          </cell>
          <cell r="J1271">
            <v>10</v>
          </cell>
        </row>
        <row r="1272">
          <cell r="B1272">
            <v>45256</v>
          </cell>
          <cell r="E1272" t="str">
            <v>Карбунар Я.Д.</v>
          </cell>
          <cell r="F1272" t="str">
            <v>Экскаватор JCB 2007</v>
          </cell>
          <cell r="I1272">
            <v>8</v>
          </cell>
          <cell r="J1272">
            <v>10</v>
          </cell>
        </row>
        <row r="1273">
          <cell r="B1273">
            <v>45257</v>
          </cell>
          <cell r="E1273" t="str">
            <v>Карбунар Я.Д.</v>
          </cell>
          <cell r="F1273" t="str">
            <v>Экскаватор JCB 2007</v>
          </cell>
          <cell r="I1273">
            <v>8</v>
          </cell>
          <cell r="J1273">
            <v>10</v>
          </cell>
        </row>
        <row r="1274">
          <cell r="B1274">
            <v>45258</v>
          </cell>
          <cell r="E1274" t="str">
            <v>Карбунар Я.Д.</v>
          </cell>
          <cell r="F1274" t="str">
            <v>Экскаватор JCB 2007</v>
          </cell>
          <cell r="I1274">
            <v>8</v>
          </cell>
          <cell r="J1274">
            <v>11</v>
          </cell>
          <cell r="L1274">
            <v>1</v>
          </cell>
        </row>
        <row r="1275">
          <cell r="B1275">
            <v>45259</v>
          </cell>
          <cell r="E1275" t="str">
            <v>Карбунар Я.Д.</v>
          </cell>
          <cell r="F1275" t="str">
            <v>Экскаватор JCB 2007</v>
          </cell>
          <cell r="I1275">
            <v>8</v>
          </cell>
          <cell r="J1275">
            <v>10</v>
          </cell>
        </row>
        <row r="1276">
          <cell r="B1276">
            <v>45260</v>
          </cell>
          <cell r="E1276" t="str">
            <v>Карбунар Я.Д.</v>
          </cell>
          <cell r="F1276" t="str">
            <v>Экскаватор JCB 2007</v>
          </cell>
          <cell r="I1276">
            <v>8</v>
          </cell>
          <cell r="J1276">
            <v>10</v>
          </cell>
        </row>
        <row r="1277">
          <cell r="B1277">
            <v>45231</v>
          </cell>
          <cell r="E1277" t="str">
            <v>Кушнірюк М.В.</v>
          </cell>
          <cell r="F1277" t="str">
            <v>МАЗ 265</v>
          </cell>
          <cell r="I1277">
            <v>13</v>
          </cell>
          <cell r="J1277">
            <v>5</v>
          </cell>
        </row>
        <row r="1278">
          <cell r="B1278">
            <v>45232</v>
          </cell>
          <cell r="E1278" t="str">
            <v>Кушнірюк М.В.</v>
          </cell>
          <cell r="F1278" t="str">
            <v>МАЗ 265</v>
          </cell>
          <cell r="I1278">
            <v>13</v>
          </cell>
          <cell r="J1278">
            <v>9</v>
          </cell>
        </row>
        <row r="1279">
          <cell r="B1279">
            <v>45233</v>
          </cell>
          <cell r="E1279" t="str">
            <v>Кушнірюк М.В.</v>
          </cell>
          <cell r="F1279" t="str">
            <v>МАЗ 265</v>
          </cell>
          <cell r="I1279">
            <v>13</v>
          </cell>
          <cell r="J1279">
            <v>9</v>
          </cell>
        </row>
        <row r="1280">
          <cell r="B1280">
            <v>45235</v>
          </cell>
          <cell r="E1280" t="str">
            <v>Кушнірюк М.В.</v>
          </cell>
          <cell r="F1280" t="str">
            <v>МАЗ 265</v>
          </cell>
          <cell r="I1280">
            <v>13</v>
          </cell>
          <cell r="J1280">
            <v>6</v>
          </cell>
        </row>
        <row r="1281">
          <cell r="B1281">
            <v>45236</v>
          </cell>
          <cell r="E1281" t="str">
            <v>Кушнірюк М.В.</v>
          </cell>
          <cell r="F1281" t="str">
            <v>МАЗ 265</v>
          </cell>
          <cell r="I1281">
            <v>13</v>
          </cell>
          <cell r="J1281">
            <v>7</v>
          </cell>
        </row>
        <row r="1282">
          <cell r="B1282">
            <v>45238</v>
          </cell>
          <cell r="E1282" t="str">
            <v>Кушнірюк М.В.</v>
          </cell>
          <cell r="F1282" t="str">
            <v>МАЗ 265</v>
          </cell>
          <cell r="I1282">
            <v>13</v>
          </cell>
        </row>
        <row r="1283">
          <cell r="B1283">
            <v>45239</v>
          </cell>
          <cell r="E1283" t="str">
            <v>Кушнірюк М.В.</v>
          </cell>
          <cell r="F1283" t="str">
            <v>МАЗ 265</v>
          </cell>
          <cell r="I1283">
            <v>13</v>
          </cell>
        </row>
        <row r="1284">
          <cell r="B1284">
            <v>45240</v>
          </cell>
          <cell r="E1284" t="str">
            <v>Кушнірюк М.В.</v>
          </cell>
          <cell r="F1284" t="str">
            <v>МАЗ 265</v>
          </cell>
          <cell r="I1284">
            <v>13</v>
          </cell>
        </row>
        <row r="1285">
          <cell r="B1285">
            <v>45241</v>
          </cell>
          <cell r="E1285" t="str">
            <v>Кушнірюк М.В.</v>
          </cell>
          <cell r="F1285" t="str">
            <v>МАЗ 265</v>
          </cell>
          <cell r="I1285">
            <v>13</v>
          </cell>
          <cell r="J1285">
            <v>4</v>
          </cell>
        </row>
        <row r="1286">
          <cell r="B1286">
            <v>45244</v>
          </cell>
          <cell r="E1286" t="str">
            <v>Кушнірюк М.В.</v>
          </cell>
          <cell r="F1286" t="str">
            <v>МАЗ 265</v>
          </cell>
          <cell r="I1286">
            <v>13</v>
          </cell>
          <cell r="J1286">
            <v>6</v>
          </cell>
        </row>
        <row r="1287">
          <cell r="B1287">
            <v>45245</v>
          </cell>
          <cell r="E1287" t="str">
            <v>Кушнірюк М.В.</v>
          </cell>
          <cell r="F1287" t="str">
            <v>МАЗ 265</v>
          </cell>
          <cell r="I1287">
            <v>13</v>
          </cell>
          <cell r="J1287">
            <v>9</v>
          </cell>
        </row>
        <row r="1288">
          <cell r="B1288">
            <v>45248</v>
          </cell>
          <cell r="E1288" t="str">
            <v>Кушнірюк М.В.</v>
          </cell>
          <cell r="F1288" t="str">
            <v>МАЗ 265</v>
          </cell>
          <cell r="I1288">
            <v>13</v>
          </cell>
          <cell r="J1288">
            <v>14</v>
          </cell>
        </row>
        <row r="1289">
          <cell r="B1289">
            <v>45249</v>
          </cell>
          <cell r="E1289" t="str">
            <v>Кушнірюк М.В.</v>
          </cell>
          <cell r="F1289" t="str">
            <v>МАЗ 265</v>
          </cell>
          <cell r="I1289">
            <v>13</v>
          </cell>
          <cell r="J1289">
            <v>14</v>
          </cell>
        </row>
        <row r="1290">
          <cell r="B1290">
            <v>45253</v>
          </cell>
          <cell r="E1290" t="str">
            <v>Кушнірюк М.В.</v>
          </cell>
          <cell r="F1290" t="str">
            <v>МАЗ 265</v>
          </cell>
          <cell r="I1290">
            <v>13</v>
          </cell>
          <cell r="J1290">
            <v>13</v>
          </cell>
          <cell r="K1290">
            <v>3</v>
          </cell>
        </row>
        <row r="1291">
          <cell r="B1291">
            <v>45257</v>
          </cell>
          <cell r="E1291" t="str">
            <v>Кушнірюк М.В.</v>
          </cell>
          <cell r="F1291" t="str">
            <v>МАЗ 265</v>
          </cell>
          <cell r="I1291">
            <v>13</v>
          </cell>
          <cell r="J1291">
            <v>13</v>
          </cell>
        </row>
        <row r="1292">
          <cell r="B1292">
            <v>45259</v>
          </cell>
          <cell r="E1292" t="str">
            <v>Кушнірюк М.В.</v>
          </cell>
          <cell r="F1292" t="str">
            <v>МАЗ 265</v>
          </cell>
          <cell r="I1292">
            <v>13</v>
          </cell>
          <cell r="J1292">
            <v>12</v>
          </cell>
        </row>
        <row r="1293">
          <cell r="B1293">
            <v>45231</v>
          </cell>
          <cell r="E1293" t="str">
            <v>Боранов В.В.</v>
          </cell>
          <cell r="F1293" t="str">
            <v>Экскаватор JCB 2013</v>
          </cell>
          <cell r="I1293">
            <v>10</v>
          </cell>
          <cell r="J1293">
            <v>8</v>
          </cell>
        </row>
        <row r="1294">
          <cell r="B1294">
            <v>45233</v>
          </cell>
          <cell r="E1294" t="str">
            <v>Боранов В.В.</v>
          </cell>
          <cell r="F1294" t="str">
            <v>Экскаватор JCB 2013</v>
          </cell>
          <cell r="I1294">
            <v>10</v>
          </cell>
          <cell r="J1294">
            <v>8</v>
          </cell>
        </row>
        <row r="1295">
          <cell r="B1295">
            <v>45234</v>
          </cell>
          <cell r="E1295" t="str">
            <v>Боранов В.В.</v>
          </cell>
          <cell r="F1295" t="str">
            <v>Экскаватор JCB 2013</v>
          </cell>
          <cell r="I1295">
            <v>10</v>
          </cell>
          <cell r="J1295">
            <v>7</v>
          </cell>
        </row>
        <row r="1296">
          <cell r="B1296">
            <v>45236</v>
          </cell>
          <cell r="E1296" t="str">
            <v>Боранов В.В.</v>
          </cell>
          <cell r="F1296" t="str">
            <v>Экскаватор JCB 2013</v>
          </cell>
          <cell r="I1296">
            <v>10</v>
          </cell>
          <cell r="J1296">
            <v>8</v>
          </cell>
        </row>
        <row r="1297">
          <cell r="B1297">
            <v>45237</v>
          </cell>
          <cell r="E1297" t="str">
            <v>Боранов В.В.</v>
          </cell>
          <cell r="F1297" t="str">
            <v>Экскаватор JCB 2013</v>
          </cell>
          <cell r="I1297">
            <v>10</v>
          </cell>
          <cell r="J1297">
            <v>8</v>
          </cell>
          <cell r="K1297">
            <v>1</v>
          </cell>
        </row>
        <row r="1298">
          <cell r="B1298">
            <v>45238</v>
          </cell>
          <cell r="E1298" t="str">
            <v>Боранов В.В.</v>
          </cell>
          <cell r="F1298" t="str">
            <v>Экскаватор JCB 2013</v>
          </cell>
          <cell r="I1298">
            <v>10</v>
          </cell>
          <cell r="J1298">
            <v>8</v>
          </cell>
          <cell r="K1298">
            <v>2</v>
          </cell>
        </row>
        <row r="1299">
          <cell r="B1299">
            <v>45239</v>
          </cell>
          <cell r="E1299" t="str">
            <v>Боранов В.В.</v>
          </cell>
          <cell r="F1299" t="str">
            <v>Экскаватор JCB 2013</v>
          </cell>
          <cell r="I1299">
            <v>10</v>
          </cell>
          <cell r="J1299">
            <v>8</v>
          </cell>
        </row>
        <row r="1300">
          <cell r="B1300">
            <v>45240</v>
          </cell>
          <cell r="E1300" t="str">
            <v>Боранов В.В.</v>
          </cell>
          <cell r="F1300" t="str">
            <v>Экскаватор JCB 2013</v>
          </cell>
          <cell r="I1300">
            <v>10</v>
          </cell>
          <cell r="J1300">
            <v>8</v>
          </cell>
          <cell r="K1300">
            <v>1</v>
          </cell>
        </row>
        <row r="1301">
          <cell r="B1301">
            <v>45241</v>
          </cell>
          <cell r="E1301" t="str">
            <v>Боранов В.В.</v>
          </cell>
          <cell r="F1301" t="str">
            <v>Экскаватор JCB 2013</v>
          </cell>
          <cell r="I1301">
            <v>10</v>
          </cell>
          <cell r="J1301">
            <v>8</v>
          </cell>
        </row>
        <row r="1302">
          <cell r="B1302">
            <v>45243</v>
          </cell>
          <cell r="E1302" t="str">
            <v>Боранов В.В.</v>
          </cell>
          <cell r="F1302" t="str">
            <v>Экскаватор JCB 2013</v>
          </cell>
          <cell r="I1302">
            <v>10</v>
          </cell>
          <cell r="J1302">
            <v>8</v>
          </cell>
          <cell r="K1302">
            <v>1</v>
          </cell>
        </row>
        <row r="1303">
          <cell r="B1303">
            <v>45244</v>
          </cell>
          <cell r="E1303" t="str">
            <v>Боранов В.В.</v>
          </cell>
          <cell r="F1303" t="str">
            <v>Экскаватор JCB 2013</v>
          </cell>
          <cell r="I1303">
            <v>10</v>
          </cell>
          <cell r="J1303">
            <v>8</v>
          </cell>
        </row>
        <row r="1304">
          <cell r="B1304">
            <v>45245</v>
          </cell>
          <cell r="E1304" t="str">
            <v>Боранов В.В.</v>
          </cell>
          <cell r="F1304" t="str">
            <v>Экскаватор JCB 2013</v>
          </cell>
          <cell r="I1304">
            <v>10</v>
          </cell>
          <cell r="J1304">
            <v>6</v>
          </cell>
        </row>
        <row r="1305">
          <cell r="B1305">
            <v>45246</v>
          </cell>
          <cell r="E1305" t="str">
            <v>Боранов В.В.</v>
          </cell>
          <cell r="F1305" t="str">
            <v>Экскаватор JCB 2013</v>
          </cell>
          <cell r="I1305">
            <v>10</v>
          </cell>
          <cell r="J1305">
            <v>6</v>
          </cell>
          <cell r="K1305">
            <v>2</v>
          </cell>
        </row>
        <row r="1306">
          <cell r="B1306">
            <v>45247</v>
          </cell>
          <cell r="E1306" t="str">
            <v>Боранов В.В.</v>
          </cell>
          <cell r="F1306" t="str">
            <v>Экскаватор JCB 2013</v>
          </cell>
          <cell r="I1306">
            <v>10</v>
          </cell>
          <cell r="J1306">
            <v>8</v>
          </cell>
        </row>
        <row r="1307">
          <cell r="B1307">
            <v>45250</v>
          </cell>
          <cell r="E1307" t="str">
            <v>Боранов В.В.</v>
          </cell>
          <cell r="F1307" t="str">
            <v>Экскаватор JCB 2013</v>
          </cell>
          <cell r="I1307">
            <v>10</v>
          </cell>
          <cell r="J1307">
            <v>8</v>
          </cell>
          <cell r="K1307">
            <v>2</v>
          </cell>
        </row>
        <row r="1308">
          <cell r="B1308">
            <v>45261</v>
          </cell>
          <cell r="E1308" t="str">
            <v>Карбунар Я.Д.</v>
          </cell>
          <cell r="F1308" t="str">
            <v>Экскаватор JCB 2007</v>
          </cell>
          <cell r="I1308">
            <v>8</v>
          </cell>
          <cell r="J1308">
            <v>10</v>
          </cell>
        </row>
        <row r="1309">
          <cell r="B1309">
            <v>45262</v>
          </cell>
          <cell r="E1309" t="str">
            <v>Карбунар Я.Д.</v>
          </cell>
          <cell r="F1309" t="str">
            <v>Экскаватор JCB 2007</v>
          </cell>
          <cell r="I1309">
            <v>8</v>
          </cell>
          <cell r="J1309">
            <v>10</v>
          </cell>
        </row>
        <row r="1310">
          <cell r="B1310">
            <v>45263</v>
          </cell>
          <cell r="E1310" t="str">
            <v>Карбунар Я.Д.</v>
          </cell>
          <cell r="F1310" t="str">
            <v>Экскаватор JCB 2007</v>
          </cell>
          <cell r="I1310">
            <v>8</v>
          </cell>
          <cell r="J1310">
            <v>10</v>
          </cell>
        </row>
        <row r="1311">
          <cell r="B1311">
            <v>45264</v>
          </cell>
          <cell r="E1311" t="str">
            <v>Карбунар Я.Д.</v>
          </cell>
          <cell r="F1311" t="str">
            <v>Экскаватор JCB 2007</v>
          </cell>
          <cell r="I1311">
            <v>8</v>
          </cell>
          <cell r="J1311">
            <v>12</v>
          </cell>
        </row>
        <row r="1312">
          <cell r="B1312">
            <v>45265</v>
          </cell>
          <cell r="E1312" t="str">
            <v>Карбунар Я.Д.</v>
          </cell>
          <cell r="F1312" t="str">
            <v>Экскаватор JCB 2007</v>
          </cell>
          <cell r="I1312">
            <v>8</v>
          </cell>
          <cell r="J1312">
            <v>15</v>
          </cell>
        </row>
        <row r="1313">
          <cell r="B1313">
            <v>45266</v>
          </cell>
          <cell r="E1313" t="str">
            <v>Карбунар Я.Д.</v>
          </cell>
          <cell r="F1313" t="str">
            <v>Экскаватор JCB 2007</v>
          </cell>
          <cell r="I1313">
            <v>8</v>
          </cell>
          <cell r="J1313">
            <v>15</v>
          </cell>
        </row>
        <row r="1314">
          <cell r="B1314">
            <v>45267</v>
          </cell>
          <cell r="E1314" t="str">
            <v>Карбунар Я.Д.</v>
          </cell>
          <cell r="F1314" t="str">
            <v>Экскаватор JCB 2007</v>
          </cell>
          <cell r="I1314">
            <v>8</v>
          </cell>
          <cell r="J1314">
            <v>12</v>
          </cell>
          <cell r="L1314">
            <v>2</v>
          </cell>
        </row>
        <row r="1315">
          <cell r="B1315">
            <v>45268</v>
          </cell>
          <cell r="E1315" t="str">
            <v>Карбунар Я.Д.</v>
          </cell>
          <cell r="F1315" t="str">
            <v>Экскаватор JCB 2007</v>
          </cell>
          <cell r="I1315">
            <v>8</v>
          </cell>
          <cell r="J1315">
            <v>13</v>
          </cell>
        </row>
        <row r="1316">
          <cell r="B1316">
            <v>45269</v>
          </cell>
          <cell r="E1316" t="str">
            <v>Карбунар Я.Д.</v>
          </cell>
          <cell r="F1316" t="str">
            <v>Экскаватор JCB 2007</v>
          </cell>
          <cell r="I1316">
            <v>8</v>
          </cell>
          <cell r="J1316">
            <v>13</v>
          </cell>
        </row>
        <row r="1317">
          <cell r="B1317">
            <v>45270</v>
          </cell>
          <cell r="E1317" t="str">
            <v>Карбунар Я.Д.</v>
          </cell>
          <cell r="F1317" t="str">
            <v>Экскаватор JCB 2007</v>
          </cell>
          <cell r="I1317">
            <v>8</v>
          </cell>
          <cell r="J1317">
            <v>10</v>
          </cell>
        </row>
        <row r="1318">
          <cell r="B1318">
            <v>45271</v>
          </cell>
          <cell r="E1318" t="str">
            <v>Карбунар Я.Д.</v>
          </cell>
          <cell r="F1318" t="str">
            <v>Экскаватор JCB 2007</v>
          </cell>
          <cell r="I1318">
            <v>8</v>
          </cell>
          <cell r="J1318">
            <v>11</v>
          </cell>
        </row>
        <row r="1319">
          <cell r="B1319">
            <v>45272</v>
          </cell>
          <cell r="E1319" t="str">
            <v>Карбунар Я.Д.</v>
          </cell>
          <cell r="F1319" t="str">
            <v>Экскаватор JCB 2007</v>
          </cell>
          <cell r="I1319">
            <v>8</v>
          </cell>
          <cell r="J1319">
            <v>11</v>
          </cell>
        </row>
        <row r="1320">
          <cell r="B1320">
            <v>45273</v>
          </cell>
          <cell r="E1320" t="str">
            <v>Карбунар Я.Д.</v>
          </cell>
          <cell r="F1320" t="str">
            <v>Экскаватор JCB 2007</v>
          </cell>
          <cell r="I1320">
            <v>8</v>
          </cell>
          <cell r="J1320">
            <v>14</v>
          </cell>
          <cell r="L1320">
            <v>2</v>
          </cell>
        </row>
        <row r="1321">
          <cell r="B1321">
            <v>45274</v>
          </cell>
          <cell r="E1321" t="str">
            <v>Карбунар Я.Д.</v>
          </cell>
          <cell r="F1321" t="str">
            <v>Экскаватор JCB 2007</v>
          </cell>
          <cell r="I1321">
            <v>8</v>
          </cell>
          <cell r="J1321">
            <v>10</v>
          </cell>
          <cell r="K1321">
            <v>5</v>
          </cell>
        </row>
        <row r="1322">
          <cell r="B1322">
            <v>45275</v>
          </cell>
          <cell r="E1322" t="str">
            <v>Карбунар Я.Д.</v>
          </cell>
          <cell r="F1322" t="str">
            <v>Экскаватор JCB 2007</v>
          </cell>
          <cell r="I1322">
            <v>8</v>
          </cell>
          <cell r="J1322">
            <v>10</v>
          </cell>
          <cell r="K1322">
            <v>10</v>
          </cell>
        </row>
        <row r="1323">
          <cell r="B1323">
            <v>45261</v>
          </cell>
          <cell r="E1323" t="str">
            <v>Зенкін Д.Ю.</v>
          </cell>
          <cell r="F1323" t="str">
            <v>Экскаватор  JCB 3CX 2008</v>
          </cell>
          <cell r="I1323">
            <v>9</v>
          </cell>
          <cell r="J1323">
            <v>9</v>
          </cell>
        </row>
        <row r="1324">
          <cell r="B1324">
            <v>45262</v>
          </cell>
          <cell r="E1324" t="str">
            <v>Зенкін Д.Ю.</v>
          </cell>
          <cell r="F1324" t="str">
            <v>Экскаватор  JCB 3CX 2008</v>
          </cell>
          <cell r="I1324">
            <v>9</v>
          </cell>
          <cell r="J1324">
            <v>9</v>
          </cell>
        </row>
        <row r="1325">
          <cell r="B1325">
            <v>45264</v>
          </cell>
          <cell r="E1325" t="str">
            <v>Зенкін Д.Ю.</v>
          </cell>
          <cell r="F1325" t="str">
            <v>Экскаватор  JCB 3CX 2008</v>
          </cell>
          <cell r="I1325">
            <v>9</v>
          </cell>
          <cell r="J1325">
            <v>10</v>
          </cell>
          <cell r="K1325">
            <v>1</v>
          </cell>
        </row>
        <row r="1326">
          <cell r="B1326">
            <v>45265</v>
          </cell>
          <cell r="E1326" t="str">
            <v>Зенкін Д.Ю.</v>
          </cell>
          <cell r="F1326" t="str">
            <v>Экскаватор  JCB 3CX 2008</v>
          </cell>
          <cell r="I1326">
            <v>9</v>
          </cell>
          <cell r="J1326">
            <v>9</v>
          </cell>
          <cell r="L1326">
            <v>1</v>
          </cell>
        </row>
        <row r="1327">
          <cell r="B1327">
            <v>45266</v>
          </cell>
          <cell r="E1327" t="str">
            <v>Зенкін Д.Ю.</v>
          </cell>
          <cell r="F1327" t="str">
            <v>Экскаватор  JCB 3CX 2008</v>
          </cell>
          <cell r="I1327">
            <v>9</v>
          </cell>
          <cell r="J1327">
            <v>10</v>
          </cell>
          <cell r="K1327">
            <v>4</v>
          </cell>
        </row>
        <row r="1328">
          <cell r="B1328">
            <v>45267</v>
          </cell>
          <cell r="E1328" t="str">
            <v>Зенкін Д.Ю.</v>
          </cell>
          <cell r="F1328" t="str">
            <v>Экскаватор  JCB 3CX 2008</v>
          </cell>
          <cell r="I1328">
            <v>9</v>
          </cell>
          <cell r="J1328">
            <v>8</v>
          </cell>
        </row>
        <row r="1329">
          <cell r="B1329">
            <v>45268</v>
          </cell>
          <cell r="E1329" t="str">
            <v>Зенкін Д.Ю.</v>
          </cell>
          <cell r="F1329" t="str">
            <v>Экскаватор  JCB 3CX 2008</v>
          </cell>
          <cell r="I1329">
            <v>9</v>
          </cell>
          <cell r="J1329">
            <v>9</v>
          </cell>
        </row>
        <row r="1330">
          <cell r="B1330">
            <v>45269</v>
          </cell>
          <cell r="E1330" t="str">
            <v>Зенкін Д.Ю.</v>
          </cell>
          <cell r="F1330" t="str">
            <v>Экскаватор  JCB 3CX 2008</v>
          </cell>
          <cell r="I1330">
            <v>9</v>
          </cell>
          <cell r="J1330">
            <v>4</v>
          </cell>
          <cell r="K1330">
            <v>2</v>
          </cell>
        </row>
        <row r="1331">
          <cell r="B1331">
            <v>45274</v>
          </cell>
          <cell r="E1331" t="str">
            <v>Зенкін Д.Ю.</v>
          </cell>
          <cell r="F1331" t="str">
            <v>Экскаватор  JCB 3CX 2008</v>
          </cell>
          <cell r="I1331">
            <v>9</v>
          </cell>
          <cell r="J1331">
            <v>7</v>
          </cell>
        </row>
        <row r="1332">
          <cell r="B1332">
            <v>45275</v>
          </cell>
          <cell r="E1332" t="str">
            <v>Зенкін Д.Ю.</v>
          </cell>
          <cell r="F1332" t="str">
            <v>Экскаватор  JCB 3CX 2008</v>
          </cell>
          <cell r="I1332">
            <v>9</v>
          </cell>
          <cell r="J1332">
            <v>10</v>
          </cell>
          <cell r="L1332">
            <v>1</v>
          </cell>
        </row>
        <row r="1333">
          <cell r="B1333">
            <v>45276</v>
          </cell>
          <cell r="E1333" t="str">
            <v>Зенкін Д.Ю.</v>
          </cell>
          <cell r="F1333" t="str">
            <v>Экскаватор  JCB 3CX 2008</v>
          </cell>
          <cell r="I1333">
            <v>9</v>
          </cell>
          <cell r="J1333">
            <v>9</v>
          </cell>
        </row>
        <row r="1334">
          <cell r="B1334">
            <v>45278</v>
          </cell>
          <cell r="E1334" t="str">
            <v>Зенкін Д.Ю.</v>
          </cell>
          <cell r="F1334" t="str">
            <v>Экскаватор  JCB 3CX 2008</v>
          </cell>
          <cell r="I1334">
            <v>9</v>
          </cell>
          <cell r="J1334">
            <v>8</v>
          </cell>
        </row>
        <row r="1335">
          <cell r="B1335">
            <v>45261</v>
          </cell>
          <cell r="E1335" t="str">
            <v>Скоц С.І.</v>
          </cell>
          <cell r="F1335" t="str">
            <v>Телескоп №1</v>
          </cell>
          <cell r="I1335">
            <v>1</v>
          </cell>
          <cell r="J1335">
            <v>11</v>
          </cell>
        </row>
        <row r="1336">
          <cell r="B1336">
            <v>45262</v>
          </cell>
          <cell r="E1336" t="str">
            <v>Скоц С.І.</v>
          </cell>
          <cell r="F1336" t="str">
            <v>Телескоп №1</v>
          </cell>
          <cell r="I1336">
            <v>1</v>
          </cell>
          <cell r="J1336">
            <v>8</v>
          </cell>
        </row>
        <row r="1337">
          <cell r="B1337">
            <v>45263</v>
          </cell>
          <cell r="E1337" t="str">
            <v>Скоц С.І.</v>
          </cell>
          <cell r="F1337" t="str">
            <v>Телескоп №1</v>
          </cell>
          <cell r="I1337">
            <v>1</v>
          </cell>
          <cell r="J1337">
            <v>8</v>
          </cell>
          <cell r="K1337">
            <v>8</v>
          </cell>
        </row>
        <row r="1338">
          <cell r="B1338">
            <v>45264</v>
          </cell>
          <cell r="E1338" t="str">
            <v>Скоц С.І.</v>
          </cell>
          <cell r="F1338" t="str">
            <v>Телескоп №1</v>
          </cell>
          <cell r="I1338">
            <v>1</v>
          </cell>
          <cell r="J1338">
            <v>8</v>
          </cell>
          <cell r="K1338">
            <v>8</v>
          </cell>
        </row>
        <row r="1339">
          <cell r="B1339">
            <v>45265</v>
          </cell>
          <cell r="E1339" t="str">
            <v>Скоц С.І.</v>
          </cell>
          <cell r="F1339" t="str">
            <v>Телескоп №1</v>
          </cell>
          <cell r="I1339">
            <v>1</v>
          </cell>
          <cell r="J1339">
            <v>7</v>
          </cell>
          <cell r="K1339">
            <v>7</v>
          </cell>
        </row>
        <row r="1340">
          <cell r="B1340">
            <v>45267</v>
          </cell>
          <cell r="E1340" t="str">
            <v>Скоц С.І.</v>
          </cell>
          <cell r="F1340" t="str">
            <v>Экскаватор JCB 2013</v>
          </cell>
          <cell r="I1340">
            <v>10</v>
          </cell>
          <cell r="J1340">
            <v>8</v>
          </cell>
        </row>
        <row r="1341">
          <cell r="B1341">
            <v>45268</v>
          </cell>
          <cell r="E1341" t="str">
            <v>Скоц С.І.</v>
          </cell>
          <cell r="F1341" t="str">
            <v>Экскаватор JCB 2013</v>
          </cell>
          <cell r="I1341">
            <v>10</v>
          </cell>
          <cell r="J1341">
            <v>8</v>
          </cell>
        </row>
        <row r="1342">
          <cell r="B1342">
            <v>45269</v>
          </cell>
          <cell r="E1342" t="str">
            <v>Скоц С.І.</v>
          </cell>
          <cell r="F1342" t="str">
            <v>Экскаватор JCB 2013</v>
          </cell>
          <cell r="I1342">
            <v>10</v>
          </cell>
          <cell r="J1342">
            <v>8</v>
          </cell>
        </row>
        <row r="1343">
          <cell r="B1343">
            <v>45270</v>
          </cell>
          <cell r="E1343" t="str">
            <v>Скоц С.І.</v>
          </cell>
          <cell r="F1343" t="str">
            <v>Экскаватор JCB 2013</v>
          </cell>
          <cell r="I1343">
            <v>10</v>
          </cell>
          <cell r="J1343">
            <v>8</v>
          </cell>
        </row>
        <row r="1344">
          <cell r="B1344">
            <v>45271</v>
          </cell>
          <cell r="E1344" t="str">
            <v>Скоц С.І.</v>
          </cell>
          <cell r="F1344" t="str">
            <v>Экскаватор JCB 2013</v>
          </cell>
          <cell r="I1344">
            <v>10</v>
          </cell>
          <cell r="J1344">
            <v>8</v>
          </cell>
        </row>
        <row r="1345">
          <cell r="B1345">
            <v>45272</v>
          </cell>
          <cell r="E1345" t="str">
            <v>Скоц С.І.</v>
          </cell>
          <cell r="F1345" t="str">
            <v>Экскаватор JCB 2013</v>
          </cell>
          <cell r="I1345">
            <v>10</v>
          </cell>
          <cell r="J1345">
            <v>8</v>
          </cell>
        </row>
        <row r="1346">
          <cell r="B1346">
            <v>45273</v>
          </cell>
          <cell r="E1346" t="str">
            <v>Скоц С.І.</v>
          </cell>
          <cell r="F1346" t="str">
            <v>Экскаватор JCB 2013</v>
          </cell>
          <cell r="I1346">
            <v>10</v>
          </cell>
          <cell r="J1346">
            <v>8</v>
          </cell>
        </row>
        <row r="1347">
          <cell r="B1347">
            <v>45274</v>
          </cell>
          <cell r="E1347" t="str">
            <v>Скоц С.І.</v>
          </cell>
          <cell r="F1347" t="str">
            <v>Экскаватор JCB 2013</v>
          </cell>
          <cell r="I1347">
            <v>10</v>
          </cell>
          <cell r="J1347">
            <v>8</v>
          </cell>
        </row>
        <row r="1348">
          <cell r="B1348">
            <v>45275</v>
          </cell>
          <cell r="E1348" t="str">
            <v>Скоц С.І.</v>
          </cell>
          <cell r="F1348" t="str">
            <v>Экскаватор JCB 2013</v>
          </cell>
          <cell r="I1348">
            <v>10</v>
          </cell>
          <cell r="J1348">
            <v>8</v>
          </cell>
        </row>
        <row r="1349">
          <cell r="B1349">
            <v>45261</v>
          </cell>
          <cell r="E1349" t="str">
            <v>Савранский І.В.</v>
          </cell>
          <cell r="F1349" t="str">
            <v>Телескоп №2</v>
          </cell>
          <cell r="I1349">
            <v>2</v>
          </cell>
          <cell r="J1349">
            <v>7</v>
          </cell>
        </row>
        <row r="1350">
          <cell r="B1350">
            <v>45262</v>
          </cell>
          <cell r="E1350" t="str">
            <v>Савранский І.В.</v>
          </cell>
          <cell r="F1350" t="str">
            <v>Телескоп №2</v>
          </cell>
          <cell r="I1350">
            <v>2</v>
          </cell>
          <cell r="J1350">
            <v>8</v>
          </cell>
        </row>
        <row r="1351">
          <cell r="B1351">
            <v>45264</v>
          </cell>
          <cell r="E1351" t="str">
            <v>Савранский І.В.</v>
          </cell>
          <cell r="F1351" t="str">
            <v>Телескоп №2</v>
          </cell>
          <cell r="I1351">
            <v>2</v>
          </cell>
          <cell r="J1351">
            <v>6</v>
          </cell>
        </row>
        <row r="1352">
          <cell r="B1352">
            <v>45265</v>
          </cell>
          <cell r="E1352" t="str">
            <v>Савранский І.В.</v>
          </cell>
          <cell r="F1352" t="str">
            <v>Телескоп №2</v>
          </cell>
          <cell r="I1352">
            <v>2</v>
          </cell>
          <cell r="J1352">
            <v>8</v>
          </cell>
          <cell r="L1352">
            <v>1</v>
          </cell>
        </row>
        <row r="1353">
          <cell r="B1353">
            <v>45266</v>
          </cell>
          <cell r="E1353" t="str">
            <v>Савранский І.В.</v>
          </cell>
          <cell r="F1353" t="str">
            <v>Телескоп №2</v>
          </cell>
          <cell r="I1353">
            <v>2</v>
          </cell>
          <cell r="J1353">
            <v>8</v>
          </cell>
        </row>
        <row r="1354">
          <cell r="B1354">
            <v>45267</v>
          </cell>
          <cell r="E1354" t="str">
            <v>Савранский І.В.</v>
          </cell>
          <cell r="F1354" t="str">
            <v>Телескоп №2</v>
          </cell>
          <cell r="I1354">
            <v>2</v>
          </cell>
          <cell r="J1354">
            <v>8</v>
          </cell>
          <cell r="L1354">
            <v>1</v>
          </cell>
        </row>
        <row r="1355">
          <cell r="B1355">
            <v>45268</v>
          </cell>
          <cell r="E1355" t="str">
            <v>Савранский І.В.</v>
          </cell>
          <cell r="F1355" t="str">
            <v>Телескоп №2</v>
          </cell>
          <cell r="I1355">
            <v>2</v>
          </cell>
          <cell r="J1355">
            <v>8</v>
          </cell>
        </row>
        <row r="1356">
          <cell r="B1356">
            <v>45269</v>
          </cell>
          <cell r="E1356" t="str">
            <v>Савранский І.В.</v>
          </cell>
          <cell r="F1356" t="str">
            <v>Телескоп №2</v>
          </cell>
          <cell r="I1356">
            <v>2</v>
          </cell>
          <cell r="J1356">
            <v>15</v>
          </cell>
        </row>
        <row r="1357">
          <cell r="B1357">
            <v>45271</v>
          </cell>
          <cell r="E1357" t="str">
            <v>Савранский І.В.</v>
          </cell>
          <cell r="F1357" t="str">
            <v>Телескоп №2</v>
          </cell>
          <cell r="I1357">
            <v>2</v>
          </cell>
          <cell r="J1357">
            <v>8</v>
          </cell>
        </row>
        <row r="1358">
          <cell r="B1358">
            <v>45272</v>
          </cell>
          <cell r="E1358" t="str">
            <v>Савранский І.В.</v>
          </cell>
          <cell r="F1358" t="str">
            <v>Телескоп №2</v>
          </cell>
          <cell r="I1358">
            <v>2</v>
          </cell>
          <cell r="J1358">
            <v>8</v>
          </cell>
        </row>
        <row r="1359">
          <cell r="B1359">
            <v>45273</v>
          </cell>
          <cell r="E1359" t="str">
            <v>Савранский І.В.</v>
          </cell>
          <cell r="F1359" t="str">
            <v>Телескоп №2</v>
          </cell>
          <cell r="I1359">
            <v>2</v>
          </cell>
          <cell r="J1359">
            <v>8</v>
          </cell>
          <cell r="L1359">
            <v>1</v>
          </cell>
        </row>
        <row r="1360">
          <cell r="B1360">
            <v>45274</v>
          </cell>
          <cell r="E1360" t="str">
            <v>Савранский І.В.</v>
          </cell>
          <cell r="F1360" t="str">
            <v>Телескоп №2</v>
          </cell>
          <cell r="I1360">
            <v>2</v>
          </cell>
          <cell r="J1360">
            <v>5</v>
          </cell>
          <cell r="K1360">
            <v>3</v>
          </cell>
        </row>
        <row r="1361">
          <cell r="B1361">
            <v>45275</v>
          </cell>
          <cell r="E1361" t="str">
            <v>Савранский І.В.</v>
          </cell>
          <cell r="F1361" t="str">
            <v>Телескоп №2</v>
          </cell>
          <cell r="I1361">
            <v>2</v>
          </cell>
          <cell r="J1361">
            <v>8</v>
          </cell>
        </row>
        <row r="1362">
          <cell r="B1362">
            <v>45276</v>
          </cell>
          <cell r="E1362" t="str">
            <v>Савранский І.В.</v>
          </cell>
          <cell r="F1362" t="str">
            <v>Телескоп №2</v>
          </cell>
          <cell r="I1362">
            <v>2</v>
          </cell>
          <cell r="J1362">
            <v>5</v>
          </cell>
        </row>
        <row r="1363">
          <cell r="B1363">
            <v>45277</v>
          </cell>
          <cell r="E1363" t="str">
            <v>Савранский І.В.</v>
          </cell>
          <cell r="F1363" t="str">
            <v>Телескоп №2</v>
          </cell>
          <cell r="I1363">
            <v>2</v>
          </cell>
          <cell r="J1363">
            <v>5</v>
          </cell>
          <cell r="L1363">
            <v>1</v>
          </cell>
        </row>
        <row r="1364">
          <cell r="B1364">
            <v>45278</v>
          </cell>
          <cell r="E1364" t="str">
            <v>Савранский І.В.</v>
          </cell>
          <cell r="F1364" t="str">
            <v>Телескоп №2</v>
          </cell>
          <cell r="I1364">
            <v>2</v>
          </cell>
          <cell r="J1364">
            <v>8</v>
          </cell>
          <cell r="L1364">
            <v>1</v>
          </cell>
        </row>
        <row r="1365">
          <cell r="B1365">
            <v>45279</v>
          </cell>
          <cell r="E1365" t="str">
            <v>Савранский І.В.</v>
          </cell>
          <cell r="F1365" t="str">
            <v>Телескоп №2</v>
          </cell>
          <cell r="I1365">
            <v>2</v>
          </cell>
          <cell r="J1365">
            <v>5</v>
          </cell>
        </row>
        <row r="1366">
          <cell r="B1366">
            <v>45280</v>
          </cell>
          <cell r="E1366" t="str">
            <v>Савранский І.В.</v>
          </cell>
          <cell r="F1366" t="str">
            <v>Телескоп №2</v>
          </cell>
          <cell r="I1366">
            <v>2</v>
          </cell>
          <cell r="J1366">
            <v>5</v>
          </cell>
        </row>
        <row r="1367">
          <cell r="B1367">
            <v>45282</v>
          </cell>
          <cell r="E1367" t="str">
            <v>Савранский І.В.</v>
          </cell>
          <cell r="F1367" t="str">
            <v>Телескоп №2</v>
          </cell>
          <cell r="I1367">
            <v>2</v>
          </cell>
          <cell r="J1367">
            <v>5</v>
          </cell>
        </row>
        <row r="1368">
          <cell r="B1368">
            <v>45288</v>
          </cell>
          <cell r="E1368" t="str">
            <v>Савранский І.В.</v>
          </cell>
          <cell r="F1368" t="str">
            <v>Телескоп №2</v>
          </cell>
          <cell r="I1368">
            <v>2</v>
          </cell>
          <cell r="J1368">
            <v>3</v>
          </cell>
        </row>
        <row r="1369">
          <cell r="B1369">
            <v>45276</v>
          </cell>
          <cell r="E1369" t="str">
            <v>Савранский І.В.</v>
          </cell>
          <cell r="F1369" t="str">
            <v>Телескоп №2</v>
          </cell>
          <cell r="I1369">
            <v>2</v>
          </cell>
          <cell r="J1369">
            <v>2</v>
          </cell>
        </row>
        <row r="1370">
          <cell r="B1370">
            <v>45279</v>
          </cell>
          <cell r="E1370" t="str">
            <v>Савранский І.В.</v>
          </cell>
          <cell r="F1370" t="str">
            <v>Телескоп №2</v>
          </cell>
          <cell r="I1370">
            <v>2</v>
          </cell>
          <cell r="J1370">
            <v>4</v>
          </cell>
        </row>
        <row r="1371">
          <cell r="B1371">
            <v>45280</v>
          </cell>
          <cell r="E1371" t="str">
            <v>Савранский І.В.</v>
          </cell>
          <cell r="F1371" t="str">
            <v>Телескоп №2</v>
          </cell>
          <cell r="I1371">
            <v>2</v>
          </cell>
          <cell r="J1371">
            <v>6</v>
          </cell>
        </row>
        <row r="1372">
          <cell r="B1372">
            <v>45281</v>
          </cell>
          <cell r="E1372" t="str">
            <v>Савранский І.В.</v>
          </cell>
          <cell r="F1372" t="str">
            <v>Телескоп №2</v>
          </cell>
          <cell r="I1372">
            <v>2</v>
          </cell>
          <cell r="J1372">
            <v>7</v>
          </cell>
        </row>
        <row r="1373">
          <cell r="B1373">
            <v>45282</v>
          </cell>
          <cell r="E1373" t="str">
            <v>Савранский І.В.</v>
          </cell>
          <cell r="F1373" t="str">
            <v>Телескоп №2</v>
          </cell>
          <cell r="I1373">
            <v>2</v>
          </cell>
          <cell r="J1373">
            <v>7</v>
          </cell>
          <cell r="L1373">
            <v>1</v>
          </cell>
        </row>
        <row r="1374">
          <cell r="B1374">
            <v>45283</v>
          </cell>
          <cell r="E1374" t="str">
            <v>Савранский І.В.</v>
          </cell>
          <cell r="F1374" t="str">
            <v>Телескоп №2</v>
          </cell>
          <cell r="I1374">
            <v>2</v>
          </cell>
          <cell r="J1374">
            <v>7</v>
          </cell>
        </row>
        <row r="1375">
          <cell r="B1375">
            <v>45285</v>
          </cell>
          <cell r="E1375" t="str">
            <v>Савранский І.В.</v>
          </cell>
          <cell r="F1375" t="str">
            <v>Телескоп №2</v>
          </cell>
          <cell r="I1375">
            <v>2</v>
          </cell>
          <cell r="J1375">
            <v>7</v>
          </cell>
        </row>
        <row r="1376">
          <cell r="B1376">
            <v>45286</v>
          </cell>
          <cell r="E1376" t="str">
            <v>Савранский І.В.</v>
          </cell>
          <cell r="F1376" t="str">
            <v>Телескоп №2</v>
          </cell>
          <cell r="I1376">
            <v>2</v>
          </cell>
          <cell r="J1376">
            <v>8</v>
          </cell>
        </row>
        <row r="1377">
          <cell r="B1377">
            <v>45287</v>
          </cell>
          <cell r="E1377" t="str">
            <v>Савранский І.В.</v>
          </cell>
          <cell r="F1377" t="str">
            <v>Телескоп №2</v>
          </cell>
          <cell r="I1377">
            <v>2</v>
          </cell>
          <cell r="J1377">
            <v>8</v>
          </cell>
        </row>
        <row r="1378">
          <cell r="B1378">
            <v>45288</v>
          </cell>
          <cell r="E1378" t="str">
            <v>Савранский І.В.</v>
          </cell>
          <cell r="F1378" t="str">
            <v>Телескоп №2</v>
          </cell>
          <cell r="I1378">
            <v>2</v>
          </cell>
          <cell r="J1378">
            <v>5</v>
          </cell>
        </row>
        <row r="1379">
          <cell r="B1379">
            <v>45289</v>
          </cell>
          <cell r="E1379" t="str">
            <v>Савранский І.В.</v>
          </cell>
          <cell r="F1379" t="str">
            <v>Телескоп №2</v>
          </cell>
          <cell r="I1379">
            <v>2</v>
          </cell>
          <cell r="J1379">
            <v>8</v>
          </cell>
        </row>
        <row r="1380">
          <cell r="B1380">
            <v>45261</v>
          </cell>
          <cell r="E1380" t="str">
            <v>Косік Ю.А.</v>
          </cell>
          <cell r="F1380" t="str">
            <v>Телескоп №4</v>
          </cell>
          <cell r="I1380">
            <v>4</v>
          </cell>
          <cell r="J1380">
            <v>17</v>
          </cell>
        </row>
        <row r="1381">
          <cell r="B1381">
            <v>45262</v>
          </cell>
          <cell r="E1381" t="str">
            <v>Косік Ю.А.</v>
          </cell>
          <cell r="F1381" t="str">
            <v>Телескоп №4</v>
          </cell>
          <cell r="I1381">
            <v>4</v>
          </cell>
          <cell r="J1381">
            <v>15</v>
          </cell>
        </row>
        <row r="1382">
          <cell r="B1382">
            <v>45264</v>
          </cell>
          <cell r="E1382" t="str">
            <v>Косік Ю.А.</v>
          </cell>
          <cell r="F1382" t="str">
            <v>Телескоп №4</v>
          </cell>
          <cell r="I1382">
            <v>4</v>
          </cell>
          <cell r="J1382">
            <v>16</v>
          </cell>
        </row>
        <row r="1383">
          <cell r="B1383">
            <v>45265</v>
          </cell>
          <cell r="E1383" t="str">
            <v>Косік Ю.А.</v>
          </cell>
          <cell r="F1383" t="str">
            <v>Телескоп №4</v>
          </cell>
          <cell r="I1383">
            <v>4</v>
          </cell>
          <cell r="J1383">
            <v>16</v>
          </cell>
        </row>
        <row r="1384">
          <cell r="B1384">
            <v>45266</v>
          </cell>
          <cell r="E1384" t="str">
            <v>Косік Ю.А.</v>
          </cell>
          <cell r="F1384" t="str">
            <v>Телескоп №4</v>
          </cell>
          <cell r="I1384">
            <v>4</v>
          </cell>
          <cell r="J1384">
            <v>16</v>
          </cell>
        </row>
        <row r="1385">
          <cell r="B1385">
            <v>45267</v>
          </cell>
          <cell r="E1385" t="str">
            <v>Косік Ю.А.</v>
          </cell>
          <cell r="F1385" t="str">
            <v>Телескоп №4</v>
          </cell>
          <cell r="I1385">
            <v>4</v>
          </cell>
          <cell r="J1385">
            <v>8</v>
          </cell>
        </row>
        <row r="1386">
          <cell r="B1386">
            <v>45268</v>
          </cell>
          <cell r="E1386" t="str">
            <v>Косік Ю.А.</v>
          </cell>
          <cell r="F1386" t="str">
            <v>Телескоп №4</v>
          </cell>
          <cell r="I1386">
            <v>4</v>
          </cell>
          <cell r="J1386">
            <v>8</v>
          </cell>
        </row>
        <row r="1387">
          <cell r="B1387">
            <v>45269</v>
          </cell>
          <cell r="E1387" t="str">
            <v>Косік Ю.А.</v>
          </cell>
          <cell r="F1387" t="str">
            <v>Телескоп №4</v>
          </cell>
          <cell r="I1387">
            <v>4</v>
          </cell>
          <cell r="J1387">
            <v>7</v>
          </cell>
        </row>
        <row r="1388">
          <cell r="B1388">
            <v>45271</v>
          </cell>
          <cell r="E1388" t="str">
            <v>Косік Ю.А.</v>
          </cell>
          <cell r="F1388" t="str">
            <v>Телескоп №4</v>
          </cell>
          <cell r="I1388">
            <v>4</v>
          </cell>
          <cell r="J1388">
            <v>8</v>
          </cell>
        </row>
        <row r="1389">
          <cell r="B1389">
            <v>45272</v>
          </cell>
          <cell r="E1389" t="str">
            <v>Косік Ю.А.</v>
          </cell>
          <cell r="F1389" t="str">
            <v>Телескоп №4</v>
          </cell>
          <cell r="I1389">
            <v>4</v>
          </cell>
          <cell r="J1389">
            <v>8</v>
          </cell>
        </row>
        <row r="1390">
          <cell r="B1390">
            <v>45273</v>
          </cell>
          <cell r="E1390" t="str">
            <v>Косік Ю.А.</v>
          </cell>
          <cell r="F1390" t="str">
            <v>Телескоп №4</v>
          </cell>
          <cell r="I1390">
            <v>4</v>
          </cell>
          <cell r="J1390">
            <v>8</v>
          </cell>
        </row>
        <row r="1391">
          <cell r="B1391">
            <v>45274</v>
          </cell>
          <cell r="E1391" t="str">
            <v>Косік Ю.А.</v>
          </cell>
          <cell r="F1391" t="str">
            <v>Телескоп №4</v>
          </cell>
          <cell r="I1391">
            <v>4</v>
          </cell>
          <cell r="J1391">
            <v>8</v>
          </cell>
        </row>
        <row r="1392">
          <cell r="B1392">
            <v>45275</v>
          </cell>
          <cell r="E1392" t="str">
            <v>Косік Ю.А.</v>
          </cell>
          <cell r="F1392" t="str">
            <v>Телескоп №4</v>
          </cell>
          <cell r="I1392">
            <v>4</v>
          </cell>
          <cell r="J1392">
            <v>8</v>
          </cell>
        </row>
        <row r="1393">
          <cell r="B1393">
            <v>45261</v>
          </cell>
          <cell r="E1393" t="str">
            <v>Горячий І.В.</v>
          </cell>
          <cell r="F1393" t="str">
            <v>Телескоп №5</v>
          </cell>
          <cell r="I1393">
            <v>5</v>
          </cell>
          <cell r="J1393">
            <v>12</v>
          </cell>
        </row>
        <row r="1394">
          <cell r="B1394">
            <v>45263</v>
          </cell>
          <cell r="E1394" t="str">
            <v>Горячий І.В.</v>
          </cell>
          <cell r="F1394" t="str">
            <v>Телескоп №5</v>
          </cell>
          <cell r="I1394">
            <v>5</v>
          </cell>
          <cell r="J1394">
            <v>19</v>
          </cell>
        </row>
        <row r="1395">
          <cell r="B1395">
            <v>45265</v>
          </cell>
          <cell r="E1395" t="str">
            <v>Горячий І.В.</v>
          </cell>
          <cell r="F1395" t="str">
            <v>Телескоп №5</v>
          </cell>
          <cell r="I1395">
            <v>5</v>
          </cell>
          <cell r="J1395">
            <v>8</v>
          </cell>
          <cell r="K1395">
            <v>8</v>
          </cell>
        </row>
        <row r="1396">
          <cell r="B1396">
            <v>45266</v>
          </cell>
          <cell r="E1396" t="str">
            <v>Горячий І.В.</v>
          </cell>
          <cell r="F1396" t="str">
            <v>Телескоп №5</v>
          </cell>
          <cell r="I1396">
            <v>5</v>
          </cell>
          <cell r="J1396">
            <v>11</v>
          </cell>
        </row>
        <row r="1397">
          <cell r="B1397">
            <v>45267</v>
          </cell>
          <cell r="E1397" t="str">
            <v>Горячий І.В.</v>
          </cell>
          <cell r="F1397" t="str">
            <v>Телескоп №5</v>
          </cell>
          <cell r="I1397">
            <v>5</v>
          </cell>
          <cell r="J1397">
            <v>10</v>
          </cell>
        </row>
        <row r="1398">
          <cell r="B1398">
            <v>45268</v>
          </cell>
          <cell r="E1398" t="str">
            <v>Горячий І.В.</v>
          </cell>
          <cell r="F1398" t="str">
            <v>Телескоп №5</v>
          </cell>
          <cell r="I1398">
            <v>5</v>
          </cell>
          <cell r="J1398">
            <v>10</v>
          </cell>
          <cell r="K1398">
            <v>1</v>
          </cell>
        </row>
        <row r="1399">
          <cell r="B1399">
            <v>45269</v>
          </cell>
          <cell r="E1399" t="str">
            <v>Горячий І.В.</v>
          </cell>
          <cell r="F1399" t="str">
            <v>Телескоп №5</v>
          </cell>
          <cell r="I1399">
            <v>5</v>
          </cell>
          <cell r="J1399">
            <v>11</v>
          </cell>
          <cell r="L1399">
            <v>1</v>
          </cell>
        </row>
        <row r="1400">
          <cell r="B1400">
            <v>45270</v>
          </cell>
          <cell r="E1400" t="str">
            <v>Горячий І.В.</v>
          </cell>
          <cell r="F1400" t="str">
            <v>Телескоп №5</v>
          </cell>
          <cell r="I1400">
            <v>5</v>
          </cell>
          <cell r="J1400">
            <v>10</v>
          </cell>
          <cell r="K1400">
            <v>1</v>
          </cell>
        </row>
        <row r="1401">
          <cell r="B1401">
            <v>45271</v>
          </cell>
          <cell r="E1401" t="str">
            <v>Горячий І.В.</v>
          </cell>
          <cell r="F1401" t="str">
            <v>Телескоп №5</v>
          </cell>
          <cell r="I1401">
            <v>5</v>
          </cell>
          <cell r="J1401">
            <v>12</v>
          </cell>
          <cell r="L1401">
            <v>1</v>
          </cell>
        </row>
        <row r="1402">
          <cell r="B1402">
            <v>45272</v>
          </cell>
          <cell r="E1402" t="str">
            <v>Горячий І.В.</v>
          </cell>
          <cell r="F1402" t="str">
            <v>Телескоп №5</v>
          </cell>
          <cell r="I1402">
            <v>5</v>
          </cell>
          <cell r="J1402">
            <v>10</v>
          </cell>
        </row>
        <row r="1403">
          <cell r="B1403">
            <v>45273</v>
          </cell>
          <cell r="E1403" t="str">
            <v>Горячий І.В.</v>
          </cell>
          <cell r="F1403" t="str">
            <v>Телескоп №5</v>
          </cell>
          <cell r="I1403">
            <v>5</v>
          </cell>
          <cell r="J1403">
            <v>22</v>
          </cell>
          <cell r="L1403">
            <v>1</v>
          </cell>
        </row>
        <row r="1404">
          <cell r="B1404">
            <v>45274</v>
          </cell>
          <cell r="E1404" t="str">
            <v>Горячий І.В.</v>
          </cell>
          <cell r="F1404" t="str">
            <v>Телескоп №5</v>
          </cell>
          <cell r="I1404">
            <v>5</v>
          </cell>
          <cell r="J1404">
            <v>13</v>
          </cell>
        </row>
        <row r="1405">
          <cell r="B1405">
            <v>45275</v>
          </cell>
          <cell r="E1405" t="str">
            <v>Горячий І.В.</v>
          </cell>
          <cell r="F1405" t="str">
            <v>Телескоп №5</v>
          </cell>
          <cell r="I1405">
            <v>5</v>
          </cell>
          <cell r="J1405">
            <v>12</v>
          </cell>
        </row>
        <row r="1406">
          <cell r="B1406">
            <v>45261</v>
          </cell>
          <cell r="E1406" t="str">
            <v>Болох В.В.</v>
          </cell>
          <cell r="F1406" t="str">
            <v>Автокран XCMG</v>
          </cell>
          <cell r="I1406">
            <v>17</v>
          </cell>
          <cell r="J1406">
            <v>9</v>
          </cell>
          <cell r="K1406">
            <v>1</v>
          </cell>
        </row>
        <row r="1407">
          <cell r="B1407">
            <v>45262</v>
          </cell>
          <cell r="E1407" t="str">
            <v>Болох В.В.</v>
          </cell>
          <cell r="F1407" t="str">
            <v>Автокран XCMG</v>
          </cell>
          <cell r="I1407">
            <v>17</v>
          </cell>
          <cell r="J1407">
            <v>8</v>
          </cell>
        </row>
        <row r="1408">
          <cell r="B1408">
            <v>45264</v>
          </cell>
          <cell r="E1408" t="str">
            <v>Болох В.В.</v>
          </cell>
          <cell r="F1408" t="str">
            <v>Автокран XCMG</v>
          </cell>
          <cell r="I1408">
            <v>17</v>
          </cell>
          <cell r="J1408">
            <v>8</v>
          </cell>
        </row>
        <row r="1409">
          <cell r="B1409">
            <v>45265</v>
          </cell>
          <cell r="E1409" t="str">
            <v>Болох В.В.</v>
          </cell>
          <cell r="F1409" t="str">
            <v>Автокран XCMG</v>
          </cell>
          <cell r="I1409">
            <v>17</v>
          </cell>
          <cell r="J1409">
            <v>11</v>
          </cell>
          <cell r="K1409">
            <v>1</v>
          </cell>
        </row>
        <row r="1410">
          <cell r="B1410">
            <v>45266</v>
          </cell>
          <cell r="E1410" t="str">
            <v>Болох В.В.</v>
          </cell>
          <cell r="F1410" t="str">
            <v>Автокран XCMG</v>
          </cell>
          <cell r="I1410">
            <v>17</v>
          </cell>
          <cell r="J1410">
            <v>9</v>
          </cell>
          <cell r="K1410">
            <v>1</v>
          </cell>
        </row>
        <row r="1411">
          <cell r="B1411">
            <v>45267</v>
          </cell>
          <cell r="E1411" t="str">
            <v>Болох В.В.</v>
          </cell>
          <cell r="F1411" t="str">
            <v>Автокран XCMG</v>
          </cell>
          <cell r="I1411">
            <v>17</v>
          </cell>
          <cell r="J1411">
            <v>9</v>
          </cell>
          <cell r="K1411">
            <v>1</v>
          </cell>
        </row>
        <row r="1412">
          <cell r="B1412">
            <v>45268</v>
          </cell>
          <cell r="E1412" t="str">
            <v>Болох В.В.</v>
          </cell>
          <cell r="F1412" t="str">
            <v>Автокран XCMG</v>
          </cell>
          <cell r="I1412">
            <v>17</v>
          </cell>
          <cell r="J1412">
            <v>10</v>
          </cell>
          <cell r="K1412">
            <v>1</v>
          </cell>
        </row>
        <row r="1413">
          <cell r="B1413">
            <v>45269</v>
          </cell>
          <cell r="E1413" t="str">
            <v>Болох В.В.</v>
          </cell>
          <cell r="F1413" t="str">
            <v>Автокран XCMG</v>
          </cell>
          <cell r="I1413">
            <v>17</v>
          </cell>
          <cell r="J1413">
            <v>11</v>
          </cell>
          <cell r="K1413">
            <v>1</v>
          </cell>
        </row>
        <row r="1414">
          <cell r="B1414">
            <v>45270</v>
          </cell>
          <cell r="E1414" t="str">
            <v>Болох В.В.</v>
          </cell>
          <cell r="F1414" t="str">
            <v>Автокран XCMG</v>
          </cell>
          <cell r="I1414">
            <v>17</v>
          </cell>
          <cell r="J1414">
            <v>10</v>
          </cell>
          <cell r="K1414">
            <v>1</v>
          </cell>
        </row>
        <row r="1415">
          <cell r="B1415">
            <v>45271</v>
          </cell>
          <cell r="E1415" t="str">
            <v>Болох В.В.</v>
          </cell>
          <cell r="F1415" t="str">
            <v>Автокран XCMG</v>
          </cell>
          <cell r="I1415">
            <v>17</v>
          </cell>
          <cell r="J1415">
            <v>11</v>
          </cell>
          <cell r="K1415">
            <v>1</v>
          </cell>
        </row>
        <row r="1416">
          <cell r="B1416">
            <v>45272</v>
          </cell>
          <cell r="E1416" t="str">
            <v>Болох В.В.</v>
          </cell>
          <cell r="F1416" t="str">
            <v>Автокран XCMG</v>
          </cell>
          <cell r="I1416">
            <v>17</v>
          </cell>
          <cell r="J1416">
            <v>10</v>
          </cell>
          <cell r="K1416">
            <v>1</v>
          </cell>
        </row>
        <row r="1417">
          <cell r="B1417">
            <v>45273</v>
          </cell>
          <cell r="E1417" t="str">
            <v>Болох В.В.</v>
          </cell>
          <cell r="F1417" t="str">
            <v>Автокран XCMG</v>
          </cell>
          <cell r="I1417">
            <v>17</v>
          </cell>
          <cell r="J1417">
            <v>8</v>
          </cell>
        </row>
        <row r="1418">
          <cell r="B1418">
            <v>45274</v>
          </cell>
          <cell r="E1418" t="str">
            <v>Болох В.В.</v>
          </cell>
          <cell r="F1418" t="str">
            <v>Автокран XCMG</v>
          </cell>
          <cell r="I1418">
            <v>17</v>
          </cell>
          <cell r="J1418">
            <v>9</v>
          </cell>
        </row>
        <row r="1419">
          <cell r="B1419">
            <v>45275</v>
          </cell>
          <cell r="E1419" t="str">
            <v>Болох В.В.</v>
          </cell>
          <cell r="F1419" t="str">
            <v>Автокран XCMG</v>
          </cell>
          <cell r="I1419">
            <v>17</v>
          </cell>
          <cell r="J1419">
            <v>9</v>
          </cell>
        </row>
        <row r="1420">
          <cell r="B1420">
            <v>45261</v>
          </cell>
          <cell r="E1420" t="str">
            <v>Якубовський В.Г.</v>
          </cell>
          <cell r="F1420" t="str">
            <v>Самосвал камаз</v>
          </cell>
          <cell r="I1420">
            <v>16</v>
          </cell>
          <cell r="J1420">
            <v>10</v>
          </cell>
          <cell r="K1420">
            <v>10</v>
          </cell>
        </row>
        <row r="1421">
          <cell r="B1421">
            <v>45262</v>
          </cell>
          <cell r="E1421" t="str">
            <v>Якубовський В.Г.</v>
          </cell>
          <cell r="F1421" t="str">
            <v>Самосвал камаз</v>
          </cell>
          <cell r="I1421">
            <v>16</v>
          </cell>
          <cell r="J1421">
            <v>4</v>
          </cell>
        </row>
        <row r="1422">
          <cell r="B1422">
            <v>45264</v>
          </cell>
          <cell r="E1422" t="str">
            <v>Бунтило В.І.</v>
          </cell>
          <cell r="F1422" t="str">
            <v>Самосвал камаз</v>
          </cell>
          <cell r="I1422">
            <v>16</v>
          </cell>
          <cell r="J1422">
            <v>11</v>
          </cell>
          <cell r="L1422">
            <v>1</v>
          </cell>
        </row>
        <row r="1423">
          <cell r="B1423">
            <v>45265</v>
          </cell>
          <cell r="E1423" t="str">
            <v>Бунтило В.І.</v>
          </cell>
          <cell r="F1423" t="str">
            <v>Самосвал камаз</v>
          </cell>
          <cell r="I1423">
            <v>16</v>
          </cell>
          <cell r="J1423">
            <v>15</v>
          </cell>
        </row>
        <row r="1424">
          <cell r="B1424">
            <v>45266</v>
          </cell>
          <cell r="E1424" t="str">
            <v>Бунтило В.І.</v>
          </cell>
          <cell r="F1424" t="str">
            <v>Самосвал камаз</v>
          </cell>
          <cell r="I1424">
            <v>16</v>
          </cell>
          <cell r="J1424">
            <v>16</v>
          </cell>
          <cell r="L1424">
            <v>1</v>
          </cell>
        </row>
        <row r="1425">
          <cell r="B1425">
            <v>45267</v>
          </cell>
          <cell r="E1425" t="str">
            <v>Бунтило В.І.</v>
          </cell>
          <cell r="F1425" t="str">
            <v>Самосвал камаз</v>
          </cell>
          <cell r="I1425">
            <v>16</v>
          </cell>
          <cell r="J1425">
            <v>10</v>
          </cell>
          <cell r="K1425">
            <v>10</v>
          </cell>
        </row>
        <row r="1426">
          <cell r="B1426">
            <v>45268</v>
          </cell>
          <cell r="E1426" t="str">
            <v>Бунтило В.І.</v>
          </cell>
          <cell r="F1426" t="str">
            <v>Самосвал камаз</v>
          </cell>
          <cell r="I1426">
            <v>16</v>
          </cell>
          <cell r="J1426">
            <v>10</v>
          </cell>
          <cell r="K1426">
            <v>10</v>
          </cell>
        </row>
        <row r="1427">
          <cell r="B1427">
            <v>45269</v>
          </cell>
          <cell r="E1427" t="str">
            <v>Бунтило В.І.</v>
          </cell>
          <cell r="F1427" t="str">
            <v>Самосвал камаз</v>
          </cell>
          <cell r="I1427">
            <v>16</v>
          </cell>
          <cell r="J1427">
            <v>10</v>
          </cell>
          <cell r="K1427">
            <v>10</v>
          </cell>
        </row>
        <row r="1428">
          <cell r="B1428">
            <v>45270</v>
          </cell>
          <cell r="E1428" t="str">
            <v>Бунтило В.І.</v>
          </cell>
          <cell r="F1428" t="str">
            <v>Самосвал камаз</v>
          </cell>
          <cell r="I1428">
            <v>16</v>
          </cell>
          <cell r="J1428">
            <v>10</v>
          </cell>
          <cell r="K1428">
            <v>10</v>
          </cell>
        </row>
        <row r="1429">
          <cell r="B1429">
            <v>45271</v>
          </cell>
          <cell r="E1429" t="str">
            <v>Бунтило В.І.</v>
          </cell>
          <cell r="F1429" t="str">
            <v>Самосвал камаз</v>
          </cell>
          <cell r="I1429">
            <v>16</v>
          </cell>
          <cell r="J1429">
            <v>10</v>
          </cell>
          <cell r="K1429">
            <v>10</v>
          </cell>
        </row>
        <row r="1430">
          <cell r="B1430">
            <v>45272</v>
          </cell>
          <cell r="E1430" t="str">
            <v>Бунтило В.І.</v>
          </cell>
          <cell r="F1430" t="str">
            <v>Самосвал камаз</v>
          </cell>
          <cell r="I1430">
            <v>16</v>
          </cell>
          <cell r="J1430">
            <v>11</v>
          </cell>
          <cell r="K1430">
            <v>9</v>
          </cell>
        </row>
        <row r="1431">
          <cell r="B1431">
            <v>45273</v>
          </cell>
          <cell r="E1431" t="str">
            <v>Бунтило В.І.</v>
          </cell>
          <cell r="F1431" t="str">
            <v>Самосвал камаз</v>
          </cell>
          <cell r="I1431">
            <v>16</v>
          </cell>
          <cell r="J1431">
            <v>12</v>
          </cell>
          <cell r="K1431">
            <v>2</v>
          </cell>
        </row>
        <row r="1432">
          <cell r="B1432">
            <v>45274</v>
          </cell>
          <cell r="E1432" t="str">
            <v>Бунтило В.І.</v>
          </cell>
          <cell r="F1432" t="str">
            <v>Самосвал камаз</v>
          </cell>
          <cell r="I1432">
            <v>16</v>
          </cell>
          <cell r="J1432">
            <v>10</v>
          </cell>
          <cell r="K1432">
            <v>7</v>
          </cell>
        </row>
        <row r="1433">
          <cell r="B1433">
            <v>45275</v>
          </cell>
          <cell r="E1433" t="str">
            <v>Бунтило В.І.</v>
          </cell>
          <cell r="F1433" t="str">
            <v>Самосвал камаз</v>
          </cell>
          <cell r="I1433">
            <v>16</v>
          </cell>
          <cell r="J1433">
            <v>10</v>
          </cell>
          <cell r="K1433">
            <v>10</v>
          </cell>
        </row>
        <row r="1434">
          <cell r="B1434">
            <v>45261</v>
          </cell>
          <cell r="E1434" t="str">
            <v>Борисенко О.М.</v>
          </cell>
          <cell r="F1434" t="str">
            <v>Виброкаток</v>
          </cell>
          <cell r="I1434">
            <v>6</v>
          </cell>
          <cell r="J1434">
            <v>8</v>
          </cell>
        </row>
        <row r="1435">
          <cell r="B1435">
            <v>45263</v>
          </cell>
          <cell r="E1435" t="str">
            <v>Борисенко О.М.</v>
          </cell>
          <cell r="F1435" t="str">
            <v>Виброкаток</v>
          </cell>
          <cell r="I1435">
            <v>6</v>
          </cell>
          <cell r="J1435">
            <v>8</v>
          </cell>
        </row>
        <row r="1436">
          <cell r="B1436">
            <v>45264</v>
          </cell>
          <cell r="E1436" t="str">
            <v>Борисенко О.М.</v>
          </cell>
          <cell r="F1436" t="str">
            <v>Виброкаток</v>
          </cell>
          <cell r="I1436">
            <v>6</v>
          </cell>
          <cell r="J1436">
            <v>8</v>
          </cell>
        </row>
        <row r="1437">
          <cell r="B1437">
            <v>45265</v>
          </cell>
          <cell r="E1437" t="str">
            <v>Борисенко О.М.</v>
          </cell>
          <cell r="F1437" t="str">
            <v>Виброкаток</v>
          </cell>
          <cell r="I1437">
            <v>6</v>
          </cell>
          <cell r="J1437">
            <v>8</v>
          </cell>
        </row>
        <row r="1438">
          <cell r="B1438">
            <v>45266</v>
          </cell>
          <cell r="E1438" t="str">
            <v>Борисенко О.М.</v>
          </cell>
          <cell r="F1438" t="str">
            <v>Виброкаток</v>
          </cell>
          <cell r="I1438">
            <v>6</v>
          </cell>
          <cell r="J1438">
            <v>8</v>
          </cell>
        </row>
        <row r="1439">
          <cell r="B1439">
            <v>45267</v>
          </cell>
          <cell r="E1439" t="str">
            <v>Борисенко О.М.</v>
          </cell>
          <cell r="F1439" t="str">
            <v>Виброкаток</v>
          </cell>
          <cell r="I1439">
            <v>6</v>
          </cell>
          <cell r="J1439">
            <v>8</v>
          </cell>
        </row>
        <row r="1440">
          <cell r="B1440">
            <v>45268</v>
          </cell>
          <cell r="E1440" t="str">
            <v>Борисенко О.М.</v>
          </cell>
          <cell r="F1440" t="str">
            <v>Виброкаток</v>
          </cell>
          <cell r="I1440">
            <v>6</v>
          </cell>
          <cell r="J1440">
            <v>8</v>
          </cell>
        </row>
        <row r="1441">
          <cell r="B1441">
            <v>45269</v>
          </cell>
          <cell r="E1441" t="str">
            <v>Борисенко О.М.</v>
          </cell>
          <cell r="F1441" t="str">
            <v>Виброкаток</v>
          </cell>
          <cell r="I1441">
            <v>6</v>
          </cell>
          <cell r="J1441">
            <v>8</v>
          </cell>
        </row>
        <row r="1442">
          <cell r="B1442">
            <v>45270</v>
          </cell>
          <cell r="E1442" t="str">
            <v>Борисенко О.М.</v>
          </cell>
          <cell r="F1442" t="str">
            <v>Виброкаток</v>
          </cell>
          <cell r="I1442">
            <v>6</v>
          </cell>
          <cell r="J1442">
            <v>9</v>
          </cell>
        </row>
        <row r="1443">
          <cell r="B1443">
            <v>45271</v>
          </cell>
          <cell r="E1443" t="str">
            <v>Борисенко О.М.</v>
          </cell>
          <cell r="F1443" t="str">
            <v>Виброкаток</v>
          </cell>
          <cell r="I1443">
            <v>6</v>
          </cell>
          <cell r="J1443">
            <v>8</v>
          </cell>
        </row>
        <row r="1444">
          <cell r="B1444">
            <v>45272</v>
          </cell>
          <cell r="E1444" t="str">
            <v>Борисенко О.М.</v>
          </cell>
          <cell r="F1444" t="str">
            <v>Виброкаток</v>
          </cell>
          <cell r="I1444">
            <v>6</v>
          </cell>
          <cell r="J1444">
            <v>9</v>
          </cell>
        </row>
        <row r="1445">
          <cell r="B1445">
            <v>45273</v>
          </cell>
          <cell r="E1445" t="str">
            <v>Борисенко О.М.</v>
          </cell>
          <cell r="F1445" t="str">
            <v>Виброкаток</v>
          </cell>
          <cell r="I1445">
            <v>6</v>
          </cell>
          <cell r="J1445">
            <v>8</v>
          </cell>
        </row>
        <row r="1446">
          <cell r="B1446">
            <v>45274</v>
          </cell>
          <cell r="E1446" t="str">
            <v>Борисенко О.М.</v>
          </cell>
          <cell r="F1446" t="str">
            <v>Виброкаток</v>
          </cell>
          <cell r="I1446">
            <v>6</v>
          </cell>
          <cell r="J1446">
            <v>8</v>
          </cell>
        </row>
        <row r="1447">
          <cell r="B1447">
            <v>45275</v>
          </cell>
          <cell r="E1447" t="str">
            <v>Борисенко О.М.</v>
          </cell>
          <cell r="F1447" t="str">
            <v>Виброкаток</v>
          </cell>
          <cell r="I1447">
            <v>6</v>
          </cell>
          <cell r="J1447">
            <v>8</v>
          </cell>
        </row>
        <row r="1448">
          <cell r="B1448">
            <v>45261</v>
          </cell>
          <cell r="E1448" t="str">
            <v>Божков В.В.</v>
          </cell>
          <cell r="F1448" t="str">
            <v>МАЗ 264</v>
          </cell>
          <cell r="I1448">
            <v>12</v>
          </cell>
          <cell r="J1448">
            <v>8</v>
          </cell>
        </row>
        <row r="1449">
          <cell r="B1449">
            <v>45262</v>
          </cell>
          <cell r="E1449" t="str">
            <v>Божков В.В.</v>
          </cell>
          <cell r="F1449" t="str">
            <v>МАЗ 264</v>
          </cell>
          <cell r="I1449">
            <v>12</v>
          </cell>
          <cell r="J1449">
            <v>8</v>
          </cell>
        </row>
        <row r="1450">
          <cell r="B1450">
            <v>45261</v>
          </cell>
          <cell r="E1450" t="str">
            <v>Самойленко В.М.</v>
          </cell>
          <cell r="F1450" t="str">
            <v>МАЗ 264</v>
          </cell>
          <cell r="I1450">
            <v>12</v>
          </cell>
          <cell r="J1450">
            <v>12</v>
          </cell>
        </row>
        <row r="1451">
          <cell r="B1451">
            <v>45264</v>
          </cell>
          <cell r="E1451" t="str">
            <v>Самойленко В.М.</v>
          </cell>
          <cell r="F1451" t="str">
            <v>МАЗ 264</v>
          </cell>
          <cell r="I1451">
            <v>12</v>
          </cell>
          <cell r="J1451">
            <v>9</v>
          </cell>
        </row>
        <row r="1452">
          <cell r="B1452">
            <v>45265</v>
          </cell>
          <cell r="E1452" t="str">
            <v>Самойленко В.М.</v>
          </cell>
          <cell r="F1452" t="str">
            <v>МАЗ 264</v>
          </cell>
          <cell r="I1452">
            <v>12</v>
          </cell>
          <cell r="J1452">
            <v>9</v>
          </cell>
        </row>
        <row r="1453">
          <cell r="B1453">
            <v>45267</v>
          </cell>
          <cell r="E1453" t="str">
            <v>Самойленко В.М.</v>
          </cell>
          <cell r="F1453" t="str">
            <v>МАЗ 264</v>
          </cell>
          <cell r="I1453">
            <v>12</v>
          </cell>
          <cell r="J1453">
            <v>8</v>
          </cell>
        </row>
        <row r="1454">
          <cell r="B1454">
            <v>45268</v>
          </cell>
          <cell r="E1454" t="str">
            <v>Самойленко В.М.</v>
          </cell>
          <cell r="F1454" t="str">
            <v>МАЗ 264</v>
          </cell>
          <cell r="I1454">
            <v>12</v>
          </cell>
          <cell r="J1454">
            <v>9</v>
          </cell>
          <cell r="L1454">
            <v>1</v>
          </cell>
        </row>
        <row r="1455">
          <cell r="B1455">
            <v>45269</v>
          </cell>
          <cell r="E1455" t="str">
            <v>Самойленко В.М.</v>
          </cell>
          <cell r="F1455" t="str">
            <v>МАЗ 264</v>
          </cell>
          <cell r="I1455">
            <v>12</v>
          </cell>
          <cell r="J1455">
            <v>9</v>
          </cell>
          <cell r="L1455">
            <v>1</v>
          </cell>
        </row>
        <row r="1456">
          <cell r="B1456">
            <v>45272</v>
          </cell>
          <cell r="E1456" t="str">
            <v>Самойленко В.М.</v>
          </cell>
          <cell r="F1456" t="str">
            <v>МАЗ 264</v>
          </cell>
          <cell r="I1456">
            <v>12</v>
          </cell>
          <cell r="J1456">
            <v>10</v>
          </cell>
        </row>
        <row r="1457">
          <cell r="B1457">
            <v>45273</v>
          </cell>
          <cell r="E1457" t="str">
            <v>Самойленко В.М.</v>
          </cell>
          <cell r="F1457" t="str">
            <v>МАЗ 264</v>
          </cell>
          <cell r="I1457">
            <v>12</v>
          </cell>
          <cell r="J1457">
            <v>9</v>
          </cell>
        </row>
        <row r="1458">
          <cell r="B1458">
            <v>45274</v>
          </cell>
          <cell r="E1458" t="str">
            <v>Самойленко В.М.</v>
          </cell>
          <cell r="F1458" t="str">
            <v>МАЗ 264</v>
          </cell>
          <cell r="I1458">
            <v>12</v>
          </cell>
          <cell r="J1458">
            <v>8</v>
          </cell>
        </row>
        <row r="1459">
          <cell r="B1459">
            <v>45275</v>
          </cell>
          <cell r="E1459" t="str">
            <v>Самойленко В.М.</v>
          </cell>
          <cell r="F1459" t="str">
            <v>МАЗ 264</v>
          </cell>
          <cell r="I1459">
            <v>12</v>
          </cell>
          <cell r="J1459">
            <v>9</v>
          </cell>
          <cell r="L1459">
            <v>1</v>
          </cell>
        </row>
        <row r="1460">
          <cell r="B1460">
            <v>45276</v>
          </cell>
          <cell r="E1460" t="str">
            <v>Самойленко В.М.</v>
          </cell>
          <cell r="F1460" t="str">
            <v>МАЗ 264</v>
          </cell>
          <cell r="I1460">
            <v>12</v>
          </cell>
          <cell r="J1460">
            <v>9</v>
          </cell>
        </row>
        <row r="1461">
          <cell r="B1461">
            <v>45278</v>
          </cell>
          <cell r="E1461" t="str">
            <v>Самойленко В.М.</v>
          </cell>
          <cell r="F1461" t="str">
            <v>МАЗ 264</v>
          </cell>
          <cell r="I1461">
            <v>12</v>
          </cell>
          <cell r="J1461">
            <v>5</v>
          </cell>
          <cell r="K1461">
            <v>5</v>
          </cell>
        </row>
        <row r="1462">
          <cell r="B1462">
            <v>45279</v>
          </cell>
          <cell r="E1462" t="str">
            <v>Самойленко В.М.</v>
          </cell>
          <cell r="F1462" t="str">
            <v>МАЗ 264</v>
          </cell>
          <cell r="I1462">
            <v>12</v>
          </cell>
          <cell r="J1462">
            <v>4</v>
          </cell>
        </row>
        <row r="1463">
          <cell r="B1463">
            <v>45281</v>
          </cell>
          <cell r="E1463" t="str">
            <v>Самойленко В.М.</v>
          </cell>
          <cell r="F1463" t="str">
            <v>МАЗ 264</v>
          </cell>
          <cell r="I1463">
            <v>12</v>
          </cell>
          <cell r="J1463">
            <v>8</v>
          </cell>
        </row>
        <row r="1464">
          <cell r="B1464">
            <v>45282</v>
          </cell>
          <cell r="E1464" t="str">
            <v>Самойленко В.М.</v>
          </cell>
          <cell r="F1464" t="str">
            <v>МАЗ 264</v>
          </cell>
          <cell r="I1464">
            <v>12</v>
          </cell>
          <cell r="J1464">
            <v>6</v>
          </cell>
        </row>
        <row r="1465">
          <cell r="B1465">
            <v>45263</v>
          </cell>
          <cell r="E1465" t="str">
            <v>Божков В.В.</v>
          </cell>
          <cell r="F1465" t="str">
            <v>МАЗ 264</v>
          </cell>
          <cell r="I1465">
            <v>12</v>
          </cell>
          <cell r="J1465">
            <v>7</v>
          </cell>
        </row>
        <row r="1466">
          <cell r="B1466">
            <v>45261</v>
          </cell>
          <cell r="E1466" t="str">
            <v>Шамоян А.Д.</v>
          </cell>
          <cell r="F1466" t="str">
            <v>МАЗ 265</v>
          </cell>
          <cell r="I1466">
            <v>13</v>
          </cell>
          <cell r="J1466">
            <v>12</v>
          </cell>
        </row>
        <row r="1467">
          <cell r="B1467">
            <v>45264</v>
          </cell>
          <cell r="E1467" t="str">
            <v>Шамоян А.Д.</v>
          </cell>
          <cell r="F1467" t="str">
            <v>МАЗ 265</v>
          </cell>
          <cell r="I1467">
            <v>13</v>
          </cell>
          <cell r="J1467">
            <v>9</v>
          </cell>
        </row>
        <row r="1468">
          <cell r="B1468">
            <v>45265</v>
          </cell>
          <cell r="E1468" t="str">
            <v>Шамоян А.Д.</v>
          </cell>
          <cell r="F1468" t="str">
            <v>МАЗ 265</v>
          </cell>
          <cell r="I1468">
            <v>13</v>
          </cell>
          <cell r="J1468">
            <v>9</v>
          </cell>
        </row>
        <row r="1469">
          <cell r="B1469">
            <v>45273</v>
          </cell>
          <cell r="E1469" t="str">
            <v>Шамоян А.Д.</v>
          </cell>
          <cell r="F1469" t="str">
            <v>МАЗ 265</v>
          </cell>
          <cell r="I1469">
            <v>13</v>
          </cell>
          <cell r="J1469">
            <v>12</v>
          </cell>
        </row>
        <row r="1470">
          <cell r="B1470">
            <v>45274</v>
          </cell>
          <cell r="E1470" t="str">
            <v>Шамоян А.Д.</v>
          </cell>
          <cell r="F1470" t="str">
            <v>МАЗ 265</v>
          </cell>
          <cell r="I1470">
            <v>13</v>
          </cell>
          <cell r="J1470">
            <v>12</v>
          </cell>
        </row>
        <row r="1471">
          <cell r="B1471">
            <v>45270</v>
          </cell>
          <cell r="E1471" t="str">
            <v>Шамоян А.Д.</v>
          </cell>
          <cell r="F1471" t="str">
            <v>МАЗ 265</v>
          </cell>
          <cell r="I1471">
            <v>13</v>
          </cell>
          <cell r="J1471">
            <v>10</v>
          </cell>
        </row>
        <row r="1472">
          <cell r="B1472">
            <v>45271</v>
          </cell>
          <cell r="E1472" t="str">
            <v>Шамоян А.Д.</v>
          </cell>
          <cell r="F1472" t="str">
            <v>МАЗ 265</v>
          </cell>
          <cell r="I1472">
            <v>13</v>
          </cell>
          <cell r="J1472">
            <v>8</v>
          </cell>
        </row>
        <row r="1473">
          <cell r="B1473">
            <v>45273</v>
          </cell>
          <cell r="E1473" t="str">
            <v>Селивончик И.П.</v>
          </cell>
          <cell r="F1473" t="str">
            <v>МАЗ 264</v>
          </cell>
          <cell r="I1473">
            <v>12</v>
          </cell>
          <cell r="J1473">
            <v>12</v>
          </cell>
        </row>
        <row r="1474">
          <cell r="B1474">
            <v>45274</v>
          </cell>
          <cell r="E1474" t="str">
            <v>Селивончик И.П.</v>
          </cell>
          <cell r="F1474" t="str">
            <v>МАЗ 264</v>
          </cell>
          <cell r="I1474">
            <v>12</v>
          </cell>
          <cell r="J1474">
            <v>12</v>
          </cell>
        </row>
        <row r="1475">
          <cell r="B1475">
            <v>45275</v>
          </cell>
          <cell r="E1475" t="str">
            <v>Селивончик И.П.</v>
          </cell>
          <cell r="F1475" t="str">
            <v>МАЗ 264</v>
          </cell>
          <cell r="I1475">
            <v>12</v>
          </cell>
          <cell r="J1475">
            <v>12</v>
          </cell>
        </row>
        <row r="1476">
          <cell r="B1476">
            <v>45276</v>
          </cell>
          <cell r="E1476" t="str">
            <v>Селивончик И.П.</v>
          </cell>
          <cell r="F1476" t="str">
            <v>МАЗ 264</v>
          </cell>
          <cell r="I1476">
            <v>12</v>
          </cell>
          <cell r="J1476">
            <v>12</v>
          </cell>
        </row>
        <row r="1477">
          <cell r="B1477">
            <v>45277</v>
          </cell>
          <cell r="E1477" t="str">
            <v>Селивончик И.П.</v>
          </cell>
          <cell r="F1477" t="str">
            <v>МАЗ 264</v>
          </cell>
          <cell r="I1477">
            <v>12</v>
          </cell>
          <cell r="J1477">
            <v>16</v>
          </cell>
        </row>
        <row r="1478">
          <cell r="B1478">
            <v>45278</v>
          </cell>
          <cell r="E1478" t="str">
            <v>Селивончик И.П.</v>
          </cell>
          <cell r="F1478" t="str">
            <v>МАЗ 264</v>
          </cell>
          <cell r="I1478">
            <v>12</v>
          </cell>
          <cell r="J1478">
            <v>12</v>
          </cell>
        </row>
        <row r="1479">
          <cell r="B1479">
            <v>45261</v>
          </cell>
          <cell r="E1479" t="str">
            <v>Трохименко В.Я.</v>
          </cell>
          <cell r="F1479" t="str">
            <v>РДК 250 (2)</v>
          </cell>
          <cell r="I1479">
            <v>15</v>
          </cell>
          <cell r="J1479">
            <v>8</v>
          </cell>
        </row>
        <row r="1480">
          <cell r="B1480">
            <v>45264</v>
          </cell>
          <cell r="E1480" t="str">
            <v>Трохименко В.Я.</v>
          </cell>
          <cell r="F1480" t="str">
            <v>РДК 250 (2)</v>
          </cell>
          <cell r="I1480">
            <v>15</v>
          </cell>
          <cell r="J1480">
            <v>8</v>
          </cell>
        </row>
        <row r="1481">
          <cell r="B1481">
            <v>45265</v>
          </cell>
          <cell r="E1481" t="str">
            <v>Трохименко В.Я.</v>
          </cell>
          <cell r="F1481" t="str">
            <v>РДК 250 (2)</v>
          </cell>
          <cell r="I1481">
            <v>15</v>
          </cell>
          <cell r="J1481">
            <v>8</v>
          </cell>
        </row>
        <row r="1482">
          <cell r="B1482">
            <v>45266</v>
          </cell>
          <cell r="E1482" t="str">
            <v>Трохименко В.Я.</v>
          </cell>
          <cell r="F1482" t="str">
            <v>РДК 250 (2)</v>
          </cell>
          <cell r="I1482">
            <v>15</v>
          </cell>
          <cell r="J1482">
            <v>8</v>
          </cell>
        </row>
        <row r="1483">
          <cell r="B1483">
            <v>45267</v>
          </cell>
          <cell r="E1483" t="str">
            <v>Трохименко В.Я.</v>
          </cell>
          <cell r="F1483" t="str">
            <v>РДК 250 (2)</v>
          </cell>
          <cell r="I1483">
            <v>15</v>
          </cell>
          <cell r="J1483">
            <v>8</v>
          </cell>
        </row>
        <row r="1484">
          <cell r="B1484">
            <v>45268</v>
          </cell>
          <cell r="E1484" t="str">
            <v>Трохименко В.Я.</v>
          </cell>
          <cell r="F1484" t="str">
            <v>РДК 250 (2)</v>
          </cell>
          <cell r="I1484">
            <v>15</v>
          </cell>
          <cell r="J1484">
            <v>9</v>
          </cell>
        </row>
        <row r="1485">
          <cell r="B1485">
            <v>45269</v>
          </cell>
          <cell r="E1485" t="str">
            <v>Трохименко В.Я.</v>
          </cell>
          <cell r="F1485" t="str">
            <v>РДК 250 (2)</v>
          </cell>
          <cell r="I1485">
            <v>15</v>
          </cell>
          <cell r="J1485">
            <v>6</v>
          </cell>
        </row>
        <row r="1486">
          <cell r="B1486">
            <v>45271</v>
          </cell>
          <cell r="E1486" t="str">
            <v>Трохименко В.Я.</v>
          </cell>
          <cell r="F1486" t="str">
            <v>РДК 250 (2)</v>
          </cell>
          <cell r="I1486">
            <v>15</v>
          </cell>
          <cell r="J1486">
            <v>8</v>
          </cell>
        </row>
        <row r="1487">
          <cell r="B1487">
            <v>45272</v>
          </cell>
          <cell r="E1487" t="str">
            <v>Трохименко В.Я.</v>
          </cell>
          <cell r="F1487" t="str">
            <v>РДК 250 (2)</v>
          </cell>
          <cell r="I1487">
            <v>15</v>
          </cell>
          <cell r="J1487">
            <v>8</v>
          </cell>
        </row>
        <row r="1488">
          <cell r="B1488">
            <v>45273</v>
          </cell>
          <cell r="E1488" t="str">
            <v>Трохименко В.Я.</v>
          </cell>
          <cell r="F1488" t="str">
            <v>РДК 250 (2)</v>
          </cell>
          <cell r="I1488">
            <v>15</v>
          </cell>
          <cell r="J1488">
            <v>8</v>
          </cell>
        </row>
        <row r="1489">
          <cell r="B1489">
            <v>45274</v>
          </cell>
          <cell r="E1489" t="str">
            <v>Трохименко В.Я.</v>
          </cell>
          <cell r="F1489" t="str">
            <v>РДК 250 (2)</v>
          </cell>
          <cell r="I1489">
            <v>15</v>
          </cell>
          <cell r="J1489">
            <v>8</v>
          </cell>
        </row>
        <row r="1490">
          <cell r="B1490">
            <v>45275</v>
          </cell>
          <cell r="E1490" t="str">
            <v>Трохименко В.Я.</v>
          </cell>
          <cell r="F1490" t="str">
            <v>РДК 250 (2)</v>
          </cell>
          <cell r="I1490">
            <v>15</v>
          </cell>
          <cell r="J1490">
            <v>8</v>
          </cell>
        </row>
        <row r="1491">
          <cell r="B1491">
            <v>45276</v>
          </cell>
          <cell r="E1491" t="str">
            <v>Трохименко В.Я.</v>
          </cell>
          <cell r="F1491" t="str">
            <v>РДК 250 (2)</v>
          </cell>
          <cell r="I1491">
            <v>15</v>
          </cell>
          <cell r="J1491">
            <v>8</v>
          </cell>
        </row>
        <row r="1492">
          <cell r="B1492">
            <v>45277</v>
          </cell>
          <cell r="E1492" t="str">
            <v>Трохименко В.Я.</v>
          </cell>
          <cell r="F1492" t="str">
            <v>РДК 250 (2)</v>
          </cell>
          <cell r="I1492">
            <v>15</v>
          </cell>
          <cell r="J1492">
            <v>8</v>
          </cell>
        </row>
        <row r="1493">
          <cell r="B1493">
            <v>45264</v>
          </cell>
          <cell r="E1493" t="str">
            <v>Божков В.В.</v>
          </cell>
          <cell r="F1493" t="str">
            <v>Самосвал МАЗ</v>
          </cell>
          <cell r="I1493">
            <v>21</v>
          </cell>
          <cell r="J1493">
            <v>9</v>
          </cell>
        </row>
        <row r="1494">
          <cell r="B1494">
            <v>45265</v>
          </cell>
          <cell r="E1494" t="str">
            <v>Божков В.В.</v>
          </cell>
          <cell r="F1494" t="str">
            <v>Самосвал МАЗ</v>
          </cell>
          <cell r="I1494">
            <v>21</v>
          </cell>
          <cell r="J1494">
            <v>9</v>
          </cell>
        </row>
        <row r="1495">
          <cell r="B1495">
            <v>45266</v>
          </cell>
          <cell r="E1495" t="str">
            <v>Божков В.В.</v>
          </cell>
          <cell r="F1495" t="str">
            <v>Самосвал МАЗ</v>
          </cell>
          <cell r="I1495">
            <v>21</v>
          </cell>
          <cell r="J1495">
            <v>10</v>
          </cell>
        </row>
        <row r="1496">
          <cell r="B1496">
            <v>45267</v>
          </cell>
          <cell r="E1496" t="str">
            <v>Божков В.В.</v>
          </cell>
          <cell r="F1496" t="str">
            <v>Самосвал МАЗ</v>
          </cell>
          <cell r="I1496">
            <v>21</v>
          </cell>
          <cell r="J1496">
            <v>5</v>
          </cell>
        </row>
        <row r="1497">
          <cell r="B1497">
            <v>45268</v>
          </cell>
          <cell r="E1497" t="str">
            <v>Божков В.В.</v>
          </cell>
          <cell r="F1497" t="str">
            <v>Самосвал МАЗ</v>
          </cell>
          <cell r="I1497">
            <v>21</v>
          </cell>
          <cell r="J1497">
            <v>8</v>
          </cell>
        </row>
        <row r="1498">
          <cell r="B1498">
            <v>45269</v>
          </cell>
          <cell r="E1498" t="str">
            <v>Божков В.В.</v>
          </cell>
          <cell r="F1498" t="str">
            <v>Самосвал МАЗ</v>
          </cell>
          <cell r="I1498">
            <v>21</v>
          </cell>
          <cell r="J1498">
            <v>9</v>
          </cell>
          <cell r="L1498">
            <v>1</v>
          </cell>
        </row>
        <row r="1499">
          <cell r="B1499">
            <v>45271</v>
          </cell>
          <cell r="E1499" t="str">
            <v>Божков В.В.</v>
          </cell>
          <cell r="F1499" t="str">
            <v>Самосвал МАЗ</v>
          </cell>
          <cell r="I1499">
            <v>21</v>
          </cell>
          <cell r="J1499">
            <v>8</v>
          </cell>
        </row>
        <row r="1500">
          <cell r="B1500">
            <v>45272</v>
          </cell>
          <cell r="E1500" t="str">
            <v>Божков В.В.</v>
          </cell>
          <cell r="F1500" t="str">
            <v>Самосвал МАЗ</v>
          </cell>
          <cell r="I1500">
            <v>21</v>
          </cell>
          <cell r="J1500">
            <v>9</v>
          </cell>
        </row>
        <row r="1501">
          <cell r="B1501">
            <v>45273</v>
          </cell>
          <cell r="E1501" t="str">
            <v>Божков В.В.</v>
          </cell>
          <cell r="F1501" t="str">
            <v>Самосвал МАЗ</v>
          </cell>
          <cell r="I1501">
            <v>21</v>
          </cell>
          <cell r="J1501">
            <v>4</v>
          </cell>
          <cell r="K1501">
            <v>4</v>
          </cell>
        </row>
        <row r="1502">
          <cell r="B1502">
            <v>45275</v>
          </cell>
          <cell r="E1502" t="str">
            <v>Божков В.В.</v>
          </cell>
          <cell r="F1502" t="str">
            <v>Самосвал МАЗ</v>
          </cell>
          <cell r="I1502">
            <v>21</v>
          </cell>
          <cell r="J1502">
            <v>8</v>
          </cell>
        </row>
        <row r="1503">
          <cell r="B1503">
            <v>45276</v>
          </cell>
          <cell r="E1503" t="str">
            <v>Божков В.В.</v>
          </cell>
          <cell r="F1503" t="str">
            <v>Самосвал МАЗ</v>
          </cell>
          <cell r="I1503">
            <v>21</v>
          </cell>
          <cell r="J1503">
            <v>3</v>
          </cell>
          <cell r="K1503">
            <v>3</v>
          </cell>
        </row>
        <row r="1504">
          <cell r="B1504">
            <v>45278</v>
          </cell>
          <cell r="E1504" t="str">
            <v>Божков В.В.</v>
          </cell>
          <cell r="F1504" t="str">
            <v>Самосвал МАЗ</v>
          </cell>
          <cell r="I1504">
            <v>21</v>
          </cell>
          <cell r="J1504">
            <v>5</v>
          </cell>
          <cell r="K1504">
            <v>5</v>
          </cell>
        </row>
        <row r="1505">
          <cell r="B1505">
            <v>45279</v>
          </cell>
          <cell r="E1505" t="str">
            <v>Божков В.В.</v>
          </cell>
          <cell r="F1505" t="str">
            <v>Самосвал МАЗ</v>
          </cell>
          <cell r="I1505">
            <v>21</v>
          </cell>
          <cell r="J1505">
            <v>4</v>
          </cell>
        </row>
        <row r="1506">
          <cell r="B1506">
            <v>45280</v>
          </cell>
          <cell r="E1506" t="str">
            <v>Божков В.В.</v>
          </cell>
          <cell r="F1506" t="str">
            <v>Самосвал МАЗ</v>
          </cell>
          <cell r="I1506">
            <v>21</v>
          </cell>
        </row>
        <row r="1507">
          <cell r="B1507">
            <v>45282</v>
          </cell>
          <cell r="E1507" t="str">
            <v>Божков В.В.</v>
          </cell>
          <cell r="F1507" t="str">
            <v>Самосвал МАЗ</v>
          </cell>
          <cell r="I1507">
            <v>21</v>
          </cell>
          <cell r="J1507">
            <v>6</v>
          </cell>
        </row>
        <row r="1508">
          <cell r="B1508">
            <v>45283</v>
          </cell>
          <cell r="E1508" t="str">
            <v>Божков В.В.</v>
          </cell>
          <cell r="F1508" t="str">
            <v>Самосвал МАЗ</v>
          </cell>
          <cell r="I1508">
            <v>21</v>
          </cell>
          <cell r="J1508">
            <v>2</v>
          </cell>
        </row>
        <row r="1509">
          <cell r="B1509">
            <v>45284</v>
          </cell>
          <cell r="E1509" t="str">
            <v>Божков В.В.</v>
          </cell>
          <cell r="F1509" t="str">
            <v>Самосвал МАЗ</v>
          </cell>
          <cell r="I1509">
            <v>21</v>
          </cell>
          <cell r="J1509">
            <v>7</v>
          </cell>
        </row>
        <row r="1510">
          <cell r="B1510">
            <v>45285</v>
          </cell>
          <cell r="E1510" t="str">
            <v>Божков В.В.</v>
          </cell>
          <cell r="F1510" t="str">
            <v>Самосвал МАЗ</v>
          </cell>
          <cell r="I1510">
            <v>21</v>
          </cell>
          <cell r="J1510">
            <v>8</v>
          </cell>
        </row>
        <row r="1511">
          <cell r="B1511">
            <v>45286</v>
          </cell>
          <cell r="E1511" t="str">
            <v>Божков В.В.</v>
          </cell>
          <cell r="F1511" t="str">
            <v>Самосвал МАЗ</v>
          </cell>
          <cell r="I1511">
            <v>21</v>
          </cell>
          <cell r="J1511">
            <v>8</v>
          </cell>
        </row>
        <row r="1512">
          <cell r="B1512">
            <v>45287</v>
          </cell>
          <cell r="E1512" t="str">
            <v>Божков В.В.</v>
          </cell>
          <cell r="F1512" t="str">
            <v>Самосвал МАЗ</v>
          </cell>
          <cell r="I1512">
            <v>21</v>
          </cell>
          <cell r="J1512">
            <v>3</v>
          </cell>
        </row>
        <row r="1513">
          <cell r="B1513">
            <v>45261</v>
          </cell>
          <cell r="E1513" t="str">
            <v>Кушнірюк М.В.</v>
          </cell>
          <cell r="F1513" t="str">
            <v>МАЗ 265</v>
          </cell>
          <cell r="I1513">
            <v>13</v>
          </cell>
          <cell r="J1513">
            <v>11</v>
          </cell>
          <cell r="K1513">
            <v>7</v>
          </cell>
        </row>
        <row r="1514">
          <cell r="B1514">
            <v>45262</v>
          </cell>
          <cell r="E1514" t="str">
            <v>Кушнірюк М.В.</v>
          </cell>
          <cell r="F1514" t="str">
            <v>МАЗ 265</v>
          </cell>
          <cell r="I1514">
            <v>13</v>
          </cell>
          <cell r="J1514">
            <v>8</v>
          </cell>
        </row>
        <row r="1515">
          <cell r="B1515">
            <v>45263</v>
          </cell>
          <cell r="E1515" t="str">
            <v>Кушнірюк М.В.</v>
          </cell>
          <cell r="F1515" t="str">
            <v>МАЗ 265</v>
          </cell>
          <cell r="I1515">
            <v>13</v>
          </cell>
          <cell r="J1515">
            <v>7</v>
          </cell>
        </row>
        <row r="1516">
          <cell r="B1516">
            <v>45266</v>
          </cell>
          <cell r="E1516" t="str">
            <v>Кушнірюк М.В.</v>
          </cell>
          <cell r="F1516" t="str">
            <v>МАЗ 265</v>
          </cell>
          <cell r="I1516">
            <v>13</v>
          </cell>
          <cell r="J1516">
            <v>11</v>
          </cell>
          <cell r="K1516">
            <v>1</v>
          </cell>
        </row>
        <row r="1517">
          <cell r="B1517">
            <v>45267</v>
          </cell>
          <cell r="E1517" t="str">
            <v>Кушнірюк М.В.</v>
          </cell>
          <cell r="F1517" t="str">
            <v>МАЗ 265</v>
          </cell>
          <cell r="I1517">
            <v>13</v>
          </cell>
          <cell r="J1517">
            <v>8</v>
          </cell>
        </row>
        <row r="1518">
          <cell r="B1518">
            <v>45268</v>
          </cell>
          <cell r="E1518" t="str">
            <v>Кушнірюк М.В.</v>
          </cell>
          <cell r="F1518" t="str">
            <v>МАЗ 265</v>
          </cell>
          <cell r="I1518">
            <v>13</v>
          </cell>
          <cell r="J1518">
            <v>8</v>
          </cell>
        </row>
        <row r="1519">
          <cell r="B1519">
            <v>45269</v>
          </cell>
          <cell r="E1519" t="str">
            <v>Кушнірюк М.В.</v>
          </cell>
          <cell r="F1519" t="str">
            <v>МАЗ 265</v>
          </cell>
          <cell r="I1519">
            <v>13</v>
          </cell>
          <cell r="J1519">
            <v>10</v>
          </cell>
          <cell r="L1519">
            <v>1</v>
          </cell>
        </row>
        <row r="1520">
          <cell r="B1520">
            <v>45270</v>
          </cell>
          <cell r="E1520" t="str">
            <v>Кушнірюк М.В.</v>
          </cell>
          <cell r="F1520" t="str">
            <v>МАЗ 265</v>
          </cell>
          <cell r="I1520">
            <v>13</v>
          </cell>
          <cell r="J1520">
            <v>10</v>
          </cell>
        </row>
        <row r="1521">
          <cell r="B1521">
            <v>45271</v>
          </cell>
          <cell r="E1521" t="str">
            <v>Кушнірюк М.В.</v>
          </cell>
          <cell r="F1521" t="str">
            <v>МАЗ 265</v>
          </cell>
          <cell r="I1521">
            <v>13</v>
          </cell>
          <cell r="J1521">
            <v>9</v>
          </cell>
          <cell r="L1521">
            <v>1</v>
          </cell>
        </row>
        <row r="1522">
          <cell r="B1522">
            <v>45272</v>
          </cell>
          <cell r="E1522" t="str">
            <v>Кушнірюк М.В.</v>
          </cell>
          <cell r="F1522" t="str">
            <v>МАЗ 265</v>
          </cell>
          <cell r="I1522">
            <v>13</v>
          </cell>
          <cell r="J1522">
            <v>9</v>
          </cell>
        </row>
        <row r="1523">
          <cell r="B1523">
            <v>45273</v>
          </cell>
          <cell r="E1523" t="str">
            <v>Кушнірюк М.В.</v>
          </cell>
          <cell r="F1523" t="str">
            <v>МАЗ 265</v>
          </cell>
          <cell r="I1523">
            <v>13</v>
          </cell>
          <cell r="J1523">
            <v>9</v>
          </cell>
        </row>
        <row r="1524">
          <cell r="B1524">
            <v>45274</v>
          </cell>
          <cell r="E1524" t="str">
            <v>Кушнірюк М.В.</v>
          </cell>
          <cell r="F1524" t="str">
            <v>МАЗ 265</v>
          </cell>
          <cell r="I1524">
            <v>13</v>
          </cell>
          <cell r="J1524">
            <v>8</v>
          </cell>
        </row>
        <row r="1525">
          <cell r="B1525">
            <v>45275</v>
          </cell>
          <cell r="E1525" t="str">
            <v>Кушнірюк М.В.</v>
          </cell>
          <cell r="F1525" t="str">
            <v>МАЗ 265</v>
          </cell>
          <cell r="I1525">
            <v>13</v>
          </cell>
          <cell r="J1525">
            <v>8</v>
          </cell>
          <cell r="K1525">
            <v>2</v>
          </cell>
        </row>
        <row r="1526">
          <cell r="B1526">
            <v>45262</v>
          </cell>
          <cell r="E1526" t="str">
            <v>Мусієнко І.І.</v>
          </cell>
          <cell r="F1526" t="str">
            <v>Телескоп №1</v>
          </cell>
          <cell r="I1526">
            <v>1</v>
          </cell>
          <cell r="J1526">
            <v>10</v>
          </cell>
          <cell r="L1526">
            <v>1</v>
          </cell>
        </row>
        <row r="1527">
          <cell r="B1527">
            <v>45264</v>
          </cell>
          <cell r="E1527" t="str">
            <v>Мусієнко І.І.</v>
          </cell>
          <cell r="F1527" t="str">
            <v>Телескоп №1</v>
          </cell>
          <cell r="I1527">
            <v>1</v>
          </cell>
          <cell r="J1527">
            <v>8</v>
          </cell>
          <cell r="K1527">
            <v>4</v>
          </cell>
        </row>
        <row r="1528">
          <cell r="B1528">
            <v>45265</v>
          </cell>
          <cell r="E1528" t="str">
            <v>Мусієнко І.І.</v>
          </cell>
          <cell r="F1528" t="str">
            <v>Телескоп №1</v>
          </cell>
          <cell r="I1528">
            <v>1</v>
          </cell>
          <cell r="J1528">
            <v>10</v>
          </cell>
          <cell r="L1528">
            <v>1</v>
          </cell>
        </row>
        <row r="1529">
          <cell r="B1529">
            <v>45266</v>
          </cell>
          <cell r="E1529" t="str">
            <v>Мусієнко І.І.</v>
          </cell>
          <cell r="F1529" t="str">
            <v>Телескоп №1</v>
          </cell>
          <cell r="I1529">
            <v>1</v>
          </cell>
          <cell r="J1529">
            <v>9</v>
          </cell>
        </row>
        <row r="1530">
          <cell r="B1530">
            <v>45267</v>
          </cell>
          <cell r="E1530" t="str">
            <v>Мусієнко І.І.</v>
          </cell>
          <cell r="F1530" t="str">
            <v>Телескоп №1</v>
          </cell>
          <cell r="I1530">
            <v>1</v>
          </cell>
          <cell r="J1530">
            <v>9</v>
          </cell>
          <cell r="K1530">
            <v>1</v>
          </cell>
        </row>
        <row r="1531">
          <cell r="B1531">
            <v>45268</v>
          </cell>
          <cell r="E1531" t="str">
            <v>Мусієнко І.І.</v>
          </cell>
          <cell r="F1531" t="str">
            <v>Телескоп №1</v>
          </cell>
          <cell r="I1531">
            <v>1</v>
          </cell>
          <cell r="J1531">
            <v>10</v>
          </cell>
          <cell r="L1531">
            <v>1</v>
          </cell>
        </row>
        <row r="1532">
          <cell r="B1532">
            <v>45269</v>
          </cell>
          <cell r="E1532" t="str">
            <v>Мусієнко І.І.</v>
          </cell>
          <cell r="F1532" t="str">
            <v>Телескоп №1</v>
          </cell>
          <cell r="I1532">
            <v>1</v>
          </cell>
          <cell r="J1532">
            <v>9</v>
          </cell>
        </row>
        <row r="1533">
          <cell r="B1533">
            <v>45270</v>
          </cell>
          <cell r="E1533" t="str">
            <v>Мусієнко І.І.</v>
          </cell>
          <cell r="F1533" t="str">
            <v>Телескоп №1</v>
          </cell>
          <cell r="I1533">
            <v>1</v>
          </cell>
          <cell r="J1533">
            <v>9</v>
          </cell>
        </row>
        <row r="1534">
          <cell r="B1534">
            <v>45271</v>
          </cell>
          <cell r="E1534" t="str">
            <v>Мусієнко І.І.</v>
          </cell>
          <cell r="F1534" t="str">
            <v>Телескоп №1</v>
          </cell>
          <cell r="I1534">
            <v>1</v>
          </cell>
          <cell r="J1534">
            <v>10</v>
          </cell>
          <cell r="L1534">
            <v>1</v>
          </cell>
        </row>
        <row r="1535">
          <cell r="B1535">
            <v>45272</v>
          </cell>
          <cell r="E1535" t="str">
            <v>Мусієнко І.І.</v>
          </cell>
          <cell r="F1535" t="str">
            <v>Телескоп №1</v>
          </cell>
          <cell r="I1535">
            <v>1</v>
          </cell>
          <cell r="J1535">
            <v>10</v>
          </cell>
        </row>
        <row r="1536">
          <cell r="B1536">
            <v>45273</v>
          </cell>
          <cell r="E1536" t="str">
            <v>Мусієнко І.І.</v>
          </cell>
          <cell r="F1536" t="str">
            <v>Телескоп №1</v>
          </cell>
          <cell r="I1536">
            <v>1</v>
          </cell>
          <cell r="J1536">
            <v>9</v>
          </cell>
        </row>
        <row r="1537">
          <cell r="B1537">
            <v>45274</v>
          </cell>
          <cell r="E1537" t="str">
            <v>Мусієнко І.І.</v>
          </cell>
          <cell r="F1537" t="str">
            <v>Телескоп №1</v>
          </cell>
          <cell r="I1537">
            <v>1</v>
          </cell>
          <cell r="J1537">
            <v>13</v>
          </cell>
          <cell r="L1537">
            <v>1</v>
          </cell>
        </row>
        <row r="1538">
          <cell r="B1538">
            <v>45275</v>
          </cell>
          <cell r="E1538" t="str">
            <v>Мусієнко І.І.</v>
          </cell>
          <cell r="F1538" t="str">
            <v>Телескоп №1</v>
          </cell>
          <cell r="I1538">
            <v>1</v>
          </cell>
          <cell r="J1538">
            <v>10</v>
          </cell>
          <cell r="L1538">
            <v>1</v>
          </cell>
        </row>
        <row r="1539">
          <cell r="B1539">
            <v>45262</v>
          </cell>
          <cell r="E1539" t="str">
            <v>Борисенко О.М.</v>
          </cell>
          <cell r="F1539" t="str">
            <v>Автокран клинцы</v>
          </cell>
          <cell r="I1539">
            <v>19</v>
          </cell>
          <cell r="J1539">
            <v>4</v>
          </cell>
          <cell r="K1539">
            <v>4</v>
          </cell>
        </row>
        <row r="1540">
          <cell r="B1540">
            <v>45276</v>
          </cell>
          <cell r="E1540" t="str">
            <v>Карбунар Я.Д.</v>
          </cell>
          <cell r="F1540" t="str">
            <v>Экскаватор JCB 2007</v>
          </cell>
          <cell r="I1540">
            <v>8</v>
          </cell>
          <cell r="J1540">
            <v>11</v>
          </cell>
        </row>
        <row r="1541">
          <cell r="B1541">
            <v>45277</v>
          </cell>
          <cell r="E1541" t="str">
            <v>Карбунар Я.Д.</v>
          </cell>
          <cell r="F1541" t="str">
            <v>Экскаватор JCB 2007</v>
          </cell>
          <cell r="I1541">
            <v>8</v>
          </cell>
          <cell r="J1541">
            <v>12</v>
          </cell>
          <cell r="L1541">
            <v>2</v>
          </cell>
        </row>
        <row r="1542">
          <cell r="B1542">
            <v>45278</v>
          </cell>
          <cell r="E1542" t="str">
            <v>Карбунар Я.Д.</v>
          </cell>
          <cell r="F1542" t="str">
            <v>Экскаватор JCB 2007</v>
          </cell>
          <cell r="I1542">
            <v>8</v>
          </cell>
          <cell r="J1542">
            <v>10</v>
          </cell>
        </row>
        <row r="1543">
          <cell r="B1543">
            <v>45279</v>
          </cell>
          <cell r="E1543" t="str">
            <v>Карбунар Я.Д.</v>
          </cell>
          <cell r="F1543" t="str">
            <v>Экскаватор JCB 2007</v>
          </cell>
          <cell r="I1543">
            <v>8</v>
          </cell>
          <cell r="J1543">
            <v>14</v>
          </cell>
        </row>
        <row r="1544">
          <cell r="B1544">
            <v>45280</v>
          </cell>
          <cell r="E1544" t="str">
            <v>Карбунар Я.Д.</v>
          </cell>
          <cell r="F1544" t="str">
            <v>Экскаватор JCB 2007</v>
          </cell>
          <cell r="I1544">
            <v>8</v>
          </cell>
          <cell r="J1544">
            <v>15</v>
          </cell>
        </row>
        <row r="1545">
          <cell r="B1545">
            <v>45281</v>
          </cell>
          <cell r="E1545" t="str">
            <v>Карбунар Я.Д.</v>
          </cell>
          <cell r="F1545" t="str">
            <v>Экскаватор JCB 2007</v>
          </cell>
          <cell r="I1545">
            <v>8</v>
          </cell>
          <cell r="J1545">
            <v>15</v>
          </cell>
        </row>
        <row r="1546">
          <cell r="B1546">
            <v>45282</v>
          </cell>
          <cell r="E1546" t="str">
            <v>Карбунар Я.Д.</v>
          </cell>
          <cell r="F1546" t="str">
            <v>Экскаватор JCB 2007</v>
          </cell>
          <cell r="I1546">
            <v>8</v>
          </cell>
          <cell r="J1546">
            <v>17</v>
          </cell>
          <cell r="L1546">
            <v>2</v>
          </cell>
        </row>
        <row r="1547">
          <cell r="B1547">
            <v>45283</v>
          </cell>
          <cell r="E1547" t="str">
            <v>Карбунар Я.Д.</v>
          </cell>
          <cell r="F1547" t="str">
            <v>Экскаватор JCB 2007</v>
          </cell>
          <cell r="I1547">
            <v>8</v>
          </cell>
          <cell r="J1547">
            <v>12</v>
          </cell>
          <cell r="K1547">
            <v>2</v>
          </cell>
        </row>
        <row r="1548">
          <cell r="B1548">
            <v>45284</v>
          </cell>
          <cell r="E1548" t="str">
            <v>Карбунар Я.Д.</v>
          </cell>
          <cell r="F1548" t="str">
            <v>Экскаватор JCB 2007</v>
          </cell>
          <cell r="I1548">
            <v>8</v>
          </cell>
          <cell r="J1548">
            <v>10</v>
          </cell>
        </row>
        <row r="1549">
          <cell r="B1549">
            <v>45285</v>
          </cell>
          <cell r="E1549" t="str">
            <v>Карбунар Я.Д.</v>
          </cell>
          <cell r="F1549" t="str">
            <v>Экскаватор JCB 2007</v>
          </cell>
          <cell r="I1549">
            <v>8</v>
          </cell>
          <cell r="J1549">
            <v>12</v>
          </cell>
        </row>
        <row r="1550">
          <cell r="B1550">
            <v>45286</v>
          </cell>
          <cell r="E1550" t="str">
            <v>Карбунар Я.Д.</v>
          </cell>
          <cell r="F1550" t="str">
            <v>Экскаватор JCB 2007</v>
          </cell>
          <cell r="I1550">
            <v>8</v>
          </cell>
          <cell r="J1550">
            <v>14</v>
          </cell>
        </row>
        <row r="1551">
          <cell r="B1551">
            <v>45287</v>
          </cell>
          <cell r="E1551" t="str">
            <v>Карбунар Я.Д.</v>
          </cell>
          <cell r="F1551" t="str">
            <v>Экскаватор JCB 2007</v>
          </cell>
          <cell r="I1551">
            <v>8</v>
          </cell>
          <cell r="J1551">
            <v>14</v>
          </cell>
        </row>
        <row r="1552">
          <cell r="B1552">
            <v>45288</v>
          </cell>
          <cell r="E1552" t="str">
            <v>Карбунар Я.Д.</v>
          </cell>
          <cell r="F1552" t="str">
            <v>Экскаватор JCB 2007</v>
          </cell>
          <cell r="I1552">
            <v>8</v>
          </cell>
          <cell r="J1552">
            <v>10</v>
          </cell>
        </row>
        <row r="1553">
          <cell r="B1553">
            <v>45276</v>
          </cell>
          <cell r="E1553" t="str">
            <v>Болох В.В.</v>
          </cell>
          <cell r="F1553" t="str">
            <v>Автокран XCMG</v>
          </cell>
          <cell r="I1553">
            <v>17</v>
          </cell>
          <cell r="J1553">
            <v>9</v>
          </cell>
          <cell r="L1553">
            <v>1</v>
          </cell>
        </row>
        <row r="1554">
          <cell r="B1554">
            <v>45277</v>
          </cell>
          <cell r="E1554" t="str">
            <v>Болох В.В.</v>
          </cell>
          <cell r="F1554" t="str">
            <v>Автокран XCMG</v>
          </cell>
          <cell r="I1554">
            <v>17</v>
          </cell>
          <cell r="J1554">
            <v>4</v>
          </cell>
          <cell r="K1554">
            <v>4</v>
          </cell>
        </row>
        <row r="1555">
          <cell r="B1555">
            <v>45278</v>
          </cell>
          <cell r="E1555" t="str">
            <v>Болох В.В.</v>
          </cell>
          <cell r="F1555" t="str">
            <v>Автокран XCMG</v>
          </cell>
          <cell r="I1555">
            <v>17</v>
          </cell>
          <cell r="J1555">
            <v>9</v>
          </cell>
          <cell r="K1555">
            <v>1</v>
          </cell>
        </row>
        <row r="1556">
          <cell r="B1556">
            <v>45279</v>
          </cell>
          <cell r="E1556" t="str">
            <v>Болох В.В.</v>
          </cell>
          <cell r="F1556" t="str">
            <v>Автокран XCMG</v>
          </cell>
          <cell r="I1556">
            <v>17</v>
          </cell>
          <cell r="J1556">
            <v>9</v>
          </cell>
          <cell r="K1556">
            <v>1</v>
          </cell>
        </row>
        <row r="1557">
          <cell r="B1557">
            <v>45280</v>
          </cell>
          <cell r="E1557" t="str">
            <v>Болох В.В.</v>
          </cell>
          <cell r="F1557" t="str">
            <v>Автокран XCMG</v>
          </cell>
          <cell r="I1557">
            <v>17</v>
          </cell>
          <cell r="J1557">
            <v>9</v>
          </cell>
          <cell r="K1557">
            <v>1</v>
          </cell>
        </row>
        <row r="1558">
          <cell r="B1558">
            <v>45281</v>
          </cell>
          <cell r="E1558" t="str">
            <v>Болох В.В.</v>
          </cell>
          <cell r="F1558" t="str">
            <v>Автокран XCMG</v>
          </cell>
          <cell r="I1558">
            <v>17</v>
          </cell>
          <cell r="J1558">
            <v>10</v>
          </cell>
          <cell r="K1558">
            <v>1</v>
          </cell>
        </row>
        <row r="1559">
          <cell r="B1559">
            <v>45282</v>
          </cell>
          <cell r="E1559" t="str">
            <v>Болох В.В.</v>
          </cell>
          <cell r="F1559" t="str">
            <v>Автокран XCMG</v>
          </cell>
          <cell r="I1559">
            <v>17</v>
          </cell>
          <cell r="J1559">
            <v>9</v>
          </cell>
          <cell r="K1559">
            <v>1</v>
          </cell>
        </row>
        <row r="1560">
          <cell r="B1560">
            <v>45283</v>
          </cell>
          <cell r="E1560" t="str">
            <v>Болох В.В.</v>
          </cell>
          <cell r="F1560" t="str">
            <v>Автокран XCMG</v>
          </cell>
          <cell r="I1560">
            <v>17</v>
          </cell>
          <cell r="J1560">
            <v>13</v>
          </cell>
          <cell r="K1560">
            <v>1</v>
          </cell>
        </row>
        <row r="1561">
          <cell r="B1561">
            <v>45284</v>
          </cell>
          <cell r="E1561" t="str">
            <v>Болох В.В.</v>
          </cell>
          <cell r="F1561" t="str">
            <v>Автокран XCMG</v>
          </cell>
          <cell r="I1561">
            <v>17</v>
          </cell>
          <cell r="J1561">
            <v>13</v>
          </cell>
          <cell r="K1561">
            <v>2</v>
          </cell>
        </row>
        <row r="1562">
          <cell r="B1562">
            <v>45285</v>
          </cell>
          <cell r="E1562" t="str">
            <v>Болох В.В.</v>
          </cell>
          <cell r="F1562" t="str">
            <v>Автокран XCMG</v>
          </cell>
          <cell r="I1562">
            <v>17</v>
          </cell>
          <cell r="J1562">
            <v>9</v>
          </cell>
        </row>
        <row r="1563">
          <cell r="B1563">
            <v>45286</v>
          </cell>
          <cell r="E1563" t="str">
            <v>Болох В.В.</v>
          </cell>
          <cell r="F1563" t="str">
            <v>Автокран XCMG</v>
          </cell>
          <cell r="I1563">
            <v>17</v>
          </cell>
          <cell r="J1563">
            <v>9</v>
          </cell>
        </row>
        <row r="1564">
          <cell r="B1564">
            <v>45287</v>
          </cell>
          <cell r="E1564" t="str">
            <v>Болох В.В.</v>
          </cell>
          <cell r="F1564" t="str">
            <v>Автокран XCMG</v>
          </cell>
          <cell r="I1564">
            <v>17</v>
          </cell>
          <cell r="J1564">
            <v>10</v>
          </cell>
          <cell r="K1564">
            <v>1</v>
          </cell>
          <cell r="L1564">
            <v>1</v>
          </cell>
        </row>
        <row r="1565">
          <cell r="B1565">
            <v>45288</v>
          </cell>
          <cell r="E1565" t="str">
            <v>Болох В.В.</v>
          </cell>
          <cell r="F1565" t="str">
            <v>Автокран XCMG</v>
          </cell>
          <cell r="I1565">
            <v>17</v>
          </cell>
          <cell r="J1565">
            <v>9</v>
          </cell>
        </row>
        <row r="1566">
          <cell r="B1566">
            <v>45276</v>
          </cell>
          <cell r="E1566" t="str">
            <v>Горячий І.В.</v>
          </cell>
          <cell r="F1566" t="str">
            <v>Телескоп №5</v>
          </cell>
          <cell r="I1566">
            <v>5</v>
          </cell>
          <cell r="J1566">
            <v>12</v>
          </cell>
        </row>
        <row r="1567">
          <cell r="B1567">
            <v>45277</v>
          </cell>
          <cell r="E1567" t="str">
            <v>Горячий І.В.</v>
          </cell>
          <cell r="F1567" t="str">
            <v>Телескоп №5</v>
          </cell>
          <cell r="I1567">
            <v>5</v>
          </cell>
          <cell r="J1567">
            <v>18</v>
          </cell>
          <cell r="K1567">
            <v>1</v>
          </cell>
        </row>
        <row r="1568">
          <cell r="B1568">
            <v>45278</v>
          </cell>
          <cell r="E1568" t="str">
            <v>Горячий І.В.</v>
          </cell>
          <cell r="F1568" t="str">
            <v>Телескоп №5</v>
          </cell>
          <cell r="I1568">
            <v>5</v>
          </cell>
          <cell r="J1568">
            <v>18</v>
          </cell>
          <cell r="L1568">
            <v>1</v>
          </cell>
        </row>
        <row r="1569">
          <cell r="B1569">
            <v>45279</v>
          </cell>
          <cell r="E1569" t="str">
            <v>Горячий І.В.</v>
          </cell>
          <cell r="F1569" t="str">
            <v>Телескоп №5</v>
          </cell>
          <cell r="I1569">
            <v>5</v>
          </cell>
          <cell r="J1569">
            <v>9</v>
          </cell>
          <cell r="L1569">
            <v>1</v>
          </cell>
        </row>
        <row r="1570">
          <cell r="B1570">
            <v>45280</v>
          </cell>
          <cell r="E1570" t="str">
            <v>Горячий І.В.</v>
          </cell>
          <cell r="F1570" t="str">
            <v>Телескоп №5</v>
          </cell>
          <cell r="I1570">
            <v>5</v>
          </cell>
          <cell r="J1570">
            <v>11</v>
          </cell>
        </row>
        <row r="1571">
          <cell r="B1571">
            <v>45281</v>
          </cell>
          <cell r="E1571" t="str">
            <v>Горячий І.В.</v>
          </cell>
          <cell r="F1571" t="str">
            <v>Телескоп №5</v>
          </cell>
          <cell r="I1571">
            <v>5</v>
          </cell>
          <cell r="J1571">
            <v>9</v>
          </cell>
        </row>
        <row r="1572">
          <cell r="B1572">
            <v>45282</v>
          </cell>
          <cell r="E1572" t="str">
            <v>Горячий І.В.</v>
          </cell>
          <cell r="F1572" t="str">
            <v>Телескоп №5</v>
          </cell>
          <cell r="I1572">
            <v>5</v>
          </cell>
          <cell r="J1572">
            <v>10</v>
          </cell>
          <cell r="L1572">
            <v>1</v>
          </cell>
        </row>
        <row r="1573">
          <cell r="B1573">
            <v>45283</v>
          </cell>
          <cell r="E1573" t="str">
            <v>Горячий І.В.</v>
          </cell>
          <cell r="F1573" t="str">
            <v>Телескоп №5</v>
          </cell>
          <cell r="I1573">
            <v>5</v>
          </cell>
          <cell r="J1573">
            <v>9</v>
          </cell>
          <cell r="K1573">
            <v>1</v>
          </cell>
        </row>
        <row r="1574">
          <cell r="B1574">
            <v>45284</v>
          </cell>
          <cell r="E1574" t="str">
            <v>Горячий І.В.</v>
          </cell>
          <cell r="F1574" t="str">
            <v>Телескоп №5</v>
          </cell>
          <cell r="I1574">
            <v>5</v>
          </cell>
          <cell r="J1574">
            <v>9</v>
          </cell>
          <cell r="L1574">
            <v>1</v>
          </cell>
        </row>
        <row r="1575">
          <cell r="B1575">
            <v>45285</v>
          </cell>
          <cell r="E1575" t="str">
            <v>Горячий І.В.</v>
          </cell>
          <cell r="F1575" t="str">
            <v>Телескоп №5</v>
          </cell>
          <cell r="I1575">
            <v>5</v>
          </cell>
          <cell r="J1575">
            <v>8</v>
          </cell>
        </row>
        <row r="1576">
          <cell r="B1576">
            <v>45286</v>
          </cell>
          <cell r="E1576" t="str">
            <v>Горячий І.В.</v>
          </cell>
          <cell r="F1576" t="str">
            <v>Телескоп №5</v>
          </cell>
          <cell r="I1576">
            <v>5</v>
          </cell>
          <cell r="J1576">
            <v>8</v>
          </cell>
        </row>
        <row r="1577">
          <cell r="B1577">
            <v>45287</v>
          </cell>
          <cell r="E1577" t="str">
            <v>Горячий І.В.</v>
          </cell>
          <cell r="F1577" t="str">
            <v>Телескоп №5</v>
          </cell>
          <cell r="I1577">
            <v>5</v>
          </cell>
          <cell r="J1577">
            <v>10</v>
          </cell>
        </row>
        <row r="1578">
          <cell r="B1578">
            <v>45288</v>
          </cell>
          <cell r="E1578" t="str">
            <v>Горячий І.В.</v>
          </cell>
          <cell r="F1578" t="str">
            <v>Телескоп №5</v>
          </cell>
          <cell r="I1578">
            <v>5</v>
          </cell>
          <cell r="J1578">
            <v>9</v>
          </cell>
          <cell r="L1578">
            <v>1</v>
          </cell>
        </row>
        <row r="1579">
          <cell r="B1579">
            <v>45289</v>
          </cell>
          <cell r="E1579" t="str">
            <v>Горячий І.В.</v>
          </cell>
          <cell r="F1579" t="str">
            <v>Телескоп №5</v>
          </cell>
          <cell r="I1579">
            <v>5</v>
          </cell>
          <cell r="J1579">
            <v>12</v>
          </cell>
          <cell r="L1579">
            <v>1</v>
          </cell>
        </row>
        <row r="1580">
          <cell r="B1580">
            <v>45290</v>
          </cell>
          <cell r="E1580" t="str">
            <v>Горячий І.В.</v>
          </cell>
          <cell r="F1580" t="str">
            <v>Телескоп №5</v>
          </cell>
          <cell r="I1580">
            <v>5</v>
          </cell>
          <cell r="J1580">
            <v>8</v>
          </cell>
        </row>
        <row r="1581">
          <cell r="B1581">
            <v>45279</v>
          </cell>
          <cell r="E1581" t="str">
            <v>Ковальчук В.В.</v>
          </cell>
          <cell r="F1581" t="str">
            <v>Экскаватор  JCB 3CX 2008</v>
          </cell>
          <cell r="I1581">
            <v>9</v>
          </cell>
          <cell r="J1581">
            <v>8</v>
          </cell>
        </row>
        <row r="1582">
          <cell r="B1582">
            <v>45280</v>
          </cell>
          <cell r="E1582" t="str">
            <v>Ковальчук В.В.</v>
          </cell>
          <cell r="F1582" t="str">
            <v>Экскаватор  JCB 3CX 2008</v>
          </cell>
          <cell r="I1582">
            <v>9</v>
          </cell>
          <cell r="J1582">
            <v>9</v>
          </cell>
        </row>
        <row r="1583">
          <cell r="B1583">
            <v>45281</v>
          </cell>
          <cell r="E1583" t="str">
            <v>Ковальчук В.В.</v>
          </cell>
          <cell r="F1583" t="str">
            <v>Экскаватор  JCB 3CX 2008</v>
          </cell>
          <cell r="I1583">
            <v>9</v>
          </cell>
          <cell r="J1583">
            <v>10</v>
          </cell>
          <cell r="L1583">
            <v>1</v>
          </cell>
        </row>
        <row r="1584">
          <cell r="B1584">
            <v>45282</v>
          </cell>
          <cell r="E1584" t="str">
            <v>Ковальчук В.В.</v>
          </cell>
          <cell r="F1584" t="str">
            <v>Экскаватор  JCB 3CX 2008</v>
          </cell>
          <cell r="I1584">
            <v>9</v>
          </cell>
          <cell r="J1584">
            <v>8</v>
          </cell>
        </row>
        <row r="1585">
          <cell r="B1585">
            <v>45283</v>
          </cell>
          <cell r="E1585" t="str">
            <v>Ковальчук В.В.</v>
          </cell>
          <cell r="F1585" t="str">
            <v>Экскаватор  JCB 3CX 2008</v>
          </cell>
          <cell r="I1585">
            <v>9</v>
          </cell>
          <cell r="J1585">
            <v>9</v>
          </cell>
          <cell r="L1585">
            <v>1</v>
          </cell>
        </row>
        <row r="1586">
          <cell r="B1586">
            <v>45284</v>
          </cell>
          <cell r="E1586" t="str">
            <v>Ковальчук В.В.</v>
          </cell>
          <cell r="F1586" t="str">
            <v>Экскаватор  JCB 3CX 2008</v>
          </cell>
          <cell r="I1586">
            <v>9</v>
          </cell>
          <cell r="J1586">
            <v>9</v>
          </cell>
          <cell r="L1586">
            <v>1</v>
          </cell>
        </row>
        <row r="1587">
          <cell r="B1587">
            <v>45285</v>
          </cell>
          <cell r="E1587" t="str">
            <v>Ковальчук В.В.</v>
          </cell>
          <cell r="F1587" t="str">
            <v>Экскаватор  JCB 3CX 2008</v>
          </cell>
          <cell r="I1587">
            <v>9</v>
          </cell>
          <cell r="J1587">
            <v>8</v>
          </cell>
        </row>
        <row r="1588">
          <cell r="B1588">
            <v>45286</v>
          </cell>
          <cell r="E1588" t="str">
            <v>Ковальчук В.В.</v>
          </cell>
          <cell r="F1588" t="str">
            <v>Экскаватор  JCB 3CX 2008</v>
          </cell>
          <cell r="I1588">
            <v>9</v>
          </cell>
          <cell r="J1588">
            <v>9</v>
          </cell>
          <cell r="L1588">
            <v>1</v>
          </cell>
        </row>
        <row r="1589">
          <cell r="B1589">
            <v>45287</v>
          </cell>
          <cell r="E1589" t="str">
            <v>Ковальчук В.В.</v>
          </cell>
          <cell r="F1589" t="str">
            <v>Экскаватор  JCB 3CX 2008</v>
          </cell>
          <cell r="I1589">
            <v>9</v>
          </cell>
          <cell r="J1589">
            <v>8</v>
          </cell>
        </row>
        <row r="1590">
          <cell r="B1590">
            <v>45288</v>
          </cell>
          <cell r="E1590" t="str">
            <v>Ковальчук В.В.</v>
          </cell>
          <cell r="F1590" t="str">
            <v>Экскаватор  JCB 3CX 2008</v>
          </cell>
          <cell r="I1590">
            <v>9</v>
          </cell>
          <cell r="J1590">
            <v>9</v>
          </cell>
          <cell r="L1590">
            <v>1</v>
          </cell>
        </row>
        <row r="1591">
          <cell r="B1591">
            <v>45289</v>
          </cell>
          <cell r="E1591" t="str">
            <v>Ковальчук В.В.</v>
          </cell>
          <cell r="F1591" t="str">
            <v>Экскаватор  JCB 3CX 2008</v>
          </cell>
          <cell r="I1591">
            <v>9</v>
          </cell>
          <cell r="J1591">
            <v>11</v>
          </cell>
          <cell r="L1591">
            <v>1</v>
          </cell>
        </row>
        <row r="1592">
          <cell r="B1592">
            <v>45290</v>
          </cell>
          <cell r="E1592" t="str">
            <v>Ковальчук В.В.</v>
          </cell>
          <cell r="F1592" t="str">
            <v>Экскаватор  JCB 3CX 2008</v>
          </cell>
          <cell r="I1592">
            <v>9</v>
          </cell>
          <cell r="J1592">
            <v>8</v>
          </cell>
        </row>
        <row r="1593">
          <cell r="B1593">
            <v>45275</v>
          </cell>
          <cell r="E1593" t="str">
            <v>Шестоковський Ю.А.</v>
          </cell>
          <cell r="F1593" t="str">
            <v>МАЗ 265</v>
          </cell>
          <cell r="I1593">
            <v>13</v>
          </cell>
          <cell r="J1593">
            <v>12</v>
          </cell>
        </row>
        <row r="1594">
          <cell r="B1594">
            <v>45276</v>
          </cell>
          <cell r="E1594" t="str">
            <v>Шестоковський Ю.А.</v>
          </cell>
          <cell r="F1594" t="str">
            <v>МАЗ 265</v>
          </cell>
          <cell r="I1594">
            <v>13</v>
          </cell>
          <cell r="J1594">
            <v>12</v>
          </cell>
        </row>
        <row r="1595">
          <cell r="B1595">
            <v>45277</v>
          </cell>
          <cell r="E1595" t="str">
            <v>Шестоковський Ю.А.</v>
          </cell>
          <cell r="F1595" t="str">
            <v>МАЗ 265</v>
          </cell>
          <cell r="I1595">
            <v>13</v>
          </cell>
          <cell r="J1595">
            <v>12</v>
          </cell>
          <cell r="L1595">
            <v>1</v>
          </cell>
        </row>
        <row r="1596">
          <cell r="B1596">
            <v>45278</v>
          </cell>
          <cell r="E1596" t="str">
            <v>Шестоковський Ю.А.</v>
          </cell>
          <cell r="F1596" t="str">
            <v>МАЗ 265</v>
          </cell>
          <cell r="I1596">
            <v>13</v>
          </cell>
          <cell r="J1596">
            <v>12</v>
          </cell>
        </row>
        <row r="1597">
          <cell r="B1597">
            <v>45278</v>
          </cell>
          <cell r="E1597" t="str">
            <v>Косік Ю.А.</v>
          </cell>
          <cell r="F1597" t="str">
            <v>Телескоп №4</v>
          </cell>
          <cell r="I1597">
            <v>4</v>
          </cell>
          <cell r="J1597">
            <v>8</v>
          </cell>
        </row>
        <row r="1598">
          <cell r="B1598">
            <v>45279</v>
          </cell>
          <cell r="E1598" t="str">
            <v>Косік Ю.А.</v>
          </cell>
          <cell r="F1598" t="str">
            <v>Телескоп №4</v>
          </cell>
          <cell r="I1598">
            <v>4</v>
          </cell>
          <cell r="J1598">
            <v>8</v>
          </cell>
        </row>
        <row r="1599">
          <cell r="B1599">
            <v>45280</v>
          </cell>
          <cell r="E1599" t="str">
            <v>Косік Ю.А.</v>
          </cell>
          <cell r="F1599" t="str">
            <v>Телескоп №4</v>
          </cell>
          <cell r="I1599">
            <v>4</v>
          </cell>
          <cell r="J1599">
            <v>8</v>
          </cell>
        </row>
        <row r="1600">
          <cell r="B1600">
            <v>45281</v>
          </cell>
          <cell r="E1600" t="str">
            <v>Косік Ю.А.</v>
          </cell>
          <cell r="F1600" t="str">
            <v>Телескоп №4</v>
          </cell>
          <cell r="I1600">
            <v>4</v>
          </cell>
          <cell r="J1600">
            <v>8</v>
          </cell>
        </row>
        <row r="1601">
          <cell r="B1601">
            <v>45282</v>
          </cell>
          <cell r="E1601" t="str">
            <v>Косік Ю.А.</v>
          </cell>
          <cell r="F1601" t="str">
            <v>Телескоп №4</v>
          </cell>
          <cell r="I1601">
            <v>4</v>
          </cell>
          <cell r="J1601">
            <v>8</v>
          </cell>
        </row>
        <row r="1602">
          <cell r="B1602">
            <v>45283</v>
          </cell>
          <cell r="E1602" t="str">
            <v>Косік Ю.А.</v>
          </cell>
          <cell r="F1602" t="str">
            <v>Телескоп №4</v>
          </cell>
          <cell r="I1602">
            <v>4</v>
          </cell>
          <cell r="J1602">
            <v>7</v>
          </cell>
        </row>
        <row r="1603">
          <cell r="B1603">
            <v>45285</v>
          </cell>
          <cell r="E1603" t="str">
            <v>Косік Ю.А.</v>
          </cell>
          <cell r="F1603" t="str">
            <v>Телескоп №4</v>
          </cell>
          <cell r="I1603">
            <v>4</v>
          </cell>
          <cell r="J1603">
            <v>8</v>
          </cell>
        </row>
        <row r="1604">
          <cell r="B1604">
            <v>45286</v>
          </cell>
          <cell r="E1604" t="str">
            <v>Косік Ю.А.</v>
          </cell>
          <cell r="F1604" t="str">
            <v>Телескоп №4</v>
          </cell>
          <cell r="I1604">
            <v>4</v>
          </cell>
          <cell r="J1604">
            <v>8</v>
          </cell>
        </row>
        <row r="1605">
          <cell r="B1605">
            <v>45287</v>
          </cell>
          <cell r="E1605" t="str">
            <v>Косік Ю.А.</v>
          </cell>
          <cell r="F1605" t="str">
            <v>Телескоп №4</v>
          </cell>
          <cell r="I1605">
            <v>4</v>
          </cell>
          <cell r="J1605">
            <v>5</v>
          </cell>
        </row>
        <row r="1606">
          <cell r="B1606">
            <v>45288</v>
          </cell>
          <cell r="E1606" t="str">
            <v>Косік Ю.А.</v>
          </cell>
          <cell r="F1606" t="str">
            <v>Телескоп №4</v>
          </cell>
          <cell r="I1606">
            <v>4</v>
          </cell>
          <cell r="J1606">
            <v>8</v>
          </cell>
        </row>
        <row r="1607">
          <cell r="B1607">
            <v>45289</v>
          </cell>
          <cell r="E1607" t="str">
            <v>Косік Ю.А.</v>
          </cell>
          <cell r="F1607" t="str">
            <v>Телескоп №4</v>
          </cell>
          <cell r="I1607">
            <v>4</v>
          </cell>
          <cell r="J1607">
            <v>4</v>
          </cell>
        </row>
        <row r="1608">
          <cell r="B1608">
            <v>45276</v>
          </cell>
          <cell r="E1608" t="str">
            <v>Борисенко О.М.</v>
          </cell>
          <cell r="F1608" t="str">
            <v>Виброкаток</v>
          </cell>
          <cell r="I1608">
            <v>6</v>
          </cell>
          <cell r="J1608">
            <v>6</v>
          </cell>
          <cell r="K1608">
            <v>1</v>
          </cell>
        </row>
        <row r="1609">
          <cell r="B1609">
            <v>45278</v>
          </cell>
          <cell r="E1609" t="str">
            <v>Борисенко О.М.</v>
          </cell>
          <cell r="F1609" t="str">
            <v>Виброкаток</v>
          </cell>
          <cell r="I1609">
            <v>6</v>
          </cell>
          <cell r="J1609">
            <v>8</v>
          </cell>
          <cell r="K1609">
            <v>2</v>
          </cell>
        </row>
        <row r="1610">
          <cell r="B1610">
            <v>45279</v>
          </cell>
          <cell r="E1610" t="str">
            <v>Борисенко О.М.</v>
          </cell>
          <cell r="F1610" t="str">
            <v>Виброкаток</v>
          </cell>
          <cell r="I1610">
            <v>6</v>
          </cell>
          <cell r="J1610">
            <v>8</v>
          </cell>
          <cell r="K1610">
            <v>2</v>
          </cell>
        </row>
        <row r="1611">
          <cell r="B1611">
            <v>45280</v>
          </cell>
          <cell r="E1611" t="str">
            <v>Борисенко О.М.</v>
          </cell>
          <cell r="F1611" t="str">
            <v>Виброкаток</v>
          </cell>
          <cell r="I1611">
            <v>6</v>
          </cell>
          <cell r="J1611">
            <v>4</v>
          </cell>
        </row>
        <row r="1612">
          <cell r="B1612">
            <v>45276</v>
          </cell>
          <cell r="E1612" t="str">
            <v>Скоц С.І.</v>
          </cell>
          <cell r="F1612" t="str">
            <v>Экскаватор JCB 2013</v>
          </cell>
          <cell r="I1612">
            <v>10</v>
          </cell>
          <cell r="J1612">
            <v>8</v>
          </cell>
        </row>
        <row r="1613">
          <cell r="B1613">
            <v>45277</v>
          </cell>
          <cell r="E1613" t="str">
            <v>Скоц С.І.</v>
          </cell>
          <cell r="F1613" t="str">
            <v>Экскаватор JCB 2013</v>
          </cell>
          <cell r="I1613">
            <v>10</v>
          </cell>
          <cell r="J1613">
            <v>8</v>
          </cell>
        </row>
        <row r="1614">
          <cell r="B1614">
            <v>45278</v>
          </cell>
          <cell r="E1614" t="str">
            <v>Скоц С.І.</v>
          </cell>
          <cell r="F1614" t="str">
            <v>Экскаватор JCB 2013</v>
          </cell>
          <cell r="I1614">
            <v>10</v>
          </cell>
          <cell r="J1614">
            <v>8</v>
          </cell>
        </row>
        <row r="1615">
          <cell r="B1615">
            <v>45279</v>
          </cell>
          <cell r="E1615" t="str">
            <v>Скоц С.І.</v>
          </cell>
          <cell r="F1615" t="str">
            <v>Экскаватор JCB 2013</v>
          </cell>
          <cell r="I1615">
            <v>10</v>
          </cell>
          <cell r="J1615">
            <v>8</v>
          </cell>
        </row>
        <row r="1616">
          <cell r="B1616">
            <v>45280</v>
          </cell>
          <cell r="E1616" t="str">
            <v>Скоц С.І.</v>
          </cell>
          <cell r="F1616" t="str">
            <v>Экскаватор JCB 2013</v>
          </cell>
          <cell r="I1616">
            <v>10</v>
          </cell>
          <cell r="J1616">
            <v>5</v>
          </cell>
        </row>
        <row r="1617">
          <cell r="B1617">
            <v>45281</v>
          </cell>
          <cell r="E1617" t="str">
            <v>Скоц С.І.</v>
          </cell>
          <cell r="F1617" t="str">
            <v>Экскаватор JCB 2013</v>
          </cell>
          <cell r="I1617">
            <v>10</v>
          </cell>
          <cell r="J1617">
            <v>6</v>
          </cell>
        </row>
        <row r="1618">
          <cell r="B1618">
            <v>45284</v>
          </cell>
          <cell r="E1618" t="str">
            <v>Скоц С.І.</v>
          </cell>
          <cell r="F1618" t="str">
            <v>Экскаватор JCB 2013</v>
          </cell>
          <cell r="I1618">
            <v>10</v>
          </cell>
          <cell r="J1618">
            <v>8</v>
          </cell>
        </row>
        <row r="1619">
          <cell r="B1619">
            <v>45285</v>
          </cell>
          <cell r="E1619" t="str">
            <v>Скоц С.І.</v>
          </cell>
          <cell r="F1619" t="str">
            <v>Экскаватор JCB 2013</v>
          </cell>
          <cell r="I1619">
            <v>10</v>
          </cell>
          <cell r="J1619">
            <v>5</v>
          </cell>
        </row>
        <row r="1620">
          <cell r="B1620">
            <v>45278</v>
          </cell>
          <cell r="E1620" t="str">
            <v>Трохименко В.Я.</v>
          </cell>
          <cell r="F1620" t="str">
            <v>РДК 250 (2)</v>
          </cell>
          <cell r="I1620">
            <v>15</v>
          </cell>
          <cell r="J1620">
            <v>10</v>
          </cell>
        </row>
        <row r="1621">
          <cell r="B1621">
            <v>45279</v>
          </cell>
          <cell r="E1621" t="str">
            <v>Трохименко В.Я.</v>
          </cell>
          <cell r="F1621" t="str">
            <v>РДК 250 (2)</v>
          </cell>
          <cell r="I1621">
            <v>15</v>
          </cell>
          <cell r="J1621">
            <v>8</v>
          </cell>
        </row>
        <row r="1622">
          <cell r="B1622">
            <v>45280</v>
          </cell>
          <cell r="E1622" t="str">
            <v>Трохименко В.Я.</v>
          </cell>
          <cell r="F1622" t="str">
            <v>РДК 250 (2)</v>
          </cell>
          <cell r="I1622">
            <v>15</v>
          </cell>
          <cell r="J1622">
            <v>8</v>
          </cell>
        </row>
        <row r="1623">
          <cell r="B1623">
            <v>45281</v>
          </cell>
          <cell r="E1623" t="str">
            <v>Трохименко В.Я.</v>
          </cell>
          <cell r="F1623" t="str">
            <v>РДК 250 (2)</v>
          </cell>
          <cell r="I1623">
            <v>15</v>
          </cell>
          <cell r="J1623">
            <v>8</v>
          </cell>
        </row>
        <row r="1624">
          <cell r="B1624">
            <v>45282</v>
          </cell>
          <cell r="E1624" t="str">
            <v>Трохименко В.Я.</v>
          </cell>
          <cell r="F1624" t="str">
            <v>РДК 250 (2)</v>
          </cell>
          <cell r="I1624">
            <v>15</v>
          </cell>
          <cell r="J1624">
            <v>8</v>
          </cell>
        </row>
        <row r="1625">
          <cell r="B1625">
            <v>45283</v>
          </cell>
          <cell r="E1625" t="str">
            <v>Трохименко В.Я.</v>
          </cell>
          <cell r="F1625" t="str">
            <v>РДК 250 (2)</v>
          </cell>
          <cell r="I1625">
            <v>15</v>
          </cell>
          <cell r="J1625">
            <v>8</v>
          </cell>
        </row>
        <row r="1626">
          <cell r="B1626">
            <v>45284</v>
          </cell>
          <cell r="E1626" t="str">
            <v>Трохименко В.Я.</v>
          </cell>
          <cell r="F1626" t="str">
            <v>РДК 250 (2)</v>
          </cell>
          <cell r="I1626">
            <v>15</v>
          </cell>
          <cell r="J1626">
            <v>4</v>
          </cell>
        </row>
        <row r="1627">
          <cell r="B1627">
            <v>45285</v>
          </cell>
          <cell r="E1627" t="str">
            <v>Трохименко В.Я.</v>
          </cell>
          <cell r="F1627" t="str">
            <v>РДК 250 (2)</v>
          </cell>
          <cell r="I1627">
            <v>15</v>
          </cell>
          <cell r="J1627">
            <v>8</v>
          </cell>
        </row>
        <row r="1628">
          <cell r="B1628">
            <v>45286</v>
          </cell>
          <cell r="E1628" t="str">
            <v>Трохименко В.Я.</v>
          </cell>
          <cell r="F1628" t="str">
            <v>РДК 250 (2)</v>
          </cell>
          <cell r="I1628">
            <v>15</v>
          </cell>
          <cell r="J1628">
            <v>8</v>
          </cell>
        </row>
        <row r="1629">
          <cell r="B1629">
            <v>45287</v>
          </cell>
          <cell r="E1629" t="str">
            <v>Трохименко В.Я.</v>
          </cell>
          <cell r="F1629" t="str">
            <v>РДК 250 (2)</v>
          </cell>
          <cell r="I1629">
            <v>15</v>
          </cell>
          <cell r="J1629">
            <v>9</v>
          </cell>
        </row>
        <row r="1630">
          <cell r="B1630">
            <v>45288</v>
          </cell>
          <cell r="E1630" t="str">
            <v>Трохименко В.Я.</v>
          </cell>
          <cell r="F1630" t="str">
            <v>РДК 250 (2)</v>
          </cell>
          <cell r="I1630">
            <v>15</v>
          </cell>
          <cell r="J1630">
            <v>5</v>
          </cell>
        </row>
        <row r="1631">
          <cell r="B1631">
            <v>45276</v>
          </cell>
          <cell r="E1631" t="str">
            <v>Шамоян А.Д.</v>
          </cell>
          <cell r="F1631" t="str">
            <v>МАЗ 265</v>
          </cell>
          <cell r="I1631">
            <v>13</v>
          </cell>
          <cell r="J1631">
            <v>9</v>
          </cell>
        </row>
        <row r="1632">
          <cell r="B1632">
            <v>45277</v>
          </cell>
          <cell r="E1632" t="str">
            <v>Шамоян А.Д.</v>
          </cell>
          <cell r="F1632" t="str">
            <v>МАЗ 265</v>
          </cell>
          <cell r="I1632">
            <v>13</v>
          </cell>
          <cell r="J1632">
            <v>4</v>
          </cell>
        </row>
        <row r="1633">
          <cell r="B1633">
            <v>45278</v>
          </cell>
          <cell r="E1633" t="str">
            <v>Шамоян А.Д.</v>
          </cell>
          <cell r="F1633" t="str">
            <v>МАЗ 265</v>
          </cell>
          <cell r="I1633">
            <v>13</v>
          </cell>
          <cell r="J1633">
            <v>5</v>
          </cell>
          <cell r="K1633">
            <v>5</v>
          </cell>
        </row>
        <row r="1634">
          <cell r="B1634">
            <v>45279</v>
          </cell>
          <cell r="E1634" t="str">
            <v>Шамоян А.Д.</v>
          </cell>
          <cell r="F1634" t="str">
            <v>МАЗ 265</v>
          </cell>
          <cell r="I1634">
            <v>13</v>
          </cell>
          <cell r="J1634">
            <v>4</v>
          </cell>
        </row>
        <row r="1635">
          <cell r="B1635">
            <v>45281</v>
          </cell>
          <cell r="E1635" t="str">
            <v>Шамоян А.Д.</v>
          </cell>
          <cell r="F1635" t="str">
            <v>МАЗ 265</v>
          </cell>
          <cell r="I1635">
            <v>13</v>
          </cell>
          <cell r="J1635">
            <v>8</v>
          </cell>
        </row>
        <row r="1636">
          <cell r="B1636">
            <v>45282</v>
          </cell>
          <cell r="E1636" t="str">
            <v>Шамоян А.Д.</v>
          </cell>
          <cell r="F1636" t="str">
            <v>МАЗ 265</v>
          </cell>
          <cell r="I1636">
            <v>13</v>
          </cell>
          <cell r="J1636">
            <v>6</v>
          </cell>
        </row>
        <row r="1637">
          <cell r="B1637">
            <v>45283</v>
          </cell>
          <cell r="E1637" t="str">
            <v>Шамоян А.Д.</v>
          </cell>
          <cell r="F1637" t="str">
            <v>МАЗ 265</v>
          </cell>
          <cell r="I1637">
            <v>13</v>
          </cell>
          <cell r="J1637">
            <v>2</v>
          </cell>
        </row>
        <row r="1638">
          <cell r="B1638">
            <v>45285</v>
          </cell>
          <cell r="E1638" t="str">
            <v>Шамоян А.Д.</v>
          </cell>
          <cell r="F1638" t="str">
            <v>МАЗ 265</v>
          </cell>
          <cell r="I1638">
            <v>13</v>
          </cell>
          <cell r="J1638">
            <v>9</v>
          </cell>
          <cell r="L1638">
            <v>1</v>
          </cell>
        </row>
        <row r="1639">
          <cell r="B1639">
            <v>45286</v>
          </cell>
          <cell r="E1639" t="str">
            <v>Шамоян А.Д.</v>
          </cell>
          <cell r="F1639" t="str">
            <v>МАЗ 265</v>
          </cell>
          <cell r="I1639">
            <v>13</v>
          </cell>
          <cell r="J1639">
            <v>8</v>
          </cell>
        </row>
        <row r="1640">
          <cell r="B1640">
            <v>45287</v>
          </cell>
          <cell r="E1640" t="str">
            <v>Шамоян А.Д.</v>
          </cell>
          <cell r="F1640" t="str">
            <v>МАЗ 265</v>
          </cell>
          <cell r="I1640">
            <v>13</v>
          </cell>
          <cell r="J1640">
            <v>3</v>
          </cell>
        </row>
        <row r="1641">
          <cell r="B1641">
            <v>45283</v>
          </cell>
          <cell r="E1641" t="str">
            <v>Самойленко В.М.</v>
          </cell>
          <cell r="F1641" t="str">
            <v>МАЗ 264</v>
          </cell>
          <cell r="I1641">
            <v>12</v>
          </cell>
          <cell r="J1641">
            <v>2</v>
          </cell>
        </row>
        <row r="1642">
          <cell r="B1642">
            <v>45285</v>
          </cell>
          <cell r="E1642" t="str">
            <v>Самойленко В.М.</v>
          </cell>
          <cell r="F1642" t="str">
            <v>МАЗ 264</v>
          </cell>
          <cell r="I1642">
            <v>12</v>
          </cell>
          <cell r="J1642">
            <v>9</v>
          </cell>
          <cell r="L1642">
            <v>1</v>
          </cell>
        </row>
        <row r="1643">
          <cell r="B1643">
            <v>45286</v>
          </cell>
          <cell r="E1643" t="str">
            <v>Самойленко В.М.</v>
          </cell>
          <cell r="F1643" t="str">
            <v>МАЗ 264</v>
          </cell>
          <cell r="I1643">
            <v>12</v>
          </cell>
          <cell r="J1643">
            <v>9</v>
          </cell>
          <cell r="L1643">
            <v>1</v>
          </cell>
        </row>
        <row r="1644">
          <cell r="B1644">
            <v>45287</v>
          </cell>
          <cell r="E1644" t="str">
            <v>Самойленко В.М.</v>
          </cell>
          <cell r="F1644" t="str">
            <v>МАЗ 264</v>
          </cell>
          <cell r="I1644">
            <v>12</v>
          </cell>
          <cell r="J1644">
            <v>3</v>
          </cell>
        </row>
        <row r="1645">
          <cell r="B1645">
            <v>45276</v>
          </cell>
          <cell r="E1645" t="str">
            <v>Бунтило В.І.</v>
          </cell>
          <cell r="F1645" t="str">
            <v>Самосвал камаз</v>
          </cell>
          <cell r="I1645">
            <v>16</v>
          </cell>
          <cell r="J1645">
            <v>12</v>
          </cell>
          <cell r="L1645">
            <v>1</v>
          </cell>
        </row>
        <row r="1646">
          <cell r="B1646">
            <v>45277</v>
          </cell>
          <cell r="E1646" t="str">
            <v>Бунтило В.І.</v>
          </cell>
          <cell r="F1646" t="str">
            <v>Самосвал камаз</v>
          </cell>
          <cell r="I1646">
            <v>16</v>
          </cell>
          <cell r="J1646">
            <v>10</v>
          </cell>
        </row>
        <row r="1647">
          <cell r="B1647">
            <v>45278</v>
          </cell>
          <cell r="E1647" t="str">
            <v>Бунтило В.І.</v>
          </cell>
          <cell r="F1647" t="str">
            <v>Самосвал камаз</v>
          </cell>
          <cell r="I1647">
            <v>16</v>
          </cell>
          <cell r="J1647">
            <v>10</v>
          </cell>
          <cell r="L1647">
            <v>2</v>
          </cell>
        </row>
        <row r="1648">
          <cell r="B1648">
            <v>45279</v>
          </cell>
          <cell r="E1648" t="str">
            <v>Бунтило В.І.</v>
          </cell>
          <cell r="F1648" t="str">
            <v>Самосвал камаз</v>
          </cell>
          <cell r="I1648">
            <v>16</v>
          </cell>
          <cell r="J1648">
            <v>10</v>
          </cell>
          <cell r="K1648">
            <v>2</v>
          </cell>
        </row>
        <row r="1649">
          <cell r="B1649">
            <v>45280</v>
          </cell>
          <cell r="E1649" t="str">
            <v>Бунтило В.І.</v>
          </cell>
          <cell r="F1649" t="str">
            <v>Самосвал камаз</v>
          </cell>
          <cell r="I1649">
            <v>16</v>
          </cell>
          <cell r="J1649">
            <v>10</v>
          </cell>
        </row>
        <row r="1650">
          <cell r="B1650">
            <v>45281</v>
          </cell>
          <cell r="E1650" t="str">
            <v>Бунтило В.І.</v>
          </cell>
          <cell r="F1650" t="str">
            <v>Самосвал камаз</v>
          </cell>
          <cell r="I1650">
            <v>16</v>
          </cell>
          <cell r="J1650">
            <v>10</v>
          </cell>
          <cell r="K1650">
            <v>1</v>
          </cell>
          <cell r="L1650">
            <v>1</v>
          </cell>
        </row>
        <row r="1651">
          <cell r="B1651">
            <v>45282</v>
          </cell>
          <cell r="E1651" t="str">
            <v>Бунтило В.І.</v>
          </cell>
          <cell r="F1651" t="str">
            <v>Самосвал камаз</v>
          </cell>
          <cell r="I1651">
            <v>16</v>
          </cell>
          <cell r="J1651">
            <v>10</v>
          </cell>
        </row>
        <row r="1652">
          <cell r="B1652">
            <v>45283</v>
          </cell>
          <cell r="E1652" t="str">
            <v>Бунтило В.І.</v>
          </cell>
          <cell r="F1652" t="str">
            <v>Самосвал камаз</v>
          </cell>
          <cell r="I1652">
            <v>16</v>
          </cell>
          <cell r="J1652">
            <v>10</v>
          </cell>
          <cell r="K1652">
            <v>1</v>
          </cell>
        </row>
        <row r="1653">
          <cell r="B1653">
            <v>45295</v>
          </cell>
          <cell r="E1653" t="str">
            <v>Павленко П.М.</v>
          </cell>
          <cell r="F1653" t="str">
            <v>Экскаватор JCB 2007</v>
          </cell>
          <cell r="I1653">
            <v>8</v>
          </cell>
          <cell r="J1653">
            <v>8</v>
          </cell>
        </row>
        <row r="1654">
          <cell r="B1654">
            <v>45297</v>
          </cell>
          <cell r="E1654" t="str">
            <v>Павленко П.М.</v>
          </cell>
          <cell r="F1654" t="str">
            <v>Экскаватор JCB 2007</v>
          </cell>
          <cell r="I1654">
            <v>8</v>
          </cell>
          <cell r="J1654">
            <v>8</v>
          </cell>
        </row>
        <row r="1655">
          <cell r="B1655">
            <v>45299</v>
          </cell>
          <cell r="E1655" t="str">
            <v>Карбунар Я.Д.</v>
          </cell>
          <cell r="F1655" t="str">
            <v>Экскаватор JCB 2007</v>
          </cell>
          <cell r="I1655">
            <v>8</v>
          </cell>
          <cell r="J1655">
            <v>10</v>
          </cell>
          <cell r="K1655">
            <v>1</v>
          </cell>
          <cell r="L1655">
            <v>1</v>
          </cell>
        </row>
        <row r="1656">
          <cell r="B1656">
            <v>45300</v>
          </cell>
          <cell r="E1656" t="str">
            <v>Карбунар Я.Д.</v>
          </cell>
          <cell r="F1656" t="str">
            <v>Экскаватор JCB 2007</v>
          </cell>
          <cell r="I1656">
            <v>8</v>
          </cell>
          <cell r="J1656">
            <v>10</v>
          </cell>
          <cell r="K1656">
            <v>1</v>
          </cell>
        </row>
        <row r="1657">
          <cell r="B1657">
            <v>45301</v>
          </cell>
          <cell r="E1657" t="str">
            <v>Карбунар Я.Д.</v>
          </cell>
          <cell r="F1657" t="str">
            <v>Экскаватор JCB 2007</v>
          </cell>
          <cell r="I1657">
            <v>8</v>
          </cell>
          <cell r="J1657">
            <v>10</v>
          </cell>
          <cell r="K1657">
            <v>2</v>
          </cell>
        </row>
        <row r="1658">
          <cell r="B1658">
            <v>45302</v>
          </cell>
          <cell r="E1658" t="str">
            <v>Карбунар Я.Д.</v>
          </cell>
          <cell r="F1658" t="str">
            <v>Экскаватор JCB 2007</v>
          </cell>
          <cell r="I1658">
            <v>8</v>
          </cell>
          <cell r="J1658">
            <v>10</v>
          </cell>
          <cell r="K1658">
            <v>1</v>
          </cell>
          <cell r="L1658">
            <v>1</v>
          </cell>
        </row>
        <row r="1659">
          <cell r="B1659">
            <v>45303</v>
          </cell>
          <cell r="E1659" t="str">
            <v>Карбунар Я.Д.</v>
          </cell>
          <cell r="F1659" t="str">
            <v>Экскаватор JCB 2007</v>
          </cell>
          <cell r="I1659">
            <v>8</v>
          </cell>
          <cell r="J1659">
            <v>10</v>
          </cell>
          <cell r="K1659">
            <v>1</v>
          </cell>
        </row>
        <row r="1660">
          <cell r="B1660">
            <v>45304</v>
          </cell>
          <cell r="E1660" t="str">
            <v>Карбунар Я.Д.</v>
          </cell>
          <cell r="F1660" t="str">
            <v>Экскаватор JCB 2007</v>
          </cell>
          <cell r="I1660">
            <v>8</v>
          </cell>
          <cell r="J1660">
            <v>8</v>
          </cell>
        </row>
        <row r="1661">
          <cell r="B1661">
            <v>45306</v>
          </cell>
          <cell r="E1661" t="str">
            <v>Карбунар Я.Д.</v>
          </cell>
          <cell r="F1661" t="str">
            <v>Экскаватор JCB 2007</v>
          </cell>
          <cell r="I1661">
            <v>8</v>
          </cell>
          <cell r="J1661">
            <v>8</v>
          </cell>
        </row>
        <row r="1662">
          <cell r="B1662">
            <v>45307</v>
          </cell>
          <cell r="E1662" t="str">
            <v>Карбунар Я.Д.</v>
          </cell>
          <cell r="F1662" t="str">
            <v>Экскаватор JCB 2007</v>
          </cell>
          <cell r="I1662">
            <v>8</v>
          </cell>
          <cell r="J1662">
            <v>8</v>
          </cell>
        </row>
        <row r="1663">
          <cell r="B1663">
            <v>45308</v>
          </cell>
          <cell r="E1663" t="str">
            <v>Карбунар Я.Д.</v>
          </cell>
          <cell r="F1663" t="str">
            <v>Экскаватор JCB 2007</v>
          </cell>
          <cell r="I1663">
            <v>8</v>
          </cell>
          <cell r="J1663">
            <v>9</v>
          </cell>
          <cell r="L1663">
            <v>1</v>
          </cell>
        </row>
        <row r="1664">
          <cell r="B1664">
            <v>45309</v>
          </cell>
          <cell r="E1664" t="str">
            <v>Карбунар Я.Д.</v>
          </cell>
          <cell r="F1664" t="str">
            <v>Экскаватор JCB 2007</v>
          </cell>
          <cell r="I1664">
            <v>8</v>
          </cell>
          <cell r="J1664">
            <v>12</v>
          </cell>
        </row>
        <row r="1665">
          <cell r="B1665">
            <v>45310</v>
          </cell>
          <cell r="E1665" t="str">
            <v>Карбунар Я.Д.</v>
          </cell>
          <cell r="F1665" t="str">
            <v>Экскаватор JCB 2007</v>
          </cell>
          <cell r="I1665">
            <v>8</v>
          </cell>
          <cell r="J1665">
            <v>12</v>
          </cell>
        </row>
        <row r="1666">
          <cell r="B1666">
            <v>45311</v>
          </cell>
          <cell r="E1666" t="str">
            <v>Карбунар Я.Д.</v>
          </cell>
          <cell r="F1666" t="str">
            <v>Экскаватор JCB 2007</v>
          </cell>
          <cell r="I1666">
            <v>8</v>
          </cell>
          <cell r="J1666">
            <v>9</v>
          </cell>
          <cell r="L1666">
            <v>1</v>
          </cell>
        </row>
        <row r="1667">
          <cell r="B1667">
            <v>45312</v>
          </cell>
          <cell r="E1667" t="str">
            <v>Карбунар Я.Д.</v>
          </cell>
          <cell r="F1667" t="str">
            <v>Экскаватор JCB 2007</v>
          </cell>
          <cell r="I1667">
            <v>8</v>
          </cell>
          <cell r="J1667">
            <v>8</v>
          </cell>
        </row>
        <row r="1668">
          <cell r="B1668">
            <v>45313</v>
          </cell>
          <cell r="E1668" t="str">
            <v>Карбунар Я.Д.</v>
          </cell>
          <cell r="F1668" t="str">
            <v>Экскаватор JCB 2007</v>
          </cell>
          <cell r="I1668">
            <v>8</v>
          </cell>
          <cell r="J1668">
            <v>9</v>
          </cell>
        </row>
        <row r="1669">
          <cell r="B1669">
            <v>45314</v>
          </cell>
          <cell r="E1669" t="str">
            <v>Карбунар Я.Д.</v>
          </cell>
          <cell r="F1669" t="str">
            <v>Экскаватор JCB 2007</v>
          </cell>
          <cell r="I1669">
            <v>8</v>
          </cell>
          <cell r="J1669">
            <v>8</v>
          </cell>
        </row>
        <row r="1670">
          <cell r="B1670">
            <v>45315</v>
          </cell>
          <cell r="E1670" t="str">
            <v>Карбунар Я.Д.</v>
          </cell>
          <cell r="F1670" t="str">
            <v>Экскаватор JCB 2007</v>
          </cell>
          <cell r="I1670">
            <v>8</v>
          </cell>
          <cell r="J1670">
            <v>9</v>
          </cell>
          <cell r="L1670">
            <v>1</v>
          </cell>
        </row>
        <row r="1671">
          <cell r="B1671">
            <v>45316</v>
          </cell>
          <cell r="E1671" t="str">
            <v>Карбунар Я.Д.</v>
          </cell>
          <cell r="F1671" t="str">
            <v>Экскаватор JCB 2007</v>
          </cell>
          <cell r="I1671">
            <v>8</v>
          </cell>
          <cell r="J1671">
            <v>8</v>
          </cell>
        </row>
        <row r="1672">
          <cell r="B1672">
            <v>45317</v>
          </cell>
          <cell r="E1672" t="str">
            <v>Карбунар Я.Д.</v>
          </cell>
          <cell r="F1672" t="str">
            <v>Экскаватор JCB 2007</v>
          </cell>
          <cell r="I1672">
            <v>8</v>
          </cell>
          <cell r="J1672">
            <v>8</v>
          </cell>
        </row>
        <row r="1673">
          <cell r="B1673">
            <v>45318</v>
          </cell>
          <cell r="E1673" t="str">
            <v>Карбунар Я.Д.</v>
          </cell>
          <cell r="F1673" t="str">
            <v>Экскаватор JCB 2007</v>
          </cell>
          <cell r="I1673">
            <v>8</v>
          </cell>
          <cell r="J1673">
            <v>8</v>
          </cell>
        </row>
        <row r="1674">
          <cell r="B1674">
            <v>45320</v>
          </cell>
          <cell r="E1674" t="str">
            <v>Карбунар Я.Д.</v>
          </cell>
          <cell r="F1674" t="str">
            <v>Экскаватор JCB 2007</v>
          </cell>
          <cell r="I1674">
            <v>8</v>
          </cell>
          <cell r="J1674">
            <v>8</v>
          </cell>
        </row>
        <row r="1675">
          <cell r="B1675">
            <v>45321</v>
          </cell>
          <cell r="E1675" t="str">
            <v>Карбунар Я.Д.</v>
          </cell>
          <cell r="F1675" t="str">
            <v>Экскаватор JCB 2007</v>
          </cell>
          <cell r="I1675">
            <v>8</v>
          </cell>
          <cell r="J1675">
            <v>9</v>
          </cell>
          <cell r="L1675">
            <v>1</v>
          </cell>
        </row>
        <row r="1676">
          <cell r="B1676">
            <v>45322</v>
          </cell>
          <cell r="E1676" t="str">
            <v>Карбунар Я.Д.</v>
          </cell>
          <cell r="F1676" t="str">
            <v>Экскаватор JCB 2007</v>
          </cell>
          <cell r="I1676">
            <v>8</v>
          </cell>
          <cell r="J1676">
            <v>8</v>
          </cell>
          <cell r="K1676">
            <v>8</v>
          </cell>
        </row>
        <row r="1677">
          <cell r="B1677">
            <v>45299</v>
          </cell>
          <cell r="E1677" t="str">
            <v>Ковальчук В.В.</v>
          </cell>
          <cell r="F1677" t="str">
            <v>Экскаватор  JCB 3CX 2008</v>
          </cell>
          <cell r="I1677">
            <v>9</v>
          </cell>
          <cell r="J1677">
            <v>8</v>
          </cell>
          <cell r="K1677">
            <v>8</v>
          </cell>
        </row>
        <row r="1678">
          <cell r="B1678">
            <v>45300</v>
          </cell>
          <cell r="E1678" t="str">
            <v>Ковальчук В.В.</v>
          </cell>
          <cell r="F1678" t="str">
            <v>Экскаватор  JCB 3CX 2008</v>
          </cell>
          <cell r="I1678">
            <v>9</v>
          </cell>
          <cell r="J1678">
            <v>14</v>
          </cell>
        </row>
        <row r="1679">
          <cell r="B1679">
            <v>45301</v>
          </cell>
          <cell r="E1679" t="str">
            <v>Ковальчук В.В.</v>
          </cell>
          <cell r="F1679" t="str">
            <v>Экскаватор  JCB 3CX 2008</v>
          </cell>
          <cell r="I1679">
            <v>9</v>
          </cell>
          <cell r="J1679">
            <v>9</v>
          </cell>
        </row>
        <row r="1680">
          <cell r="B1680">
            <v>45302</v>
          </cell>
          <cell r="E1680" t="str">
            <v>Ковальчук В.В.</v>
          </cell>
          <cell r="F1680" t="str">
            <v>Экскаватор  JCB 3CX 2008</v>
          </cell>
          <cell r="I1680">
            <v>9</v>
          </cell>
          <cell r="J1680">
            <v>12</v>
          </cell>
          <cell r="L1680">
            <v>1</v>
          </cell>
        </row>
        <row r="1681">
          <cell r="B1681">
            <v>45303</v>
          </cell>
          <cell r="E1681" t="str">
            <v>Ковальчук В.В.</v>
          </cell>
          <cell r="F1681" t="str">
            <v>Экскаватор  JCB 3CX 2008</v>
          </cell>
          <cell r="I1681">
            <v>9</v>
          </cell>
          <cell r="J1681">
            <v>8</v>
          </cell>
        </row>
        <row r="1682">
          <cell r="B1682">
            <v>45304</v>
          </cell>
          <cell r="E1682" t="str">
            <v>Ковальчук В.В.</v>
          </cell>
          <cell r="F1682" t="str">
            <v>Экскаватор  JCB 3CX 2008</v>
          </cell>
          <cell r="I1682">
            <v>9</v>
          </cell>
          <cell r="J1682">
            <v>9</v>
          </cell>
          <cell r="L1682">
            <v>1</v>
          </cell>
        </row>
        <row r="1683">
          <cell r="B1683">
            <v>45305</v>
          </cell>
          <cell r="E1683" t="str">
            <v>Ковальчук В.В.</v>
          </cell>
          <cell r="F1683" t="str">
            <v>Экскаватор  JCB 3CX 2008</v>
          </cell>
          <cell r="I1683">
            <v>9</v>
          </cell>
          <cell r="J1683">
            <v>8</v>
          </cell>
        </row>
        <row r="1684">
          <cell r="B1684">
            <v>45306</v>
          </cell>
          <cell r="E1684" t="str">
            <v>Ковальчук В.В.</v>
          </cell>
          <cell r="F1684" t="str">
            <v>Экскаватор  JCB 3CX 2008</v>
          </cell>
          <cell r="I1684">
            <v>9</v>
          </cell>
          <cell r="J1684">
            <v>9</v>
          </cell>
          <cell r="L1684">
            <v>1</v>
          </cell>
        </row>
        <row r="1685">
          <cell r="B1685">
            <v>45307</v>
          </cell>
          <cell r="E1685" t="str">
            <v>Ковальчук В.В.</v>
          </cell>
          <cell r="F1685" t="str">
            <v>Экскаватор  JCB 3CX 2008</v>
          </cell>
          <cell r="I1685">
            <v>9</v>
          </cell>
          <cell r="J1685">
            <v>8</v>
          </cell>
        </row>
        <row r="1686">
          <cell r="B1686">
            <v>45308</v>
          </cell>
          <cell r="E1686" t="str">
            <v>Ковальчук В.В.</v>
          </cell>
          <cell r="F1686" t="str">
            <v>Экскаватор  JCB 3CX 2008</v>
          </cell>
          <cell r="I1686">
            <v>9</v>
          </cell>
          <cell r="J1686">
            <v>10</v>
          </cell>
          <cell r="L1686">
            <v>1</v>
          </cell>
        </row>
        <row r="1687">
          <cell r="B1687">
            <v>45309</v>
          </cell>
          <cell r="E1687" t="str">
            <v>Ковальчук В.В.</v>
          </cell>
          <cell r="F1687" t="str">
            <v>Экскаватор  JCB 3CX 2008</v>
          </cell>
          <cell r="I1687">
            <v>9</v>
          </cell>
          <cell r="J1687">
            <v>9</v>
          </cell>
        </row>
        <row r="1688">
          <cell r="B1688">
            <v>45310</v>
          </cell>
          <cell r="E1688" t="str">
            <v>Ковальчук В.В.</v>
          </cell>
          <cell r="F1688" t="str">
            <v>Экскаватор  JCB 3CX 2008</v>
          </cell>
          <cell r="I1688">
            <v>9</v>
          </cell>
          <cell r="J1688">
            <v>8</v>
          </cell>
        </row>
        <row r="1689">
          <cell r="B1689">
            <v>45313</v>
          </cell>
          <cell r="E1689" t="str">
            <v>Ковальчук В.В.</v>
          </cell>
          <cell r="F1689" t="str">
            <v>Экскаватор  JCB 3CX 2008</v>
          </cell>
          <cell r="I1689">
            <v>9</v>
          </cell>
          <cell r="J1689">
            <v>8</v>
          </cell>
        </row>
        <row r="1690">
          <cell r="B1690">
            <v>45314</v>
          </cell>
          <cell r="E1690" t="str">
            <v>Ковальчук В.В.</v>
          </cell>
          <cell r="F1690" t="str">
            <v>Экскаватор  JCB 3CX 2008</v>
          </cell>
          <cell r="I1690">
            <v>9</v>
          </cell>
          <cell r="J1690">
            <v>8</v>
          </cell>
        </row>
        <row r="1691">
          <cell r="B1691">
            <v>45315</v>
          </cell>
          <cell r="E1691" t="str">
            <v>Ковальчук В.В.</v>
          </cell>
          <cell r="F1691" t="str">
            <v>Экскаватор  JCB 3CX 2008</v>
          </cell>
          <cell r="I1691">
            <v>9</v>
          </cell>
          <cell r="J1691">
            <v>10</v>
          </cell>
          <cell r="L1691">
            <v>1</v>
          </cell>
        </row>
        <row r="1692">
          <cell r="B1692">
            <v>45316</v>
          </cell>
          <cell r="E1692" t="str">
            <v>Ковальчук В.В.</v>
          </cell>
          <cell r="F1692" t="str">
            <v>Экскаватор  JCB 3CX 2008</v>
          </cell>
          <cell r="I1692">
            <v>9</v>
          </cell>
          <cell r="J1692">
            <v>9</v>
          </cell>
        </row>
        <row r="1693">
          <cell r="B1693">
            <v>45317</v>
          </cell>
          <cell r="E1693" t="str">
            <v>Ковальчук В.В.</v>
          </cell>
          <cell r="F1693" t="str">
            <v>Экскаватор  JCB 3CX 2008</v>
          </cell>
          <cell r="I1693">
            <v>9</v>
          </cell>
          <cell r="J1693">
            <v>16</v>
          </cell>
          <cell r="L1693">
            <v>1</v>
          </cell>
        </row>
        <row r="1694">
          <cell r="B1694">
            <v>45318</v>
          </cell>
          <cell r="E1694" t="str">
            <v>Ковальчук В.В.</v>
          </cell>
          <cell r="F1694" t="str">
            <v>Экскаватор  JCB 3CX 2008</v>
          </cell>
          <cell r="I1694">
            <v>9</v>
          </cell>
          <cell r="J1694">
            <v>10</v>
          </cell>
        </row>
        <row r="1695">
          <cell r="B1695">
            <v>45319</v>
          </cell>
          <cell r="E1695" t="str">
            <v>Ковальчук В.В.</v>
          </cell>
          <cell r="F1695" t="str">
            <v>Экскаватор  JCB 3CX 2008</v>
          </cell>
          <cell r="I1695">
            <v>9</v>
          </cell>
          <cell r="J1695">
            <v>8</v>
          </cell>
        </row>
        <row r="1696">
          <cell r="B1696">
            <v>45320</v>
          </cell>
          <cell r="E1696" t="str">
            <v>Ковальчук В.В.</v>
          </cell>
          <cell r="F1696" t="str">
            <v>Экскаватор  JCB 3CX 2008</v>
          </cell>
          <cell r="I1696">
            <v>9</v>
          </cell>
          <cell r="J1696">
            <v>8</v>
          </cell>
        </row>
        <row r="1697">
          <cell r="B1697">
            <v>45321</v>
          </cell>
          <cell r="E1697" t="str">
            <v>Ковальчук В.В.</v>
          </cell>
          <cell r="F1697" t="str">
            <v>Экскаватор  JCB 3CX 2008</v>
          </cell>
          <cell r="I1697">
            <v>9</v>
          </cell>
          <cell r="J1697">
            <v>10</v>
          </cell>
          <cell r="L1697">
            <v>1</v>
          </cell>
        </row>
        <row r="1698">
          <cell r="B1698">
            <v>45322</v>
          </cell>
          <cell r="E1698" t="str">
            <v>Ковальчук В.В.</v>
          </cell>
          <cell r="F1698" t="str">
            <v>Экскаватор  JCB 3CX 2008</v>
          </cell>
          <cell r="I1698">
            <v>9</v>
          </cell>
          <cell r="J1698">
            <v>17</v>
          </cell>
          <cell r="K1698">
            <v>8</v>
          </cell>
        </row>
        <row r="1699">
          <cell r="B1699">
            <v>45301</v>
          </cell>
          <cell r="E1699" t="str">
            <v>Трубилко В.Т.</v>
          </cell>
          <cell r="F1699" t="str">
            <v>Экскаватор JCB 2013</v>
          </cell>
          <cell r="I1699">
            <v>10</v>
          </cell>
          <cell r="J1699">
            <v>8</v>
          </cell>
        </row>
        <row r="1700">
          <cell r="B1700">
            <v>45302</v>
          </cell>
          <cell r="E1700" t="str">
            <v>Трубилко В.Т.</v>
          </cell>
          <cell r="F1700" t="str">
            <v>Экскаватор JCB 2013</v>
          </cell>
          <cell r="I1700">
            <v>10</v>
          </cell>
          <cell r="J1700">
            <v>4</v>
          </cell>
        </row>
        <row r="1701">
          <cell r="B1701">
            <v>45303</v>
          </cell>
          <cell r="E1701" t="str">
            <v>Трубилко В.Т.</v>
          </cell>
          <cell r="F1701" t="str">
            <v>Экскаватор JCB 2013</v>
          </cell>
          <cell r="I1701">
            <v>10</v>
          </cell>
          <cell r="J1701">
            <v>8</v>
          </cell>
        </row>
        <row r="1702">
          <cell r="B1702">
            <v>45304</v>
          </cell>
          <cell r="E1702" t="str">
            <v>Трубилко В.Т.</v>
          </cell>
          <cell r="F1702" t="str">
            <v>Экскаватор JCB 2013</v>
          </cell>
          <cell r="I1702">
            <v>10</v>
          </cell>
          <cell r="J1702">
            <v>8</v>
          </cell>
        </row>
        <row r="1703">
          <cell r="B1703">
            <v>45306</v>
          </cell>
          <cell r="E1703" t="str">
            <v>Трубилко В.Т.</v>
          </cell>
          <cell r="F1703" t="str">
            <v>Экскаватор JCB 2013</v>
          </cell>
          <cell r="I1703">
            <v>10</v>
          </cell>
          <cell r="J1703">
            <v>8</v>
          </cell>
        </row>
        <row r="1704">
          <cell r="B1704">
            <v>45307</v>
          </cell>
          <cell r="E1704" t="str">
            <v>Трубилко В.Т.</v>
          </cell>
          <cell r="F1704" t="str">
            <v>Экскаватор JCB 2013</v>
          </cell>
          <cell r="I1704">
            <v>10</v>
          </cell>
          <cell r="J1704">
            <v>8</v>
          </cell>
        </row>
        <row r="1705">
          <cell r="B1705">
            <v>45308</v>
          </cell>
          <cell r="E1705" t="str">
            <v>Трубилко В.Т.</v>
          </cell>
          <cell r="F1705" t="str">
            <v>Экскаватор JCB 2013</v>
          </cell>
          <cell r="I1705">
            <v>10</v>
          </cell>
          <cell r="J1705">
            <v>8</v>
          </cell>
        </row>
        <row r="1706">
          <cell r="B1706">
            <v>45309</v>
          </cell>
          <cell r="E1706" t="str">
            <v>Трубилко В.Т.</v>
          </cell>
          <cell r="F1706" t="str">
            <v>Экскаватор JCB 2013</v>
          </cell>
          <cell r="I1706">
            <v>10</v>
          </cell>
          <cell r="J1706">
            <v>8</v>
          </cell>
        </row>
        <row r="1707">
          <cell r="B1707">
            <v>45310</v>
          </cell>
          <cell r="E1707" t="str">
            <v>Трубилко В.Т.</v>
          </cell>
          <cell r="F1707" t="str">
            <v>Экскаватор JCB 2013</v>
          </cell>
          <cell r="I1707">
            <v>10</v>
          </cell>
          <cell r="J1707">
            <v>8</v>
          </cell>
        </row>
        <row r="1708">
          <cell r="B1708">
            <v>45311</v>
          </cell>
          <cell r="E1708" t="str">
            <v>Трубилко В.Т.</v>
          </cell>
          <cell r="F1708" t="str">
            <v>Экскаватор JCB 2013</v>
          </cell>
          <cell r="I1708">
            <v>10</v>
          </cell>
          <cell r="J1708">
            <v>8</v>
          </cell>
        </row>
        <row r="1709">
          <cell r="B1709">
            <v>45313</v>
          </cell>
          <cell r="E1709" t="str">
            <v>Трубилко В.Т.</v>
          </cell>
          <cell r="F1709" t="str">
            <v>Экскаватор JCB 2013</v>
          </cell>
          <cell r="I1709">
            <v>10</v>
          </cell>
          <cell r="J1709">
            <v>3</v>
          </cell>
        </row>
        <row r="1710">
          <cell r="B1710">
            <v>45314</v>
          </cell>
          <cell r="E1710" t="str">
            <v>Трубилко В.Т.</v>
          </cell>
          <cell r="F1710" t="str">
            <v>Экскаватор JCB 2013</v>
          </cell>
          <cell r="I1710">
            <v>10</v>
          </cell>
          <cell r="J1710">
            <v>8</v>
          </cell>
        </row>
        <row r="1711">
          <cell r="B1711">
            <v>45315</v>
          </cell>
          <cell r="E1711" t="str">
            <v>Трубилко В.Т.</v>
          </cell>
          <cell r="F1711" t="str">
            <v>Экскаватор JCB 2013</v>
          </cell>
          <cell r="I1711">
            <v>10</v>
          </cell>
          <cell r="J1711">
            <v>8</v>
          </cell>
        </row>
        <row r="1712">
          <cell r="B1712">
            <v>45316</v>
          </cell>
          <cell r="E1712" t="str">
            <v>Трубилко В.Т.</v>
          </cell>
          <cell r="F1712" t="str">
            <v>Экскаватор JCB 2013</v>
          </cell>
          <cell r="I1712">
            <v>10</v>
          </cell>
          <cell r="J1712">
            <v>8</v>
          </cell>
        </row>
        <row r="1713">
          <cell r="B1713">
            <v>45317</v>
          </cell>
          <cell r="E1713" t="str">
            <v>Трубилко В.Т.</v>
          </cell>
          <cell r="F1713" t="str">
            <v>Экскаватор JCB 2013</v>
          </cell>
          <cell r="I1713">
            <v>10</v>
          </cell>
          <cell r="J1713">
            <v>8</v>
          </cell>
        </row>
        <row r="1714">
          <cell r="B1714">
            <v>45318</v>
          </cell>
          <cell r="E1714" t="str">
            <v>Трубилко В.Т.</v>
          </cell>
          <cell r="F1714" t="str">
            <v>Экскаватор JCB 2013</v>
          </cell>
          <cell r="I1714">
            <v>10</v>
          </cell>
          <cell r="J1714">
            <v>8</v>
          </cell>
        </row>
        <row r="1715">
          <cell r="B1715">
            <v>45320</v>
          </cell>
          <cell r="E1715" t="str">
            <v>Трубилко В.Т.</v>
          </cell>
          <cell r="F1715" t="str">
            <v>Экскаватор JCB 2013</v>
          </cell>
          <cell r="I1715">
            <v>10</v>
          </cell>
          <cell r="J1715">
            <v>8</v>
          </cell>
        </row>
        <row r="1716">
          <cell r="B1716">
            <v>45321</v>
          </cell>
          <cell r="E1716" t="str">
            <v>Трубилко В.Т.</v>
          </cell>
          <cell r="F1716" t="str">
            <v>Экскаватор JCB 2013</v>
          </cell>
          <cell r="I1716">
            <v>10</v>
          </cell>
          <cell r="J1716">
            <v>8</v>
          </cell>
        </row>
        <row r="1717">
          <cell r="B1717">
            <v>45322</v>
          </cell>
          <cell r="E1717" t="str">
            <v>Трубилко В.Т.</v>
          </cell>
          <cell r="F1717" t="str">
            <v>Экскаватор JCB 2013</v>
          </cell>
          <cell r="I1717">
            <v>10</v>
          </cell>
          <cell r="J1717">
            <v>8</v>
          </cell>
        </row>
        <row r="1718">
          <cell r="B1718">
            <v>45320</v>
          </cell>
          <cell r="E1718" t="str">
            <v>Скоц С.І.</v>
          </cell>
          <cell r="F1718" t="str">
            <v>Телескоп №5</v>
          </cell>
          <cell r="I1718">
            <v>5</v>
          </cell>
          <cell r="J1718">
            <v>4</v>
          </cell>
        </row>
        <row r="1719">
          <cell r="B1719">
            <v>45303</v>
          </cell>
          <cell r="E1719" t="str">
            <v>Скоц С.І.</v>
          </cell>
          <cell r="F1719" t="str">
            <v>Экскаватор JCB 220</v>
          </cell>
          <cell r="I1719">
            <v>11</v>
          </cell>
          <cell r="J1719">
            <v>8</v>
          </cell>
          <cell r="K1719">
            <v>8</v>
          </cell>
        </row>
        <row r="1720">
          <cell r="B1720">
            <v>45315</v>
          </cell>
          <cell r="E1720" t="str">
            <v>Скоц С.І.</v>
          </cell>
          <cell r="F1720" t="str">
            <v>Экскаватор JCB 220</v>
          </cell>
          <cell r="I1720">
            <v>11</v>
          </cell>
          <cell r="J1720">
            <v>10</v>
          </cell>
          <cell r="L1720">
            <v>1</v>
          </cell>
        </row>
        <row r="1721">
          <cell r="B1721">
            <v>45316</v>
          </cell>
          <cell r="E1721" t="str">
            <v>Скоц С.І.</v>
          </cell>
          <cell r="F1721" t="str">
            <v>Экскаватор JCB 220</v>
          </cell>
          <cell r="I1721">
            <v>11</v>
          </cell>
          <cell r="J1721">
            <v>8</v>
          </cell>
          <cell r="K1721">
            <v>8</v>
          </cell>
        </row>
        <row r="1722">
          <cell r="B1722">
            <v>45317</v>
          </cell>
          <cell r="E1722" t="str">
            <v>Скоц С.І.</v>
          </cell>
          <cell r="F1722" t="str">
            <v>Экскаватор JCB 220</v>
          </cell>
          <cell r="I1722">
            <v>11</v>
          </cell>
          <cell r="J1722">
            <v>8</v>
          </cell>
          <cell r="K1722">
            <v>8</v>
          </cell>
        </row>
        <row r="1723">
          <cell r="B1723">
            <v>45320</v>
          </cell>
          <cell r="E1723" t="str">
            <v>Скоц С.І.</v>
          </cell>
          <cell r="F1723" t="str">
            <v>Экскаватор JCB 220</v>
          </cell>
          <cell r="I1723">
            <v>11</v>
          </cell>
          <cell r="J1723">
            <v>4</v>
          </cell>
          <cell r="K1723">
            <v>4</v>
          </cell>
        </row>
        <row r="1724">
          <cell r="B1724">
            <v>45321</v>
          </cell>
          <cell r="E1724" t="str">
            <v>Скоц С.І.</v>
          </cell>
          <cell r="F1724" t="str">
            <v>Экскаватор JCB 220</v>
          </cell>
          <cell r="I1724">
            <v>11</v>
          </cell>
          <cell r="J1724">
            <v>4</v>
          </cell>
          <cell r="K1724">
            <v>1</v>
          </cell>
        </row>
        <row r="1725">
          <cell r="B1725">
            <v>45294</v>
          </cell>
          <cell r="E1725" t="str">
            <v>Савранский І.В.</v>
          </cell>
          <cell r="F1725" t="str">
            <v>Телескоп №2</v>
          </cell>
          <cell r="I1725">
            <v>2</v>
          </cell>
          <cell r="J1725">
            <v>4</v>
          </cell>
          <cell r="K1725">
            <v>4</v>
          </cell>
        </row>
        <row r="1726">
          <cell r="B1726">
            <v>45295</v>
          </cell>
          <cell r="E1726" t="str">
            <v>Савранский І.В.</v>
          </cell>
          <cell r="F1726" t="str">
            <v>Телескоп №2</v>
          </cell>
          <cell r="I1726">
            <v>2</v>
          </cell>
          <cell r="J1726">
            <v>4</v>
          </cell>
          <cell r="K1726">
            <v>3</v>
          </cell>
          <cell r="L1726">
            <v>1</v>
          </cell>
        </row>
        <row r="1727">
          <cell r="B1727">
            <v>45296</v>
          </cell>
          <cell r="E1727" t="str">
            <v>Савранский І.В.</v>
          </cell>
          <cell r="F1727" t="str">
            <v>Телескоп №2</v>
          </cell>
          <cell r="I1727">
            <v>2</v>
          </cell>
          <cell r="J1727">
            <v>4</v>
          </cell>
          <cell r="K1727">
            <v>4</v>
          </cell>
        </row>
        <row r="1728">
          <cell r="B1728">
            <v>45300</v>
          </cell>
          <cell r="E1728" t="str">
            <v>Савранский І.В.</v>
          </cell>
          <cell r="F1728" t="str">
            <v>Телескоп №2</v>
          </cell>
          <cell r="I1728">
            <v>2</v>
          </cell>
          <cell r="J1728">
            <v>4</v>
          </cell>
        </row>
        <row r="1729">
          <cell r="B1729">
            <v>45301</v>
          </cell>
          <cell r="E1729" t="str">
            <v>Савранский І.В.</v>
          </cell>
          <cell r="F1729" t="str">
            <v>Телескоп №2</v>
          </cell>
          <cell r="I1729">
            <v>2</v>
          </cell>
          <cell r="J1729">
            <v>4</v>
          </cell>
        </row>
        <row r="1730">
          <cell r="B1730">
            <v>45307</v>
          </cell>
          <cell r="E1730" t="str">
            <v>Савранский І.В.</v>
          </cell>
          <cell r="F1730" t="str">
            <v>Телескоп №2</v>
          </cell>
          <cell r="I1730">
            <v>2</v>
          </cell>
          <cell r="J1730">
            <v>4</v>
          </cell>
        </row>
        <row r="1731">
          <cell r="B1731">
            <v>45310</v>
          </cell>
          <cell r="E1731" t="str">
            <v>Савранский І.В.</v>
          </cell>
          <cell r="F1731" t="str">
            <v>Телескоп №2</v>
          </cell>
          <cell r="I1731">
            <v>2</v>
          </cell>
          <cell r="J1731">
            <v>4</v>
          </cell>
        </row>
        <row r="1732">
          <cell r="B1732">
            <v>45313</v>
          </cell>
          <cell r="E1732" t="str">
            <v>Савранский І.В.</v>
          </cell>
          <cell r="F1732" t="str">
            <v>Телескоп №2</v>
          </cell>
          <cell r="I1732">
            <v>2</v>
          </cell>
          <cell r="J1732">
            <v>2</v>
          </cell>
          <cell r="K1732">
            <v>2</v>
          </cell>
        </row>
        <row r="1733">
          <cell r="B1733">
            <v>45314</v>
          </cell>
          <cell r="E1733" t="str">
            <v>Савранский І.В.</v>
          </cell>
          <cell r="F1733" t="str">
            <v>Телескоп №2</v>
          </cell>
          <cell r="I1733">
            <v>2</v>
          </cell>
          <cell r="J1733">
            <v>7</v>
          </cell>
          <cell r="K1733">
            <v>1</v>
          </cell>
        </row>
        <row r="1734">
          <cell r="B1734">
            <v>45315</v>
          </cell>
          <cell r="E1734" t="str">
            <v>Савранский І.В.</v>
          </cell>
          <cell r="F1734" t="str">
            <v>Телескоп №2</v>
          </cell>
          <cell r="I1734">
            <v>2</v>
          </cell>
          <cell r="J1734">
            <v>4</v>
          </cell>
        </row>
        <row r="1735">
          <cell r="B1735">
            <v>45317</v>
          </cell>
          <cell r="E1735" t="str">
            <v>Савранский І.В.</v>
          </cell>
          <cell r="F1735" t="str">
            <v>Телескоп №2</v>
          </cell>
          <cell r="I1735">
            <v>2</v>
          </cell>
          <cell r="J1735">
            <v>2</v>
          </cell>
          <cell r="L1735">
            <v>1</v>
          </cell>
        </row>
        <row r="1736">
          <cell r="B1736">
            <v>45318</v>
          </cell>
          <cell r="E1736" t="str">
            <v>Савранский І.В.</v>
          </cell>
          <cell r="F1736" t="str">
            <v>Телескоп №2</v>
          </cell>
          <cell r="I1736">
            <v>2</v>
          </cell>
          <cell r="J1736">
            <v>2</v>
          </cell>
        </row>
        <row r="1737">
          <cell r="B1737">
            <v>45321</v>
          </cell>
          <cell r="E1737" t="str">
            <v>Савранский І.В.</v>
          </cell>
          <cell r="F1737" t="str">
            <v>Телескоп №2</v>
          </cell>
          <cell r="I1737">
            <v>2</v>
          </cell>
          <cell r="J1737">
            <v>2</v>
          </cell>
        </row>
        <row r="1738">
          <cell r="B1738">
            <v>45297</v>
          </cell>
          <cell r="E1738" t="str">
            <v>Савранский І.В.</v>
          </cell>
          <cell r="F1738" t="str">
            <v>Телескоп №2</v>
          </cell>
          <cell r="I1738">
            <v>2</v>
          </cell>
          <cell r="J1738">
            <v>8</v>
          </cell>
        </row>
        <row r="1739">
          <cell r="B1739">
            <v>45299</v>
          </cell>
          <cell r="E1739" t="str">
            <v>Савранский І.В.</v>
          </cell>
          <cell r="F1739" t="str">
            <v>Телескоп №2</v>
          </cell>
          <cell r="I1739">
            <v>2</v>
          </cell>
          <cell r="J1739">
            <v>4</v>
          </cell>
        </row>
        <row r="1740">
          <cell r="B1740">
            <v>45300</v>
          </cell>
          <cell r="E1740" t="str">
            <v>Савранский І.В.</v>
          </cell>
          <cell r="F1740" t="str">
            <v>Телескоп №2</v>
          </cell>
          <cell r="I1740">
            <v>2</v>
          </cell>
          <cell r="J1740">
            <v>4</v>
          </cell>
        </row>
        <row r="1741">
          <cell r="B1741">
            <v>45301</v>
          </cell>
          <cell r="E1741" t="str">
            <v>Савранский І.В.</v>
          </cell>
          <cell r="F1741" t="str">
            <v>Телескоп №2</v>
          </cell>
          <cell r="I1741">
            <v>2</v>
          </cell>
          <cell r="J1741">
            <v>4</v>
          </cell>
        </row>
        <row r="1742">
          <cell r="B1742">
            <v>45302</v>
          </cell>
          <cell r="E1742" t="str">
            <v>Савранский І.В.</v>
          </cell>
          <cell r="F1742" t="str">
            <v>Телескоп №2</v>
          </cell>
          <cell r="I1742">
            <v>2</v>
          </cell>
          <cell r="J1742">
            <v>8</v>
          </cell>
        </row>
        <row r="1743">
          <cell r="B1743">
            <v>45303</v>
          </cell>
          <cell r="E1743" t="str">
            <v>Савранский І.В.</v>
          </cell>
          <cell r="F1743" t="str">
            <v>Телескоп №2</v>
          </cell>
          <cell r="I1743">
            <v>2</v>
          </cell>
          <cell r="J1743">
            <v>8</v>
          </cell>
        </row>
        <row r="1744">
          <cell r="B1744">
            <v>45308</v>
          </cell>
          <cell r="E1744" t="str">
            <v>Савранский І.В.</v>
          </cell>
          <cell r="F1744" t="str">
            <v>Телескоп №2</v>
          </cell>
          <cell r="I1744">
            <v>2</v>
          </cell>
          <cell r="J1744">
            <v>8</v>
          </cell>
        </row>
        <row r="1745">
          <cell r="B1745">
            <v>45309</v>
          </cell>
          <cell r="E1745" t="str">
            <v>Савранский І.В.</v>
          </cell>
          <cell r="F1745" t="str">
            <v>Телескоп №2</v>
          </cell>
          <cell r="I1745">
            <v>2</v>
          </cell>
          <cell r="J1745">
            <v>8</v>
          </cell>
        </row>
        <row r="1746">
          <cell r="B1746">
            <v>45310</v>
          </cell>
          <cell r="E1746" t="str">
            <v>Савранский І.В.</v>
          </cell>
          <cell r="F1746" t="str">
            <v>Телескоп №2</v>
          </cell>
          <cell r="I1746">
            <v>2</v>
          </cell>
          <cell r="J1746">
            <v>4</v>
          </cell>
        </row>
        <row r="1747">
          <cell r="B1747">
            <v>45311</v>
          </cell>
          <cell r="E1747" t="str">
            <v>Савранский І.В.</v>
          </cell>
          <cell r="F1747" t="str">
            <v>Телескоп №2</v>
          </cell>
          <cell r="I1747">
            <v>2</v>
          </cell>
          <cell r="J1747">
            <v>4</v>
          </cell>
        </row>
        <row r="1748">
          <cell r="B1748">
            <v>45312</v>
          </cell>
          <cell r="E1748" t="str">
            <v>Савранский І.В.</v>
          </cell>
          <cell r="F1748" t="str">
            <v>Телескоп №2</v>
          </cell>
          <cell r="I1748">
            <v>2</v>
          </cell>
          <cell r="J1748">
            <v>5</v>
          </cell>
        </row>
        <row r="1749">
          <cell r="B1749">
            <v>45313</v>
          </cell>
          <cell r="E1749" t="str">
            <v>Савранский І.В.</v>
          </cell>
          <cell r="F1749" t="str">
            <v>Телескоп №2</v>
          </cell>
          <cell r="I1749">
            <v>2</v>
          </cell>
          <cell r="J1749">
            <v>4</v>
          </cell>
          <cell r="L1749">
            <v>1</v>
          </cell>
        </row>
        <row r="1750">
          <cell r="B1750">
            <v>45315</v>
          </cell>
          <cell r="E1750" t="str">
            <v>Савранский І.В.</v>
          </cell>
          <cell r="F1750" t="str">
            <v>Телескоп №2</v>
          </cell>
          <cell r="I1750">
            <v>2</v>
          </cell>
          <cell r="J1750">
            <v>4</v>
          </cell>
        </row>
        <row r="1751">
          <cell r="B1751">
            <v>45316</v>
          </cell>
          <cell r="E1751" t="str">
            <v>Савранский І.В.</v>
          </cell>
          <cell r="F1751" t="str">
            <v>Телескоп №2</v>
          </cell>
          <cell r="I1751">
            <v>2</v>
          </cell>
          <cell r="J1751">
            <v>8</v>
          </cell>
        </row>
        <row r="1752">
          <cell r="B1752">
            <v>45318</v>
          </cell>
          <cell r="E1752" t="str">
            <v>Савранский І.В.</v>
          </cell>
          <cell r="F1752" t="str">
            <v>Телескоп №2</v>
          </cell>
          <cell r="I1752">
            <v>2</v>
          </cell>
          <cell r="J1752">
            <v>8</v>
          </cell>
        </row>
        <row r="1753">
          <cell r="B1753">
            <v>45320</v>
          </cell>
          <cell r="E1753" t="str">
            <v>Савранский І.В.</v>
          </cell>
          <cell r="F1753" t="str">
            <v>Телескоп №2</v>
          </cell>
          <cell r="I1753">
            <v>2</v>
          </cell>
          <cell r="J1753">
            <v>8</v>
          </cell>
        </row>
        <row r="1754">
          <cell r="B1754">
            <v>45321</v>
          </cell>
          <cell r="E1754" t="str">
            <v>Савранский І.В.</v>
          </cell>
          <cell r="F1754" t="str">
            <v>Телескоп №2</v>
          </cell>
          <cell r="I1754">
            <v>2</v>
          </cell>
          <cell r="J1754">
            <v>6</v>
          </cell>
        </row>
        <row r="1755">
          <cell r="B1755">
            <v>45322</v>
          </cell>
          <cell r="E1755" t="str">
            <v>Савранский І.В.</v>
          </cell>
          <cell r="F1755" t="str">
            <v>Телескоп №2</v>
          </cell>
          <cell r="I1755">
            <v>2</v>
          </cell>
          <cell r="J1755">
            <v>9</v>
          </cell>
          <cell r="L1755">
            <v>1</v>
          </cell>
        </row>
        <row r="1756">
          <cell r="B1756">
            <v>45300</v>
          </cell>
          <cell r="E1756" t="str">
            <v>Косік Ю.А.</v>
          </cell>
          <cell r="F1756" t="str">
            <v>Телескоп №4</v>
          </cell>
          <cell r="I1756">
            <v>4</v>
          </cell>
          <cell r="J1756">
            <v>7</v>
          </cell>
        </row>
        <row r="1757">
          <cell r="B1757">
            <v>45301</v>
          </cell>
          <cell r="E1757" t="str">
            <v>Косік Ю.А.</v>
          </cell>
          <cell r="F1757" t="str">
            <v>Телескоп №4</v>
          </cell>
          <cell r="I1757">
            <v>4</v>
          </cell>
          <cell r="J1757">
            <v>8</v>
          </cell>
        </row>
        <row r="1758">
          <cell r="B1758">
            <v>45302</v>
          </cell>
          <cell r="E1758" t="str">
            <v>Косік Ю.А.</v>
          </cell>
          <cell r="F1758" t="str">
            <v>Телескоп №4</v>
          </cell>
          <cell r="I1758">
            <v>4</v>
          </cell>
          <cell r="J1758">
            <v>8</v>
          </cell>
        </row>
        <row r="1759">
          <cell r="B1759">
            <v>45303</v>
          </cell>
          <cell r="E1759" t="str">
            <v>Косік Ю.А.</v>
          </cell>
          <cell r="F1759" t="str">
            <v>Телескоп №4</v>
          </cell>
          <cell r="I1759">
            <v>4</v>
          </cell>
          <cell r="J1759">
            <v>8</v>
          </cell>
        </row>
        <row r="1760">
          <cell r="B1760">
            <v>45304</v>
          </cell>
          <cell r="E1760" t="str">
            <v>Косік Ю.А.</v>
          </cell>
          <cell r="F1760" t="str">
            <v>Телескоп №4</v>
          </cell>
          <cell r="I1760">
            <v>4</v>
          </cell>
          <cell r="J1760">
            <v>7</v>
          </cell>
        </row>
        <row r="1761">
          <cell r="B1761">
            <v>45306</v>
          </cell>
          <cell r="E1761" t="str">
            <v>Косік Ю.А.</v>
          </cell>
          <cell r="F1761" t="str">
            <v>Телескоп №4</v>
          </cell>
          <cell r="I1761">
            <v>4</v>
          </cell>
          <cell r="J1761">
            <v>8</v>
          </cell>
        </row>
        <row r="1762">
          <cell r="B1762">
            <v>45307</v>
          </cell>
          <cell r="E1762" t="str">
            <v>Косік Ю.А.</v>
          </cell>
          <cell r="F1762" t="str">
            <v>Телескоп №4</v>
          </cell>
          <cell r="I1762">
            <v>4</v>
          </cell>
          <cell r="J1762">
            <v>8</v>
          </cell>
        </row>
        <row r="1763">
          <cell r="B1763">
            <v>45308</v>
          </cell>
          <cell r="E1763" t="str">
            <v>Косік Ю.А.</v>
          </cell>
          <cell r="F1763" t="str">
            <v>Телескоп №4</v>
          </cell>
          <cell r="I1763">
            <v>4</v>
          </cell>
          <cell r="J1763">
            <v>8</v>
          </cell>
        </row>
        <row r="1764">
          <cell r="B1764">
            <v>45309</v>
          </cell>
          <cell r="E1764" t="str">
            <v>Косік Ю.А.</v>
          </cell>
          <cell r="F1764" t="str">
            <v>Телескоп №4</v>
          </cell>
          <cell r="I1764">
            <v>4</v>
          </cell>
          <cell r="J1764">
            <v>8</v>
          </cell>
        </row>
        <row r="1765">
          <cell r="B1765">
            <v>45310</v>
          </cell>
          <cell r="E1765" t="str">
            <v>Косік Ю.А.</v>
          </cell>
          <cell r="F1765" t="str">
            <v>Телескоп №4</v>
          </cell>
          <cell r="I1765">
            <v>4</v>
          </cell>
          <cell r="J1765">
            <v>8</v>
          </cell>
        </row>
        <row r="1766">
          <cell r="B1766">
            <v>45311</v>
          </cell>
          <cell r="E1766" t="str">
            <v>Косік Ю.А.</v>
          </cell>
          <cell r="F1766" t="str">
            <v>Телескоп №4</v>
          </cell>
          <cell r="I1766">
            <v>4</v>
          </cell>
          <cell r="J1766">
            <v>7</v>
          </cell>
        </row>
        <row r="1767">
          <cell r="B1767">
            <v>45313</v>
          </cell>
          <cell r="E1767" t="str">
            <v>Косік Ю.А.</v>
          </cell>
          <cell r="F1767" t="str">
            <v>Телескоп №4</v>
          </cell>
          <cell r="I1767">
            <v>4</v>
          </cell>
          <cell r="J1767">
            <v>8</v>
          </cell>
        </row>
        <row r="1768">
          <cell r="B1768">
            <v>45314</v>
          </cell>
          <cell r="E1768" t="str">
            <v>Косік Ю.А.</v>
          </cell>
          <cell r="F1768" t="str">
            <v>Телескоп №4</v>
          </cell>
          <cell r="I1768">
            <v>4</v>
          </cell>
          <cell r="J1768">
            <v>8</v>
          </cell>
        </row>
        <row r="1769">
          <cell r="B1769">
            <v>45315</v>
          </cell>
          <cell r="E1769" t="str">
            <v>Косік Ю.А.</v>
          </cell>
          <cell r="F1769" t="str">
            <v>Телескоп №4</v>
          </cell>
          <cell r="I1769">
            <v>4</v>
          </cell>
          <cell r="J1769">
            <v>8</v>
          </cell>
        </row>
        <row r="1770">
          <cell r="B1770">
            <v>45316</v>
          </cell>
          <cell r="E1770" t="str">
            <v>Косік Ю.А.</v>
          </cell>
          <cell r="F1770" t="str">
            <v>Телескоп №4</v>
          </cell>
          <cell r="I1770">
            <v>4</v>
          </cell>
          <cell r="J1770">
            <v>8</v>
          </cell>
        </row>
        <row r="1771">
          <cell r="B1771">
            <v>45317</v>
          </cell>
          <cell r="E1771" t="str">
            <v>Косік Ю.А.</v>
          </cell>
          <cell r="F1771" t="str">
            <v>Телескоп №4</v>
          </cell>
          <cell r="I1771">
            <v>4</v>
          </cell>
          <cell r="J1771">
            <v>8</v>
          </cell>
        </row>
        <row r="1772">
          <cell r="B1772">
            <v>45318</v>
          </cell>
          <cell r="E1772" t="str">
            <v>Косік Ю.А.</v>
          </cell>
          <cell r="F1772" t="str">
            <v>Телескоп №4</v>
          </cell>
          <cell r="I1772">
            <v>4</v>
          </cell>
          <cell r="J1772">
            <v>6</v>
          </cell>
        </row>
        <row r="1773">
          <cell r="B1773">
            <v>45320</v>
          </cell>
          <cell r="E1773" t="str">
            <v>Косік Ю.А.</v>
          </cell>
          <cell r="F1773" t="str">
            <v>Телескоп №4</v>
          </cell>
          <cell r="I1773">
            <v>4</v>
          </cell>
          <cell r="J1773">
            <v>8</v>
          </cell>
        </row>
        <row r="1774">
          <cell r="B1774">
            <v>45321</v>
          </cell>
          <cell r="E1774" t="str">
            <v>Косік Ю.А.</v>
          </cell>
          <cell r="F1774" t="str">
            <v>Телескоп №4</v>
          </cell>
          <cell r="I1774">
            <v>4</v>
          </cell>
          <cell r="J1774">
            <v>8</v>
          </cell>
        </row>
        <row r="1775">
          <cell r="B1775">
            <v>45322</v>
          </cell>
          <cell r="E1775" t="str">
            <v>Косік Ю.А.</v>
          </cell>
          <cell r="F1775" t="str">
            <v>Телескоп №4</v>
          </cell>
          <cell r="I1775">
            <v>4</v>
          </cell>
          <cell r="J1775">
            <v>8</v>
          </cell>
        </row>
        <row r="1776">
          <cell r="B1776">
            <v>45298</v>
          </cell>
          <cell r="E1776" t="str">
            <v>Горячий І.В.</v>
          </cell>
          <cell r="F1776" t="str">
            <v>Телескоп №5</v>
          </cell>
          <cell r="I1776">
            <v>5</v>
          </cell>
          <cell r="J1776">
            <v>6</v>
          </cell>
          <cell r="K1776">
            <v>2</v>
          </cell>
        </row>
        <row r="1777">
          <cell r="B1777">
            <v>45299</v>
          </cell>
          <cell r="E1777" t="str">
            <v>Горячий І.В.</v>
          </cell>
          <cell r="F1777" t="str">
            <v>Телескоп №5</v>
          </cell>
          <cell r="I1777">
            <v>5</v>
          </cell>
          <cell r="J1777">
            <v>8</v>
          </cell>
          <cell r="K1777">
            <v>6</v>
          </cell>
        </row>
        <row r="1778">
          <cell r="B1778">
            <v>45300</v>
          </cell>
          <cell r="E1778" t="str">
            <v>Горячий І.В.</v>
          </cell>
          <cell r="F1778" t="str">
            <v>Телескоп №5</v>
          </cell>
          <cell r="I1778">
            <v>5</v>
          </cell>
          <cell r="J1778">
            <v>14</v>
          </cell>
        </row>
        <row r="1779">
          <cell r="B1779">
            <v>45301</v>
          </cell>
          <cell r="E1779" t="str">
            <v>Горячий І.В.</v>
          </cell>
          <cell r="F1779" t="str">
            <v>Телескоп №5</v>
          </cell>
          <cell r="I1779">
            <v>5</v>
          </cell>
          <cell r="J1779">
            <v>9</v>
          </cell>
        </row>
        <row r="1780">
          <cell r="B1780">
            <v>45302</v>
          </cell>
          <cell r="E1780" t="str">
            <v>Горячий І.В.</v>
          </cell>
          <cell r="F1780" t="str">
            <v>Телескоп №5</v>
          </cell>
          <cell r="I1780">
            <v>5</v>
          </cell>
          <cell r="J1780">
            <v>11</v>
          </cell>
        </row>
        <row r="1781">
          <cell r="B1781">
            <v>45303</v>
          </cell>
          <cell r="E1781" t="str">
            <v>Горячий І.В.</v>
          </cell>
          <cell r="F1781" t="str">
            <v>Телескоп №5</v>
          </cell>
          <cell r="I1781">
            <v>5</v>
          </cell>
          <cell r="J1781">
            <v>9</v>
          </cell>
          <cell r="L1781">
            <v>1</v>
          </cell>
        </row>
        <row r="1782">
          <cell r="B1782">
            <v>45304</v>
          </cell>
          <cell r="E1782" t="str">
            <v>Горячий І.В.</v>
          </cell>
          <cell r="F1782" t="str">
            <v>Телескоп №5</v>
          </cell>
          <cell r="I1782">
            <v>5</v>
          </cell>
          <cell r="J1782">
            <v>8</v>
          </cell>
        </row>
        <row r="1783">
          <cell r="B1783">
            <v>45305</v>
          </cell>
          <cell r="E1783" t="str">
            <v>Горячий І.В.</v>
          </cell>
          <cell r="F1783" t="str">
            <v>Телескоп №5</v>
          </cell>
          <cell r="I1783">
            <v>5</v>
          </cell>
          <cell r="J1783">
            <v>9</v>
          </cell>
          <cell r="K1783">
            <v>1</v>
          </cell>
          <cell r="L1783">
            <v>1</v>
          </cell>
        </row>
        <row r="1784">
          <cell r="B1784">
            <v>45306</v>
          </cell>
          <cell r="E1784" t="str">
            <v>Горячий І.В.</v>
          </cell>
          <cell r="F1784" t="str">
            <v>Телескоп №5</v>
          </cell>
          <cell r="I1784">
            <v>5</v>
          </cell>
          <cell r="J1784">
            <v>9</v>
          </cell>
        </row>
        <row r="1785">
          <cell r="B1785">
            <v>45307</v>
          </cell>
          <cell r="E1785" t="str">
            <v>Горячий І.В.</v>
          </cell>
          <cell r="F1785" t="str">
            <v>Телескоп №5</v>
          </cell>
          <cell r="I1785">
            <v>5</v>
          </cell>
          <cell r="J1785">
            <v>10</v>
          </cell>
        </row>
        <row r="1786">
          <cell r="B1786">
            <v>45308</v>
          </cell>
          <cell r="E1786" t="str">
            <v>Горячий І.В.</v>
          </cell>
          <cell r="F1786" t="str">
            <v>Телескоп №5</v>
          </cell>
          <cell r="I1786">
            <v>5</v>
          </cell>
          <cell r="J1786">
            <v>10</v>
          </cell>
        </row>
        <row r="1787">
          <cell r="B1787">
            <v>45309</v>
          </cell>
          <cell r="E1787" t="str">
            <v>Горячий І.В.</v>
          </cell>
          <cell r="F1787" t="str">
            <v>Телескоп №5</v>
          </cell>
          <cell r="I1787">
            <v>5</v>
          </cell>
          <cell r="J1787">
            <v>5</v>
          </cell>
          <cell r="K1787">
            <v>1</v>
          </cell>
          <cell r="L1787">
            <v>1</v>
          </cell>
        </row>
        <row r="1788">
          <cell r="B1788">
            <v>45310</v>
          </cell>
          <cell r="E1788" t="str">
            <v>Горячий І.В.</v>
          </cell>
          <cell r="F1788" t="str">
            <v>Телескоп №5</v>
          </cell>
          <cell r="I1788">
            <v>5</v>
          </cell>
          <cell r="J1788">
            <v>9</v>
          </cell>
          <cell r="K1788">
            <v>5</v>
          </cell>
        </row>
        <row r="1789">
          <cell r="B1789">
            <v>45311</v>
          </cell>
          <cell r="E1789" t="str">
            <v>Горячий І.В.</v>
          </cell>
          <cell r="F1789" t="str">
            <v>Телескоп №5</v>
          </cell>
          <cell r="I1789">
            <v>5</v>
          </cell>
          <cell r="J1789">
            <v>8</v>
          </cell>
        </row>
        <row r="1790">
          <cell r="B1790">
            <v>45312</v>
          </cell>
          <cell r="E1790" t="str">
            <v>Горячий І.В.</v>
          </cell>
          <cell r="F1790" t="str">
            <v>Телескоп №5</v>
          </cell>
          <cell r="I1790">
            <v>5</v>
          </cell>
          <cell r="J1790">
            <v>6</v>
          </cell>
          <cell r="L1790">
            <v>1</v>
          </cell>
        </row>
        <row r="1791">
          <cell r="B1791">
            <v>45313</v>
          </cell>
          <cell r="E1791" t="str">
            <v>Горячий І.В.</v>
          </cell>
          <cell r="F1791" t="str">
            <v>Телескоп №5</v>
          </cell>
          <cell r="I1791">
            <v>5</v>
          </cell>
          <cell r="J1791">
            <v>8</v>
          </cell>
        </row>
        <row r="1792">
          <cell r="B1792">
            <v>45314</v>
          </cell>
          <cell r="E1792" t="str">
            <v>Горячий І.В.</v>
          </cell>
          <cell r="F1792" t="str">
            <v>Телескоп №5</v>
          </cell>
          <cell r="I1792">
            <v>5</v>
          </cell>
          <cell r="J1792">
            <v>9</v>
          </cell>
          <cell r="L1792">
            <v>1</v>
          </cell>
        </row>
        <row r="1793">
          <cell r="B1793">
            <v>45315</v>
          </cell>
          <cell r="E1793" t="str">
            <v>Горячий І.В.</v>
          </cell>
          <cell r="F1793" t="str">
            <v>Телескоп №5</v>
          </cell>
          <cell r="I1793">
            <v>5</v>
          </cell>
          <cell r="J1793">
            <v>10</v>
          </cell>
          <cell r="K1793">
            <v>1</v>
          </cell>
        </row>
        <row r="1794">
          <cell r="B1794">
            <v>45316</v>
          </cell>
          <cell r="E1794" t="str">
            <v>Горячий І.В.</v>
          </cell>
          <cell r="F1794" t="str">
            <v>Телескоп №5</v>
          </cell>
          <cell r="I1794">
            <v>5</v>
          </cell>
          <cell r="J1794">
            <v>9</v>
          </cell>
        </row>
        <row r="1795">
          <cell r="B1795">
            <v>45321</v>
          </cell>
          <cell r="E1795" t="str">
            <v>Горячий І.В.</v>
          </cell>
          <cell r="F1795" t="str">
            <v>Телескоп №5</v>
          </cell>
          <cell r="I1795">
            <v>5</v>
          </cell>
          <cell r="J1795">
            <v>8</v>
          </cell>
        </row>
        <row r="1796">
          <cell r="B1796">
            <v>45322</v>
          </cell>
          <cell r="E1796" t="str">
            <v>Горячий І.В.</v>
          </cell>
          <cell r="F1796" t="str">
            <v>Телескоп №5</v>
          </cell>
          <cell r="I1796">
            <v>5</v>
          </cell>
          <cell r="J1796">
            <v>17</v>
          </cell>
          <cell r="K1796">
            <v>8</v>
          </cell>
        </row>
        <row r="1797">
          <cell r="B1797">
            <v>45301</v>
          </cell>
          <cell r="E1797" t="str">
            <v>Болох В.В.</v>
          </cell>
          <cell r="F1797" t="str">
            <v>Автокран XCMG</v>
          </cell>
          <cell r="I1797">
            <v>17</v>
          </cell>
          <cell r="J1797">
            <v>10</v>
          </cell>
          <cell r="K1797">
            <v>1</v>
          </cell>
          <cell r="L1797">
            <v>1</v>
          </cell>
        </row>
        <row r="1798">
          <cell r="B1798">
            <v>45302</v>
          </cell>
          <cell r="E1798" t="str">
            <v>Болох В.В.</v>
          </cell>
          <cell r="F1798" t="str">
            <v>Автокран XCMG</v>
          </cell>
          <cell r="I1798">
            <v>17</v>
          </cell>
          <cell r="J1798">
            <v>9</v>
          </cell>
          <cell r="K1798">
            <v>1</v>
          </cell>
        </row>
        <row r="1799">
          <cell r="B1799">
            <v>45303</v>
          </cell>
          <cell r="E1799" t="str">
            <v>Болох В.В.</v>
          </cell>
          <cell r="F1799" t="str">
            <v>Автокран XCMG</v>
          </cell>
          <cell r="I1799">
            <v>17</v>
          </cell>
          <cell r="J1799">
            <v>9</v>
          </cell>
          <cell r="K1799">
            <v>1</v>
          </cell>
        </row>
        <row r="1800">
          <cell r="B1800">
            <v>45304</v>
          </cell>
          <cell r="E1800" t="str">
            <v>Болох В.В.</v>
          </cell>
          <cell r="F1800" t="str">
            <v>Автокран XCMG</v>
          </cell>
          <cell r="I1800">
            <v>17</v>
          </cell>
          <cell r="J1800">
            <v>8</v>
          </cell>
        </row>
        <row r="1801">
          <cell r="B1801">
            <v>45306</v>
          </cell>
          <cell r="E1801" t="str">
            <v>Болох В.В.</v>
          </cell>
          <cell r="F1801" t="str">
            <v>Автокран XCMG</v>
          </cell>
          <cell r="I1801">
            <v>17</v>
          </cell>
          <cell r="J1801">
            <v>8</v>
          </cell>
        </row>
        <row r="1802">
          <cell r="B1802">
            <v>45307</v>
          </cell>
          <cell r="E1802" t="str">
            <v>Болох В.В.</v>
          </cell>
          <cell r="F1802" t="str">
            <v>Автокран XCMG</v>
          </cell>
          <cell r="I1802">
            <v>17</v>
          </cell>
          <cell r="J1802">
            <v>8</v>
          </cell>
        </row>
        <row r="1803">
          <cell r="B1803">
            <v>45308</v>
          </cell>
          <cell r="E1803" t="str">
            <v>Болох В.В.</v>
          </cell>
          <cell r="F1803" t="str">
            <v>Автокран XCMG</v>
          </cell>
          <cell r="I1803">
            <v>17</v>
          </cell>
          <cell r="J1803">
            <v>9</v>
          </cell>
          <cell r="L1803">
            <v>1</v>
          </cell>
        </row>
        <row r="1804">
          <cell r="B1804">
            <v>45309</v>
          </cell>
          <cell r="E1804" t="str">
            <v>Болох В.В.</v>
          </cell>
          <cell r="F1804" t="str">
            <v>Автокран XCMG</v>
          </cell>
          <cell r="I1804">
            <v>17</v>
          </cell>
          <cell r="J1804">
            <v>8</v>
          </cell>
          <cell r="K1804">
            <v>4</v>
          </cell>
        </row>
        <row r="1805">
          <cell r="B1805">
            <v>45310</v>
          </cell>
          <cell r="E1805" t="str">
            <v>Болох В.В.</v>
          </cell>
          <cell r="F1805" t="str">
            <v>Автокран XCMG</v>
          </cell>
          <cell r="I1805">
            <v>17</v>
          </cell>
          <cell r="J1805">
            <v>8</v>
          </cell>
          <cell r="K1805">
            <v>4</v>
          </cell>
        </row>
        <row r="1806">
          <cell r="B1806">
            <v>45313</v>
          </cell>
          <cell r="E1806" t="str">
            <v>Болох В.В.</v>
          </cell>
          <cell r="F1806" t="str">
            <v>Автокран XCMG</v>
          </cell>
          <cell r="I1806">
            <v>17</v>
          </cell>
          <cell r="J1806">
            <v>8</v>
          </cell>
        </row>
        <row r="1807">
          <cell r="B1807">
            <v>45314</v>
          </cell>
          <cell r="E1807" t="str">
            <v>Болох В.В.</v>
          </cell>
          <cell r="F1807" t="str">
            <v>Автокран XCMG</v>
          </cell>
          <cell r="I1807">
            <v>17</v>
          </cell>
          <cell r="J1807">
            <v>8</v>
          </cell>
          <cell r="K1807">
            <v>8</v>
          </cell>
        </row>
        <row r="1808">
          <cell r="B1808">
            <v>45315</v>
          </cell>
          <cell r="E1808" t="str">
            <v>Болох В.В.</v>
          </cell>
          <cell r="F1808" t="str">
            <v>Автокран XCMG</v>
          </cell>
          <cell r="I1808">
            <v>17</v>
          </cell>
          <cell r="J1808">
            <v>8</v>
          </cell>
          <cell r="K1808">
            <v>4</v>
          </cell>
        </row>
        <row r="1809">
          <cell r="B1809">
            <v>45316</v>
          </cell>
          <cell r="E1809" t="str">
            <v>Болох В.В.</v>
          </cell>
          <cell r="F1809" t="str">
            <v>Автокран XCMG</v>
          </cell>
          <cell r="I1809">
            <v>17</v>
          </cell>
          <cell r="J1809">
            <v>8</v>
          </cell>
        </row>
        <row r="1810">
          <cell r="B1810">
            <v>45317</v>
          </cell>
          <cell r="E1810" t="str">
            <v>Болох В.В.</v>
          </cell>
          <cell r="F1810" t="str">
            <v>Автокран XCMG</v>
          </cell>
          <cell r="I1810">
            <v>17</v>
          </cell>
          <cell r="J1810">
            <v>8</v>
          </cell>
        </row>
        <row r="1811">
          <cell r="B1811">
            <v>45318</v>
          </cell>
          <cell r="E1811" t="str">
            <v>Болох В.В.</v>
          </cell>
          <cell r="F1811" t="str">
            <v>Автокран XCMG</v>
          </cell>
          <cell r="I1811">
            <v>17</v>
          </cell>
          <cell r="J1811">
            <v>8</v>
          </cell>
          <cell r="K1811">
            <v>7</v>
          </cell>
          <cell r="L1811">
            <v>1</v>
          </cell>
        </row>
        <row r="1812">
          <cell r="B1812">
            <v>45319</v>
          </cell>
          <cell r="E1812" t="str">
            <v>Болох В.В.</v>
          </cell>
          <cell r="F1812" t="str">
            <v>Автокран XCMG</v>
          </cell>
          <cell r="I1812">
            <v>17</v>
          </cell>
          <cell r="J1812">
            <v>8</v>
          </cell>
        </row>
        <row r="1813">
          <cell r="B1813">
            <v>45321</v>
          </cell>
          <cell r="E1813" t="str">
            <v>Болох В.В.</v>
          </cell>
          <cell r="F1813" t="str">
            <v>Автокран XCMG</v>
          </cell>
          <cell r="I1813">
            <v>17</v>
          </cell>
          <cell r="J1813">
            <v>8</v>
          </cell>
        </row>
        <row r="1814">
          <cell r="B1814">
            <v>45322</v>
          </cell>
          <cell r="E1814" t="str">
            <v>Болох В.В.</v>
          </cell>
          <cell r="F1814" t="str">
            <v>Автокран XCMG</v>
          </cell>
          <cell r="I1814">
            <v>17</v>
          </cell>
          <cell r="J1814">
            <v>8</v>
          </cell>
        </row>
        <row r="1815">
          <cell r="B1815">
            <v>45302</v>
          </cell>
          <cell r="E1815" t="str">
            <v>Якубовський В.Г.</v>
          </cell>
          <cell r="F1815" t="str">
            <v>Самосвал камаз</v>
          </cell>
          <cell r="I1815">
            <v>16</v>
          </cell>
          <cell r="J1815">
            <v>4</v>
          </cell>
        </row>
        <row r="1816">
          <cell r="B1816">
            <v>45303</v>
          </cell>
          <cell r="E1816" t="str">
            <v>Якубовський В.Г.</v>
          </cell>
          <cell r="F1816" t="str">
            <v>Самосвал камаз</v>
          </cell>
          <cell r="I1816">
            <v>16</v>
          </cell>
          <cell r="J1816">
            <v>10</v>
          </cell>
          <cell r="K1816">
            <v>1</v>
          </cell>
        </row>
        <row r="1817">
          <cell r="B1817">
            <v>45304</v>
          </cell>
          <cell r="E1817" t="str">
            <v>Якубовський В.Г.</v>
          </cell>
          <cell r="F1817" t="str">
            <v>Самосвал камаз</v>
          </cell>
          <cell r="I1817">
            <v>16</v>
          </cell>
          <cell r="J1817">
            <v>8</v>
          </cell>
        </row>
        <row r="1818">
          <cell r="B1818">
            <v>45306</v>
          </cell>
          <cell r="E1818" t="str">
            <v>Якубовський В.Г.</v>
          </cell>
          <cell r="F1818" t="str">
            <v>Самосвал камаз</v>
          </cell>
          <cell r="I1818">
            <v>16</v>
          </cell>
          <cell r="J1818">
            <v>8</v>
          </cell>
        </row>
        <row r="1819">
          <cell r="B1819">
            <v>45307</v>
          </cell>
          <cell r="E1819" t="str">
            <v>Якубовський В.Г.</v>
          </cell>
          <cell r="F1819" t="str">
            <v>Самосвал камаз</v>
          </cell>
          <cell r="I1819">
            <v>16</v>
          </cell>
          <cell r="J1819">
            <v>8</v>
          </cell>
        </row>
        <row r="1820">
          <cell r="B1820">
            <v>45308</v>
          </cell>
          <cell r="E1820" t="str">
            <v>Якубовський В.Г.</v>
          </cell>
          <cell r="F1820" t="str">
            <v>Самосвал камаз</v>
          </cell>
          <cell r="I1820">
            <v>16</v>
          </cell>
          <cell r="J1820">
            <v>8</v>
          </cell>
        </row>
        <row r="1821">
          <cell r="B1821">
            <v>45309</v>
          </cell>
          <cell r="E1821" t="str">
            <v>Якубовський В.Г.</v>
          </cell>
          <cell r="F1821" t="str">
            <v>Самосвал камаз</v>
          </cell>
          <cell r="I1821">
            <v>16</v>
          </cell>
          <cell r="J1821">
            <v>12</v>
          </cell>
        </row>
        <row r="1822">
          <cell r="B1822">
            <v>45310</v>
          </cell>
          <cell r="E1822" t="str">
            <v>Якубовський В.Г.</v>
          </cell>
          <cell r="F1822" t="str">
            <v>Самосвал камаз</v>
          </cell>
          <cell r="I1822">
            <v>16</v>
          </cell>
          <cell r="J1822">
            <v>8</v>
          </cell>
        </row>
        <row r="1823">
          <cell r="B1823">
            <v>45311</v>
          </cell>
          <cell r="E1823" t="str">
            <v>Якубовський В.Г.</v>
          </cell>
          <cell r="F1823" t="str">
            <v>Самосвал камаз</v>
          </cell>
          <cell r="I1823">
            <v>16</v>
          </cell>
          <cell r="J1823">
            <v>9</v>
          </cell>
          <cell r="L1823">
            <v>1</v>
          </cell>
        </row>
        <row r="1824">
          <cell r="B1824">
            <v>45312</v>
          </cell>
          <cell r="E1824" t="str">
            <v>Якубовський В.Г.</v>
          </cell>
          <cell r="F1824" t="str">
            <v>Самосвал камаз</v>
          </cell>
          <cell r="I1824">
            <v>16</v>
          </cell>
          <cell r="J1824">
            <v>8</v>
          </cell>
        </row>
        <row r="1825">
          <cell r="B1825">
            <v>45313</v>
          </cell>
          <cell r="E1825" t="str">
            <v>Якубовський В.Г.</v>
          </cell>
          <cell r="F1825" t="str">
            <v>Самосвал камаз</v>
          </cell>
          <cell r="I1825">
            <v>16</v>
          </cell>
          <cell r="J1825">
            <v>10</v>
          </cell>
          <cell r="L1825">
            <v>1</v>
          </cell>
        </row>
        <row r="1826">
          <cell r="B1826">
            <v>45314</v>
          </cell>
          <cell r="E1826" t="str">
            <v>Якубовський В.Г.</v>
          </cell>
          <cell r="F1826" t="str">
            <v>Самосвал камаз</v>
          </cell>
          <cell r="I1826">
            <v>16</v>
          </cell>
          <cell r="J1826">
            <v>8</v>
          </cell>
        </row>
        <row r="1827">
          <cell r="B1827">
            <v>45315</v>
          </cell>
          <cell r="E1827" t="str">
            <v>Якубовський В.Г.</v>
          </cell>
          <cell r="F1827" t="str">
            <v>Самосвал камаз</v>
          </cell>
          <cell r="I1827">
            <v>16</v>
          </cell>
          <cell r="J1827">
            <v>9</v>
          </cell>
          <cell r="L1827">
            <v>1</v>
          </cell>
        </row>
        <row r="1828">
          <cell r="B1828">
            <v>45316</v>
          </cell>
          <cell r="E1828" t="str">
            <v>Якубовський В.Г.</v>
          </cell>
          <cell r="F1828" t="str">
            <v>Самосвал камаз</v>
          </cell>
          <cell r="I1828">
            <v>16</v>
          </cell>
          <cell r="J1828">
            <v>8</v>
          </cell>
          <cell r="K1828">
            <v>4</v>
          </cell>
        </row>
        <row r="1829">
          <cell r="B1829">
            <v>45304</v>
          </cell>
          <cell r="E1829" t="str">
            <v>Скоц С.І.</v>
          </cell>
          <cell r="F1829" t="str">
            <v>Виброкаток</v>
          </cell>
          <cell r="I1829">
            <v>6</v>
          </cell>
          <cell r="J1829">
            <v>8</v>
          </cell>
          <cell r="K1829">
            <v>4</v>
          </cell>
        </row>
        <row r="1830">
          <cell r="B1830">
            <v>45305</v>
          </cell>
          <cell r="E1830" t="str">
            <v>Скоц С.І.</v>
          </cell>
          <cell r="F1830" t="str">
            <v>Виброкаток</v>
          </cell>
          <cell r="I1830">
            <v>6</v>
          </cell>
          <cell r="J1830">
            <v>8</v>
          </cell>
        </row>
        <row r="1831">
          <cell r="B1831">
            <v>45306</v>
          </cell>
          <cell r="E1831" t="str">
            <v>Скоц С.І.</v>
          </cell>
          <cell r="F1831" t="str">
            <v>Виброкаток</v>
          </cell>
          <cell r="I1831">
            <v>6</v>
          </cell>
          <cell r="J1831">
            <v>9</v>
          </cell>
          <cell r="L1831">
            <v>1</v>
          </cell>
        </row>
        <row r="1832">
          <cell r="B1832">
            <v>45307</v>
          </cell>
          <cell r="E1832" t="str">
            <v>Скоц С.І.</v>
          </cell>
          <cell r="F1832" t="str">
            <v>Виброкаток</v>
          </cell>
          <cell r="I1832">
            <v>6</v>
          </cell>
          <cell r="J1832">
            <v>8</v>
          </cell>
        </row>
        <row r="1833">
          <cell r="B1833">
            <v>45308</v>
          </cell>
          <cell r="E1833" t="str">
            <v>Скоц С.І.</v>
          </cell>
          <cell r="F1833" t="str">
            <v>Виброкаток</v>
          </cell>
          <cell r="I1833">
            <v>6</v>
          </cell>
          <cell r="J1833">
            <v>8</v>
          </cell>
        </row>
        <row r="1834">
          <cell r="B1834">
            <v>45309</v>
          </cell>
          <cell r="E1834" t="str">
            <v>Скоц С.І.</v>
          </cell>
          <cell r="F1834" t="str">
            <v>Виброкаток</v>
          </cell>
          <cell r="I1834">
            <v>6</v>
          </cell>
          <cell r="J1834">
            <v>8</v>
          </cell>
          <cell r="K1834">
            <v>4</v>
          </cell>
        </row>
        <row r="1835">
          <cell r="B1835">
            <v>45310</v>
          </cell>
          <cell r="E1835" t="str">
            <v>Скоц С.І.</v>
          </cell>
          <cell r="F1835" t="str">
            <v>Виброкаток</v>
          </cell>
          <cell r="I1835">
            <v>6</v>
          </cell>
          <cell r="J1835">
            <v>8</v>
          </cell>
          <cell r="K1835">
            <v>8</v>
          </cell>
        </row>
        <row r="1836">
          <cell r="B1836">
            <v>45311</v>
          </cell>
          <cell r="E1836" t="str">
            <v>Скоц С.І.</v>
          </cell>
          <cell r="F1836" t="str">
            <v>Виброкаток</v>
          </cell>
          <cell r="I1836">
            <v>6</v>
          </cell>
          <cell r="J1836">
            <v>9</v>
          </cell>
          <cell r="L1836">
            <v>1</v>
          </cell>
        </row>
        <row r="1837">
          <cell r="B1837">
            <v>45312</v>
          </cell>
          <cell r="E1837" t="str">
            <v>Скоц С.І.</v>
          </cell>
          <cell r="F1837" t="str">
            <v>Виброкаток</v>
          </cell>
          <cell r="I1837">
            <v>6</v>
          </cell>
          <cell r="J1837">
            <v>5</v>
          </cell>
          <cell r="K1837">
            <v>5</v>
          </cell>
        </row>
        <row r="1838">
          <cell r="B1838">
            <v>45313</v>
          </cell>
          <cell r="E1838" t="str">
            <v>Скоц С.І.</v>
          </cell>
          <cell r="F1838" t="str">
            <v>Виброкаток</v>
          </cell>
          <cell r="I1838">
            <v>6</v>
          </cell>
          <cell r="J1838">
            <v>8</v>
          </cell>
          <cell r="K1838">
            <v>8</v>
          </cell>
        </row>
        <row r="1839">
          <cell r="B1839">
            <v>45314</v>
          </cell>
          <cell r="E1839" t="str">
            <v>Скоц С.І.</v>
          </cell>
          <cell r="F1839" t="str">
            <v>Виброкаток</v>
          </cell>
          <cell r="I1839">
            <v>6</v>
          </cell>
          <cell r="J1839">
            <v>9</v>
          </cell>
          <cell r="L1839">
            <v>1</v>
          </cell>
        </row>
        <row r="1840">
          <cell r="B1840">
            <v>45321</v>
          </cell>
          <cell r="E1840" t="str">
            <v>Скоц С.І.</v>
          </cell>
          <cell r="F1840" t="str">
            <v>Виброкаток</v>
          </cell>
          <cell r="I1840">
            <v>6</v>
          </cell>
          <cell r="J1840">
            <v>9</v>
          </cell>
          <cell r="K1840">
            <v>4</v>
          </cell>
        </row>
        <row r="1841">
          <cell r="B1841">
            <v>45322</v>
          </cell>
          <cell r="E1841" t="str">
            <v>Скоц С.І.</v>
          </cell>
          <cell r="F1841" t="str">
            <v>Виброкаток</v>
          </cell>
          <cell r="I1841">
            <v>6</v>
          </cell>
          <cell r="J1841">
            <v>5</v>
          </cell>
        </row>
        <row r="1842">
          <cell r="B1842">
            <v>45299</v>
          </cell>
          <cell r="E1842" t="str">
            <v>Селивончик И.П.</v>
          </cell>
          <cell r="F1842" t="str">
            <v>МАЗ 264</v>
          </cell>
          <cell r="I1842">
            <v>12</v>
          </cell>
          <cell r="J1842">
            <v>9</v>
          </cell>
          <cell r="L1842">
            <v>1</v>
          </cell>
        </row>
        <row r="1843">
          <cell r="B1843">
            <v>45300</v>
          </cell>
          <cell r="E1843" t="str">
            <v>Селивончик И.П.</v>
          </cell>
          <cell r="F1843" t="str">
            <v>МАЗ 264</v>
          </cell>
          <cell r="I1843">
            <v>12</v>
          </cell>
          <cell r="J1843">
            <v>14</v>
          </cell>
        </row>
        <row r="1844">
          <cell r="B1844">
            <v>45301</v>
          </cell>
          <cell r="E1844" t="str">
            <v>Селивончик И.П.</v>
          </cell>
          <cell r="F1844" t="str">
            <v>МАЗ 264</v>
          </cell>
          <cell r="I1844">
            <v>12</v>
          </cell>
          <cell r="J1844">
            <v>9</v>
          </cell>
        </row>
        <row r="1845">
          <cell r="B1845">
            <v>45302</v>
          </cell>
          <cell r="E1845" t="str">
            <v>Селивончик И.П.</v>
          </cell>
          <cell r="F1845" t="str">
            <v>МАЗ 264</v>
          </cell>
          <cell r="I1845">
            <v>12</v>
          </cell>
          <cell r="J1845">
            <v>10</v>
          </cell>
        </row>
        <row r="1846">
          <cell r="B1846">
            <v>45303</v>
          </cell>
          <cell r="E1846" t="str">
            <v>Селивончик И.П.</v>
          </cell>
          <cell r="F1846" t="str">
            <v>МАЗ 264</v>
          </cell>
          <cell r="I1846">
            <v>12</v>
          </cell>
          <cell r="J1846">
            <v>9</v>
          </cell>
          <cell r="K1846">
            <v>1</v>
          </cell>
        </row>
        <row r="1847">
          <cell r="B1847">
            <v>45304</v>
          </cell>
          <cell r="E1847" t="str">
            <v>Селивончик И.П.</v>
          </cell>
          <cell r="F1847" t="str">
            <v>МАЗ 264</v>
          </cell>
          <cell r="I1847">
            <v>12</v>
          </cell>
          <cell r="J1847">
            <v>9</v>
          </cell>
          <cell r="K1847">
            <v>1</v>
          </cell>
        </row>
        <row r="1848">
          <cell r="B1848">
            <v>45305</v>
          </cell>
          <cell r="E1848" t="str">
            <v>Селивончик И.П.</v>
          </cell>
          <cell r="F1848" t="str">
            <v>МАЗ 264</v>
          </cell>
          <cell r="I1848">
            <v>12</v>
          </cell>
          <cell r="J1848">
            <v>9</v>
          </cell>
          <cell r="K1848">
            <v>1</v>
          </cell>
        </row>
        <row r="1849">
          <cell r="B1849">
            <v>45306</v>
          </cell>
          <cell r="E1849" t="str">
            <v>Селивончик И.П.</v>
          </cell>
          <cell r="F1849" t="str">
            <v>МАЗ 264</v>
          </cell>
          <cell r="I1849">
            <v>12</v>
          </cell>
          <cell r="J1849">
            <v>10</v>
          </cell>
          <cell r="K1849">
            <v>1</v>
          </cell>
          <cell r="L1849">
            <v>1</v>
          </cell>
        </row>
        <row r="1850">
          <cell r="B1850">
            <v>45317</v>
          </cell>
          <cell r="E1850" t="str">
            <v>Божков В.В.</v>
          </cell>
          <cell r="F1850" t="str">
            <v>МАЗ 264</v>
          </cell>
          <cell r="I1850">
            <v>12</v>
          </cell>
          <cell r="J1850">
            <v>9</v>
          </cell>
          <cell r="L1850">
            <v>1</v>
          </cell>
        </row>
        <row r="1851">
          <cell r="B1851">
            <v>45318</v>
          </cell>
          <cell r="E1851" t="str">
            <v>Божков В.В.</v>
          </cell>
          <cell r="F1851" t="str">
            <v>МАЗ 264</v>
          </cell>
          <cell r="I1851">
            <v>12</v>
          </cell>
          <cell r="J1851">
            <v>7</v>
          </cell>
          <cell r="K1851">
            <v>1</v>
          </cell>
        </row>
        <row r="1852">
          <cell r="B1852">
            <v>45307</v>
          </cell>
          <cell r="E1852" t="str">
            <v>Самойленко В.М.</v>
          </cell>
          <cell r="F1852" t="str">
            <v>МАЗ 264</v>
          </cell>
          <cell r="I1852">
            <v>12</v>
          </cell>
          <cell r="J1852">
            <v>8</v>
          </cell>
        </row>
        <row r="1853">
          <cell r="B1853">
            <v>45308</v>
          </cell>
          <cell r="E1853" t="str">
            <v>Самойленко В.М.</v>
          </cell>
          <cell r="F1853" t="str">
            <v>МАЗ 264</v>
          </cell>
          <cell r="I1853">
            <v>12</v>
          </cell>
          <cell r="J1853">
            <v>10</v>
          </cell>
          <cell r="L1853">
            <v>1</v>
          </cell>
        </row>
        <row r="1854">
          <cell r="B1854">
            <v>45309</v>
          </cell>
          <cell r="E1854" t="str">
            <v>Самойленко В.М.</v>
          </cell>
          <cell r="F1854" t="str">
            <v>МАЗ 264</v>
          </cell>
          <cell r="I1854">
            <v>12</v>
          </cell>
          <cell r="J1854">
            <v>9</v>
          </cell>
        </row>
        <row r="1855">
          <cell r="B1855">
            <v>45310</v>
          </cell>
          <cell r="E1855" t="str">
            <v>Самойленко В.М.</v>
          </cell>
          <cell r="F1855" t="str">
            <v>МАЗ 264</v>
          </cell>
          <cell r="I1855">
            <v>12</v>
          </cell>
          <cell r="J1855">
            <v>2</v>
          </cell>
        </row>
        <row r="1856">
          <cell r="B1856">
            <v>45311</v>
          </cell>
          <cell r="E1856" t="str">
            <v>Самойленко В.М.</v>
          </cell>
          <cell r="F1856" t="str">
            <v>МАЗ 264</v>
          </cell>
          <cell r="I1856">
            <v>12</v>
          </cell>
          <cell r="J1856">
            <v>8</v>
          </cell>
        </row>
        <row r="1857">
          <cell r="B1857">
            <v>45312</v>
          </cell>
          <cell r="E1857" t="str">
            <v>Самойленко В.М.</v>
          </cell>
          <cell r="F1857" t="str">
            <v>МАЗ 264</v>
          </cell>
          <cell r="I1857">
            <v>12</v>
          </cell>
          <cell r="J1857">
            <v>4</v>
          </cell>
        </row>
        <row r="1858">
          <cell r="B1858">
            <v>45313</v>
          </cell>
          <cell r="E1858" t="str">
            <v>Самойленко В.М.</v>
          </cell>
          <cell r="F1858" t="str">
            <v>МАЗ 264</v>
          </cell>
          <cell r="I1858">
            <v>12</v>
          </cell>
          <cell r="J1858">
            <v>8</v>
          </cell>
        </row>
        <row r="1859">
          <cell r="B1859">
            <v>45314</v>
          </cell>
          <cell r="E1859" t="str">
            <v>Самойленко В.М.</v>
          </cell>
          <cell r="F1859" t="str">
            <v>МАЗ 264</v>
          </cell>
          <cell r="I1859">
            <v>12</v>
          </cell>
          <cell r="J1859">
            <v>9</v>
          </cell>
          <cell r="L1859">
            <v>1</v>
          </cell>
        </row>
        <row r="1860">
          <cell r="B1860">
            <v>45315</v>
          </cell>
          <cell r="E1860" t="str">
            <v>Самойленко В.М.</v>
          </cell>
          <cell r="F1860" t="str">
            <v>МАЗ 264</v>
          </cell>
          <cell r="I1860">
            <v>12</v>
          </cell>
          <cell r="J1860">
            <v>9</v>
          </cell>
        </row>
        <row r="1861">
          <cell r="B1861">
            <v>45316</v>
          </cell>
          <cell r="E1861" t="str">
            <v>Самойленко В.М.</v>
          </cell>
          <cell r="F1861" t="str">
            <v>МАЗ 264</v>
          </cell>
          <cell r="I1861">
            <v>12</v>
          </cell>
          <cell r="J1861">
            <v>10</v>
          </cell>
          <cell r="K1861">
            <v>1</v>
          </cell>
        </row>
        <row r="1862">
          <cell r="B1862">
            <v>45320</v>
          </cell>
          <cell r="E1862" t="str">
            <v>Самойленко В.М.</v>
          </cell>
          <cell r="F1862" t="str">
            <v>МАЗ 264</v>
          </cell>
          <cell r="I1862">
            <v>12</v>
          </cell>
          <cell r="J1862">
            <v>5</v>
          </cell>
          <cell r="L1862">
            <v>1</v>
          </cell>
        </row>
        <row r="1863">
          <cell r="B1863">
            <v>45321</v>
          </cell>
          <cell r="E1863" t="str">
            <v>Самойленко В.М.</v>
          </cell>
          <cell r="F1863" t="str">
            <v>МАЗ 264</v>
          </cell>
          <cell r="I1863">
            <v>12</v>
          </cell>
          <cell r="J1863">
            <v>5</v>
          </cell>
        </row>
        <row r="1864">
          <cell r="B1864">
            <v>45322</v>
          </cell>
          <cell r="E1864" t="str">
            <v>Самойленко В.М.</v>
          </cell>
          <cell r="F1864" t="str">
            <v>МАЗ 264</v>
          </cell>
          <cell r="I1864">
            <v>12</v>
          </cell>
          <cell r="J1864">
            <v>9</v>
          </cell>
        </row>
        <row r="1865">
          <cell r="B1865">
            <v>45299</v>
          </cell>
          <cell r="E1865" t="str">
            <v>Шамоян А.Д.</v>
          </cell>
          <cell r="F1865" t="str">
            <v>МАЗ 265</v>
          </cell>
          <cell r="I1865">
            <v>13</v>
          </cell>
          <cell r="J1865">
            <v>8</v>
          </cell>
        </row>
        <row r="1866">
          <cell r="B1866">
            <v>45300</v>
          </cell>
          <cell r="E1866" t="str">
            <v>Шамоян А.Д.</v>
          </cell>
          <cell r="F1866" t="str">
            <v>МАЗ 265</v>
          </cell>
          <cell r="I1866">
            <v>13</v>
          </cell>
          <cell r="J1866">
            <v>10</v>
          </cell>
        </row>
        <row r="1867">
          <cell r="B1867">
            <v>45301</v>
          </cell>
          <cell r="E1867" t="str">
            <v>Шамоян А.Д.</v>
          </cell>
          <cell r="F1867" t="str">
            <v>МАЗ 265</v>
          </cell>
          <cell r="I1867">
            <v>13</v>
          </cell>
          <cell r="J1867">
            <v>8</v>
          </cell>
        </row>
        <row r="1868">
          <cell r="B1868">
            <v>45302</v>
          </cell>
          <cell r="E1868" t="str">
            <v>Шамоян А.Д.</v>
          </cell>
          <cell r="F1868" t="str">
            <v>МАЗ 265</v>
          </cell>
          <cell r="I1868">
            <v>13</v>
          </cell>
          <cell r="J1868">
            <v>11</v>
          </cell>
          <cell r="L1868">
            <v>1</v>
          </cell>
        </row>
        <row r="1869">
          <cell r="B1869">
            <v>45303</v>
          </cell>
          <cell r="E1869" t="str">
            <v>Шамоян А.Д.</v>
          </cell>
          <cell r="F1869" t="str">
            <v>МАЗ 265</v>
          </cell>
          <cell r="I1869">
            <v>13</v>
          </cell>
          <cell r="J1869">
            <v>8</v>
          </cell>
        </row>
        <row r="1870">
          <cell r="B1870">
            <v>45304</v>
          </cell>
          <cell r="E1870" t="str">
            <v>Шамоян А.Д.</v>
          </cell>
          <cell r="F1870" t="str">
            <v>МАЗ 265</v>
          </cell>
          <cell r="I1870">
            <v>13</v>
          </cell>
          <cell r="J1870">
            <v>8</v>
          </cell>
        </row>
        <row r="1871">
          <cell r="B1871">
            <v>45305</v>
          </cell>
          <cell r="E1871" t="str">
            <v>Шамоян А.Д.</v>
          </cell>
          <cell r="F1871" t="str">
            <v>МАЗ 265</v>
          </cell>
          <cell r="I1871">
            <v>13</v>
          </cell>
          <cell r="J1871">
            <v>7</v>
          </cell>
        </row>
        <row r="1872">
          <cell r="B1872">
            <v>45306</v>
          </cell>
          <cell r="E1872" t="str">
            <v>Шамоян А.Д.</v>
          </cell>
          <cell r="F1872" t="str">
            <v>МАЗ 265</v>
          </cell>
          <cell r="I1872">
            <v>13</v>
          </cell>
          <cell r="J1872">
            <v>8</v>
          </cell>
        </row>
        <row r="1873">
          <cell r="B1873">
            <v>45307</v>
          </cell>
          <cell r="E1873" t="str">
            <v>Шамоян А.Д.</v>
          </cell>
          <cell r="F1873" t="str">
            <v>МАЗ 265</v>
          </cell>
          <cell r="I1873">
            <v>13</v>
          </cell>
          <cell r="J1873">
            <v>8</v>
          </cell>
        </row>
        <row r="1874">
          <cell r="B1874">
            <v>45308</v>
          </cell>
          <cell r="E1874" t="str">
            <v>Шамоян А.Д.</v>
          </cell>
          <cell r="F1874" t="str">
            <v>МАЗ 265</v>
          </cell>
          <cell r="I1874">
            <v>13</v>
          </cell>
          <cell r="J1874">
            <v>10</v>
          </cell>
          <cell r="L1874">
            <v>1</v>
          </cell>
        </row>
        <row r="1875">
          <cell r="B1875">
            <v>45309</v>
          </cell>
          <cell r="E1875" t="str">
            <v>Шамоян А.Д.</v>
          </cell>
          <cell r="F1875" t="str">
            <v>МАЗ 265</v>
          </cell>
          <cell r="I1875">
            <v>13</v>
          </cell>
          <cell r="J1875">
            <v>10</v>
          </cell>
          <cell r="L1875">
            <v>1</v>
          </cell>
        </row>
        <row r="1876">
          <cell r="B1876">
            <v>45310</v>
          </cell>
          <cell r="E1876" t="str">
            <v>Шамоян А.Д.</v>
          </cell>
          <cell r="F1876" t="str">
            <v>МАЗ 265</v>
          </cell>
          <cell r="I1876">
            <v>13</v>
          </cell>
          <cell r="J1876">
            <v>2</v>
          </cell>
        </row>
        <row r="1877">
          <cell r="B1877">
            <v>45311</v>
          </cell>
          <cell r="E1877" t="str">
            <v>Шамоян А.Д.</v>
          </cell>
          <cell r="F1877" t="str">
            <v>МАЗ 265</v>
          </cell>
          <cell r="I1877">
            <v>13</v>
          </cell>
          <cell r="J1877">
            <v>8</v>
          </cell>
        </row>
        <row r="1878">
          <cell r="B1878">
            <v>45312</v>
          </cell>
          <cell r="E1878" t="str">
            <v>Шамоян А.Д.</v>
          </cell>
          <cell r="F1878" t="str">
            <v>МАЗ 265</v>
          </cell>
          <cell r="I1878">
            <v>13</v>
          </cell>
          <cell r="J1878">
            <v>4</v>
          </cell>
        </row>
        <row r="1879">
          <cell r="B1879">
            <v>45313</v>
          </cell>
          <cell r="E1879" t="str">
            <v>Шамоян А.Д.</v>
          </cell>
          <cell r="F1879" t="str">
            <v>МАЗ 265</v>
          </cell>
          <cell r="I1879">
            <v>13</v>
          </cell>
          <cell r="J1879">
            <v>8</v>
          </cell>
        </row>
        <row r="1880">
          <cell r="B1880">
            <v>45314</v>
          </cell>
          <cell r="E1880" t="str">
            <v>Шамоян А.Д.</v>
          </cell>
          <cell r="F1880" t="str">
            <v>МАЗ 265</v>
          </cell>
          <cell r="I1880">
            <v>13</v>
          </cell>
          <cell r="J1880">
            <v>8</v>
          </cell>
        </row>
        <row r="1881">
          <cell r="B1881">
            <v>45315</v>
          </cell>
          <cell r="E1881" t="str">
            <v>Шамоян А.Д.</v>
          </cell>
          <cell r="F1881" t="str">
            <v>МАЗ 265</v>
          </cell>
          <cell r="I1881">
            <v>13</v>
          </cell>
          <cell r="J1881">
            <v>10</v>
          </cell>
          <cell r="L1881">
            <v>1</v>
          </cell>
        </row>
        <row r="1882">
          <cell r="B1882">
            <v>45316</v>
          </cell>
          <cell r="E1882" t="str">
            <v>Шамоян А.Д.</v>
          </cell>
          <cell r="F1882" t="str">
            <v>МАЗ 265</v>
          </cell>
          <cell r="I1882">
            <v>13</v>
          </cell>
          <cell r="J1882">
            <v>9</v>
          </cell>
        </row>
        <row r="1883">
          <cell r="B1883">
            <v>45320</v>
          </cell>
          <cell r="E1883" t="str">
            <v>Шамоян А.Д.</v>
          </cell>
          <cell r="F1883" t="str">
            <v>МАЗ 265</v>
          </cell>
          <cell r="I1883">
            <v>13</v>
          </cell>
          <cell r="J1883">
            <v>4</v>
          </cell>
        </row>
        <row r="1884">
          <cell r="B1884">
            <v>45321</v>
          </cell>
          <cell r="E1884" t="str">
            <v>Шамоян А.Д.</v>
          </cell>
          <cell r="F1884" t="str">
            <v>МАЗ 265</v>
          </cell>
          <cell r="I1884">
            <v>13</v>
          </cell>
          <cell r="J1884">
            <v>5</v>
          </cell>
        </row>
        <row r="1885">
          <cell r="B1885">
            <v>45322</v>
          </cell>
          <cell r="E1885" t="str">
            <v>Шамоян А.Д.</v>
          </cell>
          <cell r="F1885" t="str">
            <v>МАЗ 265</v>
          </cell>
          <cell r="I1885">
            <v>13</v>
          </cell>
          <cell r="J1885">
            <v>10</v>
          </cell>
          <cell r="L1885">
            <v>1</v>
          </cell>
        </row>
        <row r="1886">
          <cell r="B1886">
            <v>45299</v>
          </cell>
          <cell r="E1886" t="str">
            <v>Божков В.В.</v>
          </cell>
          <cell r="F1886" t="str">
            <v>Самосвал МАЗ</v>
          </cell>
          <cell r="I1886">
            <v>21</v>
          </cell>
          <cell r="J1886">
            <v>8</v>
          </cell>
        </row>
        <row r="1887">
          <cell r="B1887">
            <v>45300</v>
          </cell>
          <cell r="E1887" t="str">
            <v>Божков В.В.</v>
          </cell>
          <cell r="F1887" t="str">
            <v>Самосвал МАЗ</v>
          </cell>
          <cell r="I1887">
            <v>21</v>
          </cell>
          <cell r="J1887">
            <v>10</v>
          </cell>
        </row>
        <row r="1888">
          <cell r="B1888">
            <v>45301</v>
          </cell>
          <cell r="E1888" t="str">
            <v>Божков В.В.</v>
          </cell>
          <cell r="F1888" t="str">
            <v>Самосвал МАЗ</v>
          </cell>
          <cell r="I1888">
            <v>21</v>
          </cell>
          <cell r="J1888">
            <v>8</v>
          </cell>
        </row>
        <row r="1889">
          <cell r="B1889">
            <v>45302</v>
          </cell>
          <cell r="E1889" t="str">
            <v>Божков В.В.</v>
          </cell>
          <cell r="F1889" t="str">
            <v>Самосвал МАЗ</v>
          </cell>
          <cell r="I1889">
            <v>21</v>
          </cell>
          <cell r="J1889">
            <v>11</v>
          </cell>
          <cell r="L1889">
            <v>1</v>
          </cell>
        </row>
        <row r="1890">
          <cell r="B1890">
            <v>45303</v>
          </cell>
          <cell r="E1890" t="str">
            <v>Божков В.В.</v>
          </cell>
          <cell r="F1890" t="str">
            <v>Самосвал МАЗ</v>
          </cell>
          <cell r="I1890">
            <v>21</v>
          </cell>
          <cell r="J1890">
            <v>8</v>
          </cell>
        </row>
        <row r="1891">
          <cell r="B1891">
            <v>45304</v>
          </cell>
          <cell r="E1891" t="str">
            <v>Божков В.В.</v>
          </cell>
          <cell r="F1891" t="str">
            <v>Самосвал МАЗ</v>
          </cell>
          <cell r="I1891">
            <v>21</v>
          </cell>
          <cell r="J1891">
            <v>3</v>
          </cell>
        </row>
        <row r="1892">
          <cell r="B1892">
            <v>45306</v>
          </cell>
          <cell r="E1892" t="str">
            <v>Божков В.В.</v>
          </cell>
          <cell r="F1892" t="str">
            <v>Самосвал МАЗ</v>
          </cell>
          <cell r="I1892">
            <v>21</v>
          </cell>
          <cell r="J1892">
            <v>8</v>
          </cell>
        </row>
        <row r="1893">
          <cell r="B1893">
            <v>45307</v>
          </cell>
          <cell r="E1893" t="str">
            <v>Божков В.В.</v>
          </cell>
          <cell r="F1893" t="str">
            <v>Самосвал МАЗ</v>
          </cell>
          <cell r="I1893">
            <v>21</v>
          </cell>
          <cell r="J1893">
            <v>8</v>
          </cell>
        </row>
        <row r="1894">
          <cell r="B1894">
            <v>45308</v>
          </cell>
          <cell r="E1894" t="str">
            <v>Божков В.В.</v>
          </cell>
          <cell r="F1894" t="str">
            <v>Самосвал МАЗ</v>
          </cell>
          <cell r="I1894">
            <v>21</v>
          </cell>
          <cell r="J1894">
            <v>10</v>
          </cell>
          <cell r="L1894">
            <v>1</v>
          </cell>
        </row>
        <row r="1895">
          <cell r="B1895">
            <v>45309</v>
          </cell>
          <cell r="E1895" t="str">
            <v>Божков В.В.</v>
          </cell>
          <cell r="F1895" t="str">
            <v>Самосвал МАЗ</v>
          </cell>
          <cell r="I1895">
            <v>21</v>
          </cell>
          <cell r="J1895">
            <v>9</v>
          </cell>
        </row>
        <row r="1896">
          <cell r="B1896">
            <v>45310</v>
          </cell>
          <cell r="E1896" t="str">
            <v>Божков В.В.</v>
          </cell>
          <cell r="F1896" t="str">
            <v>Самосвал МАЗ</v>
          </cell>
          <cell r="I1896">
            <v>21</v>
          </cell>
          <cell r="J1896">
            <v>2</v>
          </cell>
        </row>
        <row r="1897">
          <cell r="B1897">
            <v>45311</v>
          </cell>
          <cell r="E1897" t="str">
            <v>Божков В.В.</v>
          </cell>
          <cell r="F1897" t="str">
            <v>Самосвал МАЗ</v>
          </cell>
          <cell r="I1897">
            <v>21</v>
          </cell>
          <cell r="J1897">
            <v>9</v>
          </cell>
          <cell r="L1897">
            <v>1</v>
          </cell>
        </row>
        <row r="1898">
          <cell r="B1898">
            <v>45312</v>
          </cell>
          <cell r="E1898" t="str">
            <v>Божков В.В.</v>
          </cell>
          <cell r="F1898" t="str">
            <v>Самосвал МАЗ</v>
          </cell>
          <cell r="I1898">
            <v>21</v>
          </cell>
          <cell r="J1898">
            <v>4</v>
          </cell>
        </row>
        <row r="1899">
          <cell r="B1899">
            <v>45313</v>
          </cell>
          <cell r="E1899" t="str">
            <v>Божков В.В.</v>
          </cell>
          <cell r="F1899" t="str">
            <v>Самосвал МАЗ</v>
          </cell>
          <cell r="I1899">
            <v>21</v>
          </cell>
          <cell r="J1899">
            <v>8</v>
          </cell>
        </row>
        <row r="1900">
          <cell r="B1900">
            <v>45314</v>
          </cell>
          <cell r="E1900" t="str">
            <v>Божков В.В.</v>
          </cell>
          <cell r="F1900" t="str">
            <v>Самосвал МАЗ</v>
          </cell>
          <cell r="I1900">
            <v>21</v>
          </cell>
          <cell r="J1900">
            <v>8</v>
          </cell>
        </row>
        <row r="1901">
          <cell r="B1901">
            <v>45315</v>
          </cell>
          <cell r="E1901" t="str">
            <v>Божков В.В.</v>
          </cell>
          <cell r="F1901" t="str">
            <v>Самосвал МАЗ</v>
          </cell>
          <cell r="I1901">
            <v>21</v>
          </cell>
          <cell r="J1901">
            <v>10</v>
          </cell>
          <cell r="L1901">
            <v>1</v>
          </cell>
        </row>
        <row r="1902">
          <cell r="B1902">
            <v>45316</v>
          </cell>
          <cell r="E1902" t="str">
            <v>Божков В.В.</v>
          </cell>
          <cell r="F1902" t="str">
            <v>Самосвал МАЗ</v>
          </cell>
          <cell r="I1902">
            <v>21</v>
          </cell>
          <cell r="J1902">
            <v>10</v>
          </cell>
          <cell r="K1902">
            <v>1</v>
          </cell>
        </row>
        <row r="1903">
          <cell r="B1903">
            <v>45320</v>
          </cell>
          <cell r="E1903" t="str">
            <v>Божков В.В.</v>
          </cell>
          <cell r="F1903" t="str">
            <v>Самосвал МАЗ</v>
          </cell>
          <cell r="I1903">
            <v>21</v>
          </cell>
          <cell r="J1903">
            <v>4</v>
          </cell>
        </row>
        <row r="1904">
          <cell r="B1904">
            <v>45321</v>
          </cell>
          <cell r="E1904" t="str">
            <v>Божков В.В.</v>
          </cell>
          <cell r="F1904" t="str">
            <v>Самосвал МАЗ</v>
          </cell>
          <cell r="I1904">
            <v>21</v>
          </cell>
          <cell r="J1904">
            <v>5</v>
          </cell>
        </row>
        <row r="1905">
          <cell r="B1905">
            <v>45322</v>
          </cell>
          <cell r="E1905" t="str">
            <v>Божков В.В.</v>
          </cell>
          <cell r="F1905" t="str">
            <v>Самосвал МАЗ</v>
          </cell>
          <cell r="I1905">
            <v>21</v>
          </cell>
          <cell r="J1905">
            <v>10</v>
          </cell>
          <cell r="K1905">
            <v>1</v>
          </cell>
        </row>
        <row r="1906">
          <cell r="B1906">
            <v>45301</v>
          </cell>
          <cell r="E1906" t="str">
            <v>Трохименко В.Я.</v>
          </cell>
          <cell r="F1906" t="str">
            <v>РДК 250 (2)</v>
          </cell>
          <cell r="I1906">
            <v>15</v>
          </cell>
          <cell r="J1906">
            <v>8</v>
          </cell>
        </row>
        <row r="1907">
          <cell r="B1907">
            <v>45302</v>
          </cell>
          <cell r="E1907" t="str">
            <v>Трохименко В.Я.</v>
          </cell>
          <cell r="F1907" t="str">
            <v>РДК 250 (2)</v>
          </cell>
          <cell r="I1907">
            <v>15</v>
          </cell>
          <cell r="J1907">
            <v>8</v>
          </cell>
        </row>
        <row r="1908">
          <cell r="B1908">
            <v>45303</v>
          </cell>
          <cell r="E1908" t="str">
            <v>Трохименко В.Я.</v>
          </cell>
          <cell r="F1908" t="str">
            <v>РДК 250 (2)</v>
          </cell>
          <cell r="I1908">
            <v>15</v>
          </cell>
          <cell r="J1908">
            <v>8</v>
          </cell>
        </row>
        <row r="1909">
          <cell r="B1909">
            <v>45304</v>
          </cell>
          <cell r="E1909" t="str">
            <v>Трохименко В.Я.</v>
          </cell>
          <cell r="F1909" t="str">
            <v>РДК 250 (2)</v>
          </cell>
          <cell r="I1909">
            <v>15</v>
          </cell>
          <cell r="J1909">
            <v>8</v>
          </cell>
        </row>
        <row r="1910">
          <cell r="B1910">
            <v>45305</v>
          </cell>
          <cell r="E1910" t="str">
            <v>Трохименко В.Я.</v>
          </cell>
          <cell r="F1910" t="str">
            <v>РДК 250 (2)</v>
          </cell>
          <cell r="I1910">
            <v>15</v>
          </cell>
          <cell r="J1910">
            <v>4</v>
          </cell>
        </row>
        <row r="1911">
          <cell r="B1911">
            <v>45306</v>
          </cell>
          <cell r="E1911" t="str">
            <v>Трохименко В.Я.</v>
          </cell>
          <cell r="F1911" t="str">
            <v>РДК 250 (2)</v>
          </cell>
          <cell r="I1911">
            <v>15</v>
          </cell>
          <cell r="J1911">
            <v>8</v>
          </cell>
        </row>
        <row r="1912">
          <cell r="B1912">
            <v>45307</v>
          </cell>
          <cell r="E1912" t="str">
            <v>Трохименко В.Я.</v>
          </cell>
          <cell r="F1912" t="str">
            <v>РДК 250 (2)</v>
          </cell>
          <cell r="I1912">
            <v>15</v>
          </cell>
          <cell r="J1912">
            <v>8</v>
          </cell>
        </row>
        <row r="1913">
          <cell r="B1913">
            <v>45308</v>
          </cell>
          <cell r="E1913" t="str">
            <v>Трохименко В.Я.</v>
          </cell>
          <cell r="F1913" t="str">
            <v>РДК 250 (2)</v>
          </cell>
          <cell r="I1913">
            <v>15</v>
          </cell>
          <cell r="J1913">
            <v>8</v>
          </cell>
        </row>
        <row r="1914">
          <cell r="B1914">
            <v>45309</v>
          </cell>
          <cell r="E1914" t="str">
            <v>Трохименко В.Я.</v>
          </cell>
          <cell r="F1914" t="str">
            <v>РДК 250 (2)</v>
          </cell>
          <cell r="I1914">
            <v>15</v>
          </cell>
          <cell r="J1914">
            <v>8</v>
          </cell>
        </row>
        <row r="1915">
          <cell r="B1915">
            <v>45310</v>
          </cell>
          <cell r="E1915" t="str">
            <v>Трохименко В.Я.</v>
          </cell>
          <cell r="F1915" t="str">
            <v>РДК 250 (2)</v>
          </cell>
          <cell r="I1915">
            <v>15</v>
          </cell>
          <cell r="J1915">
            <v>8</v>
          </cell>
        </row>
        <row r="1916">
          <cell r="B1916">
            <v>45311</v>
          </cell>
          <cell r="E1916" t="str">
            <v>Трохименко В.Я.</v>
          </cell>
          <cell r="F1916" t="str">
            <v>РДК 250 (2)</v>
          </cell>
          <cell r="I1916">
            <v>15</v>
          </cell>
          <cell r="J1916">
            <v>8</v>
          </cell>
        </row>
        <row r="1917">
          <cell r="B1917">
            <v>45312</v>
          </cell>
          <cell r="E1917" t="str">
            <v>Трохименко В.Я.</v>
          </cell>
          <cell r="F1917" t="str">
            <v>РДК 250 (2)</v>
          </cell>
          <cell r="I1917">
            <v>15</v>
          </cell>
          <cell r="J1917">
            <v>2</v>
          </cell>
        </row>
        <row r="1918">
          <cell r="B1918">
            <v>45313</v>
          </cell>
          <cell r="E1918" t="str">
            <v>Трохименко В.Я.</v>
          </cell>
          <cell r="F1918" t="str">
            <v>РДК 250 (2)</v>
          </cell>
          <cell r="I1918">
            <v>15</v>
          </cell>
          <cell r="J1918">
            <v>8</v>
          </cell>
        </row>
        <row r="1919">
          <cell r="B1919">
            <v>45314</v>
          </cell>
          <cell r="E1919" t="str">
            <v>Трохименко В.Я.</v>
          </cell>
          <cell r="F1919" t="str">
            <v>РДК 250 (2)</v>
          </cell>
          <cell r="I1919">
            <v>15</v>
          </cell>
          <cell r="J1919">
            <v>8</v>
          </cell>
        </row>
        <row r="1920">
          <cell r="B1920">
            <v>45315</v>
          </cell>
          <cell r="E1920" t="str">
            <v>Трохименко В.Я.</v>
          </cell>
          <cell r="F1920" t="str">
            <v>РДК 250 (2)</v>
          </cell>
          <cell r="I1920">
            <v>15</v>
          </cell>
          <cell r="J1920">
            <v>9</v>
          </cell>
        </row>
        <row r="1921">
          <cell r="B1921">
            <v>45316</v>
          </cell>
          <cell r="E1921" t="str">
            <v>Трохименко В.Я.</v>
          </cell>
          <cell r="F1921" t="str">
            <v>РДК 250 (2)</v>
          </cell>
          <cell r="I1921">
            <v>15</v>
          </cell>
          <cell r="J1921">
            <v>11</v>
          </cell>
        </row>
        <row r="1922">
          <cell r="B1922">
            <v>45317</v>
          </cell>
          <cell r="E1922" t="str">
            <v>Трохименко В.Я.</v>
          </cell>
          <cell r="F1922" t="str">
            <v>РДК 250 (2)</v>
          </cell>
          <cell r="I1922">
            <v>15</v>
          </cell>
          <cell r="J1922">
            <v>8</v>
          </cell>
        </row>
        <row r="1923">
          <cell r="B1923">
            <v>45318</v>
          </cell>
          <cell r="E1923" t="str">
            <v>Трохименко В.Я.</v>
          </cell>
          <cell r="F1923" t="str">
            <v>РДК 250 (2)</v>
          </cell>
          <cell r="I1923">
            <v>15</v>
          </cell>
          <cell r="J1923">
            <v>4</v>
          </cell>
        </row>
        <row r="1924">
          <cell r="B1924">
            <v>45320</v>
          </cell>
          <cell r="E1924" t="str">
            <v>Трохименко В.Я.</v>
          </cell>
          <cell r="F1924" t="str">
            <v>РДК 250 (2)</v>
          </cell>
          <cell r="I1924">
            <v>15</v>
          </cell>
          <cell r="J1924">
            <v>8</v>
          </cell>
        </row>
        <row r="1925">
          <cell r="B1925">
            <v>45321</v>
          </cell>
          <cell r="E1925" t="str">
            <v>Трохименко В.Я.</v>
          </cell>
          <cell r="F1925" t="str">
            <v>РДК 250 (2)</v>
          </cell>
          <cell r="I1925">
            <v>15</v>
          </cell>
          <cell r="J1925">
            <v>8</v>
          </cell>
        </row>
        <row r="1926">
          <cell r="B1926">
            <v>45322</v>
          </cell>
          <cell r="E1926" t="str">
            <v>Трохименко В.Я.</v>
          </cell>
          <cell r="F1926" t="str">
            <v>РДК 250 (2)</v>
          </cell>
          <cell r="I1926">
            <v>15</v>
          </cell>
          <cell r="J1926">
            <v>8</v>
          </cell>
        </row>
        <row r="1927">
          <cell r="B1927">
            <v>45329</v>
          </cell>
          <cell r="E1927" t="str">
            <v>Горячий І.В.</v>
          </cell>
          <cell r="F1927" t="str">
            <v>Телескоп №1</v>
          </cell>
          <cell r="I1927">
            <v>1</v>
          </cell>
          <cell r="J1927">
            <v>9</v>
          </cell>
          <cell r="K1927">
            <v>1</v>
          </cell>
          <cell r="L1927">
            <v>1</v>
          </cell>
        </row>
        <row r="1928">
          <cell r="B1928">
            <v>45330</v>
          </cell>
          <cell r="E1928" t="str">
            <v>Горячий І.В.</v>
          </cell>
          <cell r="F1928" t="str">
            <v>Телескоп №1</v>
          </cell>
          <cell r="I1928">
            <v>1</v>
          </cell>
          <cell r="J1928">
            <v>8</v>
          </cell>
        </row>
        <row r="1929">
          <cell r="B1929">
            <v>45331</v>
          </cell>
          <cell r="E1929" t="str">
            <v>Горячий І.В.</v>
          </cell>
          <cell r="F1929" t="str">
            <v>Телескоп №1</v>
          </cell>
          <cell r="I1929">
            <v>1</v>
          </cell>
          <cell r="J1929">
            <v>7</v>
          </cell>
        </row>
        <row r="1930">
          <cell r="B1930">
            <v>45334</v>
          </cell>
          <cell r="E1930" t="str">
            <v>Горячий І.В.</v>
          </cell>
          <cell r="F1930" t="str">
            <v>Телескоп №1</v>
          </cell>
          <cell r="I1930">
            <v>1</v>
          </cell>
          <cell r="J1930">
            <v>9</v>
          </cell>
          <cell r="L1930">
            <v>1</v>
          </cell>
        </row>
        <row r="1931">
          <cell r="B1931">
            <v>45335</v>
          </cell>
          <cell r="E1931" t="str">
            <v>Горячий І.В.</v>
          </cell>
          <cell r="F1931" t="str">
            <v>Телескоп №1</v>
          </cell>
          <cell r="I1931">
            <v>1</v>
          </cell>
          <cell r="J1931">
            <v>10</v>
          </cell>
          <cell r="K1931">
            <v>3</v>
          </cell>
        </row>
        <row r="1932">
          <cell r="B1932">
            <v>45336</v>
          </cell>
          <cell r="E1932" t="str">
            <v>Горячий І.В.</v>
          </cell>
          <cell r="F1932" t="str">
            <v>Телескоп №1</v>
          </cell>
          <cell r="I1932">
            <v>1</v>
          </cell>
          <cell r="J1932">
            <v>9</v>
          </cell>
        </row>
        <row r="1933">
          <cell r="B1933">
            <v>45337</v>
          </cell>
          <cell r="E1933" t="str">
            <v>Горячий І.В.</v>
          </cell>
          <cell r="F1933" t="str">
            <v>Телескоп №1</v>
          </cell>
          <cell r="I1933">
            <v>1</v>
          </cell>
          <cell r="J1933">
            <v>9</v>
          </cell>
          <cell r="L1933">
            <v>1</v>
          </cell>
        </row>
        <row r="1934">
          <cell r="B1934">
            <v>45323</v>
          </cell>
          <cell r="E1934" t="str">
            <v>Савранский І.В.</v>
          </cell>
          <cell r="F1934" t="str">
            <v>Телескоп №2</v>
          </cell>
          <cell r="I1934">
            <v>2</v>
          </cell>
          <cell r="J1934">
            <v>8</v>
          </cell>
        </row>
        <row r="1935">
          <cell r="B1935">
            <v>45324</v>
          </cell>
          <cell r="E1935" t="str">
            <v>Савранский І.В.</v>
          </cell>
          <cell r="F1935" t="str">
            <v>Телескоп №2</v>
          </cell>
          <cell r="I1935">
            <v>2</v>
          </cell>
          <cell r="J1935">
            <v>8</v>
          </cell>
        </row>
        <row r="1936">
          <cell r="B1936">
            <v>45325</v>
          </cell>
          <cell r="E1936" t="str">
            <v>Савранский І.В.</v>
          </cell>
          <cell r="F1936" t="str">
            <v>Телескоп №2</v>
          </cell>
          <cell r="I1936">
            <v>2</v>
          </cell>
          <cell r="J1936">
            <v>8</v>
          </cell>
        </row>
        <row r="1937">
          <cell r="B1937">
            <v>45326</v>
          </cell>
          <cell r="E1937" t="str">
            <v>Савранский І.В.</v>
          </cell>
          <cell r="F1937" t="str">
            <v>Телескоп №2</v>
          </cell>
          <cell r="I1937">
            <v>2</v>
          </cell>
          <cell r="J1937">
            <v>8</v>
          </cell>
        </row>
        <row r="1938">
          <cell r="B1938">
            <v>45327</v>
          </cell>
          <cell r="E1938" t="str">
            <v>Савранский І.В.</v>
          </cell>
          <cell r="F1938" t="str">
            <v>Телескоп №2</v>
          </cell>
          <cell r="I1938">
            <v>2</v>
          </cell>
          <cell r="J1938">
            <v>8</v>
          </cell>
          <cell r="L1938">
            <v>1</v>
          </cell>
        </row>
        <row r="1939">
          <cell r="B1939">
            <v>45328</v>
          </cell>
          <cell r="E1939" t="str">
            <v>Савранский І.В.</v>
          </cell>
          <cell r="F1939" t="str">
            <v>Телескоп №2</v>
          </cell>
          <cell r="I1939">
            <v>2</v>
          </cell>
          <cell r="J1939">
            <v>4</v>
          </cell>
          <cell r="K1939">
            <v>4</v>
          </cell>
        </row>
        <row r="1940">
          <cell r="B1940">
            <v>45329</v>
          </cell>
          <cell r="E1940" t="str">
            <v>Савранский І.В.</v>
          </cell>
          <cell r="F1940" t="str">
            <v>Телескоп №2</v>
          </cell>
          <cell r="I1940">
            <v>2</v>
          </cell>
          <cell r="J1940">
            <v>8</v>
          </cell>
        </row>
        <row r="1941">
          <cell r="B1941">
            <v>45330</v>
          </cell>
          <cell r="E1941" t="str">
            <v>Савранский І.В.</v>
          </cell>
          <cell r="F1941" t="str">
            <v>Телескоп №2</v>
          </cell>
          <cell r="I1941">
            <v>2</v>
          </cell>
          <cell r="J1941">
            <v>8</v>
          </cell>
        </row>
        <row r="1942">
          <cell r="B1942">
            <v>45331</v>
          </cell>
          <cell r="E1942" t="str">
            <v>Савранский І.В.</v>
          </cell>
          <cell r="F1942" t="str">
            <v>Телескоп №2</v>
          </cell>
          <cell r="I1942">
            <v>2</v>
          </cell>
          <cell r="J1942">
            <v>8</v>
          </cell>
        </row>
        <row r="1943">
          <cell r="B1943">
            <v>45332</v>
          </cell>
          <cell r="E1943" t="str">
            <v>Савранский І.В.</v>
          </cell>
          <cell r="F1943" t="str">
            <v>Телескоп №2</v>
          </cell>
          <cell r="I1943">
            <v>2</v>
          </cell>
          <cell r="J1943">
            <v>8</v>
          </cell>
        </row>
        <row r="1944">
          <cell r="B1944">
            <v>45334</v>
          </cell>
          <cell r="E1944" t="str">
            <v>Савранский І.В.</v>
          </cell>
          <cell r="F1944" t="str">
            <v>Телескоп №2</v>
          </cell>
          <cell r="I1944">
            <v>2</v>
          </cell>
          <cell r="J1944">
            <v>7</v>
          </cell>
          <cell r="L1944">
            <v>1</v>
          </cell>
        </row>
        <row r="1945">
          <cell r="B1945">
            <v>45335</v>
          </cell>
          <cell r="E1945" t="str">
            <v>Савранский І.В.</v>
          </cell>
          <cell r="F1945" t="str">
            <v>Телескоп №2</v>
          </cell>
          <cell r="I1945">
            <v>2</v>
          </cell>
          <cell r="J1945">
            <v>8</v>
          </cell>
        </row>
        <row r="1946">
          <cell r="B1946">
            <v>45336</v>
          </cell>
          <cell r="E1946" t="str">
            <v>Савранский І.В.</v>
          </cell>
          <cell r="F1946" t="str">
            <v>Телескоп №2</v>
          </cell>
          <cell r="I1946">
            <v>2</v>
          </cell>
          <cell r="J1946">
            <v>8</v>
          </cell>
        </row>
        <row r="1947">
          <cell r="B1947">
            <v>45337</v>
          </cell>
          <cell r="E1947" t="str">
            <v>Савранский І.В.</v>
          </cell>
          <cell r="F1947" t="str">
            <v>Телескоп №2</v>
          </cell>
          <cell r="I1947">
            <v>2</v>
          </cell>
          <cell r="J1947">
            <v>8</v>
          </cell>
        </row>
        <row r="1948">
          <cell r="B1948">
            <v>45323</v>
          </cell>
          <cell r="E1948" t="str">
            <v>Косік Ю.А.</v>
          </cell>
          <cell r="F1948" t="str">
            <v>Телескоп №4</v>
          </cell>
          <cell r="I1948">
            <v>4</v>
          </cell>
          <cell r="J1948">
            <v>8</v>
          </cell>
        </row>
        <row r="1949">
          <cell r="B1949">
            <v>45324</v>
          </cell>
          <cell r="E1949" t="str">
            <v>Косік Ю.А.</v>
          </cell>
          <cell r="F1949" t="str">
            <v>Телескоп №4</v>
          </cell>
          <cell r="I1949">
            <v>4</v>
          </cell>
          <cell r="J1949">
            <v>8</v>
          </cell>
        </row>
        <row r="1950">
          <cell r="B1950">
            <v>45325</v>
          </cell>
          <cell r="E1950" t="str">
            <v>Косік Ю.А.</v>
          </cell>
          <cell r="F1950" t="str">
            <v>Телескоп №4</v>
          </cell>
          <cell r="I1950">
            <v>4</v>
          </cell>
          <cell r="J1950">
            <v>6</v>
          </cell>
        </row>
        <row r="1951">
          <cell r="B1951">
            <v>45327</v>
          </cell>
          <cell r="E1951" t="str">
            <v>Косік Ю.А.</v>
          </cell>
          <cell r="F1951" t="str">
            <v>Телескоп №4</v>
          </cell>
          <cell r="I1951">
            <v>4</v>
          </cell>
          <cell r="J1951">
            <v>8</v>
          </cell>
        </row>
        <row r="1952">
          <cell r="B1952">
            <v>45328</v>
          </cell>
          <cell r="E1952" t="str">
            <v>Косік Ю.А.</v>
          </cell>
          <cell r="F1952" t="str">
            <v>Телескоп №4</v>
          </cell>
          <cell r="I1952">
            <v>4</v>
          </cell>
          <cell r="J1952">
            <v>8</v>
          </cell>
        </row>
        <row r="1953">
          <cell r="B1953">
            <v>45329</v>
          </cell>
          <cell r="E1953" t="str">
            <v>Косік Ю.А.</v>
          </cell>
          <cell r="F1953" t="str">
            <v>Телескоп №4</v>
          </cell>
          <cell r="I1953">
            <v>4</v>
          </cell>
          <cell r="J1953">
            <v>8</v>
          </cell>
        </row>
        <row r="1954">
          <cell r="B1954">
            <v>45330</v>
          </cell>
          <cell r="E1954" t="str">
            <v>Косік Ю.А.</v>
          </cell>
          <cell r="F1954" t="str">
            <v>Телескоп №4</v>
          </cell>
          <cell r="I1954">
            <v>4</v>
          </cell>
          <cell r="J1954">
            <v>8</v>
          </cell>
        </row>
        <row r="1955">
          <cell r="B1955">
            <v>45331</v>
          </cell>
          <cell r="E1955" t="str">
            <v>Косік Ю.А.</v>
          </cell>
          <cell r="F1955" t="str">
            <v>Телескоп №4</v>
          </cell>
          <cell r="I1955">
            <v>4</v>
          </cell>
          <cell r="J1955">
            <v>6</v>
          </cell>
        </row>
        <row r="1956">
          <cell r="B1956">
            <v>45334</v>
          </cell>
          <cell r="E1956" t="str">
            <v>Косік Ю.А.</v>
          </cell>
          <cell r="F1956" t="str">
            <v>Телескоп №4</v>
          </cell>
          <cell r="I1956">
            <v>4</v>
          </cell>
          <cell r="J1956">
            <v>8</v>
          </cell>
        </row>
        <row r="1957">
          <cell r="B1957">
            <v>45335</v>
          </cell>
          <cell r="E1957" t="str">
            <v>Косік Ю.А.</v>
          </cell>
          <cell r="F1957" t="str">
            <v>Телескоп №4</v>
          </cell>
          <cell r="I1957">
            <v>4</v>
          </cell>
          <cell r="J1957">
            <v>8</v>
          </cell>
        </row>
        <row r="1958">
          <cell r="B1958">
            <v>45336</v>
          </cell>
          <cell r="E1958" t="str">
            <v>Косік Ю.А.</v>
          </cell>
          <cell r="F1958" t="str">
            <v>Телескоп №4</v>
          </cell>
          <cell r="I1958">
            <v>4</v>
          </cell>
          <cell r="J1958">
            <v>8</v>
          </cell>
        </row>
        <row r="1959">
          <cell r="B1959">
            <v>45337</v>
          </cell>
          <cell r="E1959" t="str">
            <v>Косік Ю.А.</v>
          </cell>
          <cell r="F1959" t="str">
            <v>Телескоп №4</v>
          </cell>
          <cell r="I1959">
            <v>4</v>
          </cell>
          <cell r="J1959">
            <v>8</v>
          </cell>
        </row>
        <row r="1960">
          <cell r="B1960">
            <v>45338</v>
          </cell>
          <cell r="E1960" t="str">
            <v>Косік Ю.А.</v>
          </cell>
          <cell r="F1960" t="str">
            <v>Телескоп №4</v>
          </cell>
          <cell r="I1960">
            <v>4</v>
          </cell>
          <cell r="J1960">
            <v>8</v>
          </cell>
        </row>
        <row r="1961">
          <cell r="B1961">
            <v>45339</v>
          </cell>
          <cell r="E1961" t="str">
            <v>Косік Ю.А.</v>
          </cell>
          <cell r="F1961" t="str">
            <v>Телескоп №4</v>
          </cell>
          <cell r="I1961">
            <v>4</v>
          </cell>
          <cell r="J1961">
            <v>7</v>
          </cell>
        </row>
        <row r="1962">
          <cell r="B1962">
            <v>45341</v>
          </cell>
          <cell r="E1962" t="str">
            <v>Косік Ю.А.</v>
          </cell>
          <cell r="F1962" t="str">
            <v>Телескоп №4</v>
          </cell>
          <cell r="I1962">
            <v>4</v>
          </cell>
          <cell r="J1962">
            <v>8</v>
          </cell>
        </row>
        <row r="1963">
          <cell r="B1963">
            <v>45342</v>
          </cell>
          <cell r="E1963" t="str">
            <v>Косік Ю.А.</v>
          </cell>
          <cell r="F1963" t="str">
            <v>Телескоп №4</v>
          </cell>
          <cell r="I1963">
            <v>4</v>
          </cell>
          <cell r="J1963">
            <v>8</v>
          </cell>
        </row>
        <row r="1964">
          <cell r="B1964">
            <v>45343</v>
          </cell>
          <cell r="E1964" t="str">
            <v>Косік Ю.А.</v>
          </cell>
          <cell r="F1964" t="str">
            <v>Телескоп №4</v>
          </cell>
          <cell r="I1964">
            <v>4</v>
          </cell>
          <cell r="J1964">
            <v>8</v>
          </cell>
        </row>
        <row r="1965">
          <cell r="B1965">
            <v>45344</v>
          </cell>
          <cell r="E1965" t="str">
            <v>Косік Ю.А.</v>
          </cell>
          <cell r="F1965" t="str">
            <v>Телескоп №4</v>
          </cell>
          <cell r="I1965">
            <v>4</v>
          </cell>
          <cell r="J1965">
            <v>9</v>
          </cell>
        </row>
        <row r="1966">
          <cell r="B1966">
            <v>45345</v>
          </cell>
          <cell r="E1966" t="str">
            <v>Косік Ю.А.</v>
          </cell>
          <cell r="F1966" t="str">
            <v>Телескоп №4</v>
          </cell>
          <cell r="I1966">
            <v>4</v>
          </cell>
          <cell r="J1966">
            <v>9</v>
          </cell>
        </row>
        <row r="1967">
          <cell r="B1967">
            <v>45346</v>
          </cell>
          <cell r="E1967" t="str">
            <v>Косік Ю.А.</v>
          </cell>
          <cell r="F1967" t="str">
            <v>Телескоп №4</v>
          </cell>
          <cell r="I1967">
            <v>4</v>
          </cell>
          <cell r="J1967">
            <v>7</v>
          </cell>
        </row>
        <row r="1968">
          <cell r="B1968">
            <v>45348</v>
          </cell>
          <cell r="E1968" t="str">
            <v>Косік Ю.А.</v>
          </cell>
          <cell r="F1968" t="str">
            <v>Телескоп №4</v>
          </cell>
          <cell r="I1968">
            <v>4</v>
          </cell>
          <cell r="J1968">
            <v>8</v>
          </cell>
        </row>
        <row r="1969">
          <cell r="B1969">
            <v>45349</v>
          </cell>
          <cell r="E1969" t="str">
            <v>Косік Ю.А.</v>
          </cell>
          <cell r="F1969" t="str">
            <v>Телескоп №4</v>
          </cell>
          <cell r="I1969">
            <v>4</v>
          </cell>
          <cell r="J1969">
            <v>6</v>
          </cell>
          <cell r="K1969">
            <v>2</v>
          </cell>
        </row>
        <row r="1970">
          <cell r="B1970">
            <v>45323</v>
          </cell>
          <cell r="E1970" t="str">
            <v>Горячий І.В.</v>
          </cell>
          <cell r="F1970" t="str">
            <v>Телескоп №5</v>
          </cell>
          <cell r="I1970">
            <v>5</v>
          </cell>
          <cell r="J1970">
            <v>14</v>
          </cell>
          <cell r="K1970">
            <v>4</v>
          </cell>
          <cell r="L1970">
            <v>1</v>
          </cell>
        </row>
        <row r="1971">
          <cell r="B1971">
            <v>45324</v>
          </cell>
          <cell r="E1971" t="str">
            <v>Горячий І.В.</v>
          </cell>
          <cell r="F1971" t="str">
            <v>Телескоп №5</v>
          </cell>
          <cell r="I1971">
            <v>5</v>
          </cell>
          <cell r="J1971">
            <v>10</v>
          </cell>
        </row>
        <row r="1972">
          <cell r="B1972">
            <v>45325</v>
          </cell>
          <cell r="E1972" t="str">
            <v>Горячий І.В.</v>
          </cell>
          <cell r="F1972" t="str">
            <v>Телескоп №5</v>
          </cell>
          <cell r="I1972">
            <v>5</v>
          </cell>
          <cell r="J1972">
            <v>10</v>
          </cell>
          <cell r="L1972">
            <v>1</v>
          </cell>
        </row>
        <row r="1973">
          <cell r="B1973">
            <v>45326</v>
          </cell>
          <cell r="E1973" t="str">
            <v>Горячий І.В.</v>
          </cell>
          <cell r="F1973" t="str">
            <v>Телескоп №5</v>
          </cell>
          <cell r="I1973">
            <v>5</v>
          </cell>
          <cell r="J1973">
            <v>7</v>
          </cell>
          <cell r="K1973">
            <v>1</v>
          </cell>
        </row>
        <row r="1974">
          <cell r="B1974">
            <v>45327</v>
          </cell>
          <cell r="E1974" t="str">
            <v>Горячий І.В.</v>
          </cell>
          <cell r="F1974" t="str">
            <v>Телескоп №5</v>
          </cell>
          <cell r="I1974">
            <v>5</v>
          </cell>
          <cell r="J1974">
            <v>12</v>
          </cell>
        </row>
        <row r="1975">
          <cell r="B1975">
            <v>45328</v>
          </cell>
          <cell r="E1975" t="str">
            <v>Горячий І.В.</v>
          </cell>
          <cell r="F1975" t="str">
            <v>Телескоп №5</v>
          </cell>
          <cell r="I1975">
            <v>5</v>
          </cell>
          <cell r="J1975">
            <v>10</v>
          </cell>
          <cell r="L1975">
            <v>1</v>
          </cell>
        </row>
        <row r="1976">
          <cell r="B1976">
            <v>45323</v>
          </cell>
          <cell r="E1976" t="str">
            <v>Божков В.В.</v>
          </cell>
          <cell r="F1976" t="str">
            <v>Самосвал МАЗ</v>
          </cell>
          <cell r="I1976">
            <v>21</v>
          </cell>
          <cell r="J1976">
            <v>13</v>
          </cell>
          <cell r="K1976">
            <v>4</v>
          </cell>
        </row>
        <row r="1977">
          <cell r="B1977">
            <v>45324</v>
          </cell>
          <cell r="E1977" t="str">
            <v>Божков В.В.</v>
          </cell>
          <cell r="F1977" t="str">
            <v>Самосвал МАЗ</v>
          </cell>
          <cell r="I1977">
            <v>21</v>
          </cell>
          <cell r="J1977">
            <v>11</v>
          </cell>
          <cell r="L1977">
            <v>1</v>
          </cell>
        </row>
        <row r="1978">
          <cell r="B1978">
            <v>45325</v>
          </cell>
          <cell r="E1978" t="str">
            <v>Божков В.В.</v>
          </cell>
          <cell r="F1978" t="str">
            <v>Самосвал МАЗ</v>
          </cell>
          <cell r="I1978">
            <v>21</v>
          </cell>
          <cell r="J1978">
            <v>7</v>
          </cell>
        </row>
        <row r="1979">
          <cell r="B1979">
            <v>45326</v>
          </cell>
          <cell r="E1979" t="str">
            <v>Божков В.В.</v>
          </cell>
          <cell r="F1979" t="str">
            <v>Самосвал МАЗ</v>
          </cell>
          <cell r="I1979">
            <v>21</v>
          </cell>
          <cell r="J1979">
            <v>6</v>
          </cell>
        </row>
        <row r="1980">
          <cell r="B1980">
            <v>45327</v>
          </cell>
          <cell r="E1980" t="str">
            <v>Божков В.В.</v>
          </cell>
          <cell r="F1980" t="str">
            <v>Самосвал МАЗ</v>
          </cell>
          <cell r="I1980">
            <v>21</v>
          </cell>
          <cell r="J1980">
            <v>5</v>
          </cell>
          <cell r="L1980">
            <v>1</v>
          </cell>
        </row>
        <row r="1981">
          <cell r="B1981">
            <v>45329</v>
          </cell>
          <cell r="E1981" t="str">
            <v>Божков В.В.</v>
          </cell>
          <cell r="F1981" t="str">
            <v>Самосвал МАЗ</v>
          </cell>
          <cell r="I1981">
            <v>21</v>
          </cell>
          <cell r="J1981">
            <v>8</v>
          </cell>
        </row>
        <row r="1982">
          <cell r="B1982">
            <v>45330</v>
          </cell>
          <cell r="E1982" t="str">
            <v>Божков В.В.</v>
          </cell>
          <cell r="F1982" t="str">
            <v>Самосвал МАЗ</v>
          </cell>
          <cell r="I1982">
            <v>21</v>
          </cell>
          <cell r="J1982">
            <v>8</v>
          </cell>
        </row>
        <row r="1983">
          <cell r="B1983">
            <v>45331</v>
          </cell>
          <cell r="E1983" t="str">
            <v>Божков В.В.</v>
          </cell>
          <cell r="F1983" t="str">
            <v>Самосвал МАЗ</v>
          </cell>
          <cell r="I1983">
            <v>21</v>
          </cell>
          <cell r="J1983">
            <v>4</v>
          </cell>
        </row>
        <row r="1984">
          <cell r="B1984">
            <v>45332</v>
          </cell>
          <cell r="E1984" t="str">
            <v>Божков В.В.</v>
          </cell>
          <cell r="F1984" t="str">
            <v>Самосвал МАЗ</v>
          </cell>
          <cell r="I1984">
            <v>21</v>
          </cell>
          <cell r="J1984">
            <v>5</v>
          </cell>
          <cell r="K1984">
            <v>4</v>
          </cell>
          <cell r="L1984">
            <v>1</v>
          </cell>
        </row>
        <row r="1985">
          <cell r="B1985">
            <v>45323</v>
          </cell>
          <cell r="E1985" t="str">
            <v>Трохименко В.Я.</v>
          </cell>
          <cell r="F1985" t="str">
            <v>РДК 250 (2)</v>
          </cell>
          <cell r="I1985">
            <v>15</v>
          </cell>
          <cell r="J1985">
            <v>8</v>
          </cell>
        </row>
        <row r="1986">
          <cell r="B1986">
            <v>45324</v>
          </cell>
          <cell r="E1986" t="str">
            <v>Трохименко В.Я.</v>
          </cell>
          <cell r="F1986" t="str">
            <v>РДК 250 (2)</v>
          </cell>
          <cell r="I1986">
            <v>15</v>
          </cell>
          <cell r="J1986">
            <v>8</v>
          </cell>
        </row>
        <row r="1987">
          <cell r="B1987">
            <v>45325</v>
          </cell>
          <cell r="E1987" t="str">
            <v>Трохименко В.Я.</v>
          </cell>
          <cell r="F1987" t="str">
            <v>РДК 250 (2)</v>
          </cell>
          <cell r="I1987">
            <v>15</v>
          </cell>
          <cell r="J1987">
            <v>8</v>
          </cell>
        </row>
        <row r="1988">
          <cell r="B1988">
            <v>45327</v>
          </cell>
          <cell r="E1988" t="str">
            <v>Трохименко В.Я.</v>
          </cell>
          <cell r="F1988" t="str">
            <v>РДК 250 (2)</v>
          </cell>
          <cell r="I1988">
            <v>15</v>
          </cell>
          <cell r="J1988">
            <v>8</v>
          </cell>
        </row>
        <row r="1989">
          <cell r="B1989">
            <v>45328</v>
          </cell>
          <cell r="E1989" t="str">
            <v>Трохименко В.Я.</v>
          </cell>
          <cell r="F1989" t="str">
            <v>РДК 250 (2)</v>
          </cell>
          <cell r="I1989">
            <v>15</v>
          </cell>
          <cell r="J1989">
            <v>8</v>
          </cell>
        </row>
        <row r="1990">
          <cell r="B1990">
            <v>45329</v>
          </cell>
          <cell r="E1990" t="str">
            <v>Трохименко В.Я.</v>
          </cell>
          <cell r="F1990" t="str">
            <v>РДК 250 (2)</v>
          </cell>
          <cell r="I1990">
            <v>15</v>
          </cell>
          <cell r="J1990">
            <v>8</v>
          </cell>
        </row>
        <row r="1991">
          <cell r="B1991">
            <v>45330</v>
          </cell>
          <cell r="E1991" t="str">
            <v>Трохименко В.Я.</v>
          </cell>
          <cell r="F1991" t="str">
            <v>РДК 250 (2)</v>
          </cell>
          <cell r="I1991">
            <v>15</v>
          </cell>
          <cell r="J1991">
            <v>8</v>
          </cell>
        </row>
        <row r="1992">
          <cell r="B1992">
            <v>45331</v>
          </cell>
          <cell r="E1992" t="str">
            <v>Трохименко В.Я.</v>
          </cell>
          <cell r="F1992" t="str">
            <v>РДК 250 (2)</v>
          </cell>
          <cell r="I1992">
            <v>15</v>
          </cell>
          <cell r="J1992">
            <v>8</v>
          </cell>
        </row>
        <row r="1993">
          <cell r="B1993">
            <v>45332</v>
          </cell>
          <cell r="E1993" t="str">
            <v>Трохименко В.Я.</v>
          </cell>
          <cell r="F1993" t="str">
            <v>РДК 250 (2)</v>
          </cell>
          <cell r="I1993">
            <v>15</v>
          </cell>
          <cell r="J1993">
            <v>4</v>
          </cell>
        </row>
        <row r="1994">
          <cell r="B1994">
            <v>45334</v>
          </cell>
          <cell r="E1994" t="str">
            <v>Трохименко В.Я.</v>
          </cell>
          <cell r="F1994" t="str">
            <v>РДК 250 (2)</v>
          </cell>
          <cell r="I1994">
            <v>15</v>
          </cell>
          <cell r="J1994">
            <v>8</v>
          </cell>
        </row>
        <row r="1995">
          <cell r="B1995">
            <v>45335</v>
          </cell>
          <cell r="E1995" t="str">
            <v>Трохименко В.Я.</v>
          </cell>
          <cell r="F1995" t="str">
            <v>РДК 250 (2)</v>
          </cell>
          <cell r="I1995">
            <v>15</v>
          </cell>
          <cell r="J1995">
            <v>8</v>
          </cell>
        </row>
        <row r="1996">
          <cell r="B1996">
            <v>45337</v>
          </cell>
          <cell r="E1996" t="str">
            <v>Трохименко В.Я.</v>
          </cell>
          <cell r="F1996" t="str">
            <v>РДК 250 (2)</v>
          </cell>
          <cell r="I1996">
            <v>15</v>
          </cell>
          <cell r="J1996">
            <v>8</v>
          </cell>
        </row>
        <row r="1997">
          <cell r="B1997">
            <v>45323</v>
          </cell>
          <cell r="E1997" t="str">
            <v>Скоц С.І.</v>
          </cell>
          <cell r="F1997" t="str">
            <v>Виброкаток</v>
          </cell>
          <cell r="I1997">
            <v>6</v>
          </cell>
          <cell r="J1997">
            <v>6</v>
          </cell>
          <cell r="L1997">
            <v>1</v>
          </cell>
        </row>
        <row r="1998">
          <cell r="B1998">
            <v>45324</v>
          </cell>
          <cell r="E1998" t="str">
            <v>Скоц С.І.</v>
          </cell>
          <cell r="F1998" t="str">
            <v>Виброкаток</v>
          </cell>
          <cell r="I1998">
            <v>6</v>
          </cell>
          <cell r="J1998">
            <v>6</v>
          </cell>
          <cell r="K1998">
            <v>1</v>
          </cell>
        </row>
        <row r="1999">
          <cell r="B1999">
            <v>45327</v>
          </cell>
          <cell r="E1999" t="str">
            <v>Скоц С.І.</v>
          </cell>
          <cell r="F1999" t="str">
            <v>Виброкаток</v>
          </cell>
          <cell r="I1999">
            <v>6</v>
          </cell>
          <cell r="J1999">
            <v>8</v>
          </cell>
          <cell r="K1999">
            <v>2</v>
          </cell>
        </row>
        <row r="2000">
          <cell r="B2000">
            <v>45324</v>
          </cell>
          <cell r="E2000" t="str">
            <v>Якубовський В.Г.</v>
          </cell>
          <cell r="F2000" t="str">
            <v>Самосвал камаз</v>
          </cell>
          <cell r="I2000">
            <v>16</v>
          </cell>
          <cell r="J2000">
            <v>12</v>
          </cell>
        </row>
        <row r="2001">
          <cell r="B2001">
            <v>45325</v>
          </cell>
          <cell r="E2001" t="str">
            <v>Якубовський В.Г.</v>
          </cell>
          <cell r="F2001" t="str">
            <v>Самосвал камаз</v>
          </cell>
          <cell r="I2001">
            <v>16</v>
          </cell>
          <cell r="J2001">
            <v>10</v>
          </cell>
          <cell r="L2001">
            <v>1</v>
          </cell>
        </row>
        <row r="2002">
          <cell r="B2002">
            <v>45326</v>
          </cell>
          <cell r="E2002" t="str">
            <v>Якубовський В.Г.</v>
          </cell>
          <cell r="F2002" t="str">
            <v>Самосвал камаз</v>
          </cell>
          <cell r="I2002">
            <v>16</v>
          </cell>
          <cell r="J2002">
            <v>6</v>
          </cell>
        </row>
        <row r="2003">
          <cell r="B2003">
            <v>45327</v>
          </cell>
          <cell r="E2003" t="str">
            <v>Якубовський В.Г.</v>
          </cell>
          <cell r="F2003" t="str">
            <v>Самосвал камаз</v>
          </cell>
          <cell r="I2003">
            <v>16</v>
          </cell>
          <cell r="J2003">
            <v>4</v>
          </cell>
        </row>
        <row r="2004">
          <cell r="B2004">
            <v>45328</v>
          </cell>
          <cell r="E2004" t="str">
            <v>Якубовський В.Г.</v>
          </cell>
          <cell r="F2004" t="str">
            <v>Самосвал камаз</v>
          </cell>
          <cell r="I2004">
            <v>16</v>
          </cell>
          <cell r="J2004">
            <v>4</v>
          </cell>
        </row>
        <row r="2005">
          <cell r="B2005">
            <v>45329</v>
          </cell>
          <cell r="E2005" t="str">
            <v>Якубовський В.Г.</v>
          </cell>
          <cell r="F2005" t="str">
            <v>Самосвал камаз</v>
          </cell>
          <cell r="I2005">
            <v>16</v>
          </cell>
          <cell r="J2005">
            <v>8</v>
          </cell>
        </row>
        <row r="2006">
          <cell r="B2006">
            <v>45330</v>
          </cell>
          <cell r="E2006" t="str">
            <v>Якубовський В.Г.</v>
          </cell>
          <cell r="F2006" t="str">
            <v>Самосвал камаз</v>
          </cell>
          <cell r="I2006">
            <v>16</v>
          </cell>
          <cell r="J2006">
            <v>8</v>
          </cell>
        </row>
        <row r="2007">
          <cell r="B2007">
            <v>45331</v>
          </cell>
          <cell r="E2007" t="str">
            <v>Якубовський В.Г.</v>
          </cell>
          <cell r="F2007" t="str">
            <v>Самосвал камаз</v>
          </cell>
          <cell r="I2007">
            <v>16</v>
          </cell>
          <cell r="J2007">
            <v>8</v>
          </cell>
          <cell r="L2007">
            <v>1</v>
          </cell>
        </row>
        <row r="2008">
          <cell r="B2008">
            <v>45332</v>
          </cell>
          <cell r="E2008" t="str">
            <v>Якубовський В.Г.</v>
          </cell>
          <cell r="F2008" t="str">
            <v>Самосвал камаз</v>
          </cell>
          <cell r="I2008">
            <v>16</v>
          </cell>
          <cell r="J2008">
            <v>4</v>
          </cell>
          <cell r="K2008">
            <v>3</v>
          </cell>
        </row>
        <row r="2009">
          <cell r="B2009">
            <v>45333</v>
          </cell>
          <cell r="E2009" t="str">
            <v>Якубовський В.Г.</v>
          </cell>
          <cell r="F2009" t="str">
            <v>Самосвал камаз</v>
          </cell>
          <cell r="I2009">
            <v>16</v>
          </cell>
          <cell r="J2009">
            <v>7</v>
          </cell>
          <cell r="K2009">
            <v>1</v>
          </cell>
        </row>
        <row r="2010">
          <cell r="B2010">
            <v>45334</v>
          </cell>
          <cell r="E2010" t="str">
            <v>Якубовський В.Г.</v>
          </cell>
          <cell r="F2010" t="str">
            <v>Самосвал камаз</v>
          </cell>
          <cell r="I2010">
            <v>16</v>
          </cell>
          <cell r="J2010">
            <v>8</v>
          </cell>
          <cell r="K2010">
            <v>1</v>
          </cell>
          <cell r="L2010">
            <v>1</v>
          </cell>
        </row>
        <row r="2011">
          <cell r="B2011">
            <v>45335</v>
          </cell>
          <cell r="E2011" t="str">
            <v>Якубовський В.Г.</v>
          </cell>
          <cell r="F2011" t="str">
            <v>Самосвал камаз</v>
          </cell>
          <cell r="I2011">
            <v>16</v>
          </cell>
          <cell r="J2011">
            <v>8</v>
          </cell>
          <cell r="K2011">
            <v>8</v>
          </cell>
        </row>
        <row r="2012">
          <cell r="B2012">
            <v>45336</v>
          </cell>
          <cell r="E2012" t="str">
            <v>Якубовський В.Г.</v>
          </cell>
          <cell r="F2012" t="str">
            <v>Самосвал камаз</v>
          </cell>
          <cell r="I2012">
            <v>16</v>
          </cell>
          <cell r="J2012">
            <v>8</v>
          </cell>
          <cell r="K2012">
            <v>2</v>
          </cell>
        </row>
        <row r="2013">
          <cell r="B2013">
            <v>45337</v>
          </cell>
          <cell r="E2013" t="str">
            <v>Якубовський В.Г.</v>
          </cell>
          <cell r="F2013" t="str">
            <v>Самосвал камаз</v>
          </cell>
          <cell r="I2013">
            <v>16</v>
          </cell>
          <cell r="J2013">
            <v>8</v>
          </cell>
          <cell r="K2013">
            <v>8</v>
          </cell>
          <cell r="L2013">
            <v>1</v>
          </cell>
        </row>
        <row r="2014">
          <cell r="B2014">
            <v>45323</v>
          </cell>
          <cell r="E2014" t="str">
            <v>Селивончик И.П.</v>
          </cell>
          <cell r="F2014" t="str">
            <v>МАЗ 264</v>
          </cell>
          <cell r="I2014">
            <v>12</v>
          </cell>
          <cell r="J2014">
            <v>10</v>
          </cell>
          <cell r="L2014">
            <v>1</v>
          </cell>
        </row>
        <row r="2015">
          <cell r="B2015">
            <v>45324</v>
          </cell>
          <cell r="E2015" t="str">
            <v>Селивончик И.П.</v>
          </cell>
          <cell r="F2015" t="str">
            <v>МАЗ 264</v>
          </cell>
          <cell r="I2015">
            <v>12</v>
          </cell>
          <cell r="J2015">
            <v>10</v>
          </cell>
        </row>
        <row r="2016">
          <cell r="B2016">
            <v>45325</v>
          </cell>
          <cell r="E2016" t="str">
            <v>Селивончик И.П.</v>
          </cell>
          <cell r="F2016" t="str">
            <v>МАЗ 264</v>
          </cell>
          <cell r="I2016">
            <v>12</v>
          </cell>
          <cell r="J2016">
            <v>9</v>
          </cell>
          <cell r="K2016">
            <v>1</v>
          </cell>
        </row>
        <row r="2017">
          <cell r="B2017">
            <v>45326</v>
          </cell>
          <cell r="E2017" t="str">
            <v>Селивончик И.П.</v>
          </cell>
          <cell r="F2017" t="str">
            <v>МАЗ 264</v>
          </cell>
          <cell r="I2017">
            <v>12</v>
          </cell>
          <cell r="J2017">
            <v>6</v>
          </cell>
          <cell r="L2017">
            <v>1</v>
          </cell>
        </row>
        <row r="2018">
          <cell r="B2018">
            <v>45327</v>
          </cell>
          <cell r="E2018" t="str">
            <v>Селивончик И.П.</v>
          </cell>
          <cell r="F2018" t="str">
            <v>МАЗ 264</v>
          </cell>
          <cell r="I2018">
            <v>12</v>
          </cell>
          <cell r="J2018">
            <v>4</v>
          </cell>
        </row>
        <row r="2019">
          <cell r="B2019">
            <v>45328</v>
          </cell>
          <cell r="E2019" t="str">
            <v>Селивончик И.П.</v>
          </cell>
          <cell r="F2019" t="str">
            <v>МАЗ 264</v>
          </cell>
          <cell r="I2019">
            <v>12</v>
          </cell>
          <cell r="J2019">
            <v>4</v>
          </cell>
        </row>
        <row r="2020">
          <cell r="B2020">
            <v>45329</v>
          </cell>
          <cell r="E2020" t="str">
            <v>Селивончик И.П.</v>
          </cell>
          <cell r="F2020" t="str">
            <v>МАЗ 264</v>
          </cell>
          <cell r="I2020">
            <v>12</v>
          </cell>
          <cell r="J2020">
            <v>8</v>
          </cell>
          <cell r="K2020">
            <v>1</v>
          </cell>
        </row>
        <row r="2021">
          <cell r="B2021">
            <v>45330</v>
          </cell>
          <cell r="E2021" t="str">
            <v>Селивончик И.П.</v>
          </cell>
          <cell r="F2021" t="str">
            <v>МАЗ 264</v>
          </cell>
          <cell r="I2021">
            <v>12</v>
          </cell>
          <cell r="J2021">
            <v>8</v>
          </cell>
          <cell r="L2021">
            <v>1</v>
          </cell>
        </row>
        <row r="2022">
          <cell r="B2022">
            <v>45331</v>
          </cell>
          <cell r="E2022" t="str">
            <v>Селивончик И.П.</v>
          </cell>
          <cell r="F2022" t="str">
            <v>МАЗ 264</v>
          </cell>
          <cell r="I2022">
            <v>12</v>
          </cell>
          <cell r="J2022">
            <v>4</v>
          </cell>
          <cell r="L2022">
            <v>1</v>
          </cell>
        </row>
        <row r="2023">
          <cell r="B2023">
            <v>45332</v>
          </cell>
          <cell r="E2023" t="str">
            <v>Селивончик И.П.</v>
          </cell>
          <cell r="F2023" t="str">
            <v>МАЗ 264</v>
          </cell>
          <cell r="I2023">
            <v>12</v>
          </cell>
          <cell r="J2023">
            <v>5</v>
          </cell>
          <cell r="K2023">
            <v>5</v>
          </cell>
        </row>
        <row r="2024">
          <cell r="B2024">
            <v>45337</v>
          </cell>
          <cell r="E2024" t="str">
            <v>Селивончик И.П.</v>
          </cell>
          <cell r="F2024" t="str">
            <v>МАЗ 264</v>
          </cell>
          <cell r="I2024">
            <v>12</v>
          </cell>
          <cell r="J2024">
            <v>8</v>
          </cell>
          <cell r="K2024">
            <v>8</v>
          </cell>
        </row>
        <row r="2025">
          <cell r="B2025">
            <v>45331</v>
          </cell>
          <cell r="E2025" t="str">
            <v>Шамоян А.Д.</v>
          </cell>
          <cell r="F2025" t="str">
            <v>МАЗ 265</v>
          </cell>
          <cell r="I2025">
            <v>13</v>
          </cell>
          <cell r="J2025">
            <v>4</v>
          </cell>
        </row>
        <row r="2026">
          <cell r="B2026">
            <v>45332</v>
          </cell>
          <cell r="E2026" t="str">
            <v>Шамоян А.Д.</v>
          </cell>
          <cell r="F2026" t="str">
            <v>МАЗ 265</v>
          </cell>
          <cell r="I2026">
            <v>13</v>
          </cell>
          <cell r="J2026">
            <v>5</v>
          </cell>
          <cell r="K2026">
            <v>5</v>
          </cell>
        </row>
        <row r="2027">
          <cell r="B2027">
            <v>45329</v>
          </cell>
          <cell r="E2027" t="str">
            <v>Скоц С.І.</v>
          </cell>
          <cell r="F2027" t="str">
            <v>Телескоп №5</v>
          </cell>
          <cell r="I2027">
            <v>5</v>
          </cell>
        </row>
        <row r="2028">
          <cell r="B2028">
            <v>45330</v>
          </cell>
          <cell r="E2028" t="str">
            <v>Скоц С.І.</v>
          </cell>
          <cell r="F2028" t="str">
            <v>Телескоп №5</v>
          </cell>
          <cell r="I2028">
            <v>5</v>
          </cell>
          <cell r="J2028">
            <v>9</v>
          </cell>
          <cell r="K2028">
            <v>5</v>
          </cell>
        </row>
        <row r="2029">
          <cell r="B2029">
            <v>45331</v>
          </cell>
          <cell r="E2029" t="str">
            <v>Скоц С.І.</v>
          </cell>
          <cell r="F2029" t="str">
            <v>Телескоп №5</v>
          </cell>
          <cell r="I2029">
            <v>5</v>
          </cell>
          <cell r="J2029">
            <v>8</v>
          </cell>
        </row>
        <row r="2030">
          <cell r="B2030">
            <v>45332</v>
          </cell>
          <cell r="E2030" t="str">
            <v>Скоц С.І.</v>
          </cell>
          <cell r="F2030" t="str">
            <v>Телескоп №5</v>
          </cell>
          <cell r="I2030">
            <v>5</v>
          </cell>
          <cell r="J2030">
            <v>8</v>
          </cell>
          <cell r="K2030">
            <v>3</v>
          </cell>
          <cell r="L2030">
            <v>1</v>
          </cell>
        </row>
        <row r="2031">
          <cell r="B2031">
            <v>45333</v>
          </cell>
          <cell r="E2031" t="str">
            <v>Скоц С.І.</v>
          </cell>
          <cell r="F2031" t="str">
            <v>Телескоп №5</v>
          </cell>
          <cell r="I2031">
            <v>5</v>
          </cell>
          <cell r="J2031">
            <v>8</v>
          </cell>
        </row>
        <row r="2032">
          <cell r="B2032">
            <v>45334</v>
          </cell>
          <cell r="E2032" t="str">
            <v>Скоц С.І.</v>
          </cell>
          <cell r="F2032" t="str">
            <v>Телескоп №5</v>
          </cell>
          <cell r="I2032">
            <v>5</v>
          </cell>
          <cell r="J2032">
            <v>8</v>
          </cell>
        </row>
        <row r="2033">
          <cell r="B2033">
            <v>45335</v>
          </cell>
          <cell r="E2033" t="str">
            <v>Скоц С.І.</v>
          </cell>
          <cell r="F2033" t="str">
            <v>Телескоп №5</v>
          </cell>
          <cell r="I2033">
            <v>5</v>
          </cell>
          <cell r="J2033">
            <v>8</v>
          </cell>
          <cell r="K2033">
            <v>7</v>
          </cell>
          <cell r="L2033">
            <v>1</v>
          </cell>
        </row>
        <row r="2034">
          <cell r="B2034">
            <v>45336</v>
          </cell>
          <cell r="E2034" t="str">
            <v>Скоц С.І.</v>
          </cell>
          <cell r="F2034" t="str">
            <v>Телескоп №5</v>
          </cell>
          <cell r="I2034">
            <v>5</v>
          </cell>
          <cell r="J2034">
            <v>8</v>
          </cell>
        </row>
        <row r="2035">
          <cell r="B2035">
            <v>45337</v>
          </cell>
          <cell r="E2035" t="str">
            <v>Скоц С.І.</v>
          </cell>
          <cell r="F2035" t="str">
            <v>Телескоп №5</v>
          </cell>
          <cell r="I2035">
            <v>5</v>
          </cell>
          <cell r="J2035">
            <v>9</v>
          </cell>
          <cell r="K2035">
            <v>1</v>
          </cell>
        </row>
        <row r="2036">
          <cell r="B2036">
            <v>45329</v>
          </cell>
          <cell r="E2036" t="str">
            <v>Карбунар Я.Д.</v>
          </cell>
          <cell r="F2036" t="str">
            <v>Экскаватор JCB 2007</v>
          </cell>
          <cell r="I2036">
            <v>8</v>
          </cell>
          <cell r="J2036">
            <v>9</v>
          </cell>
          <cell r="L2036">
            <v>1</v>
          </cell>
        </row>
        <row r="2037">
          <cell r="B2037">
            <v>45330</v>
          </cell>
          <cell r="E2037" t="str">
            <v>Карбунар Я.Д.</v>
          </cell>
          <cell r="F2037" t="str">
            <v>Экскаватор JCB 2007</v>
          </cell>
          <cell r="I2037">
            <v>8</v>
          </cell>
          <cell r="J2037">
            <v>8</v>
          </cell>
        </row>
        <row r="2038">
          <cell r="B2038">
            <v>45331</v>
          </cell>
          <cell r="E2038" t="str">
            <v>Карбунар Я.Д.</v>
          </cell>
          <cell r="F2038" t="str">
            <v>Экскаватор JCB 2007</v>
          </cell>
          <cell r="I2038">
            <v>8</v>
          </cell>
          <cell r="J2038">
            <v>10</v>
          </cell>
          <cell r="K2038">
            <v>10</v>
          </cell>
        </row>
        <row r="2039">
          <cell r="B2039">
            <v>45332</v>
          </cell>
          <cell r="E2039" t="str">
            <v>Карбунар Я.Д.</v>
          </cell>
          <cell r="F2039" t="str">
            <v>Экскаватор JCB 2007</v>
          </cell>
          <cell r="I2039">
            <v>8</v>
          </cell>
          <cell r="J2039">
            <v>8</v>
          </cell>
        </row>
        <row r="2040">
          <cell r="B2040">
            <v>45333</v>
          </cell>
          <cell r="E2040" t="str">
            <v>Карбунар Я.Д.</v>
          </cell>
          <cell r="F2040" t="str">
            <v>Экскаватор JCB 2007</v>
          </cell>
          <cell r="I2040">
            <v>8</v>
          </cell>
          <cell r="J2040">
            <v>4</v>
          </cell>
          <cell r="K2040">
            <v>4</v>
          </cell>
        </row>
        <row r="2041">
          <cell r="B2041">
            <v>45334</v>
          </cell>
          <cell r="E2041" t="str">
            <v>Карбунар Я.Д.</v>
          </cell>
          <cell r="F2041" t="str">
            <v>Экскаватор JCB 2007</v>
          </cell>
          <cell r="I2041">
            <v>8</v>
          </cell>
          <cell r="J2041">
            <v>9</v>
          </cell>
          <cell r="L2041">
            <v>1</v>
          </cell>
        </row>
        <row r="2042">
          <cell r="B2042">
            <v>45335</v>
          </cell>
          <cell r="E2042" t="str">
            <v>Карбунар Я.Д.</v>
          </cell>
          <cell r="F2042" t="str">
            <v>Экскаватор JCB 2007</v>
          </cell>
          <cell r="I2042">
            <v>8</v>
          </cell>
          <cell r="J2042">
            <v>12</v>
          </cell>
          <cell r="K2042">
            <v>4</v>
          </cell>
        </row>
        <row r="2043">
          <cell r="B2043">
            <v>45336</v>
          </cell>
          <cell r="E2043" t="str">
            <v>Карбунар Я.Д.</v>
          </cell>
          <cell r="F2043" t="str">
            <v>Экскаватор JCB 2007</v>
          </cell>
          <cell r="I2043">
            <v>8</v>
          </cell>
          <cell r="J2043">
            <v>8</v>
          </cell>
        </row>
        <row r="2044">
          <cell r="B2044">
            <v>45337</v>
          </cell>
          <cell r="E2044" t="str">
            <v>Карбунар Я.Д.</v>
          </cell>
          <cell r="F2044" t="str">
            <v>Экскаватор JCB 2007</v>
          </cell>
          <cell r="I2044">
            <v>8</v>
          </cell>
          <cell r="J2044">
            <v>12</v>
          </cell>
          <cell r="K2044">
            <v>4</v>
          </cell>
        </row>
        <row r="2045">
          <cell r="B2045">
            <v>45323</v>
          </cell>
          <cell r="E2045" t="str">
            <v>Ковальчук В.В.</v>
          </cell>
          <cell r="F2045" t="str">
            <v>Экскаватор  JCB 3CX 2008</v>
          </cell>
          <cell r="I2045">
            <v>9</v>
          </cell>
          <cell r="J2045">
            <v>13</v>
          </cell>
          <cell r="K2045">
            <v>4</v>
          </cell>
        </row>
        <row r="2046">
          <cell r="B2046">
            <v>45324</v>
          </cell>
          <cell r="E2046" t="str">
            <v>Ковальчук В.В.</v>
          </cell>
          <cell r="F2046" t="str">
            <v>Экскаватор  JCB 3CX 2008</v>
          </cell>
          <cell r="I2046">
            <v>9</v>
          </cell>
          <cell r="J2046">
            <v>10</v>
          </cell>
          <cell r="L2046">
            <v>1</v>
          </cell>
        </row>
        <row r="2047">
          <cell r="B2047">
            <v>45327</v>
          </cell>
          <cell r="E2047" t="str">
            <v>Ковальчук В.В.</v>
          </cell>
          <cell r="F2047" t="str">
            <v>Экскаватор  JCB 3CX 2008</v>
          </cell>
          <cell r="I2047">
            <v>9</v>
          </cell>
          <cell r="J2047">
            <v>9</v>
          </cell>
        </row>
        <row r="2048">
          <cell r="B2048">
            <v>45328</v>
          </cell>
          <cell r="E2048" t="str">
            <v>Ковальчук В.В.</v>
          </cell>
          <cell r="F2048" t="str">
            <v>Экскаватор  JCB 3CX 2008</v>
          </cell>
          <cell r="I2048">
            <v>9</v>
          </cell>
          <cell r="J2048">
            <v>8</v>
          </cell>
          <cell r="K2048">
            <v>4</v>
          </cell>
        </row>
        <row r="2049">
          <cell r="B2049">
            <v>45329</v>
          </cell>
          <cell r="E2049" t="str">
            <v>Ковальчук В.В.</v>
          </cell>
          <cell r="F2049" t="str">
            <v>Экскаватор  JCB 3CX 2008</v>
          </cell>
          <cell r="I2049">
            <v>9</v>
          </cell>
          <cell r="J2049">
            <v>8</v>
          </cell>
        </row>
        <row r="2050">
          <cell r="B2050">
            <v>45330</v>
          </cell>
          <cell r="E2050" t="str">
            <v>Ковальчук В.В.</v>
          </cell>
          <cell r="F2050" t="str">
            <v>Экскаватор  JCB 3CX 2008</v>
          </cell>
          <cell r="I2050">
            <v>9</v>
          </cell>
          <cell r="J2050">
            <v>9</v>
          </cell>
          <cell r="L2050">
            <v>1</v>
          </cell>
        </row>
        <row r="2051">
          <cell r="B2051">
            <v>45331</v>
          </cell>
          <cell r="E2051" t="str">
            <v>Ковальчук В.В.</v>
          </cell>
          <cell r="F2051" t="str">
            <v>Экскаватор  JCB 3CX 2008</v>
          </cell>
          <cell r="I2051">
            <v>9</v>
          </cell>
          <cell r="J2051">
            <v>8</v>
          </cell>
        </row>
        <row r="2052">
          <cell r="B2052">
            <v>45332</v>
          </cell>
          <cell r="E2052" t="str">
            <v>Ковальчук В.В.</v>
          </cell>
          <cell r="F2052" t="str">
            <v>Экскаватор  JCB 3CX 2008</v>
          </cell>
          <cell r="I2052">
            <v>9</v>
          </cell>
          <cell r="J2052">
            <v>7</v>
          </cell>
        </row>
        <row r="2053">
          <cell r="B2053">
            <v>45333</v>
          </cell>
          <cell r="E2053" t="str">
            <v>Ковальчук В.В.</v>
          </cell>
          <cell r="F2053" t="str">
            <v>Экскаватор  JCB 3CX 2008</v>
          </cell>
          <cell r="I2053">
            <v>9</v>
          </cell>
          <cell r="J2053">
            <v>7</v>
          </cell>
          <cell r="K2053">
            <v>1</v>
          </cell>
        </row>
        <row r="2054">
          <cell r="B2054">
            <v>45334</v>
          </cell>
          <cell r="E2054" t="str">
            <v>Ковальчук В.В.</v>
          </cell>
          <cell r="F2054" t="str">
            <v>Экскаватор  JCB 3CX 2008</v>
          </cell>
          <cell r="I2054">
            <v>9</v>
          </cell>
          <cell r="J2054">
            <v>9</v>
          </cell>
          <cell r="L2054">
            <v>1</v>
          </cell>
        </row>
        <row r="2055">
          <cell r="B2055">
            <v>45335</v>
          </cell>
          <cell r="E2055" t="str">
            <v>Ковальчук В.В.</v>
          </cell>
          <cell r="F2055" t="str">
            <v>Экскаватор  JCB 3CX 2008</v>
          </cell>
          <cell r="I2055">
            <v>9</v>
          </cell>
          <cell r="J2055">
            <v>8</v>
          </cell>
        </row>
        <row r="2056">
          <cell r="B2056">
            <v>45336</v>
          </cell>
          <cell r="E2056" t="str">
            <v>Ковальчук В.В.</v>
          </cell>
          <cell r="F2056" t="str">
            <v>Экскаватор  JCB 3CX 2008</v>
          </cell>
          <cell r="I2056">
            <v>9</v>
          </cell>
          <cell r="J2056">
            <v>8</v>
          </cell>
        </row>
        <row r="2057">
          <cell r="B2057">
            <v>45337</v>
          </cell>
          <cell r="E2057" t="str">
            <v>Ковальчук В.В.</v>
          </cell>
          <cell r="F2057" t="str">
            <v>Экскаватор  JCB 3CX 2008</v>
          </cell>
          <cell r="I2057">
            <v>9</v>
          </cell>
          <cell r="J2057">
            <v>9</v>
          </cell>
          <cell r="L2057">
            <v>1</v>
          </cell>
        </row>
        <row r="2058">
          <cell r="B2058">
            <v>45325</v>
          </cell>
          <cell r="E2058" t="str">
            <v>Скоц С.І.</v>
          </cell>
          <cell r="F2058" t="str">
            <v>Экскаватор  JCB 3CX 2008</v>
          </cell>
          <cell r="I2058">
            <v>9</v>
          </cell>
          <cell r="J2058">
            <v>10</v>
          </cell>
          <cell r="L2058">
            <v>1</v>
          </cell>
        </row>
        <row r="2059">
          <cell r="B2059">
            <v>45326</v>
          </cell>
          <cell r="E2059" t="str">
            <v>Скоц С.І.</v>
          </cell>
          <cell r="F2059" t="str">
            <v>Экскаватор  JCB 3CX 2008</v>
          </cell>
          <cell r="I2059">
            <v>9</v>
          </cell>
          <cell r="J2059">
            <v>6</v>
          </cell>
          <cell r="L2059">
            <v>1</v>
          </cell>
        </row>
        <row r="2060">
          <cell r="B2060">
            <v>45323</v>
          </cell>
          <cell r="E2060" t="str">
            <v>Трубилко В.Т.</v>
          </cell>
          <cell r="F2060" t="str">
            <v>Экскаватор JCB 2013</v>
          </cell>
          <cell r="I2060">
            <v>10</v>
          </cell>
          <cell r="J2060">
            <v>4</v>
          </cell>
        </row>
        <row r="2061">
          <cell r="B2061">
            <v>45324</v>
          </cell>
          <cell r="E2061" t="str">
            <v>Трубилко В.Т.</v>
          </cell>
          <cell r="F2061" t="str">
            <v>Экскаватор JCB 2013</v>
          </cell>
          <cell r="I2061">
            <v>10</v>
          </cell>
          <cell r="J2061">
            <v>8</v>
          </cell>
        </row>
        <row r="2062">
          <cell r="B2062">
            <v>45325</v>
          </cell>
          <cell r="E2062" t="str">
            <v>Трубилко В.Т.</v>
          </cell>
          <cell r="F2062" t="str">
            <v>Экскаватор JCB 2013</v>
          </cell>
          <cell r="I2062">
            <v>10</v>
          </cell>
          <cell r="J2062">
            <v>6</v>
          </cell>
        </row>
        <row r="2063">
          <cell r="B2063">
            <v>45327</v>
          </cell>
          <cell r="E2063" t="str">
            <v>Трубилко В.Т.</v>
          </cell>
          <cell r="F2063" t="str">
            <v>Экскаватор JCB 2013</v>
          </cell>
          <cell r="I2063">
            <v>10</v>
          </cell>
          <cell r="J2063">
            <v>8</v>
          </cell>
        </row>
        <row r="2064">
          <cell r="B2064">
            <v>45328</v>
          </cell>
          <cell r="E2064" t="str">
            <v>Трубилко В.Т.</v>
          </cell>
          <cell r="F2064" t="str">
            <v>Экскаватор JCB 2013</v>
          </cell>
          <cell r="I2064">
            <v>10</v>
          </cell>
          <cell r="J2064">
            <v>8</v>
          </cell>
        </row>
        <row r="2065">
          <cell r="B2065">
            <v>45329</v>
          </cell>
          <cell r="E2065" t="str">
            <v>Трубилко В.Т.</v>
          </cell>
          <cell r="F2065" t="str">
            <v>Экскаватор JCB 2013</v>
          </cell>
          <cell r="I2065">
            <v>10</v>
          </cell>
          <cell r="J2065">
            <v>8</v>
          </cell>
        </row>
        <row r="2066">
          <cell r="B2066">
            <v>45330</v>
          </cell>
          <cell r="E2066" t="str">
            <v>Трубилко В.Т.</v>
          </cell>
          <cell r="F2066" t="str">
            <v>Экскаватор JCB 2013</v>
          </cell>
          <cell r="I2066">
            <v>10</v>
          </cell>
          <cell r="J2066">
            <v>8</v>
          </cell>
        </row>
        <row r="2067">
          <cell r="B2067">
            <v>45331</v>
          </cell>
          <cell r="E2067" t="str">
            <v>Трубилко В.Т.</v>
          </cell>
          <cell r="F2067" t="str">
            <v>Экскаватор JCB 2013</v>
          </cell>
          <cell r="I2067">
            <v>10</v>
          </cell>
          <cell r="J2067">
            <v>8</v>
          </cell>
        </row>
        <row r="2068">
          <cell r="B2068">
            <v>45332</v>
          </cell>
          <cell r="E2068" t="str">
            <v>Трубилко В.Т.</v>
          </cell>
          <cell r="F2068" t="str">
            <v>Экскаватор JCB 2013</v>
          </cell>
          <cell r="I2068">
            <v>10</v>
          </cell>
          <cell r="J2068">
            <v>8</v>
          </cell>
        </row>
        <row r="2069">
          <cell r="B2069">
            <v>45334</v>
          </cell>
          <cell r="E2069" t="str">
            <v>Трубилко В.Т.</v>
          </cell>
          <cell r="F2069" t="str">
            <v>Экскаватор JCB 2013</v>
          </cell>
          <cell r="I2069">
            <v>10</v>
          </cell>
          <cell r="J2069">
            <v>8</v>
          </cell>
        </row>
        <row r="2070">
          <cell r="B2070">
            <v>45335</v>
          </cell>
          <cell r="E2070" t="str">
            <v>Трубилко В.Т.</v>
          </cell>
          <cell r="F2070" t="str">
            <v>Экскаватор JCB 2013</v>
          </cell>
          <cell r="I2070">
            <v>10</v>
          </cell>
          <cell r="J2070">
            <v>8</v>
          </cell>
        </row>
        <row r="2071">
          <cell r="B2071">
            <v>45323</v>
          </cell>
          <cell r="E2071" t="str">
            <v>Скоц С.І.</v>
          </cell>
          <cell r="F2071" t="str">
            <v>Экскаватор JCB 220</v>
          </cell>
          <cell r="I2071">
            <v>11</v>
          </cell>
          <cell r="J2071">
            <v>3</v>
          </cell>
          <cell r="K2071">
            <v>3</v>
          </cell>
        </row>
        <row r="2072">
          <cell r="B2072">
            <v>45324</v>
          </cell>
          <cell r="E2072" t="str">
            <v>Скоц С.І.</v>
          </cell>
          <cell r="F2072" t="str">
            <v>Экскаватор JCB 220</v>
          </cell>
          <cell r="I2072">
            <v>11</v>
          </cell>
          <cell r="J2072">
            <v>3</v>
          </cell>
          <cell r="K2072">
            <v>3</v>
          </cell>
        </row>
        <row r="2073">
          <cell r="B2073">
            <v>45328</v>
          </cell>
          <cell r="E2073" t="str">
            <v>Скоц С.І.</v>
          </cell>
          <cell r="F2073" t="str">
            <v>Экскаватор JCB 220</v>
          </cell>
          <cell r="I2073">
            <v>11</v>
          </cell>
          <cell r="J2073">
            <v>8</v>
          </cell>
          <cell r="K2073">
            <v>8</v>
          </cell>
        </row>
        <row r="2074">
          <cell r="B2074">
            <v>45329</v>
          </cell>
          <cell r="E2074" t="str">
            <v>Скоц С.І.</v>
          </cell>
          <cell r="F2074" t="str">
            <v>Экскаватор JCB 220</v>
          </cell>
          <cell r="I2074">
            <v>11</v>
          </cell>
          <cell r="J2074">
            <v>4</v>
          </cell>
          <cell r="K2074">
            <v>4</v>
          </cell>
        </row>
        <row r="2075">
          <cell r="B2075">
            <v>45323</v>
          </cell>
          <cell r="E2075" t="str">
            <v>Борисенко О.М.</v>
          </cell>
          <cell r="F2075" t="str">
            <v>Автокран XCMG</v>
          </cell>
          <cell r="I2075">
            <v>17</v>
          </cell>
          <cell r="J2075">
            <v>10</v>
          </cell>
        </row>
        <row r="2076">
          <cell r="B2076">
            <v>45324</v>
          </cell>
          <cell r="E2076" t="str">
            <v>Борисенко О.М.</v>
          </cell>
          <cell r="F2076" t="str">
            <v>Автокран XCMG</v>
          </cell>
          <cell r="I2076">
            <v>17</v>
          </cell>
          <cell r="J2076">
            <v>7</v>
          </cell>
        </row>
        <row r="2077">
          <cell r="B2077">
            <v>45325</v>
          </cell>
          <cell r="E2077" t="str">
            <v>Борисенко О.М.</v>
          </cell>
          <cell r="F2077" t="str">
            <v>Автокран XCMG</v>
          </cell>
          <cell r="I2077">
            <v>17</v>
          </cell>
          <cell r="J2077">
            <v>8</v>
          </cell>
        </row>
        <row r="2078">
          <cell r="B2078">
            <v>45326</v>
          </cell>
          <cell r="E2078" t="str">
            <v>Борисенко О.М.</v>
          </cell>
          <cell r="F2078" t="str">
            <v>Автокран XCMG</v>
          </cell>
          <cell r="I2078">
            <v>17</v>
          </cell>
          <cell r="J2078">
            <v>5</v>
          </cell>
          <cell r="K2078">
            <v>1</v>
          </cell>
        </row>
        <row r="2079">
          <cell r="B2079">
            <v>45327</v>
          </cell>
          <cell r="E2079" t="str">
            <v>Борисенко О.М.</v>
          </cell>
          <cell r="F2079" t="str">
            <v>Автокран XCMG</v>
          </cell>
          <cell r="I2079">
            <v>17</v>
          </cell>
          <cell r="J2079">
            <v>8</v>
          </cell>
          <cell r="K2079">
            <v>1</v>
          </cell>
        </row>
        <row r="2080">
          <cell r="B2080">
            <v>45328</v>
          </cell>
          <cell r="E2080" t="str">
            <v>Борисенко О.М.</v>
          </cell>
          <cell r="F2080" t="str">
            <v>Автокран XCMG</v>
          </cell>
          <cell r="I2080">
            <v>17</v>
          </cell>
          <cell r="J2080">
            <v>6</v>
          </cell>
        </row>
        <row r="2081">
          <cell r="B2081">
            <v>45328</v>
          </cell>
          <cell r="E2081" t="str">
            <v>Борисенко О.М.</v>
          </cell>
          <cell r="F2081" t="str">
            <v>Автокран XCMG</v>
          </cell>
          <cell r="I2081">
            <v>17</v>
          </cell>
          <cell r="J2081">
            <v>4</v>
          </cell>
        </row>
        <row r="2082">
          <cell r="B2082">
            <v>45329</v>
          </cell>
          <cell r="E2082" t="str">
            <v>Борисенко О.М.</v>
          </cell>
          <cell r="F2082" t="str">
            <v>Автокран XCMG</v>
          </cell>
          <cell r="I2082">
            <v>17</v>
          </cell>
          <cell r="J2082">
            <v>8</v>
          </cell>
          <cell r="K2082">
            <v>2</v>
          </cell>
        </row>
        <row r="2083">
          <cell r="B2083">
            <v>45330</v>
          </cell>
          <cell r="E2083" t="str">
            <v>Борисенко О.М.</v>
          </cell>
          <cell r="F2083" t="str">
            <v>Автокран XCMG</v>
          </cell>
          <cell r="I2083">
            <v>17</v>
          </cell>
          <cell r="J2083">
            <v>8</v>
          </cell>
        </row>
        <row r="2084">
          <cell r="B2084">
            <v>45331</v>
          </cell>
          <cell r="E2084" t="str">
            <v>Борисенко О.М.</v>
          </cell>
          <cell r="F2084" t="str">
            <v>Автокран XCMG</v>
          </cell>
          <cell r="I2084">
            <v>17</v>
          </cell>
          <cell r="J2084">
            <v>8</v>
          </cell>
        </row>
        <row r="2085">
          <cell r="B2085">
            <v>45332</v>
          </cell>
          <cell r="E2085" t="str">
            <v>Борисенко О.М.</v>
          </cell>
          <cell r="F2085" t="str">
            <v>Автокран XCMG</v>
          </cell>
          <cell r="I2085">
            <v>17</v>
          </cell>
          <cell r="J2085">
            <v>7</v>
          </cell>
        </row>
        <row r="2086">
          <cell r="B2086">
            <v>45333</v>
          </cell>
          <cell r="E2086" t="str">
            <v>Борисенко О.М.</v>
          </cell>
          <cell r="F2086" t="str">
            <v>Автокран XCMG</v>
          </cell>
          <cell r="I2086">
            <v>17</v>
          </cell>
          <cell r="J2086">
            <v>7</v>
          </cell>
        </row>
        <row r="2087">
          <cell r="B2087">
            <v>45334</v>
          </cell>
          <cell r="E2087" t="str">
            <v>Борисенко О.М.</v>
          </cell>
          <cell r="F2087" t="str">
            <v>Автокран XCMG</v>
          </cell>
          <cell r="I2087">
            <v>17</v>
          </cell>
          <cell r="J2087">
            <v>8</v>
          </cell>
        </row>
        <row r="2088">
          <cell r="B2088">
            <v>45335</v>
          </cell>
          <cell r="E2088" t="str">
            <v>Борисенко О.М.</v>
          </cell>
          <cell r="F2088" t="str">
            <v>Автокран XCMG</v>
          </cell>
          <cell r="I2088">
            <v>17</v>
          </cell>
          <cell r="J2088">
            <v>9</v>
          </cell>
        </row>
        <row r="2089">
          <cell r="B2089">
            <v>45336</v>
          </cell>
          <cell r="E2089" t="str">
            <v>Борисенко О.М.</v>
          </cell>
          <cell r="F2089" t="str">
            <v>Автокран XCMG</v>
          </cell>
          <cell r="I2089">
            <v>17</v>
          </cell>
          <cell r="J2089">
            <v>8</v>
          </cell>
          <cell r="K2089">
            <v>4</v>
          </cell>
        </row>
        <row r="2090">
          <cell r="B2090">
            <v>45337</v>
          </cell>
          <cell r="E2090" t="str">
            <v>Борисенко О.М.</v>
          </cell>
          <cell r="F2090" t="str">
            <v>Автокран XCMG</v>
          </cell>
          <cell r="I2090">
            <v>17</v>
          </cell>
          <cell r="J2090">
            <v>8</v>
          </cell>
          <cell r="K2090">
            <v>4</v>
          </cell>
        </row>
        <row r="2091">
          <cell r="B2091">
            <v>45350</v>
          </cell>
          <cell r="E2091" t="str">
            <v>Божков В.В.</v>
          </cell>
          <cell r="F2091" t="str">
            <v>Самосвал МАЗ</v>
          </cell>
          <cell r="I2091">
            <v>21</v>
          </cell>
          <cell r="J2091">
            <v>8</v>
          </cell>
        </row>
        <row r="2092">
          <cell r="B2092">
            <v>45351</v>
          </cell>
          <cell r="E2092" t="str">
            <v>Божков В.В.</v>
          </cell>
          <cell r="F2092" t="str">
            <v>Самосвал МАЗ</v>
          </cell>
          <cell r="I2092">
            <v>21</v>
          </cell>
          <cell r="J2092">
            <v>9</v>
          </cell>
          <cell r="K2092">
            <v>2</v>
          </cell>
          <cell r="L2092">
            <v>1</v>
          </cell>
        </row>
        <row r="2093">
          <cell r="B2093">
            <v>45338</v>
          </cell>
          <cell r="E2093" t="str">
            <v>Якубовський В.Г.</v>
          </cell>
          <cell r="F2093" t="str">
            <v>Самосвал камаз</v>
          </cell>
          <cell r="I2093">
            <v>16</v>
          </cell>
          <cell r="J2093">
            <v>10</v>
          </cell>
        </row>
        <row r="2094">
          <cell r="B2094">
            <v>45339</v>
          </cell>
          <cell r="E2094" t="str">
            <v>Якубовський В.Г.</v>
          </cell>
          <cell r="F2094" t="str">
            <v>Самосвал камаз</v>
          </cell>
          <cell r="I2094">
            <v>16</v>
          </cell>
          <cell r="J2094">
            <v>10</v>
          </cell>
          <cell r="K2094">
            <v>2</v>
          </cell>
        </row>
        <row r="2095">
          <cell r="B2095">
            <v>45340</v>
          </cell>
          <cell r="E2095" t="str">
            <v>Якубовський В.Г.</v>
          </cell>
          <cell r="F2095" t="str">
            <v>Самосвал камаз</v>
          </cell>
          <cell r="I2095">
            <v>16</v>
          </cell>
          <cell r="J2095">
            <v>6</v>
          </cell>
        </row>
        <row r="2096">
          <cell r="B2096">
            <v>45341</v>
          </cell>
          <cell r="E2096" t="str">
            <v>Якубовський В.Г.</v>
          </cell>
          <cell r="F2096" t="str">
            <v>Самосвал камаз</v>
          </cell>
          <cell r="I2096">
            <v>16</v>
          </cell>
          <cell r="J2096">
            <v>9</v>
          </cell>
          <cell r="L2096">
            <v>1</v>
          </cell>
        </row>
        <row r="2097">
          <cell r="B2097">
            <v>45342</v>
          </cell>
          <cell r="E2097" t="str">
            <v>Якубовський В.Г.</v>
          </cell>
          <cell r="F2097" t="str">
            <v>Самосвал камаз</v>
          </cell>
          <cell r="I2097">
            <v>16</v>
          </cell>
          <cell r="J2097">
            <v>8</v>
          </cell>
        </row>
        <row r="2098">
          <cell r="B2098">
            <v>45343</v>
          </cell>
          <cell r="E2098" t="str">
            <v>Якубовський В.Г.</v>
          </cell>
          <cell r="F2098" t="str">
            <v>Самосвал камаз</v>
          </cell>
          <cell r="I2098">
            <v>16</v>
          </cell>
          <cell r="J2098">
            <v>8</v>
          </cell>
          <cell r="K2098">
            <v>4</v>
          </cell>
        </row>
        <row r="2099">
          <cell r="B2099">
            <v>45344</v>
          </cell>
          <cell r="E2099" t="str">
            <v>Якубовський В.Г.</v>
          </cell>
          <cell r="F2099" t="str">
            <v>Самосвал камаз</v>
          </cell>
          <cell r="I2099">
            <v>16</v>
          </cell>
          <cell r="J2099">
            <v>8</v>
          </cell>
          <cell r="K2099">
            <v>8</v>
          </cell>
        </row>
        <row r="2100">
          <cell r="B2100">
            <v>45338</v>
          </cell>
          <cell r="E2100" t="str">
            <v>Шамоян А.Д.</v>
          </cell>
          <cell r="F2100" t="str">
            <v>МАЗ 265</v>
          </cell>
          <cell r="I2100">
            <v>13</v>
          </cell>
          <cell r="J2100">
            <v>10</v>
          </cell>
        </row>
        <row r="2101">
          <cell r="B2101">
            <v>45341</v>
          </cell>
          <cell r="E2101" t="str">
            <v>Шамоян А.Д.</v>
          </cell>
          <cell r="F2101" t="str">
            <v>МАЗ 265</v>
          </cell>
          <cell r="I2101">
            <v>13</v>
          </cell>
          <cell r="J2101">
            <v>2</v>
          </cell>
        </row>
        <row r="2102">
          <cell r="B2102">
            <v>45348</v>
          </cell>
          <cell r="E2102" t="str">
            <v>Шамоян А.Д.</v>
          </cell>
          <cell r="F2102" t="str">
            <v>МАЗ 265</v>
          </cell>
          <cell r="I2102">
            <v>13</v>
          </cell>
          <cell r="J2102">
            <v>7</v>
          </cell>
        </row>
        <row r="2103">
          <cell r="B2103">
            <v>45349</v>
          </cell>
          <cell r="E2103" t="str">
            <v>Шамоян А.Д.</v>
          </cell>
          <cell r="F2103" t="str">
            <v>МАЗ 265</v>
          </cell>
          <cell r="I2103">
            <v>13</v>
          </cell>
          <cell r="J2103">
            <v>9</v>
          </cell>
        </row>
        <row r="2104">
          <cell r="B2104">
            <v>45350</v>
          </cell>
          <cell r="E2104" t="str">
            <v>Шамоян А.Д.</v>
          </cell>
          <cell r="F2104" t="str">
            <v>МАЗ 265</v>
          </cell>
          <cell r="I2104">
            <v>13</v>
          </cell>
          <cell r="J2104">
            <v>8</v>
          </cell>
        </row>
        <row r="2105">
          <cell r="B2105">
            <v>45351</v>
          </cell>
          <cell r="E2105" t="str">
            <v>Шамоян А.Д.</v>
          </cell>
          <cell r="F2105" t="str">
            <v>МАЗ 265</v>
          </cell>
          <cell r="I2105">
            <v>13</v>
          </cell>
          <cell r="J2105">
            <v>6</v>
          </cell>
        </row>
        <row r="2106">
          <cell r="B2106">
            <v>45338</v>
          </cell>
          <cell r="E2106" t="str">
            <v>Горячий І.В.</v>
          </cell>
          <cell r="F2106" t="str">
            <v>Телескоп №1</v>
          </cell>
          <cell r="I2106">
            <v>1</v>
          </cell>
          <cell r="J2106">
            <v>10</v>
          </cell>
        </row>
        <row r="2107">
          <cell r="B2107">
            <v>45339</v>
          </cell>
          <cell r="E2107" t="str">
            <v>Горячий І.В.</v>
          </cell>
          <cell r="F2107" t="str">
            <v>Телескоп №1</v>
          </cell>
          <cell r="I2107">
            <v>1</v>
          </cell>
          <cell r="J2107">
            <v>10</v>
          </cell>
          <cell r="K2107">
            <v>2</v>
          </cell>
        </row>
        <row r="2108">
          <cell r="B2108">
            <v>45340</v>
          </cell>
          <cell r="E2108" t="str">
            <v>Горячий І.В.</v>
          </cell>
          <cell r="F2108" t="str">
            <v>Телескоп №1</v>
          </cell>
          <cell r="I2108">
            <v>1</v>
          </cell>
          <cell r="J2108">
            <v>6</v>
          </cell>
        </row>
        <row r="2109">
          <cell r="B2109">
            <v>45341</v>
          </cell>
          <cell r="E2109" t="str">
            <v>Горячий І.В.</v>
          </cell>
          <cell r="F2109" t="str">
            <v>Телескоп №1</v>
          </cell>
          <cell r="I2109">
            <v>1</v>
          </cell>
          <cell r="J2109">
            <v>10</v>
          </cell>
          <cell r="L2109">
            <v>1</v>
          </cell>
        </row>
        <row r="2110">
          <cell r="B2110">
            <v>45342</v>
          </cell>
          <cell r="E2110" t="str">
            <v>Горячий І.В.</v>
          </cell>
          <cell r="F2110" t="str">
            <v>Телескоп №1</v>
          </cell>
          <cell r="I2110">
            <v>1</v>
          </cell>
          <cell r="J2110">
            <v>8</v>
          </cell>
        </row>
        <row r="2111">
          <cell r="B2111">
            <v>45343</v>
          </cell>
          <cell r="E2111" t="str">
            <v>Горячий І.В.</v>
          </cell>
          <cell r="F2111" t="str">
            <v>Телескоп №1</v>
          </cell>
          <cell r="I2111">
            <v>1</v>
          </cell>
          <cell r="J2111">
            <v>8</v>
          </cell>
        </row>
        <row r="2112">
          <cell r="B2112">
            <v>45344</v>
          </cell>
          <cell r="E2112" t="str">
            <v>Горячий І.В.</v>
          </cell>
          <cell r="F2112" t="str">
            <v>Телескоп №1</v>
          </cell>
          <cell r="I2112">
            <v>1</v>
          </cell>
          <cell r="J2112">
            <v>10</v>
          </cell>
          <cell r="L2112">
            <v>1</v>
          </cell>
        </row>
        <row r="2113">
          <cell r="B2113">
            <v>45345</v>
          </cell>
          <cell r="E2113" t="str">
            <v>Горячий І.В.</v>
          </cell>
          <cell r="F2113" t="str">
            <v>Телескоп №1</v>
          </cell>
          <cell r="I2113">
            <v>1</v>
          </cell>
          <cell r="J2113">
            <v>9</v>
          </cell>
          <cell r="K2113">
            <v>1</v>
          </cell>
        </row>
        <row r="2114">
          <cell r="B2114">
            <v>45348</v>
          </cell>
          <cell r="E2114" t="str">
            <v>Горячий І.В.</v>
          </cell>
          <cell r="F2114" t="str">
            <v>Телескоп №1</v>
          </cell>
          <cell r="I2114">
            <v>1</v>
          </cell>
          <cell r="J2114">
            <v>9</v>
          </cell>
        </row>
        <row r="2115">
          <cell r="B2115">
            <v>45349</v>
          </cell>
          <cell r="E2115" t="str">
            <v>Горячий І.В.</v>
          </cell>
          <cell r="F2115" t="str">
            <v>Телескоп №1</v>
          </cell>
          <cell r="I2115">
            <v>1</v>
          </cell>
          <cell r="J2115">
            <v>10</v>
          </cell>
          <cell r="L2115">
            <v>1</v>
          </cell>
        </row>
        <row r="2116">
          <cell r="B2116">
            <v>45350</v>
          </cell>
          <cell r="E2116" t="str">
            <v>Горячий І.В.</v>
          </cell>
          <cell r="F2116" t="str">
            <v>Телескоп №1</v>
          </cell>
          <cell r="I2116">
            <v>1</v>
          </cell>
          <cell r="J2116">
            <v>9</v>
          </cell>
        </row>
        <row r="2117">
          <cell r="B2117">
            <v>45351</v>
          </cell>
          <cell r="E2117" t="str">
            <v>Горячий І.В.</v>
          </cell>
          <cell r="F2117" t="str">
            <v>Телескоп №1</v>
          </cell>
          <cell r="I2117">
            <v>1</v>
          </cell>
          <cell r="J2117">
            <v>11</v>
          </cell>
          <cell r="K2117">
            <v>3</v>
          </cell>
          <cell r="L2117">
            <v>1</v>
          </cell>
        </row>
        <row r="2118">
          <cell r="B2118">
            <v>45346</v>
          </cell>
          <cell r="E2118" t="str">
            <v>Ковальчук В.В.</v>
          </cell>
          <cell r="F2118" t="str">
            <v>Телескоп №1</v>
          </cell>
          <cell r="I2118">
            <v>1</v>
          </cell>
          <cell r="J2118">
            <v>10</v>
          </cell>
          <cell r="L2118">
            <v>1</v>
          </cell>
        </row>
        <row r="2119">
          <cell r="B2119">
            <v>45347</v>
          </cell>
          <cell r="E2119" t="str">
            <v>Ковальчук В.В.</v>
          </cell>
          <cell r="F2119" t="str">
            <v>Телескоп №1</v>
          </cell>
          <cell r="I2119">
            <v>1</v>
          </cell>
          <cell r="J2119">
            <v>8</v>
          </cell>
        </row>
        <row r="2120">
          <cell r="B2120">
            <v>45338</v>
          </cell>
          <cell r="E2120" t="str">
            <v>Савранский І.В.</v>
          </cell>
          <cell r="F2120" t="str">
            <v>Телескоп №2</v>
          </cell>
          <cell r="I2120">
            <v>2</v>
          </cell>
          <cell r="J2120">
            <v>8</v>
          </cell>
        </row>
        <row r="2121">
          <cell r="B2121">
            <v>45339</v>
          </cell>
          <cell r="E2121" t="str">
            <v>Савранский І.В.</v>
          </cell>
          <cell r="F2121" t="str">
            <v>Телескоп №2</v>
          </cell>
          <cell r="I2121">
            <v>2</v>
          </cell>
          <cell r="J2121">
            <v>8</v>
          </cell>
          <cell r="L2121">
            <v>1</v>
          </cell>
        </row>
        <row r="2122">
          <cell r="B2122">
            <v>45341</v>
          </cell>
          <cell r="E2122" t="str">
            <v>Савранский І.В.</v>
          </cell>
          <cell r="F2122" t="str">
            <v>Телескоп №2</v>
          </cell>
          <cell r="I2122">
            <v>2</v>
          </cell>
          <cell r="J2122">
            <v>8</v>
          </cell>
        </row>
        <row r="2123">
          <cell r="B2123">
            <v>45342</v>
          </cell>
          <cell r="E2123" t="str">
            <v>Савранский І.В.</v>
          </cell>
          <cell r="F2123" t="str">
            <v>Телескоп №2</v>
          </cell>
          <cell r="I2123">
            <v>2</v>
          </cell>
          <cell r="J2123">
            <v>8</v>
          </cell>
        </row>
        <row r="2124">
          <cell r="B2124">
            <v>45343</v>
          </cell>
          <cell r="E2124" t="str">
            <v>Савранский І.В.</v>
          </cell>
          <cell r="F2124" t="str">
            <v>Телескоп №2</v>
          </cell>
          <cell r="I2124">
            <v>2</v>
          </cell>
          <cell r="J2124">
            <v>8</v>
          </cell>
        </row>
        <row r="2125">
          <cell r="B2125">
            <v>45344</v>
          </cell>
          <cell r="E2125" t="str">
            <v>Савранский І.В.</v>
          </cell>
          <cell r="F2125" t="str">
            <v>Телескоп №2</v>
          </cell>
          <cell r="I2125">
            <v>2</v>
          </cell>
          <cell r="J2125">
            <v>8</v>
          </cell>
          <cell r="L2125">
            <v>1</v>
          </cell>
        </row>
        <row r="2126">
          <cell r="B2126">
            <v>45345</v>
          </cell>
          <cell r="E2126" t="str">
            <v>Савранский І.В.</v>
          </cell>
          <cell r="F2126" t="str">
            <v>Телескоп №2</v>
          </cell>
          <cell r="I2126">
            <v>2</v>
          </cell>
          <cell r="J2126">
            <v>8</v>
          </cell>
        </row>
        <row r="2127">
          <cell r="B2127">
            <v>45346</v>
          </cell>
          <cell r="E2127" t="str">
            <v>Савранский І.В.</v>
          </cell>
          <cell r="F2127" t="str">
            <v>Телескоп №2</v>
          </cell>
          <cell r="I2127">
            <v>2</v>
          </cell>
          <cell r="J2127">
            <v>8</v>
          </cell>
        </row>
        <row r="2128">
          <cell r="B2128">
            <v>45347</v>
          </cell>
          <cell r="E2128" t="str">
            <v>Савранский І.В.</v>
          </cell>
          <cell r="F2128" t="str">
            <v>Телескоп №2</v>
          </cell>
          <cell r="I2128">
            <v>2</v>
          </cell>
          <cell r="J2128">
            <v>8</v>
          </cell>
        </row>
        <row r="2129">
          <cell r="B2129">
            <v>45348</v>
          </cell>
          <cell r="E2129" t="str">
            <v>Савранский І.В.</v>
          </cell>
          <cell r="F2129" t="str">
            <v>Телескоп №2</v>
          </cell>
          <cell r="I2129">
            <v>2</v>
          </cell>
          <cell r="J2129">
            <v>8</v>
          </cell>
        </row>
        <row r="2130">
          <cell r="B2130">
            <v>45349</v>
          </cell>
          <cell r="E2130" t="str">
            <v>Савранский І.В.</v>
          </cell>
          <cell r="F2130" t="str">
            <v>Телескоп №2</v>
          </cell>
          <cell r="I2130">
            <v>2</v>
          </cell>
          <cell r="J2130">
            <v>8</v>
          </cell>
          <cell r="L2130">
            <v>1</v>
          </cell>
        </row>
        <row r="2131">
          <cell r="B2131">
            <v>45350</v>
          </cell>
          <cell r="E2131" t="str">
            <v>Савранский І.В.</v>
          </cell>
          <cell r="F2131" t="str">
            <v>Телескоп №2</v>
          </cell>
          <cell r="I2131">
            <v>2</v>
          </cell>
          <cell r="J2131">
            <v>8</v>
          </cell>
        </row>
        <row r="2132">
          <cell r="B2132">
            <v>45351</v>
          </cell>
          <cell r="E2132" t="str">
            <v>Савранский І.В.</v>
          </cell>
          <cell r="F2132" t="str">
            <v>Телескоп №2</v>
          </cell>
          <cell r="I2132">
            <v>2</v>
          </cell>
          <cell r="J2132">
            <v>8</v>
          </cell>
        </row>
        <row r="2133">
          <cell r="B2133">
            <v>45350</v>
          </cell>
          <cell r="E2133" t="str">
            <v>Мазеренко Е.В</v>
          </cell>
          <cell r="F2133" t="str">
            <v>Телескоп №4</v>
          </cell>
          <cell r="I2133">
            <v>4</v>
          </cell>
          <cell r="J2133">
            <v>12</v>
          </cell>
          <cell r="K2133">
            <v>3</v>
          </cell>
        </row>
        <row r="2134">
          <cell r="B2134">
            <v>45351</v>
          </cell>
          <cell r="E2134" t="str">
            <v>Мазеренко Е.В</v>
          </cell>
          <cell r="F2134" t="str">
            <v>Телескоп №4</v>
          </cell>
          <cell r="I2134">
            <v>4</v>
          </cell>
          <cell r="J2134">
            <v>10</v>
          </cell>
        </row>
        <row r="2135">
          <cell r="B2135">
            <v>45338</v>
          </cell>
          <cell r="E2135" t="str">
            <v>Скоц С.І.</v>
          </cell>
          <cell r="F2135" t="str">
            <v>Телескоп №5</v>
          </cell>
          <cell r="I2135">
            <v>5</v>
          </cell>
          <cell r="J2135">
            <v>9</v>
          </cell>
          <cell r="K2135">
            <v>1</v>
          </cell>
        </row>
        <row r="2136">
          <cell r="B2136">
            <v>45339</v>
          </cell>
          <cell r="E2136" t="str">
            <v>Скоц С.І.</v>
          </cell>
          <cell r="F2136" t="str">
            <v>Телескоп №5</v>
          </cell>
          <cell r="I2136">
            <v>5</v>
          </cell>
          <cell r="J2136">
            <v>9</v>
          </cell>
          <cell r="L2136">
            <v>1</v>
          </cell>
        </row>
        <row r="2137">
          <cell r="B2137">
            <v>45340</v>
          </cell>
          <cell r="E2137" t="str">
            <v>Скоц С.І.</v>
          </cell>
          <cell r="F2137" t="str">
            <v>Телескоп №5</v>
          </cell>
          <cell r="I2137">
            <v>5</v>
          </cell>
          <cell r="J2137">
            <v>8</v>
          </cell>
        </row>
        <row r="2138">
          <cell r="B2138">
            <v>45341</v>
          </cell>
          <cell r="E2138" t="str">
            <v>Скоц С.І.</v>
          </cell>
          <cell r="F2138" t="str">
            <v>Телескоп №5</v>
          </cell>
          <cell r="I2138">
            <v>5</v>
          </cell>
          <cell r="J2138">
            <v>6</v>
          </cell>
          <cell r="K2138">
            <v>1</v>
          </cell>
        </row>
        <row r="2139">
          <cell r="B2139">
            <v>45342</v>
          </cell>
          <cell r="E2139" t="str">
            <v>Скоц С.І.</v>
          </cell>
          <cell r="F2139" t="str">
            <v>Телескоп №5</v>
          </cell>
          <cell r="I2139">
            <v>5</v>
          </cell>
          <cell r="J2139">
            <v>8</v>
          </cell>
        </row>
        <row r="2140">
          <cell r="B2140">
            <v>45343</v>
          </cell>
          <cell r="E2140" t="str">
            <v>Скоц С.І.</v>
          </cell>
          <cell r="F2140" t="str">
            <v>Телескоп №5</v>
          </cell>
          <cell r="I2140">
            <v>5</v>
          </cell>
          <cell r="J2140">
            <v>9</v>
          </cell>
          <cell r="L2140">
            <v>1</v>
          </cell>
        </row>
        <row r="2141">
          <cell r="B2141">
            <v>45344</v>
          </cell>
          <cell r="E2141" t="str">
            <v>Скоц С.І.</v>
          </cell>
          <cell r="F2141" t="str">
            <v>Телескоп №5</v>
          </cell>
          <cell r="I2141">
            <v>5</v>
          </cell>
          <cell r="J2141">
            <v>10</v>
          </cell>
        </row>
        <row r="2142">
          <cell r="B2142">
            <v>45345</v>
          </cell>
          <cell r="E2142" t="str">
            <v>Скоц С.І.</v>
          </cell>
          <cell r="F2142" t="str">
            <v>Телескоп №5</v>
          </cell>
          <cell r="I2142">
            <v>5</v>
          </cell>
          <cell r="J2142">
            <v>8</v>
          </cell>
        </row>
        <row r="2143">
          <cell r="B2143">
            <v>45346</v>
          </cell>
          <cell r="E2143" t="str">
            <v>Скоц С.І.</v>
          </cell>
          <cell r="F2143" t="str">
            <v>Телескоп №5</v>
          </cell>
          <cell r="I2143">
            <v>5</v>
          </cell>
          <cell r="J2143">
            <v>8</v>
          </cell>
        </row>
        <row r="2144">
          <cell r="B2144">
            <v>45347</v>
          </cell>
          <cell r="E2144" t="str">
            <v>Скоц С.І.</v>
          </cell>
          <cell r="F2144" t="str">
            <v>Телескоп №5</v>
          </cell>
          <cell r="I2144">
            <v>5</v>
          </cell>
          <cell r="J2144">
            <v>6</v>
          </cell>
          <cell r="K2144">
            <v>5</v>
          </cell>
          <cell r="L2144">
            <v>1</v>
          </cell>
        </row>
        <row r="2145">
          <cell r="B2145">
            <v>45348</v>
          </cell>
          <cell r="E2145" t="str">
            <v>Скоц С.І.</v>
          </cell>
          <cell r="F2145" t="str">
            <v>Телескоп №5</v>
          </cell>
          <cell r="I2145">
            <v>5</v>
          </cell>
          <cell r="J2145">
            <v>8</v>
          </cell>
        </row>
        <row r="2146">
          <cell r="B2146">
            <v>45349</v>
          </cell>
          <cell r="E2146" t="str">
            <v>Скоц С.І.</v>
          </cell>
          <cell r="F2146" t="str">
            <v>Телескоп №5</v>
          </cell>
          <cell r="I2146">
            <v>5</v>
          </cell>
          <cell r="J2146">
            <v>8</v>
          </cell>
        </row>
        <row r="2147">
          <cell r="B2147">
            <v>45350</v>
          </cell>
          <cell r="E2147" t="str">
            <v>Скоц С.І.</v>
          </cell>
          <cell r="F2147" t="str">
            <v>Телескоп №5</v>
          </cell>
          <cell r="I2147">
            <v>5</v>
          </cell>
          <cell r="J2147">
            <v>8</v>
          </cell>
          <cell r="K2147">
            <v>1</v>
          </cell>
        </row>
        <row r="2148">
          <cell r="B2148">
            <v>45351</v>
          </cell>
          <cell r="E2148" t="str">
            <v>Скоц С.І.</v>
          </cell>
          <cell r="F2148" t="str">
            <v>Телескоп №5</v>
          </cell>
          <cell r="I2148">
            <v>5</v>
          </cell>
          <cell r="J2148">
            <v>8</v>
          </cell>
          <cell r="L2148">
            <v>1</v>
          </cell>
        </row>
        <row r="2149">
          <cell r="B2149">
            <v>45338</v>
          </cell>
          <cell r="E2149" t="str">
            <v>Карбунар Я.Д.</v>
          </cell>
          <cell r="F2149" t="str">
            <v>Экскаватор JCB 2007</v>
          </cell>
          <cell r="I2149">
            <v>8</v>
          </cell>
          <cell r="J2149">
            <v>11</v>
          </cell>
          <cell r="L2149">
            <v>1</v>
          </cell>
        </row>
        <row r="2150">
          <cell r="B2150">
            <v>45339</v>
          </cell>
          <cell r="E2150" t="str">
            <v>Карбунар Я.Д.</v>
          </cell>
          <cell r="F2150" t="str">
            <v>Экскаватор JCB 2007</v>
          </cell>
          <cell r="I2150">
            <v>8</v>
          </cell>
          <cell r="J2150">
            <v>8</v>
          </cell>
        </row>
        <row r="2151">
          <cell r="B2151">
            <v>45340</v>
          </cell>
          <cell r="E2151" t="str">
            <v>Карбунар Я.Д.</v>
          </cell>
          <cell r="F2151" t="str">
            <v>Экскаватор JCB 2007</v>
          </cell>
          <cell r="I2151">
            <v>8</v>
          </cell>
          <cell r="J2151">
            <v>8</v>
          </cell>
          <cell r="K2151">
            <v>4</v>
          </cell>
        </row>
        <row r="2152">
          <cell r="B2152">
            <v>45341</v>
          </cell>
          <cell r="E2152" t="str">
            <v>Карбунар Я.Д.</v>
          </cell>
          <cell r="F2152" t="str">
            <v>Экскаватор JCB 2007</v>
          </cell>
          <cell r="I2152">
            <v>8</v>
          </cell>
          <cell r="J2152">
            <v>8</v>
          </cell>
        </row>
        <row r="2153">
          <cell r="B2153">
            <v>45342</v>
          </cell>
          <cell r="E2153" t="str">
            <v>Карбунар Я.Д.</v>
          </cell>
          <cell r="F2153" t="str">
            <v>Экскаватор JCB 2007</v>
          </cell>
          <cell r="I2153">
            <v>8</v>
          </cell>
          <cell r="J2153">
            <v>12</v>
          </cell>
          <cell r="K2153">
            <v>4</v>
          </cell>
        </row>
        <row r="2154">
          <cell r="B2154">
            <v>45343</v>
          </cell>
          <cell r="E2154" t="str">
            <v>Карбунар Я.Д.</v>
          </cell>
          <cell r="F2154" t="str">
            <v>Экскаватор JCB 2007</v>
          </cell>
          <cell r="I2154">
            <v>8</v>
          </cell>
          <cell r="J2154">
            <v>9</v>
          </cell>
          <cell r="L2154">
            <v>1</v>
          </cell>
        </row>
        <row r="2155">
          <cell r="B2155">
            <v>45344</v>
          </cell>
          <cell r="E2155" t="str">
            <v>Карбунар Я.Д.</v>
          </cell>
          <cell r="F2155" t="str">
            <v>Экскаватор JCB 2007</v>
          </cell>
          <cell r="I2155">
            <v>8</v>
          </cell>
          <cell r="J2155">
            <v>12</v>
          </cell>
          <cell r="K2155">
            <v>4</v>
          </cell>
        </row>
        <row r="2156">
          <cell r="B2156">
            <v>45345</v>
          </cell>
          <cell r="E2156" t="str">
            <v>Карбунар Я.Д.</v>
          </cell>
          <cell r="F2156" t="str">
            <v>Экскаватор JCB 2007</v>
          </cell>
          <cell r="I2156">
            <v>8</v>
          </cell>
          <cell r="J2156">
            <v>8</v>
          </cell>
        </row>
        <row r="2157">
          <cell r="B2157">
            <v>45346</v>
          </cell>
          <cell r="E2157" t="str">
            <v>Карбунар Я.Д.</v>
          </cell>
          <cell r="F2157" t="str">
            <v>Экскаватор JCB 2007</v>
          </cell>
          <cell r="I2157">
            <v>8</v>
          </cell>
          <cell r="J2157">
            <v>9</v>
          </cell>
          <cell r="L2157">
            <v>1</v>
          </cell>
        </row>
        <row r="2158">
          <cell r="B2158">
            <v>45347</v>
          </cell>
          <cell r="E2158" t="str">
            <v>Карбунар Я.Д.</v>
          </cell>
          <cell r="F2158" t="str">
            <v>Экскаватор JCB 2007</v>
          </cell>
          <cell r="I2158">
            <v>8</v>
          </cell>
          <cell r="J2158">
            <v>10</v>
          </cell>
          <cell r="K2158">
            <v>6</v>
          </cell>
        </row>
        <row r="2159">
          <cell r="B2159">
            <v>45348</v>
          </cell>
          <cell r="E2159" t="str">
            <v>Карбунар Я.Д.</v>
          </cell>
          <cell r="F2159" t="str">
            <v>Экскаватор JCB 2007</v>
          </cell>
          <cell r="I2159">
            <v>8</v>
          </cell>
          <cell r="J2159">
            <v>8</v>
          </cell>
        </row>
        <row r="2160">
          <cell r="B2160">
            <v>45349</v>
          </cell>
          <cell r="E2160" t="str">
            <v>Карбунар Я.Д.</v>
          </cell>
          <cell r="F2160" t="str">
            <v>Экскаватор JCB 2007</v>
          </cell>
          <cell r="I2160">
            <v>8</v>
          </cell>
          <cell r="J2160">
            <v>12</v>
          </cell>
          <cell r="K2160">
            <v>4</v>
          </cell>
        </row>
        <row r="2161">
          <cell r="B2161">
            <v>45350</v>
          </cell>
          <cell r="E2161" t="str">
            <v>Карбунар Я.Д.</v>
          </cell>
          <cell r="F2161" t="str">
            <v>Экскаватор JCB 2007</v>
          </cell>
          <cell r="I2161">
            <v>8</v>
          </cell>
          <cell r="J2161">
            <v>9</v>
          </cell>
          <cell r="L2161">
            <v>1</v>
          </cell>
        </row>
        <row r="2162">
          <cell r="B2162">
            <v>45351</v>
          </cell>
          <cell r="E2162" t="str">
            <v>Карбунар Я.Д.</v>
          </cell>
          <cell r="F2162" t="str">
            <v>Экскаватор JCB 2007</v>
          </cell>
          <cell r="I2162">
            <v>8</v>
          </cell>
          <cell r="J2162">
            <v>12</v>
          </cell>
          <cell r="K2162">
            <v>4</v>
          </cell>
        </row>
        <row r="2163">
          <cell r="B2163">
            <v>45338</v>
          </cell>
          <cell r="E2163" t="str">
            <v>Ковальчук В.В.</v>
          </cell>
          <cell r="F2163" t="str">
            <v>Экскаватор  JCB 3CX 2008</v>
          </cell>
          <cell r="I2163">
            <v>9</v>
          </cell>
          <cell r="J2163">
            <v>10</v>
          </cell>
        </row>
        <row r="2164">
          <cell r="B2164">
            <v>45341</v>
          </cell>
          <cell r="E2164" t="str">
            <v>Ковальчук В.В.</v>
          </cell>
          <cell r="F2164" t="str">
            <v>Экскаватор  JCB 3CX 2008</v>
          </cell>
          <cell r="I2164">
            <v>9</v>
          </cell>
          <cell r="J2164">
            <v>10</v>
          </cell>
          <cell r="L2164">
            <v>1</v>
          </cell>
        </row>
        <row r="2165">
          <cell r="B2165">
            <v>45342</v>
          </cell>
          <cell r="E2165" t="str">
            <v>Ковальчук В.В.</v>
          </cell>
          <cell r="F2165" t="str">
            <v>Экскаватор  JCB 3CX 2008</v>
          </cell>
          <cell r="I2165">
            <v>9</v>
          </cell>
          <cell r="J2165">
            <v>8</v>
          </cell>
        </row>
        <row r="2166">
          <cell r="B2166">
            <v>45343</v>
          </cell>
          <cell r="E2166" t="str">
            <v>Ковальчук В.В.</v>
          </cell>
          <cell r="F2166" t="str">
            <v>Экскаватор  JCB 3CX 2008</v>
          </cell>
          <cell r="I2166">
            <v>9</v>
          </cell>
          <cell r="J2166">
            <v>8</v>
          </cell>
          <cell r="K2166">
            <v>8</v>
          </cell>
        </row>
        <row r="2167">
          <cell r="B2167">
            <v>45344</v>
          </cell>
          <cell r="E2167" t="str">
            <v>Ковальчук В.В.</v>
          </cell>
          <cell r="F2167" t="str">
            <v>Экскаватор  JCB 3CX 2008</v>
          </cell>
          <cell r="I2167">
            <v>9</v>
          </cell>
          <cell r="J2167">
            <v>8</v>
          </cell>
        </row>
        <row r="2168">
          <cell r="B2168">
            <v>45345</v>
          </cell>
          <cell r="E2168" t="str">
            <v>Ковальчук В.В.</v>
          </cell>
          <cell r="F2168" t="str">
            <v>Экскаватор  JCB 3CX 2008</v>
          </cell>
          <cell r="I2168">
            <v>9</v>
          </cell>
          <cell r="J2168">
            <v>9</v>
          </cell>
        </row>
        <row r="2169">
          <cell r="B2169">
            <v>45347</v>
          </cell>
          <cell r="E2169" t="str">
            <v>Ковальчук В.В.</v>
          </cell>
          <cell r="F2169" t="str">
            <v>Экскаватор  JCB 3CX 2008</v>
          </cell>
          <cell r="I2169">
            <v>9</v>
          </cell>
          <cell r="J2169">
            <v>4</v>
          </cell>
          <cell r="K2169">
            <v>4</v>
          </cell>
        </row>
        <row r="2170">
          <cell r="B2170">
            <v>45348</v>
          </cell>
          <cell r="E2170" t="str">
            <v>Ковальчук В.В.</v>
          </cell>
          <cell r="F2170" t="str">
            <v>Экскаватор  JCB 3CX 2008</v>
          </cell>
          <cell r="I2170">
            <v>9</v>
          </cell>
          <cell r="J2170">
            <v>9</v>
          </cell>
        </row>
        <row r="2171">
          <cell r="B2171">
            <v>45349</v>
          </cell>
          <cell r="E2171" t="str">
            <v>Ковальчук В.В.</v>
          </cell>
          <cell r="F2171" t="str">
            <v>Экскаватор  JCB 3CX 2008</v>
          </cell>
          <cell r="I2171">
            <v>9</v>
          </cell>
          <cell r="J2171">
            <v>10</v>
          </cell>
          <cell r="L2171">
            <v>1</v>
          </cell>
        </row>
        <row r="2172">
          <cell r="B2172">
            <v>45350</v>
          </cell>
          <cell r="E2172" t="str">
            <v>Ковальчук В.В.</v>
          </cell>
          <cell r="F2172" t="str">
            <v>Экскаватор  JCB 3CX 2008</v>
          </cell>
          <cell r="I2172">
            <v>9</v>
          </cell>
          <cell r="J2172">
            <v>9</v>
          </cell>
        </row>
        <row r="2173">
          <cell r="B2173">
            <v>45351</v>
          </cell>
          <cell r="E2173" t="str">
            <v>Ковальчук В.В.</v>
          </cell>
          <cell r="F2173" t="str">
            <v>Экскаватор  JCB 3CX 2008</v>
          </cell>
          <cell r="I2173">
            <v>9</v>
          </cell>
          <cell r="J2173">
            <v>11</v>
          </cell>
          <cell r="L2173">
            <v>1</v>
          </cell>
        </row>
        <row r="2174">
          <cell r="B2174">
            <v>45342</v>
          </cell>
          <cell r="E2174" t="str">
            <v>Ляшко С.М</v>
          </cell>
          <cell r="F2174" t="str">
            <v>Экскаватор JCB 220</v>
          </cell>
          <cell r="I2174">
            <v>11</v>
          </cell>
          <cell r="J2174">
            <v>4</v>
          </cell>
          <cell r="K2174">
            <v>4</v>
          </cell>
        </row>
        <row r="2175">
          <cell r="B2175">
            <v>45343</v>
          </cell>
          <cell r="E2175" t="str">
            <v>Ляшко С.М</v>
          </cell>
          <cell r="F2175" t="str">
            <v>Экскаватор JCB 220</v>
          </cell>
          <cell r="I2175">
            <v>11</v>
          </cell>
          <cell r="J2175">
            <v>8</v>
          </cell>
          <cell r="K2175">
            <v>8</v>
          </cell>
        </row>
        <row r="2176">
          <cell r="B2176">
            <v>45344</v>
          </cell>
          <cell r="E2176" t="str">
            <v>Ляшко С.М</v>
          </cell>
          <cell r="F2176" t="str">
            <v>Экскаватор JCB 220</v>
          </cell>
          <cell r="I2176">
            <v>11</v>
          </cell>
          <cell r="J2176">
            <v>8</v>
          </cell>
          <cell r="K2176">
            <v>8</v>
          </cell>
        </row>
        <row r="2177">
          <cell r="B2177">
            <v>45348</v>
          </cell>
          <cell r="E2177" t="str">
            <v>Ляшко С.М</v>
          </cell>
          <cell r="F2177" t="str">
            <v>Экскаватор JCB 220</v>
          </cell>
          <cell r="I2177">
            <v>11</v>
          </cell>
          <cell r="J2177">
            <v>8</v>
          </cell>
          <cell r="K2177">
            <v>6</v>
          </cell>
        </row>
        <row r="2178">
          <cell r="B2178">
            <v>45349</v>
          </cell>
          <cell r="E2178" t="str">
            <v>Ляшко С.М</v>
          </cell>
          <cell r="F2178" t="str">
            <v>Экскаватор JCB 220</v>
          </cell>
          <cell r="I2178">
            <v>11</v>
          </cell>
          <cell r="J2178">
            <v>8</v>
          </cell>
          <cell r="K2178">
            <v>6</v>
          </cell>
        </row>
        <row r="2179">
          <cell r="B2179">
            <v>45350</v>
          </cell>
          <cell r="E2179" t="str">
            <v>Ляшко С.М</v>
          </cell>
          <cell r="F2179" t="str">
            <v>Экскаватор JCB 220</v>
          </cell>
          <cell r="I2179">
            <v>11</v>
          </cell>
          <cell r="J2179">
            <v>9</v>
          </cell>
          <cell r="K2179">
            <v>8</v>
          </cell>
        </row>
        <row r="2180">
          <cell r="B2180">
            <v>45351</v>
          </cell>
          <cell r="E2180" t="str">
            <v>Ляшко С.М</v>
          </cell>
          <cell r="F2180" t="str">
            <v>Экскаватор JCB 220</v>
          </cell>
          <cell r="I2180">
            <v>11</v>
          </cell>
          <cell r="J2180">
            <v>8</v>
          </cell>
          <cell r="K2180">
            <v>1</v>
          </cell>
        </row>
        <row r="2181">
          <cell r="B2181">
            <v>45338</v>
          </cell>
          <cell r="E2181" t="str">
            <v>Борисенко О.М.</v>
          </cell>
          <cell r="F2181" t="str">
            <v>Автокран XCMG</v>
          </cell>
          <cell r="I2181">
            <v>17</v>
          </cell>
          <cell r="J2181">
            <v>9</v>
          </cell>
        </row>
        <row r="2182">
          <cell r="B2182">
            <v>45339</v>
          </cell>
          <cell r="E2182" t="str">
            <v>Борисенко О.М.</v>
          </cell>
          <cell r="F2182" t="str">
            <v>Автокран XCMG</v>
          </cell>
          <cell r="I2182">
            <v>17</v>
          </cell>
          <cell r="J2182">
            <v>8</v>
          </cell>
        </row>
        <row r="2183">
          <cell r="B2183">
            <v>45340</v>
          </cell>
          <cell r="E2183" t="str">
            <v>Борисенко О.М.</v>
          </cell>
          <cell r="F2183" t="str">
            <v>Автокран XCMG</v>
          </cell>
          <cell r="I2183">
            <v>17</v>
          </cell>
          <cell r="J2183">
            <v>6</v>
          </cell>
        </row>
        <row r="2184">
          <cell r="B2184">
            <v>45341</v>
          </cell>
          <cell r="E2184" t="str">
            <v>Борисенко О.М.</v>
          </cell>
          <cell r="F2184" t="str">
            <v>Автокран XCMG</v>
          </cell>
          <cell r="I2184">
            <v>17</v>
          </cell>
          <cell r="J2184">
            <v>9</v>
          </cell>
        </row>
        <row r="2185">
          <cell r="B2185">
            <v>45342</v>
          </cell>
          <cell r="E2185" t="str">
            <v>Борисенко О.М.</v>
          </cell>
          <cell r="F2185" t="str">
            <v>Автокран XCMG</v>
          </cell>
          <cell r="I2185">
            <v>17</v>
          </cell>
          <cell r="J2185">
            <v>8</v>
          </cell>
        </row>
        <row r="2186">
          <cell r="B2186">
            <v>45343</v>
          </cell>
          <cell r="E2186" t="str">
            <v>Борисенко О.М.</v>
          </cell>
          <cell r="F2186" t="str">
            <v>Автокран XCMG</v>
          </cell>
          <cell r="I2186">
            <v>17</v>
          </cell>
          <cell r="J2186">
            <v>8</v>
          </cell>
        </row>
        <row r="2187">
          <cell r="B2187">
            <v>45344</v>
          </cell>
          <cell r="E2187" t="str">
            <v>Борисенко О.М.</v>
          </cell>
          <cell r="F2187" t="str">
            <v>Автокран XCMG</v>
          </cell>
          <cell r="I2187">
            <v>17</v>
          </cell>
          <cell r="J2187">
            <v>8</v>
          </cell>
        </row>
        <row r="2188">
          <cell r="B2188">
            <v>45345</v>
          </cell>
          <cell r="E2188" t="str">
            <v>Борисенко О.М.</v>
          </cell>
          <cell r="F2188" t="str">
            <v>Автокран XCMG</v>
          </cell>
          <cell r="I2188">
            <v>17</v>
          </cell>
          <cell r="J2188">
            <v>9</v>
          </cell>
        </row>
        <row r="2189">
          <cell r="B2189">
            <v>45346</v>
          </cell>
          <cell r="E2189" t="str">
            <v>Борисенко О.М.</v>
          </cell>
          <cell r="F2189" t="str">
            <v>Автокран XCMG</v>
          </cell>
          <cell r="I2189">
            <v>17</v>
          </cell>
          <cell r="J2189">
            <v>8</v>
          </cell>
        </row>
        <row r="2190">
          <cell r="B2190">
            <v>45347</v>
          </cell>
          <cell r="E2190" t="str">
            <v>Борисенко О.М.</v>
          </cell>
          <cell r="F2190" t="str">
            <v>Автокран XCMG</v>
          </cell>
          <cell r="I2190">
            <v>17</v>
          </cell>
          <cell r="J2190">
            <v>7</v>
          </cell>
          <cell r="K2190">
            <v>1</v>
          </cell>
        </row>
        <row r="2191">
          <cell r="B2191">
            <v>45348</v>
          </cell>
          <cell r="E2191" t="str">
            <v>Борисенко О.М.</v>
          </cell>
          <cell r="F2191" t="str">
            <v>Автокран XCMG</v>
          </cell>
          <cell r="I2191">
            <v>17</v>
          </cell>
          <cell r="J2191">
            <v>9</v>
          </cell>
        </row>
        <row r="2192">
          <cell r="B2192">
            <v>45349</v>
          </cell>
          <cell r="E2192" t="str">
            <v>Борисенко О.М.</v>
          </cell>
          <cell r="F2192" t="str">
            <v>Автокран XCMG</v>
          </cell>
          <cell r="I2192">
            <v>17</v>
          </cell>
          <cell r="J2192">
            <v>9</v>
          </cell>
        </row>
        <row r="2193">
          <cell r="B2193">
            <v>45350</v>
          </cell>
          <cell r="E2193" t="str">
            <v>Борисенко О.М.</v>
          </cell>
          <cell r="F2193" t="str">
            <v>Автокран XCMG</v>
          </cell>
          <cell r="I2193">
            <v>17</v>
          </cell>
          <cell r="J2193">
            <v>9</v>
          </cell>
        </row>
        <row r="2194">
          <cell r="B2194">
            <v>45351</v>
          </cell>
          <cell r="E2194" t="str">
            <v>Борисенко О.М.</v>
          </cell>
          <cell r="F2194" t="str">
            <v>Автокран XCMG</v>
          </cell>
          <cell r="I2194">
            <v>17</v>
          </cell>
          <cell r="J2194">
            <v>11</v>
          </cell>
          <cell r="L2194">
            <v>1</v>
          </cell>
        </row>
        <row r="2195">
          <cell r="B2195">
            <v>45341</v>
          </cell>
          <cell r="E2195" t="str">
            <v>Селивончик И.П.</v>
          </cell>
          <cell r="F2195" t="str">
            <v>МАЗ 264</v>
          </cell>
          <cell r="I2195">
            <v>12</v>
          </cell>
          <cell r="J2195">
            <v>9</v>
          </cell>
          <cell r="K2195">
            <v>9</v>
          </cell>
        </row>
        <row r="2196">
          <cell r="B2196">
            <v>45345</v>
          </cell>
          <cell r="E2196" t="str">
            <v>Селивончик И.П.</v>
          </cell>
          <cell r="F2196" t="str">
            <v>МАЗ 264</v>
          </cell>
          <cell r="I2196">
            <v>12</v>
          </cell>
          <cell r="J2196">
            <v>10</v>
          </cell>
        </row>
        <row r="2197">
          <cell r="B2197">
            <v>45346</v>
          </cell>
          <cell r="E2197" t="str">
            <v>Селивончик И.П.</v>
          </cell>
          <cell r="F2197" t="str">
            <v>МАЗ 264</v>
          </cell>
          <cell r="I2197">
            <v>12</v>
          </cell>
          <cell r="J2197">
            <v>9</v>
          </cell>
          <cell r="K2197">
            <v>1</v>
          </cell>
        </row>
        <row r="2198">
          <cell r="B2198">
            <v>45347</v>
          </cell>
          <cell r="E2198" t="str">
            <v>Селивончик И.П.</v>
          </cell>
          <cell r="F2198" t="str">
            <v>МАЗ 264</v>
          </cell>
          <cell r="I2198">
            <v>12</v>
          </cell>
          <cell r="J2198">
            <v>8</v>
          </cell>
        </row>
        <row r="2199">
          <cell r="B2199">
            <v>45348</v>
          </cell>
          <cell r="E2199" t="str">
            <v>Селивончик И.П.</v>
          </cell>
          <cell r="F2199" t="str">
            <v>МАЗ 264</v>
          </cell>
          <cell r="I2199">
            <v>12</v>
          </cell>
          <cell r="J2199">
            <v>10</v>
          </cell>
          <cell r="K2199">
            <v>1</v>
          </cell>
        </row>
        <row r="2200">
          <cell r="B2200">
            <v>45349</v>
          </cell>
          <cell r="E2200" t="str">
            <v>Селивончик И.П.</v>
          </cell>
          <cell r="F2200" t="str">
            <v>МАЗ 264</v>
          </cell>
          <cell r="I2200">
            <v>12</v>
          </cell>
          <cell r="J2200">
            <v>9</v>
          </cell>
          <cell r="L2200">
            <v>1</v>
          </cell>
        </row>
        <row r="2201">
          <cell r="B2201">
            <v>45350</v>
          </cell>
          <cell r="E2201" t="str">
            <v>Селивончик И.П.</v>
          </cell>
          <cell r="F2201" t="str">
            <v>МАЗ 264</v>
          </cell>
          <cell r="I2201">
            <v>12</v>
          </cell>
          <cell r="J2201">
            <v>10</v>
          </cell>
        </row>
        <row r="2202">
          <cell r="B2202">
            <v>45351</v>
          </cell>
          <cell r="E2202" t="str">
            <v>Селивончик И.П.</v>
          </cell>
          <cell r="F2202" t="str">
            <v>МАЗ 264</v>
          </cell>
          <cell r="I2202">
            <v>12</v>
          </cell>
          <cell r="J2202">
            <v>10</v>
          </cell>
          <cell r="K2202">
            <v>1</v>
          </cell>
          <cell r="L2202">
            <v>1</v>
          </cell>
        </row>
        <row r="2203">
          <cell r="B2203">
            <v>45323</v>
          </cell>
          <cell r="E2203" t="str">
            <v>Кушнірюк М.В.</v>
          </cell>
          <cell r="F2203" t="str">
            <v>МАЗ 265</v>
          </cell>
          <cell r="I2203">
            <v>13</v>
          </cell>
          <cell r="J2203">
            <v>9</v>
          </cell>
        </row>
        <row r="2204">
          <cell r="B2204">
            <v>45324</v>
          </cell>
          <cell r="E2204" t="str">
            <v>Кушнірюк М.В.</v>
          </cell>
          <cell r="F2204" t="str">
            <v>МАЗ 265</v>
          </cell>
          <cell r="I2204">
            <v>13</v>
          </cell>
          <cell r="J2204">
            <v>10</v>
          </cell>
        </row>
        <row r="2205">
          <cell r="B2205">
            <v>45325</v>
          </cell>
          <cell r="E2205" t="str">
            <v>Кушнірюк М.В.</v>
          </cell>
          <cell r="F2205" t="str">
            <v>МАЗ 265</v>
          </cell>
          <cell r="I2205">
            <v>13</v>
          </cell>
          <cell r="J2205">
            <v>7</v>
          </cell>
        </row>
        <row r="2206">
          <cell r="B2206">
            <v>45326</v>
          </cell>
          <cell r="E2206" t="str">
            <v>Кушнірюк М.В.</v>
          </cell>
          <cell r="F2206" t="str">
            <v>МАЗ 265</v>
          </cell>
          <cell r="I2206">
            <v>13</v>
          </cell>
          <cell r="J2206">
            <v>6</v>
          </cell>
        </row>
        <row r="2207">
          <cell r="B2207">
            <v>45327</v>
          </cell>
          <cell r="E2207" t="str">
            <v>Кушнірюк М.В.</v>
          </cell>
          <cell r="F2207" t="str">
            <v>МАЗ 265</v>
          </cell>
          <cell r="I2207">
            <v>13</v>
          </cell>
          <cell r="J2207">
            <v>5</v>
          </cell>
          <cell r="L2207">
            <v>1</v>
          </cell>
        </row>
        <row r="2208">
          <cell r="B2208">
            <v>45329</v>
          </cell>
          <cell r="E2208" t="str">
            <v>Кушнірюк М.В.</v>
          </cell>
          <cell r="F2208" t="str">
            <v>МАЗ 265</v>
          </cell>
          <cell r="I2208">
            <v>13</v>
          </cell>
          <cell r="J2208">
            <v>8</v>
          </cell>
        </row>
        <row r="2209">
          <cell r="B2209">
            <v>45330</v>
          </cell>
          <cell r="E2209" t="str">
            <v>Кушнірюк М.В.</v>
          </cell>
          <cell r="F2209" t="str">
            <v>МАЗ 265</v>
          </cell>
          <cell r="I2209">
            <v>13</v>
          </cell>
          <cell r="J2209">
            <v>7</v>
          </cell>
        </row>
        <row r="2210">
          <cell r="B2210">
            <v>45347</v>
          </cell>
          <cell r="E2210" t="str">
            <v>Болох В.В.</v>
          </cell>
          <cell r="F2210" t="str">
            <v>Самосвал камаз</v>
          </cell>
          <cell r="I2210">
            <v>16</v>
          </cell>
          <cell r="J2210">
            <v>10</v>
          </cell>
          <cell r="K2210">
            <v>2</v>
          </cell>
        </row>
        <row r="2211">
          <cell r="B2211">
            <v>45348</v>
          </cell>
          <cell r="E2211" t="str">
            <v>Болох В.В.</v>
          </cell>
          <cell r="F2211" t="str">
            <v>Самосвал камаз</v>
          </cell>
          <cell r="I2211">
            <v>16</v>
          </cell>
          <cell r="J2211">
            <v>11</v>
          </cell>
          <cell r="K2211">
            <v>2</v>
          </cell>
        </row>
        <row r="2212">
          <cell r="B2212">
            <v>45349</v>
          </cell>
          <cell r="E2212" t="str">
            <v>Болох В.В.</v>
          </cell>
          <cell r="F2212" t="str">
            <v>Самосвал камаз</v>
          </cell>
          <cell r="I2212">
            <v>16</v>
          </cell>
          <cell r="J2212">
            <v>10</v>
          </cell>
          <cell r="K2212">
            <v>1</v>
          </cell>
        </row>
        <row r="2213">
          <cell r="B2213">
            <v>45350</v>
          </cell>
          <cell r="E2213" t="str">
            <v>Болох В.В.</v>
          </cell>
          <cell r="F2213" t="str">
            <v>Самосвал камаз</v>
          </cell>
          <cell r="I2213">
            <v>16</v>
          </cell>
          <cell r="J2213">
            <v>10</v>
          </cell>
          <cell r="K2213">
            <v>1</v>
          </cell>
        </row>
        <row r="2214">
          <cell r="B2214">
            <v>45351</v>
          </cell>
          <cell r="E2214" t="str">
            <v>Болох В.В.</v>
          </cell>
          <cell r="F2214" t="str">
            <v>Самосвал камаз</v>
          </cell>
          <cell r="I2214">
            <v>16</v>
          </cell>
          <cell r="J2214">
            <v>13</v>
          </cell>
          <cell r="K2214">
            <v>1</v>
          </cell>
        </row>
        <row r="2215">
          <cell r="B2215">
            <v>45345</v>
          </cell>
          <cell r="E2215" t="str">
            <v>Трубилко В.Т.</v>
          </cell>
          <cell r="F2215" t="str">
            <v>Экскаватор JCB 2013</v>
          </cell>
          <cell r="I2215">
            <v>10</v>
          </cell>
          <cell r="J2215">
            <v>10</v>
          </cell>
        </row>
        <row r="2216">
          <cell r="B2216">
            <v>45346</v>
          </cell>
          <cell r="E2216" t="str">
            <v>Трубилко В.Т.</v>
          </cell>
          <cell r="F2216" t="str">
            <v>Экскаватор JCB 2013</v>
          </cell>
          <cell r="I2216">
            <v>10</v>
          </cell>
          <cell r="J2216">
            <v>9</v>
          </cell>
          <cell r="K2216">
            <v>1</v>
          </cell>
        </row>
        <row r="2217">
          <cell r="B2217">
            <v>45347</v>
          </cell>
          <cell r="E2217" t="str">
            <v>Трубилко В.Т.</v>
          </cell>
          <cell r="F2217" t="str">
            <v>Экскаватор JCB 2013</v>
          </cell>
          <cell r="I2217">
            <v>10</v>
          </cell>
          <cell r="J2217">
            <v>8</v>
          </cell>
        </row>
        <row r="2218">
          <cell r="B2218">
            <v>45348</v>
          </cell>
          <cell r="E2218" t="str">
            <v>Трубилко В.Т.</v>
          </cell>
          <cell r="F2218" t="str">
            <v>Экскаватор JCB 2013</v>
          </cell>
          <cell r="I2218">
            <v>10</v>
          </cell>
          <cell r="J2218">
            <v>10</v>
          </cell>
          <cell r="K2218">
            <v>1</v>
          </cell>
        </row>
        <row r="2219">
          <cell r="B2219">
            <v>45349</v>
          </cell>
          <cell r="E2219" t="str">
            <v>Трубилко В.Т.</v>
          </cell>
          <cell r="F2219" t="str">
            <v>Экскаватор JCB 2013</v>
          </cell>
          <cell r="I2219">
            <v>10</v>
          </cell>
          <cell r="J2219">
            <v>9</v>
          </cell>
        </row>
        <row r="2220">
          <cell r="B2220">
            <v>45350</v>
          </cell>
          <cell r="E2220" t="str">
            <v>Трубилко В.Т.</v>
          </cell>
          <cell r="F2220" t="str">
            <v>Экскаватор JCB 2013</v>
          </cell>
          <cell r="I2220">
            <v>10</v>
          </cell>
          <cell r="J2220">
            <v>9</v>
          </cell>
          <cell r="K2220">
            <v>1</v>
          </cell>
        </row>
        <row r="2221">
          <cell r="B2221">
            <v>45351</v>
          </cell>
          <cell r="E2221" t="str">
            <v>Трубилко В.Т.</v>
          </cell>
          <cell r="F2221" t="str">
            <v>Экскаватор JCB 2013</v>
          </cell>
          <cell r="I2221">
            <v>10</v>
          </cell>
          <cell r="J2221">
            <v>11</v>
          </cell>
          <cell r="K2221">
            <v>1</v>
          </cell>
        </row>
        <row r="2222">
          <cell r="B2222">
            <v>45353</v>
          </cell>
          <cell r="E2222" t="str">
            <v>Кушнірюк М.В.</v>
          </cell>
          <cell r="F2222" t="str">
            <v>Виброкаток</v>
          </cell>
          <cell r="I2222">
            <v>6</v>
          </cell>
          <cell r="J2222">
            <v>4</v>
          </cell>
        </row>
        <row r="2223">
          <cell r="B2223">
            <v>45355</v>
          </cell>
          <cell r="E2223" t="str">
            <v>Кушнірюк М.В.</v>
          </cell>
          <cell r="F2223" t="str">
            <v>Виброкаток</v>
          </cell>
          <cell r="I2223">
            <v>6</v>
          </cell>
          <cell r="J2223">
            <v>2</v>
          </cell>
        </row>
        <row r="2224">
          <cell r="B2224">
            <v>45353</v>
          </cell>
          <cell r="E2224" t="str">
            <v>Кушнірюк М.В.</v>
          </cell>
          <cell r="F2224" t="str">
            <v>МАЗ 265</v>
          </cell>
          <cell r="I2224">
            <v>13</v>
          </cell>
          <cell r="J2224">
            <v>5</v>
          </cell>
          <cell r="L2224">
            <v>1</v>
          </cell>
        </row>
        <row r="2225">
          <cell r="B2225">
            <v>45355</v>
          </cell>
          <cell r="E2225" t="str">
            <v>Кушнірюк М.В.</v>
          </cell>
          <cell r="F2225" t="str">
            <v>МАЗ 265</v>
          </cell>
          <cell r="I2225">
            <v>13</v>
          </cell>
          <cell r="J2225">
            <v>6</v>
          </cell>
        </row>
        <row r="2226">
          <cell r="B2226">
            <v>45356</v>
          </cell>
          <cell r="E2226" t="str">
            <v>Кушнірюк М.В.</v>
          </cell>
          <cell r="F2226" t="str">
            <v>МАЗ 265</v>
          </cell>
          <cell r="I2226">
            <v>13</v>
          </cell>
          <cell r="J2226">
            <v>11</v>
          </cell>
          <cell r="L2226">
            <v>1</v>
          </cell>
        </row>
        <row r="2227">
          <cell r="B2227">
            <v>45357</v>
          </cell>
          <cell r="E2227" t="str">
            <v>Кушнірюк М.В.</v>
          </cell>
          <cell r="F2227" t="str">
            <v>МАЗ 265</v>
          </cell>
          <cell r="I2227">
            <v>13</v>
          </cell>
          <cell r="J2227">
            <v>9</v>
          </cell>
          <cell r="L2227">
            <v>1</v>
          </cell>
        </row>
        <row r="2228">
          <cell r="B2228">
            <v>45358</v>
          </cell>
          <cell r="E2228" t="str">
            <v>Кушнірюк М.В.</v>
          </cell>
          <cell r="F2228" t="str">
            <v>МАЗ 265</v>
          </cell>
          <cell r="I2228">
            <v>13</v>
          </cell>
          <cell r="J2228">
            <v>10</v>
          </cell>
        </row>
        <row r="2229">
          <cell r="B2229">
            <v>45359</v>
          </cell>
          <cell r="E2229" t="str">
            <v>Кушнірюк М.В.</v>
          </cell>
          <cell r="F2229" t="str">
            <v>МАЗ 265</v>
          </cell>
          <cell r="I2229">
            <v>13</v>
          </cell>
          <cell r="J2229">
            <v>10</v>
          </cell>
        </row>
        <row r="2230">
          <cell r="B2230">
            <v>45360</v>
          </cell>
          <cell r="E2230" t="str">
            <v>Кушнірюк М.В.</v>
          </cell>
          <cell r="F2230" t="str">
            <v>МАЗ 265</v>
          </cell>
          <cell r="I2230">
            <v>13</v>
          </cell>
          <cell r="J2230">
            <v>11</v>
          </cell>
          <cell r="L2230">
            <v>1</v>
          </cell>
        </row>
        <row r="2231">
          <cell r="B2231">
            <v>45361</v>
          </cell>
          <cell r="E2231" t="str">
            <v>Кушнірюк М.В.</v>
          </cell>
          <cell r="F2231" t="str">
            <v>МАЗ 265</v>
          </cell>
          <cell r="I2231">
            <v>13</v>
          </cell>
          <cell r="J2231">
            <v>5</v>
          </cell>
        </row>
        <row r="2232">
          <cell r="B2232">
            <v>45362</v>
          </cell>
          <cell r="E2232" t="str">
            <v>Кушнірюк М.В.</v>
          </cell>
          <cell r="F2232" t="str">
            <v>МАЗ 265</v>
          </cell>
          <cell r="I2232">
            <v>13</v>
          </cell>
          <cell r="J2232">
            <v>11</v>
          </cell>
          <cell r="L2232">
            <v>1</v>
          </cell>
        </row>
        <row r="2233">
          <cell r="B2233">
            <v>45363</v>
          </cell>
          <cell r="E2233" t="str">
            <v>Кушнірюк М.В.</v>
          </cell>
          <cell r="F2233" t="str">
            <v>МАЗ 265</v>
          </cell>
          <cell r="I2233">
            <v>13</v>
          </cell>
          <cell r="J2233">
            <v>9</v>
          </cell>
          <cell r="L2233">
            <v>1</v>
          </cell>
        </row>
        <row r="2234">
          <cell r="B2234">
            <v>45366</v>
          </cell>
          <cell r="E2234" t="str">
            <v>Кушнірюк М.В.</v>
          </cell>
          <cell r="F2234" t="str">
            <v>МАЗ 265</v>
          </cell>
          <cell r="I2234">
            <v>13</v>
          </cell>
          <cell r="J2234">
            <v>5</v>
          </cell>
          <cell r="K2234">
            <v>5</v>
          </cell>
        </row>
        <row r="2235">
          <cell r="B2235">
            <v>45352</v>
          </cell>
          <cell r="E2235" t="str">
            <v>Ляшко С.М</v>
          </cell>
          <cell r="F2235" t="str">
            <v>Экскаватор JCB 220</v>
          </cell>
          <cell r="I2235">
            <v>11</v>
          </cell>
          <cell r="J2235">
            <v>9</v>
          </cell>
        </row>
        <row r="2236">
          <cell r="B2236">
            <v>45353</v>
          </cell>
          <cell r="E2236" t="str">
            <v>Ляшко С.М</v>
          </cell>
          <cell r="F2236" t="str">
            <v>Экскаватор JCB 220</v>
          </cell>
          <cell r="I2236">
            <v>11</v>
          </cell>
          <cell r="J2236">
            <v>8</v>
          </cell>
          <cell r="L2236">
            <v>1</v>
          </cell>
        </row>
        <row r="2237">
          <cell r="B2237">
            <v>45355</v>
          </cell>
          <cell r="E2237" t="str">
            <v>Ляшко С.М</v>
          </cell>
          <cell r="F2237" t="str">
            <v>Экскаватор JCB 220</v>
          </cell>
          <cell r="I2237">
            <v>11</v>
          </cell>
          <cell r="J2237">
            <v>8</v>
          </cell>
        </row>
        <row r="2238">
          <cell r="B2238">
            <v>45356</v>
          </cell>
          <cell r="E2238" t="str">
            <v>Ляшко С.М</v>
          </cell>
          <cell r="F2238" t="str">
            <v>Экскаватор JCB 220</v>
          </cell>
          <cell r="I2238">
            <v>11</v>
          </cell>
          <cell r="J2238">
            <v>10</v>
          </cell>
          <cell r="L2238">
            <v>1</v>
          </cell>
        </row>
        <row r="2239">
          <cell r="B2239">
            <v>45357</v>
          </cell>
          <cell r="E2239" t="str">
            <v>Ляшко С.М</v>
          </cell>
          <cell r="F2239" t="str">
            <v>Экскаватор JCB 220</v>
          </cell>
          <cell r="I2239">
            <v>11</v>
          </cell>
          <cell r="J2239">
            <v>9</v>
          </cell>
          <cell r="L2239">
            <v>1</v>
          </cell>
        </row>
        <row r="2240">
          <cell r="B2240">
            <v>45358</v>
          </cell>
          <cell r="E2240" t="str">
            <v>Ляшко С.М</v>
          </cell>
          <cell r="F2240" t="str">
            <v>Экскаватор JCB 220</v>
          </cell>
          <cell r="I2240">
            <v>11</v>
          </cell>
          <cell r="J2240">
            <v>10</v>
          </cell>
        </row>
        <row r="2241">
          <cell r="B2241">
            <v>45359</v>
          </cell>
          <cell r="E2241" t="str">
            <v>Ляшко С.М</v>
          </cell>
          <cell r="F2241" t="str">
            <v>Экскаватор JCB 220</v>
          </cell>
          <cell r="I2241">
            <v>11</v>
          </cell>
          <cell r="J2241">
            <v>10</v>
          </cell>
          <cell r="K2241">
            <v>2</v>
          </cell>
          <cell r="L2241">
            <v>1</v>
          </cell>
        </row>
        <row r="2242">
          <cell r="B2242">
            <v>45360</v>
          </cell>
          <cell r="E2242" t="str">
            <v>Ляшко С.М</v>
          </cell>
          <cell r="F2242" t="str">
            <v>Экскаватор JCB 220</v>
          </cell>
          <cell r="I2242">
            <v>11</v>
          </cell>
          <cell r="J2242">
            <v>10</v>
          </cell>
          <cell r="L2242">
            <v>1</v>
          </cell>
        </row>
        <row r="2243">
          <cell r="B2243">
            <v>45361</v>
          </cell>
          <cell r="E2243" t="str">
            <v>Ляшко С.М</v>
          </cell>
          <cell r="F2243" t="str">
            <v>Экскаватор JCB 220</v>
          </cell>
          <cell r="I2243">
            <v>11</v>
          </cell>
          <cell r="J2243">
            <v>5</v>
          </cell>
        </row>
        <row r="2244">
          <cell r="B2244">
            <v>45362</v>
          </cell>
          <cell r="E2244" t="str">
            <v>Ляшко С.М</v>
          </cell>
          <cell r="F2244" t="str">
            <v>Экскаватор JCB 220</v>
          </cell>
          <cell r="I2244">
            <v>11</v>
          </cell>
          <cell r="J2244">
            <v>10</v>
          </cell>
          <cell r="L2244">
            <v>1</v>
          </cell>
        </row>
        <row r="2245">
          <cell r="B2245">
            <v>45363</v>
          </cell>
          <cell r="E2245" t="str">
            <v>Ляшко С.М</v>
          </cell>
          <cell r="F2245" t="str">
            <v>Экскаватор JCB 220</v>
          </cell>
          <cell r="I2245">
            <v>11</v>
          </cell>
          <cell r="J2245">
            <v>10</v>
          </cell>
          <cell r="L2245">
            <v>1</v>
          </cell>
        </row>
        <row r="2246">
          <cell r="B2246">
            <v>45364</v>
          </cell>
          <cell r="E2246" t="str">
            <v>Ляшко С.М</v>
          </cell>
          <cell r="F2246" t="str">
            <v>Экскаватор JCB 220</v>
          </cell>
          <cell r="I2246">
            <v>11</v>
          </cell>
          <cell r="J2246">
            <v>8</v>
          </cell>
        </row>
        <row r="2247">
          <cell r="B2247">
            <v>45369</v>
          </cell>
          <cell r="E2247" t="str">
            <v>Ляшко С.М</v>
          </cell>
          <cell r="F2247" t="str">
            <v>Экскаватор JCB 220</v>
          </cell>
          <cell r="I2247">
            <v>11</v>
          </cell>
          <cell r="J2247">
            <v>3</v>
          </cell>
        </row>
        <row r="2248">
          <cell r="B2248">
            <v>45371</v>
          </cell>
          <cell r="E2248" t="str">
            <v>Ляшко С.М</v>
          </cell>
          <cell r="F2248" t="str">
            <v>Экскаватор JCB 220</v>
          </cell>
          <cell r="I2248">
            <v>11</v>
          </cell>
          <cell r="J2248">
            <v>10</v>
          </cell>
          <cell r="L2248">
            <v>1</v>
          </cell>
        </row>
        <row r="2249">
          <cell r="B2249">
            <v>45372</v>
          </cell>
          <cell r="E2249" t="str">
            <v>Ляшко С.М</v>
          </cell>
          <cell r="F2249" t="str">
            <v>Экскаватор JCB 220</v>
          </cell>
          <cell r="I2249">
            <v>11</v>
          </cell>
          <cell r="J2249">
            <v>10</v>
          </cell>
          <cell r="L2249">
            <v>1</v>
          </cell>
        </row>
        <row r="2250">
          <cell r="B2250">
            <v>45373</v>
          </cell>
          <cell r="E2250" t="str">
            <v>Ляшко С.М</v>
          </cell>
          <cell r="F2250" t="str">
            <v>Экскаватор JCB 220</v>
          </cell>
          <cell r="I2250">
            <v>11</v>
          </cell>
          <cell r="J2250">
            <v>8</v>
          </cell>
          <cell r="K2250">
            <v>6</v>
          </cell>
        </row>
        <row r="2251">
          <cell r="B2251">
            <v>45374</v>
          </cell>
          <cell r="E2251" t="str">
            <v>Ляшко С.М</v>
          </cell>
          <cell r="F2251" t="str">
            <v>Экскаватор JCB 220</v>
          </cell>
          <cell r="I2251">
            <v>11</v>
          </cell>
          <cell r="J2251">
            <v>10</v>
          </cell>
        </row>
        <row r="2252">
          <cell r="B2252">
            <v>45377</v>
          </cell>
          <cell r="E2252" t="str">
            <v>Ляшко С.М</v>
          </cell>
          <cell r="F2252" t="str">
            <v>Экскаватор JCB 220</v>
          </cell>
          <cell r="I2252">
            <v>11</v>
          </cell>
          <cell r="J2252">
            <v>6</v>
          </cell>
          <cell r="K2252">
            <v>6</v>
          </cell>
        </row>
        <row r="2253">
          <cell r="B2253">
            <v>45378</v>
          </cell>
          <cell r="E2253" t="str">
            <v>Ляшко С.М</v>
          </cell>
          <cell r="F2253" t="str">
            <v>Экскаватор JCB 220</v>
          </cell>
          <cell r="I2253">
            <v>11</v>
          </cell>
          <cell r="J2253">
            <v>7</v>
          </cell>
          <cell r="K2253">
            <v>7</v>
          </cell>
        </row>
        <row r="2254">
          <cell r="B2254">
            <v>45379</v>
          </cell>
          <cell r="E2254" t="str">
            <v>Ляшко С.М</v>
          </cell>
          <cell r="F2254" t="str">
            <v>Экскаватор JCB 220</v>
          </cell>
          <cell r="I2254">
            <v>11</v>
          </cell>
          <cell r="J2254">
            <v>7</v>
          </cell>
          <cell r="K2254">
            <v>7</v>
          </cell>
        </row>
        <row r="2255">
          <cell r="B2255">
            <v>45380</v>
          </cell>
          <cell r="E2255" t="str">
            <v>Ляшко С.М</v>
          </cell>
          <cell r="F2255" t="str">
            <v>Экскаватор JCB 220</v>
          </cell>
          <cell r="I2255">
            <v>11</v>
          </cell>
          <cell r="J2255">
            <v>8</v>
          </cell>
          <cell r="K2255">
            <v>8</v>
          </cell>
        </row>
        <row r="2256">
          <cell r="B2256">
            <v>45381</v>
          </cell>
          <cell r="E2256" t="str">
            <v>Ляшко С.М</v>
          </cell>
          <cell r="F2256" t="str">
            <v>Экскаватор JCB 220</v>
          </cell>
          <cell r="I2256">
            <v>11</v>
          </cell>
          <cell r="J2256">
            <v>12</v>
          </cell>
          <cell r="L2256">
            <v>1</v>
          </cell>
        </row>
        <row r="2257">
          <cell r="B2257">
            <v>45382</v>
          </cell>
          <cell r="E2257" t="str">
            <v>Ляшко С.М</v>
          </cell>
          <cell r="F2257" t="str">
            <v>Экскаватор JCB 220</v>
          </cell>
          <cell r="I2257">
            <v>11</v>
          </cell>
          <cell r="J2257">
            <v>9</v>
          </cell>
        </row>
        <row r="2258">
          <cell r="B2258">
            <v>45352</v>
          </cell>
          <cell r="E2258" t="str">
            <v>Ковальчук В.В.</v>
          </cell>
          <cell r="F2258" t="str">
            <v>Экскаватор  JCB 3CX 2008</v>
          </cell>
          <cell r="I2258">
            <v>9</v>
          </cell>
          <cell r="J2258">
            <v>10</v>
          </cell>
        </row>
        <row r="2259">
          <cell r="B2259">
            <v>45355</v>
          </cell>
          <cell r="E2259" t="str">
            <v>Ковальчук В.В.</v>
          </cell>
          <cell r="F2259" t="str">
            <v>Экскаватор  JCB 3CX 2008</v>
          </cell>
          <cell r="I2259">
            <v>9</v>
          </cell>
          <cell r="J2259">
            <v>12</v>
          </cell>
          <cell r="K2259">
            <v>1</v>
          </cell>
        </row>
        <row r="2260">
          <cell r="B2260">
            <v>45356</v>
          </cell>
          <cell r="E2260" t="str">
            <v>Ковальчук В.В.</v>
          </cell>
          <cell r="F2260" t="str">
            <v>Экскаватор  JCB 3CX 2008</v>
          </cell>
          <cell r="I2260">
            <v>9</v>
          </cell>
          <cell r="J2260">
            <v>11</v>
          </cell>
          <cell r="L2260">
            <v>1</v>
          </cell>
        </row>
        <row r="2261">
          <cell r="B2261">
            <v>45357</v>
          </cell>
          <cell r="E2261" t="str">
            <v>Ковальчук В.В.</v>
          </cell>
          <cell r="F2261" t="str">
            <v>Экскаватор  JCB 3CX 2008</v>
          </cell>
          <cell r="I2261">
            <v>9</v>
          </cell>
          <cell r="J2261">
            <v>8</v>
          </cell>
        </row>
        <row r="2262">
          <cell r="B2262">
            <v>45358</v>
          </cell>
          <cell r="E2262" t="str">
            <v>Ковальчук В.В.</v>
          </cell>
          <cell r="F2262" t="str">
            <v>Экскаватор  JCB 3CX 2008</v>
          </cell>
          <cell r="I2262">
            <v>9</v>
          </cell>
          <cell r="J2262">
            <v>10</v>
          </cell>
          <cell r="L2262">
            <v>1</v>
          </cell>
        </row>
        <row r="2263">
          <cell r="B2263">
            <v>45359</v>
          </cell>
          <cell r="E2263" t="str">
            <v>Ковальчук В.В.</v>
          </cell>
          <cell r="F2263" t="str">
            <v>Экскаватор  JCB 3CX 2008</v>
          </cell>
          <cell r="I2263">
            <v>9</v>
          </cell>
          <cell r="J2263">
            <v>9</v>
          </cell>
        </row>
        <row r="2264">
          <cell r="B2264">
            <v>45360</v>
          </cell>
          <cell r="E2264" t="str">
            <v>Ковальчук В.В.</v>
          </cell>
          <cell r="F2264" t="str">
            <v>Экскаватор  JCB 3CX 2008</v>
          </cell>
          <cell r="I2264">
            <v>9</v>
          </cell>
          <cell r="J2264">
            <v>14</v>
          </cell>
          <cell r="L2264">
            <v>1</v>
          </cell>
        </row>
        <row r="2265">
          <cell r="B2265">
            <v>45361</v>
          </cell>
          <cell r="E2265" t="str">
            <v>Ковальчук В.В.</v>
          </cell>
          <cell r="F2265" t="str">
            <v>Экскаватор  JCB 3CX 2008</v>
          </cell>
          <cell r="I2265">
            <v>9</v>
          </cell>
          <cell r="J2265">
            <v>5</v>
          </cell>
          <cell r="K2265">
            <v>5</v>
          </cell>
        </row>
        <row r="2266">
          <cell r="B2266">
            <v>45362</v>
          </cell>
          <cell r="E2266" t="str">
            <v>Ковальчук В.В.</v>
          </cell>
          <cell r="F2266" t="str">
            <v>Экскаватор  JCB 3CX 2008</v>
          </cell>
          <cell r="I2266">
            <v>9</v>
          </cell>
          <cell r="J2266">
            <v>9</v>
          </cell>
        </row>
        <row r="2267">
          <cell r="B2267">
            <v>45363</v>
          </cell>
          <cell r="E2267" t="str">
            <v>Ковальчук В.В.</v>
          </cell>
          <cell r="F2267" t="str">
            <v>Экскаватор  JCB 3CX 2008</v>
          </cell>
          <cell r="I2267">
            <v>9</v>
          </cell>
          <cell r="J2267">
            <v>11</v>
          </cell>
          <cell r="L2267">
            <v>1</v>
          </cell>
        </row>
        <row r="2268">
          <cell r="B2268">
            <v>45364</v>
          </cell>
          <cell r="E2268" t="str">
            <v>Ковальчук В.В.</v>
          </cell>
          <cell r="F2268" t="str">
            <v>Экскаватор  JCB 3CX 2008</v>
          </cell>
          <cell r="I2268">
            <v>9</v>
          </cell>
          <cell r="J2268">
            <v>10</v>
          </cell>
        </row>
        <row r="2269">
          <cell r="B2269">
            <v>45365</v>
          </cell>
          <cell r="E2269" t="str">
            <v>Ковальчук В.В.</v>
          </cell>
          <cell r="F2269" t="str">
            <v>Экскаватор  JCB 3CX 2008</v>
          </cell>
          <cell r="I2269">
            <v>9</v>
          </cell>
          <cell r="J2269">
            <v>10</v>
          </cell>
        </row>
        <row r="2270">
          <cell r="B2270">
            <v>45366</v>
          </cell>
          <cell r="E2270" t="str">
            <v>Ковальчук В.В.</v>
          </cell>
          <cell r="F2270" t="str">
            <v>Экскаватор  JCB 3CX 2008</v>
          </cell>
          <cell r="I2270">
            <v>9</v>
          </cell>
          <cell r="J2270">
            <v>9</v>
          </cell>
          <cell r="L2270">
            <v>1</v>
          </cell>
        </row>
        <row r="2271">
          <cell r="B2271">
            <v>45371</v>
          </cell>
          <cell r="E2271" t="str">
            <v>Ковальчук В.В.</v>
          </cell>
          <cell r="F2271" t="str">
            <v>Экскаватор  JCB 3CX 2008</v>
          </cell>
          <cell r="I2271">
            <v>9</v>
          </cell>
          <cell r="J2271">
            <v>10</v>
          </cell>
          <cell r="L2271">
            <v>1</v>
          </cell>
        </row>
        <row r="2272">
          <cell r="B2272">
            <v>45372</v>
          </cell>
          <cell r="E2272" t="str">
            <v>Ковальчук В.В.</v>
          </cell>
          <cell r="F2272" t="str">
            <v>Экскаватор  JCB 3CX 2008</v>
          </cell>
          <cell r="I2272">
            <v>9</v>
          </cell>
          <cell r="J2272">
            <v>10</v>
          </cell>
          <cell r="K2272">
            <v>1</v>
          </cell>
        </row>
        <row r="2273">
          <cell r="B2273">
            <v>45373</v>
          </cell>
          <cell r="E2273" t="str">
            <v>Ковальчук В.В.</v>
          </cell>
          <cell r="F2273" t="str">
            <v>Экскаватор  JCB 3CX 2008</v>
          </cell>
          <cell r="I2273">
            <v>9</v>
          </cell>
          <cell r="J2273">
            <v>10</v>
          </cell>
          <cell r="L2273">
            <v>1</v>
          </cell>
        </row>
        <row r="2274">
          <cell r="B2274">
            <v>45375</v>
          </cell>
          <cell r="E2274" t="str">
            <v>Ковальчук В.В.</v>
          </cell>
          <cell r="F2274" t="str">
            <v>Экскаватор  JCB 3CX 2008</v>
          </cell>
          <cell r="I2274">
            <v>9</v>
          </cell>
          <cell r="J2274">
            <v>8</v>
          </cell>
        </row>
        <row r="2275">
          <cell r="B2275">
            <v>45376</v>
          </cell>
          <cell r="E2275" t="str">
            <v>Ковальчук В.В.</v>
          </cell>
          <cell r="F2275" t="str">
            <v>Экскаватор  JCB 3CX 2008</v>
          </cell>
          <cell r="I2275">
            <v>9</v>
          </cell>
          <cell r="J2275">
            <v>12</v>
          </cell>
          <cell r="L2275">
            <v>1</v>
          </cell>
        </row>
        <row r="2276">
          <cell r="B2276">
            <v>45377</v>
          </cell>
          <cell r="E2276" t="str">
            <v>Ковальчук В.В.</v>
          </cell>
          <cell r="F2276" t="str">
            <v>Экскаватор  JCB 3CX 2008</v>
          </cell>
          <cell r="I2276">
            <v>9</v>
          </cell>
          <cell r="J2276">
            <v>11</v>
          </cell>
        </row>
        <row r="2277">
          <cell r="B2277">
            <v>45378</v>
          </cell>
          <cell r="E2277" t="str">
            <v>Ковальчук В.В.</v>
          </cell>
          <cell r="F2277" t="str">
            <v>Экскаватор  JCB 3CX 2008</v>
          </cell>
          <cell r="I2277">
            <v>9</v>
          </cell>
          <cell r="J2277">
            <v>12</v>
          </cell>
          <cell r="L2277">
            <v>1</v>
          </cell>
        </row>
        <row r="2278">
          <cell r="B2278">
            <v>45379</v>
          </cell>
          <cell r="E2278" t="str">
            <v>Ковальчук В.В.</v>
          </cell>
          <cell r="F2278" t="str">
            <v>Экскаватор  JCB 3CX 2008</v>
          </cell>
          <cell r="I2278">
            <v>9</v>
          </cell>
          <cell r="J2278">
            <v>11</v>
          </cell>
        </row>
        <row r="2279">
          <cell r="B2279">
            <v>45380</v>
          </cell>
          <cell r="E2279" t="str">
            <v>Ковальчук В.В.</v>
          </cell>
          <cell r="F2279" t="str">
            <v>Экскаватор  JCB 3CX 2008</v>
          </cell>
          <cell r="I2279">
            <v>9</v>
          </cell>
          <cell r="J2279">
            <v>11</v>
          </cell>
        </row>
        <row r="2280">
          <cell r="B2280">
            <v>45381</v>
          </cell>
          <cell r="E2280" t="str">
            <v>Ковальчук В.В.</v>
          </cell>
          <cell r="F2280" t="str">
            <v>Экскаватор  JCB 3CX 2008</v>
          </cell>
          <cell r="I2280">
            <v>9</v>
          </cell>
          <cell r="J2280">
            <v>12</v>
          </cell>
          <cell r="L2280">
            <v>1</v>
          </cell>
        </row>
        <row r="2281">
          <cell r="B2281">
            <v>45382</v>
          </cell>
          <cell r="E2281" t="str">
            <v>Ковальчук В.В.</v>
          </cell>
          <cell r="F2281" t="str">
            <v>Экскаватор  JCB 3CX 2008</v>
          </cell>
          <cell r="I2281">
            <v>9</v>
          </cell>
          <cell r="J2281">
            <v>10</v>
          </cell>
        </row>
        <row r="2282">
          <cell r="F2282">
            <v>0</v>
          </cell>
          <cell r="I2282">
            <v>0</v>
          </cell>
        </row>
        <row r="2283">
          <cell r="F2283">
            <v>0</v>
          </cell>
          <cell r="I2283">
            <v>0</v>
          </cell>
        </row>
        <row r="2284">
          <cell r="F2284">
            <v>0</v>
          </cell>
          <cell r="I2284">
            <v>0</v>
          </cell>
        </row>
        <row r="2285">
          <cell r="F2285">
            <v>0</v>
          </cell>
          <cell r="I2285">
            <v>0</v>
          </cell>
        </row>
        <row r="2286">
          <cell r="F2286">
            <v>0</v>
          </cell>
          <cell r="I2286">
            <v>0</v>
          </cell>
        </row>
      </sheetData>
      <sheetData sheetId="1">
        <row r="1">
          <cell r="B1" t="str">
            <v>Табель</v>
          </cell>
          <cell r="C1" t="str">
            <v>1С</v>
          </cell>
        </row>
        <row r="2">
          <cell r="B2" t="str">
            <v>Болох В.В.</v>
          </cell>
          <cell r="C2" t="str">
            <v>Болох Володимир Васильович</v>
          </cell>
        </row>
        <row r="3">
          <cell r="B3" t="str">
            <v>Божков В.В.</v>
          </cell>
          <cell r="C3" t="str">
            <v>Божков Валерій Вікторович</v>
          </cell>
        </row>
        <row r="4">
          <cell r="B4" t="str">
            <v>Боранов В.В.</v>
          </cell>
        </row>
        <row r="5">
          <cell r="B5" t="str">
            <v>Борисенко О.М.</v>
          </cell>
          <cell r="C5" t="str">
            <v>Борисенко Олексій Миколайович</v>
          </cell>
        </row>
        <row r="6">
          <cell r="B6" t="str">
            <v>Бунтило В.І.</v>
          </cell>
          <cell r="C6" t="str">
            <v>Бунтило Віталій Іванович</v>
          </cell>
        </row>
        <row r="7">
          <cell r="B7" t="str">
            <v>Власюк М.І.</v>
          </cell>
        </row>
        <row r="8">
          <cell r="B8" t="str">
            <v>Горячий І.В.</v>
          </cell>
          <cell r="C8" t="str">
            <v>Горячий Іван Васильович</v>
          </cell>
        </row>
        <row r="9">
          <cell r="B9" t="str">
            <v>Дніпренко А.В.</v>
          </cell>
        </row>
        <row r="10">
          <cell r="B10" t="str">
            <v>Зенкін Д.Ю.</v>
          </cell>
          <cell r="C10" t="str">
            <v>Зенкін Дмитро Юрійович</v>
          </cell>
        </row>
        <row r="11">
          <cell r="B11" t="str">
            <v>Карбунар Я.Д.</v>
          </cell>
          <cell r="C11" t="str">
            <v>Карбунар Ярослав Дмитрович</v>
          </cell>
        </row>
        <row r="12">
          <cell r="B12" t="str">
            <v>Ковальчук В.В.</v>
          </cell>
          <cell r="C12" t="str">
            <v>Ковальчук Валентин Вікторович</v>
          </cell>
        </row>
        <row r="13">
          <cell r="B13" t="str">
            <v>Косік Ю.А.</v>
          </cell>
          <cell r="C13" t="str">
            <v>Косік Юрій Анатолійович</v>
          </cell>
        </row>
        <row r="14">
          <cell r="B14" t="str">
            <v>Дучук М.Ф.</v>
          </cell>
          <cell r="C14" t="str">
            <v>Дучук Микола Федорович</v>
          </cell>
        </row>
        <row r="15">
          <cell r="B15" t="str">
            <v>Красношапка М.П.</v>
          </cell>
        </row>
        <row r="16">
          <cell r="B16" t="str">
            <v>Кушнірюк М.В.</v>
          </cell>
          <cell r="C16" t="str">
            <v>Кушнірюк Микола Володимирович</v>
          </cell>
        </row>
        <row r="17">
          <cell r="B17" t="str">
            <v>Кривунда В.А.</v>
          </cell>
          <cell r="C17" t="str">
            <v>Кривунда Віктор Анатолійович</v>
          </cell>
        </row>
        <row r="18">
          <cell r="B18" t="str">
            <v>Лівіцький Л.І.</v>
          </cell>
        </row>
        <row r="19">
          <cell r="B19" t="str">
            <v>Михайлов В.О.</v>
          </cell>
        </row>
        <row r="20">
          <cell r="B20" t="str">
            <v>Мусієнко І.І.</v>
          </cell>
          <cell r="C20" t="str">
            <v>Мусієнко Ігор Іванович</v>
          </cell>
        </row>
        <row r="21">
          <cell r="B21" t="str">
            <v>Поліщук В.В.</v>
          </cell>
          <cell r="C21" t="str">
            <v>Поліщук Василь Володимирович</v>
          </cell>
        </row>
        <row r="22">
          <cell r="B22" t="str">
            <v>Самойленко В.М.</v>
          </cell>
          <cell r="C22" t="str">
            <v>Самойленко Віктор Миколайович</v>
          </cell>
        </row>
        <row r="23">
          <cell r="B23" t="str">
            <v>Скоц С.І.</v>
          </cell>
          <cell r="C23" t="str">
            <v>Скоц Сергій Іванович</v>
          </cell>
        </row>
        <row r="24">
          <cell r="B24" t="str">
            <v>Титор И.В.</v>
          </cell>
        </row>
        <row r="25">
          <cell r="B25" t="str">
            <v>Трохименко В.Я.</v>
          </cell>
          <cell r="C25" t="str">
            <v>Трохименко Віталій Якович</v>
          </cell>
        </row>
        <row r="26">
          <cell r="B26" t="str">
            <v>Урсул М.В.</v>
          </cell>
        </row>
        <row r="27">
          <cell r="B27" t="str">
            <v>Шамоян А.Д.</v>
          </cell>
          <cell r="C27" t="str">
            <v>Шамоян Агмад Даватевич</v>
          </cell>
        </row>
        <row r="28">
          <cell r="B28" t="str">
            <v>Савранский І.В.</v>
          </cell>
          <cell r="C28" t="str">
            <v>Савранский Іван Володимирович</v>
          </cell>
        </row>
        <row r="29">
          <cell r="B29" t="str">
            <v>Якубовський В.Г.</v>
          </cell>
          <cell r="C29" t="str">
            <v>Якубовський Василь Григорович</v>
          </cell>
        </row>
        <row r="30">
          <cell r="B30" t="str">
            <v>Яцюк Ю.Г.</v>
          </cell>
        </row>
        <row r="31">
          <cell r="B31" t="str">
            <v>Павленко П.М.</v>
          </cell>
        </row>
        <row r="32">
          <cell r="B32" t="str">
            <v>Трубилко В.Т.</v>
          </cell>
          <cell r="C32" t="str">
            <v xml:space="preserve">Трубилко Володимир Трохимович </v>
          </cell>
        </row>
        <row r="33">
          <cell r="C33" t="str">
            <v>Безкоровайний Дмитро Миколайович</v>
          </cell>
        </row>
        <row r="34">
          <cell r="C34" t="str">
            <v>Будус Йосип Йосипович</v>
          </cell>
        </row>
        <row r="35">
          <cell r="C35" t="str">
            <v>Гринько Дмитро Дмитрович</v>
          </cell>
        </row>
        <row r="36">
          <cell r="C36" t="str">
            <v>Манчук Сергій Валіардович</v>
          </cell>
        </row>
        <row r="37">
          <cell r="C37" t="str">
            <v>Місюрко Валерій Васильович</v>
          </cell>
        </row>
        <row r="38">
          <cell r="C38" t="str">
            <v>Філянович Юрій Володимирович</v>
          </cell>
        </row>
        <row r="39">
          <cell r="C39" t="str">
            <v>Чередниченко Олександр Миколайович</v>
          </cell>
        </row>
        <row r="40">
          <cell r="B40" t="str">
            <v>Шестоковський Ю.А.</v>
          </cell>
          <cell r="C40" t="str">
            <v>Шестаковський Юрій Олексійович</v>
          </cell>
        </row>
        <row r="41">
          <cell r="B41" t="str">
            <v>Селивончик И.П.</v>
          </cell>
          <cell r="C41" t="str">
            <v>Селівончик Ігор Петрович</v>
          </cell>
        </row>
      </sheetData>
      <sheetData sheetId="2" refreshError="1"/>
      <sheetData sheetId="3"/>
      <sheetData sheetId="4" refreshError="1"/>
      <sheetData sheetId="5">
        <row r="4">
          <cell r="D4" t="str">
            <v>Телескоп №1</v>
          </cell>
          <cell r="F4">
            <v>170</v>
          </cell>
        </row>
        <row r="5">
          <cell r="D5" t="str">
            <v>Телескоп №2</v>
          </cell>
          <cell r="F5">
            <v>170</v>
          </cell>
        </row>
        <row r="6">
          <cell r="D6" t="str">
            <v>Телескоп №3</v>
          </cell>
          <cell r="F6">
            <v>170</v>
          </cell>
        </row>
        <row r="7">
          <cell r="D7" t="str">
            <v>Телескоп №4</v>
          </cell>
          <cell r="F7">
            <v>170</v>
          </cell>
        </row>
        <row r="8">
          <cell r="D8" t="str">
            <v>Телескоп №5</v>
          </cell>
          <cell r="F8">
            <v>170</v>
          </cell>
        </row>
        <row r="9">
          <cell r="D9" t="str">
            <v>Виброкаток</v>
          </cell>
          <cell r="F9">
            <v>170</v>
          </cell>
        </row>
        <row r="10">
          <cell r="D10" t="str">
            <v>Ротор Пегасус</v>
          </cell>
          <cell r="F10">
            <v>170</v>
          </cell>
        </row>
        <row r="11">
          <cell r="D11" t="str">
            <v>Экскаватор JCB 2007</v>
          </cell>
          <cell r="F11">
            <v>170</v>
          </cell>
        </row>
        <row r="12">
          <cell r="D12" t="str">
            <v>Экскаватор  JCB 3CX 2008</v>
          </cell>
          <cell r="F12">
            <v>170</v>
          </cell>
        </row>
        <row r="13">
          <cell r="D13" t="str">
            <v>Экскаватор JCB 2013</v>
          </cell>
          <cell r="F13">
            <v>170</v>
          </cell>
        </row>
        <row r="14">
          <cell r="D14" t="str">
            <v>Экскаватор JCB 220</v>
          </cell>
          <cell r="F14">
            <v>170</v>
          </cell>
        </row>
        <row r="15">
          <cell r="D15" t="str">
            <v>МАЗ 264</v>
          </cell>
          <cell r="F15">
            <v>140</v>
          </cell>
        </row>
        <row r="16">
          <cell r="D16" t="str">
            <v>МАЗ 265</v>
          </cell>
          <cell r="F16">
            <v>140</v>
          </cell>
        </row>
        <row r="17">
          <cell r="D17" t="str">
            <v>РДК 250</v>
          </cell>
          <cell r="F17">
            <v>140</v>
          </cell>
        </row>
        <row r="18">
          <cell r="D18" t="str">
            <v>РДК 250 (2)</v>
          </cell>
          <cell r="F18">
            <v>140</v>
          </cell>
        </row>
        <row r="19">
          <cell r="D19" t="str">
            <v>Самосвал камаз</v>
          </cell>
          <cell r="F19">
            <v>140</v>
          </cell>
        </row>
        <row r="20">
          <cell r="D20" t="str">
            <v>Автокран XCMG</v>
          </cell>
          <cell r="F20">
            <v>180</v>
          </cell>
        </row>
        <row r="21">
          <cell r="D21" t="str">
            <v>Автокран XCMG 55</v>
          </cell>
          <cell r="F21">
            <v>180</v>
          </cell>
        </row>
        <row r="22">
          <cell r="D22" t="str">
            <v>Автокран клинцы</v>
          </cell>
          <cell r="F22">
            <v>180</v>
          </cell>
        </row>
        <row r="23">
          <cell r="D23" t="str">
            <v>Подъемник Haulotte №1</v>
          </cell>
        </row>
        <row r="24">
          <cell r="D24" t="str">
            <v>Самосвал МАЗ</v>
          </cell>
          <cell r="F24">
            <v>140</v>
          </cell>
        </row>
      </sheetData>
      <sheetData sheetId="6">
        <row r="2">
          <cell r="B2" t="str">
            <v>Староконстантинов</v>
          </cell>
        </row>
        <row r="3">
          <cell r="B3" t="str">
            <v>Приднепровский МЕТАЛЛ</v>
          </cell>
        </row>
        <row r="4">
          <cell r="B4" t="str">
            <v>МЭЗ СЕТИ</v>
          </cell>
        </row>
        <row r="5">
          <cell r="B5" t="str">
            <v>Ретал</v>
          </cell>
        </row>
        <row r="6">
          <cell r="B6" t="str">
            <v>Биогаз</v>
          </cell>
        </row>
        <row r="7">
          <cell r="B7" t="str">
            <v>Крушинка</v>
          </cell>
        </row>
        <row r="8">
          <cell r="B8" t="str">
            <v>Подгорцы</v>
          </cell>
        </row>
        <row r="9">
          <cell r="B9" t="str">
            <v>Турбина-2</v>
          </cell>
        </row>
        <row r="10">
          <cell r="B10" t="str">
            <v>Ладыжин-3</v>
          </cell>
        </row>
        <row r="11">
          <cell r="B11" t="str">
            <v>Флекси Танки</v>
          </cell>
        </row>
        <row r="12">
          <cell r="B12" t="str">
            <v>Стороняя</v>
          </cell>
        </row>
      </sheetData>
      <sheetData sheetId="7">
        <row r="1">
          <cell r="A1" t="str">
            <v>Наименование (полное)</v>
          </cell>
          <cell r="B1" t="str">
            <v>Код</v>
          </cell>
        </row>
        <row r="2">
          <cell r="A2" t="str">
            <v>MAN blue № 1 KA1783HI</v>
          </cell>
          <cell r="B2" t="str">
            <v>00-000234</v>
          </cell>
        </row>
        <row r="3">
          <cell r="A3" t="str">
            <v>MAN green KA2790IE</v>
          </cell>
          <cell r="B3" t="str">
            <v>00-000235</v>
          </cell>
        </row>
        <row r="4">
          <cell r="A4" t="str">
            <v>MAN №3 white KA7837HO</v>
          </cell>
          <cell r="B4" t="str">
            <v>00-000240</v>
          </cell>
        </row>
        <row r="5">
          <cell r="A5" t="str">
            <v>MAN №4 white KA3597HO</v>
          </cell>
          <cell r="B5" t="str">
            <v>00-000239</v>
          </cell>
        </row>
        <row r="6">
          <cell r="A6" t="str">
            <v>MAN №5 KA5697НВ</v>
          </cell>
          <cell r="B6" t="str">
            <v>00-000243</v>
          </cell>
        </row>
        <row r="7">
          <cell r="A7" t="str">
            <v>Автокран XCMG</v>
          </cell>
          <cell r="B7" t="str">
            <v>00-000199</v>
          </cell>
        </row>
        <row r="8">
          <cell r="A8" t="str">
            <v>Автокран XCMG QAY55</v>
          </cell>
          <cell r="B8" t="str">
            <v>00-000209</v>
          </cell>
        </row>
        <row r="9">
          <cell r="A9" t="str">
            <v>Автокран Клинцы</v>
          </cell>
          <cell r="B9" t="str">
            <v>00-000205</v>
          </cell>
        </row>
        <row r="10">
          <cell r="A10" t="str">
            <v>Биогаз</v>
          </cell>
          <cell r="B10" t="str">
            <v>00-000242</v>
          </cell>
        </row>
        <row r="11">
          <cell r="A11" t="str">
            <v>Виброкаток</v>
          </cell>
          <cell r="B11" t="str">
            <v>00-000191</v>
          </cell>
        </row>
        <row r="12">
          <cell r="A12" t="str">
            <v>Волков А.</v>
          </cell>
          <cell r="B12" t="str">
            <v>00-000258</v>
          </cell>
        </row>
        <row r="13">
          <cell r="A13" t="str">
            <v>Волчанский МЭЗ</v>
          </cell>
          <cell r="B13" t="str">
            <v>00-000207</v>
          </cell>
        </row>
        <row r="14">
          <cell r="A14" t="str">
            <v>Главный офис</v>
          </cell>
          <cell r="B14" t="str">
            <v>00-000043</v>
          </cell>
        </row>
        <row r="15">
          <cell r="A15" t="str">
            <v>Глухов</v>
          </cell>
          <cell r="B15" t="str">
            <v>00-000227</v>
          </cell>
        </row>
        <row r="16">
          <cell r="A16" t="str">
            <v>Голосеевский</v>
          </cell>
          <cell r="B16" t="str">
            <v>00-000266</v>
          </cell>
        </row>
        <row r="17">
          <cell r="A17" t="str">
            <v>Гончаренко І</v>
          </cell>
          <cell r="B17" t="str">
            <v>00-000254</v>
          </cell>
        </row>
        <row r="18">
          <cell r="A18" t="str">
            <v>Дмитровецька Долина</v>
          </cell>
          <cell r="B18" t="str">
            <v>00-000233</v>
          </cell>
        </row>
        <row r="19">
          <cell r="A19" t="str">
            <v>Дубль</v>
          </cell>
          <cell r="B19" t="str">
            <v>00-000256</v>
          </cell>
        </row>
        <row r="20">
          <cell r="A20" t="str">
            <v>І.П.С. ТОВ</v>
          </cell>
          <cell r="B20" t="str">
            <v>00-000257</v>
          </cell>
        </row>
        <row r="21">
          <cell r="A21" t="str">
            <v>КГ "Подгорцы"</v>
          </cell>
          <cell r="B21" t="str">
            <v>00-000225</v>
          </cell>
        </row>
        <row r="22">
          <cell r="A22" t="str">
            <v>Кононенко О</v>
          </cell>
          <cell r="B22" t="str">
            <v>00-000249</v>
          </cell>
        </row>
        <row r="23">
          <cell r="A23" t="str">
            <v>Королевка</v>
          </cell>
          <cell r="B23" t="str">
            <v>00-000186</v>
          </cell>
        </row>
        <row r="24">
          <cell r="A24" t="str">
            <v>Кочет В</v>
          </cell>
          <cell r="B24" t="str">
            <v>00-000248</v>
          </cell>
        </row>
        <row r="25">
          <cell r="A25" t="str">
            <v xml:space="preserve">Красноармейская </v>
          </cell>
          <cell r="B25" t="str">
            <v>00-000229</v>
          </cell>
        </row>
        <row r="26">
          <cell r="A26" t="str">
            <v>Кривой Рог цемент</v>
          </cell>
          <cell r="B26" t="str">
            <v>00-000215</v>
          </cell>
        </row>
        <row r="27">
          <cell r="A27" t="str">
            <v>Крушинка</v>
          </cell>
          <cell r="B27" t="str">
            <v>00-000265</v>
          </cell>
        </row>
        <row r="28">
          <cell r="A28" t="str">
            <v>Кустра Р</v>
          </cell>
          <cell r="B28" t="str">
            <v>00-000251</v>
          </cell>
        </row>
        <row r="29">
          <cell r="A29" t="str">
            <v>Ладыжин- элеватор</v>
          </cell>
          <cell r="B29" t="str">
            <v>00-000168</v>
          </cell>
        </row>
        <row r="30">
          <cell r="A30" t="str">
            <v>Ладыжин-2</v>
          </cell>
          <cell r="B30" t="str">
            <v>00-000220</v>
          </cell>
        </row>
        <row r="31">
          <cell r="A31" t="str">
            <v>Лебедевка</v>
          </cell>
          <cell r="B31" t="str">
            <v>00-000263</v>
          </cell>
        </row>
        <row r="32">
          <cell r="A32" t="str">
            <v>МАЗ 264</v>
          </cell>
          <cell r="B32" t="str">
            <v>00-000189</v>
          </cell>
        </row>
        <row r="33">
          <cell r="A33" t="str">
            <v>МАЗ 265</v>
          </cell>
          <cell r="B33" t="str">
            <v>00-000190</v>
          </cell>
        </row>
        <row r="34">
          <cell r="A34" t="str">
            <v>Мариуполь</v>
          </cell>
          <cell r="B34" t="str">
            <v>00-000231</v>
          </cell>
        </row>
        <row r="35">
          <cell r="A35" t="str">
            <v>Машека Автокран</v>
          </cell>
          <cell r="B35" t="str">
            <v>00-000170</v>
          </cell>
        </row>
        <row r="36">
          <cell r="A36" t="str">
            <v>Металлизация</v>
          </cell>
          <cell r="B36" t="str">
            <v>00-000184</v>
          </cell>
        </row>
        <row r="37">
          <cell r="A37" t="str">
            <v>Мовчан В</v>
          </cell>
          <cell r="B37" t="str">
            <v>00-000250</v>
          </cell>
        </row>
        <row r="38">
          <cell r="A38" t="str">
            <v>МХП-3</v>
          </cell>
          <cell r="B38" t="str">
            <v>00-000241</v>
          </cell>
        </row>
        <row r="39">
          <cell r="A39" t="str">
            <v>Не использовать</v>
          </cell>
          <cell r="B39" t="str">
            <v>00-000169</v>
          </cell>
        </row>
        <row r="40">
          <cell r="A40" t="str">
            <v>Нежин-2</v>
          </cell>
          <cell r="B40" t="str">
            <v>00-000223</v>
          </cell>
        </row>
        <row r="41">
          <cell r="A41" t="str">
            <v>Нікольське</v>
          </cell>
          <cell r="B41" t="str">
            <v>00-000165</v>
          </cell>
        </row>
        <row r="42">
          <cell r="A42" t="str">
            <v>Олияр</v>
          </cell>
          <cell r="B42" t="str">
            <v>00-000214</v>
          </cell>
        </row>
        <row r="43">
          <cell r="A43" t="str">
            <v>Ольвия</v>
          </cell>
          <cell r="B43" t="str">
            <v>00-000201</v>
          </cell>
        </row>
        <row r="44">
          <cell r="A44" t="str">
            <v>ООН</v>
          </cell>
          <cell r="B44" t="str">
            <v>00-000255</v>
          </cell>
        </row>
        <row r="45">
          <cell r="A45" t="str">
            <v>ООН Черниговская обл.</v>
          </cell>
          <cell r="B45" t="str">
            <v>00-000261</v>
          </cell>
        </row>
        <row r="46">
          <cell r="A46" t="str">
            <v>Печановка</v>
          </cell>
          <cell r="B46" t="str">
            <v>00-000221</v>
          </cell>
        </row>
        <row r="47">
          <cell r="A47" t="str">
            <v>Печановка 2</v>
          </cell>
          <cell r="B47" t="str">
            <v>00-000264</v>
          </cell>
        </row>
        <row r="48">
          <cell r="A48" t="str">
            <v>ПМ "Мексика"</v>
          </cell>
          <cell r="B48" t="str">
            <v>00-000226</v>
          </cell>
        </row>
        <row r="49">
          <cell r="A49" t="str">
            <v>Подъемник Haulotte №1</v>
          </cell>
          <cell r="B49" t="str">
            <v>00-000217</v>
          </cell>
        </row>
        <row r="50">
          <cell r="A50" t="str">
            <v>Пологи</v>
          </cell>
          <cell r="B50" t="str">
            <v>00-000203</v>
          </cell>
        </row>
        <row r="51">
          <cell r="A51" t="str">
            <v>Попов О</v>
          </cell>
          <cell r="B51" t="str">
            <v>00-000252</v>
          </cell>
        </row>
        <row r="52">
          <cell r="A52" t="str">
            <v>Приднепровский МЭЗ</v>
          </cell>
          <cell r="B52" t="str">
            <v>00-000197</v>
          </cell>
        </row>
        <row r="53">
          <cell r="A53" t="str">
            <v>Приднепровский МЭЗ СЕТИ</v>
          </cell>
          <cell r="B53" t="str">
            <v>00-000244</v>
          </cell>
        </row>
        <row r="54">
          <cell r="A54" t="str">
            <v>Приднепровский МЭЗ-2</v>
          </cell>
          <cell r="B54" t="str">
            <v>00-000228</v>
          </cell>
        </row>
        <row r="55">
          <cell r="A55" t="str">
            <v>Приднепровский-металл</v>
          </cell>
          <cell r="B55" t="str">
            <v>00-000230</v>
          </cell>
        </row>
        <row r="56">
          <cell r="A56" t="str">
            <v>РДК 250</v>
          </cell>
          <cell r="B56" t="str">
            <v>00-000193</v>
          </cell>
        </row>
        <row r="57">
          <cell r="A57" t="str">
            <v>РДК 250-3№2</v>
          </cell>
          <cell r="B57" t="str">
            <v>00-000218</v>
          </cell>
        </row>
        <row r="58">
          <cell r="A58" t="str">
            <v>Рено</v>
          </cell>
          <cell r="B58" t="str">
            <v>00-000192</v>
          </cell>
        </row>
        <row r="59">
          <cell r="A59" t="str">
            <v>Ретал</v>
          </cell>
          <cell r="B59" t="str">
            <v>00-000238</v>
          </cell>
        </row>
        <row r="60">
          <cell r="A60" t="str">
            <v>Ротор Пегасус</v>
          </cell>
          <cell r="B60" t="str">
            <v>00-000182</v>
          </cell>
        </row>
        <row r="61">
          <cell r="A61" t="str">
            <v>Самосвал Камаз</v>
          </cell>
          <cell r="B61" t="str">
            <v>00-000204</v>
          </cell>
        </row>
        <row r="62">
          <cell r="A62" t="str">
            <v>Сателит</v>
          </cell>
          <cell r="B62" t="str">
            <v>00-000174</v>
          </cell>
        </row>
        <row r="63">
          <cell r="A63" t="str">
            <v>Сватово очередь 2</v>
          </cell>
          <cell r="B63" t="str">
            <v>00-000202</v>
          </cell>
        </row>
        <row r="64">
          <cell r="A64" t="str">
            <v>Середа В</v>
          </cell>
          <cell r="B64" t="str">
            <v>00-000253</v>
          </cell>
        </row>
        <row r="65">
          <cell r="A65" t="str">
            <v>Славута</v>
          </cell>
          <cell r="B65" t="str">
            <v>00-000222</v>
          </cell>
        </row>
        <row r="66">
          <cell r="A66" t="str">
            <v>Солома Элеватор</v>
          </cell>
          <cell r="B66" t="str">
            <v>00-000247</v>
          </cell>
        </row>
        <row r="67">
          <cell r="A67" t="str">
            <v>Старкон Убежище</v>
          </cell>
          <cell r="B67" t="str">
            <v>00-000267</v>
          </cell>
        </row>
        <row r="68">
          <cell r="A68" t="str">
            <v>Староконстантинов</v>
          </cell>
          <cell r="B68" t="str">
            <v>00-000183</v>
          </cell>
        </row>
        <row r="69">
          <cell r="A69" t="str">
            <v>Сторонняя аренда спецтехн</v>
          </cell>
          <cell r="B69" t="str">
            <v>00-000259</v>
          </cell>
        </row>
        <row r="70">
          <cell r="A70" t="str">
            <v>Строительство ЦМ</v>
          </cell>
          <cell r="B70" t="str">
            <v>00-000213</v>
          </cell>
        </row>
        <row r="71">
          <cell r="A71" t="str">
            <v>Телескоп 1</v>
          </cell>
          <cell r="B71" t="str">
            <v>00-000171</v>
          </cell>
        </row>
        <row r="72">
          <cell r="A72" t="str">
            <v>Телескоп 2</v>
          </cell>
          <cell r="B72" t="str">
            <v>00-000180</v>
          </cell>
        </row>
        <row r="73">
          <cell r="A73" t="str">
            <v>Телескоп JCB 533-105 (№3)</v>
          </cell>
          <cell r="B73" t="str">
            <v>00-000206</v>
          </cell>
        </row>
        <row r="74">
          <cell r="A74" t="str">
            <v>Телескоп JCB 535-140 (№4)</v>
          </cell>
          <cell r="B74" t="str">
            <v>00-000208</v>
          </cell>
        </row>
        <row r="75">
          <cell r="A75" t="str">
            <v>Телескоп JCB 540-170 №5</v>
          </cell>
          <cell r="B75" t="str">
            <v>00-000219</v>
          </cell>
        </row>
        <row r="76">
          <cell r="A76" t="str">
            <v>Тест новое подр</v>
          </cell>
          <cell r="B76" t="str">
            <v>00-000245</v>
          </cell>
        </row>
        <row r="77">
          <cell r="A77" t="str">
            <v>ТОВ "Індеп Транс"</v>
          </cell>
          <cell r="B77" t="str">
            <v>00-000236</v>
          </cell>
        </row>
        <row r="78">
          <cell r="A78" t="str">
            <v>ТОВ "Індепт Стіл"</v>
          </cell>
          <cell r="B78" t="str">
            <v>00-000237</v>
          </cell>
        </row>
        <row r="79">
          <cell r="A79" t="str">
            <v>Турбина</v>
          </cell>
          <cell r="B79" t="str">
            <v>00-000224</v>
          </cell>
        </row>
        <row r="80">
          <cell r="A80" t="str">
            <v>Тягач Форд  1842Т</v>
          </cell>
          <cell r="B80" t="str">
            <v>00-000216</v>
          </cell>
        </row>
        <row r="81">
          <cell r="A81" t="str">
            <v>Харьков КМД</v>
          </cell>
          <cell r="B81" t="str">
            <v>00-000211</v>
          </cell>
        </row>
        <row r="82">
          <cell r="A82" t="str">
            <v>Цех металлоконструкций</v>
          </cell>
          <cell r="B82" t="str">
            <v>00-000185</v>
          </cell>
        </row>
        <row r="83">
          <cell r="A83" t="str">
            <v>Щедро</v>
          </cell>
          <cell r="B83" t="str">
            <v>00-000194</v>
          </cell>
        </row>
        <row r="84">
          <cell r="A84" t="str">
            <v>Щедро Лапша</v>
          </cell>
          <cell r="B84" t="str">
            <v>00-000262</v>
          </cell>
        </row>
        <row r="85">
          <cell r="A85" t="str">
            <v>Экскаватор  CAT</v>
          </cell>
          <cell r="B85" t="str">
            <v>00-000172</v>
          </cell>
        </row>
        <row r="86">
          <cell r="A86" t="str">
            <v>Экскаватор  JCB</v>
          </cell>
          <cell r="B86" t="str">
            <v>00-000179</v>
          </cell>
        </row>
        <row r="87">
          <cell r="A87" t="str">
            <v>Экскаватор  JCB 2013</v>
          </cell>
          <cell r="B87" t="str">
            <v>00-000198</v>
          </cell>
        </row>
        <row r="88">
          <cell r="A88" t="str">
            <v xml:space="preserve">Экскаватор  JCB 220 </v>
          </cell>
          <cell r="B88" t="str">
            <v>00-000195</v>
          </cell>
        </row>
        <row r="89">
          <cell r="A89" t="str">
            <v>Экскаватор  JCB 3CX 2008</v>
          </cell>
          <cell r="B89" t="str">
            <v>00-000210</v>
          </cell>
        </row>
        <row r="90">
          <cell r="A90" t="str">
            <v>Экспедирование</v>
          </cell>
          <cell r="B90" t="str">
            <v>00-000260</v>
          </cell>
        </row>
        <row r="91">
          <cell r="A91" t="str">
            <v>Яр Вал</v>
          </cell>
          <cell r="B91" t="str">
            <v>00-000200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_СПЕЦТЕХНИКА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2">
          <cell r="B2" t="str">
            <v>Васіліу Руслан</v>
          </cell>
          <cell r="D2" t="str">
            <v>Глобино</v>
          </cell>
          <cell r="E2" t="str">
            <v>Телескоп №2</v>
          </cell>
          <cell r="F2">
            <v>234</v>
          </cell>
          <cell r="G2">
            <v>230</v>
          </cell>
          <cell r="H2">
            <v>216</v>
          </cell>
          <cell r="I2">
            <v>100</v>
          </cell>
          <cell r="J2">
            <v>12</v>
          </cell>
          <cell r="K2">
            <v>100</v>
          </cell>
          <cell r="L2">
            <v>6</v>
          </cell>
          <cell r="M2">
            <v>51480</v>
          </cell>
        </row>
        <row r="3">
          <cell r="B3" t="str">
            <v>Трояняк Оллександр</v>
          </cell>
          <cell r="D3" t="str">
            <v>Глобино</v>
          </cell>
          <cell r="F3">
            <v>209</v>
          </cell>
          <cell r="G3">
            <v>230</v>
          </cell>
          <cell r="H3">
            <v>198</v>
          </cell>
          <cell r="I3">
            <v>100</v>
          </cell>
          <cell r="J3">
            <v>1</v>
          </cell>
          <cell r="K3">
            <v>100</v>
          </cell>
          <cell r="L3">
            <v>10</v>
          </cell>
          <cell r="M3">
            <v>46640</v>
          </cell>
        </row>
        <row r="4">
          <cell r="B4" t="str">
            <v>Трояняк Оллександр</v>
          </cell>
          <cell r="D4" t="str">
            <v>Глобино</v>
          </cell>
          <cell r="F4">
            <v>4</v>
          </cell>
          <cell r="G4">
            <v>230</v>
          </cell>
          <cell r="H4">
            <v>4</v>
          </cell>
          <cell r="I4">
            <v>100</v>
          </cell>
          <cell r="J4">
            <v>0</v>
          </cell>
          <cell r="K4">
            <v>100</v>
          </cell>
          <cell r="L4">
            <v>0</v>
          </cell>
          <cell r="M4">
            <v>920</v>
          </cell>
        </row>
        <row r="5">
          <cell r="B5" t="str">
            <v>Зубко Олег</v>
          </cell>
          <cell r="D5" t="str">
            <v>Глобино</v>
          </cell>
          <cell r="F5">
            <v>189</v>
          </cell>
          <cell r="G5">
            <v>230</v>
          </cell>
          <cell r="H5">
            <v>178</v>
          </cell>
          <cell r="I5">
            <v>100</v>
          </cell>
          <cell r="J5">
            <v>3</v>
          </cell>
          <cell r="K5">
            <v>100</v>
          </cell>
          <cell r="L5">
            <v>8</v>
          </cell>
          <cell r="M5">
            <v>42040</v>
          </cell>
        </row>
        <row r="6">
          <cell r="B6" t="str">
            <v>Карбунар Я.Д.</v>
          </cell>
          <cell r="D6" t="str">
            <v>Глобино</v>
          </cell>
          <cell r="F6">
            <v>239</v>
          </cell>
          <cell r="G6">
            <v>230</v>
          </cell>
          <cell r="H6">
            <v>220</v>
          </cell>
          <cell r="I6">
            <v>100</v>
          </cell>
          <cell r="J6">
            <v>7</v>
          </cell>
          <cell r="K6">
            <v>100</v>
          </cell>
          <cell r="L6">
            <v>12</v>
          </cell>
          <cell r="M6">
            <v>52500</v>
          </cell>
        </row>
        <row r="7">
          <cell r="B7" t="str">
            <v>Філянович Ю.</v>
          </cell>
          <cell r="D7" t="str">
            <v>Глобино</v>
          </cell>
          <cell r="F7">
            <v>73</v>
          </cell>
          <cell r="G7">
            <v>330</v>
          </cell>
          <cell r="H7">
            <v>71</v>
          </cell>
          <cell r="I7">
            <v>100</v>
          </cell>
          <cell r="J7">
            <v>2</v>
          </cell>
          <cell r="K7">
            <v>100</v>
          </cell>
          <cell r="L7">
            <v>0</v>
          </cell>
          <cell r="M7">
            <v>50000</v>
          </cell>
        </row>
        <row r="8">
          <cell r="B8" t="str">
            <v>Борисенко О.</v>
          </cell>
          <cell r="D8" t="str">
            <v>Глобино</v>
          </cell>
          <cell r="F8">
            <v>55</v>
          </cell>
          <cell r="G8">
            <v>270</v>
          </cell>
          <cell r="H8">
            <v>45</v>
          </cell>
          <cell r="I8">
            <v>100</v>
          </cell>
          <cell r="J8">
            <v>8</v>
          </cell>
          <cell r="K8">
            <v>100</v>
          </cell>
          <cell r="L8">
            <v>2</v>
          </cell>
          <cell r="M8">
            <v>13150</v>
          </cell>
        </row>
        <row r="9">
          <cell r="B9" t="str">
            <v>Зубко Олег</v>
          </cell>
          <cell r="D9" t="str">
            <v>Глобино</v>
          </cell>
          <cell r="F9">
            <v>26</v>
          </cell>
          <cell r="G9">
            <v>270</v>
          </cell>
          <cell r="H9">
            <v>26</v>
          </cell>
          <cell r="I9">
            <v>100</v>
          </cell>
          <cell r="K9">
            <v>100</v>
          </cell>
          <cell r="M9">
            <v>7020</v>
          </cell>
        </row>
        <row r="10">
          <cell r="B10" t="str">
            <v>Борисенко О.</v>
          </cell>
          <cell r="D10" t="str">
            <v>Глобино</v>
          </cell>
          <cell r="F10">
            <v>86</v>
          </cell>
          <cell r="G10">
            <v>220</v>
          </cell>
          <cell r="H10">
            <v>86</v>
          </cell>
          <cell r="I10">
            <v>100</v>
          </cell>
          <cell r="K10">
            <v>100</v>
          </cell>
          <cell r="M10">
            <v>18920</v>
          </cell>
        </row>
        <row r="11">
          <cell r="B11" t="str">
            <v>Гончаренко О.</v>
          </cell>
          <cell r="D11" t="str">
            <v>Глобино</v>
          </cell>
          <cell r="F11">
            <v>77</v>
          </cell>
          <cell r="G11">
            <v>220</v>
          </cell>
          <cell r="H11">
            <v>76</v>
          </cell>
          <cell r="I11">
            <v>100</v>
          </cell>
          <cell r="J11">
            <v>0</v>
          </cell>
          <cell r="K11">
            <v>100</v>
          </cell>
          <cell r="L11">
            <v>1</v>
          </cell>
          <cell r="M11">
            <v>16820</v>
          </cell>
        </row>
        <row r="12">
          <cell r="B12" t="str">
            <v>Скоц С.І.</v>
          </cell>
          <cell r="D12" t="str">
            <v>Глобино</v>
          </cell>
          <cell r="F12">
            <v>170</v>
          </cell>
          <cell r="G12">
            <v>230</v>
          </cell>
          <cell r="H12">
            <v>160</v>
          </cell>
          <cell r="I12">
            <v>100</v>
          </cell>
          <cell r="J12">
            <v>2</v>
          </cell>
          <cell r="K12">
            <v>100</v>
          </cell>
          <cell r="L12">
            <v>8</v>
          </cell>
          <cell r="M12">
            <v>37800</v>
          </cell>
        </row>
        <row r="13">
          <cell r="B13" t="str">
            <v>Ляшко С.В.</v>
          </cell>
          <cell r="D13" t="str">
            <v>Глобино</v>
          </cell>
          <cell r="F13">
            <v>59</v>
          </cell>
          <cell r="G13">
            <v>230</v>
          </cell>
          <cell r="H13">
            <v>57</v>
          </cell>
          <cell r="I13">
            <v>100</v>
          </cell>
          <cell r="J13">
            <v>0</v>
          </cell>
          <cell r="K13">
            <v>100</v>
          </cell>
          <cell r="L13">
            <v>2</v>
          </cell>
          <cell r="M13">
            <v>13310</v>
          </cell>
        </row>
        <row r="14">
          <cell r="B14" t="str">
            <v>Ляшко С.В.</v>
          </cell>
          <cell r="D14" t="str">
            <v>Глобино</v>
          </cell>
          <cell r="F14">
            <v>142</v>
          </cell>
          <cell r="G14">
            <v>230</v>
          </cell>
          <cell r="H14">
            <v>132</v>
          </cell>
          <cell r="I14">
            <v>100</v>
          </cell>
          <cell r="J14">
            <v>5</v>
          </cell>
          <cell r="K14">
            <v>100</v>
          </cell>
          <cell r="L14">
            <v>5</v>
          </cell>
          <cell r="M14">
            <v>31360</v>
          </cell>
        </row>
        <row r="15">
          <cell r="B15" t="str">
            <v>Болох В.В.</v>
          </cell>
          <cell r="D15" t="str">
            <v>Глобино</v>
          </cell>
          <cell r="F15">
            <v>142</v>
          </cell>
          <cell r="G15">
            <v>270</v>
          </cell>
          <cell r="H15">
            <v>141</v>
          </cell>
          <cell r="I15">
            <v>100</v>
          </cell>
          <cell r="J15">
            <v>0</v>
          </cell>
          <cell r="K15">
            <v>100</v>
          </cell>
          <cell r="L15">
            <v>1</v>
          </cell>
          <cell r="M15">
            <v>38170</v>
          </cell>
        </row>
        <row r="16">
          <cell r="B16" t="str">
            <v>Борисенко О.</v>
          </cell>
          <cell r="D16" t="str">
            <v>Глобино</v>
          </cell>
          <cell r="F16">
            <v>58</v>
          </cell>
          <cell r="G16">
            <v>270</v>
          </cell>
          <cell r="H16">
            <v>58</v>
          </cell>
          <cell r="I16">
            <v>100</v>
          </cell>
          <cell r="K16">
            <v>100</v>
          </cell>
          <cell r="M16">
            <v>15660</v>
          </cell>
        </row>
        <row r="17">
          <cell r="B17" t="str">
            <v>Комаров Денис</v>
          </cell>
          <cell r="D17" t="str">
            <v>Глобино</v>
          </cell>
          <cell r="F17">
            <v>8</v>
          </cell>
          <cell r="G17">
            <v>200</v>
          </cell>
          <cell r="H17">
            <v>8</v>
          </cell>
          <cell r="I17">
            <v>100</v>
          </cell>
          <cell r="J17">
            <v>0</v>
          </cell>
          <cell r="K17">
            <v>100</v>
          </cell>
          <cell r="L17">
            <v>0</v>
          </cell>
          <cell r="M17">
            <v>1600</v>
          </cell>
        </row>
        <row r="18">
          <cell r="B18" t="str">
            <v>Черненко А.</v>
          </cell>
          <cell r="D18" t="str">
            <v>Глобино</v>
          </cell>
          <cell r="F18">
            <v>172</v>
          </cell>
          <cell r="G18">
            <v>200</v>
          </cell>
          <cell r="H18">
            <v>161</v>
          </cell>
          <cell r="I18">
            <v>100</v>
          </cell>
          <cell r="J18">
            <v>4</v>
          </cell>
          <cell r="K18">
            <v>100</v>
          </cell>
          <cell r="L18">
            <v>7</v>
          </cell>
          <cell r="M18">
            <v>33300</v>
          </cell>
        </row>
        <row r="19">
          <cell r="B19" t="str">
            <v>Окольничий Віталій</v>
          </cell>
          <cell r="D19" t="str">
            <v>Глобино</v>
          </cell>
          <cell r="F19">
            <v>117</v>
          </cell>
          <cell r="G19">
            <v>200</v>
          </cell>
          <cell r="H19">
            <v>114</v>
          </cell>
          <cell r="I19">
            <v>100</v>
          </cell>
          <cell r="J19">
            <v>1</v>
          </cell>
          <cell r="K19">
            <v>100</v>
          </cell>
          <cell r="L19">
            <v>2</v>
          </cell>
          <cell r="M19">
            <v>23100</v>
          </cell>
        </row>
        <row r="20">
          <cell r="B20" t="str">
            <v>Комаров Денис</v>
          </cell>
          <cell r="D20" t="str">
            <v>Глобино</v>
          </cell>
          <cell r="F20">
            <v>51</v>
          </cell>
          <cell r="G20">
            <v>200</v>
          </cell>
          <cell r="H20">
            <v>42</v>
          </cell>
          <cell r="I20">
            <v>100</v>
          </cell>
          <cell r="J20">
            <v>8</v>
          </cell>
          <cell r="K20">
            <v>100</v>
          </cell>
          <cell r="L20">
            <v>1</v>
          </cell>
          <cell r="M20">
            <v>9300</v>
          </cell>
        </row>
        <row r="21">
          <cell r="B21" t="str">
            <v>Гончаренко Валерій</v>
          </cell>
          <cell r="D21" t="str">
            <v>Глобино</v>
          </cell>
          <cell r="F21">
            <v>57</v>
          </cell>
          <cell r="G21">
            <v>200</v>
          </cell>
          <cell r="H21">
            <v>45</v>
          </cell>
          <cell r="I21">
            <v>100</v>
          </cell>
          <cell r="J21">
            <v>7</v>
          </cell>
          <cell r="K21">
            <v>100</v>
          </cell>
          <cell r="L21">
            <v>5</v>
          </cell>
          <cell r="M21">
            <v>10200</v>
          </cell>
        </row>
        <row r="22">
          <cell r="B22" t="str">
            <v>Сокур С</v>
          </cell>
          <cell r="D22" t="str">
            <v>Глобино</v>
          </cell>
          <cell r="F22">
            <v>125</v>
          </cell>
          <cell r="G22">
            <v>200</v>
          </cell>
          <cell r="H22">
            <v>125</v>
          </cell>
          <cell r="I22">
            <v>100</v>
          </cell>
          <cell r="J22">
            <v>0</v>
          </cell>
          <cell r="K22">
            <v>100</v>
          </cell>
          <cell r="L22">
            <v>0</v>
          </cell>
          <cell r="M22">
            <v>25000</v>
          </cell>
        </row>
        <row r="23">
          <cell r="B23" t="str">
            <v>Котик Микола</v>
          </cell>
          <cell r="D23" t="str">
            <v>Глобино</v>
          </cell>
          <cell r="F23">
            <v>226</v>
          </cell>
          <cell r="G23">
            <v>200</v>
          </cell>
          <cell r="H23">
            <v>226</v>
          </cell>
          <cell r="I23">
            <v>100</v>
          </cell>
          <cell r="J23">
            <v>0</v>
          </cell>
          <cell r="K23">
            <v>100</v>
          </cell>
          <cell r="L23">
            <v>0</v>
          </cell>
          <cell r="M23">
            <v>45200</v>
          </cell>
        </row>
        <row r="24">
          <cell r="B24" t="str">
            <v xml:space="preserve"> Ільїн Ростислав</v>
          </cell>
          <cell r="D24" t="str">
            <v>МХП</v>
          </cell>
          <cell r="F24">
            <v>132</v>
          </cell>
          <cell r="G24">
            <v>230</v>
          </cell>
          <cell r="H24">
            <v>128</v>
          </cell>
          <cell r="I24">
            <v>100</v>
          </cell>
          <cell r="J24">
            <v>4</v>
          </cell>
          <cell r="K24">
            <v>100</v>
          </cell>
          <cell r="L24">
            <v>2</v>
          </cell>
          <cell r="M24">
            <v>30040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3:F23"/>
  <sheetViews>
    <sheetView zoomScale="90" zoomScaleNormal="90" workbookViewId="0">
      <selection activeCell="E10" sqref="E10"/>
    </sheetView>
  </sheetViews>
  <sheetFormatPr defaultColWidth="8.88671875" defaultRowHeight="14.4" x14ac:dyDescent="0.3"/>
  <cols>
    <col min="1" max="1" width="4.109375" style="3" customWidth="1"/>
    <col min="2" max="2" width="34" style="3" bestFit="1" customWidth="1"/>
    <col min="3" max="3" width="20.6640625" style="3" customWidth="1"/>
    <col min="4" max="4" width="12.6640625" style="3" customWidth="1"/>
    <col min="5" max="5" width="36" style="3" customWidth="1"/>
    <col min="6" max="6" width="33" style="3" customWidth="1"/>
    <col min="7" max="16384" width="8.88671875" style="3"/>
  </cols>
  <sheetData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2" t="s">
        <v>11</v>
      </c>
    </row>
    <row r="4" spans="1:6" x14ac:dyDescent="0.3">
      <c r="A4" s="4">
        <v>1</v>
      </c>
      <c r="B4" s="4" t="s">
        <v>12</v>
      </c>
      <c r="C4" s="5" t="s">
        <v>13</v>
      </c>
      <c r="D4" s="6">
        <v>2007</v>
      </c>
      <c r="E4" s="7" t="s">
        <v>14</v>
      </c>
      <c r="F4" s="5" t="s">
        <v>15</v>
      </c>
    </row>
    <row r="5" spans="1:6" ht="28.8" x14ac:dyDescent="0.3">
      <c r="A5" s="4">
        <v>2</v>
      </c>
      <c r="B5" s="4" t="s">
        <v>12</v>
      </c>
      <c r="C5" s="5" t="s">
        <v>16</v>
      </c>
      <c r="D5" s="6">
        <v>2008</v>
      </c>
      <c r="E5" s="7" t="s">
        <v>17</v>
      </c>
      <c r="F5" s="5" t="s">
        <v>5</v>
      </c>
    </row>
    <row r="6" spans="1:6" ht="28.8" x14ac:dyDescent="0.3">
      <c r="A6" s="4">
        <v>3</v>
      </c>
      <c r="B6" s="4" t="s">
        <v>12</v>
      </c>
      <c r="C6" s="5" t="s">
        <v>16</v>
      </c>
      <c r="D6" s="6">
        <v>2013</v>
      </c>
      <c r="E6" s="7" t="s">
        <v>18</v>
      </c>
      <c r="F6" s="5" t="s">
        <v>2</v>
      </c>
    </row>
    <row r="7" spans="1:6" ht="28.8" x14ac:dyDescent="0.3">
      <c r="A7" s="4">
        <v>4</v>
      </c>
      <c r="B7" s="4" t="s">
        <v>19</v>
      </c>
      <c r="C7" s="5" t="s">
        <v>20</v>
      </c>
      <c r="D7" s="6">
        <v>2008</v>
      </c>
      <c r="E7" s="7" t="s">
        <v>21</v>
      </c>
      <c r="F7" s="5" t="s">
        <v>3</v>
      </c>
    </row>
    <row r="8" spans="1:6" ht="28.8" x14ac:dyDescent="0.3">
      <c r="A8" s="4">
        <v>5</v>
      </c>
      <c r="B8" s="4" t="s">
        <v>19</v>
      </c>
      <c r="C8" s="5" t="s">
        <v>20</v>
      </c>
      <c r="D8" s="6">
        <v>2011</v>
      </c>
      <c r="E8" s="7" t="s">
        <v>22</v>
      </c>
      <c r="F8" s="5" t="s">
        <v>4</v>
      </c>
    </row>
    <row r="9" spans="1:6" ht="28.8" x14ac:dyDescent="0.3">
      <c r="A9" s="4">
        <v>6</v>
      </c>
      <c r="B9" s="4" t="s">
        <v>19</v>
      </c>
      <c r="C9" s="5" t="s">
        <v>23</v>
      </c>
      <c r="D9" s="6">
        <v>2013</v>
      </c>
      <c r="E9" s="8" t="s">
        <v>24</v>
      </c>
      <c r="F9" s="5" t="s">
        <v>2</v>
      </c>
    </row>
    <row r="10" spans="1:6" x14ac:dyDescent="0.3">
      <c r="A10" s="4">
        <v>7</v>
      </c>
      <c r="B10" s="4" t="s">
        <v>19</v>
      </c>
      <c r="C10" s="5" t="s">
        <v>25</v>
      </c>
      <c r="D10" s="6">
        <v>2012</v>
      </c>
      <c r="E10" s="9" t="s">
        <v>26</v>
      </c>
      <c r="F10" s="5" t="s">
        <v>15</v>
      </c>
    </row>
    <row r="11" spans="1:6" ht="28.8" x14ac:dyDescent="0.3">
      <c r="A11" s="4">
        <v>8</v>
      </c>
      <c r="B11" s="4" t="s">
        <v>27</v>
      </c>
      <c r="C11" s="5" t="s">
        <v>28</v>
      </c>
      <c r="D11" s="6">
        <v>2008</v>
      </c>
      <c r="E11" s="7" t="s">
        <v>29</v>
      </c>
      <c r="F11" s="5" t="s">
        <v>3</v>
      </c>
    </row>
    <row r="12" spans="1:6" x14ac:dyDescent="0.3">
      <c r="A12" s="4">
        <v>9</v>
      </c>
      <c r="B12" s="4" t="s">
        <v>27</v>
      </c>
      <c r="C12" s="5" t="s">
        <v>30</v>
      </c>
      <c r="D12" s="6">
        <v>2016</v>
      </c>
      <c r="E12" s="8" t="s">
        <v>31</v>
      </c>
      <c r="F12" s="5" t="s">
        <v>15</v>
      </c>
    </row>
    <row r="13" spans="1:6" ht="28.8" x14ac:dyDescent="0.3">
      <c r="A13" s="4">
        <v>10</v>
      </c>
      <c r="B13" s="4" t="s">
        <v>27</v>
      </c>
      <c r="C13" s="5" t="s">
        <v>32</v>
      </c>
      <c r="D13" s="6">
        <v>2014</v>
      </c>
      <c r="E13" s="10" t="s">
        <v>33</v>
      </c>
      <c r="F13" s="11" t="s">
        <v>5</v>
      </c>
    </row>
    <row r="14" spans="1:6" x14ac:dyDescent="0.3">
      <c r="A14" s="4">
        <v>11</v>
      </c>
      <c r="B14" s="4" t="s">
        <v>34</v>
      </c>
      <c r="C14" s="5" t="s">
        <v>1</v>
      </c>
      <c r="D14" s="6">
        <v>1990</v>
      </c>
      <c r="E14" s="7" t="s">
        <v>35</v>
      </c>
      <c r="F14" s="5" t="s">
        <v>15</v>
      </c>
    </row>
    <row r="15" spans="1:6" ht="28.8" x14ac:dyDescent="0.3">
      <c r="A15" s="4">
        <v>12</v>
      </c>
      <c r="B15" s="4" t="s">
        <v>36</v>
      </c>
      <c r="C15" s="5" t="s">
        <v>37</v>
      </c>
      <c r="D15" s="6">
        <v>2019</v>
      </c>
      <c r="E15" s="7" t="s">
        <v>38</v>
      </c>
      <c r="F15" s="5" t="s">
        <v>39</v>
      </c>
    </row>
    <row r="16" spans="1:6" x14ac:dyDescent="0.3">
      <c r="A16" s="4">
        <v>13</v>
      </c>
      <c r="B16" s="4" t="s">
        <v>36</v>
      </c>
      <c r="C16" s="5" t="s">
        <v>40</v>
      </c>
      <c r="D16" s="6">
        <v>2019</v>
      </c>
      <c r="E16" s="7" t="s">
        <v>41</v>
      </c>
      <c r="F16" s="5" t="s">
        <v>2</v>
      </c>
    </row>
    <row r="17" spans="1:6" x14ac:dyDescent="0.3">
      <c r="A17" s="4">
        <v>14</v>
      </c>
      <c r="B17" s="4" t="s">
        <v>36</v>
      </c>
      <c r="C17" s="5" t="s">
        <v>42</v>
      </c>
      <c r="D17" s="6">
        <v>2011</v>
      </c>
      <c r="E17" s="7" t="s">
        <v>43</v>
      </c>
      <c r="F17" s="5" t="s">
        <v>5</v>
      </c>
    </row>
    <row r="18" spans="1:6" x14ac:dyDescent="0.3">
      <c r="A18" s="4">
        <v>15</v>
      </c>
      <c r="B18" s="4" t="s">
        <v>44</v>
      </c>
      <c r="C18" s="5" t="s">
        <v>45</v>
      </c>
      <c r="D18" s="6">
        <v>2013</v>
      </c>
      <c r="E18" s="7" t="s">
        <v>46</v>
      </c>
      <c r="F18" s="5" t="s">
        <v>3</v>
      </c>
    </row>
    <row r="19" spans="1:6" x14ac:dyDescent="0.3">
      <c r="A19" s="4">
        <v>16</v>
      </c>
      <c r="B19" s="4" t="s">
        <v>0</v>
      </c>
      <c r="C19" s="5" t="s">
        <v>47</v>
      </c>
      <c r="D19" s="6">
        <v>2013</v>
      </c>
      <c r="E19" s="10"/>
      <c r="F19" s="5" t="s">
        <v>15</v>
      </c>
    </row>
    <row r="20" spans="1:6" x14ac:dyDescent="0.3">
      <c r="A20" s="4">
        <v>17</v>
      </c>
      <c r="B20" s="4" t="s">
        <v>48</v>
      </c>
      <c r="C20" s="5" t="s">
        <v>49</v>
      </c>
      <c r="D20" s="6">
        <v>2008</v>
      </c>
      <c r="E20" s="7" t="s">
        <v>50</v>
      </c>
      <c r="F20" s="5" t="s">
        <v>15</v>
      </c>
    </row>
    <row r="21" spans="1:6" x14ac:dyDescent="0.3">
      <c r="A21" s="4">
        <v>18</v>
      </c>
      <c r="B21" s="4" t="s">
        <v>51</v>
      </c>
      <c r="C21" s="5" t="s">
        <v>52</v>
      </c>
      <c r="D21" s="6">
        <v>2020</v>
      </c>
      <c r="E21" s="7" t="s">
        <v>53</v>
      </c>
      <c r="F21" s="12"/>
    </row>
    <row r="22" spans="1:6" x14ac:dyDescent="0.3">
      <c r="A22" s="4">
        <v>19</v>
      </c>
      <c r="B22" s="4" t="s">
        <v>34</v>
      </c>
      <c r="C22" s="5" t="s">
        <v>54</v>
      </c>
      <c r="D22" s="4"/>
      <c r="E22" s="4" t="s">
        <v>55</v>
      </c>
      <c r="F22" s="5" t="s">
        <v>56</v>
      </c>
    </row>
    <row r="23" spans="1:6" x14ac:dyDescent="0.3">
      <c r="A23" s="4">
        <v>20</v>
      </c>
      <c r="B23" s="4" t="s">
        <v>19</v>
      </c>
      <c r="C23" s="5" t="s">
        <v>57</v>
      </c>
      <c r="D23" s="4"/>
      <c r="E23" s="4" t="s">
        <v>58</v>
      </c>
      <c r="F23" s="4" t="s">
        <v>56</v>
      </c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65"/>
  <sheetViews>
    <sheetView workbookViewId="0">
      <selection activeCell="B57" sqref="B57"/>
    </sheetView>
  </sheetViews>
  <sheetFormatPr defaultRowHeight="14.4" x14ac:dyDescent="0.3"/>
  <cols>
    <col min="1" max="1" width="40.6640625" customWidth="1"/>
    <col min="2" max="2" width="15.6640625" style="17" customWidth="1"/>
    <col min="3" max="3" width="32.33203125" style="17" customWidth="1"/>
  </cols>
  <sheetData>
    <row r="1" spans="1:3" x14ac:dyDescent="0.3">
      <c r="A1" s="17" t="s">
        <v>213</v>
      </c>
      <c r="B1" s="17" t="s">
        <v>214</v>
      </c>
      <c r="C1" s="17" t="s">
        <v>215</v>
      </c>
    </row>
    <row r="2" spans="1:3" ht="15" hidden="1" thickBot="1" x14ac:dyDescent="0.35">
      <c r="A2" s="15" t="s">
        <v>106</v>
      </c>
      <c r="B2" s="18">
        <v>3457309598</v>
      </c>
      <c r="C2" s="18" t="s">
        <v>107</v>
      </c>
    </row>
    <row r="3" spans="1:3" ht="15" hidden="1" thickBot="1" x14ac:dyDescent="0.35">
      <c r="A3" s="16" t="s">
        <v>108</v>
      </c>
      <c r="B3" s="19">
        <v>2894801342</v>
      </c>
      <c r="C3" s="19" t="s">
        <v>109</v>
      </c>
    </row>
    <row r="4" spans="1:3" ht="15" hidden="1" thickBot="1" x14ac:dyDescent="0.35">
      <c r="A4" s="16" t="s">
        <v>110</v>
      </c>
      <c r="B4" s="19">
        <v>3036417408</v>
      </c>
      <c r="C4" s="19" t="s">
        <v>111</v>
      </c>
    </row>
    <row r="5" spans="1:3" ht="15" hidden="1" thickBot="1" x14ac:dyDescent="0.35">
      <c r="A5" s="16" t="s">
        <v>112</v>
      </c>
      <c r="B5" s="19">
        <v>3584606561</v>
      </c>
      <c r="C5" s="19" t="s">
        <v>113</v>
      </c>
    </row>
    <row r="6" spans="1:3" ht="15" hidden="1" thickBot="1" x14ac:dyDescent="0.35">
      <c r="A6" s="16" t="s">
        <v>199</v>
      </c>
      <c r="B6" s="19">
        <v>2461302113</v>
      </c>
      <c r="C6" s="19" t="s">
        <v>102</v>
      </c>
    </row>
    <row r="7" spans="1:3" ht="15" hidden="1" thickBot="1" x14ac:dyDescent="0.35">
      <c r="A7" s="16" t="s">
        <v>192</v>
      </c>
      <c r="B7" s="19">
        <v>2794610037</v>
      </c>
      <c r="C7" s="19" t="s">
        <v>94</v>
      </c>
    </row>
    <row r="8" spans="1:3" ht="15" hidden="1" thickBot="1" x14ac:dyDescent="0.35">
      <c r="A8" s="16" t="s">
        <v>114</v>
      </c>
      <c r="B8" s="19">
        <v>2772909678</v>
      </c>
      <c r="C8" s="19" t="s">
        <v>115</v>
      </c>
    </row>
    <row r="9" spans="1:3" ht="15" hidden="1" thickBot="1" x14ac:dyDescent="0.35">
      <c r="A9" s="16" t="s">
        <v>193</v>
      </c>
      <c r="B9" s="19">
        <v>2957816213</v>
      </c>
      <c r="C9" s="19" t="s">
        <v>95</v>
      </c>
    </row>
    <row r="10" spans="1:3" ht="15" hidden="1" thickBot="1" x14ac:dyDescent="0.35">
      <c r="A10" s="16" t="s">
        <v>184</v>
      </c>
      <c r="B10" s="19">
        <v>2892916533</v>
      </c>
      <c r="C10" s="19" t="s">
        <v>89</v>
      </c>
    </row>
    <row r="11" spans="1:3" ht="15" hidden="1" thickBot="1" x14ac:dyDescent="0.35">
      <c r="A11" s="16" t="s">
        <v>195</v>
      </c>
      <c r="B11" s="19">
        <v>3000412772</v>
      </c>
      <c r="C11" s="19" t="s">
        <v>87</v>
      </c>
    </row>
    <row r="12" spans="1:3" ht="15" hidden="1" thickBot="1" x14ac:dyDescent="0.35">
      <c r="A12" s="16" t="s">
        <v>116</v>
      </c>
      <c r="B12" s="19">
        <v>3552110973</v>
      </c>
      <c r="C12" s="19" t="s">
        <v>117</v>
      </c>
    </row>
    <row r="13" spans="1:3" ht="15" hidden="1" thickBot="1" x14ac:dyDescent="0.35">
      <c r="A13" s="16" t="s">
        <v>211</v>
      </c>
      <c r="B13" s="19">
        <v>2865402633</v>
      </c>
      <c r="C13" s="19" t="s">
        <v>212</v>
      </c>
    </row>
    <row r="14" spans="1:3" ht="15" hidden="1" thickBot="1" x14ac:dyDescent="0.35">
      <c r="A14" s="16" t="s">
        <v>118</v>
      </c>
      <c r="B14" s="19">
        <v>3255109619</v>
      </c>
      <c r="C14" s="19" t="s">
        <v>119</v>
      </c>
    </row>
    <row r="15" spans="1:3" ht="15" hidden="1" thickBot="1" x14ac:dyDescent="0.35">
      <c r="A15" s="16" t="s">
        <v>190</v>
      </c>
      <c r="B15" s="19">
        <v>3013807931</v>
      </c>
      <c r="C15" s="19" t="s">
        <v>92</v>
      </c>
    </row>
    <row r="16" spans="1:3" ht="15" hidden="1" thickBot="1" x14ac:dyDescent="0.35">
      <c r="A16" s="16" t="s">
        <v>183</v>
      </c>
      <c r="B16" s="19">
        <v>2941213770</v>
      </c>
      <c r="C16" s="20" t="s">
        <v>88</v>
      </c>
    </row>
    <row r="17" spans="1:3" ht="15" hidden="1" thickBot="1" x14ac:dyDescent="0.35">
      <c r="A17" s="16" t="s">
        <v>120</v>
      </c>
      <c r="B17" s="19">
        <v>2751711415</v>
      </c>
      <c r="C17" s="19" t="s">
        <v>121</v>
      </c>
    </row>
    <row r="18" spans="1:3" ht="15" hidden="1" thickBot="1" x14ac:dyDescent="0.35">
      <c r="A18" s="16" t="s">
        <v>122</v>
      </c>
      <c r="B18" s="19">
        <v>3382914593</v>
      </c>
      <c r="C18" s="19" t="s">
        <v>123</v>
      </c>
    </row>
    <row r="19" spans="1:3" ht="15" hidden="1" thickBot="1" x14ac:dyDescent="0.35">
      <c r="A19" s="16" t="s">
        <v>124</v>
      </c>
      <c r="B19" s="19">
        <v>3185819999</v>
      </c>
      <c r="C19" s="19" t="s">
        <v>125</v>
      </c>
    </row>
    <row r="20" spans="1:3" ht="15" hidden="1" thickBot="1" x14ac:dyDescent="0.35">
      <c r="A20" s="16" t="s">
        <v>126</v>
      </c>
      <c r="B20" s="19">
        <v>2882903815</v>
      </c>
      <c r="C20" s="19" t="s">
        <v>127</v>
      </c>
    </row>
    <row r="21" spans="1:3" ht="15" hidden="1" thickBot="1" x14ac:dyDescent="0.35">
      <c r="A21" s="16" t="s">
        <v>128</v>
      </c>
      <c r="B21" s="19">
        <v>3259012714</v>
      </c>
      <c r="C21" s="19" t="s">
        <v>129</v>
      </c>
    </row>
    <row r="22" spans="1:3" ht="15" hidden="1" thickBot="1" x14ac:dyDescent="0.35">
      <c r="A22" s="16" t="s">
        <v>130</v>
      </c>
      <c r="B22" s="19">
        <v>2871014384</v>
      </c>
      <c r="C22" s="19" t="s">
        <v>131</v>
      </c>
    </row>
    <row r="23" spans="1:3" ht="15" hidden="1" thickBot="1" x14ac:dyDescent="0.35">
      <c r="A23" s="16" t="s">
        <v>132</v>
      </c>
      <c r="B23" s="19">
        <v>3476810823</v>
      </c>
      <c r="C23" s="19" t="s">
        <v>133</v>
      </c>
    </row>
    <row r="24" spans="1:3" ht="15" hidden="1" thickBot="1" x14ac:dyDescent="0.35">
      <c r="A24" s="16" t="s">
        <v>134</v>
      </c>
      <c r="B24" s="19">
        <v>3207413416</v>
      </c>
      <c r="C24" s="19" t="s">
        <v>135</v>
      </c>
    </row>
    <row r="25" spans="1:3" ht="15" hidden="1" thickBot="1" x14ac:dyDescent="0.35">
      <c r="A25" s="16" t="s">
        <v>136</v>
      </c>
      <c r="B25" s="19">
        <v>2649915892</v>
      </c>
      <c r="C25" s="19" t="s">
        <v>137</v>
      </c>
    </row>
    <row r="26" spans="1:3" ht="15" hidden="1" thickBot="1" x14ac:dyDescent="0.35">
      <c r="A26" s="16" t="s">
        <v>138</v>
      </c>
      <c r="B26" s="19">
        <v>3053422190</v>
      </c>
      <c r="C26" s="19" t="s">
        <v>139</v>
      </c>
    </row>
    <row r="27" spans="1:3" ht="15" hidden="1" thickBot="1" x14ac:dyDescent="0.35">
      <c r="A27" s="16" t="s">
        <v>200</v>
      </c>
      <c r="B27" s="19">
        <v>3293018293</v>
      </c>
      <c r="C27" s="19" t="s">
        <v>201</v>
      </c>
    </row>
    <row r="28" spans="1:3" ht="15" hidden="1" thickBot="1" x14ac:dyDescent="0.35">
      <c r="A28" s="16" t="s">
        <v>189</v>
      </c>
      <c r="B28" s="19">
        <v>3166313137</v>
      </c>
      <c r="C28" s="19" t="s">
        <v>98</v>
      </c>
    </row>
    <row r="29" spans="1:3" ht="15" hidden="1" thickBot="1" x14ac:dyDescent="0.35">
      <c r="A29" s="16" t="s">
        <v>140</v>
      </c>
      <c r="B29" s="19">
        <v>3503711344</v>
      </c>
      <c r="C29" s="19" t="s">
        <v>141</v>
      </c>
    </row>
    <row r="30" spans="1:3" ht="15" hidden="1" thickBot="1" x14ac:dyDescent="0.35">
      <c r="A30" s="16" t="s">
        <v>191</v>
      </c>
      <c r="B30" s="19">
        <v>3132604831</v>
      </c>
      <c r="C30" s="19" t="s">
        <v>93</v>
      </c>
    </row>
    <row r="31" spans="1:3" ht="15" hidden="1" thickBot="1" x14ac:dyDescent="0.35">
      <c r="A31" s="16" t="s">
        <v>202</v>
      </c>
      <c r="B31" s="19">
        <v>2606514818</v>
      </c>
      <c r="C31" s="19" t="s">
        <v>104</v>
      </c>
    </row>
    <row r="32" spans="1:3" ht="15" hidden="1" thickBot="1" x14ac:dyDescent="0.35">
      <c r="A32" s="16" t="s">
        <v>185</v>
      </c>
      <c r="B32" s="19">
        <v>2852918337</v>
      </c>
      <c r="C32" s="19" t="s">
        <v>90</v>
      </c>
    </row>
    <row r="33" spans="1:3" ht="15" hidden="1" thickBot="1" x14ac:dyDescent="0.35">
      <c r="A33" s="16" t="s">
        <v>203</v>
      </c>
      <c r="B33" s="19">
        <v>2635100858</v>
      </c>
      <c r="C33" s="19" t="s">
        <v>204</v>
      </c>
    </row>
    <row r="34" spans="1:3" ht="15" hidden="1" thickBot="1" x14ac:dyDescent="0.35">
      <c r="A34" s="16" t="s">
        <v>205</v>
      </c>
      <c r="B34" s="19">
        <v>3193919898</v>
      </c>
      <c r="C34" s="19" t="s">
        <v>105</v>
      </c>
    </row>
    <row r="35" spans="1:3" ht="15" hidden="1" thickBot="1" x14ac:dyDescent="0.35">
      <c r="A35" s="16" t="s">
        <v>142</v>
      </c>
      <c r="B35" s="19">
        <v>3121710454</v>
      </c>
      <c r="C35" s="19" t="s">
        <v>143</v>
      </c>
    </row>
    <row r="36" spans="1:3" ht="15" hidden="1" thickBot="1" x14ac:dyDescent="0.35">
      <c r="A36" s="16" t="s">
        <v>144</v>
      </c>
      <c r="B36" s="19">
        <v>2407205516</v>
      </c>
      <c r="C36" s="19" t="s">
        <v>145</v>
      </c>
    </row>
    <row r="37" spans="1:3" ht="15" hidden="1" thickBot="1" x14ac:dyDescent="0.35">
      <c r="A37" s="16" t="s">
        <v>146</v>
      </c>
      <c r="B37" s="19">
        <v>3281710375</v>
      </c>
      <c r="C37" s="19" t="s">
        <v>147</v>
      </c>
    </row>
    <row r="38" spans="1:3" ht="15" hidden="1" thickBot="1" x14ac:dyDescent="0.35">
      <c r="A38" s="16" t="s">
        <v>188</v>
      </c>
      <c r="B38" s="19">
        <v>2906022797</v>
      </c>
      <c r="C38" s="19" t="s">
        <v>91</v>
      </c>
    </row>
    <row r="39" spans="1:3" ht="15" hidden="1" thickBot="1" x14ac:dyDescent="0.35">
      <c r="A39" s="16" t="s">
        <v>206</v>
      </c>
      <c r="B39" s="19">
        <v>2916904618</v>
      </c>
      <c r="C39" s="19" t="s">
        <v>101</v>
      </c>
    </row>
    <row r="40" spans="1:3" ht="15" hidden="1" thickBot="1" x14ac:dyDescent="0.35">
      <c r="A40" s="16" t="s">
        <v>182</v>
      </c>
      <c r="B40" s="19">
        <v>2374714914</v>
      </c>
      <c r="C40" s="23" t="s">
        <v>99</v>
      </c>
    </row>
    <row r="41" spans="1:3" ht="15" hidden="1" thickBot="1" x14ac:dyDescent="0.35">
      <c r="A41" s="16" t="s">
        <v>182</v>
      </c>
      <c r="B41" s="19">
        <v>2374714914</v>
      </c>
      <c r="C41" s="19" t="s">
        <v>99</v>
      </c>
    </row>
    <row r="42" spans="1:3" ht="15" hidden="1" thickBot="1" x14ac:dyDescent="0.35">
      <c r="A42" s="16" t="s">
        <v>148</v>
      </c>
      <c r="B42" s="19">
        <v>3399209246</v>
      </c>
      <c r="C42" s="19" t="s">
        <v>149</v>
      </c>
    </row>
    <row r="43" spans="1:3" ht="15" hidden="1" thickBot="1" x14ac:dyDescent="0.35">
      <c r="A43" s="16" t="s">
        <v>150</v>
      </c>
      <c r="B43" s="19">
        <v>2866215672</v>
      </c>
      <c r="C43" s="19" t="s">
        <v>151</v>
      </c>
    </row>
    <row r="44" spans="1:3" ht="15" hidden="1" thickBot="1" x14ac:dyDescent="0.35">
      <c r="A44" s="16" t="s">
        <v>207</v>
      </c>
      <c r="B44" s="19">
        <v>2495821830</v>
      </c>
      <c r="C44" s="19" t="s">
        <v>103</v>
      </c>
    </row>
    <row r="45" spans="1:3" ht="15" hidden="1" thickBot="1" x14ac:dyDescent="0.35">
      <c r="A45" s="16" t="s">
        <v>152</v>
      </c>
      <c r="B45" s="19">
        <v>3575508457</v>
      </c>
      <c r="C45" s="19" t="s">
        <v>153</v>
      </c>
    </row>
    <row r="46" spans="1:3" ht="15" hidden="1" thickBot="1" x14ac:dyDescent="0.35">
      <c r="A46" s="16" t="s">
        <v>154</v>
      </c>
      <c r="B46" s="19">
        <v>2886702243</v>
      </c>
      <c r="C46" s="19" t="s">
        <v>155</v>
      </c>
    </row>
    <row r="47" spans="1:3" ht="15" hidden="1" thickBot="1" x14ac:dyDescent="0.35">
      <c r="A47" s="16" t="s">
        <v>198</v>
      </c>
      <c r="B47" s="19">
        <v>2837815275</v>
      </c>
      <c r="C47" s="19" t="s">
        <v>97</v>
      </c>
    </row>
    <row r="48" spans="1:3" ht="15" hidden="1" thickBot="1" x14ac:dyDescent="0.35">
      <c r="A48" s="16" t="s">
        <v>208</v>
      </c>
      <c r="B48" s="19">
        <v>2603415971</v>
      </c>
      <c r="C48" s="19" t="s">
        <v>100</v>
      </c>
    </row>
    <row r="49" spans="1:3" ht="15" hidden="1" thickBot="1" x14ac:dyDescent="0.35">
      <c r="A49" s="16" t="s">
        <v>156</v>
      </c>
      <c r="B49" s="19">
        <v>3306506991</v>
      </c>
      <c r="C49" s="19" t="s">
        <v>157</v>
      </c>
    </row>
    <row r="50" spans="1:3" ht="15" hidden="1" thickBot="1" x14ac:dyDescent="0.35">
      <c r="A50" s="16" t="s">
        <v>196</v>
      </c>
      <c r="B50" s="19">
        <v>2280303036</v>
      </c>
      <c r="C50" s="22" t="s">
        <v>197</v>
      </c>
    </row>
    <row r="51" spans="1:3" ht="15" hidden="1" thickBot="1" x14ac:dyDescent="0.35">
      <c r="A51" s="16" t="s">
        <v>158</v>
      </c>
      <c r="B51" s="19">
        <v>3088414251</v>
      </c>
      <c r="C51" s="19" t="s">
        <v>159</v>
      </c>
    </row>
    <row r="52" spans="1:3" ht="15" hidden="1" thickBot="1" x14ac:dyDescent="0.35">
      <c r="A52" s="16" t="s">
        <v>160</v>
      </c>
      <c r="B52" s="19">
        <v>3212917615</v>
      </c>
      <c r="C52" s="19" t="s">
        <v>161</v>
      </c>
    </row>
    <row r="53" spans="1:3" ht="15" hidden="1" thickBot="1" x14ac:dyDescent="0.35">
      <c r="A53" s="16" t="s">
        <v>162</v>
      </c>
      <c r="B53" s="19">
        <v>2899410750</v>
      </c>
      <c r="C53" s="19" t="s">
        <v>163</v>
      </c>
    </row>
    <row r="54" spans="1:3" ht="15" hidden="1" thickBot="1" x14ac:dyDescent="0.35">
      <c r="A54" s="16" t="s">
        <v>164</v>
      </c>
      <c r="B54" s="19">
        <v>3147001852</v>
      </c>
      <c r="C54" s="19" t="s">
        <v>165</v>
      </c>
    </row>
    <row r="55" spans="1:3" ht="15" hidden="1" thickBot="1" x14ac:dyDescent="0.35">
      <c r="A55" s="16" t="s">
        <v>166</v>
      </c>
      <c r="B55" s="19">
        <v>3259819599</v>
      </c>
      <c r="C55" s="19" t="s">
        <v>167</v>
      </c>
    </row>
    <row r="56" spans="1:3" ht="15" hidden="1" thickBot="1" x14ac:dyDescent="0.35">
      <c r="A56" s="16" t="s">
        <v>209</v>
      </c>
      <c r="B56" s="19">
        <v>3032615479</v>
      </c>
      <c r="C56" s="19" t="s">
        <v>210</v>
      </c>
    </row>
    <row r="57" spans="1:3" ht="15" thickBot="1" x14ac:dyDescent="0.35">
      <c r="A57" s="16" t="s">
        <v>186</v>
      </c>
      <c r="B57" s="19">
        <v>3061614236</v>
      </c>
      <c r="C57" s="22" t="s">
        <v>187</v>
      </c>
    </row>
    <row r="58" spans="1:3" ht="15" hidden="1" thickBot="1" x14ac:dyDescent="0.35">
      <c r="A58" s="16" t="s">
        <v>168</v>
      </c>
      <c r="B58" s="19">
        <v>3134414385</v>
      </c>
      <c r="C58" s="19" t="s">
        <v>169</v>
      </c>
    </row>
    <row r="59" spans="1:3" ht="15" hidden="1" thickBot="1" x14ac:dyDescent="0.35">
      <c r="A59" s="16" t="s">
        <v>170</v>
      </c>
      <c r="B59" s="19">
        <v>3113516269</v>
      </c>
      <c r="C59" s="19" t="s">
        <v>171</v>
      </c>
    </row>
    <row r="60" spans="1:3" ht="15" hidden="1" thickBot="1" x14ac:dyDescent="0.35">
      <c r="A60" s="16" t="s">
        <v>172</v>
      </c>
      <c r="B60" s="19">
        <v>2546110595</v>
      </c>
      <c r="C60" s="19" t="s">
        <v>173</v>
      </c>
    </row>
    <row r="61" spans="1:3" ht="15" hidden="1" thickBot="1" x14ac:dyDescent="0.35">
      <c r="A61" s="16" t="s">
        <v>174</v>
      </c>
      <c r="B61" s="19">
        <v>3146202083</v>
      </c>
      <c r="C61" s="19" t="s">
        <v>175</v>
      </c>
    </row>
    <row r="62" spans="1:3" ht="15" hidden="1" thickBot="1" x14ac:dyDescent="0.35">
      <c r="A62" s="16" t="s">
        <v>176</v>
      </c>
      <c r="B62" s="19">
        <v>3194113635</v>
      </c>
      <c r="C62" s="19" t="s">
        <v>177</v>
      </c>
    </row>
    <row r="63" spans="1:3" ht="15" hidden="1" thickBot="1" x14ac:dyDescent="0.35">
      <c r="A63" s="16" t="s">
        <v>178</v>
      </c>
      <c r="B63" s="19">
        <v>2234022693</v>
      </c>
      <c r="C63" s="19" t="s">
        <v>179</v>
      </c>
    </row>
    <row r="64" spans="1:3" ht="15" hidden="1" thickBot="1" x14ac:dyDescent="0.35">
      <c r="A64" s="16" t="s">
        <v>180</v>
      </c>
      <c r="B64" s="19">
        <v>2682404875</v>
      </c>
      <c r="C64" s="19" t="s">
        <v>181</v>
      </c>
    </row>
    <row r="65" spans="1:3" ht="15" hidden="1" thickBot="1" x14ac:dyDescent="0.35">
      <c r="A65" s="15" t="s">
        <v>194</v>
      </c>
      <c r="B65" s="18">
        <v>2563423013</v>
      </c>
      <c r="C65" s="18" t="s">
        <v>96</v>
      </c>
    </row>
  </sheetData>
  <autoFilter ref="A1:C65" xr:uid="{00000000-0009-0000-0000-000001000000}">
    <filterColumn colId="0">
      <filters>
        <filter val="Трохименко Віталій Якович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N25" sqref="N25"/>
    </sheetView>
  </sheetViews>
  <sheetFormatPr defaultRowHeight="14.4" outlineLevelCol="1" x14ac:dyDescent="0.3"/>
  <cols>
    <col min="1" max="1" width="6.44140625" bestFit="1" customWidth="1"/>
    <col min="2" max="2" width="18.77734375" customWidth="1"/>
    <col min="3" max="3" width="19.44140625" bestFit="1" customWidth="1"/>
    <col min="4" max="4" width="38.6640625" customWidth="1"/>
    <col min="5" max="5" width="47" customWidth="1"/>
    <col min="7" max="8" width="8.88671875" customWidth="1"/>
    <col min="10" max="11" width="8.88671875" hidden="1" customWidth="1" outlineLevel="1"/>
    <col min="12" max="12" width="8.88671875" collapsed="1"/>
    <col min="14" max="14" width="8.88671875" style="21"/>
  </cols>
  <sheetData>
    <row r="1" spans="1:16" x14ac:dyDescent="0.3">
      <c r="A1" s="43"/>
      <c r="G1" t="s">
        <v>374</v>
      </c>
    </row>
    <row r="2" spans="1:16" x14ac:dyDescent="0.3">
      <c r="A2" s="43"/>
      <c r="F2" s="45" t="s">
        <v>352</v>
      </c>
      <c r="G2" t="s">
        <v>351</v>
      </c>
      <c r="H2" t="s">
        <v>353</v>
      </c>
      <c r="J2" t="s">
        <v>354</v>
      </c>
      <c r="K2" t="s">
        <v>355</v>
      </c>
    </row>
    <row r="3" spans="1:16" x14ac:dyDescent="0.3">
      <c r="A3" s="59" t="s">
        <v>344</v>
      </c>
      <c r="B3" s="59" t="s">
        <v>65</v>
      </c>
      <c r="C3" s="59" t="s">
        <v>345</v>
      </c>
      <c r="D3" s="59" t="s">
        <v>346</v>
      </c>
      <c r="E3" s="59" t="s">
        <v>347</v>
      </c>
      <c r="F3" s="44" t="s">
        <v>350</v>
      </c>
      <c r="I3" s="44" t="s">
        <v>235</v>
      </c>
    </row>
    <row r="4" spans="1:16" ht="40.799999999999997" x14ac:dyDescent="0.3">
      <c r="A4" s="49">
        <v>8426</v>
      </c>
      <c r="B4" s="50" t="s">
        <v>67</v>
      </c>
      <c r="C4" s="51">
        <v>25770</v>
      </c>
      <c r="D4" s="52" t="s">
        <v>420</v>
      </c>
      <c r="E4" s="50" t="s">
        <v>375</v>
      </c>
      <c r="F4">
        <f>VALUE(MID(D4,31,FIND($G$1,D4,1)-31))</f>
        <v>141</v>
      </c>
      <c r="G4">
        <f>FIND($F$2,D4,1)</f>
        <v>57</v>
      </c>
      <c r="H4">
        <f>FIND($H$2,D4,1)</f>
        <v>62</v>
      </c>
      <c r="I4">
        <f>VALUE(MID(D4,G4+2,H4-G4-2))</f>
        <v>18</v>
      </c>
      <c r="J4">
        <f>FIND($J$2,D4,1)</f>
        <v>45</v>
      </c>
      <c r="K4">
        <f>FIND($K$2,D4,1)</f>
        <v>51</v>
      </c>
      <c r="L4">
        <f>VALUE(MID(D4,J4+3,K4-J4-3))</f>
        <v>170</v>
      </c>
      <c r="M4">
        <v>100</v>
      </c>
      <c r="N4" s="21">
        <f t="shared" ref="N4" si="0">F4*L4+I4*M4</f>
        <v>25770</v>
      </c>
      <c r="O4" s="13">
        <v>7647.5</v>
      </c>
      <c r="P4" t="e">
        <f>COUNTIF(#REF!,Лист3!A4)</f>
        <v>#REF!</v>
      </c>
    </row>
    <row r="5" spans="1:16" ht="40.799999999999997" x14ac:dyDescent="0.3">
      <c r="A5" s="49">
        <v>8427</v>
      </c>
      <c r="B5" s="50" t="s">
        <v>76</v>
      </c>
      <c r="C5" s="51">
        <v>26350</v>
      </c>
      <c r="D5" s="52" t="s">
        <v>421</v>
      </c>
      <c r="E5" s="50" t="s">
        <v>376</v>
      </c>
      <c r="F5">
        <f>VALUE(MID(D5,31,FIND($G$1,D5,1)-31))</f>
        <v>155</v>
      </c>
      <c r="G5">
        <f>FIND($F$2,D5,1)</f>
        <v>57</v>
      </c>
      <c r="H5">
        <f>FIND($H$2,D5,1)</f>
        <v>61</v>
      </c>
      <c r="I5">
        <f>VALUE(MID(D5,G5+2,H5-G5-2))</f>
        <v>0</v>
      </c>
      <c r="J5">
        <f>FIND($J$2,D5,1)</f>
        <v>45</v>
      </c>
      <c r="K5">
        <f>FIND($K$2,D5,1)</f>
        <v>51</v>
      </c>
      <c r="L5">
        <f>VALUE(MID(D5,J5+3,K5-J5-3))</f>
        <v>170</v>
      </c>
      <c r="M5">
        <v>100</v>
      </c>
      <c r="N5" s="21">
        <f t="shared" ref="N5:N20" si="1">F5*L5+I5*M5</f>
        <v>26350</v>
      </c>
      <c r="O5" s="13">
        <v>7953.4</v>
      </c>
      <c r="P5" t="e">
        <f>COUNTIF(#REF!,Лист3!A5)</f>
        <v>#REF!</v>
      </c>
    </row>
    <row r="6" spans="1:16" ht="40.799999999999997" x14ac:dyDescent="0.3">
      <c r="A6" s="49">
        <v>8428</v>
      </c>
      <c r="B6" s="50" t="s">
        <v>72</v>
      </c>
      <c r="C6" s="51">
        <v>30610</v>
      </c>
      <c r="D6" s="52" t="s">
        <v>422</v>
      </c>
      <c r="E6" s="50" t="s">
        <v>372</v>
      </c>
      <c r="F6">
        <f>VALUE(MID(D6,31,FIND($G$1,D6,1)-31))</f>
        <v>163</v>
      </c>
      <c r="G6">
        <f>FIND($F$2,D6,1)</f>
        <v>57</v>
      </c>
      <c r="H6">
        <f>FIND($H$2,D6,1)</f>
        <v>62</v>
      </c>
      <c r="I6">
        <f>VALUE(MID(D6,G6+2,H6-G6-2))</f>
        <v>29</v>
      </c>
      <c r="J6">
        <f>FIND($J$2,D6,1)</f>
        <v>45</v>
      </c>
      <c r="K6">
        <f>FIND($K$2,D6,1)</f>
        <v>51</v>
      </c>
      <c r="L6">
        <f>VALUE(MID(D6,J6+3,K6-J6-3))</f>
        <v>170</v>
      </c>
      <c r="M6">
        <v>100</v>
      </c>
      <c r="N6" s="21">
        <f t="shared" si="1"/>
        <v>30610</v>
      </c>
      <c r="O6" s="13">
        <v>7953.4</v>
      </c>
      <c r="P6" t="e">
        <f>COUNTIF(#REF!,Лист3!A6)</f>
        <v>#REF!</v>
      </c>
    </row>
    <row r="7" spans="1:16" ht="40.799999999999997" x14ac:dyDescent="0.3">
      <c r="A7" s="49">
        <v>8429</v>
      </c>
      <c r="B7" s="50" t="s">
        <v>71</v>
      </c>
      <c r="C7" s="51">
        <v>32430</v>
      </c>
      <c r="D7" s="52" t="s">
        <v>423</v>
      </c>
      <c r="E7" s="50" t="s">
        <v>244</v>
      </c>
      <c r="F7">
        <f t="shared" ref="F7:F20" si="2">VALUE(MID(D7,31,FIND($G$1,D7,1)-31))</f>
        <v>179</v>
      </c>
      <c r="G7">
        <f t="shared" ref="G7:G20" si="3">FIND($F$2,D7,1)</f>
        <v>57</v>
      </c>
      <c r="H7">
        <f t="shared" ref="H7:H20" si="4">FIND($H$2,D7,1)</f>
        <v>62</v>
      </c>
      <c r="I7">
        <f t="shared" ref="I7:I20" si="5">VALUE(MID(D7,G7+2,H7-G7-2))</f>
        <v>20</v>
      </c>
      <c r="J7">
        <f t="shared" ref="J7:J20" si="6">FIND($J$2,D7,1)</f>
        <v>45</v>
      </c>
      <c r="K7">
        <f t="shared" ref="K7:K20" si="7">FIND($K$2,D7,1)</f>
        <v>51</v>
      </c>
      <c r="L7">
        <f t="shared" ref="L7:L20" si="8">VALUE(MID(D7,J7+3,K7-J7-3))</f>
        <v>170</v>
      </c>
      <c r="M7">
        <v>100</v>
      </c>
      <c r="N7" s="21">
        <f t="shared" si="1"/>
        <v>32430</v>
      </c>
      <c r="O7" s="13">
        <v>7953.4</v>
      </c>
      <c r="P7" t="e">
        <f>COUNTIF(#REF!,Лист3!A7)</f>
        <v>#REF!</v>
      </c>
    </row>
    <row r="8" spans="1:16" ht="40.799999999999997" x14ac:dyDescent="0.3">
      <c r="A8" s="49">
        <v>8430</v>
      </c>
      <c r="B8" s="50" t="s">
        <v>74</v>
      </c>
      <c r="C8" s="51">
        <v>35110</v>
      </c>
      <c r="D8" s="52" t="s">
        <v>424</v>
      </c>
      <c r="E8" s="50" t="s">
        <v>373</v>
      </c>
      <c r="F8">
        <f t="shared" si="2"/>
        <v>193</v>
      </c>
      <c r="G8">
        <f t="shared" si="3"/>
        <v>57</v>
      </c>
      <c r="H8">
        <f t="shared" si="4"/>
        <v>62</v>
      </c>
      <c r="I8">
        <f t="shared" si="5"/>
        <v>23</v>
      </c>
      <c r="J8">
        <f t="shared" si="6"/>
        <v>45</v>
      </c>
      <c r="K8">
        <f t="shared" si="7"/>
        <v>51</v>
      </c>
      <c r="L8">
        <f t="shared" si="8"/>
        <v>170</v>
      </c>
      <c r="M8">
        <v>100</v>
      </c>
      <c r="N8" s="21">
        <f t="shared" si="1"/>
        <v>35110</v>
      </c>
      <c r="O8" s="13">
        <v>7953.4</v>
      </c>
      <c r="P8" t="e">
        <f>COUNTIF(#REF!,Лист3!A8)</f>
        <v>#REF!</v>
      </c>
    </row>
    <row r="9" spans="1:16" ht="40.799999999999997" x14ac:dyDescent="0.3">
      <c r="A9" s="49">
        <v>8431</v>
      </c>
      <c r="B9" s="50" t="s">
        <v>73</v>
      </c>
      <c r="C9" s="51">
        <v>24310</v>
      </c>
      <c r="D9" s="52" t="s">
        <v>425</v>
      </c>
      <c r="E9" s="50" t="s">
        <v>437</v>
      </c>
      <c r="F9">
        <f t="shared" si="2"/>
        <v>143</v>
      </c>
      <c r="G9">
        <f t="shared" si="3"/>
        <v>57</v>
      </c>
      <c r="H9">
        <f t="shared" si="4"/>
        <v>61</v>
      </c>
      <c r="I9">
        <f t="shared" si="5"/>
        <v>0</v>
      </c>
      <c r="J9">
        <f t="shared" si="6"/>
        <v>45</v>
      </c>
      <c r="K9">
        <f t="shared" si="7"/>
        <v>51</v>
      </c>
      <c r="L9">
        <f t="shared" si="8"/>
        <v>170</v>
      </c>
      <c r="M9">
        <v>100</v>
      </c>
      <c r="N9" s="21">
        <f t="shared" si="1"/>
        <v>24310</v>
      </c>
      <c r="O9" s="13">
        <v>2954.7122499999996</v>
      </c>
      <c r="P9" t="e">
        <f>COUNTIF(#REF!,Лист3!A9)</f>
        <v>#REF!</v>
      </c>
    </row>
    <row r="10" spans="1:16" ht="40.799999999999997" x14ac:dyDescent="0.3">
      <c r="A10" s="49">
        <v>8432</v>
      </c>
      <c r="B10" s="50" t="s">
        <v>69</v>
      </c>
      <c r="C10" s="51">
        <v>24180</v>
      </c>
      <c r="D10" s="52" t="s">
        <v>426</v>
      </c>
      <c r="E10" s="50" t="s">
        <v>246</v>
      </c>
      <c r="F10">
        <f t="shared" si="2"/>
        <v>116</v>
      </c>
      <c r="G10">
        <f t="shared" si="3"/>
        <v>57</v>
      </c>
      <c r="H10">
        <f t="shared" si="4"/>
        <v>62</v>
      </c>
      <c r="I10">
        <f t="shared" si="5"/>
        <v>33</v>
      </c>
      <c r="J10">
        <f t="shared" si="6"/>
        <v>45</v>
      </c>
      <c r="K10">
        <f t="shared" si="7"/>
        <v>51</v>
      </c>
      <c r="L10">
        <f t="shared" si="8"/>
        <v>180</v>
      </c>
      <c r="M10">
        <v>100</v>
      </c>
      <c r="N10" s="21">
        <f t="shared" si="1"/>
        <v>24180</v>
      </c>
      <c r="O10" s="13">
        <v>7647.5</v>
      </c>
      <c r="P10" t="e">
        <f>COUNTIF(#REF!,Лист3!A10)</f>
        <v>#REF!</v>
      </c>
    </row>
    <row r="11" spans="1:16" ht="40.799999999999997" x14ac:dyDescent="0.3">
      <c r="A11" s="49">
        <v>8434</v>
      </c>
      <c r="B11" s="50" t="s">
        <v>66</v>
      </c>
      <c r="C11" s="51">
        <v>16200</v>
      </c>
      <c r="D11" s="52" t="s">
        <v>427</v>
      </c>
      <c r="E11" s="50" t="s">
        <v>248</v>
      </c>
      <c r="F11">
        <f t="shared" si="2"/>
        <v>110</v>
      </c>
      <c r="G11">
        <f t="shared" si="3"/>
        <v>57</v>
      </c>
      <c r="H11">
        <f t="shared" si="4"/>
        <v>61</v>
      </c>
      <c r="I11">
        <f t="shared" si="5"/>
        <v>8</v>
      </c>
      <c r="J11">
        <f t="shared" si="6"/>
        <v>45</v>
      </c>
      <c r="K11">
        <f t="shared" si="7"/>
        <v>51</v>
      </c>
      <c r="L11">
        <f t="shared" si="8"/>
        <v>140</v>
      </c>
      <c r="M11">
        <v>100</v>
      </c>
      <c r="N11" s="21">
        <f t="shared" si="1"/>
        <v>16200</v>
      </c>
      <c r="O11" s="13">
        <v>7647.5</v>
      </c>
      <c r="P11" t="e">
        <f>COUNTIF(#REF!,Лист3!A11)</f>
        <v>#REF!</v>
      </c>
    </row>
    <row r="12" spans="1:16" ht="40.799999999999997" x14ac:dyDescent="0.3">
      <c r="A12" s="49">
        <v>8436</v>
      </c>
      <c r="B12" s="50" t="s">
        <v>0</v>
      </c>
      <c r="C12" s="51">
        <v>14820</v>
      </c>
      <c r="D12" s="52" t="s">
        <v>428</v>
      </c>
      <c r="E12" s="50" t="s">
        <v>254</v>
      </c>
      <c r="F12">
        <f t="shared" si="2"/>
        <v>66</v>
      </c>
      <c r="G12">
        <f t="shared" si="3"/>
        <v>56</v>
      </c>
      <c r="H12">
        <f t="shared" si="4"/>
        <v>61</v>
      </c>
      <c r="I12">
        <f t="shared" si="5"/>
        <v>36</v>
      </c>
      <c r="J12">
        <f t="shared" si="6"/>
        <v>44</v>
      </c>
      <c r="K12">
        <f t="shared" si="7"/>
        <v>50</v>
      </c>
      <c r="L12">
        <f t="shared" si="8"/>
        <v>170</v>
      </c>
      <c r="M12">
        <v>100</v>
      </c>
      <c r="N12" s="21">
        <f t="shared" si="1"/>
        <v>14820</v>
      </c>
      <c r="O12" s="13">
        <v>5738.5275949367096</v>
      </c>
      <c r="P12" t="e">
        <f>COUNTIF(#REF!,Лист3!A12)</f>
        <v>#REF!</v>
      </c>
    </row>
    <row r="13" spans="1:16" ht="40.799999999999997" x14ac:dyDescent="0.3">
      <c r="A13" s="49">
        <v>8437</v>
      </c>
      <c r="B13" s="50" t="s">
        <v>77</v>
      </c>
      <c r="C13" s="51">
        <v>5040</v>
      </c>
      <c r="D13" s="52" t="s">
        <v>429</v>
      </c>
      <c r="E13" s="50" t="s">
        <v>254</v>
      </c>
      <c r="F13">
        <f t="shared" si="2"/>
        <v>12</v>
      </c>
      <c r="G13">
        <f t="shared" si="3"/>
        <v>56</v>
      </c>
      <c r="H13">
        <f t="shared" si="4"/>
        <v>61</v>
      </c>
      <c r="I13">
        <f t="shared" si="5"/>
        <v>30</v>
      </c>
      <c r="J13">
        <f t="shared" si="6"/>
        <v>44</v>
      </c>
      <c r="K13">
        <f t="shared" si="7"/>
        <v>50</v>
      </c>
      <c r="L13">
        <f t="shared" si="8"/>
        <v>170</v>
      </c>
      <c r="M13">
        <v>100</v>
      </c>
      <c r="N13" s="21">
        <f t="shared" si="1"/>
        <v>5040</v>
      </c>
      <c r="O13" s="13">
        <v>1951.56379746835</v>
      </c>
      <c r="P13" t="e">
        <f>COUNTIF(#REF!,Лист3!A13)</f>
        <v>#REF!</v>
      </c>
    </row>
    <row r="14" spans="1:16" ht="40.799999999999997" x14ac:dyDescent="0.3">
      <c r="A14" s="49">
        <v>8438</v>
      </c>
      <c r="B14" s="50" t="s">
        <v>72</v>
      </c>
      <c r="C14" s="53">
        <v>680</v>
      </c>
      <c r="D14" s="52" t="s">
        <v>430</v>
      </c>
      <c r="E14" s="50" t="s">
        <v>254</v>
      </c>
      <c r="F14">
        <f t="shared" si="2"/>
        <v>4</v>
      </c>
      <c r="G14">
        <f t="shared" si="3"/>
        <v>55</v>
      </c>
      <c r="H14">
        <f t="shared" si="4"/>
        <v>59</v>
      </c>
      <c r="I14">
        <f t="shared" si="5"/>
        <v>0</v>
      </c>
      <c r="J14">
        <f t="shared" si="6"/>
        <v>43</v>
      </c>
      <c r="K14">
        <f t="shared" si="7"/>
        <v>49</v>
      </c>
      <c r="L14">
        <f t="shared" si="8"/>
        <v>170</v>
      </c>
      <c r="M14">
        <v>100</v>
      </c>
      <c r="N14" s="21">
        <f t="shared" si="1"/>
        <v>680</v>
      </c>
      <c r="O14" s="13">
        <v>263.30860759493697</v>
      </c>
      <c r="P14" t="e">
        <f>COUNTIF(#REF!,Лист3!A14)</f>
        <v>#REF!</v>
      </c>
    </row>
    <row r="15" spans="1:16" ht="40.799999999999997" x14ac:dyDescent="0.3">
      <c r="A15" s="49">
        <v>8439</v>
      </c>
      <c r="B15" s="50" t="s">
        <v>75</v>
      </c>
      <c r="C15" s="51">
        <v>13280</v>
      </c>
      <c r="D15" s="52" t="s">
        <v>431</v>
      </c>
      <c r="E15" s="50" t="s">
        <v>381</v>
      </c>
      <c r="F15">
        <f t="shared" si="2"/>
        <v>92</v>
      </c>
      <c r="G15">
        <f t="shared" si="3"/>
        <v>56</v>
      </c>
      <c r="H15">
        <f t="shared" si="4"/>
        <v>60</v>
      </c>
      <c r="I15">
        <f t="shared" si="5"/>
        <v>4</v>
      </c>
      <c r="J15">
        <f t="shared" si="6"/>
        <v>44</v>
      </c>
      <c r="K15">
        <f t="shared" si="7"/>
        <v>50</v>
      </c>
      <c r="L15">
        <f t="shared" si="8"/>
        <v>140</v>
      </c>
      <c r="M15">
        <v>100</v>
      </c>
      <c r="N15" s="21">
        <f t="shared" si="1"/>
        <v>13280</v>
      </c>
      <c r="O15" s="13">
        <v>7647.5</v>
      </c>
      <c r="P15" t="e">
        <f>COUNTIF(#REF!,Лист3!A15)</f>
        <v>#REF!</v>
      </c>
    </row>
    <row r="16" spans="1:16" ht="40.799999999999997" x14ac:dyDescent="0.3">
      <c r="A16" s="49">
        <v>8440</v>
      </c>
      <c r="B16" s="50" t="s">
        <v>75</v>
      </c>
      <c r="C16" s="51">
        <v>10820</v>
      </c>
      <c r="D16" s="52" t="s">
        <v>432</v>
      </c>
      <c r="E16" s="50" t="s">
        <v>377</v>
      </c>
      <c r="F16">
        <f t="shared" si="2"/>
        <v>73</v>
      </c>
      <c r="G16">
        <f t="shared" si="3"/>
        <v>56</v>
      </c>
      <c r="H16">
        <f t="shared" si="4"/>
        <v>60</v>
      </c>
      <c r="I16">
        <f t="shared" si="5"/>
        <v>6</v>
      </c>
      <c r="J16">
        <f t="shared" si="6"/>
        <v>44</v>
      </c>
      <c r="K16">
        <f t="shared" si="7"/>
        <v>50</v>
      </c>
      <c r="L16">
        <f t="shared" si="8"/>
        <v>140</v>
      </c>
      <c r="M16">
        <v>100</v>
      </c>
      <c r="N16" s="21">
        <f t="shared" si="1"/>
        <v>10820</v>
      </c>
      <c r="O16" s="13">
        <v>7647.5</v>
      </c>
      <c r="P16" t="e">
        <f>COUNTIF(#REF!,Лист3!A16)</f>
        <v>#REF!</v>
      </c>
    </row>
    <row r="17" spans="1:16" ht="40.799999999999997" x14ac:dyDescent="0.3">
      <c r="A17" s="49">
        <v>8441</v>
      </c>
      <c r="B17" s="50" t="s">
        <v>86</v>
      </c>
      <c r="C17" s="51">
        <v>22760</v>
      </c>
      <c r="D17" s="52" t="s">
        <v>433</v>
      </c>
      <c r="E17" s="50" t="s">
        <v>379</v>
      </c>
      <c r="F17">
        <f t="shared" si="2"/>
        <v>159</v>
      </c>
      <c r="G17">
        <f t="shared" si="3"/>
        <v>57</v>
      </c>
      <c r="H17">
        <f t="shared" si="4"/>
        <v>61</v>
      </c>
      <c r="I17">
        <f t="shared" si="5"/>
        <v>5</v>
      </c>
      <c r="J17">
        <f t="shared" si="6"/>
        <v>45</v>
      </c>
      <c r="K17">
        <f t="shared" si="7"/>
        <v>51</v>
      </c>
      <c r="L17">
        <f t="shared" si="8"/>
        <v>140</v>
      </c>
      <c r="M17">
        <v>100</v>
      </c>
      <c r="N17" s="21">
        <f t="shared" si="1"/>
        <v>22760</v>
      </c>
      <c r="O17" s="13">
        <v>7647.5</v>
      </c>
      <c r="P17" t="e">
        <f>COUNTIF(#REF!,Лист3!A17)</f>
        <v>#REF!</v>
      </c>
    </row>
    <row r="18" spans="1:16" ht="40.799999999999997" x14ac:dyDescent="0.3">
      <c r="A18" s="49">
        <v>8442</v>
      </c>
      <c r="B18" s="50" t="s">
        <v>348</v>
      </c>
      <c r="C18" s="51">
        <v>22120</v>
      </c>
      <c r="D18" s="52" t="s">
        <v>434</v>
      </c>
      <c r="E18" s="50" t="s">
        <v>378</v>
      </c>
      <c r="F18">
        <f t="shared" si="2"/>
        <v>158</v>
      </c>
      <c r="G18">
        <f t="shared" si="3"/>
        <v>57</v>
      </c>
      <c r="H18">
        <f t="shared" si="4"/>
        <v>61</v>
      </c>
      <c r="I18">
        <f t="shared" si="5"/>
        <v>0</v>
      </c>
      <c r="J18">
        <f t="shared" si="6"/>
        <v>45</v>
      </c>
      <c r="K18">
        <f t="shared" si="7"/>
        <v>51</v>
      </c>
      <c r="L18">
        <f t="shared" si="8"/>
        <v>140</v>
      </c>
      <c r="M18">
        <v>100</v>
      </c>
      <c r="N18" s="21">
        <f t="shared" si="1"/>
        <v>22120</v>
      </c>
      <c r="O18" s="13">
        <v>7607.25</v>
      </c>
      <c r="P18" t="e">
        <f>COUNTIF(#REF!,Лист3!A18)</f>
        <v>#REF!</v>
      </c>
    </row>
    <row r="19" spans="1:16" ht="40.799999999999997" x14ac:dyDescent="0.3">
      <c r="A19" s="49">
        <v>8443</v>
      </c>
      <c r="B19" s="50" t="s">
        <v>75</v>
      </c>
      <c r="C19" s="51">
        <v>2160</v>
      </c>
      <c r="D19" s="52" t="s">
        <v>435</v>
      </c>
      <c r="E19" s="50" t="s">
        <v>250</v>
      </c>
      <c r="F19">
        <f t="shared" si="2"/>
        <v>14</v>
      </c>
      <c r="G19">
        <f t="shared" si="3"/>
        <v>56</v>
      </c>
      <c r="H19">
        <f t="shared" si="4"/>
        <v>60</v>
      </c>
      <c r="I19">
        <f t="shared" si="5"/>
        <v>2</v>
      </c>
      <c r="J19">
        <f t="shared" si="6"/>
        <v>44</v>
      </c>
      <c r="K19">
        <f t="shared" si="7"/>
        <v>50</v>
      </c>
      <c r="L19">
        <f t="shared" si="8"/>
        <v>140</v>
      </c>
      <c r="M19">
        <v>100</v>
      </c>
      <c r="N19" s="21">
        <f t="shared" si="1"/>
        <v>2160</v>
      </c>
      <c r="O19" s="13">
        <v>707.73737789203096</v>
      </c>
      <c r="P19" t="e">
        <f>COUNTIF(#REF!,Лист3!A19)</f>
        <v>#REF!</v>
      </c>
    </row>
    <row r="20" spans="1:16" ht="40.799999999999997" x14ac:dyDescent="0.3">
      <c r="A20" s="49">
        <v>8444</v>
      </c>
      <c r="B20" s="50" t="s">
        <v>349</v>
      </c>
      <c r="C20" s="51">
        <v>21180</v>
      </c>
      <c r="D20" s="52" t="s">
        <v>436</v>
      </c>
      <c r="E20" s="50" t="s">
        <v>250</v>
      </c>
      <c r="F20">
        <f t="shared" si="2"/>
        <v>147</v>
      </c>
      <c r="G20">
        <f t="shared" si="3"/>
        <v>57</v>
      </c>
      <c r="H20">
        <f t="shared" si="4"/>
        <v>61</v>
      </c>
      <c r="I20">
        <f t="shared" si="5"/>
        <v>6</v>
      </c>
      <c r="J20">
        <f t="shared" si="6"/>
        <v>45</v>
      </c>
      <c r="K20">
        <f t="shared" si="7"/>
        <v>51</v>
      </c>
      <c r="L20">
        <f t="shared" si="8"/>
        <v>140</v>
      </c>
      <c r="M20">
        <v>100</v>
      </c>
      <c r="N20" s="21">
        <f t="shared" si="1"/>
        <v>21180</v>
      </c>
      <c r="O20" s="13">
        <v>6939.7626221079699</v>
      </c>
      <c r="P20" t="e">
        <f>COUNTIF(#REF!,Лист3!A20)</f>
        <v>#REF!</v>
      </c>
    </row>
    <row r="22" spans="1:16" x14ac:dyDescent="0.3">
      <c r="O22" s="63">
        <v>3547.56</v>
      </c>
    </row>
    <row r="24" spans="1:16" x14ac:dyDescent="0.3">
      <c r="O24" s="21"/>
    </row>
    <row r="25" spans="1:16" x14ac:dyDescent="0.3">
      <c r="O25" s="21"/>
    </row>
    <row r="26" spans="1:16" x14ac:dyDescent="0.3">
      <c r="O26" s="21"/>
    </row>
    <row r="27" spans="1:16" x14ac:dyDescent="0.3">
      <c r="O27" s="21"/>
    </row>
  </sheetData>
  <autoFilter ref="A3:N3" xr:uid="{00000000-0009-0000-0000-000004000000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3"/>
  <sheetViews>
    <sheetView workbookViewId="0">
      <selection activeCell="G6" sqref="G6"/>
    </sheetView>
  </sheetViews>
  <sheetFormatPr defaultRowHeight="14.4" x14ac:dyDescent="0.3"/>
  <cols>
    <col min="1" max="1" width="13.109375" bestFit="1" customWidth="1"/>
    <col min="2" max="2" width="16.33203125" bestFit="1" customWidth="1"/>
    <col min="3" max="3" width="5.44140625" bestFit="1" customWidth="1"/>
    <col min="4" max="4" width="11" bestFit="1" customWidth="1"/>
    <col min="5" max="5" width="31" bestFit="1" customWidth="1"/>
    <col min="6" max="6" width="12" bestFit="1" customWidth="1"/>
    <col min="7" max="7" width="11" bestFit="1" customWidth="1"/>
    <col min="8" max="8" width="15.21875" bestFit="1" customWidth="1"/>
    <col min="9" max="9" width="12.21875" bestFit="1" customWidth="1"/>
  </cols>
  <sheetData>
    <row r="2" spans="2:10" x14ac:dyDescent="0.3">
      <c r="B2" s="36" t="s">
        <v>337</v>
      </c>
      <c r="C2" s="37" t="s">
        <v>85</v>
      </c>
      <c r="D2" s="36" t="s">
        <v>84</v>
      </c>
      <c r="E2" s="36" t="s">
        <v>83</v>
      </c>
      <c r="F2" s="41" t="s">
        <v>338</v>
      </c>
      <c r="G2" s="41" t="s">
        <v>339</v>
      </c>
      <c r="H2" s="41" t="s">
        <v>340</v>
      </c>
      <c r="I2" s="41" t="s">
        <v>341</v>
      </c>
      <c r="J2" s="41" t="s">
        <v>342</v>
      </c>
    </row>
    <row r="3" spans="2:10" x14ac:dyDescent="0.3">
      <c r="B3" s="29">
        <v>13000</v>
      </c>
      <c r="C3" s="29">
        <v>130</v>
      </c>
      <c r="D3" s="14">
        <v>2374714914</v>
      </c>
      <c r="E3" s="14" t="s">
        <v>99</v>
      </c>
      <c r="F3" s="14" t="s">
        <v>384</v>
      </c>
      <c r="G3" s="14" t="s">
        <v>385</v>
      </c>
      <c r="H3" s="14" t="s">
        <v>386</v>
      </c>
      <c r="I3" s="14" t="s">
        <v>384</v>
      </c>
      <c r="J3" s="14" t="s">
        <v>343</v>
      </c>
    </row>
    <row r="4" spans="2:10" x14ac:dyDescent="0.3">
      <c r="B4" s="29">
        <v>15900</v>
      </c>
      <c r="C4" s="29">
        <v>159</v>
      </c>
      <c r="D4" s="14">
        <v>3132604831</v>
      </c>
      <c r="E4" s="14" t="s">
        <v>93</v>
      </c>
      <c r="F4" s="14" t="s">
        <v>233</v>
      </c>
      <c r="G4" s="14" t="s">
        <v>387</v>
      </c>
      <c r="H4" s="14" t="s">
        <v>388</v>
      </c>
      <c r="I4" s="14" t="s">
        <v>233</v>
      </c>
      <c r="J4" s="14" t="s">
        <v>343</v>
      </c>
    </row>
    <row r="5" spans="2:10" x14ac:dyDescent="0.3">
      <c r="B5" s="29">
        <v>16900</v>
      </c>
      <c r="C5" s="29">
        <v>169</v>
      </c>
      <c r="D5" s="14">
        <v>2753702532</v>
      </c>
      <c r="E5" s="14" t="s">
        <v>382</v>
      </c>
      <c r="F5" s="14" t="s">
        <v>389</v>
      </c>
      <c r="G5" s="14" t="s">
        <v>390</v>
      </c>
      <c r="H5" s="14" t="s">
        <v>388</v>
      </c>
      <c r="I5" s="14" t="s">
        <v>389</v>
      </c>
      <c r="J5" s="14" t="s">
        <v>343</v>
      </c>
    </row>
    <row r="6" spans="2:10" x14ac:dyDescent="0.3">
      <c r="B6" s="29">
        <v>5900</v>
      </c>
      <c r="C6" s="29">
        <v>59</v>
      </c>
      <c r="D6" s="14">
        <v>2423910335</v>
      </c>
      <c r="E6" s="14" t="s">
        <v>369</v>
      </c>
      <c r="F6" s="14" t="s">
        <v>391</v>
      </c>
      <c r="G6" s="14" t="s">
        <v>385</v>
      </c>
      <c r="H6" s="14" t="s">
        <v>392</v>
      </c>
      <c r="I6" s="14" t="s">
        <v>391</v>
      </c>
      <c r="J6" s="14" t="s">
        <v>343</v>
      </c>
    </row>
    <row r="7" spans="2:10" x14ac:dyDescent="0.3">
      <c r="B7" s="29">
        <v>27400</v>
      </c>
      <c r="C7" s="29">
        <v>274</v>
      </c>
      <c r="D7" s="14">
        <v>2334806973</v>
      </c>
      <c r="E7" s="14" t="s">
        <v>360</v>
      </c>
      <c r="F7" s="14" t="s">
        <v>393</v>
      </c>
      <c r="G7" s="14" t="s">
        <v>394</v>
      </c>
      <c r="H7" s="14" t="s">
        <v>395</v>
      </c>
      <c r="I7" s="14" t="s">
        <v>393</v>
      </c>
      <c r="J7" s="14" t="s">
        <v>343</v>
      </c>
    </row>
    <row r="8" spans="2:10" x14ac:dyDescent="0.3">
      <c r="B8" s="29">
        <v>45000</v>
      </c>
      <c r="C8" s="29">
        <v>450</v>
      </c>
      <c r="D8" s="14">
        <v>3013807931</v>
      </c>
      <c r="E8" s="14" t="s">
        <v>92</v>
      </c>
      <c r="F8" s="14" t="s">
        <v>227</v>
      </c>
      <c r="G8" s="14" t="s">
        <v>394</v>
      </c>
      <c r="H8" s="14" t="s">
        <v>396</v>
      </c>
      <c r="I8" s="14" t="s">
        <v>227</v>
      </c>
      <c r="J8" s="14" t="s">
        <v>343</v>
      </c>
    </row>
    <row r="9" spans="2:10" x14ac:dyDescent="0.3">
      <c r="B9" s="29">
        <v>12000</v>
      </c>
      <c r="C9" s="29">
        <v>120</v>
      </c>
      <c r="D9" s="14">
        <v>3359108675</v>
      </c>
      <c r="E9" s="14" t="s">
        <v>365</v>
      </c>
      <c r="F9" s="14" t="s">
        <v>397</v>
      </c>
      <c r="G9" s="14" t="s">
        <v>398</v>
      </c>
      <c r="H9" s="14" t="s">
        <v>395</v>
      </c>
      <c r="I9" s="14" t="s">
        <v>397</v>
      </c>
      <c r="J9" s="14" t="s">
        <v>343</v>
      </c>
    </row>
    <row r="10" spans="2:10" x14ac:dyDescent="0.3">
      <c r="B10" s="29">
        <v>30000</v>
      </c>
      <c r="C10" s="29">
        <v>300</v>
      </c>
      <c r="D10" s="14">
        <v>2852918337</v>
      </c>
      <c r="E10" s="14" t="s">
        <v>90</v>
      </c>
      <c r="F10" s="14" t="s">
        <v>399</v>
      </c>
      <c r="G10" s="14" t="s">
        <v>400</v>
      </c>
      <c r="H10" s="14" t="s">
        <v>401</v>
      </c>
      <c r="I10" s="14" t="s">
        <v>399</v>
      </c>
      <c r="J10" s="14" t="s">
        <v>343</v>
      </c>
    </row>
    <row r="11" spans="2:10" x14ac:dyDescent="0.3">
      <c r="B11" s="29">
        <v>23500</v>
      </c>
      <c r="C11" s="29">
        <v>235</v>
      </c>
      <c r="D11" s="14">
        <v>3061614236</v>
      </c>
      <c r="E11" s="14" t="s">
        <v>187</v>
      </c>
      <c r="F11" s="14" t="s">
        <v>232</v>
      </c>
      <c r="G11" s="14" t="s">
        <v>402</v>
      </c>
      <c r="H11" s="14" t="s">
        <v>403</v>
      </c>
      <c r="I11" s="14" t="s">
        <v>232</v>
      </c>
      <c r="J11" s="14" t="s">
        <v>343</v>
      </c>
    </row>
    <row r="12" spans="2:10" x14ac:dyDescent="0.3">
      <c r="B12" s="29">
        <v>48500</v>
      </c>
      <c r="C12" s="29">
        <v>485</v>
      </c>
      <c r="D12" s="14">
        <v>3166313137</v>
      </c>
      <c r="E12" s="14" t="s">
        <v>98</v>
      </c>
      <c r="F12" s="14" t="s">
        <v>236</v>
      </c>
      <c r="G12" s="14" t="s">
        <v>404</v>
      </c>
      <c r="H12" s="14" t="s">
        <v>405</v>
      </c>
      <c r="I12" s="14" t="s">
        <v>236</v>
      </c>
      <c r="J12" s="14" t="s">
        <v>343</v>
      </c>
    </row>
    <row r="13" spans="2:10" x14ac:dyDescent="0.3">
      <c r="B13" s="29">
        <v>10700</v>
      </c>
      <c r="C13" s="29">
        <v>107</v>
      </c>
      <c r="D13" s="14">
        <v>2228715218</v>
      </c>
      <c r="E13" s="14" t="s">
        <v>336</v>
      </c>
      <c r="F13" s="14" t="s">
        <v>237</v>
      </c>
      <c r="G13" s="14" t="s">
        <v>406</v>
      </c>
      <c r="H13" s="14" t="s">
        <v>407</v>
      </c>
      <c r="I13" s="14" t="s">
        <v>237</v>
      </c>
      <c r="J13" s="14" t="s">
        <v>343</v>
      </c>
    </row>
    <row r="14" spans="2:10" x14ac:dyDescent="0.3">
      <c r="B14" s="29">
        <v>36200</v>
      </c>
      <c r="C14" s="29">
        <v>362</v>
      </c>
      <c r="D14" s="14">
        <v>2794610037</v>
      </c>
      <c r="E14" s="14" t="s">
        <v>94</v>
      </c>
      <c r="F14" s="14" t="s">
        <v>229</v>
      </c>
      <c r="G14" s="14" t="s">
        <v>408</v>
      </c>
      <c r="H14" s="14" t="s">
        <v>396</v>
      </c>
      <c r="I14" s="14" t="s">
        <v>229</v>
      </c>
      <c r="J14" s="14" t="s">
        <v>343</v>
      </c>
    </row>
    <row r="15" spans="2:10" x14ac:dyDescent="0.3">
      <c r="B15" s="29">
        <v>19200</v>
      </c>
      <c r="C15" s="29">
        <v>192</v>
      </c>
      <c r="D15" s="14">
        <v>3000412772</v>
      </c>
      <c r="E15" s="14" t="s">
        <v>87</v>
      </c>
      <c r="F15" s="14" t="s">
        <v>231</v>
      </c>
      <c r="G15" s="14" t="s">
        <v>402</v>
      </c>
      <c r="H15" s="14" t="s">
        <v>386</v>
      </c>
      <c r="I15" s="14" t="s">
        <v>231</v>
      </c>
      <c r="J15" s="14" t="s">
        <v>343</v>
      </c>
    </row>
    <row r="16" spans="2:10" x14ac:dyDescent="0.3">
      <c r="B16" s="29">
        <v>16300</v>
      </c>
      <c r="C16" s="29">
        <v>163</v>
      </c>
      <c r="D16" s="14">
        <v>2957816213</v>
      </c>
      <c r="E16" s="14" t="s">
        <v>95</v>
      </c>
      <c r="F16" s="14" t="s">
        <v>230</v>
      </c>
      <c r="G16" s="14" t="s">
        <v>409</v>
      </c>
      <c r="H16" s="14" t="s">
        <v>410</v>
      </c>
      <c r="I16" s="14" t="s">
        <v>230</v>
      </c>
      <c r="J16" s="14" t="s">
        <v>343</v>
      </c>
    </row>
    <row r="17" spans="1:10" x14ac:dyDescent="0.3">
      <c r="B17" s="29">
        <v>12500</v>
      </c>
      <c r="C17" s="29">
        <v>125</v>
      </c>
      <c r="D17" s="14">
        <v>2497706673</v>
      </c>
      <c r="E17" s="14" t="s">
        <v>241</v>
      </c>
      <c r="F17" s="14" t="s">
        <v>238</v>
      </c>
      <c r="G17" s="14" t="s">
        <v>411</v>
      </c>
      <c r="H17" s="14" t="s">
        <v>410</v>
      </c>
      <c r="I17" s="14" t="s">
        <v>238</v>
      </c>
      <c r="J17" s="14" t="s">
        <v>343</v>
      </c>
    </row>
    <row r="18" spans="1:10" x14ac:dyDescent="0.3">
      <c r="B18" s="38">
        <v>1500</v>
      </c>
      <c r="C18" s="38">
        <v>15</v>
      </c>
      <c r="D18" s="14">
        <v>2563423013</v>
      </c>
      <c r="E18" s="14" t="s">
        <v>96</v>
      </c>
      <c r="F18" s="14" t="s">
        <v>412</v>
      </c>
      <c r="G18" s="14" t="s">
        <v>413</v>
      </c>
      <c r="H18" s="14" t="s">
        <v>414</v>
      </c>
      <c r="I18" s="14" t="s">
        <v>412</v>
      </c>
      <c r="J18" s="14" t="s">
        <v>343</v>
      </c>
    </row>
    <row r="19" spans="1:10" x14ac:dyDescent="0.3">
      <c r="B19" s="29">
        <v>10300</v>
      </c>
      <c r="C19" s="29">
        <v>103</v>
      </c>
      <c r="D19" s="14">
        <v>2222811999</v>
      </c>
      <c r="E19" s="14" t="s">
        <v>240</v>
      </c>
      <c r="F19" s="14" t="s">
        <v>239</v>
      </c>
      <c r="G19" s="14" t="s">
        <v>415</v>
      </c>
      <c r="H19" s="14" t="s">
        <v>416</v>
      </c>
      <c r="I19" s="14" t="s">
        <v>239</v>
      </c>
      <c r="J19" s="14" t="s">
        <v>343</v>
      </c>
    </row>
    <row r="20" spans="1:10" x14ac:dyDescent="0.3">
      <c r="B20" s="46">
        <v>19300</v>
      </c>
      <c r="C20" s="46">
        <v>193</v>
      </c>
      <c r="D20" s="28">
        <v>2280303036</v>
      </c>
      <c r="E20" s="28" t="s">
        <v>197</v>
      </c>
      <c r="F20" s="28" t="s">
        <v>228</v>
      </c>
      <c r="G20" s="28" t="s">
        <v>417</v>
      </c>
      <c r="H20" s="28" t="s">
        <v>386</v>
      </c>
      <c r="I20" s="28" t="s">
        <v>228</v>
      </c>
      <c r="J20" s="28" t="s">
        <v>343</v>
      </c>
    </row>
    <row r="21" spans="1:10" ht="15" thickBot="1" x14ac:dyDescent="0.35">
      <c r="B21" s="34">
        <v>3000</v>
      </c>
      <c r="C21" s="34">
        <v>0</v>
      </c>
      <c r="D21" s="590" t="s">
        <v>383</v>
      </c>
      <c r="E21" s="590"/>
      <c r="F21" s="590"/>
      <c r="G21" s="590"/>
      <c r="H21" s="590"/>
      <c r="I21" s="590"/>
      <c r="J21" s="40"/>
    </row>
    <row r="22" spans="1:10" ht="15" thickBot="1" x14ac:dyDescent="0.35">
      <c r="A22" s="54" t="s">
        <v>418</v>
      </c>
      <c r="B22" s="57">
        <f>SUM(B3:B21)</f>
        <v>367100</v>
      </c>
      <c r="C22" s="58">
        <f>SUM(C3:C21)</f>
        <v>3641</v>
      </c>
      <c r="D22" s="55"/>
    </row>
    <row r="23" spans="1:10" ht="15" thickBot="1" x14ac:dyDescent="0.35">
      <c r="A23" s="54" t="s">
        <v>419</v>
      </c>
      <c r="B23" s="56">
        <f>B22+C22</f>
        <v>370741</v>
      </c>
    </row>
  </sheetData>
  <mergeCells count="1">
    <mergeCell ref="D21:I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1"/>
  <sheetViews>
    <sheetView topLeftCell="A98" workbookViewId="0">
      <selection activeCell="A118" sqref="A118"/>
    </sheetView>
  </sheetViews>
  <sheetFormatPr defaultRowHeight="13.2" x14ac:dyDescent="0.25"/>
  <cols>
    <col min="1" max="1" width="37.33203125" style="31" bestFit="1" customWidth="1"/>
    <col min="2" max="2" width="11" style="31" bestFit="1" customWidth="1"/>
    <col min="3" max="3" width="31" style="31" bestFit="1" customWidth="1"/>
    <col min="4" max="16384" width="8.88671875" style="31"/>
  </cols>
  <sheetData>
    <row r="1" spans="1:3" x14ac:dyDescent="0.25">
      <c r="A1" s="30" t="s">
        <v>106</v>
      </c>
      <c r="B1" s="30">
        <v>3457309598</v>
      </c>
      <c r="C1" s="30" t="s">
        <v>107</v>
      </c>
    </row>
    <row r="2" spans="1:3" x14ac:dyDescent="0.25">
      <c r="A2" s="30" t="s">
        <v>108</v>
      </c>
      <c r="B2" s="30">
        <v>2894801342</v>
      </c>
      <c r="C2" s="30" t="s">
        <v>109</v>
      </c>
    </row>
    <row r="3" spans="1:3" x14ac:dyDescent="0.25">
      <c r="A3" s="30" t="s">
        <v>110</v>
      </c>
      <c r="B3" s="30">
        <v>3036417408</v>
      </c>
      <c r="C3" s="30" t="s">
        <v>111</v>
      </c>
    </row>
    <row r="4" spans="1:3" x14ac:dyDescent="0.25">
      <c r="A4" s="30" t="s">
        <v>112</v>
      </c>
      <c r="B4" s="30">
        <v>3584606561</v>
      </c>
      <c r="C4" s="30" t="s">
        <v>113</v>
      </c>
    </row>
    <row r="5" spans="1:3" x14ac:dyDescent="0.25">
      <c r="A5" s="30" t="s">
        <v>114</v>
      </c>
      <c r="B5" s="30">
        <v>2772909678</v>
      </c>
      <c r="C5" s="30" t="s">
        <v>115</v>
      </c>
    </row>
    <row r="6" spans="1:3" x14ac:dyDescent="0.25">
      <c r="A6" s="30" t="s">
        <v>116</v>
      </c>
      <c r="B6" s="30">
        <v>3552110973</v>
      </c>
      <c r="C6" s="30" t="s">
        <v>117</v>
      </c>
    </row>
    <row r="7" spans="1:3" x14ac:dyDescent="0.25">
      <c r="A7" s="30" t="s">
        <v>118</v>
      </c>
      <c r="B7" s="30">
        <v>3255109619</v>
      </c>
      <c r="C7" s="30" t="s">
        <v>119</v>
      </c>
    </row>
    <row r="8" spans="1:3" x14ac:dyDescent="0.25">
      <c r="A8" s="30" t="s">
        <v>120</v>
      </c>
      <c r="B8" s="30">
        <v>2751711415</v>
      </c>
      <c r="C8" s="30" t="s">
        <v>121</v>
      </c>
    </row>
    <row r="9" spans="1:3" x14ac:dyDescent="0.25">
      <c r="A9" s="30" t="s">
        <v>122</v>
      </c>
      <c r="B9" s="30">
        <v>3382914593</v>
      </c>
      <c r="C9" s="30" t="s">
        <v>123</v>
      </c>
    </row>
    <row r="10" spans="1:3" x14ac:dyDescent="0.25">
      <c r="A10" s="30" t="s">
        <v>124</v>
      </c>
      <c r="B10" s="30">
        <v>3185819999</v>
      </c>
      <c r="C10" s="30" t="s">
        <v>125</v>
      </c>
    </row>
    <row r="11" spans="1:3" x14ac:dyDescent="0.25">
      <c r="A11" s="30" t="s">
        <v>126</v>
      </c>
      <c r="B11" s="30">
        <v>2882903815</v>
      </c>
      <c r="C11" s="30" t="s">
        <v>127</v>
      </c>
    </row>
    <row r="12" spans="1:3" x14ac:dyDescent="0.25">
      <c r="A12" s="30" t="s">
        <v>128</v>
      </c>
      <c r="B12" s="30">
        <v>3259012714</v>
      </c>
      <c r="C12" s="30" t="s">
        <v>129</v>
      </c>
    </row>
    <row r="13" spans="1:3" x14ac:dyDescent="0.25">
      <c r="A13" s="30" t="s">
        <v>130</v>
      </c>
      <c r="B13" s="30">
        <v>2871014384</v>
      </c>
      <c r="C13" s="30" t="s">
        <v>131</v>
      </c>
    </row>
    <row r="14" spans="1:3" x14ac:dyDescent="0.25">
      <c r="A14" s="30" t="s">
        <v>132</v>
      </c>
      <c r="B14" s="30">
        <v>3476810823</v>
      </c>
      <c r="C14" s="30" t="s">
        <v>133</v>
      </c>
    </row>
    <row r="15" spans="1:3" x14ac:dyDescent="0.25">
      <c r="A15" s="30" t="s">
        <v>134</v>
      </c>
      <c r="B15" s="30">
        <v>3207413416</v>
      </c>
      <c r="C15" s="30" t="s">
        <v>135</v>
      </c>
    </row>
    <row r="16" spans="1:3" x14ac:dyDescent="0.25">
      <c r="A16" s="30" t="s">
        <v>136</v>
      </c>
      <c r="B16" s="30">
        <v>2649915892</v>
      </c>
      <c r="C16" s="30" t="s">
        <v>137</v>
      </c>
    </row>
    <row r="17" spans="1:3" x14ac:dyDescent="0.25">
      <c r="A17" s="30" t="s">
        <v>138</v>
      </c>
      <c r="B17" s="30">
        <v>3053422190</v>
      </c>
      <c r="C17" s="30" t="s">
        <v>139</v>
      </c>
    </row>
    <row r="18" spans="1:3" x14ac:dyDescent="0.25">
      <c r="A18" s="30" t="s">
        <v>140</v>
      </c>
      <c r="B18" s="30">
        <v>3503711344</v>
      </c>
      <c r="C18" s="30" t="s">
        <v>141</v>
      </c>
    </row>
    <row r="19" spans="1:3" x14ac:dyDescent="0.25">
      <c r="A19" s="30" t="s">
        <v>142</v>
      </c>
      <c r="B19" s="30">
        <v>3121710454</v>
      </c>
      <c r="C19" s="30" t="s">
        <v>143</v>
      </c>
    </row>
    <row r="20" spans="1:3" x14ac:dyDescent="0.25">
      <c r="A20" s="30" t="s">
        <v>144</v>
      </c>
      <c r="B20" s="30">
        <v>2407205516</v>
      </c>
      <c r="C20" s="30" t="s">
        <v>145</v>
      </c>
    </row>
    <row r="21" spans="1:3" x14ac:dyDescent="0.25">
      <c r="A21" s="30" t="s">
        <v>146</v>
      </c>
      <c r="B21" s="30">
        <v>3281710375</v>
      </c>
      <c r="C21" s="30" t="s">
        <v>147</v>
      </c>
    </row>
    <row r="22" spans="1:3" x14ac:dyDescent="0.25">
      <c r="A22" s="30" t="s">
        <v>148</v>
      </c>
      <c r="B22" s="30">
        <v>3399209246</v>
      </c>
      <c r="C22" s="30" t="s">
        <v>149</v>
      </c>
    </row>
    <row r="23" spans="1:3" x14ac:dyDescent="0.25">
      <c r="A23" s="30" t="s">
        <v>150</v>
      </c>
      <c r="B23" s="30">
        <v>2866215672</v>
      </c>
      <c r="C23" s="30" t="s">
        <v>151</v>
      </c>
    </row>
    <row r="24" spans="1:3" x14ac:dyDescent="0.25">
      <c r="A24" s="30" t="s">
        <v>152</v>
      </c>
      <c r="B24" s="30">
        <v>3575508457</v>
      </c>
      <c r="C24" s="30" t="s">
        <v>153</v>
      </c>
    </row>
    <row r="25" spans="1:3" x14ac:dyDescent="0.25">
      <c r="A25" s="30" t="s">
        <v>154</v>
      </c>
      <c r="B25" s="30">
        <v>2886702243</v>
      </c>
      <c r="C25" s="30" t="s">
        <v>155</v>
      </c>
    </row>
    <row r="26" spans="1:3" x14ac:dyDescent="0.25">
      <c r="A26" s="30" t="s">
        <v>156</v>
      </c>
      <c r="B26" s="30">
        <v>3306506991</v>
      </c>
      <c r="C26" s="30" t="s">
        <v>157</v>
      </c>
    </row>
    <row r="27" spans="1:3" x14ac:dyDescent="0.25">
      <c r="A27" s="30" t="s">
        <v>158</v>
      </c>
      <c r="B27" s="30">
        <v>3088414251</v>
      </c>
      <c r="C27" s="30" t="s">
        <v>159</v>
      </c>
    </row>
    <row r="28" spans="1:3" x14ac:dyDescent="0.25">
      <c r="A28" s="30" t="s">
        <v>160</v>
      </c>
      <c r="B28" s="30">
        <v>3212917615</v>
      </c>
      <c r="C28" s="30" t="s">
        <v>161</v>
      </c>
    </row>
    <row r="29" spans="1:3" x14ac:dyDescent="0.25">
      <c r="A29" s="30" t="s">
        <v>162</v>
      </c>
      <c r="B29" s="30">
        <v>2899410750</v>
      </c>
      <c r="C29" s="30" t="s">
        <v>163</v>
      </c>
    </row>
    <row r="30" spans="1:3" x14ac:dyDescent="0.25">
      <c r="A30" s="30" t="s">
        <v>164</v>
      </c>
      <c r="B30" s="30">
        <v>3147001852</v>
      </c>
      <c r="C30" s="30" t="s">
        <v>165</v>
      </c>
    </row>
    <row r="31" spans="1:3" x14ac:dyDescent="0.25">
      <c r="A31" s="30" t="s">
        <v>166</v>
      </c>
      <c r="B31" s="30">
        <v>3259819599</v>
      </c>
      <c r="C31" s="30" t="s">
        <v>167</v>
      </c>
    </row>
    <row r="32" spans="1:3" x14ac:dyDescent="0.25">
      <c r="A32" s="30" t="s">
        <v>168</v>
      </c>
      <c r="B32" s="30">
        <v>3134414385</v>
      </c>
      <c r="C32" s="30" t="s">
        <v>169</v>
      </c>
    </row>
    <row r="33" spans="1:3" x14ac:dyDescent="0.25">
      <c r="A33" s="30" t="s">
        <v>170</v>
      </c>
      <c r="B33" s="30">
        <v>3113516269</v>
      </c>
      <c r="C33" s="30" t="s">
        <v>171</v>
      </c>
    </row>
    <row r="34" spans="1:3" x14ac:dyDescent="0.25">
      <c r="A34" s="30" t="s">
        <v>172</v>
      </c>
      <c r="B34" s="30">
        <v>2546110595</v>
      </c>
      <c r="C34" s="30" t="s">
        <v>173</v>
      </c>
    </row>
    <row r="35" spans="1:3" x14ac:dyDescent="0.25">
      <c r="A35" s="30" t="s">
        <v>174</v>
      </c>
      <c r="B35" s="30">
        <v>3146202083</v>
      </c>
      <c r="C35" s="30" t="s">
        <v>175</v>
      </c>
    </row>
    <row r="36" spans="1:3" x14ac:dyDescent="0.25">
      <c r="A36" s="30" t="s">
        <v>176</v>
      </c>
      <c r="B36" s="30">
        <v>3194113635</v>
      </c>
      <c r="C36" s="30" t="s">
        <v>177</v>
      </c>
    </row>
    <row r="37" spans="1:3" x14ac:dyDescent="0.25">
      <c r="A37" s="30" t="s">
        <v>178</v>
      </c>
      <c r="B37" s="30">
        <v>2234022693</v>
      </c>
      <c r="C37" s="30" t="s">
        <v>179</v>
      </c>
    </row>
    <row r="38" spans="1:3" x14ac:dyDescent="0.25">
      <c r="A38" s="30" t="s">
        <v>180</v>
      </c>
      <c r="B38" s="30">
        <v>2682404875</v>
      </c>
      <c r="C38" s="30" t="s">
        <v>181</v>
      </c>
    </row>
    <row r="39" spans="1:3" x14ac:dyDescent="0.25">
      <c r="A39" s="30" t="s">
        <v>182</v>
      </c>
      <c r="B39" s="30">
        <v>2374714914</v>
      </c>
      <c r="C39" s="30" t="s">
        <v>99</v>
      </c>
    </row>
    <row r="40" spans="1:3" x14ac:dyDescent="0.25">
      <c r="A40" s="30" t="s">
        <v>183</v>
      </c>
      <c r="B40" s="30">
        <v>2941213770</v>
      </c>
      <c r="C40" s="30" t="s">
        <v>88</v>
      </c>
    </row>
    <row r="41" spans="1:3" x14ac:dyDescent="0.25">
      <c r="A41" s="30" t="s">
        <v>184</v>
      </c>
      <c r="B41" s="30">
        <v>2892916533</v>
      </c>
      <c r="C41" s="30" t="s">
        <v>89</v>
      </c>
    </row>
    <row r="42" spans="1:3" x14ac:dyDescent="0.25">
      <c r="A42" s="30" t="s">
        <v>185</v>
      </c>
      <c r="B42" s="30">
        <v>2852918337</v>
      </c>
      <c r="C42" s="30" t="s">
        <v>90</v>
      </c>
    </row>
    <row r="43" spans="1:3" x14ac:dyDescent="0.25">
      <c r="A43" s="30" t="s">
        <v>186</v>
      </c>
      <c r="B43" s="30">
        <v>3061614236</v>
      </c>
      <c r="C43" s="30" t="s">
        <v>187</v>
      </c>
    </row>
    <row r="44" spans="1:3" x14ac:dyDescent="0.25">
      <c r="A44" s="30" t="s">
        <v>188</v>
      </c>
      <c r="B44" s="30">
        <v>2906022797</v>
      </c>
      <c r="C44" s="30" t="s">
        <v>91</v>
      </c>
    </row>
    <row r="45" spans="1:3" x14ac:dyDescent="0.25">
      <c r="A45" s="30" t="s">
        <v>189</v>
      </c>
      <c r="B45" s="30">
        <v>3166313137</v>
      </c>
      <c r="C45" s="30" t="s">
        <v>98</v>
      </c>
    </row>
    <row r="46" spans="1:3" x14ac:dyDescent="0.25">
      <c r="A46" s="30" t="s">
        <v>190</v>
      </c>
      <c r="B46" s="30">
        <v>3013807931</v>
      </c>
      <c r="C46" s="30" t="s">
        <v>92</v>
      </c>
    </row>
    <row r="47" spans="1:3" x14ac:dyDescent="0.25">
      <c r="A47" s="30" t="s">
        <v>191</v>
      </c>
      <c r="B47" s="30">
        <v>3132604831</v>
      </c>
      <c r="C47" s="30" t="s">
        <v>93</v>
      </c>
    </row>
    <row r="48" spans="1:3" x14ac:dyDescent="0.25">
      <c r="A48" s="30" t="s">
        <v>192</v>
      </c>
      <c r="B48" s="30">
        <v>2794610037</v>
      </c>
      <c r="C48" s="30" t="s">
        <v>94</v>
      </c>
    </row>
    <row r="49" spans="1:3" x14ac:dyDescent="0.25">
      <c r="A49" s="30" t="s">
        <v>193</v>
      </c>
      <c r="B49" s="30">
        <v>2957816213</v>
      </c>
      <c r="C49" s="30" t="s">
        <v>95</v>
      </c>
    </row>
    <row r="50" spans="1:3" x14ac:dyDescent="0.25">
      <c r="A50" s="30" t="s">
        <v>194</v>
      </c>
      <c r="B50" s="30">
        <v>2563423013</v>
      </c>
      <c r="C50" s="30" t="s">
        <v>96</v>
      </c>
    </row>
    <row r="51" spans="1:3" x14ac:dyDescent="0.25">
      <c r="A51" s="30" t="s">
        <v>195</v>
      </c>
      <c r="B51" s="30">
        <v>3000412772</v>
      </c>
      <c r="C51" s="30" t="s">
        <v>87</v>
      </c>
    </row>
    <row r="52" spans="1:3" x14ac:dyDescent="0.25">
      <c r="A52" s="30" t="s">
        <v>196</v>
      </c>
      <c r="B52" s="30">
        <v>2280303036</v>
      </c>
      <c r="C52" s="30" t="s">
        <v>197</v>
      </c>
    </row>
    <row r="53" spans="1:3" x14ac:dyDescent="0.25">
      <c r="A53" s="30" t="s">
        <v>198</v>
      </c>
      <c r="B53" s="30">
        <v>2837815275</v>
      </c>
      <c r="C53" s="30" t="s">
        <v>97</v>
      </c>
    </row>
    <row r="54" spans="1:3" x14ac:dyDescent="0.25">
      <c r="A54" s="30" t="s">
        <v>199</v>
      </c>
      <c r="B54" s="30">
        <v>2461302113</v>
      </c>
      <c r="C54" s="30" t="s">
        <v>102</v>
      </c>
    </row>
    <row r="55" spans="1:3" x14ac:dyDescent="0.25">
      <c r="A55" s="30" t="s">
        <v>200</v>
      </c>
      <c r="B55" s="30">
        <v>3293018293</v>
      </c>
      <c r="C55" s="30" t="s">
        <v>201</v>
      </c>
    </row>
    <row r="56" spans="1:3" x14ac:dyDescent="0.25">
      <c r="A56" s="30" t="s">
        <v>202</v>
      </c>
      <c r="B56" s="30">
        <v>2606514818</v>
      </c>
      <c r="C56" s="30" t="s">
        <v>104</v>
      </c>
    </row>
    <row r="57" spans="1:3" x14ac:dyDescent="0.25">
      <c r="A57" s="30" t="s">
        <v>203</v>
      </c>
      <c r="B57" s="30">
        <v>2635100858</v>
      </c>
      <c r="C57" s="30" t="s">
        <v>204</v>
      </c>
    </row>
    <row r="58" spans="1:3" x14ac:dyDescent="0.25">
      <c r="A58" s="30" t="s">
        <v>224</v>
      </c>
      <c r="B58" s="30">
        <v>3193919898</v>
      </c>
      <c r="C58" s="30" t="s">
        <v>105</v>
      </c>
    </row>
    <row r="59" spans="1:3" x14ac:dyDescent="0.25">
      <c r="A59" s="30" t="s">
        <v>206</v>
      </c>
      <c r="B59" s="30">
        <v>2916904618</v>
      </c>
      <c r="C59" s="30" t="s">
        <v>101</v>
      </c>
    </row>
    <row r="60" spans="1:3" x14ac:dyDescent="0.25">
      <c r="A60" s="30" t="s">
        <v>207</v>
      </c>
      <c r="B60" s="30">
        <v>2495821830</v>
      </c>
      <c r="C60" s="30" t="s">
        <v>103</v>
      </c>
    </row>
    <row r="61" spans="1:3" x14ac:dyDescent="0.25">
      <c r="A61" s="30" t="s">
        <v>208</v>
      </c>
      <c r="B61" s="30">
        <v>2603415971</v>
      </c>
      <c r="C61" s="30" t="s">
        <v>100</v>
      </c>
    </row>
    <row r="62" spans="1:3" x14ac:dyDescent="0.25">
      <c r="A62" s="30" t="s">
        <v>209</v>
      </c>
      <c r="B62" s="30">
        <v>3032615479</v>
      </c>
      <c r="C62" s="30" t="s">
        <v>210</v>
      </c>
    </row>
    <row r="63" spans="1:3" x14ac:dyDescent="0.25">
      <c r="A63" s="30" t="s">
        <v>211</v>
      </c>
      <c r="B63" s="30">
        <v>2865402633</v>
      </c>
      <c r="C63" s="30" t="s">
        <v>212</v>
      </c>
    </row>
    <row r="64" spans="1:3" x14ac:dyDescent="0.25">
      <c r="A64" s="30" t="s">
        <v>257</v>
      </c>
      <c r="B64" s="30">
        <v>2650516427</v>
      </c>
      <c r="C64" s="30" t="s">
        <v>258</v>
      </c>
    </row>
    <row r="65" spans="1:3" x14ac:dyDescent="0.25">
      <c r="A65" s="26" t="s">
        <v>259</v>
      </c>
      <c r="B65" s="26">
        <v>3173022999</v>
      </c>
      <c r="C65" s="26" t="s">
        <v>260</v>
      </c>
    </row>
    <row r="66" spans="1:3" x14ac:dyDescent="0.25">
      <c r="A66" s="26" t="s">
        <v>261</v>
      </c>
      <c r="B66" s="26">
        <v>3406013131</v>
      </c>
      <c r="C66" s="26" t="s">
        <v>262</v>
      </c>
    </row>
    <row r="67" spans="1:3" x14ac:dyDescent="0.25">
      <c r="A67" s="26" t="s">
        <v>263</v>
      </c>
      <c r="B67" s="26">
        <v>3012604857</v>
      </c>
      <c r="C67" s="26" t="s">
        <v>264</v>
      </c>
    </row>
    <row r="68" spans="1:3" x14ac:dyDescent="0.25">
      <c r="A68" s="26" t="s">
        <v>265</v>
      </c>
      <c r="B68" s="26">
        <v>2704000770</v>
      </c>
      <c r="C68" s="26" t="s">
        <v>266</v>
      </c>
    </row>
    <row r="69" spans="1:3" x14ac:dyDescent="0.25">
      <c r="A69" s="30" t="s">
        <v>267</v>
      </c>
      <c r="B69" s="30">
        <v>3243620671</v>
      </c>
      <c r="C69" s="30" t="s">
        <v>268</v>
      </c>
    </row>
    <row r="70" spans="1:3" x14ac:dyDescent="0.25">
      <c r="A70" s="30" t="s">
        <v>269</v>
      </c>
      <c r="B70" s="30">
        <v>3439300858</v>
      </c>
      <c r="C70" s="30" t="s">
        <v>270</v>
      </c>
    </row>
    <row r="71" spans="1:3" x14ac:dyDescent="0.25">
      <c r="A71" s="26" t="s">
        <v>271</v>
      </c>
      <c r="B71" s="26">
        <v>3325418095</v>
      </c>
      <c r="C71" s="26" t="s">
        <v>272</v>
      </c>
    </row>
    <row r="72" spans="1:3" x14ac:dyDescent="0.25">
      <c r="A72" s="26" t="s">
        <v>273</v>
      </c>
      <c r="B72" s="26">
        <v>2869308790</v>
      </c>
      <c r="C72" s="26" t="s">
        <v>274</v>
      </c>
    </row>
    <row r="73" spans="1:3" x14ac:dyDescent="0.25">
      <c r="A73" s="26" t="s">
        <v>225</v>
      </c>
      <c r="B73" s="26">
        <v>2659518517</v>
      </c>
      <c r="C73" s="26" t="s">
        <v>226</v>
      </c>
    </row>
    <row r="74" spans="1:3" x14ac:dyDescent="0.25">
      <c r="A74" s="26" t="s">
        <v>275</v>
      </c>
      <c r="B74" s="26">
        <v>3097407297</v>
      </c>
      <c r="C74" s="26" t="s">
        <v>276</v>
      </c>
    </row>
    <row r="75" spans="1:3" x14ac:dyDescent="0.25">
      <c r="A75" s="26" t="s">
        <v>277</v>
      </c>
      <c r="B75" s="26">
        <v>2697014335</v>
      </c>
      <c r="C75" s="26" t="s">
        <v>278</v>
      </c>
    </row>
    <row r="76" spans="1:3" x14ac:dyDescent="0.25">
      <c r="A76" s="26" t="s">
        <v>279</v>
      </c>
      <c r="B76" s="26">
        <v>3018814274</v>
      </c>
      <c r="C76" s="26" t="s">
        <v>280</v>
      </c>
    </row>
    <row r="77" spans="1:3" x14ac:dyDescent="0.25">
      <c r="A77" s="26" t="s">
        <v>281</v>
      </c>
      <c r="B77" s="26">
        <v>3178707275</v>
      </c>
      <c r="C77" s="26" t="s">
        <v>282</v>
      </c>
    </row>
    <row r="78" spans="1:3" x14ac:dyDescent="0.25">
      <c r="A78" s="26" t="s">
        <v>283</v>
      </c>
      <c r="B78" s="26">
        <v>3008703064</v>
      </c>
      <c r="C78" s="26" t="s">
        <v>284</v>
      </c>
    </row>
    <row r="79" spans="1:3" x14ac:dyDescent="0.25">
      <c r="A79" s="26" t="s">
        <v>285</v>
      </c>
      <c r="B79" s="26">
        <v>3508409616</v>
      </c>
      <c r="C79" s="26" t="s">
        <v>286</v>
      </c>
    </row>
    <row r="80" spans="1:3" x14ac:dyDescent="0.25">
      <c r="A80" s="26" t="s">
        <v>287</v>
      </c>
      <c r="B80" s="26">
        <v>3124506578</v>
      </c>
      <c r="C80" s="26" t="s">
        <v>217</v>
      </c>
    </row>
    <row r="81" spans="1:3" x14ac:dyDescent="0.25">
      <c r="A81" s="26" t="s">
        <v>218</v>
      </c>
      <c r="B81" s="26">
        <v>2861312130</v>
      </c>
      <c r="C81" s="26" t="s">
        <v>219</v>
      </c>
    </row>
    <row r="82" spans="1:3" x14ac:dyDescent="0.25">
      <c r="A82" s="26" t="s">
        <v>277</v>
      </c>
      <c r="B82" s="26">
        <v>2697014335</v>
      </c>
      <c r="C82" s="26" t="s">
        <v>278</v>
      </c>
    </row>
    <row r="83" spans="1:3" x14ac:dyDescent="0.25">
      <c r="A83" s="26" t="s">
        <v>288</v>
      </c>
      <c r="B83" s="26">
        <v>3198414135</v>
      </c>
      <c r="C83" s="26" t="s">
        <v>289</v>
      </c>
    </row>
    <row r="84" spans="1:3" x14ac:dyDescent="0.25">
      <c r="A84" s="30" t="s">
        <v>220</v>
      </c>
      <c r="B84" s="30">
        <v>3181515017</v>
      </c>
      <c r="C84" s="30" t="s">
        <v>221</v>
      </c>
    </row>
    <row r="85" spans="1:3" x14ac:dyDescent="0.25">
      <c r="A85" s="30" t="s">
        <v>222</v>
      </c>
      <c r="B85" s="30">
        <v>2406811133</v>
      </c>
      <c r="C85" s="30" t="s">
        <v>223</v>
      </c>
    </row>
    <row r="86" spans="1:3" x14ac:dyDescent="0.25">
      <c r="A86" s="26" t="s">
        <v>290</v>
      </c>
      <c r="B86" s="26">
        <v>2218422874</v>
      </c>
      <c r="C86" s="26" t="s">
        <v>291</v>
      </c>
    </row>
    <row r="87" spans="1:3" x14ac:dyDescent="0.25">
      <c r="A87" s="26" t="s">
        <v>292</v>
      </c>
      <c r="B87" s="26">
        <v>2559518617</v>
      </c>
      <c r="C87" s="26" t="s">
        <v>293</v>
      </c>
    </row>
    <row r="88" spans="1:3" x14ac:dyDescent="0.25">
      <c r="A88" s="26" t="s">
        <v>294</v>
      </c>
      <c r="B88" s="26">
        <v>2372302697</v>
      </c>
      <c r="C88" s="26" t="s">
        <v>295</v>
      </c>
    </row>
    <row r="89" spans="1:3" x14ac:dyDescent="0.25">
      <c r="A89" s="26" t="s">
        <v>296</v>
      </c>
      <c r="B89" s="26">
        <v>2888002952</v>
      </c>
      <c r="C89" s="26" t="s">
        <v>297</v>
      </c>
    </row>
    <row r="90" spans="1:3" x14ac:dyDescent="0.25">
      <c r="A90" s="26" t="s">
        <v>298</v>
      </c>
      <c r="B90" s="26">
        <v>2935421830</v>
      </c>
      <c r="C90" s="26" t="s">
        <v>299</v>
      </c>
    </row>
    <row r="91" spans="1:3" x14ac:dyDescent="0.25">
      <c r="A91" s="26" t="s">
        <v>300</v>
      </c>
      <c r="B91" s="26">
        <v>3113918699</v>
      </c>
      <c r="C91" s="26" t="s">
        <v>301</v>
      </c>
    </row>
    <row r="92" spans="1:3" x14ac:dyDescent="0.25">
      <c r="A92" s="26" t="s">
        <v>302</v>
      </c>
      <c r="B92" s="26">
        <v>3037601426</v>
      </c>
      <c r="C92" s="26" t="s">
        <v>303</v>
      </c>
    </row>
    <row r="93" spans="1:3" x14ac:dyDescent="0.25">
      <c r="A93" s="26" t="s">
        <v>304</v>
      </c>
      <c r="B93" s="26">
        <v>3143007035</v>
      </c>
      <c r="C93" s="26" t="s">
        <v>305</v>
      </c>
    </row>
    <row r="94" spans="1:3" x14ac:dyDescent="0.25">
      <c r="A94" s="26" t="s">
        <v>306</v>
      </c>
      <c r="B94" s="26">
        <v>3446605399</v>
      </c>
      <c r="C94" s="26" t="s">
        <v>307</v>
      </c>
    </row>
    <row r="95" spans="1:3" x14ac:dyDescent="0.25">
      <c r="A95" s="30" t="s">
        <v>308</v>
      </c>
      <c r="B95" s="30">
        <v>3445011803</v>
      </c>
      <c r="C95" s="26" t="s">
        <v>309</v>
      </c>
    </row>
    <row r="96" spans="1:3" x14ac:dyDescent="0.25">
      <c r="A96" s="32" t="s">
        <v>310</v>
      </c>
      <c r="B96" s="32">
        <v>3172403537</v>
      </c>
      <c r="C96" s="26" t="s">
        <v>311</v>
      </c>
    </row>
    <row r="97" spans="1:3" x14ac:dyDescent="0.25">
      <c r="A97" s="32" t="s">
        <v>312</v>
      </c>
      <c r="B97" s="32">
        <v>3208018813</v>
      </c>
      <c r="C97" s="26" t="s">
        <v>313</v>
      </c>
    </row>
    <row r="98" spans="1:3" x14ac:dyDescent="0.25">
      <c r="A98" s="26" t="s">
        <v>314</v>
      </c>
      <c r="B98" s="26">
        <v>2934817349</v>
      </c>
      <c r="C98" s="26" t="s">
        <v>315</v>
      </c>
    </row>
    <row r="99" spans="1:3" x14ac:dyDescent="0.25">
      <c r="A99" s="30" t="s">
        <v>316</v>
      </c>
      <c r="B99" s="30">
        <v>3435910314</v>
      </c>
      <c r="C99" s="30" t="s">
        <v>317</v>
      </c>
    </row>
    <row r="100" spans="1:3" x14ac:dyDescent="0.25">
      <c r="A100" s="30" t="s">
        <v>318</v>
      </c>
      <c r="B100" s="30">
        <v>2711822114</v>
      </c>
      <c r="C100" s="33" t="s">
        <v>319</v>
      </c>
    </row>
    <row r="101" spans="1:3" x14ac:dyDescent="0.25">
      <c r="A101" s="30" t="s">
        <v>320</v>
      </c>
      <c r="B101" s="30">
        <v>3433403556</v>
      </c>
      <c r="C101" s="30" t="s">
        <v>321</v>
      </c>
    </row>
    <row r="102" spans="1:3" x14ac:dyDescent="0.25">
      <c r="A102" s="30" t="s">
        <v>322</v>
      </c>
      <c r="B102" s="30">
        <v>3219619831</v>
      </c>
      <c r="C102" s="30" t="s">
        <v>323</v>
      </c>
    </row>
    <row r="103" spans="1:3" x14ac:dyDescent="0.25">
      <c r="A103" s="30" t="s">
        <v>324</v>
      </c>
      <c r="B103" s="30">
        <v>2773301332</v>
      </c>
      <c r="C103" s="26" t="s">
        <v>325</v>
      </c>
    </row>
    <row r="104" spans="1:3" x14ac:dyDescent="0.25">
      <c r="A104" s="30" t="s">
        <v>326</v>
      </c>
      <c r="B104" s="30">
        <v>3760608299</v>
      </c>
      <c r="C104" s="30" t="s">
        <v>327</v>
      </c>
    </row>
    <row r="105" spans="1:3" x14ac:dyDescent="0.25">
      <c r="A105" s="30" t="s">
        <v>328</v>
      </c>
      <c r="B105" s="39">
        <v>0</v>
      </c>
      <c r="C105" s="30" t="s">
        <v>329</v>
      </c>
    </row>
    <row r="106" spans="1:3" x14ac:dyDescent="0.25">
      <c r="A106" s="26" t="s">
        <v>330</v>
      </c>
      <c r="B106" s="26">
        <v>3524305961</v>
      </c>
      <c r="C106" s="26" t="s">
        <v>331</v>
      </c>
    </row>
    <row r="107" spans="1:3" x14ac:dyDescent="0.25">
      <c r="A107" s="26" t="s">
        <v>332</v>
      </c>
      <c r="B107" s="30">
        <v>3067218612</v>
      </c>
      <c r="C107" s="30" t="s">
        <v>333</v>
      </c>
    </row>
    <row r="108" spans="1:3" x14ac:dyDescent="0.25">
      <c r="A108" s="26" t="s">
        <v>255</v>
      </c>
      <c r="B108" s="30">
        <v>2228715218</v>
      </c>
      <c r="C108" s="30" t="s">
        <v>336</v>
      </c>
    </row>
    <row r="109" spans="1:3" x14ac:dyDescent="0.25">
      <c r="A109" s="26" t="s">
        <v>256</v>
      </c>
      <c r="B109" s="30">
        <v>2497706673</v>
      </c>
      <c r="C109" s="30" t="s">
        <v>241</v>
      </c>
    </row>
    <row r="110" spans="1:3" x14ac:dyDescent="0.25">
      <c r="A110" s="26" t="s">
        <v>242</v>
      </c>
      <c r="B110" s="30">
        <v>2222811999</v>
      </c>
      <c r="C110" s="30" t="s">
        <v>240</v>
      </c>
    </row>
    <row r="111" spans="1:3" x14ac:dyDescent="0.25">
      <c r="A111" s="26" t="s">
        <v>334</v>
      </c>
      <c r="B111" s="30">
        <v>2334806973</v>
      </c>
      <c r="C111" s="30" t="s">
        <v>360</v>
      </c>
    </row>
    <row r="112" spans="1:3" x14ac:dyDescent="0.25">
      <c r="A112" s="31" t="s">
        <v>335</v>
      </c>
      <c r="B112" s="42">
        <v>3359108675</v>
      </c>
      <c r="C112" s="42" t="s">
        <v>365</v>
      </c>
    </row>
    <row r="113" spans="1:3" x14ac:dyDescent="0.25">
      <c r="A113" s="31" t="s">
        <v>356</v>
      </c>
      <c r="B113" s="31">
        <v>2753702532</v>
      </c>
      <c r="C113" s="31" t="s">
        <v>382</v>
      </c>
    </row>
    <row r="114" spans="1:3" x14ac:dyDescent="0.25">
      <c r="A114" s="26" t="s">
        <v>361</v>
      </c>
      <c r="B114" s="30">
        <v>2959716111</v>
      </c>
      <c r="C114" s="30" t="s">
        <v>362</v>
      </c>
    </row>
    <row r="115" spans="1:3" x14ac:dyDescent="0.25">
      <c r="A115" s="26" t="s">
        <v>363</v>
      </c>
      <c r="B115" s="30">
        <v>2163809691</v>
      </c>
      <c r="C115" s="30" t="s">
        <v>364</v>
      </c>
    </row>
    <row r="116" spans="1:3" x14ac:dyDescent="0.25">
      <c r="A116" s="26" t="s">
        <v>366</v>
      </c>
      <c r="B116" s="30">
        <v>2034207638</v>
      </c>
      <c r="C116" s="30" t="s">
        <v>367</v>
      </c>
    </row>
    <row r="117" spans="1:3" x14ac:dyDescent="0.25">
      <c r="A117" s="26" t="s">
        <v>368</v>
      </c>
      <c r="B117" s="30">
        <v>2423910335</v>
      </c>
      <c r="C117" s="30" t="s">
        <v>369</v>
      </c>
    </row>
    <row r="118" spans="1:3" x14ac:dyDescent="0.25">
      <c r="A118" s="60" t="s">
        <v>438</v>
      </c>
      <c r="B118" s="61">
        <v>2437911836</v>
      </c>
      <c r="C118" s="61" t="s">
        <v>439</v>
      </c>
    </row>
    <row r="119" spans="1:3" x14ac:dyDescent="0.25">
      <c r="A119" s="31" t="s">
        <v>370</v>
      </c>
      <c r="B119" s="31">
        <v>2534903359</v>
      </c>
      <c r="C119" s="31" t="s">
        <v>371</v>
      </c>
    </row>
    <row r="120" spans="1:3" x14ac:dyDescent="0.25">
      <c r="A120" s="47" t="s">
        <v>373</v>
      </c>
    </row>
    <row r="121" spans="1:3" x14ac:dyDescent="0.25">
      <c r="A121" s="47" t="s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-0.249977111117893"/>
    <pageSetUpPr fitToPage="1"/>
  </sheetPr>
  <dimension ref="A1:BL205"/>
  <sheetViews>
    <sheetView showGridLines="0" showZeros="0" zoomScaleNormal="100" workbookViewId="0">
      <pane xSplit="3" topLeftCell="D1" activePane="topRight" state="frozen"/>
      <selection activeCell="A129" sqref="A129"/>
      <selection pane="topRight" activeCell="C136" sqref="C136:D136"/>
    </sheetView>
  </sheetViews>
  <sheetFormatPr defaultRowHeight="14.4" outlineLevelRow="1" outlineLevelCol="2" x14ac:dyDescent="0.3"/>
  <cols>
    <col min="1" max="1" width="1.33203125" style="66" customWidth="1"/>
    <col min="2" max="2" width="4.109375" style="65" customWidth="1"/>
    <col min="3" max="3" width="19.88671875" style="66" customWidth="1"/>
    <col min="4" max="4" width="31" style="66" customWidth="1" outlineLevel="1"/>
    <col min="5" max="5" width="12.77734375" style="66" customWidth="1" outlineLevel="1"/>
    <col min="6" max="7" width="7.77734375" style="67" customWidth="1"/>
    <col min="8" max="8" width="17.77734375" style="67" customWidth="1" outlineLevel="1"/>
    <col min="9" max="9" width="24.33203125" style="67" customWidth="1" outlineLevel="1"/>
    <col min="10" max="11" width="9" style="65" customWidth="1"/>
    <col min="12" max="14" width="8.33203125" style="65" customWidth="1"/>
    <col min="15" max="15" width="9" style="66" customWidth="1"/>
    <col min="16" max="16" width="5.5546875" style="226" customWidth="1"/>
    <col min="17" max="17" width="13" style="66" customWidth="1"/>
    <col min="18" max="18" width="13" style="66" customWidth="1" outlineLevel="1"/>
    <col min="19" max="19" width="10.33203125" style="66" customWidth="1" outlineLevel="2"/>
    <col min="20" max="20" width="13.44140625" style="66" customWidth="1" outlineLevel="1"/>
    <col min="21" max="21" width="13.44140625" style="66" customWidth="1" outlineLevel="2"/>
    <col min="22" max="23" width="13.44140625" style="66" customWidth="1" outlineLevel="1"/>
    <col min="24" max="24" width="9.44140625" style="66" hidden="1" customWidth="1" outlineLevel="2"/>
    <col min="25" max="25" width="12.21875" style="66" hidden="1" customWidth="1" outlineLevel="2"/>
    <col min="26" max="26" width="10.33203125" style="66" hidden="1" customWidth="1" outlineLevel="2" collapsed="1"/>
    <col min="27" max="27" width="13.5546875" style="66" customWidth="1" outlineLevel="1" collapsed="1"/>
    <col min="28" max="16384" width="8.88671875" style="66"/>
  </cols>
  <sheetData>
    <row r="1" spans="2:25" hidden="1" outlineLevel="1" x14ac:dyDescent="0.3">
      <c r="P1" s="287"/>
      <c r="Y1" s="428">
        <v>45170</v>
      </c>
    </row>
    <row r="2" spans="2:25" hidden="1" outlineLevel="1" x14ac:dyDescent="0.3">
      <c r="P2" s="288"/>
      <c r="Y2" s="428">
        <v>45200</v>
      </c>
    </row>
    <row r="3" spans="2:25" ht="7.5" hidden="1" customHeight="1" outlineLevel="1" collapsed="1" x14ac:dyDescent="0.3">
      <c r="P3" s="288"/>
      <c r="Y3" s="428"/>
    </row>
    <row r="4" spans="2:25" ht="25.2" hidden="1" customHeight="1" outlineLevel="1" x14ac:dyDescent="0.3">
      <c r="B4" s="594" t="str">
        <f>"ЧАСЫ ["&amp;CHAR(10)&amp;TEXT(Y1,"[$-419]ММММ ГГГГ")&amp;"]"</f>
        <v>ЧАСЫ [
Сентябрь 2023]</v>
      </c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  <c r="R4" s="594"/>
      <c r="S4" s="594"/>
      <c r="T4" s="594"/>
      <c r="U4" s="594"/>
      <c r="V4" s="594"/>
      <c r="W4" s="68"/>
    </row>
    <row r="5" spans="2:25" ht="3.75" hidden="1" customHeight="1" outlineLevel="1" x14ac:dyDescent="0.3">
      <c r="B5" s="68"/>
      <c r="C5" s="68"/>
      <c r="D5" s="68"/>
      <c r="E5" s="68"/>
      <c r="F5" s="69"/>
      <c r="G5" s="69"/>
      <c r="H5" s="69"/>
      <c r="I5" s="69"/>
      <c r="J5" s="68"/>
      <c r="K5" s="68"/>
      <c r="L5" s="68"/>
      <c r="M5" s="68"/>
      <c r="N5" s="68"/>
      <c r="O5" s="68"/>
      <c r="P5" s="288"/>
    </row>
    <row r="6" spans="2:25" s="73" customFormat="1" ht="58.2" hidden="1" outlineLevel="1" thickBot="1" x14ac:dyDescent="0.35">
      <c r="B6" s="70" t="s">
        <v>452</v>
      </c>
      <c r="C6" s="70" t="s">
        <v>448</v>
      </c>
      <c r="D6" s="70"/>
      <c r="E6" s="70" t="s">
        <v>453</v>
      </c>
      <c r="F6" s="71" t="s">
        <v>454</v>
      </c>
      <c r="G6" s="71"/>
      <c r="H6" s="71"/>
      <c r="I6" s="71" t="s">
        <v>455</v>
      </c>
      <c r="J6" s="70" t="s">
        <v>456</v>
      </c>
      <c r="K6" s="70" t="s">
        <v>457</v>
      </c>
      <c r="L6" s="70" t="s">
        <v>235</v>
      </c>
      <c r="M6" s="72" t="s">
        <v>458</v>
      </c>
      <c r="N6" s="197"/>
      <c r="O6" s="259" t="s">
        <v>459</v>
      </c>
      <c r="P6" s="289"/>
      <c r="Q6" s="272" t="s">
        <v>460</v>
      </c>
      <c r="R6" s="74" t="s">
        <v>461</v>
      </c>
      <c r="S6" s="74" t="s">
        <v>462</v>
      </c>
      <c r="T6" s="74" t="s">
        <v>463</v>
      </c>
      <c r="U6" s="74"/>
      <c r="V6" s="404" t="s">
        <v>464</v>
      </c>
    </row>
    <row r="7" spans="2:25" hidden="1" outlineLevel="1" x14ac:dyDescent="0.3">
      <c r="B7" s="75">
        <v>1</v>
      </c>
      <c r="C7" s="76" t="s">
        <v>246</v>
      </c>
      <c r="D7" s="76"/>
      <c r="E7" s="77">
        <v>9500</v>
      </c>
      <c r="F7" s="78" t="e">
        <f>SUMIFS([1]Табель!J:J,[1]Табель!E:E,C7,[1]Табель!B:B,"&gt;="&amp;$Y$1,[1]Табель!B:B,"&lt;"&amp;$Y$2)</f>
        <v>#VALUE!</v>
      </c>
      <c r="G7" s="78"/>
      <c r="H7" s="78"/>
      <c r="I7" s="78" t="e">
        <f>INDEX([1]ИНФО_СПЕЦТЕХНИКА!$D$4:$D$23,IF(SUMIFS([1]Табель!I:I,[1]Табель!E:E,C7,[1]Табель!B:B,"&gt;="&amp;$Y$1,[1]Табель!B:B,"&lt;"&amp;$Y$2)/COUNTIFS([1]Табель!E:E,C7,[1]Табель!B:B,"&gt;="&amp;$Y$1,[1]Табель!B:B,"&lt;"&amp;$Y$2)=0,"",SUMIFS([1]Табель!I:I,[1]Табель!E:E,C7,[1]Табель!B:B,"&gt;="&amp;$Y$1,[1]Табель!B:B,"&lt;"&amp;$Y$2)/COUNTIFS([1]Табель!E:E,C7,[1]Табель!B:B,"&gt;="&amp;$Y$1,[1]Табель!B:B,"&lt;"&amp;$Y$2)))</f>
        <v>#VALUE!</v>
      </c>
      <c r="J7" s="79">
        <v>180</v>
      </c>
      <c r="K7" s="79">
        <v>100</v>
      </c>
      <c r="L7" s="79" t="e">
        <f>SUMIFS([1]Табель!K:K,[1]Табель!E:E,C7,[1]Табель!B:B,"&gt;="&amp;$Y$1,[1]Табель!B:B,"&lt;"&amp;$Y$2)</f>
        <v>#VALUE!</v>
      </c>
      <c r="M7" s="80" t="e">
        <f>SUMIFS([1]Табель!L:L,[1]Табель!E:E,C7,[1]Табель!B:B,"&gt;="&amp;$Y$1,[1]Табель!B:B,"&lt;"&amp;$Y$2)</f>
        <v>#VALUE!</v>
      </c>
      <c r="N7" s="198"/>
      <c r="O7" s="260" t="e">
        <f t="shared" ref="O7:O21" si="0">F7-L7-M7</f>
        <v>#VALUE!</v>
      </c>
      <c r="Q7" s="273" t="e">
        <f>O7*J7+(L7+M7)*K7</f>
        <v>#VALUE!</v>
      </c>
      <c r="R7" s="81">
        <f t="shared" ref="R7:R21" si="1">ROUND(E7*0.22,2)</f>
        <v>2090</v>
      </c>
      <c r="S7" s="81">
        <f t="shared" ref="S7:S21" si="2">E7*0.195</f>
        <v>1852.5</v>
      </c>
      <c r="T7" s="81">
        <f t="shared" ref="T7:T21" si="3">E7-S7</f>
        <v>7647.5</v>
      </c>
      <c r="U7" s="81"/>
      <c r="V7" s="218" t="e">
        <f t="shared" ref="V7:V21" si="4">Q7-T7</f>
        <v>#VALUE!</v>
      </c>
      <c r="W7" s="429"/>
    </row>
    <row r="8" spans="2:25" hidden="1" outlineLevel="1" x14ac:dyDescent="0.3">
      <c r="B8" s="75">
        <v>2</v>
      </c>
      <c r="C8" s="82" t="s">
        <v>465</v>
      </c>
      <c r="D8" s="83"/>
      <c r="E8" s="77"/>
      <c r="F8" s="78" t="e">
        <f>SUMIFS([1]Табель!J:J,[1]Табель!E:E,C8,[1]Табель!B:B,"&gt;="&amp;$Y$1,[1]Табель!B:B,"&lt;"&amp;$Y$2)</f>
        <v>#VALUE!</v>
      </c>
      <c r="G8" s="78"/>
      <c r="H8" s="78"/>
      <c r="I8" s="78" t="e">
        <f>INDEX([1]ИНФО_СПЕЦТЕХНИКА!$D$4:$D$23,IF(SUMIFS([1]Табель!I:I,[1]Табель!E:E,C8,[1]Табель!B:B,"&gt;="&amp;$Y$1,[1]Табель!B:B,"&lt;"&amp;$Y$2)/COUNTIFS([1]Табель!E:E,C8,[1]Табель!B:B,"&gt;="&amp;$Y$1,[1]Табель!B:B,"&lt;"&amp;$Y$2)=0,"",SUMIFS([1]Табель!I:I,[1]Табель!E:E,C8,[1]Табель!B:B,"&gt;="&amp;$Y$1,[1]Табель!B:B,"&lt;"&amp;$Y$2)/COUNTIFS([1]Табель!E:E,C8,[1]Табель!B:B,"&gt;="&amp;$Y$1,[1]Табель!B:B,"&lt;"&amp;$Y$2)))</f>
        <v>#VALUE!</v>
      </c>
      <c r="J8" s="79">
        <v>180</v>
      </c>
      <c r="K8" s="79">
        <v>100</v>
      </c>
      <c r="L8" s="79" t="e">
        <f>SUMIFS([1]Табель!K:K,[1]Табель!E:E,C8,[1]Табель!B:B,"&gt;="&amp;$Y$1,[1]Табель!B:B,"&lt;"&amp;$Y$2)</f>
        <v>#VALUE!</v>
      </c>
      <c r="M8" s="80" t="e">
        <f>SUMIFS([1]Табель!L:L,[1]Табель!E:E,C8,[1]Табель!B:B,"&gt;="&amp;$Y$1,[1]Табель!B:B,"&lt;"&amp;$Y$2)</f>
        <v>#VALUE!</v>
      </c>
      <c r="N8" s="198"/>
      <c r="O8" s="260" t="e">
        <f t="shared" si="0"/>
        <v>#VALUE!</v>
      </c>
      <c r="Q8" s="274" t="e">
        <f>O8*J8+(L8+M8)*K8</f>
        <v>#VALUE!</v>
      </c>
      <c r="R8" s="81">
        <f t="shared" si="1"/>
        <v>0</v>
      </c>
      <c r="S8" s="84">
        <f t="shared" si="2"/>
        <v>0</v>
      </c>
      <c r="T8" s="84">
        <f t="shared" si="3"/>
        <v>0</v>
      </c>
      <c r="U8" s="84"/>
      <c r="V8" s="219" t="e">
        <f t="shared" si="4"/>
        <v>#VALUE!</v>
      </c>
      <c r="W8" s="430"/>
    </row>
    <row r="9" spans="2:25" hidden="1" outlineLevel="1" x14ac:dyDescent="0.3">
      <c r="B9" s="85">
        <v>3</v>
      </c>
      <c r="C9" s="86" t="s">
        <v>249</v>
      </c>
      <c r="D9" s="76"/>
      <c r="E9" s="77">
        <v>4523.8100000000004</v>
      </c>
      <c r="F9" s="87" t="e">
        <f>SUMIFS([1]Табель!J:J,[1]Табель!E:E,C9,[1]Табель!B:B,"&gt;="&amp;$Y$1,[1]Табель!B:B,"&lt;"&amp;$Y$2)</f>
        <v>#VALUE!</v>
      </c>
      <c r="G9" s="78"/>
      <c r="H9" s="78"/>
      <c r="I9" s="78" t="e">
        <f>INDEX([1]ИНФО_СПЕЦТЕХНИКА!$D$4:$D$23,IF(SUMIFS([1]Табель!I:I,[1]Табель!E:E,C9,[1]Табель!B:B,"&gt;="&amp;$Y$1,[1]Табель!B:B,"&lt;"&amp;$Y$2)/COUNTIFS([1]Табель!E:E,C9,[1]Табель!B:B,"&gt;="&amp;$Y$1,[1]Табель!B:B,"&lt;"&amp;$Y$2)=0,"",SUMIFS([1]Табель!I:I,[1]Табель!E:E,C9,[1]Табель!B:B,"&gt;="&amp;$Y$1,[1]Табель!B:B,"&lt;"&amp;$Y$2)/COUNTIFS([1]Табель!E:E,C9,[1]Табель!B:B,"&gt;="&amp;$Y$1,[1]Табель!B:B,"&lt;"&amp;$Y$2)))</f>
        <v>#VALUE!</v>
      </c>
      <c r="J9" s="88">
        <v>180</v>
      </c>
      <c r="K9" s="88">
        <v>100</v>
      </c>
      <c r="L9" s="88" t="e">
        <f>SUMIFS([1]Табель!K:K,[1]Табель!E:E,C9,[1]Табель!B:B,"&gt;="&amp;$Y$1,[1]Табель!B:B,"&lt;"&amp;$Y$2)</f>
        <v>#VALUE!</v>
      </c>
      <c r="M9" s="89" t="e">
        <f>SUMIFS([1]Табель!L:L,[1]Табель!E:E,C9,[1]Табель!B:B,"&gt;="&amp;$Y$1,[1]Табель!B:B,"&lt;"&amp;$Y$2)</f>
        <v>#VALUE!</v>
      </c>
      <c r="N9" s="199"/>
      <c r="O9" s="261" t="e">
        <f t="shared" si="0"/>
        <v>#VALUE!</v>
      </c>
      <c r="Q9" s="275" t="e">
        <f t="shared" ref="Q9:Q21" si="5">O9*J9+(L9+M9)*K9</f>
        <v>#VALUE!</v>
      </c>
      <c r="R9" s="81">
        <f t="shared" si="1"/>
        <v>995.24</v>
      </c>
      <c r="S9" s="90">
        <f t="shared" si="2"/>
        <v>882.14295000000016</v>
      </c>
      <c r="T9" s="90">
        <f t="shared" si="3"/>
        <v>3641.66705</v>
      </c>
      <c r="U9" s="90"/>
      <c r="V9" s="405" t="e">
        <f t="shared" si="4"/>
        <v>#VALUE!</v>
      </c>
      <c r="W9" s="429"/>
    </row>
    <row r="10" spans="2:25" hidden="1" outlineLevel="1" x14ac:dyDescent="0.3">
      <c r="B10" s="85">
        <f>B9+1</f>
        <v>4</v>
      </c>
      <c r="C10" s="86" t="s">
        <v>372</v>
      </c>
      <c r="D10" s="76"/>
      <c r="E10" s="77">
        <v>9880</v>
      </c>
      <c r="F10" s="87" t="e">
        <f>SUMIFS([1]Табель!J:J,[1]Табель!E:E,C10,[1]Табель!B:B,"&gt;="&amp;$Y$1,[1]Табель!B:B,"&lt;"&amp;$Y$2)</f>
        <v>#VALUE!</v>
      </c>
      <c r="G10" s="78"/>
      <c r="H10" s="78"/>
      <c r="I10" s="78" t="e">
        <f>INDEX([1]ИНФО_СПЕЦТЕХНИКА!$D$4:$D$23,IF(SUMIFS([1]Табель!I:I,[1]Табель!E:E,C10,[1]Табель!B:B,"&gt;="&amp;$Y$1,[1]Табель!B:B,"&lt;"&amp;$Y$2)/COUNTIFS([1]Табель!E:E,C10,[1]Табель!B:B,"&gt;="&amp;$Y$1,[1]Табель!B:B,"&lt;"&amp;$Y$2)=0,"",SUMIFS([1]Табель!I:I,[1]Табель!E:E,C10,[1]Табель!B:B,"&gt;="&amp;$Y$1,[1]Табель!B:B,"&lt;"&amp;$Y$2)/COUNTIFS([1]Табель!E:E,C10,[1]Табель!B:B,"&gt;="&amp;$Y$1,[1]Табель!B:B,"&lt;"&amp;$Y$2)))</f>
        <v>#VALUE!</v>
      </c>
      <c r="J10" s="88">
        <v>170</v>
      </c>
      <c r="K10" s="88">
        <v>100</v>
      </c>
      <c r="L10" s="88" t="e">
        <f>SUMIFS([1]Табель!K:K,[1]Табель!E:E,C10,[1]Табель!B:B,"&gt;="&amp;$Y$1,[1]Табель!B:B,"&lt;"&amp;$Y$2)</f>
        <v>#VALUE!</v>
      </c>
      <c r="M10" s="89" t="e">
        <f>SUMIFS([1]Табель!L:L,[1]Табель!E:E,C10,[1]Табель!B:B,"&gt;="&amp;$Y$1,[1]Табель!B:B,"&lt;"&amp;$Y$2)</f>
        <v>#VALUE!</v>
      </c>
      <c r="N10" s="199"/>
      <c r="O10" s="261" t="e">
        <f t="shared" si="0"/>
        <v>#VALUE!</v>
      </c>
      <c r="Q10" s="275" t="e">
        <f t="shared" si="5"/>
        <v>#VALUE!</v>
      </c>
      <c r="R10" s="81">
        <f t="shared" si="1"/>
        <v>2173.6</v>
      </c>
      <c r="S10" s="90">
        <f t="shared" si="2"/>
        <v>1926.6000000000001</v>
      </c>
      <c r="T10" s="90">
        <f t="shared" si="3"/>
        <v>7953.4</v>
      </c>
      <c r="U10" s="90"/>
      <c r="V10" s="405" t="e">
        <f t="shared" si="4"/>
        <v>#VALUE!</v>
      </c>
      <c r="W10" s="429"/>
    </row>
    <row r="11" spans="2:25" hidden="1" outlineLevel="1" x14ac:dyDescent="0.3">
      <c r="B11" s="85">
        <f t="shared" ref="B11:B21" si="6">B10+1</f>
        <v>5</v>
      </c>
      <c r="C11" s="82" t="s">
        <v>245</v>
      </c>
      <c r="D11" s="83"/>
      <c r="E11" s="77"/>
      <c r="F11" s="87" t="e">
        <f>SUMIFS([1]Табель!J:J,[1]Табель!E:E,C11,[1]Табель!B:B,"&gt;="&amp;$Y$1,[1]Табель!B:B,"&lt;"&amp;$Y$2)</f>
        <v>#VALUE!</v>
      </c>
      <c r="G11" s="78"/>
      <c r="H11" s="78"/>
      <c r="I11" s="78" t="e">
        <f>INDEX([1]ИНФО_СПЕЦТЕХНИКА!$D$4:$D$23,IF(SUMIFS([1]Табель!I:I,[1]Табель!E:E,C11,[1]Табель!B:B,"&gt;="&amp;$Y$1,[1]Табель!B:B,"&lt;"&amp;$Y$2)/COUNTIFS([1]Табель!E:E,C11,[1]Табель!B:B,"&gt;="&amp;$Y$1,[1]Табель!B:B,"&lt;"&amp;$Y$2)=0,"",SUMIFS([1]Табель!I:I,[1]Табель!E:E,C11,[1]Табель!B:B,"&gt;="&amp;$Y$1,[1]Табель!B:B,"&lt;"&amp;$Y$2)/COUNTIFS([1]Табель!E:E,C11,[1]Табель!B:B,"&gt;="&amp;$Y$1,[1]Табель!B:B,"&lt;"&amp;$Y$2)))</f>
        <v>#VALUE!</v>
      </c>
      <c r="J11" s="88">
        <v>170</v>
      </c>
      <c r="K11" s="88">
        <v>100</v>
      </c>
      <c r="L11" s="88" t="e">
        <f>SUMIFS([1]Табель!K:K,[1]Табель!E:E,C11,[1]Табель!B:B,"&gt;="&amp;$Y$1,[1]Табель!B:B,"&lt;"&amp;$Y$2)</f>
        <v>#VALUE!</v>
      </c>
      <c r="M11" s="89" t="e">
        <f>SUMIFS([1]Табель!L:L,[1]Табель!E:E,C11,[1]Табель!B:B,"&gt;="&amp;$Y$1,[1]Табель!B:B,"&lt;"&amp;$Y$2)</f>
        <v>#VALUE!</v>
      </c>
      <c r="N11" s="199"/>
      <c r="O11" s="261" t="e">
        <f t="shared" si="0"/>
        <v>#VALUE!</v>
      </c>
      <c r="Q11" s="276" t="e">
        <f t="shared" si="5"/>
        <v>#VALUE!</v>
      </c>
      <c r="R11" s="81">
        <f t="shared" si="1"/>
        <v>0</v>
      </c>
      <c r="S11" s="91">
        <f t="shared" si="2"/>
        <v>0</v>
      </c>
      <c r="T11" s="91">
        <f t="shared" si="3"/>
        <v>0</v>
      </c>
      <c r="U11" s="91"/>
      <c r="V11" s="406" t="e">
        <f t="shared" si="4"/>
        <v>#VALUE!</v>
      </c>
      <c r="W11" s="430"/>
    </row>
    <row r="12" spans="2:25" hidden="1" outlineLevel="1" x14ac:dyDescent="0.3">
      <c r="B12" s="85">
        <f t="shared" si="6"/>
        <v>6</v>
      </c>
      <c r="C12" s="86" t="s">
        <v>244</v>
      </c>
      <c r="D12" s="76"/>
      <c r="E12" s="77">
        <v>9880</v>
      </c>
      <c r="F12" s="87" t="e">
        <f>SUMIFS([1]Табель!J:J,[1]Табель!E:E,C12,[1]Табель!B:B,"&gt;="&amp;$Y$1,[1]Табель!B:B,"&lt;"&amp;$Y$2)</f>
        <v>#VALUE!</v>
      </c>
      <c r="G12" s="78"/>
      <c r="H12" s="78"/>
      <c r="I12" s="78" t="e">
        <f>INDEX([1]ИНФО_СПЕЦТЕХНИКА!$D$4:$D$23,IF(SUMIFS([1]Табель!I:I,[1]Табель!E:E,C12,[1]Табель!B:B,"&gt;="&amp;$Y$1,[1]Табель!B:B,"&lt;"&amp;$Y$2)/COUNTIFS([1]Табель!E:E,C12,[1]Табель!B:B,"&gt;="&amp;$Y$1,[1]Табель!B:B,"&lt;"&amp;$Y$2)=0,"",SUMIFS([1]Табель!I:I,[1]Табель!E:E,C12,[1]Табель!B:B,"&gt;="&amp;$Y$1,[1]Табель!B:B,"&lt;"&amp;$Y$2)/COUNTIFS([1]Табель!E:E,C12,[1]Табель!B:B,"&gt;="&amp;$Y$1,[1]Табель!B:B,"&lt;"&amp;$Y$2)))</f>
        <v>#VALUE!</v>
      </c>
      <c r="J12" s="88">
        <v>170</v>
      </c>
      <c r="K12" s="88">
        <v>100</v>
      </c>
      <c r="L12" s="88" t="e">
        <f>SUMIFS([1]Табель!K:K,[1]Табель!E:E,C12,[1]Табель!B:B,"&gt;="&amp;$Y$1,[1]Табель!B:B,"&lt;"&amp;$Y$2)</f>
        <v>#VALUE!</v>
      </c>
      <c r="M12" s="89" t="e">
        <f>SUMIFS([1]Табель!L:L,[1]Табель!E:E,C12,[1]Табель!B:B,"&gt;="&amp;$Y$1,[1]Табель!B:B,"&lt;"&amp;$Y$2)</f>
        <v>#VALUE!</v>
      </c>
      <c r="N12" s="199"/>
      <c r="O12" s="261" t="e">
        <f t="shared" si="0"/>
        <v>#VALUE!</v>
      </c>
      <c r="Q12" s="275" t="e">
        <f t="shared" si="5"/>
        <v>#VALUE!</v>
      </c>
      <c r="R12" s="81">
        <f t="shared" si="1"/>
        <v>2173.6</v>
      </c>
      <c r="S12" s="90">
        <f t="shared" si="2"/>
        <v>1926.6000000000001</v>
      </c>
      <c r="T12" s="90">
        <f t="shared" si="3"/>
        <v>7953.4</v>
      </c>
      <c r="U12" s="90"/>
      <c r="V12" s="405" t="e">
        <f t="shared" si="4"/>
        <v>#VALUE!</v>
      </c>
      <c r="W12" s="429"/>
    </row>
    <row r="13" spans="2:25" hidden="1" outlineLevel="1" x14ac:dyDescent="0.3">
      <c r="B13" s="85">
        <f t="shared" si="6"/>
        <v>7</v>
      </c>
      <c r="C13" s="86" t="s">
        <v>376</v>
      </c>
      <c r="D13" s="76"/>
      <c r="E13" s="77">
        <v>9880</v>
      </c>
      <c r="F13" s="87" t="e">
        <f>SUMIFS([1]Табель!J:J,[1]Табель!E:E,C13,[1]Табель!B:B,"&gt;="&amp;$Y$1,[1]Табель!B:B,"&lt;"&amp;$Y$2)</f>
        <v>#VALUE!</v>
      </c>
      <c r="G13" s="78"/>
      <c r="H13" s="78"/>
      <c r="I13" s="78" t="e">
        <f>INDEX([1]ИНФО_СПЕЦТЕХНИКА!$D$4:$D$23,IF(SUMIFS([1]Табель!I:I,[1]Табель!E:E,C13,[1]Табель!B:B,"&gt;="&amp;$Y$1,[1]Табель!B:B,"&lt;"&amp;$Y$2)/COUNTIFS([1]Табель!E:E,C13,[1]Табель!B:B,"&gt;="&amp;$Y$1,[1]Табель!B:B,"&lt;"&amp;$Y$2)=0,"",SUMIFS([1]Табель!I:I,[1]Табель!E:E,C13,[1]Табель!B:B,"&gt;="&amp;$Y$1,[1]Табель!B:B,"&lt;"&amp;$Y$2)/COUNTIFS([1]Табель!E:E,C13,[1]Табель!B:B,"&gt;="&amp;$Y$1,[1]Табель!B:B,"&lt;"&amp;$Y$2)))</f>
        <v>#VALUE!</v>
      </c>
      <c r="J13" s="88">
        <v>170</v>
      </c>
      <c r="K13" s="88">
        <v>100</v>
      </c>
      <c r="L13" s="88" t="e">
        <f>SUMIFS([1]Табель!K:K,[1]Табель!E:E,C13,[1]Табель!B:B,"&gt;="&amp;$Y$1,[1]Табель!B:B,"&lt;"&amp;$Y$2)</f>
        <v>#VALUE!</v>
      </c>
      <c r="M13" s="89" t="e">
        <f>SUMIFS([1]Табель!L:L,[1]Табель!E:E,C13,[1]Табель!B:B,"&gt;="&amp;$Y$1,[1]Табель!B:B,"&lt;"&amp;$Y$2)</f>
        <v>#VALUE!</v>
      </c>
      <c r="N13" s="199"/>
      <c r="O13" s="261" t="e">
        <f t="shared" si="0"/>
        <v>#VALUE!</v>
      </c>
      <c r="Q13" s="275" t="e">
        <f t="shared" si="5"/>
        <v>#VALUE!</v>
      </c>
      <c r="R13" s="81">
        <f t="shared" si="1"/>
        <v>2173.6</v>
      </c>
      <c r="S13" s="90">
        <f t="shared" si="2"/>
        <v>1926.6000000000001</v>
      </c>
      <c r="T13" s="90">
        <f t="shared" si="3"/>
        <v>7953.4</v>
      </c>
      <c r="U13" s="90"/>
      <c r="V13" s="405" t="e">
        <f t="shared" si="4"/>
        <v>#VALUE!</v>
      </c>
      <c r="W13" s="429"/>
    </row>
    <row r="14" spans="2:25" hidden="1" outlineLevel="1" x14ac:dyDescent="0.3">
      <c r="B14" s="85">
        <f t="shared" si="6"/>
        <v>8</v>
      </c>
      <c r="C14" s="82" t="s">
        <v>252</v>
      </c>
      <c r="D14" s="83"/>
      <c r="E14" s="77"/>
      <c r="F14" s="87" t="e">
        <f>SUMIFS([1]Табель!J:J,[1]Табель!E:E,C14,[1]Табель!B:B,"&gt;="&amp;$Y$1,[1]Табель!B:B,"&lt;"&amp;$Y$2)</f>
        <v>#VALUE!</v>
      </c>
      <c r="G14" s="78"/>
      <c r="H14" s="78"/>
      <c r="I14" s="78" t="e">
        <f>INDEX([1]ИНФО_СПЕЦТЕХНИКА!$D$4:$D$23,IF(SUMIFS([1]Табель!I:I,[1]Табель!E:E,C14,[1]Табель!B:B,"&gt;="&amp;$Y$1,[1]Табель!B:B,"&lt;"&amp;$Y$2)/COUNTIFS([1]Табель!E:E,C14,[1]Табель!B:B,"&gt;="&amp;$Y$1,[1]Табель!B:B,"&lt;"&amp;$Y$2)=0,"",SUMIFS([1]Табель!I:I,[1]Табель!E:E,C14,[1]Табель!B:B,"&gt;="&amp;$Y$1,[1]Табель!B:B,"&lt;"&amp;$Y$2)/COUNTIFS([1]Табель!E:E,C14,[1]Табель!B:B,"&gt;="&amp;$Y$1,[1]Табель!B:B,"&lt;"&amp;$Y$2)))</f>
        <v>#VALUE!</v>
      </c>
      <c r="J14" s="88">
        <v>140</v>
      </c>
      <c r="K14" s="88">
        <v>100</v>
      </c>
      <c r="L14" s="88" t="e">
        <f>SUMIFS([1]Табель!K:K,[1]Табель!E:E,C14,[1]Табель!B:B,"&gt;="&amp;$Y$1,[1]Табель!B:B,"&lt;"&amp;$Y$2)</f>
        <v>#VALUE!</v>
      </c>
      <c r="M14" s="89" t="e">
        <f>SUMIFS([1]Табель!L:L,[1]Табель!E:E,C14,[1]Табель!B:B,"&gt;="&amp;$Y$1,[1]Табель!B:B,"&lt;"&amp;$Y$2)</f>
        <v>#VALUE!</v>
      </c>
      <c r="N14" s="199"/>
      <c r="O14" s="261" t="e">
        <f t="shared" si="0"/>
        <v>#VALUE!</v>
      </c>
      <c r="Q14" s="276" t="e">
        <f t="shared" si="5"/>
        <v>#VALUE!</v>
      </c>
      <c r="R14" s="81">
        <f t="shared" si="1"/>
        <v>0</v>
      </c>
      <c r="S14" s="91">
        <f t="shared" si="2"/>
        <v>0</v>
      </c>
      <c r="T14" s="91">
        <f t="shared" si="3"/>
        <v>0</v>
      </c>
      <c r="U14" s="91"/>
      <c r="V14" s="406" t="e">
        <f t="shared" si="4"/>
        <v>#VALUE!</v>
      </c>
      <c r="W14" s="430"/>
    </row>
    <row r="15" spans="2:25" hidden="1" outlineLevel="1" x14ac:dyDescent="0.3">
      <c r="B15" s="85">
        <f t="shared" si="6"/>
        <v>9</v>
      </c>
      <c r="C15" s="82" t="s">
        <v>466</v>
      </c>
      <c r="D15" s="83"/>
      <c r="E15" s="77"/>
      <c r="F15" s="87" t="e">
        <f>SUMIFS([1]Табель!J:J,[1]Табель!E:E,C15,[1]Табель!B:B,"&gt;="&amp;$Y$1,[1]Табель!B:B,"&lt;"&amp;$Y$2)</f>
        <v>#VALUE!</v>
      </c>
      <c r="G15" s="78"/>
      <c r="H15" s="78"/>
      <c r="I15" s="78" t="e">
        <f>INDEX([1]ИНФО_СПЕЦТЕХНИКА!$D$4:$D$23,IF(SUMIFS([1]Табель!I:I,[1]Табель!E:E,C15,[1]Табель!B:B,"&gt;="&amp;$Y$1,[1]Табель!B:B,"&lt;"&amp;$Y$2)/COUNTIFS([1]Табель!E:E,C15,[1]Табель!B:B,"&gt;="&amp;$Y$1,[1]Табель!B:B,"&lt;"&amp;$Y$2)=0,"",SUMIFS([1]Табель!I:I,[1]Табель!E:E,C15,[1]Табель!B:B,"&gt;="&amp;$Y$1,[1]Табель!B:B,"&lt;"&amp;$Y$2)/COUNTIFS([1]Табель!E:E,C15,[1]Табель!B:B,"&gt;="&amp;$Y$1,[1]Табель!B:B,"&lt;"&amp;$Y$2)))</f>
        <v>#VALUE!</v>
      </c>
      <c r="J15" s="88">
        <v>140</v>
      </c>
      <c r="K15" s="88">
        <v>100</v>
      </c>
      <c r="L15" s="88" t="e">
        <f>SUMIFS([1]Табель!K:K,[1]Табель!E:E,C15,[1]Табель!B:B,"&gt;="&amp;$Y$1,[1]Табель!B:B,"&lt;"&amp;$Y$2)</f>
        <v>#VALUE!</v>
      </c>
      <c r="M15" s="89" t="e">
        <f>SUMIFS([1]Табель!L:L,[1]Табель!E:E,C15,[1]Табель!B:B,"&gt;="&amp;$Y$1,[1]Табель!B:B,"&lt;"&amp;$Y$2)</f>
        <v>#VALUE!</v>
      </c>
      <c r="N15" s="199"/>
      <c r="O15" s="261" t="e">
        <f t="shared" si="0"/>
        <v>#VALUE!</v>
      </c>
      <c r="Q15" s="276" t="e">
        <f t="shared" si="5"/>
        <v>#VALUE!</v>
      </c>
      <c r="R15" s="81">
        <f t="shared" si="1"/>
        <v>0</v>
      </c>
      <c r="S15" s="91">
        <f t="shared" si="2"/>
        <v>0</v>
      </c>
      <c r="T15" s="91">
        <f t="shared" si="3"/>
        <v>0</v>
      </c>
      <c r="U15" s="91"/>
      <c r="V15" s="406" t="e">
        <f t="shared" si="4"/>
        <v>#VALUE!</v>
      </c>
      <c r="W15" s="430"/>
    </row>
    <row r="16" spans="2:25" hidden="1" outlineLevel="1" x14ac:dyDescent="0.3">
      <c r="B16" s="85">
        <f>B14+1</f>
        <v>9</v>
      </c>
      <c r="C16" s="86" t="s">
        <v>243</v>
      </c>
      <c r="D16" s="76"/>
      <c r="E16" s="77">
        <v>9500</v>
      </c>
      <c r="F16" s="87" t="e">
        <f>SUMIFS([1]Табель!J:J,[1]Табель!E:E,C16,[1]Табель!B:B,"&gt;="&amp;$Y$1,[1]Табель!B:B,"&lt;"&amp;$Y$2)</f>
        <v>#VALUE!</v>
      </c>
      <c r="G16" s="78"/>
      <c r="H16" s="78"/>
      <c r="I16" s="78" t="e">
        <f>INDEX([1]ИНФО_СПЕЦТЕХНИКА!$D$4:$D$23,IF(SUMIFS([1]Табель!I:I,[1]Табель!E:E,C16,[1]Табель!B:B,"&gt;="&amp;$Y$1,[1]Табель!B:B,"&lt;"&amp;$Y$2)/COUNTIFS([1]Табель!E:E,C16,[1]Табель!B:B,"&gt;="&amp;$Y$1,[1]Табель!B:B,"&lt;"&amp;$Y$2)=0,"",SUMIFS([1]Табель!I:I,[1]Табель!E:E,C16,[1]Табель!B:B,"&gt;="&amp;$Y$1,[1]Табель!B:B,"&lt;"&amp;$Y$2)/COUNTIFS([1]Табель!E:E,C16,[1]Табель!B:B,"&gt;="&amp;$Y$1,[1]Табель!B:B,"&lt;"&amp;$Y$2)))</f>
        <v>#VALUE!</v>
      </c>
      <c r="J16" s="88">
        <v>170</v>
      </c>
      <c r="K16" s="88">
        <v>100</v>
      </c>
      <c r="L16" s="88" t="e">
        <f>SUMIFS([1]Табель!K:K,[1]Табель!E:E,C16,[1]Табель!B:B,"&gt;="&amp;$Y$1,[1]Табель!B:B,"&lt;"&amp;$Y$2)</f>
        <v>#VALUE!</v>
      </c>
      <c r="M16" s="89" t="e">
        <f>SUMIFS([1]Табель!L:L,[1]Табель!E:E,C16,[1]Табель!B:B,"&gt;="&amp;$Y$1,[1]Табель!B:B,"&lt;"&amp;$Y$2)</f>
        <v>#VALUE!</v>
      </c>
      <c r="N16" s="199"/>
      <c r="O16" s="261" t="e">
        <f t="shared" si="0"/>
        <v>#VALUE!</v>
      </c>
      <c r="Q16" s="275" t="e">
        <f t="shared" si="5"/>
        <v>#VALUE!</v>
      </c>
      <c r="R16" s="81">
        <f t="shared" si="1"/>
        <v>2090</v>
      </c>
      <c r="S16" s="90">
        <f t="shared" si="2"/>
        <v>1852.5</v>
      </c>
      <c r="T16" s="90">
        <f t="shared" si="3"/>
        <v>7647.5</v>
      </c>
      <c r="U16" s="90"/>
      <c r="V16" s="405" t="e">
        <f t="shared" si="4"/>
        <v>#VALUE!</v>
      </c>
      <c r="W16" s="429"/>
    </row>
    <row r="17" spans="2:25" hidden="1" outlineLevel="1" x14ac:dyDescent="0.3">
      <c r="B17" s="85">
        <f t="shared" si="6"/>
        <v>10</v>
      </c>
      <c r="C17" s="86" t="s">
        <v>381</v>
      </c>
      <c r="D17" s="76"/>
      <c r="E17" s="77">
        <v>9047.6200000000008</v>
      </c>
      <c r="F17" s="87" t="e">
        <f>SUMIFS([1]Табель!J:J,[1]Табель!E:E,C17,[1]Табель!B:B,"&gt;="&amp;$Y$1,[1]Табель!B:B,"&lt;"&amp;$Y$2)</f>
        <v>#VALUE!</v>
      </c>
      <c r="G17" s="78"/>
      <c r="H17" s="78"/>
      <c r="I17" s="78" t="e">
        <f>INDEX([1]ИНФО_СПЕЦТЕХНИКА!$D$4:$D$23,IF(SUMIFS([1]Табель!I:I,[1]Табель!E:E,C17,[1]Табель!B:B,"&gt;="&amp;$Y$1,[1]Табель!B:B,"&lt;"&amp;$Y$2)/COUNTIFS([1]Табель!E:E,C17,[1]Табель!B:B,"&gt;="&amp;$Y$1,[1]Табель!B:B,"&lt;"&amp;$Y$2)=0,"",SUMIFS([1]Табель!I:I,[1]Табель!E:E,C17,[1]Табель!B:B,"&gt;="&amp;$Y$1,[1]Табель!B:B,"&lt;"&amp;$Y$2)/COUNTIFS([1]Табель!E:E,C17,[1]Табель!B:B,"&gt;="&amp;$Y$1,[1]Табель!B:B,"&lt;"&amp;$Y$2)))</f>
        <v>#VALUE!</v>
      </c>
      <c r="J17" s="88">
        <v>140</v>
      </c>
      <c r="K17" s="88">
        <v>100</v>
      </c>
      <c r="L17" s="88" t="e">
        <f>SUMIFS([1]Табель!K:K,[1]Табель!E:E,C17,[1]Табель!B:B,"&gt;="&amp;$Y$1,[1]Табель!B:B,"&lt;"&amp;$Y$2)</f>
        <v>#VALUE!</v>
      </c>
      <c r="M17" s="89" t="e">
        <f>SUMIFS([1]Табель!L:L,[1]Табель!E:E,C17,[1]Табель!B:B,"&gt;="&amp;$Y$1,[1]Табель!B:B,"&lt;"&amp;$Y$2)</f>
        <v>#VALUE!</v>
      </c>
      <c r="N17" s="199"/>
      <c r="O17" s="261" t="e">
        <f t="shared" si="0"/>
        <v>#VALUE!</v>
      </c>
      <c r="Q17" s="275" t="e">
        <f t="shared" si="5"/>
        <v>#VALUE!</v>
      </c>
      <c r="R17" s="81">
        <f t="shared" si="1"/>
        <v>1990.48</v>
      </c>
      <c r="S17" s="90">
        <f t="shared" si="2"/>
        <v>1764.2859000000003</v>
      </c>
      <c r="T17" s="90">
        <f t="shared" si="3"/>
        <v>7283.3341</v>
      </c>
      <c r="U17" s="90"/>
      <c r="V17" s="405" t="e">
        <f t="shared" si="4"/>
        <v>#VALUE!</v>
      </c>
      <c r="W17" s="429"/>
    </row>
    <row r="18" spans="2:25" hidden="1" outlineLevel="1" x14ac:dyDescent="0.3">
      <c r="B18" s="85">
        <f t="shared" si="6"/>
        <v>11</v>
      </c>
      <c r="C18" s="86" t="s">
        <v>254</v>
      </c>
      <c r="D18" s="76"/>
      <c r="E18" s="77">
        <v>9880</v>
      </c>
      <c r="F18" s="87" t="e">
        <f>SUMIFS([1]Табель!J:J,[1]Табель!E:E,C18,[1]Табель!B:B,"&gt;="&amp;$Y$1,[1]Табель!B:B,"&lt;"&amp;$Y$2)</f>
        <v>#VALUE!</v>
      </c>
      <c r="G18" s="78"/>
      <c r="H18" s="78"/>
      <c r="I18" s="78" t="e">
        <f>INDEX([1]ИНФО_СПЕЦТЕХНИКА!$D$4:$D$23,IF(SUMIFS([1]Табель!I:I,[1]Табель!E:E,C18,[1]Табель!B:B,"&gt;="&amp;$Y$1,[1]Табель!B:B,"&lt;"&amp;$Y$2)/COUNTIFS([1]Табель!E:E,C18,[1]Табель!B:B,"&gt;="&amp;$Y$1,[1]Табель!B:B,"&lt;"&amp;$Y$2)=0,"",SUMIFS([1]Табель!I:I,[1]Табель!E:E,C18,[1]Табель!B:B,"&gt;="&amp;$Y$1,[1]Табель!B:B,"&lt;"&amp;$Y$2)/COUNTIFS([1]Табель!E:E,C18,[1]Табель!B:B,"&gt;="&amp;$Y$1,[1]Табель!B:B,"&lt;"&amp;$Y$2)))</f>
        <v>#VALUE!</v>
      </c>
      <c r="J18" s="88">
        <v>170</v>
      </c>
      <c r="K18" s="88">
        <v>100</v>
      </c>
      <c r="L18" s="88" t="e">
        <f>SUMIFS([1]Табель!K:K,[1]Табель!E:E,C18,[1]Табель!B:B,"&gt;="&amp;$Y$1,[1]Табель!B:B,"&lt;"&amp;$Y$2)</f>
        <v>#VALUE!</v>
      </c>
      <c r="M18" s="89" t="e">
        <f>SUMIFS([1]Табель!L:L,[1]Табель!E:E,C18,[1]Табель!B:B,"&gt;="&amp;$Y$1,[1]Табель!B:B,"&lt;"&amp;$Y$2)</f>
        <v>#VALUE!</v>
      </c>
      <c r="N18" s="199"/>
      <c r="O18" s="261" t="e">
        <f t="shared" si="0"/>
        <v>#VALUE!</v>
      </c>
      <c r="Q18" s="275" t="e">
        <f t="shared" si="5"/>
        <v>#VALUE!</v>
      </c>
      <c r="R18" s="81">
        <f t="shared" si="1"/>
        <v>2173.6</v>
      </c>
      <c r="S18" s="90">
        <f t="shared" si="2"/>
        <v>1926.6000000000001</v>
      </c>
      <c r="T18" s="90">
        <f t="shared" si="3"/>
        <v>7953.4</v>
      </c>
      <c r="U18" s="90"/>
      <c r="V18" s="405" t="e">
        <f t="shared" si="4"/>
        <v>#VALUE!</v>
      </c>
      <c r="W18" s="429"/>
    </row>
    <row r="19" spans="2:25" hidden="1" outlineLevel="1" x14ac:dyDescent="0.3">
      <c r="B19" s="85">
        <f t="shared" si="6"/>
        <v>12</v>
      </c>
      <c r="C19" s="86" t="s">
        <v>379</v>
      </c>
      <c r="D19" s="76"/>
      <c r="E19" s="77">
        <v>8595.24</v>
      </c>
      <c r="F19" s="87" t="e">
        <f>SUMIFS([1]Табель!J:J,[1]Табель!E:E,C19,[1]Табель!B:B,"&gt;="&amp;$Y$1,[1]Табель!B:B,"&lt;"&amp;$Y$2)</f>
        <v>#VALUE!</v>
      </c>
      <c r="G19" s="78"/>
      <c r="H19" s="78"/>
      <c r="I19" s="78" t="e">
        <f>INDEX([1]ИНФО_СПЕЦТЕХНИКА!$D$4:$D$23,IF(SUMIFS([1]Табель!I:I,[1]Табель!E:E,C19,[1]Табель!B:B,"&gt;="&amp;$Y$1,[1]Табель!B:B,"&lt;"&amp;$Y$2)/COUNTIFS([1]Табель!E:E,C19,[1]Табель!B:B,"&gt;="&amp;$Y$1,[1]Табель!B:B,"&lt;"&amp;$Y$2)=0,"",SUMIFS([1]Табель!I:I,[1]Табель!E:E,C19,[1]Табель!B:B,"&gt;="&amp;$Y$1,[1]Табель!B:B,"&lt;"&amp;$Y$2)/COUNTIFS([1]Табель!E:E,C19,[1]Табель!B:B,"&gt;="&amp;$Y$1,[1]Табель!B:B,"&lt;"&amp;$Y$2)))</f>
        <v>#VALUE!</v>
      </c>
      <c r="J19" s="88">
        <v>140</v>
      </c>
      <c r="K19" s="88">
        <v>100</v>
      </c>
      <c r="L19" s="88" t="e">
        <f>SUMIFS([1]Табель!K:K,[1]Табель!E:E,C19,[1]Табель!B:B,"&gt;="&amp;$Y$1,[1]Табель!B:B,"&lt;"&amp;$Y$2)</f>
        <v>#VALUE!</v>
      </c>
      <c r="M19" s="89" t="e">
        <f>SUMIFS([1]Табель!L:L,[1]Табель!E:E,C19,[1]Табель!B:B,"&gt;="&amp;$Y$1,[1]Табель!B:B,"&lt;"&amp;$Y$2)</f>
        <v>#VALUE!</v>
      </c>
      <c r="N19" s="199"/>
      <c r="O19" s="261" t="e">
        <f t="shared" si="0"/>
        <v>#VALUE!</v>
      </c>
      <c r="Q19" s="275" t="e">
        <f t="shared" si="5"/>
        <v>#VALUE!</v>
      </c>
      <c r="R19" s="81">
        <f t="shared" si="1"/>
        <v>1890.95</v>
      </c>
      <c r="S19" s="90">
        <f t="shared" si="2"/>
        <v>1676.0717999999999</v>
      </c>
      <c r="T19" s="90">
        <f t="shared" si="3"/>
        <v>6919.1682000000001</v>
      </c>
      <c r="U19" s="90"/>
      <c r="V19" s="405" t="e">
        <f t="shared" si="4"/>
        <v>#VALUE!</v>
      </c>
      <c r="W19" s="429"/>
    </row>
    <row r="20" spans="2:25" hidden="1" outlineLevel="1" x14ac:dyDescent="0.3">
      <c r="B20" s="85">
        <f t="shared" si="6"/>
        <v>13</v>
      </c>
      <c r="C20" s="86" t="s">
        <v>248</v>
      </c>
      <c r="D20" s="76"/>
      <c r="E20" s="77">
        <v>4976.1899999999996</v>
      </c>
      <c r="F20" s="87" t="e">
        <f>SUMIFS([1]Табель!J:J,[1]Табель!E:E,C20,[1]Табель!B:B,"&gt;="&amp;$Y$1,[1]Табель!B:B,"&lt;"&amp;$Y$2)</f>
        <v>#VALUE!</v>
      </c>
      <c r="G20" s="78"/>
      <c r="H20" s="78"/>
      <c r="I20" s="78" t="e">
        <f>INDEX([1]ИНФО_СПЕЦТЕХНИКА!$D$4:$D$23,IF(SUMIFS([1]Табель!I:I,[1]Табель!E:E,C20,[1]Табель!B:B,"&gt;="&amp;$Y$1,[1]Табель!B:B,"&lt;"&amp;$Y$2)/COUNTIFS([1]Табель!E:E,C20,[1]Табель!B:B,"&gt;="&amp;$Y$1,[1]Табель!B:B,"&lt;"&amp;$Y$2)=0,"",SUMIFS([1]Табель!I:I,[1]Табель!E:E,C20,[1]Табель!B:B,"&gt;="&amp;$Y$1,[1]Табель!B:B,"&lt;"&amp;$Y$2)/COUNTIFS([1]Табель!E:E,C20,[1]Табель!B:B,"&gt;="&amp;$Y$1,[1]Табель!B:B,"&lt;"&amp;$Y$2)))</f>
        <v>#VALUE!</v>
      </c>
      <c r="J20" s="88">
        <v>140</v>
      </c>
      <c r="K20" s="88">
        <v>100</v>
      </c>
      <c r="L20" s="88" t="e">
        <f>SUMIFS([1]Табель!K:K,[1]Табель!E:E,C20,[1]Табель!B:B,"&gt;="&amp;$Y$1,[1]Табель!B:B,"&lt;"&amp;$Y$2)</f>
        <v>#VALUE!</v>
      </c>
      <c r="M20" s="89" t="e">
        <f>SUMIFS([1]Табель!L:L,[1]Табель!E:E,C20,[1]Табель!B:B,"&gt;="&amp;$Y$1,[1]Табель!B:B,"&lt;"&amp;$Y$2)</f>
        <v>#VALUE!</v>
      </c>
      <c r="N20" s="199"/>
      <c r="O20" s="261" t="e">
        <f t="shared" si="0"/>
        <v>#VALUE!</v>
      </c>
      <c r="Q20" s="275" t="e">
        <f t="shared" si="5"/>
        <v>#VALUE!</v>
      </c>
      <c r="R20" s="81">
        <f t="shared" si="1"/>
        <v>1094.76</v>
      </c>
      <c r="S20" s="90">
        <f t="shared" si="2"/>
        <v>970.35704999999996</v>
      </c>
      <c r="T20" s="90">
        <f t="shared" si="3"/>
        <v>4005.8329499999995</v>
      </c>
      <c r="U20" s="90"/>
      <c r="V20" s="405" t="e">
        <f t="shared" si="4"/>
        <v>#VALUE!</v>
      </c>
      <c r="W20" s="429"/>
    </row>
    <row r="21" spans="2:25" ht="15" hidden="1" outlineLevel="1" thickBot="1" x14ac:dyDescent="0.35">
      <c r="B21" s="85">
        <f t="shared" si="6"/>
        <v>14</v>
      </c>
      <c r="C21" s="82" t="s">
        <v>467</v>
      </c>
      <c r="D21" s="92"/>
      <c r="E21" s="93"/>
      <c r="F21" s="94" t="e">
        <f>SUMIFS([1]Табель!J:J,[1]Табель!E:E,C21,[1]Табель!B:B,"&gt;="&amp;$Y$1,[1]Табель!B:B,"&lt;"&amp;$Y$2)</f>
        <v>#VALUE!</v>
      </c>
      <c r="G21" s="142"/>
      <c r="H21" s="142"/>
      <c r="I21" s="78" t="e">
        <f>INDEX([1]ИНФО_СПЕЦТЕХНИКА!$D$4:$D$23,IF(SUMIFS([1]Табель!I:I,[1]Табель!E:E,C21,[1]Табель!B:B,"&gt;="&amp;$Y$1,[1]Табель!B:B,"&lt;"&amp;$Y$2)/COUNTIFS([1]Табель!E:E,C21,[1]Табель!B:B,"&gt;="&amp;$Y$1,[1]Табель!B:B,"&lt;"&amp;$Y$2)=0,"",SUMIFS([1]Табель!I:I,[1]Табель!E:E,C21,[1]Табель!B:B,"&gt;="&amp;$Y$1,[1]Табель!B:B,"&lt;"&amp;$Y$2)/COUNTIFS([1]Табель!E:E,C21,[1]Табель!B:B,"&gt;="&amp;$Y$1,[1]Табель!B:B,"&lt;"&amp;$Y$2)))</f>
        <v>#VALUE!</v>
      </c>
      <c r="J21" s="95">
        <v>140</v>
      </c>
      <c r="K21" s="88">
        <v>100</v>
      </c>
      <c r="L21" s="95" t="e">
        <f>SUMIFS([1]Табель!K:K,[1]Табель!E:E,C21,[1]Табель!B:B,"&gt;="&amp;$Y$1,[1]Табель!B:B,"&lt;"&amp;$Y$2)</f>
        <v>#VALUE!</v>
      </c>
      <c r="M21" s="96" t="e">
        <f>SUMIFS([1]Табель!L:L,[1]Табель!E:E,C21,[1]Табель!B:B,"&gt;="&amp;$Y$1,[1]Табель!B:B,"&lt;"&amp;$Y$2)</f>
        <v>#VALUE!</v>
      </c>
      <c r="N21" s="200"/>
      <c r="O21" s="262" t="e">
        <f t="shared" si="0"/>
        <v>#VALUE!</v>
      </c>
      <c r="Q21" s="277" t="e">
        <f t="shared" si="5"/>
        <v>#VALUE!</v>
      </c>
      <c r="R21" s="97">
        <f t="shared" si="1"/>
        <v>0</v>
      </c>
      <c r="S21" s="98">
        <f t="shared" si="2"/>
        <v>0</v>
      </c>
      <c r="T21" s="98">
        <f t="shared" si="3"/>
        <v>0</v>
      </c>
      <c r="U21" s="98"/>
      <c r="V21" s="407" t="e">
        <f t="shared" si="4"/>
        <v>#VALUE!</v>
      </c>
      <c r="W21" s="430"/>
    </row>
    <row r="22" spans="2:25" s="107" customFormat="1" ht="27.6" hidden="1" customHeight="1" outlineLevel="1" thickBot="1" x14ac:dyDescent="0.35">
      <c r="B22" s="99"/>
      <c r="C22" s="100" t="s">
        <v>468</v>
      </c>
      <c r="D22" s="101"/>
      <c r="E22" s="102">
        <f>SUM(E7:E21)</f>
        <v>85662.86</v>
      </c>
      <c r="F22" s="103" t="e">
        <f>SUM(F7:F21)</f>
        <v>#VALUE!</v>
      </c>
      <c r="G22" s="103"/>
      <c r="H22" s="103"/>
      <c r="I22" s="103"/>
      <c r="J22" s="104"/>
      <c r="K22" s="104"/>
      <c r="L22" s="105" t="e">
        <f>SUM(L7:L21)</f>
        <v>#VALUE!</v>
      </c>
      <c r="M22" s="106" t="e">
        <f>SUM(M7:M21)</f>
        <v>#VALUE!</v>
      </c>
      <c r="N22" s="201"/>
      <c r="O22" s="263" t="e">
        <f>SUM(O7:O21)</f>
        <v>#VALUE!</v>
      </c>
      <c r="P22" s="225"/>
      <c r="Q22" s="278" t="e">
        <f>SUM(Q7:Q21)</f>
        <v>#VALUE!</v>
      </c>
      <c r="R22" s="102">
        <f>SUM(R7:R21)</f>
        <v>18845.829999999998</v>
      </c>
      <c r="S22" s="102">
        <f>SUM(S7:S21)</f>
        <v>16704.257700000002</v>
      </c>
      <c r="T22" s="102">
        <f>SUM(T7:T21)</f>
        <v>68958.602299999999</v>
      </c>
      <c r="U22" s="102"/>
      <c r="V22" s="220" t="e">
        <f>SUM(V7:V21)</f>
        <v>#VALUE!</v>
      </c>
      <c r="W22" s="431"/>
    </row>
    <row r="23" spans="2:25" hidden="1" outlineLevel="1" collapsed="1" x14ac:dyDescent="0.3">
      <c r="R23" s="108"/>
    </row>
    <row r="24" spans="2:25" hidden="1" outlineLevel="1" x14ac:dyDescent="0.3">
      <c r="Y24" s="428">
        <v>45200</v>
      </c>
    </row>
    <row r="25" spans="2:25" hidden="1" outlineLevel="1" x14ac:dyDescent="0.3">
      <c r="P25" s="288"/>
      <c r="Y25" s="428">
        <v>45231</v>
      </c>
    </row>
    <row r="26" spans="2:25" ht="7.5" hidden="1" customHeight="1" outlineLevel="1" x14ac:dyDescent="0.3">
      <c r="P26" s="288"/>
    </row>
    <row r="27" spans="2:25" ht="25.2" hidden="1" customHeight="1" outlineLevel="1" x14ac:dyDescent="0.3">
      <c r="B27" s="594" t="str">
        <f>"ЧАСЫ ["&amp;CHAR(10)&amp;TEXT(Y24,"[$-419]ММММ ГГГГ")&amp;"]"</f>
        <v>ЧАСЫ [
Октябрь 2023]</v>
      </c>
      <c r="C27" s="594"/>
      <c r="D27" s="594"/>
      <c r="E27" s="594"/>
      <c r="F27" s="594"/>
      <c r="G27" s="594"/>
      <c r="H27" s="594"/>
      <c r="I27" s="594"/>
      <c r="J27" s="594"/>
      <c r="K27" s="594"/>
      <c r="L27" s="594"/>
      <c r="M27" s="594"/>
      <c r="N27" s="594"/>
      <c r="O27" s="594"/>
      <c r="P27" s="594"/>
      <c r="Q27" s="594"/>
      <c r="R27" s="594"/>
      <c r="S27" s="594"/>
      <c r="T27" s="594"/>
      <c r="U27" s="594"/>
      <c r="V27" s="594"/>
      <c r="W27" s="68"/>
    </row>
    <row r="28" spans="2:25" ht="3.75" hidden="1" customHeight="1" outlineLevel="1" x14ac:dyDescent="0.3">
      <c r="B28" s="68"/>
      <c r="C28" s="68"/>
      <c r="D28" s="68"/>
      <c r="E28" s="68"/>
      <c r="F28" s="69"/>
      <c r="G28" s="69"/>
      <c r="H28" s="69"/>
      <c r="I28" s="69"/>
      <c r="J28" s="68"/>
      <c r="K28" s="68"/>
      <c r="L28" s="68"/>
      <c r="M28" s="68"/>
      <c r="N28" s="68"/>
      <c r="O28" s="68"/>
      <c r="P28" s="288"/>
    </row>
    <row r="29" spans="2:25" s="73" customFormat="1" ht="58.2" hidden="1" outlineLevel="1" thickBot="1" x14ac:dyDescent="0.35">
      <c r="B29" s="70" t="s">
        <v>452</v>
      </c>
      <c r="C29" s="70" t="s">
        <v>448</v>
      </c>
      <c r="D29" s="70" t="s">
        <v>469</v>
      </c>
      <c r="E29" s="70" t="s">
        <v>470</v>
      </c>
      <c r="F29" s="71" t="s">
        <v>454</v>
      </c>
      <c r="G29" s="71"/>
      <c r="H29" s="71"/>
      <c r="I29" s="70" t="s">
        <v>471</v>
      </c>
      <c r="J29" s="70" t="s">
        <v>456</v>
      </c>
      <c r="K29" s="70" t="s">
        <v>457</v>
      </c>
      <c r="L29" s="70" t="s">
        <v>235</v>
      </c>
      <c r="M29" s="72" t="s">
        <v>458</v>
      </c>
      <c r="N29" s="197"/>
      <c r="O29" s="259" t="s">
        <v>459</v>
      </c>
      <c r="P29" s="289"/>
      <c r="Q29" s="272" t="s">
        <v>460</v>
      </c>
      <c r="R29" s="74" t="s">
        <v>461</v>
      </c>
      <c r="S29" s="74" t="s">
        <v>462</v>
      </c>
      <c r="T29" s="74" t="s">
        <v>463</v>
      </c>
      <c r="U29" s="70" t="s">
        <v>472</v>
      </c>
      <c r="V29" s="404" t="s">
        <v>464</v>
      </c>
    </row>
    <row r="30" spans="2:25" hidden="1" outlineLevel="1" x14ac:dyDescent="0.3">
      <c r="B30" s="75">
        <v>1</v>
      </c>
      <c r="C30" s="109" t="s">
        <v>246</v>
      </c>
      <c r="D30" s="109" t="str">
        <f>INDEX([1]ИНФО!C:C,MATCH(C30,[1]ИНФО!B:B,0))</f>
        <v>Болох Володимир Васильович</v>
      </c>
      <c r="E30" s="110">
        <v>9500</v>
      </c>
      <c r="F30" s="87" t="e">
        <f>SUMIFS([1]Табель!J:J,[1]Табель!E:E,C30,[1]Табель!B:B,"&gt;="&amp;$Y$24,[1]Табель!B:B,"&lt;"&amp;$Y$25,[1]Табель!F:F,'МЕХАНИЗАТОРЫ ноябрь'!I30)</f>
        <v>#VALUE!</v>
      </c>
      <c r="G30" s="78"/>
      <c r="H30" s="78"/>
      <c r="I30" s="78" t="s">
        <v>69</v>
      </c>
      <c r="J30" s="111">
        <f>INDEX([1]ИНФО_СПЕЦТЕХНИКА!$F$4:$F$23,MATCH(I30,[1]ИНФО_СПЕЦТЕХНИКА!$D$4:$D$23,0))</f>
        <v>180</v>
      </c>
      <c r="K30" s="79">
        <v>100</v>
      </c>
      <c r="L30" s="88" t="e">
        <f>SUMIFS([1]Табель!K:K,[1]Табель!E:E,C30,[1]Табель!B:B,"&gt;="&amp;$Y$24,[1]Табель!B:B,"&lt;"&amp;$Y$25,[1]Табель!F:F,I30)</f>
        <v>#VALUE!</v>
      </c>
      <c r="M30" s="89" t="e">
        <f>SUMIFS([1]Табель!L:L,[1]Табель!E:E,C30,[1]Табель!B:B,"&gt;="&amp;$Y$24,[1]Табель!B:B,"&lt;"&amp;$Y$25,[1]Табель!F:F,I30)</f>
        <v>#VALUE!</v>
      </c>
      <c r="N30" s="199"/>
      <c r="O30" s="261" t="e">
        <f t="shared" ref="O30:O47" si="7">F30-L30-M30</f>
        <v>#VALUE!</v>
      </c>
      <c r="Q30" s="279" t="e">
        <f>O30*J30+(L30+M30)*K30</f>
        <v>#VALUE!</v>
      </c>
      <c r="R30" s="110">
        <f t="shared" ref="R30:R47" si="8">ROUND(E30*0.22,2)</f>
        <v>2090</v>
      </c>
      <c r="S30" s="110">
        <f t="shared" ref="S30:S47" si="9">E30*0.195</f>
        <v>1852.5</v>
      </c>
      <c r="T30" s="110">
        <f t="shared" ref="T30:T47" si="10">E30-S30</f>
        <v>7647.5</v>
      </c>
      <c r="U30" s="112">
        <f>-ROUND((R30+E30),2)</f>
        <v>-11590</v>
      </c>
      <c r="V30" s="221" t="e">
        <f t="shared" ref="V30:V47" si="11">Q30-T30</f>
        <v>#VALUE!</v>
      </c>
      <c r="W30" s="432"/>
    </row>
    <row r="31" spans="2:25" ht="15" hidden="1" outlineLevel="1" thickBot="1" x14ac:dyDescent="0.35">
      <c r="B31" s="113">
        <v>2</v>
      </c>
      <c r="C31" s="114" t="s">
        <v>465</v>
      </c>
      <c r="D31" s="115">
        <f>INDEX([1]ИНФО!C:C,MATCH(C31,[1]ИНФО!B:B,0))</f>
        <v>0</v>
      </c>
      <c r="E31" s="116"/>
      <c r="F31" s="94" t="e">
        <f>SUMIFS([1]Табель!J:J,[1]Табель!E:E,C31,[1]Табель!B:B,"&gt;="&amp;$Y$24,[1]Табель!B:B,"&lt;"&amp;$Y$25,[1]Табель!F:F,'МЕХАНИЗАТОРЫ ноябрь'!I31)</f>
        <v>#VALUE!</v>
      </c>
      <c r="G31" s="117"/>
      <c r="H31" s="117"/>
      <c r="I31" s="117" t="s">
        <v>447</v>
      </c>
      <c r="J31" s="118">
        <f>INDEX([1]ИНФО_СПЕЦТЕХНИКА!$F$4:$F$23,MATCH(I31,[1]ИНФО_СПЕЦТЕХНИКА!$D$4:$D$23,0))</f>
        <v>170</v>
      </c>
      <c r="K31" s="119">
        <v>100</v>
      </c>
      <c r="L31" s="95" t="e">
        <f>SUMIFS([1]Табель!K:K,[1]Табель!E:E,C31,[1]Табель!B:B,"&gt;="&amp;$Y$24,[1]Табель!B:B,"&lt;"&amp;$Y$25,[1]Табель!F:F,I31)</f>
        <v>#VALUE!</v>
      </c>
      <c r="M31" s="96" t="e">
        <f>SUMIFS([1]Табель!L:L,[1]Табель!E:E,C31,[1]Табель!B:B,"&gt;="&amp;$Y$24,[1]Табель!B:B,"&lt;"&amp;$Y$25,[1]Табель!F:F,I31)</f>
        <v>#VALUE!</v>
      </c>
      <c r="N31" s="200"/>
      <c r="O31" s="262" t="e">
        <f t="shared" si="7"/>
        <v>#VALUE!</v>
      </c>
      <c r="Q31" s="280" t="e">
        <f>O31*J31+(L31+M31)*K31</f>
        <v>#VALUE!</v>
      </c>
      <c r="R31" s="120">
        <f t="shared" si="8"/>
        <v>0</v>
      </c>
      <c r="S31" s="120">
        <f t="shared" si="9"/>
        <v>0</v>
      </c>
      <c r="T31" s="120">
        <f t="shared" si="10"/>
        <v>0</v>
      </c>
      <c r="U31" s="121">
        <f t="shared" ref="U31:U47" si="12">-ROUND((R31+E31),2)</f>
        <v>0</v>
      </c>
      <c r="V31" s="222" t="e">
        <f t="shared" si="11"/>
        <v>#VALUE!</v>
      </c>
      <c r="W31" s="432"/>
    </row>
    <row r="32" spans="2:25" hidden="1" outlineLevel="1" x14ac:dyDescent="0.3">
      <c r="B32" s="595">
        <v>3</v>
      </c>
      <c r="C32" s="122" t="s">
        <v>249</v>
      </c>
      <c r="D32" s="122" t="str">
        <f>INDEX([1]ИНФО!C:C,MATCH(C32,[1]ИНФО!B:B,0))</f>
        <v>Борисенко Олексій Миколайович</v>
      </c>
      <c r="E32" s="110" t="e">
        <f>9500*Q32/(Q32+Q33)</f>
        <v>#VALUE!</v>
      </c>
      <c r="F32" s="123" t="e">
        <f>SUMIFS([1]Табель!J:J,[1]Табель!E:E,C32,[1]Табель!B:B,"&gt;="&amp;$Y$24,[1]Табель!B:B,"&lt;"&amp;$Y$25,[1]Табель!F:F,'МЕХАНИЗАТОРЫ ноябрь'!I32)</f>
        <v>#VALUE!</v>
      </c>
      <c r="G32" s="123"/>
      <c r="H32" s="123"/>
      <c r="I32" s="123" t="s">
        <v>0</v>
      </c>
      <c r="J32" s="124">
        <f>INDEX([1]ИНФО_СПЕЦТЕХНИКА!$F$4:$F$23,MATCH(I32,[1]ИНФО_СПЕЦТЕХНИКА!$D$4:$D$23,0))</f>
        <v>170</v>
      </c>
      <c r="K32" s="125">
        <v>100</v>
      </c>
      <c r="L32" s="125" t="e">
        <f>SUMIFS([1]Табель!K:K,[1]Табель!E:E,C32,[1]Табель!B:B,"&gt;="&amp;$Y$24,[1]Табель!B:B,"&lt;"&amp;$Y$25,[1]Табель!F:F,I32)</f>
        <v>#VALUE!</v>
      </c>
      <c r="M32" s="126" t="e">
        <f>SUMIFS([1]Табель!L:L,[1]Табель!E:E,C32,[1]Табель!B:B,"&gt;="&amp;$Y$24,[1]Табель!B:B,"&lt;"&amp;$Y$25,[1]Табель!F:F,I32)</f>
        <v>#VALUE!</v>
      </c>
      <c r="N32" s="202"/>
      <c r="O32" s="264" t="e">
        <f t="shared" si="7"/>
        <v>#VALUE!</v>
      </c>
      <c r="Q32" s="281" t="e">
        <f t="shared" ref="Q32:Q47" si="13">O32*J32+(L32+M32)*K32</f>
        <v>#VALUE!</v>
      </c>
      <c r="R32" s="127" t="e">
        <f t="shared" si="8"/>
        <v>#VALUE!</v>
      </c>
      <c r="S32" s="127" t="e">
        <f t="shared" si="9"/>
        <v>#VALUE!</v>
      </c>
      <c r="T32" s="127" t="e">
        <f t="shared" si="10"/>
        <v>#VALUE!</v>
      </c>
      <c r="U32" s="128" t="e">
        <f t="shared" si="12"/>
        <v>#VALUE!</v>
      </c>
      <c r="V32" s="223" t="e">
        <f t="shared" si="11"/>
        <v>#VALUE!</v>
      </c>
      <c r="W32" s="432"/>
    </row>
    <row r="33" spans="2:25" ht="15" hidden="1" outlineLevel="1" thickBot="1" x14ac:dyDescent="0.35">
      <c r="B33" s="596"/>
      <c r="C33" s="114" t="s">
        <v>249</v>
      </c>
      <c r="D33" s="115" t="str">
        <f>INDEX([1]ИНФО!C:C,MATCH(C33,[1]ИНФО!B:B,0))</f>
        <v>Борисенко Олексій Миколайович</v>
      </c>
      <c r="E33" s="129" t="e">
        <f>9500*Q33/(Q32+Q33)</f>
        <v>#VALUE!</v>
      </c>
      <c r="F33" s="94" t="e">
        <f>SUMIFS([1]Табель!J:J,[1]Табель!E:E,C33,[1]Табель!B:B,"&gt;="&amp;$Y$24,[1]Табель!B:B,"&lt;"&amp;$Y$25,[1]Табель!F:F,'МЕХАНИЗАТОРЫ ноябрь'!I33)</f>
        <v>#VALUE!</v>
      </c>
      <c r="G33" s="117"/>
      <c r="H33" s="117"/>
      <c r="I33" s="117" t="s">
        <v>473</v>
      </c>
      <c r="J33" s="118">
        <f>INDEX([1]ИНФО_СПЕЦТЕХНИКА!$F$4:$F$23,MATCH(I33,[1]ИНФО_СПЕЦТЕХНИКА!$D$4:$D$23,0))</f>
        <v>180</v>
      </c>
      <c r="K33" s="95">
        <v>100</v>
      </c>
      <c r="L33" s="95" t="e">
        <f>SUMIFS([1]Табель!K:K,[1]Табель!E:E,C33,[1]Табель!B:B,"&gt;="&amp;$Y$24,[1]Табель!B:B,"&lt;"&amp;$Y$25,[1]Табель!F:F,I33)</f>
        <v>#VALUE!</v>
      </c>
      <c r="M33" s="96" t="e">
        <f>SUMIFS([1]Табель!L:L,[1]Табель!E:E,C33,[1]Табель!B:B,"&gt;="&amp;$Y$24,[1]Табель!B:B,"&lt;"&amp;$Y$25,[1]Табель!F:F,I33)</f>
        <v>#VALUE!</v>
      </c>
      <c r="N33" s="200"/>
      <c r="O33" s="262" t="e">
        <f t="shared" si="7"/>
        <v>#VALUE!</v>
      </c>
      <c r="Q33" s="282" t="e">
        <f t="shared" si="13"/>
        <v>#VALUE!</v>
      </c>
      <c r="R33" s="120" t="e">
        <f t="shared" si="8"/>
        <v>#VALUE!</v>
      </c>
      <c r="S33" s="120" t="e">
        <f t="shared" si="9"/>
        <v>#VALUE!</v>
      </c>
      <c r="T33" s="120" t="e">
        <f t="shared" si="10"/>
        <v>#VALUE!</v>
      </c>
      <c r="U33" s="121" t="e">
        <f t="shared" si="12"/>
        <v>#VALUE!</v>
      </c>
      <c r="V33" s="222" t="e">
        <f t="shared" si="11"/>
        <v>#VALUE!</v>
      </c>
      <c r="W33" s="432"/>
    </row>
    <row r="34" spans="2:25" hidden="1" outlineLevel="1" x14ac:dyDescent="0.3">
      <c r="B34" s="75">
        <v>4</v>
      </c>
      <c r="C34" s="109" t="s">
        <v>250</v>
      </c>
      <c r="D34" s="109" t="str">
        <f>INDEX([1]ИНФО!C:C,MATCH(C34,[1]ИНФО!B:B,0))</f>
        <v>Божков Валерій Вікторович</v>
      </c>
      <c r="E34" s="110"/>
      <c r="F34" s="78" t="e">
        <f>SUMIFS([1]Табель!J:J,[1]Табель!E:E,C34,[1]Табель!B:B,"&gt;="&amp;$Y$24,[1]Табель!B:B,"&lt;"&amp;$Y$25,[1]Табель!F:F,'МЕХАНИЗАТОРЫ ноябрь'!I34)</f>
        <v>#VALUE!</v>
      </c>
      <c r="G34" s="78"/>
      <c r="H34" s="78"/>
      <c r="I34" s="78" t="s">
        <v>75</v>
      </c>
      <c r="J34" s="130">
        <f>INDEX([1]ИНФО_СПЕЦТЕХНИКА!$F$4:$F$23,MATCH(I34,[1]ИНФО_СПЕЦТЕХНИКА!$D$4:$D$23,0))</f>
        <v>140</v>
      </c>
      <c r="K34" s="79">
        <v>100</v>
      </c>
      <c r="L34" s="79" t="e">
        <f>SUMIFS([1]Табель!K:K,[1]Табель!E:E,C34,[1]Табель!B:B,"&gt;="&amp;$Y$24,[1]Табель!B:B,"&lt;"&amp;$Y$25,[1]Табель!F:F,I34)</f>
        <v>#VALUE!</v>
      </c>
      <c r="M34" s="80" t="e">
        <f>SUMIFS([1]Табель!L:L,[1]Табель!E:E,C34,[1]Табель!B:B,"&gt;="&amp;$Y$24,[1]Табель!B:B,"&lt;"&amp;$Y$25,[1]Табель!F:F,I34)</f>
        <v>#VALUE!</v>
      </c>
      <c r="N34" s="198"/>
      <c r="O34" s="260" t="e">
        <f t="shared" si="7"/>
        <v>#VALUE!</v>
      </c>
      <c r="Q34" s="279" t="e">
        <f t="shared" si="13"/>
        <v>#VALUE!</v>
      </c>
      <c r="R34" s="110">
        <f t="shared" si="8"/>
        <v>0</v>
      </c>
      <c r="S34" s="110">
        <f t="shared" si="9"/>
        <v>0</v>
      </c>
      <c r="T34" s="110">
        <f t="shared" si="10"/>
        <v>0</v>
      </c>
      <c r="U34" s="110">
        <f t="shared" si="12"/>
        <v>0</v>
      </c>
      <c r="V34" s="221" t="e">
        <f t="shared" si="11"/>
        <v>#VALUE!</v>
      </c>
      <c r="W34" s="432"/>
    </row>
    <row r="35" spans="2:25" hidden="1" outlineLevel="1" x14ac:dyDescent="0.3">
      <c r="B35" s="75">
        <v>5</v>
      </c>
      <c r="C35" s="131" t="s">
        <v>247</v>
      </c>
      <c r="D35" s="109" t="str">
        <f>INDEX([1]ИНФО!C:C,MATCH(C35,[1]ИНФО!B:B,0))</f>
        <v>Бунтило Віталій Іванович</v>
      </c>
      <c r="E35" s="110">
        <v>5181.82</v>
      </c>
      <c r="F35" s="87" t="e">
        <f>SUMIFS([1]Табель!J:J,[1]Табель!E:E,C35,[1]Табель!B:B,"&gt;="&amp;$Y$24,[1]Табель!B:B,"&lt;"&amp;$Y$25,[1]Табель!F:F,'МЕХАНИЗАТОРЫ ноябрь'!I35)</f>
        <v>#VALUE!</v>
      </c>
      <c r="G35" s="78"/>
      <c r="H35" s="78"/>
      <c r="I35" s="78" t="s">
        <v>440</v>
      </c>
      <c r="J35" s="111">
        <f>INDEX([1]ИНФО_СПЕЦТЕХНИКА!$F$4:$F$23,MATCH(I35,[1]ИНФО_СПЕЦТЕХНИКА!$D$4:$D$23,0))</f>
        <v>140</v>
      </c>
      <c r="K35" s="88">
        <v>100</v>
      </c>
      <c r="L35" s="88" t="e">
        <f>SUMIFS([1]Табель!K:K,[1]Табель!E:E,C35,[1]Табель!B:B,"&gt;="&amp;$Y$24,[1]Табель!B:B,"&lt;"&amp;$Y$25,[1]Табель!F:F,I35)</f>
        <v>#VALUE!</v>
      </c>
      <c r="M35" s="89" t="e">
        <f>SUMIFS([1]Табель!L:L,[1]Табель!E:E,C35,[1]Табель!B:B,"&gt;="&amp;$Y$24,[1]Табель!B:B,"&lt;"&amp;$Y$25,[1]Табель!F:F,I35)</f>
        <v>#VALUE!</v>
      </c>
      <c r="N35" s="199"/>
      <c r="O35" s="261" t="e">
        <f t="shared" si="7"/>
        <v>#VALUE!</v>
      </c>
      <c r="Q35" s="283" t="e">
        <f t="shared" si="13"/>
        <v>#VALUE!</v>
      </c>
      <c r="R35" s="110">
        <f t="shared" si="8"/>
        <v>1140</v>
      </c>
      <c r="S35" s="110">
        <f t="shared" si="9"/>
        <v>1010.4549</v>
      </c>
      <c r="T35" s="110">
        <f t="shared" si="10"/>
        <v>4171.3651</v>
      </c>
      <c r="U35" s="112">
        <f t="shared" si="12"/>
        <v>-6321.82</v>
      </c>
      <c r="V35" s="221" t="e">
        <f t="shared" si="11"/>
        <v>#VALUE!</v>
      </c>
      <c r="W35" s="432"/>
      <c r="Y35" s="433" t="s">
        <v>474</v>
      </c>
    </row>
    <row r="36" spans="2:25" hidden="1" outlineLevel="1" x14ac:dyDescent="0.3">
      <c r="B36" s="75">
        <v>6</v>
      </c>
      <c r="C36" s="131" t="s">
        <v>372</v>
      </c>
      <c r="D36" s="109" t="str">
        <f>INDEX([1]ИНФО!C:C,MATCH(C36,[1]ИНФО!B:B,0))</f>
        <v>Горячий Іван Васильович</v>
      </c>
      <c r="E36" s="110">
        <v>9880</v>
      </c>
      <c r="F36" s="87" t="e">
        <f>SUMIFS([1]Табель!J:J,[1]Табель!E:E,C36,[1]Табель!B:B,"&gt;="&amp;$Y$24,[1]Табель!B:B,"&lt;"&amp;$Y$25,[1]Табель!F:F,'МЕХАНИЗАТОРЫ ноябрь'!I36)</f>
        <v>#VALUE!</v>
      </c>
      <c r="G36" s="78"/>
      <c r="H36" s="78"/>
      <c r="I36" s="78" t="s">
        <v>442</v>
      </c>
      <c r="J36" s="111">
        <f>INDEX([1]ИНФО_СПЕЦТЕХНИКА!$F$4:$F$23,MATCH(I36,[1]ИНФО_СПЕЦТЕХНИКА!$D$4:$D$23,0))</f>
        <v>170</v>
      </c>
      <c r="K36" s="88">
        <v>100</v>
      </c>
      <c r="L36" s="88" t="e">
        <f>SUMIFS([1]Табель!K:K,[1]Табель!E:E,C36,[1]Табель!B:B,"&gt;="&amp;$Y$24,[1]Табель!B:B,"&lt;"&amp;$Y$25,[1]Табель!F:F,I36)</f>
        <v>#VALUE!</v>
      </c>
      <c r="M36" s="89" t="e">
        <f>SUMIFS([1]Табель!L:L,[1]Табель!E:E,C36,[1]Табель!B:B,"&gt;="&amp;$Y$24,[1]Табель!B:B,"&lt;"&amp;$Y$25,[1]Табель!F:F,I36)</f>
        <v>#VALUE!</v>
      </c>
      <c r="N36" s="199"/>
      <c r="O36" s="261" t="e">
        <f t="shared" si="7"/>
        <v>#VALUE!</v>
      </c>
      <c r="Q36" s="283" t="e">
        <f t="shared" si="13"/>
        <v>#VALUE!</v>
      </c>
      <c r="R36" s="110">
        <f t="shared" si="8"/>
        <v>2173.6</v>
      </c>
      <c r="S36" s="110">
        <f t="shared" si="9"/>
        <v>1926.6000000000001</v>
      </c>
      <c r="T36" s="110">
        <f t="shared" si="10"/>
        <v>7953.4</v>
      </c>
      <c r="U36" s="112">
        <f t="shared" si="12"/>
        <v>-12053.6</v>
      </c>
      <c r="V36" s="221" t="e">
        <f t="shared" si="11"/>
        <v>#VALUE!</v>
      </c>
      <c r="W36" s="432"/>
    </row>
    <row r="37" spans="2:25" ht="15" hidden="1" outlineLevel="1" thickBot="1" x14ac:dyDescent="0.35">
      <c r="B37" s="113">
        <v>7</v>
      </c>
      <c r="C37" s="114" t="s">
        <v>245</v>
      </c>
      <c r="D37" s="115" t="str">
        <f>INDEX([1]ИНФО!C:C,MATCH(C37,[1]ИНФО!B:B,0))</f>
        <v>Зенкін Дмитро Юрійович</v>
      </c>
      <c r="E37" s="120">
        <v>8204.5499999999993</v>
      </c>
      <c r="F37" s="94" t="e">
        <f>SUMIFS([1]Табель!J:J,[1]Табель!E:E,C37,[1]Табель!B:B,"&gt;="&amp;$Y$24,[1]Табель!B:B,"&lt;"&amp;$Y$25,[1]Табель!F:F,'МЕХАНИЗАТОРЫ ноябрь'!I37)</f>
        <v>#VALUE!</v>
      </c>
      <c r="G37" s="117"/>
      <c r="H37" s="117"/>
      <c r="I37" s="117" t="s">
        <v>74</v>
      </c>
      <c r="J37" s="118">
        <f>INDEX([1]ИНФО_СПЕЦТЕХНИКА!$F$4:$F$23,MATCH(I37,[1]ИНФО_СПЕЦТЕХНИКА!$D$4:$D$23,0))</f>
        <v>170</v>
      </c>
      <c r="K37" s="95">
        <v>100</v>
      </c>
      <c r="L37" s="95" t="e">
        <f>SUMIFS([1]Табель!K:K,[1]Табель!E:E,C37,[1]Табель!B:B,"&gt;="&amp;$Y$24,[1]Табель!B:B,"&lt;"&amp;$Y$25,[1]Табель!F:F,I37)</f>
        <v>#VALUE!</v>
      </c>
      <c r="M37" s="96" t="e">
        <f>SUMIFS([1]Табель!L:L,[1]Табель!E:E,C37,[1]Табель!B:B,"&gt;="&amp;$Y$24,[1]Табель!B:B,"&lt;"&amp;$Y$25,[1]Табель!F:F,I37)</f>
        <v>#VALUE!</v>
      </c>
      <c r="N37" s="200"/>
      <c r="O37" s="262" t="e">
        <f t="shared" si="7"/>
        <v>#VALUE!</v>
      </c>
      <c r="Q37" s="282" t="e">
        <f t="shared" si="13"/>
        <v>#VALUE!</v>
      </c>
      <c r="R37" s="120">
        <f t="shared" si="8"/>
        <v>1805</v>
      </c>
      <c r="S37" s="120">
        <f t="shared" si="9"/>
        <v>1599.88725</v>
      </c>
      <c r="T37" s="120">
        <f t="shared" si="10"/>
        <v>6604.6627499999995</v>
      </c>
      <c r="U37" s="121">
        <f t="shared" si="12"/>
        <v>-10009.549999999999</v>
      </c>
      <c r="V37" s="222" t="e">
        <f t="shared" si="11"/>
        <v>#VALUE!</v>
      </c>
      <c r="W37" s="432"/>
    </row>
    <row r="38" spans="2:25" hidden="1" outlineLevel="1" x14ac:dyDescent="0.3">
      <c r="B38" s="595">
        <v>8</v>
      </c>
      <c r="C38" s="122" t="s">
        <v>244</v>
      </c>
      <c r="D38" s="122" t="str">
        <f>INDEX([1]ИНФО!C:C,MATCH(C38,[1]ИНФО!B:B,0))</f>
        <v>Карбунар Ярослав Дмитрович</v>
      </c>
      <c r="E38" s="127" t="e">
        <f>8981.81*Q38/(Q38+Q39)</f>
        <v>#VALUE!</v>
      </c>
      <c r="F38" s="123" t="e">
        <f>SUMIFS([1]Табель!J:J,[1]Табель!E:E,C38,[1]Табель!B:B,"&gt;="&amp;$Y$24,[1]Табель!B:B,"&lt;"&amp;$Y$25,[1]Табель!F:F,'МЕХАНИЗАТОРЫ ноябрь'!I38)</f>
        <v>#VALUE!</v>
      </c>
      <c r="G38" s="123"/>
      <c r="H38" s="123"/>
      <c r="I38" s="123" t="s">
        <v>443</v>
      </c>
      <c r="J38" s="124">
        <f>INDEX([1]ИНФО_СПЕЦТЕХНИКА!$F$4:$F$23,MATCH(I38,[1]ИНФО_СПЕЦТЕХНИКА!$D$4:$D$23,0))</f>
        <v>170</v>
      </c>
      <c r="K38" s="125">
        <v>100</v>
      </c>
      <c r="L38" s="125" t="e">
        <f>SUMIFS([1]Табель!K:K,[1]Табель!E:E,C38,[1]Табель!B:B,"&gt;="&amp;$Y$24,[1]Табель!B:B,"&lt;"&amp;$Y$25,[1]Табель!F:F,I38)</f>
        <v>#VALUE!</v>
      </c>
      <c r="M38" s="126" t="e">
        <f>SUMIFS([1]Табель!L:L,[1]Табель!E:E,C38,[1]Табель!B:B,"&gt;="&amp;$Y$24,[1]Табель!B:B,"&lt;"&amp;$Y$25,[1]Табель!F:F,I38)</f>
        <v>#VALUE!</v>
      </c>
      <c r="N38" s="202"/>
      <c r="O38" s="264" t="e">
        <f t="shared" si="7"/>
        <v>#VALUE!</v>
      </c>
      <c r="Q38" s="281" t="e">
        <f t="shared" si="13"/>
        <v>#VALUE!</v>
      </c>
      <c r="R38" s="127" t="e">
        <f t="shared" si="8"/>
        <v>#VALUE!</v>
      </c>
      <c r="S38" s="127" t="e">
        <f t="shared" si="9"/>
        <v>#VALUE!</v>
      </c>
      <c r="T38" s="127" t="e">
        <f t="shared" si="10"/>
        <v>#VALUE!</v>
      </c>
      <c r="U38" s="128" t="e">
        <f t="shared" si="12"/>
        <v>#VALUE!</v>
      </c>
      <c r="V38" s="223" t="e">
        <f t="shared" si="11"/>
        <v>#VALUE!</v>
      </c>
      <c r="W38" s="432"/>
    </row>
    <row r="39" spans="2:25" ht="15" hidden="1" outlineLevel="1" thickBot="1" x14ac:dyDescent="0.35">
      <c r="B39" s="596"/>
      <c r="C39" s="114" t="s">
        <v>244</v>
      </c>
      <c r="D39" s="115" t="str">
        <f>INDEX([1]ИНФО!C:C,MATCH(C39,[1]ИНФО!B:B,0))</f>
        <v>Карбунар Ярослав Дмитрович</v>
      </c>
      <c r="E39" s="129" t="e">
        <f>8981.81*Q39/(Q38+Q39)</f>
        <v>#VALUE!</v>
      </c>
      <c r="F39" s="94" t="e">
        <f>SUMIFS([1]Табель!J:J,[1]Табель!E:E,C39,[1]Табель!B:B,"&gt;="&amp;$Y$24,[1]Табель!B:B,"&lt;"&amp;$Y$25,[1]Табель!F:F,'МЕХАНИЗАТОРЫ ноябрь'!I39)</f>
        <v>#VALUE!</v>
      </c>
      <c r="G39" s="117"/>
      <c r="H39" s="117"/>
      <c r="I39" s="117" t="s">
        <v>0</v>
      </c>
      <c r="J39" s="118">
        <f>INDEX([1]ИНФО_СПЕЦТЕХНИКА!$F$4:$F$23,MATCH(I39,[1]ИНФО_СПЕЦТЕХНИКА!$D$4:$D$23,0))</f>
        <v>170</v>
      </c>
      <c r="K39" s="95">
        <v>100</v>
      </c>
      <c r="L39" s="95"/>
      <c r="M39" s="96"/>
      <c r="N39" s="200"/>
      <c r="O39" s="262" t="e">
        <f t="shared" si="7"/>
        <v>#VALUE!</v>
      </c>
      <c r="Q39" s="282" t="e">
        <f t="shared" si="13"/>
        <v>#VALUE!</v>
      </c>
      <c r="R39" s="120" t="e">
        <f t="shared" si="8"/>
        <v>#VALUE!</v>
      </c>
      <c r="S39" s="120" t="e">
        <f t="shared" si="9"/>
        <v>#VALUE!</v>
      </c>
      <c r="T39" s="120" t="e">
        <f t="shared" si="10"/>
        <v>#VALUE!</v>
      </c>
      <c r="U39" s="121" t="e">
        <f t="shared" si="12"/>
        <v>#VALUE!</v>
      </c>
      <c r="V39" s="222" t="e">
        <f t="shared" si="11"/>
        <v>#VALUE!</v>
      </c>
      <c r="W39" s="432"/>
    </row>
    <row r="40" spans="2:25" hidden="1" outlineLevel="1" x14ac:dyDescent="0.3">
      <c r="B40" s="75">
        <v>9</v>
      </c>
      <c r="C40" s="109" t="s">
        <v>376</v>
      </c>
      <c r="D40" s="109" t="str">
        <f>INDEX([1]ИНФО!C:C,MATCH(C40,[1]ИНФО!B:B,0))</f>
        <v>Косік Юрій Анатолійович</v>
      </c>
      <c r="E40" s="110">
        <v>9880</v>
      </c>
      <c r="F40" s="78" t="e">
        <f>SUMIFS([1]Табель!J:J,[1]Табель!E:E,C40,[1]Табель!B:B,"&gt;="&amp;$Y$24,[1]Табель!B:B,"&lt;"&amp;$Y$25,[1]Табель!F:F,'МЕХАНИЗАТОРЫ ноябрь'!I40)</f>
        <v>#VALUE!</v>
      </c>
      <c r="G40" s="78"/>
      <c r="H40" s="78"/>
      <c r="I40" s="78" t="s">
        <v>444</v>
      </c>
      <c r="J40" s="130">
        <f>INDEX([1]ИНФО_СПЕЦТЕХНИКА!$F$4:$F$23,MATCH(I40,[1]ИНФО_СПЕЦТЕХНИКА!$D$4:$D$23,0))</f>
        <v>170</v>
      </c>
      <c r="K40" s="79">
        <v>100</v>
      </c>
      <c r="L40" s="79" t="e">
        <f>SUMIFS([1]Табель!K:K,[1]Табель!E:E,C40,[1]Табель!B:B,"&gt;="&amp;$Y$24,[1]Табель!B:B,"&lt;"&amp;$Y$25,[1]Табель!F:F,I40)</f>
        <v>#VALUE!</v>
      </c>
      <c r="M40" s="80" t="e">
        <f>SUMIFS([1]Табель!L:L,[1]Табель!E:E,C40,[1]Табель!B:B,"&gt;="&amp;$Y$24,[1]Табель!B:B,"&lt;"&amp;$Y$25,[1]Табель!F:F,I40)</f>
        <v>#VALUE!</v>
      </c>
      <c r="N40" s="198"/>
      <c r="O40" s="260" t="e">
        <f t="shared" si="7"/>
        <v>#VALUE!</v>
      </c>
      <c r="Q40" s="279" t="e">
        <f t="shared" si="13"/>
        <v>#VALUE!</v>
      </c>
      <c r="R40" s="110">
        <f t="shared" si="8"/>
        <v>2173.6</v>
      </c>
      <c r="S40" s="110">
        <f t="shared" si="9"/>
        <v>1926.6000000000001</v>
      </c>
      <c r="T40" s="110">
        <f t="shared" si="10"/>
        <v>7953.4</v>
      </c>
      <c r="U40" s="112">
        <f t="shared" si="12"/>
        <v>-12053.6</v>
      </c>
      <c r="V40" s="221" t="e">
        <f t="shared" si="11"/>
        <v>#VALUE!</v>
      </c>
      <c r="W40" s="432"/>
    </row>
    <row r="41" spans="2:25" hidden="1" outlineLevel="1" x14ac:dyDescent="0.3">
      <c r="B41" s="75">
        <v>10</v>
      </c>
      <c r="C41" s="131" t="s">
        <v>252</v>
      </c>
      <c r="D41" s="109">
        <f>INDEX([1]ИНФО!C:C,MATCH(C41,[1]ИНФО!B:B,0))</f>
        <v>0</v>
      </c>
      <c r="E41" s="77"/>
      <c r="F41" s="87" t="e">
        <f>SUMIFS([1]Табель!J:J,[1]Табель!E:E,C41,[1]Табель!B:B,"&gt;="&amp;$Y$24,[1]Табель!B:B,"&lt;"&amp;$Y$25,[1]Табель!F:F,'МЕХАНИЗАТОРЫ ноябрь'!I41)</f>
        <v>#VALUE!</v>
      </c>
      <c r="G41" s="78"/>
      <c r="H41" s="78"/>
      <c r="I41" s="78" t="s">
        <v>445</v>
      </c>
      <c r="J41" s="111">
        <f>INDEX([1]ИНФО_СПЕЦТЕХНИКА!$F$4:$F$23,MATCH(I41,[1]ИНФО_СПЕЦТЕХНИКА!$D$4:$D$23,0))</f>
        <v>140</v>
      </c>
      <c r="K41" s="88">
        <v>100</v>
      </c>
      <c r="L41" s="88" t="e">
        <f>SUMIFS([1]Табель!K:K,[1]Табель!E:E,C41,[1]Табель!B:B,"&gt;="&amp;$Y$24,[1]Табель!B:B,"&lt;"&amp;$Y$25,[1]Табель!F:F,I41)</f>
        <v>#VALUE!</v>
      </c>
      <c r="M41" s="89" t="e">
        <f>SUMIFS([1]Табель!L:L,[1]Табель!E:E,C41,[1]Табель!B:B,"&gt;="&amp;$Y$24,[1]Табель!B:B,"&lt;"&amp;$Y$25,[1]Табель!F:F,I41)</f>
        <v>#VALUE!</v>
      </c>
      <c r="N41" s="199"/>
      <c r="O41" s="261" t="e">
        <f t="shared" si="7"/>
        <v>#VALUE!</v>
      </c>
      <c r="Q41" s="283" t="e">
        <f t="shared" si="13"/>
        <v>#VALUE!</v>
      </c>
      <c r="R41" s="110">
        <f t="shared" si="8"/>
        <v>0</v>
      </c>
      <c r="S41" s="110">
        <f t="shared" si="9"/>
        <v>0</v>
      </c>
      <c r="T41" s="110">
        <f t="shared" si="10"/>
        <v>0</v>
      </c>
      <c r="U41" s="112">
        <f t="shared" si="12"/>
        <v>0</v>
      </c>
      <c r="V41" s="221" t="e">
        <f t="shared" si="11"/>
        <v>#VALUE!</v>
      </c>
      <c r="W41" s="432"/>
    </row>
    <row r="42" spans="2:25" hidden="1" outlineLevel="1" x14ac:dyDescent="0.3">
      <c r="B42" s="75">
        <v>11</v>
      </c>
      <c r="C42" s="131" t="s">
        <v>243</v>
      </c>
      <c r="D42" s="109" t="str">
        <f>INDEX([1]ИНФО!C:C,MATCH(C42,[1]ИНФО!B:B,0))</f>
        <v>Мусієнко Ігор Іванович</v>
      </c>
      <c r="E42" s="110">
        <v>9500</v>
      </c>
      <c r="F42" s="87" t="e">
        <f>SUMIFS([1]Табель!J:J,[1]Табель!E:E,C42,[1]Табель!B:B,"&gt;="&amp;$Y$24,[1]Табель!B:B,"&lt;"&amp;$Y$25,[1]Табель!F:F,'МЕХАНИЗАТОРЫ ноябрь'!I42)</f>
        <v>#VALUE!</v>
      </c>
      <c r="G42" s="78"/>
      <c r="H42" s="78"/>
      <c r="I42" s="78" t="s">
        <v>441</v>
      </c>
      <c r="J42" s="111">
        <f>INDEX([1]ИНФО_СПЕЦТЕХНИКА!$F$4:$F$23,MATCH(I42,[1]ИНФО_СПЕЦТЕХНИКА!$D$4:$D$23,0))</f>
        <v>170</v>
      </c>
      <c r="K42" s="88">
        <v>100</v>
      </c>
      <c r="L42" s="88" t="e">
        <f>SUMIFS([1]Табель!K:K,[1]Табель!E:E,C42,[1]Табель!B:B,"&gt;="&amp;$Y$24,[1]Табель!B:B,"&lt;"&amp;$Y$25,[1]Табель!F:F,I42)</f>
        <v>#VALUE!</v>
      </c>
      <c r="M42" s="89" t="e">
        <f>SUMIFS([1]Табель!L:L,[1]Табель!E:E,C42,[1]Табель!B:B,"&gt;="&amp;$Y$24,[1]Табель!B:B,"&lt;"&amp;$Y$25,[1]Табель!F:F,I42)</f>
        <v>#VALUE!</v>
      </c>
      <c r="N42" s="199"/>
      <c r="O42" s="261" t="e">
        <f t="shared" si="7"/>
        <v>#VALUE!</v>
      </c>
      <c r="Q42" s="283" t="e">
        <f t="shared" si="13"/>
        <v>#VALUE!</v>
      </c>
      <c r="R42" s="110">
        <f t="shared" si="8"/>
        <v>2090</v>
      </c>
      <c r="S42" s="110">
        <f t="shared" si="9"/>
        <v>1852.5</v>
      </c>
      <c r="T42" s="110">
        <f t="shared" si="10"/>
        <v>7647.5</v>
      </c>
      <c r="U42" s="112">
        <f t="shared" si="12"/>
        <v>-11590</v>
      </c>
      <c r="V42" s="221" t="e">
        <f t="shared" si="11"/>
        <v>#VALUE!</v>
      </c>
      <c r="W42" s="432"/>
    </row>
    <row r="43" spans="2:25" hidden="1" outlineLevel="1" x14ac:dyDescent="0.3">
      <c r="B43" s="75">
        <v>12</v>
      </c>
      <c r="C43" s="131" t="s">
        <v>381</v>
      </c>
      <c r="D43" s="109" t="str">
        <f>INDEX([1]ИНФО!C:C,MATCH(C43,[1]ИНФО!B:B,0))</f>
        <v>Самойленко Віктор Миколайович</v>
      </c>
      <c r="E43" s="110">
        <v>9500</v>
      </c>
      <c r="F43" s="87" t="e">
        <f>SUMIFS([1]Табель!J:J,[1]Табель!E:E,C43,[1]Табель!B:B,"&gt;="&amp;$Y$24,[1]Табель!B:B,"&lt;"&amp;$Y$25,[1]Табель!F:F,'МЕХАНИЗАТОРЫ ноябрь'!I43)</f>
        <v>#VALUE!</v>
      </c>
      <c r="G43" s="78"/>
      <c r="H43" s="78"/>
      <c r="I43" s="78" t="s">
        <v>75</v>
      </c>
      <c r="J43" s="111">
        <f>INDEX([1]ИНФО_СПЕЦТЕХНИКА!$F$4:$F$23,MATCH(I43,[1]ИНФО_СПЕЦТЕХНИКА!$D$4:$D$23,0))</f>
        <v>140</v>
      </c>
      <c r="K43" s="88">
        <v>100</v>
      </c>
      <c r="L43" s="88" t="e">
        <f>SUMIFS([1]Табель!K:K,[1]Табель!E:E,C43,[1]Табель!B:B,"&gt;="&amp;$Y$24,[1]Табель!B:B,"&lt;"&amp;$Y$25,[1]Табель!F:F,I43)</f>
        <v>#VALUE!</v>
      </c>
      <c r="M43" s="89" t="e">
        <f>SUMIFS([1]Табель!L:L,[1]Табель!E:E,C43,[1]Табель!B:B,"&gt;="&amp;$Y$24,[1]Табель!B:B,"&lt;"&amp;$Y$25,[1]Табель!F:F,I43)</f>
        <v>#VALUE!</v>
      </c>
      <c r="N43" s="199"/>
      <c r="O43" s="261" t="e">
        <f t="shared" si="7"/>
        <v>#VALUE!</v>
      </c>
      <c r="Q43" s="283" t="e">
        <f t="shared" si="13"/>
        <v>#VALUE!</v>
      </c>
      <c r="R43" s="110">
        <f t="shared" si="8"/>
        <v>2090</v>
      </c>
      <c r="S43" s="110">
        <f t="shared" si="9"/>
        <v>1852.5</v>
      </c>
      <c r="T43" s="110">
        <f t="shared" si="10"/>
        <v>7647.5</v>
      </c>
      <c r="U43" s="112">
        <f t="shared" si="12"/>
        <v>-11590</v>
      </c>
      <c r="V43" s="221" t="e">
        <f t="shared" si="11"/>
        <v>#VALUE!</v>
      </c>
      <c r="W43" s="432"/>
    </row>
    <row r="44" spans="2:25" ht="15" hidden="1" outlineLevel="1" thickBot="1" x14ac:dyDescent="0.35">
      <c r="B44" s="113">
        <v>13</v>
      </c>
      <c r="C44" s="114" t="s">
        <v>254</v>
      </c>
      <c r="D44" s="115" t="str">
        <f>INDEX([1]ИНФО!C:C,MATCH(C44,[1]ИНФО!B:B,0))</f>
        <v>Скоц Сергій Іванович</v>
      </c>
      <c r="E44" s="120">
        <v>9880</v>
      </c>
      <c r="F44" s="94" t="e">
        <f>SUMIFS([1]Табель!J:J,[1]Табель!E:E,C44,[1]Табель!B:B,"&gt;="&amp;$Y$24,[1]Табель!B:B,"&lt;"&amp;$Y$25,[1]Табель!F:F,'МЕХАНИЗАТОРЫ ноябрь'!I44)</f>
        <v>#VALUE!</v>
      </c>
      <c r="G44" s="117"/>
      <c r="H44" s="117"/>
      <c r="I44" s="117" t="s">
        <v>59</v>
      </c>
      <c r="J44" s="118">
        <f>INDEX([1]ИНФО_СПЕЦТЕХНИКА!$F$4:$F$23,MATCH(I44,[1]ИНФО_СПЕЦТЕХНИКА!$D$4:$D$23,0))</f>
        <v>170</v>
      </c>
      <c r="K44" s="95">
        <v>100</v>
      </c>
      <c r="L44" s="95" t="e">
        <f>SUMIFS([1]Табель!K:K,[1]Табель!E:E,C44,[1]Табель!B:B,"&gt;="&amp;$Y$24,[1]Табель!B:B,"&lt;"&amp;$Y$25,[1]Табель!F:F,I44)</f>
        <v>#VALUE!</v>
      </c>
      <c r="M44" s="96" t="e">
        <f>SUMIFS([1]Табель!L:L,[1]Табель!E:E,C44,[1]Табель!B:B,"&gt;="&amp;$Y$24,[1]Табель!B:B,"&lt;"&amp;$Y$25,[1]Табель!F:F,I44)</f>
        <v>#VALUE!</v>
      </c>
      <c r="N44" s="200"/>
      <c r="O44" s="262" t="e">
        <f t="shared" si="7"/>
        <v>#VALUE!</v>
      </c>
      <c r="Q44" s="282" t="e">
        <f t="shared" si="13"/>
        <v>#VALUE!</v>
      </c>
      <c r="R44" s="120">
        <f t="shared" si="8"/>
        <v>2173.6</v>
      </c>
      <c r="S44" s="120">
        <f t="shared" si="9"/>
        <v>1926.6000000000001</v>
      </c>
      <c r="T44" s="120">
        <f t="shared" si="10"/>
        <v>7953.4</v>
      </c>
      <c r="U44" s="121">
        <f t="shared" si="12"/>
        <v>-12053.6</v>
      </c>
      <c r="V44" s="222" t="e">
        <f t="shared" si="11"/>
        <v>#VALUE!</v>
      </c>
      <c r="W44" s="432"/>
    </row>
    <row r="45" spans="2:25" hidden="1" outlineLevel="1" x14ac:dyDescent="0.3">
      <c r="B45" s="595">
        <v>14</v>
      </c>
      <c r="C45" s="122" t="s">
        <v>378</v>
      </c>
      <c r="D45" s="122" t="str">
        <f>INDEX([1]ИНФО!C:C,MATCH(C45,[1]ИНФО!B:B,0))</f>
        <v>Трохименко Віталій Якович</v>
      </c>
      <c r="E45" s="127" t="e">
        <f>(4750+4700)*Q45/(Q45+Q46)</f>
        <v>#VALUE!</v>
      </c>
      <c r="F45" s="123" t="e">
        <f>SUMIFS([1]Табель!J:J,[1]Табель!E:E,C45,[1]Табель!B:B,"&gt;="&amp;$Y$24,[1]Табель!B:B,"&lt;"&amp;$Y$25,[1]Табель!F:F,'МЕХАНИЗАТОРЫ ноябрь'!I45)</f>
        <v>#VALUE!</v>
      </c>
      <c r="G45" s="123"/>
      <c r="H45" s="123"/>
      <c r="I45" s="123" t="s">
        <v>441</v>
      </c>
      <c r="J45" s="124">
        <f>INDEX([1]ИНФО_СПЕЦТЕХНИКА!$F$4:$F$23,MATCH(I45,[1]ИНФО_СПЕЦТЕХНИКА!$D$4:$D$23,0))</f>
        <v>170</v>
      </c>
      <c r="K45" s="125">
        <v>100</v>
      </c>
      <c r="L45" s="125" t="e">
        <f>SUMIFS([1]Табель!K:K,[1]Табель!E:E,C45,[1]Табель!B:B,"&gt;="&amp;$Y$24,[1]Табель!B:B,"&lt;"&amp;$Y$25,[1]Табель!F:F,I45)</f>
        <v>#VALUE!</v>
      </c>
      <c r="M45" s="126" t="e">
        <f>SUMIFS([1]Табель!L:L,[1]Табель!E:E,C45,[1]Табель!B:B,"&gt;="&amp;$Y$24,[1]Табель!B:B,"&lt;"&amp;$Y$25,[1]Табель!F:F,I45)</f>
        <v>#VALUE!</v>
      </c>
      <c r="N45" s="202"/>
      <c r="O45" s="264" t="e">
        <f t="shared" si="7"/>
        <v>#VALUE!</v>
      </c>
      <c r="Q45" s="281" t="e">
        <f t="shared" si="13"/>
        <v>#VALUE!</v>
      </c>
      <c r="R45" s="127" t="e">
        <f t="shared" si="8"/>
        <v>#VALUE!</v>
      </c>
      <c r="S45" s="127" t="e">
        <f t="shared" si="9"/>
        <v>#VALUE!</v>
      </c>
      <c r="T45" s="127" t="e">
        <f t="shared" si="10"/>
        <v>#VALUE!</v>
      </c>
      <c r="U45" s="128" t="e">
        <f t="shared" si="12"/>
        <v>#VALUE!</v>
      </c>
      <c r="V45" s="223" t="e">
        <f t="shared" si="11"/>
        <v>#VALUE!</v>
      </c>
      <c r="W45" s="432"/>
      <c r="Y45" s="132"/>
    </row>
    <row r="46" spans="2:25" ht="15" hidden="1" outlineLevel="1" thickBot="1" x14ac:dyDescent="0.35">
      <c r="B46" s="596"/>
      <c r="C46" s="114" t="s">
        <v>378</v>
      </c>
      <c r="D46" s="115" t="str">
        <f>INDEX([1]ИНФО!C:C,MATCH(C46,[1]ИНФО!B:B,0))</f>
        <v>Трохименко Віталій Якович</v>
      </c>
      <c r="E46" s="129" t="e">
        <f>(4750+4700)*Q46/(Q45+Q46)</f>
        <v>#VALUE!</v>
      </c>
      <c r="F46" s="94" t="e">
        <f>SUMIFS([1]Табель!J:J,[1]Табель!E:E,C46,[1]Табель!B:B,"&gt;="&amp;$Y$24,[1]Табель!B:B,"&lt;"&amp;$Y$25,[1]Табель!F:F,'МЕХАНИЗАТОРЫ ноябрь'!I46)</f>
        <v>#VALUE!</v>
      </c>
      <c r="G46" s="117"/>
      <c r="H46" s="117"/>
      <c r="I46" s="117" t="s">
        <v>475</v>
      </c>
      <c r="J46" s="118">
        <f>INDEX([1]ИНФО_СПЕЦТЕХНИКА!$F$4:$F$23,MATCH(I46,[1]ИНФО_СПЕЦТЕХНИКА!$D$4:$D$23,0))</f>
        <v>170</v>
      </c>
      <c r="K46" s="95">
        <v>100</v>
      </c>
      <c r="L46" s="95" t="e">
        <f>SUMIFS([1]Табель!K:K,[1]Табель!E:E,C46,[1]Табель!B:B,"&gt;="&amp;$Y$24,[1]Табель!B:B,"&lt;"&amp;$Y$25,[1]Табель!F:F,I46)</f>
        <v>#VALUE!</v>
      </c>
      <c r="M46" s="96" t="e">
        <f>SUMIFS([1]Табель!L:L,[1]Табель!E:E,C46,[1]Табель!B:B,"&gt;="&amp;$Y$24,[1]Табель!B:B,"&lt;"&amp;$Y$25,[1]Табель!F:F,I46)</f>
        <v>#VALUE!</v>
      </c>
      <c r="N46" s="200"/>
      <c r="O46" s="262" t="e">
        <f t="shared" si="7"/>
        <v>#VALUE!</v>
      </c>
      <c r="Q46" s="282" t="e">
        <f t="shared" si="13"/>
        <v>#VALUE!</v>
      </c>
      <c r="R46" s="120" t="e">
        <f t="shared" si="8"/>
        <v>#VALUE!</v>
      </c>
      <c r="S46" s="120" t="e">
        <f t="shared" si="9"/>
        <v>#VALUE!</v>
      </c>
      <c r="T46" s="120" t="e">
        <f t="shared" si="10"/>
        <v>#VALUE!</v>
      </c>
      <c r="U46" s="120" t="e">
        <f t="shared" si="12"/>
        <v>#VALUE!</v>
      </c>
      <c r="V46" s="222" t="e">
        <f t="shared" si="11"/>
        <v>#VALUE!</v>
      </c>
      <c r="W46" s="432"/>
    </row>
    <row r="47" spans="2:25" ht="15" hidden="1" outlineLevel="1" thickBot="1" x14ac:dyDescent="0.35">
      <c r="B47" s="75">
        <v>15</v>
      </c>
      <c r="C47" s="109" t="s">
        <v>379</v>
      </c>
      <c r="D47" s="115" t="str">
        <f>INDEX([1]ИНФО!C:C,MATCH(C47,[1]ИНФО!B:B,0))</f>
        <v>Шамоян Агмад Даватевич</v>
      </c>
      <c r="E47" s="129">
        <v>9500</v>
      </c>
      <c r="F47" s="78" t="e">
        <f>SUMIFS([1]Табель!J:J,[1]Табель!E:E,C47,[1]Табель!B:B,"&gt;="&amp;$Y$24,[1]Табель!B:B,"&lt;"&amp;$Y$25,[1]Табель!F:F,'МЕХАНИЗАТОРЫ ноябрь'!I47)</f>
        <v>#VALUE!</v>
      </c>
      <c r="G47" s="78"/>
      <c r="H47" s="78"/>
      <c r="I47" s="78" t="s">
        <v>86</v>
      </c>
      <c r="J47" s="130">
        <f>INDEX([1]ИНФО_СПЕЦТЕХНИКА!$F$4:$F$23,MATCH(I47,[1]ИНФО_СПЕЦТЕХНИКА!$D$4:$D$23,0))</f>
        <v>140</v>
      </c>
      <c r="K47" s="79">
        <v>100</v>
      </c>
      <c r="L47" s="79" t="e">
        <f>SUMIFS([1]Табель!K:K,[1]Табель!E:E,C47,[1]Табель!B:B,"&gt;="&amp;$Y$24,[1]Табель!B:B,"&lt;"&amp;$Y$25,[1]Табель!F:F,I47)</f>
        <v>#VALUE!</v>
      </c>
      <c r="M47" s="80" t="e">
        <f>SUMIFS([1]Табель!L:L,[1]Табель!E:E,C47,[1]Табель!B:B,"&gt;="&amp;$Y$24,[1]Табель!B:B,"&lt;"&amp;$Y$25,[1]Табель!F:F,I47)</f>
        <v>#VALUE!</v>
      </c>
      <c r="N47" s="198"/>
      <c r="O47" s="260" t="e">
        <f t="shared" si="7"/>
        <v>#VALUE!</v>
      </c>
      <c r="Q47" s="280" t="e">
        <f t="shared" si="13"/>
        <v>#VALUE!</v>
      </c>
      <c r="R47" s="120">
        <f t="shared" si="8"/>
        <v>2090</v>
      </c>
      <c r="S47" s="120">
        <f t="shared" si="9"/>
        <v>1852.5</v>
      </c>
      <c r="T47" s="120">
        <f t="shared" si="10"/>
        <v>7647.5</v>
      </c>
      <c r="U47" s="121">
        <f t="shared" si="12"/>
        <v>-11590</v>
      </c>
      <c r="V47" s="222" t="e">
        <f t="shared" si="11"/>
        <v>#VALUE!</v>
      </c>
      <c r="W47" s="432"/>
    </row>
    <row r="48" spans="2:25" s="107" customFormat="1" ht="27.6" hidden="1" customHeight="1" outlineLevel="1" thickBot="1" x14ac:dyDescent="0.35">
      <c r="B48" s="99"/>
      <c r="C48" s="100" t="s">
        <v>468</v>
      </c>
      <c r="D48" s="101"/>
      <c r="E48" s="102" t="e">
        <f>SUM(E30:E47)</f>
        <v>#VALUE!</v>
      </c>
      <c r="F48" s="103" t="e">
        <f>SUM(F30:F47)</f>
        <v>#VALUE!</v>
      </c>
      <c r="G48" s="103"/>
      <c r="H48" s="103"/>
      <c r="I48" s="103"/>
      <c r="J48" s="104"/>
      <c r="K48" s="104"/>
      <c r="L48" s="105" t="e">
        <f>SUM(L30:L47)</f>
        <v>#VALUE!</v>
      </c>
      <c r="M48" s="106" t="e">
        <f>SUM(M30:M47)</f>
        <v>#VALUE!</v>
      </c>
      <c r="N48" s="201"/>
      <c r="O48" s="263" t="e">
        <f>SUM(O30:O47)</f>
        <v>#VALUE!</v>
      </c>
      <c r="P48" s="225"/>
      <c r="Q48" s="278" t="e">
        <f t="shared" ref="Q48:V48" si="14">SUM(Q30:Q47)</f>
        <v>#VALUE!</v>
      </c>
      <c r="R48" s="102" t="e">
        <f t="shared" si="14"/>
        <v>#VALUE!</v>
      </c>
      <c r="S48" s="102" t="e">
        <f t="shared" si="14"/>
        <v>#VALUE!</v>
      </c>
      <c r="T48" s="102" t="e">
        <f t="shared" si="14"/>
        <v>#VALUE!</v>
      </c>
      <c r="U48" s="102" t="e">
        <f t="shared" si="14"/>
        <v>#VALUE!</v>
      </c>
      <c r="V48" s="220" t="e">
        <f t="shared" si="14"/>
        <v>#VALUE!</v>
      </c>
      <c r="W48" s="431"/>
    </row>
    <row r="49" spans="2:25" hidden="1" outlineLevel="1" x14ac:dyDescent="0.3"/>
    <row r="50" spans="2:25" hidden="1" outlineLevel="1" x14ac:dyDescent="0.3">
      <c r="Y50" s="428">
        <v>45231</v>
      </c>
    </row>
    <row r="51" spans="2:25" hidden="1" outlineLevel="1" x14ac:dyDescent="0.3">
      <c r="P51" s="288"/>
      <c r="Y51" s="428">
        <v>45261</v>
      </c>
    </row>
    <row r="52" spans="2:25" hidden="1" outlineLevel="1" collapsed="1" x14ac:dyDescent="0.3">
      <c r="P52" s="288"/>
    </row>
    <row r="53" spans="2:25" ht="18.600000000000001" hidden="1" customHeight="1" outlineLevel="1" collapsed="1" x14ac:dyDescent="0.35">
      <c r="B53" s="591" t="str">
        <f>"ЧАСЫ ["&amp;CHAR(10)&amp;TEXT(Y50,"[$-419]ММММ ГГГГ")&amp;"]"</f>
        <v>ЧАСЫ [
Ноябрь 2023]</v>
      </c>
      <c r="C53" s="591"/>
      <c r="D53" s="591"/>
      <c r="E53" s="591"/>
      <c r="F53" s="591"/>
      <c r="G53" s="591"/>
      <c r="H53" s="591"/>
      <c r="I53" s="591"/>
      <c r="J53" s="591"/>
      <c r="K53" s="591"/>
      <c r="L53" s="591"/>
      <c r="M53" s="591"/>
      <c r="N53" s="591"/>
      <c r="O53" s="591"/>
      <c r="P53" s="591"/>
      <c r="Q53" s="591"/>
      <c r="R53" s="591"/>
      <c r="S53" s="591"/>
      <c r="T53" s="591"/>
      <c r="U53" s="591"/>
      <c r="V53" s="591"/>
      <c r="W53" s="316"/>
    </row>
    <row r="54" spans="2:25" s="107" customFormat="1" ht="23.4" hidden="1" customHeight="1" outlineLevel="1" x14ac:dyDescent="0.3">
      <c r="B54" s="133"/>
      <c r="C54" s="133"/>
      <c r="D54" s="133"/>
      <c r="E54" s="133"/>
      <c r="F54" s="134" t="e">
        <f>SUBTOTAL(9,F57:F76)</f>
        <v>#VALUE!</v>
      </c>
      <c r="G54" s="187"/>
      <c r="H54" s="187"/>
      <c r="I54" s="133"/>
      <c r="J54" s="133"/>
      <c r="K54" s="133"/>
      <c r="L54" s="135" t="e">
        <f>SUBTOTAL(9,L57:L76)</f>
        <v>#VALUE!</v>
      </c>
      <c r="M54" s="135" t="e">
        <f>SUBTOTAL(9,M57:M76)</f>
        <v>#VALUE!</v>
      </c>
      <c r="N54" s="135"/>
      <c r="O54" s="265" t="e">
        <f>SUBTOTAL(9,O57:O76)</f>
        <v>#VALUE!</v>
      </c>
      <c r="P54" s="290"/>
      <c r="Q54" s="133"/>
      <c r="R54" s="133"/>
      <c r="S54" s="133"/>
      <c r="T54" s="133"/>
      <c r="U54" s="133"/>
      <c r="V54" s="133"/>
      <c r="W54" s="133"/>
    </row>
    <row r="55" spans="2:25" ht="3.75" hidden="1" customHeight="1" outlineLevel="1" x14ac:dyDescent="0.3">
      <c r="B55" s="68"/>
      <c r="C55" s="68"/>
      <c r="D55" s="68"/>
      <c r="E55" s="68"/>
      <c r="F55" s="69"/>
      <c r="G55" s="69"/>
      <c r="H55" s="69"/>
      <c r="I55" s="69"/>
      <c r="J55" s="68"/>
      <c r="K55" s="68"/>
      <c r="L55" s="68"/>
      <c r="M55" s="68"/>
      <c r="N55" s="68"/>
      <c r="O55" s="68"/>
      <c r="P55" s="288"/>
    </row>
    <row r="56" spans="2:25" s="73" customFormat="1" ht="58.2" hidden="1" outlineLevel="1" thickBot="1" x14ac:dyDescent="0.35">
      <c r="B56" s="70" t="s">
        <v>452</v>
      </c>
      <c r="C56" s="70" t="s">
        <v>448</v>
      </c>
      <c r="D56" s="70" t="s">
        <v>469</v>
      </c>
      <c r="E56" s="70" t="s">
        <v>476</v>
      </c>
      <c r="F56" s="71" t="s">
        <v>454</v>
      </c>
      <c r="G56" s="71"/>
      <c r="H56" s="71"/>
      <c r="I56" s="70" t="s">
        <v>471</v>
      </c>
      <c r="J56" s="70" t="s">
        <v>456</v>
      </c>
      <c r="K56" s="70" t="s">
        <v>457</v>
      </c>
      <c r="L56" s="70" t="s">
        <v>235</v>
      </c>
      <c r="M56" s="72" t="s">
        <v>458</v>
      </c>
      <c r="N56" s="197"/>
      <c r="O56" s="259" t="s">
        <v>459</v>
      </c>
      <c r="P56" s="289"/>
      <c r="Q56" s="272" t="s">
        <v>460</v>
      </c>
      <c r="R56" s="74" t="s">
        <v>461</v>
      </c>
      <c r="S56" s="74" t="s">
        <v>462</v>
      </c>
      <c r="T56" s="74" t="s">
        <v>463</v>
      </c>
      <c r="U56" s="70" t="s">
        <v>472</v>
      </c>
      <c r="V56" s="404" t="s">
        <v>464</v>
      </c>
    </row>
    <row r="57" spans="2:25" hidden="1" outlineLevel="1" x14ac:dyDescent="0.3">
      <c r="B57" s="75">
        <v>1</v>
      </c>
      <c r="C57" s="131" t="s">
        <v>246</v>
      </c>
      <c r="D57" s="109" t="str">
        <f>INDEX([1]ИНФО!C:C,MATCH(C57,[1]ИНФО!B:B,0))</f>
        <v>Болох Володимир Васильович</v>
      </c>
      <c r="E57" s="136">
        <v>9500</v>
      </c>
      <c r="F57" s="87" t="e">
        <f>SUMIFS([1]Табель!J:J,[1]Табель!E:E,C57,[1]Табель!B:B,"&gt;="&amp;$Y$50,[1]Табель!B:B,"&lt;"&amp;$Y$51,[1]Табель!F:F,'МЕХАНИЗАТОРЫ ноябрь'!I57)</f>
        <v>#VALUE!</v>
      </c>
      <c r="G57" s="78"/>
      <c r="H57" s="78"/>
      <c r="I57" s="78" t="s">
        <v>69</v>
      </c>
      <c r="J57" s="111">
        <f>INDEX([1]ИНФО_СПЕЦТЕХНИКА!$F$4:$F$23,MATCH(I57,[1]ИНФО_СПЕЦТЕХНИКА!$D$4:$D$23,0))</f>
        <v>180</v>
      </c>
      <c r="K57" s="88">
        <v>100</v>
      </c>
      <c r="L57" s="88" t="e">
        <f>SUMIFS([1]Табель!K:K,[1]Табель!E:E,C57,[1]Табель!B:B,"&gt;="&amp;$Y$50,[1]Табель!B:B,"&lt;"&amp;$Y$51,[1]Табель!F:F,I57)</f>
        <v>#VALUE!</v>
      </c>
      <c r="M57" s="89" t="e">
        <f>SUMIFS([1]Табель!L:L,[1]Табель!E:E,C57,[1]Табель!B:B,"&gt;="&amp;$Y$50,[1]Табель!B:B,"&lt;"&amp;$Y$51,[1]Табель!F:F,I57)</f>
        <v>#VALUE!</v>
      </c>
      <c r="N57" s="199"/>
      <c r="O57" s="261" t="e">
        <f t="shared" ref="O57:O76" si="15">F57-L57-M57</f>
        <v>#VALUE!</v>
      </c>
      <c r="Q57" s="283" t="e">
        <f>O57*J57+(L57+M57)*K57</f>
        <v>#VALUE!</v>
      </c>
      <c r="R57" s="110">
        <f t="shared" ref="R57:R76" si="16">ROUND(E57*0.22,2)</f>
        <v>2090</v>
      </c>
      <c r="S57" s="110">
        <f t="shared" ref="S57:S76" si="17">E57*0.195</f>
        <v>1852.5</v>
      </c>
      <c r="T57" s="110">
        <f t="shared" ref="T57:T76" si="18">E57-S57</f>
        <v>7647.5</v>
      </c>
      <c r="U57" s="112">
        <f>-ROUND((R57+E57),2)</f>
        <v>-11590</v>
      </c>
      <c r="V57" s="221" t="e">
        <f t="shared" ref="V57:V76" si="19">Q57-T57</f>
        <v>#VALUE!</v>
      </c>
      <c r="W57" s="432"/>
    </row>
    <row r="58" spans="2:25" ht="15" hidden="1" outlineLevel="1" thickBot="1" x14ac:dyDescent="0.35">
      <c r="B58" s="113">
        <v>2</v>
      </c>
      <c r="C58" s="114" t="s">
        <v>465</v>
      </c>
      <c r="D58" s="115">
        <f>INDEX([1]ИНФО!C:C,MATCH(C58,[1]ИНФО!B:B,0))</f>
        <v>0</v>
      </c>
      <c r="E58" s="137"/>
      <c r="F58" s="94" t="e">
        <f>SUMIFS([1]Табель!J:J,[1]Табель!E:E,C58,[1]Табель!B:B,"&gt;="&amp;$Y$50,[1]Табель!B:B,"&lt;"&amp;$Y$51,[1]Табель!F:F,'МЕХАНИЗАТОРЫ ноябрь'!I58)</f>
        <v>#VALUE!</v>
      </c>
      <c r="G58" s="117"/>
      <c r="H58" s="117"/>
      <c r="I58" s="117" t="s">
        <v>447</v>
      </c>
      <c r="J58" s="118">
        <f>INDEX([1]ИНФО_СПЕЦТЕХНИКА!$F$4:$F$23,MATCH(I58,[1]ИНФО_СПЕЦТЕХНИКА!$D$4:$D$23,0))</f>
        <v>170</v>
      </c>
      <c r="K58" s="119">
        <v>100</v>
      </c>
      <c r="L58" s="95" t="e">
        <f>SUMIFS([1]Табель!K:K,[1]Табель!E:E,C58,[1]Табель!B:B,"&gt;="&amp;$Y$50,[1]Табель!B:B,"&lt;"&amp;$Y$51,[1]Табель!F:F,I58)</f>
        <v>#VALUE!</v>
      </c>
      <c r="M58" s="96" t="e">
        <f>SUMIFS([1]Табель!L:L,[1]Табель!E:E,C58,[1]Табель!B:B,"&gt;="&amp;$Y$50,[1]Табель!B:B,"&lt;"&amp;$Y$51,[1]Табель!F:F,I58)</f>
        <v>#VALUE!</v>
      </c>
      <c r="N58" s="200"/>
      <c r="O58" s="262" t="e">
        <f t="shared" si="15"/>
        <v>#VALUE!</v>
      </c>
      <c r="Q58" s="280" t="e">
        <f>O58*J58+(L58+M58)*K58</f>
        <v>#VALUE!</v>
      </c>
      <c r="R58" s="120">
        <f t="shared" si="16"/>
        <v>0</v>
      </c>
      <c r="S58" s="120">
        <f t="shared" si="17"/>
        <v>0</v>
      </c>
      <c r="T58" s="120">
        <f t="shared" si="18"/>
        <v>0</v>
      </c>
      <c r="U58" s="120">
        <f t="shared" ref="U58:U76" si="20">-ROUND((R58+E58),2)</f>
        <v>0</v>
      </c>
      <c r="V58" s="222" t="e">
        <f t="shared" si="19"/>
        <v>#VALUE!</v>
      </c>
      <c r="W58" s="432"/>
    </row>
    <row r="59" spans="2:25" hidden="1" outlineLevel="1" x14ac:dyDescent="0.3">
      <c r="B59" s="595">
        <v>3</v>
      </c>
      <c r="C59" s="122" t="s">
        <v>249</v>
      </c>
      <c r="D59" s="122" t="str">
        <f>INDEX([1]ИНФО!C:C,MATCH(C59,[1]ИНФО!B:B,0))</f>
        <v>Борисенко Олексій Миколайович</v>
      </c>
      <c r="E59" s="597">
        <v>9500</v>
      </c>
      <c r="F59" s="123" t="e">
        <f>SUMIFS([1]Табель!J:J,[1]Табель!E:E,C59,[1]Табель!B:B,"&gt;="&amp;$Y$50,[1]Табель!B:B,"&lt;"&amp;$Y$51,[1]Табель!F:F,'МЕХАНИЗАТОРЫ ноябрь'!I59)</f>
        <v>#VALUE!</v>
      </c>
      <c r="G59" s="123"/>
      <c r="H59" s="123"/>
      <c r="I59" s="123" t="s">
        <v>0</v>
      </c>
      <c r="J59" s="124">
        <f>INDEX([1]ИНФО_СПЕЦТЕХНИКА!$F$4:$F$23,MATCH(I59,[1]ИНФО_СПЕЦТЕХНИКА!$D$4:$D$23,0))</f>
        <v>170</v>
      </c>
      <c r="K59" s="125">
        <v>100</v>
      </c>
      <c r="L59" s="125" t="e">
        <f>SUMIFS([1]Табель!K:K,[1]Табель!E:E,C59,[1]Табель!B:B,"&gt;="&amp;$Y$50,[1]Табель!B:B,"&lt;"&amp;$Y$51,[1]Табель!F:F,I59)</f>
        <v>#VALUE!</v>
      </c>
      <c r="M59" s="126" t="e">
        <f>SUMIFS([1]Табель!L:L,[1]Табель!E:E,C59,[1]Табель!B:B,"&gt;="&amp;$Y$50,[1]Табель!B:B,"&lt;"&amp;$Y$51,[1]Табель!F:F,I59)</f>
        <v>#VALUE!</v>
      </c>
      <c r="N59" s="202"/>
      <c r="O59" s="264" t="e">
        <f t="shared" si="15"/>
        <v>#VALUE!</v>
      </c>
      <c r="Q59" s="281" t="e">
        <f t="shared" ref="Q59:Q76" si="21">O59*J59+(L59+M59)*K59</f>
        <v>#VALUE!</v>
      </c>
      <c r="R59" s="127" t="e">
        <f>ROUND(E59*(Q59/(SUM(Q59:Q60)))*0.22,2)</f>
        <v>#VALUE!</v>
      </c>
      <c r="S59" s="127" t="e">
        <f>ROUND(E59*(Q59/(SUM(Q59:Q60)))*0.195,2)</f>
        <v>#VALUE!</v>
      </c>
      <c r="T59" s="127" t="e">
        <f>E59*Q59/(Q59+Q60)-S59</f>
        <v>#VALUE!</v>
      </c>
      <c r="U59" s="128" t="e">
        <f>-ROUND((R59+E59*Q59/(Q59+Q60)),2)</f>
        <v>#VALUE!</v>
      </c>
      <c r="V59" s="223" t="e">
        <f t="shared" si="19"/>
        <v>#VALUE!</v>
      </c>
      <c r="W59" s="432"/>
    </row>
    <row r="60" spans="2:25" ht="15" hidden="1" outlineLevel="1" thickBot="1" x14ac:dyDescent="0.35">
      <c r="B60" s="596"/>
      <c r="C60" s="114" t="s">
        <v>249</v>
      </c>
      <c r="D60" s="115" t="str">
        <f>INDEX([1]ИНФО!C:C,MATCH(C60,[1]ИНФО!B:B,0))</f>
        <v>Борисенко Олексій Миколайович</v>
      </c>
      <c r="E60" s="598"/>
      <c r="F60" s="94" t="e">
        <f>SUMIFS([1]Табель!J:J,[1]Табель!E:E,C60,[1]Табель!B:B,"&gt;="&amp;$Y$50,[1]Табель!B:B,"&lt;"&amp;$Y$51,[1]Табель!F:F,'МЕХАНИЗАТОРЫ ноябрь'!I60)</f>
        <v>#VALUE!</v>
      </c>
      <c r="G60" s="117"/>
      <c r="H60" s="117"/>
      <c r="I60" s="117" t="s">
        <v>473</v>
      </c>
      <c r="J60" s="118">
        <f>INDEX([1]ИНФО_СПЕЦТЕХНИКА!$F$4:$F$23,MATCH(I60,[1]ИНФО_СПЕЦТЕХНИКА!$D$4:$D$23,0))</f>
        <v>180</v>
      </c>
      <c r="K60" s="95">
        <v>100</v>
      </c>
      <c r="L60" s="95" t="e">
        <f>SUMIFS([1]Табель!K:K,[1]Табель!E:E,C60,[1]Табель!B:B,"&gt;="&amp;$Y$50,[1]Табель!B:B,"&lt;"&amp;$Y$51,[1]Табель!F:F,I60)</f>
        <v>#VALUE!</v>
      </c>
      <c r="M60" s="96" t="e">
        <f>SUMIFS([1]Табель!L:L,[1]Табель!E:E,C60,[1]Табель!B:B,"&gt;="&amp;$Y$50,[1]Табель!B:B,"&lt;"&amp;$Y$51,[1]Табель!F:F,I60)</f>
        <v>#VALUE!</v>
      </c>
      <c r="N60" s="200"/>
      <c r="O60" s="262" t="e">
        <f t="shared" si="15"/>
        <v>#VALUE!</v>
      </c>
      <c r="Q60" s="282" t="e">
        <f t="shared" si="21"/>
        <v>#VALUE!</v>
      </c>
      <c r="R60" s="120" t="e">
        <f>ROUND(E59*(Q60/(SUM(Q59:Q60)))*0.22,2)</f>
        <v>#VALUE!</v>
      </c>
      <c r="S60" s="120" t="e">
        <f>ROUND(E59*(Q60/(SUM(Q59:Q60)))*0.195,2)</f>
        <v>#VALUE!</v>
      </c>
      <c r="T60" s="120" t="e">
        <f>E59*Q60/(Q59+Q60)-S60</f>
        <v>#VALUE!</v>
      </c>
      <c r="U60" s="121" t="e">
        <f>-ROUND((R60+E59*Q60/(Q59+Q60)),2)</f>
        <v>#VALUE!</v>
      </c>
      <c r="V60" s="222" t="e">
        <f t="shared" si="19"/>
        <v>#VALUE!</v>
      </c>
      <c r="W60" s="432"/>
    </row>
    <row r="61" spans="2:25" hidden="1" outlineLevel="1" x14ac:dyDescent="0.3">
      <c r="B61" s="75">
        <v>4</v>
      </c>
      <c r="C61" s="109" t="s">
        <v>250</v>
      </c>
      <c r="D61" s="109" t="str">
        <f>INDEX([1]ИНФО!C:C,MATCH(C61,[1]ИНФО!B:B,0))</f>
        <v>Божков Валерій Вікторович</v>
      </c>
      <c r="E61" s="112"/>
      <c r="F61" s="78" t="e">
        <f>SUMIFS([1]Табель!J:J,[1]Табель!E:E,C61,[1]Табель!B:B,"&gt;="&amp;$Y$50,[1]Табель!B:B,"&lt;"&amp;$Y$51,[1]Табель!F:F,'МЕХАНИЗАТОРЫ ноябрь'!I61)</f>
        <v>#VALUE!</v>
      </c>
      <c r="G61" s="78"/>
      <c r="H61" s="78"/>
      <c r="I61" s="78" t="s">
        <v>75</v>
      </c>
      <c r="J61" s="130">
        <f>INDEX([1]ИНФО_СПЕЦТЕХНИКА!$F$4:$F$23,MATCH(I61,[1]ИНФО_СПЕЦТЕХНИКА!$D$4:$D$23,0))</f>
        <v>140</v>
      </c>
      <c r="K61" s="79">
        <v>100</v>
      </c>
      <c r="L61" s="79" t="e">
        <f>SUMIFS([1]Табель!K:K,[1]Табель!E:E,C61,[1]Табель!B:B,"&gt;="&amp;$Y$50,[1]Табель!B:B,"&lt;"&amp;$Y$51,[1]Табель!F:F,I61)</f>
        <v>#VALUE!</v>
      </c>
      <c r="M61" s="80" t="e">
        <f>SUMIFS([1]Табель!L:L,[1]Табель!E:E,C61,[1]Табель!B:B,"&gt;="&amp;$Y$50,[1]Табель!B:B,"&lt;"&amp;$Y$51,[1]Табель!F:F,I61)</f>
        <v>#VALUE!</v>
      </c>
      <c r="N61" s="198"/>
      <c r="O61" s="260" t="e">
        <f t="shared" si="15"/>
        <v>#VALUE!</v>
      </c>
      <c r="Q61" s="279" t="e">
        <f t="shared" si="21"/>
        <v>#VALUE!</v>
      </c>
      <c r="R61" s="110">
        <f t="shared" si="16"/>
        <v>0</v>
      </c>
      <c r="S61" s="110">
        <f t="shared" si="17"/>
        <v>0</v>
      </c>
      <c r="T61" s="110">
        <f t="shared" si="18"/>
        <v>0</v>
      </c>
      <c r="U61" s="110">
        <f t="shared" si="20"/>
        <v>0</v>
      </c>
      <c r="V61" s="221" t="e">
        <f t="shared" si="19"/>
        <v>#VALUE!</v>
      </c>
      <c r="W61" s="432"/>
    </row>
    <row r="62" spans="2:25" hidden="1" outlineLevel="1" x14ac:dyDescent="0.3">
      <c r="B62" s="75">
        <v>5</v>
      </c>
      <c r="C62" s="131" t="s">
        <v>247</v>
      </c>
      <c r="D62" s="109" t="str">
        <f>INDEX([1]ИНФО!C:C,MATCH(C62,[1]ИНФО!B:B,0))</f>
        <v>Бунтило Віталій Іванович</v>
      </c>
      <c r="E62" s="136">
        <v>4750</v>
      </c>
      <c r="F62" s="87" t="e">
        <f>SUMIFS([1]Табель!J:J,[1]Табель!E:E,C62,[1]Табель!B:B,"&gt;="&amp;$Y$50,[1]Табель!B:B,"&lt;"&amp;$Y$51,[1]Табель!F:F,'МЕХАНИЗАТОРЫ ноябрь'!I62)</f>
        <v>#VALUE!</v>
      </c>
      <c r="G62" s="78"/>
      <c r="H62" s="78"/>
      <c r="I62" s="78" t="s">
        <v>440</v>
      </c>
      <c r="J62" s="111">
        <f>INDEX([1]ИНФО_СПЕЦТЕХНИКА!$F$4:$F$23,MATCH(I62,[1]ИНФО_СПЕЦТЕХНИКА!$D$4:$D$23,0))</f>
        <v>140</v>
      </c>
      <c r="K62" s="88">
        <v>100</v>
      </c>
      <c r="L62" s="88" t="e">
        <f>SUMIFS([1]Табель!K:K,[1]Табель!E:E,C62,[1]Табель!B:B,"&gt;="&amp;$Y$50,[1]Табель!B:B,"&lt;"&amp;$Y$51,[1]Табель!F:F,I62)</f>
        <v>#VALUE!</v>
      </c>
      <c r="M62" s="89" t="e">
        <f>SUMIFS([1]Табель!L:L,[1]Табель!E:E,C62,[1]Табель!B:B,"&gt;="&amp;$Y$50,[1]Табель!B:B,"&lt;"&amp;$Y$51,[1]Табель!F:F,I62)</f>
        <v>#VALUE!</v>
      </c>
      <c r="N62" s="199"/>
      <c r="O62" s="261" t="e">
        <f t="shared" si="15"/>
        <v>#VALUE!</v>
      </c>
      <c r="Q62" s="283" t="e">
        <f t="shared" si="21"/>
        <v>#VALUE!</v>
      </c>
      <c r="R62" s="110">
        <f t="shared" si="16"/>
        <v>1045</v>
      </c>
      <c r="S62" s="110">
        <f t="shared" si="17"/>
        <v>926.25</v>
      </c>
      <c r="T62" s="110">
        <f t="shared" si="18"/>
        <v>3823.75</v>
      </c>
      <c r="U62" s="112">
        <f t="shared" si="20"/>
        <v>-5795</v>
      </c>
      <c r="V62" s="221" t="e">
        <f t="shared" si="19"/>
        <v>#VALUE!</v>
      </c>
      <c r="W62" s="432"/>
    </row>
    <row r="63" spans="2:25" hidden="1" outlineLevel="1" x14ac:dyDescent="0.3">
      <c r="B63" s="75">
        <v>6</v>
      </c>
      <c r="C63" s="131" t="s">
        <v>375</v>
      </c>
      <c r="D63" s="109" t="str">
        <f>INDEX([1]ИНФО!C:C,MATCH(C63,[1]ИНФО!B:B,0))</f>
        <v>Савранский Іван Володимирович</v>
      </c>
      <c r="E63" s="136">
        <v>4318.18</v>
      </c>
      <c r="F63" s="87" t="e">
        <f>SUMIFS([1]Табель!J:J,[1]Табель!E:E,C63,[1]Табель!B:B,"&gt;="&amp;$Y$50,[1]Табель!B:B,"&lt;"&amp;$Y$51,[1]Табель!F:F,'МЕХАНИЗАТОРЫ ноябрь'!I63)</f>
        <v>#VALUE!</v>
      </c>
      <c r="G63" s="78"/>
      <c r="H63" s="78"/>
      <c r="I63" s="78" t="s">
        <v>442</v>
      </c>
      <c r="J63" s="111">
        <f>INDEX([1]ИНФО_СПЕЦТЕХНИКА!$F$4:$F$23,MATCH(I63,[1]ИНФО_СПЕЦТЕХНИКА!$D$4:$D$23,0))</f>
        <v>170</v>
      </c>
      <c r="K63" s="88">
        <v>100</v>
      </c>
      <c r="L63" s="88" t="e">
        <f>SUMIFS([1]Табель!K:K,[1]Табель!E:E,C63,[1]Табель!B:B,"&gt;="&amp;$Y$50,[1]Табель!B:B,"&lt;"&amp;$Y$51,[1]Табель!F:F,I63)</f>
        <v>#VALUE!</v>
      </c>
      <c r="M63" s="89" t="e">
        <f>SUMIFS([1]Табель!L:L,[1]Табель!E:E,C63,[1]Табель!B:B,"&gt;="&amp;$Y$50,[1]Табель!B:B,"&lt;"&amp;$Y$51,[1]Табель!F:F,I63)</f>
        <v>#VALUE!</v>
      </c>
      <c r="N63" s="199"/>
      <c r="O63" s="261" t="e">
        <f t="shared" si="15"/>
        <v>#VALUE!</v>
      </c>
      <c r="Q63" s="283" t="e">
        <f t="shared" si="21"/>
        <v>#VALUE!</v>
      </c>
      <c r="R63" s="110">
        <f t="shared" si="16"/>
        <v>950</v>
      </c>
      <c r="S63" s="110">
        <f t="shared" si="17"/>
        <v>842.04510000000005</v>
      </c>
      <c r="T63" s="110">
        <f t="shared" si="18"/>
        <v>3476.1349</v>
      </c>
      <c r="U63" s="112">
        <f t="shared" si="20"/>
        <v>-5268.18</v>
      </c>
      <c r="V63" s="221" t="e">
        <f t="shared" si="19"/>
        <v>#VALUE!</v>
      </c>
      <c r="W63" s="432"/>
    </row>
    <row r="64" spans="2:25" hidden="1" outlineLevel="1" x14ac:dyDescent="0.3">
      <c r="B64" s="75">
        <v>7</v>
      </c>
      <c r="C64" s="131" t="s">
        <v>372</v>
      </c>
      <c r="D64" s="109" t="str">
        <f>INDEX([1]ИНФО!C:C,MATCH(C64,[1]ИНФО!B:B,0))</f>
        <v>Горячий Іван Васильович</v>
      </c>
      <c r="E64" s="136">
        <v>9880</v>
      </c>
      <c r="F64" s="87" t="e">
        <f>SUMIFS([1]Табель!J:J,[1]Табель!E:E,C64,[1]Табель!B:B,"&gt;="&amp;$Y$50,[1]Табель!B:B,"&lt;"&amp;$Y$51,[1]Табель!F:F,'МЕХАНИЗАТОРЫ ноябрь'!I64)</f>
        <v>#VALUE!</v>
      </c>
      <c r="G64" s="78"/>
      <c r="H64" s="78"/>
      <c r="I64" s="78" t="s">
        <v>442</v>
      </c>
      <c r="J64" s="111">
        <f>INDEX([1]ИНФО_СПЕЦТЕХНИКА!$F$4:$F$23,MATCH(I64,[1]ИНФО_СПЕЦТЕХНИКА!$D$4:$D$23,0))</f>
        <v>170</v>
      </c>
      <c r="K64" s="88">
        <v>100</v>
      </c>
      <c r="L64" s="88" t="e">
        <f>SUMIFS([1]Табель!K:K,[1]Табель!E:E,C64,[1]Табель!B:B,"&gt;="&amp;$Y$50,[1]Табель!B:B,"&lt;"&amp;$Y$51,[1]Табель!F:F,I64)</f>
        <v>#VALUE!</v>
      </c>
      <c r="M64" s="89" t="e">
        <f>SUMIFS([1]Табель!L:L,[1]Табель!E:E,C64,[1]Табель!B:B,"&gt;="&amp;$Y$50,[1]Табель!B:B,"&lt;"&amp;$Y$51,[1]Табель!F:F,I64)</f>
        <v>#VALUE!</v>
      </c>
      <c r="N64" s="199"/>
      <c r="O64" s="261" t="e">
        <f t="shared" si="15"/>
        <v>#VALUE!</v>
      </c>
      <c r="Q64" s="283" t="e">
        <f t="shared" si="21"/>
        <v>#VALUE!</v>
      </c>
      <c r="R64" s="110">
        <f t="shared" si="16"/>
        <v>2173.6</v>
      </c>
      <c r="S64" s="110">
        <f t="shared" si="17"/>
        <v>1926.6000000000001</v>
      </c>
      <c r="T64" s="110">
        <f t="shared" si="18"/>
        <v>7953.4</v>
      </c>
      <c r="U64" s="112">
        <f t="shared" si="20"/>
        <v>-12053.6</v>
      </c>
      <c r="V64" s="221" t="e">
        <f t="shared" si="19"/>
        <v>#VALUE!</v>
      </c>
      <c r="W64" s="432"/>
    </row>
    <row r="65" spans="2:26" hidden="1" outlineLevel="1" x14ac:dyDescent="0.3">
      <c r="B65" s="138">
        <v>8</v>
      </c>
      <c r="C65" s="139" t="s">
        <v>245</v>
      </c>
      <c r="D65" s="139" t="str">
        <f>INDEX([1]ИНФО!C:C,MATCH(C65,[1]ИНФО!B:B,0))</f>
        <v>Зенкін Дмитро Юрійович</v>
      </c>
      <c r="E65" s="140">
        <v>9500</v>
      </c>
      <c r="F65" s="141" t="e">
        <f>SUMIFS([1]Табель!J:J,[1]Табель!E:E,C65,[1]Табель!B:B,"&gt;="&amp;$Y$50,[1]Табель!B:B,"&lt;"&amp;$Y$51,[1]Табель!F:F,'МЕХАНИЗАТОРЫ ноябрь'!I65)</f>
        <v>#VALUE!</v>
      </c>
      <c r="G65" s="142"/>
      <c r="H65" s="142"/>
      <c r="I65" s="142" t="s">
        <v>74</v>
      </c>
      <c r="J65" s="143">
        <f>INDEX([1]ИНФО_СПЕЦТЕХНИКА!$F$4:$F$23,MATCH(I65,[1]ИНФО_СПЕЦТЕХНИКА!$D$4:$D$23,0))</f>
        <v>170</v>
      </c>
      <c r="K65" s="144">
        <v>100</v>
      </c>
      <c r="L65" s="144" t="e">
        <f>SUMIFS([1]Табель!K:K,[1]Табель!E:E,C65,[1]Табель!B:B,"&gt;="&amp;$Y$50,[1]Табель!B:B,"&lt;"&amp;$Y$51,[1]Табель!F:F,I65)</f>
        <v>#VALUE!</v>
      </c>
      <c r="M65" s="145" t="e">
        <f>SUMIFS([1]Табель!L:L,[1]Табель!E:E,C65,[1]Табель!B:B,"&gt;="&amp;$Y$50,[1]Табель!B:B,"&lt;"&amp;$Y$51,[1]Табель!F:F,I65)</f>
        <v>#VALUE!</v>
      </c>
      <c r="N65" s="203"/>
      <c r="O65" s="266" t="e">
        <f t="shared" si="15"/>
        <v>#VALUE!</v>
      </c>
      <c r="Q65" s="284" t="e">
        <f t="shared" si="21"/>
        <v>#VALUE!</v>
      </c>
      <c r="R65" s="146">
        <f t="shared" si="16"/>
        <v>2090</v>
      </c>
      <c r="S65" s="146">
        <f t="shared" si="17"/>
        <v>1852.5</v>
      </c>
      <c r="T65" s="146">
        <f t="shared" si="18"/>
        <v>7647.5</v>
      </c>
      <c r="U65" s="147">
        <f t="shared" si="20"/>
        <v>-11590</v>
      </c>
      <c r="V65" s="224" t="e">
        <f t="shared" si="19"/>
        <v>#VALUE!</v>
      </c>
      <c r="W65" s="432"/>
    </row>
    <row r="66" spans="2:26" hidden="1" outlineLevel="1" x14ac:dyDescent="0.3">
      <c r="B66" s="148">
        <v>9</v>
      </c>
      <c r="C66" s="131" t="s">
        <v>244</v>
      </c>
      <c r="D66" s="131" t="str">
        <f>INDEX([1]ИНФО!C:C,MATCH(C66,[1]ИНФО!B:B,0))</f>
        <v>Карбунар Ярослав Дмитрович</v>
      </c>
      <c r="E66" s="149">
        <v>9880</v>
      </c>
      <c r="F66" s="87" t="e">
        <f>SUMIFS([1]Табель!J:J,[1]Табель!E:E,C66,[1]Табель!B:B,"&gt;="&amp;$Y$50,[1]Табель!B:B,"&lt;"&amp;$Y$51,[1]Табель!F:F,'МЕХАНИЗАТОРЫ ноябрь'!I66)</f>
        <v>#VALUE!</v>
      </c>
      <c r="G66" s="87"/>
      <c r="H66" s="87"/>
      <c r="I66" s="87" t="s">
        <v>443</v>
      </c>
      <c r="J66" s="111">
        <f>INDEX([1]ИНФО_СПЕЦТЕХНИКА!$F$4:$F$23,MATCH(I66,[1]ИНФО_СПЕЦТЕХНИКА!$D$4:$D$23,0))</f>
        <v>170</v>
      </c>
      <c r="K66" s="88">
        <v>100</v>
      </c>
      <c r="L66" s="88" t="e">
        <f>SUMIFS([1]Табель!K:K,[1]Табель!E:E,C66,[1]Табель!B:B,"&gt;="&amp;$Y$50,[1]Табель!B:B,"&lt;"&amp;$Y$51,[1]Табель!F:F,I66)</f>
        <v>#VALUE!</v>
      </c>
      <c r="M66" s="89" t="e">
        <f>SUMIFS([1]Табель!L:L,[1]Табель!E:E,C66,[1]Табель!B:B,"&gt;="&amp;$Y$50,[1]Табель!B:B,"&lt;"&amp;$Y$51,[1]Табель!F:F,I66)</f>
        <v>#VALUE!</v>
      </c>
      <c r="N66" s="199"/>
      <c r="O66" s="261" t="e">
        <f t="shared" si="15"/>
        <v>#VALUE!</v>
      </c>
      <c r="Q66" s="283" t="e">
        <f t="shared" si="21"/>
        <v>#VALUE!</v>
      </c>
      <c r="R66" s="150">
        <f t="shared" si="16"/>
        <v>2173.6</v>
      </c>
      <c r="S66" s="150">
        <f t="shared" si="17"/>
        <v>1926.6000000000001</v>
      </c>
      <c r="T66" s="150">
        <f t="shared" si="18"/>
        <v>7953.4</v>
      </c>
      <c r="U66" s="151">
        <f t="shared" si="20"/>
        <v>-12053.6</v>
      </c>
      <c r="V66" s="408" t="e">
        <f t="shared" si="19"/>
        <v>#VALUE!</v>
      </c>
      <c r="W66" s="432"/>
    </row>
    <row r="67" spans="2:26" hidden="1" outlineLevel="1" x14ac:dyDescent="0.3">
      <c r="B67" s="75">
        <v>10</v>
      </c>
      <c r="C67" s="109" t="s">
        <v>376</v>
      </c>
      <c r="D67" s="109" t="str">
        <f>INDEX([1]ИНФО!C:C,MATCH(C67,[1]ИНФО!B:B,0))</f>
        <v>Косік Юрій Анатолійович</v>
      </c>
      <c r="E67" s="136">
        <v>9880</v>
      </c>
      <c r="F67" s="78" t="e">
        <f>SUMIFS([1]Табель!J:J,[1]Табель!E:E,C67,[1]Табель!B:B,"&gt;="&amp;$Y$50,[1]Табель!B:B,"&lt;"&amp;$Y$51,[1]Табель!F:F,'МЕХАНИЗАТОРЫ ноябрь'!I67)</f>
        <v>#VALUE!</v>
      </c>
      <c r="G67" s="78"/>
      <c r="H67" s="78"/>
      <c r="I67" s="78" t="s">
        <v>444</v>
      </c>
      <c r="J67" s="130">
        <f>INDEX([1]ИНФО_СПЕЦТЕХНИКА!$F$4:$F$23,MATCH(I67,[1]ИНФО_СПЕЦТЕХНИКА!$D$4:$D$23,0))</f>
        <v>170</v>
      </c>
      <c r="K67" s="79">
        <v>100</v>
      </c>
      <c r="L67" s="79" t="e">
        <f>SUMIFS([1]Табель!K:K,[1]Табель!E:E,C67,[1]Табель!B:B,"&gt;="&amp;$Y$50,[1]Табель!B:B,"&lt;"&amp;$Y$51,[1]Табель!F:F,I67)</f>
        <v>#VALUE!</v>
      </c>
      <c r="M67" s="80" t="e">
        <f>SUMIFS([1]Табель!L:L,[1]Табель!E:E,C67,[1]Табель!B:B,"&gt;="&amp;$Y$50,[1]Табель!B:B,"&lt;"&amp;$Y$51,[1]Табель!F:F,I67)</f>
        <v>#VALUE!</v>
      </c>
      <c r="N67" s="198"/>
      <c r="O67" s="260" t="e">
        <f t="shared" si="15"/>
        <v>#VALUE!</v>
      </c>
      <c r="Q67" s="279" t="e">
        <f t="shared" si="21"/>
        <v>#VALUE!</v>
      </c>
      <c r="R67" s="110">
        <f t="shared" si="16"/>
        <v>2173.6</v>
      </c>
      <c r="S67" s="110">
        <f t="shared" si="17"/>
        <v>1926.6000000000001</v>
      </c>
      <c r="T67" s="110">
        <f t="shared" si="18"/>
        <v>7953.4</v>
      </c>
      <c r="U67" s="112">
        <f t="shared" si="20"/>
        <v>-12053.6</v>
      </c>
      <c r="V67" s="221" t="e">
        <f t="shared" si="19"/>
        <v>#VALUE!</v>
      </c>
      <c r="W67" s="432"/>
    </row>
    <row r="68" spans="2:26" hidden="1" outlineLevel="1" x14ac:dyDescent="0.3">
      <c r="B68" s="75">
        <v>11</v>
      </c>
      <c r="C68" s="131" t="s">
        <v>252</v>
      </c>
      <c r="D68" s="109">
        <f>INDEX([1]ИНФО!C:C,MATCH(C68,[1]ИНФО!B:B,0))</f>
        <v>0</v>
      </c>
      <c r="E68" s="136"/>
      <c r="F68" s="87" t="e">
        <f>SUMIFS([1]Табель!J:J,[1]Табель!E:E,C68,[1]Табель!B:B,"&gt;="&amp;$Y$50,[1]Табель!B:B,"&lt;"&amp;$Y$51,[1]Табель!F:F,'МЕХАНИЗАТОРЫ ноябрь'!I68)</f>
        <v>#VALUE!</v>
      </c>
      <c r="G68" s="78"/>
      <c r="H68" s="78"/>
      <c r="I68" s="78" t="s">
        <v>445</v>
      </c>
      <c r="J68" s="111">
        <f>INDEX([1]ИНФО_СПЕЦТЕХНИКА!$F$4:$F$23,MATCH(I68,[1]ИНФО_СПЕЦТЕХНИКА!$D$4:$D$23,0))</f>
        <v>140</v>
      </c>
      <c r="K68" s="88">
        <v>100</v>
      </c>
      <c r="L68" s="88" t="e">
        <f>SUMIFS([1]Табель!K:K,[1]Табель!E:E,C68,[1]Табель!B:B,"&gt;="&amp;$Y$50,[1]Табель!B:B,"&lt;"&amp;$Y$51,[1]Табель!F:F,I68)</f>
        <v>#VALUE!</v>
      </c>
      <c r="M68" s="89" t="e">
        <f>SUMIFS([1]Табель!L:L,[1]Табель!E:E,C68,[1]Табель!B:B,"&gt;="&amp;$Y$50,[1]Табель!B:B,"&lt;"&amp;$Y$51,[1]Табель!F:F,I68)</f>
        <v>#VALUE!</v>
      </c>
      <c r="N68" s="199"/>
      <c r="O68" s="261" t="e">
        <f t="shared" si="15"/>
        <v>#VALUE!</v>
      </c>
      <c r="Q68" s="283" t="e">
        <f t="shared" si="21"/>
        <v>#VALUE!</v>
      </c>
      <c r="R68" s="110">
        <f t="shared" si="16"/>
        <v>0</v>
      </c>
      <c r="S68" s="110">
        <f t="shared" si="17"/>
        <v>0</v>
      </c>
      <c r="T68" s="110">
        <f t="shared" si="18"/>
        <v>0</v>
      </c>
      <c r="U68" s="110">
        <f t="shared" si="20"/>
        <v>0</v>
      </c>
      <c r="V68" s="221" t="e">
        <f t="shared" si="19"/>
        <v>#VALUE!</v>
      </c>
      <c r="W68" s="432"/>
    </row>
    <row r="69" spans="2:26" hidden="1" outlineLevel="1" x14ac:dyDescent="0.3">
      <c r="B69" s="75">
        <v>12</v>
      </c>
      <c r="C69" s="131" t="s">
        <v>253</v>
      </c>
      <c r="D69" s="131" t="str">
        <f>INDEX([1]ИНФО!C:C,MATCH(C69,[1]ИНФО!B:B,0))</f>
        <v>Дучук Микола Федорович</v>
      </c>
      <c r="E69" s="152"/>
      <c r="F69" s="87" t="e">
        <f>SUMIFS([1]Табель!J:J,[1]Табель!E:E,C69,[1]Табель!B:B,"&gt;="&amp;$Y$50,[1]Табель!B:B,"&lt;"&amp;$Y$51,[1]Табель!F:F,'МЕХАНИЗАТОРЫ ноябрь'!I69)</f>
        <v>#VALUE!</v>
      </c>
      <c r="G69" s="78"/>
      <c r="H69" s="78"/>
      <c r="I69" s="78" t="s">
        <v>445</v>
      </c>
      <c r="J69" s="111">
        <f>INDEX([1]ИНФО_СПЕЦТЕХНИКА!$F$4:$F$23,MATCH(I69,[1]ИНФО_СПЕЦТЕХНИКА!$D$4:$D$23,0))</f>
        <v>140</v>
      </c>
      <c r="K69" s="88">
        <v>100</v>
      </c>
      <c r="L69" s="88" t="e">
        <f>SUMIFS([1]Табель!K:K,[1]Табель!E:E,C69,[1]Табель!B:B,"&gt;="&amp;$Y$50,[1]Табель!B:B,"&lt;"&amp;$Y$51,[1]Табель!F:F,I69)</f>
        <v>#VALUE!</v>
      </c>
      <c r="M69" s="89" t="e">
        <f>SUMIFS([1]Табель!L:L,[1]Табель!E:E,C69,[1]Табель!B:B,"&gt;="&amp;$Y$50,[1]Табель!B:B,"&lt;"&amp;$Y$51,[1]Табель!F:F,I69)</f>
        <v>#VALUE!</v>
      </c>
      <c r="N69" s="199"/>
      <c r="O69" s="261" t="e">
        <f t="shared" si="15"/>
        <v>#VALUE!</v>
      </c>
      <c r="Q69" s="283" t="e">
        <f t="shared" si="21"/>
        <v>#VALUE!</v>
      </c>
      <c r="R69" s="110">
        <f t="shared" si="16"/>
        <v>0</v>
      </c>
      <c r="S69" s="110">
        <f t="shared" si="17"/>
        <v>0</v>
      </c>
      <c r="T69" s="110">
        <f t="shared" si="18"/>
        <v>0</v>
      </c>
      <c r="U69" s="110">
        <f t="shared" si="20"/>
        <v>0</v>
      </c>
      <c r="V69" s="221" t="e">
        <f t="shared" si="19"/>
        <v>#VALUE!</v>
      </c>
      <c r="W69" s="432"/>
    </row>
    <row r="70" spans="2:26" hidden="1" outlineLevel="1" x14ac:dyDescent="0.3">
      <c r="B70" s="75">
        <f>B69+1</f>
        <v>13</v>
      </c>
      <c r="C70" s="109" t="s">
        <v>243</v>
      </c>
      <c r="D70" s="109" t="str">
        <f>INDEX([1]ИНФО!C:C,MATCH(C70,[1]ИНФО!B:B,0))</f>
        <v>Мусієнко Ігор Іванович</v>
      </c>
      <c r="E70" s="136">
        <v>9500</v>
      </c>
      <c r="F70" s="78" t="e">
        <f>SUMIFS([1]Табель!J:J,[1]Табель!E:E,C70,[1]Табель!B:B,"&gt;="&amp;$Y$50,[1]Табель!B:B,"&lt;"&amp;$Y$51,[1]Табель!F:F,'МЕХАНИЗАТОРЫ ноябрь'!I70)</f>
        <v>#VALUE!</v>
      </c>
      <c r="G70" s="78"/>
      <c r="H70" s="78"/>
      <c r="I70" s="78" t="s">
        <v>441</v>
      </c>
      <c r="J70" s="130">
        <f>INDEX([1]ИНФО_СПЕЦТЕХНИКА!$F$4:$F$23,MATCH(I70,[1]ИНФО_СПЕЦТЕХНИКА!$D$4:$D$23,0))</f>
        <v>170</v>
      </c>
      <c r="K70" s="79">
        <v>100</v>
      </c>
      <c r="L70" s="79" t="e">
        <f>SUMIFS([1]Табель!K:K,[1]Табель!E:E,C70,[1]Табель!B:B,"&gt;="&amp;$Y$50,[1]Табель!B:B,"&lt;"&amp;$Y$51,[1]Табель!F:F,I70)</f>
        <v>#VALUE!</v>
      </c>
      <c r="M70" s="80" t="e">
        <f>SUMIFS([1]Табель!L:L,[1]Табель!E:E,C70,[1]Табель!B:B,"&gt;="&amp;$Y$50,[1]Табель!B:B,"&lt;"&amp;$Y$51,[1]Табель!F:F,I70)</f>
        <v>#VALUE!</v>
      </c>
      <c r="N70" s="198"/>
      <c r="O70" s="260" t="e">
        <f t="shared" si="15"/>
        <v>#VALUE!</v>
      </c>
      <c r="Q70" s="279" t="e">
        <f t="shared" si="21"/>
        <v>#VALUE!</v>
      </c>
      <c r="R70" s="110">
        <f t="shared" si="16"/>
        <v>2090</v>
      </c>
      <c r="S70" s="110">
        <f t="shared" si="17"/>
        <v>1852.5</v>
      </c>
      <c r="T70" s="110">
        <f t="shared" si="18"/>
        <v>7647.5</v>
      </c>
      <c r="U70" s="112">
        <f t="shared" si="20"/>
        <v>-11590</v>
      </c>
      <c r="V70" s="221" t="e">
        <f t="shared" si="19"/>
        <v>#VALUE!</v>
      </c>
      <c r="W70" s="432"/>
    </row>
    <row r="71" spans="2:26" hidden="1" outlineLevel="1" x14ac:dyDescent="0.3">
      <c r="B71" s="75">
        <f t="shared" ref="B71:B76" si="22">B70+1</f>
        <v>14</v>
      </c>
      <c r="C71" s="131" t="s">
        <v>381</v>
      </c>
      <c r="D71" s="109" t="str">
        <f>INDEX([1]ИНФО!C:C,MATCH(C71,[1]ИНФО!B:B,0))</f>
        <v>Самойленко Віктор Миколайович</v>
      </c>
      <c r="E71" s="136">
        <v>9500</v>
      </c>
      <c r="F71" s="87" t="e">
        <f>SUMIFS([1]Табель!J:J,[1]Табель!E:E,C71,[1]Табель!B:B,"&gt;="&amp;$Y$50,[1]Табель!B:B,"&lt;"&amp;$Y$51,[1]Табель!F:F,'МЕХАНИЗАТОРЫ ноябрь'!I71)</f>
        <v>#VALUE!</v>
      </c>
      <c r="G71" s="78"/>
      <c r="H71" s="78"/>
      <c r="I71" s="78" t="s">
        <v>75</v>
      </c>
      <c r="J71" s="111">
        <f>INDEX([1]ИНФО_СПЕЦТЕХНИКА!$F$4:$F$23,MATCH(I71,[1]ИНФО_СПЕЦТЕХНИКА!$D$4:$D$23,0))</f>
        <v>140</v>
      </c>
      <c r="K71" s="88">
        <v>100</v>
      </c>
      <c r="L71" s="88" t="e">
        <f>SUMIFS([1]Табель!K:K,[1]Табель!E:E,C71,[1]Табель!B:B,"&gt;="&amp;$Y$50,[1]Табель!B:B,"&lt;"&amp;$Y$51,[1]Табель!F:F,I71)</f>
        <v>#VALUE!</v>
      </c>
      <c r="M71" s="89" t="e">
        <f>SUMIFS([1]Табель!L:L,[1]Табель!E:E,C71,[1]Табель!B:B,"&gt;="&amp;$Y$50,[1]Табель!B:B,"&lt;"&amp;$Y$51,[1]Табель!F:F,I71)</f>
        <v>#VALUE!</v>
      </c>
      <c r="N71" s="199"/>
      <c r="O71" s="261" t="e">
        <f t="shared" si="15"/>
        <v>#VALUE!</v>
      </c>
      <c r="Q71" s="283" t="e">
        <f t="shared" si="21"/>
        <v>#VALUE!</v>
      </c>
      <c r="R71" s="110">
        <f t="shared" si="16"/>
        <v>2090</v>
      </c>
      <c r="S71" s="110">
        <f t="shared" si="17"/>
        <v>1852.5</v>
      </c>
      <c r="T71" s="110">
        <f t="shared" si="18"/>
        <v>7647.5</v>
      </c>
      <c r="U71" s="112">
        <f t="shared" si="20"/>
        <v>-11590</v>
      </c>
      <c r="V71" s="221" t="e">
        <f t="shared" si="19"/>
        <v>#VALUE!</v>
      </c>
      <c r="W71" s="432"/>
    </row>
    <row r="72" spans="2:26" hidden="1" outlineLevel="1" x14ac:dyDescent="0.3">
      <c r="B72" s="75">
        <f t="shared" si="22"/>
        <v>15</v>
      </c>
      <c r="C72" s="131" t="s">
        <v>254</v>
      </c>
      <c r="D72" s="109" t="str">
        <f>INDEX([1]ИНФО!C:C,MATCH(C72,[1]ИНФО!B:B,0))</f>
        <v>Скоц Сергій Іванович</v>
      </c>
      <c r="E72" s="136">
        <v>9880</v>
      </c>
      <c r="F72" s="87" t="e">
        <f>SUMIFS([1]Табель!J:J,[1]Табель!E:E,C72,[1]Табель!B:B,"&gt;="&amp;$Y$50,[1]Табель!B:B,"&lt;"&amp;$Y$51,[1]Табель!F:F,'МЕХАНИЗАТОРЫ ноябрь'!I72)</f>
        <v>#VALUE!</v>
      </c>
      <c r="G72" s="78"/>
      <c r="H72" s="78"/>
      <c r="I72" s="78" t="s">
        <v>59</v>
      </c>
      <c r="J72" s="111">
        <f>INDEX([1]ИНФО_СПЕЦТЕХНИКА!$F$4:$F$23,MATCH(I72,[1]ИНФО_СПЕЦТЕХНИКА!$D$4:$D$23,0))</f>
        <v>170</v>
      </c>
      <c r="K72" s="88">
        <v>100</v>
      </c>
      <c r="L72" s="88" t="e">
        <f>SUMIFS([1]Табель!K:K,[1]Табель!E:E,C72,[1]Табель!B:B,"&gt;="&amp;$Y$50,[1]Табель!B:B,"&lt;"&amp;$Y$51,[1]Табель!F:F,I72)</f>
        <v>#VALUE!</v>
      </c>
      <c r="M72" s="89" t="e">
        <f>SUMIFS([1]Табель!L:L,[1]Табель!E:E,C72,[1]Табель!B:B,"&gt;="&amp;$Y$50,[1]Табель!B:B,"&lt;"&amp;$Y$51,[1]Табель!F:F,I72)</f>
        <v>#VALUE!</v>
      </c>
      <c r="N72" s="199"/>
      <c r="O72" s="261" t="e">
        <f t="shared" si="15"/>
        <v>#VALUE!</v>
      </c>
      <c r="Q72" s="283" t="e">
        <f t="shared" si="21"/>
        <v>#VALUE!</v>
      </c>
      <c r="R72" s="110">
        <f t="shared" si="16"/>
        <v>2173.6</v>
      </c>
      <c r="S72" s="110">
        <f t="shared" si="17"/>
        <v>1926.6000000000001</v>
      </c>
      <c r="T72" s="110">
        <f t="shared" si="18"/>
        <v>7953.4</v>
      </c>
      <c r="U72" s="112">
        <f t="shared" si="20"/>
        <v>-12053.6</v>
      </c>
      <c r="V72" s="221" t="e">
        <f t="shared" si="19"/>
        <v>#VALUE!</v>
      </c>
      <c r="W72" s="432"/>
    </row>
    <row r="73" spans="2:26" hidden="1" outlineLevel="1" x14ac:dyDescent="0.3">
      <c r="B73" s="75">
        <f t="shared" si="22"/>
        <v>16</v>
      </c>
      <c r="C73" s="131" t="s">
        <v>378</v>
      </c>
      <c r="D73" s="109" t="str">
        <f>INDEX([1]ИНФО!C:C,MATCH(C73,[1]ИНФО!B:B,0))</f>
        <v>Трохименко Віталій Якович</v>
      </c>
      <c r="E73" s="136">
        <v>4750</v>
      </c>
      <c r="F73" s="87" t="e">
        <f>SUMIFS([1]Табель!J:J,[1]Табель!E:E,C73,[1]Табель!B:B,"&gt;="&amp;$Y$50,[1]Табель!B:B,"&lt;"&amp;$Y$51,[1]Табель!F:F,'МЕХАНИЗАТОРЫ ноябрь'!I73)</f>
        <v>#VALUE!</v>
      </c>
      <c r="G73" s="78"/>
      <c r="H73" s="78"/>
      <c r="I73" s="78" t="s">
        <v>446</v>
      </c>
      <c r="J73" s="111">
        <f>INDEX([1]ИНФО_СПЕЦТЕХНИКА!$F$4:$F$23,MATCH(I73,[1]ИНФО_СПЕЦТЕХНИКА!$D$4:$D$23,0))</f>
        <v>170</v>
      </c>
      <c r="K73" s="88">
        <v>100</v>
      </c>
      <c r="L73" s="88" t="e">
        <f>SUMIFS([1]Табель!K:K,[1]Табель!E:E,C73,[1]Табель!B:B,"&gt;="&amp;$Y$50,[1]Табель!B:B,"&lt;"&amp;$Y$51,[1]Табель!F:F,I73)</f>
        <v>#VALUE!</v>
      </c>
      <c r="M73" s="89" t="e">
        <f>SUMIFS([1]Табель!L:L,[1]Табель!E:E,C73,[1]Табель!B:B,"&gt;="&amp;$Y$50,[1]Табель!B:B,"&lt;"&amp;$Y$51,[1]Табель!F:F,I73)</f>
        <v>#VALUE!</v>
      </c>
      <c r="N73" s="199"/>
      <c r="O73" s="261" t="e">
        <f t="shared" si="15"/>
        <v>#VALUE!</v>
      </c>
      <c r="Q73" s="283" t="e">
        <f t="shared" si="21"/>
        <v>#VALUE!</v>
      </c>
      <c r="R73" s="110">
        <f t="shared" si="16"/>
        <v>1045</v>
      </c>
      <c r="S73" s="110">
        <f t="shared" si="17"/>
        <v>926.25</v>
      </c>
      <c r="T73" s="110">
        <f t="shared" si="18"/>
        <v>3823.75</v>
      </c>
      <c r="U73" s="112">
        <f t="shared" si="20"/>
        <v>-5795</v>
      </c>
      <c r="V73" s="221" t="e">
        <f t="shared" si="19"/>
        <v>#VALUE!</v>
      </c>
      <c r="W73" s="432"/>
    </row>
    <row r="74" spans="2:26" hidden="1" outlineLevel="1" x14ac:dyDescent="0.3">
      <c r="B74" s="75">
        <f t="shared" si="22"/>
        <v>17</v>
      </c>
      <c r="C74" s="109" t="s">
        <v>248</v>
      </c>
      <c r="D74" s="109" t="str">
        <f>INDEX([1]ИНФО!C:C,MATCH(C74,[1]ИНФО!B:B,0))</f>
        <v>Якубовський Василь Григорович</v>
      </c>
      <c r="E74" s="136"/>
      <c r="F74" s="87" t="e">
        <f>SUMIFS([1]Табель!J:J,[1]Табель!E:E,C74,[1]Табель!B:B,"&gt;="&amp;$Y$50,[1]Табель!B:B,"&lt;"&amp;$Y$51,[1]Табель!F:F,'МЕХАНИЗАТОРЫ ноябрь'!I74)</f>
        <v>#VALUE!</v>
      </c>
      <c r="G74" s="78"/>
      <c r="H74" s="78"/>
      <c r="I74" s="78" t="s">
        <v>440</v>
      </c>
      <c r="J74" s="111">
        <f>INDEX([1]ИНФО_СПЕЦТЕХНИКА!$F$4:$F$23,MATCH(I74,[1]ИНФО_СПЕЦТЕХНИКА!$D$4:$D$23,0))</f>
        <v>140</v>
      </c>
      <c r="K74" s="88">
        <v>100</v>
      </c>
      <c r="L74" s="88" t="e">
        <f>SUMIFS([1]Табель!K:K,[1]Табель!E:E,C74,[1]Табель!B:B,"&gt;="&amp;$Y$50,[1]Табель!B:B,"&lt;"&amp;$Y$51,[1]Табель!F:F,I74)</f>
        <v>#VALUE!</v>
      </c>
      <c r="M74" s="89" t="e">
        <f>SUMIFS([1]Табель!L:L,[1]Табель!E:E,C74,[1]Табель!B:B,"&gt;="&amp;$Y$50,[1]Табель!B:B,"&lt;"&amp;$Y$51,[1]Табель!F:F,I74)</f>
        <v>#VALUE!</v>
      </c>
      <c r="N74" s="199"/>
      <c r="O74" s="261" t="e">
        <f t="shared" si="15"/>
        <v>#VALUE!</v>
      </c>
      <c r="Q74" s="283" t="e">
        <f t="shared" si="21"/>
        <v>#VALUE!</v>
      </c>
      <c r="R74" s="110">
        <f t="shared" si="16"/>
        <v>0</v>
      </c>
      <c r="S74" s="110">
        <f t="shared" si="17"/>
        <v>0</v>
      </c>
      <c r="T74" s="110">
        <f t="shared" si="18"/>
        <v>0</v>
      </c>
      <c r="U74" s="110">
        <f t="shared" si="20"/>
        <v>0</v>
      </c>
      <c r="V74" s="221" t="e">
        <f t="shared" si="19"/>
        <v>#VALUE!</v>
      </c>
      <c r="W74" s="432"/>
    </row>
    <row r="75" spans="2:26" hidden="1" outlineLevel="1" x14ac:dyDescent="0.3">
      <c r="B75" s="75">
        <f t="shared" si="22"/>
        <v>18</v>
      </c>
      <c r="C75" s="109" t="s">
        <v>251</v>
      </c>
      <c r="D75" s="109" t="str">
        <f>INDEX([1]ИНФО!C:C,MATCH(C75,[1]ИНФО!B:B,0))</f>
        <v>Кушнірюк Микола Володимирович</v>
      </c>
      <c r="E75" s="136">
        <v>2590.91</v>
      </c>
      <c r="F75" s="87" t="e">
        <f>SUMIFS([1]Табель!J:J,[1]Табель!E:E,C75,[1]Табель!B:B,"&gt;="&amp;$Y$50,[1]Табель!B:B,"&lt;"&amp;$Y$51,[1]Табель!F:F,'МЕХАНИЗАТОРЫ ноябрь'!I75)</f>
        <v>#VALUE!</v>
      </c>
      <c r="G75" s="78"/>
      <c r="H75" s="78"/>
      <c r="I75" s="78" t="s">
        <v>86</v>
      </c>
      <c r="J75" s="111">
        <f>INDEX([1]ИНФО_СПЕЦТЕХНИКА!$F$4:$F$23,MATCH(I75,[1]ИНФО_СПЕЦТЕХНИКА!$D$4:$D$23,0))</f>
        <v>140</v>
      </c>
      <c r="K75" s="88">
        <v>100</v>
      </c>
      <c r="L75" s="88" t="e">
        <f>SUMIFS([1]Табель!K:K,[1]Табель!E:E,C75,[1]Табель!B:B,"&gt;="&amp;$Y$50,[1]Табель!B:B,"&lt;"&amp;$Y$51,[1]Табель!F:F,I75)</f>
        <v>#VALUE!</v>
      </c>
      <c r="M75" s="89" t="e">
        <f>SUMIFS([1]Табель!L:L,[1]Табель!E:E,C75,[1]Табель!B:B,"&gt;="&amp;$Y$50,[1]Табель!B:B,"&lt;"&amp;$Y$51,[1]Табель!F:F,I75)</f>
        <v>#VALUE!</v>
      </c>
      <c r="N75" s="199"/>
      <c r="O75" s="261" t="e">
        <f t="shared" si="15"/>
        <v>#VALUE!</v>
      </c>
      <c r="Q75" s="283" t="e">
        <f t="shared" si="21"/>
        <v>#VALUE!</v>
      </c>
      <c r="R75" s="110">
        <f t="shared" si="16"/>
        <v>570</v>
      </c>
      <c r="S75" s="110">
        <f t="shared" si="17"/>
        <v>505.22744999999998</v>
      </c>
      <c r="T75" s="110">
        <f t="shared" si="18"/>
        <v>2085.68255</v>
      </c>
      <c r="U75" s="112">
        <f t="shared" si="20"/>
        <v>-3160.91</v>
      </c>
      <c r="V75" s="221" t="e">
        <f t="shared" si="19"/>
        <v>#VALUE!</v>
      </c>
      <c r="W75" s="432"/>
    </row>
    <row r="76" spans="2:26" ht="15" hidden="1" outlineLevel="1" thickBot="1" x14ac:dyDescent="0.35">
      <c r="B76" s="153">
        <f t="shared" si="22"/>
        <v>19</v>
      </c>
      <c r="C76" s="114" t="s">
        <v>379</v>
      </c>
      <c r="D76" s="114" t="str">
        <f>INDEX([1]ИНФО!C:C,MATCH(C76,[1]ИНФО!B:B,0))</f>
        <v>Шамоян Агмад Даватевич</v>
      </c>
      <c r="E76" s="154">
        <v>9500</v>
      </c>
      <c r="F76" s="94" t="e">
        <f>SUMIFS([1]Табель!J:J,[1]Табель!E:E,C76,[1]Табель!B:B,"&gt;="&amp;$Y$50,[1]Табель!B:B,"&lt;"&amp;$Y$51,[1]Табель!F:F,'МЕХАНИЗАТОРЫ ноябрь'!I76)</f>
        <v>#VALUE!</v>
      </c>
      <c r="G76" s="94"/>
      <c r="H76" s="94"/>
      <c r="I76" s="94" t="s">
        <v>86</v>
      </c>
      <c r="J76" s="118">
        <f>INDEX([1]ИНФО_СПЕЦТЕХНИКА!$F$4:$F$23,MATCH(I76,[1]ИНФО_СПЕЦТЕХНИКА!$D$4:$D$23,0))</f>
        <v>140</v>
      </c>
      <c r="K76" s="95">
        <v>100</v>
      </c>
      <c r="L76" s="95" t="e">
        <f>SUMIFS([1]Табель!K:K,[1]Табель!E:E,C76,[1]Табель!B:B,"&gt;="&amp;$Y$50,[1]Табель!B:B,"&lt;"&amp;$Y$51,[1]Табель!F:F,I76)</f>
        <v>#VALUE!</v>
      </c>
      <c r="M76" s="96" t="e">
        <f>SUMIFS([1]Табель!L:L,[1]Табель!E:E,C76,[1]Табель!B:B,"&gt;="&amp;$Y$50,[1]Табель!B:B,"&lt;"&amp;$Y$51,[1]Табель!F:F,I76)</f>
        <v>#VALUE!</v>
      </c>
      <c r="N76" s="200"/>
      <c r="O76" s="262" t="e">
        <f t="shared" si="15"/>
        <v>#VALUE!</v>
      </c>
      <c r="Q76" s="282" t="e">
        <f t="shared" si="21"/>
        <v>#VALUE!</v>
      </c>
      <c r="R76" s="129">
        <f t="shared" si="16"/>
        <v>2090</v>
      </c>
      <c r="S76" s="129">
        <f t="shared" si="17"/>
        <v>1852.5</v>
      </c>
      <c r="T76" s="129">
        <f t="shared" si="18"/>
        <v>7647.5</v>
      </c>
      <c r="U76" s="155">
        <f t="shared" si="20"/>
        <v>-11590</v>
      </c>
      <c r="V76" s="409" t="e">
        <f t="shared" si="19"/>
        <v>#VALUE!</v>
      </c>
      <c r="W76" s="432"/>
    </row>
    <row r="77" spans="2:26" s="107" customFormat="1" ht="27.6" hidden="1" customHeight="1" outlineLevel="1" thickBot="1" x14ac:dyDescent="0.35">
      <c r="B77" s="156"/>
      <c r="C77" s="101" t="s">
        <v>468</v>
      </c>
      <c r="D77" s="101"/>
      <c r="E77" s="102">
        <f>SUM(E57:E76)</f>
        <v>112929.09</v>
      </c>
      <c r="F77" s="157" t="e">
        <f>SUM(F57:F76)</f>
        <v>#VALUE!</v>
      </c>
      <c r="G77" s="157"/>
      <c r="H77" s="157"/>
      <c r="I77" s="157"/>
      <c r="J77" s="158"/>
      <c r="K77" s="158"/>
      <c r="L77" s="159" t="e">
        <f>SUM(L57:L76)</f>
        <v>#VALUE!</v>
      </c>
      <c r="M77" s="160" t="e">
        <f>SUM(M57:M76)</f>
        <v>#VALUE!</v>
      </c>
      <c r="N77" s="204"/>
      <c r="O77" s="267" t="e">
        <f>SUM(O57:O76)</f>
        <v>#VALUE!</v>
      </c>
      <c r="P77" s="225"/>
      <c r="Q77" s="278" t="e">
        <f t="shared" ref="Q77:V77" si="23">SUM(Q57:Q76)</f>
        <v>#VALUE!</v>
      </c>
      <c r="R77" s="102" t="e">
        <f t="shared" si="23"/>
        <v>#VALUE!</v>
      </c>
      <c r="S77" s="102" t="e">
        <f t="shared" si="23"/>
        <v>#VALUE!</v>
      </c>
      <c r="T77" s="102" t="e">
        <f t="shared" si="23"/>
        <v>#VALUE!</v>
      </c>
      <c r="U77" s="102" t="e">
        <f t="shared" si="23"/>
        <v>#VALUE!</v>
      </c>
      <c r="V77" s="220" t="e">
        <f t="shared" si="23"/>
        <v>#VALUE!</v>
      </c>
      <c r="W77" s="431"/>
      <c r="Z77" s="431"/>
    </row>
    <row r="78" spans="2:26" hidden="1" outlineLevel="1" x14ac:dyDescent="0.3"/>
    <row r="79" spans="2:26" hidden="1" outlineLevel="1" collapsed="1" x14ac:dyDescent="0.3">
      <c r="Y79" s="434">
        <v>45261</v>
      </c>
    </row>
    <row r="80" spans="2:26" hidden="1" outlineLevel="1" x14ac:dyDescent="0.3">
      <c r="P80" s="288"/>
      <c r="Y80" s="434">
        <v>45292</v>
      </c>
    </row>
    <row r="81" spans="2:28" ht="4.8" hidden="1" customHeight="1" outlineLevel="1" collapsed="1" x14ac:dyDescent="0.3">
      <c r="P81" s="288"/>
    </row>
    <row r="82" spans="2:28" ht="16.8" hidden="1" customHeight="1" outlineLevel="1" x14ac:dyDescent="0.35">
      <c r="B82" s="591" t="str">
        <f>"ЧАСЫ ["&amp;CHAR(10)&amp;TEXT(Y79,"[$-419]ММММ ГГГГ")&amp;"]"</f>
        <v>ЧАСЫ [
Декабрь 2023]</v>
      </c>
      <c r="C82" s="591"/>
      <c r="D82" s="591"/>
      <c r="E82" s="591"/>
      <c r="F82" s="591"/>
      <c r="G82" s="591"/>
      <c r="H82" s="591"/>
      <c r="I82" s="591"/>
      <c r="J82" s="591"/>
      <c r="K82" s="591"/>
      <c r="L82" s="591"/>
      <c r="M82" s="591"/>
      <c r="N82" s="591"/>
      <c r="O82" s="591"/>
      <c r="P82" s="591"/>
      <c r="Q82" s="591"/>
      <c r="R82" s="591"/>
      <c r="S82" s="591"/>
      <c r="T82" s="591"/>
      <c r="U82" s="591"/>
      <c r="V82" s="591"/>
      <c r="W82" s="316"/>
    </row>
    <row r="83" spans="2:28" s="107" customFormat="1" ht="19.2" hidden="1" customHeight="1" outlineLevel="1" x14ac:dyDescent="0.3">
      <c r="B83" s="133"/>
      <c r="C83" s="133"/>
      <c r="D83" s="133"/>
      <c r="E83" s="133"/>
      <c r="F83" s="134" t="e">
        <f>SUBTOTAL(9,F86:F107)</f>
        <v>#VALUE!</v>
      </c>
      <c r="G83" s="187"/>
      <c r="H83" s="187"/>
      <c r="I83" s="133"/>
      <c r="J83" s="133"/>
      <c r="K83" s="133"/>
      <c r="L83" s="135" t="e">
        <f>SUBTOTAL(9,L86:L107)</f>
        <v>#VALUE!</v>
      </c>
      <c r="M83" s="135" t="e">
        <f>SUBTOTAL(9,M86:M107)</f>
        <v>#VALUE!</v>
      </c>
      <c r="N83" s="135"/>
      <c r="O83" s="265" t="e">
        <f>SUBTOTAL(9,O86:O107)</f>
        <v>#VALUE!</v>
      </c>
      <c r="P83" s="290"/>
      <c r="Q83" s="133"/>
      <c r="R83" s="133"/>
      <c r="S83" s="133"/>
      <c r="T83" s="133"/>
      <c r="U83" s="133"/>
      <c r="V83" s="133"/>
      <c r="W83" s="133"/>
      <c r="AA83" s="435"/>
      <c r="AB83" s="435"/>
    </row>
    <row r="84" spans="2:28" ht="3.75" hidden="1" customHeight="1" outlineLevel="1" x14ac:dyDescent="0.3">
      <c r="B84" s="68"/>
      <c r="C84" s="68"/>
      <c r="D84" s="68"/>
      <c r="E84" s="68"/>
      <c r="F84" s="69"/>
      <c r="G84" s="69"/>
      <c r="H84" s="69"/>
      <c r="I84" s="69"/>
      <c r="J84" s="68"/>
      <c r="K84" s="68"/>
      <c r="L84" s="68"/>
      <c r="M84" s="68"/>
      <c r="N84" s="68"/>
      <c r="O84" s="68"/>
      <c r="P84" s="288"/>
    </row>
    <row r="85" spans="2:28" s="73" customFormat="1" ht="52.8" hidden="1" customHeight="1" outlineLevel="1" thickBot="1" x14ac:dyDescent="0.35">
      <c r="B85" s="70" t="s">
        <v>452</v>
      </c>
      <c r="C85" s="70" t="s">
        <v>448</v>
      </c>
      <c r="D85" s="70" t="s">
        <v>469</v>
      </c>
      <c r="E85" s="70" t="s">
        <v>477</v>
      </c>
      <c r="F85" s="71" t="s">
        <v>454</v>
      </c>
      <c r="G85" s="71"/>
      <c r="H85" s="71"/>
      <c r="I85" s="70" t="s">
        <v>471</v>
      </c>
      <c r="J85" s="70" t="s">
        <v>456</v>
      </c>
      <c r="K85" s="70" t="s">
        <v>457</v>
      </c>
      <c r="L85" s="70" t="s">
        <v>235</v>
      </c>
      <c r="M85" s="161" t="s">
        <v>458</v>
      </c>
      <c r="N85" s="205"/>
      <c r="O85" s="259" t="s">
        <v>459</v>
      </c>
      <c r="P85" s="289"/>
      <c r="Q85" s="272" t="s">
        <v>460</v>
      </c>
      <c r="R85" s="74" t="s">
        <v>461</v>
      </c>
      <c r="S85" s="74" t="s">
        <v>462</v>
      </c>
      <c r="T85" s="74" t="s">
        <v>463</v>
      </c>
      <c r="U85" s="70" t="s">
        <v>472</v>
      </c>
      <c r="V85" s="404" t="s">
        <v>464</v>
      </c>
      <c r="Z85" s="73" t="s">
        <v>478</v>
      </c>
    </row>
    <row r="86" spans="2:28" ht="15" hidden="1" outlineLevel="1" thickBot="1" x14ac:dyDescent="0.35">
      <c r="B86" s="75">
        <v>1</v>
      </c>
      <c r="C86" s="131" t="s">
        <v>246</v>
      </c>
      <c r="D86" s="109" t="str">
        <f>INDEX([1]ИНФО!C:C,MATCH(C86,[1]ИНФО!B:B,0))</f>
        <v>Болох Володимир Васильович</v>
      </c>
      <c r="E86" s="162">
        <f>INDEX($F$111:$F$127,MATCH(D86,$D$111:$D$127,0))</f>
        <v>9500</v>
      </c>
      <c r="F86" s="87" t="e">
        <f>SUMIFS([1]Табель!J:J,[1]Табель!E:E,C86,[1]Табель!B:B,"&gt;="&amp;Y79,[1]Табель!B:B,"&lt;"&amp;Y80,[1]Табель!F:F,'МЕХАНИЗАТОРЫ ноябрь'!I86)</f>
        <v>#VALUE!</v>
      </c>
      <c r="G86" s="78"/>
      <c r="H86" s="78"/>
      <c r="I86" s="78" t="s">
        <v>69</v>
      </c>
      <c r="J86" s="111">
        <f>INDEX([1]ИНФО_СПЕЦТЕХНИКА!$F$4:$F$24,MATCH(I86,[1]ИНФО_СПЕЦТЕХНИКА!$D$4:$D$24,0))</f>
        <v>180</v>
      </c>
      <c r="K86" s="88">
        <v>100</v>
      </c>
      <c r="L86" s="88" t="e">
        <f>SUMIFS([1]Табель!K:K,[1]Табель!E:E,C86,[1]Табель!B:B,"&gt;="&amp;Y79,[1]Табель!B:B,"&lt;"&amp;Y80,[1]Табель!F:F,I86)</f>
        <v>#VALUE!</v>
      </c>
      <c r="M86" s="89" t="e">
        <f>SUMIFS([1]Табель!L:L,[1]Табель!E:E,C86,[1]Табель!B:B,"&gt;="&amp;Y79,[1]Табель!B:B,"&lt;"&amp;Y80,[1]Табель!F:F,I86)</f>
        <v>#VALUE!</v>
      </c>
      <c r="N86" s="199"/>
      <c r="O86" s="261" t="e">
        <f t="shared" ref="O86:O107" si="24">F86-L86-M86</f>
        <v>#VALUE!</v>
      </c>
      <c r="Q86" s="283" t="e">
        <f>O86*J86+(L86+M86)*K86</f>
        <v>#VALUE!</v>
      </c>
      <c r="R86" s="110">
        <f t="shared" ref="R86" si="25">ROUND(E86*0.22,2)</f>
        <v>2090</v>
      </c>
      <c r="S86" s="110">
        <f t="shared" ref="S86" si="26">E86*0.195</f>
        <v>1852.5</v>
      </c>
      <c r="T86" s="110">
        <f t="shared" ref="T86" si="27">E86-S86</f>
        <v>7647.5</v>
      </c>
      <c r="U86" s="110">
        <f>-ROUND((R86+E86),2)</f>
        <v>-11590</v>
      </c>
      <c r="V86" s="221" t="e">
        <f t="shared" ref="V86:V107" si="28">Q86-T86</f>
        <v>#VALUE!</v>
      </c>
      <c r="W86" s="432"/>
      <c r="Z86" s="433" t="e">
        <f>CONCATENATE($Z$85,CHAR(10),O86," год.роботи х ",J86," грн. + ",L86+M86," год.ТО и заправки х ",K86," грн."," = ",CHAR(10),"До виплати ",TEXT(Q86,"# #")," грн.")</f>
        <v>#VALUE!</v>
      </c>
    </row>
    <row r="87" spans="2:28" hidden="1" outlineLevel="1" x14ac:dyDescent="0.3">
      <c r="B87" s="595">
        <v>2</v>
      </c>
      <c r="C87" s="122" t="s">
        <v>249</v>
      </c>
      <c r="D87" s="122" t="str">
        <f>INDEX([1]ИНФО!C:C,MATCH(C87,[1]ИНФО!B:B,0))</f>
        <v>Борисенко Олексій Миколайович</v>
      </c>
      <c r="E87" s="592">
        <f>INDEX($F$111:$F$127,MATCH(D87,$D$111:$D$127,0))</f>
        <v>9500</v>
      </c>
      <c r="F87" s="123" t="e">
        <f>SUMIFS([1]Табель!J:J,[1]Табель!E:E,C87,[1]Табель!B:B,"&gt;="&amp;Y79,[1]Табель!B:B,"&lt;"&amp;Y80,[1]Табель!F:F,'МЕХАНИЗАТОРЫ ноябрь'!I87)</f>
        <v>#VALUE!</v>
      </c>
      <c r="G87" s="123"/>
      <c r="H87" s="123"/>
      <c r="I87" s="123" t="s">
        <v>0</v>
      </c>
      <c r="J87" s="111">
        <f>INDEX([1]ИНФО_СПЕЦТЕХНИКА!$F$4:$F$24,MATCH(I87,[1]ИНФО_СПЕЦТЕХНИКА!$D$4:$D$24,0))</f>
        <v>170</v>
      </c>
      <c r="K87" s="125">
        <v>100</v>
      </c>
      <c r="L87" s="125" t="e">
        <f>SUMIFS([1]Табель!K:K,[1]Табель!E:E,C87,[1]Табель!B:B,"&gt;="&amp;Y79,[1]Табель!B:B,"&lt;"&amp;Y80,[1]Табель!F:F,I87)</f>
        <v>#VALUE!</v>
      </c>
      <c r="M87" s="126" t="e">
        <f>SUMIFS([1]Табель!L:L,[1]Табель!E:E,C87,[1]Табель!B:B,"&gt;="&amp;Y79,[1]Табель!B:B,"&lt;"&amp;Y80,[1]Табель!F:F,I87)</f>
        <v>#VALUE!</v>
      </c>
      <c r="N87" s="202"/>
      <c r="O87" s="264" t="e">
        <f t="shared" si="24"/>
        <v>#VALUE!</v>
      </c>
      <c r="Q87" s="281" t="e">
        <f t="shared" ref="Q87:Q107" si="29">O87*J87+(L87+M87)*K87</f>
        <v>#VALUE!</v>
      </c>
      <c r="R87" s="127" t="e">
        <f>ROUND(E87*(Q87/(SUM(Q87:Q88)))*0.22,2)</f>
        <v>#VALUE!</v>
      </c>
      <c r="S87" s="127" t="e">
        <f>ROUND(E87*(Q87/(SUM(Q87:Q88)))*0.195,2)</f>
        <v>#VALUE!</v>
      </c>
      <c r="T87" s="127" t="e">
        <f>E87*Q87/(Q87+Q88)-S87</f>
        <v>#VALUE!</v>
      </c>
      <c r="U87" s="127" t="e">
        <f>-ROUND((R87+E87*Q87/(Q87+Q88)),2)</f>
        <v>#VALUE!</v>
      </c>
      <c r="V87" s="223" t="e">
        <f t="shared" si="28"/>
        <v>#VALUE!</v>
      </c>
      <c r="W87" s="432"/>
      <c r="Z87" s="433" t="e">
        <f t="shared" ref="Z87:Z107" si="30">CONCATENATE($Z$85,CHAR(10),O87," год.роботи х ",J87," грн. + ",L87+M87," год.ТО и заправки х ",K87," грн."," = ",CHAR(10),"До виплати ",TEXT(Q87,"# #")," грн.")</f>
        <v>#VALUE!</v>
      </c>
    </row>
    <row r="88" spans="2:28" ht="15" hidden="1" outlineLevel="1" thickBot="1" x14ac:dyDescent="0.35">
      <c r="B88" s="596"/>
      <c r="C88" s="114" t="s">
        <v>249</v>
      </c>
      <c r="D88" s="115" t="str">
        <f>INDEX([1]ИНФО!C:C,MATCH(C88,[1]ИНФО!B:B,0))</f>
        <v>Борисенко Олексій Миколайович</v>
      </c>
      <c r="E88" s="593"/>
      <c r="F88" s="94" t="e">
        <f>SUMIFS([1]Табель!J:J,[1]Табель!E:E,C88,[1]Табель!B:B,"&gt;="&amp;Y79,[1]Табель!B:B,"&lt;"&amp;Y80,[1]Табель!F:F,'МЕХАНИЗАТОРЫ ноябрь'!I88)</f>
        <v>#VALUE!</v>
      </c>
      <c r="G88" s="117"/>
      <c r="H88" s="117"/>
      <c r="I88" s="117" t="s">
        <v>473</v>
      </c>
      <c r="J88" s="111">
        <f>INDEX([1]ИНФО_СПЕЦТЕХНИКА!$F$4:$F$24,MATCH(I88,[1]ИНФО_СПЕЦТЕХНИКА!$D$4:$D$24,0))</f>
        <v>180</v>
      </c>
      <c r="K88" s="95">
        <v>100</v>
      </c>
      <c r="L88" s="95" t="e">
        <f>SUMIFS([1]Табель!K:K,[1]Табель!E:E,C88,[1]Табель!B:B,"&gt;="&amp;Y79,[1]Табель!B:B,"&lt;"&amp;Y80,[1]Табель!F:F,I88)</f>
        <v>#VALUE!</v>
      </c>
      <c r="M88" s="96" t="e">
        <f>SUMIFS([1]Табель!L:L,[1]Табель!E:E,C88,[1]Табель!B:B,"&gt;="&amp;Y79,[1]Табель!B:B,"&lt;"&amp;Y80,[1]Табель!F:F,I88)</f>
        <v>#VALUE!</v>
      </c>
      <c r="N88" s="200"/>
      <c r="O88" s="262" t="e">
        <f t="shared" si="24"/>
        <v>#VALUE!</v>
      </c>
      <c r="Q88" s="282" t="e">
        <f t="shared" si="29"/>
        <v>#VALUE!</v>
      </c>
      <c r="R88" s="120" t="e">
        <f>ROUND(E87*(Q88/(SUM(Q87:Q88)))*0.22,2)</f>
        <v>#VALUE!</v>
      </c>
      <c r="S88" s="120" t="e">
        <f>ROUND(E87*(Q88/(SUM(Q87:Q88)))*0.195,2)</f>
        <v>#VALUE!</v>
      </c>
      <c r="T88" s="120" t="e">
        <f>E87*Q88/(Q87+Q88)-S88</f>
        <v>#VALUE!</v>
      </c>
      <c r="U88" s="120" t="e">
        <f>-ROUND((R88+E87*Q88/(Q87+Q88)),2)</f>
        <v>#VALUE!</v>
      </c>
      <c r="V88" s="222" t="e">
        <f t="shared" si="28"/>
        <v>#VALUE!</v>
      </c>
      <c r="W88" s="432"/>
      <c r="Z88" s="433" t="e">
        <f t="shared" si="30"/>
        <v>#VALUE!</v>
      </c>
    </row>
    <row r="89" spans="2:28" hidden="1" outlineLevel="1" x14ac:dyDescent="0.3">
      <c r="B89" s="595">
        <v>3</v>
      </c>
      <c r="C89" s="109" t="s">
        <v>250</v>
      </c>
      <c r="D89" s="109" t="str">
        <f>INDEX([1]ИНФО!C:C,MATCH(C89,[1]ИНФО!B:B,0))</f>
        <v>Божков Валерій Вікторович</v>
      </c>
      <c r="E89" s="592">
        <f>INDEX($F$111:$F$127,MATCH(D89,$D$111:$D$127,0))</f>
        <v>4071.43</v>
      </c>
      <c r="F89" s="78" t="e">
        <f>SUMIFS([1]Табель!J:J,[1]Табель!E:E,C89,[1]Табель!B:B,"&gt;="&amp;Y79,[1]Табель!B:B,"&lt;"&amp;Y80,[1]Табель!F:F,'МЕХАНИЗАТОРЫ ноябрь'!I89)</f>
        <v>#VALUE!</v>
      </c>
      <c r="G89" s="78"/>
      <c r="H89" s="78"/>
      <c r="I89" s="78" t="s">
        <v>75</v>
      </c>
      <c r="J89" s="111">
        <f>INDEX([1]ИНФО_СПЕЦТЕХНИКА!$F$4:$F$24,MATCH(I89,[1]ИНФО_СПЕЦТЕХНИКА!$D$4:$D$24,0))</f>
        <v>140</v>
      </c>
      <c r="K89" s="79">
        <v>100</v>
      </c>
      <c r="L89" s="79" t="e">
        <f>SUMIFS([1]Табель!K:K,[1]Табель!E:E,C89,[1]Табель!B:B,"&gt;="&amp;Y79,[1]Табель!B:B,"&lt;"&amp;Y80,[1]Табель!F:F,I89)</f>
        <v>#VALUE!</v>
      </c>
      <c r="M89" s="80" t="e">
        <f>SUMIFS([1]Табель!L:L,[1]Табель!E:E,C89,[1]Табель!B:B,"&gt;="&amp;Y79,[1]Табель!B:B,"&lt;"&amp;Y80,[1]Табель!F:F,I89)</f>
        <v>#VALUE!</v>
      </c>
      <c r="N89" s="198"/>
      <c r="O89" s="260" t="e">
        <f t="shared" si="24"/>
        <v>#VALUE!</v>
      </c>
      <c r="Q89" s="281" t="e">
        <f t="shared" si="29"/>
        <v>#VALUE!</v>
      </c>
      <c r="R89" s="127" t="e">
        <f>ROUND(E89*(Q89/(SUM(Q89:Q90)))*0.22,2)</f>
        <v>#VALUE!</v>
      </c>
      <c r="S89" s="127" t="e">
        <f>ROUND(E89*(Q89/(SUM(Q89:Q90)))*0.195,2)</f>
        <v>#VALUE!</v>
      </c>
      <c r="T89" s="127" t="e">
        <f>E89*Q89/(Q89+Q90)-S89</f>
        <v>#VALUE!</v>
      </c>
      <c r="U89" s="127" t="e">
        <f>-ROUND((R89+E89*Q89/(Q89+Q90)),2)</f>
        <v>#VALUE!</v>
      </c>
      <c r="V89" s="223" t="e">
        <f t="shared" si="28"/>
        <v>#VALUE!</v>
      </c>
      <c r="W89" s="432"/>
      <c r="Z89" s="433" t="e">
        <f t="shared" si="30"/>
        <v>#VALUE!</v>
      </c>
    </row>
    <row r="90" spans="2:28" ht="15" hidden="1" outlineLevel="1" thickBot="1" x14ac:dyDescent="0.35">
      <c r="B90" s="599"/>
      <c r="C90" s="115" t="s">
        <v>250</v>
      </c>
      <c r="D90" s="115" t="str">
        <f>INDEX([1]ИНФО!C:C,MATCH(C90,[1]ИНФО!B:B,0))</f>
        <v>Божков Валерій Вікторович</v>
      </c>
      <c r="E90" s="593"/>
      <c r="F90" s="117" t="e">
        <f>SUMIFS([1]Табель!J:J,[1]Табель!E:E,C90,[1]Табель!B:B,"&gt;="&amp;Y79,[1]Табель!B:B,"&lt;"&amp;Y80,[1]Табель!F:F,'МЕХАНИЗАТОРЫ ноябрь'!I90)</f>
        <v>#VALUE!</v>
      </c>
      <c r="G90" s="117"/>
      <c r="H90" s="117"/>
      <c r="I90" s="117" t="s">
        <v>349</v>
      </c>
      <c r="J90" s="118">
        <f>INDEX([1]ИНФО_СПЕЦТЕХНИКА!$F$4:$F$24,MATCH(I90,[1]ИНФО_СПЕЦТЕХНИКА!$D$4:$D$24,0))</f>
        <v>140</v>
      </c>
      <c r="K90" s="119">
        <v>100</v>
      </c>
      <c r="L90" s="119" t="e">
        <f>SUMIFS([1]Табель!K:K,[1]Табель!E:E,C90,[1]Табель!B:B,"&gt;="&amp;Y79,[1]Табель!B:B,"&lt;"&amp;Y80,[1]Табель!F:F,I90)</f>
        <v>#VALUE!</v>
      </c>
      <c r="M90" s="163" t="e">
        <f>SUMIFS([1]Табель!L:L,[1]Табель!E:E,C90,[1]Табель!B:B,"&gt;="&amp;Y79,[1]Табель!B:B,"&lt;"&amp;Y80,[1]Табель!F:F,I90)</f>
        <v>#VALUE!</v>
      </c>
      <c r="N90" s="206"/>
      <c r="O90" s="268" t="e">
        <f t="shared" si="24"/>
        <v>#VALUE!</v>
      </c>
      <c r="Q90" s="282" t="e">
        <f t="shared" si="29"/>
        <v>#VALUE!</v>
      </c>
      <c r="R90" s="120" t="e">
        <f>ROUND(E89*(Q90/(SUM(Q89:Q90)))*0.22,2)</f>
        <v>#VALUE!</v>
      </c>
      <c r="S90" s="120" t="e">
        <f>ROUND(E89*(Q90/(SUM(Q89:Q90)))*0.195,2)</f>
        <v>#VALUE!</v>
      </c>
      <c r="T90" s="120" t="e">
        <f>E89*Q90/(Q89+Q90)-S90</f>
        <v>#VALUE!</v>
      </c>
      <c r="U90" s="120" t="e">
        <f>-ROUND((R90+E89*Q90/(Q89+Q90)),2)</f>
        <v>#VALUE!</v>
      </c>
      <c r="V90" s="222" t="e">
        <f t="shared" si="28"/>
        <v>#VALUE!</v>
      </c>
      <c r="W90" s="432"/>
      <c r="Z90" s="433" t="e">
        <f t="shared" si="30"/>
        <v>#VALUE!</v>
      </c>
    </row>
    <row r="91" spans="2:28" hidden="1" outlineLevel="1" x14ac:dyDescent="0.3">
      <c r="B91" s="75">
        <v>4</v>
      </c>
      <c r="C91" s="109" t="s">
        <v>247</v>
      </c>
      <c r="D91" s="109" t="str">
        <f>INDEX([1]ИНФО!C:C,MATCH(C91,[1]ИНФО!B:B,0))</f>
        <v>Бунтило Віталій Іванович</v>
      </c>
      <c r="E91" s="164">
        <f>INDEX($F$111:$F$127,MATCH(D91,$D$111:$D$127,0))</f>
        <v>9500</v>
      </c>
      <c r="F91" s="78" t="e">
        <f>SUMIFS([1]Табель!J:J,[1]Табель!E:E,C91,[1]Табель!B:B,"&gt;="&amp;Y79,[1]Табель!B:B,"&lt;"&amp;Y80,[1]Табель!F:F,'МЕХАНИЗАТОРЫ ноябрь'!I91)</f>
        <v>#VALUE!</v>
      </c>
      <c r="G91" s="78"/>
      <c r="H91" s="78"/>
      <c r="I91" s="78" t="s">
        <v>440</v>
      </c>
      <c r="J91" s="130">
        <f>INDEX([1]ИНФО_СПЕЦТЕХНИКА!$F$4:$F$24,MATCH(I91,[1]ИНФО_СПЕЦТЕХНИКА!$D$4:$D$24,0))</f>
        <v>140</v>
      </c>
      <c r="K91" s="79">
        <v>100</v>
      </c>
      <c r="L91" s="79" t="e">
        <f>SUMIFS([1]Табель!K:K,[1]Табель!E:E,C91,[1]Табель!B:B,"&gt;="&amp;Y79,[1]Табель!B:B,"&lt;"&amp;Y80,[1]Табель!F:F,I91)</f>
        <v>#VALUE!</v>
      </c>
      <c r="M91" s="80" t="e">
        <f>SUMIFS([1]Табель!L:L,[1]Табель!E:E,C91,[1]Табель!B:B,"&gt;="&amp;Y79,[1]Табель!B:B,"&lt;"&amp;Y80,[1]Табель!F:F,I91)</f>
        <v>#VALUE!</v>
      </c>
      <c r="N91" s="198"/>
      <c r="O91" s="260" t="e">
        <f t="shared" si="24"/>
        <v>#VALUE!</v>
      </c>
      <c r="Q91" s="279" t="e">
        <f t="shared" si="29"/>
        <v>#VALUE!</v>
      </c>
      <c r="R91" s="110">
        <f t="shared" ref="R91:R107" si="31">ROUND(E91*0.22,2)</f>
        <v>2090</v>
      </c>
      <c r="S91" s="110">
        <f t="shared" ref="S91:S107" si="32">E91*0.195</f>
        <v>1852.5</v>
      </c>
      <c r="T91" s="110">
        <f t="shared" ref="T91:T107" si="33">E91-S91</f>
        <v>7647.5</v>
      </c>
      <c r="U91" s="110">
        <f t="shared" ref="U91:U107" si="34">-ROUND((R91+E91),2)</f>
        <v>-11590</v>
      </c>
      <c r="V91" s="221" t="e">
        <f t="shared" si="28"/>
        <v>#VALUE!</v>
      </c>
      <c r="W91" s="432"/>
      <c r="Z91" s="433" t="e">
        <f t="shared" si="30"/>
        <v>#VALUE!</v>
      </c>
    </row>
    <row r="92" spans="2:28" hidden="1" outlineLevel="1" x14ac:dyDescent="0.3">
      <c r="B92" s="75">
        <v>5</v>
      </c>
      <c r="C92" s="131" t="s">
        <v>377</v>
      </c>
      <c r="D92" s="109" t="str">
        <f>INDEX([1]ИНФО!C:C,MATCH(C92,[1]ИНФО!B:B,0))</f>
        <v>Селівончик Ігор Петрович</v>
      </c>
      <c r="E92" s="165">
        <v>5880.95</v>
      </c>
      <c r="F92" s="87" t="e">
        <f>SUMIFS([1]Табель!J:J,[1]Табель!E:E,C92,[1]Табель!B:B,"&gt;="&amp;Y79,[1]Табель!B:B,"&lt;"&amp;Y80,[1]Табель!F:F,I92)</f>
        <v>#VALUE!</v>
      </c>
      <c r="G92" s="78"/>
      <c r="H92" s="78"/>
      <c r="I92" s="78" t="s">
        <v>75</v>
      </c>
      <c r="J92" s="111">
        <f>INDEX([1]ИНФО_СПЕЦТЕХНИКА!$F$4:$F$24,MATCH(I92,[1]ИНФО_СПЕЦТЕХНИКА!$D$4:$D$24,0))</f>
        <v>140</v>
      </c>
      <c r="K92" s="88">
        <v>100</v>
      </c>
      <c r="L92" s="88" t="e">
        <f>SUMIFS([1]Табель!K:K,[1]Табель!E:E,C92,[1]Табель!B:B,"&gt;="&amp;Y79,[1]Табель!B:B,"&lt;"&amp;Y80,[1]Табель!F:F,I92)</f>
        <v>#VALUE!</v>
      </c>
      <c r="M92" s="89" t="e">
        <f>SUMIFS([1]Табель!L:L,[1]Табель!E:E,C92,[1]Табель!B:B,"&gt;="&amp;Y79,[1]Табель!B:B,"&lt;"&amp;Y80,[1]Табель!F:F,I92)</f>
        <v>#VALUE!</v>
      </c>
      <c r="N92" s="199"/>
      <c r="O92" s="261" t="e">
        <f t="shared" si="24"/>
        <v>#VALUE!</v>
      </c>
      <c r="Q92" s="283" t="e">
        <f t="shared" si="29"/>
        <v>#VALUE!</v>
      </c>
      <c r="R92" s="110">
        <f t="shared" si="31"/>
        <v>1293.81</v>
      </c>
      <c r="S92" s="110">
        <f t="shared" si="32"/>
        <v>1146.7852499999999</v>
      </c>
      <c r="T92" s="110">
        <f t="shared" si="33"/>
        <v>4734.1647499999999</v>
      </c>
      <c r="U92" s="110">
        <f t="shared" si="34"/>
        <v>-7174.76</v>
      </c>
      <c r="V92" s="221" t="e">
        <f t="shared" si="28"/>
        <v>#VALUE!</v>
      </c>
      <c r="W92" s="432"/>
      <c r="Z92" s="433" t="e">
        <f t="shared" si="30"/>
        <v>#VALUE!</v>
      </c>
    </row>
    <row r="93" spans="2:28" hidden="1" outlineLevel="1" x14ac:dyDescent="0.3">
      <c r="B93" s="75">
        <v>6</v>
      </c>
      <c r="C93" s="131" t="s">
        <v>375</v>
      </c>
      <c r="D93" s="109" t="str">
        <f>INDEX([1]ИНФО!C:C,MATCH(C93,[1]ИНФО!B:B,0))</f>
        <v>Савранский Іван Володимирович</v>
      </c>
      <c r="E93" s="164">
        <f>INDEX($F$111:$F$127,MATCH(D93,$D$111:$D$127,0))</f>
        <v>9500</v>
      </c>
      <c r="F93" s="87" t="e">
        <f>SUMIFS([1]Табель!J:J,[1]Табель!E:E,C93,[1]Табель!B:B,"&gt;="&amp;Y79,[1]Табель!B:B,"&lt;"&amp;Y80,[1]Табель!F:F,'МЕХАНИЗАТОРЫ ноябрь'!I93)</f>
        <v>#VALUE!</v>
      </c>
      <c r="G93" s="78"/>
      <c r="H93" s="78"/>
      <c r="I93" s="78" t="s">
        <v>442</v>
      </c>
      <c r="J93" s="111">
        <f>INDEX([1]ИНФО_СПЕЦТЕХНИКА!$F$4:$F$24,MATCH(I93,[1]ИНФО_СПЕЦТЕХНИКА!$D$4:$D$24,0))</f>
        <v>170</v>
      </c>
      <c r="K93" s="88">
        <v>100</v>
      </c>
      <c r="L93" s="88" t="e">
        <f>SUMIFS([1]Табель!K:K,[1]Табель!E:E,C93,[1]Табель!B:B,"&gt;="&amp;Y79,[1]Табель!B:B,"&lt;"&amp;Y80,[1]Табель!F:F,I93)</f>
        <v>#VALUE!</v>
      </c>
      <c r="M93" s="89" t="e">
        <f>SUMIFS([1]Табель!L:L,[1]Табель!E:E,C93,[1]Табель!B:B,"&gt;="&amp;Y79,[1]Табель!B:B,"&lt;"&amp;Y80,[1]Табель!F:F,I93)</f>
        <v>#VALUE!</v>
      </c>
      <c r="N93" s="199"/>
      <c r="O93" s="261" t="e">
        <f t="shared" si="24"/>
        <v>#VALUE!</v>
      </c>
      <c r="Q93" s="283" t="e">
        <f t="shared" si="29"/>
        <v>#VALUE!</v>
      </c>
      <c r="R93" s="110">
        <f t="shared" si="31"/>
        <v>2090</v>
      </c>
      <c r="S93" s="110">
        <f t="shared" si="32"/>
        <v>1852.5</v>
      </c>
      <c r="T93" s="110">
        <f t="shared" si="33"/>
        <v>7647.5</v>
      </c>
      <c r="U93" s="110">
        <f t="shared" si="34"/>
        <v>-11590</v>
      </c>
      <c r="V93" s="221" t="e">
        <f t="shared" si="28"/>
        <v>#VALUE!</v>
      </c>
      <c r="W93" s="432"/>
      <c r="Z93" s="433" t="e">
        <f t="shared" si="30"/>
        <v>#VALUE!</v>
      </c>
    </row>
    <row r="94" spans="2:28" hidden="1" outlineLevel="1" x14ac:dyDescent="0.3">
      <c r="B94" s="75">
        <v>7</v>
      </c>
      <c r="C94" s="131" t="s">
        <v>245</v>
      </c>
      <c r="D94" s="131" t="str">
        <f>INDEX([1]ИНФО!C:C,MATCH(C94,[1]ИНФО!B:B,0))</f>
        <v>Зенкін Дмитро Юрійович</v>
      </c>
      <c r="E94" s="164">
        <f>INDEX($F$111:$F$127,MATCH(D94,$D$111:$D$127,0))</f>
        <v>7464.3</v>
      </c>
      <c r="F94" s="87" t="e">
        <f>SUMIFS([1]Табель!J:J,[1]Табель!E:E,C94,[1]Табель!B:B,"&gt;="&amp;Y79,[1]Табель!B:B,"&lt;"&amp;Y80,[1]Табель!F:F,'МЕХАНИЗАТОРЫ ноябрь'!I94)</f>
        <v>#VALUE!</v>
      </c>
      <c r="G94" s="78"/>
      <c r="H94" s="78"/>
      <c r="I94" s="78" t="s">
        <v>74</v>
      </c>
      <c r="J94" s="111">
        <f>INDEX([1]ИНФО_СПЕЦТЕХНИКА!$F$4:$F$24,MATCH(I94,[1]ИНФО_СПЕЦТЕХНИКА!$D$4:$D$24,0))</f>
        <v>170</v>
      </c>
      <c r="K94" s="88">
        <v>100</v>
      </c>
      <c r="L94" s="88" t="e">
        <f>SUMIFS([1]Табель!K:K,[1]Табель!E:E,C94,[1]Табель!B:B,"&gt;="&amp;Y79,[1]Табель!B:B,"&lt;"&amp;Y80,[1]Табель!F:F,I94)</f>
        <v>#VALUE!</v>
      </c>
      <c r="M94" s="89" t="e">
        <f>SUMIFS([1]Табель!L:L,[1]Табель!E:E,C94,[1]Табель!B:B,"&gt;="&amp;Y79,[1]Табель!B:B,"&lt;"&amp;Y80,[1]Табель!F:F,I94)</f>
        <v>#VALUE!</v>
      </c>
      <c r="N94" s="199"/>
      <c r="O94" s="261" t="e">
        <f t="shared" si="24"/>
        <v>#VALUE!</v>
      </c>
      <c r="Q94" s="283" t="e">
        <f t="shared" si="29"/>
        <v>#VALUE!</v>
      </c>
      <c r="R94" s="110">
        <f t="shared" si="31"/>
        <v>1642.15</v>
      </c>
      <c r="S94" s="110">
        <f t="shared" si="32"/>
        <v>1455.5385000000001</v>
      </c>
      <c r="T94" s="110">
        <f t="shared" si="33"/>
        <v>6008.7615000000005</v>
      </c>
      <c r="U94" s="110">
        <f t="shared" si="34"/>
        <v>-9106.4500000000007</v>
      </c>
      <c r="V94" s="221" t="e">
        <f t="shared" si="28"/>
        <v>#VALUE!</v>
      </c>
      <c r="W94" s="432"/>
      <c r="Z94" s="433" t="e">
        <f t="shared" si="30"/>
        <v>#VALUE!</v>
      </c>
    </row>
    <row r="95" spans="2:28" hidden="1" outlineLevel="1" x14ac:dyDescent="0.3">
      <c r="B95" s="138">
        <v>8</v>
      </c>
      <c r="C95" s="166" t="s">
        <v>373</v>
      </c>
      <c r="D95" s="167" t="str">
        <f>INDEX([1]ИНФО!C:C,MATCH(C95,[1]ИНФО!B:B,0))</f>
        <v>Ковальчук Валентин Вікторович</v>
      </c>
      <c r="E95" s="164">
        <v>2272.39</v>
      </c>
      <c r="F95" s="87" t="e">
        <f>SUMIFS([1]Табель!J:J,[1]Табель!E:E,C95,[1]Табель!B:B,"&gt;="&amp;Y79,[1]Табель!B:B,"&lt;"&amp;Y80,[1]Табель!F:F,'МЕХАНИЗАТОРЫ ноябрь'!I95)</f>
        <v>#VALUE!</v>
      </c>
      <c r="G95" s="78"/>
      <c r="H95" s="78"/>
      <c r="I95" s="78" t="s">
        <v>74</v>
      </c>
      <c r="J95" s="111">
        <f>INDEX([1]ИНФО_СПЕЦТЕХНИКА!$F$4:$F$24,MATCH(I95,[1]ИНФО_СПЕЦТЕХНИКА!$D$4:$D$24,0))</f>
        <v>170</v>
      </c>
      <c r="K95" s="88">
        <v>100</v>
      </c>
      <c r="L95" s="168" t="e">
        <f>SUMIFS([1]Табель!K:K,[1]Табель!E:E,C95,[1]Табель!B:B,"&gt;="&amp;Y79,[1]Табель!B:B,"&lt;"&amp;Y80,[1]Табель!F:F,I95)</f>
        <v>#VALUE!</v>
      </c>
      <c r="M95" s="169" t="e">
        <f>SUMIFS([1]Табель!L:L,[1]Табель!E:E,C95,[1]Табель!B:B,"&gt;="&amp;Y79,[1]Табель!B:B,"&lt;"&amp;Y80,[1]Табель!F:F,I95)</f>
        <v>#VALUE!</v>
      </c>
      <c r="N95" s="207"/>
      <c r="O95" s="261" t="e">
        <f t="shared" si="24"/>
        <v>#VALUE!</v>
      </c>
      <c r="Q95" s="283" t="e">
        <f t="shared" si="29"/>
        <v>#VALUE!</v>
      </c>
      <c r="R95" s="146"/>
      <c r="S95" s="110">
        <f t="shared" si="32"/>
        <v>443.11604999999997</v>
      </c>
      <c r="T95" s="110">
        <f t="shared" si="33"/>
        <v>1829.2739499999998</v>
      </c>
      <c r="U95" s="110">
        <f t="shared" si="34"/>
        <v>-2272.39</v>
      </c>
      <c r="V95" s="221" t="e">
        <f t="shared" si="28"/>
        <v>#VALUE!</v>
      </c>
      <c r="W95" s="432"/>
      <c r="Z95" s="433" t="e">
        <f t="shared" si="30"/>
        <v>#VALUE!</v>
      </c>
    </row>
    <row r="96" spans="2:28" hidden="1" outlineLevel="1" x14ac:dyDescent="0.3">
      <c r="B96" s="148">
        <v>9</v>
      </c>
      <c r="C96" s="131" t="s">
        <v>244</v>
      </c>
      <c r="D96" s="131" t="str">
        <f>INDEX([1]ИНФО!C:C,MATCH(C96,[1]ИНФО!B:B,0))</f>
        <v>Карбунар Ярослав Дмитрович</v>
      </c>
      <c r="E96" s="164">
        <f>INDEX($F$111:$F$127,MATCH(D96,$D$111:$D$127,0))</f>
        <v>9880</v>
      </c>
      <c r="F96" s="87" t="e">
        <f>SUMIFS([1]Табель!J:J,[1]Табель!E:E,C96,[1]Табель!B:B,"&gt;="&amp;Y79,[1]Табель!B:B,"&lt;"&amp;Y80,[1]Табель!F:F,'МЕХАНИЗАТОРЫ ноябрь'!I96)</f>
        <v>#VALUE!</v>
      </c>
      <c r="G96" s="87"/>
      <c r="H96" s="87"/>
      <c r="I96" s="87" t="s">
        <v>443</v>
      </c>
      <c r="J96" s="111">
        <f>INDEX([1]ИНФО_СПЕЦТЕХНИКА!$F$4:$F$24,MATCH(I96,[1]ИНФО_СПЕЦТЕХНИКА!$D$4:$D$24,0))</f>
        <v>170</v>
      </c>
      <c r="K96" s="88">
        <v>100</v>
      </c>
      <c r="L96" s="88" t="e">
        <f>SUMIFS([1]Табель!K:K,[1]Табель!E:E,C96,[1]Табель!B:B,"&gt;="&amp;Y79,[1]Табель!B:B,"&lt;"&amp;Y80,[1]Табель!F:F,I96)</f>
        <v>#VALUE!</v>
      </c>
      <c r="M96" s="89" t="e">
        <f>SUMIFS([1]Табель!L:L,[1]Табель!E:E,C96,[1]Табель!B:B,"&gt;="&amp;Y79,[1]Табель!B:B,"&lt;"&amp;Y80,[1]Табель!F:F,I96)</f>
        <v>#VALUE!</v>
      </c>
      <c r="N96" s="199"/>
      <c r="O96" s="261" t="e">
        <f t="shared" si="24"/>
        <v>#VALUE!</v>
      </c>
      <c r="Q96" s="283" t="e">
        <f t="shared" si="29"/>
        <v>#VALUE!</v>
      </c>
      <c r="R96" s="150">
        <f t="shared" si="31"/>
        <v>2173.6</v>
      </c>
      <c r="S96" s="150">
        <f t="shared" si="32"/>
        <v>1926.6000000000001</v>
      </c>
      <c r="T96" s="150">
        <f>E96-S96</f>
        <v>7953.4</v>
      </c>
      <c r="U96" s="150">
        <f t="shared" si="34"/>
        <v>-12053.6</v>
      </c>
      <c r="V96" s="408" t="e">
        <f t="shared" si="28"/>
        <v>#VALUE!</v>
      </c>
      <c r="W96" s="432"/>
      <c r="Z96" s="433" t="e">
        <f t="shared" si="30"/>
        <v>#VALUE!</v>
      </c>
    </row>
    <row r="97" spans="2:26" hidden="1" outlineLevel="1" x14ac:dyDescent="0.3">
      <c r="B97" s="75">
        <v>10</v>
      </c>
      <c r="C97" s="109" t="s">
        <v>376</v>
      </c>
      <c r="D97" s="109" t="str">
        <f>INDEX([1]ИНФО!C:C,MATCH(C97,[1]ИНФО!B:B,0))</f>
        <v>Косік Юрій Анатолійович</v>
      </c>
      <c r="E97" s="164">
        <f>INDEX($F$111:$F$127,MATCH(D97,$D$111:$D$127,0))</f>
        <v>9880</v>
      </c>
      <c r="F97" s="78" t="e">
        <f>SUMIFS([1]Табель!J:J,[1]Табель!E:E,C97,[1]Табель!B:B,"&gt;="&amp;Y79,[1]Табель!B:B,"&lt;"&amp;Y80,[1]Табель!F:F,'МЕХАНИЗАТОРЫ ноябрь'!I97)</f>
        <v>#VALUE!</v>
      </c>
      <c r="G97" s="78"/>
      <c r="H97" s="78"/>
      <c r="I97" s="78" t="s">
        <v>444</v>
      </c>
      <c r="J97" s="111">
        <f>INDEX([1]ИНФО_СПЕЦТЕХНИКА!$F$4:$F$24,MATCH(I97,[1]ИНФО_СПЕЦТЕХНИКА!$D$4:$D$24,0))</f>
        <v>170</v>
      </c>
      <c r="K97" s="79">
        <v>100</v>
      </c>
      <c r="L97" s="79" t="e">
        <f>SUMIFS([1]Табель!K:K,[1]Табель!E:E,C97,[1]Табель!B:B,"&gt;="&amp;Y79,[1]Табель!B:B,"&lt;"&amp;Y80,[1]Табель!F:F,I97)</f>
        <v>#VALUE!</v>
      </c>
      <c r="M97" s="80" t="e">
        <f>SUMIFS([1]Табель!L:L,[1]Табель!E:E,C97,[1]Табель!B:B,"&gt;="&amp;Y79,[1]Табель!B:B,"&lt;"&amp;Y80,[1]Табель!F:F,I97)</f>
        <v>#VALUE!</v>
      </c>
      <c r="N97" s="198"/>
      <c r="O97" s="260" t="e">
        <f t="shared" si="24"/>
        <v>#VALUE!</v>
      </c>
      <c r="Q97" s="279" t="e">
        <f t="shared" si="29"/>
        <v>#VALUE!</v>
      </c>
      <c r="R97" s="110">
        <f t="shared" si="31"/>
        <v>2173.6</v>
      </c>
      <c r="S97" s="110">
        <f t="shared" si="32"/>
        <v>1926.6000000000001</v>
      </c>
      <c r="T97" s="110">
        <f t="shared" si="33"/>
        <v>7953.4</v>
      </c>
      <c r="U97" s="110">
        <f t="shared" si="34"/>
        <v>-12053.6</v>
      </c>
      <c r="V97" s="221" t="e">
        <f t="shared" si="28"/>
        <v>#VALUE!</v>
      </c>
      <c r="W97" s="432"/>
      <c r="Y97" s="436" t="s">
        <v>479</v>
      </c>
      <c r="Z97" s="433" t="e">
        <f t="shared" si="30"/>
        <v>#VALUE!</v>
      </c>
    </row>
    <row r="98" spans="2:26" hidden="1" outlineLevel="1" x14ac:dyDescent="0.3">
      <c r="B98" s="75">
        <v>11</v>
      </c>
      <c r="C98" s="131" t="s">
        <v>378</v>
      </c>
      <c r="D98" s="109" t="str">
        <f>INDEX([1]ИНФО!C:C,MATCH(C98,[1]ИНФО!B:B,0))</f>
        <v>Трохименко Віталій Якович</v>
      </c>
      <c r="E98" s="164">
        <f>INDEX($F$111:$F$127,MATCH(D98,$D$111:$D$127,0))</f>
        <v>4750</v>
      </c>
      <c r="F98" s="87" t="e">
        <f>SUMIFS([1]Табель!J:J,[1]Табель!E:E,C98,[1]Табель!B:B,"&gt;="&amp;Y79,[1]Табель!B:B,"&lt;"&amp;Y80,[1]Табель!F:F,'МЕХАНИЗАТОРЫ ноябрь'!I98)</f>
        <v>#VALUE!</v>
      </c>
      <c r="G98" s="78"/>
      <c r="H98" s="78"/>
      <c r="I98" s="78" t="s">
        <v>445</v>
      </c>
      <c r="J98" s="111">
        <f>INDEX([1]ИНФО_СПЕЦТЕХНИКА!$F$4:$F$24,MATCH(I98,[1]ИНФО_СПЕЦТЕХНИКА!$D$4:$D$24,0))</f>
        <v>140</v>
      </c>
      <c r="K98" s="88">
        <v>100</v>
      </c>
      <c r="L98" s="88" t="e">
        <f>SUMIFS([1]Табель!K:K,[1]Табель!E:E,C98,[1]Табель!B:B,"&gt;="&amp;Y79,[1]Табель!B:B,"&lt;"&amp;Y80,[1]Табель!F:F,I98)</f>
        <v>#VALUE!</v>
      </c>
      <c r="M98" s="89" t="e">
        <f>SUMIFS([1]Табель!L:L,[1]Табель!E:E,C98,[1]Табель!B:B,"&gt;="&amp;Y79,[1]Табель!B:B,"&lt;"&amp;Y80,[1]Табель!F:F,I98)</f>
        <v>#VALUE!</v>
      </c>
      <c r="N98" s="199"/>
      <c r="O98" s="261" t="e">
        <f t="shared" si="24"/>
        <v>#VALUE!</v>
      </c>
      <c r="Q98" s="283" t="e">
        <f t="shared" si="29"/>
        <v>#VALUE!</v>
      </c>
      <c r="R98" s="110">
        <f t="shared" si="31"/>
        <v>1045</v>
      </c>
      <c r="S98" s="110">
        <f t="shared" si="32"/>
        <v>926.25</v>
      </c>
      <c r="T98" s="110">
        <f t="shared" si="33"/>
        <v>3823.75</v>
      </c>
      <c r="U98" s="110">
        <f t="shared" si="34"/>
        <v>-5795</v>
      </c>
      <c r="V98" s="221" t="e">
        <f t="shared" si="28"/>
        <v>#VALUE!</v>
      </c>
      <c r="W98" s="432"/>
      <c r="Y98" s="437" t="s">
        <v>480</v>
      </c>
      <c r="Z98" s="433" t="e">
        <f t="shared" si="30"/>
        <v>#VALUE!</v>
      </c>
    </row>
    <row r="99" spans="2:26" ht="15" hidden="1" outlineLevel="1" thickBot="1" x14ac:dyDescent="0.35">
      <c r="B99" s="113">
        <v>12</v>
      </c>
      <c r="C99" s="115" t="s">
        <v>243</v>
      </c>
      <c r="D99" s="115" t="str">
        <f>INDEX([1]ИНФО!C:C,MATCH(C99,[1]ИНФО!B:B,0))</f>
        <v>Мусієнко Ігор Іванович</v>
      </c>
      <c r="E99" s="170">
        <f>INDEX($F$111:$F$127,MATCH(D99,$D$111:$D$127,0))</f>
        <v>9500</v>
      </c>
      <c r="F99" s="117" t="e">
        <f>SUMIFS([1]Табель!J:J,[1]Табель!E:E,C99,[1]Табель!B:B,"&gt;="&amp;Y79,[1]Табель!B:B,"&lt;"&amp;Y80,[1]Табель!F:F,'МЕХАНИЗАТОРЫ ноябрь'!I99)</f>
        <v>#VALUE!</v>
      </c>
      <c r="G99" s="117"/>
      <c r="H99" s="117"/>
      <c r="I99" s="117" t="s">
        <v>441</v>
      </c>
      <c r="J99" s="118">
        <f>INDEX([1]ИНФО_СПЕЦТЕХНИКА!$F$4:$F$24,MATCH(I99,[1]ИНФО_СПЕЦТЕХНИКА!$D$4:$D$24,0))</f>
        <v>170</v>
      </c>
      <c r="K99" s="119">
        <v>100</v>
      </c>
      <c r="L99" s="119" t="e">
        <f>SUMIFS([1]Табель!K:K,[1]Табель!E:E,C99,[1]Табель!B:B,"&gt;="&amp;Y79,[1]Табель!B:B,"&lt;"&amp;Y80,[1]Табель!F:F,I99)</f>
        <v>#VALUE!</v>
      </c>
      <c r="M99" s="163" t="e">
        <f>SUMIFS([1]Табель!L:L,[1]Табель!E:E,C99,[1]Табель!B:B,"&gt;="&amp;Y79,[1]Табель!B:B,"&lt;"&amp;Y80,[1]Табель!F:F,I99)</f>
        <v>#VALUE!</v>
      </c>
      <c r="N99" s="206"/>
      <c r="O99" s="268" t="e">
        <f t="shared" si="24"/>
        <v>#VALUE!</v>
      </c>
      <c r="Q99" s="280" t="e">
        <f t="shared" si="29"/>
        <v>#VALUE!</v>
      </c>
      <c r="R99" s="120">
        <f t="shared" si="31"/>
        <v>2090</v>
      </c>
      <c r="S99" s="120">
        <f t="shared" si="32"/>
        <v>1852.5</v>
      </c>
      <c r="T99" s="120">
        <f t="shared" si="33"/>
        <v>7647.5</v>
      </c>
      <c r="U99" s="120">
        <f t="shared" si="34"/>
        <v>-11590</v>
      </c>
      <c r="V99" s="222" t="e">
        <f t="shared" si="28"/>
        <v>#VALUE!</v>
      </c>
      <c r="W99" s="432"/>
      <c r="Z99" s="433" t="e">
        <f t="shared" si="30"/>
        <v>#VALUE!</v>
      </c>
    </row>
    <row r="100" spans="2:26" hidden="1" outlineLevel="1" x14ac:dyDescent="0.3">
      <c r="B100" s="595">
        <v>13</v>
      </c>
      <c r="C100" s="109" t="s">
        <v>254</v>
      </c>
      <c r="D100" s="109" t="str">
        <f>INDEX([1]ИНФО!C:C,MATCH(C100,[1]ИНФО!B:B,0))</f>
        <v>Скоц Сергій Іванович</v>
      </c>
      <c r="E100" s="592">
        <f>INDEX($F$111:$F$127,MATCH(D100,$D$111:$D$127,0))</f>
        <v>9880</v>
      </c>
      <c r="F100" s="78" t="e">
        <f>SUMIFS([1]Табель!J:J,[1]Табель!E:E,C100,[1]Табель!B:B,"&gt;="&amp;Y79,[1]Табель!B:B,"&lt;"&amp;Y80,[1]Табель!F:F,'МЕХАНИЗАТОРЫ ноябрь'!I100)</f>
        <v>#VALUE!</v>
      </c>
      <c r="G100" s="78"/>
      <c r="H100" s="78"/>
      <c r="I100" s="78" t="s">
        <v>441</v>
      </c>
      <c r="J100" s="130">
        <f>INDEX([1]ИНФО_СПЕЦТЕХНИКА!$F$4:$F$24,MATCH(I100,[1]ИНФО_СПЕЦТЕХНИКА!$D$4:$D$24,0))</f>
        <v>170</v>
      </c>
      <c r="K100" s="79">
        <v>100</v>
      </c>
      <c r="L100" s="79" t="e">
        <f>SUMIFS([1]Табель!K:K,[1]Табель!E:E,C100,[1]Табель!B:B,"&gt;="&amp;Y79,[1]Табель!B:B,"&lt;"&amp;Y80,[1]Табель!F:F,I100)</f>
        <v>#VALUE!</v>
      </c>
      <c r="M100" s="80" t="e">
        <f>SUMIFS([1]Табель!L:L,[1]Табель!E:E,C100,[1]Табель!B:B,"&gt;="&amp;Y79,[1]Табель!B:B,"&lt;"&amp;Y80,[1]Табель!F:F,I100)</f>
        <v>#VALUE!</v>
      </c>
      <c r="N100" s="198"/>
      <c r="O100" s="260" t="e">
        <f t="shared" si="24"/>
        <v>#VALUE!</v>
      </c>
      <c r="Q100" s="281" t="e">
        <f t="shared" si="29"/>
        <v>#VALUE!</v>
      </c>
      <c r="R100" s="127" t="e">
        <f>ROUND(E100*(Q100/(SUM(Q100:Q101)))*0.22,2)</f>
        <v>#VALUE!</v>
      </c>
      <c r="S100" s="127" t="e">
        <f>ROUND(E100*(Q100/(SUM(Q100:Q101)))*0.195,2)</f>
        <v>#VALUE!</v>
      </c>
      <c r="T100" s="127" t="e">
        <f>E100*Q100/(Q100+Q101)-S100</f>
        <v>#VALUE!</v>
      </c>
      <c r="U100" s="127" t="e">
        <f>-ROUND((R100+E100*Q100/(Q100+Q101)),2)</f>
        <v>#VALUE!</v>
      </c>
      <c r="V100" s="223" t="e">
        <f>Q100-T100</f>
        <v>#VALUE!</v>
      </c>
      <c r="W100" s="432"/>
      <c r="Z100" s="433" t="e">
        <f t="shared" si="30"/>
        <v>#VALUE!</v>
      </c>
    </row>
    <row r="101" spans="2:26" ht="15" hidden="1" outlineLevel="1" thickBot="1" x14ac:dyDescent="0.35">
      <c r="B101" s="596"/>
      <c r="C101" s="114" t="s">
        <v>254</v>
      </c>
      <c r="D101" s="115" t="str">
        <f>INDEX([1]ИНФО!C:C,MATCH(C101,[1]ИНФО!B:B,0))</f>
        <v>Скоц Сергій Іванович</v>
      </c>
      <c r="E101" s="593"/>
      <c r="F101" s="94" t="e">
        <f>SUMIFS([1]Табель!J:J,[1]Табель!E:E,C101,[1]Табель!B:B,"&gt;="&amp;Y79,[1]Табель!B:B,"&lt;"&amp;Y80,[1]Табель!F:F,'МЕХАНИЗАТОРЫ ноябрь'!I101)</f>
        <v>#VALUE!</v>
      </c>
      <c r="G101" s="117"/>
      <c r="H101" s="117"/>
      <c r="I101" s="117" t="s">
        <v>447</v>
      </c>
      <c r="J101" s="111">
        <f>INDEX([1]ИНФО_СПЕЦТЕХНИКА!$F$4:$F$24,MATCH(I101,[1]ИНФО_СПЕЦТЕХНИКА!$D$4:$D$24,0))</f>
        <v>170</v>
      </c>
      <c r="K101" s="119">
        <v>100</v>
      </c>
      <c r="L101" s="95" t="e">
        <f>SUMIFS([1]Табель!K:K,[1]Табель!E:E,C101,[1]Табель!B:B,"&gt;="&amp;Y79,[1]Табель!B:B,"&lt;"&amp;Y80,[1]Табель!F:F,I101)</f>
        <v>#VALUE!</v>
      </c>
      <c r="M101" s="96" t="e">
        <f>SUMIFS([1]Табель!L:L,[1]Табель!E:E,C101,[1]Табель!B:B,"&gt;="&amp;Y79,[1]Табель!B:B,"&lt;"&amp;Y80,[1]Табель!F:F,I101)</f>
        <v>#VALUE!</v>
      </c>
      <c r="N101" s="200"/>
      <c r="O101" s="269" t="e">
        <f>F101-L101-M101</f>
        <v>#VALUE!</v>
      </c>
      <c r="Q101" s="282" t="e">
        <f t="shared" si="29"/>
        <v>#VALUE!</v>
      </c>
      <c r="R101" s="120" t="e">
        <f>ROUND(E100*(Q101/(SUM(Q100:Q101)))*0.22,2)</f>
        <v>#VALUE!</v>
      </c>
      <c r="S101" s="120" t="e">
        <f>ROUND(E100*(Q101/(SUM(Q100:Q101)))*0.195,2)</f>
        <v>#VALUE!</v>
      </c>
      <c r="T101" s="120" t="e">
        <f>E100*Q101/(Q100+Q101)-S101</f>
        <v>#VALUE!</v>
      </c>
      <c r="U101" s="120" t="e">
        <f>-ROUND((R101+E100*Q101/(Q100+Q101)),2)</f>
        <v>#VALUE!</v>
      </c>
      <c r="V101" s="222" t="e">
        <f t="shared" si="28"/>
        <v>#VALUE!</v>
      </c>
      <c r="W101" s="432"/>
      <c r="Y101" s="437" t="s">
        <v>481</v>
      </c>
      <c r="Z101" s="433" t="e">
        <f t="shared" si="30"/>
        <v>#VALUE!</v>
      </c>
    </row>
    <row r="102" spans="2:26" hidden="1" outlineLevel="1" x14ac:dyDescent="0.3">
      <c r="B102" s="75">
        <v>14</v>
      </c>
      <c r="C102" s="109" t="s">
        <v>372</v>
      </c>
      <c r="D102" s="109" t="str">
        <f>INDEX([1]ИНФО!C:C,MATCH(C102,[1]ИНФО!B:B,0))</f>
        <v>Горячий Іван Васильович</v>
      </c>
      <c r="E102" s="164">
        <f>INDEX($F$111:$F$127,MATCH(D102,$D$111:$D$127,0))</f>
        <v>9880</v>
      </c>
      <c r="F102" s="78" t="e">
        <f>SUMIFS([1]Табель!J:J,[1]Табель!E:E,C102,[1]Табель!B:B,"&gt;="&amp;Y79,[1]Табель!B:B,"&lt;"&amp;Y80,[1]Табель!F:F,'МЕХАНИЗАТОРЫ ноябрь'!I102)</f>
        <v>#VALUE!</v>
      </c>
      <c r="G102" s="78"/>
      <c r="H102" s="78"/>
      <c r="I102" s="78" t="s">
        <v>446</v>
      </c>
      <c r="J102" s="111">
        <f>INDEX([1]ИНФО_СПЕЦТЕХНИКА!$F$4:$F$24,MATCH(I102,[1]ИНФО_СПЕЦТЕХНИКА!$D$4:$D$24,0))</f>
        <v>170</v>
      </c>
      <c r="K102" s="79">
        <v>100</v>
      </c>
      <c r="L102" s="79" t="e">
        <f>SUMIFS([1]Табель!K:K,[1]Табель!E:E,C102,[1]Табель!B:B,"&gt;="&amp;Y79,[1]Табель!B:B,"&lt;"&amp;Y80,[1]Табель!F:F,I102)</f>
        <v>#VALUE!</v>
      </c>
      <c r="M102" s="80" t="e">
        <f>SUMIFS([1]Табель!L:L,[1]Табель!E:E,C102,[1]Табель!B:B,"&gt;="&amp;Y79,[1]Табель!B:B,"&lt;"&amp;Y80,[1]Табель!F:F,I102)</f>
        <v>#VALUE!</v>
      </c>
      <c r="N102" s="198"/>
      <c r="O102" s="260" t="e">
        <f t="shared" si="24"/>
        <v>#VALUE!</v>
      </c>
      <c r="Q102" s="279" t="e">
        <f t="shared" si="29"/>
        <v>#VALUE!</v>
      </c>
      <c r="R102" s="110">
        <f t="shared" si="31"/>
        <v>2173.6</v>
      </c>
      <c r="S102" s="110">
        <f t="shared" si="32"/>
        <v>1926.6000000000001</v>
      </c>
      <c r="T102" s="110">
        <f t="shared" si="33"/>
        <v>7953.4</v>
      </c>
      <c r="U102" s="110">
        <f t="shared" si="34"/>
        <v>-12053.6</v>
      </c>
      <c r="V102" s="221" t="e">
        <f t="shared" si="28"/>
        <v>#VALUE!</v>
      </c>
      <c r="W102" s="432"/>
      <c r="Z102" s="433" t="e">
        <f t="shared" si="30"/>
        <v>#VALUE!</v>
      </c>
    </row>
    <row r="103" spans="2:26" hidden="1" outlineLevel="1" x14ac:dyDescent="0.3">
      <c r="B103" s="75">
        <v>15</v>
      </c>
      <c r="C103" s="109" t="s">
        <v>248</v>
      </c>
      <c r="D103" s="109" t="str">
        <f>INDEX([1]ИНФО!C:C,MATCH(C103,[1]ИНФО!B:B,0))</f>
        <v>Якубовський Василь Григорович</v>
      </c>
      <c r="E103" s="164"/>
      <c r="F103" s="78" t="e">
        <f>SUMIFS([1]Табель!J:J,[1]Табель!E:E,C103,[1]Табель!B:B,"&gt;="&amp;Y79,[1]Табель!B:B,"&lt;"&amp;Y80,[1]Табель!F:F,'МЕХАНИЗАТОРЫ ноябрь'!I103)</f>
        <v>#VALUE!</v>
      </c>
      <c r="G103" s="78"/>
      <c r="H103" s="78"/>
      <c r="I103" s="78" t="s">
        <v>440</v>
      </c>
      <c r="J103" s="111">
        <f>INDEX([1]ИНФО_СПЕЦТЕХНИКА!$F$4:$F$24,MATCH(I103,[1]ИНФО_СПЕЦТЕХНИКА!$D$4:$D$24,0))</f>
        <v>140</v>
      </c>
      <c r="K103" s="79">
        <v>100</v>
      </c>
      <c r="L103" s="79" t="e">
        <f>SUMIFS([1]Табель!K:K,[1]Табель!E:E,C103,[1]Табель!B:B,"&gt;="&amp;Y79,[1]Табель!B:B,"&lt;"&amp;Y80,[1]Табель!F:F,I103)</f>
        <v>#VALUE!</v>
      </c>
      <c r="M103" s="80" t="e">
        <f>SUMIFS([1]Табель!L:L,[1]Табель!E:E,C103,[1]Табель!B:B,"&gt;="&amp;Y79,[1]Табель!B:B,"&lt;"&amp;Y80,[1]Табель!F:F,I103)</f>
        <v>#VALUE!</v>
      </c>
      <c r="N103" s="198"/>
      <c r="O103" s="260" t="e">
        <f t="shared" si="24"/>
        <v>#VALUE!</v>
      </c>
      <c r="Q103" s="279" t="e">
        <f t="shared" si="29"/>
        <v>#VALUE!</v>
      </c>
      <c r="R103" s="110">
        <f t="shared" si="31"/>
        <v>0</v>
      </c>
      <c r="S103" s="110">
        <f t="shared" si="32"/>
        <v>0</v>
      </c>
      <c r="T103" s="110">
        <f t="shared" si="33"/>
        <v>0</v>
      </c>
      <c r="U103" s="110">
        <f t="shared" si="34"/>
        <v>0</v>
      </c>
      <c r="V103" s="221" t="e">
        <f t="shared" si="28"/>
        <v>#VALUE!</v>
      </c>
      <c r="W103" s="432"/>
      <c r="Z103" s="433" t="e">
        <f t="shared" si="30"/>
        <v>#VALUE!</v>
      </c>
    </row>
    <row r="104" spans="2:26" hidden="1" outlineLevel="1" x14ac:dyDescent="0.3">
      <c r="B104" s="75">
        <v>16</v>
      </c>
      <c r="C104" s="109" t="s">
        <v>251</v>
      </c>
      <c r="D104" s="109" t="str">
        <f>INDEX([1]ИНФО!C:C,MATCH(C104,[1]ИНФО!B:B,0))</f>
        <v>Кушнірюк Микола Володимирович</v>
      </c>
      <c r="E104" s="164">
        <f>INDEX($F$111:$F$127,MATCH(D104,$D$111:$D$127,0))</f>
        <v>4750</v>
      </c>
      <c r="F104" s="87" t="e">
        <f>SUMIFS([1]Табель!J:J,[1]Табель!E:E,C104,[1]Табель!B:B,"&gt;="&amp;Y79,[1]Табель!B:B,"&lt;"&amp;Y80,[1]Табель!F:F,'МЕХАНИЗАТОРЫ ноябрь'!I104)</f>
        <v>#VALUE!</v>
      </c>
      <c r="G104" s="78"/>
      <c r="H104" s="78"/>
      <c r="I104" s="78" t="s">
        <v>86</v>
      </c>
      <c r="J104" s="111">
        <f>INDEX([1]ИНФО_СПЕЦТЕХНИКА!$F$4:$F$24,MATCH(I104,[1]ИНФО_СПЕЦТЕХНИКА!$D$4:$D$24,0))</f>
        <v>140</v>
      </c>
      <c r="K104" s="88">
        <v>100</v>
      </c>
      <c r="L104" s="88" t="e">
        <f>SUMIFS([1]Табель!K:K,[1]Табель!E:E,C104,[1]Табель!B:B,"&gt;="&amp;Y79,[1]Табель!B:B,"&lt;"&amp;Y80,[1]Табель!F:F,I104)</f>
        <v>#VALUE!</v>
      </c>
      <c r="M104" s="89" t="e">
        <f>SUMIFS([1]Табель!L:L,[1]Табель!E:E,C104,[1]Табель!B:B,"&gt;="&amp;Y79,[1]Табель!B:B,"&lt;"&amp;Y80,[1]Табель!F:F,I104)</f>
        <v>#VALUE!</v>
      </c>
      <c r="N104" s="199"/>
      <c r="O104" s="261" t="e">
        <f t="shared" si="24"/>
        <v>#VALUE!</v>
      </c>
      <c r="Q104" s="283" t="e">
        <f t="shared" si="29"/>
        <v>#VALUE!</v>
      </c>
      <c r="R104" s="110">
        <f t="shared" si="31"/>
        <v>1045</v>
      </c>
      <c r="S104" s="110">
        <f t="shared" si="32"/>
        <v>926.25</v>
      </c>
      <c r="T104" s="110">
        <f t="shared" si="33"/>
        <v>3823.75</v>
      </c>
      <c r="U104" s="110">
        <f t="shared" si="34"/>
        <v>-5795</v>
      </c>
      <c r="V104" s="221" t="e">
        <f t="shared" si="28"/>
        <v>#VALUE!</v>
      </c>
      <c r="W104" s="432"/>
      <c r="Z104" s="433" t="e">
        <f t="shared" si="30"/>
        <v>#VALUE!</v>
      </c>
    </row>
    <row r="105" spans="2:26" hidden="1" outlineLevel="1" x14ac:dyDescent="0.3">
      <c r="B105" s="85">
        <v>17</v>
      </c>
      <c r="C105" s="171" t="s">
        <v>380</v>
      </c>
      <c r="D105" s="131" t="str">
        <f>INDEX([1]ИНФО!C:C,MATCH(C105,[1]ИНФО!B:B,0))</f>
        <v>Шестаковський Юрій Олексійович</v>
      </c>
      <c r="E105" s="172">
        <v>4523.8100000000004</v>
      </c>
      <c r="F105" s="87" t="e">
        <f>SUMIFS([1]Табель!J:J,[1]Табель!E:E,C105,[1]Табель!B:B,"&gt;="&amp;Y79,[1]Табель!B:B,"&lt;"&amp;Y80,[1]Табель!F:F,'МЕХАНИЗАТОРЫ ноябрь'!I105)</f>
        <v>#VALUE!</v>
      </c>
      <c r="G105" s="87"/>
      <c r="H105" s="87"/>
      <c r="I105" s="87" t="s">
        <v>86</v>
      </c>
      <c r="J105" s="111">
        <f>INDEX([1]ИНФО_СПЕЦТЕХНИКА!$F$4:$F$24,MATCH(I105,[1]ИНФО_СПЕЦТЕХНИКА!$D$4:$D$24,0))</f>
        <v>140</v>
      </c>
      <c r="K105" s="88">
        <v>100</v>
      </c>
      <c r="L105" s="88" t="e">
        <f>SUMIFS([1]Табель!K:K,[1]Табель!E:E,C105,[1]Табель!B:B,"&gt;="&amp;Y79,[1]Табель!B:B,"&lt;"&amp;Y80,[1]Табель!F:F,I105)</f>
        <v>#VALUE!</v>
      </c>
      <c r="M105" s="89" t="e">
        <f>SUMIFS([1]Табель!L:L,[1]Табель!E:E,C105,[1]Табель!B:B,"&gt;="&amp;Y79,[1]Табель!B:B,"&lt;"&amp;Y80,[1]Табель!F:F,I105)</f>
        <v>#VALUE!</v>
      </c>
      <c r="N105" s="199"/>
      <c r="O105" s="261" t="e">
        <f t="shared" si="24"/>
        <v>#VALUE!</v>
      </c>
      <c r="Q105" s="283" t="e">
        <f t="shared" si="29"/>
        <v>#VALUE!</v>
      </c>
      <c r="R105" s="110"/>
      <c r="S105" s="110">
        <f t="shared" si="32"/>
        <v>882.14295000000016</v>
      </c>
      <c r="T105" s="110">
        <f t="shared" si="33"/>
        <v>3641.66705</v>
      </c>
      <c r="U105" s="110">
        <f t="shared" si="34"/>
        <v>-4523.8100000000004</v>
      </c>
      <c r="V105" s="221" t="e">
        <f t="shared" si="28"/>
        <v>#VALUE!</v>
      </c>
      <c r="W105" s="432"/>
      <c r="Z105" s="433" t="e">
        <f t="shared" si="30"/>
        <v>#VALUE!</v>
      </c>
    </row>
    <row r="106" spans="2:26" hidden="1" outlineLevel="1" x14ac:dyDescent="0.3">
      <c r="B106" s="138">
        <v>18</v>
      </c>
      <c r="C106" s="167" t="s">
        <v>381</v>
      </c>
      <c r="D106" s="109" t="str">
        <f>INDEX([1]ИНФО!C:C,MATCH(C106,[1]ИНФО!B:B,0))</f>
        <v>Самойленко Віктор Миколайович</v>
      </c>
      <c r="E106" s="173">
        <v>9500</v>
      </c>
      <c r="F106" s="78" t="e">
        <f>SUMIFS([1]Табель!J:J,[1]Табель!E:E,C106,[1]Табель!B:B,"&gt;="&amp;Y79,[1]Табель!B:B,"&lt;"&amp;Y80,[1]Табель!F:F,'МЕХАНИЗАТОРЫ ноябрь'!I106)</f>
        <v>#VALUE!</v>
      </c>
      <c r="G106" s="78"/>
      <c r="H106" s="78"/>
      <c r="I106" s="78" t="s">
        <v>75</v>
      </c>
      <c r="J106" s="130">
        <f>INDEX([1]ИНФО_СПЕЦТЕХНИКА!$F$4:$F$24,MATCH(I106,[1]ИНФО_СПЕЦТЕХНИКА!$D$4:$D$24,0))</f>
        <v>140</v>
      </c>
      <c r="K106" s="79">
        <v>100</v>
      </c>
      <c r="L106" s="168" t="e">
        <f>SUMIFS([1]Табель!K:K,[1]Табель!E:E,C106,[1]Табель!B:B,"&gt;="&amp;Y79,[1]Табель!B:B,"&lt;"&amp;Y80,[1]Табель!F:F,I106)</f>
        <v>#VALUE!</v>
      </c>
      <c r="M106" s="169" t="e">
        <f>SUMIFS([1]Табель!L:L,[1]Табель!E:E,C106,[1]Табель!B:B,"&gt;="&amp;Y79,[1]Табель!B:B,"&lt;"&amp;Y80,[1]Табель!F:F,I106)</f>
        <v>#VALUE!</v>
      </c>
      <c r="N106" s="207"/>
      <c r="O106" s="260" t="e">
        <f t="shared" si="24"/>
        <v>#VALUE!</v>
      </c>
      <c r="Q106" s="283" t="e">
        <f t="shared" si="29"/>
        <v>#VALUE!</v>
      </c>
      <c r="R106" s="110">
        <f t="shared" ref="R106" si="35">ROUND(E106*0.22,2)</f>
        <v>2090</v>
      </c>
      <c r="S106" s="110">
        <f t="shared" si="32"/>
        <v>1852.5</v>
      </c>
      <c r="T106" s="110">
        <f t="shared" si="33"/>
        <v>7647.5</v>
      </c>
      <c r="U106" s="110">
        <f t="shared" si="34"/>
        <v>-11590</v>
      </c>
      <c r="V106" s="221" t="e">
        <f t="shared" si="28"/>
        <v>#VALUE!</v>
      </c>
      <c r="W106" s="432"/>
      <c r="Z106" s="433" t="e">
        <f t="shared" si="30"/>
        <v>#VALUE!</v>
      </c>
    </row>
    <row r="107" spans="2:26" ht="15" hidden="1" outlineLevel="1" thickBot="1" x14ac:dyDescent="0.35">
      <c r="B107" s="153">
        <v>19</v>
      </c>
      <c r="C107" s="114" t="s">
        <v>379</v>
      </c>
      <c r="D107" s="114" t="str">
        <f>INDEX([1]ИНФО!C:C,MATCH(C107,[1]ИНФО!B:B,0))</f>
        <v>Шамоян Агмад Даватевич</v>
      </c>
      <c r="E107" s="170">
        <f>INDEX($F$111:$F$127,MATCH(D107,$D$111:$D$127,0))</f>
        <v>9500</v>
      </c>
      <c r="F107" s="94" t="e">
        <f>SUMIFS([1]Табель!J:J,[1]Табель!E:E,C107,[1]Табель!B:B,"&gt;="&amp;Y79,[1]Табель!B:B,"&lt;"&amp;Y80,[1]Табель!F:F,'МЕХАНИЗАТОРЫ ноябрь'!I107)</f>
        <v>#VALUE!</v>
      </c>
      <c r="G107" s="94"/>
      <c r="H107" s="94"/>
      <c r="I107" s="94" t="s">
        <v>86</v>
      </c>
      <c r="J107" s="111">
        <f>INDEX([1]ИНФО_СПЕЦТЕХНИКА!$F$4:$F$24,MATCH(I107,[1]ИНФО_СПЕЦТЕХНИКА!$D$4:$D$24,0))</f>
        <v>140</v>
      </c>
      <c r="K107" s="95">
        <v>100</v>
      </c>
      <c r="L107" s="95" t="e">
        <f>SUMIFS([1]Табель!K:K,[1]Табель!E:E,C107,[1]Табель!B:B,"&gt;="&amp;Y79,[1]Табель!B:B,"&lt;"&amp;Y80,[1]Табель!F:F,I107)</f>
        <v>#VALUE!</v>
      </c>
      <c r="M107" s="96" t="e">
        <f>SUMIFS([1]Табель!L:L,[1]Табель!E:E,C107,[1]Табель!B:B,"&gt;="&amp;Y79,[1]Табель!B:B,"&lt;"&amp;Y80,[1]Табель!F:F,I107)</f>
        <v>#VALUE!</v>
      </c>
      <c r="N107" s="200"/>
      <c r="O107" s="262" t="e">
        <f t="shared" si="24"/>
        <v>#VALUE!</v>
      </c>
      <c r="Q107" s="282" t="e">
        <f t="shared" si="29"/>
        <v>#VALUE!</v>
      </c>
      <c r="R107" s="129">
        <f t="shared" si="31"/>
        <v>2090</v>
      </c>
      <c r="S107" s="129">
        <f t="shared" si="32"/>
        <v>1852.5</v>
      </c>
      <c r="T107" s="129">
        <f t="shared" si="33"/>
        <v>7647.5</v>
      </c>
      <c r="U107" s="129">
        <f t="shared" si="34"/>
        <v>-11590</v>
      </c>
      <c r="V107" s="409" t="e">
        <f t="shared" si="28"/>
        <v>#VALUE!</v>
      </c>
      <c r="W107" s="432"/>
      <c r="Z107" s="433" t="e">
        <f t="shared" si="30"/>
        <v>#VALUE!</v>
      </c>
    </row>
    <row r="108" spans="2:26" s="107" customFormat="1" ht="27.6" hidden="1" customHeight="1" outlineLevel="1" thickBot="1" x14ac:dyDescent="0.35">
      <c r="B108" s="156"/>
      <c r="C108" s="101" t="s">
        <v>468</v>
      </c>
      <c r="D108" s="101"/>
      <c r="E108" s="102">
        <f>SUM(E86:E107)</f>
        <v>139732.88</v>
      </c>
      <c r="F108" s="157" t="e">
        <f>SUM(F86:F107)</f>
        <v>#VALUE!</v>
      </c>
      <c r="G108" s="157"/>
      <c r="H108" s="157"/>
      <c r="I108" s="157"/>
      <c r="J108" s="158"/>
      <c r="K108" s="158"/>
      <c r="L108" s="159" t="e">
        <f>SUM(L86:L107)</f>
        <v>#VALUE!</v>
      </c>
      <c r="M108" s="160" t="e">
        <f>SUM(M86:M107)</f>
        <v>#VALUE!</v>
      </c>
      <c r="N108" s="204"/>
      <c r="O108" s="267" t="e">
        <f>SUM(O86:O107)</f>
        <v>#VALUE!</v>
      </c>
      <c r="P108" s="225"/>
      <c r="Q108" s="278" t="e">
        <f t="shared" ref="Q108:V108" si="36">SUM(Q86:Q107)</f>
        <v>#VALUE!</v>
      </c>
      <c r="R108" s="102" t="e">
        <f t="shared" si="36"/>
        <v>#VALUE!</v>
      </c>
      <c r="S108" s="102" t="e">
        <f t="shared" si="36"/>
        <v>#VALUE!</v>
      </c>
      <c r="T108" s="102" t="e">
        <f t="shared" si="36"/>
        <v>#VALUE!</v>
      </c>
      <c r="U108" s="102" t="e">
        <f t="shared" si="36"/>
        <v>#VALUE!</v>
      </c>
      <c r="V108" s="220" t="e">
        <f t="shared" si="36"/>
        <v>#VALUE!</v>
      </c>
      <c r="W108" s="431"/>
      <c r="Z108" s="66"/>
    </row>
    <row r="109" spans="2:26" hidden="1" outlineLevel="1" x14ac:dyDescent="0.3">
      <c r="O109" s="174"/>
    </row>
    <row r="110" spans="2:26" hidden="1" outlineLevel="1" x14ac:dyDescent="0.3">
      <c r="Q110" s="283"/>
    </row>
    <row r="111" spans="2:26" hidden="1" outlineLevel="1" x14ac:dyDescent="0.3">
      <c r="D111" s="175" t="s">
        <v>356</v>
      </c>
      <c r="E111" s="176"/>
      <c r="F111" s="177">
        <v>4071.43</v>
      </c>
      <c r="G111" s="188"/>
      <c r="H111" s="188"/>
    </row>
    <row r="112" spans="2:26" hidden="1" outlineLevel="1" x14ac:dyDescent="0.3">
      <c r="D112" s="175" t="s">
        <v>193</v>
      </c>
      <c r="E112" s="177"/>
      <c r="F112" s="177">
        <v>9500</v>
      </c>
      <c r="G112" s="188"/>
      <c r="H112" s="188"/>
    </row>
    <row r="113" spans="4:8" hidden="1" outlineLevel="1" x14ac:dyDescent="0.3">
      <c r="D113" s="175" t="s">
        <v>255</v>
      </c>
      <c r="E113" s="177"/>
      <c r="F113" s="177">
        <v>7464.3</v>
      </c>
      <c r="G113" s="188"/>
      <c r="H113" s="188"/>
    </row>
    <row r="114" spans="4:8" hidden="1" outlineLevel="1" x14ac:dyDescent="0.3">
      <c r="D114" s="175" t="s">
        <v>335</v>
      </c>
      <c r="E114" s="177"/>
      <c r="F114" s="177">
        <v>4750</v>
      </c>
      <c r="G114" s="188"/>
      <c r="H114" s="188"/>
    </row>
    <row r="115" spans="4:8" hidden="1" outlineLevel="1" x14ac:dyDescent="0.3">
      <c r="D115" s="175" t="s">
        <v>242</v>
      </c>
      <c r="E115" s="177"/>
      <c r="F115" s="177">
        <v>9500</v>
      </c>
      <c r="G115" s="188"/>
      <c r="H115" s="188"/>
    </row>
    <row r="116" spans="4:8" hidden="1" outlineLevel="1" x14ac:dyDescent="0.3">
      <c r="D116" s="178" t="s">
        <v>482</v>
      </c>
      <c r="E116" s="179"/>
      <c r="F116" s="179">
        <v>9880</v>
      </c>
      <c r="G116" s="189"/>
      <c r="H116" s="189"/>
    </row>
    <row r="117" spans="4:8" hidden="1" outlineLevel="1" x14ac:dyDescent="0.3">
      <c r="D117" s="175" t="s">
        <v>190</v>
      </c>
      <c r="E117" s="177"/>
      <c r="F117" s="177">
        <v>9880</v>
      </c>
      <c r="G117" s="188"/>
      <c r="H117" s="188"/>
    </row>
    <row r="118" spans="4:8" hidden="1" outlineLevel="1" x14ac:dyDescent="0.3">
      <c r="D118" s="178" t="s">
        <v>483</v>
      </c>
      <c r="E118" s="179"/>
      <c r="F118" s="179">
        <v>62890</v>
      </c>
      <c r="G118" s="189"/>
      <c r="H118" s="189"/>
    </row>
    <row r="119" spans="4:8" hidden="1" outlineLevel="1" x14ac:dyDescent="0.3">
      <c r="D119" s="175" t="s">
        <v>192</v>
      </c>
      <c r="E119" s="177"/>
      <c r="F119" s="177">
        <v>9500</v>
      </c>
      <c r="G119" s="188"/>
      <c r="H119" s="188"/>
    </row>
    <row r="120" spans="4:8" hidden="1" outlineLevel="1" x14ac:dyDescent="0.3">
      <c r="D120" s="175" t="s">
        <v>195</v>
      </c>
      <c r="E120" s="180"/>
      <c r="F120" s="177">
        <v>9500</v>
      </c>
      <c r="G120" s="188"/>
      <c r="H120" s="188"/>
    </row>
    <row r="121" spans="4:8" hidden="1" outlineLevel="1" x14ac:dyDescent="0.3">
      <c r="D121" s="175" t="s">
        <v>189</v>
      </c>
      <c r="E121" s="177"/>
      <c r="F121" s="177">
        <v>9880</v>
      </c>
      <c r="G121" s="188"/>
      <c r="H121" s="188"/>
    </row>
    <row r="122" spans="4:8" hidden="1" outlineLevel="1" x14ac:dyDescent="0.3">
      <c r="D122" s="175" t="s">
        <v>185</v>
      </c>
      <c r="E122" s="177"/>
      <c r="F122" s="177">
        <v>9880</v>
      </c>
      <c r="G122" s="188"/>
      <c r="H122" s="188"/>
    </row>
    <row r="123" spans="4:8" hidden="1" outlineLevel="1" x14ac:dyDescent="0.3">
      <c r="D123" s="175" t="s">
        <v>182</v>
      </c>
      <c r="E123" s="177"/>
      <c r="F123" s="177">
        <v>9500</v>
      </c>
      <c r="G123" s="188"/>
      <c r="H123" s="188"/>
    </row>
    <row r="124" spans="4:8" hidden="1" outlineLevel="1" x14ac:dyDescent="0.3">
      <c r="D124" s="175" t="s">
        <v>196</v>
      </c>
      <c r="E124" s="177"/>
      <c r="F124" s="177">
        <v>9880</v>
      </c>
      <c r="G124" s="188"/>
      <c r="H124" s="188"/>
    </row>
    <row r="125" spans="4:8" hidden="1" outlineLevel="1" x14ac:dyDescent="0.3">
      <c r="D125" s="175" t="s">
        <v>186</v>
      </c>
      <c r="E125" s="177"/>
      <c r="F125" s="177">
        <v>4750</v>
      </c>
      <c r="G125" s="188"/>
      <c r="H125" s="188"/>
    </row>
    <row r="126" spans="4:8" hidden="1" outlineLevel="1" x14ac:dyDescent="0.3">
      <c r="D126" s="178" t="s">
        <v>484</v>
      </c>
      <c r="E126" s="179"/>
      <c r="F126" s="179">
        <v>9500</v>
      </c>
      <c r="G126" s="189"/>
      <c r="H126" s="189"/>
    </row>
    <row r="127" spans="4:8" hidden="1" outlineLevel="1" x14ac:dyDescent="0.3">
      <c r="D127" s="175" t="s">
        <v>334</v>
      </c>
      <c r="E127" s="177"/>
      <c r="F127" s="177">
        <v>9500</v>
      </c>
      <c r="G127" s="188"/>
      <c r="H127" s="188"/>
    </row>
    <row r="128" spans="4:8" hidden="1" outlineLevel="1" x14ac:dyDescent="0.3"/>
    <row r="129" spans="1:57" collapsed="1" x14ac:dyDescent="0.3">
      <c r="O129" s="228">
        <f>2890-O132+104</f>
        <v>27</v>
      </c>
      <c r="P129" s="288"/>
    </row>
    <row r="130" spans="1:57" ht="15" customHeight="1" collapsed="1" x14ac:dyDescent="0.3">
      <c r="P130" s="288"/>
      <c r="R130" s="132"/>
    </row>
    <row r="131" spans="1:57" ht="16.8" customHeight="1" x14ac:dyDescent="0.35">
      <c r="B131" s="591"/>
      <c r="C131" s="591"/>
      <c r="D131" s="591"/>
      <c r="E131" s="591"/>
      <c r="F131" s="591"/>
      <c r="G131" s="591"/>
      <c r="H131" s="591"/>
      <c r="I131" s="591"/>
      <c r="J131" s="591"/>
      <c r="K131" s="591"/>
      <c r="L131" s="591"/>
      <c r="M131" s="591"/>
      <c r="N131" s="591"/>
      <c r="O131" s="591"/>
      <c r="P131" s="591"/>
      <c r="Q131" s="591"/>
      <c r="R131" s="591"/>
      <c r="S131" s="591"/>
      <c r="T131" s="591"/>
      <c r="U131" s="591"/>
      <c r="V131" s="591"/>
      <c r="W131" s="316"/>
    </row>
    <row r="132" spans="1:57" s="107" customFormat="1" ht="19.2" customHeight="1" x14ac:dyDescent="0.3">
      <c r="B132" s="133"/>
      <c r="C132" s="133"/>
      <c r="D132" s="133"/>
      <c r="E132" s="133"/>
      <c r="F132" s="181">
        <f>SUM(F135:F182)</f>
        <v>3406</v>
      </c>
      <c r="G132" s="187"/>
      <c r="H132" s="187"/>
      <c r="I132" s="133"/>
      <c r="J132" s="133"/>
      <c r="K132" s="133"/>
      <c r="L132" s="182">
        <f>SUBTOTAL(9,L135:L182)</f>
        <v>365</v>
      </c>
      <c r="M132" s="182">
        <f>SUBTOTAL(9,M135:M182)</f>
        <v>74</v>
      </c>
      <c r="N132" s="135"/>
      <c r="O132" s="265">
        <f>SUBTOTAL(9,O135:O182)</f>
        <v>2967</v>
      </c>
      <c r="P132" s="290"/>
      <c r="Q132" s="133"/>
      <c r="R132" s="133"/>
      <c r="S132" s="133"/>
      <c r="T132" s="133"/>
      <c r="U132" s="133"/>
      <c r="V132" s="133"/>
      <c r="W132" s="133"/>
      <c r="AA132" s="435"/>
      <c r="AB132" s="435"/>
    </row>
    <row r="133" spans="1:57" ht="3.75" customHeight="1" x14ac:dyDescent="0.3">
      <c r="B133" s="68"/>
      <c r="C133" s="68"/>
      <c r="D133" s="68"/>
      <c r="E133" s="68"/>
      <c r="F133" s="69"/>
      <c r="G133" s="69"/>
      <c r="H133" s="69"/>
      <c r="I133" s="69"/>
      <c r="J133" s="68"/>
      <c r="K133" s="68"/>
      <c r="L133" s="68"/>
      <c r="M133" s="68"/>
      <c r="N133" s="68"/>
      <c r="O133" s="68"/>
      <c r="P133" s="288"/>
    </row>
    <row r="134" spans="1:57" s="73" customFormat="1" ht="52.8" customHeight="1" thickBot="1" x14ac:dyDescent="0.35">
      <c r="B134" s="300" t="s">
        <v>452</v>
      </c>
      <c r="C134" s="300" t="s">
        <v>448</v>
      </c>
      <c r="D134" s="300" t="s">
        <v>469</v>
      </c>
      <c r="E134" s="300" t="s">
        <v>613</v>
      </c>
      <c r="F134" s="301" t="s">
        <v>454</v>
      </c>
      <c r="G134" s="301" t="s">
        <v>544</v>
      </c>
      <c r="H134" s="300" t="s">
        <v>534</v>
      </c>
      <c r="I134" s="300" t="s">
        <v>557</v>
      </c>
      <c r="J134" s="300" t="s">
        <v>456</v>
      </c>
      <c r="K134" s="300" t="s">
        <v>457</v>
      </c>
      <c r="L134" s="300" t="s">
        <v>235</v>
      </c>
      <c r="M134" s="302" t="s">
        <v>458</v>
      </c>
      <c r="N134" s="302"/>
      <c r="O134" s="303" t="s">
        <v>459</v>
      </c>
      <c r="P134" s="289"/>
      <c r="Q134" s="304" t="s">
        <v>460</v>
      </c>
      <c r="R134" s="305" t="s">
        <v>461</v>
      </c>
      <c r="S134" s="305" t="s">
        <v>462</v>
      </c>
      <c r="T134" s="305" t="s">
        <v>463</v>
      </c>
      <c r="U134" s="300" t="s">
        <v>472</v>
      </c>
      <c r="V134" s="410" t="s">
        <v>464</v>
      </c>
      <c r="Z134" s="438" t="s">
        <v>597</v>
      </c>
    </row>
    <row r="135" spans="1:57" s="362" customFormat="1" ht="15" thickBot="1" x14ac:dyDescent="0.35">
      <c r="A135" s="353"/>
      <c r="B135" s="396">
        <v>1</v>
      </c>
      <c r="C135" s="354" t="s">
        <v>590</v>
      </c>
      <c r="D135" s="355" t="s">
        <v>589</v>
      </c>
      <c r="E135" s="356">
        <f>INDEX($F$186:$F$207,MATCH(D135,$D$186:$D$207,0))</f>
        <v>9500</v>
      </c>
      <c r="F135" s="357">
        <f>125+128-3</f>
        <v>250</v>
      </c>
      <c r="G135" s="358"/>
      <c r="H135" s="358" t="s">
        <v>585</v>
      </c>
      <c r="I135" s="358" t="s">
        <v>67</v>
      </c>
      <c r="J135" s="359">
        <f>VLOOKUP(I135,Лист5!$C$2:$F$22,4,0)</f>
        <v>230</v>
      </c>
      <c r="K135" s="360">
        <v>100</v>
      </c>
      <c r="L135" s="360">
        <f>16+7-3</f>
        <v>20</v>
      </c>
      <c r="M135" s="360">
        <f>5+7</f>
        <v>12</v>
      </c>
      <c r="N135" s="360"/>
      <c r="O135" s="361">
        <f>F135-L135-M135</f>
        <v>218</v>
      </c>
      <c r="P135" s="362">
        <f>L135+M135</f>
        <v>32</v>
      </c>
      <c r="Q135" s="363">
        <f t="shared" ref="Q135:Q140" si="37">O135*J135+(L135+M135)*K135</f>
        <v>53340</v>
      </c>
      <c r="R135" s="127">
        <f t="shared" ref="R135:R137" si="38">ROUND(E135*0.22,2)</f>
        <v>2090</v>
      </c>
      <c r="S135" s="127">
        <f>E135*0.195</f>
        <v>1852.5</v>
      </c>
      <c r="T135" s="127">
        <f t="shared" ref="T135:T137" si="39">E135-S135</f>
        <v>7647.5</v>
      </c>
      <c r="U135" s="291">
        <f t="shared" ref="U135:U137" si="40">-ROUND((R135+E135),2)</f>
        <v>-11590</v>
      </c>
      <c r="V135" s="413">
        <f>Q135-T135</f>
        <v>45692.5</v>
      </c>
      <c r="W135" s="418" t="e">
        <f>Q135-#REF!</f>
        <v>#REF!</v>
      </c>
      <c r="X135" s="439">
        <v>45536</v>
      </c>
      <c r="Y135" s="439">
        <v>45565</v>
      </c>
      <c r="Z135" s="66" t="str">
        <f t="shared" ref="Z135:Z172" si="41">CONCATENATE($Z$134,CHAR(10),O135," год.роботи х ",J135," грн. + ",L135+M135," год.ТО и заправки х ",K135," грн."," = ",CHAR(10),"До виплати ",TEXT(Q135,"# #")," грн.")</f>
        <v>ЗП за 01.10.2024 - 30.09.2024
218 год.роботи х 230 грн. + 32 год.ТО и заправки х 100 грн. = 
До виплати 53 340 грн.</v>
      </c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420"/>
    </row>
    <row r="136" spans="1:57" s="375" customFormat="1" ht="12" customHeight="1" thickBot="1" x14ac:dyDescent="0.35">
      <c r="A136" s="366"/>
      <c r="B136" s="343">
        <v>2</v>
      </c>
      <c r="C136" s="367" t="s">
        <v>594</v>
      </c>
      <c r="D136" s="368" t="s">
        <v>609</v>
      </c>
      <c r="E136" s="369">
        <f>INDEX($F$186:$F$207,MATCH(D136,$D$186:$D$207,0))</f>
        <v>9500</v>
      </c>
      <c r="F136" s="370">
        <v>138</v>
      </c>
      <c r="G136" s="371"/>
      <c r="H136" s="371" t="s">
        <v>543</v>
      </c>
      <c r="I136" s="371" t="s">
        <v>76</v>
      </c>
      <c r="J136" s="372">
        <f>VLOOKUP(I136,Лист5!$C$2:$F$22,4,0)</f>
        <v>230</v>
      </c>
      <c r="K136" s="373">
        <v>100</v>
      </c>
      <c r="L136" s="373"/>
      <c r="M136" s="373">
        <v>3</v>
      </c>
      <c r="N136" s="373"/>
      <c r="O136" s="374">
        <f t="shared" ref="O136:O143" si="42">F136-L136-M136</f>
        <v>135</v>
      </c>
      <c r="P136" s="362">
        <f t="shared" ref="P136:P166" si="43">L136+M136</f>
        <v>3</v>
      </c>
      <c r="Q136" s="376">
        <f t="shared" si="37"/>
        <v>31350</v>
      </c>
      <c r="R136" s="127">
        <f t="shared" si="38"/>
        <v>2090</v>
      </c>
      <c r="S136" s="127">
        <f t="shared" ref="S136:S137" si="44">E136*0.195</f>
        <v>1852.5</v>
      </c>
      <c r="T136" s="127">
        <f t="shared" si="39"/>
        <v>7647.5</v>
      </c>
      <c r="U136" s="291">
        <f t="shared" si="40"/>
        <v>-11590</v>
      </c>
      <c r="V136" s="413">
        <f>Q136-T136</f>
        <v>23702.5</v>
      </c>
      <c r="W136" s="418" t="e">
        <f>Q136-#REF!</f>
        <v>#REF!</v>
      </c>
      <c r="X136" s="439">
        <v>45536</v>
      </c>
      <c r="Y136" s="439">
        <v>45565</v>
      </c>
      <c r="Z136" s="66" t="str">
        <f t="shared" si="41"/>
        <v>ЗП за 01.10.2024 - 30.09.2024
135 год.роботи х 230 грн. + 3 год.ТО и заправки х 100 грн. = 
До виплати 31 350 грн.</v>
      </c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421"/>
    </row>
    <row r="137" spans="1:57" s="375" customFormat="1" ht="15" thickBot="1" x14ac:dyDescent="0.35">
      <c r="A137" s="366"/>
      <c r="B137" s="343">
        <v>3</v>
      </c>
      <c r="C137" s="367" t="s">
        <v>573</v>
      </c>
      <c r="D137" s="368" t="s">
        <v>610</v>
      </c>
      <c r="E137" s="369">
        <f>INDEX($F$186:$F$207,MATCH(D137,$D$186:$D$207,0))</f>
        <v>1357.14</v>
      </c>
      <c r="F137" s="370">
        <v>76</v>
      </c>
      <c r="G137" s="371"/>
      <c r="H137" s="371" t="s">
        <v>585</v>
      </c>
      <c r="I137" s="371" t="s">
        <v>76</v>
      </c>
      <c r="J137" s="372">
        <f>VLOOKUP(I137,Лист5!$C$2:$F$22,4,0)</f>
        <v>230</v>
      </c>
      <c r="K137" s="373">
        <v>100</v>
      </c>
      <c r="L137" s="373">
        <v>11</v>
      </c>
      <c r="M137" s="373">
        <v>2</v>
      </c>
      <c r="N137" s="373"/>
      <c r="O137" s="374">
        <f t="shared" si="42"/>
        <v>63</v>
      </c>
      <c r="P137" s="362">
        <f t="shared" si="43"/>
        <v>13</v>
      </c>
      <c r="Q137" s="376">
        <f t="shared" si="37"/>
        <v>15790</v>
      </c>
      <c r="R137" s="127">
        <f t="shared" si="38"/>
        <v>298.57</v>
      </c>
      <c r="S137" s="127">
        <f t="shared" si="44"/>
        <v>264.64230000000003</v>
      </c>
      <c r="T137" s="443">
        <f t="shared" si="39"/>
        <v>1092.4977000000001</v>
      </c>
      <c r="U137" s="291">
        <f t="shared" si="40"/>
        <v>-1655.71</v>
      </c>
      <c r="V137" s="413">
        <f>Q137-T137</f>
        <v>14697.5023</v>
      </c>
      <c r="W137" s="418" t="e">
        <f>Q137-#REF!</f>
        <v>#REF!</v>
      </c>
      <c r="X137" s="439">
        <v>45536</v>
      </c>
      <c r="Y137" s="439">
        <v>45565</v>
      </c>
      <c r="Z137" s="66" t="str">
        <f t="shared" si="41"/>
        <v>ЗП за 01.10.2024 - 30.09.2024
63 год.роботи х 230 грн. + 13 год.ТО и заправки х 100 грн. = 
До виплати 15 790 грн.</v>
      </c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421"/>
    </row>
    <row r="138" spans="1:57" s="308" customFormat="1" ht="15" thickBot="1" x14ac:dyDescent="0.35">
      <c r="A138" s="379"/>
      <c r="B138" s="600">
        <v>4</v>
      </c>
      <c r="C138" s="292" t="s">
        <v>600</v>
      </c>
      <c r="D138" s="293"/>
      <c r="E138" s="294"/>
      <c r="F138" s="295">
        <f>97+83-3</f>
        <v>177</v>
      </c>
      <c r="G138" s="123"/>
      <c r="H138" s="123" t="s">
        <v>585</v>
      </c>
      <c r="I138" s="123" t="s">
        <v>72</v>
      </c>
      <c r="J138" s="124">
        <f>VLOOKUP(I138,Лист5!$C$2:$F$22,4,0)</f>
        <v>230</v>
      </c>
      <c r="K138" s="125">
        <v>100</v>
      </c>
      <c r="L138" s="125">
        <f>17+20</f>
        <v>37</v>
      </c>
      <c r="M138" s="125">
        <f>6+2-3</f>
        <v>5</v>
      </c>
      <c r="N138" s="125"/>
      <c r="O138" s="307">
        <f t="shared" si="42"/>
        <v>135</v>
      </c>
      <c r="P138" s="362">
        <f t="shared" si="43"/>
        <v>42</v>
      </c>
      <c r="Q138" s="380">
        <f>O138*J138+(L138+M138)*K138</f>
        <v>35250</v>
      </c>
      <c r="R138" s="127">
        <f>ROUND(E138*(Q138/(SUM($Q$136:$Q$142)))*0.22,2)</f>
        <v>0</v>
      </c>
      <c r="S138" s="127">
        <f>ROUND(E138*(Q138/(SUM($Q$136:$Q$142)))*0.195,2)</f>
        <v>0</v>
      </c>
      <c r="T138" s="127">
        <f>E138*Q138/(SUM($Q$136:$Q$142))-S138</f>
        <v>0</v>
      </c>
      <c r="U138" s="291">
        <f>-ROUND((R138+E138*Q138/(SUM($Q$136:$Q$142))),2)</f>
        <v>0</v>
      </c>
      <c r="V138" s="413">
        <f t="shared" ref="V138" si="45">Q138-T138</f>
        <v>35250</v>
      </c>
      <c r="W138" s="418" t="e">
        <f>Q138-#REF!</f>
        <v>#REF!</v>
      </c>
      <c r="X138" s="439">
        <v>45536</v>
      </c>
      <c r="Y138" s="439">
        <v>45565</v>
      </c>
      <c r="Z138" s="66" t="str">
        <f t="shared" ref="Z138" si="46">CONCATENATE($Z$134,CHAR(10),O138," год.роботи х ",J138," грн. + ",L138+M138," год.ТО и заправки х ",K138," грн."," = ",CHAR(10),"До виплати ",TEXT(Q138,"# #")," грн.")</f>
        <v>ЗП за 01.10.2024 - 30.09.2024
135 год.роботи х 230 грн. + 42 год.ТО и заправки х 100 грн. = 
До виплати 35 250 грн.</v>
      </c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422"/>
    </row>
    <row r="139" spans="1:57" s="326" customFormat="1" ht="15" thickBot="1" x14ac:dyDescent="0.35">
      <c r="A139" s="394"/>
      <c r="B139" s="601"/>
      <c r="C139" s="317" t="s">
        <v>600</v>
      </c>
      <c r="D139" s="318"/>
      <c r="E139" s="319"/>
      <c r="F139" s="320">
        <v>29</v>
      </c>
      <c r="G139" s="321"/>
      <c r="H139" s="321" t="s">
        <v>585</v>
      </c>
      <c r="I139" s="321" t="s">
        <v>0</v>
      </c>
      <c r="J139" s="323">
        <f>VLOOKUP(I139,Лист5!$C$2:$F$22,4,0)</f>
        <v>220</v>
      </c>
      <c r="K139" s="324">
        <v>100</v>
      </c>
      <c r="L139" s="324"/>
      <c r="M139" s="324"/>
      <c r="N139" s="324"/>
      <c r="O139" s="325">
        <f t="shared" ref="O139" si="47">F139-L139-M139</f>
        <v>29</v>
      </c>
      <c r="P139" s="362">
        <f t="shared" si="43"/>
        <v>0</v>
      </c>
      <c r="Q139" s="395">
        <f t="shared" si="37"/>
        <v>6380</v>
      </c>
      <c r="R139" s="328">
        <f>ROUND(E139*(Q139/(SUM($Q$136:$Q$142)))*0.22,2)</f>
        <v>0</v>
      </c>
      <c r="S139" s="328">
        <f>ROUND(E139*(Q139/(SUM($Q$136:$Q$142)))*0.195,2)</f>
        <v>0</v>
      </c>
      <c r="T139" s="328">
        <f>E139*Q139/(SUM($Q$136:$Q$142))-S139</f>
        <v>0</v>
      </c>
      <c r="U139" s="329">
        <f>-ROUND((R139+E139*Q139/(SUM($Q$136:$Q$142))),2)</f>
        <v>0</v>
      </c>
      <c r="V139" s="414">
        <f t="shared" ref="V139" si="48">Q139-T139</f>
        <v>6380</v>
      </c>
      <c r="W139" s="418" t="e">
        <f>Q139-#REF!</f>
        <v>#REF!</v>
      </c>
      <c r="X139" s="439">
        <v>45536</v>
      </c>
      <c r="Y139" s="439">
        <v>45565</v>
      </c>
      <c r="Z139" s="66" t="str">
        <f t="shared" ref="Z139" si="49">CONCATENATE($Z$134,CHAR(10),O139," год.роботи х ",J139," грн. + ",L139+M139," год.ТО и заправки х ",K139," грн."," = ",CHAR(10),"До виплати ",TEXT(Q139,"# #")," грн.")</f>
        <v>ЗП за 01.10.2024 - 30.09.2024
29 год.роботи х 220 грн. + 0 год.ТО и заправки х 100 грн. = 
До виплати 6 380 грн.</v>
      </c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423"/>
    </row>
    <row r="140" spans="1:57" s="308" customFormat="1" ht="15" thickBot="1" x14ac:dyDescent="0.35">
      <c r="A140" s="379"/>
      <c r="B140" s="600">
        <v>5</v>
      </c>
      <c r="C140" s="292" t="s">
        <v>601</v>
      </c>
      <c r="D140" s="293" t="s">
        <v>611</v>
      </c>
      <c r="E140" s="294">
        <f>INDEX($F$186:$F$207,MATCH(D140,$D$186:$D$207,0))</f>
        <v>9880</v>
      </c>
      <c r="F140" s="295">
        <v>117</v>
      </c>
      <c r="G140" s="123"/>
      <c r="H140" s="123" t="s">
        <v>585</v>
      </c>
      <c r="I140" s="123" t="s">
        <v>71</v>
      </c>
      <c r="J140" s="124">
        <f>VLOOKUP(I140,Лист5!$C$2:$F$22,4,0)</f>
        <v>230</v>
      </c>
      <c r="K140" s="125">
        <v>100</v>
      </c>
      <c r="L140" s="125">
        <v>24</v>
      </c>
      <c r="M140" s="125">
        <v>3</v>
      </c>
      <c r="N140" s="125"/>
      <c r="O140" s="307">
        <f t="shared" si="42"/>
        <v>90</v>
      </c>
      <c r="P140" s="362">
        <f t="shared" si="43"/>
        <v>27</v>
      </c>
      <c r="Q140" s="380">
        <f t="shared" si="37"/>
        <v>23400</v>
      </c>
      <c r="R140" s="127">
        <f>ROUND(E140*(Q140/(SUM($Q$140:$Q$141)))*0.22,2)</f>
        <v>960.03</v>
      </c>
      <c r="S140" s="127">
        <f>ROUND(E140*(Q140/(SUM($Q$140:$Q$141)))*0.195,2)</f>
        <v>850.93</v>
      </c>
      <c r="T140" s="127">
        <f>E140*Q140/(SUM($Q$140:$Q$141))-S140</f>
        <v>3512.8299093997734</v>
      </c>
      <c r="U140" s="291">
        <f>-ROUND((R140+E140*Q140/(SUM($Q$140:$Q$141))),2)</f>
        <v>-5323.79</v>
      </c>
      <c r="V140" s="413">
        <f>Q140-T140</f>
        <v>19887.170090600226</v>
      </c>
      <c r="W140" s="418" t="e">
        <f>Q140-#REF!</f>
        <v>#REF!</v>
      </c>
      <c r="X140" s="439">
        <v>45536</v>
      </c>
      <c r="Y140" s="439">
        <v>45565</v>
      </c>
      <c r="Z140" s="66" t="str">
        <f t="shared" ref="Z140" si="50">CONCATENATE($Z$134,CHAR(10),O140," год.роботи х ",J140," грн. + ",L140+M140," год.ТО и заправки х ",K140," грн."," = ",CHAR(10),"До виплати ",TEXT(Q140,"# #")," грн.")</f>
        <v>ЗП за 01.10.2024 - 30.09.2024
90 год.роботи х 230 грн. + 27 год.ТО и заправки х 100 грн. = 
До виплати 23 400 грн.</v>
      </c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422"/>
    </row>
    <row r="141" spans="1:57" s="326" customFormat="1" ht="15" thickBot="1" x14ac:dyDescent="0.35">
      <c r="A141" s="394"/>
      <c r="B141" s="601"/>
      <c r="C141" s="317" t="s">
        <v>601</v>
      </c>
      <c r="D141" s="318" t="s">
        <v>611</v>
      </c>
      <c r="E141" s="319">
        <f>INDEX($F$186:$F$207,MATCH(D141,$D$186:$D$207,0))</f>
        <v>9880</v>
      </c>
      <c r="F141" s="320">
        <v>132</v>
      </c>
      <c r="G141" s="321"/>
      <c r="H141" s="321" t="s">
        <v>585</v>
      </c>
      <c r="I141" s="321" t="s">
        <v>73</v>
      </c>
      <c r="J141" s="323">
        <f>VLOOKUP(I141,Лист5!$C$2:$F$22,4,0)</f>
        <v>230</v>
      </c>
      <c r="K141" s="324">
        <v>100</v>
      </c>
      <c r="L141" s="324">
        <v>2</v>
      </c>
      <c r="M141" s="324">
        <v>4</v>
      </c>
      <c r="N141" s="324"/>
      <c r="O141" s="325">
        <f>F141-L141-M141</f>
        <v>126</v>
      </c>
      <c r="P141" s="362">
        <f t="shared" si="43"/>
        <v>6</v>
      </c>
      <c r="Q141" s="395">
        <f>O141*J141+(L141+M141)*K141</f>
        <v>29580</v>
      </c>
      <c r="R141" s="328">
        <f>ROUND(E141*(Q141/(SUM($Q$140:$Q$141)))*0.22,2)</f>
        <v>1213.57</v>
      </c>
      <c r="S141" s="328">
        <f>ROUND(E141*(Q141/(SUM($Q$140:$Q$141)))*0.195,2)</f>
        <v>1075.67</v>
      </c>
      <c r="T141" s="328">
        <f>E141*Q141/(SUM($Q$140:$Q$141))-S141</f>
        <v>4440.5700906002266</v>
      </c>
      <c r="U141" s="329">
        <f>-ROUND((R141+E141*Q141/(SUM($Q$140:$Q$141))),2)</f>
        <v>-6729.81</v>
      </c>
      <c r="V141" s="414">
        <f t="shared" ref="V141" si="51">Q141-T141</f>
        <v>25139.429909399772</v>
      </c>
      <c r="W141" s="418" t="e">
        <f>Q141-#REF!</f>
        <v>#REF!</v>
      </c>
      <c r="X141" s="439">
        <v>45536</v>
      </c>
      <c r="Y141" s="439">
        <v>45565</v>
      </c>
      <c r="Z141" s="66" t="str">
        <f t="shared" ref="Z141" si="52">CONCATENATE($Z$134,CHAR(10),O141," год.роботи х ",J141," грн. + ",L141+M141," год.ТО и заправки х ",K141," грн."," = ",CHAR(10),"До виплати ",TEXT(Q141,"# #")," грн.")</f>
        <v>ЗП за 01.10.2024 - 30.09.2024
126 год.роботи х 230 грн. + 6 год.ТО и заправки х 100 грн. = 
До виплати 29 580 грн.</v>
      </c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423"/>
    </row>
    <row r="142" spans="1:57" s="375" customFormat="1" ht="15" thickBot="1" x14ac:dyDescent="0.35">
      <c r="A142" s="366"/>
      <c r="B142" s="343">
        <v>6</v>
      </c>
      <c r="C142" s="367" t="s">
        <v>244</v>
      </c>
      <c r="D142" s="368" t="s">
        <v>560</v>
      </c>
      <c r="E142" s="369">
        <f>INDEX($F$186:$F$207,MATCH(D142,$D$186:$D$207,0))</f>
        <v>9880</v>
      </c>
      <c r="F142" s="370">
        <f>4+137-1</f>
        <v>140</v>
      </c>
      <c r="G142" s="371"/>
      <c r="H142" s="371" t="s">
        <v>585</v>
      </c>
      <c r="I142" s="371" t="s">
        <v>71</v>
      </c>
      <c r="J142" s="372">
        <f>VLOOKUP(I142,Лист5!$C$2:$F$22,4,0)</f>
        <v>230</v>
      </c>
      <c r="K142" s="373">
        <v>100</v>
      </c>
      <c r="L142" s="373">
        <f>8-1</f>
        <v>7</v>
      </c>
      <c r="M142" s="373">
        <v>4</v>
      </c>
      <c r="N142" s="373"/>
      <c r="O142" s="374">
        <f t="shared" si="42"/>
        <v>129</v>
      </c>
      <c r="P142" s="362">
        <f t="shared" si="43"/>
        <v>11</v>
      </c>
      <c r="Q142" s="376">
        <f t="shared" ref="Q142:Q158" si="53">O142*J142+(L142+M142)*K142</f>
        <v>30770</v>
      </c>
      <c r="R142" s="377">
        <f t="shared" ref="R142" si="54">ROUND(E142*0.22,2)</f>
        <v>2173.6</v>
      </c>
      <c r="S142" s="377">
        <f t="shared" ref="S142" si="55">E142*0.195</f>
        <v>1926.6000000000001</v>
      </c>
      <c r="T142" s="377">
        <f t="shared" ref="T142" si="56">E142-S142</f>
        <v>7953.4</v>
      </c>
      <c r="U142" s="378">
        <f t="shared" ref="U142" si="57">-ROUND((R142+E142),2)</f>
        <v>-12053.6</v>
      </c>
      <c r="V142" s="412">
        <f>Q142-T142</f>
        <v>22816.6</v>
      </c>
      <c r="W142" s="418" t="e">
        <f>Q142-#REF!</f>
        <v>#REF!</v>
      </c>
      <c r="X142" s="439">
        <v>45536</v>
      </c>
      <c r="Y142" s="439">
        <v>45565</v>
      </c>
      <c r="Z142" s="66" t="str">
        <f t="shared" ref="Z142:Z143" si="58">CONCATENATE($Z$134,CHAR(10),O142," год.роботи х ",J142," грн. + ",L142+M142," год.ТО и заправки х ",K142," грн."," = ",CHAR(10),"До виплати ",TEXT(Q142,"# #")," грн.")</f>
        <v>ЗП за 01.10.2024 - 30.09.2024
129 год.роботи х 230 грн. + 11 год.ТО и заправки х 100 грн. = 
До виплати 30 770 грн.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421"/>
    </row>
    <row r="143" spans="1:57" s="362" customFormat="1" ht="15" thickBot="1" x14ac:dyDescent="0.35">
      <c r="A143" s="353"/>
      <c r="B143" s="396">
        <v>7</v>
      </c>
      <c r="C143" s="354" t="s">
        <v>562</v>
      </c>
      <c r="D143" s="355" t="s">
        <v>191</v>
      </c>
      <c r="E143" s="356">
        <f t="shared" ref="E143:E159" si="59">INDEX($F$186:$F$207,MATCH(D143,$D$186:$D$207,0))</f>
        <v>9880</v>
      </c>
      <c r="F143" s="357">
        <f>100+62</f>
        <v>162</v>
      </c>
      <c r="G143" s="358"/>
      <c r="H143" s="358" t="s">
        <v>548</v>
      </c>
      <c r="I143" s="358" t="s">
        <v>74</v>
      </c>
      <c r="J143" s="359">
        <f>VLOOKUP(I143,Лист5!$C$2:$F$22,4,0)</f>
        <v>230</v>
      </c>
      <c r="K143" s="360">
        <v>100</v>
      </c>
      <c r="L143" s="360">
        <f>3+5</f>
        <v>8</v>
      </c>
      <c r="M143" s="360">
        <f>4+1</f>
        <v>5</v>
      </c>
      <c r="N143" s="360"/>
      <c r="O143" s="361">
        <f t="shared" si="42"/>
        <v>149</v>
      </c>
      <c r="P143" s="362">
        <f t="shared" si="43"/>
        <v>13</v>
      </c>
      <c r="Q143" s="363">
        <f t="shared" si="53"/>
        <v>35570</v>
      </c>
      <c r="R143" s="364">
        <f t="shared" ref="R143:R144" si="60">ROUND(E143*0.22,2)</f>
        <v>2173.6</v>
      </c>
      <c r="S143" s="364">
        <f t="shared" ref="S143:S144" si="61">E143*0.195</f>
        <v>1926.6000000000001</v>
      </c>
      <c r="T143" s="364">
        <f t="shared" ref="T143:T144" si="62">E143-S143</f>
        <v>7953.4</v>
      </c>
      <c r="U143" s="365">
        <f t="shared" ref="U143:U144" si="63">-ROUND((R143+E143),2)</f>
        <v>-12053.6</v>
      </c>
      <c r="V143" s="411">
        <f t="shared" ref="V143:V144" si="64">Q143-T143</f>
        <v>27616.6</v>
      </c>
      <c r="W143" s="418" t="e">
        <f>Q143-#REF!</f>
        <v>#REF!</v>
      </c>
      <c r="X143" s="439"/>
      <c r="Y143" s="439"/>
      <c r="Z143" s="66" t="str">
        <f t="shared" si="58"/>
        <v>ЗП за 01.10.2024 - 30.09.2024
149 год.роботи х 230 грн. + 13 год.ТО и заправки х 100 грн. = 
До виплати 35 570 грн.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420"/>
    </row>
    <row r="144" spans="1:57" s="362" customFormat="1" ht="15" thickBot="1" x14ac:dyDescent="0.35">
      <c r="A144" s="353"/>
      <c r="B144" s="396">
        <v>8</v>
      </c>
      <c r="C144" s="354" t="s">
        <v>586</v>
      </c>
      <c r="D144" s="354" t="s">
        <v>485</v>
      </c>
      <c r="E144" s="356">
        <f t="shared" si="59"/>
        <v>9500</v>
      </c>
      <c r="F144" s="357">
        <f>115+128-2</f>
        <v>241</v>
      </c>
      <c r="G144" s="358"/>
      <c r="H144" s="358" t="s">
        <v>585</v>
      </c>
      <c r="I144" s="358" t="s">
        <v>77</v>
      </c>
      <c r="J144" s="359">
        <f>VLOOKUP(I144,Лист5!$C$2:$F$22,4,0)</f>
        <v>230</v>
      </c>
      <c r="K144" s="360">
        <v>100</v>
      </c>
      <c r="L144" s="360">
        <f>2+7</f>
        <v>9</v>
      </c>
      <c r="M144" s="360">
        <f>5+4-2</f>
        <v>7</v>
      </c>
      <c r="N144" s="360"/>
      <c r="O144" s="361">
        <f t="shared" ref="O144" si="65">F144-L144-M144</f>
        <v>225</v>
      </c>
      <c r="P144" s="362">
        <f t="shared" si="43"/>
        <v>16</v>
      </c>
      <c r="Q144" s="363">
        <f t="shared" si="53"/>
        <v>53350</v>
      </c>
      <c r="R144" s="364">
        <f t="shared" si="60"/>
        <v>2090</v>
      </c>
      <c r="S144" s="364">
        <f t="shared" si="61"/>
        <v>1852.5</v>
      </c>
      <c r="T144" s="364">
        <f t="shared" si="62"/>
        <v>7647.5</v>
      </c>
      <c r="U144" s="365">
        <f t="shared" si="63"/>
        <v>-11590</v>
      </c>
      <c r="V144" s="411">
        <f t="shared" si="64"/>
        <v>45702.5</v>
      </c>
      <c r="W144" s="418" t="e">
        <f>Q144-#REF!</f>
        <v>#REF!</v>
      </c>
      <c r="X144" s="439">
        <v>45536</v>
      </c>
      <c r="Y144" s="439">
        <v>45565</v>
      </c>
      <c r="Z144" s="66" t="str">
        <f t="shared" si="41"/>
        <v>ЗП за 01.10.2024 - 30.09.2024
225 год.роботи х 230 грн. + 16 год.ТО и заправки х 100 грн. = 
До виплати 53 350 грн.</v>
      </c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420"/>
    </row>
    <row r="145" spans="1:57" s="308" customFormat="1" ht="15" thickBot="1" x14ac:dyDescent="0.35">
      <c r="A145" s="379"/>
      <c r="B145" s="595">
        <v>9</v>
      </c>
      <c r="C145" s="292" t="s">
        <v>246</v>
      </c>
      <c r="D145" s="293" t="s">
        <v>192</v>
      </c>
      <c r="E145" s="294">
        <f t="shared" si="59"/>
        <v>9500</v>
      </c>
      <c r="F145" s="295">
        <f>104+100-12</f>
        <v>192</v>
      </c>
      <c r="G145" s="123"/>
      <c r="H145" s="123" t="s">
        <v>543</v>
      </c>
      <c r="I145" s="123" t="s">
        <v>69</v>
      </c>
      <c r="J145" s="124">
        <f>VLOOKUP(I145,Лист5!$C$2:$F$22,4,0)</f>
        <v>270</v>
      </c>
      <c r="K145" s="125">
        <v>100</v>
      </c>
      <c r="L145" s="125">
        <f>27+19-12</f>
        <v>34</v>
      </c>
      <c r="M145" s="125"/>
      <c r="N145" s="125"/>
      <c r="O145" s="307">
        <f>F145-L145-M145</f>
        <v>158</v>
      </c>
      <c r="P145" s="362">
        <f t="shared" si="43"/>
        <v>34</v>
      </c>
      <c r="Q145" s="380">
        <f t="shared" si="53"/>
        <v>46060</v>
      </c>
      <c r="R145" s="127">
        <f>ROUND(E145*(Q145/(SUM($Q$145:$Q$146)))*0.22,2)</f>
        <v>1903.23</v>
      </c>
      <c r="S145" s="127">
        <f>ROUND(E145*(Q145/(SUM($Q$145:$Q$146)))*0.195,2)</f>
        <v>1686.95</v>
      </c>
      <c r="T145" s="127">
        <f>E145*Q145/(SUM($Q$145:$Q$146))-S145</f>
        <v>6964.0978449980239</v>
      </c>
      <c r="U145" s="291">
        <f>-ROUND((R145+E145*Q145/(SUM($Q$145:$Q$146))),2)</f>
        <v>-10554.28</v>
      </c>
      <c r="V145" s="413">
        <f>Q145-T145</f>
        <v>39095.902155001975</v>
      </c>
      <c r="W145" s="418" t="e">
        <f>Q145-#REF!</f>
        <v>#REF!</v>
      </c>
      <c r="X145" s="439">
        <v>45536</v>
      </c>
      <c r="Y145" s="439">
        <v>45565</v>
      </c>
      <c r="Z145" s="66" t="str">
        <f t="shared" si="41"/>
        <v>ЗП за 01.10.2024 - 30.09.2024
158 год.роботи х 270 грн. + 34 год.ТО и заправки х 100 грн. = 
До виплати 46 060 грн.</v>
      </c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422"/>
    </row>
    <row r="146" spans="1:57" s="326" customFormat="1" ht="15" thickBot="1" x14ac:dyDescent="0.35">
      <c r="A146" s="394"/>
      <c r="B146" s="601"/>
      <c r="C146" s="317" t="s">
        <v>246</v>
      </c>
      <c r="D146" s="318" t="s">
        <v>192</v>
      </c>
      <c r="E146" s="319">
        <f t="shared" si="59"/>
        <v>9500</v>
      </c>
      <c r="F146" s="320">
        <v>18</v>
      </c>
      <c r="G146" s="321"/>
      <c r="H146" s="321" t="s">
        <v>602</v>
      </c>
      <c r="I146" s="321" t="s">
        <v>69</v>
      </c>
      <c r="J146" s="323">
        <f>VLOOKUP(I146,Лист5!$C$2:$F$22,4,0)</f>
        <v>270</v>
      </c>
      <c r="K146" s="324">
        <v>100</v>
      </c>
      <c r="L146" s="324">
        <v>2</v>
      </c>
      <c r="M146" s="324"/>
      <c r="N146" s="324"/>
      <c r="O146" s="325">
        <f>F146-L146-M146</f>
        <v>16</v>
      </c>
      <c r="P146" s="362">
        <f t="shared" si="43"/>
        <v>2</v>
      </c>
      <c r="Q146" s="395">
        <f t="shared" si="53"/>
        <v>4520</v>
      </c>
      <c r="R146" s="328">
        <f>ROUND(E146*(Q146/(SUM($Q$145:$Q$146)))*0.22,2)</f>
        <v>186.77</v>
      </c>
      <c r="S146" s="328">
        <f>ROUND(E146*(Q146/(SUM($Q$145:$Q$146)))*0.195,2)</f>
        <v>165.55</v>
      </c>
      <c r="T146" s="328">
        <f>E146*Q146/(SUM($Q$145:$Q$146))-S146</f>
        <v>683.40215500197701</v>
      </c>
      <c r="U146" s="329">
        <f>-ROUND((R146+E146*Q146/(SUM($Q$145:$Q$146))),2)</f>
        <v>-1035.72</v>
      </c>
      <c r="V146" s="414">
        <f>Q146-T146</f>
        <v>3836.597844998023</v>
      </c>
      <c r="W146" s="418" t="e">
        <f>Q146-#REF!</f>
        <v>#REF!</v>
      </c>
      <c r="X146" s="439">
        <v>45536</v>
      </c>
      <c r="Y146" s="439">
        <v>45565</v>
      </c>
      <c r="Z146" s="66" t="str">
        <f t="shared" si="41"/>
        <v>ЗП за 01.10.2024 - 30.09.2024
16 год.роботи х 270 грн. + 2 год.ТО и заправки х 100 грн. = 
До виплати 4 520 грн.</v>
      </c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423"/>
    </row>
    <row r="147" spans="1:57" s="375" customFormat="1" ht="15" thickBot="1" x14ac:dyDescent="0.35">
      <c r="A147" s="366"/>
      <c r="B147" s="343">
        <v>10</v>
      </c>
      <c r="C147" s="367" t="s">
        <v>249</v>
      </c>
      <c r="D147" s="368" t="s">
        <v>612</v>
      </c>
      <c r="E147" s="369">
        <f t="shared" si="59"/>
        <v>9500</v>
      </c>
      <c r="F147" s="370">
        <f>117+109</f>
        <v>226</v>
      </c>
      <c r="G147" s="371"/>
      <c r="H147" s="371" t="s">
        <v>585</v>
      </c>
      <c r="I147" s="371" t="s">
        <v>64</v>
      </c>
      <c r="J147" s="372">
        <f>VLOOKUP(I147,Лист5!$C$2:$F$22,4,0)</f>
        <v>270</v>
      </c>
      <c r="K147" s="373">
        <v>100</v>
      </c>
      <c r="L147" s="373">
        <v>57</v>
      </c>
      <c r="M147" s="373"/>
      <c r="N147" s="373"/>
      <c r="O147" s="374">
        <f t="shared" ref="O147:O148" si="66">F147-L147-M147</f>
        <v>169</v>
      </c>
      <c r="P147" s="362">
        <f t="shared" si="43"/>
        <v>57</v>
      </c>
      <c r="Q147" s="376">
        <f t="shared" si="53"/>
        <v>51330</v>
      </c>
      <c r="R147" s="377">
        <f t="shared" ref="R147:R148" si="67">ROUND(E147*0.22,2)</f>
        <v>2090</v>
      </c>
      <c r="S147" s="377">
        <f t="shared" ref="S147:S148" si="68">E147*0.195</f>
        <v>1852.5</v>
      </c>
      <c r="T147" s="377">
        <f t="shared" ref="T147:T148" si="69">E147-S147</f>
        <v>7647.5</v>
      </c>
      <c r="U147" s="378">
        <f t="shared" ref="U147:U148" si="70">-ROUND((R147+E147),2)</f>
        <v>-11590</v>
      </c>
      <c r="V147" s="412">
        <f t="shared" ref="V147:V153" si="71">Q147-T147</f>
        <v>43682.5</v>
      </c>
      <c r="W147" s="418" t="e">
        <f>Q147-#REF!</f>
        <v>#REF!</v>
      </c>
      <c r="X147" s="439"/>
      <c r="Y147" s="439"/>
      <c r="Z147" s="66" t="str">
        <f t="shared" si="41"/>
        <v>ЗП за 01.10.2024 - 30.09.2024
169 год.роботи х 270 грн. + 57 год.ТО и заправки х 100 грн. = 
До виплати 51 330 грн.</v>
      </c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421"/>
    </row>
    <row r="148" spans="1:57" s="362" customFormat="1" ht="15" thickBot="1" x14ac:dyDescent="0.35">
      <c r="A148" s="353"/>
      <c r="B148" s="396">
        <v>11</v>
      </c>
      <c r="C148" s="354" t="s">
        <v>604</v>
      </c>
      <c r="D148" s="355" t="s">
        <v>593</v>
      </c>
      <c r="E148" s="356">
        <f t="shared" si="59"/>
        <v>0</v>
      </c>
      <c r="F148" s="357">
        <v>86</v>
      </c>
      <c r="G148" s="397"/>
      <c r="H148" s="358" t="s">
        <v>603</v>
      </c>
      <c r="I148" s="358" t="s">
        <v>66</v>
      </c>
      <c r="J148" s="359">
        <f>VLOOKUP(I148,Лист5!$C$2:$F$22,4,0)</f>
        <v>200</v>
      </c>
      <c r="K148" s="360">
        <v>100</v>
      </c>
      <c r="L148" s="360">
        <v>78</v>
      </c>
      <c r="M148" s="360">
        <v>2</v>
      </c>
      <c r="N148" s="360"/>
      <c r="O148" s="361">
        <f t="shared" si="66"/>
        <v>6</v>
      </c>
      <c r="P148" s="362">
        <f t="shared" si="43"/>
        <v>80</v>
      </c>
      <c r="Q148" s="363">
        <f t="shared" si="53"/>
        <v>9200</v>
      </c>
      <c r="R148" s="364">
        <f t="shared" si="67"/>
        <v>0</v>
      </c>
      <c r="S148" s="364">
        <f t="shared" si="68"/>
        <v>0</v>
      </c>
      <c r="T148" s="364">
        <f t="shared" si="69"/>
        <v>0</v>
      </c>
      <c r="U148" s="365">
        <f t="shared" si="70"/>
        <v>0</v>
      </c>
      <c r="V148" s="411">
        <f t="shared" si="71"/>
        <v>9200</v>
      </c>
      <c r="W148" s="418" t="e">
        <f>Q148-#REF!</f>
        <v>#REF!</v>
      </c>
      <c r="X148" s="439"/>
      <c r="Y148" s="439"/>
      <c r="Z148" s="66" t="str">
        <f t="shared" si="41"/>
        <v>ЗП за 01.10.2024 - 30.09.2024
6 год.роботи х 200 грн. + 80 год.ТО и заправки х 100 грн. = 
До виплати 9 200 грн.</v>
      </c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420"/>
    </row>
    <row r="149" spans="1:57" s="308" customFormat="1" ht="15" thickBot="1" x14ac:dyDescent="0.35">
      <c r="A149" s="379"/>
      <c r="B149" s="595">
        <v>12</v>
      </c>
      <c r="C149" s="292" t="s">
        <v>605</v>
      </c>
      <c r="D149" s="293" t="s">
        <v>591</v>
      </c>
      <c r="E149" s="294">
        <f t="shared" si="59"/>
        <v>9500</v>
      </c>
      <c r="F149" s="295">
        <f>116+8</f>
        <v>124</v>
      </c>
      <c r="G149" s="123"/>
      <c r="H149" s="123" t="s">
        <v>585</v>
      </c>
      <c r="I149" s="123" t="s">
        <v>0</v>
      </c>
      <c r="J149" s="124">
        <f>VLOOKUP(I149,Лист5!$C$2:$F$22,4,0)</f>
        <v>220</v>
      </c>
      <c r="K149" s="125">
        <v>100</v>
      </c>
      <c r="L149" s="125"/>
      <c r="M149" s="125">
        <v>3</v>
      </c>
      <c r="N149" s="125"/>
      <c r="O149" s="307">
        <f t="shared" ref="O149:O173" si="72">F149-L149-M149</f>
        <v>121</v>
      </c>
      <c r="P149" s="362">
        <f t="shared" si="43"/>
        <v>3</v>
      </c>
      <c r="Q149" s="380">
        <f t="shared" si="53"/>
        <v>26920</v>
      </c>
      <c r="R149" s="127">
        <f>ROUND(E149*(Q149/(SUM($Q$149:$Q$150)))*0.22,2)</f>
        <v>1150.0999999999999</v>
      </c>
      <c r="S149" s="127">
        <f>ROUND(E149*(Q149/(SUM($Q$149:$Q$150)))*0.195,2)</f>
        <v>1019.41</v>
      </c>
      <c r="T149" s="127">
        <f>E149*Q149/(SUM($Q$149:$Q$150))-S149</f>
        <v>4208.3087244480785</v>
      </c>
      <c r="U149" s="291">
        <f>-ROUND((R149+E149*Q149/(SUM($Q$149:$Q$150))),2)</f>
        <v>-6377.82</v>
      </c>
      <c r="V149" s="413">
        <f t="shared" si="71"/>
        <v>22711.691275551922</v>
      </c>
      <c r="W149" s="418" t="e">
        <f>Q149-#REF!</f>
        <v>#REF!</v>
      </c>
      <c r="X149" s="439">
        <v>45536</v>
      </c>
      <c r="Y149" s="439">
        <v>45565</v>
      </c>
      <c r="Z149" s="66" t="str">
        <f t="shared" si="41"/>
        <v>ЗП за 01.10.2024 - 30.09.2024
121 год.роботи х 220 грн. + 3 год.ТО и заправки х 100 грн. = 
До виплати 26 920 грн.</v>
      </c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422"/>
    </row>
    <row r="150" spans="1:57" s="390" customFormat="1" ht="15" thickBot="1" x14ac:dyDescent="0.35">
      <c r="A150" s="381"/>
      <c r="B150" s="596"/>
      <c r="C150" s="382" t="s">
        <v>605</v>
      </c>
      <c r="D150" s="383" t="s">
        <v>591</v>
      </c>
      <c r="E150" s="384">
        <f t="shared" ref="E150" si="73">INDEX($F$186:$F$207,MATCH(D150,$D$186:$D$207,0))</f>
        <v>9500</v>
      </c>
      <c r="F150" s="385">
        <v>114</v>
      </c>
      <c r="G150" s="386"/>
      <c r="H150" s="386" t="s">
        <v>585</v>
      </c>
      <c r="I150" s="386" t="s">
        <v>75</v>
      </c>
      <c r="J150" s="387">
        <f>VLOOKUP(I150,Лист5!$C$2:$F$22,4,0)</f>
        <v>200</v>
      </c>
      <c r="K150" s="388">
        <v>100</v>
      </c>
      <c r="L150" s="388">
        <v>6</v>
      </c>
      <c r="M150" s="388">
        <v>2</v>
      </c>
      <c r="N150" s="388"/>
      <c r="O150" s="389">
        <f t="shared" ref="O150" si="74">F150-L150-M150</f>
        <v>106</v>
      </c>
      <c r="P150" s="362">
        <f t="shared" si="43"/>
        <v>8</v>
      </c>
      <c r="Q150" s="391">
        <f t="shared" ref="Q150:Q151" si="75">O150*J150+(L150+M150)*K150</f>
        <v>22000</v>
      </c>
      <c r="R150" s="392">
        <f>ROUND(E150*(Q150/(SUM($Q$149:$Q$150)))*0.22,2)</f>
        <v>939.9</v>
      </c>
      <c r="S150" s="392">
        <f>ROUND(E150*(Q150/(SUM($Q$149:$Q$150)))*0.195,2)</f>
        <v>833.09</v>
      </c>
      <c r="T150" s="392">
        <f>E150*Q150/(SUM($Q$149:$Q$150))-S150</f>
        <v>3439.1912755519215</v>
      </c>
      <c r="U150" s="393">
        <f>-ROUND((R150+E150*Q150/(SUM($Q$149:$Q$150))),2)</f>
        <v>-5212.18</v>
      </c>
      <c r="V150" s="442">
        <f t="shared" ref="V150:V151" si="76">Q150-T150</f>
        <v>18560.808724448078</v>
      </c>
      <c r="W150" s="418" t="e">
        <f>Q150-#REF!</f>
        <v>#REF!</v>
      </c>
      <c r="X150" s="439">
        <v>45536</v>
      </c>
      <c r="Y150" s="439">
        <v>45565</v>
      </c>
      <c r="Z150" s="66" t="str">
        <f t="shared" ref="Z150" si="77">CONCATENATE($Z$134,CHAR(10),O150," год.роботи х ",J150," грн. + ",L150+M150," год.ТО и заправки х ",K150," грн."," = ",CHAR(10),"До виплати ",TEXT(Q150,"# #")," грн.")</f>
        <v>ЗП за 01.10.2024 - 30.09.2024
106 год.роботи х 200 грн. + 8 год.ТО и заправки х 100 грн. = 
До виплати 22 000 грн.</v>
      </c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424"/>
    </row>
    <row r="151" spans="1:57" s="308" customFormat="1" ht="13.2" customHeight="1" thickBot="1" x14ac:dyDescent="0.35">
      <c r="A151" s="379"/>
      <c r="B151" s="595">
        <v>13</v>
      </c>
      <c r="C151" s="292" t="s">
        <v>606</v>
      </c>
      <c r="D151" s="293"/>
      <c r="E151" s="294"/>
      <c r="F151" s="295">
        <v>45</v>
      </c>
      <c r="G151" s="123"/>
      <c r="H151" s="123" t="s">
        <v>585</v>
      </c>
      <c r="I151" s="123" t="s">
        <v>0</v>
      </c>
      <c r="J151" s="124">
        <f>VLOOKUP(I151,Лист5!$C$2:$F$22,4,0)</f>
        <v>220</v>
      </c>
      <c r="K151" s="125">
        <v>100</v>
      </c>
      <c r="L151" s="125"/>
      <c r="M151" s="125">
        <v>1</v>
      </c>
      <c r="N151" s="125"/>
      <c r="O151" s="307">
        <f t="shared" si="72"/>
        <v>44</v>
      </c>
      <c r="P151" s="362">
        <f t="shared" si="43"/>
        <v>1</v>
      </c>
      <c r="Q151" s="380">
        <f t="shared" si="75"/>
        <v>9780</v>
      </c>
      <c r="R151" s="127">
        <f>ROUND(E151*(Q151/(SUM($Q$151:$Q$152)))*0.22,2)</f>
        <v>0</v>
      </c>
      <c r="S151" s="127">
        <f>ROUND(E151*(Q151/(SUM($Q$149:$Q$150)))*0.195,2)</f>
        <v>0</v>
      </c>
      <c r="T151" s="127">
        <f>E151*Q151/(SUM($Q$149:$Q$150))-S151</f>
        <v>0</v>
      </c>
      <c r="U151" s="291">
        <f>-ROUND((R151+E151*Q151/(SUM($Q$149:$Q$150))),2)</f>
        <v>0</v>
      </c>
      <c r="V151" s="413">
        <f t="shared" si="76"/>
        <v>9780</v>
      </c>
      <c r="W151" s="418" t="e">
        <f>Q151-#REF!</f>
        <v>#REF!</v>
      </c>
      <c r="X151" s="439">
        <v>45536</v>
      </c>
      <c r="Y151" s="439">
        <v>45565</v>
      </c>
      <c r="Z151" s="66" t="str">
        <f t="shared" si="41"/>
        <v>ЗП за 01.10.2024 - 30.09.2024
44 год.роботи х 220 грн. + 1 год.ТО и заправки х 100 грн. = 
До виплати 9 780 грн.</v>
      </c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422"/>
    </row>
    <row r="152" spans="1:57" s="390" customFormat="1" ht="13.2" customHeight="1" thickBot="1" x14ac:dyDescent="0.35">
      <c r="A152" s="381"/>
      <c r="B152" s="596"/>
      <c r="C152" s="382" t="s">
        <v>614</v>
      </c>
      <c r="D152" s="383"/>
      <c r="E152" s="384"/>
      <c r="F152" s="385">
        <f>119+118-1</f>
        <v>236</v>
      </c>
      <c r="G152" s="386"/>
      <c r="H152" s="386" t="s">
        <v>585</v>
      </c>
      <c r="I152" s="386" t="s">
        <v>349</v>
      </c>
      <c r="J152" s="387">
        <f>VLOOKUP(I152,Лист5!$C$2:$F$22,4,0)</f>
        <v>200</v>
      </c>
      <c r="K152" s="388">
        <v>100</v>
      </c>
      <c r="L152" s="388">
        <f>9+1-1</f>
        <v>9</v>
      </c>
      <c r="M152" s="388">
        <f>3+2</f>
        <v>5</v>
      </c>
      <c r="N152" s="388"/>
      <c r="O152" s="389">
        <f t="shared" ref="O152" si="78">F152-L152-M152</f>
        <v>222</v>
      </c>
      <c r="P152" s="362">
        <f t="shared" si="43"/>
        <v>14</v>
      </c>
      <c r="Q152" s="391">
        <f t="shared" ref="Q152" si="79">O152*J152+(L152+M152)*K152</f>
        <v>45800</v>
      </c>
      <c r="R152" s="392">
        <f>ROUND(E152*(Q152/(SUM($Q$149:$Q$150)))*0.22,2)</f>
        <v>0</v>
      </c>
      <c r="S152" s="392">
        <f>ROUND(E152*(Q152/(SUM($Q$149:$Q$150)))*0.195,2)</f>
        <v>0</v>
      </c>
      <c r="T152" s="392">
        <f>E152*Q152/(SUM($Q$149:$Q$150))-S152</f>
        <v>0</v>
      </c>
      <c r="U152" s="393">
        <f>-ROUND((R152+E152*Q152/(SUM($Q$149:$Q$150))),2)</f>
        <v>0</v>
      </c>
      <c r="V152" s="442">
        <f t="shared" ref="V152" si="80">Q152-T152</f>
        <v>45800</v>
      </c>
      <c r="W152" s="418" t="e">
        <f>Q152-#REF!</f>
        <v>#REF!</v>
      </c>
      <c r="X152" s="439">
        <v>45536</v>
      </c>
      <c r="Y152" s="439">
        <v>45565</v>
      </c>
      <c r="Z152" s="66" t="str">
        <f t="shared" ref="Z152" si="81">CONCATENATE($Z$134,CHAR(10),O152," год.роботи х ",J152," грн. + ",L152+M152," год.ТО и заправки х ",K152," грн."," = ",CHAR(10),"До виплати ",TEXT(Q152,"# #")," грн.")</f>
        <v>ЗП за 01.10.2024 - 30.09.2024
222 год.роботи х 200 грн. + 14 год.ТО и заправки х 100 грн. = 
До виплати 45 800 грн.</v>
      </c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424"/>
    </row>
    <row r="153" spans="1:57" s="362" customFormat="1" ht="15" thickBot="1" x14ac:dyDescent="0.35">
      <c r="A153" s="353"/>
      <c r="B153" s="396">
        <v>14</v>
      </c>
      <c r="C153" s="354" t="s">
        <v>566</v>
      </c>
      <c r="D153" s="355" t="s">
        <v>545</v>
      </c>
      <c r="E153" s="356">
        <f t="shared" si="59"/>
        <v>9500</v>
      </c>
      <c r="F153" s="357">
        <f>128-3</f>
        <v>125</v>
      </c>
      <c r="G153" s="358"/>
      <c r="H153" s="358" t="s">
        <v>585</v>
      </c>
      <c r="I153" s="358" t="s">
        <v>75</v>
      </c>
      <c r="J153" s="359">
        <f>VLOOKUP(I153,Лист5!$C$2:$F$22,4,0)</f>
        <v>200</v>
      </c>
      <c r="K153" s="360">
        <v>100</v>
      </c>
      <c r="L153" s="360">
        <v>4</v>
      </c>
      <c r="M153" s="360">
        <f>7-3</f>
        <v>4</v>
      </c>
      <c r="N153" s="360"/>
      <c r="O153" s="361">
        <f t="shared" ref="O153" si="82">F153-L153-M153</f>
        <v>117</v>
      </c>
      <c r="P153" s="362">
        <f t="shared" si="43"/>
        <v>8</v>
      </c>
      <c r="Q153" s="363">
        <f t="shared" si="53"/>
        <v>24200</v>
      </c>
      <c r="R153" s="364">
        <f t="shared" ref="R153" si="83">ROUND(E153*0.22,2)</f>
        <v>2090</v>
      </c>
      <c r="S153" s="364">
        <f t="shared" ref="S153" si="84">E153*0.195</f>
        <v>1852.5</v>
      </c>
      <c r="T153" s="364">
        <f t="shared" ref="T153" si="85">E153-S153</f>
        <v>7647.5</v>
      </c>
      <c r="U153" s="365">
        <f t="shared" ref="U153" si="86">-ROUND((R153+E153),2)</f>
        <v>-11590</v>
      </c>
      <c r="V153" s="411">
        <f t="shared" si="71"/>
        <v>16552.5</v>
      </c>
      <c r="W153" s="418" t="e">
        <f>Q153-#REF!</f>
        <v>#REF!</v>
      </c>
      <c r="X153" s="439">
        <v>45536</v>
      </c>
      <c r="Y153" s="439">
        <v>45565</v>
      </c>
      <c r="Z153" s="66" t="str">
        <f t="shared" si="41"/>
        <v>ЗП за 01.10.2024 - 30.09.2024
117 год.роботи х 200 грн. + 8 год.ТО и заправки х 100 грн. = 
До виплати 24 200 грн.</v>
      </c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420"/>
    </row>
    <row r="154" spans="1:57" s="375" customFormat="1" ht="15" thickBot="1" x14ac:dyDescent="0.35">
      <c r="A154" s="366"/>
      <c r="B154" s="343">
        <v>15</v>
      </c>
      <c r="C154" s="367" t="s">
        <v>379</v>
      </c>
      <c r="D154" s="368" t="s">
        <v>561</v>
      </c>
      <c r="E154" s="369">
        <f t="shared" si="59"/>
        <v>9500</v>
      </c>
      <c r="F154" s="370">
        <f>125-2</f>
        <v>123</v>
      </c>
      <c r="G154" s="371"/>
      <c r="H154" s="371" t="s">
        <v>585</v>
      </c>
      <c r="I154" s="371" t="s">
        <v>86</v>
      </c>
      <c r="J154" s="372">
        <f>VLOOKUP(I154,Лист5!$C$2:$F$22,4,0)</f>
        <v>200</v>
      </c>
      <c r="K154" s="373">
        <v>100</v>
      </c>
      <c r="L154" s="373">
        <v>1</v>
      </c>
      <c r="M154" s="373">
        <f>7-2</f>
        <v>5</v>
      </c>
      <c r="N154" s="373"/>
      <c r="O154" s="374">
        <f t="shared" ref="O154:O164" si="87">F154-L154-M154</f>
        <v>117</v>
      </c>
      <c r="P154" s="362">
        <f t="shared" si="43"/>
        <v>6</v>
      </c>
      <c r="Q154" s="376">
        <f t="shared" si="53"/>
        <v>24000</v>
      </c>
      <c r="R154" s="377">
        <f t="shared" ref="R154" si="88">ROUND(E154*0.22,2)</f>
        <v>2090</v>
      </c>
      <c r="S154" s="377">
        <f t="shared" ref="S154" si="89">E154*0.195</f>
        <v>1852.5</v>
      </c>
      <c r="T154" s="377">
        <f t="shared" ref="T154" si="90">E154-S154</f>
        <v>7647.5</v>
      </c>
      <c r="U154" s="378">
        <f t="shared" ref="U154" si="91">-ROUND((R154+E154),2)</f>
        <v>-11590</v>
      </c>
      <c r="V154" s="412">
        <f t="shared" ref="V154" si="92">Q154-T154</f>
        <v>16352.5</v>
      </c>
      <c r="W154" s="418" t="e">
        <f>Q154-#REF!</f>
        <v>#REF!</v>
      </c>
      <c r="X154" s="439">
        <v>45536</v>
      </c>
      <c r="Y154" s="439">
        <v>45565</v>
      </c>
      <c r="Z154" s="66" t="str">
        <f t="shared" si="41"/>
        <v>ЗП за 01.10.2024 - 30.09.2024
117 год.роботи х 200 грн. + 6 год.ТО и заправки х 100 грн. = 
До виплати 24 000 грн.</v>
      </c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421"/>
    </row>
    <row r="155" spans="1:57" s="375" customFormat="1" ht="15" thickBot="1" x14ac:dyDescent="0.35">
      <c r="A155" s="366"/>
      <c r="B155" s="343">
        <v>16</v>
      </c>
      <c r="C155" s="367" t="s">
        <v>607</v>
      </c>
      <c r="D155" s="368" t="s">
        <v>596</v>
      </c>
      <c r="E155" s="369">
        <f t="shared" si="59"/>
        <v>9500</v>
      </c>
      <c r="F155" s="370">
        <f>146+91-18</f>
        <v>219</v>
      </c>
      <c r="G155" s="371"/>
      <c r="H155" s="371" t="s">
        <v>585</v>
      </c>
      <c r="I155" s="371" t="s">
        <v>348</v>
      </c>
      <c r="J155" s="372">
        <f>VLOOKUP(I155,Лист5!$C$2:$F$22,4,0)</f>
        <v>200</v>
      </c>
      <c r="K155" s="373">
        <v>100</v>
      </c>
      <c r="L155" s="373">
        <f>36-18</f>
        <v>18</v>
      </c>
      <c r="M155" s="373"/>
      <c r="N155" s="373"/>
      <c r="O155" s="374">
        <f t="shared" ref="O155" si="93">F155-L155-M155</f>
        <v>201</v>
      </c>
      <c r="P155" s="362">
        <f t="shared" si="43"/>
        <v>18</v>
      </c>
      <c r="Q155" s="376">
        <f t="shared" si="53"/>
        <v>42000</v>
      </c>
      <c r="R155" s="377">
        <f t="shared" ref="R155" si="94">ROUND(E155*0.22,2)</f>
        <v>2090</v>
      </c>
      <c r="S155" s="377">
        <f t="shared" ref="S155" si="95">E155*0.195</f>
        <v>1852.5</v>
      </c>
      <c r="T155" s="377">
        <f t="shared" ref="T155" si="96">E155-S155</f>
        <v>7647.5</v>
      </c>
      <c r="U155" s="378">
        <f t="shared" ref="U155" si="97">-ROUND((R155+E155),2)</f>
        <v>-11590</v>
      </c>
      <c r="V155" s="412">
        <f t="shared" ref="V155" si="98">Q155-T155</f>
        <v>34352.5</v>
      </c>
      <c r="W155" s="418" t="e">
        <f>Q155-#REF!</f>
        <v>#REF!</v>
      </c>
      <c r="X155" s="439">
        <v>45536</v>
      </c>
      <c r="Y155" s="439">
        <v>45565</v>
      </c>
      <c r="Z155" s="66" t="str">
        <f t="shared" ref="Z155" si="99">CONCATENATE($Z$134,CHAR(10),O155," год.роботи х ",J155," грн. + ",L155+M155," год.ТО и заправки х ",K155," грн."," = ",CHAR(10),"До виплати ",TEXT(Q155,"# #")," грн.")</f>
        <v>ЗП за 01.10.2024 - 30.09.2024
201 год.роботи х 200 грн. + 18 год.ТО и заправки х 100 грн. = 
До виплати 42 000 грн.</v>
      </c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421"/>
    </row>
    <row r="156" spans="1:57" s="362" customFormat="1" ht="20.399999999999999" customHeight="1" thickBot="1" x14ac:dyDescent="0.35">
      <c r="A156" s="353"/>
      <c r="B156" s="398">
        <v>17</v>
      </c>
      <c r="C156" s="354" t="s">
        <v>584</v>
      </c>
      <c r="D156" s="355" t="s">
        <v>582</v>
      </c>
      <c r="E156" s="356">
        <f t="shared" si="59"/>
        <v>0</v>
      </c>
      <c r="F156" s="357">
        <v>73</v>
      </c>
      <c r="G156" s="358"/>
      <c r="H156" s="358" t="s">
        <v>603</v>
      </c>
      <c r="I156" s="358" t="s">
        <v>70</v>
      </c>
      <c r="J156" s="359">
        <f>VLOOKUP(I156,Лист5!$C$2:$F$22,4,0)</f>
        <v>230</v>
      </c>
      <c r="K156" s="360">
        <v>100</v>
      </c>
      <c r="L156" s="360">
        <v>35</v>
      </c>
      <c r="M156" s="360">
        <v>2</v>
      </c>
      <c r="N156" s="360"/>
      <c r="O156" s="361">
        <f t="shared" ref="O156" si="100">F156-L156-M156</f>
        <v>36</v>
      </c>
      <c r="P156" s="362">
        <f t="shared" si="43"/>
        <v>37</v>
      </c>
      <c r="Q156" s="363">
        <f t="shared" si="53"/>
        <v>11980</v>
      </c>
      <c r="R156" s="364">
        <f t="shared" ref="R156:R158" si="101">ROUND(E156*0.22,2)</f>
        <v>0</v>
      </c>
      <c r="S156" s="364">
        <f t="shared" ref="S156:S158" si="102">E156*0.195</f>
        <v>0</v>
      </c>
      <c r="T156" s="364">
        <f t="shared" ref="T156:T158" si="103">E156-S156</f>
        <v>0</v>
      </c>
      <c r="U156" s="365">
        <f t="shared" ref="U156:U158" si="104">-ROUND((R156+E156),2)</f>
        <v>0</v>
      </c>
      <c r="V156" s="411">
        <f t="shared" ref="V156:V158" si="105">Q156-T156</f>
        <v>11980</v>
      </c>
      <c r="W156" s="418" t="e">
        <f>Q156-#REF!</f>
        <v>#REF!</v>
      </c>
      <c r="X156" s="439">
        <v>45536</v>
      </c>
      <c r="Y156" s="439">
        <v>45565</v>
      </c>
      <c r="Z156" s="66" t="str">
        <f t="shared" si="41"/>
        <v>ЗП за 01.10.2024 - 30.09.2024
36 год.роботи х 230 грн. + 37 год.ТО и заправки х 100 грн. = 
До виплати 11 980 грн.</v>
      </c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420"/>
    </row>
    <row r="157" spans="1:57" s="367" customFormat="1" ht="17.399999999999999" customHeight="1" thickBot="1" x14ac:dyDescent="0.35">
      <c r="A157" s="399"/>
      <c r="B157" s="344">
        <v>18</v>
      </c>
      <c r="C157" s="444" t="s">
        <v>250</v>
      </c>
      <c r="D157" s="368" t="s">
        <v>356</v>
      </c>
      <c r="E157" s="369">
        <f t="shared" si="59"/>
        <v>9500</v>
      </c>
      <c r="F157" s="370">
        <f>103+125-1</f>
        <v>227</v>
      </c>
      <c r="G157" s="370"/>
      <c r="H157" s="371" t="s">
        <v>585</v>
      </c>
      <c r="I157" s="371" t="s">
        <v>588</v>
      </c>
      <c r="J157" s="372">
        <f>VLOOKUP(I157,Лист5!$C$2:$F$28,4,0)</f>
        <v>200</v>
      </c>
      <c r="K157" s="400">
        <v>100</v>
      </c>
      <c r="L157" s="400">
        <v>3</v>
      </c>
      <c r="M157" s="400">
        <f>3+1-1</f>
        <v>3</v>
      </c>
      <c r="N157" s="400"/>
      <c r="O157" s="374">
        <f>F157-L157-M157</f>
        <v>221</v>
      </c>
      <c r="P157" s="362">
        <f t="shared" si="43"/>
        <v>6</v>
      </c>
      <c r="Q157" s="376">
        <f t="shared" si="53"/>
        <v>44800</v>
      </c>
      <c r="R157" s="401">
        <f t="shared" si="101"/>
        <v>2090</v>
      </c>
      <c r="S157" s="401">
        <f t="shared" si="102"/>
        <v>1852.5</v>
      </c>
      <c r="T157" s="401">
        <f t="shared" si="103"/>
        <v>7647.5</v>
      </c>
      <c r="U157" s="401">
        <f t="shared" si="104"/>
        <v>-11590</v>
      </c>
      <c r="V157" s="415">
        <f t="shared" si="105"/>
        <v>37152.5</v>
      </c>
      <c r="W157" s="418" t="e">
        <f>Q157-#REF!</f>
        <v>#REF!</v>
      </c>
      <c r="X157" s="439">
        <v>45536</v>
      </c>
      <c r="Y157" s="439">
        <v>45565</v>
      </c>
      <c r="Z157" s="66" t="str">
        <f t="shared" si="41"/>
        <v>ЗП за 01.10.2024 - 30.09.2024
221 год.роботи х 200 грн. + 6 год.ТО и заправки х 100 грн. = 
До виплати 44 800 грн.</v>
      </c>
      <c r="AA157" s="440"/>
      <c r="AB157" s="440"/>
      <c r="AC157" s="440"/>
      <c r="AD157" s="440"/>
      <c r="AE157" s="440"/>
      <c r="AF157" s="440"/>
      <c r="AG157" s="440"/>
      <c r="AH157" s="440"/>
      <c r="AI157" s="440"/>
      <c r="AJ157" s="440"/>
      <c r="AK157" s="440"/>
      <c r="AL157" s="440"/>
      <c r="AM157" s="440"/>
      <c r="AN157" s="440"/>
      <c r="AO157" s="440"/>
      <c r="AP157" s="440"/>
      <c r="AQ157" s="440"/>
      <c r="AR157" s="440"/>
      <c r="AS157" s="440"/>
      <c r="AT157" s="440"/>
      <c r="AU157" s="440"/>
      <c r="AV157" s="440"/>
      <c r="AW157" s="440"/>
      <c r="AX157" s="440"/>
      <c r="AY157" s="440"/>
      <c r="AZ157" s="440"/>
      <c r="BA157" s="440"/>
      <c r="BB157" s="440"/>
      <c r="BC157" s="440"/>
      <c r="BD157" s="440"/>
      <c r="BE157" s="425"/>
    </row>
    <row r="158" spans="1:57" s="362" customFormat="1" ht="15" thickBot="1" x14ac:dyDescent="0.35">
      <c r="A158" s="353"/>
      <c r="B158" s="344">
        <v>19</v>
      </c>
      <c r="C158" s="354" t="s">
        <v>608</v>
      </c>
      <c r="D158" s="355" t="s">
        <v>592</v>
      </c>
      <c r="E158" s="356">
        <f t="shared" si="59"/>
        <v>9500</v>
      </c>
      <c r="F158" s="357">
        <f>137-18</f>
        <v>119</v>
      </c>
      <c r="G158" s="358"/>
      <c r="H158" s="358" t="s">
        <v>585</v>
      </c>
      <c r="I158" s="358" t="s">
        <v>86</v>
      </c>
      <c r="J158" s="359">
        <f>VLOOKUP(I158,Лист5!$C$2:$F$22,4,0)</f>
        <v>200</v>
      </c>
      <c r="K158" s="360">
        <v>100</v>
      </c>
      <c r="L158" s="360">
        <f>18-18</f>
        <v>0</v>
      </c>
      <c r="M158" s="360">
        <v>2</v>
      </c>
      <c r="N158" s="360"/>
      <c r="O158" s="361">
        <f>F158-L158-M158</f>
        <v>117</v>
      </c>
      <c r="P158" s="362">
        <f t="shared" si="43"/>
        <v>2</v>
      </c>
      <c r="Q158" s="363">
        <f t="shared" si="53"/>
        <v>23600</v>
      </c>
      <c r="R158" s="364">
        <f t="shared" si="101"/>
        <v>2090</v>
      </c>
      <c r="S158" s="364">
        <f t="shared" si="102"/>
        <v>1852.5</v>
      </c>
      <c r="T158" s="364">
        <f t="shared" si="103"/>
        <v>7647.5</v>
      </c>
      <c r="U158" s="365">
        <f t="shared" si="104"/>
        <v>-11590</v>
      </c>
      <c r="V158" s="411">
        <f t="shared" si="105"/>
        <v>15952.5</v>
      </c>
      <c r="W158" s="418" t="e">
        <f>Q158-#REF!</f>
        <v>#REF!</v>
      </c>
      <c r="X158" s="439">
        <v>45536</v>
      </c>
      <c r="Y158" s="439">
        <v>45565</v>
      </c>
      <c r="Z158" s="66" t="str">
        <f t="shared" si="41"/>
        <v>ЗП за 01.10.2024 - 30.09.2024
117 год.роботи х 200 грн. + 2 год.ТО и заправки х 100 грн. = 
До виплати 23 600 грн.</v>
      </c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420"/>
    </row>
    <row r="159" spans="1:57" s="315" customFormat="1" ht="15" thickBot="1" x14ac:dyDescent="0.35">
      <c r="B159" s="217"/>
      <c r="C159" s="296" t="s">
        <v>565</v>
      </c>
      <c r="D159" s="296" t="s">
        <v>568</v>
      </c>
      <c r="E159" s="356">
        <f t="shared" si="59"/>
        <v>4976.1899999999996</v>
      </c>
      <c r="F159" s="299">
        <v>17</v>
      </c>
      <c r="G159" s="78"/>
      <c r="H159" s="358" t="s">
        <v>585</v>
      </c>
      <c r="I159" s="78" t="s">
        <v>523</v>
      </c>
      <c r="J159" s="130">
        <f>VLOOKUP(I159,Лист5!$C$2:$F$22,4,0)</f>
        <v>330</v>
      </c>
      <c r="K159" s="79">
        <v>100</v>
      </c>
      <c r="L159" s="79"/>
      <c r="M159" s="79"/>
      <c r="N159" s="79"/>
      <c r="O159" s="306">
        <f t="shared" si="87"/>
        <v>17</v>
      </c>
      <c r="P159" s="362">
        <f t="shared" si="43"/>
        <v>0</v>
      </c>
      <c r="Q159" s="363">
        <f>50000/26*14</f>
        <v>26923.076923076922</v>
      </c>
      <c r="R159" s="364">
        <f t="shared" ref="R159" si="106">ROUND(E159*0.22,2)</f>
        <v>1094.76</v>
      </c>
      <c r="S159" s="364">
        <f t="shared" ref="S159" si="107">E159*0.195</f>
        <v>970.35704999999996</v>
      </c>
      <c r="T159" s="364">
        <f t="shared" ref="T159" si="108">E159-S159</f>
        <v>4005.8329499999995</v>
      </c>
      <c r="U159" s="365">
        <f>-ROUND((R159+E159),2)</f>
        <v>-6070.95</v>
      </c>
      <c r="V159" s="411">
        <f>Q159-T159</f>
        <v>22917.243973076922</v>
      </c>
      <c r="W159" s="418" t="e">
        <f>Q159-#REF!</f>
        <v>#REF!</v>
      </c>
      <c r="X159" s="439">
        <v>45536</v>
      </c>
      <c r="Y159" s="439">
        <v>45565</v>
      </c>
      <c r="Z159" s="66" t="str">
        <f t="shared" si="41"/>
        <v>ЗП за 01.10.2024 - 30.09.2024
17 год.роботи х 330 грн. + 0 год.ТО и заправки х 100 грн. = 
До виплати 26 923 грн.</v>
      </c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333"/>
    </row>
    <row r="160" spans="1:57" s="331" customFormat="1" ht="15" thickBot="1" x14ac:dyDescent="0.35">
      <c r="B160" s="343"/>
      <c r="C160" s="334"/>
      <c r="D160" s="334"/>
      <c r="E160" s="336"/>
      <c r="F160" s="337"/>
      <c r="G160" s="322"/>
      <c r="H160" s="322"/>
      <c r="I160" s="322"/>
      <c r="J160" s="338" t="e">
        <f>VLOOKUP(I160,Лист5!$C$2:$F$22,4,0)</f>
        <v>#N/A</v>
      </c>
      <c r="K160" s="339">
        <v>100</v>
      </c>
      <c r="L160" s="339"/>
      <c r="M160" s="339"/>
      <c r="N160" s="339"/>
      <c r="O160" s="340">
        <f t="shared" si="87"/>
        <v>0</v>
      </c>
      <c r="P160" s="362">
        <f t="shared" si="43"/>
        <v>0</v>
      </c>
      <c r="Q160" s="327"/>
      <c r="R160" s="341"/>
      <c r="S160" s="341"/>
      <c r="T160" s="341"/>
      <c r="U160" s="341"/>
      <c r="V160" s="416"/>
      <c r="W160" s="418" t="e">
        <f>Q160-#REF!</f>
        <v>#REF!</v>
      </c>
      <c r="X160" s="439">
        <v>45536</v>
      </c>
      <c r="Y160" s="439">
        <v>45565</v>
      </c>
      <c r="Z160" s="66" t="e">
        <f t="shared" si="41"/>
        <v>#N/A</v>
      </c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330"/>
    </row>
    <row r="161" spans="2:57" s="331" customFormat="1" ht="15" thickBot="1" x14ac:dyDescent="0.35">
      <c r="B161" s="343"/>
      <c r="C161" s="334"/>
      <c r="D161" s="334"/>
      <c r="E161" s="336"/>
      <c r="F161" s="337"/>
      <c r="G161" s="322"/>
      <c r="H161" s="322"/>
      <c r="I161" s="322"/>
      <c r="J161" s="338" t="e">
        <f>VLOOKUP(I161,Лист5!$C$2:$F$22,4,0)</f>
        <v>#N/A</v>
      </c>
      <c r="K161" s="339">
        <v>100</v>
      </c>
      <c r="L161" s="339"/>
      <c r="M161" s="339"/>
      <c r="N161" s="339"/>
      <c r="O161" s="340">
        <f t="shared" ref="O161" si="109">F161-L161-M161</f>
        <v>0</v>
      </c>
      <c r="P161" s="362">
        <f t="shared" si="43"/>
        <v>0</v>
      </c>
      <c r="Q161" s="327"/>
      <c r="R161" s="341"/>
      <c r="S161" s="341"/>
      <c r="T161" s="341"/>
      <c r="U161" s="341"/>
      <c r="V161" s="416"/>
      <c r="W161" s="418" t="e">
        <f>Q161-#REF!</f>
        <v>#REF!</v>
      </c>
      <c r="X161" s="439">
        <v>45536</v>
      </c>
      <c r="Y161" s="439">
        <v>45565</v>
      </c>
      <c r="Z161" s="66" t="e">
        <f t="shared" ref="Z161" si="110">CONCATENATE($Z$134,CHAR(10),O161," год.роботи х ",J161," грн. + ",L161+M161," год.ТО и заправки х ",K161," грн."," = ",CHAR(10),"До виплати ",TEXT(Q161,"# #")," грн.")</f>
        <v>#N/A</v>
      </c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330"/>
    </row>
    <row r="162" spans="2:57" s="331" customFormat="1" ht="15" thickBot="1" x14ac:dyDescent="0.35">
      <c r="B162" s="343"/>
      <c r="C162" s="334"/>
      <c r="D162" s="334"/>
      <c r="E162" s="336"/>
      <c r="F162" s="337"/>
      <c r="G162" s="322"/>
      <c r="H162" s="322"/>
      <c r="I162" s="322"/>
      <c r="J162" s="338" t="e">
        <f>VLOOKUP(I162,Лист5!$C$2:$F$23,4,0)</f>
        <v>#N/A</v>
      </c>
      <c r="K162" s="339">
        <v>100</v>
      </c>
      <c r="L162" s="339"/>
      <c r="M162" s="339"/>
      <c r="N162" s="339"/>
      <c r="O162" s="340">
        <f>F162-L162-M162</f>
        <v>0</v>
      </c>
      <c r="P162" s="362">
        <f t="shared" si="43"/>
        <v>0</v>
      </c>
      <c r="Q162" s="327"/>
      <c r="R162" s="341"/>
      <c r="S162" s="341"/>
      <c r="T162" s="341"/>
      <c r="U162" s="342"/>
      <c r="V162" s="416"/>
      <c r="W162" s="418" t="e">
        <f>Q162-#REF!</f>
        <v>#REF!</v>
      </c>
      <c r="X162" s="439">
        <v>45536</v>
      </c>
      <c r="Y162" s="439">
        <v>45565</v>
      </c>
      <c r="Z162" s="66" t="e">
        <f t="shared" si="41"/>
        <v>#N/A</v>
      </c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330"/>
    </row>
    <row r="163" spans="2:57" s="331" customFormat="1" ht="15" thickBot="1" x14ac:dyDescent="0.35">
      <c r="B163" s="343"/>
      <c r="C163" s="334"/>
      <c r="D163" s="334"/>
      <c r="E163" s="336"/>
      <c r="F163" s="337"/>
      <c r="G163" s="322"/>
      <c r="H163" s="322"/>
      <c r="I163" s="322"/>
      <c r="J163" s="338" t="e">
        <f>VLOOKUP(I163,Лист5!$C$2:$F$23,4,0)</f>
        <v>#N/A</v>
      </c>
      <c r="K163" s="339">
        <v>100</v>
      </c>
      <c r="L163" s="339"/>
      <c r="M163" s="339"/>
      <c r="N163" s="339"/>
      <c r="O163" s="340">
        <f t="shared" ref="O163" si="111">F163-L163-M163</f>
        <v>0</v>
      </c>
      <c r="P163" s="362">
        <f t="shared" si="43"/>
        <v>0</v>
      </c>
      <c r="Q163" s="327"/>
      <c r="R163" s="341"/>
      <c r="S163" s="341"/>
      <c r="T163" s="341"/>
      <c r="U163" s="342"/>
      <c r="V163" s="416"/>
      <c r="W163" s="418" t="e">
        <f>Q163-#REF!</f>
        <v>#REF!</v>
      </c>
      <c r="X163" s="439">
        <v>45536</v>
      </c>
      <c r="Y163" s="439">
        <v>45565</v>
      </c>
      <c r="Z163" s="66" t="e">
        <f t="shared" si="41"/>
        <v>#N/A</v>
      </c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330"/>
    </row>
    <row r="164" spans="2:57" s="334" customFormat="1" ht="15" thickBot="1" x14ac:dyDescent="0.35">
      <c r="B164" s="343"/>
      <c r="E164" s="336"/>
      <c r="F164" s="337"/>
      <c r="G164" s="337"/>
      <c r="H164" s="322"/>
      <c r="I164" s="322"/>
      <c r="J164" s="338" t="e">
        <f>VLOOKUP(I164,Лист5!$C$2:$F$23,4,0)</f>
        <v>#N/A</v>
      </c>
      <c r="K164" s="345">
        <v>100</v>
      </c>
      <c r="L164" s="345"/>
      <c r="M164" s="345"/>
      <c r="N164" s="345"/>
      <c r="O164" s="340">
        <f t="shared" si="87"/>
        <v>0</v>
      </c>
      <c r="P164" s="362">
        <f t="shared" si="43"/>
        <v>0</v>
      </c>
      <c r="Q164" s="327"/>
      <c r="R164" s="346"/>
      <c r="S164" s="346"/>
      <c r="T164" s="346"/>
      <c r="U164" s="346"/>
      <c r="V164" s="416"/>
      <c r="W164" s="418" t="e">
        <f>Q164-#REF!</f>
        <v>#REF!</v>
      </c>
      <c r="X164" s="439">
        <v>45536</v>
      </c>
      <c r="Y164" s="439">
        <v>45565</v>
      </c>
      <c r="Z164" s="66" t="e">
        <f t="shared" si="41"/>
        <v>#N/A</v>
      </c>
      <c r="AA164" s="440"/>
      <c r="AB164" s="440"/>
      <c r="AC164" s="440"/>
      <c r="AD164" s="440"/>
      <c r="AE164" s="440"/>
      <c r="AF164" s="440"/>
      <c r="AG164" s="440"/>
      <c r="AH164" s="440"/>
      <c r="AI164" s="440"/>
      <c r="AJ164" s="440"/>
      <c r="AK164" s="440"/>
      <c r="AL164" s="440"/>
      <c r="AM164" s="440"/>
      <c r="AN164" s="440"/>
      <c r="AO164" s="440"/>
      <c r="AP164" s="440"/>
      <c r="AQ164" s="440"/>
      <c r="AR164" s="440"/>
      <c r="AS164" s="440"/>
      <c r="AT164" s="440"/>
      <c r="AU164" s="440"/>
      <c r="AV164" s="440"/>
      <c r="AW164" s="440"/>
      <c r="AX164" s="440"/>
      <c r="AY164" s="440"/>
      <c r="AZ164" s="440"/>
      <c r="BA164" s="440"/>
      <c r="BB164" s="440"/>
      <c r="BC164" s="440"/>
      <c r="BD164" s="440"/>
      <c r="BE164" s="426"/>
    </row>
    <row r="165" spans="2:57" s="334" customFormat="1" ht="15" thickBot="1" x14ac:dyDescent="0.35">
      <c r="B165" s="344"/>
      <c r="E165" s="336"/>
      <c r="F165" s="337"/>
      <c r="G165" s="337"/>
      <c r="H165" s="322"/>
      <c r="I165" s="322"/>
      <c r="J165" s="338" t="e">
        <f>VLOOKUP(I165,Лист5!$C$2:$F$22,4,0)</f>
        <v>#N/A</v>
      </c>
      <c r="K165" s="345">
        <v>100</v>
      </c>
      <c r="L165" s="345"/>
      <c r="M165" s="345"/>
      <c r="N165" s="345"/>
      <c r="O165" s="340">
        <f>F165-L165-M165</f>
        <v>0</v>
      </c>
      <c r="P165" s="362">
        <f t="shared" si="43"/>
        <v>0</v>
      </c>
      <c r="Q165" s="327"/>
      <c r="R165" s="346"/>
      <c r="S165" s="346"/>
      <c r="T165" s="346"/>
      <c r="U165" s="346"/>
      <c r="V165" s="416"/>
      <c r="W165" s="418" t="e">
        <f>Q165-#REF!</f>
        <v>#REF!</v>
      </c>
      <c r="X165" s="439">
        <v>45536</v>
      </c>
      <c r="Y165" s="439">
        <v>45565</v>
      </c>
      <c r="Z165" s="66" t="e">
        <f t="shared" si="41"/>
        <v>#N/A</v>
      </c>
      <c r="AA165" s="440"/>
      <c r="AB165" s="440"/>
      <c r="AC165" s="440"/>
      <c r="AD165" s="440"/>
      <c r="AE165" s="440"/>
      <c r="AF165" s="440"/>
      <c r="AG165" s="440"/>
      <c r="AH165" s="440"/>
      <c r="AI165" s="440"/>
      <c r="AJ165" s="440"/>
      <c r="AK165" s="440"/>
      <c r="AL165" s="440"/>
      <c r="AM165" s="440"/>
      <c r="AN165" s="440"/>
      <c r="AO165" s="440"/>
      <c r="AP165" s="440"/>
      <c r="AQ165" s="440"/>
      <c r="AR165" s="440"/>
      <c r="AS165" s="440"/>
      <c r="AT165" s="440"/>
      <c r="AU165" s="440"/>
      <c r="AV165" s="440"/>
      <c r="AW165" s="440"/>
      <c r="AX165" s="440"/>
      <c r="AY165" s="440"/>
      <c r="AZ165" s="440"/>
      <c r="BA165" s="440"/>
      <c r="BB165" s="440"/>
      <c r="BC165" s="440"/>
      <c r="BD165" s="440"/>
      <c r="BE165" s="426"/>
    </row>
    <row r="166" spans="2:57" s="334" customFormat="1" ht="15" thickBot="1" x14ac:dyDescent="0.35">
      <c r="B166" s="344"/>
      <c r="E166" s="336"/>
      <c r="F166" s="337"/>
      <c r="G166" s="337"/>
      <c r="H166" s="322"/>
      <c r="I166" s="322"/>
      <c r="J166" s="338" t="e">
        <f>VLOOKUP(I166,Лист5!$C$2:$F$22,4,0)</f>
        <v>#N/A</v>
      </c>
      <c r="K166" s="345">
        <v>100</v>
      </c>
      <c r="L166" s="345"/>
      <c r="M166" s="345"/>
      <c r="N166" s="345"/>
      <c r="O166" s="340">
        <f>F166-L166-M166</f>
        <v>0</v>
      </c>
      <c r="P166" s="362">
        <f t="shared" si="43"/>
        <v>0</v>
      </c>
      <c r="Q166" s="327"/>
      <c r="R166" s="346"/>
      <c r="S166" s="346"/>
      <c r="T166" s="341"/>
      <c r="U166" s="346"/>
      <c r="V166" s="416"/>
      <c r="W166" s="418" t="e">
        <f>Q166-#REF!</f>
        <v>#REF!</v>
      </c>
      <c r="X166" s="439">
        <v>45536</v>
      </c>
      <c r="Y166" s="439">
        <v>45565</v>
      </c>
      <c r="Z166" s="66" t="e">
        <f t="shared" si="41"/>
        <v>#N/A</v>
      </c>
      <c r="AA166" s="440"/>
      <c r="AB166" s="440"/>
      <c r="AC166" s="440"/>
      <c r="AD166" s="440"/>
      <c r="AE166" s="440"/>
      <c r="AF166" s="440"/>
      <c r="AG166" s="440"/>
      <c r="AH166" s="440"/>
      <c r="AI166" s="440"/>
      <c r="AJ166" s="440"/>
      <c r="AK166" s="440"/>
      <c r="AL166" s="440"/>
      <c r="AM166" s="440"/>
      <c r="AN166" s="440"/>
      <c r="AO166" s="440"/>
      <c r="AP166" s="440"/>
      <c r="AQ166" s="440"/>
      <c r="AR166" s="440"/>
      <c r="AS166" s="440"/>
      <c r="AT166" s="440"/>
      <c r="AU166" s="440"/>
      <c r="AV166" s="440"/>
      <c r="AW166" s="440"/>
      <c r="AX166" s="440"/>
      <c r="AY166" s="440"/>
      <c r="AZ166" s="440"/>
      <c r="BA166" s="440"/>
      <c r="BB166" s="440"/>
      <c r="BC166" s="440"/>
      <c r="BD166" s="440"/>
      <c r="BE166" s="426"/>
    </row>
    <row r="167" spans="2:57" s="331" customFormat="1" x14ac:dyDescent="0.3">
      <c r="B167" s="344"/>
      <c r="C167" s="334"/>
      <c r="D167" s="334"/>
      <c r="E167" s="336"/>
      <c r="F167" s="337"/>
      <c r="G167" s="322"/>
      <c r="H167" s="322"/>
      <c r="I167" s="322"/>
      <c r="J167" s="338" t="e">
        <f>VLOOKUP(I167,Лист5!$C$2:$F$22,4,0)</f>
        <v>#N/A</v>
      </c>
      <c r="K167" s="339">
        <v>100</v>
      </c>
      <c r="L167" s="339"/>
      <c r="M167" s="339"/>
      <c r="N167" s="339"/>
      <c r="O167" s="340">
        <f>F167-L167-M167</f>
        <v>0</v>
      </c>
      <c r="P167" s="331">
        <f t="shared" ref="P167:P173" si="112">L167+M167</f>
        <v>0</v>
      </c>
      <c r="Q167" s="327"/>
      <c r="R167" s="346"/>
      <c r="S167" s="346"/>
      <c r="T167" s="346"/>
      <c r="U167" s="342"/>
      <c r="V167" s="416"/>
      <c r="W167" s="418" t="e">
        <f>Q167-#REF!</f>
        <v>#REF!</v>
      </c>
      <c r="X167" s="439">
        <v>45536</v>
      </c>
      <c r="Y167" s="439">
        <v>45565</v>
      </c>
      <c r="Z167" s="66" t="e">
        <f t="shared" si="41"/>
        <v>#N/A</v>
      </c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330"/>
    </row>
    <row r="168" spans="2:57" s="331" customFormat="1" x14ac:dyDescent="0.3">
      <c r="B168" s="343"/>
      <c r="C168" s="334"/>
      <c r="D168" s="335"/>
      <c r="E168" s="336"/>
      <c r="F168" s="337"/>
      <c r="G168" s="322"/>
      <c r="H168" s="322"/>
      <c r="I168" s="347"/>
      <c r="J168" s="338" t="e">
        <f>VLOOKUP(I168,Лист5!$C$2:$F$22,4,0)</f>
        <v>#N/A</v>
      </c>
      <c r="K168" s="339">
        <v>100</v>
      </c>
      <c r="L168" s="339"/>
      <c r="M168" s="339"/>
      <c r="N168" s="339"/>
      <c r="O168" s="340">
        <f t="shared" si="72"/>
        <v>0</v>
      </c>
      <c r="P168" s="331">
        <f t="shared" si="112"/>
        <v>0</v>
      </c>
      <c r="Q168" s="327"/>
      <c r="R168" s="341"/>
      <c r="S168" s="341"/>
      <c r="T168" s="341"/>
      <c r="U168" s="342"/>
      <c r="V168" s="416"/>
      <c r="W168" s="418" t="e">
        <f>Q168-#REF!</f>
        <v>#REF!</v>
      </c>
      <c r="X168" s="439">
        <v>45536</v>
      </c>
      <c r="Y168" s="439">
        <v>45565</v>
      </c>
      <c r="Z168" s="66" t="e">
        <f t="shared" si="41"/>
        <v>#N/A</v>
      </c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330"/>
    </row>
    <row r="169" spans="2:57" s="331" customFormat="1" x14ac:dyDescent="0.3">
      <c r="B169" s="343"/>
      <c r="C169" s="334"/>
      <c r="D169" s="335"/>
      <c r="E169" s="336"/>
      <c r="F169" s="337"/>
      <c r="G169" s="322"/>
      <c r="H169" s="322"/>
      <c r="I169" s="347"/>
      <c r="J169" s="338" t="e">
        <f>VLOOKUP(I169,Лист5!$C$2:$F$22,4,0)</f>
        <v>#N/A</v>
      </c>
      <c r="K169" s="339">
        <v>100</v>
      </c>
      <c r="L169" s="339"/>
      <c r="M169" s="339"/>
      <c r="N169" s="339"/>
      <c r="O169" s="340">
        <f>F169-L169-M169</f>
        <v>0</v>
      </c>
      <c r="P169" s="331">
        <f t="shared" ref="P169:P170" si="113">L169+M169</f>
        <v>0</v>
      </c>
      <c r="Q169" s="327"/>
      <c r="R169" s="341"/>
      <c r="S169" s="341"/>
      <c r="T169" s="341"/>
      <c r="U169" s="342"/>
      <c r="V169" s="416"/>
      <c r="W169" s="418" t="e">
        <f>Q169-#REF!</f>
        <v>#REF!</v>
      </c>
      <c r="X169" s="439">
        <v>45536</v>
      </c>
      <c r="Y169" s="439">
        <v>45565</v>
      </c>
      <c r="Z169" s="66" t="e">
        <f t="shared" ref="Z169:Z170" si="114">CONCATENATE($Z$134,CHAR(10),O169," год.роботи х ",J169," грн. + ",L169+M169," год.ТО и заправки х ",K169," грн."," = ",CHAR(10),"До виплати ",TEXT(Q169,"# #")," грн.")</f>
        <v>#N/A</v>
      </c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330"/>
    </row>
    <row r="170" spans="2:57" s="331" customFormat="1" x14ac:dyDescent="0.3">
      <c r="B170" s="343"/>
      <c r="C170" s="334"/>
      <c r="D170" s="335"/>
      <c r="E170" s="336"/>
      <c r="F170" s="337"/>
      <c r="G170" s="322"/>
      <c r="H170" s="322"/>
      <c r="I170" s="322"/>
      <c r="J170" s="338" t="e">
        <f>VLOOKUP(I170,Лист5!$C$2:$F$22,4,0)</f>
        <v>#N/A</v>
      </c>
      <c r="K170" s="339">
        <v>100</v>
      </c>
      <c r="L170" s="339"/>
      <c r="M170" s="339"/>
      <c r="N170" s="339"/>
      <c r="O170" s="340">
        <f>F170-L170-M170</f>
        <v>0</v>
      </c>
      <c r="P170" s="331">
        <f t="shared" si="113"/>
        <v>0</v>
      </c>
      <c r="Q170" s="327"/>
      <c r="R170" s="341"/>
      <c r="S170" s="341"/>
      <c r="T170" s="341"/>
      <c r="U170" s="342"/>
      <c r="V170" s="416"/>
      <c r="W170" s="418" t="e">
        <f>Q170-#REF!</f>
        <v>#REF!</v>
      </c>
      <c r="X170" s="439">
        <v>45536</v>
      </c>
      <c r="Y170" s="439">
        <v>45565</v>
      </c>
      <c r="Z170" s="66" t="e">
        <f t="shared" si="114"/>
        <v>#N/A</v>
      </c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330"/>
    </row>
    <row r="171" spans="2:57" s="331" customFormat="1" x14ac:dyDescent="0.3">
      <c r="B171" s="343"/>
      <c r="C171" s="334"/>
      <c r="D171" s="335"/>
      <c r="E171" s="336"/>
      <c r="F171" s="337"/>
      <c r="G171" s="322"/>
      <c r="H171" s="322"/>
      <c r="I171" s="322"/>
      <c r="J171" s="338" t="e">
        <f>VLOOKUP(I171,Лист5!$C$2:$F$22,4,0)</f>
        <v>#N/A</v>
      </c>
      <c r="K171" s="339">
        <v>100</v>
      </c>
      <c r="L171" s="339"/>
      <c r="M171" s="339"/>
      <c r="N171" s="339"/>
      <c r="O171" s="340">
        <f>F171-L171-M171</f>
        <v>0</v>
      </c>
      <c r="P171" s="331">
        <f t="shared" si="112"/>
        <v>0</v>
      </c>
      <c r="Q171" s="327"/>
      <c r="R171" s="341"/>
      <c r="S171" s="341"/>
      <c r="T171" s="341"/>
      <c r="U171" s="342"/>
      <c r="V171" s="416"/>
      <c r="W171" s="418" t="e">
        <f>Q171-#REF!</f>
        <v>#REF!</v>
      </c>
      <c r="X171" s="439">
        <v>45536</v>
      </c>
      <c r="Y171" s="439">
        <v>45565</v>
      </c>
      <c r="Z171" s="66" t="e">
        <f t="shared" si="41"/>
        <v>#N/A</v>
      </c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330"/>
    </row>
    <row r="172" spans="2:57" s="334" customFormat="1" ht="13.8" customHeight="1" x14ac:dyDescent="0.3">
      <c r="B172" s="343"/>
      <c r="D172" s="335"/>
      <c r="E172" s="336"/>
      <c r="F172" s="337"/>
      <c r="G172" s="337"/>
      <c r="H172" s="337"/>
      <c r="I172" s="337"/>
      <c r="J172" s="338" t="e">
        <f>VLOOKUP(I172,Лист5!$C$2:$F$22,4,0)</f>
        <v>#N/A</v>
      </c>
      <c r="K172" s="345">
        <v>100</v>
      </c>
      <c r="L172" s="345"/>
      <c r="M172" s="345"/>
      <c r="N172" s="345"/>
      <c r="O172" s="348">
        <f t="shared" si="72"/>
        <v>0</v>
      </c>
      <c r="P172" s="334">
        <f t="shared" ref="P172" si="115">L172+M172</f>
        <v>0</v>
      </c>
      <c r="Q172" s="349"/>
      <c r="R172" s="346"/>
      <c r="S172" s="346"/>
      <c r="T172" s="346"/>
      <c r="U172" s="350"/>
      <c r="V172" s="417"/>
      <c r="W172" s="418" t="e">
        <f>Q172-#REF!</f>
        <v>#REF!</v>
      </c>
      <c r="X172" s="439">
        <v>45536</v>
      </c>
      <c r="Y172" s="439">
        <v>45565</v>
      </c>
      <c r="Z172" s="66" t="e">
        <f t="shared" si="41"/>
        <v>#N/A</v>
      </c>
      <c r="AA172" s="440"/>
      <c r="AB172" s="440"/>
      <c r="AC172" s="440"/>
      <c r="AD172" s="440"/>
      <c r="AE172" s="440"/>
      <c r="AF172" s="440"/>
      <c r="AG172" s="440"/>
      <c r="AH172" s="440"/>
      <c r="AI172" s="440"/>
      <c r="AJ172" s="440"/>
      <c r="AK172" s="440"/>
      <c r="AL172" s="440"/>
      <c r="AM172" s="440"/>
      <c r="AN172" s="440"/>
      <c r="AO172" s="440"/>
      <c r="AP172" s="440"/>
      <c r="AQ172" s="440"/>
      <c r="AR172" s="440"/>
      <c r="AS172" s="440"/>
      <c r="AT172" s="440"/>
      <c r="AU172" s="440"/>
      <c r="AV172" s="440"/>
      <c r="AW172" s="440"/>
      <c r="AX172" s="440"/>
      <c r="AY172" s="440"/>
      <c r="AZ172" s="440"/>
      <c r="BA172" s="440"/>
      <c r="BB172" s="440"/>
      <c r="BC172" s="440"/>
      <c r="BD172" s="440"/>
      <c r="BE172" s="426"/>
    </row>
    <row r="173" spans="2:57" s="331" customFormat="1" x14ac:dyDescent="0.3">
      <c r="B173" s="343"/>
      <c r="C173" s="334"/>
      <c r="D173" s="335"/>
      <c r="E173" s="336"/>
      <c r="F173" s="337"/>
      <c r="G173" s="322"/>
      <c r="H173" s="322"/>
      <c r="I173" s="337"/>
      <c r="J173" s="338" t="e">
        <f>VLOOKUP(I173,Лист5!$C$2:$F$22,4,0)</f>
        <v>#N/A</v>
      </c>
      <c r="K173" s="339">
        <v>100</v>
      </c>
      <c r="L173" s="339"/>
      <c r="M173" s="339"/>
      <c r="N173" s="339"/>
      <c r="O173" s="340">
        <f t="shared" si="72"/>
        <v>0</v>
      </c>
      <c r="P173" s="331">
        <f t="shared" si="112"/>
        <v>0</v>
      </c>
      <c r="Q173" s="349"/>
      <c r="R173" s="346"/>
      <c r="S173" s="346"/>
      <c r="T173" s="346"/>
      <c r="U173" s="350"/>
      <c r="V173" s="417"/>
      <c r="W173" s="418" t="e">
        <f>Q173-#REF!</f>
        <v>#REF!</v>
      </c>
      <c r="X173" s="439">
        <v>45536</v>
      </c>
      <c r="Y173" s="439">
        <v>45565</v>
      </c>
      <c r="Z173" s="66" t="e">
        <f t="shared" ref="Z173:Z181" si="116">CONCATENATE($Z$134,CHAR(10),O173," год.роботи х ",J173," грн. + ",L173+M173," год.ТО и заправки х ",K173," грн."," = ",CHAR(10),"До виплати ",TEXT(Q173,"# #")," грн.")</f>
        <v>#N/A</v>
      </c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330"/>
    </row>
    <row r="174" spans="2:57" s="331" customFormat="1" x14ac:dyDescent="0.3">
      <c r="B174" s="351"/>
      <c r="C174" s="334"/>
      <c r="D174" s="335"/>
      <c r="E174" s="336"/>
      <c r="F174" s="337"/>
      <c r="G174" s="322"/>
      <c r="H174" s="322"/>
      <c r="I174" s="347"/>
      <c r="J174" s="338" t="e">
        <f>VLOOKUP(I174,Лист5!$C$2:$F$22,4,0)</f>
        <v>#N/A</v>
      </c>
      <c r="K174" s="339">
        <v>100</v>
      </c>
      <c r="L174" s="339"/>
      <c r="M174" s="339"/>
      <c r="N174" s="339"/>
      <c r="O174" s="340">
        <f t="shared" ref="O174:O177" si="117">F174-L174-M174</f>
        <v>0</v>
      </c>
      <c r="P174" s="331">
        <f t="shared" ref="P174:P177" si="118">L174+M174</f>
        <v>0</v>
      </c>
      <c r="Q174" s="349"/>
      <c r="R174" s="341"/>
      <c r="S174" s="341"/>
      <c r="T174" s="341"/>
      <c r="U174" s="342"/>
      <c r="V174" s="416"/>
      <c r="W174" s="418" t="e">
        <f>Q174-#REF!</f>
        <v>#REF!</v>
      </c>
      <c r="X174" s="439">
        <v>45536</v>
      </c>
      <c r="Y174" s="439">
        <v>45565</v>
      </c>
      <c r="Z174" s="66" t="e">
        <f t="shared" si="116"/>
        <v>#N/A</v>
      </c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330"/>
    </row>
    <row r="175" spans="2:57" s="331" customFormat="1" x14ac:dyDescent="0.3">
      <c r="B175" s="351"/>
      <c r="C175" s="334"/>
      <c r="D175" s="335"/>
      <c r="E175" s="336"/>
      <c r="F175" s="337"/>
      <c r="G175" s="322"/>
      <c r="H175" s="322"/>
      <c r="I175" s="347"/>
      <c r="J175" s="338" t="e">
        <f>VLOOKUP(I175,Лист5!$C$2:$F$22,4,0)</f>
        <v>#N/A</v>
      </c>
      <c r="K175" s="339">
        <v>100</v>
      </c>
      <c r="L175" s="339"/>
      <c r="M175" s="339"/>
      <c r="N175" s="339"/>
      <c r="O175" s="340">
        <f t="shared" si="117"/>
        <v>0</v>
      </c>
      <c r="P175" s="331">
        <f t="shared" si="118"/>
        <v>0</v>
      </c>
      <c r="Q175" s="349"/>
      <c r="R175" s="341"/>
      <c r="S175" s="341"/>
      <c r="T175" s="341"/>
      <c r="U175" s="342"/>
      <c r="V175" s="416"/>
      <c r="W175" s="418" t="e">
        <f>Q175-#REF!</f>
        <v>#REF!</v>
      </c>
      <c r="X175" s="439">
        <v>45536</v>
      </c>
      <c r="Y175" s="439">
        <v>45565</v>
      </c>
      <c r="Z175" s="66" t="e">
        <f t="shared" si="116"/>
        <v>#N/A</v>
      </c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330"/>
    </row>
    <row r="176" spans="2:57" s="352" customFormat="1" x14ac:dyDescent="0.3">
      <c r="B176" s="351">
        <v>19</v>
      </c>
      <c r="C176" s="334"/>
      <c r="D176" s="335"/>
      <c r="E176" s="336"/>
      <c r="F176" s="337"/>
      <c r="G176" s="322"/>
      <c r="H176" s="322"/>
      <c r="I176" s="335"/>
      <c r="J176" s="338" t="e">
        <f>VLOOKUP(I176,Лист5!$C$2:$F$22,4,0)</f>
        <v>#N/A</v>
      </c>
      <c r="K176" s="339">
        <v>100</v>
      </c>
      <c r="L176" s="339"/>
      <c r="M176" s="339"/>
      <c r="N176" s="339"/>
      <c r="O176" s="340">
        <f t="shared" si="117"/>
        <v>0</v>
      </c>
      <c r="P176" s="352">
        <f t="shared" si="118"/>
        <v>0</v>
      </c>
      <c r="Q176" s="327"/>
      <c r="R176" s="341"/>
      <c r="S176" s="341"/>
      <c r="T176" s="341"/>
      <c r="U176" s="342"/>
      <c r="V176" s="416"/>
      <c r="W176" s="418" t="e">
        <f>Q176-#REF!</f>
        <v>#REF!</v>
      </c>
      <c r="X176" s="439">
        <v>45536</v>
      </c>
      <c r="Y176" s="439">
        <v>45565</v>
      </c>
      <c r="Z176" s="66" t="e">
        <f t="shared" si="116"/>
        <v>#N/A</v>
      </c>
      <c r="AA176" s="441"/>
      <c r="AB176" s="441"/>
      <c r="AC176" s="441"/>
      <c r="AD176" s="441"/>
      <c r="AE176" s="441"/>
      <c r="AF176" s="441"/>
      <c r="AG176" s="441"/>
      <c r="AH176" s="441"/>
      <c r="AI176" s="441"/>
      <c r="AJ176" s="441"/>
      <c r="AK176" s="441"/>
      <c r="AL176" s="441"/>
      <c r="AM176" s="441"/>
      <c r="AN176" s="441"/>
      <c r="AO176" s="441"/>
      <c r="AP176" s="441"/>
      <c r="AQ176" s="441"/>
      <c r="AR176" s="441"/>
      <c r="AS176" s="441"/>
      <c r="AT176" s="441"/>
      <c r="AU176" s="441"/>
      <c r="AV176" s="441"/>
      <c r="AW176" s="441"/>
      <c r="AX176" s="441"/>
      <c r="AY176" s="441"/>
      <c r="AZ176" s="441"/>
      <c r="BA176" s="441"/>
      <c r="BB176" s="441"/>
      <c r="BC176" s="441"/>
      <c r="BD176" s="441"/>
      <c r="BE176" s="427"/>
    </row>
    <row r="177" spans="1:64" s="331" customFormat="1" x14ac:dyDescent="0.3">
      <c r="B177" s="343">
        <v>20</v>
      </c>
      <c r="C177" s="334"/>
      <c r="D177" s="335"/>
      <c r="E177" s="336"/>
      <c r="F177" s="337"/>
      <c r="G177" s="322"/>
      <c r="H177" s="322"/>
      <c r="I177" s="322"/>
      <c r="J177" s="338" t="e">
        <f>VLOOKUP(I177,Лист5!$C$2:$F$22,4,0)</f>
        <v>#N/A</v>
      </c>
      <c r="K177" s="339">
        <v>100</v>
      </c>
      <c r="L177" s="339"/>
      <c r="M177" s="339"/>
      <c r="N177" s="339"/>
      <c r="O177" s="340">
        <f t="shared" si="117"/>
        <v>0</v>
      </c>
      <c r="P177" s="331">
        <f t="shared" si="118"/>
        <v>0</v>
      </c>
      <c r="Q177" s="327"/>
      <c r="R177" s="341"/>
      <c r="S177" s="341"/>
      <c r="T177" s="341"/>
      <c r="U177" s="342"/>
      <c r="V177" s="416"/>
      <c r="W177" s="418" t="e">
        <f>Q177-#REF!</f>
        <v>#REF!</v>
      </c>
      <c r="X177" s="439">
        <v>45536</v>
      </c>
      <c r="Y177" s="439">
        <v>45565</v>
      </c>
      <c r="Z177" s="66" t="e">
        <f t="shared" si="116"/>
        <v>#N/A</v>
      </c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330"/>
    </row>
    <row r="178" spans="1:64" s="331" customFormat="1" x14ac:dyDescent="0.3">
      <c r="B178" s="343">
        <v>21</v>
      </c>
      <c r="C178" s="334"/>
      <c r="D178" s="335"/>
      <c r="E178" s="336"/>
      <c r="F178" s="322"/>
      <c r="G178" s="322"/>
      <c r="H178" s="322"/>
      <c r="I178" s="322"/>
      <c r="J178" s="338" t="e">
        <f>VLOOKUP(I178,Лист5!$C$2:$F$22,4,0)</f>
        <v>#N/A</v>
      </c>
      <c r="K178" s="339">
        <v>100</v>
      </c>
      <c r="L178" s="339"/>
      <c r="M178" s="339"/>
      <c r="N178" s="339"/>
      <c r="O178" s="340">
        <f t="shared" ref="O178:O179" si="119">F178-L178-M178</f>
        <v>0</v>
      </c>
      <c r="P178" s="331">
        <f t="shared" ref="P178:P179" si="120">L178+M178</f>
        <v>0</v>
      </c>
      <c r="Q178" s="327"/>
      <c r="R178" s="341"/>
      <c r="S178" s="341"/>
      <c r="T178" s="341"/>
      <c r="U178" s="341"/>
      <c r="V178" s="416"/>
      <c r="W178" s="418" t="e">
        <f>Q178-#REF!</f>
        <v>#REF!</v>
      </c>
      <c r="X178" s="439">
        <v>45536</v>
      </c>
      <c r="Y178" s="439">
        <v>45565</v>
      </c>
      <c r="Z178" s="66" t="e">
        <f t="shared" si="116"/>
        <v>#N/A</v>
      </c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330"/>
    </row>
    <row r="179" spans="1:64" s="315" customFormat="1" ht="15" thickBot="1" x14ac:dyDescent="0.35">
      <c r="A179" s="332"/>
      <c r="B179" s="217"/>
      <c r="C179" s="296"/>
      <c r="D179" s="297"/>
      <c r="E179" s="298"/>
      <c r="F179" s="299"/>
      <c r="G179" s="78"/>
      <c r="H179" s="78"/>
      <c r="I179" s="78"/>
      <c r="J179" s="130"/>
      <c r="K179" s="79"/>
      <c r="L179" s="79"/>
      <c r="M179" s="79"/>
      <c r="N179" s="79"/>
      <c r="O179" s="306">
        <f t="shared" si="119"/>
        <v>0</v>
      </c>
      <c r="P179" s="226">
        <f t="shared" si="120"/>
        <v>0</v>
      </c>
      <c r="Q179" s="279"/>
      <c r="R179" s="110"/>
      <c r="S179" s="110"/>
      <c r="T179" s="110"/>
      <c r="U179" s="110"/>
      <c r="V179" s="418">
        <f t="shared" ref="V179" si="121">Q179-T179</f>
        <v>0</v>
      </c>
      <c r="W179" s="418" t="e">
        <f>Q179-#REF!</f>
        <v>#REF!</v>
      </c>
      <c r="X179" s="439">
        <v>45536</v>
      </c>
      <c r="Y179" s="439">
        <v>45565</v>
      </c>
      <c r="Z179" s="66" t="str">
        <f t="shared" si="116"/>
        <v>ЗП за 01.10.2024 - 30.09.2024
0 год.роботи х  грн. + 0 год.ТО и заправки х  грн. = 
До виплати  грн.</v>
      </c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333"/>
    </row>
    <row r="180" spans="1:64" s="212" customFormat="1" ht="15" thickBot="1" x14ac:dyDescent="0.35">
      <c r="B180" s="231"/>
      <c r="C180" s="210"/>
      <c r="D180" s="213"/>
      <c r="E180" s="214"/>
      <c r="F180" s="209"/>
      <c r="G180" s="209"/>
      <c r="H180" s="209"/>
      <c r="I180" s="209"/>
      <c r="J180" s="227"/>
      <c r="K180" s="215"/>
      <c r="L180" s="215"/>
      <c r="M180" s="215"/>
      <c r="N180" s="215"/>
      <c r="O180" s="270"/>
      <c r="P180" s="226"/>
      <c r="Q180" s="283"/>
      <c r="R180" s="211"/>
      <c r="S180" s="211"/>
      <c r="T180" s="211"/>
      <c r="U180" s="211"/>
      <c r="V180" s="416"/>
      <c r="W180" s="418" t="e">
        <f>Q180-#REF!</f>
        <v>#REF!</v>
      </c>
      <c r="X180" s="439">
        <v>45536</v>
      </c>
      <c r="Y180" s="439">
        <v>45565</v>
      </c>
      <c r="Z180" s="66" t="str">
        <f t="shared" si="116"/>
        <v>ЗП за 01.10.2024 - 30.09.2024
 год.роботи х  грн. + 0 год.ТО и заправки х  грн. = 
До виплати  грн.</v>
      </c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237"/>
    </row>
    <row r="181" spans="1:64" s="212" customFormat="1" ht="15" thickBot="1" x14ac:dyDescent="0.35">
      <c r="B181" s="231"/>
      <c r="C181" s="210"/>
      <c r="D181" s="210"/>
      <c r="E181" s="214"/>
      <c r="F181" s="209"/>
      <c r="G181" s="209"/>
      <c r="H181" s="209"/>
      <c r="I181" s="209"/>
      <c r="J181" s="227"/>
      <c r="K181" s="215"/>
      <c r="L181" s="215"/>
      <c r="M181" s="215"/>
      <c r="N181" s="215"/>
      <c r="O181" s="270"/>
      <c r="P181" s="226"/>
      <c r="Q181" s="283"/>
      <c r="R181" s="211"/>
      <c r="S181" s="211"/>
      <c r="T181" s="211"/>
      <c r="U181" s="211"/>
      <c r="V181" s="416"/>
      <c r="W181" s="418"/>
      <c r="X181" s="439">
        <v>45536</v>
      </c>
      <c r="Y181" s="439">
        <v>45565</v>
      </c>
      <c r="Z181" s="66" t="str">
        <f t="shared" si="116"/>
        <v>ЗП за 01.10.2024 - 30.09.2024
 год.роботи х  грн. + 0 год.ТО и заправки х  грн. = 
До виплати  грн.</v>
      </c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237"/>
    </row>
    <row r="182" spans="1:64" s="212" customFormat="1" x14ac:dyDescent="0.3">
      <c r="B182" s="231"/>
      <c r="C182" s="210"/>
      <c r="D182" s="210"/>
      <c r="E182" s="214"/>
      <c r="F182" s="209"/>
      <c r="G182" s="209"/>
      <c r="H182" s="209"/>
      <c r="I182" s="209"/>
      <c r="J182" s="227"/>
      <c r="K182" s="215"/>
      <c r="L182" s="215"/>
      <c r="M182" s="215"/>
      <c r="N182" s="215"/>
      <c r="O182" s="270"/>
      <c r="P182" s="226"/>
      <c r="Q182" s="283"/>
      <c r="R182" s="211"/>
      <c r="S182" s="211"/>
      <c r="T182" s="211"/>
      <c r="U182" s="211"/>
      <c r="V182" s="416"/>
      <c r="W182" s="418"/>
      <c r="X182" s="439"/>
      <c r="Y182" s="439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237"/>
    </row>
    <row r="183" spans="1:64" s="216" customFormat="1" ht="27.6" customHeight="1" x14ac:dyDescent="0.3">
      <c r="B183" s="231"/>
      <c r="C183" s="232" t="s">
        <v>468</v>
      </c>
      <c r="D183" s="232"/>
      <c r="E183" s="233">
        <f>SUM(E135:E182)</f>
        <v>169353.33000000002</v>
      </c>
      <c r="F183" s="234">
        <f>SUM(F135:F182)</f>
        <v>3406</v>
      </c>
      <c r="G183" s="234"/>
      <c r="H183" s="234"/>
      <c r="I183" s="234"/>
      <c r="J183" s="235"/>
      <c r="K183" s="235"/>
      <c r="L183" s="236">
        <f>SUM(L135:L182)</f>
        <v>365</v>
      </c>
      <c r="M183" s="236">
        <f>SUM(M135:M182)</f>
        <v>74</v>
      </c>
      <c r="N183" s="236"/>
      <c r="O183" s="271">
        <f>SUM(O135:O182)</f>
        <v>2967</v>
      </c>
      <c r="P183" s="225"/>
      <c r="Q183" s="285">
        <f t="shared" ref="Q183:T183" si="122">SUM(Q135:Q165)</f>
        <v>727893.07692307688</v>
      </c>
      <c r="R183" s="285">
        <f t="shared" si="122"/>
        <v>30904.129999999997</v>
      </c>
      <c r="S183" s="285">
        <f t="shared" si="122"/>
        <v>27392.299349999998</v>
      </c>
      <c r="T183" s="285">
        <f t="shared" si="122"/>
        <v>113081.03065</v>
      </c>
      <c r="U183" s="285">
        <f>SUM(U135:U165)</f>
        <v>-171377.46</v>
      </c>
      <c r="V183" s="419">
        <f>SUM(V135:V165)</f>
        <v>614812.04627307691</v>
      </c>
      <c r="W183" s="431"/>
      <c r="X183" s="107"/>
      <c r="Y183" s="107"/>
      <c r="Z183" s="66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238"/>
    </row>
    <row r="184" spans="1:64" x14ac:dyDescent="0.3">
      <c r="O184" s="174"/>
      <c r="Q184" s="132"/>
      <c r="T184" s="174" t="e">
        <f>T183-#REF!</f>
        <v>#REF!</v>
      </c>
      <c r="V184" s="183" t="e">
        <f>#REF!-#REF!-'МЕХАНИЗАТОРЫ ноябрь'!V183</f>
        <v>#REF!</v>
      </c>
      <c r="W184" s="183"/>
    </row>
    <row r="185" spans="1:64" outlineLevel="1" x14ac:dyDescent="0.3">
      <c r="Q185" s="174"/>
      <c r="R185" s="132">
        <f>R163+R164</f>
        <v>0</v>
      </c>
      <c r="S185" s="132">
        <f>S163+S164</f>
        <v>0</v>
      </c>
      <c r="T185" s="132" t="e">
        <f>W163+W164</f>
        <v>#REF!</v>
      </c>
      <c r="U185" s="132">
        <f>U140+U142</f>
        <v>-17377.39</v>
      </c>
      <c r="V185" s="132"/>
      <c r="W185" s="132"/>
    </row>
    <row r="186" spans="1:64" outlineLevel="1" x14ac:dyDescent="0.3">
      <c r="D186" s="175" t="s">
        <v>485</v>
      </c>
      <c r="E186" s="176"/>
      <c r="F186" s="402">
        <v>9500</v>
      </c>
      <c r="G186" s="239">
        <f>F186*1.22</f>
        <v>11590</v>
      </c>
      <c r="H186" s="239"/>
      <c r="U186" s="132"/>
    </row>
    <row r="187" spans="1:64" outlineLevel="1" x14ac:dyDescent="0.3">
      <c r="D187" s="175" t="s">
        <v>596</v>
      </c>
      <c r="E187" s="176"/>
      <c r="F187" s="402">
        <v>9500</v>
      </c>
      <c r="G187" s="239">
        <f t="shared" ref="G187:G205" si="123">F187*1.22</f>
        <v>11590</v>
      </c>
      <c r="H187" s="239"/>
      <c r="Q187" s="286">
        <v>9040</v>
      </c>
      <c r="R187" s="184">
        <f>ROUND(E159*(Q187/(SUM(Q187:Q187)))*0.22,2)</f>
        <v>1094.76</v>
      </c>
      <c r="S187" s="184">
        <f>ROUND(E159*(Q187/(SUM(Q187:Q187)))*0.195,2)</f>
        <v>970.36</v>
      </c>
      <c r="T187" s="229" t="e">
        <f>E159*Q187/(Q187+#REF!)-S187</f>
        <v>#REF!</v>
      </c>
    </row>
    <row r="188" spans="1:64" outlineLevel="1" x14ac:dyDescent="0.3">
      <c r="D188" s="175" t="s">
        <v>191</v>
      </c>
      <c r="E188" s="176"/>
      <c r="F188" s="309">
        <v>9880</v>
      </c>
      <c r="G188" s="239">
        <f>F188*1.22</f>
        <v>12053.6</v>
      </c>
      <c r="H188" s="239"/>
    </row>
    <row r="189" spans="1:64" outlineLevel="1" x14ac:dyDescent="0.3">
      <c r="D189" s="175" t="s">
        <v>568</v>
      </c>
      <c r="E189" s="176"/>
      <c r="F189" s="402">
        <v>4976.1899999999996</v>
      </c>
      <c r="G189" s="239">
        <f t="shared" si="123"/>
        <v>6070.9517999999998</v>
      </c>
      <c r="H189" s="239"/>
    </row>
    <row r="190" spans="1:64" outlineLevel="1" x14ac:dyDescent="0.3">
      <c r="D190" s="175" t="s">
        <v>609</v>
      </c>
      <c r="E190" s="176"/>
      <c r="F190" s="309">
        <v>9500</v>
      </c>
      <c r="G190" s="239">
        <f t="shared" si="123"/>
        <v>11590</v>
      </c>
      <c r="H190" s="239"/>
    </row>
    <row r="191" spans="1:64" outlineLevel="1" x14ac:dyDescent="0.3">
      <c r="D191" s="175" t="s">
        <v>192</v>
      </c>
      <c r="E191" s="176"/>
      <c r="F191" s="402">
        <v>9500</v>
      </c>
      <c r="G191" s="239">
        <f t="shared" si="123"/>
        <v>11590</v>
      </c>
      <c r="H191" s="239"/>
    </row>
    <row r="192" spans="1:64" outlineLevel="1" x14ac:dyDescent="0.3">
      <c r="D192" s="175" t="s">
        <v>582</v>
      </c>
      <c r="E192" s="185"/>
      <c r="F192" s="402">
        <v>0</v>
      </c>
      <c r="G192" s="239">
        <f>F192*1.22</f>
        <v>0</v>
      </c>
      <c r="H192" s="239"/>
    </row>
    <row r="193" spans="4:21" outlineLevel="1" x14ac:dyDescent="0.3">
      <c r="D193" s="175" t="s">
        <v>589</v>
      </c>
      <c r="E193" s="176"/>
      <c r="F193" s="309">
        <v>9500</v>
      </c>
      <c r="G193" s="239">
        <f t="shared" si="123"/>
        <v>11590</v>
      </c>
      <c r="H193" s="239"/>
    </row>
    <row r="194" spans="4:21" outlineLevel="1" x14ac:dyDescent="0.3">
      <c r="D194" s="175" t="s">
        <v>193</v>
      </c>
      <c r="E194" s="176"/>
      <c r="F194" s="402">
        <v>9500</v>
      </c>
      <c r="G194" s="239">
        <f t="shared" si="123"/>
        <v>11590</v>
      </c>
      <c r="H194" s="239"/>
    </row>
    <row r="195" spans="4:21" outlineLevel="1" x14ac:dyDescent="0.3">
      <c r="D195" s="175" t="s">
        <v>545</v>
      </c>
      <c r="E195" s="176"/>
      <c r="F195" s="402">
        <v>9500</v>
      </c>
      <c r="G195" s="239">
        <f t="shared" si="123"/>
        <v>11590</v>
      </c>
      <c r="H195" s="239"/>
      <c r="I195" s="244">
        <f>G195+G196</f>
        <v>23180</v>
      </c>
    </row>
    <row r="196" spans="4:21" outlineLevel="1" x14ac:dyDescent="0.3">
      <c r="D196" s="175" t="s">
        <v>368</v>
      </c>
      <c r="E196" s="176"/>
      <c r="F196" s="402">
        <v>9500</v>
      </c>
      <c r="G196" s="239">
        <f t="shared" si="123"/>
        <v>11590</v>
      </c>
      <c r="H196" s="239"/>
    </row>
    <row r="197" spans="4:21" outlineLevel="1" x14ac:dyDescent="0.3">
      <c r="D197" s="175" t="s">
        <v>356</v>
      </c>
      <c r="E197" s="176"/>
      <c r="F197" s="402">
        <v>9500</v>
      </c>
      <c r="G197" s="239">
        <f t="shared" si="123"/>
        <v>11590</v>
      </c>
      <c r="H197" s="239"/>
      <c r="U197" s="132"/>
    </row>
    <row r="198" spans="4:21" outlineLevel="1" x14ac:dyDescent="0.3">
      <c r="D198" s="175" t="s">
        <v>560</v>
      </c>
      <c r="E198" s="186"/>
      <c r="F198" s="310">
        <v>9880</v>
      </c>
      <c r="G198" s="239">
        <f t="shared" si="123"/>
        <v>12053.6</v>
      </c>
      <c r="H198" s="239"/>
    </row>
    <row r="199" spans="4:21" outlineLevel="1" x14ac:dyDescent="0.3">
      <c r="D199" s="175" t="s">
        <v>610</v>
      </c>
      <c r="E199" s="176"/>
      <c r="F199" s="309">
        <v>1357.14</v>
      </c>
      <c r="G199" s="239">
        <f>F199*1.22</f>
        <v>1655.7108000000001</v>
      </c>
      <c r="H199" s="239"/>
    </row>
    <row r="200" spans="4:21" outlineLevel="1" x14ac:dyDescent="0.3">
      <c r="D200" s="175" t="s">
        <v>561</v>
      </c>
      <c r="E200" s="176"/>
      <c r="F200" s="402">
        <v>9500</v>
      </c>
      <c r="G200" s="239">
        <f t="shared" si="123"/>
        <v>11590</v>
      </c>
      <c r="H200" s="239"/>
    </row>
    <row r="201" spans="4:21" outlineLevel="1" x14ac:dyDescent="0.3">
      <c r="D201" s="175" t="s">
        <v>611</v>
      </c>
      <c r="E201" s="176"/>
      <c r="F201" s="309">
        <v>9880</v>
      </c>
      <c r="G201" s="239">
        <f t="shared" si="123"/>
        <v>12053.6</v>
      </c>
      <c r="H201" s="239"/>
    </row>
    <row r="202" spans="4:21" outlineLevel="1" x14ac:dyDescent="0.3">
      <c r="D202" s="175" t="s">
        <v>591</v>
      </c>
      <c r="E202" s="176"/>
      <c r="F202" s="403">
        <v>9500</v>
      </c>
      <c r="G202" s="239">
        <f t="shared" si="123"/>
        <v>11590</v>
      </c>
      <c r="H202" s="239"/>
    </row>
    <row r="203" spans="4:21" outlineLevel="1" x14ac:dyDescent="0.3">
      <c r="D203" s="175" t="s">
        <v>592</v>
      </c>
      <c r="E203" s="176"/>
      <c r="F203" s="402">
        <v>9500</v>
      </c>
      <c r="G203" s="239">
        <f t="shared" si="123"/>
        <v>11590</v>
      </c>
      <c r="H203" s="239"/>
    </row>
    <row r="204" spans="4:21" x14ac:dyDescent="0.3">
      <c r="D204" s="175" t="s">
        <v>593</v>
      </c>
      <c r="E204" s="176"/>
      <c r="F204" s="177">
        <v>0</v>
      </c>
      <c r="G204" s="239">
        <f t="shared" si="123"/>
        <v>0</v>
      </c>
    </row>
    <row r="205" spans="4:21" x14ac:dyDescent="0.3">
      <c r="D205" s="175" t="s">
        <v>612</v>
      </c>
      <c r="E205" s="176"/>
      <c r="F205" s="177">
        <v>9500</v>
      </c>
      <c r="G205" s="188">
        <f t="shared" si="123"/>
        <v>11590</v>
      </c>
    </row>
  </sheetData>
  <autoFilter ref="B134:AB183" xr:uid="{00000000-0009-0000-0000-000012000000}"/>
  <mergeCells count="21">
    <mergeCell ref="B151:B152"/>
    <mergeCell ref="B59:B60"/>
    <mergeCell ref="E59:E60"/>
    <mergeCell ref="B82:V82"/>
    <mergeCell ref="B87:B88"/>
    <mergeCell ref="E89:E90"/>
    <mergeCell ref="B100:B101"/>
    <mergeCell ref="E100:E101"/>
    <mergeCell ref="B131:V131"/>
    <mergeCell ref="B89:B90"/>
    <mergeCell ref="B138:B139"/>
    <mergeCell ref="B140:B141"/>
    <mergeCell ref="B145:B146"/>
    <mergeCell ref="B149:B150"/>
    <mergeCell ref="B53:V53"/>
    <mergeCell ref="E87:E88"/>
    <mergeCell ref="B4:V4"/>
    <mergeCell ref="B27:V27"/>
    <mergeCell ref="B32:B33"/>
    <mergeCell ref="B38:B39"/>
    <mergeCell ref="B45:B46"/>
  </mergeCells>
  <pageMargins left="0.70866141732283472" right="0.38" top="0.74803149606299213" bottom="0.74803149606299213" header="0.31496062992125984" footer="0.31496062992125984"/>
  <pageSetup paperSize="9" scale="22" orientation="landscape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'C:\Users\user\Desktop\Новая папка\рапорт+табель+топливо\Март\[ТабельСпецтехники.xlsx]ИНФО_СПЕЦТЕХНИКА'!#REF!</xm:f>
          </x14:formula1>
          <xm:sqref>I86:I107 I135:I182</xm:sqref>
        </x14:dataValidation>
        <x14:dataValidation type="list" allowBlank="1" showInputMessage="1" showErrorMessage="1" xr:uid="{00000000-0002-0000-1200-000001000000}">
          <x14:formula1>
            <xm:f>'C:\Users\user\Desktop\Новая папка\рапорт+табель+топливо\Март\[ТабельСпецтехники.xlsx]ИНФО_СПЕЦТЕХНИКА'!#REF!</xm:f>
          </x14:formula1>
          <xm:sqref>I30:I47 I57:I76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U5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9" sqref="C9"/>
    </sheetView>
  </sheetViews>
  <sheetFormatPr defaultRowHeight="14.4" outlineLevelRow="1" outlineLevelCol="1" x14ac:dyDescent="0.3"/>
  <cols>
    <col min="1" max="1" width="10.33203125" customWidth="1"/>
    <col min="2" max="2" width="24.109375" style="24" customWidth="1"/>
    <col min="3" max="4" width="12.21875" style="24" customWidth="1"/>
    <col min="5" max="9" width="12.21875" style="24" customWidth="1" outlineLevel="1"/>
    <col min="10" max="12" width="12.21875" style="24" customWidth="1"/>
    <col min="13" max="13" width="28.5546875" style="24" customWidth="1"/>
    <col min="14" max="14" width="24.77734375" style="24" customWidth="1"/>
    <col min="15" max="15" width="16.88671875" style="24" customWidth="1"/>
    <col min="16" max="16" width="12.21875" style="24" customWidth="1"/>
    <col min="17" max="17" width="8.88671875" style="24" customWidth="1"/>
    <col min="18" max="19" width="8.88671875" style="24" hidden="1" customWidth="1"/>
    <col min="20" max="20" width="8.88671875" hidden="1" customWidth="1" collapsed="1"/>
    <col min="21" max="26" width="8.88671875" customWidth="1"/>
  </cols>
  <sheetData>
    <row r="2" spans="1:21" s="27" customFormat="1" x14ac:dyDescent="0.3">
      <c r="B2" s="311"/>
      <c r="C2" s="311"/>
      <c r="D2" s="311"/>
      <c r="E2" s="312">
        <f>SUM(E4:E40)</f>
        <v>2216</v>
      </c>
      <c r="F2" s="312">
        <f>SUM(F4:F40)</f>
        <v>1987</v>
      </c>
      <c r="G2" s="312">
        <f>SUM(G4:G40)</f>
        <v>229</v>
      </c>
      <c r="H2" s="311"/>
      <c r="I2" s="311"/>
      <c r="J2" s="312">
        <f>SUM(J4:J38)</f>
        <v>472770</v>
      </c>
      <c r="K2" s="311"/>
      <c r="L2" s="311"/>
      <c r="M2" s="311"/>
      <c r="N2" s="311"/>
      <c r="O2" s="311"/>
      <c r="P2" s="311"/>
      <c r="Q2" s="311"/>
      <c r="R2" s="311"/>
      <c r="S2" s="311"/>
      <c r="U2" s="45" t="s">
        <v>619</v>
      </c>
    </row>
    <row r="3" spans="1:21" s="27" customFormat="1" ht="43.8" thickBot="1" x14ac:dyDescent="0.35">
      <c r="A3" s="466" t="s">
        <v>63</v>
      </c>
      <c r="B3" s="467" t="s">
        <v>60</v>
      </c>
      <c r="C3" s="468" t="s">
        <v>358</v>
      </c>
      <c r="D3" s="467" t="s">
        <v>357</v>
      </c>
      <c r="E3" s="467" t="s">
        <v>79</v>
      </c>
      <c r="F3" s="467" t="s">
        <v>81</v>
      </c>
      <c r="G3" s="467" t="s">
        <v>82</v>
      </c>
      <c r="H3" s="467" t="s">
        <v>78</v>
      </c>
      <c r="I3" s="467" t="s">
        <v>80</v>
      </c>
      <c r="J3" s="467" t="s">
        <v>62</v>
      </c>
      <c r="K3" s="467" t="s">
        <v>359</v>
      </c>
      <c r="L3" s="467" t="s">
        <v>618</v>
      </c>
      <c r="M3" s="467" t="s">
        <v>65</v>
      </c>
      <c r="N3" s="467" t="s">
        <v>471</v>
      </c>
      <c r="O3" s="467" t="s">
        <v>61</v>
      </c>
      <c r="P3" s="468" t="s">
        <v>216</v>
      </c>
      <c r="Q3" s="311"/>
      <c r="R3" s="311"/>
      <c r="S3" s="311"/>
      <c r="U3" t="s">
        <v>620</v>
      </c>
    </row>
    <row r="4" spans="1:21" x14ac:dyDescent="0.3">
      <c r="A4" s="240">
        <v>958</v>
      </c>
      <c r="B4" s="241" t="s">
        <v>590</v>
      </c>
      <c r="C4" s="258">
        <v>40</v>
      </c>
      <c r="D4" s="48">
        <v>48540</v>
      </c>
      <c r="E4" s="313">
        <v>215</v>
      </c>
      <c r="F4" s="254">
        <v>208</v>
      </c>
      <c r="G4" s="241">
        <v>7</v>
      </c>
      <c r="H4" s="241">
        <v>230</v>
      </c>
      <c r="I4" s="241">
        <v>100</v>
      </c>
      <c r="J4" s="48">
        <f t="shared" ref="J4:J12" si="0">F4*H4+G4*I4</f>
        <v>48540</v>
      </c>
      <c r="K4" s="255">
        <f t="shared" ref="K4:K37" si="1">J4-D4</f>
        <v>0</v>
      </c>
      <c r="L4" s="256">
        <v>7700</v>
      </c>
      <c r="M4" s="257" t="s">
        <v>559</v>
      </c>
      <c r="N4" s="254" t="s">
        <v>67</v>
      </c>
      <c r="O4" s="523">
        <f>ROUND(C4+D4-L4,-2)</f>
        <v>40900</v>
      </c>
      <c r="P4" s="258">
        <f>C4+D4-L4-O4</f>
        <v>-20</v>
      </c>
      <c r="Q4" s="25" t="s">
        <v>628</v>
      </c>
      <c r="R4" s="25"/>
      <c r="S4" s="242"/>
      <c r="T4" s="13"/>
      <c r="U4" t="str">
        <f t="shared" ref="U4:U39" si="2">B4&amp;" ЗП "&amp;$U$3&amp;F4&amp;" год. роботи*"&amp;H4&amp;") + ТО "&amp;G4&amp;" год.*100="&amp;TEXT(J4,"# #0,00")&amp;" ФОТ "&amp;$U$2&amp;TEXT(L4,"# #0,00")&amp;". Борг компании: "&amp;TEXT(P4,"# #0,00")&amp;". До виплати - "&amp;TEXT(O4,"# #0,00")&amp;" грн."</f>
        <v>Василиу Р.Г. ЗП с 01.01-31.01(208 год. роботи*230) + ТО 7 год.*100=48 540,00 ФОТ Січень 2025 = 7 700,00. Борг компании: -20,00. До виплати - 40 900,00 грн.</v>
      </c>
    </row>
    <row r="5" spans="1:21" x14ac:dyDescent="0.3">
      <c r="A5" s="240">
        <v>961</v>
      </c>
      <c r="B5" s="473" t="s">
        <v>600</v>
      </c>
      <c r="C5" s="602">
        <v>20</v>
      </c>
      <c r="D5" s="48">
        <v>9070</v>
      </c>
      <c r="E5" s="470">
        <v>40</v>
      </c>
      <c r="F5" s="254">
        <v>39</v>
      </c>
      <c r="G5" s="241">
        <v>1</v>
      </c>
      <c r="H5" s="241">
        <v>230</v>
      </c>
      <c r="I5" s="241">
        <v>100</v>
      </c>
      <c r="J5" s="48">
        <f t="shared" si="0"/>
        <v>9070</v>
      </c>
      <c r="K5" s="255">
        <f t="shared" si="1"/>
        <v>0</v>
      </c>
      <c r="L5" s="256">
        <v>0</v>
      </c>
      <c r="M5" s="257" t="s">
        <v>559</v>
      </c>
      <c r="N5" s="254" t="s">
        <v>76</v>
      </c>
      <c r="O5" s="523">
        <f t="shared" ref="O5:O25" si="3">ROUND(C5+D5-L5,-2)</f>
        <v>9100</v>
      </c>
      <c r="P5" s="602">
        <f>C5+D5+D6-L5-O5-O6</f>
        <v>10</v>
      </c>
      <c r="Q5" s="25"/>
      <c r="R5" s="25"/>
      <c r="S5" s="242"/>
      <c r="T5" s="13"/>
      <c r="U5" t="str">
        <f t="shared" si="2"/>
        <v>Зубко О.В. ЗП с 01.01-31.01(39 год. роботи*230) + ТО 1 год.*100=9 070,00 ФОТ Січень 2025 = 0,00. Борг компании: 10,00. До виплати - 9 100,00 грн.</v>
      </c>
    </row>
    <row r="6" spans="1:21" ht="19.2" customHeight="1" x14ac:dyDescent="0.3">
      <c r="A6" s="240">
        <v>960</v>
      </c>
      <c r="B6" s="469" t="s">
        <v>600</v>
      </c>
      <c r="C6" s="603"/>
      <c r="D6" s="48">
        <v>34620</v>
      </c>
      <c r="E6" s="470">
        <v>159</v>
      </c>
      <c r="F6" s="254">
        <v>144</v>
      </c>
      <c r="G6" s="241">
        <v>15</v>
      </c>
      <c r="H6" s="241">
        <v>230</v>
      </c>
      <c r="I6" s="241">
        <v>100</v>
      </c>
      <c r="J6" s="48">
        <f t="shared" si="0"/>
        <v>34620</v>
      </c>
      <c r="K6" s="255">
        <f t="shared" si="1"/>
        <v>0</v>
      </c>
      <c r="L6" s="256">
        <v>0</v>
      </c>
      <c r="M6" s="257" t="s">
        <v>559</v>
      </c>
      <c r="N6" s="254" t="s">
        <v>72</v>
      </c>
      <c r="O6" s="523">
        <f t="shared" si="3"/>
        <v>34600</v>
      </c>
      <c r="P6" s="603"/>
      <c r="Q6" s="25" t="s">
        <v>599</v>
      </c>
      <c r="R6" s="25"/>
      <c r="S6" s="242"/>
      <c r="T6" s="13"/>
      <c r="U6" t="str">
        <f t="shared" si="2"/>
        <v>Зубко О.В. ЗП с 01.01-31.01(144 год. роботи*230) + ТО 15 год.*100=34 620,00 ФОТ Січень 2025 = 0,00. Борг компании: 0,00. До виплати - 34 600,00 грн.</v>
      </c>
    </row>
    <row r="7" spans="1:21" ht="16.2" customHeight="1" x14ac:dyDescent="0.3">
      <c r="A7" s="240">
        <v>959</v>
      </c>
      <c r="B7" s="469" t="s">
        <v>616</v>
      </c>
      <c r="C7" s="258">
        <v>0</v>
      </c>
      <c r="D7" s="48">
        <v>30150</v>
      </c>
      <c r="E7" s="470">
        <v>139</v>
      </c>
      <c r="F7" s="254">
        <v>125</v>
      </c>
      <c r="G7" s="241">
        <v>14</v>
      </c>
      <c r="H7" s="241">
        <v>230</v>
      </c>
      <c r="I7" s="241">
        <v>100</v>
      </c>
      <c r="J7" s="48">
        <f t="shared" si="0"/>
        <v>30150</v>
      </c>
      <c r="K7" s="255">
        <f t="shared" si="1"/>
        <v>0</v>
      </c>
      <c r="L7" s="256">
        <v>0</v>
      </c>
      <c r="M7" s="257" t="s">
        <v>559</v>
      </c>
      <c r="N7" s="254" t="s">
        <v>76</v>
      </c>
      <c r="O7" s="523">
        <f t="shared" si="3"/>
        <v>30200</v>
      </c>
      <c r="P7" s="258">
        <f>C7+D7-L7-O7</f>
        <v>-50</v>
      </c>
      <c r="Q7" s="25" t="s">
        <v>599</v>
      </c>
      <c r="R7" s="25"/>
      <c r="S7" s="242"/>
      <c r="T7" s="13"/>
      <c r="U7" t="str">
        <f t="shared" si="2"/>
        <v>Грунковский В.В. ЗП с 01.01-31.01(125 год. роботи*230) + ТО 14 год.*100=30 150,00 ФОТ Січень 2025 = 0,00. Борг компании: -50,00. До виплати - 30 200,00 грн.</v>
      </c>
    </row>
    <row r="8" spans="1:21" x14ac:dyDescent="0.3">
      <c r="A8" s="240">
        <v>964</v>
      </c>
      <c r="B8" s="469" t="s">
        <v>244</v>
      </c>
      <c r="C8" s="258">
        <v>25.75</v>
      </c>
      <c r="D8" s="48">
        <v>42760</v>
      </c>
      <c r="E8" s="470">
        <v>191</v>
      </c>
      <c r="F8" s="254">
        <v>182</v>
      </c>
      <c r="G8" s="241">
        <v>9</v>
      </c>
      <c r="H8" s="241">
        <v>230</v>
      </c>
      <c r="I8" s="241">
        <v>100</v>
      </c>
      <c r="J8" s="48">
        <f t="shared" si="0"/>
        <v>42760</v>
      </c>
      <c r="K8" s="255">
        <f t="shared" si="1"/>
        <v>0</v>
      </c>
      <c r="L8" s="256">
        <v>8008</v>
      </c>
      <c r="M8" s="257" t="s">
        <v>559</v>
      </c>
      <c r="N8" s="254" t="s">
        <v>71</v>
      </c>
      <c r="O8" s="523">
        <f t="shared" si="3"/>
        <v>34800</v>
      </c>
      <c r="P8" s="258">
        <f t="shared" ref="P8:P33" si="4">C8+D8-L8-O8</f>
        <v>-22.25</v>
      </c>
      <c r="Q8" s="25" t="s">
        <v>629</v>
      </c>
      <c r="R8" s="25"/>
      <c r="S8" s="242"/>
      <c r="T8" s="13"/>
      <c r="U8" t="str">
        <f t="shared" si="2"/>
        <v>Карбунар Я.Д. ЗП с 01.01-31.01(182 год. роботи*230) + ТО 9 год.*100=42 760,00 ФОТ Січень 2025 = 8 008,00. Борг компании: -22,25. До виплати - 34 800,00 грн.</v>
      </c>
    </row>
    <row r="9" spans="1:21" s="24" customFormat="1" x14ac:dyDescent="0.3">
      <c r="A9" s="240">
        <v>965</v>
      </c>
      <c r="B9" s="469" t="s">
        <v>601</v>
      </c>
      <c r="C9" s="258">
        <v>-43.940000000002328</v>
      </c>
      <c r="D9" s="48">
        <v>38510</v>
      </c>
      <c r="E9" s="470">
        <v>181</v>
      </c>
      <c r="F9" s="254">
        <v>157</v>
      </c>
      <c r="G9" s="241">
        <v>24</v>
      </c>
      <c r="H9" s="241">
        <v>230</v>
      </c>
      <c r="I9" s="241">
        <v>100</v>
      </c>
      <c r="J9" s="48">
        <f t="shared" si="0"/>
        <v>38510</v>
      </c>
      <c r="K9" s="255">
        <f t="shared" si="1"/>
        <v>0</v>
      </c>
      <c r="L9" s="256">
        <v>8008</v>
      </c>
      <c r="M9" s="257" t="s">
        <v>559</v>
      </c>
      <c r="N9" s="254" t="s">
        <v>73</v>
      </c>
      <c r="O9" s="523">
        <f t="shared" si="3"/>
        <v>30500</v>
      </c>
      <c r="P9" s="258">
        <f t="shared" si="4"/>
        <v>-41.940000000002328</v>
      </c>
      <c r="Q9" s="25" t="s">
        <v>629</v>
      </c>
      <c r="R9" s="25"/>
      <c r="S9" s="242"/>
      <c r="T9" s="25"/>
      <c r="U9" s="24" t="str">
        <f t="shared" si="2"/>
        <v>Скоц С.И. ЗП с 01.01-31.01(157 год. роботи*230) + ТО 24 год.*100=38 510,00 ФОТ Січень 2025 = 8 008,00. Борг компании: -41,94. До виплати - 30 500,00 грн.</v>
      </c>
    </row>
    <row r="10" spans="1:21" s="24" customFormat="1" x14ac:dyDescent="0.3">
      <c r="A10" s="240">
        <v>1056</v>
      </c>
      <c r="B10" s="469" t="s">
        <v>586</v>
      </c>
      <c r="C10" s="602">
        <v>36.250000000000909</v>
      </c>
      <c r="D10" s="48">
        <v>690</v>
      </c>
      <c r="E10" s="470">
        <v>3</v>
      </c>
      <c r="F10" s="254">
        <v>3</v>
      </c>
      <c r="G10" s="241">
        <v>0</v>
      </c>
      <c r="H10" s="241">
        <v>230</v>
      </c>
      <c r="I10" s="241">
        <v>100</v>
      </c>
      <c r="J10" s="48">
        <f t="shared" si="0"/>
        <v>690</v>
      </c>
      <c r="K10" s="255">
        <f t="shared" si="1"/>
        <v>0</v>
      </c>
      <c r="L10" s="256">
        <v>405.87993888464473</v>
      </c>
      <c r="M10" s="257" t="s">
        <v>559</v>
      </c>
      <c r="N10" s="254" t="s">
        <v>73</v>
      </c>
      <c r="O10" s="523">
        <f t="shared" si="3"/>
        <v>300</v>
      </c>
      <c r="P10" s="602">
        <f>C10+D10+D11+D12-L10-L11-L12-O10-O11-O12</f>
        <v>26.259999999998399</v>
      </c>
      <c r="Q10" s="25" t="s">
        <v>629</v>
      </c>
      <c r="R10" s="25"/>
      <c r="S10" s="242"/>
      <c r="T10" s="25"/>
      <c r="U10" s="24" t="str">
        <f t="shared" si="2"/>
        <v>Ляшко С.М. ЗП с 01.01-31.01(3 год. роботи*230) + ТО 0 год.*100=690,00 ФОТ Січень 2025 = 405,88. Борг компании: 26,26. До виплати - 300,00 грн.</v>
      </c>
    </row>
    <row r="11" spans="1:21" s="24" customFormat="1" x14ac:dyDescent="0.3">
      <c r="A11" s="240">
        <v>968</v>
      </c>
      <c r="B11" s="469" t="s">
        <v>586</v>
      </c>
      <c r="C11" s="604"/>
      <c r="D11" s="48">
        <v>4920</v>
      </c>
      <c r="E11" s="470">
        <v>24</v>
      </c>
      <c r="F11" s="254">
        <v>21</v>
      </c>
      <c r="G11" s="241">
        <v>3</v>
      </c>
      <c r="H11" s="241">
        <v>220</v>
      </c>
      <c r="I11" s="241">
        <v>100</v>
      </c>
      <c r="J11" s="48">
        <f t="shared" si="0"/>
        <v>4920</v>
      </c>
      <c r="K11" s="255">
        <f t="shared" si="1"/>
        <v>0</v>
      </c>
      <c r="L11" s="256">
        <v>2894.1143468296409</v>
      </c>
      <c r="M11" s="257" t="s">
        <v>559</v>
      </c>
      <c r="N11" s="254" t="s">
        <v>0</v>
      </c>
      <c r="O11" s="523">
        <f t="shared" si="3"/>
        <v>2000</v>
      </c>
      <c r="P11" s="604"/>
      <c r="Q11" s="25"/>
      <c r="R11" s="25"/>
      <c r="S11" s="242"/>
      <c r="T11" s="25"/>
      <c r="U11" s="24" t="str">
        <f t="shared" si="2"/>
        <v>Ляшко С.М. ЗП с 01.01-31.01(21 год. роботи*220) + ТО 3 год.*100=4 920,00 ФОТ Січень 2025 = 2 894,11. Борг компании: 0,00. До виплати - 2 000,00 грн.</v>
      </c>
    </row>
    <row r="12" spans="1:21" s="24" customFormat="1" x14ac:dyDescent="0.3">
      <c r="A12" s="240">
        <v>970</v>
      </c>
      <c r="B12" s="469" t="s">
        <v>586</v>
      </c>
      <c r="C12" s="603"/>
      <c r="D12" s="48">
        <v>7480</v>
      </c>
      <c r="E12" s="470">
        <v>54</v>
      </c>
      <c r="F12" s="254">
        <v>16</v>
      </c>
      <c r="G12" s="241">
        <v>38</v>
      </c>
      <c r="H12" s="241">
        <v>230</v>
      </c>
      <c r="I12" s="241">
        <v>100</v>
      </c>
      <c r="J12" s="48">
        <f t="shared" si="0"/>
        <v>7480</v>
      </c>
      <c r="K12" s="255">
        <f t="shared" si="1"/>
        <v>0</v>
      </c>
      <c r="L12" s="256">
        <v>4399.9957142857147</v>
      </c>
      <c r="M12" s="257" t="s">
        <v>559</v>
      </c>
      <c r="N12" s="254" t="s">
        <v>77</v>
      </c>
      <c r="O12" s="523">
        <f t="shared" si="3"/>
        <v>3100</v>
      </c>
      <c r="P12" s="603"/>
      <c r="Q12" s="25"/>
      <c r="R12" s="25"/>
      <c r="S12" s="242"/>
      <c r="T12" s="25"/>
      <c r="U12" s="24" t="str">
        <f t="shared" si="2"/>
        <v>Ляшко С.М. ЗП с 01.01-31.01(16 год. роботи*230) + ТО 38 год.*100=7 480,00 ФОТ Січень 2025 = 4 400,00. Борг компании: 0,00. До виплати - 3 100,00 грн.</v>
      </c>
    </row>
    <row r="13" spans="1:21" x14ac:dyDescent="0.3">
      <c r="A13" s="240">
        <v>971</v>
      </c>
      <c r="B13" s="469" t="s">
        <v>246</v>
      </c>
      <c r="C13" s="258">
        <v>10.000000000000114</v>
      </c>
      <c r="D13" s="48">
        <v>49100</v>
      </c>
      <c r="E13" s="470">
        <v>185</v>
      </c>
      <c r="F13" s="254">
        <v>180</v>
      </c>
      <c r="G13" s="241">
        <v>5</v>
      </c>
      <c r="H13" s="241">
        <v>270</v>
      </c>
      <c r="I13" s="241">
        <v>100</v>
      </c>
      <c r="J13" s="48">
        <f t="shared" ref="J13:J37" si="5">F13*H13+G13*I13</f>
        <v>49100</v>
      </c>
      <c r="K13" s="255">
        <f t="shared" si="1"/>
        <v>0</v>
      </c>
      <c r="L13" s="256">
        <v>7700</v>
      </c>
      <c r="M13" s="257" t="s">
        <v>559</v>
      </c>
      <c r="N13" s="254" t="s">
        <v>69</v>
      </c>
      <c r="O13" s="523">
        <f t="shared" si="3"/>
        <v>41400</v>
      </c>
      <c r="P13" s="258">
        <f t="shared" si="4"/>
        <v>10</v>
      </c>
      <c r="Q13" s="25" t="s">
        <v>629</v>
      </c>
      <c r="R13" s="25"/>
      <c r="S13" s="242"/>
      <c r="T13" s="13"/>
      <c r="U13" t="str">
        <f t="shared" si="2"/>
        <v>Болох В.В. ЗП с 01.01-31.01(180 год. роботи*270) + ТО 5 год.*100=49 100,00 ФОТ Січень 2025 = 7 700,00. Борг компании: 10,00. До виплати - 41 400,00 грн.</v>
      </c>
    </row>
    <row r="14" spans="1:21" s="24" customFormat="1" ht="15" customHeight="1" x14ac:dyDescent="0.3">
      <c r="A14" s="240">
        <v>967</v>
      </c>
      <c r="B14" s="469" t="s">
        <v>249</v>
      </c>
      <c r="C14" s="602">
        <v>72.499999999998863</v>
      </c>
      <c r="D14" s="48">
        <v>1760</v>
      </c>
      <c r="E14" s="470">
        <v>8</v>
      </c>
      <c r="F14" s="254">
        <v>8</v>
      </c>
      <c r="G14" s="241">
        <v>0</v>
      </c>
      <c r="H14" s="241">
        <v>220</v>
      </c>
      <c r="I14" s="241">
        <v>100</v>
      </c>
      <c r="J14" s="48">
        <f t="shared" si="5"/>
        <v>1760</v>
      </c>
      <c r="K14" s="255">
        <f t="shared" si="1"/>
        <v>0</v>
      </c>
      <c r="L14" s="256">
        <v>314.9469649082036</v>
      </c>
      <c r="M14" s="257" t="s">
        <v>559</v>
      </c>
      <c r="N14" s="254" t="s">
        <v>0</v>
      </c>
      <c r="O14" s="523">
        <f t="shared" si="3"/>
        <v>1500</v>
      </c>
      <c r="P14" s="602">
        <f>C14+D14+D15-L14-L15-O14-O15</f>
        <v>2.5</v>
      </c>
      <c r="Q14" s="25" t="s">
        <v>629</v>
      </c>
      <c r="R14" s="25"/>
      <c r="S14" s="242"/>
      <c r="T14" s="25"/>
      <c r="U14" s="24" t="str">
        <f t="shared" si="2"/>
        <v>Борисенко О.М. ЗП с 01.01-31.01(8 год. роботи*220) + ТО 0 год.*100=1 760,00 ФОТ Січень 2025 = 314,95. Борг компании: 2,50. До виплати - 1 500,00 грн.</v>
      </c>
    </row>
    <row r="15" spans="1:21" s="24" customFormat="1" x14ac:dyDescent="0.3">
      <c r="A15" s="240">
        <v>966</v>
      </c>
      <c r="B15" s="469" t="s">
        <v>249</v>
      </c>
      <c r="C15" s="603"/>
      <c r="D15" s="48">
        <v>41270</v>
      </c>
      <c r="E15" s="470">
        <v>156</v>
      </c>
      <c r="F15" s="254">
        <v>151</v>
      </c>
      <c r="G15" s="241">
        <v>5</v>
      </c>
      <c r="H15" s="241">
        <v>270</v>
      </c>
      <c r="I15" s="241">
        <v>100</v>
      </c>
      <c r="J15" s="48">
        <f t="shared" si="5"/>
        <v>41270</v>
      </c>
      <c r="K15" s="255">
        <f t="shared" si="1"/>
        <v>0</v>
      </c>
      <c r="L15" s="256">
        <v>7385.0530350917961</v>
      </c>
      <c r="M15" s="257" t="s">
        <v>559</v>
      </c>
      <c r="N15" s="254" t="s">
        <v>64</v>
      </c>
      <c r="O15" s="523">
        <f t="shared" si="3"/>
        <v>33900</v>
      </c>
      <c r="P15" s="603"/>
      <c r="Q15" s="25"/>
      <c r="R15" s="25"/>
      <c r="S15" s="242"/>
      <c r="T15" s="25"/>
      <c r="U15" s="24" t="str">
        <f t="shared" si="2"/>
        <v>Борисенко О.М. ЗП с 01.01-31.01(151 год. роботи*270) + ТО 5 год.*100=41 270,00 ФОТ Січень 2025 = 7 385,05. Борг компании: 0,00. До виплати - 33 900,00 грн.</v>
      </c>
    </row>
    <row r="16" spans="1:21" s="521" customFormat="1" x14ac:dyDescent="0.3">
      <c r="A16" s="509">
        <v>969</v>
      </c>
      <c r="B16" s="510" t="s">
        <v>606</v>
      </c>
      <c r="C16" s="511">
        <v>-20</v>
      </c>
      <c r="D16" s="512">
        <v>27600</v>
      </c>
      <c r="E16" s="513">
        <v>126</v>
      </c>
      <c r="F16" s="514">
        <v>125</v>
      </c>
      <c r="G16" s="515">
        <v>1</v>
      </c>
      <c r="H16" s="515">
        <v>220</v>
      </c>
      <c r="I16" s="515">
        <v>100</v>
      </c>
      <c r="J16" s="512">
        <f t="shared" si="5"/>
        <v>27600</v>
      </c>
      <c r="K16" s="516">
        <f t="shared" si="1"/>
        <v>0</v>
      </c>
      <c r="L16" s="517">
        <v>0</v>
      </c>
      <c r="M16" s="518" t="s">
        <v>559</v>
      </c>
      <c r="N16" s="514" t="s">
        <v>0</v>
      </c>
      <c r="O16" s="509">
        <v>0</v>
      </c>
      <c r="P16" s="511">
        <f t="shared" si="4"/>
        <v>27580</v>
      </c>
      <c r="Q16" s="519" t="s">
        <v>598</v>
      </c>
      <c r="R16" s="519"/>
      <c r="S16" s="520"/>
      <c r="T16" s="519"/>
      <c r="U16" s="521" t="str">
        <f t="shared" si="2"/>
        <v>Гончаренко О.П. ЗП с 01.01-31.01(125 год. роботи*220) + ТО 1 год.*100=27 600,00 ФОТ Січень 2025 = 0,00. Борг компании: 27 580,00. До виплати - 0,00 грн.</v>
      </c>
    </row>
    <row r="17" spans="1:21" s="24" customFormat="1" x14ac:dyDescent="0.3">
      <c r="A17" s="240">
        <v>972</v>
      </c>
      <c r="B17" s="469" t="s">
        <v>605</v>
      </c>
      <c r="C17" s="258">
        <v>0</v>
      </c>
      <c r="D17" s="48">
        <v>33500</v>
      </c>
      <c r="E17" s="470">
        <v>179</v>
      </c>
      <c r="F17" s="254">
        <v>156</v>
      </c>
      <c r="G17" s="241">
        <v>23</v>
      </c>
      <c r="H17" s="241">
        <v>200</v>
      </c>
      <c r="I17" s="241">
        <v>100</v>
      </c>
      <c r="J17" s="48">
        <f t="shared" si="5"/>
        <v>33500</v>
      </c>
      <c r="K17" s="255">
        <f t="shared" si="1"/>
        <v>0</v>
      </c>
      <c r="L17" s="256">
        <v>7700</v>
      </c>
      <c r="M17" s="257" t="s">
        <v>559</v>
      </c>
      <c r="N17" s="254" t="s">
        <v>75</v>
      </c>
      <c r="O17" s="523">
        <f t="shared" si="3"/>
        <v>25800</v>
      </c>
      <c r="P17" s="258">
        <f t="shared" si="4"/>
        <v>0</v>
      </c>
      <c r="Q17" s="25" t="s">
        <v>629</v>
      </c>
      <c r="R17" s="25"/>
      <c r="S17" s="242"/>
      <c r="T17" s="25"/>
      <c r="U17" s="24" t="str">
        <f t="shared" si="2"/>
        <v>Черненко А.С. ЗП с 01.01-31.01(156 год. роботи*200) + ТО 23 год.*100=33 500,00 ФОТ Січень 2025 = 7 700,00. Борг компании: 0,00. До виплати - 25 800,00 грн.</v>
      </c>
    </row>
    <row r="18" spans="1:21" s="24" customFormat="1" x14ac:dyDescent="0.3">
      <c r="A18" s="240">
        <v>973</v>
      </c>
      <c r="B18" s="469" t="s">
        <v>608</v>
      </c>
      <c r="C18" s="258">
        <v>0</v>
      </c>
      <c r="D18" s="48">
        <v>9400</v>
      </c>
      <c r="E18" s="470">
        <v>56</v>
      </c>
      <c r="F18" s="254">
        <v>38</v>
      </c>
      <c r="G18" s="241">
        <v>18</v>
      </c>
      <c r="H18" s="241">
        <v>200</v>
      </c>
      <c r="I18" s="241">
        <v>100</v>
      </c>
      <c r="J18" s="48">
        <f t="shared" si="5"/>
        <v>9400</v>
      </c>
      <c r="K18" s="255">
        <f t="shared" si="1"/>
        <v>0</v>
      </c>
      <c r="L18" s="256">
        <v>2678.2602000000002</v>
      </c>
      <c r="M18" s="257" t="s">
        <v>559</v>
      </c>
      <c r="N18" s="254" t="s">
        <v>86</v>
      </c>
      <c r="O18" s="523">
        <f t="shared" si="3"/>
        <v>6700</v>
      </c>
      <c r="P18" s="258">
        <f t="shared" si="4"/>
        <v>21.739799999999377</v>
      </c>
      <c r="Q18" s="25" t="s">
        <v>629</v>
      </c>
      <c r="R18" s="25"/>
      <c r="S18" s="242"/>
      <c r="T18" s="25"/>
      <c r="U18" s="24" t="str">
        <f t="shared" si="2"/>
        <v>Комаров Д.В. ЗП с 01.01-31.01(38 год. роботи*200) + ТО 18 год.*100=9 400,00 ФОТ Січень 2025 = 2 678,26. Борг компании: 21,74. До виплати - 6 700,00 грн.</v>
      </c>
    </row>
    <row r="19" spans="1:21" x14ac:dyDescent="0.3">
      <c r="A19" s="240">
        <v>974</v>
      </c>
      <c r="B19" s="469" t="s">
        <v>617</v>
      </c>
      <c r="C19" s="258">
        <v>0</v>
      </c>
      <c r="D19" s="48">
        <v>19300</v>
      </c>
      <c r="E19" s="470">
        <v>101</v>
      </c>
      <c r="F19" s="254">
        <v>92</v>
      </c>
      <c r="G19" s="241">
        <v>9</v>
      </c>
      <c r="H19" s="241">
        <v>200</v>
      </c>
      <c r="I19" s="241">
        <v>100</v>
      </c>
      <c r="J19" s="48">
        <f t="shared" si="5"/>
        <v>19300</v>
      </c>
      <c r="K19" s="255">
        <f t="shared" si="1"/>
        <v>0</v>
      </c>
      <c r="L19" s="256">
        <v>0</v>
      </c>
      <c r="M19" s="257" t="s">
        <v>559</v>
      </c>
      <c r="N19" s="254" t="s">
        <v>86</v>
      </c>
      <c r="O19" s="523">
        <f t="shared" si="3"/>
        <v>19300</v>
      </c>
      <c r="P19" s="507">
        <f t="shared" si="4"/>
        <v>0</v>
      </c>
      <c r="Q19" s="508"/>
      <c r="R19" s="25"/>
      <c r="S19" s="242"/>
      <c r="T19" s="13"/>
      <c r="U19" t="str">
        <f t="shared" si="2"/>
        <v>Сокур С.О. ЗП с 01.01-31.01(92 год. роботи*200) + ТО 9 год.*100=19 300,00 ФОТ Січень 2025 = 0,00. Борг компании: 0,00. До виплати - 19 300,00 грн.</v>
      </c>
    </row>
    <row r="20" spans="1:21" s="24" customFormat="1" x14ac:dyDescent="0.3">
      <c r="A20" s="240">
        <v>980</v>
      </c>
      <c r="B20" s="469" t="s">
        <v>607</v>
      </c>
      <c r="C20" s="258">
        <v>-20.80000000000291</v>
      </c>
      <c r="D20" s="48">
        <v>39000</v>
      </c>
      <c r="E20" s="470">
        <v>195</v>
      </c>
      <c r="F20" s="254">
        <v>195</v>
      </c>
      <c r="G20" s="241">
        <v>0</v>
      </c>
      <c r="H20" s="241">
        <v>200</v>
      </c>
      <c r="I20" s="241">
        <v>100</v>
      </c>
      <c r="J20" s="48">
        <f t="shared" si="5"/>
        <v>39000</v>
      </c>
      <c r="K20" s="255">
        <f t="shared" si="1"/>
        <v>0</v>
      </c>
      <c r="L20" s="256">
        <v>7700</v>
      </c>
      <c r="M20" s="257" t="s">
        <v>559</v>
      </c>
      <c r="N20" s="254" t="s">
        <v>348</v>
      </c>
      <c r="O20" s="523">
        <f t="shared" si="3"/>
        <v>31300</v>
      </c>
      <c r="P20" s="258">
        <f t="shared" si="4"/>
        <v>-20.80000000000291</v>
      </c>
      <c r="Q20" s="25" t="s">
        <v>629</v>
      </c>
      <c r="R20" s="25"/>
      <c r="S20" s="242"/>
      <c r="T20" s="25"/>
      <c r="U20" s="24" t="str">
        <f t="shared" si="2"/>
        <v>Запара С.М  ЗП с 01.01-31.01(195 год. роботи*200) + ТО 0 год.*100=39 000,00 ФОТ Січень 2025 = 7 700,00. Борг компании: -20,80. До виплати - 31 300,00 грн.</v>
      </c>
    </row>
    <row r="21" spans="1:21" s="24" customFormat="1" x14ac:dyDescent="0.3">
      <c r="A21" s="609">
        <v>975</v>
      </c>
      <c r="B21" s="469" t="s">
        <v>614</v>
      </c>
      <c r="C21" s="602">
        <v>0</v>
      </c>
      <c r="D21" s="48">
        <v>16100</v>
      </c>
      <c r="E21" s="470">
        <v>90</v>
      </c>
      <c r="F21" s="254">
        <v>71</v>
      </c>
      <c r="G21" s="241">
        <v>19</v>
      </c>
      <c r="H21" s="241">
        <v>200</v>
      </c>
      <c r="I21" s="241">
        <v>100</v>
      </c>
      <c r="J21" s="48">
        <f t="shared" si="5"/>
        <v>16100</v>
      </c>
      <c r="K21" s="255">
        <f t="shared" si="1"/>
        <v>0</v>
      </c>
      <c r="L21" s="256">
        <v>0</v>
      </c>
      <c r="M21" s="257" t="s">
        <v>559</v>
      </c>
      <c r="N21" s="254" t="s">
        <v>349</v>
      </c>
      <c r="O21" s="523">
        <f t="shared" si="3"/>
        <v>16100</v>
      </c>
      <c r="P21" s="602">
        <f>C21+D21+D22+D23-L21-O21-O22-O23</f>
        <v>0</v>
      </c>
      <c r="Q21" s="25" t="s">
        <v>599</v>
      </c>
      <c r="R21" s="25"/>
      <c r="S21" s="242"/>
      <c r="T21" s="25"/>
      <c r="U21" s="24" t="str">
        <f t="shared" si="2"/>
        <v>Гончаренко В.П. ЗП с 01.01-31.01(71 год. роботи*200) + ТО 19 год.*100=16 100,00 ФОТ Січень 2025 = 0,00. Борг компании: 0,00. До виплати - 16 100,00 грн.</v>
      </c>
    </row>
    <row r="22" spans="1:21" s="24" customFormat="1" x14ac:dyDescent="0.3">
      <c r="A22" s="610"/>
      <c r="B22" s="469" t="s">
        <v>614</v>
      </c>
      <c r="C22" s="604"/>
      <c r="D22" s="48">
        <v>8800</v>
      </c>
      <c r="E22" s="470">
        <v>44</v>
      </c>
      <c r="F22" s="254">
        <v>44</v>
      </c>
      <c r="G22" s="241">
        <v>0</v>
      </c>
      <c r="H22" s="241">
        <v>200</v>
      </c>
      <c r="I22" s="241">
        <v>100</v>
      </c>
      <c r="J22" s="48">
        <f t="shared" si="5"/>
        <v>8800</v>
      </c>
      <c r="K22" s="255">
        <f t="shared" si="1"/>
        <v>0</v>
      </c>
      <c r="L22" s="256">
        <v>0</v>
      </c>
      <c r="M22" s="257" t="s">
        <v>595</v>
      </c>
      <c r="N22" s="254" t="s">
        <v>349</v>
      </c>
      <c r="O22" s="523">
        <f t="shared" si="3"/>
        <v>8800</v>
      </c>
      <c r="P22" s="604"/>
      <c r="Q22" s="25"/>
      <c r="R22" s="25"/>
      <c r="S22" s="242"/>
      <c r="T22" s="25"/>
      <c r="U22" s="24" t="str">
        <f t="shared" si="2"/>
        <v>Гончаренко В.П. ЗП с 01.01-31.01(44 год. роботи*200) + ТО 0 год.*100=8 800,00 ФОТ Січень 2025 = 0,00. Борг компании: 0,00. До виплати - 8 800,00 грн.</v>
      </c>
    </row>
    <row r="23" spans="1:21" s="24" customFormat="1" x14ac:dyDescent="0.3">
      <c r="A23" s="240">
        <v>976</v>
      </c>
      <c r="B23" s="469" t="s">
        <v>614</v>
      </c>
      <c r="C23" s="603"/>
      <c r="D23" s="48">
        <v>5800</v>
      </c>
      <c r="E23" s="470">
        <v>32</v>
      </c>
      <c r="F23" s="254">
        <v>26</v>
      </c>
      <c r="G23" s="241">
        <v>6</v>
      </c>
      <c r="H23" s="241">
        <v>200</v>
      </c>
      <c r="I23" s="241">
        <v>100</v>
      </c>
      <c r="J23" s="48">
        <f t="shared" si="5"/>
        <v>5800</v>
      </c>
      <c r="K23" s="255">
        <f t="shared" si="1"/>
        <v>0</v>
      </c>
      <c r="L23" s="256">
        <v>0</v>
      </c>
      <c r="M23" s="257" t="s">
        <v>559</v>
      </c>
      <c r="N23" s="254" t="s">
        <v>588</v>
      </c>
      <c r="O23" s="523">
        <f t="shared" si="3"/>
        <v>5800</v>
      </c>
      <c r="P23" s="603"/>
      <c r="Q23" s="25"/>
      <c r="R23" s="25"/>
      <c r="S23" s="242"/>
      <c r="T23" s="25"/>
      <c r="U23" s="24" t="str">
        <f t="shared" si="2"/>
        <v>Гончаренко В.П. ЗП с 01.01-31.01(26 год. роботи*200) + ТО 6 год.*100=5 800,00 ФОТ Січень 2025 = 0,00. Борг компании: 0,00. До виплати - 5 800,00 грн.</v>
      </c>
    </row>
    <row r="24" spans="1:21" s="521" customFormat="1" x14ac:dyDescent="0.3">
      <c r="A24" s="509">
        <v>979</v>
      </c>
      <c r="B24" s="510" t="s">
        <v>377</v>
      </c>
      <c r="C24" s="511">
        <v>0</v>
      </c>
      <c r="D24" s="512">
        <v>2800</v>
      </c>
      <c r="E24" s="513">
        <v>22</v>
      </c>
      <c r="F24" s="514">
        <v>6</v>
      </c>
      <c r="G24" s="515">
        <v>16</v>
      </c>
      <c r="H24" s="515">
        <v>200</v>
      </c>
      <c r="I24" s="515">
        <v>100</v>
      </c>
      <c r="J24" s="512">
        <f t="shared" si="5"/>
        <v>2800</v>
      </c>
      <c r="K24" s="516">
        <f t="shared" si="1"/>
        <v>0</v>
      </c>
      <c r="L24" s="517"/>
      <c r="M24" s="518" t="s">
        <v>603</v>
      </c>
      <c r="N24" s="514" t="s">
        <v>66</v>
      </c>
      <c r="O24" s="509">
        <f t="shared" si="3"/>
        <v>2800</v>
      </c>
      <c r="P24" s="511">
        <f t="shared" si="4"/>
        <v>0</v>
      </c>
      <c r="Q24" s="519" t="s">
        <v>598</v>
      </c>
      <c r="R24" s="519"/>
      <c r="S24" s="520"/>
      <c r="T24" s="519"/>
      <c r="U24" s="521" t="str">
        <f t="shared" si="2"/>
        <v>Селивончик И.П. ЗП с 01.01-31.01(6 год. роботи*200) + ТО 16 год.*100=2 800,00 ФОТ Січень 2025 = 0,00. Борг компании: 0,00. До виплати - 2 800,00 грн.</v>
      </c>
    </row>
    <row r="25" spans="1:21" s="24" customFormat="1" x14ac:dyDescent="0.3">
      <c r="A25" s="478">
        <v>977</v>
      </c>
      <c r="B25" s="469" t="s">
        <v>604</v>
      </c>
      <c r="C25" s="258">
        <v>22.5</v>
      </c>
      <c r="D25" s="48">
        <v>1600</v>
      </c>
      <c r="E25" s="470">
        <v>16</v>
      </c>
      <c r="F25" s="254">
        <v>0</v>
      </c>
      <c r="G25" s="241">
        <v>16</v>
      </c>
      <c r="H25" s="241">
        <v>200</v>
      </c>
      <c r="I25" s="241">
        <v>100</v>
      </c>
      <c r="J25" s="48">
        <f t="shared" si="5"/>
        <v>1600</v>
      </c>
      <c r="K25" s="255">
        <f t="shared" si="1"/>
        <v>0</v>
      </c>
      <c r="L25" s="256"/>
      <c r="M25" s="257" t="s">
        <v>559</v>
      </c>
      <c r="N25" s="254" t="s">
        <v>588</v>
      </c>
      <c r="O25" s="523">
        <f t="shared" si="3"/>
        <v>1600</v>
      </c>
      <c r="P25" s="258">
        <f t="shared" si="4"/>
        <v>22.5</v>
      </c>
      <c r="Q25" s="25" t="s">
        <v>599</v>
      </c>
      <c r="R25" s="25"/>
      <c r="S25" s="242"/>
      <c r="T25" s="25"/>
      <c r="U25" s="24" t="str">
        <f t="shared" si="2"/>
        <v>Роменский В.В. ЗП с 01.01-31.01(0 год. роботи*200) + ТО 16 год.*100=1 600,00 ФОТ Січень 2025 = 0,00. Борг компании: 22,50. До виплати - 1 600,00 грн.</v>
      </c>
    </row>
    <row r="26" spans="1:21" s="24" customFormat="1" x14ac:dyDescent="0.3">
      <c r="A26" s="35"/>
      <c r="B26" s="469"/>
      <c r="C26" s="258"/>
      <c r="D26" s="48"/>
      <c r="E26" s="470"/>
      <c r="F26" s="254"/>
      <c r="G26" s="241"/>
      <c r="H26" s="241"/>
      <c r="I26" s="241">
        <v>100</v>
      </c>
      <c r="J26" s="48">
        <f t="shared" si="5"/>
        <v>0</v>
      </c>
      <c r="K26" s="255">
        <f t="shared" si="1"/>
        <v>0</v>
      </c>
      <c r="L26" s="256"/>
      <c r="M26" s="257"/>
      <c r="N26" s="254"/>
      <c r="O26" s="471">
        <f t="shared" ref="O26:O32" si="6">ROUND(C26+D26-L26,-2)</f>
        <v>0</v>
      </c>
      <c r="P26" s="258">
        <f t="shared" si="4"/>
        <v>0</v>
      </c>
      <c r="Q26" s="25"/>
      <c r="R26" s="25"/>
      <c r="S26" s="242"/>
      <c r="T26" s="25"/>
      <c r="U26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27" spans="1:21" s="24" customFormat="1" hidden="1" x14ac:dyDescent="0.3">
      <c r="A27" s="240"/>
      <c r="B27" s="469"/>
      <c r="C27" s="258"/>
      <c r="D27" s="48"/>
      <c r="E27" s="470"/>
      <c r="F27" s="254"/>
      <c r="G27" s="241"/>
      <c r="H27" s="241"/>
      <c r="I27" s="241">
        <v>100</v>
      </c>
      <c r="J27" s="48">
        <f t="shared" si="5"/>
        <v>0</v>
      </c>
      <c r="K27" s="255">
        <f t="shared" si="1"/>
        <v>0</v>
      </c>
      <c r="L27" s="256"/>
      <c r="M27" s="257"/>
      <c r="N27" s="254"/>
      <c r="O27" s="471">
        <f t="shared" si="6"/>
        <v>0</v>
      </c>
      <c r="P27" s="258">
        <f t="shared" si="4"/>
        <v>0</v>
      </c>
      <c r="Q27" s="25"/>
      <c r="R27" s="25"/>
      <c r="S27" s="242"/>
      <c r="T27" s="25"/>
      <c r="U27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28" spans="1:21" s="24" customFormat="1" hidden="1" x14ac:dyDescent="0.3">
      <c r="A28" s="609"/>
      <c r="B28" s="469"/>
      <c r="C28" s="258"/>
      <c r="D28" s="48"/>
      <c r="E28" s="470"/>
      <c r="F28" s="254"/>
      <c r="G28" s="241"/>
      <c r="H28" s="241"/>
      <c r="I28" s="241">
        <v>100</v>
      </c>
      <c r="J28" s="48">
        <f t="shared" si="5"/>
        <v>0</v>
      </c>
      <c r="K28" s="255">
        <f t="shared" si="1"/>
        <v>0</v>
      </c>
      <c r="L28" s="256"/>
      <c r="M28" s="257"/>
      <c r="N28" s="254"/>
      <c r="O28" s="471">
        <f t="shared" si="6"/>
        <v>0</v>
      </c>
      <c r="P28" s="258">
        <f t="shared" si="4"/>
        <v>0</v>
      </c>
      <c r="Q28" s="25"/>
      <c r="R28" s="25"/>
      <c r="S28" s="242"/>
      <c r="T28" s="25"/>
      <c r="U28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29" spans="1:21" s="24" customFormat="1" hidden="1" x14ac:dyDescent="0.3">
      <c r="A29" s="610"/>
      <c r="B29" s="469"/>
      <c r="C29" s="258"/>
      <c r="D29" s="48"/>
      <c r="E29" s="470"/>
      <c r="F29" s="254"/>
      <c r="G29" s="241"/>
      <c r="H29" s="241"/>
      <c r="I29" s="241">
        <v>100</v>
      </c>
      <c r="J29" s="48">
        <f t="shared" si="5"/>
        <v>0</v>
      </c>
      <c r="K29" s="255">
        <f t="shared" si="1"/>
        <v>0</v>
      </c>
      <c r="L29" s="256"/>
      <c r="M29" s="257"/>
      <c r="N29" s="254"/>
      <c r="O29" s="471">
        <f t="shared" si="6"/>
        <v>0</v>
      </c>
      <c r="P29" s="258">
        <f t="shared" si="4"/>
        <v>0</v>
      </c>
      <c r="Q29" s="25"/>
      <c r="R29" s="25"/>
      <c r="S29" s="242"/>
      <c r="T29" s="25"/>
      <c r="U29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0" spans="1:21" s="24" customFormat="1" ht="13.8" hidden="1" customHeight="1" x14ac:dyDescent="0.3">
      <c r="A30" s="240"/>
      <c r="B30" s="469"/>
      <c r="C30" s="258"/>
      <c r="D30" s="48"/>
      <c r="E30" s="470"/>
      <c r="F30" s="254"/>
      <c r="G30" s="241"/>
      <c r="H30" s="241"/>
      <c r="I30" s="241">
        <v>100</v>
      </c>
      <c r="J30" s="48">
        <f t="shared" si="5"/>
        <v>0</v>
      </c>
      <c r="K30" s="255">
        <f t="shared" si="1"/>
        <v>0</v>
      </c>
      <c r="L30" s="256"/>
      <c r="M30" s="257"/>
      <c r="N30" s="254"/>
      <c r="O30" s="471">
        <f t="shared" si="6"/>
        <v>0</v>
      </c>
      <c r="P30" s="258">
        <f t="shared" si="4"/>
        <v>0</v>
      </c>
      <c r="Q30" s="25"/>
      <c r="R30" s="25"/>
      <c r="S30" s="242"/>
      <c r="T30" s="25"/>
      <c r="U30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1" spans="1:21" s="24" customFormat="1" ht="14.4" hidden="1" customHeight="1" x14ac:dyDescent="0.3">
      <c r="A31" s="240"/>
      <c r="B31" s="469"/>
      <c r="C31" s="258"/>
      <c r="D31" s="48">
        <v>0</v>
      </c>
      <c r="E31" s="470"/>
      <c r="F31" s="254"/>
      <c r="G31" s="241"/>
      <c r="H31" s="241"/>
      <c r="I31" s="241"/>
      <c r="J31" s="48">
        <f t="shared" si="5"/>
        <v>0</v>
      </c>
      <c r="K31" s="255">
        <f t="shared" si="1"/>
        <v>0</v>
      </c>
      <c r="L31" s="256"/>
      <c r="M31" s="257">
        <f>'МЕХАНИЗАТОРЫ ноябрь'!Q166</f>
        <v>0</v>
      </c>
      <c r="N31" s="254">
        <f t="shared" ref="N31:N39" si="7">M31-J31</f>
        <v>0</v>
      </c>
      <c r="O31" s="471">
        <f t="shared" si="6"/>
        <v>0</v>
      </c>
      <c r="P31" s="258">
        <f t="shared" si="4"/>
        <v>0</v>
      </c>
      <c r="Q31" s="25"/>
      <c r="R31" s="25"/>
      <c r="S31" s="242"/>
      <c r="T31" s="25"/>
      <c r="U31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2" spans="1:21" s="24" customFormat="1" ht="15" hidden="1" customHeight="1" x14ac:dyDescent="0.3">
      <c r="A32" s="240"/>
      <c r="B32" s="469"/>
      <c r="C32" s="258"/>
      <c r="D32" s="48">
        <v>0</v>
      </c>
      <c r="E32" s="470"/>
      <c r="F32" s="254"/>
      <c r="G32" s="241"/>
      <c r="H32" s="241"/>
      <c r="I32" s="241"/>
      <c r="J32" s="48">
        <f t="shared" si="5"/>
        <v>0</v>
      </c>
      <c r="K32" s="255">
        <f t="shared" si="1"/>
        <v>0</v>
      </c>
      <c r="L32" s="256"/>
      <c r="M32" s="257">
        <f>'МЕХАНИЗАТОРЫ ноябрь'!Q167</f>
        <v>0</v>
      </c>
      <c r="N32" s="254">
        <f t="shared" si="7"/>
        <v>0</v>
      </c>
      <c r="O32" s="471">
        <f t="shared" si="6"/>
        <v>0</v>
      </c>
      <c r="P32" s="258">
        <f t="shared" si="4"/>
        <v>0</v>
      </c>
      <c r="Q32" s="25"/>
      <c r="R32" s="25"/>
      <c r="S32" s="242"/>
      <c r="T32" s="25"/>
      <c r="U32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3" spans="1:21" s="24" customFormat="1" ht="14.4" hidden="1" customHeight="1" x14ac:dyDescent="0.3">
      <c r="A33" s="240"/>
      <c r="B33" s="469"/>
      <c r="C33" s="258"/>
      <c r="D33" s="48">
        <v>0</v>
      </c>
      <c r="E33" s="470"/>
      <c r="F33" s="254"/>
      <c r="G33" s="241"/>
      <c r="H33" s="241"/>
      <c r="I33" s="241"/>
      <c r="J33" s="48">
        <f t="shared" si="5"/>
        <v>0</v>
      </c>
      <c r="K33" s="255">
        <f t="shared" si="1"/>
        <v>0</v>
      </c>
      <c r="L33" s="256"/>
      <c r="M33" s="257">
        <f>'МЕХАНИЗАТОРЫ ноябрь'!Q168</f>
        <v>0</v>
      </c>
      <c r="N33" s="254">
        <f t="shared" si="7"/>
        <v>0</v>
      </c>
      <c r="O33" s="471">
        <f t="shared" ref="O33:O39" si="8">ROUND(C33+D33-L33,-2)</f>
        <v>0</v>
      </c>
      <c r="P33" s="258">
        <f t="shared" si="4"/>
        <v>0</v>
      </c>
      <c r="Q33" s="25"/>
      <c r="R33" s="25"/>
      <c r="S33" s="242"/>
      <c r="T33" s="25"/>
      <c r="U33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4" spans="1:21" s="24" customFormat="1" ht="14.4" hidden="1" customHeight="1" x14ac:dyDescent="0.3">
      <c r="A34" s="240"/>
      <c r="B34" s="469"/>
      <c r="C34" s="258"/>
      <c r="D34" s="48">
        <v>0</v>
      </c>
      <c r="E34" s="470"/>
      <c r="F34" s="254"/>
      <c r="G34" s="241"/>
      <c r="H34" s="241"/>
      <c r="I34" s="241"/>
      <c r="J34" s="48">
        <f t="shared" si="5"/>
        <v>0</v>
      </c>
      <c r="K34" s="255">
        <f t="shared" si="1"/>
        <v>0</v>
      </c>
      <c r="L34" s="256"/>
      <c r="M34" s="257">
        <f>'МЕХАНИЗАТОРЫ ноябрь'!Q169</f>
        <v>0</v>
      </c>
      <c r="N34" s="254">
        <f t="shared" si="7"/>
        <v>0</v>
      </c>
      <c r="O34" s="471">
        <f t="shared" si="8"/>
        <v>0</v>
      </c>
      <c r="P34" s="258"/>
      <c r="Q34" s="25"/>
      <c r="R34" s="25"/>
      <c r="S34" s="242"/>
      <c r="T34" s="25"/>
      <c r="U34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5" spans="1:21" s="24" customFormat="1" ht="14.4" hidden="1" customHeight="1" x14ac:dyDescent="0.3">
      <c r="A35" s="240"/>
      <c r="B35" s="469"/>
      <c r="C35" s="258"/>
      <c r="D35" s="48">
        <v>0</v>
      </c>
      <c r="E35" s="470"/>
      <c r="F35" s="254"/>
      <c r="G35" s="241"/>
      <c r="H35" s="241"/>
      <c r="I35" s="241"/>
      <c r="J35" s="48">
        <f t="shared" si="5"/>
        <v>0</v>
      </c>
      <c r="K35" s="255">
        <f t="shared" si="1"/>
        <v>0</v>
      </c>
      <c r="L35" s="256"/>
      <c r="M35" s="257">
        <f>'МЕХАНИЗАТОРЫ ноябрь'!Q170</f>
        <v>0</v>
      </c>
      <c r="N35" s="254">
        <f t="shared" si="7"/>
        <v>0</v>
      </c>
      <c r="O35" s="471">
        <f t="shared" si="8"/>
        <v>0</v>
      </c>
      <c r="P35" s="258"/>
      <c r="Q35" s="25"/>
      <c r="R35" s="25"/>
      <c r="S35" s="242"/>
      <c r="T35" s="25"/>
      <c r="U35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6" spans="1:21" ht="13.8" hidden="1" customHeight="1" x14ac:dyDescent="0.3">
      <c r="A36" s="240"/>
      <c r="B36" s="469"/>
      <c r="C36" s="258"/>
      <c r="D36" s="48">
        <v>0</v>
      </c>
      <c r="E36" s="469"/>
      <c r="F36" s="469"/>
      <c r="G36" s="469"/>
      <c r="H36" s="469"/>
      <c r="I36" s="241"/>
      <c r="J36" s="48">
        <f t="shared" si="5"/>
        <v>0</v>
      </c>
      <c r="K36" s="255">
        <f t="shared" si="1"/>
        <v>0</v>
      </c>
      <c r="L36" s="256"/>
      <c r="M36" s="257">
        <f>'МЕХАНИЗАТОРЫ ноябрь'!Q171</f>
        <v>0</v>
      </c>
      <c r="N36" s="254">
        <f t="shared" si="7"/>
        <v>0</v>
      </c>
      <c r="O36" s="471">
        <f t="shared" si="8"/>
        <v>0</v>
      </c>
      <c r="P36" s="258"/>
      <c r="U36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7" spans="1:21" s="24" customFormat="1" ht="14.4" hidden="1" customHeight="1" x14ac:dyDescent="0.3">
      <c r="A37" s="240"/>
      <c r="B37" s="469"/>
      <c r="C37" s="258"/>
      <c r="D37" s="48">
        <v>0</v>
      </c>
      <c r="E37" s="470"/>
      <c r="F37" s="254"/>
      <c r="G37" s="241"/>
      <c r="H37" s="241"/>
      <c r="I37" s="241"/>
      <c r="J37" s="48">
        <f t="shared" si="5"/>
        <v>0</v>
      </c>
      <c r="K37" s="255">
        <f t="shared" si="1"/>
        <v>0</v>
      </c>
      <c r="L37" s="472"/>
      <c r="M37" s="257">
        <f>'МЕХАНИЗАТОРЫ ноябрь'!Q172</f>
        <v>0</v>
      </c>
      <c r="N37" s="254">
        <f t="shared" si="7"/>
        <v>0</v>
      </c>
      <c r="O37" s="471">
        <f t="shared" si="8"/>
        <v>0</v>
      </c>
      <c r="P37" s="446"/>
      <c r="Q37" s="25"/>
      <c r="R37" s="25"/>
      <c r="S37" s="242"/>
      <c r="T37" s="25"/>
      <c r="U37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8" spans="1:21" s="24" customFormat="1" ht="14.4" hidden="1" customHeight="1" x14ac:dyDescent="0.3">
      <c r="A38" s="48"/>
      <c r="B38" s="469"/>
      <c r="C38" s="258"/>
      <c r="D38" s="48"/>
      <c r="E38" s="470"/>
      <c r="F38" s="254"/>
      <c r="G38" s="241"/>
      <c r="H38" s="241"/>
      <c r="I38" s="241"/>
      <c r="J38" s="471"/>
      <c r="K38" s="255"/>
      <c r="L38" s="472"/>
      <c r="M38" s="257">
        <f>'МЕХАНИЗАТОРЫ ноябрь'!Q173</f>
        <v>0</v>
      </c>
      <c r="N38" s="254">
        <f t="shared" si="7"/>
        <v>0</v>
      </c>
      <c r="O38" s="471">
        <f t="shared" si="8"/>
        <v>0</v>
      </c>
      <c r="P38" s="446"/>
      <c r="Q38" s="25"/>
      <c r="R38" s="25"/>
      <c r="S38" s="242"/>
      <c r="T38" s="25"/>
      <c r="U38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39" spans="1:21" ht="13.8" hidden="1" customHeight="1" x14ac:dyDescent="0.3">
      <c r="A39" s="243"/>
      <c r="B39" s="469"/>
      <c r="C39" s="258"/>
      <c r="D39" s="469"/>
      <c r="E39" s="469"/>
      <c r="F39" s="469"/>
      <c r="G39" s="469"/>
      <c r="H39" s="469"/>
      <c r="I39" s="473"/>
      <c r="J39" s="471"/>
      <c r="K39" s="255"/>
      <c r="L39" s="469"/>
      <c r="M39" s="257">
        <f>'МЕХАНИЗАТОРЫ ноябрь'!Q174</f>
        <v>0</v>
      </c>
      <c r="N39" s="254">
        <f t="shared" si="7"/>
        <v>0</v>
      </c>
      <c r="O39" s="471">
        <f t="shared" si="8"/>
        <v>0</v>
      </c>
      <c r="P39" s="446"/>
      <c r="U39" s="24" t="str">
        <f t="shared" si="2"/>
        <v xml:space="preserve"> ЗП с 01.01-31.01( год. роботи*) + ТО  год.*100=0,00 ФОТ Січень 2025 = 0,00. Борг компании: 0,00. До виплати - 0,00 грн.</v>
      </c>
    </row>
    <row r="40" spans="1:21" ht="14.4" hidden="1" customHeight="1" x14ac:dyDescent="0.3">
      <c r="A40" s="243"/>
      <c r="B40" s="469"/>
      <c r="C40" s="258"/>
      <c r="D40" s="469"/>
      <c r="E40" s="469"/>
      <c r="F40" s="469"/>
      <c r="G40" s="469"/>
      <c r="H40" s="469"/>
      <c r="I40" s="473"/>
      <c r="J40" s="471"/>
      <c r="K40" s="474"/>
      <c r="L40" s="469"/>
      <c r="M40" s="469"/>
      <c r="N40" s="469"/>
      <c r="O40" s="475"/>
      <c r="P40" s="446"/>
    </row>
    <row r="41" spans="1:21" x14ac:dyDescent="0.3">
      <c r="A41" s="250"/>
      <c r="B41" s="476" t="s">
        <v>468</v>
      </c>
      <c r="C41" s="476"/>
      <c r="D41" s="477"/>
      <c r="E41" s="477"/>
      <c r="F41" s="477"/>
      <c r="G41" s="477"/>
      <c r="H41" s="476"/>
      <c r="I41" s="476"/>
      <c r="J41" s="477">
        <f>SUM(J4:J40)</f>
        <v>472770</v>
      </c>
      <c r="K41" s="477">
        <f>SUM(K4:K40)</f>
        <v>0</v>
      </c>
      <c r="L41" s="477">
        <f>SUM(L4:L40)</f>
        <v>64894.250199999995</v>
      </c>
      <c r="M41" s="469"/>
      <c r="N41" s="469"/>
      <c r="O41" s="477">
        <f>SUM(O4:O40)</f>
        <v>380500</v>
      </c>
      <c r="P41" s="445"/>
    </row>
    <row r="42" spans="1:21" x14ac:dyDescent="0.3">
      <c r="J42" s="242"/>
      <c r="K42" s="242"/>
      <c r="L42" s="25"/>
      <c r="O42" s="25"/>
    </row>
    <row r="43" spans="1:21" x14ac:dyDescent="0.3">
      <c r="O43" s="242">
        <f>O41-'МЕХАНИЗАТОРЫ апрель'!V163</f>
        <v>-104552</v>
      </c>
    </row>
    <row r="45" spans="1:21" x14ac:dyDescent="0.3">
      <c r="O45" s="242"/>
    </row>
    <row r="46" spans="1:21" outlineLevel="1" x14ac:dyDescent="0.3"/>
    <row r="47" spans="1:21" ht="15" outlineLevel="1" thickBot="1" x14ac:dyDescent="0.35">
      <c r="F47" s="611"/>
      <c r="G47" s="611"/>
      <c r="H47" s="611"/>
      <c r="I47" s="611"/>
    </row>
    <row r="48" spans="1:21" ht="43.8" customHeight="1" outlineLevel="1" thickBot="1" x14ac:dyDescent="0.35">
      <c r="C48" s="479" t="s">
        <v>552</v>
      </c>
      <c r="D48" s="479" t="s">
        <v>553</v>
      </c>
      <c r="E48" s="479" t="s">
        <v>448</v>
      </c>
      <c r="F48" s="479" t="s">
        <v>449</v>
      </c>
      <c r="G48" s="480" t="s">
        <v>450</v>
      </c>
      <c r="H48" s="480" t="s">
        <v>451</v>
      </c>
      <c r="I48" s="481" t="s">
        <v>621</v>
      </c>
      <c r="J48" s="482" t="s">
        <v>546</v>
      </c>
      <c r="K48" s="483" t="s">
        <v>555</v>
      </c>
      <c r="L48" s="314" t="s">
        <v>216</v>
      </c>
    </row>
    <row r="49" spans="2:13" s="24" customFormat="1" ht="15" customHeight="1" outlineLevel="1" x14ac:dyDescent="0.3">
      <c r="C49" s="491">
        <v>1139</v>
      </c>
      <c r="D49" s="484" t="s">
        <v>554</v>
      </c>
      <c r="E49" s="494" t="s">
        <v>550</v>
      </c>
      <c r="F49" s="495">
        <v>3974</v>
      </c>
      <c r="G49" s="496">
        <v>10</v>
      </c>
      <c r="H49" s="495">
        <f t="shared" ref="H49:H54" si="9">F49*G49</f>
        <v>39740</v>
      </c>
      <c r="I49" s="495">
        <v>7623</v>
      </c>
      <c r="J49" s="495">
        <f>H49-I49</f>
        <v>32117</v>
      </c>
      <c r="K49" s="522">
        <f>ROUND(H49-I49,-2)</f>
        <v>32100</v>
      </c>
      <c r="L49" s="605">
        <f>H49+H50+H51-I49-K49-K50-K51</f>
        <v>37</v>
      </c>
    </row>
    <row r="50" spans="2:13" s="24" customFormat="1" ht="15" customHeight="1" outlineLevel="1" thickBot="1" x14ac:dyDescent="0.35">
      <c r="C50" s="492">
        <v>1140</v>
      </c>
      <c r="D50" s="485" t="s">
        <v>622</v>
      </c>
      <c r="E50" s="488" t="s">
        <v>550</v>
      </c>
      <c r="F50" s="489">
        <v>162</v>
      </c>
      <c r="G50" s="490">
        <v>10</v>
      </c>
      <c r="H50" s="489">
        <f t="shared" si="9"/>
        <v>1620</v>
      </c>
      <c r="I50" s="489"/>
      <c r="J50" s="489">
        <f>H50-I50</f>
        <v>1620</v>
      </c>
      <c r="K50" s="523">
        <f>ROUND(H50-I50,-2)</f>
        <v>1600</v>
      </c>
      <c r="L50" s="606"/>
    </row>
    <row r="51" spans="2:13" s="24" customFormat="1" ht="15" customHeight="1" outlineLevel="1" thickBot="1" x14ac:dyDescent="0.35">
      <c r="B51" s="24" t="s">
        <v>624</v>
      </c>
      <c r="C51" s="493">
        <v>1139</v>
      </c>
      <c r="D51" s="484" t="s">
        <v>554</v>
      </c>
      <c r="E51" s="502" t="s">
        <v>550</v>
      </c>
      <c r="F51" s="503">
        <v>2</v>
      </c>
      <c r="G51" s="504">
        <v>1500</v>
      </c>
      <c r="H51" s="503">
        <f t="shared" si="9"/>
        <v>3000</v>
      </c>
      <c r="I51" s="503"/>
      <c r="J51" s="503">
        <f>F51*G51</f>
        <v>3000</v>
      </c>
      <c r="K51" s="524">
        <f>J51</f>
        <v>3000</v>
      </c>
      <c r="L51" s="607"/>
      <c r="M51" s="24" t="s">
        <v>627</v>
      </c>
    </row>
    <row r="52" spans="2:13" s="24" customFormat="1" ht="15" customHeight="1" outlineLevel="1" x14ac:dyDescent="0.3">
      <c r="C52" s="505">
        <v>1142</v>
      </c>
      <c r="D52" s="484" t="s">
        <v>583</v>
      </c>
      <c r="E52" s="494" t="s">
        <v>551</v>
      </c>
      <c r="F52" s="495">
        <v>1106</v>
      </c>
      <c r="G52" s="496">
        <v>10</v>
      </c>
      <c r="H52" s="495">
        <f t="shared" si="9"/>
        <v>11060</v>
      </c>
      <c r="I52" s="495">
        <v>3811.5</v>
      </c>
      <c r="J52" s="495">
        <f>H52-I52</f>
        <v>7248.5</v>
      </c>
      <c r="K52" s="497">
        <f>ROUND(H52-I52,-2)</f>
        <v>7200</v>
      </c>
      <c r="L52" s="605">
        <f>H52+H53+H54-I52-K52-K53-K54</f>
        <v>38.5</v>
      </c>
      <c r="M52"/>
    </row>
    <row r="53" spans="2:13" s="24" customFormat="1" ht="15" customHeight="1" outlineLevel="1" x14ac:dyDescent="0.3">
      <c r="C53" s="506">
        <v>1141</v>
      </c>
      <c r="D53" s="485" t="s">
        <v>622</v>
      </c>
      <c r="E53" s="488" t="s">
        <v>551</v>
      </c>
      <c r="F53" s="489">
        <v>1649</v>
      </c>
      <c r="G53" s="490">
        <v>10</v>
      </c>
      <c r="H53" s="489">
        <f t="shared" si="9"/>
        <v>16490</v>
      </c>
      <c r="I53" s="489"/>
      <c r="J53" s="489">
        <f>H53-I53</f>
        <v>16490</v>
      </c>
      <c r="K53" s="471">
        <f>ROUND(H53-I53,-2)</f>
        <v>16500</v>
      </c>
      <c r="L53" s="606"/>
    </row>
    <row r="54" spans="2:13" s="24" customFormat="1" ht="15" outlineLevel="1" thickBot="1" x14ac:dyDescent="0.35">
      <c r="B54" s="24" t="s">
        <v>624</v>
      </c>
      <c r="C54" s="505">
        <v>1142</v>
      </c>
      <c r="D54" s="486" t="s">
        <v>583</v>
      </c>
      <c r="E54" s="498" t="s">
        <v>551</v>
      </c>
      <c r="F54" s="499">
        <v>1</v>
      </c>
      <c r="G54" s="500">
        <v>1500</v>
      </c>
      <c r="H54" s="499">
        <f t="shared" si="9"/>
        <v>1500</v>
      </c>
      <c r="I54" s="499"/>
      <c r="J54" s="499">
        <f>H54-I54</f>
        <v>1500</v>
      </c>
      <c r="K54" s="501">
        <f>ROUND(H54-I54,-2)</f>
        <v>1500</v>
      </c>
      <c r="L54" s="608"/>
      <c r="M54" s="24" t="s">
        <v>623</v>
      </c>
    </row>
    <row r="55" spans="2:13" s="24" customFormat="1" outlineLevel="1" x14ac:dyDescent="0.3">
      <c r="K55" s="487">
        <f>SUM(K49:K54)</f>
        <v>61900</v>
      </c>
    </row>
    <row r="56" spans="2:13" x14ac:dyDescent="0.3">
      <c r="E56" s="24" t="s">
        <v>625</v>
      </c>
      <c r="F56" s="242">
        <f>K49+K50+K51</f>
        <v>36700</v>
      </c>
      <c r="K56" s="242"/>
    </row>
    <row r="57" spans="2:13" x14ac:dyDescent="0.3">
      <c r="E57" s="24" t="s">
        <v>626</v>
      </c>
      <c r="F57" s="242">
        <f>K52+K53+K54</f>
        <v>25200</v>
      </c>
    </row>
  </sheetData>
  <autoFilter ref="A3:V39" xr:uid="{00000000-0009-0000-0000-000013000000}"/>
  <mergeCells count="13">
    <mergeCell ref="L52:L54"/>
    <mergeCell ref="A28:A29"/>
    <mergeCell ref="F47:I47"/>
    <mergeCell ref="C5:C6"/>
    <mergeCell ref="C10:C12"/>
    <mergeCell ref="C14:C15"/>
    <mergeCell ref="C21:C23"/>
    <mergeCell ref="A21:A22"/>
    <mergeCell ref="P5:P6"/>
    <mergeCell ref="P10:P12"/>
    <mergeCell ref="P14:P15"/>
    <mergeCell ref="P21:P23"/>
    <mergeCell ref="L49:L51"/>
  </mergeCells>
  <conditionalFormatting sqref="K4:K40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E52"/>
  <sheetViews>
    <sheetView zoomScaleNormal="100" workbookViewId="0">
      <pane xSplit="2" ySplit="3" topLeftCell="K7" activePane="bottomRight" state="frozen"/>
      <selection pane="topRight" activeCell="C1" sqref="C1"/>
      <selection pane="bottomLeft" activeCell="A4" sqref="A4"/>
      <selection pane="bottomRight" activeCell="A20" sqref="A20:XFD20"/>
    </sheetView>
  </sheetViews>
  <sheetFormatPr defaultRowHeight="14.4" outlineLevelRow="1" outlineLevelCol="1" x14ac:dyDescent="0.3"/>
  <cols>
    <col min="1" max="1" width="10.33203125" customWidth="1"/>
    <col min="2" max="2" width="24.109375" style="24" customWidth="1"/>
    <col min="3" max="4" width="12.21875" style="24" customWidth="1"/>
    <col min="5" max="9" width="12.21875" style="24" customWidth="1" outlineLevel="1"/>
    <col min="10" max="12" width="12.21875" style="24" customWidth="1"/>
    <col min="13" max="13" width="28.5546875" style="24" customWidth="1"/>
    <col min="14" max="15" width="24.77734375" style="24" customWidth="1"/>
    <col min="16" max="16" width="16.88671875" style="24" customWidth="1"/>
    <col min="17" max="17" width="8.77734375" style="24" customWidth="1"/>
    <col min="18" max="18" width="8.77734375" style="24" customWidth="1" outlineLevel="1"/>
    <col min="19" max="19" width="10.33203125" style="24" customWidth="1" outlineLevel="1"/>
    <col min="20" max="20" width="8.88671875" style="24" customWidth="1" outlineLevel="1"/>
    <col min="21" max="21" width="8.88671875" customWidth="1" outlineLevel="1" collapsed="1"/>
    <col min="22" max="31" width="8.88671875" customWidth="1" outlineLevel="1"/>
  </cols>
  <sheetData>
    <row r="2" spans="1:22" s="27" customFormat="1" x14ac:dyDescent="0.3">
      <c r="B2" s="311"/>
      <c r="C2" s="311"/>
      <c r="D2" s="311"/>
      <c r="E2" s="312">
        <f>SUM(E4:E40)</f>
        <v>2135</v>
      </c>
      <c r="F2" s="312">
        <f>SUM(F4:F40)</f>
        <v>2001</v>
      </c>
      <c r="G2" s="312">
        <f>SUM(G4:G40)</f>
        <v>134</v>
      </c>
      <c r="H2" s="311"/>
      <c r="I2" s="311"/>
      <c r="J2" s="312">
        <f>SUM(J4:J38)</f>
        <v>519630</v>
      </c>
      <c r="K2" s="311"/>
      <c r="L2" s="311"/>
      <c r="M2" s="311"/>
      <c r="N2" s="311"/>
      <c r="O2" s="311"/>
      <c r="P2" s="311"/>
      <c r="Q2" s="311"/>
      <c r="R2" s="311"/>
      <c r="S2" s="311"/>
      <c r="T2" s="311"/>
      <c r="V2" s="45" t="s">
        <v>641</v>
      </c>
    </row>
    <row r="3" spans="1:22" s="27" customFormat="1" ht="43.8" thickBot="1" x14ac:dyDescent="0.35">
      <c r="A3" s="466" t="s">
        <v>63</v>
      </c>
      <c r="B3" s="467" t="s">
        <v>60</v>
      </c>
      <c r="C3" s="468" t="s">
        <v>358</v>
      </c>
      <c r="D3" s="467" t="s">
        <v>357</v>
      </c>
      <c r="E3" s="467" t="s">
        <v>79</v>
      </c>
      <c r="F3" s="467" t="s">
        <v>81</v>
      </c>
      <c r="G3" s="467" t="s">
        <v>82</v>
      </c>
      <c r="H3" s="467" t="s">
        <v>78</v>
      </c>
      <c r="I3" s="467" t="s">
        <v>80</v>
      </c>
      <c r="J3" s="467" t="s">
        <v>62</v>
      </c>
      <c r="K3" s="467" t="s">
        <v>359</v>
      </c>
      <c r="L3" s="467" t="s">
        <v>637</v>
      </c>
      <c r="M3" s="467" t="s">
        <v>65</v>
      </c>
      <c r="N3" s="467" t="s">
        <v>471</v>
      </c>
      <c r="O3" s="556" t="s">
        <v>640</v>
      </c>
      <c r="P3" s="467" t="s">
        <v>61</v>
      </c>
      <c r="Q3" s="468" t="s">
        <v>216</v>
      </c>
      <c r="R3" s="311"/>
      <c r="S3" s="311"/>
      <c r="T3" s="311"/>
      <c r="V3" t="s">
        <v>642</v>
      </c>
    </row>
    <row r="4" spans="1:22" ht="16.2" customHeight="1" x14ac:dyDescent="0.3">
      <c r="A4" s="240">
        <v>1883</v>
      </c>
      <c r="B4" s="241" t="s">
        <v>590</v>
      </c>
      <c r="C4" s="613">
        <f>'2025_01_01'!P4</f>
        <v>-20</v>
      </c>
      <c r="D4" s="554">
        <v>36910</v>
      </c>
      <c r="E4" s="313">
        <v>165</v>
      </c>
      <c r="F4" s="254">
        <v>157</v>
      </c>
      <c r="G4" s="241">
        <v>8</v>
      </c>
      <c r="H4" s="241">
        <v>230</v>
      </c>
      <c r="I4" s="241">
        <v>100</v>
      </c>
      <c r="J4" s="48">
        <f t="shared" ref="J4:J37" si="0">F4*H4+G4*I4</f>
        <v>36910</v>
      </c>
      <c r="K4" s="255">
        <f t="shared" ref="K4:K37" si="1">J4-D4</f>
        <v>0</v>
      </c>
      <c r="L4" s="256">
        <v>6830.253830809902</v>
      </c>
      <c r="M4" s="257" t="s">
        <v>585</v>
      </c>
      <c r="N4" s="254" t="s">
        <v>67</v>
      </c>
      <c r="O4" s="254"/>
      <c r="P4" s="471">
        <f>ROUND(C4+D4-L4-O4,-2)</f>
        <v>30100</v>
      </c>
      <c r="Q4" s="612">
        <f>C4+D4-L4-O4-P4</f>
        <v>-40.253830809902865</v>
      </c>
      <c r="R4" s="25">
        <v>30079.746169190101</v>
      </c>
      <c r="S4" s="25">
        <f>P4-R4</f>
        <v>20.253830809899227</v>
      </c>
      <c r="T4" s="242"/>
      <c r="U4" s="13"/>
      <c r="V4" t="str">
        <f t="shared" ref="V4:V39" si="2">B4&amp;" ЗП "&amp;$V$3&amp;F4&amp;" год. роботи*"&amp;H4&amp;") + ТО "&amp;G4&amp;" год.*100="&amp;TEXT(J4,"# #0,00")&amp;" ФОТ "&amp;$V$2&amp;TEXT(L4,"# #0,00")&amp;". Борг компании: "&amp;TEXT(Q4,"# #0,00")&amp;". До виплати - "&amp;TEXT(P4,"# #0,00")&amp;" грн."</f>
        <v>Василиу Р.Г. ЗП с 01.02-28.02(157 год. роботи*230) + ТО 8 год.*100=36 910,00 ФОТ Лютий  2025 = 6 830,25. Борг компании: -40,25. До виплати - 30 100,00 грн.</v>
      </c>
    </row>
    <row r="5" spans="1:22" x14ac:dyDescent="0.3">
      <c r="A5" s="240">
        <v>1893</v>
      </c>
      <c r="B5" s="473" t="s">
        <v>590</v>
      </c>
      <c r="C5" s="603"/>
      <c r="D5" s="48">
        <v>4700</v>
      </c>
      <c r="E5" s="470">
        <v>21</v>
      </c>
      <c r="F5" s="254">
        <v>20</v>
      </c>
      <c r="G5" s="241">
        <v>1</v>
      </c>
      <c r="H5" s="241">
        <v>230</v>
      </c>
      <c r="I5" s="241">
        <v>100</v>
      </c>
      <c r="J5" s="48">
        <f t="shared" si="0"/>
        <v>4700</v>
      </c>
      <c r="K5" s="255">
        <f t="shared" si="1"/>
        <v>0</v>
      </c>
      <c r="L5" s="256">
        <v>869.7461691900985</v>
      </c>
      <c r="M5" s="257" t="s">
        <v>585</v>
      </c>
      <c r="N5" s="254" t="s">
        <v>72</v>
      </c>
      <c r="O5" s="254"/>
      <c r="P5" s="471">
        <f>ROUND(D5-L5-O5,-2)</f>
        <v>3800</v>
      </c>
      <c r="Q5" s="603"/>
      <c r="R5" s="25">
        <v>3830.2538308099015</v>
      </c>
      <c r="S5" s="25">
        <f t="shared" ref="S5:S39" si="3">P5-R5</f>
        <v>-30.253830809901501</v>
      </c>
      <c r="T5" s="242"/>
      <c r="U5" s="13"/>
      <c r="V5" t="str">
        <f t="shared" si="2"/>
        <v>Василиу Р.Г. ЗП с 01.02-28.02(20 год. роботи*230) + ТО 1 год.*100=4 700,00 ФОТ Лютий  2025 = 869,75. Борг компании: 0,00. До виплати - 3 800,00 грн.</v>
      </c>
    </row>
    <row r="6" spans="1:22" ht="19.2" customHeight="1" x14ac:dyDescent="0.3">
      <c r="A6" s="240">
        <v>1884</v>
      </c>
      <c r="B6" s="469" t="s">
        <v>616</v>
      </c>
      <c r="C6" s="613">
        <f>'2025_01_01'!P7</f>
        <v>-50</v>
      </c>
      <c r="D6" s="48">
        <v>9860</v>
      </c>
      <c r="E6" s="470">
        <v>44</v>
      </c>
      <c r="F6" s="254">
        <v>42</v>
      </c>
      <c r="G6" s="241">
        <v>2</v>
      </c>
      <c r="H6" s="241">
        <v>230</v>
      </c>
      <c r="I6" s="241">
        <v>100</v>
      </c>
      <c r="J6" s="48">
        <f t="shared" si="0"/>
        <v>9860</v>
      </c>
      <c r="K6" s="255">
        <f t="shared" si="1"/>
        <v>0</v>
      </c>
      <c r="L6" s="256">
        <v>0</v>
      </c>
      <c r="M6" s="257" t="s">
        <v>585</v>
      </c>
      <c r="N6" s="254" t="s">
        <v>76</v>
      </c>
      <c r="O6" s="254"/>
      <c r="P6" s="471">
        <f>ROUND(C6+D6-L6-O6,-2)</f>
        <v>9800</v>
      </c>
      <c r="Q6" s="612">
        <f t="shared" ref="Q6:Q37" si="4">C6+D6-L6-O6-P6</f>
        <v>10</v>
      </c>
      <c r="R6" s="25">
        <v>9860</v>
      </c>
      <c r="S6" s="25">
        <f t="shared" si="3"/>
        <v>-60</v>
      </c>
      <c r="T6" s="242"/>
      <c r="U6" s="13"/>
      <c r="V6" t="str">
        <f t="shared" si="2"/>
        <v>Грунковский В.В. ЗП с 01.02-28.02(42 год. роботи*230) + ТО 2 год.*100=9 860,00 ФОТ Лютий  2025 = 0,00. Борг компании: 10,00. До виплати - 9 800,00 грн.</v>
      </c>
    </row>
    <row r="7" spans="1:22" ht="15.6" customHeight="1" x14ac:dyDescent="0.3">
      <c r="A7" s="240">
        <v>1902</v>
      </c>
      <c r="B7" s="469" t="s">
        <v>616</v>
      </c>
      <c r="C7" s="603"/>
      <c r="D7" s="48">
        <v>6820</v>
      </c>
      <c r="E7" s="470">
        <v>31</v>
      </c>
      <c r="F7" s="254">
        <v>31</v>
      </c>
      <c r="G7" s="241">
        <v>0</v>
      </c>
      <c r="H7" s="241">
        <v>220</v>
      </c>
      <c r="I7" s="241">
        <v>100</v>
      </c>
      <c r="J7" s="48">
        <f t="shared" si="0"/>
        <v>6820</v>
      </c>
      <c r="K7" s="255">
        <f t="shared" si="1"/>
        <v>0</v>
      </c>
      <c r="L7" s="256">
        <v>0</v>
      </c>
      <c r="M7" s="257" t="s">
        <v>585</v>
      </c>
      <c r="N7" s="254" t="s">
        <v>0</v>
      </c>
      <c r="O7" s="254"/>
      <c r="P7" s="471">
        <f>ROUND(D7-L7-O7,-2)</f>
        <v>6800</v>
      </c>
      <c r="Q7" s="603"/>
      <c r="R7" s="25">
        <v>6820</v>
      </c>
      <c r="S7" s="25">
        <f t="shared" si="3"/>
        <v>-20</v>
      </c>
      <c r="T7" s="242"/>
      <c r="U7" s="13"/>
      <c r="V7" t="str">
        <f t="shared" si="2"/>
        <v>Грунковский В.В. ЗП с 01.02-28.02(31 год. роботи*220) + ТО 0 год.*100=6 820,00 ФОТ Лютий  2025 = 0,00. Борг компании: 0,00. До виплати - 6 800,00 грн.</v>
      </c>
    </row>
    <row r="8" spans="1:22" x14ac:dyDescent="0.3">
      <c r="A8" s="240">
        <v>1885</v>
      </c>
      <c r="B8" s="469" t="s">
        <v>631</v>
      </c>
      <c r="C8" s="552"/>
      <c r="D8" s="48">
        <v>2440</v>
      </c>
      <c r="E8" s="470">
        <v>14</v>
      </c>
      <c r="F8" s="254">
        <v>8</v>
      </c>
      <c r="G8" s="241">
        <v>6</v>
      </c>
      <c r="H8" s="241">
        <v>230</v>
      </c>
      <c r="I8" s="241">
        <v>100</v>
      </c>
      <c r="J8" s="48">
        <f t="shared" si="0"/>
        <v>2440</v>
      </c>
      <c r="K8" s="255">
        <f t="shared" si="1"/>
        <v>0</v>
      </c>
      <c r="L8" s="256">
        <v>0</v>
      </c>
      <c r="M8" s="257" t="s">
        <v>585</v>
      </c>
      <c r="N8" s="254" t="s">
        <v>76</v>
      </c>
      <c r="O8" s="254"/>
      <c r="P8" s="471">
        <f t="shared" ref="P8:P27" si="5">ROUND(C8+D8-L8-O8,-2)</f>
        <v>2400</v>
      </c>
      <c r="Q8" s="258">
        <f t="shared" si="4"/>
        <v>40</v>
      </c>
      <c r="R8" s="25">
        <v>2440</v>
      </c>
      <c r="S8" s="25">
        <f t="shared" si="3"/>
        <v>-40</v>
      </c>
      <c r="T8" s="242"/>
      <c r="U8" s="13"/>
      <c r="V8" t="str">
        <f t="shared" si="2"/>
        <v>Тройняк О.В. ЗП с 01.02-28.02(8 год. роботи*230) + ТО 6 год.*100=2 440,00 ФОТ Лютий  2025 = 0,00. Борг компании: 40,00. До виплати - 2 400,00 грн.</v>
      </c>
    </row>
    <row r="9" spans="1:22" s="24" customFormat="1" x14ac:dyDescent="0.3">
      <c r="A9" s="240">
        <v>1897</v>
      </c>
      <c r="B9" s="469" t="s">
        <v>600</v>
      </c>
      <c r="C9" s="552">
        <v>10</v>
      </c>
      <c r="D9" s="48">
        <v>37200</v>
      </c>
      <c r="E9" s="470">
        <v>164</v>
      </c>
      <c r="F9" s="254">
        <v>160</v>
      </c>
      <c r="G9" s="241">
        <v>4</v>
      </c>
      <c r="H9" s="241">
        <v>230</v>
      </c>
      <c r="I9" s="241">
        <v>100</v>
      </c>
      <c r="J9" s="48">
        <f t="shared" si="0"/>
        <v>37200</v>
      </c>
      <c r="K9" s="255">
        <f t="shared" si="1"/>
        <v>0</v>
      </c>
      <c r="L9" s="256">
        <v>0</v>
      </c>
      <c r="M9" s="257" t="s">
        <v>585</v>
      </c>
      <c r="N9" s="254" t="s">
        <v>72</v>
      </c>
      <c r="O9" s="254"/>
      <c r="P9" s="471">
        <f t="shared" si="5"/>
        <v>37200</v>
      </c>
      <c r="Q9" s="258">
        <f t="shared" si="4"/>
        <v>10</v>
      </c>
      <c r="R9" s="25">
        <v>37200</v>
      </c>
      <c r="S9" s="25">
        <f t="shared" si="3"/>
        <v>0</v>
      </c>
      <c r="T9" s="242"/>
      <c r="U9" s="25"/>
      <c r="V9" s="24" t="str">
        <f t="shared" si="2"/>
        <v>Зубко О.В. ЗП с 01.02-28.02(160 год. роботи*230) + ТО 4 год.*100=37 200,00 ФОТ Лютий  2025 = 0,00. Борг компании: 10,00. До виплати - 37 200,00 грн.</v>
      </c>
    </row>
    <row r="10" spans="1:22" s="24" customFormat="1" x14ac:dyDescent="0.3">
      <c r="A10" s="240">
        <v>1898</v>
      </c>
      <c r="B10" s="469" t="s">
        <v>244</v>
      </c>
      <c r="C10" s="552">
        <f>'2025_01_01'!P8</f>
        <v>-22.25</v>
      </c>
      <c r="D10" s="48">
        <v>44800</v>
      </c>
      <c r="E10" s="470">
        <v>201</v>
      </c>
      <c r="F10" s="254">
        <v>190</v>
      </c>
      <c r="G10" s="241">
        <v>11</v>
      </c>
      <c r="H10" s="241">
        <v>230</v>
      </c>
      <c r="I10" s="241">
        <v>100</v>
      </c>
      <c r="J10" s="48">
        <f t="shared" si="0"/>
        <v>44800</v>
      </c>
      <c r="K10" s="255">
        <f t="shared" si="1"/>
        <v>0</v>
      </c>
      <c r="L10" s="256">
        <v>8008</v>
      </c>
      <c r="M10" s="257" t="s">
        <v>585</v>
      </c>
      <c r="N10" s="254" t="s">
        <v>71</v>
      </c>
      <c r="O10" s="254"/>
      <c r="P10" s="471">
        <f t="shared" si="5"/>
        <v>36800</v>
      </c>
      <c r="Q10" s="258">
        <f t="shared" si="4"/>
        <v>-30.25</v>
      </c>
      <c r="R10" s="25">
        <v>36792</v>
      </c>
      <c r="S10" s="25">
        <f t="shared" si="3"/>
        <v>8</v>
      </c>
      <c r="T10" s="242"/>
      <c r="U10" s="25"/>
      <c r="V10" s="24" t="str">
        <f t="shared" si="2"/>
        <v>Карбунар Я.Д. ЗП с 01.02-28.02(190 год. роботи*230) + ТО 11 год.*100=44 800,00 ФОТ Лютий  2025 = 8 008,00. Борг компании: -30,25. До виплати - 36 800,00 грн.</v>
      </c>
    </row>
    <row r="11" spans="1:22" s="24" customFormat="1" x14ac:dyDescent="0.3">
      <c r="A11" s="240">
        <v>1938</v>
      </c>
      <c r="B11" s="469" t="s">
        <v>601</v>
      </c>
      <c r="C11" s="552">
        <f>'2025_01_01'!P9</f>
        <v>-41.940000000002328</v>
      </c>
      <c r="D11" s="48">
        <v>46320</v>
      </c>
      <c r="E11" s="470">
        <v>211</v>
      </c>
      <c r="F11" s="254">
        <v>194</v>
      </c>
      <c r="G11" s="241">
        <v>17</v>
      </c>
      <c r="H11" s="241">
        <v>230</v>
      </c>
      <c r="I11" s="241">
        <v>100</v>
      </c>
      <c r="J11" s="48">
        <f t="shared" si="0"/>
        <v>46320</v>
      </c>
      <c r="K11" s="255">
        <f t="shared" si="1"/>
        <v>0</v>
      </c>
      <c r="L11" s="256">
        <v>8008</v>
      </c>
      <c r="M11" s="257" t="s">
        <v>585</v>
      </c>
      <c r="N11" s="254" t="s">
        <v>73</v>
      </c>
      <c r="O11" s="254"/>
      <c r="P11" s="471">
        <f t="shared" si="5"/>
        <v>38300</v>
      </c>
      <c r="Q11" s="258">
        <f t="shared" si="4"/>
        <v>-29.940000000002328</v>
      </c>
      <c r="R11" s="25">
        <v>38312</v>
      </c>
      <c r="S11" s="25">
        <f t="shared" si="3"/>
        <v>-12</v>
      </c>
      <c r="T11" s="242"/>
      <c r="U11" s="25"/>
      <c r="V11" s="24" t="str">
        <f t="shared" si="2"/>
        <v>Скоц С.И. ЗП с 01.02-28.02(194 год. роботи*230) + ТО 17 год.*100=46 320,00 ФОТ Лютий  2025 = 8 008,00. Борг компании: -29,94. До виплати - 38 300,00 грн.</v>
      </c>
    </row>
    <row r="12" spans="1:22" s="24" customFormat="1" x14ac:dyDescent="0.3">
      <c r="A12" s="240">
        <v>1939</v>
      </c>
      <c r="B12" s="469" t="s">
        <v>586</v>
      </c>
      <c r="C12" s="552">
        <v>26.26</v>
      </c>
      <c r="D12" s="48">
        <v>37810</v>
      </c>
      <c r="E12" s="470">
        <v>174</v>
      </c>
      <c r="F12" s="254">
        <v>157</v>
      </c>
      <c r="G12" s="241">
        <v>17</v>
      </c>
      <c r="H12" s="241">
        <v>230</v>
      </c>
      <c r="I12" s="241">
        <v>100</v>
      </c>
      <c r="J12" s="48">
        <f t="shared" si="0"/>
        <v>37810</v>
      </c>
      <c r="K12" s="255">
        <f t="shared" si="1"/>
        <v>0</v>
      </c>
      <c r="L12" s="256">
        <v>7700</v>
      </c>
      <c r="M12" s="257" t="s">
        <v>585</v>
      </c>
      <c r="N12" s="254" t="s">
        <v>77</v>
      </c>
      <c r="O12" s="254"/>
      <c r="P12" s="471">
        <f t="shared" si="5"/>
        <v>30100</v>
      </c>
      <c r="Q12" s="258">
        <f t="shared" si="4"/>
        <v>36.260000000002037</v>
      </c>
      <c r="R12" s="25">
        <v>30110</v>
      </c>
      <c r="S12" s="25">
        <f t="shared" si="3"/>
        <v>-10</v>
      </c>
      <c r="T12" s="242"/>
      <c r="U12" s="25"/>
      <c r="V12" s="24" t="str">
        <f t="shared" si="2"/>
        <v>Ляшко С.М. ЗП с 01.02-28.02(157 год. роботи*230) + ТО 17 год.*100=37 810,00 ФОТ Лютий  2025 = 7 700,00. Борг компании: 36,26. До виплати - 30 100,00 грн.</v>
      </c>
    </row>
    <row r="13" spans="1:22" x14ac:dyDescent="0.3">
      <c r="A13" s="240">
        <v>1940</v>
      </c>
      <c r="B13" s="469" t="s">
        <v>246</v>
      </c>
      <c r="C13" s="552">
        <f>'2025_01_01'!P13</f>
        <v>10</v>
      </c>
      <c r="D13" s="48">
        <v>54160</v>
      </c>
      <c r="E13" s="470">
        <v>205</v>
      </c>
      <c r="F13" s="254">
        <v>198</v>
      </c>
      <c r="G13" s="241">
        <v>7</v>
      </c>
      <c r="H13" s="241">
        <v>270</v>
      </c>
      <c r="I13" s="241">
        <v>100</v>
      </c>
      <c r="J13" s="48">
        <f t="shared" si="0"/>
        <v>54160</v>
      </c>
      <c r="K13" s="255">
        <f t="shared" si="1"/>
        <v>0</v>
      </c>
      <c r="L13" s="256">
        <v>7700</v>
      </c>
      <c r="M13" s="257" t="s">
        <v>585</v>
      </c>
      <c r="N13" s="254" t="s">
        <v>69</v>
      </c>
      <c r="O13" s="254">
        <v>2965.4800016426684</v>
      </c>
      <c r="P13" s="471">
        <f t="shared" si="5"/>
        <v>43500</v>
      </c>
      <c r="Q13" s="258">
        <f t="shared" si="4"/>
        <v>4.5199983573329519</v>
      </c>
      <c r="R13" s="25">
        <v>46460</v>
      </c>
      <c r="S13" s="25">
        <f t="shared" si="3"/>
        <v>-2960</v>
      </c>
      <c r="T13" s="242"/>
      <c r="U13" s="13"/>
      <c r="V13" t="str">
        <f t="shared" si="2"/>
        <v>Болох В.В. ЗП с 01.02-28.02(198 год. роботи*270) + ТО 7 год.*100=54 160,00 ФОТ Лютий  2025 = 7 700,00. Борг компании: 4,52. До виплати - 43 500,00 грн.</v>
      </c>
    </row>
    <row r="14" spans="1:22" s="24" customFormat="1" ht="15" customHeight="1" x14ac:dyDescent="0.3">
      <c r="A14" s="615">
        <v>1899</v>
      </c>
      <c r="B14" s="469" t="s">
        <v>565</v>
      </c>
      <c r="C14" s="613">
        <v>0</v>
      </c>
      <c r="D14" s="48"/>
      <c r="E14" s="470">
        <v>8</v>
      </c>
      <c r="F14" s="254">
        <v>8</v>
      </c>
      <c r="G14" s="241">
        <v>0</v>
      </c>
      <c r="H14" s="241">
        <v>330</v>
      </c>
      <c r="I14" s="241">
        <v>100</v>
      </c>
      <c r="J14" s="48"/>
      <c r="K14" s="255">
        <f t="shared" si="1"/>
        <v>0</v>
      </c>
      <c r="L14" s="256">
        <v>0</v>
      </c>
      <c r="M14" s="257" t="s">
        <v>636</v>
      </c>
      <c r="N14" s="254" t="s">
        <v>523</v>
      </c>
      <c r="O14" s="254"/>
      <c r="P14" s="471">
        <f t="shared" si="5"/>
        <v>0</v>
      </c>
      <c r="Q14" s="258">
        <f t="shared" si="4"/>
        <v>0</v>
      </c>
      <c r="R14" s="25">
        <v>0</v>
      </c>
      <c r="S14" s="25">
        <f t="shared" si="3"/>
        <v>0</v>
      </c>
      <c r="T14" s="242"/>
      <c r="U14" s="25"/>
      <c r="V14" s="24" t="str">
        <f t="shared" si="2"/>
        <v>Филянович Ю.В. ЗП с 01.02-28.02(8 год. роботи*330) + ТО 0 год.*100=0,00 ФОТ Лютий  2025 = 0,00. Борг компании: 0,00. До виплати - 0,00 грн.</v>
      </c>
    </row>
    <row r="15" spans="1:22" s="24" customFormat="1" x14ac:dyDescent="0.3">
      <c r="A15" s="610"/>
      <c r="B15" s="469" t="s">
        <v>565</v>
      </c>
      <c r="C15" s="603"/>
      <c r="D15" s="48">
        <v>50000</v>
      </c>
      <c r="E15" s="470">
        <v>27</v>
      </c>
      <c r="F15" s="254">
        <v>27</v>
      </c>
      <c r="G15" s="241">
        <v>0</v>
      </c>
      <c r="H15" s="241">
        <v>330</v>
      </c>
      <c r="I15" s="241">
        <v>100</v>
      </c>
      <c r="J15" s="48">
        <v>50000</v>
      </c>
      <c r="K15" s="255">
        <f t="shared" si="1"/>
        <v>0</v>
      </c>
      <c r="L15" s="256">
        <v>7700</v>
      </c>
      <c r="M15" s="257" t="s">
        <v>585</v>
      </c>
      <c r="N15" s="254" t="s">
        <v>523</v>
      </c>
      <c r="O15" s="254"/>
      <c r="P15" s="471">
        <f t="shared" si="5"/>
        <v>42300</v>
      </c>
      <c r="Q15" s="258">
        <f t="shared" si="4"/>
        <v>0</v>
      </c>
      <c r="R15" s="25">
        <v>42300</v>
      </c>
      <c r="S15" s="25">
        <f t="shared" si="3"/>
        <v>0</v>
      </c>
      <c r="T15" s="242"/>
      <c r="U15" s="25"/>
      <c r="V15" s="24" t="str">
        <f t="shared" si="2"/>
        <v>Филянович Ю.В. ЗП с 01.02-28.02(27 год. роботи*330) + ТО 0 год.*100=50 000,00 ФОТ Лютий  2025 = 7 700,00. Борг компании: 0,00. До виплати - 42 300,00 грн.</v>
      </c>
    </row>
    <row r="16" spans="1:22" s="24" customFormat="1" x14ac:dyDescent="0.3">
      <c r="A16" s="471">
        <v>1935</v>
      </c>
      <c r="B16" s="469" t="s">
        <v>606</v>
      </c>
      <c r="C16" s="558">
        <f>'2025_01_01'!P16</f>
        <v>27580</v>
      </c>
      <c r="D16" s="48">
        <v>6700</v>
      </c>
      <c r="E16" s="470">
        <v>31</v>
      </c>
      <c r="F16" s="254">
        <v>30</v>
      </c>
      <c r="G16" s="241">
        <v>1</v>
      </c>
      <c r="H16" s="241">
        <v>220</v>
      </c>
      <c r="I16" s="241">
        <v>100</v>
      </c>
      <c r="J16" s="48">
        <f t="shared" si="0"/>
        <v>6700</v>
      </c>
      <c r="K16" s="255">
        <f t="shared" si="1"/>
        <v>0</v>
      </c>
      <c r="L16" s="256">
        <v>0</v>
      </c>
      <c r="M16" s="257" t="s">
        <v>585</v>
      </c>
      <c r="N16" s="254" t="s">
        <v>0</v>
      </c>
      <c r="O16" s="254">
        <f>160*55.95</f>
        <v>8952</v>
      </c>
      <c r="P16" s="471">
        <f>ROUND(C16+D16-L16-O16,-2)</f>
        <v>25300</v>
      </c>
      <c r="Q16" s="258">
        <f t="shared" si="4"/>
        <v>28</v>
      </c>
      <c r="R16" s="25">
        <v>6700</v>
      </c>
      <c r="S16" s="25">
        <f>P16-R16</f>
        <v>18600</v>
      </c>
      <c r="T16" s="242"/>
      <c r="U16" s="25"/>
      <c r="V16" s="24" t="str">
        <f t="shared" si="2"/>
        <v>Гончаренко О.П. ЗП с 01.02-28.02(30 год. роботи*220) + ТО 1 год.*100=6 700,00 ФОТ Лютий  2025 = 0,00. Борг компании: 28,00. До виплати - 25 300,00 грн.</v>
      </c>
    </row>
    <row r="17" spans="1:22" s="24" customFormat="1" x14ac:dyDescent="0.3">
      <c r="A17" s="471">
        <v>1901</v>
      </c>
      <c r="B17" s="469" t="s">
        <v>632</v>
      </c>
      <c r="C17" s="613">
        <v>0</v>
      </c>
      <c r="D17" s="48">
        <v>7700</v>
      </c>
      <c r="E17" s="470">
        <v>35</v>
      </c>
      <c r="F17" s="254">
        <v>35</v>
      </c>
      <c r="G17" s="241">
        <v>0</v>
      </c>
      <c r="H17" s="241">
        <v>220</v>
      </c>
      <c r="I17" s="241">
        <v>100</v>
      </c>
      <c r="J17" s="48">
        <f t="shared" si="0"/>
        <v>7700</v>
      </c>
      <c r="K17" s="255">
        <f t="shared" si="1"/>
        <v>0</v>
      </c>
      <c r="L17" s="256">
        <v>0</v>
      </c>
      <c r="M17" s="257" t="s">
        <v>585</v>
      </c>
      <c r="N17" s="254" t="s">
        <v>0</v>
      </c>
      <c r="O17" s="254"/>
      <c r="P17" s="471">
        <f t="shared" si="5"/>
        <v>7700</v>
      </c>
      <c r="Q17" s="612">
        <f>C17+D17-L17-O17-P17</f>
        <v>0</v>
      </c>
      <c r="R17" s="25">
        <v>7700</v>
      </c>
      <c r="S17" s="25">
        <f t="shared" si="3"/>
        <v>0</v>
      </c>
      <c r="T17" s="242"/>
      <c r="U17" s="25"/>
      <c r="V17" s="24" t="str">
        <f t="shared" si="2"/>
        <v>Окольничий В.О. ЗП с 01.02-28.02(35 год. роботи*220) + ТО 0 год.*100=7 700,00 ФОТ Лютий  2025 = 0,00. Борг компании: 0,00. До виплати - 7 700,00 грн.</v>
      </c>
    </row>
    <row r="18" spans="1:22" s="24" customFormat="1" x14ac:dyDescent="0.3">
      <c r="A18" s="471">
        <v>1942</v>
      </c>
      <c r="B18" s="469" t="s">
        <v>632</v>
      </c>
      <c r="C18" s="603"/>
      <c r="D18" s="48">
        <v>8600</v>
      </c>
      <c r="E18" s="470">
        <v>44</v>
      </c>
      <c r="F18" s="254">
        <v>42</v>
      </c>
      <c r="G18" s="241">
        <v>2</v>
      </c>
      <c r="H18" s="241">
        <v>200</v>
      </c>
      <c r="I18" s="241">
        <v>100</v>
      </c>
      <c r="J18" s="48">
        <f t="shared" si="0"/>
        <v>8600</v>
      </c>
      <c r="K18" s="255">
        <f t="shared" si="1"/>
        <v>0</v>
      </c>
      <c r="L18" s="256">
        <v>0</v>
      </c>
      <c r="M18" s="257" t="s">
        <v>585</v>
      </c>
      <c r="N18" s="254" t="s">
        <v>75</v>
      </c>
      <c r="O18" s="254"/>
      <c r="P18" s="471">
        <f t="shared" si="5"/>
        <v>8600</v>
      </c>
      <c r="Q18" s="603"/>
      <c r="R18" s="25">
        <v>8600</v>
      </c>
      <c r="S18" s="25">
        <f t="shared" si="3"/>
        <v>0</v>
      </c>
      <c r="T18" s="242"/>
      <c r="U18" s="25"/>
      <c r="V18" s="24" t="str">
        <f t="shared" si="2"/>
        <v>Окольничий В.О. ЗП с 01.02-28.02(42 год. роботи*200) + ТО 2 год.*100=8 600,00 ФОТ Лютий  2025 = 0,00. Борг компании: 0,00. До виплати - 8 600,00 грн.</v>
      </c>
    </row>
    <row r="19" spans="1:22" s="24" customFormat="1" x14ac:dyDescent="0.3">
      <c r="A19" s="471">
        <v>1900</v>
      </c>
      <c r="B19" s="469" t="s">
        <v>249</v>
      </c>
      <c r="C19" s="552">
        <v>2.25</v>
      </c>
      <c r="D19" s="48">
        <v>34110</v>
      </c>
      <c r="E19" s="470">
        <v>132</v>
      </c>
      <c r="F19" s="254">
        <v>123</v>
      </c>
      <c r="G19" s="241">
        <v>9</v>
      </c>
      <c r="H19" s="241">
        <v>270</v>
      </c>
      <c r="I19" s="241">
        <v>100</v>
      </c>
      <c r="J19" s="48">
        <f t="shared" si="0"/>
        <v>34110</v>
      </c>
      <c r="K19" s="255">
        <f t="shared" si="1"/>
        <v>0</v>
      </c>
      <c r="L19" s="256">
        <v>7700</v>
      </c>
      <c r="M19" s="257" t="s">
        <v>585</v>
      </c>
      <c r="N19" s="254" t="s">
        <v>64</v>
      </c>
      <c r="O19" s="254"/>
      <c r="P19" s="471">
        <f t="shared" si="5"/>
        <v>26400</v>
      </c>
      <c r="Q19" s="258">
        <f t="shared" si="4"/>
        <v>12.25</v>
      </c>
      <c r="R19" s="25">
        <v>26410</v>
      </c>
      <c r="S19" s="25">
        <f t="shared" si="3"/>
        <v>-10</v>
      </c>
      <c r="T19" s="242"/>
      <c r="U19" s="25"/>
      <c r="V19" s="24" t="str">
        <f t="shared" si="2"/>
        <v>Борисенко О.М. ЗП с 01.02-28.02(123 год. роботи*270) + ТО 9 год.*100=34 110,00 ФОТ Лютий  2025 = 7 700,00. Борг компании: 12,25. До виплати - 26 400,00 грн.</v>
      </c>
    </row>
    <row r="20" spans="1:22" s="24" customFormat="1" x14ac:dyDescent="0.3">
      <c r="A20" s="471">
        <v>1941</v>
      </c>
      <c r="B20" s="469" t="s">
        <v>605</v>
      </c>
      <c r="C20" s="552">
        <f>'2025_01_01'!P17</f>
        <v>0</v>
      </c>
      <c r="D20" s="48">
        <v>22100</v>
      </c>
      <c r="E20" s="470">
        <v>112</v>
      </c>
      <c r="F20" s="254">
        <v>109</v>
      </c>
      <c r="G20" s="241">
        <v>3</v>
      </c>
      <c r="H20" s="241">
        <v>200</v>
      </c>
      <c r="I20" s="241">
        <v>100</v>
      </c>
      <c r="J20" s="48">
        <f t="shared" si="0"/>
        <v>22100</v>
      </c>
      <c r="K20" s="255">
        <f t="shared" si="1"/>
        <v>0</v>
      </c>
      <c r="L20" s="256">
        <v>7700</v>
      </c>
      <c r="M20" s="257" t="s">
        <v>585</v>
      </c>
      <c r="N20" s="254" t="s">
        <v>75</v>
      </c>
      <c r="O20" s="254"/>
      <c r="P20" s="471">
        <f t="shared" si="5"/>
        <v>14400</v>
      </c>
      <c r="Q20" s="258">
        <f t="shared" si="4"/>
        <v>0</v>
      </c>
      <c r="R20" s="25">
        <v>14400</v>
      </c>
      <c r="S20" s="25">
        <f t="shared" si="3"/>
        <v>0</v>
      </c>
      <c r="T20" s="242"/>
      <c r="U20" s="25"/>
      <c r="V20" s="24" t="str">
        <f t="shared" si="2"/>
        <v>Черненко А.С. ЗП с 01.02-28.02(109 год. роботи*200) + ТО 3 год.*100=22 100,00 ФОТ Лютий  2025 = 7 700,00. Борг компании: 0,00. До виплати - 14 400,00 грн.</v>
      </c>
    </row>
    <row r="21" spans="1:22" s="24" customFormat="1" x14ac:dyDescent="0.3">
      <c r="A21" s="555">
        <v>1943</v>
      </c>
      <c r="B21" s="469" t="s">
        <v>604</v>
      </c>
      <c r="C21" s="552">
        <v>22.5</v>
      </c>
      <c r="D21" s="48">
        <v>14200</v>
      </c>
      <c r="E21" s="470">
        <v>83</v>
      </c>
      <c r="F21" s="254">
        <v>59</v>
      </c>
      <c r="G21" s="241">
        <v>24</v>
      </c>
      <c r="H21" s="241">
        <v>200</v>
      </c>
      <c r="I21" s="241">
        <v>100</v>
      </c>
      <c r="J21" s="48">
        <f t="shared" si="0"/>
        <v>14200</v>
      </c>
      <c r="K21" s="255">
        <f t="shared" si="1"/>
        <v>0</v>
      </c>
      <c r="L21" s="256">
        <v>6160</v>
      </c>
      <c r="M21" s="257" t="s">
        <v>585</v>
      </c>
      <c r="N21" s="254" t="s">
        <v>86</v>
      </c>
      <c r="O21" s="254"/>
      <c r="P21" s="471">
        <f t="shared" si="5"/>
        <v>8100</v>
      </c>
      <c r="Q21" s="258">
        <f t="shared" si="4"/>
        <v>-37.5</v>
      </c>
      <c r="R21" s="25">
        <v>8040</v>
      </c>
      <c r="S21" s="25">
        <f t="shared" si="3"/>
        <v>60</v>
      </c>
      <c r="T21" s="242"/>
      <c r="U21" s="25"/>
      <c r="V21" s="24" t="str">
        <f t="shared" si="2"/>
        <v>Роменский В.В. ЗП с 01.02-28.02(59 год. роботи*200) + ТО 24 год.*100=14 200,00 ФОТ Лютий  2025 = 6 160,00. Борг компании: -37,50. До виплати - 8 100,00 грн.</v>
      </c>
    </row>
    <row r="22" spans="1:22" s="24" customFormat="1" x14ac:dyDescent="0.3">
      <c r="A22" s="48">
        <v>1947</v>
      </c>
      <c r="B22" s="469" t="s">
        <v>607</v>
      </c>
      <c r="C22" s="552">
        <f>'2025_01_01'!P20</f>
        <v>-20.80000000000291</v>
      </c>
      <c r="D22" s="48">
        <f>16400-800</f>
        <v>15600</v>
      </c>
      <c r="E22" s="470">
        <v>78</v>
      </c>
      <c r="F22" s="254">
        <v>78</v>
      </c>
      <c r="G22" s="241">
        <v>0</v>
      </c>
      <c r="H22" s="241">
        <v>200</v>
      </c>
      <c r="I22" s="241">
        <v>100</v>
      </c>
      <c r="J22" s="48">
        <f t="shared" si="0"/>
        <v>15600</v>
      </c>
      <c r="K22" s="255">
        <f t="shared" si="1"/>
        <v>0</v>
      </c>
      <c r="L22" s="256">
        <v>5825.2039999999997</v>
      </c>
      <c r="M22" s="257" t="s">
        <v>585</v>
      </c>
      <c r="N22" s="254" t="s">
        <v>348</v>
      </c>
      <c r="O22" s="254"/>
      <c r="P22" s="471">
        <f t="shared" si="5"/>
        <v>9800</v>
      </c>
      <c r="Q22" s="258">
        <f t="shared" si="4"/>
        <v>-46.004000000002634</v>
      </c>
      <c r="R22" s="25">
        <v>9774.7960000000003</v>
      </c>
      <c r="S22" s="25">
        <f t="shared" si="3"/>
        <v>25.203999999999724</v>
      </c>
      <c r="T22" s="242"/>
      <c r="U22" s="25"/>
      <c r="V22" s="24" t="str">
        <f t="shared" si="2"/>
        <v>Запара С.М  ЗП с 01.02-28.02(78 год. роботи*200) + ТО 0 год.*100=15 600,00 ФОТ Лютий  2025 = 5 825,20. Борг компании: -46,00. До виплати - 9 800,00 грн.</v>
      </c>
    </row>
    <row r="23" spans="1:22" s="24" customFormat="1" x14ac:dyDescent="0.3">
      <c r="A23" s="471">
        <v>1946</v>
      </c>
      <c r="B23" s="469" t="s">
        <v>633</v>
      </c>
      <c r="C23" s="552">
        <v>0</v>
      </c>
      <c r="D23" s="48">
        <v>5600</v>
      </c>
      <c r="E23" s="470">
        <v>32</v>
      </c>
      <c r="F23" s="254">
        <v>24</v>
      </c>
      <c r="G23" s="241">
        <v>8</v>
      </c>
      <c r="H23" s="241">
        <v>200</v>
      </c>
      <c r="I23" s="241">
        <v>100</v>
      </c>
      <c r="J23" s="48">
        <f t="shared" si="0"/>
        <v>5600</v>
      </c>
      <c r="K23" s="255">
        <f t="shared" si="1"/>
        <v>0</v>
      </c>
      <c r="L23" s="256">
        <v>1540</v>
      </c>
      <c r="M23" s="257" t="s">
        <v>585</v>
      </c>
      <c r="N23" s="254" t="s">
        <v>348</v>
      </c>
      <c r="O23" s="254"/>
      <c r="P23" s="471">
        <f t="shared" si="5"/>
        <v>4100</v>
      </c>
      <c r="Q23" s="258">
        <f t="shared" si="4"/>
        <v>-40</v>
      </c>
      <c r="R23" s="25">
        <v>4060</v>
      </c>
      <c r="S23" s="25">
        <f t="shared" si="3"/>
        <v>40</v>
      </c>
      <c r="T23" s="242"/>
      <c r="U23" s="25"/>
      <c r="V23" s="24" t="str">
        <f t="shared" si="2"/>
        <v>Котик М.А. ЗП с 01.02-28.02(24 год. роботи*200) + ТО 8 год.*100=5 600,00 ФОТ Лютий  2025 = 1 540,00. Борг компании: -40,00. До виплати - 4 100,00 грн.</v>
      </c>
    </row>
    <row r="24" spans="1:22" s="24" customFormat="1" x14ac:dyDescent="0.3">
      <c r="A24" s="616">
        <v>1944</v>
      </c>
      <c r="B24" s="469" t="s">
        <v>614</v>
      </c>
      <c r="C24" s="552">
        <v>0</v>
      </c>
      <c r="D24" s="48">
        <f>28200-D25</f>
        <v>24100</v>
      </c>
      <c r="E24" s="470">
        <v>125</v>
      </c>
      <c r="F24" s="254">
        <v>116</v>
      </c>
      <c r="G24" s="241">
        <v>9</v>
      </c>
      <c r="H24" s="241">
        <v>200</v>
      </c>
      <c r="I24" s="241">
        <v>100</v>
      </c>
      <c r="J24" s="48">
        <f t="shared" si="0"/>
        <v>24100</v>
      </c>
      <c r="K24" s="255">
        <f t="shared" si="1"/>
        <v>0</v>
      </c>
      <c r="L24" s="256">
        <v>0</v>
      </c>
      <c r="M24" s="257" t="s">
        <v>585</v>
      </c>
      <c r="N24" s="254" t="s">
        <v>349</v>
      </c>
      <c r="O24" s="254"/>
      <c r="P24" s="471">
        <f t="shared" si="5"/>
        <v>24100</v>
      </c>
      <c r="Q24" s="258">
        <f t="shared" si="4"/>
        <v>0</v>
      </c>
      <c r="R24" s="25">
        <v>24100</v>
      </c>
      <c r="S24" s="25">
        <f t="shared" si="3"/>
        <v>0</v>
      </c>
      <c r="T24" s="242"/>
      <c r="U24" s="25"/>
      <c r="V24" s="24" t="str">
        <f t="shared" si="2"/>
        <v>Гончаренко В.П. ЗП с 01.02-28.02(116 год. роботи*200) + ТО 9 год.*100=24 100,00 ФОТ Лютий  2025 = 0,00. Борг компании: 0,00. До виплати - 24 100,00 грн.</v>
      </c>
    </row>
    <row r="25" spans="1:22" s="24" customFormat="1" x14ac:dyDescent="0.3">
      <c r="A25" s="616"/>
      <c r="B25" s="469" t="s">
        <v>614</v>
      </c>
      <c r="C25" s="552"/>
      <c r="D25" s="48">
        <v>4100</v>
      </c>
      <c r="E25" s="470">
        <v>21</v>
      </c>
      <c r="F25" s="254">
        <v>20</v>
      </c>
      <c r="G25" s="241">
        <v>1</v>
      </c>
      <c r="H25" s="241">
        <v>200</v>
      </c>
      <c r="I25" s="241">
        <v>100</v>
      </c>
      <c r="J25" s="48">
        <f t="shared" si="0"/>
        <v>4100</v>
      </c>
      <c r="K25" s="255">
        <f t="shared" si="1"/>
        <v>0</v>
      </c>
      <c r="L25" s="256">
        <v>0</v>
      </c>
      <c r="M25" s="257" t="s">
        <v>634</v>
      </c>
      <c r="N25" s="254" t="s">
        <v>349</v>
      </c>
      <c r="O25" s="254"/>
      <c r="P25" s="471">
        <f t="shared" si="5"/>
        <v>4100</v>
      </c>
      <c r="Q25" s="258">
        <f t="shared" si="4"/>
        <v>0</v>
      </c>
      <c r="R25" s="25">
        <v>4100</v>
      </c>
      <c r="S25" s="25">
        <f t="shared" si="3"/>
        <v>0</v>
      </c>
      <c r="T25" s="242"/>
      <c r="U25" s="25"/>
      <c r="V25" s="24" t="str">
        <f t="shared" si="2"/>
        <v>Гончаренко В.П. ЗП с 01.02-28.02(20 год. роботи*200) + ТО 1 год.*100=4 100,00 ФОТ Лютий  2025 = 0,00. Борг компании: 0,00. До виплати - 4 100,00 грн.</v>
      </c>
    </row>
    <row r="26" spans="1:22" s="24" customFormat="1" x14ac:dyDescent="0.3">
      <c r="A26" s="614">
        <v>1945</v>
      </c>
      <c r="B26" s="469" t="s">
        <v>617</v>
      </c>
      <c r="C26" s="613">
        <v>0</v>
      </c>
      <c r="D26" s="48">
        <f>35000-D27</f>
        <v>24600</v>
      </c>
      <c r="E26" s="470">
        <v>125</v>
      </c>
      <c r="F26" s="254">
        <v>121</v>
      </c>
      <c r="G26" s="241">
        <v>4</v>
      </c>
      <c r="H26" s="241">
        <v>200</v>
      </c>
      <c r="I26" s="241">
        <v>100</v>
      </c>
      <c r="J26" s="48">
        <f t="shared" si="0"/>
        <v>24600</v>
      </c>
      <c r="K26" s="255">
        <f t="shared" si="1"/>
        <v>0</v>
      </c>
      <c r="L26" s="256">
        <v>0</v>
      </c>
      <c r="M26" s="257" t="s">
        <v>585</v>
      </c>
      <c r="N26" s="254" t="s">
        <v>588</v>
      </c>
      <c r="O26" s="254"/>
      <c r="P26" s="471">
        <f t="shared" si="5"/>
        <v>24600</v>
      </c>
      <c r="Q26" s="258">
        <f t="shared" si="4"/>
        <v>0</v>
      </c>
      <c r="R26" s="25">
        <v>24600</v>
      </c>
      <c r="S26" s="25">
        <f t="shared" si="3"/>
        <v>0</v>
      </c>
      <c r="T26" s="242"/>
      <c r="U26" s="25"/>
      <c r="V26" s="24" t="str">
        <f t="shared" si="2"/>
        <v>Сокур С.О. ЗП с 01.02-28.02(121 год. роботи*200) + ТО 4 год.*100=24 600,00 ФОТ Лютий  2025 = 0,00. Борг компании: 0,00. До виплати - 24 600,00 грн.</v>
      </c>
    </row>
    <row r="27" spans="1:22" s="24" customFormat="1" x14ac:dyDescent="0.3">
      <c r="A27" s="610"/>
      <c r="B27" s="469" t="s">
        <v>617</v>
      </c>
      <c r="C27" s="603"/>
      <c r="D27" s="48">
        <v>10400</v>
      </c>
      <c r="E27" s="470">
        <v>52</v>
      </c>
      <c r="F27" s="254">
        <v>52</v>
      </c>
      <c r="G27" s="241">
        <v>0</v>
      </c>
      <c r="H27" s="241">
        <v>200</v>
      </c>
      <c r="I27" s="241">
        <v>100</v>
      </c>
      <c r="J27" s="48">
        <f t="shared" si="0"/>
        <v>10400</v>
      </c>
      <c r="K27" s="255">
        <f t="shared" si="1"/>
        <v>0</v>
      </c>
      <c r="L27" s="256">
        <v>0</v>
      </c>
      <c r="M27" s="257" t="s">
        <v>634</v>
      </c>
      <c r="N27" s="254" t="s">
        <v>588</v>
      </c>
      <c r="O27" s="254"/>
      <c r="P27" s="471">
        <f t="shared" si="5"/>
        <v>10400</v>
      </c>
      <c r="Q27" s="258">
        <f t="shared" si="4"/>
        <v>0</v>
      </c>
      <c r="R27" s="25">
        <v>10400</v>
      </c>
      <c r="S27" s="25">
        <f t="shared" si="3"/>
        <v>0</v>
      </c>
      <c r="T27" s="242"/>
      <c r="U27" s="25"/>
      <c r="V27" s="24" t="str">
        <f t="shared" si="2"/>
        <v>Сокур С.О. ЗП с 01.02-28.02(52 год. роботи*200) + ТО 0 год.*100=10 400,00 ФОТ Лютий  2025 = 0,00. Борг компании: 0,00. До виплати - 10 400,00 грн.</v>
      </c>
    </row>
    <row r="28" spans="1:22" s="24" customFormat="1" x14ac:dyDescent="0.3">
      <c r="A28" s="609"/>
      <c r="B28" s="469" t="s">
        <v>643</v>
      </c>
      <c r="C28" s="258"/>
      <c r="D28" s="48">
        <f>1800*6</f>
        <v>10800</v>
      </c>
      <c r="E28" s="470"/>
      <c r="F28" s="254"/>
      <c r="G28" s="241"/>
      <c r="H28" s="241"/>
      <c r="I28" s="241">
        <v>100</v>
      </c>
      <c r="J28" s="48">
        <v>10800</v>
      </c>
      <c r="K28" s="255">
        <f t="shared" si="1"/>
        <v>0</v>
      </c>
      <c r="L28" s="256"/>
      <c r="M28" s="257" t="s">
        <v>644</v>
      </c>
      <c r="N28" s="254" t="s">
        <v>70</v>
      </c>
      <c r="O28" s="254"/>
      <c r="P28" s="471">
        <f t="shared" ref="P28:P39" si="6">ROUND(C28+D28-L28,-2)</f>
        <v>10800</v>
      </c>
      <c r="Q28" s="258">
        <f t="shared" si="4"/>
        <v>0</v>
      </c>
      <c r="R28" s="25"/>
      <c r="S28" s="25">
        <f t="shared" si="3"/>
        <v>10800</v>
      </c>
      <c r="T28" s="242"/>
      <c r="U28" s="25"/>
      <c r="V28" s="24" t="str">
        <f t="shared" si="2"/>
        <v>Ильину Р. ЗП с 01.02-28.02( год. роботи*) + ТО  год.*100=10 800,00 ФОТ Лютий  2025 = 0,00. Борг компании: 0,00. До виплати - 10 800,00 грн.</v>
      </c>
    </row>
    <row r="29" spans="1:22" s="24" customFormat="1" x14ac:dyDescent="0.3">
      <c r="A29" s="610"/>
      <c r="B29" s="469"/>
      <c r="C29" s="258"/>
      <c r="D29" s="48"/>
      <c r="E29" s="470"/>
      <c r="F29" s="254"/>
      <c r="G29" s="241"/>
      <c r="H29" s="241"/>
      <c r="I29" s="241">
        <v>100</v>
      </c>
      <c r="J29" s="48">
        <f t="shared" si="0"/>
        <v>0</v>
      </c>
      <c r="K29" s="255">
        <f t="shared" si="1"/>
        <v>0</v>
      </c>
      <c r="L29" s="256"/>
      <c r="M29" s="257"/>
      <c r="N29" s="254"/>
      <c r="O29" s="254"/>
      <c r="P29" s="471">
        <f t="shared" si="6"/>
        <v>0</v>
      </c>
      <c r="Q29" s="258">
        <f t="shared" si="4"/>
        <v>0</v>
      </c>
      <c r="R29" s="25"/>
      <c r="S29" s="25">
        <f t="shared" si="3"/>
        <v>0</v>
      </c>
      <c r="T29" s="242"/>
      <c r="U29" s="25"/>
      <c r="V2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0" spans="1:22" s="24" customFormat="1" ht="13.8" customHeight="1" x14ac:dyDescent="0.3">
      <c r="A30" s="240"/>
      <c r="B30" s="469"/>
      <c r="C30" s="258"/>
      <c r="D30" s="48"/>
      <c r="E30" s="470"/>
      <c r="F30" s="254"/>
      <c r="G30" s="241"/>
      <c r="H30" s="241"/>
      <c r="I30" s="241">
        <v>100</v>
      </c>
      <c r="J30" s="48">
        <f t="shared" si="0"/>
        <v>0</v>
      </c>
      <c r="K30" s="255">
        <f t="shared" si="1"/>
        <v>0</v>
      </c>
      <c r="L30" s="256"/>
      <c r="M30" s="257"/>
      <c r="N30" s="254"/>
      <c r="O30" s="254"/>
      <c r="P30" s="471">
        <f t="shared" si="6"/>
        <v>0</v>
      </c>
      <c r="Q30" s="258">
        <f t="shared" si="4"/>
        <v>0</v>
      </c>
      <c r="R30" s="25"/>
      <c r="S30" s="25">
        <f t="shared" si="3"/>
        <v>0</v>
      </c>
      <c r="T30" s="242"/>
      <c r="U30" s="25"/>
      <c r="V30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1" spans="1:22" s="24" customFormat="1" ht="14.4" customHeight="1" x14ac:dyDescent="0.3">
      <c r="A31" s="240"/>
      <c r="B31" s="469"/>
      <c r="C31" s="258"/>
      <c r="D31" s="48">
        <v>0</v>
      </c>
      <c r="E31" s="470"/>
      <c r="F31" s="254"/>
      <c r="G31" s="241"/>
      <c r="H31" s="241"/>
      <c r="I31" s="241"/>
      <c r="J31" s="48">
        <f t="shared" si="0"/>
        <v>0</v>
      </c>
      <c r="K31" s="255">
        <f t="shared" si="1"/>
        <v>0</v>
      </c>
      <c r="L31" s="256"/>
      <c r="M31" s="257">
        <f>'МЕХАНИЗАТОРЫ ноябрь'!Q166</f>
        <v>0</v>
      </c>
      <c r="N31" s="254">
        <f t="shared" ref="N31:N39" si="7">M31-J31</f>
        <v>0</v>
      </c>
      <c r="O31" s="254"/>
      <c r="P31" s="471">
        <f t="shared" si="6"/>
        <v>0</v>
      </c>
      <c r="Q31" s="258">
        <f t="shared" si="4"/>
        <v>0</v>
      </c>
      <c r="R31" s="25"/>
      <c r="S31" s="25">
        <f t="shared" si="3"/>
        <v>0</v>
      </c>
      <c r="T31" s="242"/>
      <c r="U31" s="25"/>
      <c r="V31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2" spans="1:22" s="24" customFormat="1" ht="15" customHeight="1" x14ac:dyDescent="0.3">
      <c r="A32" s="240"/>
      <c r="B32" s="469"/>
      <c r="C32" s="258"/>
      <c r="D32" s="48">
        <v>0</v>
      </c>
      <c r="E32" s="470"/>
      <c r="F32" s="254"/>
      <c r="G32" s="241"/>
      <c r="H32" s="241"/>
      <c r="I32" s="241"/>
      <c r="J32" s="48">
        <f t="shared" si="0"/>
        <v>0</v>
      </c>
      <c r="K32" s="255">
        <f t="shared" si="1"/>
        <v>0</v>
      </c>
      <c r="L32" s="256"/>
      <c r="M32" s="257">
        <f>'МЕХАНИЗАТОРЫ ноябрь'!Q167</f>
        <v>0</v>
      </c>
      <c r="N32" s="254">
        <f t="shared" si="7"/>
        <v>0</v>
      </c>
      <c r="O32" s="254"/>
      <c r="P32" s="471">
        <f t="shared" si="6"/>
        <v>0</v>
      </c>
      <c r="Q32" s="258">
        <f t="shared" si="4"/>
        <v>0</v>
      </c>
      <c r="R32" s="25"/>
      <c r="S32" s="25">
        <f t="shared" si="3"/>
        <v>0</v>
      </c>
      <c r="T32" s="242"/>
      <c r="U32" s="25"/>
      <c r="V32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3" spans="1:22" s="24" customFormat="1" ht="14.4" customHeight="1" x14ac:dyDescent="0.3">
      <c r="A33" s="240"/>
      <c r="B33" s="469"/>
      <c r="C33" s="258"/>
      <c r="D33" s="48">
        <v>0</v>
      </c>
      <c r="E33" s="470"/>
      <c r="F33" s="254"/>
      <c r="G33" s="241"/>
      <c r="H33" s="241"/>
      <c r="I33" s="241"/>
      <c r="J33" s="48">
        <f t="shared" si="0"/>
        <v>0</v>
      </c>
      <c r="K33" s="255">
        <f t="shared" si="1"/>
        <v>0</v>
      </c>
      <c r="L33" s="256"/>
      <c r="M33" s="257">
        <f>'МЕХАНИЗАТОРЫ ноябрь'!Q168</f>
        <v>0</v>
      </c>
      <c r="N33" s="254">
        <f t="shared" si="7"/>
        <v>0</v>
      </c>
      <c r="O33" s="254"/>
      <c r="P33" s="471">
        <f t="shared" si="6"/>
        <v>0</v>
      </c>
      <c r="Q33" s="258">
        <f t="shared" si="4"/>
        <v>0</v>
      </c>
      <c r="R33" s="25"/>
      <c r="S33" s="25">
        <f t="shared" si="3"/>
        <v>0</v>
      </c>
      <c r="T33" s="242"/>
      <c r="U33" s="25"/>
      <c r="V33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4" spans="1:22" s="24" customFormat="1" ht="14.4" customHeight="1" x14ac:dyDescent="0.3">
      <c r="A34" s="240"/>
      <c r="B34" s="469"/>
      <c r="C34" s="258"/>
      <c r="D34" s="48">
        <v>0</v>
      </c>
      <c r="E34" s="470"/>
      <c r="F34" s="254"/>
      <c r="G34" s="241"/>
      <c r="H34" s="241"/>
      <c r="I34" s="241"/>
      <c r="J34" s="48">
        <f t="shared" si="0"/>
        <v>0</v>
      </c>
      <c r="K34" s="255">
        <f t="shared" si="1"/>
        <v>0</v>
      </c>
      <c r="L34" s="256"/>
      <c r="M34" s="257">
        <f>'МЕХАНИЗАТОРЫ ноябрь'!Q169</f>
        <v>0</v>
      </c>
      <c r="N34" s="254">
        <f t="shared" si="7"/>
        <v>0</v>
      </c>
      <c r="O34" s="254"/>
      <c r="P34" s="471">
        <f t="shared" si="6"/>
        <v>0</v>
      </c>
      <c r="Q34" s="258">
        <f t="shared" si="4"/>
        <v>0</v>
      </c>
      <c r="R34" s="25"/>
      <c r="S34" s="25">
        <f t="shared" si="3"/>
        <v>0</v>
      </c>
      <c r="T34" s="242"/>
      <c r="U34" s="25"/>
      <c r="V34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5" spans="1:22" s="24" customFormat="1" ht="14.4" customHeight="1" x14ac:dyDescent="0.3">
      <c r="A35" s="240"/>
      <c r="B35" s="469"/>
      <c r="C35" s="258"/>
      <c r="D35" s="48">
        <v>0</v>
      </c>
      <c r="E35" s="470"/>
      <c r="F35" s="254"/>
      <c r="G35" s="241"/>
      <c r="H35" s="241"/>
      <c r="I35" s="241"/>
      <c r="J35" s="48">
        <f t="shared" si="0"/>
        <v>0</v>
      </c>
      <c r="K35" s="255">
        <f t="shared" si="1"/>
        <v>0</v>
      </c>
      <c r="L35" s="256"/>
      <c r="M35" s="257">
        <f>'МЕХАНИЗАТОРЫ ноябрь'!Q170</f>
        <v>0</v>
      </c>
      <c r="N35" s="254">
        <f t="shared" si="7"/>
        <v>0</v>
      </c>
      <c r="O35" s="254"/>
      <c r="P35" s="471">
        <f t="shared" si="6"/>
        <v>0</v>
      </c>
      <c r="Q35" s="258">
        <f t="shared" si="4"/>
        <v>0</v>
      </c>
      <c r="R35" s="25"/>
      <c r="S35" s="25">
        <f t="shared" si="3"/>
        <v>0</v>
      </c>
      <c r="T35" s="242"/>
      <c r="U35" s="25"/>
      <c r="V35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6" spans="1:22" ht="13.8" customHeight="1" x14ac:dyDescent="0.3">
      <c r="A36" s="240"/>
      <c r="B36" s="469"/>
      <c r="C36" s="258"/>
      <c r="D36" s="48">
        <v>0</v>
      </c>
      <c r="E36" s="469"/>
      <c r="F36" s="469"/>
      <c r="G36" s="469"/>
      <c r="H36" s="469"/>
      <c r="I36" s="241"/>
      <c r="J36" s="48">
        <f t="shared" si="0"/>
        <v>0</v>
      </c>
      <c r="K36" s="255">
        <f t="shared" si="1"/>
        <v>0</v>
      </c>
      <c r="L36" s="256"/>
      <c r="M36" s="257">
        <f>'МЕХАНИЗАТОРЫ ноябрь'!Q171</f>
        <v>0</v>
      </c>
      <c r="N36" s="254">
        <f t="shared" si="7"/>
        <v>0</v>
      </c>
      <c r="O36" s="254"/>
      <c r="P36" s="471">
        <f t="shared" si="6"/>
        <v>0</v>
      </c>
      <c r="Q36" s="258">
        <f t="shared" si="4"/>
        <v>0</v>
      </c>
      <c r="S36" s="25">
        <f t="shared" si="3"/>
        <v>0</v>
      </c>
      <c r="V36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7" spans="1:22" s="24" customFormat="1" ht="14.4" customHeight="1" x14ac:dyDescent="0.3">
      <c r="A37" s="240"/>
      <c r="B37" s="469"/>
      <c r="C37" s="258"/>
      <c r="D37" s="48">
        <v>0</v>
      </c>
      <c r="E37" s="470"/>
      <c r="F37" s="254"/>
      <c r="G37" s="241"/>
      <c r="H37" s="241"/>
      <c r="I37" s="241"/>
      <c r="J37" s="48">
        <f t="shared" si="0"/>
        <v>0</v>
      </c>
      <c r="K37" s="255">
        <f t="shared" si="1"/>
        <v>0</v>
      </c>
      <c r="L37" s="472"/>
      <c r="M37" s="257">
        <f>'МЕХАНИЗАТОРЫ ноябрь'!Q172</f>
        <v>0</v>
      </c>
      <c r="N37" s="254">
        <f t="shared" si="7"/>
        <v>0</v>
      </c>
      <c r="O37" s="254"/>
      <c r="P37" s="471">
        <f t="shared" si="6"/>
        <v>0</v>
      </c>
      <c r="Q37" s="258">
        <f t="shared" si="4"/>
        <v>0</v>
      </c>
      <c r="R37" s="25"/>
      <c r="S37" s="25">
        <f t="shared" si="3"/>
        <v>0</v>
      </c>
      <c r="T37" s="242"/>
      <c r="U37" s="25"/>
      <c r="V37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8" spans="1:22" s="24" customFormat="1" ht="14.4" customHeight="1" x14ac:dyDescent="0.3">
      <c r="A38" s="48"/>
      <c r="B38" s="469"/>
      <c r="C38" s="258"/>
      <c r="D38" s="48"/>
      <c r="E38" s="470"/>
      <c r="F38" s="254"/>
      <c r="G38" s="241"/>
      <c r="H38" s="241"/>
      <c r="I38" s="241"/>
      <c r="J38" s="471"/>
      <c r="K38" s="255"/>
      <c r="L38" s="472"/>
      <c r="M38" s="257">
        <f>'МЕХАНИЗАТОРЫ ноябрь'!Q173</f>
        <v>0</v>
      </c>
      <c r="N38" s="254">
        <f t="shared" si="7"/>
        <v>0</v>
      </c>
      <c r="O38" s="254"/>
      <c r="P38" s="471">
        <f t="shared" si="6"/>
        <v>0</v>
      </c>
      <c r="Q38" s="446"/>
      <c r="R38" s="25"/>
      <c r="S38" s="25">
        <f t="shared" si="3"/>
        <v>0</v>
      </c>
      <c r="T38" s="242"/>
      <c r="U38" s="25"/>
      <c r="V38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9" spans="1:22" ht="13.8" customHeight="1" x14ac:dyDescent="0.3">
      <c r="A39" s="243"/>
      <c r="B39" s="469"/>
      <c r="C39" s="258"/>
      <c r="D39" s="469"/>
      <c r="E39" s="469"/>
      <c r="F39" s="469"/>
      <c r="G39" s="469"/>
      <c r="H39" s="469"/>
      <c r="I39" s="473"/>
      <c r="J39" s="471"/>
      <c r="K39" s="255"/>
      <c r="L39" s="469"/>
      <c r="M39" s="257">
        <f>'МЕХАНИЗАТОРЫ ноябрь'!Q174</f>
        <v>0</v>
      </c>
      <c r="N39" s="254">
        <f t="shared" si="7"/>
        <v>0</v>
      </c>
      <c r="O39" s="254"/>
      <c r="P39" s="471">
        <f t="shared" si="6"/>
        <v>0</v>
      </c>
      <c r="Q39" s="446"/>
      <c r="S39" s="25">
        <f t="shared" si="3"/>
        <v>0</v>
      </c>
      <c r="V3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40" spans="1:22" ht="14.4" customHeight="1" x14ac:dyDescent="0.3">
      <c r="A40" s="243"/>
      <c r="B40" s="469"/>
      <c r="C40" s="258"/>
      <c r="D40" s="469"/>
      <c r="E40" s="469"/>
      <c r="F40" s="469"/>
      <c r="G40" s="469"/>
      <c r="H40" s="469"/>
      <c r="I40" s="473"/>
      <c r="J40" s="471"/>
      <c r="K40" s="474"/>
      <c r="L40" s="469"/>
      <c r="M40" s="469"/>
      <c r="N40" s="469"/>
      <c r="O40" s="557"/>
      <c r="P40" s="475"/>
      <c r="Q40" s="446"/>
    </row>
    <row r="41" spans="1:22" x14ac:dyDescent="0.3">
      <c r="A41" s="250"/>
      <c r="B41" s="476" t="s">
        <v>468</v>
      </c>
      <c r="C41" s="476"/>
      <c r="D41" s="477"/>
      <c r="E41" s="477"/>
      <c r="F41" s="477"/>
      <c r="G41" s="477"/>
      <c r="H41" s="476"/>
      <c r="I41" s="476"/>
      <c r="J41" s="477">
        <f>SUM(J4:J40)</f>
        <v>519630</v>
      </c>
      <c r="K41" s="477">
        <f>SUM(K4:K40)</f>
        <v>0</v>
      </c>
      <c r="L41" s="477">
        <f>SUM(L4:L40)</f>
        <v>75741.203999999998</v>
      </c>
      <c r="M41" s="469"/>
      <c r="N41" s="469"/>
      <c r="O41" s="477">
        <f>SUM(O4:O40)</f>
        <v>11917.480001642669</v>
      </c>
      <c r="P41" s="477">
        <f>SUM(P4:P40)</f>
        <v>459500</v>
      </c>
      <c r="Q41" s="445"/>
    </row>
    <row r="42" spans="1:22" x14ac:dyDescent="0.3">
      <c r="J42" s="242"/>
      <c r="K42" s="242"/>
      <c r="L42" s="25"/>
      <c r="P42" s="25"/>
    </row>
    <row r="43" spans="1:22" x14ac:dyDescent="0.3">
      <c r="P43" s="242">
        <f>P41-'МЕХАНИЗАТОРЫ апрель'!V163</f>
        <v>-25552</v>
      </c>
    </row>
    <row r="45" spans="1:22" x14ac:dyDescent="0.3">
      <c r="P45" s="242"/>
    </row>
    <row r="46" spans="1:22" outlineLevel="1" x14ac:dyDescent="0.3"/>
    <row r="47" spans="1:22" ht="15" outlineLevel="1" thickBot="1" x14ac:dyDescent="0.35">
      <c r="F47" s="611"/>
      <c r="G47" s="611"/>
      <c r="H47" s="611"/>
      <c r="I47" s="611"/>
    </row>
    <row r="48" spans="1:22" ht="43.8" customHeight="1" outlineLevel="1" thickBot="1" x14ac:dyDescent="0.35">
      <c r="C48" s="479" t="s">
        <v>552</v>
      </c>
      <c r="D48" s="479" t="s">
        <v>553</v>
      </c>
      <c r="E48" s="479" t="s">
        <v>448</v>
      </c>
      <c r="F48" s="479" t="s">
        <v>449</v>
      </c>
      <c r="G48" s="480" t="s">
        <v>450</v>
      </c>
      <c r="H48" s="480" t="s">
        <v>451</v>
      </c>
      <c r="I48" s="481" t="s">
        <v>638</v>
      </c>
      <c r="J48" s="482" t="s">
        <v>546</v>
      </c>
      <c r="K48" s="483" t="s">
        <v>555</v>
      </c>
      <c r="L48" s="483" t="s">
        <v>639</v>
      </c>
    </row>
    <row r="49" spans="3:13" s="24" customFormat="1" ht="15" customHeight="1" outlineLevel="1" thickBot="1" x14ac:dyDescent="0.35">
      <c r="C49" s="491">
        <v>1988</v>
      </c>
      <c r="D49" s="484" t="s">
        <v>554</v>
      </c>
      <c r="E49" s="494" t="s">
        <v>550</v>
      </c>
      <c r="F49" s="495">
        <v>3171</v>
      </c>
      <c r="G49" s="496">
        <v>10</v>
      </c>
      <c r="H49" s="495">
        <f t="shared" ref="H49" si="8">F49*G49</f>
        <v>31710</v>
      </c>
      <c r="I49" s="495">
        <v>7623</v>
      </c>
      <c r="J49" s="495">
        <f>H49-I49</f>
        <v>24087</v>
      </c>
      <c r="K49" s="497">
        <f>ROUND(H49-I49,-2)</f>
        <v>24100</v>
      </c>
      <c r="L49" s="553">
        <f>37+H49-I49-K49</f>
        <v>24</v>
      </c>
    </row>
    <row r="50" spans="3:13" s="24" customFormat="1" ht="15" customHeight="1" outlineLevel="1" x14ac:dyDescent="0.3">
      <c r="C50" s="505">
        <v>1986</v>
      </c>
      <c r="D50" s="484" t="s">
        <v>622</v>
      </c>
      <c r="E50" s="494" t="s">
        <v>551</v>
      </c>
      <c r="F50" s="495">
        <v>2263</v>
      </c>
      <c r="G50" s="496">
        <v>10</v>
      </c>
      <c r="H50" s="495">
        <f>F50*G50</f>
        <v>22630</v>
      </c>
      <c r="I50" s="495">
        <v>3811.5</v>
      </c>
      <c r="J50" s="495">
        <f>H50-I50</f>
        <v>18818.5</v>
      </c>
      <c r="K50" s="497">
        <f>ROUND(H50-I50,-2)</f>
        <v>18800</v>
      </c>
      <c r="L50" s="553">
        <f>39+H50-I50-K50</f>
        <v>57.5</v>
      </c>
      <c r="M50"/>
    </row>
    <row r="51" spans="3:13" s="24" customFormat="1" outlineLevel="1" x14ac:dyDescent="0.3">
      <c r="K51" s="242">
        <f>SUM(K49:K50)</f>
        <v>42900</v>
      </c>
    </row>
    <row r="52" spans="3:13" x14ac:dyDescent="0.3">
      <c r="K52" s="242"/>
    </row>
  </sheetData>
  <autoFilter ref="A3:W39" xr:uid="{00000000-0009-0000-0000-000014000000}"/>
  <mergeCells count="13">
    <mergeCell ref="Q4:Q5"/>
    <mergeCell ref="Q6:Q7"/>
    <mergeCell ref="Q17:Q18"/>
    <mergeCell ref="A28:A29"/>
    <mergeCell ref="F47:I47"/>
    <mergeCell ref="C4:C5"/>
    <mergeCell ref="C6:C7"/>
    <mergeCell ref="C17:C18"/>
    <mergeCell ref="C26:C27"/>
    <mergeCell ref="A26:A27"/>
    <mergeCell ref="A14:A15"/>
    <mergeCell ref="A24:A25"/>
    <mergeCell ref="C14:C15"/>
  </mergeCells>
  <conditionalFormatting sqref="K4:K40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F5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9" sqref="N19"/>
    </sheetView>
  </sheetViews>
  <sheetFormatPr defaultRowHeight="14.4" outlineLevelRow="1" outlineLevelCol="1" x14ac:dyDescent="0.3"/>
  <cols>
    <col min="1" max="1" width="10.33203125" customWidth="1"/>
    <col min="2" max="2" width="24.109375" style="24" customWidth="1"/>
    <col min="3" max="4" width="12.21875" style="24" customWidth="1"/>
    <col min="5" max="9" width="12.21875" style="24" customWidth="1" outlineLevel="1"/>
    <col min="10" max="12" width="12.21875" style="24" customWidth="1"/>
    <col min="13" max="13" width="28.5546875" style="24" customWidth="1"/>
    <col min="14" max="14" width="24.77734375" style="24" customWidth="1"/>
    <col min="15" max="15" width="24.77734375" style="24" customWidth="1" outlineLevel="1"/>
    <col min="16" max="16" width="16.88671875" style="24" customWidth="1"/>
    <col min="17" max="17" width="8.77734375" style="24" customWidth="1"/>
    <col min="18" max="18" width="8.77734375" style="24" hidden="1" customWidth="1" outlineLevel="1"/>
    <col min="19" max="19" width="10.33203125" style="24" hidden="1" customWidth="1" outlineLevel="1"/>
    <col min="20" max="20" width="8.88671875" style="24" hidden="1" customWidth="1" outlineLevel="1"/>
    <col min="21" max="21" width="8.88671875" hidden="1" customWidth="1" outlineLevel="1" collapsed="1"/>
    <col min="22" max="31" width="8.88671875" hidden="1" customWidth="1" outlineLevel="1"/>
    <col min="32" max="32" width="8.88671875" collapsed="1"/>
  </cols>
  <sheetData>
    <row r="2" spans="1:22" s="27" customFormat="1" x14ac:dyDescent="0.3">
      <c r="B2" s="311"/>
      <c r="C2" s="311"/>
      <c r="D2" s="311"/>
      <c r="E2" s="312">
        <f>SUM(E4:E40)</f>
        <v>2651</v>
      </c>
      <c r="F2" s="312">
        <f>SUM(F4:F40)</f>
        <v>2517</v>
      </c>
      <c r="G2" s="312">
        <f>SUM(G4:G40)</f>
        <v>134</v>
      </c>
      <c r="H2" s="311"/>
      <c r="I2" s="311"/>
      <c r="J2" s="312">
        <f>SUM(J4:J38)</f>
        <v>613530</v>
      </c>
      <c r="K2" s="311"/>
      <c r="L2" s="311"/>
      <c r="M2" s="311"/>
      <c r="N2" s="311"/>
      <c r="O2" s="311"/>
      <c r="P2" s="311"/>
      <c r="Q2" s="311"/>
      <c r="R2" s="311"/>
      <c r="S2" s="311"/>
      <c r="T2" s="311"/>
      <c r="V2" s="45" t="s">
        <v>641</v>
      </c>
    </row>
    <row r="3" spans="1:22" s="27" customFormat="1" ht="43.8" thickBot="1" x14ac:dyDescent="0.35">
      <c r="A3" s="577" t="s">
        <v>63</v>
      </c>
      <c r="B3" s="578" t="s">
        <v>60</v>
      </c>
      <c r="C3" s="578" t="s">
        <v>358</v>
      </c>
      <c r="D3" s="467" t="s">
        <v>357</v>
      </c>
      <c r="E3" s="467" t="s">
        <v>79</v>
      </c>
      <c r="F3" s="467" t="s">
        <v>81</v>
      </c>
      <c r="G3" s="467" t="s">
        <v>82</v>
      </c>
      <c r="H3" s="467" t="s">
        <v>78</v>
      </c>
      <c r="I3" s="467" t="s">
        <v>80</v>
      </c>
      <c r="J3" s="467" t="s">
        <v>62</v>
      </c>
      <c r="K3" s="467" t="s">
        <v>359</v>
      </c>
      <c r="L3" s="467" t="s">
        <v>661</v>
      </c>
      <c r="M3" s="467" t="s">
        <v>65</v>
      </c>
      <c r="N3" s="467" t="s">
        <v>471</v>
      </c>
      <c r="O3" s="556" t="s">
        <v>640</v>
      </c>
      <c r="P3" s="467" t="s">
        <v>61</v>
      </c>
      <c r="Q3" s="468" t="s">
        <v>216</v>
      </c>
      <c r="R3" s="311"/>
      <c r="S3" s="311"/>
      <c r="T3" s="311"/>
      <c r="V3" t="s">
        <v>642</v>
      </c>
    </row>
    <row r="4" spans="1:22" ht="16.2" customHeight="1" x14ac:dyDescent="0.3">
      <c r="A4" s="579">
        <v>2813</v>
      </c>
      <c r="B4" s="580" t="s">
        <v>645</v>
      </c>
      <c r="C4" s="581">
        <v>-40.25</v>
      </c>
      <c r="D4" s="554">
        <v>51480</v>
      </c>
      <c r="E4" s="313">
        <v>234</v>
      </c>
      <c r="F4" s="254">
        <v>216</v>
      </c>
      <c r="G4" s="241">
        <v>18</v>
      </c>
      <c r="H4" s="241">
        <v>230</v>
      </c>
      <c r="I4" s="241">
        <v>100</v>
      </c>
      <c r="J4" s="48">
        <f t="shared" ref="J4:J37" si="0">F4*H4+G4*I4</f>
        <v>51480</v>
      </c>
      <c r="K4" s="255">
        <f t="shared" ref="K4:K37" si="1">J4-D4</f>
        <v>0</v>
      </c>
      <c r="L4" s="256">
        <v>7700</v>
      </c>
      <c r="M4" s="257" t="s">
        <v>585</v>
      </c>
      <c r="N4" s="254" t="s">
        <v>67</v>
      </c>
      <c r="O4" s="254"/>
      <c r="P4" s="583">
        <f>ROUND(C4+D4-L4-O4,-2)</f>
        <v>43700</v>
      </c>
      <c r="Q4" s="581">
        <f>C4+D4-L4-O4-P4</f>
        <v>39.75</v>
      </c>
      <c r="R4" s="25"/>
      <c r="S4" s="25"/>
      <c r="T4" s="242"/>
      <c r="U4" s="13"/>
      <c r="V4" t="str">
        <f t="shared" ref="V4:V39" si="2">B4&amp;" ЗП "&amp;$V$3&amp;F4&amp;" год. роботи*"&amp;H4&amp;") + ТО "&amp;G4&amp;" год.*100="&amp;TEXT(J4,"# #0,00")&amp;" ФОТ "&amp;$V$2&amp;TEXT(L4,"# #0,00")&amp;". Борг компании: "&amp;TEXT(Q4,"# #0,00")&amp;". До виплати - "&amp;TEXT(P4,"# #0,00")&amp;" грн."</f>
        <v>Васіліу Руслан ЗП с 01.02-28.02(216 год. роботи*230) + ТО 18 год.*100=51 480,00 ФОТ Лютий  2025 = 7 700,00. Борг компании: 39,75. До виплати - 43 700,00 грн.</v>
      </c>
    </row>
    <row r="5" spans="1:22" x14ac:dyDescent="0.3">
      <c r="A5" s="579">
        <v>2814</v>
      </c>
      <c r="B5" s="580" t="s">
        <v>647</v>
      </c>
      <c r="C5" s="618">
        <v>40</v>
      </c>
      <c r="D5" s="48">
        <v>46640</v>
      </c>
      <c r="E5" s="470">
        <v>209</v>
      </c>
      <c r="F5" s="254">
        <v>198</v>
      </c>
      <c r="G5" s="241">
        <v>11</v>
      </c>
      <c r="H5" s="241">
        <v>230</v>
      </c>
      <c r="I5" s="241">
        <v>100</v>
      </c>
      <c r="J5" s="48">
        <f t="shared" si="0"/>
        <v>46640</v>
      </c>
      <c r="K5" s="255">
        <f t="shared" si="1"/>
        <v>0</v>
      </c>
      <c r="L5" s="256">
        <v>0</v>
      </c>
      <c r="M5" s="257" t="s">
        <v>585</v>
      </c>
      <c r="N5" s="254" t="s">
        <v>76</v>
      </c>
      <c r="O5" s="254"/>
      <c r="P5" s="583">
        <f t="shared" ref="P5:P26" si="3">ROUND(C5+D5-L5-O5,-2)</f>
        <v>46700</v>
      </c>
      <c r="Q5" s="618">
        <f>C6+D5+D6-L6-O6-P6-P5</f>
        <v>-40</v>
      </c>
      <c r="R5" s="25"/>
      <c r="S5" s="25"/>
      <c r="T5" s="242"/>
      <c r="U5" s="13"/>
      <c r="V5" t="e">
        <f>B5&amp;" ЗП "&amp;$V$3&amp;F5&amp;" год. роботи*"&amp;H5&amp;") + ТО "&amp;G5&amp;" год.*100="&amp;TEXT(J5,"# #0,00")&amp;" ФОТ "&amp;$V$2&amp;TEXT(L5,"# #0,00")&amp;". Борг компании: "&amp;TEXT(#REF!,"# #0,00")&amp;". До виплати - "&amp;TEXT(P5,"# #0,00")&amp;" грн."</f>
        <v>#REF!</v>
      </c>
    </row>
    <row r="6" spans="1:22" ht="19.2" customHeight="1" x14ac:dyDescent="0.3">
      <c r="A6" s="579">
        <v>2815</v>
      </c>
      <c r="B6" s="563" t="s">
        <v>647</v>
      </c>
      <c r="C6" s="603"/>
      <c r="D6" s="48">
        <v>920</v>
      </c>
      <c r="E6" s="470">
        <v>4</v>
      </c>
      <c r="F6" s="254">
        <v>4</v>
      </c>
      <c r="G6" s="241">
        <v>0</v>
      </c>
      <c r="H6" s="241">
        <v>230</v>
      </c>
      <c r="I6" s="241">
        <v>100</v>
      </c>
      <c r="J6" s="48">
        <f t="shared" si="0"/>
        <v>920</v>
      </c>
      <c r="K6" s="255">
        <f t="shared" si="1"/>
        <v>0</v>
      </c>
      <c r="L6" s="256">
        <v>0</v>
      </c>
      <c r="M6" s="257" t="s">
        <v>585</v>
      </c>
      <c r="N6" s="254" t="s">
        <v>72</v>
      </c>
      <c r="O6" s="254"/>
      <c r="P6" s="583">
        <f t="shared" si="3"/>
        <v>900</v>
      </c>
      <c r="Q6" s="603"/>
      <c r="R6" s="25"/>
      <c r="S6" s="25"/>
      <c r="T6" s="242"/>
      <c r="U6" s="13"/>
      <c r="V6" t="str">
        <f>B6&amp;" ЗП "&amp;$V$3&amp;F6&amp;" год. роботи*"&amp;H6&amp;") + ТО "&amp;G6&amp;" год.*100="&amp;TEXT(J6,"# #0,00")&amp;" ФОТ "&amp;$V$2&amp;TEXT(L6,"# #0,00")&amp;". Борг компании: "&amp;TEXT(Q5,"# #0,00")&amp;". До виплати - "&amp;TEXT(P6,"# #0,00")&amp;" грн."</f>
        <v>Трояняк Оллександр ЗП с 01.02-28.02(4 год. роботи*230) + ТО 0 год.*100=920,00 ФОТ Лютий  2025 = 0,00. Борг компании: -40,00. До виплати - 900,00 грн.</v>
      </c>
    </row>
    <row r="7" spans="1:22" ht="16.2" customHeight="1" x14ac:dyDescent="0.3">
      <c r="A7" s="579">
        <v>2816</v>
      </c>
      <c r="B7" s="563" t="s">
        <v>646</v>
      </c>
      <c r="C7" s="618">
        <v>10</v>
      </c>
      <c r="D7" s="48">
        <v>42040</v>
      </c>
      <c r="E7" s="470">
        <v>189</v>
      </c>
      <c r="F7" s="254">
        <v>178</v>
      </c>
      <c r="G7" s="241">
        <v>11</v>
      </c>
      <c r="H7" s="241">
        <v>230</v>
      </c>
      <c r="I7" s="241">
        <v>100</v>
      </c>
      <c r="J7" s="48">
        <f t="shared" si="0"/>
        <v>42040</v>
      </c>
      <c r="K7" s="255">
        <f t="shared" si="1"/>
        <v>0</v>
      </c>
      <c r="L7" s="256">
        <v>0</v>
      </c>
      <c r="M7" s="257" t="s">
        <v>585</v>
      </c>
      <c r="N7" s="254" t="s">
        <v>72</v>
      </c>
      <c r="O7" s="254"/>
      <c r="P7" s="583">
        <f t="shared" si="3"/>
        <v>42100</v>
      </c>
      <c r="Q7" s="619">
        <f>C8+D7-P7+D8-L8-O8-P8</f>
        <v>-40</v>
      </c>
      <c r="R7" s="25"/>
      <c r="S7" s="25"/>
      <c r="T7" s="242"/>
      <c r="U7" s="13"/>
      <c r="V7" t="e">
        <f>B7&amp;" ЗП "&amp;$V$3&amp;F7&amp;" год. роботи*"&amp;H7&amp;") + ТО "&amp;G7&amp;" год.*100="&amp;TEXT(J7,"# #0,00")&amp;" ФОТ "&amp;$V$2&amp;TEXT(L7,"# #0,00")&amp;". Борг компании: "&amp;TEXT(#REF!,"# #0,00")&amp;". До виплати - "&amp;TEXT(P7,"# #0,00")&amp;" грн."</f>
        <v>#REF!</v>
      </c>
    </row>
    <row r="8" spans="1:22" x14ac:dyDescent="0.3">
      <c r="A8" s="579">
        <v>2821</v>
      </c>
      <c r="B8" s="563" t="s">
        <v>646</v>
      </c>
      <c r="C8" s="603"/>
      <c r="D8" s="48">
        <v>7020</v>
      </c>
      <c r="E8" s="470">
        <v>26</v>
      </c>
      <c r="F8" s="254">
        <v>26</v>
      </c>
      <c r="G8" s="241">
        <v>0</v>
      </c>
      <c r="H8" s="241">
        <v>270</v>
      </c>
      <c r="I8" s="241">
        <v>100</v>
      </c>
      <c r="J8" s="48">
        <f t="shared" si="0"/>
        <v>7020</v>
      </c>
      <c r="K8" s="255">
        <f t="shared" si="1"/>
        <v>0</v>
      </c>
      <c r="L8" s="256">
        <v>0</v>
      </c>
      <c r="M8" s="257" t="s">
        <v>585</v>
      </c>
      <c r="N8" s="254" t="s">
        <v>64</v>
      </c>
      <c r="O8" s="254"/>
      <c r="P8" s="583">
        <f t="shared" si="3"/>
        <v>7000</v>
      </c>
      <c r="Q8" s="603"/>
      <c r="R8" s="25"/>
      <c r="S8" s="25"/>
      <c r="T8" s="242"/>
      <c r="U8" s="13"/>
      <c r="V8" t="str">
        <f>B8&amp;" ЗП "&amp;$V$3&amp;F8&amp;" год. роботи*"&amp;H8&amp;") + ТО "&amp;G8&amp;" год.*100="&amp;TEXT(J8,"# #0,00")&amp;" ФОТ "&amp;$V$2&amp;TEXT(L8,"# #0,00")&amp;". Борг компании: "&amp;TEXT(Q7,"# #0,00")&amp;". До виплати - "&amp;TEXT(P8,"# #0,00")&amp;" грн."</f>
        <v>Зубко Олег ЗП с 01.02-28.02(26 год. роботи*270) + ТО 0 год.*100=7 020,00 ФОТ Лютий  2025 = 0,00. Борг компании: -40,00. До виплати - 7 000,00 грн.</v>
      </c>
    </row>
    <row r="9" spans="1:22" s="24" customFormat="1" x14ac:dyDescent="0.3">
      <c r="A9" s="579">
        <v>2817</v>
      </c>
      <c r="B9" s="563" t="s">
        <v>244</v>
      </c>
      <c r="C9" s="581">
        <v>-30.25</v>
      </c>
      <c r="D9" s="48">
        <v>52500</v>
      </c>
      <c r="E9" s="470">
        <v>239</v>
      </c>
      <c r="F9" s="254">
        <v>220</v>
      </c>
      <c r="G9" s="241">
        <v>19</v>
      </c>
      <c r="H9" s="241">
        <v>230</v>
      </c>
      <c r="I9" s="241">
        <v>100</v>
      </c>
      <c r="J9" s="48">
        <f t="shared" si="0"/>
        <v>52500</v>
      </c>
      <c r="K9" s="255">
        <f t="shared" si="1"/>
        <v>0</v>
      </c>
      <c r="L9" s="256">
        <v>8008</v>
      </c>
      <c r="M9" s="257" t="s">
        <v>585</v>
      </c>
      <c r="N9" s="254" t="s">
        <v>71</v>
      </c>
      <c r="O9" s="254"/>
      <c r="P9" s="471">
        <f t="shared" si="3"/>
        <v>44500</v>
      </c>
      <c r="Q9" s="581">
        <f t="shared" ref="Q9:Q40" si="4">C9+D9-L9-O9-P9</f>
        <v>-38.25</v>
      </c>
      <c r="R9" s="25"/>
      <c r="S9" s="25"/>
      <c r="T9" s="242"/>
      <c r="U9" s="25"/>
      <c r="V9" s="24" t="str">
        <f t="shared" si="2"/>
        <v>Карбунар Я.Д. ЗП с 01.02-28.02(220 год. роботи*230) + ТО 19 год.*100=52 500,00 ФОТ Лютий  2025 = 8 008,00. Борг компании: -38,25. До виплати - 44 500,00 грн.</v>
      </c>
    </row>
    <row r="10" spans="1:22" s="24" customFormat="1" x14ac:dyDescent="0.3">
      <c r="A10" s="579">
        <v>2818</v>
      </c>
      <c r="B10" s="563" t="s">
        <v>648</v>
      </c>
      <c r="C10" s="581">
        <v>0</v>
      </c>
      <c r="D10" s="48">
        <v>50000</v>
      </c>
      <c r="E10" s="470">
        <v>71</v>
      </c>
      <c r="F10" s="254">
        <v>71</v>
      </c>
      <c r="G10" s="241">
        <v>0</v>
      </c>
      <c r="H10" s="241">
        <v>330</v>
      </c>
      <c r="I10" s="241">
        <v>100</v>
      </c>
      <c r="J10" s="48">
        <v>50000</v>
      </c>
      <c r="K10" s="255">
        <f t="shared" si="1"/>
        <v>0</v>
      </c>
      <c r="L10" s="256">
        <v>7700</v>
      </c>
      <c r="M10" s="257" t="s">
        <v>585</v>
      </c>
      <c r="N10" s="254" t="s">
        <v>523</v>
      </c>
      <c r="O10" s="254"/>
      <c r="P10" s="583">
        <f t="shared" si="3"/>
        <v>42300</v>
      </c>
      <c r="Q10" s="581">
        <f t="shared" si="4"/>
        <v>0</v>
      </c>
      <c r="R10" s="25"/>
      <c r="S10" s="25"/>
      <c r="T10" s="242"/>
      <c r="U10" s="25"/>
      <c r="V10" s="24" t="str">
        <f t="shared" si="2"/>
        <v>Філянович Ю. ЗП с 01.02-28.02(71 год. роботи*330) + ТО 0 год.*100=50 000,00 ФОТ Лютий  2025 = 7 700,00. Борг компании: 0,00. До виплати - 42 300,00 грн.</v>
      </c>
    </row>
    <row r="11" spans="1:22" s="24" customFormat="1" x14ac:dyDescent="0.3">
      <c r="A11" s="579">
        <v>2819</v>
      </c>
      <c r="B11" s="563" t="s">
        <v>649</v>
      </c>
      <c r="C11" s="618">
        <v>12.25</v>
      </c>
      <c r="D11" s="48">
        <v>13150</v>
      </c>
      <c r="E11" s="470">
        <v>55</v>
      </c>
      <c r="F11" s="254">
        <v>45</v>
      </c>
      <c r="G11" s="241">
        <v>10</v>
      </c>
      <c r="H11" s="241">
        <v>270</v>
      </c>
      <c r="I11" s="241">
        <v>100</v>
      </c>
      <c r="J11" s="48">
        <f t="shared" si="0"/>
        <v>13150</v>
      </c>
      <c r="K11" s="255">
        <f t="shared" si="1"/>
        <v>0</v>
      </c>
      <c r="L11" s="256">
        <v>2121.4106620574062</v>
      </c>
      <c r="M11" s="257" t="s">
        <v>585</v>
      </c>
      <c r="N11" s="254" t="s">
        <v>64</v>
      </c>
      <c r="O11" s="254"/>
      <c r="P11" s="583">
        <f t="shared" si="3"/>
        <v>11000</v>
      </c>
      <c r="Q11" s="618">
        <f>C11+D11-L11-O11-P11+D12+D13-L13-L12-P12-P13</f>
        <v>42.250000000003638</v>
      </c>
      <c r="R11" s="25"/>
      <c r="S11" s="25"/>
      <c r="T11" s="242"/>
      <c r="U11" s="25"/>
      <c r="V11" s="24" t="str">
        <f t="shared" si="2"/>
        <v>Борисенко О. ЗП с 01.02-28.02(45 год. роботи*270) + ТО 10 год.*100=13 150,00 ФОТ Лютий  2025 = 2 121,41. Борг компании: 42,25. До виплати - 11 000,00 грн.</v>
      </c>
    </row>
    <row r="12" spans="1:22" s="24" customFormat="1" x14ac:dyDescent="0.3">
      <c r="A12" s="579">
        <v>2820</v>
      </c>
      <c r="B12" s="563" t="s">
        <v>649</v>
      </c>
      <c r="C12" s="604"/>
      <c r="D12" s="48">
        <v>18920</v>
      </c>
      <c r="E12" s="470">
        <v>86</v>
      </c>
      <c r="F12" s="254">
        <v>86</v>
      </c>
      <c r="G12" s="241">
        <v>0</v>
      </c>
      <c r="H12" s="241">
        <v>220</v>
      </c>
      <c r="I12" s="241">
        <v>100</v>
      </c>
      <c r="J12" s="48">
        <f t="shared" si="0"/>
        <v>18920</v>
      </c>
      <c r="K12" s="255">
        <f t="shared" si="1"/>
        <v>0</v>
      </c>
      <c r="L12" s="256">
        <v>3052.253963963964</v>
      </c>
      <c r="M12" s="257" t="s">
        <v>585</v>
      </c>
      <c r="N12" s="254" t="s">
        <v>0</v>
      </c>
      <c r="O12" s="254"/>
      <c r="P12" s="583">
        <f t="shared" si="3"/>
        <v>15900</v>
      </c>
      <c r="Q12" s="604"/>
      <c r="R12" s="25"/>
      <c r="S12" s="25"/>
      <c r="T12" s="242"/>
      <c r="U12" s="25"/>
      <c r="V12" s="24" t="str">
        <f t="shared" si="2"/>
        <v>Борисенко О. ЗП с 01.02-28.02(86 год. роботи*220) + ТО 0 год.*100=18 920,00 ФОТ Лютий  2025 = 3 052,25. Борг компании: 0,00. До виплати - 15 900,00 грн.</v>
      </c>
    </row>
    <row r="13" spans="1:22" x14ac:dyDescent="0.3">
      <c r="A13" s="579">
        <v>2827</v>
      </c>
      <c r="B13" s="563" t="s">
        <v>649</v>
      </c>
      <c r="C13" s="603"/>
      <c r="D13" s="48">
        <v>15660</v>
      </c>
      <c r="E13" s="470">
        <v>58</v>
      </c>
      <c r="F13" s="254">
        <v>58</v>
      </c>
      <c r="G13" s="241">
        <v>0</v>
      </c>
      <c r="H13" s="241">
        <v>270</v>
      </c>
      <c r="I13" s="241">
        <v>100</v>
      </c>
      <c r="J13" s="48">
        <f t="shared" si="0"/>
        <v>15660</v>
      </c>
      <c r="K13" s="255">
        <f t="shared" si="1"/>
        <v>0</v>
      </c>
      <c r="L13" s="256">
        <v>2526.3353739786298</v>
      </c>
      <c r="M13" s="257" t="s">
        <v>585</v>
      </c>
      <c r="N13" s="254" t="s">
        <v>69</v>
      </c>
      <c r="O13" s="254"/>
      <c r="P13" s="583">
        <f t="shared" si="3"/>
        <v>13100</v>
      </c>
      <c r="Q13" s="603"/>
      <c r="R13" s="25"/>
      <c r="S13" s="25"/>
      <c r="T13" s="242"/>
      <c r="U13" s="13"/>
      <c r="V13" t="str">
        <f t="shared" si="2"/>
        <v>Борисенко О. ЗП с 01.02-28.02(58 год. роботи*270) + ТО 0 год.*100=15 660,00 ФОТ Лютий  2025 = 2 526,34. Борг компании: 0,00. До виплати - 13 100,00 грн.</v>
      </c>
    </row>
    <row r="14" spans="1:22" s="24" customFormat="1" ht="15" customHeight="1" x14ac:dyDescent="0.3">
      <c r="A14" s="579">
        <v>2822</v>
      </c>
      <c r="B14" s="563" t="s">
        <v>650</v>
      </c>
      <c r="C14" s="581">
        <f>'2025_02_01 '!Q16</f>
        <v>28</v>
      </c>
      <c r="D14" s="48">
        <v>16820</v>
      </c>
      <c r="E14" s="470">
        <v>77</v>
      </c>
      <c r="F14" s="254">
        <v>76</v>
      </c>
      <c r="G14" s="241">
        <v>1</v>
      </c>
      <c r="H14" s="241">
        <v>220</v>
      </c>
      <c r="I14" s="241">
        <v>100</v>
      </c>
      <c r="J14" s="48">
        <f t="shared" si="0"/>
        <v>16820</v>
      </c>
      <c r="K14" s="255">
        <f t="shared" si="1"/>
        <v>0</v>
      </c>
      <c r="L14" s="256">
        <v>0</v>
      </c>
      <c r="M14" s="257" t="s">
        <v>585</v>
      </c>
      <c r="N14" s="254" t="s">
        <v>0</v>
      </c>
      <c r="O14" s="254"/>
      <c r="P14" s="583">
        <f t="shared" si="3"/>
        <v>16800</v>
      </c>
      <c r="Q14" s="581">
        <f t="shared" si="4"/>
        <v>48</v>
      </c>
      <c r="R14" s="25"/>
      <c r="S14" s="25"/>
      <c r="T14" s="242"/>
      <c r="U14" s="25"/>
      <c r="V14" s="24" t="str">
        <f t="shared" si="2"/>
        <v>Гончаренко О. ЗП с 01.02-28.02(76 год. роботи*220) + ТО 1 год.*100=16 820,00 ФОТ Лютий  2025 = 0,00. Борг компании: 48,00. До виплати - 16 800,00 грн.</v>
      </c>
    </row>
    <row r="15" spans="1:22" s="24" customFormat="1" x14ac:dyDescent="0.3">
      <c r="A15" s="579">
        <v>2823</v>
      </c>
      <c r="B15" s="563" t="s">
        <v>254</v>
      </c>
      <c r="C15" s="581">
        <f>'2025_02_01 '!Q11</f>
        <v>-29.940000000002328</v>
      </c>
      <c r="D15" s="48">
        <v>37800</v>
      </c>
      <c r="E15" s="470">
        <v>170</v>
      </c>
      <c r="F15" s="254">
        <v>160</v>
      </c>
      <c r="G15" s="241">
        <v>10</v>
      </c>
      <c r="H15" s="241">
        <v>230</v>
      </c>
      <c r="I15" s="241">
        <v>100</v>
      </c>
      <c r="J15" s="48">
        <f t="shared" si="0"/>
        <v>37800</v>
      </c>
      <c r="K15" s="255">
        <f t="shared" si="1"/>
        <v>0</v>
      </c>
      <c r="L15" s="256">
        <v>8008</v>
      </c>
      <c r="M15" s="257" t="s">
        <v>585</v>
      </c>
      <c r="N15" s="254" t="s">
        <v>73</v>
      </c>
      <c r="O15" s="254">
        <f>9083/2</f>
        <v>4541.5</v>
      </c>
      <c r="P15" s="583">
        <f>ROUND(C15+D15-L15-O15,-2)</f>
        <v>25200</v>
      </c>
      <c r="Q15" s="581">
        <f t="shared" si="4"/>
        <v>20.559999999997672</v>
      </c>
      <c r="R15" s="25"/>
      <c r="S15" s="25"/>
      <c r="T15" s="242"/>
      <c r="U15" s="25"/>
      <c r="V15" s="24" t="str">
        <f t="shared" si="2"/>
        <v>Скоц С.І. ЗП с 01.02-28.02(160 год. роботи*230) + ТО 10 год.*100=37 800,00 ФОТ Лютий  2025 = 8 008,00. Борг компании: 20,56. До виплати - 25 200,00 грн.</v>
      </c>
    </row>
    <row r="16" spans="1:22" s="24" customFormat="1" x14ac:dyDescent="0.3">
      <c r="A16" s="582">
        <v>2824</v>
      </c>
      <c r="B16" s="563" t="s">
        <v>651</v>
      </c>
      <c r="C16" s="618">
        <f>36.26</f>
        <v>36.26</v>
      </c>
      <c r="D16" s="48">
        <v>13310</v>
      </c>
      <c r="E16" s="470">
        <v>59</v>
      </c>
      <c r="F16" s="254">
        <v>57</v>
      </c>
      <c r="G16" s="241">
        <v>2</v>
      </c>
      <c r="H16" s="241">
        <v>230</v>
      </c>
      <c r="I16" s="241">
        <v>100</v>
      </c>
      <c r="J16" s="48">
        <f t="shared" si="0"/>
        <v>13310</v>
      </c>
      <c r="K16" s="255">
        <f t="shared" si="1"/>
        <v>0</v>
      </c>
      <c r="L16" s="256">
        <v>2294.3183859413475</v>
      </c>
      <c r="M16" s="257" t="s">
        <v>585</v>
      </c>
      <c r="N16" s="254" t="s">
        <v>73</v>
      </c>
      <c r="O16" s="254">
        <f>9083/2</f>
        <v>4541.5</v>
      </c>
      <c r="P16" s="583">
        <f t="shared" si="3"/>
        <v>6500</v>
      </c>
      <c r="Q16" s="618">
        <f>C16+D16-L16-O16-P16+D17-L17-P17</f>
        <v>-35.239999999997963</v>
      </c>
      <c r="R16" s="25"/>
      <c r="S16" s="25"/>
      <c r="T16" s="242"/>
      <c r="U16" s="25"/>
      <c r="V16" s="24" t="str">
        <f t="shared" si="2"/>
        <v>Ляшко С.В. ЗП с 01.02-28.02(57 год. роботи*230) + ТО 2 год.*100=13 310,00 ФОТ Лютий  2025 = 2 294,32. Борг компании: -35,24. До виплати - 6 500,00 грн.</v>
      </c>
    </row>
    <row r="17" spans="1:32" s="24" customFormat="1" x14ac:dyDescent="0.3">
      <c r="A17" s="582">
        <v>2825</v>
      </c>
      <c r="B17" s="563" t="s">
        <v>651</v>
      </c>
      <c r="C17" s="603"/>
      <c r="D17" s="48">
        <v>31360</v>
      </c>
      <c r="E17" s="470">
        <v>142</v>
      </c>
      <c r="F17" s="254">
        <v>132</v>
      </c>
      <c r="G17" s="241">
        <v>10</v>
      </c>
      <c r="H17" s="241">
        <v>230</v>
      </c>
      <c r="I17" s="241">
        <v>100</v>
      </c>
      <c r="J17" s="48">
        <f t="shared" si="0"/>
        <v>31360</v>
      </c>
      <c r="K17" s="255">
        <f t="shared" si="1"/>
        <v>0</v>
      </c>
      <c r="L17" s="256">
        <v>5405.6816140586525</v>
      </c>
      <c r="M17" s="257" t="s">
        <v>585</v>
      </c>
      <c r="N17" s="254" t="s">
        <v>77</v>
      </c>
      <c r="O17" s="254"/>
      <c r="P17" s="583">
        <f t="shared" si="3"/>
        <v>26000</v>
      </c>
      <c r="Q17" s="603"/>
      <c r="R17" s="25"/>
      <c r="S17" s="25"/>
      <c r="T17" s="242"/>
      <c r="U17" s="25"/>
      <c r="V17" s="24" t="str">
        <f t="shared" si="2"/>
        <v>Ляшко С.В. ЗП с 01.02-28.02(132 год. роботи*230) + ТО 10 год.*100=31 360,00 ФОТ Лютий  2025 = 5 405,68. Борг компании: 0,00. До виплати - 26 000,00 грн.</v>
      </c>
    </row>
    <row r="18" spans="1:32" s="24" customFormat="1" x14ac:dyDescent="0.3">
      <c r="A18" s="582">
        <v>2826</v>
      </c>
      <c r="B18" s="563" t="s">
        <v>246</v>
      </c>
      <c r="C18" s="581">
        <f>'2025_02_01 '!Q13</f>
        <v>4.5199983573329519</v>
      </c>
      <c r="D18" s="48">
        <v>38170</v>
      </c>
      <c r="E18" s="470">
        <v>142</v>
      </c>
      <c r="F18" s="254">
        <v>141</v>
      </c>
      <c r="G18" s="241">
        <v>1</v>
      </c>
      <c r="H18" s="241">
        <v>270</v>
      </c>
      <c r="I18" s="241">
        <v>100</v>
      </c>
      <c r="J18" s="48">
        <f t="shared" si="0"/>
        <v>38170</v>
      </c>
      <c r="K18" s="255">
        <f t="shared" si="1"/>
        <v>0</v>
      </c>
      <c r="L18" s="256">
        <v>7700</v>
      </c>
      <c r="M18" s="257" t="s">
        <v>585</v>
      </c>
      <c r="N18" s="254" t="s">
        <v>69</v>
      </c>
      <c r="O18" s="254"/>
      <c r="P18" s="583">
        <f t="shared" si="3"/>
        <v>30500</v>
      </c>
      <c r="Q18" s="581">
        <f t="shared" si="4"/>
        <v>-25.480001642667048</v>
      </c>
      <c r="R18" s="25"/>
      <c r="S18" s="25"/>
      <c r="T18" s="242"/>
      <c r="U18" s="25"/>
      <c r="V18" s="24" t="str">
        <f t="shared" si="2"/>
        <v>Болох В.В. ЗП с 01.02-28.02(141 год. роботи*270) + ТО 1 год.*100=38 170,00 ФОТ Лютий  2025 = 7 700,00. Борг компании: -25,48. До виплати - 30 500,00 грн.</v>
      </c>
    </row>
    <row r="19" spans="1:32" s="24" customFormat="1" x14ac:dyDescent="0.3">
      <c r="A19" s="582">
        <v>2831</v>
      </c>
      <c r="B19" s="563" t="s">
        <v>652</v>
      </c>
      <c r="C19" s="619">
        <v>21.74</v>
      </c>
      <c r="D19" s="48">
        <v>1600</v>
      </c>
      <c r="E19" s="470">
        <v>8</v>
      </c>
      <c r="F19" s="254">
        <v>8</v>
      </c>
      <c r="G19" s="241">
        <v>0</v>
      </c>
      <c r="H19" s="241">
        <v>200</v>
      </c>
      <c r="I19" s="241">
        <v>100</v>
      </c>
      <c r="J19" s="48">
        <f t="shared" si="0"/>
        <v>1600</v>
      </c>
      <c r="K19" s="255">
        <f t="shared" si="1"/>
        <v>0</v>
      </c>
      <c r="L19" s="256">
        <v>914.98211009174315</v>
      </c>
      <c r="M19" s="257" t="s">
        <v>585</v>
      </c>
      <c r="N19" s="254" t="s">
        <v>75</v>
      </c>
      <c r="O19" s="254"/>
      <c r="P19" s="583">
        <f t="shared" si="3"/>
        <v>700</v>
      </c>
      <c r="Q19" s="619">
        <f>C19+D19-L19-O19-P19+D20-L20-P20</f>
        <v>-11.590000000000146</v>
      </c>
      <c r="R19" s="25"/>
      <c r="S19" s="25"/>
      <c r="T19" s="242"/>
      <c r="U19" s="25"/>
      <c r="V19" s="24" t="str">
        <f t="shared" si="2"/>
        <v>Комаров Денис ЗП с 01.02-28.02(8 год. роботи*200) + ТО 0 год.*100=1 600,00 ФОТ Лютий  2025 = 914,98. Борг компании: -11,59. До виплати - 700,00 грн.</v>
      </c>
    </row>
    <row r="20" spans="1:32" s="24" customFormat="1" x14ac:dyDescent="0.3">
      <c r="A20" s="582">
        <v>2834</v>
      </c>
      <c r="B20" s="563" t="s">
        <v>652</v>
      </c>
      <c r="C20" s="603"/>
      <c r="D20" s="48">
        <v>9300</v>
      </c>
      <c r="E20" s="470">
        <v>51</v>
      </c>
      <c r="F20" s="254">
        <v>42</v>
      </c>
      <c r="G20" s="241">
        <v>9</v>
      </c>
      <c r="H20" s="241">
        <v>200</v>
      </c>
      <c r="I20" s="241">
        <v>100</v>
      </c>
      <c r="J20" s="48">
        <f t="shared" si="0"/>
        <v>9300</v>
      </c>
      <c r="K20" s="255">
        <f t="shared" si="1"/>
        <v>0</v>
      </c>
      <c r="L20" s="256">
        <v>5318.3478899082565</v>
      </c>
      <c r="M20" s="257" t="s">
        <v>585</v>
      </c>
      <c r="N20" s="254" t="s">
        <v>349</v>
      </c>
      <c r="O20" s="254"/>
      <c r="P20" s="583">
        <f t="shared" si="3"/>
        <v>4000</v>
      </c>
      <c r="Q20" s="603"/>
      <c r="R20" s="25"/>
      <c r="S20" s="25"/>
      <c r="T20" s="242"/>
      <c r="U20" s="25"/>
      <c r="V20" s="24" t="str">
        <f t="shared" si="2"/>
        <v>Комаров Денис ЗП с 01.02-28.02(42 год. роботи*200) + ТО 9 год.*100=9 300,00 ФОТ Лютий  2025 = 5 318,35. Борг компании: 0,00. До виплати - 4 000,00 грн.</v>
      </c>
    </row>
    <row r="21" spans="1:32" s="24" customFormat="1" x14ac:dyDescent="0.3">
      <c r="A21" s="582">
        <v>2832</v>
      </c>
      <c r="B21" s="563" t="s">
        <v>653</v>
      </c>
      <c r="C21" s="581">
        <f>'2025_02_01 '!Q20</f>
        <v>0</v>
      </c>
      <c r="D21" s="48">
        <v>33300</v>
      </c>
      <c r="E21" s="470">
        <v>172</v>
      </c>
      <c r="F21" s="254">
        <v>161</v>
      </c>
      <c r="G21" s="241">
        <v>11</v>
      </c>
      <c r="H21" s="241">
        <v>200</v>
      </c>
      <c r="I21" s="241">
        <v>100</v>
      </c>
      <c r="J21" s="48">
        <f t="shared" si="0"/>
        <v>33300</v>
      </c>
      <c r="K21" s="255">
        <f t="shared" si="1"/>
        <v>0</v>
      </c>
      <c r="L21" s="256">
        <v>7700</v>
      </c>
      <c r="M21" s="257" t="s">
        <v>585</v>
      </c>
      <c r="N21" s="254" t="s">
        <v>75</v>
      </c>
      <c r="O21" s="254"/>
      <c r="P21" s="583">
        <f t="shared" si="3"/>
        <v>25600</v>
      </c>
      <c r="Q21" s="581">
        <f t="shared" si="4"/>
        <v>0</v>
      </c>
      <c r="R21" s="25"/>
      <c r="S21" s="25"/>
      <c r="T21" s="242"/>
      <c r="U21" s="25"/>
      <c r="V21" s="24" t="str">
        <f t="shared" si="2"/>
        <v>Черненко А. ЗП с 01.02-28.02(161 год. роботи*200) + ТО 11 год.*100=33 300,00 ФОТ Лютий  2025 = 7 700,00. Борг компании: 0,00. До виплати - 25 600,00 грн.</v>
      </c>
    </row>
    <row r="22" spans="1:32" s="24" customFormat="1" x14ac:dyDescent="0.3">
      <c r="A22" s="582">
        <v>2833</v>
      </c>
      <c r="B22" s="563" t="s">
        <v>654</v>
      </c>
      <c r="C22" s="581">
        <v>0</v>
      </c>
      <c r="D22" s="48">
        <v>23100</v>
      </c>
      <c r="E22" s="470">
        <v>117</v>
      </c>
      <c r="F22" s="254">
        <v>114</v>
      </c>
      <c r="G22" s="241">
        <v>3</v>
      </c>
      <c r="H22" s="241">
        <v>200</v>
      </c>
      <c r="I22" s="241">
        <v>100</v>
      </c>
      <c r="J22" s="48">
        <f t="shared" si="0"/>
        <v>23100</v>
      </c>
      <c r="K22" s="255">
        <f t="shared" si="1"/>
        <v>0</v>
      </c>
      <c r="L22" s="256">
        <v>0</v>
      </c>
      <c r="M22" s="257" t="s">
        <v>585</v>
      </c>
      <c r="N22" s="254" t="s">
        <v>86</v>
      </c>
      <c r="O22" s="254"/>
      <c r="P22" s="583">
        <f t="shared" si="3"/>
        <v>23100</v>
      </c>
      <c r="Q22" s="581">
        <f t="shared" si="4"/>
        <v>0</v>
      </c>
      <c r="R22" s="25"/>
      <c r="S22" s="25"/>
      <c r="T22" s="242"/>
      <c r="U22" s="25"/>
      <c r="V22" s="24" t="str">
        <f t="shared" si="2"/>
        <v>Окольничий Віталій ЗП с 01.02-28.02(114 год. роботи*200) + ТО 3 год.*100=23 100,00 ФОТ Лютий  2025 = 0,00. Борг компании: 0,00. До виплати - 23 100,00 грн.</v>
      </c>
    </row>
    <row r="23" spans="1:32" s="24" customFormat="1" x14ac:dyDescent="0.3">
      <c r="A23" s="582">
        <v>2835</v>
      </c>
      <c r="B23" s="563" t="s">
        <v>655</v>
      </c>
      <c r="C23" s="581">
        <v>0</v>
      </c>
      <c r="D23" s="48">
        <v>10200</v>
      </c>
      <c r="E23" s="470">
        <v>57</v>
      </c>
      <c r="F23" s="254">
        <v>45</v>
      </c>
      <c r="G23" s="241">
        <v>12</v>
      </c>
      <c r="H23" s="241">
        <v>200</v>
      </c>
      <c r="I23" s="241">
        <v>100</v>
      </c>
      <c r="J23" s="48">
        <f t="shared" si="0"/>
        <v>10200</v>
      </c>
      <c r="K23" s="255">
        <f t="shared" si="1"/>
        <v>0</v>
      </c>
      <c r="L23" s="256">
        <v>0</v>
      </c>
      <c r="M23" s="257" t="s">
        <v>585</v>
      </c>
      <c r="N23" s="254" t="s">
        <v>349</v>
      </c>
      <c r="O23" s="254"/>
      <c r="P23" s="583">
        <f t="shared" si="3"/>
        <v>10200</v>
      </c>
      <c r="Q23" s="581">
        <f t="shared" si="4"/>
        <v>0</v>
      </c>
      <c r="R23" s="25"/>
      <c r="S23" s="25"/>
      <c r="T23" s="242"/>
      <c r="U23" s="25"/>
      <c r="V23" s="24" t="str">
        <f t="shared" si="2"/>
        <v>Гончаренко Валерій ЗП с 01.02-28.02(45 год. роботи*200) + ТО 12 год.*100=10 200,00 ФОТ Лютий  2025 = 0,00. Борг компании: 0,00. До виплати - 10 200,00 грн.</v>
      </c>
    </row>
    <row r="24" spans="1:32" s="24" customFormat="1" x14ac:dyDescent="0.3">
      <c r="A24" s="582">
        <v>2837</v>
      </c>
      <c r="B24" s="563" t="s">
        <v>656</v>
      </c>
      <c r="C24" s="581">
        <v>0</v>
      </c>
      <c r="D24" s="48">
        <v>25000</v>
      </c>
      <c r="E24" s="470">
        <v>125</v>
      </c>
      <c r="F24" s="254">
        <v>125</v>
      </c>
      <c r="G24" s="241">
        <v>0</v>
      </c>
      <c r="H24" s="241">
        <v>200</v>
      </c>
      <c r="I24" s="241">
        <v>100</v>
      </c>
      <c r="J24" s="48">
        <f t="shared" si="0"/>
        <v>25000</v>
      </c>
      <c r="K24" s="255">
        <f t="shared" si="1"/>
        <v>0</v>
      </c>
      <c r="L24" s="256">
        <v>0</v>
      </c>
      <c r="M24" s="257" t="s">
        <v>585</v>
      </c>
      <c r="N24" s="254" t="s">
        <v>588</v>
      </c>
      <c r="O24" s="254"/>
      <c r="P24" s="583">
        <f t="shared" si="3"/>
        <v>25000</v>
      </c>
      <c r="Q24" s="581">
        <f t="shared" si="4"/>
        <v>0</v>
      </c>
      <c r="R24" s="25"/>
      <c r="S24" s="25"/>
      <c r="T24" s="242"/>
      <c r="U24" s="25"/>
      <c r="V24" s="24" t="str">
        <f t="shared" si="2"/>
        <v>Сокур С ЗП с 01.02-28.02(125 год. роботи*200) + ТО 0 год.*100=25 000,00 ФОТ Лютий  2025 = 0,00. Борг компании: 0,00. До виплати - 25 000,00 грн.</v>
      </c>
    </row>
    <row r="25" spans="1:32" s="24" customFormat="1" x14ac:dyDescent="0.3">
      <c r="A25" s="582">
        <v>2838</v>
      </c>
      <c r="B25" s="563" t="s">
        <v>657</v>
      </c>
      <c r="C25" s="258">
        <v>-40</v>
      </c>
      <c r="D25" s="48">
        <v>45200</v>
      </c>
      <c r="E25" s="470">
        <v>226</v>
      </c>
      <c r="F25" s="254">
        <v>226</v>
      </c>
      <c r="G25" s="241">
        <v>0</v>
      </c>
      <c r="H25" s="241">
        <v>200</v>
      </c>
      <c r="I25" s="241">
        <v>100</v>
      </c>
      <c r="J25" s="48">
        <f t="shared" si="0"/>
        <v>45200</v>
      </c>
      <c r="K25" s="255">
        <f t="shared" si="1"/>
        <v>0</v>
      </c>
      <c r="L25" s="256">
        <v>7700</v>
      </c>
      <c r="M25" s="257" t="s">
        <v>585</v>
      </c>
      <c r="N25" s="254" t="s">
        <v>348</v>
      </c>
      <c r="O25" s="254"/>
      <c r="P25" s="583">
        <f t="shared" si="3"/>
        <v>37500</v>
      </c>
      <c r="Q25" s="581">
        <f t="shared" si="4"/>
        <v>-40</v>
      </c>
      <c r="R25" s="25"/>
      <c r="S25" s="25"/>
      <c r="T25" s="242"/>
      <c r="U25" s="25"/>
      <c r="V25" s="24" t="str">
        <f t="shared" si="2"/>
        <v>Котик Микола ЗП с 01.02-28.02(226 год. роботи*200) + ТО 0 год.*100=45 200,00 ФОТ Лютий  2025 = 7 700,00. Борг компании: -40,00. До виплати - 37 500,00 грн.</v>
      </c>
    </row>
    <row r="26" spans="1:32" s="24" customFormat="1" x14ac:dyDescent="0.3">
      <c r="A26" s="579">
        <v>2839</v>
      </c>
      <c r="B26" s="563" t="s">
        <v>658</v>
      </c>
      <c r="C26" s="581">
        <v>0</v>
      </c>
      <c r="D26" s="48">
        <v>30040</v>
      </c>
      <c r="E26" s="470">
        <v>134</v>
      </c>
      <c r="F26" s="254">
        <v>128</v>
      </c>
      <c r="G26" s="241">
        <v>6</v>
      </c>
      <c r="H26" s="241">
        <v>230</v>
      </c>
      <c r="I26" s="241">
        <v>100</v>
      </c>
      <c r="J26" s="48">
        <f t="shared" si="0"/>
        <v>30040</v>
      </c>
      <c r="K26" s="255">
        <f t="shared" si="1"/>
        <v>0</v>
      </c>
      <c r="L26" s="256">
        <v>17700</v>
      </c>
      <c r="M26" s="257" t="s">
        <v>659</v>
      </c>
      <c r="N26" s="254" t="s">
        <v>70</v>
      </c>
      <c r="O26" s="254"/>
      <c r="P26" s="583">
        <f t="shared" si="3"/>
        <v>12300</v>
      </c>
      <c r="Q26" s="581">
        <f t="shared" si="4"/>
        <v>40</v>
      </c>
      <c r="R26" s="25"/>
      <c r="S26" s="25"/>
      <c r="T26" s="242"/>
      <c r="U26" s="25"/>
      <c r="V26" s="24" t="str">
        <f t="shared" si="2"/>
        <v xml:space="preserve"> Ільїн Ростислав ЗП с 01.02-28.02(128 год. роботи*230) + ТО 6 год.*100=30 040,00 ФОТ Лютий  2025 = 17 700,00. Борг компании: 40,00. До виплати - 12 300,00 грн.</v>
      </c>
      <c r="AF26" s="24" t="s">
        <v>664</v>
      </c>
    </row>
    <row r="27" spans="1:32" s="24" customFormat="1" x14ac:dyDescent="0.3">
      <c r="A27" s="579"/>
      <c r="B27" s="563" t="s">
        <v>665</v>
      </c>
      <c r="C27" s="581"/>
      <c r="D27" s="48"/>
      <c r="E27" s="470"/>
      <c r="F27" s="254"/>
      <c r="G27" s="241"/>
      <c r="H27" s="241"/>
      <c r="I27" s="241"/>
      <c r="J27" s="48">
        <f t="shared" si="0"/>
        <v>0</v>
      </c>
      <c r="K27" s="255">
        <f t="shared" si="1"/>
        <v>0</v>
      </c>
      <c r="L27" s="256">
        <v>3666.66</v>
      </c>
      <c r="M27" s="257"/>
      <c r="N27" s="254"/>
      <c r="O27" s="254"/>
      <c r="P27" s="583">
        <v>0</v>
      </c>
      <c r="Q27" s="589">
        <f t="shared" si="4"/>
        <v>-3666.66</v>
      </c>
      <c r="R27" s="25"/>
      <c r="S27" s="25"/>
      <c r="T27" s="242"/>
      <c r="U27" s="25"/>
      <c r="V27" s="24" t="str">
        <f t="shared" si="2"/>
        <v>Роменський Валерій Вікторович ЗП с 01.02-28.02( год. роботи*) + ТО  год.*100=0,00 ФОТ Лютий  2025 = 3 666,66. Борг компании: -3 666,66. До виплати - 0,00 грн.</v>
      </c>
      <c r="AF27" s="24" t="s">
        <v>666</v>
      </c>
    </row>
    <row r="28" spans="1:32" s="24" customFormat="1" x14ac:dyDescent="0.3">
      <c r="A28" s="617"/>
      <c r="B28" s="563"/>
      <c r="C28" s="581"/>
      <c r="D28" s="48"/>
      <c r="E28" s="470"/>
      <c r="F28" s="254"/>
      <c r="G28" s="241"/>
      <c r="H28" s="241"/>
      <c r="I28" s="241"/>
      <c r="J28" s="48"/>
      <c r="K28" s="255">
        <f t="shared" si="1"/>
        <v>0</v>
      </c>
      <c r="L28" s="256"/>
      <c r="M28" s="257"/>
      <c r="N28" s="254"/>
      <c r="O28" s="254"/>
      <c r="P28" s="471"/>
      <c r="Q28" s="581">
        <f t="shared" si="4"/>
        <v>0</v>
      </c>
      <c r="R28" s="25"/>
      <c r="S28" s="25"/>
      <c r="T28" s="242"/>
      <c r="U28" s="25"/>
      <c r="V28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29" spans="1:32" s="24" customFormat="1" x14ac:dyDescent="0.3">
      <c r="A29" s="617"/>
      <c r="B29" s="563"/>
      <c r="C29" s="581"/>
      <c r="D29" s="48"/>
      <c r="E29" s="470"/>
      <c r="F29" s="254"/>
      <c r="G29" s="241"/>
      <c r="H29" s="241"/>
      <c r="I29" s="241"/>
      <c r="J29" s="48">
        <f t="shared" si="0"/>
        <v>0</v>
      </c>
      <c r="K29" s="255">
        <f t="shared" si="1"/>
        <v>0</v>
      </c>
      <c r="L29" s="256"/>
      <c r="M29" s="257"/>
      <c r="N29" s="254"/>
      <c r="O29" s="254"/>
      <c r="P29" s="471"/>
      <c r="Q29" s="581">
        <f t="shared" si="4"/>
        <v>0</v>
      </c>
      <c r="R29" s="25"/>
      <c r="S29" s="25"/>
      <c r="T29" s="242"/>
      <c r="U29" s="25"/>
      <c r="V2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0" spans="1:32" s="24" customFormat="1" ht="13.8" customHeight="1" x14ac:dyDescent="0.3">
      <c r="A30" s="579"/>
      <c r="B30" s="563"/>
      <c r="C30" s="581"/>
      <c r="D30" s="48"/>
      <c r="E30" s="470"/>
      <c r="F30" s="254"/>
      <c r="G30" s="241"/>
      <c r="H30" s="241"/>
      <c r="I30" s="241"/>
      <c r="J30" s="48">
        <f t="shared" si="0"/>
        <v>0</v>
      </c>
      <c r="K30" s="255">
        <f t="shared" si="1"/>
        <v>0</v>
      </c>
      <c r="L30" s="256"/>
      <c r="M30" s="257"/>
      <c r="N30" s="254"/>
      <c r="O30" s="254"/>
      <c r="P30" s="471"/>
      <c r="Q30" s="581">
        <f t="shared" si="4"/>
        <v>0</v>
      </c>
      <c r="R30" s="25"/>
      <c r="S30" s="25"/>
      <c r="T30" s="242"/>
      <c r="U30" s="25"/>
      <c r="V30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1" spans="1:32" s="24" customFormat="1" ht="14.4" customHeight="1" x14ac:dyDescent="0.3">
      <c r="A31" s="579"/>
      <c r="B31" s="563"/>
      <c r="C31" s="581"/>
      <c r="D31" s="48"/>
      <c r="E31" s="470"/>
      <c r="F31" s="254"/>
      <c r="G31" s="241"/>
      <c r="H31" s="241"/>
      <c r="I31" s="241"/>
      <c r="J31" s="48">
        <f t="shared" si="0"/>
        <v>0</v>
      </c>
      <c r="K31" s="255">
        <f t="shared" si="1"/>
        <v>0</v>
      </c>
      <c r="L31" s="256"/>
      <c r="M31" s="257">
        <f>'МЕХАНИЗАТОРЫ ноябрь'!Q166</f>
        <v>0</v>
      </c>
      <c r="N31" s="254">
        <f t="shared" ref="N31:N39" si="5">M31-J31</f>
        <v>0</v>
      </c>
      <c r="O31" s="254"/>
      <c r="P31" s="471"/>
      <c r="Q31" s="581">
        <f t="shared" si="4"/>
        <v>0</v>
      </c>
      <c r="R31" s="25"/>
      <c r="S31" s="25"/>
      <c r="T31" s="242"/>
      <c r="U31" s="25"/>
      <c r="V31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2" spans="1:32" s="24" customFormat="1" ht="15" customHeight="1" x14ac:dyDescent="0.3">
      <c r="A32" s="579"/>
      <c r="B32" s="563"/>
      <c r="C32" s="581"/>
      <c r="D32" s="48"/>
      <c r="E32" s="470"/>
      <c r="F32" s="254"/>
      <c r="G32" s="241"/>
      <c r="H32" s="241"/>
      <c r="I32" s="241"/>
      <c r="J32" s="48">
        <f t="shared" si="0"/>
        <v>0</v>
      </c>
      <c r="K32" s="255">
        <f t="shared" si="1"/>
        <v>0</v>
      </c>
      <c r="L32" s="256"/>
      <c r="M32" s="257">
        <f>'МЕХАНИЗАТОРЫ ноябрь'!Q167</f>
        <v>0</v>
      </c>
      <c r="N32" s="254">
        <f t="shared" si="5"/>
        <v>0</v>
      </c>
      <c r="O32" s="254"/>
      <c r="P32" s="471"/>
      <c r="Q32" s="581">
        <f t="shared" si="4"/>
        <v>0</v>
      </c>
      <c r="R32" s="25"/>
      <c r="S32" s="25"/>
      <c r="T32" s="242"/>
      <c r="U32" s="25"/>
      <c r="V32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3" spans="1:22" s="24" customFormat="1" ht="14.4" customHeight="1" x14ac:dyDescent="0.3">
      <c r="A33" s="579"/>
      <c r="B33" s="563"/>
      <c r="C33" s="581"/>
      <c r="D33" s="48">
        <v>0</v>
      </c>
      <c r="E33" s="470"/>
      <c r="F33" s="254"/>
      <c r="G33" s="241"/>
      <c r="H33" s="241"/>
      <c r="I33" s="241"/>
      <c r="J33" s="48">
        <f t="shared" si="0"/>
        <v>0</v>
      </c>
      <c r="K33" s="255">
        <f t="shared" si="1"/>
        <v>0</v>
      </c>
      <c r="L33" s="256"/>
      <c r="M33" s="257">
        <f>'МЕХАНИЗАТОРЫ ноябрь'!Q168</f>
        <v>0</v>
      </c>
      <c r="N33" s="254">
        <f t="shared" si="5"/>
        <v>0</v>
      </c>
      <c r="O33" s="254"/>
      <c r="P33" s="471"/>
      <c r="Q33" s="581">
        <f t="shared" si="4"/>
        <v>0</v>
      </c>
      <c r="R33" s="25"/>
      <c r="S33" s="25"/>
      <c r="T33" s="242"/>
      <c r="U33" s="25"/>
      <c r="V33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4" spans="1:22" s="24" customFormat="1" ht="14.4" customHeight="1" x14ac:dyDescent="0.3">
      <c r="A34" s="240"/>
      <c r="B34" s="469"/>
      <c r="C34" s="258"/>
      <c r="D34" s="48">
        <v>0</v>
      </c>
      <c r="E34" s="470"/>
      <c r="F34" s="254"/>
      <c r="G34" s="241"/>
      <c r="H34" s="241"/>
      <c r="I34" s="241"/>
      <c r="J34" s="48">
        <f t="shared" si="0"/>
        <v>0</v>
      </c>
      <c r="K34" s="255">
        <f t="shared" si="1"/>
        <v>0</v>
      </c>
      <c r="L34" s="256"/>
      <c r="M34" s="257">
        <f>'МЕХАНИЗАТОРЫ ноябрь'!Q169</f>
        <v>0</v>
      </c>
      <c r="N34" s="254">
        <f t="shared" si="5"/>
        <v>0</v>
      </c>
      <c r="O34" s="254"/>
      <c r="P34" s="471"/>
      <c r="Q34" s="581">
        <f t="shared" si="4"/>
        <v>0</v>
      </c>
      <c r="R34" s="25"/>
      <c r="S34" s="25"/>
      <c r="T34" s="242"/>
      <c r="U34" s="25"/>
      <c r="V34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5" spans="1:22" s="24" customFormat="1" ht="14.4" customHeight="1" x14ac:dyDescent="0.3">
      <c r="A35" s="240"/>
      <c r="B35" s="469"/>
      <c r="C35" s="258"/>
      <c r="D35" s="48">
        <v>0</v>
      </c>
      <c r="E35" s="470"/>
      <c r="F35" s="254"/>
      <c r="G35" s="241"/>
      <c r="H35" s="241"/>
      <c r="I35" s="241"/>
      <c r="J35" s="48">
        <f t="shared" si="0"/>
        <v>0</v>
      </c>
      <c r="K35" s="255">
        <f t="shared" si="1"/>
        <v>0</v>
      </c>
      <c r="L35" s="256"/>
      <c r="M35" s="257">
        <f>'МЕХАНИЗАТОРЫ ноябрь'!Q170</f>
        <v>0</v>
      </c>
      <c r="N35" s="254">
        <f t="shared" si="5"/>
        <v>0</v>
      </c>
      <c r="O35" s="254"/>
      <c r="P35" s="471"/>
      <c r="Q35" s="581">
        <f t="shared" si="4"/>
        <v>0</v>
      </c>
      <c r="R35" s="25"/>
      <c r="S35" s="25"/>
      <c r="T35" s="242"/>
      <c r="U35" s="25"/>
      <c r="V35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6" spans="1:22" ht="13.8" customHeight="1" x14ac:dyDescent="0.3">
      <c r="A36" s="240"/>
      <c r="B36" s="469"/>
      <c r="C36" s="258"/>
      <c r="D36" s="48">
        <v>0</v>
      </c>
      <c r="E36" s="469"/>
      <c r="F36" s="469"/>
      <c r="G36" s="469"/>
      <c r="H36" s="469"/>
      <c r="I36" s="241"/>
      <c r="J36" s="48">
        <f t="shared" si="0"/>
        <v>0</v>
      </c>
      <c r="K36" s="255">
        <f t="shared" si="1"/>
        <v>0</v>
      </c>
      <c r="L36" s="256"/>
      <c r="M36" s="257">
        <f>'МЕХАНИЗАТОРЫ ноябрь'!Q171</f>
        <v>0</v>
      </c>
      <c r="N36" s="254">
        <f t="shared" si="5"/>
        <v>0</v>
      </c>
      <c r="O36" s="254"/>
      <c r="P36" s="471"/>
      <c r="Q36" s="581">
        <f t="shared" si="4"/>
        <v>0</v>
      </c>
      <c r="S36" s="25"/>
      <c r="V36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7" spans="1:22" s="24" customFormat="1" ht="14.4" customHeight="1" x14ac:dyDescent="0.3">
      <c r="A37" s="240"/>
      <c r="B37" s="469"/>
      <c r="C37" s="258"/>
      <c r="D37" s="48">
        <v>0</v>
      </c>
      <c r="E37" s="470"/>
      <c r="F37" s="254"/>
      <c r="G37" s="241"/>
      <c r="H37" s="241"/>
      <c r="I37" s="241"/>
      <c r="J37" s="48">
        <f t="shared" si="0"/>
        <v>0</v>
      </c>
      <c r="K37" s="255">
        <f t="shared" si="1"/>
        <v>0</v>
      </c>
      <c r="L37" s="472"/>
      <c r="M37" s="257">
        <f>'МЕХАНИЗАТОРЫ ноябрь'!Q172</f>
        <v>0</v>
      </c>
      <c r="N37" s="254">
        <f t="shared" si="5"/>
        <v>0</v>
      </c>
      <c r="O37" s="254"/>
      <c r="P37" s="471"/>
      <c r="Q37" s="581">
        <f t="shared" si="4"/>
        <v>0</v>
      </c>
      <c r="R37" s="25"/>
      <c r="S37" s="25"/>
      <c r="T37" s="242"/>
      <c r="U37" s="25"/>
      <c r="V37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8" spans="1:22" s="24" customFormat="1" ht="14.4" customHeight="1" x14ac:dyDescent="0.3">
      <c r="A38" s="48"/>
      <c r="B38" s="469"/>
      <c r="C38" s="258"/>
      <c r="D38" s="48"/>
      <c r="E38" s="470"/>
      <c r="F38" s="254"/>
      <c r="G38" s="241"/>
      <c r="H38" s="241"/>
      <c r="I38" s="241"/>
      <c r="J38" s="471"/>
      <c r="K38" s="255"/>
      <c r="L38" s="472"/>
      <c r="M38" s="257">
        <f>'МЕХАНИЗАТОРЫ ноябрь'!Q173</f>
        <v>0</v>
      </c>
      <c r="N38" s="254">
        <f t="shared" si="5"/>
        <v>0</v>
      </c>
      <c r="O38" s="254"/>
      <c r="P38" s="471"/>
      <c r="Q38" s="581">
        <f t="shared" si="4"/>
        <v>0</v>
      </c>
      <c r="R38" s="25"/>
      <c r="S38" s="25">
        <f t="shared" ref="S38:S39" si="6">P38-R38</f>
        <v>0</v>
      </c>
      <c r="T38" s="242"/>
      <c r="U38" s="25"/>
      <c r="V38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9" spans="1:22" ht="13.8" customHeight="1" x14ac:dyDescent="0.3">
      <c r="A39" s="243"/>
      <c r="B39" s="469"/>
      <c r="C39" s="258"/>
      <c r="D39" s="469"/>
      <c r="E39" s="469"/>
      <c r="F39" s="469"/>
      <c r="G39" s="469"/>
      <c r="H39" s="469"/>
      <c r="I39" s="473"/>
      <c r="J39" s="471"/>
      <c r="K39" s="255"/>
      <c r="L39" s="469"/>
      <c r="M39" s="257">
        <f>'МЕХАНИЗАТОРЫ ноябрь'!Q174</f>
        <v>0</v>
      </c>
      <c r="N39" s="254">
        <f t="shared" si="5"/>
        <v>0</v>
      </c>
      <c r="O39" s="254"/>
      <c r="P39" s="471">
        <f t="shared" ref="P39" si="7">ROUND(C39+D39-L39,-2)</f>
        <v>0</v>
      </c>
      <c r="Q39" s="581">
        <f t="shared" si="4"/>
        <v>0</v>
      </c>
      <c r="S39" s="25">
        <f t="shared" si="6"/>
        <v>0</v>
      </c>
      <c r="V3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40" spans="1:22" ht="14.4" hidden="1" customHeight="1" x14ac:dyDescent="0.3">
      <c r="A40" s="243"/>
      <c r="B40" s="469"/>
      <c r="C40" s="258"/>
      <c r="D40" s="469"/>
      <c r="E40" s="469"/>
      <c r="F40" s="469"/>
      <c r="G40" s="469"/>
      <c r="H40" s="469"/>
      <c r="I40" s="473"/>
      <c r="J40" s="471"/>
      <c r="K40" s="474"/>
      <c r="L40" s="469"/>
      <c r="M40" s="469"/>
      <c r="N40" s="469"/>
      <c r="O40" s="557"/>
      <c r="P40" s="475"/>
      <c r="Q40" s="581">
        <f t="shared" si="4"/>
        <v>0</v>
      </c>
    </row>
    <row r="41" spans="1:22" x14ac:dyDescent="0.3">
      <c r="A41" s="250"/>
      <c r="B41" s="476" t="s">
        <v>468</v>
      </c>
      <c r="C41" s="476"/>
      <c r="D41" s="477"/>
      <c r="E41" s="477"/>
      <c r="F41" s="477"/>
      <c r="G41" s="477"/>
      <c r="H41" s="476"/>
      <c r="I41" s="476"/>
      <c r="J41" s="477">
        <f>SUM(J4:J40)</f>
        <v>613530</v>
      </c>
      <c r="K41" s="477">
        <f>SUM(K4:K40)</f>
        <v>0</v>
      </c>
      <c r="L41" s="477">
        <f>SUM(L4:L40)</f>
        <v>97515.989999999991</v>
      </c>
      <c r="M41" s="469"/>
      <c r="N41" s="469"/>
      <c r="O41" s="477">
        <f>SUM(O4:O40)</f>
        <v>9083</v>
      </c>
      <c r="P41" s="477">
        <f>SUM(P4:P40)</f>
        <v>510600</v>
      </c>
      <c r="Q41" s="445"/>
    </row>
    <row r="42" spans="1:22" x14ac:dyDescent="0.3">
      <c r="J42" s="242"/>
      <c r="K42" s="242"/>
      <c r="L42" s="25"/>
      <c r="P42" s="25"/>
    </row>
    <row r="43" spans="1:22" x14ac:dyDescent="0.3">
      <c r="P43" s="242"/>
    </row>
    <row r="45" spans="1:22" x14ac:dyDescent="0.3">
      <c r="P45" s="242"/>
    </row>
    <row r="46" spans="1:22" outlineLevel="1" x14ac:dyDescent="0.3"/>
    <row r="47" spans="1:22" ht="15" outlineLevel="1" thickBot="1" x14ac:dyDescent="0.35">
      <c r="F47" s="611"/>
      <c r="G47" s="611"/>
      <c r="H47" s="611"/>
      <c r="I47" s="611"/>
    </row>
    <row r="48" spans="1:22" ht="43.8" customHeight="1" outlineLevel="1" thickBot="1" x14ac:dyDescent="0.35">
      <c r="C48" s="479" t="s">
        <v>552</v>
      </c>
      <c r="D48" s="479" t="s">
        <v>553</v>
      </c>
      <c r="E48" s="479" t="s">
        <v>448</v>
      </c>
      <c r="F48" s="479" t="s">
        <v>449</v>
      </c>
      <c r="G48" s="480" t="s">
        <v>450</v>
      </c>
      <c r="H48" s="480" t="s">
        <v>451</v>
      </c>
      <c r="I48" s="481" t="s">
        <v>638</v>
      </c>
      <c r="J48" s="482" t="s">
        <v>546</v>
      </c>
      <c r="K48" s="483" t="s">
        <v>555</v>
      </c>
      <c r="L48" s="483" t="s">
        <v>639</v>
      </c>
    </row>
    <row r="49" spans="3:13" s="24" customFormat="1" ht="15" customHeight="1" outlineLevel="1" thickBot="1" x14ac:dyDescent="0.35">
      <c r="C49" s="491">
        <v>2900</v>
      </c>
      <c r="D49" s="484" t="s">
        <v>554</v>
      </c>
      <c r="E49" s="494" t="s">
        <v>550</v>
      </c>
      <c r="F49" s="495">
        <v>3176</v>
      </c>
      <c r="G49" s="496">
        <v>10</v>
      </c>
      <c r="H49" s="495">
        <f>(F49*G49)+(5*1500)</f>
        <v>39260</v>
      </c>
      <c r="I49" s="495">
        <v>7623</v>
      </c>
      <c r="J49" s="495">
        <f>H49-I49</f>
        <v>31637</v>
      </c>
      <c r="K49" s="497">
        <f>ROUND(H49-I49,-2)</f>
        <v>31600</v>
      </c>
      <c r="L49" s="553">
        <f>'2025_02_01 '!L49+H49-I49-K49</f>
        <v>61</v>
      </c>
      <c r="M49" t="s">
        <v>663</v>
      </c>
    </row>
    <row r="50" spans="3:13" s="24" customFormat="1" ht="15" customHeight="1" outlineLevel="1" x14ac:dyDescent="0.3">
      <c r="C50" s="505">
        <v>2898</v>
      </c>
      <c r="D50" s="484" t="s">
        <v>622</v>
      </c>
      <c r="E50" s="494" t="s">
        <v>551</v>
      </c>
      <c r="F50" s="495">
        <v>3085</v>
      </c>
      <c r="G50" s="496">
        <v>10</v>
      </c>
      <c r="H50" s="495">
        <f>(F50*G50)+(5*1500)</f>
        <v>38350</v>
      </c>
      <c r="I50" s="495">
        <v>3811.5</v>
      </c>
      <c r="J50" s="495">
        <f>H50-I50</f>
        <v>34538.5</v>
      </c>
      <c r="K50" s="497">
        <f>ROUND(H50-I50,-2)</f>
        <v>34500</v>
      </c>
      <c r="L50" s="553">
        <f>'2025_02_01 '!L50+H50-I50-K50</f>
        <v>96</v>
      </c>
      <c r="M50" t="s">
        <v>662</v>
      </c>
    </row>
    <row r="51" spans="3:13" s="24" customFormat="1" outlineLevel="1" x14ac:dyDescent="0.3">
      <c r="K51" s="242">
        <f>SUM(K49:K50)</f>
        <v>66100</v>
      </c>
    </row>
    <row r="52" spans="3:13" x14ac:dyDescent="0.3">
      <c r="K52" s="242"/>
    </row>
  </sheetData>
  <autoFilter ref="A3:W39" xr:uid="{00000000-0009-0000-0000-000015000000}"/>
  <mergeCells count="12">
    <mergeCell ref="A28:A29"/>
    <mergeCell ref="F47:I47"/>
    <mergeCell ref="C5:C6"/>
    <mergeCell ref="C19:C20"/>
    <mergeCell ref="Q19:Q20"/>
    <mergeCell ref="Q7:Q8"/>
    <mergeCell ref="Q5:Q6"/>
    <mergeCell ref="C7:C8"/>
    <mergeCell ref="C11:C13"/>
    <mergeCell ref="C16:C17"/>
    <mergeCell ref="Q16:Q17"/>
    <mergeCell ref="Q11:Q13"/>
  </mergeCells>
  <conditionalFormatting sqref="K4:K40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A090-F91B-4F13-88AD-46B6A63BF81C}">
  <sheetPr filterMode="1"/>
  <dimension ref="A2:AF52"/>
  <sheetViews>
    <sheetView zoomScaleNormal="100" workbookViewId="0">
      <pane xSplit="2" ySplit="3" topLeftCell="K11" activePane="bottomRight" state="frozen"/>
      <selection pane="topRight" activeCell="C1" sqref="C1"/>
      <selection pane="bottomLeft" activeCell="A4" sqref="A4"/>
      <selection pane="bottomRight" activeCell="N41" sqref="N41"/>
    </sheetView>
  </sheetViews>
  <sheetFormatPr defaultRowHeight="14.4" outlineLevelRow="1" outlineLevelCol="1" x14ac:dyDescent="0.3"/>
  <cols>
    <col min="1" max="1" width="10.33203125" customWidth="1"/>
    <col min="2" max="2" width="24.109375" style="24" customWidth="1"/>
    <col min="3" max="4" width="12.21875" style="24" customWidth="1"/>
    <col min="5" max="9" width="12.21875" style="24" customWidth="1" outlineLevel="1"/>
    <col min="10" max="12" width="12.21875" style="24" customWidth="1"/>
    <col min="13" max="13" width="28.5546875" style="24" customWidth="1"/>
    <col min="14" max="14" width="24.77734375" style="24" customWidth="1"/>
    <col min="15" max="15" width="24.77734375" style="24" customWidth="1" outlineLevel="1"/>
    <col min="16" max="16" width="16.88671875" style="24" customWidth="1"/>
    <col min="17" max="17" width="8.77734375" style="24" customWidth="1"/>
    <col min="18" max="18" width="8.77734375" style="24" hidden="1" customWidth="1" outlineLevel="1"/>
    <col min="19" max="19" width="10.33203125" style="24" hidden="1" customWidth="1" outlineLevel="1"/>
    <col min="20" max="20" width="8.88671875" style="24" hidden="1" customWidth="1" outlineLevel="1"/>
    <col min="21" max="21" width="8.88671875" hidden="1" customWidth="1" outlineLevel="1" collapsed="1"/>
    <col min="22" max="31" width="8.88671875" hidden="1" customWidth="1" outlineLevel="1"/>
    <col min="32" max="32" width="8.88671875" collapsed="1"/>
  </cols>
  <sheetData>
    <row r="2" spans="1:22" s="27" customFormat="1" x14ac:dyDescent="0.3">
      <c r="B2" s="311"/>
      <c r="C2" s="311"/>
      <c r="D2" s="311"/>
      <c r="E2" s="312">
        <f>SUM(E4:E40)</f>
        <v>2404</v>
      </c>
      <c r="F2" s="312">
        <f>SUM(F4:F40)</f>
        <v>2226</v>
      </c>
      <c r="G2" s="312">
        <f>SUM(G4:G40)</f>
        <v>178</v>
      </c>
      <c r="H2" s="311"/>
      <c r="I2" s="311"/>
      <c r="J2" s="312">
        <f>SUM(J4:J38)</f>
        <v>550810</v>
      </c>
      <c r="K2" s="311"/>
      <c r="L2" s="311"/>
      <c r="M2" s="311"/>
      <c r="N2" s="311"/>
      <c r="O2" s="311"/>
      <c r="P2" s="311"/>
      <c r="Q2" s="311"/>
      <c r="R2" s="311"/>
      <c r="S2" s="311"/>
      <c r="T2" s="311"/>
      <c r="V2" s="45" t="s">
        <v>641</v>
      </c>
    </row>
    <row r="3" spans="1:22" s="27" customFormat="1" ht="43.8" thickBot="1" x14ac:dyDescent="0.35">
      <c r="A3" s="577" t="s">
        <v>63</v>
      </c>
      <c r="B3" s="578" t="s">
        <v>60</v>
      </c>
      <c r="C3" s="578" t="s">
        <v>358</v>
      </c>
      <c r="D3" s="467" t="s">
        <v>357</v>
      </c>
      <c r="E3" s="467" t="s">
        <v>79</v>
      </c>
      <c r="F3" s="467" t="s">
        <v>81</v>
      </c>
      <c r="G3" s="467" t="s">
        <v>82</v>
      </c>
      <c r="H3" s="467" t="s">
        <v>78</v>
      </c>
      <c r="I3" s="467" t="s">
        <v>80</v>
      </c>
      <c r="J3" s="467" t="s">
        <v>62</v>
      </c>
      <c r="K3" s="467" t="s">
        <v>359</v>
      </c>
      <c r="L3" s="467" t="s">
        <v>680</v>
      </c>
      <c r="M3" s="467" t="s">
        <v>65</v>
      </c>
      <c r="N3" s="467" t="s">
        <v>471</v>
      </c>
      <c r="O3" s="556" t="s">
        <v>640</v>
      </c>
      <c r="P3" s="467" t="s">
        <v>61</v>
      </c>
      <c r="Q3" s="468" t="s">
        <v>216</v>
      </c>
      <c r="R3" s="311"/>
      <c r="S3" s="311"/>
      <c r="T3" s="311"/>
      <c r="V3" t="s">
        <v>642</v>
      </c>
    </row>
    <row r="4" spans="1:22" ht="16.2" hidden="1" customHeight="1" x14ac:dyDescent="0.3">
      <c r="A4" s="579">
        <v>3864</v>
      </c>
      <c r="B4" s="580" t="s">
        <v>667</v>
      </c>
      <c r="C4" s="581">
        <f>'2025_03_01'!Q18</f>
        <v>-25.480001642667048</v>
      </c>
      <c r="D4" s="554">
        <v>57840</v>
      </c>
      <c r="E4" s="313">
        <v>218</v>
      </c>
      <c r="F4" s="254">
        <v>212</v>
      </c>
      <c r="G4" s="241">
        <v>6</v>
      </c>
      <c r="H4" s="241">
        <v>270</v>
      </c>
      <c r="I4" s="241">
        <v>100</v>
      </c>
      <c r="J4" s="48">
        <f t="shared" ref="J4:J37" si="0">F4*H4+G4*I4</f>
        <v>57840</v>
      </c>
      <c r="K4" s="255">
        <f t="shared" ref="K4:K37" si="1">J4-D4</f>
        <v>0</v>
      </c>
      <c r="L4" s="256">
        <v>7700</v>
      </c>
      <c r="M4" s="257" t="s">
        <v>585</v>
      </c>
      <c r="N4" s="254" t="s">
        <v>69</v>
      </c>
      <c r="O4" s="254"/>
      <c r="P4" s="471">
        <f>ROUND(C4+D4-L4-O4,-2)</f>
        <v>50100</v>
      </c>
      <c r="Q4" s="581">
        <f>C4+D4-L4-O4-P4</f>
        <v>14.519998357332952</v>
      </c>
      <c r="R4" s="25"/>
      <c r="S4" s="25"/>
      <c r="T4" s="242"/>
      <c r="U4" s="13"/>
      <c r="V4" t="str">
        <f t="shared" ref="V4:V39" si="2">B4&amp;" ЗП "&amp;$V$3&amp;F4&amp;" год. роботи*"&amp;H4&amp;") + ТО "&amp;G4&amp;" год.*100="&amp;TEXT(J4,"# #0,00")&amp;" ФОТ "&amp;$V$2&amp;TEXT(L4,"# #0,00")&amp;". Борг компании: "&amp;TEXT(Q4,"# #0,00")&amp;". До виплати - "&amp;TEXT(P4,"# #0,00")&amp;" грн."</f>
        <v>Болох В. ЗП с 01.02-28.02(212 год. роботи*270) + ТО 6 год.*100=57 840,00 ФОТ Лютий  2025 = 7 700,00. Борг компании: 14,52. До виплати - 50 100,00 грн.</v>
      </c>
    </row>
    <row r="5" spans="1:22" hidden="1" x14ac:dyDescent="0.3">
      <c r="A5" s="579">
        <v>3857</v>
      </c>
      <c r="B5" s="580" t="s">
        <v>649</v>
      </c>
      <c r="C5" s="618">
        <v>42.25</v>
      </c>
      <c r="D5" s="48">
        <v>39390</v>
      </c>
      <c r="E5" s="470">
        <v>161</v>
      </c>
      <c r="F5" s="254">
        <v>137</v>
      </c>
      <c r="G5" s="241">
        <v>24</v>
      </c>
      <c r="H5" s="241">
        <v>270</v>
      </c>
      <c r="I5" s="241">
        <v>100</v>
      </c>
      <c r="J5" s="48">
        <f t="shared" si="0"/>
        <v>39390</v>
      </c>
      <c r="K5" s="255">
        <f t="shared" si="1"/>
        <v>0</v>
      </c>
      <c r="L5" s="256">
        <v>6926.3043845626853</v>
      </c>
      <c r="M5" s="257" t="s">
        <v>585</v>
      </c>
      <c r="N5" s="254" t="s">
        <v>473</v>
      </c>
      <c r="O5" s="254"/>
      <c r="P5" s="471">
        <f t="shared" ref="P5:P26" si="3">ROUND(C5+D5-L5-O5,-2)</f>
        <v>32500</v>
      </c>
      <c r="Q5" s="618">
        <f>C6+D5+D6-L6-L5-O6-P6-P5</f>
        <v>-10</v>
      </c>
      <c r="R5" s="25"/>
      <c r="S5" s="25"/>
      <c r="T5" s="242"/>
      <c r="U5" s="13"/>
      <c r="V5" t="e">
        <f>B5&amp;" ЗП "&amp;$V$3&amp;F5&amp;" год. роботи*"&amp;H5&amp;") + ТО "&amp;G5&amp;" год.*100="&amp;TEXT(J5,"# #0,00")&amp;" ФОТ "&amp;$V$2&amp;TEXT(L5,"# #0,00")&amp;". Борг компании: "&amp;TEXT(#REF!,"# #0,00")&amp;". До виплати - "&amp;TEXT(P5,"# #0,00")&amp;" грн."</f>
        <v>#REF!</v>
      </c>
    </row>
    <row r="6" spans="1:22" ht="19.2" hidden="1" customHeight="1" x14ac:dyDescent="0.3">
      <c r="A6" s="579">
        <v>3858</v>
      </c>
      <c r="B6" s="563" t="s">
        <v>649</v>
      </c>
      <c r="C6" s="603"/>
      <c r="D6" s="48">
        <v>4400</v>
      </c>
      <c r="E6" s="470">
        <v>20</v>
      </c>
      <c r="F6" s="254">
        <v>20</v>
      </c>
      <c r="G6" s="241">
        <v>0</v>
      </c>
      <c r="H6" s="241">
        <v>220</v>
      </c>
      <c r="I6" s="241">
        <v>100</v>
      </c>
      <c r="J6" s="48">
        <f t="shared" si="0"/>
        <v>4400</v>
      </c>
      <c r="K6" s="255">
        <f t="shared" si="1"/>
        <v>0</v>
      </c>
      <c r="L6" s="256">
        <v>773.69561543731447</v>
      </c>
      <c r="M6" s="257" t="s">
        <v>585</v>
      </c>
      <c r="N6" s="254" t="s">
        <v>0</v>
      </c>
      <c r="O6" s="254"/>
      <c r="P6" s="471">
        <f t="shared" si="3"/>
        <v>3600</v>
      </c>
      <c r="Q6" s="603"/>
      <c r="R6" s="25"/>
      <c r="S6" s="25"/>
      <c r="T6" s="242"/>
      <c r="U6" s="13"/>
      <c r="V6" t="str">
        <f>B6&amp;" ЗП "&amp;$V$3&amp;F6&amp;" год. роботи*"&amp;H6&amp;") + ТО "&amp;G6&amp;" год.*100="&amp;TEXT(J6,"# #0,00")&amp;" ФОТ "&amp;$V$2&amp;TEXT(L6,"# #0,00")&amp;". Борг компании: "&amp;TEXT(Q5,"# #0,00")&amp;". До виплати - "&amp;TEXT(P6,"# #0,00")&amp;" грн."</f>
        <v>Борисенко О. ЗП с 01.02-28.02(20 год. роботи*220) + ТО 0 год.*100=4 400,00 ФОТ Лютий  2025 = 773,70. Борг компании: -10,00. До виплати - 3 600,00 грн.</v>
      </c>
    </row>
    <row r="7" spans="1:22" ht="16.2" hidden="1" customHeight="1" x14ac:dyDescent="0.3">
      <c r="A7" s="579">
        <v>3859</v>
      </c>
      <c r="B7" s="563" t="s">
        <v>648</v>
      </c>
      <c r="C7" s="581">
        <f>'2025_03_01'!Q10</f>
        <v>0</v>
      </c>
      <c r="D7" s="48">
        <v>50000</v>
      </c>
      <c r="E7" s="470">
        <v>117</v>
      </c>
      <c r="F7" s="254">
        <v>85</v>
      </c>
      <c r="G7" s="241">
        <v>32</v>
      </c>
      <c r="H7" s="241">
        <v>330</v>
      </c>
      <c r="I7" s="241">
        <v>100</v>
      </c>
      <c r="J7" s="48">
        <v>50000</v>
      </c>
      <c r="K7" s="255">
        <f t="shared" si="1"/>
        <v>0</v>
      </c>
      <c r="L7" s="256">
        <v>7700</v>
      </c>
      <c r="M7" s="257" t="s">
        <v>585</v>
      </c>
      <c r="N7" s="254" t="s">
        <v>523</v>
      </c>
      <c r="O7" s="254"/>
      <c r="P7" s="471">
        <f t="shared" si="3"/>
        <v>42300</v>
      </c>
      <c r="Q7" s="581">
        <f>C7+D7-L7-O7-P7</f>
        <v>0</v>
      </c>
      <c r="R7" s="25"/>
      <c r="S7" s="25"/>
      <c r="T7" s="242"/>
      <c r="U7" s="13"/>
      <c r="V7" t="e">
        <f>B7&amp;" ЗП "&amp;$V$3&amp;F7&amp;" год. роботи*"&amp;H7&amp;") + ТО "&amp;G7&amp;" год.*100="&amp;TEXT(J7,"# #0,00")&amp;" ФОТ "&amp;$V$2&amp;TEXT(L7,"# #0,00")&amp;". Борг компании: "&amp;TEXT(#REF!,"# #0,00")&amp;". До виплати - "&amp;TEXT(P7,"# #0,00")&amp;" грн."</f>
        <v>#REF!</v>
      </c>
    </row>
    <row r="8" spans="1:22" hidden="1" x14ac:dyDescent="0.3">
      <c r="A8" s="579">
        <v>3866</v>
      </c>
      <c r="B8" s="563" t="s">
        <v>669</v>
      </c>
      <c r="C8" s="581">
        <f>'2025_03_01'!Q25</f>
        <v>-40</v>
      </c>
      <c r="D8" s="48">
        <v>38800</v>
      </c>
      <c r="E8" s="470">
        <v>195</v>
      </c>
      <c r="F8" s="254">
        <v>193</v>
      </c>
      <c r="G8" s="241">
        <v>2</v>
      </c>
      <c r="H8" s="241">
        <v>200</v>
      </c>
      <c r="I8" s="241">
        <v>100</v>
      </c>
      <c r="J8" s="48">
        <f t="shared" si="0"/>
        <v>38800</v>
      </c>
      <c r="K8" s="255">
        <f t="shared" si="1"/>
        <v>0</v>
      </c>
      <c r="L8" s="256">
        <v>7700</v>
      </c>
      <c r="M8" s="257" t="s">
        <v>585</v>
      </c>
      <c r="N8" s="254" t="s">
        <v>348</v>
      </c>
      <c r="O8" s="254"/>
      <c r="P8" s="471">
        <f t="shared" si="3"/>
        <v>31100</v>
      </c>
      <c r="Q8" s="581">
        <f t="shared" ref="Q8:Q17" si="4">C8+D8-L8-O8-P8</f>
        <v>-40</v>
      </c>
      <c r="R8" s="25"/>
      <c r="S8" s="25"/>
      <c r="T8" s="242"/>
      <c r="U8" s="13"/>
      <c r="V8" t="str">
        <f>B8&amp;" ЗП "&amp;$V$3&amp;F8&amp;" год. роботи*"&amp;H8&amp;") + ТО "&amp;G8&amp;" год.*100="&amp;TEXT(J8,"# #0,00")&amp;" ФОТ "&amp;$V$2&amp;TEXT(L8,"# #0,00")&amp;". Борг компании: "&amp;TEXT(Q7,"# #0,00")&amp;". До виплати - "&amp;TEXT(P8,"# #0,00")&amp;" грн."</f>
        <v>Котик М. ЗП с 01.02-28.02(193 год. роботи*200) + ТО 2 год.*100=38 800,00 ФОТ Лютий  2025 = 7 700,00. Борг компании: 0,00. До виплати - 31 100,00 грн.</v>
      </c>
    </row>
    <row r="9" spans="1:22" s="24" customFormat="1" hidden="1" x14ac:dyDescent="0.3">
      <c r="A9" s="579">
        <v>3893</v>
      </c>
      <c r="B9" s="563" t="s">
        <v>670</v>
      </c>
      <c r="C9" s="581">
        <f>'2025_03_01'!Q4</f>
        <v>39.75</v>
      </c>
      <c r="D9" s="48">
        <v>48970</v>
      </c>
      <c r="E9" s="470">
        <v>218</v>
      </c>
      <c r="F9" s="254">
        <v>209</v>
      </c>
      <c r="G9" s="241">
        <v>9</v>
      </c>
      <c r="H9" s="241">
        <v>230</v>
      </c>
      <c r="I9" s="241">
        <v>100</v>
      </c>
      <c r="J9" s="48">
        <f t="shared" si="0"/>
        <v>48970</v>
      </c>
      <c r="K9" s="255">
        <f t="shared" si="1"/>
        <v>0</v>
      </c>
      <c r="L9" s="256">
        <v>7700</v>
      </c>
      <c r="M9" s="257" t="s">
        <v>585</v>
      </c>
      <c r="N9" s="254" t="s">
        <v>67</v>
      </c>
      <c r="O9" s="254"/>
      <c r="P9" s="471">
        <f t="shared" si="3"/>
        <v>41300</v>
      </c>
      <c r="Q9" s="581">
        <f t="shared" si="4"/>
        <v>9.75</v>
      </c>
      <c r="R9" s="25"/>
      <c r="S9" s="25"/>
      <c r="T9" s="242"/>
      <c r="U9" s="25"/>
      <c r="V9" s="24" t="str">
        <f t="shared" si="2"/>
        <v>Василиу Р. ЗП с 01.02-28.02(209 год. роботи*230) + ТО 9 год.*100=48 970,00 ФОТ Лютий  2025 = 7 700,00. Борг компании: 9,75. До виплати - 41 300,00 грн.</v>
      </c>
    </row>
    <row r="10" spans="1:22" s="24" customFormat="1" hidden="1" x14ac:dyDescent="0.3">
      <c r="A10" s="579">
        <v>3894</v>
      </c>
      <c r="B10" s="563" t="s">
        <v>671</v>
      </c>
      <c r="C10" s="581">
        <v>-40</v>
      </c>
      <c r="D10" s="48">
        <v>37710</v>
      </c>
      <c r="E10" s="470">
        <v>173</v>
      </c>
      <c r="F10" s="254">
        <v>157</v>
      </c>
      <c r="G10" s="241">
        <v>16</v>
      </c>
      <c r="H10" s="241">
        <v>230</v>
      </c>
      <c r="I10" s="241">
        <v>100</v>
      </c>
      <c r="J10" s="48">
        <f t="shared" ref="J10:J12" si="5">F10*H10+G10*I10</f>
        <v>37710</v>
      </c>
      <c r="K10" s="255">
        <f t="shared" ref="K10:K12" si="6">J10-D10</f>
        <v>0</v>
      </c>
      <c r="L10" s="256">
        <v>0</v>
      </c>
      <c r="M10" s="257" t="s">
        <v>585</v>
      </c>
      <c r="N10" s="254" t="s">
        <v>76</v>
      </c>
      <c r="O10" s="254"/>
      <c r="P10" s="471">
        <f t="shared" si="3"/>
        <v>37700</v>
      </c>
      <c r="Q10" s="581">
        <f t="shared" si="4"/>
        <v>-30</v>
      </c>
      <c r="R10" s="25"/>
      <c r="S10" s="25"/>
      <c r="T10" s="242"/>
      <c r="U10" s="25"/>
      <c r="V10" s="24" t="str">
        <f t="shared" si="2"/>
        <v>Тройняк О. ЗП с 01.02-28.02(157 год. роботи*230) + ТО 16 год.*100=37 710,00 ФОТ Лютий  2025 = 0,00. Борг компании: -30,00. До виплати - 37 700,00 грн.</v>
      </c>
    </row>
    <row r="11" spans="1:22" s="24" customFormat="1" ht="12" customHeight="1" x14ac:dyDescent="0.3">
      <c r="A11" s="579">
        <v>3895</v>
      </c>
      <c r="B11" s="563" t="s">
        <v>668</v>
      </c>
      <c r="C11" s="581">
        <v>-40</v>
      </c>
      <c r="D11" s="48">
        <v>46180</v>
      </c>
      <c r="E11" s="470">
        <v>207</v>
      </c>
      <c r="F11" s="254">
        <v>196</v>
      </c>
      <c r="G11" s="241">
        <v>11</v>
      </c>
      <c r="H11" s="241">
        <v>230</v>
      </c>
      <c r="I11" s="241">
        <v>100</v>
      </c>
      <c r="J11" s="48">
        <f t="shared" si="5"/>
        <v>46180</v>
      </c>
      <c r="K11" s="255">
        <f t="shared" si="6"/>
        <v>0</v>
      </c>
      <c r="L11" s="256">
        <v>0</v>
      </c>
      <c r="M11" s="257" t="s">
        <v>585</v>
      </c>
      <c r="N11" s="254" t="s">
        <v>72</v>
      </c>
      <c r="O11" s="254">
        <v>2964.465411467248</v>
      </c>
      <c r="P11" s="471">
        <f t="shared" si="3"/>
        <v>43200</v>
      </c>
      <c r="Q11" s="581">
        <f t="shared" si="4"/>
        <v>-24.465411467244849</v>
      </c>
      <c r="R11" s="25"/>
      <c r="S11" s="25"/>
      <c r="T11" s="242"/>
      <c r="U11" s="25"/>
      <c r="V11" s="24" t="str">
        <f t="shared" si="2"/>
        <v>Зубко О. ЗП с 01.02-28.02(196 год. роботи*230) + ТО 11 год.*100=46 180,00 ФОТ Лютий  2025 = 0,00. Борг компании: -24,47. До виплати - 43 200,00 грн.</v>
      </c>
    </row>
    <row r="12" spans="1:22" s="24" customFormat="1" hidden="1" x14ac:dyDescent="0.3">
      <c r="A12" s="579">
        <v>3896</v>
      </c>
      <c r="B12" s="563" t="s">
        <v>672</v>
      </c>
      <c r="C12" s="604">
        <v>-35.24</v>
      </c>
      <c r="D12" s="48">
        <v>25240</v>
      </c>
      <c r="E12" s="470">
        <v>112</v>
      </c>
      <c r="F12" s="254">
        <v>108</v>
      </c>
      <c r="G12" s="241">
        <v>4</v>
      </c>
      <c r="H12" s="241">
        <v>230</v>
      </c>
      <c r="I12" s="241">
        <v>100</v>
      </c>
      <c r="J12" s="48">
        <f t="shared" si="5"/>
        <v>25240</v>
      </c>
      <c r="K12" s="255">
        <f t="shared" si="6"/>
        <v>0</v>
      </c>
      <c r="L12" s="256">
        <v>4061.6071368861021</v>
      </c>
      <c r="M12" s="257" t="s">
        <v>585</v>
      </c>
      <c r="N12" s="254" t="s">
        <v>71</v>
      </c>
      <c r="O12" s="254"/>
      <c r="P12" s="471">
        <f t="shared" si="3"/>
        <v>21100</v>
      </c>
      <c r="Q12" s="618">
        <f>C13+D12+D13-L13-L12-O13-P13-P12</f>
        <v>50</v>
      </c>
      <c r="R12" s="25"/>
      <c r="S12" s="25"/>
      <c r="T12" s="242"/>
      <c r="U12" s="25"/>
      <c r="V12" s="24" t="str">
        <f t="shared" si="2"/>
        <v>Ляшко С. ЗП с 01.02-28.02(108 год. роботи*230) + ТО 4 год.*100=25 240,00 ФОТ Лютий  2025 = 4 061,61. Борг компании: 50,00. До виплати - 21 100,00 грн.</v>
      </c>
    </row>
    <row r="13" spans="1:22" hidden="1" x14ac:dyDescent="0.3">
      <c r="A13" s="579">
        <v>3897</v>
      </c>
      <c r="B13" s="563" t="s">
        <v>672</v>
      </c>
      <c r="C13" s="603"/>
      <c r="D13" s="48">
        <v>22610</v>
      </c>
      <c r="E13" s="470">
        <v>100</v>
      </c>
      <c r="F13" s="254">
        <v>97</v>
      </c>
      <c r="G13" s="241">
        <v>3</v>
      </c>
      <c r="H13" s="241">
        <v>230</v>
      </c>
      <c r="I13" s="241">
        <v>100</v>
      </c>
      <c r="J13" s="48">
        <f t="shared" si="0"/>
        <v>22610</v>
      </c>
      <c r="K13" s="255">
        <f t="shared" si="1"/>
        <v>0</v>
      </c>
      <c r="L13" s="256">
        <v>3638.3928631138979</v>
      </c>
      <c r="M13" s="257" t="s">
        <v>585</v>
      </c>
      <c r="N13" s="254" t="s">
        <v>77</v>
      </c>
      <c r="O13" s="254"/>
      <c r="P13" s="471">
        <f t="shared" si="3"/>
        <v>19000</v>
      </c>
      <c r="Q13" s="603"/>
      <c r="R13" s="25"/>
      <c r="S13" s="25"/>
      <c r="T13" s="242"/>
      <c r="U13" s="13"/>
      <c r="V13" t="str">
        <f t="shared" si="2"/>
        <v>Ляшко С. ЗП с 01.02-28.02(97 год. роботи*230) + ТО 3 год.*100=22 610,00 ФОТ Лютий  2025 = 3 638,39. Борг компании: 0,00. До виплати - 19 000,00 грн.</v>
      </c>
    </row>
    <row r="14" spans="1:22" s="24" customFormat="1" ht="15" customHeight="1" x14ac:dyDescent="0.3">
      <c r="A14" s="579">
        <v>3863</v>
      </c>
      <c r="B14" s="563" t="s">
        <v>254</v>
      </c>
      <c r="C14" s="581">
        <f>'2025_03_01'!Q15</f>
        <v>20.559999999997672</v>
      </c>
      <c r="D14" s="48">
        <v>26230</v>
      </c>
      <c r="E14" s="470">
        <v>118</v>
      </c>
      <c r="F14" s="254">
        <v>111</v>
      </c>
      <c r="G14" s="241">
        <v>7</v>
      </c>
      <c r="H14" s="241">
        <v>230</v>
      </c>
      <c r="I14" s="241">
        <v>100</v>
      </c>
      <c r="J14" s="48">
        <f t="shared" si="0"/>
        <v>26230</v>
      </c>
      <c r="K14" s="255">
        <f t="shared" si="1"/>
        <v>0</v>
      </c>
      <c r="L14" s="256">
        <v>8008</v>
      </c>
      <c r="M14" s="257" t="s">
        <v>585</v>
      </c>
      <c r="N14" s="254" t="s">
        <v>73</v>
      </c>
      <c r="O14" s="254">
        <v>5954.5749873935556</v>
      </c>
      <c r="P14" s="471">
        <f t="shared" si="3"/>
        <v>12300</v>
      </c>
      <c r="Q14" s="581">
        <f t="shared" si="4"/>
        <v>-12.01498739355884</v>
      </c>
      <c r="R14" s="25"/>
      <c r="S14" s="25"/>
      <c r="T14" s="242"/>
      <c r="U14" s="25"/>
      <c r="V14" s="24" t="str">
        <f t="shared" si="2"/>
        <v>Скоц С.І. ЗП с 01.02-28.02(111 год. роботи*230) + ТО 7 год.*100=26 230,00 ФОТ Лютий  2025 = 8 008,00. Борг компании: -12,01. До виплати - 12 300,00 грн.</v>
      </c>
    </row>
    <row r="15" spans="1:22" s="24" customFormat="1" x14ac:dyDescent="0.3">
      <c r="A15" s="579">
        <v>3862</v>
      </c>
      <c r="B15" s="563" t="s">
        <v>673</v>
      </c>
      <c r="C15" s="581">
        <f>'2025_03_01'!Q14</f>
        <v>48</v>
      </c>
      <c r="D15" s="48">
        <v>18360</v>
      </c>
      <c r="E15" s="470">
        <v>84</v>
      </c>
      <c r="F15" s="254">
        <v>83</v>
      </c>
      <c r="G15" s="241">
        <v>1</v>
      </c>
      <c r="H15" s="241">
        <v>220</v>
      </c>
      <c r="I15" s="241">
        <v>100</v>
      </c>
      <c r="J15" s="48">
        <f t="shared" si="0"/>
        <v>18360</v>
      </c>
      <c r="K15" s="255">
        <f t="shared" si="1"/>
        <v>0</v>
      </c>
      <c r="L15" s="256">
        <v>0</v>
      </c>
      <c r="M15" s="257" t="s">
        <v>585</v>
      </c>
      <c r="N15" s="254" t="s">
        <v>0</v>
      </c>
      <c r="O15" s="254">
        <f>4872.39124722126/2</f>
        <v>2436.1956236106298</v>
      </c>
      <c r="P15" s="471">
        <f>ROUND(C15+D15-L15-O15,-2)</f>
        <v>16000</v>
      </c>
      <c r="Q15" s="581">
        <f t="shared" si="4"/>
        <v>-28.195623610630719</v>
      </c>
      <c r="R15" s="25"/>
      <c r="S15" s="25"/>
      <c r="T15" s="242"/>
      <c r="U15" s="25"/>
      <c r="V15" s="24" t="str">
        <f t="shared" si="2"/>
        <v>Гончаренко О ЗП с 01.02-28.02(83 год. роботи*220) + ТО 1 год.*100=18 360,00 ФОТ Лютий  2025 = 0,00. Борг компании: -28,20. До виплати - 16 000,00 грн.</v>
      </c>
    </row>
    <row r="16" spans="1:22" s="24" customFormat="1" hidden="1" x14ac:dyDescent="0.3">
      <c r="A16" s="582">
        <v>3898</v>
      </c>
      <c r="B16" s="563" t="s">
        <v>674</v>
      </c>
      <c r="C16" s="581">
        <v>-11.59</v>
      </c>
      <c r="D16" s="48">
        <v>21400</v>
      </c>
      <c r="E16" s="470">
        <v>110</v>
      </c>
      <c r="F16" s="254">
        <v>104</v>
      </c>
      <c r="G16" s="241">
        <v>6</v>
      </c>
      <c r="H16" s="241">
        <v>200</v>
      </c>
      <c r="I16" s="241">
        <v>100</v>
      </c>
      <c r="J16" s="48">
        <f t="shared" si="0"/>
        <v>21400</v>
      </c>
      <c r="K16" s="255">
        <f t="shared" si="1"/>
        <v>0</v>
      </c>
      <c r="L16" s="256">
        <v>3850</v>
      </c>
      <c r="M16" s="257" t="s">
        <v>585</v>
      </c>
      <c r="N16" s="254" t="s">
        <v>75</v>
      </c>
      <c r="O16" s="254"/>
      <c r="P16" s="471">
        <f t="shared" si="3"/>
        <v>17500</v>
      </c>
      <c r="Q16" s="581">
        <f t="shared" si="4"/>
        <v>38.409999999999854</v>
      </c>
      <c r="R16" s="25"/>
      <c r="S16" s="25"/>
      <c r="T16" s="242"/>
      <c r="U16" s="25"/>
      <c r="V16" s="24" t="str">
        <f t="shared" si="2"/>
        <v>Комаров Д. ЗП с 01.02-28.02(104 год. роботи*200) + ТО 6 год.*100=21 400,00 ФОТ Лютий  2025 = 3 850,00. Борг компании: 38,41. До виплати - 17 500,00 грн.</v>
      </c>
    </row>
    <row r="17" spans="1:32" s="24" customFormat="1" hidden="1" x14ac:dyDescent="0.3">
      <c r="A17" s="582">
        <v>3899</v>
      </c>
      <c r="B17" s="563" t="s">
        <v>653</v>
      </c>
      <c r="C17" s="581">
        <f>'2025_03_01'!Q21</f>
        <v>0</v>
      </c>
      <c r="D17" s="48">
        <v>16800</v>
      </c>
      <c r="E17" s="470">
        <v>90</v>
      </c>
      <c r="F17" s="254">
        <v>78</v>
      </c>
      <c r="G17" s="241">
        <v>12</v>
      </c>
      <c r="H17" s="241">
        <v>200</v>
      </c>
      <c r="I17" s="241">
        <v>100</v>
      </c>
      <c r="J17" s="48">
        <f t="shared" si="0"/>
        <v>16800</v>
      </c>
      <c r="K17" s="255">
        <f t="shared" si="1"/>
        <v>0</v>
      </c>
      <c r="L17" s="256">
        <v>3850</v>
      </c>
      <c r="M17" s="257" t="s">
        <v>585</v>
      </c>
      <c r="N17" s="254" t="s">
        <v>75</v>
      </c>
      <c r="O17" s="254"/>
      <c r="P17" s="471">
        <f t="shared" si="3"/>
        <v>13000</v>
      </c>
      <c r="Q17" s="581">
        <f t="shared" si="4"/>
        <v>-50</v>
      </c>
      <c r="R17" s="25"/>
      <c r="S17" s="25"/>
      <c r="T17" s="242"/>
      <c r="U17" s="25"/>
      <c r="V17" s="24" t="str">
        <f t="shared" si="2"/>
        <v>Черненко А. ЗП с 01.02-28.02(78 год. роботи*200) + ТО 12 год.*100=16 800,00 ФОТ Лютий  2025 = 3 850,00. Борг компании: -50,00. До виплати - 13 000,00 грн.</v>
      </c>
    </row>
    <row r="18" spans="1:32" s="24" customFormat="1" hidden="1" x14ac:dyDescent="0.3">
      <c r="A18" s="582">
        <v>3900</v>
      </c>
      <c r="B18" s="563" t="s">
        <v>675</v>
      </c>
      <c r="C18" s="620">
        <f>'2025_03_01'!Q22</f>
        <v>0</v>
      </c>
      <c r="D18" s="48">
        <v>22000</v>
      </c>
      <c r="E18" s="470">
        <v>113</v>
      </c>
      <c r="F18" s="254">
        <v>107</v>
      </c>
      <c r="G18" s="241">
        <v>6</v>
      </c>
      <c r="H18" s="241">
        <v>200</v>
      </c>
      <c r="I18" s="241">
        <v>100</v>
      </c>
      <c r="J18" s="48">
        <f t="shared" si="0"/>
        <v>22000</v>
      </c>
      <c r="K18" s="255">
        <f t="shared" si="1"/>
        <v>0</v>
      </c>
      <c r="L18" s="256">
        <v>0</v>
      </c>
      <c r="M18" s="257" t="s">
        <v>585</v>
      </c>
      <c r="N18" s="254" t="s">
        <v>86</v>
      </c>
      <c r="O18" s="254"/>
      <c r="P18" s="471">
        <f t="shared" si="3"/>
        <v>22000</v>
      </c>
      <c r="Q18" s="618">
        <f>C19+D18+D19-L19-L18-O19-P19-P18</f>
        <v>-20</v>
      </c>
      <c r="R18" s="25"/>
      <c r="S18" s="25"/>
      <c r="T18" s="242"/>
      <c r="U18" s="25"/>
      <c r="V18" s="24" t="str">
        <f t="shared" si="2"/>
        <v>Окольничий В. ЗП с 01.02-28.02(107 год. роботи*200) + ТО 6 год.*100=22 000,00 ФОТ Лютий  2025 = 0,00. Борг компании: -20,00. До виплати - 22 000,00 грн.</v>
      </c>
    </row>
    <row r="19" spans="1:32" s="24" customFormat="1" hidden="1" x14ac:dyDescent="0.3">
      <c r="A19" s="582">
        <v>3860</v>
      </c>
      <c r="B19" s="563" t="s">
        <v>675</v>
      </c>
      <c r="C19" s="604"/>
      <c r="D19" s="48">
        <v>1980</v>
      </c>
      <c r="E19" s="470">
        <v>9</v>
      </c>
      <c r="F19" s="254">
        <v>9</v>
      </c>
      <c r="G19" s="241">
        <v>0</v>
      </c>
      <c r="H19" s="241">
        <v>220</v>
      </c>
      <c r="I19" s="241">
        <v>100</v>
      </c>
      <c r="J19" s="48">
        <f t="shared" si="0"/>
        <v>1980</v>
      </c>
      <c r="K19" s="255">
        <f t="shared" si="1"/>
        <v>0</v>
      </c>
      <c r="L19" s="256">
        <v>0</v>
      </c>
      <c r="M19" s="257" t="s">
        <v>585</v>
      </c>
      <c r="N19" s="254" t="s">
        <v>0</v>
      </c>
      <c r="O19" s="254"/>
      <c r="P19" s="471">
        <f t="shared" si="3"/>
        <v>2000</v>
      </c>
      <c r="Q19" s="603"/>
      <c r="R19" s="25"/>
      <c r="S19" s="25"/>
      <c r="T19" s="242"/>
      <c r="U19" s="25"/>
      <c r="V19" s="24" t="str">
        <f t="shared" si="2"/>
        <v>Окольничий В. ЗП с 01.02-28.02(9 год. роботи*220) + ТО 0 год.*100=1 980,00 ФОТ Лютий  2025 = 0,00. Борг компании: 0,00. До виплати - 2 000,00 грн.</v>
      </c>
    </row>
    <row r="20" spans="1:32" s="24" customFormat="1" x14ac:dyDescent="0.3">
      <c r="A20" s="582">
        <v>3861</v>
      </c>
      <c r="B20" s="563" t="s">
        <v>676</v>
      </c>
      <c r="C20" s="620">
        <f>'2025_03_01'!Q23</f>
        <v>0</v>
      </c>
      <c r="D20" s="48">
        <v>9560</v>
      </c>
      <c r="E20" s="470">
        <v>44</v>
      </c>
      <c r="F20" s="254">
        <v>43</v>
      </c>
      <c r="G20" s="241">
        <v>1</v>
      </c>
      <c r="H20" s="241">
        <v>220</v>
      </c>
      <c r="I20" s="241">
        <v>100</v>
      </c>
      <c r="J20" s="48">
        <f t="shared" si="0"/>
        <v>9560</v>
      </c>
      <c r="K20" s="255">
        <f t="shared" si="1"/>
        <v>0</v>
      </c>
      <c r="L20" s="256">
        <v>0</v>
      </c>
      <c r="M20" s="257" t="s">
        <v>585</v>
      </c>
      <c r="N20" s="254" t="s">
        <v>0</v>
      </c>
      <c r="O20" s="254">
        <f>4872.39124722126/2</f>
        <v>2436.1956236106298</v>
      </c>
      <c r="P20" s="471">
        <f t="shared" si="3"/>
        <v>7100</v>
      </c>
      <c r="Q20" s="618">
        <f>C21+D20+D21-L21-L20-O21-O20-P21-P20</f>
        <v>-7.3113798907688761</v>
      </c>
      <c r="R20" s="25"/>
      <c r="S20" s="25"/>
      <c r="T20" s="242"/>
      <c r="U20" s="25"/>
      <c r="V20" s="24" t="str">
        <f t="shared" si="2"/>
        <v>Гончаренко В. ЗП с 01.02-28.02(43 год. роботи*220) + ТО 1 год.*100=9 560,00 ФОТ Лютий  2025 = 0,00. Борг компании: -7,31. До виплати - 7 100,00 грн.</v>
      </c>
    </row>
    <row r="21" spans="1:32" s="24" customFormat="1" x14ac:dyDescent="0.3">
      <c r="A21" s="582">
        <v>3865</v>
      </c>
      <c r="B21" s="563" t="s">
        <v>676</v>
      </c>
      <c r="C21" s="603"/>
      <c r="D21" s="48">
        <v>7600</v>
      </c>
      <c r="E21" s="470">
        <v>48</v>
      </c>
      <c r="F21" s="254">
        <v>28</v>
      </c>
      <c r="G21" s="241">
        <v>20</v>
      </c>
      <c r="H21" s="241">
        <v>200</v>
      </c>
      <c r="I21" s="241">
        <v>100</v>
      </c>
      <c r="J21" s="48">
        <f t="shared" si="0"/>
        <v>7600</v>
      </c>
      <c r="K21" s="255">
        <f t="shared" si="1"/>
        <v>0</v>
      </c>
      <c r="L21" s="256">
        <v>0</v>
      </c>
      <c r="M21" s="257" t="s">
        <v>585</v>
      </c>
      <c r="N21" s="254" t="s">
        <v>349</v>
      </c>
      <c r="O21" s="254">
        <v>2831.1157562801386</v>
      </c>
      <c r="P21" s="471">
        <f t="shared" si="3"/>
        <v>4800</v>
      </c>
      <c r="Q21" s="603"/>
      <c r="R21" s="25"/>
      <c r="S21" s="25"/>
      <c r="T21" s="242"/>
      <c r="U21" s="25"/>
      <c r="V21" s="24" t="str">
        <f t="shared" si="2"/>
        <v>Гончаренко В. ЗП с 01.02-28.02(28 год. роботи*200) + ТО 20 год.*100=7 600,00 ФОТ Лютий  2025 = 0,00. Борг компании: 0,00. До виплати - 4 800,00 грн.</v>
      </c>
    </row>
    <row r="22" spans="1:32" s="24" customFormat="1" hidden="1" x14ac:dyDescent="0.3">
      <c r="A22" s="621">
        <v>3901</v>
      </c>
      <c r="B22" s="563" t="s">
        <v>677</v>
      </c>
      <c r="C22" s="620">
        <f>'2025_03_01'!Q24</f>
        <v>0</v>
      </c>
      <c r="D22" s="48">
        <v>21100</v>
      </c>
      <c r="E22" s="470">
        <v>112</v>
      </c>
      <c r="F22" s="254">
        <v>99</v>
      </c>
      <c r="G22" s="241">
        <v>13</v>
      </c>
      <c r="H22" s="241">
        <v>200</v>
      </c>
      <c r="I22" s="241">
        <v>100</v>
      </c>
      <c r="J22" s="48">
        <f t="shared" si="0"/>
        <v>21100</v>
      </c>
      <c r="K22" s="255">
        <f t="shared" si="1"/>
        <v>0</v>
      </c>
      <c r="L22" s="256">
        <v>0</v>
      </c>
      <c r="M22" s="257" t="s">
        <v>585</v>
      </c>
      <c r="N22" s="254" t="s">
        <v>588</v>
      </c>
      <c r="O22" s="254"/>
      <c r="P22" s="471">
        <f t="shared" si="3"/>
        <v>21100</v>
      </c>
      <c r="Q22" s="618">
        <f>C23+D22+D23-L23-L22-O23-O22-P23-P22</f>
        <v>0</v>
      </c>
      <c r="R22" s="25"/>
      <c r="S22" s="25"/>
      <c r="T22" s="242"/>
      <c r="U22" s="25"/>
      <c r="V22" s="24" t="str">
        <f t="shared" si="2"/>
        <v>Сокур С. ЗП с 01.02-28.02(99 год. роботи*200) + ТО 13 год.*100=21 100,00 ФОТ Лютий  2025 = 0,00. Борг компании: 0,00. До виплати - 21 100,00 грн.</v>
      </c>
    </row>
    <row r="23" spans="1:32" s="24" customFormat="1" hidden="1" x14ac:dyDescent="0.3">
      <c r="A23" s="622"/>
      <c r="B23" s="563" t="s">
        <v>677</v>
      </c>
      <c r="C23" s="603"/>
      <c r="D23" s="48">
        <v>2400</v>
      </c>
      <c r="E23" s="470">
        <v>12</v>
      </c>
      <c r="F23" s="254">
        <v>12</v>
      </c>
      <c r="G23" s="241">
        <v>0</v>
      </c>
      <c r="H23" s="241">
        <v>200</v>
      </c>
      <c r="I23" s="241">
        <v>100</v>
      </c>
      <c r="J23" s="48">
        <f t="shared" si="0"/>
        <v>2400</v>
      </c>
      <c r="K23" s="255">
        <f t="shared" si="1"/>
        <v>0</v>
      </c>
      <c r="L23" s="256">
        <v>0</v>
      </c>
      <c r="M23" s="257" t="s">
        <v>679</v>
      </c>
      <c r="N23" s="254" t="s">
        <v>588</v>
      </c>
      <c r="O23" s="254"/>
      <c r="P23" s="471">
        <f t="shared" si="3"/>
        <v>2400</v>
      </c>
      <c r="Q23" s="603"/>
      <c r="R23" s="25"/>
      <c r="S23" s="25"/>
      <c r="T23" s="242"/>
      <c r="U23" s="25"/>
      <c r="V23" s="24" t="str">
        <f t="shared" si="2"/>
        <v>Сокур С. ЗП с 01.02-28.02(12 год. роботи*200) + ТО 0 год.*100=2 400,00 ФОТ Лютий  2025 = 0,00. Борг компании: 0,00. До виплати - 2 400,00 грн.</v>
      </c>
    </row>
    <row r="24" spans="1:32" s="24" customFormat="1" hidden="1" x14ac:dyDescent="0.3">
      <c r="A24" s="582">
        <v>3902</v>
      </c>
      <c r="B24" s="563" t="s">
        <v>678</v>
      </c>
      <c r="C24" s="581">
        <f>'2025_03_01'!Q26</f>
        <v>40</v>
      </c>
      <c r="D24" s="48">
        <v>32240</v>
      </c>
      <c r="E24" s="470">
        <v>143</v>
      </c>
      <c r="F24" s="254">
        <v>138</v>
      </c>
      <c r="G24" s="241">
        <v>5</v>
      </c>
      <c r="H24" s="241">
        <v>230</v>
      </c>
      <c r="I24" s="241">
        <v>100</v>
      </c>
      <c r="J24" s="48">
        <f t="shared" si="0"/>
        <v>32240</v>
      </c>
      <c r="K24" s="255">
        <f t="shared" si="1"/>
        <v>0</v>
      </c>
      <c r="L24" s="256">
        <f>3850+10000</f>
        <v>13850</v>
      </c>
      <c r="M24" s="257" t="s">
        <v>659</v>
      </c>
      <c r="N24" s="254" t="s">
        <v>70</v>
      </c>
      <c r="O24" s="254"/>
      <c r="P24" s="471">
        <f t="shared" si="3"/>
        <v>18400</v>
      </c>
      <c r="Q24" s="581">
        <f t="shared" ref="Q24" si="7">C24+D24-L24-O24-P24</f>
        <v>30</v>
      </c>
      <c r="R24" s="25"/>
      <c r="S24" s="25"/>
      <c r="T24" s="242"/>
      <c r="U24" s="25"/>
      <c r="V24" s="24" t="str">
        <f t="shared" si="2"/>
        <v>Ільїн Р. ЗП с 01.02-28.02(138 год. роботи*230) + ТО 5 год.*100=32 240,00 ФОТ Лютий  2025 = 13 850,00. Борг компании: 30,00. До виплати - 18 400,00 грн.</v>
      </c>
      <c r="AF24" s="24" t="s">
        <v>664</v>
      </c>
    </row>
    <row r="25" spans="1:32" s="24" customFormat="1" hidden="1" x14ac:dyDescent="0.3">
      <c r="A25" s="582"/>
      <c r="B25" s="563"/>
      <c r="C25" s="258"/>
      <c r="D25" s="48"/>
      <c r="E25" s="470"/>
      <c r="F25" s="254"/>
      <c r="G25" s="241"/>
      <c r="H25" s="241"/>
      <c r="I25" s="241">
        <v>100</v>
      </c>
      <c r="J25" s="48">
        <f t="shared" si="0"/>
        <v>0</v>
      </c>
      <c r="K25" s="255">
        <f t="shared" si="1"/>
        <v>0</v>
      </c>
      <c r="L25" s="256"/>
      <c r="M25" s="257"/>
      <c r="N25" s="254"/>
      <c r="O25" s="254"/>
      <c r="P25" s="471">
        <f t="shared" si="3"/>
        <v>0</v>
      </c>
      <c r="Q25" s="581"/>
      <c r="R25" s="25"/>
      <c r="S25" s="25"/>
      <c r="T25" s="242"/>
      <c r="U25" s="25"/>
      <c r="V25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26" spans="1:32" s="24" customFormat="1" hidden="1" x14ac:dyDescent="0.3">
      <c r="A26" s="579"/>
      <c r="B26" s="563"/>
      <c r="C26" s="581"/>
      <c r="D26" s="48"/>
      <c r="E26" s="470"/>
      <c r="F26" s="254"/>
      <c r="G26" s="241"/>
      <c r="H26" s="241"/>
      <c r="I26" s="241">
        <v>100</v>
      </c>
      <c r="J26" s="48">
        <f t="shared" si="0"/>
        <v>0</v>
      </c>
      <c r="K26" s="255">
        <f t="shared" si="1"/>
        <v>0</v>
      </c>
      <c r="L26" s="256"/>
      <c r="M26" s="257"/>
      <c r="N26" s="254"/>
      <c r="O26" s="254"/>
      <c r="P26" s="471">
        <f t="shared" si="3"/>
        <v>0</v>
      </c>
      <c r="Q26" s="581">
        <f t="shared" ref="Q26:Q40" si="8">C26+D26-L26-O26-P26</f>
        <v>0</v>
      </c>
      <c r="R26" s="25"/>
      <c r="S26" s="25"/>
      <c r="T26" s="242"/>
      <c r="U26" s="25"/>
      <c r="V26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27" spans="1:32" s="24" customFormat="1" hidden="1" x14ac:dyDescent="0.3">
      <c r="A27" s="579"/>
      <c r="B27" s="563"/>
      <c r="C27" s="581"/>
      <c r="D27" s="48"/>
      <c r="E27" s="470"/>
      <c r="F27" s="254"/>
      <c r="G27" s="241"/>
      <c r="H27" s="241"/>
      <c r="I27" s="241"/>
      <c r="J27" s="48">
        <f t="shared" si="0"/>
        <v>0</v>
      </c>
      <c r="K27" s="255">
        <f t="shared" si="1"/>
        <v>0</v>
      </c>
      <c r="L27" s="256"/>
      <c r="M27" s="257"/>
      <c r="N27" s="254"/>
      <c r="O27" s="254"/>
      <c r="P27" s="471">
        <v>0</v>
      </c>
      <c r="Q27" s="581">
        <f t="shared" si="8"/>
        <v>0</v>
      </c>
      <c r="R27" s="25"/>
      <c r="S27" s="25"/>
      <c r="T27" s="242"/>
      <c r="U27" s="25"/>
      <c r="V27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28" spans="1:32" s="24" customFormat="1" hidden="1" x14ac:dyDescent="0.3">
      <c r="A28" s="617"/>
      <c r="B28" s="563"/>
      <c r="C28" s="581"/>
      <c r="D28" s="48"/>
      <c r="E28" s="470"/>
      <c r="F28" s="254"/>
      <c r="G28" s="241"/>
      <c r="H28" s="241"/>
      <c r="I28" s="241"/>
      <c r="J28" s="48"/>
      <c r="K28" s="255">
        <f t="shared" si="1"/>
        <v>0</v>
      </c>
      <c r="L28" s="256"/>
      <c r="M28" s="257"/>
      <c r="N28" s="254"/>
      <c r="O28" s="254"/>
      <c r="P28" s="471"/>
      <c r="Q28" s="581">
        <f t="shared" si="8"/>
        <v>0</v>
      </c>
      <c r="R28" s="25"/>
      <c r="S28" s="25"/>
      <c r="T28" s="242"/>
      <c r="U28" s="25"/>
      <c r="V28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29" spans="1:32" s="24" customFormat="1" hidden="1" x14ac:dyDescent="0.3">
      <c r="A29" s="617"/>
      <c r="B29" s="563"/>
      <c r="C29" s="581"/>
      <c r="D29" s="48"/>
      <c r="E29" s="470"/>
      <c r="F29" s="254"/>
      <c r="G29" s="241"/>
      <c r="H29" s="241"/>
      <c r="I29" s="241"/>
      <c r="J29" s="48">
        <f t="shared" si="0"/>
        <v>0</v>
      </c>
      <c r="K29" s="255">
        <f t="shared" si="1"/>
        <v>0</v>
      </c>
      <c r="L29" s="256"/>
      <c r="M29" s="257"/>
      <c r="N29" s="254"/>
      <c r="O29" s="254"/>
      <c r="P29" s="471"/>
      <c r="Q29" s="581">
        <f t="shared" si="8"/>
        <v>0</v>
      </c>
      <c r="R29" s="25"/>
      <c r="S29" s="25"/>
      <c r="T29" s="242"/>
      <c r="U29" s="25"/>
      <c r="V2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0" spans="1:32" s="24" customFormat="1" ht="13.8" hidden="1" customHeight="1" x14ac:dyDescent="0.3">
      <c r="A30" s="579"/>
      <c r="B30" s="563"/>
      <c r="C30" s="581"/>
      <c r="D30" s="48"/>
      <c r="E30" s="470"/>
      <c r="F30" s="254"/>
      <c r="G30" s="241"/>
      <c r="H30" s="241"/>
      <c r="I30" s="241"/>
      <c r="J30" s="48">
        <f t="shared" si="0"/>
        <v>0</v>
      </c>
      <c r="K30" s="255">
        <f t="shared" si="1"/>
        <v>0</v>
      </c>
      <c r="L30" s="256"/>
      <c r="M30" s="257"/>
      <c r="N30" s="254"/>
      <c r="O30" s="254"/>
      <c r="P30" s="471"/>
      <c r="Q30" s="581">
        <f t="shared" si="8"/>
        <v>0</v>
      </c>
      <c r="R30" s="25"/>
      <c r="S30" s="25"/>
      <c r="T30" s="242"/>
      <c r="U30" s="25"/>
      <c r="V30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1" spans="1:32" s="24" customFormat="1" ht="14.4" hidden="1" customHeight="1" x14ac:dyDescent="0.3">
      <c r="A31" s="579"/>
      <c r="B31" s="563"/>
      <c r="C31" s="581"/>
      <c r="D31" s="48"/>
      <c r="E31" s="470"/>
      <c r="F31" s="254"/>
      <c r="G31" s="241"/>
      <c r="H31" s="241"/>
      <c r="I31" s="241"/>
      <c r="J31" s="48">
        <f t="shared" si="0"/>
        <v>0</v>
      </c>
      <c r="K31" s="255">
        <f t="shared" si="1"/>
        <v>0</v>
      </c>
      <c r="L31" s="256"/>
      <c r="M31" s="257">
        <f>'МЕХАНИЗАТОРЫ ноябрь'!Q166</f>
        <v>0</v>
      </c>
      <c r="N31" s="254">
        <f t="shared" ref="N31:N39" si="9">M31-J31</f>
        <v>0</v>
      </c>
      <c r="O31" s="254"/>
      <c r="P31" s="471"/>
      <c r="Q31" s="581">
        <f t="shared" si="8"/>
        <v>0</v>
      </c>
      <c r="R31" s="25"/>
      <c r="S31" s="25"/>
      <c r="T31" s="242"/>
      <c r="U31" s="25"/>
      <c r="V31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2" spans="1:32" s="24" customFormat="1" ht="15" hidden="1" customHeight="1" x14ac:dyDescent="0.3">
      <c r="A32" s="579"/>
      <c r="B32" s="563"/>
      <c r="C32" s="581"/>
      <c r="D32" s="48"/>
      <c r="E32" s="470"/>
      <c r="F32" s="254"/>
      <c r="G32" s="241"/>
      <c r="H32" s="241"/>
      <c r="I32" s="241"/>
      <c r="J32" s="48">
        <f t="shared" si="0"/>
        <v>0</v>
      </c>
      <c r="K32" s="255">
        <f t="shared" si="1"/>
        <v>0</v>
      </c>
      <c r="L32" s="256"/>
      <c r="M32" s="257">
        <f>'МЕХАНИЗАТОРЫ ноябрь'!Q167</f>
        <v>0</v>
      </c>
      <c r="N32" s="254">
        <f t="shared" si="9"/>
        <v>0</v>
      </c>
      <c r="O32" s="254"/>
      <c r="P32" s="471"/>
      <c r="Q32" s="581">
        <f t="shared" si="8"/>
        <v>0</v>
      </c>
      <c r="R32" s="25"/>
      <c r="S32" s="25"/>
      <c r="T32" s="242"/>
      <c r="U32" s="25"/>
      <c r="V32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3" spans="1:22" s="24" customFormat="1" ht="14.4" hidden="1" customHeight="1" x14ac:dyDescent="0.3">
      <c r="A33" s="579"/>
      <c r="B33" s="563"/>
      <c r="C33" s="581"/>
      <c r="D33" s="48">
        <v>0</v>
      </c>
      <c r="E33" s="470"/>
      <c r="F33" s="254"/>
      <c r="G33" s="241"/>
      <c r="H33" s="241"/>
      <c r="I33" s="241"/>
      <c r="J33" s="48">
        <f t="shared" si="0"/>
        <v>0</v>
      </c>
      <c r="K33" s="255">
        <f t="shared" si="1"/>
        <v>0</v>
      </c>
      <c r="L33" s="256"/>
      <c r="M33" s="257">
        <f>'МЕХАНИЗАТОРЫ ноябрь'!Q168</f>
        <v>0</v>
      </c>
      <c r="N33" s="254">
        <f t="shared" si="9"/>
        <v>0</v>
      </c>
      <c r="O33" s="254"/>
      <c r="P33" s="471"/>
      <c r="Q33" s="581">
        <f t="shared" si="8"/>
        <v>0</v>
      </c>
      <c r="R33" s="25"/>
      <c r="S33" s="25"/>
      <c r="T33" s="242"/>
      <c r="U33" s="25"/>
      <c r="V33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4" spans="1:22" s="24" customFormat="1" ht="14.4" hidden="1" customHeight="1" x14ac:dyDescent="0.3">
      <c r="A34" s="240"/>
      <c r="B34" s="469"/>
      <c r="C34" s="258"/>
      <c r="D34" s="48">
        <v>0</v>
      </c>
      <c r="E34" s="470"/>
      <c r="F34" s="254"/>
      <c r="G34" s="241"/>
      <c r="H34" s="241"/>
      <c r="I34" s="241"/>
      <c r="J34" s="48">
        <f t="shared" si="0"/>
        <v>0</v>
      </c>
      <c r="K34" s="255">
        <f t="shared" si="1"/>
        <v>0</v>
      </c>
      <c r="L34" s="256"/>
      <c r="M34" s="257">
        <f>'МЕХАНИЗАТОРЫ ноябрь'!Q169</f>
        <v>0</v>
      </c>
      <c r="N34" s="254">
        <f t="shared" si="9"/>
        <v>0</v>
      </c>
      <c r="O34" s="254"/>
      <c r="P34" s="471"/>
      <c r="Q34" s="581">
        <f t="shared" si="8"/>
        <v>0</v>
      </c>
      <c r="R34" s="25"/>
      <c r="S34" s="25"/>
      <c r="T34" s="242"/>
      <c r="U34" s="25"/>
      <c r="V34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5" spans="1:22" s="24" customFormat="1" ht="14.4" hidden="1" customHeight="1" x14ac:dyDescent="0.3">
      <c r="A35" s="240"/>
      <c r="B35" s="469"/>
      <c r="C35" s="258"/>
      <c r="D35" s="48">
        <v>0</v>
      </c>
      <c r="E35" s="470"/>
      <c r="F35" s="254"/>
      <c r="G35" s="241"/>
      <c r="H35" s="241"/>
      <c r="I35" s="241"/>
      <c r="J35" s="48">
        <f t="shared" si="0"/>
        <v>0</v>
      </c>
      <c r="K35" s="255">
        <f t="shared" si="1"/>
        <v>0</v>
      </c>
      <c r="L35" s="256"/>
      <c r="M35" s="257">
        <f>'МЕХАНИЗАТОРЫ ноябрь'!Q170</f>
        <v>0</v>
      </c>
      <c r="N35" s="254">
        <f t="shared" si="9"/>
        <v>0</v>
      </c>
      <c r="O35" s="254"/>
      <c r="P35" s="471"/>
      <c r="Q35" s="581">
        <f t="shared" si="8"/>
        <v>0</v>
      </c>
      <c r="R35" s="25"/>
      <c r="S35" s="25"/>
      <c r="T35" s="242"/>
      <c r="U35" s="25"/>
      <c r="V35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6" spans="1:22" ht="13.8" hidden="1" customHeight="1" x14ac:dyDescent="0.3">
      <c r="A36" s="240"/>
      <c r="B36" s="469"/>
      <c r="C36" s="258"/>
      <c r="D36" s="48">
        <v>0</v>
      </c>
      <c r="E36" s="469"/>
      <c r="F36" s="469"/>
      <c r="G36" s="469"/>
      <c r="H36" s="469"/>
      <c r="I36" s="241"/>
      <c r="J36" s="48">
        <f t="shared" si="0"/>
        <v>0</v>
      </c>
      <c r="K36" s="255">
        <f t="shared" si="1"/>
        <v>0</v>
      </c>
      <c r="L36" s="256"/>
      <c r="M36" s="257">
        <f>'МЕХАНИЗАТОРЫ ноябрь'!Q171</f>
        <v>0</v>
      </c>
      <c r="N36" s="254">
        <f t="shared" si="9"/>
        <v>0</v>
      </c>
      <c r="O36" s="254"/>
      <c r="P36" s="471"/>
      <c r="Q36" s="581">
        <f t="shared" si="8"/>
        <v>0</v>
      </c>
      <c r="S36" s="25"/>
      <c r="V36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7" spans="1:22" s="24" customFormat="1" ht="14.4" hidden="1" customHeight="1" x14ac:dyDescent="0.3">
      <c r="A37" s="240"/>
      <c r="B37" s="469"/>
      <c r="C37" s="258"/>
      <c r="D37" s="48">
        <v>0</v>
      </c>
      <c r="E37" s="470"/>
      <c r="F37" s="254"/>
      <c r="G37" s="241"/>
      <c r="H37" s="241"/>
      <c r="I37" s="241"/>
      <c r="J37" s="48">
        <f t="shared" si="0"/>
        <v>0</v>
      </c>
      <c r="K37" s="255">
        <f t="shared" si="1"/>
        <v>0</v>
      </c>
      <c r="L37" s="472"/>
      <c r="M37" s="257">
        <f>'МЕХАНИЗАТОРЫ ноябрь'!Q172</f>
        <v>0</v>
      </c>
      <c r="N37" s="254">
        <f t="shared" si="9"/>
        <v>0</v>
      </c>
      <c r="O37" s="254"/>
      <c r="P37" s="471"/>
      <c r="Q37" s="581">
        <f t="shared" si="8"/>
        <v>0</v>
      </c>
      <c r="R37" s="25"/>
      <c r="S37" s="25"/>
      <c r="T37" s="242"/>
      <c r="U37" s="25"/>
      <c r="V37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8" spans="1:22" s="24" customFormat="1" ht="14.4" hidden="1" customHeight="1" x14ac:dyDescent="0.3">
      <c r="A38" s="48"/>
      <c r="B38" s="469"/>
      <c r="C38" s="258"/>
      <c r="D38" s="48"/>
      <c r="E38" s="470"/>
      <c r="F38" s="254"/>
      <c r="G38" s="241"/>
      <c r="H38" s="241"/>
      <c r="I38" s="241"/>
      <c r="J38" s="471"/>
      <c r="K38" s="255"/>
      <c r="L38" s="472"/>
      <c r="M38" s="257">
        <f>'МЕХАНИЗАТОРЫ ноябрь'!Q173</f>
        <v>0</v>
      </c>
      <c r="N38" s="254">
        <f t="shared" si="9"/>
        <v>0</v>
      </c>
      <c r="O38" s="254"/>
      <c r="P38" s="471"/>
      <c r="Q38" s="581">
        <f t="shared" si="8"/>
        <v>0</v>
      </c>
      <c r="R38" s="25"/>
      <c r="S38" s="25">
        <f t="shared" ref="S38:S39" si="10">P38-R38</f>
        <v>0</v>
      </c>
      <c r="T38" s="242"/>
      <c r="U38" s="25"/>
      <c r="V38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39" spans="1:22" ht="13.8" hidden="1" customHeight="1" x14ac:dyDescent="0.3">
      <c r="A39" s="243"/>
      <c r="B39" s="469"/>
      <c r="C39" s="258"/>
      <c r="D39" s="469"/>
      <c r="E39" s="469"/>
      <c r="F39" s="469"/>
      <c r="G39" s="469"/>
      <c r="H39" s="469"/>
      <c r="I39" s="473"/>
      <c r="J39" s="471"/>
      <c r="K39" s="255"/>
      <c r="L39" s="469"/>
      <c r="M39" s="257">
        <f>'МЕХАНИЗАТОРЫ ноябрь'!Q174</f>
        <v>0</v>
      </c>
      <c r="N39" s="254">
        <f t="shared" si="9"/>
        <v>0</v>
      </c>
      <c r="O39" s="254"/>
      <c r="P39" s="471">
        <f t="shared" ref="P39" si="11">ROUND(C39+D39-L39,-2)</f>
        <v>0</v>
      </c>
      <c r="Q39" s="581">
        <f t="shared" si="8"/>
        <v>0</v>
      </c>
      <c r="S39" s="25">
        <f t="shared" si="10"/>
        <v>0</v>
      </c>
      <c r="V39" s="24" t="str">
        <f t="shared" si="2"/>
        <v xml:space="preserve"> ЗП с 01.02-28.02( год. роботи*) + ТО  год.*100=0,00 ФОТ Лютий  2025 = 0,00. Борг компании: 0,00. До виплати - 0,00 грн.</v>
      </c>
    </row>
    <row r="40" spans="1:22" ht="14.4" hidden="1" customHeight="1" x14ac:dyDescent="0.3">
      <c r="A40" s="243"/>
      <c r="B40" s="469"/>
      <c r="C40" s="258"/>
      <c r="D40" s="469"/>
      <c r="E40" s="469"/>
      <c r="F40" s="469"/>
      <c r="G40" s="469"/>
      <c r="H40" s="469"/>
      <c r="I40" s="473"/>
      <c r="J40" s="471"/>
      <c r="K40" s="474"/>
      <c r="L40" s="469"/>
      <c r="M40" s="469"/>
      <c r="N40" s="469"/>
      <c r="O40" s="557"/>
      <c r="P40" s="475"/>
      <c r="Q40" s="581">
        <f t="shared" si="8"/>
        <v>0</v>
      </c>
    </row>
    <row r="41" spans="1:22" x14ac:dyDescent="0.3">
      <c r="A41" s="250"/>
      <c r="B41" s="476" t="s">
        <v>468</v>
      </c>
      <c r="C41" s="476"/>
      <c r="D41" s="477"/>
      <c r="E41" s="477"/>
      <c r="F41" s="477"/>
      <c r="G41" s="477"/>
      <c r="H41" s="476"/>
      <c r="I41" s="476"/>
      <c r="J41" s="477">
        <f>SUM(J4:J40)</f>
        <v>550810</v>
      </c>
      <c r="K41" s="477">
        <f>SUM(K4:K40)</f>
        <v>0</v>
      </c>
      <c r="L41" s="477">
        <f>SUM(L4:L40)</f>
        <v>75758</v>
      </c>
      <c r="M41" s="469"/>
      <c r="N41" s="469"/>
      <c r="O41" s="477">
        <f>SUM(O4:O40)</f>
        <v>16622.547402362201</v>
      </c>
      <c r="P41" s="477">
        <f>SUM(P4:P40)</f>
        <v>458500</v>
      </c>
      <c r="Q41" s="445"/>
    </row>
    <row r="42" spans="1:22" x14ac:dyDescent="0.3">
      <c r="J42" s="242"/>
      <c r="K42" s="242"/>
      <c r="L42" s="25"/>
      <c r="P42" s="25"/>
    </row>
    <row r="43" spans="1:22" x14ac:dyDescent="0.3">
      <c r="P43" s="242"/>
    </row>
    <row r="44" spans="1:22" x14ac:dyDescent="0.3">
      <c r="J44" s="242"/>
      <c r="O44" s="24" t="s">
        <v>668</v>
      </c>
    </row>
    <row r="45" spans="1:22" x14ac:dyDescent="0.3">
      <c r="O45" s="24" t="s">
        <v>254</v>
      </c>
      <c r="P45" s="242"/>
    </row>
    <row r="46" spans="1:22" outlineLevel="1" x14ac:dyDescent="0.3">
      <c r="O46" s="24" t="s">
        <v>673</v>
      </c>
    </row>
    <row r="47" spans="1:22" ht="15" outlineLevel="1" thickBot="1" x14ac:dyDescent="0.35">
      <c r="F47" s="611"/>
      <c r="G47" s="611"/>
      <c r="H47" s="611"/>
      <c r="I47" s="611"/>
      <c r="O47" s="24" t="s">
        <v>676</v>
      </c>
    </row>
    <row r="48" spans="1:22" ht="43.8" customHeight="1" outlineLevel="1" thickBot="1" x14ac:dyDescent="0.35">
      <c r="C48" s="479" t="s">
        <v>552</v>
      </c>
      <c r="D48" s="479" t="s">
        <v>553</v>
      </c>
      <c r="E48" s="479" t="s">
        <v>448</v>
      </c>
      <c r="F48" s="479" t="s">
        <v>449</v>
      </c>
      <c r="G48" s="480" t="s">
        <v>450</v>
      </c>
      <c r="H48" s="480" t="s">
        <v>451</v>
      </c>
      <c r="I48" s="481" t="s">
        <v>682</v>
      </c>
      <c r="J48" s="482" t="s">
        <v>546</v>
      </c>
      <c r="K48" s="483" t="s">
        <v>555</v>
      </c>
      <c r="L48" s="483" t="s">
        <v>639</v>
      </c>
      <c r="O48" s="24" t="s">
        <v>676</v>
      </c>
    </row>
    <row r="49" spans="3:13" s="24" customFormat="1" ht="55.2" customHeight="1" outlineLevel="1" thickBot="1" x14ac:dyDescent="0.35">
      <c r="C49" s="491">
        <v>3935</v>
      </c>
      <c r="D49" s="484" t="s">
        <v>554</v>
      </c>
      <c r="E49" s="494" t="s">
        <v>681</v>
      </c>
      <c r="F49" s="495">
        <v>6731</v>
      </c>
      <c r="G49" s="496">
        <v>10</v>
      </c>
      <c r="H49" s="495">
        <f>(F49*G49)+1500</f>
        <v>68810</v>
      </c>
      <c r="I49" s="495">
        <v>7623</v>
      </c>
      <c r="J49" s="495">
        <f>H49-I49</f>
        <v>61187</v>
      </c>
      <c r="K49" s="497">
        <f>ROUND(H49-I49,-2)-8800</f>
        <v>52400</v>
      </c>
      <c r="L49" s="553"/>
      <c r="M49" s="27" t="s">
        <v>683</v>
      </c>
    </row>
    <row r="50" spans="3:13" s="24" customFormat="1" ht="15" customHeight="1" outlineLevel="1" x14ac:dyDescent="0.3">
      <c r="C50" s="505">
        <v>3936</v>
      </c>
      <c r="D50" s="484" t="s">
        <v>622</v>
      </c>
      <c r="E50" s="494" t="s">
        <v>684</v>
      </c>
      <c r="F50" s="495">
        <v>4307</v>
      </c>
      <c r="G50" s="496">
        <v>10</v>
      </c>
      <c r="H50" s="495">
        <f>(F50*G50)</f>
        <v>43070</v>
      </c>
      <c r="I50" s="495">
        <v>3811.5</v>
      </c>
      <c r="J50" s="495">
        <f>H50-I50</f>
        <v>39258.5</v>
      </c>
      <c r="K50" s="497">
        <f>ROUND(H50-I50,-2)-8800</f>
        <v>30500</v>
      </c>
      <c r="L50" s="553"/>
      <c r="M50" t="s">
        <v>685</v>
      </c>
    </row>
    <row r="51" spans="3:13" s="24" customFormat="1" outlineLevel="1" x14ac:dyDescent="0.3">
      <c r="K51" s="242"/>
    </row>
    <row r="52" spans="3:13" x14ac:dyDescent="0.3">
      <c r="K52" s="242"/>
    </row>
  </sheetData>
  <autoFilter ref="A3:W39" xr:uid="{00000000-0009-0000-0000-000015000000}">
    <filterColumn colId="14">
      <customFilters>
        <customFilter operator="notEqual" val=" "/>
      </customFilters>
    </filterColumn>
  </autoFilter>
  <mergeCells count="13">
    <mergeCell ref="Q18:Q19"/>
    <mergeCell ref="Q20:Q21"/>
    <mergeCell ref="Q22:Q23"/>
    <mergeCell ref="C5:C6"/>
    <mergeCell ref="Q5:Q6"/>
    <mergeCell ref="C12:C13"/>
    <mergeCell ref="Q12:Q13"/>
    <mergeCell ref="A28:A29"/>
    <mergeCell ref="F47:I47"/>
    <mergeCell ref="C18:C19"/>
    <mergeCell ref="C20:C21"/>
    <mergeCell ref="C22:C23"/>
    <mergeCell ref="A22:A23"/>
  </mergeCells>
  <conditionalFormatting sqref="K4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theme="9" tint="-0.249977111117893"/>
    <pageSetUpPr fitToPage="1"/>
  </sheetPr>
  <dimension ref="A1:BM185"/>
  <sheetViews>
    <sheetView showGridLines="0" showZeros="0" tabSelected="1" topLeftCell="A139" zoomScaleNormal="100" workbookViewId="0">
      <pane xSplit="3" topLeftCell="I1" activePane="topRight" state="frozen"/>
      <selection activeCell="A129" sqref="A129"/>
      <selection pane="topRight" activeCell="T163" sqref="T163"/>
    </sheetView>
  </sheetViews>
  <sheetFormatPr defaultRowHeight="14.4" outlineLevelRow="1" outlineLevelCol="3" x14ac:dyDescent="0.3"/>
  <cols>
    <col min="1" max="1" width="1.33203125" style="66" customWidth="1"/>
    <col min="2" max="2" width="4.109375" style="65" customWidth="1"/>
    <col min="3" max="3" width="19.88671875" style="66" customWidth="1"/>
    <col min="4" max="4" width="31" style="66" hidden="1" customWidth="1" outlineLevel="1"/>
    <col min="5" max="5" width="12.77734375" style="66" hidden="1" customWidth="1" outlineLevel="1"/>
    <col min="6" max="6" width="7.77734375" style="67" customWidth="1" collapsed="1"/>
    <col min="7" max="7" width="7.77734375" style="67" customWidth="1"/>
    <col min="8" max="8" width="17.77734375" style="67" customWidth="1" outlineLevel="1"/>
    <col min="9" max="9" width="24.33203125" style="67" customWidth="1" outlineLevel="1"/>
    <col min="10" max="11" width="9" style="65" customWidth="1"/>
    <col min="12" max="13" width="8.33203125" style="65" customWidth="1"/>
    <col min="14" max="14" width="8.33203125" style="65" hidden="1" customWidth="1"/>
    <col min="15" max="15" width="9" style="66" customWidth="1"/>
    <col min="16" max="16" width="5.5546875" style="226" customWidth="1"/>
    <col min="17" max="17" width="13" style="66" customWidth="1"/>
    <col min="18" max="18" width="13" style="66" customWidth="1" outlineLevel="1"/>
    <col min="19" max="19" width="10.33203125" style="66" customWidth="1" outlineLevel="2"/>
    <col min="20" max="20" width="13.44140625" style="66" customWidth="1" outlineLevel="1"/>
    <col min="21" max="21" width="13.44140625" style="66" hidden="1" customWidth="1" outlineLevel="3"/>
    <col min="22" max="22" width="13.44140625" style="536" customWidth="1" outlineLevel="2" collapsed="1"/>
    <col min="23" max="23" width="13.44140625" style="66" hidden="1" customWidth="1" outlineLevel="2"/>
    <col min="24" max="24" width="9.44140625" style="66" hidden="1" customWidth="1" outlineLevel="3"/>
    <col min="25" max="25" width="12.21875" style="66" hidden="1" customWidth="1" outlineLevel="3"/>
    <col min="26" max="26" width="10.33203125" style="66" hidden="1" customWidth="1" outlineLevel="3" collapsed="1"/>
    <col min="27" max="27" width="13.5546875" style="66" customWidth="1" outlineLevel="2" collapsed="1"/>
    <col min="28" max="30" width="8.88671875" style="66" customWidth="1" outlineLevel="1"/>
    <col min="31" max="36" width="8.88671875" style="66" customWidth="1"/>
    <col min="37" max="16384" width="8.88671875" style="66"/>
  </cols>
  <sheetData>
    <row r="1" spans="2:25" hidden="1" outlineLevel="1" x14ac:dyDescent="0.3">
      <c r="P1" s="287"/>
      <c r="Y1" s="428">
        <v>45170</v>
      </c>
    </row>
    <row r="2" spans="2:25" hidden="1" outlineLevel="1" x14ac:dyDescent="0.3">
      <c r="P2" s="288"/>
      <c r="Y2" s="428">
        <v>45200</v>
      </c>
    </row>
    <row r="3" spans="2:25" ht="7.5" hidden="1" customHeight="1" outlineLevel="1" collapsed="1" x14ac:dyDescent="0.3">
      <c r="P3" s="288"/>
      <c r="Y3" s="428"/>
    </row>
    <row r="4" spans="2:25" ht="25.2" hidden="1" customHeight="1" outlineLevel="1" x14ac:dyDescent="0.3">
      <c r="B4" s="594" t="str">
        <f>"ЧАСЫ ["&amp;CHAR(10)&amp;TEXT(Y1,"[$-419]ММММ ГГГГ")&amp;"]"</f>
        <v>ЧАСЫ [
Сентябрь 2023]</v>
      </c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  <c r="R4" s="594"/>
      <c r="S4" s="594"/>
      <c r="T4" s="594"/>
      <c r="U4" s="594"/>
      <c r="V4" s="594"/>
      <c r="W4" s="68"/>
    </row>
    <row r="5" spans="2:25" ht="3.75" hidden="1" customHeight="1" outlineLevel="1" x14ac:dyDescent="0.3">
      <c r="B5" s="68"/>
      <c r="C5" s="68"/>
      <c r="D5" s="68"/>
      <c r="E5" s="68"/>
      <c r="F5" s="69"/>
      <c r="G5" s="69"/>
      <c r="H5" s="69"/>
      <c r="I5" s="69"/>
      <c r="J5" s="68"/>
      <c r="K5" s="68"/>
      <c r="L5" s="68"/>
      <c r="M5" s="68"/>
      <c r="N5" s="68"/>
      <c r="O5" s="68"/>
      <c r="P5" s="288"/>
    </row>
    <row r="6" spans="2:25" s="73" customFormat="1" ht="58.2" hidden="1" outlineLevel="1" thickBot="1" x14ac:dyDescent="0.35">
      <c r="B6" s="70" t="s">
        <v>452</v>
      </c>
      <c r="C6" s="70" t="s">
        <v>448</v>
      </c>
      <c r="D6" s="70"/>
      <c r="E6" s="70" t="s">
        <v>453</v>
      </c>
      <c r="F6" s="71" t="s">
        <v>454</v>
      </c>
      <c r="G6" s="71"/>
      <c r="H6" s="71"/>
      <c r="I6" s="71" t="s">
        <v>455</v>
      </c>
      <c r="J6" s="70" t="s">
        <v>456</v>
      </c>
      <c r="K6" s="70" t="s">
        <v>457</v>
      </c>
      <c r="L6" s="70" t="s">
        <v>235</v>
      </c>
      <c r="M6" s="72" t="s">
        <v>458</v>
      </c>
      <c r="N6" s="197"/>
      <c r="O6" s="259" t="s">
        <v>459</v>
      </c>
      <c r="P6" s="289"/>
      <c r="Q6" s="272" t="s">
        <v>460</v>
      </c>
      <c r="R6" s="74" t="s">
        <v>461</v>
      </c>
      <c r="S6" s="74" t="s">
        <v>462</v>
      </c>
      <c r="T6" s="74" t="s">
        <v>463</v>
      </c>
      <c r="U6" s="447"/>
      <c r="V6" s="541" t="s">
        <v>464</v>
      </c>
    </row>
    <row r="7" spans="2:25" hidden="1" outlineLevel="1" x14ac:dyDescent="0.3">
      <c r="B7" s="75">
        <v>1</v>
      </c>
      <c r="C7" s="76" t="s">
        <v>246</v>
      </c>
      <c r="D7" s="76"/>
      <c r="E7" s="77">
        <v>9500</v>
      </c>
      <c r="F7" s="78" t="e">
        <f>SUMIFS([1]Табель!J:J,[1]Табель!E:E,C7,[1]Табель!B:B,"&gt;="&amp;$Y$1,[1]Табель!B:B,"&lt;"&amp;$Y$2)</f>
        <v>#VALUE!</v>
      </c>
      <c r="G7" s="78"/>
      <c r="H7" s="78"/>
      <c r="I7" s="78" t="e">
        <f>INDEX([1]ИНФО_СПЕЦТЕХНИКА!$D$4:$D$23,IF(SUMIFS([1]Табель!I:I,[1]Табель!E:E,C7,[1]Табель!B:B,"&gt;="&amp;$Y$1,[1]Табель!B:B,"&lt;"&amp;$Y$2)/COUNTIFS([1]Табель!E:E,C7,[1]Табель!B:B,"&gt;="&amp;$Y$1,[1]Табель!B:B,"&lt;"&amp;$Y$2)=0,"",SUMIFS([1]Табель!I:I,[1]Табель!E:E,C7,[1]Табель!B:B,"&gt;="&amp;$Y$1,[1]Табель!B:B,"&lt;"&amp;$Y$2)/COUNTIFS([1]Табель!E:E,C7,[1]Табель!B:B,"&gt;="&amp;$Y$1,[1]Табель!B:B,"&lt;"&amp;$Y$2)))</f>
        <v>#VALUE!</v>
      </c>
      <c r="J7" s="79">
        <v>180</v>
      </c>
      <c r="K7" s="79">
        <v>100</v>
      </c>
      <c r="L7" s="79" t="e">
        <f>SUMIFS([1]Табель!K:K,[1]Табель!E:E,C7,[1]Табель!B:B,"&gt;="&amp;$Y$1,[1]Табель!B:B,"&lt;"&amp;$Y$2)</f>
        <v>#VALUE!</v>
      </c>
      <c r="M7" s="80" t="e">
        <f>SUMIFS([1]Табель!L:L,[1]Табель!E:E,C7,[1]Табель!B:B,"&gt;="&amp;$Y$1,[1]Табель!B:B,"&lt;"&amp;$Y$2)</f>
        <v>#VALUE!</v>
      </c>
      <c r="N7" s="198"/>
      <c r="O7" s="260" t="e">
        <f t="shared" ref="O7:O21" si="0">F7-L7-M7</f>
        <v>#VALUE!</v>
      </c>
      <c r="Q7" s="273" t="e">
        <f>O7*J7+(L7+M7)*K7</f>
        <v>#VALUE!</v>
      </c>
      <c r="R7" s="81">
        <f t="shared" ref="R7:R21" si="1">ROUND(E7*0.22,2)</f>
        <v>2090</v>
      </c>
      <c r="S7" s="81">
        <f t="shared" ref="S7:S21" si="2">E7*0.195</f>
        <v>1852.5</v>
      </c>
      <c r="T7" s="81">
        <f t="shared" ref="T7:T21" si="3">E7-S7</f>
        <v>7647.5</v>
      </c>
      <c r="U7" s="449"/>
      <c r="V7" s="542" t="e">
        <f t="shared" ref="V7:V21" si="4">Q7-T7</f>
        <v>#VALUE!</v>
      </c>
      <c r="W7" s="429"/>
    </row>
    <row r="8" spans="2:25" hidden="1" outlineLevel="1" x14ac:dyDescent="0.3">
      <c r="B8" s="75">
        <v>2</v>
      </c>
      <c r="C8" s="82" t="s">
        <v>465</v>
      </c>
      <c r="D8" s="83"/>
      <c r="E8" s="77"/>
      <c r="F8" s="78" t="e">
        <f>SUMIFS([1]Табель!J:J,[1]Табель!E:E,C8,[1]Табель!B:B,"&gt;="&amp;$Y$1,[1]Табель!B:B,"&lt;"&amp;$Y$2)</f>
        <v>#VALUE!</v>
      </c>
      <c r="G8" s="78"/>
      <c r="H8" s="78"/>
      <c r="I8" s="78" t="e">
        <f>INDEX([1]ИНФО_СПЕЦТЕХНИКА!$D$4:$D$23,IF(SUMIFS([1]Табель!I:I,[1]Табель!E:E,C8,[1]Табель!B:B,"&gt;="&amp;$Y$1,[1]Табель!B:B,"&lt;"&amp;$Y$2)/COUNTIFS([1]Табель!E:E,C8,[1]Табель!B:B,"&gt;="&amp;$Y$1,[1]Табель!B:B,"&lt;"&amp;$Y$2)=0,"",SUMIFS([1]Табель!I:I,[1]Табель!E:E,C8,[1]Табель!B:B,"&gt;="&amp;$Y$1,[1]Табель!B:B,"&lt;"&amp;$Y$2)/COUNTIFS([1]Табель!E:E,C8,[1]Табель!B:B,"&gt;="&amp;$Y$1,[1]Табель!B:B,"&lt;"&amp;$Y$2)))</f>
        <v>#VALUE!</v>
      </c>
      <c r="J8" s="79">
        <v>180</v>
      </c>
      <c r="K8" s="79">
        <v>100</v>
      </c>
      <c r="L8" s="79" t="e">
        <f>SUMIFS([1]Табель!K:K,[1]Табель!E:E,C8,[1]Табель!B:B,"&gt;="&amp;$Y$1,[1]Табель!B:B,"&lt;"&amp;$Y$2)</f>
        <v>#VALUE!</v>
      </c>
      <c r="M8" s="80" t="e">
        <f>SUMIFS([1]Табель!L:L,[1]Табель!E:E,C8,[1]Табель!B:B,"&gt;="&amp;$Y$1,[1]Табель!B:B,"&lt;"&amp;$Y$2)</f>
        <v>#VALUE!</v>
      </c>
      <c r="N8" s="198"/>
      <c r="O8" s="260" t="e">
        <f t="shared" si="0"/>
        <v>#VALUE!</v>
      </c>
      <c r="Q8" s="274" t="e">
        <f>O8*J8+(L8+M8)*K8</f>
        <v>#VALUE!</v>
      </c>
      <c r="R8" s="81">
        <f t="shared" si="1"/>
        <v>0</v>
      </c>
      <c r="S8" s="84">
        <f t="shared" si="2"/>
        <v>0</v>
      </c>
      <c r="T8" s="84">
        <f t="shared" si="3"/>
        <v>0</v>
      </c>
      <c r="U8" s="450"/>
      <c r="V8" s="543" t="e">
        <f t="shared" si="4"/>
        <v>#VALUE!</v>
      </c>
      <c r="W8" s="430"/>
    </row>
    <row r="9" spans="2:25" hidden="1" outlineLevel="1" x14ac:dyDescent="0.3">
      <c r="B9" s="85">
        <v>3</v>
      </c>
      <c r="C9" s="86" t="s">
        <v>249</v>
      </c>
      <c r="D9" s="76"/>
      <c r="E9" s="77">
        <v>4523.8100000000004</v>
      </c>
      <c r="F9" s="87" t="e">
        <f>SUMIFS([1]Табель!J:J,[1]Табель!E:E,C9,[1]Табель!B:B,"&gt;="&amp;$Y$1,[1]Табель!B:B,"&lt;"&amp;$Y$2)</f>
        <v>#VALUE!</v>
      </c>
      <c r="G9" s="78"/>
      <c r="H9" s="78"/>
      <c r="I9" s="78" t="e">
        <f>INDEX([1]ИНФО_СПЕЦТЕХНИКА!$D$4:$D$23,IF(SUMIFS([1]Табель!I:I,[1]Табель!E:E,C9,[1]Табель!B:B,"&gt;="&amp;$Y$1,[1]Табель!B:B,"&lt;"&amp;$Y$2)/COUNTIFS([1]Табель!E:E,C9,[1]Табель!B:B,"&gt;="&amp;$Y$1,[1]Табель!B:B,"&lt;"&amp;$Y$2)=0,"",SUMIFS([1]Табель!I:I,[1]Табель!E:E,C9,[1]Табель!B:B,"&gt;="&amp;$Y$1,[1]Табель!B:B,"&lt;"&amp;$Y$2)/COUNTIFS([1]Табель!E:E,C9,[1]Табель!B:B,"&gt;="&amp;$Y$1,[1]Табель!B:B,"&lt;"&amp;$Y$2)))</f>
        <v>#VALUE!</v>
      </c>
      <c r="J9" s="88">
        <v>180</v>
      </c>
      <c r="K9" s="88">
        <v>100</v>
      </c>
      <c r="L9" s="88" t="e">
        <f>SUMIFS([1]Табель!K:K,[1]Табель!E:E,C9,[1]Табель!B:B,"&gt;="&amp;$Y$1,[1]Табель!B:B,"&lt;"&amp;$Y$2)</f>
        <v>#VALUE!</v>
      </c>
      <c r="M9" s="89" t="e">
        <f>SUMIFS([1]Табель!L:L,[1]Табель!E:E,C9,[1]Табель!B:B,"&gt;="&amp;$Y$1,[1]Табель!B:B,"&lt;"&amp;$Y$2)</f>
        <v>#VALUE!</v>
      </c>
      <c r="N9" s="199"/>
      <c r="O9" s="261" t="e">
        <f t="shared" si="0"/>
        <v>#VALUE!</v>
      </c>
      <c r="Q9" s="275" t="e">
        <f t="shared" ref="Q9:Q21" si="5">O9*J9+(L9+M9)*K9</f>
        <v>#VALUE!</v>
      </c>
      <c r="R9" s="81">
        <f t="shared" si="1"/>
        <v>995.24</v>
      </c>
      <c r="S9" s="90">
        <f t="shared" si="2"/>
        <v>882.14295000000016</v>
      </c>
      <c r="T9" s="90">
        <f t="shared" si="3"/>
        <v>3641.66705</v>
      </c>
      <c r="U9" s="451"/>
      <c r="V9" s="542" t="e">
        <f t="shared" si="4"/>
        <v>#VALUE!</v>
      </c>
      <c r="W9" s="429"/>
    </row>
    <row r="10" spans="2:25" hidden="1" outlineLevel="1" x14ac:dyDescent="0.3">
      <c r="B10" s="85">
        <f>B9+1</f>
        <v>4</v>
      </c>
      <c r="C10" s="86" t="s">
        <v>372</v>
      </c>
      <c r="D10" s="76"/>
      <c r="E10" s="77">
        <v>9880</v>
      </c>
      <c r="F10" s="87" t="e">
        <f>SUMIFS([1]Табель!J:J,[1]Табель!E:E,C10,[1]Табель!B:B,"&gt;="&amp;$Y$1,[1]Табель!B:B,"&lt;"&amp;$Y$2)</f>
        <v>#VALUE!</v>
      </c>
      <c r="G10" s="78"/>
      <c r="H10" s="78"/>
      <c r="I10" s="78" t="e">
        <f>INDEX([1]ИНФО_СПЕЦТЕХНИКА!$D$4:$D$23,IF(SUMIFS([1]Табель!I:I,[1]Табель!E:E,C10,[1]Табель!B:B,"&gt;="&amp;$Y$1,[1]Табель!B:B,"&lt;"&amp;$Y$2)/COUNTIFS([1]Табель!E:E,C10,[1]Табель!B:B,"&gt;="&amp;$Y$1,[1]Табель!B:B,"&lt;"&amp;$Y$2)=0,"",SUMIFS([1]Табель!I:I,[1]Табель!E:E,C10,[1]Табель!B:B,"&gt;="&amp;$Y$1,[1]Табель!B:B,"&lt;"&amp;$Y$2)/COUNTIFS([1]Табель!E:E,C10,[1]Табель!B:B,"&gt;="&amp;$Y$1,[1]Табель!B:B,"&lt;"&amp;$Y$2)))</f>
        <v>#VALUE!</v>
      </c>
      <c r="J10" s="88">
        <v>170</v>
      </c>
      <c r="K10" s="88">
        <v>100</v>
      </c>
      <c r="L10" s="88" t="e">
        <f>SUMIFS([1]Табель!K:K,[1]Табель!E:E,C10,[1]Табель!B:B,"&gt;="&amp;$Y$1,[1]Табель!B:B,"&lt;"&amp;$Y$2)</f>
        <v>#VALUE!</v>
      </c>
      <c r="M10" s="89" t="e">
        <f>SUMIFS([1]Табель!L:L,[1]Табель!E:E,C10,[1]Табель!B:B,"&gt;="&amp;$Y$1,[1]Табель!B:B,"&lt;"&amp;$Y$2)</f>
        <v>#VALUE!</v>
      </c>
      <c r="N10" s="199"/>
      <c r="O10" s="261" t="e">
        <f t="shared" si="0"/>
        <v>#VALUE!</v>
      </c>
      <c r="Q10" s="275" t="e">
        <f t="shared" si="5"/>
        <v>#VALUE!</v>
      </c>
      <c r="R10" s="81">
        <f t="shared" si="1"/>
        <v>2173.6</v>
      </c>
      <c r="S10" s="90">
        <f t="shared" si="2"/>
        <v>1926.6000000000001</v>
      </c>
      <c r="T10" s="90">
        <f t="shared" si="3"/>
        <v>7953.4</v>
      </c>
      <c r="U10" s="451"/>
      <c r="V10" s="542" t="e">
        <f t="shared" si="4"/>
        <v>#VALUE!</v>
      </c>
      <c r="W10" s="429"/>
    </row>
    <row r="11" spans="2:25" hidden="1" outlineLevel="1" x14ac:dyDescent="0.3">
      <c r="B11" s="85">
        <f t="shared" ref="B11:B21" si="6">B10+1</f>
        <v>5</v>
      </c>
      <c r="C11" s="82" t="s">
        <v>245</v>
      </c>
      <c r="D11" s="83"/>
      <c r="E11" s="77"/>
      <c r="F11" s="87" t="e">
        <f>SUMIFS([1]Табель!J:J,[1]Табель!E:E,C11,[1]Табель!B:B,"&gt;="&amp;$Y$1,[1]Табель!B:B,"&lt;"&amp;$Y$2)</f>
        <v>#VALUE!</v>
      </c>
      <c r="G11" s="78"/>
      <c r="H11" s="78"/>
      <c r="I11" s="78" t="e">
        <f>INDEX([1]ИНФО_СПЕЦТЕХНИКА!$D$4:$D$23,IF(SUMIFS([1]Табель!I:I,[1]Табель!E:E,C11,[1]Табель!B:B,"&gt;="&amp;$Y$1,[1]Табель!B:B,"&lt;"&amp;$Y$2)/COUNTIFS([1]Табель!E:E,C11,[1]Табель!B:B,"&gt;="&amp;$Y$1,[1]Табель!B:B,"&lt;"&amp;$Y$2)=0,"",SUMIFS([1]Табель!I:I,[1]Табель!E:E,C11,[1]Табель!B:B,"&gt;="&amp;$Y$1,[1]Табель!B:B,"&lt;"&amp;$Y$2)/COUNTIFS([1]Табель!E:E,C11,[1]Табель!B:B,"&gt;="&amp;$Y$1,[1]Табель!B:B,"&lt;"&amp;$Y$2)))</f>
        <v>#VALUE!</v>
      </c>
      <c r="J11" s="88">
        <v>170</v>
      </c>
      <c r="K11" s="88">
        <v>100</v>
      </c>
      <c r="L11" s="88" t="e">
        <f>SUMIFS([1]Табель!K:K,[1]Табель!E:E,C11,[1]Табель!B:B,"&gt;="&amp;$Y$1,[1]Табель!B:B,"&lt;"&amp;$Y$2)</f>
        <v>#VALUE!</v>
      </c>
      <c r="M11" s="89" t="e">
        <f>SUMIFS([1]Табель!L:L,[1]Табель!E:E,C11,[1]Табель!B:B,"&gt;="&amp;$Y$1,[1]Табель!B:B,"&lt;"&amp;$Y$2)</f>
        <v>#VALUE!</v>
      </c>
      <c r="N11" s="199"/>
      <c r="O11" s="261" t="e">
        <f t="shared" si="0"/>
        <v>#VALUE!</v>
      </c>
      <c r="Q11" s="276" t="e">
        <f t="shared" si="5"/>
        <v>#VALUE!</v>
      </c>
      <c r="R11" s="81">
        <f t="shared" si="1"/>
        <v>0</v>
      </c>
      <c r="S11" s="91">
        <f t="shared" si="2"/>
        <v>0</v>
      </c>
      <c r="T11" s="91">
        <f t="shared" si="3"/>
        <v>0</v>
      </c>
      <c r="U11" s="452"/>
      <c r="V11" s="543" t="e">
        <f t="shared" si="4"/>
        <v>#VALUE!</v>
      </c>
      <c r="W11" s="430"/>
    </row>
    <row r="12" spans="2:25" hidden="1" outlineLevel="1" x14ac:dyDescent="0.3">
      <c r="B12" s="85">
        <f t="shared" si="6"/>
        <v>6</v>
      </c>
      <c r="C12" s="86" t="s">
        <v>244</v>
      </c>
      <c r="D12" s="76"/>
      <c r="E12" s="77">
        <v>9880</v>
      </c>
      <c r="F12" s="87" t="e">
        <f>SUMIFS([1]Табель!J:J,[1]Табель!E:E,C12,[1]Табель!B:B,"&gt;="&amp;$Y$1,[1]Табель!B:B,"&lt;"&amp;$Y$2)</f>
        <v>#VALUE!</v>
      </c>
      <c r="G12" s="78"/>
      <c r="H12" s="78"/>
      <c r="I12" s="78" t="e">
        <f>INDEX([1]ИНФО_СПЕЦТЕХНИКА!$D$4:$D$23,IF(SUMIFS([1]Табель!I:I,[1]Табель!E:E,C12,[1]Табель!B:B,"&gt;="&amp;$Y$1,[1]Табель!B:B,"&lt;"&amp;$Y$2)/COUNTIFS([1]Табель!E:E,C12,[1]Табель!B:B,"&gt;="&amp;$Y$1,[1]Табель!B:B,"&lt;"&amp;$Y$2)=0,"",SUMIFS([1]Табель!I:I,[1]Табель!E:E,C12,[1]Табель!B:B,"&gt;="&amp;$Y$1,[1]Табель!B:B,"&lt;"&amp;$Y$2)/COUNTIFS([1]Табель!E:E,C12,[1]Табель!B:B,"&gt;="&amp;$Y$1,[1]Табель!B:B,"&lt;"&amp;$Y$2)))</f>
        <v>#VALUE!</v>
      </c>
      <c r="J12" s="88">
        <v>170</v>
      </c>
      <c r="K12" s="88">
        <v>100</v>
      </c>
      <c r="L12" s="88" t="e">
        <f>SUMIFS([1]Табель!K:K,[1]Табель!E:E,C12,[1]Табель!B:B,"&gt;="&amp;$Y$1,[1]Табель!B:B,"&lt;"&amp;$Y$2)</f>
        <v>#VALUE!</v>
      </c>
      <c r="M12" s="89" t="e">
        <f>SUMIFS([1]Табель!L:L,[1]Табель!E:E,C12,[1]Табель!B:B,"&gt;="&amp;$Y$1,[1]Табель!B:B,"&lt;"&amp;$Y$2)</f>
        <v>#VALUE!</v>
      </c>
      <c r="N12" s="199"/>
      <c r="O12" s="261" t="e">
        <f t="shared" si="0"/>
        <v>#VALUE!</v>
      </c>
      <c r="Q12" s="275" t="e">
        <f t="shared" si="5"/>
        <v>#VALUE!</v>
      </c>
      <c r="R12" s="81">
        <f t="shared" si="1"/>
        <v>2173.6</v>
      </c>
      <c r="S12" s="90">
        <f t="shared" si="2"/>
        <v>1926.6000000000001</v>
      </c>
      <c r="T12" s="90">
        <f t="shared" si="3"/>
        <v>7953.4</v>
      </c>
      <c r="U12" s="451"/>
      <c r="V12" s="542" t="e">
        <f t="shared" si="4"/>
        <v>#VALUE!</v>
      </c>
      <c r="W12" s="429"/>
    </row>
    <row r="13" spans="2:25" hidden="1" outlineLevel="1" x14ac:dyDescent="0.3">
      <c r="B13" s="85">
        <f t="shared" si="6"/>
        <v>7</v>
      </c>
      <c r="C13" s="86" t="s">
        <v>376</v>
      </c>
      <c r="D13" s="76"/>
      <c r="E13" s="77">
        <v>9880</v>
      </c>
      <c r="F13" s="87" t="e">
        <f>SUMIFS([1]Табель!J:J,[1]Табель!E:E,C13,[1]Табель!B:B,"&gt;="&amp;$Y$1,[1]Табель!B:B,"&lt;"&amp;$Y$2)</f>
        <v>#VALUE!</v>
      </c>
      <c r="G13" s="78"/>
      <c r="H13" s="78"/>
      <c r="I13" s="78" t="e">
        <f>INDEX([1]ИНФО_СПЕЦТЕХНИКА!$D$4:$D$23,IF(SUMIFS([1]Табель!I:I,[1]Табель!E:E,C13,[1]Табель!B:B,"&gt;="&amp;$Y$1,[1]Табель!B:B,"&lt;"&amp;$Y$2)/COUNTIFS([1]Табель!E:E,C13,[1]Табель!B:B,"&gt;="&amp;$Y$1,[1]Табель!B:B,"&lt;"&amp;$Y$2)=0,"",SUMIFS([1]Табель!I:I,[1]Табель!E:E,C13,[1]Табель!B:B,"&gt;="&amp;$Y$1,[1]Табель!B:B,"&lt;"&amp;$Y$2)/COUNTIFS([1]Табель!E:E,C13,[1]Табель!B:B,"&gt;="&amp;$Y$1,[1]Табель!B:B,"&lt;"&amp;$Y$2)))</f>
        <v>#VALUE!</v>
      </c>
      <c r="J13" s="88">
        <v>170</v>
      </c>
      <c r="K13" s="88">
        <v>100</v>
      </c>
      <c r="L13" s="88" t="e">
        <f>SUMIFS([1]Табель!K:K,[1]Табель!E:E,C13,[1]Табель!B:B,"&gt;="&amp;$Y$1,[1]Табель!B:B,"&lt;"&amp;$Y$2)</f>
        <v>#VALUE!</v>
      </c>
      <c r="M13" s="89" t="e">
        <f>SUMIFS([1]Табель!L:L,[1]Табель!E:E,C13,[1]Табель!B:B,"&gt;="&amp;$Y$1,[1]Табель!B:B,"&lt;"&amp;$Y$2)</f>
        <v>#VALUE!</v>
      </c>
      <c r="N13" s="199"/>
      <c r="O13" s="261" t="e">
        <f t="shared" si="0"/>
        <v>#VALUE!</v>
      </c>
      <c r="Q13" s="275" t="e">
        <f t="shared" si="5"/>
        <v>#VALUE!</v>
      </c>
      <c r="R13" s="81">
        <f t="shared" si="1"/>
        <v>2173.6</v>
      </c>
      <c r="S13" s="90">
        <f t="shared" si="2"/>
        <v>1926.6000000000001</v>
      </c>
      <c r="T13" s="90">
        <f t="shared" si="3"/>
        <v>7953.4</v>
      </c>
      <c r="U13" s="451"/>
      <c r="V13" s="542" t="e">
        <f t="shared" si="4"/>
        <v>#VALUE!</v>
      </c>
      <c r="W13" s="429"/>
    </row>
    <row r="14" spans="2:25" hidden="1" outlineLevel="1" x14ac:dyDescent="0.3">
      <c r="B14" s="85">
        <f t="shared" si="6"/>
        <v>8</v>
      </c>
      <c r="C14" s="82" t="s">
        <v>252</v>
      </c>
      <c r="D14" s="83"/>
      <c r="E14" s="77"/>
      <c r="F14" s="87" t="e">
        <f>SUMIFS([1]Табель!J:J,[1]Табель!E:E,C14,[1]Табель!B:B,"&gt;="&amp;$Y$1,[1]Табель!B:B,"&lt;"&amp;$Y$2)</f>
        <v>#VALUE!</v>
      </c>
      <c r="G14" s="78"/>
      <c r="H14" s="78"/>
      <c r="I14" s="78" t="e">
        <f>INDEX([1]ИНФО_СПЕЦТЕХНИКА!$D$4:$D$23,IF(SUMIFS([1]Табель!I:I,[1]Табель!E:E,C14,[1]Табель!B:B,"&gt;="&amp;$Y$1,[1]Табель!B:B,"&lt;"&amp;$Y$2)/COUNTIFS([1]Табель!E:E,C14,[1]Табель!B:B,"&gt;="&amp;$Y$1,[1]Табель!B:B,"&lt;"&amp;$Y$2)=0,"",SUMIFS([1]Табель!I:I,[1]Табель!E:E,C14,[1]Табель!B:B,"&gt;="&amp;$Y$1,[1]Табель!B:B,"&lt;"&amp;$Y$2)/COUNTIFS([1]Табель!E:E,C14,[1]Табель!B:B,"&gt;="&amp;$Y$1,[1]Табель!B:B,"&lt;"&amp;$Y$2)))</f>
        <v>#VALUE!</v>
      </c>
      <c r="J14" s="88">
        <v>140</v>
      </c>
      <c r="K14" s="88">
        <v>100</v>
      </c>
      <c r="L14" s="88" t="e">
        <f>SUMIFS([1]Табель!K:K,[1]Табель!E:E,C14,[1]Табель!B:B,"&gt;="&amp;$Y$1,[1]Табель!B:B,"&lt;"&amp;$Y$2)</f>
        <v>#VALUE!</v>
      </c>
      <c r="M14" s="89" t="e">
        <f>SUMIFS([1]Табель!L:L,[1]Табель!E:E,C14,[1]Табель!B:B,"&gt;="&amp;$Y$1,[1]Табель!B:B,"&lt;"&amp;$Y$2)</f>
        <v>#VALUE!</v>
      </c>
      <c r="N14" s="199"/>
      <c r="O14" s="261" t="e">
        <f t="shared" si="0"/>
        <v>#VALUE!</v>
      </c>
      <c r="Q14" s="276" t="e">
        <f t="shared" si="5"/>
        <v>#VALUE!</v>
      </c>
      <c r="R14" s="81">
        <f t="shared" si="1"/>
        <v>0</v>
      </c>
      <c r="S14" s="91">
        <f t="shared" si="2"/>
        <v>0</v>
      </c>
      <c r="T14" s="91">
        <f t="shared" si="3"/>
        <v>0</v>
      </c>
      <c r="U14" s="452"/>
      <c r="V14" s="543" t="e">
        <f t="shared" si="4"/>
        <v>#VALUE!</v>
      </c>
      <c r="W14" s="430"/>
    </row>
    <row r="15" spans="2:25" hidden="1" outlineLevel="1" x14ac:dyDescent="0.3">
      <c r="B15" s="85">
        <f t="shared" si="6"/>
        <v>9</v>
      </c>
      <c r="C15" s="82" t="s">
        <v>466</v>
      </c>
      <c r="D15" s="83"/>
      <c r="E15" s="77"/>
      <c r="F15" s="87" t="e">
        <f>SUMIFS([1]Табель!J:J,[1]Табель!E:E,C15,[1]Табель!B:B,"&gt;="&amp;$Y$1,[1]Табель!B:B,"&lt;"&amp;$Y$2)</f>
        <v>#VALUE!</v>
      </c>
      <c r="G15" s="78"/>
      <c r="H15" s="78"/>
      <c r="I15" s="78" t="e">
        <f>INDEX([1]ИНФО_СПЕЦТЕХНИКА!$D$4:$D$23,IF(SUMIFS([1]Табель!I:I,[1]Табель!E:E,C15,[1]Табель!B:B,"&gt;="&amp;$Y$1,[1]Табель!B:B,"&lt;"&amp;$Y$2)/COUNTIFS([1]Табель!E:E,C15,[1]Табель!B:B,"&gt;="&amp;$Y$1,[1]Табель!B:B,"&lt;"&amp;$Y$2)=0,"",SUMIFS([1]Табель!I:I,[1]Табель!E:E,C15,[1]Табель!B:B,"&gt;="&amp;$Y$1,[1]Табель!B:B,"&lt;"&amp;$Y$2)/COUNTIFS([1]Табель!E:E,C15,[1]Табель!B:B,"&gt;="&amp;$Y$1,[1]Табель!B:B,"&lt;"&amp;$Y$2)))</f>
        <v>#VALUE!</v>
      </c>
      <c r="J15" s="88">
        <v>140</v>
      </c>
      <c r="K15" s="88">
        <v>100</v>
      </c>
      <c r="L15" s="88" t="e">
        <f>SUMIFS([1]Табель!K:K,[1]Табель!E:E,C15,[1]Табель!B:B,"&gt;="&amp;$Y$1,[1]Табель!B:B,"&lt;"&amp;$Y$2)</f>
        <v>#VALUE!</v>
      </c>
      <c r="M15" s="89" t="e">
        <f>SUMIFS([1]Табель!L:L,[1]Табель!E:E,C15,[1]Табель!B:B,"&gt;="&amp;$Y$1,[1]Табель!B:B,"&lt;"&amp;$Y$2)</f>
        <v>#VALUE!</v>
      </c>
      <c r="N15" s="199"/>
      <c r="O15" s="261" t="e">
        <f t="shared" si="0"/>
        <v>#VALUE!</v>
      </c>
      <c r="Q15" s="276" t="e">
        <f t="shared" si="5"/>
        <v>#VALUE!</v>
      </c>
      <c r="R15" s="81">
        <f t="shared" si="1"/>
        <v>0</v>
      </c>
      <c r="S15" s="91">
        <f t="shared" si="2"/>
        <v>0</v>
      </c>
      <c r="T15" s="91">
        <f t="shared" si="3"/>
        <v>0</v>
      </c>
      <c r="U15" s="452"/>
      <c r="V15" s="543" t="e">
        <f t="shared" si="4"/>
        <v>#VALUE!</v>
      </c>
      <c r="W15" s="430"/>
    </row>
    <row r="16" spans="2:25" hidden="1" outlineLevel="1" x14ac:dyDescent="0.3">
      <c r="B16" s="85">
        <f>B14+1</f>
        <v>9</v>
      </c>
      <c r="C16" s="86" t="s">
        <v>243</v>
      </c>
      <c r="D16" s="76"/>
      <c r="E16" s="77">
        <v>9500</v>
      </c>
      <c r="F16" s="87" t="e">
        <f>SUMIFS([1]Табель!J:J,[1]Табель!E:E,C16,[1]Табель!B:B,"&gt;="&amp;$Y$1,[1]Табель!B:B,"&lt;"&amp;$Y$2)</f>
        <v>#VALUE!</v>
      </c>
      <c r="G16" s="78"/>
      <c r="H16" s="78"/>
      <c r="I16" s="78" t="e">
        <f>INDEX([1]ИНФО_СПЕЦТЕХНИКА!$D$4:$D$23,IF(SUMIFS([1]Табель!I:I,[1]Табель!E:E,C16,[1]Табель!B:B,"&gt;="&amp;$Y$1,[1]Табель!B:B,"&lt;"&amp;$Y$2)/COUNTIFS([1]Табель!E:E,C16,[1]Табель!B:B,"&gt;="&amp;$Y$1,[1]Табель!B:B,"&lt;"&amp;$Y$2)=0,"",SUMIFS([1]Табель!I:I,[1]Табель!E:E,C16,[1]Табель!B:B,"&gt;="&amp;$Y$1,[1]Табель!B:B,"&lt;"&amp;$Y$2)/COUNTIFS([1]Табель!E:E,C16,[1]Табель!B:B,"&gt;="&amp;$Y$1,[1]Табель!B:B,"&lt;"&amp;$Y$2)))</f>
        <v>#VALUE!</v>
      </c>
      <c r="J16" s="88">
        <v>170</v>
      </c>
      <c r="K16" s="88">
        <v>100</v>
      </c>
      <c r="L16" s="88" t="e">
        <f>SUMIFS([1]Табель!K:K,[1]Табель!E:E,C16,[1]Табель!B:B,"&gt;="&amp;$Y$1,[1]Табель!B:B,"&lt;"&amp;$Y$2)</f>
        <v>#VALUE!</v>
      </c>
      <c r="M16" s="89" t="e">
        <f>SUMIFS([1]Табель!L:L,[1]Табель!E:E,C16,[1]Табель!B:B,"&gt;="&amp;$Y$1,[1]Табель!B:B,"&lt;"&amp;$Y$2)</f>
        <v>#VALUE!</v>
      </c>
      <c r="N16" s="199"/>
      <c r="O16" s="261" t="e">
        <f t="shared" si="0"/>
        <v>#VALUE!</v>
      </c>
      <c r="Q16" s="275" t="e">
        <f t="shared" si="5"/>
        <v>#VALUE!</v>
      </c>
      <c r="R16" s="81">
        <f t="shared" si="1"/>
        <v>2090</v>
      </c>
      <c r="S16" s="90">
        <f t="shared" si="2"/>
        <v>1852.5</v>
      </c>
      <c r="T16" s="90">
        <f t="shared" si="3"/>
        <v>7647.5</v>
      </c>
      <c r="U16" s="451"/>
      <c r="V16" s="542" t="e">
        <f t="shared" si="4"/>
        <v>#VALUE!</v>
      </c>
      <c r="W16" s="429"/>
    </row>
    <row r="17" spans="2:25" hidden="1" outlineLevel="1" x14ac:dyDescent="0.3">
      <c r="B17" s="85">
        <f t="shared" si="6"/>
        <v>10</v>
      </c>
      <c r="C17" s="86" t="s">
        <v>381</v>
      </c>
      <c r="D17" s="76"/>
      <c r="E17" s="77">
        <v>9047.6200000000008</v>
      </c>
      <c r="F17" s="87" t="e">
        <f>SUMIFS([1]Табель!J:J,[1]Табель!E:E,C17,[1]Табель!B:B,"&gt;="&amp;$Y$1,[1]Табель!B:B,"&lt;"&amp;$Y$2)</f>
        <v>#VALUE!</v>
      </c>
      <c r="G17" s="78"/>
      <c r="H17" s="78"/>
      <c r="I17" s="78" t="e">
        <f>INDEX([1]ИНФО_СПЕЦТЕХНИКА!$D$4:$D$23,IF(SUMIFS([1]Табель!I:I,[1]Табель!E:E,C17,[1]Табель!B:B,"&gt;="&amp;$Y$1,[1]Табель!B:B,"&lt;"&amp;$Y$2)/COUNTIFS([1]Табель!E:E,C17,[1]Табель!B:B,"&gt;="&amp;$Y$1,[1]Табель!B:B,"&lt;"&amp;$Y$2)=0,"",SUMIFS([1]Табель!I:I,[1]Табель!E:E,C17,[1]Табель!B:B,"&gt;="&amp;$Y$1,[1]Табель!B:B,"&lt;"&amp;$Y$2)/COUNTIFS([1]Табель!E:E,C17,[1]Табель!B:B,"&gt;="&amp;$Y$1,[1]Табель!B:B,"&lt;"&amp;$Y$2)))</f>
        <v>#VALUE!</v>
      </c>
      <c r="J17" s="88">
        <v>140</v>
      </c>
      <c r="K17" s="88">
        <v>100</v>
      </c>
      <c r="L17" s="88" t="e">
        <f>SUMIFS([1]Табель!K:K,[1]Табель!E:E,C17,[1]Табель!B:B,"&gt;="&amp;$Y$1,[1]Табель!B:B,"&lt;"&amp;$Y$2)</f>
        <v>#VALUE!</v>
      </c>
      <c r="M17" s="89" t="e">
        <f>SUMIFS([1]Табель!L:L,[1]Табель!E:E,C17,[1]Табель!B:B,"&gt;="&amp;$Y$1,[1]Табель!B:B,"&lt;"&amp;$Y$2)</f>
        <v>#VALUE!</v>
      </c>
      <c r="N17" s="199"/>
      <c r="O17" s="261" t="e">
        <f t="shared" si="0"/>
        <v>#VALUE!</v>
      </c>
      <c r="Q17" s="275" t="e">
        <f t="shared" si="5"/>
        <v>#VALUE!</v>
      </c>
      <c r="R17" s="81">
        <f t="shared" si="1"/>
        <v>1990.48</v>
      </c>
      <c r="S17" s="90">
        <f t="shared" si="2"/>
        <v>1764.2859000000003</v>
      </c>
      <c r="T17" s="90">
        <f t="shared" si="3"/>
        <v>7283.3341</v>
      </c>
      <c r="U17" s="451"/>
      <c r="V17" s="542" t="e">
        <f t="shared" si="4"/>
        <v>#VALUE!</v>
      </c>
      <c r="W17" s="429"/>
    </row>
    <row r="18" spans="2:25" hidden="1" outlineLevel="1" x14ac:dyDescent="0.3">
      <c r="B18" s="85">
        <f t="shared" si="6"/>
        <v>11</v>
      </c>
      <c r="C18" s="86" t="s">
        <v>254</v>
      </c>
      <c r="D18" s="76"/>
      <c r="E18" s="77">
        <v>9880</v>
      </c>
      <c r="F18" s="87" t="e">
        <f>SUMIFS([1]Табель!J:J,[1]Табель!E:E,C18,[1]Табель!B:B,"&gt;="&amp;$Y$1,[1]Табель!B:B,"&lt;"&amp;$Y$2)</f>
        <v>#VALUE!</v>
      </c>
      <c r="G18" s="78"/>
      <c r="H18" s="78"/>
      <c r="I18" s="78" t="e">
        <f>INDEX([1]ИНФО_СПЕЦТЕХНИКА!$D$4:$D$23,IF(SUMIFS([1]Табель!I:I,[1]Табель!E:E,C18,[1]Табель!B:B,"&gt;="&amp;$Y$1,[1]Табель!B:B,"&lt;"&amp;$Y$2)/COUNTIFS([1]Табель!E:E,C18,[1]Табель!B:B,"&gt;="&amp;$Y$1,[1]Табель!B:B,"&lt;"&amp;$Y$2)=0,"",SUMIFS([1]Табель!I:I,[1]Табель!E:E,C18,[1]Табель!B:B,"&gt;="&amp;$Y$1,[1]Табель!B:B,"&lt;"&amp;$Y$2)/COUNTIFS([1]Табель!E:E,C18,[1]Табель!B:B,"&gt;="&amp;$Y$1,[1]Табель!B:B,"&lt;"&amp;$Y$2)))</f>
        <v>#VALUE!</v>
      </c>
      <c r="J18" s="88">
        <v>170</v>
      </c>
      <c r="K18" s="88">
        <v>100</v>
      </c>
      <c r="L18" s="88" t="e">
        <f>SUMIFS([1]Табель!K:K,[1]Табель!E:E,C18,[1]Табель!B:B,"&gt;="&amp;$Y$1,[1]Табель!B:B,"&lt;"&amp;$Y$2)</f>
        <v>#VALUE!</v>
      </c>
      <c r="M18" s="89" t="e">
        <f>SUMIFS([1]Табель!L:L,[1]Табель!E:E,C18,[1]Табель!B:B,"&gt;="&amp;$Y$1,[1]Табель!B:B,"&lt;"&amp;$Y$2)</f>
        <v>#VALUE!</v>
      </c>
      <c r="N18" s="199"/>
      <c r="O18" s="261" t="e">
        <f t="shared" si="0"/>
        <v>#VALUE!</v>
      </c>
      <c r="Q18" s="275" t="e">
        <f t="shared" si="5"/>
        <v>#VALUE!</v>
      </c>
      <c r="R18" s="81">
        <f t="shared" si="1"/>
        <v>2173.6</v>
      </c>
      <c r="S18" s="90">
        <f t="shared" si="2"/>
        <v>1926.6000000000001</v>
      </c>
      <c r="T18" s="90">
        <f t="shared" si="3"/>
        <v>7953.4</v>
      </c>
      <c r="U18" s="451"/>
      <c r="V18" s="542" t="e">
        <f t="shared" si="4"/>
        <v>#VALUE!</v>
      </c>
      <c r="W18" s="429"/>
    </row>
    <row r="19" spans="2:25" hidden="1" outlineLevel="1" x14ac:dyDescent="0.3">
      <c r="B19" s="85">
        <f t="shared" si="6"/>
        <v>12</v>
      </c>
      <c r="C19" s="86" t="s">
        <v>379</v>
      </c>
      <c r="D19" s="76"/>
      <c r="E19" s="77">
        <v>8595.24</v>
      </c>
      <c r="F19" s="87" t="e">
        <f>SUMIFS([1]Табель!J:J,[1]Табель!E:E,C19,[1]Табель!B:B,"&gt;="&amp;$Y$1,[1]Табель!B:B,"&lt;"&amp;$Y$2)</f>
        <v>#VALUE!</v>
      </c>
      <c r="G19" s="78"/>
      <c r="H19" s="78"/>
      <c r="I19" s="78" t="e">
        <f>INDEX([1]ИНФО_СПЕЦТЕХНИКА!$D$4:$D$23,IF(SUMIFS([1]Табель!I:I,[1]Табель!E:E,C19,[1]Табель!B:B,"&gt;="&amp;$Y$1,[1]Табель!B:B,"&lt;"&amp;$Y$2)/COUNTIFS([1]Табель!E:E,C19,[1]Табель!B:B,"&gt;="&amp;$Y$1,[1]Табель!B:B,"&lt;"&amp;$Y$2)=0,"",SUMIFS([1]Табель!I:I,[1]Табель!E:E,C19,[1]Табель!B:B,"&gt;="&amp;$Y$1,[1]Табель!B:B,"&lt;"&amp;$Y$2)/COUNTIFS([1]Табель!E:E,C19,[1]Табель!B:B,"&gt;="&amp;$Y$1,[1]Табель!B:B,"&lt;"&amp;$Y$2)))</f>
        <v>#VALUE!</v>
      </c>
      <c r="J19" s="88">
        <v>140</v>
      </c>
      <c r="K19" s="88">
        <v>100</v>
      </c>
      <c r="L19" s="88" t="e">
        <f>SUMIFS([1]Табель!K:K,[1]Табель!E:E,C19,[1]Табель!B:B,"&gt;="&amp;$Y$1,[1]Табель!B:B,"&lt;"&amp;$Y$2)</f>
        <v>#VALUE!</v>
      </c>
      <c r="M19" s="89" t="e">
        <f>SUMIFS([1]Табель!L:L,[1]Табель!E:E,C19,[1]Табель!B:B,"&gt;="&amp;$Y$1,[1]Табель!B:B,"&lt;"&amp;$Y$2)</f>
        <v>#VALUE!</v>
      </c>
      <c r="N19" s="199"/>
      <c r="O19" s="261" t="e">
        <f t="shared" si="0"/>
        <v>#VALUE!</v>
      </c>
      <c r="Q19" s="275" t="e">
        <f t="shared" si="5"/>
        <v>#VALUE!</v>
      </c>
      <c r="R19" s="81">
        <f t="shared" si="1"/>
        <v>1890.95</v>
      </c>
      <c r="S19" s="90">
        <f t="shared" si="2"/>
        <v>1676.0717999999999</v>
      </c>
      <c r="T19" s="90">
        <f t="shared" si="3"/>
        <v>6919.1682000000001</v>
      </c>
      <c r="U19" s="451"/>
      <c r="V19" s="542" t="e">
        <f t="shared" si="4"/>
        <v>#VALUE!</v>
      </c>
      <c r="W19" s="429"/>
    </row>
    <row r="20" spans="2:25" hidden="1" outlineLevel="1" x14ac:dyDescent="0.3">
      <c r="B20" s="85">
        <f t="shared" si="6"/>
        <v>13</v>
      </c>
      <c r="C20" s="86" t="s">
        <v>248</v>
      </c>
      <c r="D20" s="76"/>
      <c r="E20" s="77">
        <v>4976.1899999999996</v>
      </c>
      <c r="F20" s="87" t="e">
        <f>SUMIFS([1]Табель!J:J,[1]Табель!E:E,C20,[1]Табель!B:B,"&gt;="&amp;$Y$1,[1]Табель!B:B,"&lt;"&amp;$Y$2)</f>
        <v>#VALUE!</v>
      </c>
      <c r="G20" s="78"/>
      <c r="H20" s="78"/>
      <c r="I20" s="78" t="e">
        <f>INDEX([1]ИНФО_СПЕЦТЕХНИКА!$D$4:$D$23,IF(SUMIFS([1]Табель!I:I,[1]Табель!E:E,C20,[1]Табель!B:B,"&gt;="&amp;$Y$1,[1]Табель!B:B,"&lt;"&amp;$Y$2)/COUNTIFS([1]Табель!E:E,C20,[1]Табель!B:B,"&gt;="&amp;$Y$1,[1]Табель!B:B,"&lt;"&amp;$Y$2)=0,"",SUMIFS([1]Табель!I:I,[1]Табель!E:E,C20,[1]Табель!B:B,"&gt;="&amp;$Y$1,[1]Табель!B:B,"&lt;"&amp;$Y$2)/COUNTIFS([1]Табель!E:E,C20,[1]Табель!B:B,"&gt;="&amp;$Y$1,[1]Табель!B:B,"&lt;"&amp;$Y$2)))</f>
        <v>#VALUE!</v>
      </c>
      <c r="J20" s="88">
        <v>140</v>
      </c>
      <c r="K20" s="88">
        <v>100</v>
      </c>
      <c r="L20" s="88" t="e">
        <f>SUMIFS([1]Табель!K:K,[1]Табель!E:E,C20,[1]Табель!B:B,"&gt;="&amp;$Y$1,[1]Табель!B:B,"&lt;"&amp;$Y$2)</f>
        <v>#VALUE!</v>
      </c>
      <c r="M20" s="89" t="e">
        <f>SUMIFS([1]Табель!L:L,[1]Табель!E:E,C20,[1]Табель!B:B,"&gt;="&amp;$Y$1,[1]Табель!B:B,"&lt;"&amp;$Y$2)</f>
        <v>#VALUE!</v>
      </c>
      <c r="N20" s="199"/>
      <c r="O20" s="261" t="e">
        <f t="shared" si="0"/>
        <v>#VALUE!</v>
      </c>
      <c r="Q20" s="275" t="e">
        <f t="shared" si="5"/>
        <v>#VALUE!</v>
      </c>
      <c r="R20" s="81">
        <f t="shared" si="1"/>
        <v>1094.76</v>
      </c>
      <c r="S20" s="90">
        <f t="shared" si="2"/>
        <v>970.35704999999996</v>
      </c>
      <c r="T20" s="90">
        <f t="shared" si="3"/>
        <v>4005.8329499999995</v>
      </c>
      <c r="U20" s="451"/>
      <c r="V20" s="542" t="e">
        <f t="shared" si="4"/>
        <v>#VALUE!</v>
      </c>
      <c r="W20" s="429"/>
    </row>
    <row r="21" spans="2:25" ht="15" hidden="1" outlineLevel="1" thickBot="1" x14ac:dyDescent="0.35">
      <c r="B21" s="85">
        <f t="shared" si="6"/>
        <v>14</v>
      </c>
      <c r="C21" s="82" t="s">
        <v>467</v>
      </c>
      <c r="D21" s="92"/>
      <c r="E21" s="93"/>
      <c r="F21" s="94" t="e">
        <f>SUMIFS([1]Табель!J:J,[1]Табель!E:E,C21,[1]Табель!B:B,"&gt;="&amp;$Y$1,[1]Табель!B:B,"&lt;"&amp;$Y$2)</f>
        <v>#VALUE!</v>
      </c>
      <c r="G21" s="142"/>
      <c r="H21" s="142"/>
      <c r="I21" s="78" t="e">
        <f>INDEX([1]ИНФО_СПЕЦТЕХНИКА!$D$4:$D$23,IF(SUMIFS([1]Табель!I:I,[1]Табель!E:E,C21,[1]Табель!B:B,"&gt;="&amp;$Y$1,[1]Табель!B:B,"&lt;"&amp;$Y$2)/COUNTIFS([1]Табель!E:E,C21,[1]Табель!B:B,"&gt;="&amp;$Y$1,[1]Табель!B:B,"&lt;"&amp;$Y$2)=0,"",SUMIFS([1]Табель!I:I,[1]Табель!E:E,C21,[1]Табель!B:B,"&gt;="&amp;$Y$1,[1]Табель!B:B,"&lt;"&amp;$Y$2)/COUNTIFS([1]Табель!E:E,C21,[1]Табель!B:B,"&gt;="&amp;$Y$1,[1]Табель!B:B,"&lt;"&amp;$Y$2)))</f>
        <v>#VALUE!</v>
      </c>
      <c r="J21" s="95">
        <v>140</v>
      </c>
      <c r="K21" s="88">
        <v>100</v>
      </c>
      <c r="L21" s="95" t="e">
        <f>SUMIFS([1]Табель!K:K,[1]Табель!E:E,C21,[1]Табель!B:B,"&gt;="&amp;$Y$1,[1]Табель!B:B,"&lt;"&amp;$Y$2)</f>
        <v>#VALUE!</v>
      </c>
      <c r="M21" s="96" t="e">
        <f>SUMIFS([1]Табель!L:L,[1]Табель!E:E,C21,[1]Табель!B:B,"&gt;="&amp;$Y$1,[1]Табель!B:B,"&lt;"&amp;$Y$2)</f>
        <v>#VALUE!</v>
      </c>
      <c r="N21" s="200"/>
      <c r="O21" s="262" t="e">
        <f t="shared" si="0"/>
        <v>#VALUE!</v>
      </c>
      <c r="Q21" s="277" t="e">
        <f t="shared" si="5"/>
        <v>#VALUE!</v>
      </c>
      <c r="R21" s="97">
        <f t="shared" si="1"/>
        <v>0</v>
      </c>
      <c r="S21" s="98">
        <f t="shared" si="2"/>
        <v>0</v>
      </c>
      <c r="T21" s="98">
        <f t="shared" si="3"/>
        <v>0</v>
      </c>
      <c r="U21" s="453"/>
      <c r="V21" s="543" t="e">
        <f t="shared" si="4"/>
        <v>#VALUE!</v>
      </c>
      <c r="W21" s="430"/>
    </row>
    <row r="22" spans="2:25" s="107" customFormat="1" ht="27.6" hidden="1" customHeight="1" outlineLevel="1" thickBot="1" x14ac:dyDescent="0.35">
      <c r="B22" s="99"/>
      <c r="C22" s="100" t="s">
        <v>468</v>
      </c>
      <c r="D22" s="101"/>
      <c r="E22" s="102">
        <f>SUM(E7:E21)</f>
        <v>85662.86</v>
      </c>
      <c r="F22" s="103" t="e">
        <f>SUM(F7:F21)</f>
        <v>#VALUE!</v>
      </c>
      <c r="G22" s="103"/>
      <c r="H22" s="103"/>
      <c r="I22" s="103"/>
      <c r="J22" s="104"/>
      <c r="K22" s="104"/>
      <c r="L22" s="105" t="e">
        <f>SUM(L7:L21)</f>
        <v>#VALUE!</v>
      </c>
      <c r="M22" s="106" t="e">
        <f>SUM(M7:M21)</f>
        <v>#VALUE!</v>
      </c>
      <c r="N22" s="201"/>
      <c r="O22" s="263" t="e">
        <f>SUM(O7:O21)</f>
        <v>#VALUE!</v>
      </c>
      <c r="P22" s="225"/>
      <c r="Q22" s="278" t="e">
        <f>SUM(Q7:Q21)</f>
        <v>#VALUE!</v>
      </c>
      <c r="R22" s="102">
        <f>SUM(R7:R21)</f>
        <v>18845.829999999998</v>
      </c>
      <c r="S22" s="102">
        <f>SUM(S7:S21)</f>
        <v>16704.257700000002</v>
      </c>
      <c r="T22" s="102">
        <f>SUM(T7:T21)</f>
        <v>68958.602299999999</v>
      </c>
      <c r="U22" s="220"/>
      <c r="V22" s="544" t="e">
        <f>SUM(V7:V21)</f>
        <v>#VALUE!</v>
      </c>
      <c r="W22" s="431"/>
    </row>
    <row r="23" spans="2:25" hidden="1" outlineLevel="1" collapsed="1" x14ac:dyDescent="0.3">
      <c r="R23" s="108"/>
    </row>
    <row r="24" spans="2:25" hidden="1" outlineLevel="1" x14ac:dyDescent="0.3">
      <c r="Y24" s="428">
        <v>45200</v>
      </c>
    </row>
    <row r="25" spans="2:25" hidden="1" outlineLevel="1" x14ac:dyDescent="0.3">
      <c r="P25" s="288"/>
      <c r="Y25" s="428">
        <v>45231</v>
      </c>
    </row>
    <row r="26" spans="2:25" ht="7.5" hidden="1" customHeight="1" outlineLevel="1" x14ac:dyDescent="0.3">
      <c r="P26" s="288"/>
    </row>
    <row r="27" spans="2:25" ht="25.2" hidden="1" customHeight="1" outlineLevel="1" x14ac:dyDescent="0.3">
      <c r="B27" s="594" t="str">
        <f>"ЧАСЫ ["&amp;CHAR(10)&amp;TEXT(Y24,"[$-419]ММММ ГГГГ")&amp;"]"</f>
        <v>ЧАСЫ [
Октябрь 2023]</v>
      </c>
      <c r="C27" s="594"/>
      <c r="D27" s="594"/>
      <c r="E27" s="594"/>
      <c r="F27" s="594"/>
      <c r="G27" s="594"/>
      <c r="H27" s="594"/>
      <c r="I27" s="594"/>
      <c r="J27" s="594"/>
      <c r="K27" s="594"/>
      <c r="L27" s="594"/>
      <c r="M27" s="594"/>
      <c r="N27" s="594"/>
      <c r="O27" s="594"/>
      <c r="P27" s="594"/>
      <c r="Q27" s="594"/>
      <c r="R27" s="594"/>
      <c r="S27" s="594"/>
      <c r="T27" s="594"/>
      <c r="U27" s="594"/>
      <c r="V27" s="594"/>
      <c r="W27" s="68"/>
    </row>
    <row r="28" spans="2:25" ht="3.75" hidden="1" customHeight="1" outlineLevel="1" x14ac:dyDescent="0.3">
      <c r="B28" s="68"/>
      <c r="C28" s="68"/>
      <c r="D28" s="68"/>
      <c r="E28" s="68"/>
      <c r="F28" s="69"/>
      <c r="G28" s="69"/>
      <c r="H28" s="69"/>
      <c r="I28" s="69"/>
      <c r="J28" s="68"/>
      <c r="K28" s="68"/>
      <c r="L28" s="68"/>
      <c r="M28" s="68"/>
      <c r="N28" s="68"/>
      <c r="O28" s="68"/>
      <c r="P28" s="288"/>
    </row>
    <row r="29" spans="2:25" s="73" customFormat="1" ht="58.2" hidden="1" outlineLevel="1" thickBot="1" x14ac:dyDescent="0.35">
      <c r="B29" s="70" t="s">
        <v>452</v>
      </c>
      <c r="C29" s="70" t="s">
        <v>448</v>
      </c>
      <c r="D29" s="70" t="s">
        <v>469</v>
      </c>
      <c r="E29" s="70" t="s">
        <v>470</v>
      </c>
      <c r="F29" s="71" t="s">
        <v>454</v>
      </c>
      <c r="G29" s="71"/>
      <c r="H29" s="71"/>
      <c r="I29" s="70" t="s">
        <v>471</v>
      </c>
      <c r="J29" s="70" t="s">
        <v>456</v>
      </c>
      <c r="K29" s="70" t="s">
        <v>457</v>
      </c>
      <c r="L29" s="70" t="s">
        <v>235</v>
      </c>
      <c r="M29" s="72" t="s">
        <v>458</v>
      </c>
      <c r="N29" s="197"/>
      <c r="O29" s="259" t="s">
        <v>459</v>
      </c>
      <c r="P29" s="289"/>
      <c r="Q29" s="272" t="s">
        <v>460</v>
      </c>
      <c r="R29" s="74" t="s">
        <v>461</v>
      </c>
      <c r="S29" s="74" t="s">
        <v>462</v>
      </c>
      <c r="T29" s="74" t="s">
        <v>463</v>
      </c>
      <c r="U29" s="454" t="s">
        <v>472</v>
      </c>
      <c r="V29" s="541" t="s">
        <v>464</v>
      </c>
    </row>
    <row r="30" spans="2:25" hidden="1" outlineLevel="1" x14ac:dyDescent="0.3">
      <c r="B30" s="75">
        <v>1</v>
      </c>
      <c r="C30" s="109" t="s">
        <v>246</v>
      </c>
      <c r="D30" s="109" t="str">
        <f>INDEX([1]ИНФО!C:C,MATCH(C30,[1]ИНФО!B:B,0))</f>
        <v>Болох Володимир Васильович</v>
      </c>
      <c r="E30" s="110">
        <v>9500</v>
      </c>
      <c r="F30" s="87" t="e">
        <f>SUMIFS([1]Табель!J:J,[1]Табель!E:E,C30,[1]Табель!B:B,"&gt;="&amp;$Y$24,[1]Табель!B:B,"&lt;"&amp;$Y$25,[1]Табель!F:F,'МЕХАНИЗАТОРЫ апрель'!I30)</f>
        <v>#VALUE!</v>
      </c>
      <c r="G30" s="78"/>
      <c r="H30" s="78"/>
      <c r="I30" s="78" t="s">
        <v>69</v>
      </c>
      <c r="J30" s="111">
        <f>INDEX([1]ИНФО_СПЕЦТЕХНИКА!$F$4:$F$23,MATCH(I30,[1]ИНФО_СПЕЦТЕХНИКА!$D$4:$D$23,0))</f>
        <v>180</v>
      </c>
      <c r="K30" s="79">
        <v>100</v>
      </c>
      <c r="L30" s="88" t="e">
        <f>SUMIFS([1]Табель!K:K,[1]Табель!E:E,C30,[1]Табель!B:B,"&gt;="&amp;$Y$24,[1]Табель!B:B,"&lt;"&amp;$Y$25,[1]Табель!F:F,I30)</f>
        <v>#VALUE!</v>
      </c>
      <c r="M30" s="89" t="e">
        <f>SUMIFS([1]Табель!L:L,[1]Табель!E:E,C30,[1]Табель!B:B,"&gt;="&amp;$Y$24,[1]Табель!B:B,"&lt;"&amp;$Y$25,[1]Табель!F:F,I30)</f>
        <v>#VALUE!</v>
      </c>
      <c r="N30" s="199"/>
      <c r="O30" s="261" t="e">
        <f t="shared" ref="O30:O47" si="7">F30-L30-M30</f>
        <v>#VALUE!</v>
      </c>
      <c r="Q30" s="279" t="e">
        <f>O30*J30+(L30+M30)*K30</f>
        <v>#VALUE!</v>
      </c>
      <c r="R30" s="110">
        <f t="shared" ref="R30:R47" si="8">ROUND(E30*0.22,2)</f>
        <v>2090</v>
      </c>
      <c r="S30" s="110">
        <f t="shared" ref="S30:S47" si="9">E30*0.195</f>
        <v>1852.5</v>
      </c>
      <c r="T30" s="110">
        <f t="shared" ref="T30:T47" si="10">E30-S30</f>
        <v>7647.5</v>
      </c>
      <c r="U30" s="455">
        <f>-ROUND((R30+E30),2)</f>
        <v>-11590</v>
      </c>
      <c r="V30" s="545" t="e">
        <f t="shared" ref="V30:V47" si="11">Q30-T30</f>
        <v>#VALUE!</v>
      </c>
      <c r="W30" s="432"/>
    </row>
    <row r="31" spans="2:25" ht="15" hidden="1" outlineLevel="1" thickBot="1" x14ac:dyDescent="0.35">
      <c r="B31" s="113">
        <v>2</v>
      </c>
      <c r="C31" s="114" t="s">
        <v>465</v>
      </c>
      <c r="D31" s="115">
        <f>INDEX([1]ИНФО!C:C,MATCH(C31,[1]ИНФО!B:B,0))</f>
        <v>0</v>
      </c>
      <c r="E31" s="116"/>
      <c r="F31" s="94" t="e">
        <f>SUMIFS([1]Табель!J:J,[1]Табель!E:E,C31,[1]Табель!B:B,"&gt;="&amp;$Y$24,[1]Табель!B:B,"&lt;"&amp;$Y$25,[1]Табель!F:F,'МЕХАНИЗАТОРЫ апрель'!I31)</f>
        <v>#VALUE!</v>
      </c>
      <c r="G31" s="117"/>
      <c r="H31" s="117"/>
      <c r="I31" s="117" t="s">
        <v>447</v>
      </c>
      <c r="J31" s="118">
        <f>INDEX([1]ИНФО_СПЕЦТЕХНИКА!$F$4:$F$23,MATCH(I31,[1]ИНФО_СПЕЦТЕХНИКА!$D$4:$D$23,0))</f>
        <v>170</v>
      </c>
      <c r="K31" s="119">
        <v>100</v>
      </c>
      <c r="L31" s="95" t="e">
        <f>SUMIFS([1]Табель!K:K,[1]Табель!E:E,C31,[1]Табель!B:B,"&gt;="&amp;$Y$24,[1]Табель!B:B,"&lt;"&amp;$Y$25,[1]Табель!F:F,I31)</f>
        <v>#VALUE!</v>
      </c>
      <c r="M31" s="96" t="e">
        <f>SUMIFS([1]Табель!L:L,[1]Табель!E:E,C31,[1]Табель!B:B,"&gt;="&amp;$Y$24,[1]Табель!B:B,"&lt;"&amp;$Y$25,[1]Табель!F:F,I31)</f>
        <v>#VALUE!</v>
      </c>
      <c r="N31" s="200"/>
      <c r="O31" s="262" t="e">
        <f t="shared" si="7"/>
        <v>#VALUE!</v>
      </c>
      <c r="Q31" s="280" t="e">
        <f>O31*J31+(L31+M31)*K31</f>
        <v>#VALUE!</v>
      </c>
      <c r="R31" s="120">
        <f t="shared" si="8"/>
        <v>0</v>
      </c>
      <c r="S31" s="120">
        <f t="shared" si="9"/>
        <v>0</v>
      </c>
      <c r="T31" s="120">
        <f t="shared" si="10"/>
        <v>0</v>
      </c>
      <c r="U31" s="456">
        <f t="shared" ref="U31:U47" si="12">-ROUND((R31+E31),2)</f>
        <v>0</v>
      </c>
      <c r="V31" s="545" t="e">
        <f t="shared" si="11"/>
        <v>#VALUE!</v>
      </c>
      <c r="W31" s="432"/>
    </row>
    <row r="32" spans="2:25" hidden="1" outlineLevel="1" x14ac:dyDescent="0.3">
      <c r="B32" s="595">
        <v>3</v>
      </c>
      <c r="C32" s="122" t="s">
        <v>249</v>
      </c>
      <c r="D32" s="122" t="str">
        <f>INDEX([1]ИНФО!C:C,MATCH(C32,[1]ИНФО!B:B,0))</f>
        <v>Борисенко Олексій Миколайович</v>
      </c>
      <c r="E32" s="110" t="e">
        <f>9500*Q32/(Q32+Q33)</f>
        <v>#VALUE!</v>
      </c>
      <c r="F32" s="123" t="e">
        <f>SUMIFS([1]Табель!J:J,[1]Табель!E:E,C32,[1]Табель!B:B,"&gt;="&amp;$Y$24,[1]Табель!B:B,"&lt;"&amp;$Y$25,[1]Табель!F:F,'МЕХАНИЗАТОРЫ апрель'!I32)</f>
        <v>#VALUE!</v>
      </c>
      <c r="G32" s="123"/>
      <c r="H32" s="123"/>
      <c r="I32" s="123" t="s">
        <v>0</v>
      </c>
      <c r="J32" s="124">
        <f>INDEX([1]ИНФО_СПЕЦТЕХНИКА!$F$4:$F$23,MATCH(I32,[1]ИНФО_СПЕЦТЕХНИКА!$D$4:$D$23,0))</f>
        <v>170</v>
      </c>
      <c r="K32" s="125">
        <v>100</v>
      </c>
      <c r="L32" s="125" t="e">
        <f>SUMIFS([1]Табель!K:K,[1]Табель!E:E,C32,[1]Табель!B:B,"&gt;="&amp;$Y$24,[1]Табель!B:B,"&lt;"&amp;$Y$25,[1]Табель!F:F,I32)</f>
        <v>#VALUE!</v>
      </c>
      <c r="M32" s="126" t="e">
        <f>SUMIFS([1]Табель!L:L,[1]Табель!E:E,C32,[1]Табель!B:B,"&gt;="&amp;$Y$24,[1]Табель!B:B,"&lt;"&amp;$Y$25,[1]Табель!F:F,I32)</f>
        <v>#VALUE!</v>
      </c>
      <c r="N32" s="202"/>
      <c r="O32" s="264" t="e">
        <f t="shared" si="7"/>
        <v>#VALUE!</v>
      </c>
      <c r="Q32" s="281" t="e">
        <f t="shared" ref="Q32:Q47" si="13">O32*J32+(L32+M32)*K32</f>
        <v>#VALUE!</v>
      </c>
      <c r="R32" s="127" t="e">
        <f t="shared" si="8"/>
        <v>#VALUE!</v>
      </c>
      <c r="S32" s="127" t="e">
        <f t="shared" si="9"/>
        <v>#VALUE!</v>
      </c>
      <c r="T32" s="127" t="e">
        <f t="shared" si="10"/>
        <v>#VALUE!</v>
      </c>
      <c r="U32" s="457" t="e">
        <f t="shared" si="12"/>
        <v>#VALUE!</v>
      </c>
      <c r="V32" s="545" t="e">
        <f t="shared" si="11"/>
        <v>#VALUE!</v>
      </c>
      <c r="W32" s="432"/>
    </row>
    <row r="33" spans="2:25" ht="15" hidden="1" outlineLevel="1" thickBot="1" x14ac:dyDescent="0.35">
      <c r="B33" s="596"/>
      <c r="C33" s="114" t="s">
        <v>249</v>
      </c>
      <c r="D33" s="115" t="str">
        <f>INDEX([1]ИНФО!C:C,MATCH(C33,[1]ИНФО!B:B,0))</f>
        <v>Борисенко Олексій Миколайович</v>
      </c>
      <c r="E33" s="129" t="e">
        <f>9500*Q33/(Q32+Q33)</f>
        <v>#VALUE!</v>
      </c>
      <c r="F33" s="94" t="e">
        <f>SUMIFS([1]Табель!J:J,[1]Табель!E:E,C33,[1]Табель!B:B,"&gt;="&amp;$Y$24,[1]Табель!B:B,"&lt;"&amp;$Y$25,[1]Табель!F:F,'МЕХАНИЗАТОРЫ апрель'!I33)</f>
        <v>#VALUE!</v>
      </c>
      <c r="G33" s="117"/>
      <c r="H33" s="117"/>
      <c r="I33" s="117" t="s">
        <v>473</v>
      </c>
      <c r="J33" s="118">
        <f>INDEX([1]ИНФО_СПЕЦТЕХНИКА!$F$4:$F$23,MATCH(I33,[1]ИНФО_СПЕЦТЕХНИКА!$D$4:$D$23,0))</f>
        <v>180</v>
      </c>
      <c r="K33" s="95">
        <v>100</v>
      </c>
      <c r="L33" s="95" t="e">
        <f>SUMIFS([1]Табель!K:K,[1]Табель!E:E,C33,[1]Табель!B:B,"&gt;="&amp;$Y$24,[1]Табель!B:B,"&lt;"&amp;$Y$25,[1]Табель!F:F,I33)</f>
        <v>#VALUE!</v>
      </c>
      <c r="M33" s="96" t="e">
        <f>SUMIFS([1]Табель!L:L,[1]Табель!E:E,C33,[1]Табель!B:B,"&gt;="&amp;$Y$24,[1]Табель!B:B,"&lt;"&amp;$Y$25,[1]Табель!F:F,I33)</f>
        <v>#VALUE!</v>
      </c>
      <c r="N33" s="200"/>
      <c r="O33" s="262" t="e">
        <f t="shared" si="7"/>
        <v>#VALUE!</v>
      </c>
      <c r="Q33" s="282" t="e">
        <f t="shared" si="13"/>
        <v>#VALUE!</v>
      </c>
      <c r="R33" s="120" t="e">
        <f t="shared" si="8"/>
        <v>#VALUE!</v>
      </c>
      <c r="S33" s="120" t="e">
        <f t="shared" si="9"/>
        <v>#VALUE!</v>
      </c>
      <c r="T33" s="120" t="e">
        <f t="shared" si="10"/>
        <v>#VALUE!</v>
      </c>
      <c r="U33" s="456" t="e">
        <f t="shared" si="12"/>
        <v>#VALUE!</v>
      </c>
      <c r="V33" s="545" t="e">
        <f t="shared" si="11"/>
        <v>#VALUE!</v>
      </c>
      <c r="W33" s="432"/>
    </row>
    <row r="34" spans="2:25" hidden="1" outlineLevel="1" x14ac:dyDescent="0.3">
      <c r="B34" s="75">
        <v>4</v>
      </c>
      <c r="C34" s="109" t="s">
        <v>250</v>
      </c>
      <c r="D34" s="109" t="str">
        <f>INDEX([1]ИНФО!C:C,MATCH(C34,[1]ИНФО!B:B,0))</f>
        <v>Божков Валерій Вікторович</v>
      </c>
      <c r="E34" s="110"/>
      <c r="F34" s="78" t="e">
        <f>SUMIFS([1]Табель!J:J,[1]Табель!E:E,C34,[1]Табель!B:B,"&gt;="&amp;$Y$24,[1]Табель!B:B,"&lt;"&amp;$Y$25,[1]Табель!F:F,'МЕХАНИЗАТОРЫ апрель'!I34)</f>
        <v>#VALUE!</v>
      </c>
      <c r="G34" s="78"/>
      <c r="H34" s="78"/>
      <c r="I34" s="78" t="s">
        <v>75</v>
      </c>
      <c r="J34" s="130">
        <f>INDEX([1]ИНФО_СПЕЦТЕХНИКА!$F$4:$F$23,MATCH(I34,[1]ИНФО_СПЕЦТЕХНИКА!$D$4:$D$23,0))</f>
        <v>140</v>
      </c>
      <c r="K34" s="79">
        <v>100</v>
      </c>
      <c r="L34" s="79" t="e">
        <f>SUMIFS([1]Табель!K:K,[1]Табель!E:E,C34,[1]Табель!B:B,"&gt;="&amp;$Y$24,[1]Табель!B:B,"&lt;"&amp;$Y$25,[1]Табель!F:F,I34)</f>
        <v>#VALUE!</v>
      </c>
      <c r="M34" s="80" t="e">
        <f>SUMIFS([1]Табель!L:L,[1]Табель!E:E,C34,[1]Табель!B:B,"&gt;="&amp;$Y$24,[1]Табель!B:B,"&lt;"&amp;$Y$25,[1]Табель!F:F,I34)</f>
        <v>#VALUE!</v>
      </c>
      <c r="N34" s="198"/>
      <c r="O34" s="260" t="e">
        <f t="shared" si="7"/>
        <v>#VALUE!</v>
      </c>
      <c r="Q34" s="279" t="e">
        <f t="shared" si="13"/>
        <v>#VALUE!</v>
      </c>
      <c r="R34" s="110">
        <f t="shared" si="8"/>
        <v>0</v>
      </c>
      <c r="S34" s="110">
        <f t="shared" si="9"/>
        <v>0</v>
      </c>
      <c r="T34" s="110">
        <f t="shared" si="10"/>
        <v>0</v>
      </c>
      <c r="U34" s="458">
        <f t="shared" si="12"/>
        <v>0</v>
      </c>
      <c r="V34" s="545" t="e">
        <f t="shared" si="11"/>
        <v>#VALUE!</v>
      </c>
      <c r="W34" s="432"/>
    </row>
    <row r="35" spans="2:25" hidden="1" outlineLevel="1" x14ac:dyDescent="0.3">
      <c r="B35" s="75">
        <v>5</v>
      </c>
      <c r="C35" s="131" t="s">
        <v>247</v>
      </c>
      <c r="D35" s="109" t="str">
        <f>INDEX([1]ИНФО!C:C,MATCH(C35,[1]ИНФО!B:B,0))</f>
        <v>Бунтило Віталій Іванович</v>
      </c>
      <c r="E35" s="110">
        <v>5181.82</v>
      </c>
      <c r="F35" s="87" t="e">
        <f>SUMIFS([1]Табель!J:J,[1]Табель!E:E,C35,[1]Табель!B:B,"&gt;="&amp;$Y$24,[1]Табель!B:B,"&lt;"&amp;$Y$25,[1]Табель!F:F,'МЕХАНИЗАТОРЫ апрель'!I35)</f>
        <v>#VALUE!</v>
      </c>
      <c r="G35" s="78"/>
      <c r="H35" s="78"/>
      <c r="I35" s="78" t="s">
        <v>440</v>
      </c>
      <c r="J35" s="111">
        <f>INDEX([1]ИНФО_СПЕЦТЕХНИКА!$F$4:$F$23,MATCH(I35,[1]ИНФО_СПЕЦТЕХНИКА!$D$4:$D$23,0))</f>
        <v>140</v>
      </c>
      <c r="K35" s="88">
        <v>100</v>
      </c>
      <c r="L35" s="88" t="e">
        <f>SUMIFS([1]Табель!K:K,[1]Табель!E:E,C35,[1]Табель!B:B,"&gt;="&amp;$Y$24,[1]Табель!B:B,"&lt;"&amp;$Y$25,[1]Табель!F:F,I35)</f>
        <v>#VALUE!</v>
      </c>
      <c r="M35" s="89" t="e">
        <f>SUMIFS([1]Табель!L:L,[1]Табель!E:E,C35,[1]Табель!B:B,"&gt;="&amp;$Y$24,[1]Табель!B:B,"&lt;"&amp;$Y$25,[1]Табель!F:F,I35)</f>
        <v>#VALUE!</v>
      </c>
      <c r="N35" s="199"/>
      <c r="O35" s="261" t="e">
        <f t="shared" si="7"/>
        <v>#VALUE!</v>
      </c>
      <c r="Q35" s="283" t="e">
        <f t="shared" si="13"/>
        <v>#VALUE!</v>
      </c>
      <c r="R35" s="110">
        <f t="shared" si="8"/>
        <v>1140</v>
      </c>
      <c r="S35" s="110">
        <f t="shared" si="9"/>
        <v>1010.4549</v>
      </c>
      <c r="T35" s="110">
        <f t="shared" si="10"/>
        <v>4171.3651</v>
      </c>
      <c r="U35" s="455">
        <f t="shared" si="12"/>
        <v>-6321.82</v>
      </c>
      <c r="V35" s="545" t="e">
        <f t="shared" si="11"/>
        <v>#VALUE!</v>
      </c>
      <c r="W35" s="432"/>
      <c r="Y35" s="433" t="s">
        <v>474</v>
      </c>
    </row>
    <row r="36" spans="2:25" hidden="1" outlineLevel="1" x14ac:dyDescent="0.3">
      <c r="B36" s="75">
        <v>6</v>
      </c>
      <c r="C36" s="131" t="s">
        <v>372</v>
      </c>
      <c r="D36" s="109" t="str">
        <f>INDEX([1]ИНФО!C:C,MATCH(C36,[1]ИНФО!B:B,0))</f>
        <v>Горячий Іван Васильович</v>
      </c>
      <c r="E36" s="110">
        <v>9880</v>
      </c>
      <c r="F36" s="87" t="e">
        <f>SUMIFS([1]Табель!J:J,[1]Табель!E:E,C36,[1]Табель!B:B,"&gt;="&amp;$Y$24,[1]Табель!B:B,"&lt;"&amp;$Y$25,[1]Табель!F:F,'МЕХАНИЗАТОРЫ апрель'!I36)</f>
        <v>#VALUE!</v>
      </c>
      <c r="G36" s="78"/>
      <c r="H36" s="78"/>
      <c r="I36" s="78" t="s">
        <v>442</v>
      </c>
      <c r="J36" s="111">
        <f>INDEX([1]ИНФО_СПЕЦТЕХНИКА!$F$4:$F$23,MATCH(I36,[1]ИНФО_СПЕЦТЕХНИКА!$D$4:$D$23,0))</f>
        <v>170</v>
      </c>
      <c r="K36" s="88">
        <v>100</v>
      </c>
      <c r="L36" s="88" t="e">
        <f>SUMIFS([1]Табель!K:K,[1]Табель!E:E,C36,[1]Табель!B:B,"&gt;="&amp;$Y$24,[1]Табель!B:B,"&lt;"&amp;$Y$25,[1]Табель!F:F,I36)</f>
        <v>#VALUE!</v>
      </c>
      <c r="M36" s="89" t="e">
        <f>SUMIFS([1]Табель!L:L,[1]Табель!E:E,C36,[1]Табель!B:B,"&gt;="&amp;$Y$24,[1]Табель!B:B,"&lt;"&amp;$Y$25,[1]Табель!F:F,I36)</f>
        <v>#VALUE!</v>
      </c>
      <c r="N36" s="199"/>
      <c r="O36" s="261" t="e">
        <f t="shared" si="7"/>
        <v>#VALUE!</v>
      </c>
      <c r="Q36" s="283" t="e">
        <f t="shared" si="13"/>
        <v>#VALUE!</v>
      </c>
      <c r="R36" s="110">
        <f t="shared" si="8"/>
        <v>2173.6</v>
      </c>
      <c r="S36" s="110">
        <f t="shared" si="9"/>
        <v>1926.6000000000001</v>
      </c>
      <c r="T36" s="110">
        <f t="shared" si="10"/>
        <v>7953.4</v>
      </c>
      <c r="U36" s="455">
        <f t="shared" si="12"/>
        <v>-12053.6</v>
      </c>
      <c r="V36" s="545" t="e">
        <f t="shared" si="11"/>
        <v>#VALUE!</v>
      </c>
      <c r="W36" s="432"/>
    </row>
    <row r="37" spans="2:25" ht="15" hidden="1" outlineLevel="1" thickBot="1" x14ac:dyDescent="0.35">
      <c r="B37" s="113">
        <v>7</v>
      </c>
      <c r="C37" s="114" t="s">
        <v>245</v>
      </c>
      <c r="D37" s="115" t="str">
        <f>INDEX([1]ИНФО!C:C,MATCH(C37,[1]ИНФО!B:B,0))</f>
        <v>Зенкін Дмитро Юрійович</v>
      </c>
      <c r="E37" s="120">
        <v>8204.5499999999993</v>
      </c>
      <c r="F37" s="94" t="e">
        <f>SUMIFS([1]Табель!J:J,[1]Табель!E:E,C37,[1]Табель!B:B,"&gt;="&amp;$Y$24,[1]Табель!B:B,"&lt;"&amp;$Y$25,[1]Табель!F:F,'МЕХАНИЗАТОРЫ апрель'!I37)</f>
        <v>#VALUE!</v>
      </c>
      <c r="G37" s="117"/>
      <c r="H37" s="117"/>
      <c r="I37" s="117" t="s">
        <v>74</v>
      </c>
      <c r="J37" s="118">
        <f>INDEX([1]ИНФО_СПЕЦТЕХНИКА!$F$4:$F$23,MATCH(I37,[1]ИНФО_СПЕЦТЕХНИКА!$D$4:$D$23,0))</f>
        <v>170</v>
      </c>
      <c r="K37" s="95">
        <v>100</v>
      </c>
      <c r="L37" s="95" t="e">
        <f>SUMIFS([1]Табель!K:K,[1]Табель!E:E,C37,[1]Табель!B:B,"&gt;="&amp;$Y$24,[1]Табель!B:B,"&lt;"&amp;$Y$25,[1]Табель!F:F,I37)</f>
        <v>#VALUE!</v>
      </c>
      <c r="M37" s="96" t="e">
        <f>SUMIFS([1]Табель!L:L,[1]Табель!E:E,C37,[1]Табель!B:B,"&gt;="&amp;$Y$24,[1]Табель!B:B,"&lt;"&amp;$Y$25,[1]Табель!F:F,I37)</f>
        <v>#VALUE!</v>
      </c>
      <c r="N37" s="200"/>
      <c r="O37" s="262" t="e">
        <f t="shared" si="7"/>
        <v>#VALUE!</v>
      </c>
      <c r="Q37" s="282" t="e">
        <f t="shared" si="13"/>
        <v>#VALUE!</v>
      </c>
      <c r="R37" s="120">
        <f t="shared" si="8"/>
        <v>1805</v>
      </c>
      <c r="S37" s="120">
        <f t="shared" si="9"/>
        <v>1599.88725</v>
      </c>
      <c r="T37" s="120">
        <f t="shared" si="10"/>
        <v>6604.6627499999995</v>
      </c>
      <c r="U37" s="456">
        <f t="shared" si="12"/>
        <v>-10009.549999999999</v>
      </c>
      <c r="V37" s="545" t="e">
        <f t="shared" si="11"/>
        <v>#VALUE!</v>
      </c>
      <c r="W37" s="432"/>
    </row>
    <row r="38" spans="2:25" hidden="1" outlineLevel="1" x14ac:dyDescent="0.3">
      <c r="B38" s="595">
        <v>8</v>
      </c>
      <c r="C38" s="122" t="s">
        <v>244</v>
      </c>
      <c r="D38" s="122" t="str">
        <f>INDEX([1]ИНФО!C:C,MATCH(C38,[1]ИНФО!B:B,0))</f>
        <v>Карбунар Ярослав Дмитрович</v>
      </c>
      <c r="E38" s="127" t="e">
        <f>8981.81*Q38/(Q38+Q39)</f>
        <v>#VALUE!</v>
      </c>
      <c r="F38" s="123" t="e">
        <f>SUMIFS([1]Табель!J:J,[1]Табель!E:E,C38,[1]Табель!B:B,"&gt;="&amp;$Y$24,[1]Табель!B:B,"&lt;"&amp;$Y$25,[1]Табель!F:F,'МЕХАНИЗАТОРЫ апрель'!I38)</f>
        <v>#VALUE!</v>
      </c>
      <c r="G38" s="123"/>
      <c r="H38" s="123"/>
      <c r="I38" s="123" t="s">
        <v>443</v>
      </c>
      <c r="J38" s="124">
        <f>INDEX([1]ИНФО_СПЕЦТЕХНИКА!$F$4:$F$23,MATCH(I38,[1]ИНФО_СПЕЦТЕХНИКА!$D$4:$D$23,0))</f>
        <v>170</v>
      </c>
      <c r="K38" s="125">
        <v>100</v>
      </c>
      <c r="L38" s="125" t="e">
        <f>SUMIFS([1]Табель!K:K,[1]Табель!E:E,C38,[1]Табель!B:B,"&gt;="&amp;$Y$24,[1]Табель!B:B,"&lt;"&amp;$Y$25,[1]Табель!F:F,I38)</f>
        <v>#VALUE!</v>
      </c>
      <c r="M38" s="126" t="e">
        <f>SUMIFS([1]Табель!L:L,[1]Табель!E:E,C38,[1]Табель!B:B,"&gt;="&amp;$Y$24,[1]Табель!B:B,"&lt;"&amp;$Y$25,[1]Табель!F:F,I38)</f>
        <v>#VALUE!</v>
      </c>
      <c r="N38" s="202"/>
      <c r="O38" s="264" t="e">
        <f t="shared" si="7"/>
        <v>#VALUE!</v>
      </c>
      <c r="Q38" s="281" t="e">
        <f t="shared" si="13"/>
        <v>#VALUE!</v>
      </c>
      <c r="R38" s="127" t="e">
        <f t="shared" si="8"/>
        <v>#VALUE!</v>
      </c>
      <c r="S38" s="127" t="e">
        <f t="shared" si="9"/>
        <v>#VALUE!</v>
      </c>
      <c r="T38" s="127" t="e">
        <f t="shared" si="10"/>
        <v>#VALUE!</v>
      </c>
      <c r="U38" s="457" t="e">
        <f t="shared" si="12"/>
        <v>#VALUE!</v>
      </c>
      <c r="V38" s="545" t="e">
        <f t="shared" si="11"/>
        <v>#VALUE!</v>
      </c>
      <c r="W38" s="432"/>
    </row>
    <row r="39" spans="2:25" ht="15" hidden="1" outlineLevel="1" thickBot="1" x14ac:dyDescent="0.35">
      <c r="B39" s="596"/>
      <c r="C39" s="114" t="s">
        <v>244</v>
      </c>
      <c r="D39" s="115" t="str">
        <f>INDEX([1]ИНФО!C:C,MATCH(C39,[1]ИНФО!B:B,0))</f>
        <v>Карбунар Ярослав Дмитрович</v>
      </c>
      <c r="E39" s="129" t="e">
        <f>8981.81*Q39/(Q38+Q39)</f>
        <v>#VALUE!</v>
      </c>
      <c r="F39" s="94" t="e">
        <f>SUMIFS([1]Табель!J:J,[1]Табель!E:E,C39,[1]Табель!B:B,"&gt;="&amp;$Y$24,[1]Табель!B:B,"&lt;"&amp;$Y$25,[1]Табель!F:F,'МЕХАНИЗАТОРЫ апрель'!I39)</f>
        <v>#VALUE!</v>
      </c>
      <c r="G39" s="117"/>
      <c r="H39" s="117"/>
      <c r="I39" s="117" t="s">
        <v>0</v>
      </c>
      <c r="J39" s="118">
        <f>INDEX([1]ИНФО_СПЕЦТЕХНИКА!$F$4:$F$23,MATCH(I39,[1]ИНФО_СПЕЦТЕХНИКА!$D$4:$D$23,0))</f>
        <v>170</v>
      </c>
      <c r="K39" s="95">
        <v>100</v>
      </c>
      <c r="L39" s="95"/>
      <c r="M39" s="96"/>
      <c r="N39" s="200"/>
      <c r="O39" s="262" t="e">
        <f t="shared" si="7"/>
        <v>#VALUE!</v>
      </c>
      <c r="Q39" s="282" t="e">
        <f t="shared" si="13"/>
        <v>#VALUE!</v>
      </c>
      <c r="R39" s="120" t="e">
        <f t="shared" si="8"/>
        <v>#VALUE!</v>
      </c>
      <c r="S39" s="120" t="e">
        <f t="shared" si="9"/>
        <v>#VALUE!</v>
      </c>
      <c r="T39" s="120" t="e">
        <f t="shared" si="10"/>
        <v>#VALUE!</v>
      </c>
      <c r="U39" s="456" t="e">
        <f t="shared" si="12"/>
        <v>#VALUE!</v>
      </c>
      <c r="V39" s="545" t="e">
        <f t="shared" si="11"/>
        <v>#VALUE!</v>
      </c>
      <c r="W39" s="432"/>
    </row>
    <row r="40" spans="2:25" hidden="1" outlineLevel="1" x14ac:dyDescent="0.3">
      <c r="B40" s="75">
        <v>9</v>
      </c>
      <c r="C40" s="109" t="s">
        <v>376</v>
      </c>
      <c r="D40" s="109" t="str">
        <f>INDEX([1]ИНФО!C:C,MATCH(C40,[1]ИНФО!B:B,0))</f>
        <v>Косік Юрій Анатолійович</v>
      </c>
      <c r="E40" s="110">
        <v>9880</v>
      </c>
      <c r="F40" s="78" t="e">
        <f>SUMIFS([1]Табель!J:J,[1]Табель!E:E,C40,[1]Табель!B:B,"&gt;="&amp;$Y$24,[1]Табель!B:B,"&lt;"&amp;$Y$25,[1]Табель!F:F,'МЕХАНИЗАТОРЫ апрель'!I40)</f>
        <v>#VALUE!</v>
      </c>
      <c r="G40" s="78"/>
      <c r="H40" s="78"/>
      <c r="I40" s="78" t="s">
        <v>444</v>
      </c>
      <c r="J40" s="130">
        <f>INDEX([1]ИНФО_СПЕЦТЕХНИКА!$F$4:$F$23,MATCH(I40,[1]ИНФО_СПЕЦТЕХНИКА!$D$4:$D$23,0))</f>
        <v>170</v>
      </c>
      <c r="K40" s="79">
        <v>100</v>
      </c>
      <c r="L40" s="79" t="e">
        <f>SUMIFS([1]Табель!K:K,[1]Табель!E:E,C40,[1]Табель!B:B,"&gt;="&amp;$Y$24,[1]Табель!B:B,"&lt;"&amp;$Y$25,[1]Табель!F:F,I40)</f>
        <v>#VALUE!</v>
      </c>
      <c r="M40" s="80" t="e">
        <f>SUMIFS([1]Табель!L:L,[1]Табель!E:E,C40,[1]Табель!B:B,"&gt;="&amp;$Y$24,[1]Табель!B:B,"&lt;"&amp;$Y$25,[1]Табель!F:F,I40)</f>
        <v>#VALUE!</v>
      </c>
      <c r="N40" s="198"/>
      <c r="O40" s="260" t="e">
        <f t="shared" si="7"/>
        <v>#VALUE!</v>
      </c>
      <c r="Q40" s="279" t="e">
        <f t="shared" si="13"/>
        <v>#VALUE!</v>
      </c>
      <c r="R40" s="110">
        <f t="shared" si="8"/>
        <v>2173.6</v>
      </c>
      <c r="S40" s="110">
        <f t="shared" si="9"/>
        <v>1926.6000000000001</v>
      </c>
      <c r="T40" s="110">
        <f t="shared" si="10"/>
        <v>7953.4</v>
      </c>
      <c r="U40" s="455">
        <f t="shared" si="12"/>
        <v>-12053.6</v>
      </c>
      <c r="V40" s="545" t="e">
        <f t="shared" si="11"/>
        <v>#VALUE!</v>
      </c>
      <c r="W40" s="432"/>
    </row>
    <row r="41" spans="2:25" hidden="1" outlineLevel="1" x14ac:dyDescent="0.3">
      <c r="B41" s="75">
        <v>10</v>
      </c>
      <c r="C41" s="131" t="s">
        <v>252</v>
      </c>
      <c r="D41" s="109">
        <f>INDEX([1]ИНФО!C:C,MATCH(C41,[1]ИНФО!B:B,0))</f>
        <v>0</v>
      </c>
      <c r="E41" s="77"/>
      <c r="F41" s="87" t="e">
        <f>SUMIFS([1]Табель!J:J,[1]Табель!E:E,C41,[1]Табель!B:B,"&gt;="&amp;$Y$24,[1]Табель!B:B,"&lt;"&amp;$Y$25,[1]Табель!F:F,'МЕХАНИЗАТОРЫ апрель'!I41)</f>
        <v>#VALUE!</v>
      </c>
      <c r="G41" s="78"/>
      <c r="H41" s="78"/>
      <c r="I41" s="78" t="s">
        <v>445</v>
      </c>
      <c r="J41" s="111">
        <f>INDEX([1]ИНФО_СПЕЦТЕХНИКА!$F$4:$F$23,MATCH(I41,[1]ИНФО_СПЕЦТЕХНИКА!$D$4:$D$23,0))</f>
        <v>140</v>
      </c>
      <c r="K41" s="88">
        <v>100</v>
      </c>
      <c r="L41" s="88" t="e">
        <f>SUMIFS([1]Табель!K:K,[1]Табель!E:E,C41,[1]Табель!B:B,"&gt;="&amp;$Y$24,[1]Табель!B:B,"&lt;"&amp;$Y$25,[1]Табель!F:F,I41)</f>
        <v>#VALUE!</v>
      </c>
      <c r="M41" s="89" t="e">
        <f>SUMIFS([1]Табель!L:L,[1]Табель!E:E,C41,[1]Табель!B:B,"&gt;="&amp;$Y$24,[1]Табель!B:B,"&lt;"&amp;$Y$25,[1]Табель!F:F,I41)</f>
        <v>#VALUE!</v>
      </c>
      <c r="N41" s="199"/>
      <c r="O41" s="261" t="e">
        <f t="shared" si="7"/>
        <v>#VALUE!</v>
      </c>
      <c r="Q41" s="283" t="e">
        <f t="shared" si="13"/>
        <v>#VALUE!</v>
      </c>
      <c r="R41" s="110">
        <f t="shared" si="8"/>
        <v>0</v>
      </c>
      <c r="S41" s="110">
        <f t="shared" si="9"/>
        <v>0</v>
      </c>
      <c r="T41" s="110">
        <f t="shared" si="10"/>
        <v>0</v>
      </c>
      <c r="U41" s="455">
        <f t="shared" si="12"/>
        <v>0</v>
      </c>
      <c r="V41" s="545" t="e">
        <f t="shared" si="11"/>
        <v>#VALUE!</v>
      </c>
      <c r="W41" s="432"/>
    </row>
    <row r="42" spans="2:25" hidden="1" outlineLevel="1" x14ac:dyDescent="0.3">
      <c r="B42" s="75">
        <v>11</v>
      </c>
      <c r="C42" s="131" t="s">
        <v>243</v>
      </c>
      <c r="D42" s="109" t="str">
        <f>INDEX([1]ИНФО!C:C,MATCH(C42,[1]ИНФО!B:B,0))</f>
        <v>Мусієнко Ігор Іванович</v>
      </c>
      <c r="E42" s="110">
        <v>9500</v>
      </c>
      <c r="F42" s="87" t="e">
        <f>SUMIFS([1]Табель!J:J,[1]Табель!E:E,C42,[1]Табель!B:B,"&gt;="&amp;$Y$24,[1]Табель!B:B,"&lt;"&amp;$Y$25,[1]Табель!F:F,'МЕХАНИЗАТОРЫ апрель'!I42)</f>
        <v>#VALUE!</v>
      </c>
      <c r="G42" s="78"/>
      <c r="H42" s="78"/>
      <c r="I42" s="78" t="s">
        <v>441</v>
      </c>
      <c r="J42" s="111">
        <f>INDEX([1]ИНФО_СПЕЦТЕХНИКА!$F$4:$F$23,MATCH(I42,[1]ИНФО_СПЕЦТЕХНИКА!$D$4:$D$23,0))</f>
        <v>170</v>
      </c>
      <c r="K42" s="88">
        <v>100</v>
      </c>
      <c r="L42" s="88" t="e">
        <f>SUMIFS([1]Табель!K:K,[1]Табель!E:E,C42,[1]Табель!B:B,"&gt;="&amp;$Y$24,[1]Табель!B:B,"&lt;"&amp;$Y$25,[1]Табель!F:F,I42)</f>
        <v>#VALUE!</v>
      </c>
      <c r="M42" s="89" t="e">
        <f>SUMIFS([1]Табель!L:L,[1]Табель!E:E,C42,[1]Табель!B:B,"&gt;="&amp;$Y$24,[1]Табель!B:B,"&lt;"&amp;$Y$25,[1]Табель!F:F,I42)</f>
        <v>#VALUE!</v>
      </c>
      <c r="N42" s="199"/>
      <c r="O42" s="261" t="e">
        <f t="shared" si="7"/>
        <v>#VALUE!</v>
      </c>
      <c r="Q42" s="283" t="e">
        <f t="shared" si="13"/>
        <v>#VALUE!</v>
      </c>
      <c r="R42" s="110">
        <f t="shared" si="8"/>
        <v>2090</v>
      </c>
      <c r="S42" s="110">
        <f t="shared" si="9"/>
        <v>1852.5</v>
      </c>
      <c r="T42" s="110">
        <f t="shared" si="10"/>
        <v>7647.5</v>
      </c>
      <c r="U42" s="455">
        <f t="shared" si="12"/>
        <v>-11590</v>
      </c>
      <c r="V42" s="545" t="e">
        <f t="shared" si="11"/>
        <v>#VALUE!</v>
      </c>
      <c r="W42" s="432"/>
    </row>
    <row r="43" spans="2:25" hidden="1" outlineLevel="1" x14ac:dyDescent="0.3">
      <c r="B43" s="75">
        <v>12</v>
      </c>
      <c r="C43" s="131" t="s">
        <v>381</v>
      </c>
      <c r="D43" s="109" t="str">
        <f>INDEX([1]ИНФО!C:C,MATCH(C43,[1]ИНФО!B:B,0))</f>
        <v>Самойленко Віктор Миколайович</v>
      </c>
      <c r="E43" s="110">
        <v>9500</v>
      </c>
      <c r="F43" s="87" t="e">
        <f>SUMIFS([1]Табель!J:J,[1]Табель!E:E,C43,[1]Табель!B:B,"&gt;="&amp;$Y$24,[1]Табель!B:B,"&lt;"&amp;$Y$25,[1]Табель!F:F,'МЕХАНИЗАТОРЫ апрель'!I43)</f>
        <v>#VALUE!</v>
      </c>
      <c r="G43" s="78"/>
      <c r="H43" s="78"/>
      <c r="I43" s="78" t="s">
        <v>75</v>
      </c>
      <c r="J43" s="111">
        <f>INDEX([1]ИНФО_СПЕЦТЕХНИКА!$F$4:$F$23,MATCH(I43,[1]ИНФО_СПЕЦТЕХНИКА!$D$4:$D$23,0))</f>
        <v>140</v>
      </c>
      <c r="K43" s="88">
        <v>100</v>
      </c>
      <c r="L43" s="88" t="e">
        <f>SUMIFS([1]Табель!K:K,[1]Табель!E:E,C43,[1]Табель!B:B,"&gt;="&amp;$Y$24,[1]Табель!B:B,"&lt;"&amp;$Y$25,[1]Табель!F:F,I43)</f>
        <v>#VALUE!</v>
      </c>
      <c r="M43" s="89" t="e">
        <f>SUMIFS([1]Табель!L:L,[1]Табель!E:E,C43,[1]Табель!B:B,"&gt;="&amp;$Y$24,[1]Табель!B:B,"&lt;"&amp;$Y$25,[1]Табель!F:F,I43)</f>
        <v>#VALUE!</v>
      </c>
      <c r="N43" s="199"/>
      <c r="O43" s="261" t="e">
        <f t="shared" si="7"/>
        <v>#VALUE!</v>
      </c>
      <c r="Q43" s="283" t="e">
        <f t="shared" si="13"/>
        <v>#VALUE!</v>
      </c>
      <c r="R43" s="110">
        <f t="shared" si="8"/>
        <v>2090</v>
      </c>
      <c r="S43" s="110">
        <f t="shared" si="9"/>
        <v>1852.5</v>
      </c>
      <c r="T43" s="110">
        <f t="shared" si="10"/>
        <v>7647.5</v>
      </c>
      <c r="U43" s="455">
        <f t="shared" si="12"/>
        <v>-11590</v>
      </c>
      <c r="V43" s="545" t="e">
        <f t="shared" si="11"/>
        <v>#VALUE!</v>
      </c>
      <c r="W43" s="432"/>
    </row>
    <row r="44" spans="2:25" ht="15" hidden="1" outlineLevel="1" thickBot="1" x14ac:dyDescent="0.35">
      <c r="B44" s="113">
        <v>13</v>
      </c>
      <c r="C44" s="114" t="s">
        <v>254</v>
      </c>
      <c r="D44" s="115" t="str">
        <f>INDEX([1]ИНФО!C:C,MATCH(C44,[1]ИНФО!B:B,0))</f>
        <v>Скоц Сергій Іванович</v>
      </c>
      <c r="E44" s="120">
        <v>9880</v>
      </c>
      <c r="F44" s="94" t="e">
        <f>SUMIFS([1]Табель!J:J,[1]Табель!E:E,C44,[1]Табель!B:B,"&gt;="&amp;$Y$24,[1]Табель!B:B,"&lt;"&amp;$Y$25,[1]Табель!F:F,'МЕХАНИЗАТОРЫ апрель'!I44)</f>
        <v>#VALUE!</v>
      </c>
      <c r="G44" s="117"/>
      <c r="H44" s="117"/>
      <c r="I44" s="117" t="s">
        <v>59</v>
      </c>
      <c r="J44" s="118">
        <f>INDEX([1]ИНФО_СПЕЦТЕХНИКА!$F$4:$F$23,MATCH(I44,[1]ИНФО_СПЕЦТЕХНИКА!$D$4:$D$23,0))</f>
        <v>170</v>
      </c>
      <c r="K44" s="95">
        <v>100</v>
      </c>
      <c r="L44" s="95" t="e">
        <f>SUMIFS([1]Табель!K:K,[1]Табель!E:E,C44,[1]Табель!B:B,"&gt;="&amp;$Y$24,[1]Табель!B:B,"&lt;"&amp;$Y$25,[1]Табель!F:F,I44)</f>
        <v>#VALUE!</v>
      </c>
      <c r="M44" s="96" t="e">
        <f>SUMIFS([1]Табель!L:L,[1]Табель!E:E,C44,[1]Табель!B:B,"&gt;="&amp;$Y$24,[1]Табель!B:B,"&lt;"&amp;$Y$25,[1]Табель!F:F,I44)</f>
        <v>#VALUE!</v>
      </c>
      <c r="N44" s="200"/>
      <c r="O44" s="262" t="e">
        <f t="shared" si="7"/>
        <v>#VALUE!</v>
      </c>
      <c r="Q44" s="282" t="e">
        <f t="shared" si="13"/>
        <v>#VALUE!</v>
      </c>
      <c r="R44" s="120">
        <f t="shared" si="8"/>
        <v>2173.6</v>
      </c>
      <c r="S44" s="120">
        <f t="shared" si="9"/>
        <v>1926.6000000000001</v>
      </c>
      <c r="T44" s="120">
        <f t="shared" si="10"/>
        <v>7953.4</v>
      </c>
      <c r="U44" s="456">
        <f t="shared" si="12"/>
        <v>-12053.6</v>
      </c>
      <c r="V44" s="545" t="e">
        <f t="shared" si="11"/>
        <v>#VALUE!</v>
      </c>
      <c r="W44" s="432"/>
    </row>
    <row r="45" spans="2:25" hidden="1" outlineLevel="1" x14ac:dyDescent="0.3">
      <c r="B45" s="595">
        <v>14</v>
      </c>
      <c r="C45" s="122" t="s">
        <v>378</v>
      </c>
      <c r="D45" s="122" t="str">
        <f>INDEX([1]ИНФО!C:C,MATCH(C45,[1]ИНФО!B:B,0))</f>
        <v>Трохименко Віталій Якович</v>
      </c>
      <c r="E45" s="127" t="e">
        <f>(4750+4700)*Q45/(Q45+Q46)</f>
        <v>#VALUE!</v>
      </c>
      <c r="F45" s="123" t="e">
        <f>SUMIFS([1]Табель!J:J,[1]Табель!E:E,C45,[1]Табель!B:B,"&gt;="&amp;$Y$24,[1]Табель!B:B,"&lt;"&amp;$Y$25,[1]Табель!F:F,'МЕХАНИЗАТОРЫ апрель'!I45)</f>
        <v>#VALUE!</v>
      </c>
      <c r="G45" s="123"/>
      <c r="H45" s="123"/>
      <c r="I45" s="123" t="s">
        <v>441</v>
      </c>
      <c r="J45" s="124">
        <f>INDEX([1]ИНФО_СПЕЦТЕХНИКА!$F$4:$F$23,MATCH(I45,[1]ИНФО_СПЕЦТЕХНИКА!$D$4:$D$23,0))</f>
        <v>170</v>
      </c>
      <c r="K45" s="125">
        <v>100</v>
      </c>
      <c r="L45" s="125" t="e">
        <f>SUMIFS([1]Табель!K:K,[1]Табель!E:E,C45,[1]Табель!B:B,"&gt;="&amp;$Y$24,[1]Табель!B:B,"&lt;"&amp;$Y$25,[1]Табель!F:F,I45)</f>
        <v>#VALUE!</v>
      </c>
      <c r="M45" s="126" t="e">
        <f>SUMIFS([1]Табель!L:L,[1]Табель!E:E,C45,[1]Табель!B:B,"&gt;="&amp;$Y$24,[1]Табель!B:B,"&lt;"&amp;$Y$25,[1]Табель!F:F,I45)</f>
        <v>#VALUE!</v>
      </c>
      <c r="N45" s="202"/>
      <c r="O45" s="264" t="e">
        <f t="shared" si="7"/>
        <v>#VALUE!</v>
      </c>
      <c r="Q45" s="281" t="e">
        <f t="shared" si="13"/>
        <v>#VALUE!</v>
      </c>
      <c r="R45" s="127" t="e">
        <f t="shared" si="8"/>
        <v>#VALUE!</v>
      </c>
      <c r="S45" s="127" t="e">
        <f t="shared" si="9"/>
        <v>#VALUE!</v>
      </c>
      <c r="T45" s="127" t="e">
        <f t="shared" si="10"/>
        <v>#VALUE!</v>
      </c>
      <c r="U45" s="457" t="e">
        <f t="shared" si="12"/>
        <v>#VALUE!</v>
      </c>
      <c r="V45" s="545" t="e">
        <f t="shared" si="11"/>
        <v>#VALUE!</v>
      </c>
      <c r="W45" s="432"/>
      <c r="Y45" s="132"/>
    </row>
    <row r="46" spans="2:25" ht="15" hidden="1" outlineLevel="1" thickBot="1" x14ac:dyDescent="0.35">
      <c r="B46" s="596"/>
      <c r="C46" s="114" t="s">
        <v>378</v>
      </c>
      <c r="D46" s="115" t="str">
        <f>INDEX([1]ИНФО!C:C,MATCH(C46,[1]ИНФО!B:B,0))</f>
        <v>Трохименко Віталій Якович</v>
      </c>
      <c r="E46" s="129" t="e">
        <f>(4750+4700)*Q46/(Q45+Q46)</f>
        <v>#VALUE!</v>
      </c>
      <c r="F46" s="94" t="e">
        <f>SUMIFS([1]Табель!J:J,[1]Табель!E:E,C46,[1]Табель!B:B,"&gt;="&amp;$Y$24,[1]Табель!B:B,"&lt;"&amp;$Y$25,[1]Табель!F:F,'МЕХАНИЗАТОРЫ апрель'!I46)</f>
        <v>#VALUE!</v>
      </c>
      <c r="G46" s="117"/>
      <c r="H46" s="117"/>
      <c r="I46" s="117" t="s">
        <v>475</v>
      </c>
      <c r="J46" s="118">
        <f>INDEX([1]ИНФО_СПЕЦТЕХНИКА!$F$4:$F$23,MATCH(I46,[1]ИНФО_СПЕЦТЕХНИКА!$D$4:$D$23,0))</f>
        <v>170</v>
      </c>
      <c r="K46" s="95">
        <v>100</v>
      </c>
      <c r="L46" s="95" t="e">
        <f>SUMIFS([1]Табель!K:K,[1]Табель!E:E,C46,[1]Табель!B:B,"&gt;="&amp;$Y$24,[1]Табель!B:B,"&lt;"&amp;$Y$25,[1]Табель!F:F,I46)</f>
        <v>#VALUE!</v>
      </c>
      <c r="M46" s="96" t="e">
        <f>SUMIFS([1]Табель!L:L,[1]Табель!E:E,C46,[1]Табель!B:B,"&gt;="&amp;$Y$24,[1]Табель!B:B,"&lt;"&amp;$Y$25,[1]Табель!F:F,I46)</f>
        <v>#VALUE!</v>
      </c>
      <c r="N46" s="200"/>
      <c r="O46" s="262" t="e">
        <f t="shared" si="7"/>
        <v>#VALUE!</v>
      </c>
      <c r="Q46" s="282" t="e">
        <f t="shared" si="13"/>
        <v>#VALUE!</v>
      </c>
      <c r="R46" s="120" t="e">
        <f t="shared" si="8"/>
        <v>#VALUE!</v>
      </c>
      <c r="S46" s="120" t="e">
        <f t="shared" si="9"/>
        <v>#VALUE!</v>
      </c>
      <c r="T46" s="120" t="e">
        <f t="shared" si="10"/>
        <v>#VALUE!</v>
      </c>
      <c r="U46" s="459" t="e">
        <f t="shared" si="12"/>
        <v>#VALUE!</v>
      </c>
      <c r="V46" s="545" t="e">
        <f t="shared" si="11"/>
        <v>#VALUE!</v>
      </c>
      <c r="W46" s="432"/>
    </row>
    <row r="47" spans="2:25" ht="15" hidden="1" outlineLevel="1" thickBot="1" x14ac:dyDescent="0.35">
      <c r="B47" s="75">
        <v>15</v>
      </c>
      <c r="C47" s="109" t="s">
        <v>379</v>
      </c>
      <c r="D47" s="115" t="str">
        <f>INDEX([1]ИНФО!C:C,MATCH(C47,[1]ИНФО!B:B,0))</f>
        <v>Шамоян Агмад Даватевич</v>
      </c>
      <c r="E47" s="129">
        <v>9500</v>
      </c>
      <c r="F47" s="78" t="e">
        <f>SUMIFS([1]Табель!J:J,[1]Табель!E:E,C47,[1]Табель!B:B,"&gt;="&amp;$Y$24,[1]Табель!B:B,"&lt;"&amp;$Y$25,[1]Табель!F:F,'МЕХАНИЗАТОРЫ апрель'!I47)</f>
        <v>#VALUE!</v>
      </c>
      <c r="G47" s="78"/>
      <c r="H47" s="78"/>
      <c r="I47" s="78" t="s">
        <v>86</v>
      </c>
      <c r="J47" s="130">
        <f>INDEX([1]ИНФО_СПЕЦТЕХНИКА!$F$4:$F$23,MATCH(I47,[1]ИНФО_СПЕЦТЕХНИКА!$D$4:$D$23,0))</f>
        <v>140</v>
      </c>
      <c r="K47" s="79">
        <v>100</v>
      </c>
      <c r="L47" s="79" t="e">
        <f>SUMIFS([1]Табель!K:K,[1]Табель!E:E,C47,[1]Табель!B:B,"&gt;="&amp;$Y$24,[1]Табель!B:B,"&lt;"&amp;$Y$25,[1]Табель!F:F,I47)</f>
        <v>#VALUE!</v>
      </c>
      <c r="M47" s="80" t="e">
        <f>SUMIFS([1]Табель!L:L,[1]Табель!E:E,C47,[1]Табель!B:B,"&gt;="&amp;$Y$24,[1]Табель!B:B,"&lt;"&amp;$Y$25,[1]Табель!F:F,I47)</f>
        <v>#VALUE!</v>
      </c>
      <c r="N47" s="198"/>
      <c r="O47" s="260" t="e">
        <f t="shared" si="7"/>
        <v>#VALUE!</v>
      </c>
      <c r="Q47" s="280" t="e">
        <f t="shared" si="13"/>
        <v>#VALUE!</v>
      </c>
      <c r="R47" s="120">
        <f t="shared" si="8"/>
        <v>2090</v>
      </c>
      <c r="S47" s="120">
        <f t="shared" si="9"/>
        <v>1852.5</v>
      </c>
      <c r="T47" s="120">
        <f t="shared" si="10"/>
        <v>7647.5</v>
      </c>
      <c r="U47" s="456">
        <f t="shared" si="12"/>
        <v>-11590</v>
      </c>
      <c r="V47" s="545" t="e">
        <f t="shared" si="11"/>
        <v>#VALUE!</v>
      </c>
      <c r="W47" s="432"/>
    </row>
    <row r="48" spans="2:25" s="107" customFormat="1" ht="27.6" hidden="1" customHeight="1" outlineLevel="1" thickBot="1" x14ac:dyDescent="0.35">
      <c r="B48" s="99"/>
      <c r="C48" s="100" t="s">
        <v>468</v>
      </c>
      <c r="D48" s="101"/>
      <c r="E48" s="102" t="e">
        <f>SUM(E30:E47)</f>
        <v>#VALUE!</v>
      </c>
      <c r="F48" s="103" t="e">
        <f>SUM(F30:F47)</f>
        <v>#VALUE!</v>
      </c>
      <c r="G48" s="103"/>
      <c r="H48" s="103"/>
      <c r="I48" s="103"/>
      <c r="J48" s="104"/>
      <c r="K48" s="104"/>
      <c r="L48" s="105" t="e">
        <f>SUM(L30:L47)</f>
        <v>#VALUE!</v>
      </c>
      <c r="M48" s="106" t="e">
        <f>SUM(M30:M47)</f>
        <v>#VALUE!</v>
      </c>
      <c r="N48" s="201"/>
      <c r="O48" s="263" t="e">
        <f>SUM(O30:O47)</f>
        <v>#VALUE!</v>
      </c>
      <c r="P48" s="225"/>
      <c r="Q48" s="278" t="e">
        <f t="shared" ref="Q48:V48" si="14">SUM(Q30:Q47)</f>
        <v>#VALUE!</v>
      </c>
      <c r="R48" s="102" t="e">
        <f t="shared" si="14"/>
        <v>#VALUE!</v>
      </c>
      <c r="S48" s="102" t="e">
        <f t="shared" si="14"/>
        <v>#VALUE!</v>
      </c>
      <c r="T48" s="102" t="e">
        <f t="shared" si="14"/>
        <v>#VALUE!</v>
      </c>
      <c r="U48" s="220" t="e">
        <f t="shared" si="14"/>
        <v>#VALUE!</v>
      </c>
      <c r="V48" s="544" t="e">
        <f t="shared" si="14"/>
        <v>#VALUE!</v>
      </c>
      <c r="W48" s="431"/>
    </row>
    <row r="49" spans="2:25" hidden="1" outlineLevel="1" x14ac:dyDescent="0.3"/>
    <row r="50" spans="2:25" hidden="1" outlineLevel="1" x14ac:dyDescent="0.3">
      <c r="Y50" s="428">
        <v>45231</v>
      </c>
    </row>
    <row r="51" spans="2:25" hidden="1" outlineLevel="1" x14ac:dyDescent="0.3">
      <c r="P51" s="288"/>
      <c r="Y51" s="428">
        <v>45261</v>
      </c>
    </row>
    <row r="52" spans="2:25" hidden="1" outlineLevel="1" collapsed="1" x14ac:dyDescent="0.3">
      <c r="P52" s="288"/>
    </row>
    <row r="53" spans="2:25" ht="18.600000000000001" hidden="1" customHeight="1" outlineLevel="1" collapsed="1" x14ac:dyDescent="0.35">
      <c r="B53" s="591" t="str">
        <f>"ЧАСЫ ["&amp;CHAR(10)&amp;TEXT(Y50,"[$-419]ММММ ГГГГ")&amp;"]"</f>
        <v>ЧАСЫ [
Ноябрь 2023]</v>
      </c>
      <c r="C53" s="591"/>
      <c r="D53" s="591"/>
      <c r="E53" s="591"/>
      <c r="F53" s="591"/>
      <c r="G53" s="591"/>
      <c r="H53" s="591"/>
      <c r="I53" s="591"/>
      <c r="J53" s="591"/>
      <c r="K53" s="591"/>
      <c r="L53" s="591"/>
      <c r="M53" s="591"/>
      <c r="N53" s="591"/>
      <c r="O53" s="591"/>
      <c r="P53" s="591"/>
      <c r="Q53" s="591"/>
      <c r="R53" s="591"/>
      <c r="S53" s="591"/>
      <c r="T53" s="591"/>
      <c r="U53" s="591"/>
      <c r="V53" s="591"/>
      <c r="W53" s="316"/>
    </row>
    <row r="54" spans="2:25" s="107" customFormat="1" ht="23.4" hidden="1" customHeight="1" outlineLevel="1" x14ac:dyDescent="0.3">
      <c r="B54" s="133"/>
      <c r="C54" s="133"/>
      <c r="D54" s="133"/>
      <c r="E54" s="133"/>
      <c r="F54" s="134" t="e">
        <f>SUBTOTAL(9,F57:F76)</f>
        <v>#VALUE!</v>
      </c>
      <c r="G54" s="187"/>
      <c r="H54" s="187"/>
      <c r="I54" s="133"/>
      <c r="J54" s="133"/>
      <c r="K54" s="133"/>
      <c r="L54" s="135" t="e">
        <f>SUBTOTAL(9,L57:L76)</f>
        <v>#VALUE!</v>
      </c>
      <c r="M54" s="135" t="e">
        <f>SUBTOTAL(9,M57:M76)</f>
        <v>#VALUE!</v>
      </c>
      <c r="N54" s="135"/>
      <c r="O54" s="265" t="e">
        <f>SUBTOTAL(9,O57:O76)</f>
        <v>#VALUE!</v>
      </c>
      <c r="P54" s="290"/>
      <c r="Q54" s="133"/>
      <c r="R54" s="133"/>
      <c r="S54" s="133"/>
      <c r="T54" s="133"/>
      <c r="U54" s="133"/>
      <c r="V54" s="546"/>
      <c r="W54" s="133"/>
    </row>
    <row r="55" spans="2:25" ht="3.75" hidden="1" customHeight="1" outlineLevel="1" x14ac:dyDescent="0.3">
      <c r="B55" s="68"/>
      <c r="C55" s="68"/>
      <c r="D55" s="68"/>
      <c r="E55" s="68"/>
      <c r="F55" s="69"/>
      <c r="G55" s="69"/>
      <c r="H55" s="69"/>
      <c r="I55" s="69"/>
      <c r="J55" s="68"/>
      <c r="K55" s="68"/>
      <c r="L55" s="68"/>
      <c r="M55" s="68"/>
      <c r="N55" s="68"/>
      <c r="O55" s="68"/>
      <c r="P55" s="288"/>
    </row>
    <row r="56" spans="2:25" s="73" customFormat="1" ht="58.2" hidden="1" outlineLevel="1" thickBot="1" x14ac:dyDescent="0.35">
      <c r="B56" s="70" t="s">
        <v>452</v>
      </c>
      <c r="C56" s="70" t="s">
        <v>448</v>
      </c>
      <c r="D56" s="70" t="s">
        <v>469</v>
      </c>
      <c r="E56" s="70" t="s">
        <v>476</v>
      </c>
      <c r="F56" s="71" t="s">
        <v>454</v>
      </c>
      <c r="G56" s="71"/>
      <c r="H56" s="71"/>
      <c r="I56" s="70" t="s">
        <v>471</v>
      </c>
      <c r="J56" s="70" t="s">
        <v>456</v>
      </c>
      <c r="K56" s="70" t="s">
        <v>457</v>
      </c>
      <c r="L56" s="70" t="s">
        <v>235</v>
      </c>
      <c r="M56" s="72" t="s">
        <v>458</v>
      </c>
      <c r="N56" s="197"/>
      <c r="O56" s="259" t="s">
        <v>459</v>
      </c>
      <c r="P56" s="289"/>
      <c r="Q56" s="272" t="s">
        <v>460</v>
      </c>
      <c r="R56" s="74" t="s">
        <v>461</v>
      </c>
      <c r="S56" s="74" t="s">
        <v>462</v>
      </c>
      <c r="T56" s="74" t="s">
        <v>463</v>
      </c>
      <c r="U56" s="454" t="s">
        <v>472</v>
      </c>
      <c r="V56" s="541" t="s">
        <v>464</v>
      </c>
    </row>
    <row r="57" spans="2:25" hidden="1" outlineLevel="1" x14ac:dyDescent="0.3">
      <c r="B57" s="75">
        <v>1</v>
      </c>
      <c r="C57" s="131" t="s">
        <v>246</v>
      </c>
      <c r="D57" s="109" t="str">
        <f>INDEX([1]ИНФО!C:C,MATCH(C57,[1]ИНФО!B:B,0))</f>
        <v>Болох Володимир Васильович</v>
      </c>
      <c r="E57" s="136">
        <v>9500</v>
      </c>
      <c r="F57" s="87" t="e">
        <f>SUMIFS([1]Табель!J:J,[1]Табель!E:E,C57,[1]Табель!B:B,"&gt;="&amp;$Y$50,[1]Табель!B:B,"&lt;"&amp;$Y$51,[1]Табель!F:F,'МЕХАНИЗАТОРЫ апрель'!I57)</f>
        <v>#VALUE!</v>
      </c>
      <c r="G57" s="78"/>
      <c r="H57" s="78"/>
      <c r="I57" s="78" t="s">
        <v>69</v>
      </c>
      <c r="J57" s="111">
        <f>INDEX([1]ИНФО_СПЕЦТЕХНИКА!$F$4:$F$23,MATCH(I57,[1]ИНФО_СПЕЦТЕХНИКА!$D$4:$D$23,0))</f>
        <v>180</v>
      </c>
      <c r="K57" s="88">
        <v>100</v>
      </c>
      <c r="L57" s="88" t="e">
        <f>SUMIFS([1]Табель!K:K,[1]Табель!E:E,C57,[1]Табель!B:B,"&gt;="&amp;$Y$50,[1]Табель!B:B,"&lt;"&amp;$Y$51,[1]Табель!F:F,I57)</f>
        <v>#VALUE!</v>
      </c>
      <c r="M57" s="89" t="e">
        <f>SUMIFS([1]Табель!L:L,[1]Табель!E:E,C57,[1]Табель!B:B,"&gt;="&amp;$Y$50,[1]Табель!B:B,"&lt;"&amp;$Y$51,[1]Табель!F:F,I57)</f>
        <v>#VALUE!</v>
      </c>
      <c r="N57" s="199"/>
      <c r="O57" s="261" t="e">
        <f t="shared" ref="O57:O76" si="15">F57-L57-M57</f>
        <v>#VALUE!</v>
      </c>
      <c r="Q57" s="283" t="e">
        <f>O57*J57+(L57+M57)*K57</f>
        <v>#VALUE!</v>
      </c>
      <c r="R57" s="110">
        <f t="shared" ref="R57:R76" si="16">ROUND(E57*0.22,2)</f>
        <v>2090</v>
      </c>
      <c r="S57" s="110">
        <f t="shared" ref="S57:S76" si="17">E57*0.195</f>
        <v>1852.5</v>
      </c>
      <c r="T57" s="110">
        <f t="shared" ref="T57:T76" si="18">E57-S57</f>
        <v>7647.5</v>
      </c>
      <c r="U57" s="455">
        <f>-ROUND((R57+E57),2)</f>
        <v>-11590</v>
      </c>
      <c r="V57" s="545" t="e">
        <f t="shared" ref="V57:V76" si="19">Q57-T57</f>
        <v>#VALUE!</v>
      </c>
      <c r="W57" s="432"/>
    </row>
    <row r="58" spans="2:25" ht="15" hidden="1" outlineLevel="1" thickBot="1" x14ac:dyDescent="0.35">
      <c r="B58" s="113">
        <v>2</v>
      </c>
      <c r="C58" s="114" t="s">
        <v>465</v>
      </c>
      <c r="D58" s="115">
        <f>INDEX([1]ИНФО!C:C,MATCH(C58,[1]ИНФО!B:B,0))</f>
        <v>0</v>
      </c>
      <c r="E58" s="137"/>
      <c r="F58" s="94" t="e">
        <f>SUMIFS([1]Табель!J:J,[1]Табель!E:E,C58,[1]Табель!B:B,"&gt;="&amp;$Y$50,[1]Табель!B:B,"&lt;"&amp;$Y$51,[1]Табель!F:F,'МЕХАНИЗАТОРЫ апрель'!I58)</f>
        <v>#VALUE!</v>
      </c>
      <c r="G58" s="117"/>
      <c r="H58" s="117"/>
      <c r="I58" s="117" t="s">
        <v>447</v>
      </c>
      <c r="J58" s="118">
        <f>INDEX([1]ИНФО_СПЕЦТЕХНИКА!$F$4:$F$23,MATCH(I58,[1]ИНФО_СПЕЦТЕХНИКА!$D$4:$D$23,0))</f>
        <v>170</v>
      </c>
      <c r="K58" s="119">
        <v>100</v>
      </c>
      <c r="L58" s="95" t="e">
        <f>SUMIFS([1]Табель!K:K,[1]Табель!E:E,C58,[1]Табель!B:B,"&gt;="&amp;$Y$50,[1]Табель!B:B,"&lt;"&amp;$Y$51,[1]Табель!F:F,I58)</f>
        <v>#VALUE!</v>
      </c>
      <c r="M58" s="96" t="e">
        <f>SUMIFS([1]Табель!L:L,[1]Табель!E:E,C58,[1]Табель!B:B,"&gt;="&amp;$Y$50,[1]Табель!B:B,"&lt;"&amp;$Y$51,[1]Табель!F:F,I58)</f>
        <v>#VALUE!</v>
      </c>
      <c r="N58" s="200"/>
      <c r="O58" s="262" t="e">
        <f t="shared" si="15"/>
        <v>#VALUE!</v>
      </c>
      <c r="Q58" s="280" t="e">
        <f>O58*J58+(L58+M58)*K58</f>
        <v>#VALUE!</v>
      </c>
      <c r="R58" s="120">
        <f t="shared" si="16"/>
        <v>0</v>
      </c>
      <c r="S58" s="120">
        <f t="shared" si="17"/>
        <v>0</v>
      </c>
      <c r="T58" s="120">
        <f t="shared" si="18"/>
        <v>0</v>
      </c>
      <c r="U58" s="459">
        <f t="shared" ref="U58:U76" si="20">-ROUND((R58+E58),2)</f>
        <v>0</v>
      </c>
      <c r="V58" s="545" t="e">
        <f t="shared" si="19"/>
        <v>#VALUE!</v>
      </c>
      <c r="W58" s="432"/>
    </row>
    <row r="59" spans="2:25" hidden="1" outlineLevel="1" x14ac:dyDescent="0.3">
      <c r="B59" s="595">
        <v>3</v>
      </c>
      <c r="C59" s="122" t="s">
        <v>249</v>
      </c>
      <c r="D59" s="122" t="str">
        <f>INDEX([1]ИНФО!C:C,MATCH(C59,[1]ИНФО!B:B,0))</f>
        <v>Борисенко Олексій Миколайович</v>
      </c>
      <c r="E59" s="597">
        <v>9500</v>
      </c>
      <c r="F59" s="123" t="e">
        <f>SUMIFS([1]Табель!J:J,[1]Табель!E:E,C59,[1]Табель!B:B,"&gt;="&amp;$Y$50,[1]Табель!B:B,"&lt;"&amp;$Y$51,[1]Табель!F:F,'МЕХАНИЗАТОРЫ апрель'!I59)</f>
        <v>#VALUE!</v>
      </c>
      <c r="G59" s="123"/>
      <c r="H59" s="123"/>
      <c r="I59" s="123" t="s">
        <v>0</v>
      </c>
      <c r="J59" s="124">
        <f>INDEX([1]ИНФО_СПЕЦТЕХНИКА!$F$4:$F$23,MATCH(I59,[1]ИНФО_СПЕЦТЕХНИКА!$D$4:$D$23,0))</f>
        <v>170</v>
      </c>
      <c r="K59" s="125">
        <v>100</v>
      </c>
      <c r="L59" s="125" t="e">
        <f>SUMIFS([1]Табель!K:K,[1]Табель!E:E,C59,[1]Табель!B:B,"&gt;="&amp;$Y$50,[1]Табель!B:B,"&lt;"&amp;$Y$51,[1]Табель!F:F,I59)</f>
        <v>#VALUE!</v>
      </c>
      <c r="M59" s="126" t="e">
        <f>SUMIFS([1]Табель!L:L,[1]Табель!E:E,C59,[1]Табель!B:B,"&gt;="&amp;$Y$50,[1]Табель!B:B,"&lt;"&amp;$Y$51,[1]Табель!F:F,I59)</f>
        <v>#VALUE!</v>
      </c>
      <c r="N59" s="202"/>
      <c r="O59" s="264" t="e">
        <f t="shared" si="15"/>
        <v>#VALUE!</v>
      </c>
      <c r="Q59" s="281" t="e">
        <f t="shared" ref="Q59:Q76" si="21">O59*J59+(L59+M59)*K59</f>
        <v>#VALUE!</v>
      </c>
      <c r="R59" s="127" t="e">
        <f>ROUND(E59*(Q59/(SUM(Q59:Q60)))*0.22,2)</f>
        <v>#VALUE!</v>
      </c>
      <c r="S59" s="127" t="e">
        <f>ROUND(E59*(Q59/(SUM(Q59:Q60)))*0.195,2)</f>
        <v>#VALUE!</v>
      </c>
      <c r="T59" s="127" t="e">
        <f>E59*Q59/(Q59+Q60)-S59</f>
        <v>#VALUE!</v>
      </c>
      <c r="U59" s="457" t="e">
        <f>-ROUND((R59+E59*Q59/(Q59+Q60)),2)</f>
        <v>#VALUE!</v>
      </c>
      <c r="V59" s="545" t="e">
        <f t="shared" si="19"/>
        <v>#VALUE!</v>
      </c>
      <c r="W59" s="432"/>
    </row>
    <row r="60" spans="2:25" ht="15" hidden="1" outlineLevel="1" thickBot="1" x14ac:dyDescent="0.35">
      <c r="B60" s="596"/>
      <c r="C60" s="114" t="s">
        <v>249</v>
      </c>
      <c r="D60" s="115" t="str">
        <f>INDEX([1]ИНФО!C:C,MATCH(C60,[1]ИНФО!B:B,0))</f>
        <v>Борисенко Олексій Миколайович</v>
      </c>
      <c r="E60" s="598"/>
      <c r="F60" s="94" t="e">
        <f>SUMIFS([1]Табель!J:J,[1]Табель!E:E,C60,[1]Табель!B:B,"&gt;="&amp;$Y$50,[1]Табель!B:B,"&lt;"&amp;$Y$51,[1]Табель!F:F,'МЕХАНИЗАТОРЫ апрель'!I60)</f>
        <v>#VALUE!</v>
      </c>
      <c r="G60" s="117"/>
      <c r="H60" s="117"/>
      <c r="I60" s="117" t="s">
        <v>473</v>
      </c>
      <c r="J60" s="118">
        <f>INDEX([1]ИНФО_СПЕЦТЕХНИКА!$F$4:$F$23,MATCH(I60,[1]ИНФО_СПЕЦТЕХНИКА!$D$4:$D$23,0))</f>
        <v>180</v>
      </c>
      <c r="K60" s="95">
        <v>100</v>
      </c>
      <c r="L60" s="95" t="e">
        <f>SUMIFS([1]Табель!K:K,[1]Табель!E:E,C60,[1]Табель!B:B,"&gt;="&amp;$Y$50,[1]Табель!B:B,"&lt;"&amp;$Y$51,[1]Табель!F:F,I60)</f>
        <v>#VALUE!</v>
      </c>
      <c r="M60" s="96" t="e">
        <f>SUMIFS([1]Табель!L:L,[1]Табель!E:E,C60,[1]Табель!B:B,"&gt;="&amp;$Y$50,[1]Табель!B:B,"&lt;"&amp;$Y$51,[1]Табель!F:F,I60)</f>
        <v>#VALUE!</v>
      </c>
      <c r="N60" s="200"/>
      <c r="O60" s="262" t="e">
        <f t="shared" si="15"/>
        <v>#VALUE!</v>
      </c>
      <c r="Q60" s="282" t="e">
        <f t="shared" si="21"/>
        <v>#VALUE!</v>
      </c>
      <c r="R60" s="120" t="e">
        <f>ROUND(E59*(Q60/(SUM(Q59:Q60)))*0.22,2)</f>
        <v>#VALUE!</v>
      </c>
      <c r="S60" s="120" t="e">
        <f>ROUND(E59*(Q60/(SUM(Q59:Q60)))*0.195,2)</f>
        <v>#VALUE!</v>
      </c>
      <c r="T60" s="120" t="e">
        <f>E59*Q60/(Q59+Q60)-S60</f>
        <v>#VALUE!</v>
      </c>
      <c r="U60" s="456" t="e">
        <f>-ROUND((R60+E59*Q60/(Q59+Q60)),2)</f>
        <v>#VALUE!</v>
      </c>
      <c r="V60" s="545" t="e">
        <f t="shared" si="19"/>
        <v>#VALUE!</v>
      </c>
      <c r="W60" s="432"/>
    </row>
    <row r="61" spans="2:25" hidden="1" outlineLevel="1" x14ac:dyDescent="0.3">
      <c r="B61" s="75">
        <v>4</v>
      </c>
      <c r="C61" s="109" t="s">
        <v>250</v>
      </c>
      <c r="D61" s="109" t="str">
        <f>INDEX([1]ИНФО!C:C,MATCH(C61,[1]ИНФО!B:B,0))</f>
        <v>Божков Валерій Вікторович</v>
      </c>
      <c r="E61" s="112"/>
      <c r="F61" s="78" t="e">
        <f>SUMIFS([1]Табель!J:J,[1]Табель!E:E,C61,[1]Табель!B:B,"&gt;="&amp;$Y$50,[1]Табель!B:B,"&lt;"&amp;$Y$51,[1]Табель!F:F,'МЕХАНИЗАТОРЫ апрель'!I61)</f>
        <v>#VALUE!</v>
      </c>
      <c r="G61" s="78"/>
      <c r="H61" s="78"/>
      <c r="I61" s="78" t="s">
        <v>75</v>
      </c>
      <c r="J61" s="130">
        <f>INDEX([1]ИНФО_СПЕЦТЕХНИКА!$F$4:$F$23,MATCH(I61,[1]ИНФО_СПЕЦТЕХНИКА!$D$4:$D$23,0))</f>
        <v>140</v>
      </c>
      <c r="K61" s="79">
        <v>100</v>
      </c>
      <c r="L61" s="79" t="e">
        <f>SUMIFS([1]Табель!K:K,[1]Табель!E:E,C61,[1]Табель!B:B,"&gt;="&amp;$Y$50,[1]Табель!B:B,"&lt;"&amp;$Y$51,[1]Табель!F:F,I61)</f>
        <v>#VALUE!</v>
      </c>
      <c r="M61" s="80" t="e">
        <f>SUMIFS([1]Табель!L:L,[1]Табель!E:E,C61,[1]Табель!B:B,"&gt;="&amp;$Y$50,[1]Табель!B:B,"&lt;"&amp;$Y$51,[1]Табель!F:F,I61)</f>
        <v>#VALUE!</v>
      </c>
      <c r="N61" s="198"/>
      <c r="O61" s="260" t="e">
        <f t="shared" si="15"/>
        <v>#VALUE!</v>
      </c>
      <c r="Q61" s="279" t="e">
        <f t="shared" si="21"/>
        <v>#VALUE!</v>
      </c>
      <c r="R61" s="110">
        <f t="shared" si="16"/>
        <v>0</v>
      </c>
      <c r="S61" s="110">
        <f t="shared" si="17"/>
        <v>0</v>
      </c>
      <c r="T61" s="110">
        <f t="shared" si="18"/>
        <v>0</v>
      </c>
      <c r="U61" s="458">
        <f t="shared" si="20"/>
        <v>0</v>
      </c>
      <c r="V61" s="545" t="e">
        <f t="shared" si="19"/>
        <v>#VALUE!</v>
      </c>
      <c r="W61" s="432"/>
    </row>
    <row r="62" spans="2:25" hidden="1" outlineLevel="1" x14ac:dyDescent="0.3">
      <c r="B62" s="75">
        <v>5</v>
      </c>
      <c r="C62" s="131" t="s">
        <v>247</v>
      </c>
      <c r="D62" s="109" t="str">
        <f>INDEX([1]ИНФО!C:C,MATCH(C62,[1]ИНФО!B:B,0))</f>
        <v>Бунтило Віталій Іванович</v>
      </c>
      <c r="E62" s="136">
        <v>4750</v>
      </c>
      <c r="F62" s="87" t="e">
        <f>SUMIFS([1]Табель!J:J,[1]Табель!E:E,C62,[1]Табель!B:B,"&gt;="&amp;$Y$50,[1]Табель!B:B,"&lt;"&amp;$Y$51,[1]Табель!F:F,'МЕХАНИЗАТОРЫ апрель'!I62)</f>
        <v>#VALUE!</v>
      </c>
      <c r="G62" s="78"/>
      <c r="H62" s="78"/>
      <c r="I62" s="78" t="s">
        <v>440</v>
      </c>
      <c r="J62" s="111">
        <f>INDEX([1]ИНФО_СПЕЦТЕХНИКА!$F$4:$F$23,MATCH(I62,[1]ИНФО_СПЕЦТЕХНИКА!$D$4:$D$23,0))</f>
        <v>140</v>
      </c>
      <c r="K62" s="88">
        <v>100</v>
      </c>
      <c r="L62" s="88" t="e">
        <f>SUMIFS([1]Табель!K:K,[1]Табель!E:E,C62,[1]Табель!B:B,"&gt;="&amp;$Y$50,[1]Табель!B:B,"&lt;"&amp;$Y$51,[1]Табель!F:F,I62)</f>
        <v>#VALUE!</v>
      </c>
      <c r="M62" s="89" t="e">
        <f>SUMIFS([1]Табель!L:L,[1]Табель!E:E,C62,[1]Табель!B:B,"&gt;="&amp;$Y$50,[1]Табель!B:B,"&lt;"&amp;$Y$51,[1]Табель!F:F,I62)</f>
        <v>#VALUE!</v>
      </c>
      <c r="N62" s="199"/>
      <c r="O62" s="261" t="e">
        <f t="shared" si="15"/>
        <v>#VALUE!</v>
      </c>
      <c r="Q62" s="283" t="e">
        <f t="shared" si="21"/>
        <v>#VALUE!</v>
      </c>
      <c r="R62" s="110">
        <f t="shared" si="16"/>
        <v>1045</v>
      </c>
      <c r="S62" s="110">
        <f t="shared" si="17"/>
        <v>926.25</v>
      </c>
      <c r="T62" s="110">
        <f t="shared" si="18"/>
        <v>3823.75</v>
      </c>
      <c r="U62" s="455">
        <f t="shared" si="20"/>
        <v>-5795</v>
      </c>
      <c r="V62" s="545" t="e">
        <f t="shared" si="19"/>
        <v>#VALUE!</v>
      </c>
      <c r="W62" s="432"/>
    </row>
    <row r="63" spans="2:25" hidden="1" outlineLevel="1" x14ac:dyDescent="0.3">
      <c r="B63" s="75">
        <v>6</v>
      </c>
      <c r="C63" s="131" t="s">
        <v>375</v>
      </c>
      <c r="D63" s="109" t="str">
        <f>INDEX([1]ИНФО!C:C,MATCH(C63,[1]ИНФО!B:B,0))</f>
        <v>Савранский Іван Володимирович</v>
      </c>
      <c r="E63" s="136">
        <v>4318.18</v>
      </c>
      <c r="F63" s="87" t="e">
        <f>SUMIFS([1]Табель!J:J,[1]Табель!E:E,C63,[1]Табель!B:B,"&gt;="&amp;$Y$50,[1]Табель!B:B,"&lt;"&amp;$Y$51,[1]Табель!F:F,'МЕХАНИЗАТОРЫ апрель'!I63)</f>
        <v>#VALUE!</v>
      </c>
      <c r="G63" s="78"/>
      <c r="H63" s="78"/>
      <c r="I63" s="78" t="s">
        <v>442</v>
      </c>
      <c r="J63" s="111">
        <f>INDEX([1]ИНФО_СПЕЦТЕХНИКА!$F$4:$F$23,MATCH(I63,[1]ИНФО_СПЕЦТЕХНИКА!$D$4:$D$23,0))</f>
        <v>170</v>
      </c>
      <c r="K63" s="88">
        <v>100</v>
      </c>
      <c r="L63" s="88" t="e">
        <f>SUMIFS([1]Табель!K:K,[1]Табель!E:E,C63,[1]Табель!B:B,"&gt;="&amp;$Y$50,[1]Табель!B:B,"&lt;"&amp;$Y$51,[1]Табель!F:F,I63)</f>
        <v>#VALUE!</v>
      </c>
      <c r="M63" s="89" t="e">
        <f>SUMIFS([1]Табель!L:L,[1]Табель!E:E,C63,[1]Табель!B:B,"&gt;="&amp;$Y$50,[1]Табель!B:B,"&lt;"&amp;$Y$51,[1]Табель!F:F,I63)</f>
        <v>#VALUE!</v>
      </c>
      <c r="N63" s="199"/>
      <c r="O63" s="261" t="e">
        <f t="shared" si="15"/>
        <v>#VALUE!</v>
      </c>
      <c r="Q63" s="283" t="e">
        <f t="shared" si="21"/>
        <v>#VALUE!</v>
      </c>
      <c r="R63" s="110">
        <f t="shared" si="16"/>
        <v>950</v>
      </c>
      <c r="S63" s="110">
        <f t="shared" si="17"/>
        <v>842.04510000000005</v>
      </c>
      <c r="T63" s="110">
        <f t="shared" si="18"/>
        <v>3476.1349</v>
      </c>
      <c r="U63" s="455">
        <f t="shared" si="20"/>
        <v>-5268.18</v>
      </c>
      <c r="V63" s="545" t="e">
        <f t="shared" si="19"/>
        <v>#VALUE!</v>
      </c>
      <c r="W63" s="432"/>
    </row>
    <row r="64" spans="2:25" hidden="1" outlineLevel="1" x14ac:dyDescent="0.3">
      <c r="B64" s="75">
        <v>7</v>
      </c>
      <c r="C64" s="131" t="s">
        <v>372</v>
      </c>
      <c r="D64" s="109" t="str">
        <f>INDEX([1]ИНФО!C:C,MATCH(C64,[1]ИНФО!B:B,0))</f>
        <v>Горячий Іван Васильович</v>
      </c>
      <c r="E64" s="136">
        <v>9880</v>
      </c>
      <c r="F64" s="87" t="e">
        <f>SUMIFS([1]Табель!J:J,[1]Табель!E:E,C64,[1]Табель!B:B,"&gt;="&amp;$Y$50,[1]Табель!B:B,"&lt;"&amp;$Y$51,[1]Табель!F:F,'МЕХАНИЗАТОРЫ апрель'!I64)</f>
        <v>#VALUE!</v>
      </c>
      <c r="G64" s="78"/>
      <c r="H64" s="78"/>
      <c r="I64" s="78" t="s">
        <v>442</v>
      </c>
      <c r="J64" s="111">
        <f>INDEX([1]ИНФО_СПЕЦТЕХНИКА!$F$4:$F$23,MATCH(I64,[1]ИНФО_СПЕЦТЕХНИКА!$D$4:$D$23,0))</f>
        <v>170</v>
      </c>
      <c r="K64" s="88">
        <v>100</v>
      </c>
      <c r="L64" s="88" t="e">
        <f>SUMIFS([1]Табель!K:K,[1]Табель!E:E,C64,[1]Табель!B:B,"&gt;="&amp;$Y$50,[1]Табель!B:B,"&lt;"&amp;$Y$51,[1]Табель!F:F,I64)</f>
        <v>#VALUE!</v>
      </c>
      <c r="M64" s="89" t="e">
        <f>SUMIFS([1]Табель!L:L,[1]Табель!E:E,C64,[1]Табель!B:B,"&gt;="&amp;$Y$50,[1]Табель!B:B,"&lt;"&amp;$Y$51,[1]Табель!F:F,I64)</f>
        <v>#VALUE!</v>
      </c>
      <c r="N64" s="199"/>
      <c r="O64" s="261" t="e">
        <f t="shared" si="15"/>
        <v>#VALUE!</v>
      </c>
      <c r="Q64" s="283" t="e">
        <f t="shared" si="21"/>
        <v>#VALUE!</v>
      </c>
      <c r="R64" s="110">
        <f t="shared" si="16"/>
        <v>2173.6</v>
      </c>
      <c r="S64" s="110">
        <f t="shared" si="17"/>
        <v>1926.6000000000001</v>
      </c>
      <c r="T64" s="110">
        <f t="shared" si="18"/>
        <v>7953.4</v>
      </c>
      <c r="U64" s="455">
        <f t="shared" si="20"/>
        <v>-12053.6</v>
      </c>
      <c r="V64" s="545" t="e">
        <f t="shared" si="19"/>
        <v>#VALUE!</v>
      </c>
      <c r="W64" s="432"/>
    </row>
    <row r="65" spans="2:26" hidden="1" outlineLevel="1" x14ac:dyDescent="0.3">
      <c r="B65" s="138">
        <v>8</v>
      </c>
      <c r="C65" s="139" t="s">
        <v>245</v>
      </c>
      <c r="D65" s="139" t="str">
        <f>INDEX([1]ИНФО!C:C,MATCH(C65,[1]ИНФО!B:B,0))</f>
        <v>Зенкін Дмитро Юрійович</v>
      </c>
      <c r="E65" s="140">
        <v>9500</v>
      </c>
      <c r="F65" s="141" t="e">
        <f>SUMIFS([1]Табель!J:J,[1]Табель!E:E,C65,[1]Табель!B:B,"&gt;="&amp;$Y$50,[1]Табель!B:B,"&lt;"&amp;$Y$51,[1]Табель!F:F,'МЕХАНИЗАТОРЫ апрель'!I65)</f>
        <v>#VALUE!</v>
      </c>
      <c r="G65" s="142"/>
      <c r="H65" s="142"/>
      <c r="I65" s="142" t="s">
        <v>74</v>
      </c>
      <c r="J65" s="143">
        <f>INDEX([1]ИНФО_СПЕЦТЕХНИКА!$F$4:$F$23,MATCH(I65,[1]ИНФО_СПЕЦТЕХНИКА!$D$4:$D$23,0))</f>
        <v>170</v>
      </c>
      <c r="K65" s="144">
        <v>100</v>
      </c>
      <c r="L65" s="144" t="e">
        <f>SUMIFS([1]Табель!K:K,[1]Табель!E:E,C65,[1]Табель!B:B,"&gt;="&amp;$Y$50,[1]Табель!B:B,"&lt;"&amp;$Y$51,[1]Табель!F:F,I65)</f>
        <v>#VALUE!</v>
      </c>
      <c r="M65" s="145" t="e">
        <f>SUMIFS([1]Табель!L:L,[1]Табель!E:E,C65,[1]Табель!B:B,"&gt;="&amp;$Y$50,[1]Табель!B:B,"&lt;"&amp;$Y$51,[1]Табель!F:F,I65)</f>
        <v>#VALUE!</v>
      </c>
      <c r="N65" s="203"/>
      <c r="O65" s="266" t="e">
        <f t="shared" si="15"/>
        <v>#VALUE!</v>
      </c>
      <c r="Q65" s="284" t="e">
        <f t="shared" si="21"/>
        <v>#VALUE!</v>
      </c>
      <c r="R65" s="146">
        <f t="shared" si="16"/>
        <v>2090</v>
      </c>
      <c r="S65" s="146">
        <f t="shared" si="17"/>
        <v>1852.5</v>
      </c>
      <c r="T65" s="146">
        <f t="shared" si="18"/>
        <v>7647.5</v>
      </c>
      <c r="U65" s="460">
        <f t="shared" si="20"/>
        <v>-11590</v>
      </c>
      <c r="V65" s="545" t="e">
        <f t="shared" si="19"/>
        <v>#VALUE!</v>
      </c>
      <c r="W65" s="432"/>
    </row>
    <row r="66" spans="2:26" hidden="1" outlineLevel="1" x14ac:dyDescent="0.3">
      <c r="B66" s="148">
        <v>9</v>
      </c>
      <c r="C66" s="131" t="s">
        <v>244</v>
      </c>
      <c r="D66" s="131" t="str">
        <f>INDEX([1]ИНФО!C:C,MATCH(C66,[1]ИНФО!B:B,0))</f>
        <v>Карбунар Ярослав Дмитрович</v>
      </c>
      <c r="E66" s="149">
        <v>9880</v>
      </c>
      <c r="F66" s="87" t="e">
        <f>SUMIFS([1]Табель!J:J,[1]Табель!E:E,C66,[1]Табель!B:B,"&gt;="&amp;$Y$50,[1]Табель!B:B,"&lt;"&amp;$Y$51,[1]Табель!F:F,'МЕХАНИЗАТОРЫ апрель'!I66)</f>
        <v>#VALUE!</v>
      </c>
      <c r="G66" s="87"/>
      <c r="H66" s="87"/>
      <c r="I66" s="87" t="s">
        <v>443</v>
      </c>
      <c r="J66" s="111">
        <f>INDEX([1]ИНФО_СПЕЦТЕХНИКА!$F$4:$F$23,MATCH(I66,[1]ИНФО_СПЕЦТЕХНИКА!$D$4:$D$23,0))</f>
        <v>170</v>
      </c>
      <c r="K66" s="88">
        <v>100</v>
      </c>
      <c r="L66" s="88" t="e">
        <f>SUMIFS([1]Табель!K:K,[1]Табель!E:E,C66,[1]Табель!B:B,"&gt;="&amp;$Y$50,[1]Табель!B:B,"&lt;"&amp;$Y$51,[1]Табель!F:F,I66)</f>
        <v>#VALUE!</v>
      </c>
      <c r="M66" s="89" t="e">
        <f>SUMIFS([1]Табель!L:L,[1]Табель!E:E,C66,[1]Табель!B:B,"&gt;="&amp;$Y$50,[1]Табель!B:B,"&lt;"&amp;$Y$51,[1]Табель!F:F,I66)</f>
        <v>#VALUE!</v>
      </c>
      <c r="N66" s="199"/>
      <c r="O66" s="261" t="e">
        <f t="shared" si="15"/>
        <v>#VALUE!</v>
      </c>
      <c r="Q66" s="283" t="e">
        <f t="shared" si="21"/>
        <v>#VALUE!</v>
      </c>
      <c r="R66" s="150">
        <f t="shared" si="16"/>
        <v>2173.6</v>
      </c>
      <c r="S66" s="150">
        <f t="shared" si="17"/>
        <v>1926.6000000000001</v>
      </c>
      <c r="T66" s="150">
        <f t="shared" si="18"/>
        <v>7953.4</v>
      </c>
      <c r="U66" s="461">
        <f t="shared" si="20"/>
        <v>-12053.6</v>
      </c>
      <c r="V66" s="545" t="e">
        <f t="shared" si="19"/>
        <v>#VALUE!</v>
      </c>
      <c r="W66" s="432"/>
    </row>
    <row r="67" spans="2:26" hidden="1" outlineLevel="1" x14ac:dyDescent="0.3">
      <c r="B67" s="75">
        <v>10</v>
      </c>
      <c r="C67" s="109" t="s">
        <v>376</v>
      </c>
      <c r="D67" s="109" t="str">
        <f>INDEX([1]ИНФО!C:C,MATCH(C67,[1]ИНФО!B:B,0))</f>
        <v>Косік Юрій Анатолійович</v>
      </c>
      <c r="E67" s="136">
        <v>9880</v>
      </c>
      <c r="F67" s="78" t="e">
        <f>SUMIFS([1]Табель!J:J,[1]Табель!E:E,C67,[1]Табель!B:B,"&gt;="&amp;$Y$50,[1]Табель!B:B,"&lt;"&amp;$Y$51,[1]Табель!F:F,'МЕХАНИЗАТОРЫ апрель'!I67)</f>
        <v>#VALUE!</v>
      </c>
      <c r="G67" s="78"/>
      <c r="H67" s="78"/>
      <c r="I67" s="78" t="s">
        <v>444</v>
      </c>
      <c r="J67" s="130">
        <f>INDEX([1]ИНФО_СПЕЦТЕХНИКА!$F$4:$F$23,MATCH(I67,[1]ИНФО_СПЕЦТЕХНИКА!$D$4:$D$23,0))</f>
        <v>170</v>
      </c>
      <c r="K67" s="79">
        <v>100</v>
      </c>
      <c r="L67" s="79" t="e">
        <f>SUMIFS([1]Табель!K:K,[1]Табель!E:E,C67,[1]Табель!B:B,"&gt;="&amp;$Y$50,[1]Табель!B:B,"&lt;"&amp;$Y$51,[1]Табель!F:F,I67)</f>
        <v>#VALUE!</v>
      </c>
      <c r="M67" s="80" t="e">
        <f>SUMIFS([1]Табель!L:L,[1]Табель!E:E,C67,[1]Табель!B:B,"&gt;="&amp;$Y$50,[1]Табель!B:B,"&lt;"&amp;$Y$51,[1]Табель!F:F,I67)</f>
        <v>#VALUE!</v>
      </c>
      <c r="N67" s="198"/>
      <c r="O67" s="260" t="e">
        <f t="shared" si="15"/>
        <v>#VALUE!</v>
      </c>
      <c r="Q67" s="279" t="e">
        <f t="shared" si="21"/>
        <v>#VALUE!</v>
      </c>
      <c r="R67" s="110">
        <f t="shared" si="16"/>
        <v>2173.6</v>
      </c>
      <c r="S67" s="110">
        <f t="shared" si="17"/>
        <v>1926.6000000000001</v>
      </c>
      <c r="T67" s="110">
        <f t="shared" si="18"/>
        <v>7953.4</v>
      </c>
      <c r="U67" s="455">
        <f t="shared" si="20"/>
        <v>-12053.6</v>
      </c>
      <c r="V67" s="545" t="e">
        <f t="shared" si="19"/>
        <v>#VALUE!</v>
      </c>
      <c r="W67" s="432"/>
    </row>
    <row r="68" spans="2:26" hidden="1" outlineLevel="1" x14ac:dyDescent="0.3">
      <c r="B68" s="75">
        <v>11</v>
      </c>
      <c r="C68" s="131" t="s">
        <v>252</v>
      </c>
      <c r="D68" s="109">
        <f>INDEX([1]ИНФО!C:C,MATCH(C68,[1]ИНФО!B:B,0))</f>
        <v>0</v>
      </c>
      <c r="E68" s="136"/>
      <c r="F68" s="87" t="e">
        <f>SUMIFS([1]Табель!J:J,[1]Табель!E:E,C68,[1]Табель!B:B,"&gt;="&amp;$Y$50,[1]Табель!B:B,"&lt;"&amp;$Y$51,[1]Табель!F:F,'МЕХАНИЗАТОРЫ апрель'!I68)</f>
        <v>#VALUE!</v>
      </c>
      <c r="G68" s="78"/>
      <c r="H68" s="78"/>
      <c r="I68" s="78" t="s">
        <v>445</v>
      </c>
      <c r="J68" s="111">
        <f>INDEX([1]ИНФО_СПЕЦТЕХНИКА!$F$4:$F$23,MATCH(I68,[1]ИНФО_СПЕЦТЕХНИКА!$D$4:$D$23,0))</f>
        <v>140</v>
      </c>
      <c r="K68" s="88">
        <v>100</v>
      </c>
      <c r="L68" s="88" t="e">
        <f>SUMIFS([1]Табель!K:K,[1]Табель!E:E,C68,[1]Табель!B:B,"&gt;="&amp;$Y$50,[1]Табель!B:B,"&lt;"&amp;$Y$51,[1]Табель!F:F,I68)</f>
        <v>#VALUE!</v>
      </c>
      <c r="M68" s="89" t="e">
        <f>SUMIFS([1]Табель!L:L,[1]Табель!E:E,C68,[1]Табель!B:B,"&gt;="&amp;$Y$50,[1]Табель!B:B,"&lt;"&amp;$Y$51,[1]Табель!F:F,I68)</f>
        <v>#VALUE!</v>
      </c>
      <c r="N68" s="199"/>
      <c r="O68" s="261" t="e">
        <f t="shared" si="15"/>
        <v>#VALUE!</v>
      </c>
      <c r="Q68" s="283" t="e">
        <f t="shared" si="21"/>
        <v>#VALUE!</v>
      </c>
      <c r="R68" s="110">
        <f t="shared" si="16"/>
        <v>0</v>
      </c>
      <c r="S68" s="110">
        <f t="shared" si="17"/>
        <v>0</v>
      </c>
      <c r="T68" s="110">
        <f t="shared" si="18"/>
        <v>0</v>
      </c>
      <c r="U68" s="458">
        <f t="shared" si="20"/>
        <v>0</v>
      </c>
      <c r="V68" s="545" t="e">
        <f t="shared" si="19"/>
        <v>#VALUE!</v>
      </c>
      <c r="W68" s="432"/>
    </row>
    <row r="69" spans="2:26" hidden="1" outlineLevel="1" x14ac:dyDescent="0.3">
      <c r="B69" s="75">
        <v>12</v>
      </c>
      <c r="C69" s="131" t="s">
        <v>253</v>
      </c>
      <c r="D69" s="131" t="str">
        <f>INDEX([1]ИНФО!C:C,MATCH(C69,[1]ИНФО!B:B,0))</f>
        <v>Дучук Микола Федорович</v>
      </c>
      <c r="E69" s="152"/>
      <c r="F69" s="87" t="e">
        <f>SUMIFS([1]Табель!J:J,[1]Табель!E:E,C69,[1]Табель!B:B,"&gt;="&amp;$Y$50,[1]Табель!B:B,"&lt;"&amp;$Y$51,[1]Табель!F:F,'МЕХАНИЗАТОРЫ апрель'!I69)</f>
        <v>#VALUE!</v>
      </c>
      <c r="G69" s="78"/>
      <c r="H69" s="78"/>
      <c r="I69" s="78" t="s">
        <v>445</v>
      </c>
      <c r="J69" s="111">
        <f>INDEX([1]ИНФО_СПЕЦТЕХНИКА!$F$4:$F$23,MATCH(I69,[1]ИНФО_СПЕЦТЕХНИКА!$D$4:$D$23,0))</f>
        <v>140</v>
      </c>
      <c r="K69" s="88">
        <v>100</v>
      </c>
      <c r="L69" s="88" t="e">
        <f>SUMIFS([1]Табель!K:K,[1]Табель!E:E,C69,[1]Табель!B:B,"&gt;="&amp;$Y$50,[1]Табель!B:B,"&lt;"&amp;$Y$51,[1]Табель!F:F,I69)</f>
        <v>#VALUE!</v>
      </c>
      <c r="M69" s="89" t="e">
        <f>SUMIFS([1]Табель!L:L,[1]Табель!E:E,C69,[1]Табель!B:B,"&gt;="&amp;$Y$50,[1]Табель!B:B,"&lt;"&amp;$Y$51,[1]Табель!F:F,I69)</f>
        <v>#VALUE!</v>
      </c>
      <c r="N69" s="199"/>
      <c r="O69" s="261" t="e">
        <f t="shared" si="15"/>
        <v>#VALUE!</v>
      </c>
      <c r="Q69" s="283" t="e">
        <f t="shared" si="21"/>
        <v>#VALUE!</v>
      </c>
      <c r="R69" s="110">
        <f t="shared" si="16"/>
        <v>0</v>
      </c>
      <c r="S69" s="110">
        <f t="shared" si="17"/>
        <v>0</v>
      </c>
      <c r="T69" s="110">
        <f t="shared" si="18"/>
        <v>0</v>
      </c>
      <c r="U69" s="458">
        <f t="shared" si="20"/>
        <v>0</v>
      </c>
      <c r="V69" s="545" t="e">
        <f t="shared" si="19"/>
        <v>#VALUE!</v>
      </c>
      <c r="W69" s="432"/>
    </row>
    <row r="70" spans="2:26" hidden="1" outlineLevel="1" x14ac:dyDescent="0.3">
      <c r="B70" s="75">
        <f>B69+1</f>
        <v>13</v>
      </c>
      <c r="C70" s="109" t="s">
        <v>243</v>
      </c>
      <c r="D70" s="109" t="str">
        <f>INDEX([1]ИНФО!C:C,MATCH(C70,[1]ИНФО!B:B,0))</f>
        <v>Мусієнко Ігор Іванович</v>
      </c>
      <c r="E70" s="136">
        <v>9500</v>
      </c>
      <c r="F70" s="78" t="e">
        <f>SUMIFS([1]Табель!J:J,[1]Табель!E:E,C70,[1]Табель!B:B,"&gt;="&amp;$Y$50,[1]Табель!B:B,"&lt;"&amp;$Y$51,[1]Табель!F:F,'МЕХАНИЗАТОРЫ апрель'!I70)</f>
        <v>#VALUE!</v>
      </c>
      <c r="G70" s="78"/>
      <c r="H70" s="78"/>
      <c r="I70" s="78" t="s">
        <v>441</v>
      </c>
      <c r="J70" s="130">
        <f>INDEX([1]ИНФО_СПЕЦТЕХНИКА!$F$4:$F$23,MATCH(I70,[1]ИНФО_СПЕЦТЕХНИКА!$D$4:$D$23,0))</f>
        <v>170</v>
      </c>
      <c r="K70" s="79">
        <v>100</v>
      </c>
      <c r="L70" s="79" t="e">
        <f>SUMIFS([1]Табель!K:K,[1]Табель!E:E,C70,[1]Табель!B:B,"&gt;="&amp;$Y$50,[1]Табель!B:B,"&lt;"&amp;$Y$51,[1]Табель!F:F,I70)</f>
        <v>#VALUE!</v>
      </c>
      <c r="M70" s="80" t="e">
        <f>SUMIFS([1]Табель!L:L,[1]Табель!E:E,C70,[1]Табель!B:B,"&gt;="&amp;$Y$50,[1]Табель!B:B,"&lt;"&amp;$Y$51,[1]Табель!F:F,I70)</f>
        <v>#VALUE!</v>
      </c>
      <c r="N70" s="198"/>
      <c r="O70" s="260" t="e">
        <f t="shared" si="15"/>
        <v>#VALUE!</v>
      </c>
      <c r="Q70" s="279" t="e">
        <f t="shared" si="21"/>
        <v>#VALUE!</v>
      </c>
      <c r="R70" s="110">
        <f t="shared" si="16"/>
        <v>2090</v>
      </c>
      <c r="S70" s="110">
        <f t="shared" si="17"/>
        <v>1852.5</v>
      </c>
      <c r="T70" s="110">
        <f t="shared" si="18"/>
        <v>7647.5</v>
      </c>
      <c r="U70" s="455">
        <f t="shared" si="20"/>
        <v>-11590</v>
      </c>
      <c r="V70" s="545" t="e">
        <f t="shared" si="19"/>
        <v>#VALUE!</v>
      </c>
      <c r="W70" s="432"/>
    </row>
    <row r="71" spans="2:26" hidden="1" outlineLevel="1" x14ac:dyDescent="0.3">
      <c r="B71" s="75">
        <f t="shared" ref="B71:B76" si="22">B70+1</f>
        <v>14</v>
      </c>
      <c r="C71" s="131" t="s">
        <v>381</v>
      </c>
      <c r="D71" s="109" t="str">
        <f>INDEX([1]ИНФО!C:C,MATCH(C71,[1]ИНФО!B:B,0))</f>
        <v>Самойленко Віктор Миколайович</v>
      </c>
      <c r="E71" s="136">
        <v>9500</v>
      </c>
      <c r="F71" s="87" t="e">
        <f>SUMIFS([1]Табель!J:J,[1]Табель!E:E,C71,[1]Табель!B:B,"&gt;="&amp;$Y$50,[1]Табель!B:B,"&lt;"&amp;$Y$51,[1]Табель!F:F,'МЕХАНИЗАТОРЫ апрель'!I71)</f>
        <v>#VALUE!</v>
      </c>
      <c r="G71" s="78"/>
      <c r="H71" s="78"/>
      <c r="I71" s="78" t="s">
        <v>75</v>
      </c>
      <c r="J71" s="111">
        <f>INDEX([1]ИНФО_СПЕЦТЕХНИКА!$F$4:$F$23,MATCH(I71,[1]ИНФО_СПЕЦТЕХНИКА!$D$4:$D$23,0))</f>
        <v>140</v>
      </c>
      <c r="K71" s="88">
        <v>100</v>
      </c>
      <c r="L71" s="88" t="e">
        <f>SUMIFS([1]Табель!K:K,[1]Табель!E:E,C71,[1]Табель!B:B,"&gt;="&amp;$Y$50,[1]Табель!B:B,"&lt;"&amp;$Y$51,[1]Табель!F:F,I71)</f>
        <v>#VALUE!</v>
      </c>
      <c r="M71" s="89" t="e">
        <f>SUMIFS([1]Табель!L:L,[1]Табель!E:E,C71,[1]Табель!B:B,"&gt;="&amp;$Y$50,[1]Табель!B:B,"&lt;"&amp;$Y$51,[1]Табель!F:F,I71)</f>
        <v>#VALUE!</v>
      </c>
      <c r="N71" s="199"/>
      <c r="O71" s="261" t="e">
        <f t="shared" si="15"/>
        <v>#VALUE!</v>
      </c>
      <c r="Q71" s="283" t="e">
        <f t="shared" si="21"/>
        <v>#VALUE!</v>
      </c>
      <c r="R71" s="110">
        <f t="shared" si="16"/>
        <v>2090</v>
      </c>
      <c r="S71" s="110">
        <f t="shared" si="17"/>
        <v>1852.5</v>
      </c>
      <c r="T71" s="110">
        <f t="shared" si="18"/>
        <v>7647.5</v>
      </c>
      <c r="U71" s="455">
        <f t="shared" si="20"/>
        <v>-11590</v>
      </c>
      <c r="V71" s="545" t="e">
        <f t="shared" si="19"/>
        <v>#VALUE!</v>
      </c>
      <c r="W71" s="432"/>
    </row>
    <row r="72" spans="2:26" hidden="1" outlineLevel="1" x14ac:dyDescent="0.3">
      <c r="B72" s="75">
        <f t="shared" si="22"/>
        <v>15</v>
      </c>
      <c r="C72" s="131" t="s">
        <v>254</v>
      </c>
      <c r="D72" s="109" t="str">
        <f>INDEX([1]ИНФО!C:C,MATCH(C72,[1]ИНФО!B:B,0))</f>
        <v>Скоц Сергій Іванович</v>
      </c>
      <c r="E72" s="136">
        <v>9880</v>
      </c>
      <c r="F72" s="87" t="e">
        <f>SUMIFS([1]Табель!J:J,[1]Табель!E:E,C72,[1]Табель!B:B,"&gt;="&amp;$Y$50,[1]Табель!B:B,"&lt;"&amp;$Y$51,[1]Табель!F:F,'МЕХАНИЗАТОРЫ апрель'!I72)</f>
        <v>#VALUE!</v>
      </c>
      <c r="G72" s="78"/>
      <c r="H72" s="78"/>
      <c r="I72" s="78" t="s">
        <v>59</v>
      </c>
      <c r="J72" s="111">
        <f>INDEX([1]ИНФО_СПЕЦТЕХНИКА!$F$4:$F$23,MATCH(I72,[1]ИНФО_СПЕЦТЕХНИКА!$D$4:$D$23,0))</f>
        <v>170</v>
      </c>
      <c r="K72" s="88">
        <v>100</v>
      </c>
      <c r="L72" s="88" t="e">
        <f>SUMIFS([1]Табель!K:K,[1]Табель!E:E,C72,[1]Табель!B:B,"&gt;="&amp;$Y$50,[1]Табель!B:B,"&lt;"&amp;$Y$51,[1]Табель!F:F,I72)</f>
        <v>#VALUE!</v>
      </c>
      <c r="M72" s="89" t="e">
        <f>SUMIFS([1]Табель!L:L,[1]Табель!E:E,C72,[1]Табель!B:B,"&gt;="&amp;$Y$50,[1]Табель!B:B,"&lt;"&amp;$Y$51,[1]Табель!F:F,I72)</f>
        <v>#VALUE!</v>
      </c>
      <c r="N72" s="199"/>
      <c r="O72" s="261" t="e">
        <f t="shared" si="15"/>
        <v>#VALUE!</v>
      </c>
      <c r="Q72" s="283" t="e">
        <f t="shared" si="21"/>
        <v>#VALUE!</v>
      </c>
      <c r="R72" s="110">
        <f t="shared" si="16"/>
        <v>2173.6</v>
      </c>
      <c r="S72" s="110">
        <f t="shared" si="17"/>
        <v>1926.6000000000001</v>
      </c>
      <c r="T72" s="110">
        <f t="shared" si="18"/>
        <v>7953.4</v>
      </c>
      <c r="U72" s="455">
        <f t="shared" si="20"/>
        <v>-12053.6</v>
      </c>
      <c r="V72" s="545" t="e">
        <f t="shared" si="19"/>
        <v>#VALUE!</v>
      </c>
      <c r="W72" s="432"/>
    </row>
    <row r="73" spans="2:26" hidden="1" outlineLevel="1" x14ac:dyDescent="0.3">
      <c r="B73" s="75">
        <f t="shared" si="22"/>
        <v>16</v>
      </c>
      <c r="C73" s="131" t="s">
        <v>378</v>
      </c>
      <c r="D73" s="109" t="str">
        <f>INDEX([1]ИНФО!C:C,MATCH(C73,[1]ИНФО!B:B,0))</f>
        <v>Трохименко Віталій Якович</v>
      </c>
      <c r="E73" s="136">
        <v>4750</v>
      </c>
      <c r="F73" s="87" t="e">
        <f>SUMIFS([1]Табель!J:J,[1]Табель!E:E,C73,[1]Табель!B:B,"&gt;="&amp;$Y$50,[1]Табель!B:B,"&lt;"&amp;$Y$51,[1]Табель!F:F,'МЕХАНИЗАТОРЫ апрель'!I73)</f>
        <v>#VALUE!</v>
      </c>
      <c r="G73" s="78"/>
      <c r="H73" s="78"/>
      <c r="I73" s="78" t="s">
        <v>446</v>
      </c>
      <c r="J73" s="111">
        <f>INDEX([1]ИНФО_СПЕЦТЕХНИКА!$F$4:$F$23,MATCH(I73,[1]ИНФО_СПЕЦТЕХНИКА!$D$4:$D$23,0))</f>
        <v>170</v>
      </c>
      <c r="K73" s="88">
        <v>100</v>
      </c>
      <c r="L73" s="88" t="e">
        <f>SUMIFS([1]Табель!K:K,[1]Табель!E:E,C73,[1]Табель!B:B,"&gt;="&amp;$Y$50,[1]Табель!B:B,"&lt;"&amp;$Y$51,[1]Табель!F:F,I73)</f>
        <v>#VALUE!</v>
      </c>
      <c r="M73" s="89" t="e">
        <f>SUMIFS([1]Табель!L:L,[1]Табель!E:E,C73,[1]Табель!B:B,"&gt;="&amp;$Y$50,[1]Табель!B:B,"&lt;"&amp;$Y$51,[1]Табель!F:F,I73)</f>
        <v>#VALUE!</v>
      </c>
      <c r="N73" s="199"/>
      <c r="O73" s="261" t="e">
        <f t="shared" si="15"/>
        <v>#VALUE!</v>
      </c>
      <c r="Q73" s="283" t="e">
        <f t="shared" si="21"/>
        <v>#VALUE!</v>
      </c>
      <c r="R73" s="110">
        <f t="shared" si="16"/>
        <v>1045</v>
      </c>
      <c r="S73" s="110">
        <f t="shared" si="17"/>
        <v>926.25</v>
      </c>
      <c r="T73" s="110">
        <f t="shared" si="18"/>
        <v>3823.75</v>
      </c>
      <c r="U73" s="455">
        <f t="shared" si="20"/>
        <v>-5795</v>
      </c>
      <c r="V73" s="545" t="e">
        <f t="shared" si="19"/>
        <v>#VALUE!</v>
      </c>
      <c r="W73" s="432"/>
    </row>
    <row r="74" spans="2:26" hidden="1" outlineLevel="1" x14ac:dyDescent="0.3">
      <c r="B74" s="75">
        <f t="shared" si="22"/>
        <v>17</v>
      </c>
      <c r="C74" s="109" t="s">
        <v>248</v>
      </c>
      <c r="D74" s="109" t="str">
        <f>INDEX([1]ИНФО!C:C,MATCH(C74,[1]ИНФО!B:B,0))</f>
        <v>Якубовський Василь Григорович</v>
      </c>
      <c r="E74" s="136"/>
      <c r="F74" s="87" t="e">
        <f>SUMIFS([1]Табель!J:J,[1]Табель!E:E,C74,[1]Табель!B:B,"&gt;="&amp;$Y$50,[1]Табель!B:B,"&lt;"&amp;$Y$51,[1]Табель!F:F,'МЕХАНИЗАТОРЫ апрель'!I74)</f>
        <v>#VALUE!</v>
      </c>
      <c r="G74" s="78"/>
      <c r="H74" s="78"/>
      <c r="I74" s="78" t="s">
        <v>440</v>
      </c>
      <c r="J74" s="111">
        <f>INDEX([1]ИНФО_СПЕЦТЕХНИКА!$F$4:$F$23,MATCH(I74,[1]ИНФО_СПЕЦТЕХНИКА!$D$4:$D$23,0))</f>
        <v>140</v>
      </c>
      <c r="K74" s="88">
        <v>100</v>
      </c>
      <c r="L74" s="88" t="e">
        <f>SUMIFS([1]Табель!K:K,[1]Табель!E:E,C74,[1]Табель!B:B,"&gt;="&amp;$Y$50,[1]Табель!B:B,"&lt;"&amp;$Y$51,[1]Табель!F:F,I74)</f>
        <v>#VALUE!</v>
      </c>
      <c r="M74" s="89" t="e">
        <f>SUMIFS([1]Табель!L:L,[1]Табель!E:E,C74,[1]Табель!B:B,"&gt;="&amp;$Y$50,[1]Табель!B:B,"&lt;"&amp;$Y$51,[1]Табель!F:F,I74)</f>
        <v>#VALUE!</v>
      </c>
      <c r="N74" s="199"/>
      <c r="O74" s="261" t="e">
        <f t="shared" si="15"/>
        <v>#VALUE!</v>
      </c>
      <c r="Q74" s="283" t="e">
        <f t="shared" si="21"/>
        <v>#VALUE!</v>
      </c>
      <c r="R74" s="110">
        <f t="shared" si="16"/>
        <v>0</v>
      </c>
      <c r="S74" s="110">
        <f t="shared" si="17"/>
        <v>0</v>
      </c>
      <c r="T74" s="110">
        <f t="shared" si="18"/>
        <v>0</v>
      </c>
      <c r="U74" s="458">
        <f t="shared" si="20"/>
        <v>0</v>
      </c>
      <c r="V74" s="545" t="e">
        <f t="shared" si="19"/>
        <v>#VALUE!</v>
      </c>
      <c r="W74" s="432"/>
    </row>
    <row r="75" spans="2:26" hidden="1" outlineLevel="1" x14ac:dyDescent="0.3">
      <c r="B75" s="75">
        <f t="shared" si="22"/>
        <v>18</v>
      </c>
      <c r="C75" s="109" t="s">
        <v>251</v>
      </c>
      <c r="D75" s="109" t="str">
        <f>INDEX([1]ИНФО!C:C,MATCH(C75,[1]ИНФО!B:B,0))</f>
        <v>Кушнірюк Микола Володимирович</v>
      </c>
      <c r="E75" s="136">
        <v>2590.91</v>
      </c>
      <c r="F75" s="87" t="e">
        <f>SUMIFS([1]Табель!J:J,[1]Табель!E:E,C75,[1]Табель!B:B,"&gt;="&amp;$Y$50,[1]Табель!B:B,"&lt;"&amp;$Y$51,[1]Табель!F:F,'МЕХАНИЗАТОРЫ апрель'!I75)</f>
        <v>#VALUE!</v>
      </c>
      <c r="G75" s="78"/>
      <c r="H75" s="78"/>
      <c r="I75" s="78" t="s">
        <v>86</v>
      </c>
      <c r="J75" s="111">
        <f>INDEX([1]ИНФО_СПЕЦТЕХНИКА!$F$4:$F$23,MATCH(I75,[1]ИНФО_СПЕЦТЕХНИКА!$D$4:$D$23,0))</f>
        <v>140</v>
      </c>
      <c r="K75" s="88">
        <v>100</v>
      </c>
      <c r="L75" s="88" t="e">
        <f>SUMIFS([1]Табель!K:K,[1]Табель!E:E,C75,[1]Табель!B:B,"&gt;="&amp;$Y$50,[1]Табель!B:B,"&lt;"&amp;$Y$51,[1]Табель!F:F,I75)</f>
        <v>#VALUE!</v>
      </c>
      <c r="M75" s="89" t="e">
        <f>SUMIFS([1]Табель!L:L,[1]Табель!E:E,C75,[1]Табель!B:B,"&gt;="&amp;$Y$50,[1]Табель!B:B,"&lt;"&amp;$Y$51,[1]Табель!F:F,I75)</f>
        <v>#VALUE!</v>
      </c>
      <c r="N75" s="199"/>
      <c r="O75" s="261" t="e">
        <f t="shared" si="15"/>
        <v>#VALUE!</v>
      </c>
      <c r="Q75" s="283" t="e">
        <f t="shared" si="21"/>
        <v>#VALUE!</v>
      </c>
      <c r="R75" s="110">
        <f t="shared" si="16"/>
        <v>570</v>
      </c>
      <c r="S75" s="110">
        <f t="shared" si="17"/>
        <v>505.22744999999998</v>
      </c>
      <c r="T75" s="110">
        <f t="shared" si="18"/>
        <v>2085.68255</v>
      </c>
      <c r="U75" s="455">
        <f t="shared" si="20"/>
        <v>-3160.91</v>
      </c>
      <c r="V75" s="545" t="e">
        <f t="shared" si="19"/>
        <v>#VALUE!</v>
      </c>
      <c r="W75" s="432"/>
    </row>
    <row r="76" spans="2:26" ht="15" hidden="1" outlineLevel="1" thickBot="1" x14ac:dyDescent="0.35">
      <c r="B76" s="153">
        <f t="shared" si="22"/>
        <v>19</v>
      </c>
      <c r="C76" s="114" t="s">
        <v>379</v>
      </c>
      <c r="D76" s="114" t="str">
        <f>INDEX([1]ИНФО!C:C,MATCH(C76,[1]ИНФО!B:B,0))</f>
        <v>Шамоян Агмад Даватевич</v>
      </c>
      <c r="E76" s="154">
        <v>9500</v>
      </c>
      <c r="F76" s="94" t="e">
        <f>SUMIFS([1]Табель!J:J,[1]Табель!E:E,C76,[1]Табель!B:B,"&gt;="&amp;$Y$50,[1]Табель!B:B,"&lt;"&amp;$Y$51,[1]Табель!F:F,'МЕХАНИЗАТОРЫ апрель'!I76)</f>
        <v>#VALUE!</v>
      </c>
      <c r="G76" s="94"/>
      <c r="H76" s="94"/>
      <c r="I76" s="94" t="s">
        <v>86</v>
      </c>
      <c r="J76" s="118">
        <f>INDEX([1]ИНФО_СПЕЦТЕХНИКА!$F$4:$F$23,MATCH(I76,[1]ИНФО_СПЕЦТЕХНИКА!$D$4:$D$23,0))</f>
        <v>140</v>
      </c>
      <c r="K76" s="95">
        <v>100</v>
      </c>
      <c r="L76" s="95" t="e">
        <f>SUMIFS([1]Табель!K:K,[1]Табель!E:E,C76,[1]Табель!B:B,"&gt;="&amp;$Y$50,[1]Табель!B:B,"&lt;"&amp;$Y$51,[1]Табель!F:F,I76)</f>
        <v>#VALUE!</v>
      </c>
      <c r="M76" s="96" t="e">
        <f>SUMIFS([1]Табель!L:L,[1]Табель!E:E,C76,[1]Табель!B:B,"&gt;="&amp;$Y$50,[1]Табель!B:B,"&lt;"&amp;$Y$51,[1]Табель!F:F,I76)</f>
        <v>#VALUE!</v>
      </c>
      <c r="N76" s="200"/>
      <c r="O76" s="262" t="e">
        <f t="shared" si="15"/>
        <v>#VALUE!</v>
      </c>
      <c r="Q76" s="282" t="e">
        <f t="shared" si="21"/>
        <v>#VALUE!</v>
      </c>
      <c r="R76" s="129">
        <f t="shared" si="16"/>
        <v>2090</v>
      </c>
      <c r="S76" s="129">
        <f t="shared" si="17"/>
        <v>1852.5</v>
      </c>
      <c r="T76" s="129">
        <f t="shared" si="18"/>
        <v>7647.5</v>
      </c>
      <c r="U76" s="462">
        <f t="shared" si="20"/>
        <v>-11590</v>
      </c>
      <c r="V76" s="545" t="e">
        <f t="shared" si="19"/>
        <v>#VALUE!</v>
      </c>
      <c r="W76" s="432"/>
    </row>
    <row r="77" spans="2:26" s="107" customFormat="1" ht="27.6" hidden="1" customHeight="1" outlineLevel="1" thickBot="1" x14ac:dyDescent="0.35">
      <c r="B77" s="156"/>
      <c r="C77" s="101" t="s">
        <v>468</v>
      </c>
      <c r="D77" s="101"/>
      <c r="E77" s="102">
        <f>SUM(E57:E76)</f>
        <v>112929.09</v>
      </c>
      <c r="F77" s="157" t="e">
        <f>SUM(F57:F76)</f>
        <v>#VALUE!</v>
      </c>
      <c r="G77" s="157"/>
      <c r="H77" s="157"/>
      <c r="I77" s="157"/>
      <c r="J77" s="158"/>
      <c r="K77" s="158"/>
      <c r="L77" s="159" t="e">
        <f>SUM(L57:L76)</f>
        <v>#VALUE!</v>
      </c>
      <c r="M77" s="160" t="e">
        <f>SUM(M57:M76)</f>
        <v>#VALUE!</v>
      </c>
      <c r="N77" s="204"/>
      <c r="O77" s="267" t="e">
        <f>SUM(O57:O76)</f>
        <v>#VALUE!</v>
      </c>
      <c r="P77" s="225"/>
      <c r="Q77" s="278" t="e">
        <f t="shared" ref="Q77:V77" si="23">SUM(Q57:Q76)</f>
        <v>#VALUE!</v>
      </c>
      <c r="R77" s="102" t="e">
        <f t="shared" si="23"/>
        <v>#VALUE!</v>
      </c>
      <c r="S77" s="102" t="e">
        <f t="shared" si="23"/>
        <v>#VALUE!</v>
      </c>
      <c r="T77" s="102" t="e">
        <f t="shared" si="23"/>
        <v>#VALUE!</v>
      </c>
      <c r="U77" s="220" t="e">
        <f t="shared" si="23"/>
        <v>#VALUE!</v>
      </c>
      <c r="V77" s="544" t="e">
        <f t="shared" si="23"/>
        <v>#VALUE!</v>
      </c>
      <c r="W77" s="431"/>
      <c r="Z77" s="431"/>
    </row>
    <row r="78" spans="2:26" hidden="1" outlineLevel="1" x14ac:dyDescent="0.3"/>
    <row r="79" spans="2:26" hidden="1" outlineLevel="1" collapsed="1" x14ac:dyDescent="0.3">
      <c r="Y79" s="434">
        <v>45261</v>
      </c>
    </row>
    <row r="80" spans="2:26" hidden="1" outlineLevel="1" x14ac:dyDescent="0.3">
      <c r="P80" s="288"/>
      <c r="Y80" s="434">
        <v>45292</v>
      </c>
    </row>
    <row r="81" spans="2:28" ht="4.8" hidden="1" customHeight="1" outlineLevel="1" collapsed="1" x14ac:dyDescent="0.3">
      <c r="P81" s="288"/>
    </row>
    <row r="82" spans="2:28" ht="16.8" hidden="1" customHeight="1" outlineLevel="1" x14ac:dyDescent="0.35">
      <c r="B82" s="591" t="str">
        <f>"ЧАСЫ ["&amp;CHAR(10)&amp;TEXT(Y79,"[$-419]ММММ ГГГГ")&amp;"]"</f>
        <v>ЧАСЫ [
Декабрь 2023]</v>
      </c>
      <c r="C82" s="591"/>
      <c r="D82" s="591"/>
      <c r="E82" s="591"/>
      <c r="F82" s="591"/>
      <c r="G82" s="591"/>
      <c r="H82" s="591"/>
      <c r="I82" s="591"/>
      <c r="J82" s="591"/>
      <c r="K82" s="591"/>
      <c r="L82" s="591"/>
      <c r="M82" s="591"/>
      <c r="N82" s="591"/>
      <c r="O82" s="591"/>
      <c r="P82" s="591"/>
      <c r="Q82" s="591"/>
      <c r="R82" s="591"/>
      <c r="S82" s="591"/>
      <c r="T82" s="591"/>
      <c r="U82" s="591"/>
      <c r="V82" s="591"/>
      <c r="W82" s="316"/>
    </row>
    <row r="83" spans="2:28" s="107" customFormat="1" ht="19.2" hidden="1" customHeight="1" outlineLevel="1" x14ac:dyDescent="0.3">
      <c r="B83" s="133"/>
      <c r="C83" s="133"/>
      <c r="D83" s="133"/>
      <c r="E83" s="133"/>
      <c r="F83" s="134" t="e">
        <f>SUBTOTAL(9,F86:F107)</f>
        <v>#VALUE!</v>
      </c>
      <c r="G83" s="187"/>
      <c r="H83" s="187"/>
      <c r="I83" s="133"/>
      <c r="J83" s="133"/>
      <c r="K83" s="133"/>
      <c r="L83" s="135" t="e">
        <f>SUBTOTAL(9,L86:L107)</f>
        <v>#VALUE!</v>
      </c>
      <c r="M83" s="135" t="e">
        <f>SUBTOTAL(9,M86:M107)</f>
        <v>#VALUE!</v>
      </c>
      <c r="N83" s="135"/>
      <c r="O83" s="265" t="e">
        <f>SUBTOTAL(9,O86:O107)</f>
        <v>#VALUE!</v>
      </c>
      <c r="P83" s="290"/>
      <c r="Q83" s="133"/>
      <c r="R83" s="133"/>
      <c r="S83" s="133"/>
      <c r="T83" s="133"/>
      <c r="U83" s="133"/>
      <c r="V83" s="546"/>
      <c r="W83" s="133"/>
      <c r="AA83" s="435"/>
      <c r="AB83" s="435"/>
    </row>
    <row r="84" spans="2:28" ht="3.75" hidden="1" customHeight="1" outlineLevel="1" x14ac:dyDescent="0.3">
      <c r="B84" s="68"/>
      <c r="C84" s="68"/>
      <c r="D84" s="68"/>
      <c r="E84" s="68"/>
      <c r="F84" s="69"/>
      <c r="G84" s="69"/>
      <c r="H84" s="69"/>
      <c r="I84" s="69"/>
      <c r="J84" s="68"/>
      <c r="K84" s="68"/>
      <c r="L84" s="68"/>
      <c r="M84" s="68"/>
      <c r="N84" s="68"/>
      <c r="O84" s="68"/>
      <c r="P84" s="288"/>
    </row>
    <row r="85" spans="2:28" s="73" customFormat="1" ht="52.8" hidden="1" customHeight="1" outlineLevel="1" thickBot="1" x14ac:dyDescent="0.35">
      <c r="B85" s="70" t="s">
        <v>452</v>
      </c>
      <c r="C85" s="70" t="s">
        <v>448</v>
      </c>
      <c r="D85" s="70" t="s">
        <v>469</v>
      </c>
      <c r="E85" s="70" t="s">
        <v>477</v>
      </c>
      <c r="F85" s="71" t="s">
        <v>454</v>
      </c>
      <c r="G85" s="71"/>
      <c r="H85" s="71"/>
      <c r="I85" s="70" t="s">
        <v>471</v>
      </c>
      <c r="J85" s="70" t="s">
        <v>456</v>
      </c>
      <c r="K85" s="70" t="s">
        <v>457</v>
      </c>
      <c r="L85" s="70" t="s">
        <v>235</v>
      </c>
      <c r="M85" s="161" t="s">
        <v>458</v>
      </c>
      <c r="N85" s="205"/>
      <c r="O85" s="259" t="s">
        <v>459</v>
      </c>
      <c r="P85" s="289"/>
      <c r="Q85" s="272" t="s">
        <v>460</v>
      </c>
      <c r="R85" s="74" t="s">
        <v>461</v>
      </c>
      <c r="S85" s="74" t="s">
        <v>462</v>
      </c>
      <c r="T85" s="74" t="s">
        <v>463</v>
      </c>
      <c r="U85" s="454" t="s">
        <v>472</v>
      </c>
      <c r="V85" s="541" t="s">
        <v>464</v>
      </c>
      <c r="Z85" s="73" t="s">
        <v>478</v>
      </c>
    </row>
    <row r="86" spans="2:28" ht="15" hidden="1" outlineLevel="1" thickBot="1" x14ac:dyDescent="0.35">
      <c r="B86" s="75">
        <v>1</v>
      </c>
      <c r="C86" s="131" t="s">
        <v>246</v>
      </c>
      <c r="D86" s="109" t="str">
        <f>INDEX([1]ИНФО!C:C,MATCH(C86,[1]ИНФО!B:B,0))</f>
        <v>Болох Володимир Васильович</v>
      </c>
      <c r="E86" s="162">
        <f>INDEX($F$111:$F$127,MATCH(D86,$D$111:$D$127,0))</f>
        <v>9500</v>
      </c>
      <c r="F86" s="87" t="e">
        <f>SUMIFS([1]Табель!J:J,[1]Табель!E:E,C86,[1]Табель!B:B,"&gt;="&amp;Y79,[1]Табель!B:B,"&lt;"&amp;Y80,[1]Табель!F:F,'МЕХАНИЗАТОРЫ апрель'!I86)</f>
        <v>#VALUE!</v>
      </c>
      <c r="G86" s="78"/>
      <c r="H86" s="78"/>
      <c r="I86" s="78" t="s">
        <v>69</v>
      </c>
      <c r="J86" s="111">
        <f>INDEX([1]ИНФО_СПЕЦТЕХНИКА!$F$4:$F$24,MATCH(I86,[1]ИНФО_СПЕЦТЕХНИКА!$D$4:$D$24,0))</f>
        <v>180</v>
      </c>
      <c r="K86" s="88">
        <v>100</v>
      </c>
      <c r="L86" s="88" t="e">
        <f>SUMIFS([1]Табель!K:K,[1]Табель!E:E,C86,[1]Табель!B:B,"&gt;="&amp;Y79,[1]Табель!B:B,"&lt;"&amp;Y80,[1]Табель!F:F,I86)</f>
        <v>#VALUE!</v>
      </c>
      <c r="M86" s="89" t="e">
        <f>SUMIFS([1]Табель!L:L,[1]Табель!E:E,C86,[1]Табель!B:B,"&gt;="&amp;Y79,[1]Табель!B:B,"&lt;"&amp;Y80,[1]Табель!F:F,I86)</f>
        <v>#VALUE!</v>
      </c>
      <c r="N86" s="199"/>
      <c r="O86" s="261" t="e">
        <f t="shared" ref="O86:O107" si="24">F86-L86-M86</f>
        <v>#VALUE!</v>
      </c>
      <c r="Q86" s="283" t="e">
        <f>O86*J86+(L86+M86)*K86</f>
        <v>#VALUE!</v>
      </c>
      <c r="R86" s="110">
        <f t="shared" ref="R86" si="25">ROUND(E86*0.22,2)</f>
        <v>2090</v>
      </c>
      <c r="S86" s="110">
        <f t="shared" ref="S86" si="26">E86*0.195</f>
        <v>1852.5</v>
      </c>
      <c r="T86" s="110">
        <f t="shared" ref="T86" si="27">E86-S86</f>
        <v>7647.5</v>
      </c>
      <c r="U86" s="458">
        <f>-ROUND((R86+E86),2)</f>
        <v>-11590</v>
      </c>
      <c r="V86" s="545" t="e">
        <f t="shared" ref="V86:V107" si="28">Q86-T86</f>
        <v>#VALUE!</v>
      </c>
      <c r="W86" s="432"/>
      <c r="Z86" s="433" t="e">
        <f>CONCATENATE($Z$85,CHAR(10),O86," год.роботи х ",J86," грн. + ",L86+M86," год.ТО и заправки х ",K86," грн."," = ",CHAR(10),"До виплати ",TEXT(Q86,"# #")," грн.")</f>
        <v>#VALUE!</v>
      </c>
    </row>
    <row r="87" spans="2:28" hidden="1" outlineLevel="1" x14ac:dyDescent="0.3">
      <c r="B87" s="595">
        <v>2</v>
      </c>
      <c r="C87" s="122" t="s">
        <v>249</v>
      </c>
      <c r="D87" s="122" t="str">
        <f>INDEX([1]ИНФО!C:C,MATCH(C87,[1]ИНФО!B:B,0))</f>
        <v>Борисенко Олексій Миколайович</v>
      </c>
      <c r="E87" s="592">
        <f>INDEX($F$111:$F$127,MATCH(D87,$D$111:$D$127,0))</f>
        <v>9500</v>
      </c>
      <c r="F87" s="123" t="e">
        <f>SUMIFS([1]Табель!J:J,[1]Табель!E:E,C87,[1]Табель!B:B,"&gt;="&amp;Y79,[1]Табель!B:B,"&lt;"&amp;Y80,[1]Табель!F:F,'МЕХАНИЗАТОРЫ апрель'!I87)</f>
        <v>#VALUE!</v>
      </c>
      <c r="G87" s="123"/>
      <c r="H87" s="123"/>
      <c r="I87" s="123" t="s">
        <v>0</v>
      </c>
      <c r="J87" s="111">
        <f>INDEX([1]ИНФО_СПЕЦТЕХНИКА!$F$4:$F$24,MATCH(I87,[1]ИНФО_СПЕЦТЕХНИКА!$D$4:$D$24,0))</f>
        <v>170</v>
      </c>
      <c r="K87" s="125">
        <v>100</v>
      </c>
      <c r="L87" s="125" t="e">
        <f>SUMIFS([1]Табель!K:K,[1]Табель!E:E,C87,[1]Табель!B:B,"&gt;="&amp;Y79,[1]Табель!B:B,"&lt;"&amp;Y80,[1]Табель!F:F,I87)</f>
        <v>#VALUE!</v>
      </c>
      <c r="M87" s="126" t="e">
        <f>SUMIFS([1]Табель!L:L,[1]Табель!E:E,C87,[1]Табель!B:B,"&gt;="&amp;Y79,[1]Табель!B:B,"&lt;"&amp;Y80,[1]Табель!F:F,I87)</f>
        <v>#VALUE!</v>
      </c>
      <c r="N87" s="202"/>
      <c r="O87" s="264" t="e">
        <f t="shared" si="24"/>
        <v>#VALUE!</v>
      </c>
      <c r="Q87" s="281" t="e">
        <f t="shared" ref="Q87:Q107" si="29">O87*J87+(L87+M87)*K87</f>
        <v>#VALUE!</v>
      </c>
      <c r="R87" s="127" t="e">
        <f>ROUND(E87*(Q87/(SUM(Q87:Q88)))*0.22,2)</f>
        <v>#VALUE!</v>
      </c>
      <c r="S87" s="127" t="e">
        <f>ROUND(E87*(Q87/(SUM(Q87:Q88)))*0.195,2)</f>
        <v>#VALUE!</v>
      </c>
      <c r="T87" s="127" t="e">
        <f>E87*Q87/(Q87+Q88)-S87</f>
        <v>#VALUE!</v>
      </c>
      <c r="U87" s="463" t="e">
        <f>-ROUND((R87+E87*Q87/(Q87+Q88)),2)</f>
        <v>#VALUE!</v>
      </c>
      <c r="V87" s="545" t="e">
        <f t="shared" si="28"/>
        <v>#VALUE!</v>
      </c>
      <c r="W87" s="432"/>
      <c r="Z87" s="433" t="e">
        <f t="shared" ref="Z87:Z107" si="30">CONCATENATE($Z$85,CHAR(10),O87," год.роботи х ",J87," грн. + ",L87+M87," год.ТО и заправки х ",K87," грн."," = ",CHAR(10),"До виплати ",TEXT(Q87,"# #")," грн.")</f>
        <v>#VALUE!</v>
      </c>
    </row>
    <row r="88" spans="2:28" ht="15" hidden="1" outlineLevel="1" thickBot="1" x14ac:dyDescent="0.35">
      <c r="B88" s="596"/>
      <c r="C88" s="114" t="s">
        <v>249</v>
      </c>
      <c r="D88" s="115" t="str">
        <f>INDEX([1]ИНФО!C:C,MATCH(C88,[1]ИНФО!B:B,0))</f>
        <v>Борисенко Олексій Миколайович</v>
      </c>
      <c r="E88" s="593"/>
      <c r="F88" s="94" t="e">
        <f>SUMIFS([1]Табель!J:J,[1]Табель!E:E,C88,[1]Табель!B:B,"&gt;="&amp;Y79,[1]Табель!B:B,"&lt;"&amp;Y80,[1]Табель!F:F,'МЕХАНИЗАТОРЫ апрель'!I88)</f>
        <v>#VALUE!</v>
      </c>
      <c r="G88" s="117"/>
      <c r="H88" s="117"/>
      <c r="I88" s="117" t="s">
        <v>473</v>
      </c>
      <c r="J88" s="111">
        <f>INDEX([1]ИНФО_СПЕЦТЕХНИКА!$F$4:$F$24,MATCH(I88,[1]ИНФО_СПЕЦТЕХНИКА!$D$4:$D$24,0))</f>
        <v>180</v>
      </c>
      <c r="K88" s="95">
        <v>100</v>
      </c>
      <c r="L88" s="95" t="e">
        <f>SUMIFS([1]Табель!K:K,[1]Табель!E:E,C88,[1]Табель!B:B,"&gt;="&amp;Y79,[1]Табель!B:B,"&lt;"&amp;Y80,[1]Табель!F:F,I88)</f>
        <v>#VALUE!</v>
      </c>
      <c r="M88" s="96" t="e">
        <f>SUMIFS([1]Табель!L:L,[1]Табель!E:E,C88,[1]Табель!B:B,"&gt;="&amp;Y79,[1]Табель!B:B,"&lt;"&amp;Y80,[1]Табель!F:F,I88)</f>
        <v>#VALUE!</v>
      </c>
      <c r="N88" s="200"/>
      <c r="O88" s="262" t="e">
        <f t="shared" si="24"/>
        <v>#VALUE!</v>
      </c>
      <c r="Q88" s="282" t="e">
        <f t="shared" si="29"/>
        <v>#VALUE!</v>
      </c>
      <c r="R88" s="120" t="e">
        <f>ROUND(E87*(Q88/(SUM(Q87:Q88)))*0.22,2)</f>
        <v>#VALUE!</v>
      </c>
      <c r="S88" s="120" t="e">
        <f>ROUND(E87*(Q88/(SUM(Q87:Q88)))*0.195,2)</f>
        <v>#VALUE!</v>
      </c>
      <c r="T88" s="120" t="e">
        <f>E87*Q88/(Q87+Q88)-S88</f>
        <v>#VALUE!</v>
      </c>
      <c r="U88" s="459" t="e">
        <f>-ROUND((R88+E87*Q88/(Q87+Q88)),2)</f>
        <v>#VALUE!</v>
      </c>
      <c r="V88" s="545" t="e">
        <f t="shared" si="28"/>
        <v>#VALUE!</v>
      </c>
      <c r="W88" s="432"/>
      <c r="Z88" s="433" t="e">
        <f t="shared" si="30"/>
        <v>#VALUE!</v>
      </c>
    </row>
    <row r="89" spans="2:28" hidden="1" outlineLevel="1" x14ac:dyDescent="0.3">
      <c r="B89" s="595">
        <v>3</v>
      </c>
      <c r="C89" s="109" t="s">
        <v>250</v>
      </c>
      <c r="D89" s="109" t="str">
        <f>INDEX([1]ИНФО!C:C,MATCH(C89,[1]ИНФО!B:B,0))</f>
        <v>Божков Валерій Вікторович</v>
      </c>
      <c r="E89" s="592">
        <f>INDEX($F$111:$F$127,MATCH(D89,$D$111:$D$127,0))</f>
        <v>4071.43</v>
      </c>
      <c r="F89" s="78" t="e">
        <f>SUMIFS([1]Табель!J:J,[1]Табель!E:E,C89,[1]Табель!B:B,"&gt;="&amp;Y79,[1]Табель!B:B,"&lt;"&amp;Y80,[1]Табель!F:F,'МЕХАНИЗАТОРЫ апрель'!I89)</f>
        <v>#VALUE!</v>
      </c>
      <c r="G89" s="78"/>
      <c r="H89" s="78"/>
      <c r="I89" s="78" t="s">
        <v>75</v>
      </c>
      <c r="J89" s="111">
        <f>INDEX([1]ИНФО_СПЕЦТЕХНИКА!$F$4:$F$24,MATCH(I89,[1]ИНФО_СПЕЦТЕХНИКА!$D$4:$D$24,0))</f>
        <v>140</v>
      </c>
      <c r="K89" s="79">
        <v>100</v>
      </c>
      <c r="L89" s="79" t="e">
        <f>SUMIFS([1]Табель!K:K,[1]Табель!E:E,C89,[1]Табель!B:B,"&gt;="&amp;Y79,[1]Табель!B:B,"&lt;"&amp;Y80,[1]Табель!F:F,I89)</f>
        <v>#VALUE!</v>
      </c>
      <c r="M89" s="80" t="e">
        <f>SUMIFS([1]Табель!L:L,[1]Табель!E:E,C89,[1]Табель!B:B,"&gt;="&amp;Y79,[1]Табель!B:B,"&lt;"&amp;Y80,[1]Табель!F:F,I89)</f>
        <v>#VALUE!</v>
      </c>
      <c r="N89" s="198"/>
      <c r="O89" s="260" t="e">
        <f t="shared" si="24"/>
        <v>#VALUE!</v>
      </c>
      <c r="Q89" s="281" t="e">
        <f t="shared" si="29"/>
        <v>#VALUE!</v>
      </c>
      <c r="R89" s="127" t="e">
        <f>ROUND(E89*(Q89/(SUM(Q89:Q90)))*0.22,2)</f>
        <v>#VALUE!</v>
      </c>
      <c r="S89" s="127" t="e">
        <f>ROUND(E89*(Q89/(SUM(Q89:Q90)))*0.195,2)</f>
        <v>#VALUE!</v>
      </c>
      <c r="T89" s="127" t="e">
        <f>E89*Q89/(Q89+Q90)-S89</f>
        <v>#VALUE!</v>
      </c>
      <c r="U89" s="463" t="e">
        <f>-ROUND((R89+E89*Q89/(Q89+Q90)),2)</f>
        <v>#VALUE!</v>
      </c>
      <c r="V89" s="545" t="e">
        <f t="shared" si="28"/>
        <v>#VALUE!</v>
      </c>
      <c r="W89" s="432"/>
      <c r="Z89" s="433" t="e">
        <f t="shared" si="30"/>
        <v>#VALUE!</v>
      </c>
    </row>
    <row r="90" spans="2:28" ht="15" hidden="1" outlineLevel="1" thickBot="1" x14ac:dyDescent="0.35">
      <c r="B90" s="599"/>
      <c r="C90" s="115" t="s">
        <v>250</v>
      </c>
      <c r="D90" s="115" t="str">
        <f>INDEX([1]ИНФО!C:C,MATCH(C90,[1]ИНФО!B:B,0))</f>
        <v>Божков Валерій Вікторович</v>
      </c>
      <c r="E90" s="593"/>
      <c r="F90" s="117" t="e">
        <f>SUMIFS([1]Табель!J:J,[1]Табель!E:E,C90,[1]Табель!B:B,"&gt;="&amp;Y79,[1]Табель!B:B,"&lt;"&amp;Y80,[1]Табель!F:F,'МЕХАНИЗАТОРЫ апрель'!I90)</f>
        <v>#VALUE!</v>
      </c>
      <c r="G90" s="117"/>
      <c r="H90" s="117"/>
      <c r="I90" s="117" t="s">
        <v>349</v>
      </c>
      <c r="J90" s="118">
        <f>INDEX([1]ИНФО_СПЕЦТЕХНИКА!$F$4:$F$24,MATCH(I90,[1]ИНФО_СПЕЦТЕХНИКА!$D$4:$D$24,0))</f>
        <v>140</v>
      </c>
      <c r="K90" s="119">
        <v>100</v>
      </c>
      <c r="L90" s="119" t="e">
        <f>SUMIFS([1]Табель!K:K,[1]Табель!E:E,C90,[1]Табель!B:B,"&gt;="&amp;Y79,[1]Табель!B:B,"&lt;"&amp;Y80,[1]Табель!F:F,I90)</f>
        <v>#VALUE!</v>
      </c>
      <c r="M90" s="163" t="e">
        <f>SUMIFS([1]Табель!L:L,[1]Табель!E:E,C90,[1]Табель!B:B,"&gt;="&amp;Y79,[1]Табель!B:B,"&lt;"&amp;Y80,[1]Табель!F:F,I90)</f>
        <v>#VALUE!</v>
      </c>
      <c r="N90" s="206"/>
      <c r="O90" s="268" t="e">
        <f t="shared" si="24"/>
        <v>#VALUE!</v>
      </c>
      <c r="Q90" s="282" t="e">
        <f t="shared" si="29"/>
        <v>#VALUE!</v>
      </c>
      <c r="R90" s="120" t="e">
        <f>ROUND(E89*(Q90/(SUM(Q89:Q90)))*0.22,2)</f>
        <v>#VALUE!</v>
      </c>
      <c r="S90" s="120" t="e">
        <f>ROUND(E89*(Q90/(SUM(Q89:Q90)))*0.195,2)</f>
        <v>#VALUE!</v>
      </c>
      <c r="T90" s="120" t="e">
        <f>E89*Q90/(Q89+Q90)-S90</f>
        <v>#VALUE!</v>
      </c>
      <c r="U90" s="459" t="e">
        <f>-ROUND((R90+E89*Q90/(Q89+Q90)),2)</f>
        <v>#VALUE!</v>
      </c>
      <c r="V90" s="545" t="e">
        <f t="shared" si="28"/>
        <v>#VALUE!</v>
      </c>
      <c r="W90" s="432"/>
      <c r="Z90" s="433" t="e">
        <f t="shared" si="30"/>
        <v>#VALUE!</v>
      </c>
    </row>
    <row r="91" spans="2:28" hidden="1" outlineLevel="1" x14ac:dyDescent="0.3">
      <c r="B91" s="75">
        <v>4</v>
      </c>
      <c r="C91" s="109" t="s">
        <v>247</v>
      </c>
      <c r="D91" s="109" t="str">
        <f>INDEX([1]ИНФО!C:C,MATCH(C91,[1]ИНФО!B:B,0))</f>
        <v>Бунтило Віталій Іванович</v>
      </c>
      <c r="E91" s="164">
        <f>INDEX($F$111:$F$127,MATCH(D91,$D$111:$D$127,0))</f>
        <v>9500</v>
      </c>
      <c r="F91" s="78" t="e">
        <f>SUMIFS([1]Табель!J:J,[1]Табель!E:E,C91,[1]Табель!B:B,"&gt;="&amp;Y79,[1]Табель!B:B,"&lt;"&amp;Y80,[1]Табель!F:F,'МЕХАНИЗАТОРЫ апрель'!I91)</f>
        <v>#VALUE!</v>
      </c>
      <c r="G91" s="78"/>
      <c r="H91" s="78"/>
      <c r="I91" s="78" t="s">
        <v>440</v>
      </c>
      <c r="J91" s="130">
        <f>INDEX([1]ИНФО_СПЕЦТЕХНИКА!$F$4:$F$24,MATCH(I91,[1]ИНФО_СПЕЦТЕХНИКА!$D$4:$D$24,0))</f>
        <v>140</v>
      </c>
      <c r="K91" s="79">
        <v>100</v>
      </c>
      <c r="L91" s="79" t="e">
        <f>SUMIFS([1]Табель!K:K,[1]Табель!E:E,C91,[1]Табель!B:B,"&gt;="&amp;Y79,[1]Табель!B:B,"&lt;"&amp;Y80,[1]Табель!F:F,I91)</f>
        <v>#VALUE!</v>
      </c>
      <c r="M91" s="80" t="e">
        <f>SUMIFS([1]Табель!L:L,[1]Табель!E:E,C91,[1]Табель!B:B,"&gt;="&amp;Y79,[1]Табель!B:B,"&lt;"&amp;Y80,[1]Табель!F:F,I91)</f>
        <v>#VALUE!</v>
      </c>
      <c r="N91" s="198"/>
      <c r="O91" s="260" t="e">
        <f t="shared" si="24"/>
        <v>#VALUE!</v>
      </c>
      <c r="Q91" s="279" t="e">
        <f t="shared" si="29"/>
        <v>#VALUE!</v>
      </c>
      <c r="R91" s="110">
        <f t="shared" ref="R91:R107" si="31">ROUND(E91*0.22,2)</f>
        <v>2090</v>
      </c>
      <c r="S91" s="110">
        <f t="shared" ref="S91:S107" si="32">E91*0.195</f>
        <v>1852.5</v>
      </c>
      <c r="T91" s="110">
        <f t="shared" ref="T91:T107" si="33">E91-S91</f>
        <v>7647.5</v>
      </c>
      <c r="U91" s="458">
        <f t="shared" ref="U91:U107" si="34">-ROUND((R91+E91),2)</f>
        <v>-11590</v>
      </c>
      <c r="V91" s="545" t="e">
        <f t="shared" si="28"/>
        <v>#VALUE!</v>
      </c>
      <c r="W91" s="432"/>
      <c r="Z91" s="433" t="e">
        <f t="shared" si="30"/>
        <v>#VALUE!</v>
      </c>
    </row>
    <row r="92" spans="2:28" hidden="1" outlineLevel="1" x14ac:dyDescent="0.3">
      <c r="B92" s="75">
        <v>5</v>
      </c>
      <c r="C92" s="131" t="s">
        <v>377</v>
      </c>
      <c r="D92" s="109" t="str">
        <f>INDEX([1]ИНФО!C:C,MATCH(C92,[1]ИНФО!B:B,0))</f>
        <v>Селівончик Ігор Петрович</v>
      </c>
      <c r="E92" s="165">
        <v>5880.95</v>
      </c>
      <c r="F92" s="87" t="e">
        <f>SUMIFS([1]Табель!J:J,[1]Табель!E:E,C92,[1]Табель!B:B,"&gt;="&amp;Y79,[1]Табель!B:B,"&lt;"&amp;Y80,[1]Табель!F:F,I92)</f>
        <v>#VALUE!</v>
      </c>
      <c r="G92" s="78"/>
      <c r="H92" s="78"/>
      <c r="I92" s="78" t="s">
        <v>75</v>
      </c>
      <c r="J92" s="111">
        <f>INDEX([1]ИНФО_СПЕЦТЕХНИКА!$F$4:$F$24,MATCH(I92,[1]ИНФО_СПЕЦТЕХНИКА!$D$4:$D$24,0))</f>
        <v>140</v>
      </c>
      <c r="K92" s="88">
        <v>100</v>
      </c>
      <c r="L92" s="88" t="e">
        <f>SUMIFS([1]Табель!K:K,[1]Табель!E:E,C92,[1]Табель!B:B,"&gt;="&amp;Y79,[1]Табель!B:B,"&lt;"&amp;Y80,[1]Табель!F:F,I92)</f>
        <v>#VALUE!</v>
      </c>
      <c r="M92" s="89" t="e">
        <f>SUMIFS([1]Табель!L:L,[1]Табель!E:E,C92,[1]Табель!B:B,"&gt;="&amp;Y79,[1]Табель!B:B,"&lt;"&amp;Y80,[1]Табель!F:F,I92)</f>
        <v>#VALUE!</v>
      </c>
      <c r="N92" s="199"/>
      <c r="O92" s="261" t="e">
        <f t="shared" si="24"/>
        <v>#VALUE!</v>
      </c>
      <c r="Q92" s="283" t="e">
        <f t="shared" si="29"/>
        <v>#VALUE!</v>
      </c>
      <c r="R92" s="110">
        <f t="shared" si="31"/>
        <v>1293.81</v>
      </c>
      <c r="S92" s="110">
        <f t="shared" si="32"/>
        <v>1146.7852499999999</v>
      </c>
      <c r="T92" s="110">
        <f t="shared" si="33"/>
        <v>4734.1647499999999</v>
      </c>
      <c r="U92" s="458">
        <f t="shared" si="34"/>
        <v>-7174.76</v>
      </c>
      <c r="V92" s="545" t="e">
        <f t="shared" si="28"/>
        <v>#VALUE!</v>
      </c>
      <c r="W92" s="432"/>
      <c r="Z92" s="433" t="e">
        <f t="shared" si="30"/>
        <v>#VALUE!</v>
      </c>
    </row>
    <row r="93" spans="2:28" hidden="1" outlineLevel="1" x14ac:dyDescent="0.3">
      <c r="B93" s="75">
        <v>6</v>
      </c>
      <c r="C93" s="131" t="s">
        <v>375</v>
      </c>
      <c r="D93" s="109" t="str">
        <f>INDEX([1]ИНФО!C:C,MATCH(C93,[1]ИНФО!B:B,0))</f>
        <v>Савранский Іван Володимирович</v>
      </c>
      <c r="E93" s="164">
        <f>INDEX($F$111:$F$127,MATCH(D93,$D$111:$D$127,0))</f>
        <v>9500</v>
      </c>
      <c r="F93" s="87" t="e">
        <f>SUMIFS([1]Табель!J:J,[1]Табель!E:E,C93,[1]Табель!B:B,"&gt;="&amp;Y79,[1]Табель!B:B,"&lt;"&amp;Y80,[1]Табель!F:F,'МЕХАНИЗАТОРЫ апрель'!I93)</f>
        <v>#VALUE!</v>
      </c>
      <c r="G93" s="78"/>
      <c r="H93" s="78"/>
      <c r="I93" s="78" t="s">
        <v>442</v>
      </c>
      <c r="J93" s="111">
        <f>INDEX([1]ИНФО_СПЕЦТЕХНИКА!$F$4:$F$24,MATCH(I93,[1]ИНФО_СПЕЦТЕХНИКА!$D$4:$D$24,0))</f>
        <v>170</v>
      </c>
      <c r="K93" s="88">
        <v>100</v>
      </c>
      <c r="L93" s="88" t="e">
        <f>SUMIFS([1]Табель!K:K,[1]Табель!E:E,C93,[1]Табель!B:B,"&gt;="&amp;Y79,[1]Табель!B:B,"&lt;"&amp;Y80,[1]Табель!F:F,I93)</f>
        <v>#VALUE!</v>
      </c>
      <c r="M93" s="89" t="e">
        <f>SUMIFS([1]Табель!L:L,[1]Табель!E:E,C93,[1]Табель!B:B,"&gt;="&amp;Y79,[1]Табель!B:B,"&lt;"&amp;Y80,[1]Табель!F:F,I93)</f>
        <v>#VALUE!</v>
      </c>
      <c r="N93" s="199"/>
      <c r="O93" s="261" t="e">
        <f t="shared" si="24"/>
        <v>#VALUE!</v>
      </c>
      <c r="Q93" s="283" t="e">
        <f t="shared" si="29"/>
        <v>#VALUE!</v>
      </c>
      <c r="R93" s="110">
        <f t="shared" si="31"/>
        <v>2090</v>
      </c>
      <c r="S93" s="110">
        <f t="shared" si="32"/>
        <v>1852.5</v>
      </c>
      <c r="T93" s="110">
        <f t="shared" si="33"/>
        <v>7647.5</v>
      </c>
      <c r="U93" s="458">
        <f t="shared" si="34"/>
        <v>-11590</v>
      </c>
      <c r="V93" s="545" t="e">
        <f t="shared" si="28"/>
        <v>#VALUE!</v>
      </c>
      <c r="W93" s="432"/>
      <c r="Z93" s="433" t="e">
        <f t="shared" si="30"/>
        <v>#VALUE!</v>
      </c>
    </row>
    <row r="94" spans="2:28" hidden="1" outlineLevel="1" x14ac:dyDescent="0.3">
      <c r="B94" s="75">
        <v>7</v>
      </c>
      <c r="C94" s="131" t="s">
        <v>245</v>
      </c>
      <c r="D94" s="131" t="str">
        <f>INDEX([1]ИНФО!C:C,MATCH(C94,[1]ИНФО!B:B,0))</f>
        <v>Зенкін Дмитро Юрійович</v>
      </c>
      <c r="E94" s="164">
        <f>INDEX($F$111:$F$127,MATCH(D94,$D$111:$D$127,0))</f>
        <v>7464.3</v>
      </c>
      <c r="F94" s="87" t="e">
        <f>SUMIFS([1]Табель!J:J,[1]Табель!E:E,C94,[1]Табель!B:B,"&gt;="&amp;Y79,[1]Табель!B:B,"&lt;"&amp;Y80,[1]Табель!F:F,'МЕХАНИЗАТОРЫ апрель'!I94)</f>
        <v>#VALUE!</v>
      </c>
      <c r="G94" s="78"/>
      <c r="H94" s="78"/>
      <c r="I94" s="78" t="s">
        <v>74</v>
      </c>
      <c r="J94" s="111">
        <f>INDEX([1]ИНФО_СПЕЦТЕХНИКА!$F$4:$F$24,MATCH(I94,[1]ИНФО_СПЕЦТЕХНИКА!$D$4:$D$24,0))</f>
        <v>170</v>
      </c>
      <c r="K94" s="88">
        <v>100</v>
      </c>
      <c r="L94" s="88" t="e">
        <f>SUMIFS([1]Табель!K:K,[1]Табель!E:E,C94,[1]Табель!B:B,"&gt;="&amp;Y79,[1]Табель!B:B,"&lt;"&amp;Y80,[1]Табель!F:F,I94)</f>
        <v>#VALUE!</v>
      </c>
      <c r="M94" s="89" t="e">
        <f>SUMIFS([1]Табель!L:L,[1]Табель!E:E,C94,[1]Табель!B:B,"&gt;="&amp;Y79,[1]Табель!B:B,"&lt;"&amp;Y80,[1]Табель!F:F,I94)</f>
        <v>#VALUE!</v>
      </c>
      <c r="N94" s="199"/>
      <c r="O94" s="261" t="e">
        <f t="shared" si="24"/>
        <v>#VALUE!</v>
      </c>
      <c r="Q94" s="283" t="e">
        <f t="shared" si="29"/>
        <v>#VALUE!</v>
      </c>
      <c r="R94" s="110">
        <f t="shared" si="31"/>
        <v>1642.15</v>
      </c>
      <c r="S94" s="110">
        <f t="shared" si="32"/>
        <v>1455.5385000000001</v>
      </c>
      <c r="T94" s="110">
        <f t="shared" si="33"/>
        <v>6008.7615000000005</v>
      </c>
      <c r="U94" s="458">
        <f t="shared" si="34"/>
        <v>-9106.4500000000007</v>
      </c>
      <c r="V94" s="545" t="e">
        <f t="shared" si="28"/>
        <v>#VALUE!</v>
      </c>
      <c r="W94" s="432"/>
      <c r="Z94" s="433" t="e">
        <f t="shared" si="30"/>
        <v>#VALUE!</v>
      </c>
    </row>
    <row r="95" spans="2:28" hidden="1" outlineLevel="1" x14ac:dyDescent="0.3">
      <c r="B95" s="138">
        <v>8</v>
      </c>
      <c r="C95" s="166" t="s">
        <v>373</v>
      </c>
      <c r="D95" s="167" t="str">
        <f>INDEX([1]ИНФО!C:C,MATCH(C95,[1]ИНФО!B:B,0))</f>
        <v>Ковальчук Валентин Вікторович</v>
      </c>
      <c r="E95" s="164">
        <v>2272.39</v>
      </c>
      <c r="F95" s="87" t="e">
        <f>SUMIFS([1]Табель!J:J,[1]Табель!E:E,C95,[1]Табель!B:B,"&gt;="&amp;Y79,[1]Табель!B:B,"&lt;"&amp;Y80,[1]Табель!F:F,'МЕХАНИЗАТОРЫ апрель'!I95)</f>
        <v>#VALUE!</v>
      </c>
      <c r="G95" s="78"/>
      <c r="H95" s="78"/>
      <c r="I95" s="78" t="s">
        <v>74</v>
      </c>
      <c r="J95" s="111">
        <f>INDEX([1]ИНФО_СПЕЦТЕХНИКА!$F$4:$F$24,MATCH(I95,[1]ИНФО_СПЕЦТЕХНИКА!$D$4:$D$24,0))</f>
        <v>170</v>
      </c>
      <c r="K95" s="88">
        <v>100</v>
      </c>
      <c r="L95" s="168" t="e">
        <f>SUMIFS([1]Табель!K:K,[1]Табель!E:E,C95,[1]Табель!B:B,"&gt;="&amp;Y79,[1]Табель!B:B,"&lt;"&amp;Y80,[1]Табель!F:F,I95)</f>
        <v>#VALUE!</v>
      </c>
      <c r="M95" s="169" t="e">
        <f>SUMIFS([1]Табель!L:L,[1]Табель!E:E,C95,[1]Табель!B:B,"&gt;="&amp;Y79,[1]Табель!B:B,"&lt;"&amp;Y80,[1]Табель!F:F,I95)</f>
        <v>#VALUE!</v>
      </c>
      <c r="N95" s="207"/>
      <c r="O95" s="261" t="e">
        <f t="shared" si="24"/>
        <v>#VALUE!</v>
      </c>
      <c r="Q95" s="283" t="e">
        <f t="shared" si="29"/>
        <v>#VALUE!</v>
      </c>
      <c r="R95" s="146"/>
      <c r="S95" s="110">
        <f t="shared" si="32"/>
        <v>443.11604999999997</v>
      </c>
      <c r="T95" s="110">
        <f t="shared" si="33"/>
        <v>1829.2739499999998</v>
      </c>
      <c r="U95" s="458">
        <f t="shared" si="34"/>
        <v>-2272.39</v>
      </c>
      <c r="V95" s="545" t="e">
        <f t="shared" si="28"/>
        <v>#VALUE!</v>
      </c>
      <c r="W95" s="432"/>
      <c r="Z95" s="433" t="e">
        <f t="shared" si="30"/>
        <v>#VALUE!</v>
      </c>
    </row>
    <row r="96" spans="2:28" hidden="1" outlineLevel="1" x14ac:dyDescent="0.3">
      <c r="B96" s="148">
        <v>9</v>
      </c>
      <c r="C96" s="131" t="s">
        <v>244</v>
      </c>
      <c r="D96" s="131" t="str">
        <f>INDEX([1]ИНФО!C:C,MATCH(C96,[1]ИНФО!B:B,0))</f>
        <v>Карбунар Ярослав Дмитрович</v>
      </c>
      <c r="E96" s="164">
        <f>INDEX($F$111:$F$127,MATCH(D96,$D$111:$D$127,0))</f>
        <v>9880</v>
      </c>
      <c r="F96" s="87" t="e">
        <f>SUMIFS([1]Табель!J:J,[1]Табель!E:E,C96,[1]Табель!B:B,"&gt;="&amp;Y79,[1]Табель!B:B,"&lt;"&amp;Y80,[1]Табель!F:F,'МЕХАНИЗАТОРЫ апрель'!I96)</f>
        <v>#VALUE!</v>
      </c>
      <c r="G96" s="87"/>
      <c r="H96" s="87"/>
      <c r="I96" s="87" t="s">
        <v>443</v>
      </c>
      <c r="J96" s="111">
        <f>INDEX([1]ИНФО_СПЕЦТЕХНИКА!$F$4:$F$24,MATCH(I96,[1]ИНФО_СПЕЦТЕХНИКА!$D$4:$D$24,0))</f>
        <v>170</v>
      </c>
      <c r="K96" s="88">
        <v>100</v>
      </c>
      <c r="L96" s="88" t="e">
        <f>SUMIFS([1]Табель!K:K,[1]Табель!E:E,C96,[1]Табель!B:B,"&gt;="&amp;Y79,[1]Табель!B:B,"&lt;"&amp;Y80,[1]Табель!F:F,I96)</f>
        <v>#VALUE!</v>
      </c>
      <c r="M96" s="89" t="e">
        <f>SUMIFS([1]Табель!L:L,[1]Табель!E:E,C96,[1]Табель!B:B,"&gt;="&amp;Y79,[1]Табель!B:B,"&lt;"&amp;Y80,[1]Табель!F:F,I96)</f>
        <v>#VALUE!</v>
      </c>
      <c r="N96" s="199"/>
      <c r="O96" s="261" t="e">
        <f t="shared" si="24"/>
        <v>#VALUE!</v>
      </c>
      <c r="Q96" s="283" t="e">
        <f t="shared" si="29"/>
        <v>#VALUE!</v>
      </c>
      <c r="R96" s="150">
        <f t="shared" si="31"/>
        <v>2173.6</v>
      </c>
      <c r="S96" s="150">
        <f t="shared" si="32"/>
        <v>1926.6000000000001</v>
      </c>
      <c r="T96" s="150">
        <f>E96-S96</f>
        <v>7953.4</v>
      </c>
      <c r="U96" s="464">
        <f t="shared" si="34"/>
        <v>-12053.6</v>
      </c>
      <c r="V96" s="545" t="e">
        <f t="shared" si="28"/>
        <v>#VALUE!</v>
      </c>
      <c r="W96" s="432"/>
      <c r="Z96" s="433" t="e">
        <f t="shared" si="30"/>
        <v>#VALUE!</v>
      </c>
    </row>
    <row r="97" spans="2:26" hidden="1" outlineLevel="1" x14ac:dyDescent="0.3">
      <c r="B97" s="75">
        <v>10</v>
      </c>
      <c r="C97" s="109" t="s">
        <v>376</v>
      </c>
      <c r="D97" s="109" t="str">
        <f>INDEX([1]ИНФО!C:C,MATCH(C97,[1]ИНФО!B:B,0))</f>
        <v>Косік Юрій Анатолійович</v>
      </c>
      <c r="E97" s="164">
        <f>INDEX($F$111:$F$127,MATCH(D97,$D$111:$D$127,0))</f>
        <v>9880</v>
      </c>
      <c r="F97" s="78" t="e">
        <f>SUMIFS([1]Табель!J:J,[1]Табель!E:E,C97,[1]Табель!B:B,"&gt;="&amp;Y79,[1]Табель!B:B,"&lt;"&amp;Y80,[1]Табель!F:F,'МЕХАНИЗАТОРЫ апрель'!I97)</f>
        <v>#VALUE!</v>
      </c>
      <c r="G97" s="78"/>
      <c r="H97" s="78"/>
      <c r="I97" s="78" t="s">
        <v>444</v>
      </c>
      <c r="J97" s="111">
        <f>INDEX([1]ИНФО_СПЕЦТЕХНИКА!$F$4:$F$24,MATCH(I97,[1]ИНФО_СПЕЦТЕХНИКА!$D$4:$D$24,0))</f>
        <v>170</v>
      </c>
      <c r="K97" s="79">
        <v>100</v>
      </c>
      <c r="L97" s="79" t="e">
        <f>SUMIFS([1]Табель!K:K,[1]Табель!E:E,C97,[1]Табель!B:B,"&gt;="&amp;Y79,[1]Табель!B:B,"&lt;"&amp;Y80,[1]Табель!F:F,I97)</f>
        <v>#VALUE!</v>
      </c>
      <c r="M97" s="80" t="e">
        <f>SUMIFS([1]Табель!L:L,[1]Табель!E:E,C97,[1]Табель!B:B,"&gt;="&amp;Y79,[1]Табель!B:B,"&lt;"&amp;Y80,[1]Табель!F:F,I97)</f>
        <v>#VALUE!</v>
      </c>
      <c r="N97" s="198"/>
      <c r="O97" s="260" t="e">
        <f t="shared" si="24"/>
        <v>#VALUE!</v>
      </c>
      <c r="Q97" s="279" t="e">
        <f t="shared" si="29"/>
        <v>#VALUE!</v>
      </c>
      <c r="R97" s="110">
        <f t="shared" si="31"/>
        <v>2173.6</v>
      </c>
      <c r="S97" s="110">
        <f t="shared" si="32"/>
        <v>1926.6000000000001</v>
      </c>
      <c r="T97" s="110">
        <f t="shared" si="33"/>
        <v>7953.4</v>
      </c>
      <c r="U97" s="458">
        <f t="shared" si="34"/>
        <v>-12053.6</v>
      </c>
      <c r="V97" s="545" t="e">
        <f t="shared" si="28"/>
        <v>#VALUE!</v>
      </c>
      <c r="W97" s="432"/>
      <c r="Y97" s="436" t="s">
        <v>479</v>
      </c>
      <c r="Z97" s="433" t="e">
        <f t="shared" si="30"/>
        <v>#VALUE!</v>
      </c>
    </row>
    <row r="98" spans="2:26" hidden="1" outlineLevel="1" x14ac:dyDescent="0.3">
      <c r="B98" s="75">
        <v>11</v>
      </c>
      <c r="C98" s="131" t="s">
        <v>378</v>
      </c>
      <c r="D98" s="109" t="str">
        <f>INDEX([1]ИНФО!C:C,MATCH(C98,[1]ИНФО!B:B,0))</f>
        <v>Трохименко Віталій Якович</v>
      </c>
      <c r="E98" s="164">
        <f>INDEX($F$111:$F$127,MATCH(D98,$D$111:$D$127,0))</f>
        <v>4750</v>
      </c>
      <c r="F98" s="87" t="e">
        <f>SUMIFS([1]Табель!J:J,[1]Табель!E:E,C98,[1]Табель!B:B,"&gt;="&amp;Y79,[1]Табель!B:B,"&lt;"&amp;Y80,[1]Табель!F:F,'МЕХАНИЗАТОРЫ апрель'!I98)</f>
        <v>#VALUE!</v>
      </c>
      <c r="G98" s="78"/>
      <c r="H98" s="78"/>
      <c r="I98" s="78" t="s">
        <v>445</v>
      </c>
      <c r="J98" s="111">
        <f>INDEX([1]ИНФО_СПЕЦТЕХНИКА!$F$4:$F$24,MATCH(I98,[1]ИНФО_СПЕЦТЕХНИКА!$D$4:$D$24,0))</f>
        <v>140</v>
      </c>
      <c r="K98" s="88">
        <v>100</v>
      </c>
      <c r="L98" s="88" t="e">
        <f>SUMIFS([1]Табель!K:K,[1]Табель!E:E,C98,[1]Табель!B:B,"&gt;="&amp;Y79,[1]Табель!B:B,"&lt;"&amp;Y80,[1]Табель!F:F,I98)</f>
        <v>#VALUE!</v>
      </c>
      <c r="M98" s="89" t="e">
        <f>SUMIFS([1]Табель!L:L,[1]Табель!E:E,C98,[1]Табель!B:B,"&gt;="&amp;Y79,[1]Табель!B:B,"&lt;"&amp;Y80,[1]Табель!F:F,I98)</f>
        <v>#VALUE!</v>
      </c>
      <c r="N98" s="199"/>
      <c r="O98" s="261" t="e">
        <f t="shared" si="24"/>
        <v>#VALUE!</v>
      </c>
      <c r="Q98" s="283" t="e">
        <f t="shared" si="29"/>
        <v>#VALUE!</v>
      </c>
      <c r="R98" s="110">
        <f t="shared" si="31"/>
        <v>1045</v>
      </c>
      <c r="S98" s="110">
        <f t="shared" si="32"/>
        <v>926.25</v>
      </c>
      <c r="T98" s="110">
        <f t="shared" si="33"/>
        <v>3823.75</v>
      </c>
      <c r="U98" s="458">
        <f t="shared" si="34"/>
        <v>-5795</v>
      </c>
      <c r="V98" s="545" t="e">
        <f t="shared" si="28"/>
        <v>#VALUE!</v>
      </c>
      <c r="W98" s="432"/>
      <c r="Y98" s="437" t="s">
        <v>480</v>
      </c>
      <c r="Z98" s="433" t="e">
        <f t="shared" si="30"/>
        <v>#VALUE!</v>
      </c>
    </row>
    <row r="99" spans="2:26" ht="15" hidden="1" outlineLevel="1" thickBot="1" x14ac:dyDescent="0.35">
      <c r="B99" s="113">
        <v>12</v>
      </c>
      <c r="C99" s="115" t="s">
        <v>243</v>
      </c>
      <c r="D99" s="115" t="str">
        <f>INDEX([1]ИНФО!C:C,MATCH(C99,[1]ИНФО!B:B,0))</f>
        <v>Мусієнко Ігор Іванович</v>
      </c>
      <c r="E99" s="170">
        <f>INDEX($F$111:$F$127,MATCH(D99,$D$111:$D$127,0))</f>
        <v>9500</v>
      </c>
      <c r="F99" s="117" t="e">
        <f>SUMIFS([1]Табель!J:J,[1]Табель!E:E,C99,[1]Табель!B:B,"&gt;="&amp;Y79,[1]Табель!B:B,"&lt;"&amp;Y80,[1]Табель!F:F,'МЕХАНИЗАТОРЫ апрель'!I99)</f>
        <v>#VALUE!</v>
      </c>
      <c r="G99" s="117"/>
      <c r="H99" s="117"/>
      <c r="I99" s="117" t="s">
        <v>441</v>
      </c>
      <c r="J99" s="118">
        <f>INDEX([1]ИНФО_СПЕЦТЕХНИКА!$F$4:$F$24,MATCH(I99,[1]ИНФО_СПЕЦТЕХНИКА!$D$4:$D$24,0))</f>
        <v>170</v>
      </c>
      <c r="K99" s="119">
        <v>100</v>
      </c>
      <c r="L99" s="119" t="e">
        <f>SUMIFS([1]Табель!K:K,[1]Табель!E:E,C99,[1]Табель!B:B,"&gt;="&amp;Y79,[1]Табель!B:B,"&lt;"&amp;Y80,[1]Табель!F:F,I99)</f>
        <v>#VALUE!</v>
      </c>
      <c r="M99" s="163" t="e">
        <f>SUMIFS([1]Табель!L:L,[1]Табель!E:E,C99,[1]Табель!B:B,"&gt;="&amp;Y79,[1]Табель!B:B,"&lt;"&amp;Y80,[1]Табель!F:F,I99)</f>
        <v>#VALUE!</v>
      </c>
      <c r="N99" s="206"/>
      <c r="O99" s="268" t="e">
        <f t="shared" si="24"/>
        <v>#VALUE!</v>
      </c>
      <c r="Q99" s="280" t="e">
        <f t="shared" si="29"/>
        <v>#VALUE!</v>
      </c>
      <c r="R99" s="120">
        <f t="shared" si="31"/>
        <v>2090</v>
      </c>
      <c r="S99" s="120">
        <f t="shared" si="32"/>
        <v>1852.5</v>
      </c>
      <c r="T99" s="120">
        <f t="shared" si="33"/>
        <v>7647.5</v>
      </c>
      <c r="U99" s="459">
        <f t="shared" si="34"/>
        <v>-11590</v>
      </c>
      <c r="V99" s="545" t="e">
        <f t="shared" si="28"/>
        <v>#VALUE!</v>
      </c>
      <c r="W99" s="432"/>
      <c r="Z99" s="433" t="e">
        <f t="shared" si="30"/>
        <v>#VALUE!</v>
      </c>
    </row>
    <row r="100" spans="2:26" hidden="1" outlineLevel="1" x14ac:dyDescent="0.3">
      <c r="B100" s="595">
        <v>13</v>
      </c>
      <c r="C100" s="109" t="s">
        <v>254</v>
      </c>
      <c r="D100" s="109" t="str">
        <f>INDEX([1]ИНФО!C:C,MATCH(C100,[1]ИНФО!B:B,0))</f>
        <v>Скоц Сергій Іванович</v>
      </c>
      <c r="E100" s="592">
        <f>INDEX($F$111:$F$127,MATCH(D100,$D$111:$D$127,0))</f>
        <v>9880</v>
      </c>
      <c r="F100" s="78" t="e">
        <f>SUMIFS([1]Табель!J:J,[1]Табель!E:E,C100,[1]Табель!B:B,"&gt;="&amp;Y79,[1]Табель!B:B,"&lt;"&amp;Y80,[1]Табель!F:F,'МЕХАНИЗАТОРЫ апрель'!I100)</f>
        <v>#VALUE!</v>
      </c>
      <c r="G100" s="78"/>
      <c r="H100" s="78"/>
      <c r="I100" s="78" t="s">
        <v>441</v>
      </c>
      <c r="J100" s="130">
        <f>INDEX([1]ИНФО_СПЕЦТЕХНИКА!$F$4:$F$24,MATCH(I100,[1]ИНФО_СПЕЦТЕХНИКА!$D$4:$D$24,0))</f>
        <v>170</v>
      </c>
      <c r="K100" s="79">
        <v>100</v>
      </c>
      <c r="L100" s="79" t="e">
        <f>SUMIFS([1]Табель!K:K,[1]Табель!E:E,C100,[1]Табель!B:B,"&gt;="&amp;Y79,[1]Табель!B:B,"&lt;"&amp;Y80,[1]Табель!F:F,I100)</f>
        <v>#VALUE!</v>
      </c>
      <c r="M100" s="80" t="e">
        <f>SUMIFS([1]Табель!L:L,[1]Табель!E:E,C100,[1]Табель!B:B,"&gt;="&amp;Y79,[1]Табель!B:B,"&lt;"&amp;Y80,[1]Табель!F:F,I100)</f>
        <v>#VALUE!</v>
      </c>
      <c r="N100" s="198"/>
      <c r="O100" s="260" t="e">
        <f t="shared" si="24"/>
        <v>#VALUE!</v>
      </c>
      <c r="Q100" s="281" t="e">
        <f t="shared" si="29"/>
        <v>#VALUE!</v>
      </c>
      <c r="R100" s="127" t="e">
        <f>ROUND(E100*(Q100/(SUM(Q100:Q101)))*0.22,2)</f>
        <v>#VALUE!</v>
      </c>
      <c r="S100" s="127" t="e">
        <f>ROUND(E100*(Q100/(SUM(Q100:Q101)))*0.195,2)</f>
        <v>#VALUE!</v>
      </c>
      <c r="T100" s="127" t="e">
        <f>E100*Q100/(Q100+Q101)-S100</f>
        <v>#VALUE!</v>
      </c>
      <c r="U100" s="463" t="e">
        <f>-ROUND((R100+E100*Q100/(Q100+Q101)),2)</f>
        <v>#VALUE!</v>
      </c>
      <c r="V100" s="545" t="e">
        <f>Q100-T100</f>
        <v>#VALUE!</v>
      </c>
      <c r="W100" s="432"/>
      <c r="Z100" s="433" t="e">
        <f t="shared" si="30"/>
        <v>#VALUE!</v>
      </c>
    </row>
    <row r="101" spans="2:26" ht="15" hidden="1" outlineLevel="1" thickBot="1" x14ac:dyDescent="0.35">
      <c r="B101" s="596"/>
      <c r="C101" s="114" t="s">
        <v>254</v>
      </c>
      <c r="D101" s="115" t="str">
        <f>INDEX([1]ИНФО!C:C,MATCH(C101,[1]ИНФО!B:B,0))</f>
        <v>Скоц Сергій Іванович</v>
      </c>
      <c r="E101" s="593"/>
      <c r="F101" s="94" t="e">
        <f>SUMIFS([1]Табель!J:J,[1]Табель!E:E,C101,[1]Табель!B:B,"&gt;="&amp;Y79,[1]Табель!B:B,"&lt;"&amp;Y80,[1]Табель!F:F,'МЕХАНИЗАТОРЫ апрель'!I101)</f>
        <v>#VALUE!</v>
      </c>
      <c r="G101" s="117"/>
      <c r="H101" s="117"/>
      <c r="I101" s="117" t="s">
        <v>447</v>
      </c>
      <c r="J101" s="111">
        <f>INDEX([1]ИНФО_СПЕЦТЕХНИКА!$F$4:$F$24,MATCH(I101,[1]ИНФО_СПЕЦТЕХНИКА!$D$4:$D$24,0))</f>
        <v>170</v>
      </c>
      <c r="K101" s="119">
        <v>100</v>
      </c>
      <c r="L101" s="95" t="e">
        <f>SUMIFS([1]Табель!K:K,[1]Табель!E:E,C101,[1]Табель!B:B,"&gt;="&amp;Y79,[1]Табель!B:B,"&lt;"&amp;Y80,[1]Табель!F:F,I101)</f>
        <v>#VALUE!</v>
      </c>
      <c r="M101" s="96" t="e">
        <f>SUMIFS([1]Табель!L:L,[1]Табель!E:E,C101,[1]Табель!B:B,"&gt;="&amp;Y79,[1]Табель!B:B,"&lt;"&amp;Y80,[1]Табель!F:F,I101)</f>
        <v>#VALUE!</v>
      </c>
      <c r="N101" s="200"/>
      <c r="O101" s="269" t="e">
        <f>F101-L101-M101</f>
        <v>#VALUE!</v>
      </c>
      <c r="Q101" s="282" t="e">
        <f t="shared" si="29"/>
        <v>#VALUE!</v>
      </c>
      <c r="R101" s="120" t="e">
        <f>ROUND(E100*(Q101/(SUM(Q100:Q101)))*0.22,2)</f>
        <v>#VALUE!</v>
      </c>
      <c r="S101" s="120" t="e">
        <f>ROUND(E100*(Q101/(SUM(Q100:Q101)))*0.195,2)</f>
        <v>#VALUE!</v>
      </c>
      <c r="T101" s="120" t="e">
        <f>E100*Q101/(Q100+Q101)-S101</f>
        <v>#VALUE!</v>
      </c>
      <c r="U101" s="459" t="e">
        <f>-ROUND((R101+E100*Q101/(Q100+Q101)),2)</f>
        <v>#VALUE!</v>
      </c>
      <c r="V101" s="545" t="e">
        <f t="shared" si="28"/>
        <v>#VALUE!</v>
      </c>
      <c r="W101" s="432"/>
      <c r="Y101" s="437" t="s">
        <v>481</v>
      </c>
      <c r="Z101" s="433" t="e">
        <f t="shared" si="30"/>
        <v>#VALUE!</v>
      </c>
    </row>
    <row r="102" spans="2:26" hidden="1" outlineLevel="1" x14ac:dyDescent="0.3">
      <c r="B102" s="75">
        <v>14</v>
      </c>
      <c r="C102" s="109" t="s">
        <v>372</v>
      </c>
      <c r="D102" s="109" t="str">
        <f>INDEX([1]ИНФО!C:C,MATCH(C102,[1]ИНФО!B:B,0))</f>
        <v>Горячий Іван Васильович</v>
      </c>
      <c r="E102" s="164">
        <f>INDEX($F$111:$F$127,MATCH(D102,$D$111:$D$127,0))</f>
        <v>9880</v>
      </c>
      <c r="F102" s="78" t="e">
        <f>SUMIFS([1]Табель!J:J,[1]Табель!E:E,C102,[1]Табель!B:B,"&gt;="&amp;Y79,[1]Табель!B:B,"&lt;"&amp;Y80,[1]Табель!F:F,'МЕХАНИЗАТОРЫ апрель'!I102)</f>
        <v>#VALUE!</v>
      </c>
      <c r="G102" s="78"/>
      <c r="H102" s="78"/>
      <c r="I102" s="78" t="s">
        <v>446</v>
      </c>
      <c r="J102" s="111">
        <f>INDEX([1]ИНФО_СПЕЦТЕХНИКА!$F$4:$F$24,MATCH(I102,[1]ИНФО_СПЕЦТЕХНИКА!$D$4:$D$24,0))</f>
        <v>170</v>
      </c>
      <c r="K102" s="79">
        <v>100</v>
      </c>
      <c r="L102" s="79" t="e">
        <f>SUMIFS([1]Табель!K:K,[1]Табель!E:E,C102,[1]Табель!B:B,"&gt;="&amp;Y79,[1]Табель!B:B,"&lt;"&amp;Y80,[1]Табель!F:F,I102)</f>
        <v>#VALUE!</v>
      </c>
      <c r="M102" s="80" t="e">
        <f>SUMIFS([1]Табель!L:L,[1]Табель!E:E,C102,[1]Табель!B:B,"&gt;="&amp;Y79,[1]Табель!B:B,"&lt;"&amp;Y80,[1]Табель!F:F,I102)</f>
        <v>#VALUE!</v>
      </c>
      <c r="N102" s="198"/>
      <c r="O102" s="260" t="e">
        <f t="shared" si="24"/>
        <v>#VALUE!</v>
      </c>
      <c r="Q102" s="279" t="e">
        <f t="shared" si="29"/>
        <v>#VALUE!</v>
      </c>
      <c r="R102" s="110">
        <f t="shared" si="31"/>
        <v>2173.6</v>
      </c>
      <c r="S102" s="110">
        <f t="shared" si="32"/>
        <v>1926.6000000000001</v>
      </c>
      <c r="T102" s="110">
        <f t="shared" si="33"/>
        <v>7953.4</v>
      </c>
      <c r="U102" s="458">
        <f t="shared" si="34"/>
        <v>-12053.6</v>
      </c>
      <c r="V102" s="545" t="e">
        <f t="shared" si="28"/>
        <v>#VALUE!</v>
      </c>
      <c r="W102" s="432"/>
      <c r="Z102" s="433" t="e">
        <f t="shared" si="30"/>
        <v>#VALUE!</v>
      </c>
    </row>
    <row r="103" spans="2:26" hidden="1" outlineLevel="1" x14ac:dyDescent="0.3">
      <c r="B103" s="75">
        <v>15</v>
      </c>
      <c r="C103" s="109" t="s">
        <v>248</v>
      </c>
      <c r="D103" s="109" t="str">
        <f>INDEX([1]ИНФО!C:C,MATCH(C103,[1]ИНФО!B:B,0))</f>
        <v>Якубовський Василь Григорович</v>
      </c>
      <c r="E103" s="164"/>
      <c r="F103" s="78" t="e">
        <f>SUMIFS([1]Табель!J:J,[1]Табель!E:E,C103,[1]Табель!B:B,"&gt;="&amp;Y79,[1]Табель!B:B,"&lt;"&amp;Y80,[1]Табель!F:F,'МЕХАНИЗАТОРЫ апрель'!I103)</f>
        <v>#VALUE!</v>
      </c>
      <c r="G103" s="78"/>
      <c r="H103" s="78"/>
      <c r="I103" s="78" t="s">
        <v>440</v>
      </c>
      <c r="J103" s="111">
        <f>INDEX([1]ИНФО_СПЕЦТЕХНИКА!$F$4:$F$24,MATCH(I103,[1]ИНФО_СПЕЦТЕХНИКА!$D$4:$D$24,0))</f>
        <v>140</v>
      </c>
      <c r="K103" s="79">
        <v>100</v>
      </c>
      <c r="L103" s="79" t="e">
        <f>SUMIFS([1]Табель!K:K,[1]Табель!E:E,C103,[1]Табель!B:B,"&gt;="&amp;Y79,[1]Табель!B:B,"&lt;"&amp;Y80,[1]Табель!F:F,I103)</f>
        <v>#VALUE!</v>
      </c>
      <c r="M103" s="80" t="e">
        <f>SUMIFS([1]Табель!L:L,[1]Табель!E:E,C103,[1]Табель!B:B,"&gt;="&amp;Y79,[1]Табель!B:B,"&lt;"&amp;Y80,[1]Табель!F:F,I103)</f>
        <v>#VALUE!</v>
      </c>
      <c r="N103" s="198"/>
      <c r="O103" s="260" t="e">
        <f t="shared" si="24"/>
        <v>#VALUE!</v>
      </c>
      <c r="Q103" s="279" t="e">
        <f t="shared" si="29"/>
        <v>#VALUE!</v>
      </c>
      <c r="R103" s="110">
        <f t="shared" si="31"/>
        <v>0</v>
      </c>
      <c r="S103" s="110">
        <f t="shared" si="32"/>
        <v>0</v>
      </c>
      <c r="T103" s="110">
        <f t="shared" si="33"/>
        <v>0</v>
      </c>
      <c r="U103" s="458">
        <f t="shared" si="34"/>
        <v>0</v>
      </c>
      <c r="V103" s="545" t="e">
        <f t="shared" si="28"/>
        <v>#VALUE!</v>
      </c>
      <c r="W103" s="432"/>
      <c r="Z103" s="433" t="e">
        <f t="shared" si="30"/>
        <v>#VALUE!</v>
      </c>
    </row>
    <row r="104" spans="2:26" hidden="1" outlineLevel="1" x14ac:dyDescent="0.3">
      <c r="B104" s="75">
        <v>16</v>
      </c>
      <c r="C104" s="109" t="s">
        <v>251</v>
      </c>
      <c r="D104" s="109" t="str">
        <f>INDEX([1]ИНФО!C:C,MATCH(C104,[1]ИНФО!B:B,0))</f>
        <v>Кушнірюк Микола Володимирович</v>
      </c>
      <c r="E104" s="164">
        <f>INDEX($F$111:$F$127,MATCH(D104,$D$111:$D$127,0))</f>
        <v>4750</v>
      </c>
      <c r="F104" s="87" t="e">
        <f>SUMIFS([1]Табель!J:J,[1]Табель!E:E,C104,[1]Табель!B:B,"&gt;="&amp;Y79,[1]Табель!B:B,"&lt;"&amp;Y80,[1]Табель!F:F,'МЕХАНИЗАТОРЫ апрель'!I104)</f>
        <v>#VALUE!</v>
      </c>
      <c r="G104" s="78"/>
      <c r="H104" s="78"/>
      <c r="I104" s="78" t="s">
        <v>86</v>
      </c>
      <c r="J104" s="111">
        <f>INDEX([1]ИНФО_СПЕЦТЕХНИКА!$F$4:$F$24,MATCH(I104,[1]ИНФО_СПЕЦТЕХНИКА!$D$4:$D$24,0))</f>
        <v>140</v>
      </c>
      <c r="K104" s="88">
        <v>100</v>
      </c>
      <c r="L104" s="88" t="e">
        <f>SUMIFS([1]Табель!K:K,[1]Табель!E:E,C104,[1]Табель!B:B,"&gt;="&amp;Y79,[1]Табель!B:B,"&lt;"&amp;Y80,[1]Табель!F:F,I104)</f>
        <v>#VALUE!</v>
      </c>
      <c r="M104" s="89" t="e">
        <f>SUMIFS([1]Табель!L:L,[1]Табель!E:E,C104,[1]Табель!B:B,"&gt;="&amp;Y79,[1]Табель!B:B,"&lt;"&amp;Y80,[1]Табель!F:F,I104)</f>
        <v>#VALUE!</v>
      </c>
      <c r="N104" s="199"/>
      <c r="O104" s="261" t="e">
        <f t="shared" si="24"/>
        <v>#VALUE!</v>
      </c>
      <c r="Q104" s="283" t="e">
        <f t="shared" si="29"/>
        <v>#VALUE!</v>
      </c>
      <c r="R104" s="110">
        <f t="shared" si="31"/>
        <v>1045</v>
      </c>
      <c r="S104" s="110">
        <f t="shared" si="32"/>
        <v>926.25</v>
      </c>
      <c r="T104" s="110">
        <f t="shared" si="33"/>
        <v>3823.75</v>
      </c>
      <c r="U104" s="458">
        <f t="shared" si="34"/>
        <v>-5795</v>
      </c>
      <c r="V104" s="545" t="e">
        <f t="shared" si="28"/>
        <v>#VALUE!</v>
      </c>
      <c r="W104" s="432"/>
      <c r="Z104" s="433" t="e">
        <f t="shared" si="30"/>
        <v>#VALUE!</v>
      </c>
    </row>
    <row r="105" spans="2:26" hidden="1" outlineLevel="1" x14ac:dyDescent="0.3">
      <c r="B105" s="85">
        <v>17</v>
      </c>
      <c r="C105" s="171" t="s">
        <v>380</v>
      </c>
      <c r="D105" s="131" t="str">
        <f>INDEX([1]ИНФО!C:C,MATCH(C105,[1]ИНФО!B:B,0))</f>
        <v>Шестаковський Юрій Олексійович</v>
      </c>
      <c r="E105" s="172">
        <v>4523.8100000000004</v>
      </c>
      <c r="F105" s="87" t="e">
        <f>SUMIFS([1]Табель!J:J,[1]Табель!E:E,C105,[1]Табель!B:B,"&gt;="&amp;Y79,[1]Табель!B:B,"&lt;"&amp;Y80,[1]Табель!F:F,'МЕХАНИЗАТОРЫ апрель'!I105)</f>
        <v>#VALUE!</v>
      </c>
      <c r="G105" s="87"/>
      <c r="H105" s="87"/>
      <c r="I105" s="87" t="s">
        <v>86</v>
      </c>
      <c r="J105" s="111">
        <f>INDEX([1]ИНФО_СПЕЦТЕХНИКА!$F$4:$F$24,MATCH(I105,[1]ИНФО_СПЕЦТЕХНИКА!$D$4:$D$24,0))</f>
        <v>140</v>
      </c>
      <c r="K105" s="88">
        <v>100</v>
      </c>
      <c r="L105" s="88" t="e">
        <f>SUMIFS([1]Табель!K:K,[1]Табель!E:E,C105,[1]Табель!B:B,"&gt;="&amp;Y79,[1]Табель!B:B,"&lt;"&amp;Y80,[1]Табель!F:F,I105)</f>
        <v>#VALUE!</v>
      </c>
      <c r="M105" s="89" t="e">
        <f>SUMIFS([1]Табель!L:L,[1]Табель!E:E,C105,[1]Табель!B:B,"&gt;="&amp;Y79,[1]Табель!B:B,"&lt;"&amp;Y80,[1]Табель!F:F,I105)</f>
        <v>#VALUE!</v>
      </c>
      <c r="N105" s="199"/>
      <c r="O105" s="261" t="e">
        <f t="shared" si="24"/>
        <v>#VALUE!</v>
      </c>
      <c r="Q105" s="283" t="e">
        <f t="shared" si="29"/>
        <v>#VALUE!</v>
      </c>
      <c r="R105" s="110"/>
      <c r="S105" s="110">
        <f t="shared" si="32"/>
        <v>882.14295000000016</v>
      </c>
      <c r="T105" s="110">
        <f t="shared" si="33"/>
        <v>3641.66705</v>
      </c>
      <c r="U105" s="458">
        <f t="shared" si="34"/>
        <v>-4523.8100000000004</v>
      </c>
      <c r="V105" s="545" t="e">
        <f t="shared" si="28"/>
        <v>#VALUE!</v>
      </c>
      <c r="W105" s="432"/>
      <c r="Z105" s="433" t="e">
        <f t="shared" si="30"/>
        <v>#VALUE!</v>
      </c>
    </row>
    <row r="106" spans="2:26" hidden="1" outlineLevel="1" x14ac:dyDescent="0.3">
      <c r="B106" s="138">
        <v>18</v>
      </c>
      <c r="C106" s="167" t="s">
        <v>381</v>
      </c>
      <c r="D106" s="109" t="str">
        <f>INDEX([1]ИНФО!C:C,MATCH(C106,[1]ИНФО!B:B,0))</f>
        <v>Самойленко Віктор Миколайович</v>
      </c>
      <c r="E106" s="173">
        <v>9500</v>
      </c>
      <c r="F106" s="78" t="e">
        <f>SUMIFS([1]Табель!J:J,[1]Табель!E:E,C106,[1]Табель!B:B,"&gt;="&amp;Y79,[1]Табель!B:B,"&lt;"&amp;Y80,[1]Табель!F:F,'МЕХАНИЗАТОРЫ апрель'!I106)</f>
        <v>#VALUE!</v>
      </c>
      <c r="G106" s="78"/>
      <c r="H106" s="78"/>
      <c r="I106" s="78" t="s">
        <v>75</v>
      </c>
      <c r="J106" s="130">
        <f>INDEX([1]ИНФО_СПЕЦТЕХНИКА!$F$4:$F$24,MATCH(I106,[1]ИНФО_СПЕЦТЕХНИКА!$D$4:$D$24,0))</f>
        <v>140</v>
      </c>
      <c r="K106" s="79">
        <v>100</v>
      </c>
      <c r="L106" s="168" t="e">
        <f>SUMIFS([1]Табель!K:K,[1]Табель!E:E,C106,[1]Табель!B:B,"&gt;="&amp;Y79,[1]Табель!B:B,"&lt;"&amp;Y80,[1]Табель!F:F,I106)</f>
        <v>#VALUE!</v>
      </c>
      <c r="M106" s="169" t="e">
        <f>SUMIFS([1]Табель!L:L,[1]Табель!E:E,C106,[1]Табель!B:B,"&gt;="&amp;Y79,[1]Табель!B:B,"&lt;"&amp;Y80,[1]Табель!F:F,I106)</f>
        <v>#VALUE!</v>
      </c>
      <c r="N106" s="207"/>
      <c r="O106" s="260" t="e">
        <f t="shared" si="24"/>
        <v>#VALUE!</v>
      </c>
      <c r="Q106" s="283" t="e">
        <f t="shared" si="29"/>
        <v>#VALUE!</v>
      </c>
      <c r="R106" s="110">
        <f t="shared" ref="R106" si="35">ROUND(E106*0.22,2)</f>
        <v>2090</v>
      </c>
      <c r="S106" s="110">
        <f t="shared" si="32"/>
        <v>1852.5</v>
      </c>
      <c r="T106" s="110">
        <f t="shared" si="33"/>
        <v>7647.5</v>
      </c>
      <c r="U106" s="458">
        <f t="shared" si="34"/>
        <v>-11590</v>
      </c>
      <c r="V106" s="545" t="e">
        <f t="shared" si="28"/>
        <v>#VALUE!</v>
      </c>
      <c r="W106" s="432"/>
      <c r="Z106" s="433" t="e">
        <f t="shared" si="30"/>
        <v>#VALUE!</v>
      </c>
    </row>
    <row r="107" spans="2:26" ht="15" hidden="1" outlineLevel="1" thickBot="1" x14ac:dyDescent="0.35">
      <c r="B107" s="153">
        <v>19</v>
      </c>
      <c r="C107" s="114" t="s">
        <v>379</v>
      </c>
      <c r="D107" s="114" t="str">
        <f>INDEX([1]ИНФО!C:C,MATCH(C107,[1]ИНФО!B:B,0))</f>
        <v>Шамоян Агмад Даватевич</v>
      </c>
      <c r="E107" s="170">
        <f>INDEX($F$111:$F$127,MATCH(D107,$D$111:$D$127,0))</f>
        <v>9500</v>
      </c>
      <c r="F107" s="94" t="e">
        <f>SUMIFS([1]Табель!J:J,[1]Табель!E:E,C107,[1]Табель!B:B,"&gt;="&amp;Y79,[1]Табель!B:B,"&lt;"&amp;Y80,[1]Табель!F:F,'МЕХАНИЗАТОРЫ апрель'!I107)</f>
        <v>#VALUE!</v>
      </c>
      <c r="G107" s="94"/>
      <c r="H107" s="94"/>
      <c r="I107" s="94" t="s">
        <v>86</v>
      </c>
      <c r="J107" s="111">
        <f>INDEX([1]ИНФО_СПЕЦТЕХНИКА!$F$4:$F$24,MATCH(I107,[1]ИНФО_СПЕЦТЕХНИКА!$D$4:$D$24,0))</f>
        <v>140</v>
      </c>
      <c r="K107" s="95">
        <v>100</v>
      </c>
      <c r="L107" s="95" t="e">
        <f>SUMIFS([1]Табель!K:K,[1]Табель!E:E,C107,[1]Табель!B:B,"&gt;="&amp;Y79,[1]Табель!B:B,"&lt;"&amp;Y80,[1]Табель!F:F,I107)</f>
        <v>#VALUE!</v>
      </c>
      <c r="M107" s="96" t="e">
        <f>SUMIFS([1]Табель!L:L,[1]Табель!E:E,C107,[1]Табель!B:B,"&gt;="&amp;Y79,[1]Табель!B:B,"&lt;"&amp;Y80,[1]Табель!F:F,I107)</f>
        <v>#VALUE!</v>
      </c>
      <c r="N107" s="200"/>
      <c r="O107" s="262" t="e">
        <f t="shared" si="24"/>
        <v>#VALUE!</v>
      </c>
      <c r="Q107" s="282" t="e">
        <f t="shared" si="29"/>
        <v>#VALUE!</v>
      </c>
      <c r="R107" s="129">
        <f t="shared" si="31"/>
        <v>2090</v>
      </c>
      <c r="S107" s="129">
        <f t="shared" si="32"/>
        <v>1852.5</v>
      </c>
      <c r="T107" s="129">
        <f t="shared" si="33"/>
        <v>7647.5</v>
      </c>
      <c r="U107" s="465">
        <f t="shared" si="34"/>
        <v>-11590</v>
      </c>
      <c r="V107" s="545" t="e">
        <f t="shared" si="28"/>
        <v>#VALUE!</v>
      </c>
      <c r="W107" s="432"/>
      <c r="Z107" s="433" t="e">
        <f t="shared" si="30"/>
        <v>#VALUE!</v>
      </c>
    </row>
    <row r="108" spans="2:26" s="107" customFormat="1" ht="27.6" hidden="1" customHeight="1" outlineLevel="1" thickBot="1" x14ac:dyDescent="0.35">
      <c r="B108" s="156"/>
      <c r="C108" s="101" t="s">
        <v>468</v>
      </c>
      <c r="D108" s="101"/>
      <c r="E108" s="102">
        <f>SUM(E86:E107)</f>
        <v>139732.88</v>
      </c>
      <c r="F108" s="157" t="e">
        <f>SUM(F86:F107)</f>
        <v>#VALUE!</v>
      </c>
      <c r="G108" s="157"/>
      <c r="H108" s="157"/>
      <c r="I108" s="157"/>
      <c r="J108" s="158"/>
      <c r="K108" s="158"/>
      <c r="L108" s="159" t="e">
        <f>SUM(L86:L107)</f>
        <v>#VALUE!</v>
      </c>
      <c r="M108" s="160" t="e">
        <f>SUM(M86:M107)</f>
        <v>#VALUE!</v>
      </c>
      <c r="N108" s="204"/>
      <c r="O108" s="267" t="e">
        <f>SUM(O86:O107)</f>
        <v>#VALUE!</v>
      </c>
      <c r="P108" s="225"/>
      <c r="Q108" s="278" t="e">
        <f t="shared" ref="Q108:V108" si="36">SUM(Q86:Q107)</f>
        <v>#VALUE!</v>
      </c>
      <c r="R108" s="102" t="e">
        <f t="shared" si="36"/>
        <v>#VALUE!</v>
      </c>
      <c r="S108" s="102" t="e">
        <f t="shared" si="36"/>
        <v>#VALUE!</v>
      </c>
      <c r="T108" s="102" t="e">
        <f t="shared" si="36"/>
        <v>#VALUE!</v>
      </c>
      <c r="U108" s="220" t="e">
        <f t="shared" si="36"/>
        <v>#VALUE!</v>
      </c>
      <c r="V108" s="544" t="e">
        <f t="shared" si="36"/>
        <v>#VALUE!</v>
      </c>
      <c r="W108" s="431"/>
      <c r="Z108" s="66"/>
    </row>
    <row r="109" spans="2:26" hidden="1" outlineLevel="1" x14ac:dyDescent="0.3">
      <c r="O109" s="174"/>
    </row>
    <row r="110" spans="2:26" hidden="1" outlineLevel="1" x14ac:dyDescent="0.3">
      <c r="Q110" s="283"/>
    </row>
    <row r="111" spans="2:26" hidden="1" outlineLevel="1" x14ac:dyDescent="0.3">
      <c r="D111" s="175" t="s">
        <v>356</v>
      </c>
      <c r="E111" s="176"/>
      <c r="F111" s="177">
        <v>4071.43</v>
      </c>
      <c r="G111" s="188"/>
      <c r="H111" s="188"/>
    </row>
    <row r="112" spans="2:26" hidden="1" outlineLevel="1" x14ac:dyDescent="0.3">
      <c r="D112" s="175" t="s">
        <v>193</v>
      </c>
      <c r="E112" s="177"/>
      <c r="F112" s="177">
        <v>9500</v>
      </c>
      <c r="G112" s="188"/>
      <c r="H112" s="188"/>
    </row>
    <row r="113" spans="4:8" hidden="1" outlineLevel="1" x14ac:dyDescent="0.3">
      <c r="D113" s="175" t="s">
        <v>255</v>
      </c>
      <c r="E113" s="177"/>
      <c r="F113" s="177">
        <v>7464.3</v>
      </c>
      <c r="G113" s="188"/>
      <c r="H113" s="188"/>
    </row>
    <row r="114" spans="4:8" hidden="1" outlineLevel="1" x14ac:dyDescent="0.3">
      <c r="D114" s="175" t="s">
        <v>335</v>
      </c>
      <c r="E114" s="177"/>
      <c r="F114" s="177">
        <v>4750</v>
      </c>
      <c r="G114" s="188"/>
      <c r="H114" s="188"/>
    </row>
    <row r="115" spans="4:8" hidden="1" outlineLevel="1" x14ac:dyDescent="0.3">
      <c r="D115" s="175" t="s">
        <v>242</v>
      </c>
      <c r="E115" s="177"/>
      <c r="F115" s="177">
        <v>9500</v>
      </c>
      <c r="G115" s="188"/>
      <c r="H115" s="188"/>
    </row>
    <row r="116" spans="4:8" hidden="1" outlineLevel="1" x14ac:dyDescent="0.3">
      <c r="D116" s="178" t="s">
        <v>482</v>
      </c>
      <c r="E116" s="179"/>
      <c r="F116" s="179">
        <v>9880</v>
      </c>
      <c r="G116" s="189"/>
      <c r="H116" s="189"/>
    </row>
    <row r="117" spans="4:8" hidden="1" outlineLevel="1" x14ac:dyDescent="0.3">
      <c r="D117" s="175" t="s">
        <v>190</v>
      </c>
      <c r="E117" s="177"/>
      <c r="F117" s="177">
        <v>9880</v>
      </c>
      <c r="G117" s="188"/>
      <c r="H117" s="188"/>
    </row>
    <row r="118" spans="4:8" hidden="1" outlineLevel="1" x14ac:dyDescent="0.3">
      <c r="D118" s="178" t="s">
        <v>483</v>
      </c>
      <c r="E118" s="179"/>
      <c r="F118" s="179">
        <v>62890</v>
      </c>
      <c r="G118" s="189"/>
      <c r="H118" s="189"/>
    </row>
    <row r="119" spans="4:8" hidden="1" outlineLevel="1" x14ac:dyDescent="0.3">
      <c r="D119" s="175" t="s">
        <v>192</v>
      </c>
      <c r="E119" s="177"/>
      <c r="F119" s="177">
        <v>9500</v>
      </c>
      <c r="G119" s="188"/>
      <c r="H119" s="188"/>
    </row>
    <row r="120" spans="4:8" hidden="1" outlineLevel="1" x14ac:dyDescent="0.3">
      <c r="D120" s="175" t="s">
        <v>195</v>
      </c>
      <c r="E120" s="180"/>
      <c r="F120" s="177">
        <v>9500</v>
      </c>
      <c r="G120" s="188"/>
      <c r="H120" s="188"/>
    </row>
    <row r="121" spans="4:8" hidden="1" outlineLevel="1" x14ac:dyDescent="0.3">
      <c r="D121" s="175" t="s">
        <v>189</v>
      </c>
      <c r="E121" s="177"/>
      <c r="F121" s="177">
        <v>9880</v>
      </c>
      <c r="G121" s="188"/>
      <c r="H121" s="188"/>
    </row>
    <row r="122" spans="4:8" hidden="1" outlineLevel="1" x14ac:dyDescent="0.3">
      <c r="D122" s="175" t="s">
        <v>185</v>
      </c>
      <c r="E122" s="177"/>
      <c r="F122" s="177">
        <v>9880</v>
      </c>
      <c r="G122" s="188"/>
      <c r="H122" s="188"/>
    </row>
    <row r="123" spans="4:8" hidden="1" outlineLevel="1" x14ac:dyDescent="0.3">
      <c r="D123" s="175" t="s">
        <v>182</v>
      </c>
      <c r="E123" s="177"/>
      <c r="F123" s="177">
        <v>9500</v>
      </c>
      <c r="G123" s="188"/>
      <c r="H123" s="188"/>
    </row>
    <row r="124" spans="4:8" hidden="1" outlineLevel="1" x14ac:dyDescent="0.3">
      <c r="D124" s="175" t="s">
        <v>196</v>
      </c>
      <c r="E124" s="177"/>
      <c r="F124" s="177">
        <v>9880</v>
      </c>
      <c r="G124" s="188"/>
      <c r="H124" s="188"/>
    </row>
    <row r="125" spans="4:8" hidden="1" outlineLevel="1" x14ac:dyDescent="0.3">
      <c r="D125" s="175" t="s">
        <v>186</v>
      </c>
      <c r="E125" s="177"/>
      <c r="F125" s="177">
        <v>4750</v>
      </c>
      <c r="G125" s="188"/>
      <c r="H125" s="188"/>
    </row>
    <row r="126" spans="4:8" hidden="1" outlineLevel="1" x14ac:dyDescent="0.3">
      <c r="D126" s="178" t="s">
        <v>484</v>
      </c>
      <c r="E126" s="179"/>
      <c r="F126" s="179">
        <v>9500</v>
      </c>
      <c r="G126" s="189"/>
      <c r="H126" s="189"/>
    </row>
    <row r="127" spans="4:8" hidden="1" outlineLevel="1" x14ac:dyDescent="0.3">
      <c r="D127" s="175" t="s">
        <v>334</v>
      </c>
      <c r="E127" s="177"/>
      <c r="F127" s="177">
        <v>9500</v>
      </c>
      <c r="G127" s="188"/>
      <c r="H127" s="188"/>
    </row>
    <row r="128" spans="4:8" hidden="1" outlineLevel="1" x14ac:dyDescent="0.3"/>
    <row r="129" spans="1:65" collapsed="1" x14ac:dyDescent="0.3">
      <c r="O129" s="228">
        <f>2890-O132+104</f>
        <v>853</v>
      </c>
      <c r="P129" s="288"/>
    </row>
    <row r="130" spans="1:65" ht="15" customHeight="1" collapsed="1" x14ac:dyDescent="0.3">
      <c r="P130" s="288"/>
      <c r="R130" s="132"/>
    </row>
    <row r="131" spans="1:65" ht="16.8" customHeight="1" x14ac:dyDescent="0.35">
      <c r="B131" s="591"/>
      <c r="C131" s="591"/>
      <c r="D131" s="591"/>
      <c r="E131" s="591"/>
      <c r="F131" s="591"/>
      <c r="G131" s="591"/>
      <c r="H131" s="591"/>
      <c r="I131" s="591"/>
      <c r="J131" s="591"/>
      <c r="K131" s="591"/>
      <c r="L131" s="591"/>
      <c r="M131" s="591"/>
      <c r="N131" s="591"/>
      <c r="O131" s="591"/>
      <c r="P131" s="591"/>
      <c r="Q131" s="591"/>
      <c r="R131" s="591"/>
      <c r="S131" s="591"/>
      <c r="T131" s="591"/>
      <c r="U131" s="591"/>
      <c r="V131" s="591"/>
      <c r="W131" s="316"/>
    </row>
    <row r="132" spans="1:65" s="107" customFormat="1" ht="19.2" customHeight="1" x14ac:dyDescent="0.3">
      <c r="B132" s="133"/>
      <c r="C132" s="133"/>
      <c r="D132" s="133"/>
      <c r="E132" s="133"/>
      <c r="F132" s="181">
        <f>SUM(F135:F162)</f>
        <v>2404</v>
      </c>
      <c r="G132" s="187"/>
      <c r="H132" s="187"/>
      <c r="I132" s="133"/>
      <c r="J132" s="133"/>
      <c r="K132" s="133"/>
      <c r="L132" s="182">
        <f>SUBTOTAL(9,L135:L162)</f>
        <v>87</v>
      </c>
      <c r="M132" s="182">
        <f>SUBTOTAL(9,M135:M162)</f>
        <v>59</v>
      </c>
      <c r="N132" s="135"/>
      <c r="O132" s="265">
        <f>SUBTOTAL(9,O135:O162)</f>
        <v>2141</v>
      </c>
      <c r="P132" s="290"/>
      <c r="Q132" s="133"/>
      <c r="R132" s="133"/>
      <c r="S132" s="133"/>
      <c r="T132" s="133"/>
      <c r="U132" s="133"/>
      <c r="V132" s="546"/>
      <c r="W132" s="133"/>
      <c r="AA132" s="435"/>
      <c r="AB132" s="435"/>
    </row>
    <row r="133" spans="1:65" ht="3.75" customHeight="1" x14ac:dyDescent="0.3">
      <c r="B133" s="68"/>
      <c r="C133" s="68"/>
      <c r="D133" s="68"/>
      <c r="E133" s="68"/>
      <c r="F133" s="69"/>
      <c r="G133" s="69"/>
      <c r="H133" s="69"/>
      <c r="I133" s="69"/>
      <c r="J133" s="68"/>
      <c r="K133" s="68"/>
      <c r="L133" s="68"/>
      <c r="M133" s="68"/>
      <c r="N133" s="68"/>
      <c r="O133" s="68"/>
      <c r="P133" s="288"/>
    </row>
    <row r="134" spans="1:65" s="73" customFormat="1" ht="55.2" customHeight="1" x14ac:dyDescent="0.3">
      <c r="B134" s="525" t="s">
        <v>452</v>
      </c>
      <c r="C134" s="525" t="s">
        <v>448</v>
      </c>
      <c r="D134" s="525" t="s">
        <v>469</v>
      </c>
      <c r="E134" s="525" t="s">
        <v>630</v>
      </c>
      <c r="F134" s="526" t="s">
        <v>454</v>
      </c>
      <c r="G134" s="526" t="s">
        <v>544</v>
      </c>
      <c r="H134" s="525" t="s">
        <v>534</v>
      </c>
      <c r="I134" s="525" t="s">
        <v>557</v>
      </c>
      <c r="J134" s="525" t="s">
        <v>456</v>
      </c>
      <c r="K134" s="525" t="s">
        <v>457</v>
      </c>
      <c r="L134" s="525" t="s">
        <v>235</v>
      </c>
      <c r="M134" s="527" t="s">
        <v>458</v>
      </c>
      <c r="N134" s="527"/>
      <c r="O134" s="528" t="s">
        <v>459</v>
      </c>
      <c r="P134" s="289"/>
      <c r="Q134" s="529" t="s">
        <v>460</v>
      </c>
      <c r="R134" s="530" t="s">
        <v>461</v>
      </c>
      <c r="S134" s="531" t="s">
        <v>615</v>
      </c>
      <c r="T134" s="530" t="s">
        <v>463</v>
      </c>
      <c r="U134" s="532" t="s">
        <v>472</v>
      </c>
      <c r="V134" s="547" t="s">
        <v>464</v>
      </c>
      <c r="Z134" s="438" t="s">
        <v>597</v>
      </c>
    </row>
    <row r="135" spans="1:65" s="534" customFormat="1" x14ac:dyDescent="0.3">
      <c r="A135" s="571"/>
      <c r="B135" s="561"/>
      <c r="C135" s="562" t="s">
        <v>667</v>
      </c>
      <c r="D135" s="563" t="s">
        <v>192</v>
      </c>
      <c r="E135" s="564">
        <f>INDEX($F$166:$F$187,MATCH(D135,$D$166:$D$187,0))</f>
        <v>10000</v>
      </c>
      <c r="F135" s="565">
        <v>218</v>
      </c>
      <c r="G135" s="566"/>
      <c r="H135" s="566" t="s">
        <v>585</v>
      </c>
      <c r="I135" s="566" t="s">
        <v>69</v>
      </c>
      <c r="J135" s="567">
        <f>VLOOKUP(I135,Лист5!$C$2:$F$32,4,0)</f>
        <v>270</v>
      </c>
      <c r="K135" s="568">
        <v>100</v>
      </c>
      <c r="L135" s="568">
        <v>2</v>
      </c>
      <c r="M135" s="568">
        <v>4</v>
      </c>
      <c r="N135" s="568"/>
      <c r="O135" s="569">
        <f>F135-L135-M135</f>
        <v>212</v>
      </c>
      <c r="P135" s="560">
        <f>L135+M135</f>
        <v>6</v>
      </c>
      <c r="Q135" s="574">
        <f>O135*J135+(L135+M135)*K135</f>
        <v>57840</v>
      </c>
      <c r="R135" s="584">
        <f>ROUND(E135*0.22,2)</f>
        <v>2200</v>
      </c>
      <c r="S135" s="584">
        <f>E135*0.23</f>
        <v>2300</v>
      </c>
      <c r="T135" s="584">
        <f t="shared" ref="T135" si="37">E135-S135</f>
        <v>7700</v>
      </c>
      <c r="U135" s="570">
        <f>-ROUND((R135+E135),2)</f>
        <v>-12200</v>
      </c>
      <c r="V135" s="575">
        <f>Q135-T135</f>
        <v>50140</v>
      </c>
      <c r="W135" s="575" t="e">
        <f>VLOOKUP(C135,[3]Лист1!$B$2:$M$24,12,0)</f>
        <v>#N/A</v>
      </c>
      <c r="X135" s="439">
        <v>45536</v>
      </c>
      <c r="Y135" s="439">
        <v>45565</v>
      </c>
      <c r="Z135" s="66" t="str">
        <f t="shared" ref="Z135:Z161" si="38">CONCATENATE($Z$134,CHAR(10),O135," год.роботи х ",J135," грн. + ",L135+M135," год.ТО и заправки х ",K135," грн."," = ",CHAR(10),"До виплати ",TEXT(Q135,"# #")," грн.")</f>
        <v>ЗП за 01.10.2024 - 30.09.2024
212 год.роботи х 270 грн. + 6 год.ТО и заправки х 100 грн. = 
До виплати 57 840 грн.</v>
      </c>
      <c r="AA135" s="540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538"/>
    </row>
    <row r="136" spans="1:65" s="534" customFormat="1" x14ac:dyDescent="0.3">
      <c r="A136" s="571"/>
      <c r="B136" s="561"/>
      <c r="C136" s="562" t="s">
        <v>649</v>
      </c>
      <c r="D136" s="563" t="s">
        <v>193</v>
      </c>
      <c r="E136" s="564">
        <f t="shared" ref="E136:E138" si="39">INDEX($F$166:$F$187,MATCH(D136,$D$166:$D$187,0))</f>
        <v>10000</v>
      </c>
      <c r="F136" s="565">
        <f>107+54</f>
        <v>161</v>
      </c>
      <c r="G136" s="566"/>
      <c r="H136" s="566" t="s">
        <v>585</v>
      </c>
      <c r="I136" s="585" t="s">
        <v>473</v>
      </c>
      <c r="J136" s="567">
        <f>VLOOKUP(I136,Лист5!$C$2:$F$32,4,0)</f>
        <v>270</v>
      </c>
      <c r="K136" s="568">
        <v>100</v>
      </c>
      <c r="L136" s="568">
        <v>23</v>
      </c>
      <c r="M136" s="568">
        <v>1</v>
      </c>
      <c r="N136" s="568"/>
      <c r="O136" s="569">
        <f t="shared" ref="O136:O158" si="40">F136-L136-M136</f>
        <v>137</v>
      </c>
      <c r="P136" s="560">
        <f t="shared" ref="P136:P158" si="41">L136+M136</f>
        <v>24</v>
      </c>
      <c r="Q136" s="574">
        <f t="shared" ref="Q136:Q155" si="42">O136*J136+(L136+M136)*K136</f>
        <v>39390</v>
      </c>
      <c r="R136" s="584">
        <f>ROUND(E136*(Q136/(SUM($Q$136:$Q$137)))*0.22,2)</f>
        <v>1978.94</v>
      </c>
      <c r="S136" s="584">
        <f>ROUND(E136*(Q136/(SUM($Q$136:$Q$137)))*0.23,2)</f>
        <v>2068.9</v>
      </c>
      <c r="T136" s="584">
        <f>E136*Q136/(SUM($Q$136:$Q$137))-S136</f>
        <v>6926.3043845626853</v>
      </c>
      <c r="U136" s="570">
        <f>-ROUND((R136+E136*Q136/(SUM($Q$135:$Q$136))),2)</f>
        <v>-6030.16</v>
      </c>
      <c r="V136" s="575">
        <f>Q136-T136</f>
        <v>32463.695615437315</v>
      </c>
      <c r="W136" s="575"/>
      <c r="X136" s="439"/>
      <c r="Y136" s="439"/>
      <c r="Z136" s="66"/>
      <c r="AA136" s="540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538"/>
    </row>
    <row r="137" spans="1:65" s="534" customFormat="1" x14ac:dyDescent="0.3">
      <c r="A137" s="571"/>
      <c r="B137" s="561"/>
      <c r="C137" s="562" t="s">
        <v>649</v>
      </c>
      <c r="D137" s="563" t="s">
        <v>193</v>
      </c>
      <c r="E137" s="564">
        <f t="shared" si="39"/>
        <v>10000</v>
      </c>
      <c r="F137" s="565">
        <v>20</v>
      </c>
      <c r="G137" s="566"/>
      <c r="H137" s="566" t="s">
        <v>585</v>
      </c>
      <c r="I137" s="566" t="s">
        <v>0</v>
      </c>
      <c r="J137" s="567">
        <f>VLOOKUP(I137,Лист5!$C$2:$F$32,4,0)</f>
        <v>220</v>
      </c>
      <c r="K137" s="568">
        <v>100</v>
      </c>
      <c r="L137" s="568"/>
      <c r="M137" s="568"/>
      <c r="N137" s="568"/>
      <c r="O137" s="569">
        <f t="shared" ref="O137" si="43">F137-L137-M137</f>
        <v>20</v>
      </c>
      <c r="P137" s="560">
        <f t="shared" ref="P137" si="44">L137+M137</f>
        <v>0</v>
      </c>
      <c r="Q137" s="574">
        <f t="shared" si="42"/>
        <v>4400</v>
      </c>
      <c r="R137" s="584">
        <f>ROUND(E137*(Q137/(SUM($Q$136:$Q$137)))*0.22,2)</f>
        <v>221.06</v>
      </c>
      <c r="S137" s="584">
        <f>ROUND(E137*(Q137/(SUM($Q$136:$Q$137)))*0.23,2)</f>
        <v>231.1</v>
      </c>
      <c r="T137" s="584">
        <f>E137*Q137/(SUM($Q$136:$Q$137))-S137</f>
        <v>773.69561543731447</v>
      </c>
      <c r="U137" s="570">
        <f>-ROUND((R137+E137*Q137/(SUM($Q$135:$Q$136))),2)</f>
        <v>-673.6</v>
      </c>
      <c r="V137" s="575">
        <f t="shared" ref="V137" si="45">Q137-T137</f>
        <v>3626.3043845626853</v>
      </c>
      <c r="W137" s="575"/>
      <c r="X137" s="439"/>
      <c r="Y137" s="439"/>
      <c r="Z137" s="66"/>
      <c r="AA137" s="540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538"/>
    </row>
    <row r="138" spans="1:65" s="534" customFormat="1" hidden="1" x14ac:dyDescent="0.3">
      <c r="A138" s="571"/>
      <c r="B138" s="561"/>
      <c r="C138" s="562" t="s">
        <v>648</v>
      </c>
      <c r="D138" s="563" t="s">
        <v>568</v>
      </c>
      <c r="E138" s="564">
        <f t="shared" si="39"/>
        <v>10000</v>
      </c>
      <c r="F138" s="565">
        <v>117</v>
      </c>
      <c r="G138" s="566"/>
      <c r="H138" s="566" t="s">
        <v>585</v>
      </c>
      <c r="I138" s="566" t="s">
        <v>523</v>
      </c>
      <c r="J138" s="567">
        <f>VLOOKUP(I138,Лист5!$C$2:$F$32,4,0)</f>
        <v>330</v>
      </c>
      <c r="K138" s="568">
        <v>100</v>
      </c>
      <c r="L138" s="568">
        <v>30</v>
      </c>
      <c r="M138" s="568">
        <v>2</v>
      </c>
      <c r="N138" s="568"/>
      <c r="O138" s="569">
        <f t="shared" ref="O138" si="46">F138-L138-M138</f>
        <v>85</v>
      </c>
      <c r="P138" s="560">
        <f t="shared" ref="P138" si="47">L138+M138</f>
        <v>32</v>
      </c>
      <c r="Q138" s="576">
        <v>50000</v>
      </c>
      <c r="R138" s="584">
        <f t="shared" ref="R138" si="48">ROUND(E138*0.22,2)</f>
        <v>2200</v>
      </c>
      <c r="S138" s="584">
        <f t="shared" ref="S138" si="49">E138*0.23</f>
        <v>2300</v>
      </c>
      <c r="T138" s="584">
        <f t="shared" ref="T138" si="50">E138-S138</f>
        <v>7700</v>
      </c>
      <c r="U138" s="570">
        <f t="shared" ref="U138" si="51">-ROUND((R138+E138),2)</f>
        <v>-12200</v>
      </c>
      <c r="V138" s="575">
        <f t="shared" ref="V138" si="52">Q138-T138</f>
        <v>42300</v>
      </c>
      <c r="W138" s="575">
        <f>VLOOKUP(C138,[3]Лист1!$B$2:$M$24,12,0)</f>
        <v>50000</v>
      </c>
      <c r="X138" s="439">
        <v>45536</v>
      </c>
      <c r="Y138" s="439">
        <v>45565</v>
      </c>
      <c r="Z138" s="66" t="str">
        <f t="shared" ref="Z138" si="53">CONCATENATE($Z$134,CHAR(10),O138," год.роботи х ",J138," грн. + ",L138+M138," год.ТО и заправки х ",K138," грн."," = ",CHAR(10),"До виплати ",TEXT(Q138,"# #")," грн.")</f>
        <v>ЗП за 01.10.2024 - 30.09.2024
85 год.роботи х 330 грн. + 32 год.ТО и заправки х 100 грн. = 
До виплати 50 000 грн.</v>
      </c>
      <c r="AA138" s="540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538"/>
    </row>
    <row r="139" spans="1:65" s="534" customFormat="1" ht="13.8" customHeight="1" x14ac:dyDescent="0.3">
      <c r="A139" s="571"/>
      <c r="B139" s="561"/>
      <c r="C139" s="562" t="s">
        <v>669</v>
      </c>
      <c r="D139" s="563" t="s">
        <v>635</v>
      </c>
      <c r="E139" s="564">
        <f>INDEX($F$166:$F$187,MATCH(D139,$D$166:$D$187,0))</f>
        <v>10000</v>
      </c>
      <c r="F139" s="565">
        <v>195</v>
      </c>
      <c r="G139" s="566"/>
      <c r="H139" s="566" t="s">
        <v>585</v>
      </c>
      <c r="I139" s="585" t="s">
        <v>348</v>
      </c>
      <c r="J139" s="567">
        <f>VLOOKUP(I139,Лист5!$C$2:$F$32,4,0)</f>
        <v>200</v>
      </c>
      <c r="K139" s="568">
        <v>100</v>
      </c>
      <c r="L139" s="568">
        <v>2</v>
      </c>
      <c r="M139" s="568">
        <v>0</v>
      </c>
      <c r="N139" s="568"/>
      <c r="O139" s="569">
        <f t="shared" si="40"/>
        <v>193</v>
      </c>
      <c r="P139" s="560">
        <f t="shared" si="41"/>
        <v>2</v>
      </c>
      <c r="Q139" s="574">
        <f t="shared" si="42"/>
        <v>38800</v>
      </c>
      <c r="R139" s="584">
        <f t="shared" ref="R139:R142" si="54">ROUND(E139*0.22,2)</f>
        <v>2200</v>
      </c>
      <c r="S139" s="584">
        <f t="shared" ref="S139:S142" si="55">E139*0.23</f>
        <v>2300</v>
      </c>
      <c r="T139" s="584">
        <f t="shared" ref="T139:T142" si="56">E139-S139</f>
        <v>7700</v>
      </c>
      <c r="U139" s="570">
        <f t="shared" ref="U139" si="57">-ROUND((R139+E139),2)</f>
        <v>-12200</v>
      </c>
      <c r="V139" s="575">
        <f>Q139-T139</f>
        <v>31100</v>
      </c>
      <c r="W139" s="575" t="e">
        <f>VLOOKUP(C139,[3]Лист1!$B$2:$M$24,12,0)</f>
        <v>#N/A</v>
      </c>
      <c r="X139" s="439">
        <v>45536</v>
      </c>
      <c r="Y139" s="439">
        <v>45565</v>
      </c>
      <c r="Z139" s="66" t="str">
        <f t="shared" ref="Z139:Z157" si="58">CONCATENATE($Z$134,CHAR(10),O139," год.роботи х ",J139," грн. + ",L139+M139," год.ТО и заправки х ",K139," грн."," = ",CHAR(10),"До виплати ",TEXT(Q139,"# #")," грн.")</f>
        <v>ЗП за 01.10.2024 - 30.09.2024
193 год.роботи х 200 грн. + 2 год.ТО и заправки х 100 грн. = 
До виплати 38 800 грн.</v>
      </c>
      <c r="AA139" s="540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538"/>
    </row>
    <row r="140" spans="1:65" s="534" customFormat="1" ht="16.2" customHeight="1" x14ac:dyDescent="0.3">
      <c r="A140" s="571"/>
      <c r="B140" s="561"/>
      <c r="C140" s="562" t="s">
        <v>670</v>
      </c>
      <c r="D140" s="563" t="s">
        <v>589</v>
      </c>
      <c r="E140" s="564">
        <f>INDEX($F$166:$F$187,MATCH(D140,$D$166:$D$187,0))</f>
        <v>10000</v>
      </c>
      <c r="F140" s="565">
        <f>118+100</f>
        <v>218</v>
      </c>
      <c r="G140" s="566"/>
      <c r="H140" s="566" t="s">
        <v>585</v>
      </c>
      <c r="I140" s="585" t="s">
        <v>67</v>
      </c>
      <c r="J140" s="567">
        <f>VLOOKUP(I140,Лист5!$C$2:$F$32,4,0)</f>
        <v>230</v>
      </c>
      <c r="K140" s="568">
        <v>100</v>
      </c>
      <c r="L140" s="568">
        <v>2</v>
      </c>
      <c r="M140" s="568">
        <v>7</v>
      </c>
      <c r="N140" s="568"/>
      <c r="O140" s="569">
        <f>F140-L140-M140</f>
        <v>209</v>
      </c>
      <c r="P140" s="560">
        <f t="shared" si="41"/>
        <v>9</v>
      </c>
      <c r="Q140" s="574">
        <f t="shared" si="42"/>
        <v>48970</v>
      </c>
      <c r="R140" s="584">
        <f t="shared" si="54"/>
        <v>2200</v>
      </c>
      <c r="S140" s="584">
        <f t="shared" si="55"/>
        <v>2300</v>
      </c>
      <c r="T140" s="584">
        <f t="shared" si="56"/>
        <v>7700</v>
      </c>
      <c r="U140" s="570">
        <f>-ROUND((R140+E140),2)</f>
        <v>-12200</v>
      </c>
      <c r="V140" s="575">
        <f t="shared" ref="V140:V158" si="59">Q140-T140</f>
        <v>41270</v>
      </c>
      <c r="W140" s="575" t="e">
        <f>VLOOKUP(C140,[3]Лист1!$B$2:$M$24,12,0)</f>
        <v>#N/A</v>
      </c>
      <c r="X140" s="439">
        <v>45536</v>
      </c>
      <c r="Y140" s="439">
        <v>45565</v>
      </c>
      <c r="Z140" s="66" t="str">
        <f t="shared" si="58"/>
        <v>ЗП за 01.10.2024 - 30.09.2024
209 год.роботи х 230 грн. + 9 год.ТО и заправки х 100 грн. = 
До виплати 48 970 грн.</v>
      </c>
      <c r="AA140" s="540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538"/>
    </row>
    <row r="141" spans="1:65" s="534" customFormat="1" x14ac:dyDescent="0.3">
      <c r="A141" s="571"/>
      <c r="B141" s="561"/>
      <c r="C141" s="562" t="s">
        <v>671</v>
      </c>
      <c r="D141" s="563"/>
      <c r="E141" s="564"/>
      <c r="F141" s="565">
        <f>37+39+97</f>
        <v>173</v>
      </c>
      <c r="G141" s="566"/>
      <c r="H141" s="566" t="s">
        <v>585</v>
      </c>
      <c r="I141" s="566" t="s">
        <v>76</v>
      </c>
      <c r="J141" s="567">
        <f>VLOOKUP(I141,Лист5!$C$2:$F$32,4,0)</f>
        <v>230</v>
      </c>
      <c r="K141" s="568">
        <v>100</v>
      </c>
      <c r="L141" s="568">
        <f>4+4+1</f>
        <v>9</v>
      </c>
      <c r="M141" s="568">
        <f>1+2+4</f>
        <v>7</v>
      </c>
      <c r="N141" s="568"/>
      <c r="O141" s="569">
        <f>F141-L141-M141</f>
        <v>157</v>
      </c>
      <c r="P141" s="560">
        <f t="shared" si="41"/>
        <v>16</v>
      </c>
      <c r="Q141" s="574">
        <f t="shared" si="42"/>
        <v>37710</v>
      </c>
      <c r="R141" s="584">
        <f t="shared" si="54"/>
        <v>0</v>
      </c>
      <c r="S141" s="584">
        <f t="shared" si="55"/>
        <v>0</v>
      </c>
      <c r="T141" s="584">
        <f t="shared" si="56"/>
        <v>0</v>
      </c>
      <c r="U141" s="570">
        <f t="shared" ref="U141:U147" si="60">-ROUND((R141+E141),2)</f>
        <v>0</v>
      </c>
      <c r="V141" s="575">
        <f>Q141-T141</f>
        <v>37710</v>
      </c>
      <c r="W141" s="575" t="e">
        <f>VLOOKUP(C141,[3]Лист1!$B$2:$M$24,12,0)</f>
        <v>#N/A</v>
      </c>
      <c r="X141" s="439">
        <v>45536</v>
      </c>
      <c r="Y141" s="439">
        <v>45565</v>
      </c>
      <c r="Z141" s="66" t="str">
        <f t="shared" si="58"/>
        <v>ЗП за 01.10.2024 - 30.09.2024
157 год.роботи х 230 грн. + 16 год.ТО и заправки х 100 грн. = 
До виплати 37 710 грн.</v>
      </c>
      <c r="AA141" s="540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538"/>
    </row>
    <row r="142" spans="1:65" s="534" customFormat="1" x14ac:dyDescent="0.3">
      <c r="A142" s="571"/>
      <c r="B142" s="561"/>
      <c r="C142" s="562" t="s">
        <v>668</v>
      </c>
      <c r="D142" s="563"/>
      <c r="E142" s="564"/>
      <c r="F142" s="565">
        <f>109+98</f>
        <v>207</v>
      </c>
      <c r="G142" s="566"/>
      <c r="H142" s="566" t="s">
        <v>585</v>
      </c>
      <c r="I142" s="566" t="s">
        <v>72</v>
      </c>
      <c r="J142" s="567">
        <f>VLOOKUP(I142,Лист5!$C$2:$F$32,4,0)</f>
        <v>230</v>
      </c>
      <c r="K142" s="568">
        <v>100</v>
      </c>
      <c r="L142" s="568">
        <v>3</v>
      </c>
      <c r="M142" s="568">
        <v>8</v>
      </c>
      <c r="N142" s="568"/>
      <c r="O142" s="569">
        <f t="shared" ref="O142:O144" si="61">F142-L142-M142</f>
        <v>196</v>
      </c>
      <c r="P142" s="560">
        <f t="shared" ref="P142:P144" si="62">L142+M142</f>
        <v>11</v>
      </c>
      <c r="Q142" s="574">
        <f t="shared" si="42"/>
        <v>46180</v>
      </c>
      <c r="R142" s="584">
        <f t="shared" si="54"/>
        <v>0</v>
      </c>
      <c r="S142" s="584">
        <f t="shared" si="55"/>
        <v>0</v>
      </c>
      <c r="T142" s="584">
        <f t="shared" si="56"/>
        <v>0</v>
      </c>
      <c r="U142" s="570">
        <f t="shared" ref="U142" si="63">-ROUND((R142+E142),2)</f>
        <v>0</v>
      </c>
      <c r="V142" s="575">
        <f>Q142-T142</f>
        <v>46180</v>
      </c>
      <c r="W142" s="575" t="e">
        <f>VLOOKUP(C142,[3]Лист1!$B$2:$M$24,12,0)</f>
        <v>#N/A</v>
      </c>
      <c r="X142" s="439">
        <v>45536</v>
      </c>
      <c r="Y142" s="439">
        <v>45565</v>
      </c>
      <c r="Z142" s="66" t="str">
        <f t="shared" si="58"/>
        <v>ЗП за 01.10.2024 - 30.09.2024
196 год.роботи х 230 грн. + 11 год.ТО и заправки х 100 грн. = 
До виплати 46 180 грн.</v>
      </c>
      <c r="AA142" s="540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538"/>
    </row>
    <row r="143" spans="1:65" s="534" customFormat="1" x14ac:dyDescent="0.3">
      <c r="A143" s="571"/>
      <c r="B143" s="561"/>
      <c r="C143" s="562" t="s">
        <v>672</v>
      </c>
      <c r="D143" s="562" t="s">
        <v>485</v>
      </c>
      <c r="E143" s="564">
        <f>INDEX($F$166:$F$187,MATCH(D143,$D$166:$D$187,0))</f>
        <v>10000</v>
      </c>
      <c r="F143" s="565">
        <f>91+29-8</f>
        <v>112</v>
      </c>
      <c r="G143" s="566"/>
      <c r="H143" s="566" t="s">
        <v>585</v>
      </c>
      <c r="I143" s="566" t="s">
        <v>71</v>
      </c>
      <c r="J143" s="567">
        <f>VLOOKUP(I143,Лист5!$C$2:$F$32,4,0)</f>
        <v>230</v>
      </c>
      <c r="K143" s="568">
        <v>100</v>
      </c>
      <c r="L143" s="568">
        <v>0</v>
      </c>
      <c r="M143" s="568">
        <v>4</v>
      </c>
      <c r="N143" s="568"/>
      <c r="O143" s="569">
        <f t="shared" si="61"/>
        <v>108</v>
      </c>
      <c r="P143" s="560">
        <f t="shared" si="62"/>
        <v>4</v>
      </c>
      <c r="Q143" s="574">
        <f t="shared" si="42"/>
        <v>25240</v>
      </c>
      <c r="R143" s="584">
        <f>ROUND(E143*(Q143/(SUM($Q$143:$Q$144)))*0.22,2)</f>
        <v>1160.46</v>
      </c>
      <c r="S143" s="584">
        <f>ROUND(E143*(Q143/(SUM($Q$143:$Q$144)))*0.23,2)</f>
        <v>1213.21</v>
      </c>
      <c r="T143" s="584">
        <f>E143*Q143/(SUM($Q$143:$Q$144))-S143</f>
        <v>4061.6071368861021</v>
      </c>
      <c r="U143" s="570">
        <f>-ROUND((R143+E143*Q143/(SUM($Q$150:$Q$150))),2)</f>
        <v>-128635.21</v>
      </c>
      <c r="V143" s="575">
        <f>Q143-T143</f>
        <v>21178.392863113899</v>
      </c>
      <c r="W143" s="575" t="e">
        <f>VLOOKUP(C143,[3]Лист1!$B$2:$M$24,12,0)</f>
        <v>#N/A</v>
      </c>
      <c r="X143" s="439">
        <v>45536</v>
      </c>
      <c r="Y143" s="439">
        <v>45565</v>
      </c>
      <c r="Z143" s="66" t="str">
        <f t="shared" ref="Z143:Z144" si="64">CONCATENATE($Z$134,CHAR(10),O143," год.роботи х ",J143," грн. + ",L143+M143," год.ТО и заправки х ",K143," грн."," = ",CHAR(10),"До виплати ",TEXT(Q143,"# #")," грн.")</f>
        <v>ЗП за 01.10.2024 - 30.09.2024
108 год.роботи х 230 грн. + 4 год.ТО и заправки х 100 грн. = 
До виплати 25 240 грн.</v>
      </c>
      <c r="AA143" s="540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538"/>
    </row>
    <row r="144" spans="1:65" s="587" customFormat="1" x14ac:dyDescent="0.3">
      <c r="A144" s="571"/>
      <c r="B144" s="561"/>
      <c r="C144" s="562" t="s">
        <v>672</v>
      </c>
      <c r="D144" s="563" t="s">
        <v>485</v>
      </c>
      <c r="E144" s="564">
        <f>INDEX($F$166:$F$187,MATCH(D144,$D$166:$D$187,0))</f>
        <v>10000</v>
      </c>
      <c r="F144" s="565">
        <f>92+8</f>
        <v>100</v>
      </c>
      <c r="G144" s="566"/>
      <c r="H144" s="566" t="s">
        <v>585</v>
      </c>
      <c r="I144" s="566" t="s">
        <v>77</v>
      </c>
      <c r="J144" s="567">
        <f>VLOOKUP(I144,Лист5!$C$2:$F$32,4,0)</f>
        <v>230</v>
      </c>
      <c r="K144" s="568">
        <v>100</v>
      </c>
      <c r="L144" s="568">
        <v>0</v>
      </c>
      <c r="M144" s="568">
        <v>3</v>
      </c>
      <c r="N144" s="568"/>
      <c r="O144" s="569">
        <f t="shared" si="61"/>
        <v>97</v>
      </c>
      <c r="P144" s="560">
        <f t="shared" si="62"/>
        <v>3</v>
      </c>
      <c r="Q144" s="574">
        <f t="shared" si="42"/>
        <v>22610</v>
      </c>
      <c r="R144" s="584">
        <f>ROUND(E144*(Q144/(SUM($Q$143:$Q$144)))*0.22,2)</f>
        <v>1039.54</v>
      </c>
      <c r="S144" s="584">
        <f>ROUND(E144*(Q144/(SUM($Q$143:$Q$144)))*0.23,2)</f>
        <v>1086.79</v>
      </c>
      <c r="T144" s="584">
        <f>E144*Q144/(SUM($Q$143:$Q$144))-S144</f>
        <v>3638.3928631138979</v>
      </c>
      <c r="U144" s="570">
        <f t="shared" ref="U144" si="65">-ROUND((R144+E144),2)</f>
        <v>-11039.54</v>
      </c>
      <c r="V144" s="575">
        <f>Q144-T144</f>
        <v>18971.607136886101</v>
      </c>
      <c r="W144" s="575" t="e">
        <f>VLOOKUP(C144,[3]Лист1!$B$2:$M$24,12,0)</f>
        <v>#N/A</v>
      </c>
      <c r="X144" s="439">
        <v>45536</v>
      </c>
      <c r="Y144" s="439">
        <v>45565</v>
      </c>
      <c r="Z144" s="66" t="str">
        <f t="shared" si="64"/>
        <v>ЗП за 01.10.2024 - 30.09.2024
97 год.роботи х 230 грн. + 3 год.ТО и заправки х 100 грн. = 
До виплати 22 610 грн.</v>
      </c>
      <c r="AA144" s="540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586"/>
    </row>
    <row r="145" spans="1:65" s="534" customFormat="1" x14ac:dyDescent="0.3">
      <c r="A145" s="571"/>
      <c r="B145" s="561"/>
      <c r="C145" s="562" t="s">
        <v>254</v>
      </c>
      <c r="D145" s="563" t="s">
        <v>611</v>
      </c>
      <c r="E145" s="564">
        <f>INDEX($F$166:$F$187,MATCH(D145,$D$166:$D$187,0))</f>
        <v>10400</v>
      </c>
      <c r="F145" s="565">
        <v>118</v>
      </c>
      <c r="G145" s="566"/>
      <c r="H145" s="566" t="s">
        <v>585</v>
      </c>
      <c r="I145" s="566" t="s">
        <v>73</v>
      </c>
      <c r="J145" s="567">
        <f>VLOOKUP(I145,Лист5!$C$2:$F$32,4,0)</f>
        <v>230</v>
      </c>
      <c r="K145" s="568">
        <v>100</v>
      </c>
      <c r="L145" s="568">
        <v>1</v>
      </c>
      <c r="M145" s="568">
        <v>6</v>
      </c>
      <c r="N145" s="568"/>
      <c r="O145" s="569">
        <f t="shared" si="40"/>
        <v>111</v>
      </c>
      <c r="P145" s="560">
        <f t="shared" si="41"/>
        <v>7</v>
      </c>
      <c r="Q145" s="574">
        <f t="shared" si="42"/>
        <v>26230</v>
      </c>
      <c r="R145" s="584">
        <f t="shared" ref="R145" si="66">ROUND(E145*0.22,2)</f>
        <v>2288</v>
      </c>
      <c r="S145" s="584">
        <f t="shared" ref="S145" si="67">E145*0.23</f>
        <v>2392</v>
      </c>
      <c r="T145" s="584">
        <f t="shared" ref="T145" si="68">E145-S145</f>
        <v>8008</v>
      </c>
      <c r="U145" s="570">
        <f t="shared" si="60"/>
        <v>-12688</v>
      </c>
      <c r="V145" s="575">
        <f t="shared" si="59"/>
        <v>18222</v>
      </c>
      <c r="W145" s="575">
        <f>VLOOKUP(C145,[3]Лист1!$B$2:$M$24,12,0)</f>
        <v>37800</v>
      </c>
      <c r="X145" s="439">
        <v>45536</v>
      </c>
      <c r="Y145" s="439">
        <v>45565</v>
      </c>
      <c r="Z145" s="66" t="str">
        <f t="shared" si="58"/>
        <v>ЗП за 01.10.2024 - 30.09.2024
111 год.роботи х 230 грн. + 7 год.ТО и заправки х 100 грн. = 
До виплати 26 230 грн.</v>
      </c>
      <c r="AA145" s="540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538"/>
    </row>
    <row r="146" spans="1:65" s="534" customFormat="1" x14ac:dyDescent="0.3">
      <c r="A146" s="571"/>
      <c r="B146" s="561"/>
      <c r="C146" s="562" t="s">
        <v>673</v>
      </c>
      <c r="D146" s="563"/>
      <c r="E146" s="564"/>
      <c r="F146" s="565">
        <f>67+17</f>
        <v>84</v>
      </c>
      <c r="G146" s="566"/>
      <c r="H146" s="566" t="s">
        <v>585</v>
      </c>
      <c r="I146" s="566" t="s">
        <v>0</v>
      </c>
      <c r="J146" s="567">
        <f>VLOOKUP(I146,Лист5!$C$2:$F$32,4,0)</f>
        <v>220</v>
      </c>
      <c r="K146" s="568">
        <v>100</v>
      </c>
      <c r="L146" s="568">
        <v>0</v>
      </c>
      <c r="M146" s="568">
        <v>1</v>
      </c>
      <c r="N146" s="568"/>
      <c r="O146" s="569">
        <f t="shared" si="40"/>
        <v>83</v>
      </c>
      <c r="P146" s="560">
        <f t="shared" si="41"/>
        <v>1</v>
      </c>
      <c r="Q146" s="574">
        <f t="shared" si="42"/>
        <v>18360</v>
      </c>
      <c r="R146" s="584">
        <f t="shared" ref="R146" si="69">ROUND(E146*0.22,2)</f>
        <v>0</v>
      </c>
      <c r="S146" s="584">
        <f t="shared" ref="S146:S147" si="70">E146*0.23</f>
        <v>0</v>
      </c>
      <c r="T146" s="584">
        <f t="shared" ref="T146:T147" si="71">E146-S146</f>
        <v>0</v>
      </c>
      <c r="U146" s="570">
        <f t="shared" si="60"/>
        <v>0</v>
      </c>
      <c r="V146" s="575">
        <f t="shared" si="59"/>
        <v>18360</v>
      </c>
      <c r="W146" s="575" t="e">
        <f>VLOOKUP(C146,[3]Лист1!$B$2:$M$24,12,0)</f>
        <v>#N/A</v>
      </c>
      <c r="X146" s="439">
        <v>45536</v>
      </c>
      <c r="Y146" s="439">
        <v>45565</v>
      </c>
      <c r="Z146" s="66" t="str">
        <f t="shared" si="58"/>
        <v>ЗП за 01.10.2024 - 30.09.2024
83 год.роботи х 220 грн. + 1 год.ТО и заправки х 100 грн. = 
До виплати 18 360 грн.</v>
      </c>
      <c r="AA146" s="540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538"/>
    </row>
    <row r="147" spans="1:65" s="534" customFormat="1" x14ac:dyDescent="0.3">
      <c r="A147" s="571"/>
      <c r="B147" s="561"/>
      <c r="C147" s="562" t="s">
        <v>674</v>
      </c>
      <c r="D147" s="563" t="s">
        <v>592</v>
      </c>
      <c r="E147" s="564">
        <f>INDEX($F$166:$F$187,MATCH(D147,$D$166:$D$187,0))</f>
        <v>5000</v>
      </c>
      <c r="F147" s="565">
        <v>110</v>
      </c>
      <c r="G147" s="566"/>
      <c r="H147" s="566" t="s">
        <v>585</v>
      </c>
      <c r="I147" s="566" t="s">
        <v>75</v>
      </c>
      <c r="J147" s="567">
        <f>VLOOKUP(I147,Лист5!$C$2:$F$32,4,0)</f>
        <v>200</v>
      </c>
      <c r="K147" s="568">
        <v>100</v>
      </c>
      <c r="L147" s="568">
        <v>6</v>
      </c>
      <c r="M147" s="568"/>
      <c r="N147" s="568"/>
      <c r="O147" s="569">
        <f t="shared" ref="O147" si="72">F147-L147-M147</f>
        <v>104</v>
      </c>
      <c r="P147" s="560">
        <f t="shared" ref="P147" si="73">L147+M147</f>
        <v>6</v>
      </c>
      <c r="Q147" s="574">
        <f t="shared" si="42"/>
        <v>21400</v>
      </c>
      <c r="R147" s="584">
        <f>ROUND(E147*0.22,2)</f>
        <v>1100</v>
      </c>
      <c r="S147" s="584">
        <f t="shared" si="70"/>
        <v>1150</v>
      </c>
      <c r="T147" s="584">
        <f t="shared" si="71"/>
        <v>3850</v>
      </c>
      <c r="U147" s="570">
        <f t="shared" si="60"/>
        <v>-6100</v>
      </c>
      <c r="V147" s="575">
        <f t="shared" ref="V147" si="74">Q147-T147</f>
        <v>17550</v>
      </c>
      <c r="W147" s="575" t="e">
        <f>VLOOKUP(C147,[3]Лист1!$B$2:$M$24,12,0)</f>
        <v>#N/A</v>
      </c>
      <c r="X147" s="439">
        <v>45536</v>
      </c>
      <c r="Y147" s="439">
        <v>45565</v>
      </c>
      <c r="Z147" s="66" t="str">
        <f t="shared" ref="Z147" si="75">CONCATENATE($Z$134,CHAR(10),O147," год.роботи х ",J147," грн. + ",L147+M147," год.ТО и заправки х ",K147," грн."," = ",CHAR(10),"До виплати ",TEXT(Q147,"# #")," грн.")</f>
        <v>ЗП за 01.10.2024 - 30.09.2024
104 год.роботи х 200 грн. + 6 год.ТО и заправки х 100 грн. = 
До виплати 21 400 грн.</v>
      </c>
      <c r="AA147" s="540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538"/>
    </row>
    <row r="148" spans="1:65" s="534" customFormat="1" x14ac:dyDescent="0.3">
      <c r="A148" s="571"/>
      <c r="B148" s="561"/>
      <c r="C148" s="562" t="s">
        <v>653</v>
      </c>
      <c r="D148" s="563" t="s">
        <v>591</v>
      </c>
      <c r="E148" s="564">
        <f>INDEX($F$166:$F$187,MATCH(D148,$D$166:$D$187,0))</f>
        <v>5000</v>
      </c>
      <c r="F148" s="565">
        <v>90</v>
      </c>
      <c r="G148" s="566"/>
      <c r="H148" s="566" t="s">
        <v>585</v>
      </c>
      <c r="I148" s="566" t="s">
        <v>75</v>
      </c>
      <c r="J148" s="567">
        <f>VLOOKUP(I148,Лист5!$C$2:$F$32,4,0)</f>
        <v>200</v>
      </c>
      <c r="K148" s="568">
        <v>100</v>
      </c>
      <c r="L148" s="568">
        <v>9</v>
      </c>
      <c r="M148" s="568">
        <v>3</v>
      </c>
      <c r="N148" s="568"/>
      <c r="O148" s="569">
        <f t="shared" si="40"/>
        <v>78</v>
      </c>
      <c r="P148" s="560">
        <f t="shared" si="41"/>
        <v>12</v>
      </c>
      <c r="Q148" s="574">
        <f t="shared" si="42"/>
        <v>16800</v>
      </c>
      <c r="R148" s="584">
        <f t="shared" ref="R148:R155" si="76">ROUND(E148*0.22,2)</f>
        <v>1100</v>
      </c>
      <c r="S148" s="584">
        <f t="shared" ref="S148:S155" si="77">E148*0.23</f>
        <v>1150</v>
      </c>
      <c r="T148" s="584">
        <f t="shared" ref="T148:T155" si="78">E148-S148</f>
        <v>3850</v>
      </c>
      <c r="U148" s="570">
        <f t="shared" ref="U148:U149" si="79">-ROUND((R148+E148),2)</f>
        <v>-6100</v>
      </c>
      <c r="V148" s="575">
        <f t="shared" si="59"/>
        <v>12950</v>
      </c>
      <c r="W148" s="575">
        <f>VLOOKUP(C148,[3]Лист1!$B$2:$M$24,12,0)</f>
        <v>33300</v>
      </c>
      <c r="X148" s="439">
        <v>45536</v>
      </c>
      <c r="Y148" s="439">
        <v>45565</v>
      </c>
      <c r="Z148" s="66" t="str">
        <f t="shared" si="58"/>
        <v>ЗП за 01.10.2024 - 30.09.2024
78 год.роботи х 200 грн. + 12 год.ТО и заправки х 100 грн. = 
До виплати 16 800 грн.</v>
      </c>
      <c r="AA148" s="540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538"/>
    </row>
    <row r="149" spans="1:65" s="534" customFormat="1" x14ac:dyDescent="0.3">
      <c r="A149" s="571"/>
      <c r="B149" s="561"/>
      <c r="C149" s="562" t="s">
        <v>675</v>
      </c>
      <c r="D149" s="562"/>
      <c r="E149" s="564"/>
      <c r="F149" s="565">
        <v>113</v>
      </c>
      <c r="G149" s="566"/>
      <c r="H149" s="566" t="s">
        <v>585</v>
      </c>
      <c r="I149" s="566" t="s">
        <v>86</v>
      </c>
      <c r="J149" s="567">
        <f>VLOOKUP(I149,Лист5!$C$2:$F$32,4,0)</f>
        <v>200</v>
      </c>
      <c r="K149" s="568">
        <v>100</v>
      </c>
      <c r="L149" s="568">
        <v>0</v>
      </c>
      <c r="M149" s="568">
        <v>6</v>
      </c>
      <c r="N149" s="568"/>
      <c r="O149" s="569">
        <f t="shared" ref="O149" si="80">F149-L149-M149</f>
        <v>107</v>
      </c>
      <c r="P149" s="560">
        <f t="shared" ref="P149" si="81">L149+M149</f>
        <v>6</v>
      </c>
      <c r="Q149" s="574">
        <f t="shared" si="42"/>
        <v>22000</v>
      </c>
      <c r="R149" s="584">
        <f t="shared" si="76"/>
        <v>0</v>
      </c>
      <c r="S149" s="584">
        <f t="shared" si="77"/>
        <v>0</v>
      </c>
      <c r="T149" s="584">
        <f t="shared" si="78"/>
        <v>0</v>
      </c>
      <c r="U149" s="570">
        <f t="shared" si="79"/>
        <v>0</v>
      </c>
      <c r="V149" s="575">
        <f t="shared" ref="V149" si="82">Q149-T149</f>
        <v>22000</v>
      </c>
      <c r="W149" s="575" t="e">
        <f>VLOOKUP(C149,[3]Лист1!$B$2:$M$24,12,0)</f>
        <v>#N/A</v>
      </c>
      <c r="X149" s="439">
        <v>45536</v>
      </c>
      <c r="Y149" s="439">
        <v>45565</v>
      </c>
      <c r="Z149" s="66" t="str">
        <f t="shared" ref="Z149" si="83">CONCATENATE($Z$134,CHAR(10),O149," год.роботи х ",J149," грн. + ",L149+M149," год.ТО и заправки х ",K149," грн."," = ",CHAR(10),"До виплати ",TEXT(Q149,"# #")," грн.")</f>
        <v>ЗП за 01.10.2024 - 30.09.2024
107 год.роботи х 200 грн. + 6 год.ТО и заправки х 100 грн. = 
До виплати 22 000 грн.</v>
      </c>
      <c r="AA149" s="540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538"/>
    </row>
    <row r="150" spans="1:65" s="534" customFormat="1" x14ac:dyDescent="0.3">
      <c r="A150" s="571"/>
      <c r="B150" s="561"/>
      <c r="C150" s="562" t="s">
        <v>675</v>
      </c>
      <c r="D150" s="562"/>
      <c r="E150" s="564"/>
      <c r="F150" s="565">
        <v>9</v>
      </c>
      <c r="G150" s="566"/>
      <c r="H150" s="566" t="s">
        <v>585</v>
      </c>
      <c r="I150" s="566" t="s">
        <v>0</v>
      </c>
      <c r="J150" s="567">
        <f>VLOOKUP(I150,Лист5!$C$2:$F$32,4,0)</f>
        <v>220</v>
      </c>
      <c r="K150" s="568">
        <v>100</v>
      </c>
      <c r="L150" s="568">
        <v>0</v>
      </c>
      <c r="M150" s="568"/>
      <c r="N150" s="568"/>
      <c r="O150" s="569">
        <f t="shared" si="40"/>
        <v>9</v>
      </c>
      <c r="P150" s="560">
        <f t="shared" si="41"/>
        <v>0</v>
      </c>
      <c r="Q150" s="574">
        <f t="shared" si="42"/>
        <v>1980</v>
      </c>
      <c r="R150" s="584">
        <f t="shared" si="76"/>
        <v>0</v>
      </c>
      <c r="S150" s="584">
        <f t="shared" si="77"/>
        <v>0</v>
      </c>
      <c r="T150" s="584">
        <f t="shared" si="78"/>
        <v>0</v>
      </c>
      <c r="U150" s="570">
        <f t="shared" ref="U150:U154" si="84">-ROUND((R150+E150),2)</f>
        <v>0</v>
      </c>
      <c r="V150" s="575">
        <f t="shared" si="59"/>
        <v>1980</v>
      </c>
      <c r="W150" s="575" t="e">
        <f>VLOOKUP(C150,[3]Лист1!$B$2:$M$24,12,0)</f>
        <v>#N/A</v>
      </c>
      <c r="X150" s="439">
        <v>45536</v>
      </c>
      <c r="Y150" s="439">
        <v>45565</v>
      </c>
      <c r="Z150" s="66" t="str">
        <f t="shared" si="58"/>
        <v>ЗП за 01.10.2024 - 30.09.2024
9 год.роботи х 220 грн. + 0 год.ТО и заправки х 100 грн. = 
До виплати 1 980 грн.</v>
      </c>
      <c r="AA150" s="540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538"/>
    </row>
    <row r="151" spans="1:65" s="534" customFormat="1" ht="19.2" customHeight="1" x14ac:dyDescent="0.3">
      <c r="A151" s="571"/>
      <c r="B151" s="561"/>
      <c r="C151" s="562" t="s">
        <v>676</v>
      </c>
      <c r="D151" s="563"/>
      <c r="E151" s="564"/>
      <c r="F151" s="565">
        <v>44</v>
      </c>
      <c r="G151" s="566"/>
      <c r="H151" s="566" t="s">
        <v>585</v>
      </c>
      <c r="I151" s="566" t="s">
        <v>0</v>
      </c>
      <c r="J151" s="567">
        <f>VLOOKUP(I151,Лист5!$C$2:$F$32,4,0)</f>
        <v>220</v>
      </c>
      <c r="K151" s="568">
        <v>100</v>
      </c>
      <c r="L151" s="568"/>
      <c r="M151" s="568">
        <v>1</v>
      </c>
      <c r="N151" s="568"/>
      <c r="O151" s="569">
        <f t="shared" ref="O151" si="85">F151-L151-M151</f>
        <v>43</v>
      </c>
      <c r="P151" s="560">
        <f t="shared" ref="P151" si="86">L151+M151</f>
        <v>1</v>
      </c>
      <c r="Q151" s="574">
        <f t="shared" si="42"/>
        <v>9560</v>
      </c>
      <c r="R151" s="584">
        <f t="shared" si="76"/>
        <v>0</v>
      </c>
      <c r="S151" s="584">
        <f t="shared" si="77"/>
        <v>0</v>
      </c>
      <c r="T151" s="584">
        <f t="shared" si="78"/>
        <v>0</v>
      </c>
      <c r="U151" s="570">
        <f t="shared" ref="U151" si="87">-ROUND((R151+E151),2)</f>
        <v>0</v>
      </c>
      <c r="V151" s="575">
        <f t="shared" ref="V151" si="88">Q151-T151</f>
        <v>9560</v>
      </c>
      <c r="W151" s="575" t="e">
        <f>VLOOKUP(C151,[3]Лист1!$B$2:$M$24,12,0)</f>
        <v>#N/A</v>
      </c>
      <c r="X151" s="439">
        <v>45536</v>
      </c>
      <c r="Y151" s="439">
        <v>45565</v>
      </c>
      <c r="Z151" s="66" t="str">
        <f t="shared" ref="Z151" si="89">CONCATENATE($Z$134,CHAR(10),O151," год.роботи х ",J151," грн. + ",L151+M151," год.ТО и заправки х ",K151," грн."," = ",CHAR(10),"До виплати ",TEXT(Q151,"# #")," грн.")</f>
        <v>ЗП за 01.10.2024 - 30.09.2024
43 год.роботи х 220 грн. + 1 год.ТО и заправки х 100 грн. = 
До виплати 9 560 грн.</v>
      </c>
      <c r="AA151" s="540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538"/>
    </row>
    <row r="152" spans="1:65" s="534" customFormat="1" ht="15" customHeight="1" x14ac:dyDescent="0.3">
      <c r="A152" s="571"/>
      <c r="B152" s="561"/>
      <c r="C152" s="562" t="s">
        <v>676</v>
      </c>
      <c r="D152" s="563"/>
      <c r="E152" s="564"/>
      <c r="F152" s="565">
        <v>48</v>
      </c>
      <c r="G152" s="566"/>
      <c r="H152" s="566" t="s">
        <v>585</v>
      </c>
      <c r="I152" s="566" t="s">
        <v>349</v>
      </c>
      <c r="J152" s="567">
        <f>VLOOKUP(I152,Лист5!$C$2:$F$32,4,0)</f>
        <v>200</v>
      </c>
      <c r="K152" s="568">
        <v>100</v>
      </c>
      <c r="L152" s="568">
        <v>18</v>
      </c>
      <c r="M152" s="568">
        <v>2</v>
      </c>
      <c r="N152" s="568"/>
      <c r="O152" s="569">
        <f t="shared" si="40"/>
        <v>28</v>
      </c>
      <c r="P152" s="560">
        <f t="shared" si="41"/>
        <v>20</v>
      </c>
      <c r="Q152" s="574">
        <f t="shared" si="42"/>
        <v>7600</v>
      </c>
      <c r="R152" s="584">
        <f t="shared" si="76"/>
        <v>0</v>
      </c>
      <c r="S152" s="584">
        <f t="shared" si="77"/>
        <v>0</v>
      </c>
      <c r="T152" s="584">
        <f t="shared" si="78"/>
        <v>0</v>
      </c>
      <c r="U152" s="570">
        <f t="shared" si="84"/>
        <v>0</v>
      </c>
      <c r="V152" s="575">
        <f t="shared" si="59"/>
        <v>7600</v>
      </c>
      <c r="W152" s="575" t="e">
        <f>VLOOKUP(C152,[3]Лист1!$B$2:$M$24,12,0)</f>
        <v>#N/A</v>
      </c>
      <c r="X152" s="439">
        <v>45536</v>
      </c>
      <c r="Y152" s="439">
        <v>45565</v>
      </c>
      <c r="Z152" s="66" t="str">
        <f t="shared" si="58"/>
        <v>ЗП за 01.10.2024 - 30.09.2024
28 год.роботи х 200 грн. + 20 год.ТО и заправки х 100 грн. = 
До виплати 7 600 грн.</v>
      </c>
      <c r="AA152" s="540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538"/>
    </row>
    <row r="153" spans="1:65" s="534" customFormat="1" x14ac:dyDescent="0.3">
      <c r="A153" s="571"/>
      <c r="B153" s="561"/>
      <c r="C153" s="562" t="s">
        <v>677</v>
      </c>
      <c r="D153" s="562"/>
      <c r="E153" s="564"/>
      <c r="F153" s="565">
        <f>124-F154</f>
        <v>112</v>
      </c>
      <c r="G153" s="566"/>
      <c r="H153" s="566" t="s">
        <v>585</v>
      </c>
      <c r="I153" s="566" t="s">
        <v>588</v>
      </c>
      <c r="J153" s="567">
        <f>VLOOKUP(I153,Лист5!$C$2:$F$32,4,0)</f>
        <v>200</v>
      </c>
      <c r="K153" s="568">
        <v>100</v>
      </c>
      <c r="L153" s="568">
        <v>10</v>
      </c>
      <c r="M153" s="568">
        <v>3</v>
      </c>
      <c r="N153" s="568"/>
      <c r="O153" s="569">
        <f t="shared" ref="O153:O154" si="90">F153-L153-M153</f>
        <v>99</v>
      </c>
      <c r="P153" s="560">
        <f t="shared" ref="P153" si="91">L153+M153</f>
        <v>13</v>
      </c>
      <c r="Q153" s="574">
        <f t="shared" si="42"/>
        <v>21100</v>
      </c>
      <c r="R153" s="584">
        <f t="shared" si="76"/>
        <v>0</v>
      </c>
      <c r="S153" s="584">
        <f t="shared" si="77"/>
        <v>0</v>
      </c>
      <c r="T153" s="584">
        <f t="shared" si="78"/>
        <v>0</v>
      </c>
      <c r="U153" s="570">
        <f t="shared" ref="U153" si="92">-ROUND((R153+E153),2)</f>
        <v>0</v>
      </c>
      <c r="V153" s="575">
        <f t="shared" ref="V153" si="93">Q153-T153</f>
        <v>21100</v>
      </c>
      <c r="W153" s="575" t="e">
        <f>VLOOKUP(C153,[3]Лист1!$B$2:$M$24,12,0)</f>
        <v>#N/A</v>
      </c>
      <c r="X153" s="439">
        <v>45536</v>
      </c>
      <c r="Y153" s="439">
        <v>45565</v>
      </c>
      <c r="Z153" s="66" t="str">
        <f t="shared" ref="Z153" si="94">CONCATENATE($Z$134,CHAR(10),O153," год.роботи х ",J153," грн. + ",L153+M153," год.ТО и заправки х ",K153," грн."," = ",CHAR(10),"До виплати ",TEXT(Q153,"# #")," грн.")</f>
        <v>ЗП за 01.10.2024 - 30.09.2024
99 год.роботи х 200 грн. + 13 год.ТО и заправки х 100 грн. = 
До виплати 21 100 грн.</v>
      </c>
      <c r="AA153" s="540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538"/>
    </row>
    <row r="154" spans="1:65" s="534" customFormat="1" x14ac:dyDescent="0.3">
      <c r="A154" s="571"/>
      <c r="B154" s="561"/>
      <c r="C154" s="562" t="s">
        <v>677</v>
      </c>
      <c r="D154" s="562"/>
      <c r="E154" s="564"/>
      <c r="F154" s="565">
        <v>12</v>
      </c>
      <c r="G154" s="566"/>
      <c r="H154" s="566" t="s">
        <v>679</v>
      </c>
      <c r="I154" s="566" t="s">
        <v>588</v>
      </c>
      <c r="J154" s="567">
        <f>VLOOKUP(I154,Лист5!$C$2:$F$32,4,0)</f>
        <v>200</v>
      </c>
      <c r="K154" s="568">
        <v>100</v>
      </c>
      <c r="L154" s="568"/>
      <c r="M154" s="568"/>
      <c r="N154" s="568"/>
      <c r="O154" s="569">
        <f t="shared" si="90"/>
        <v>12</v>
      </c>
      <c r="P154" s="560">
        <f t="shared" si="41"/>
        <v>0</v>
      </c>
      <c r="Q154" s="574">
        <f t="shared" si="42"/>
        <v>2400</v>
      </c>
      <c r="R154" s="584">
        <f t="shared" si="76"/>
        <v>0</v>
      </c>
      <c r="S154" s="584">
        <f t="shared" si="77"/>
        <v>0</v>
      </c>
      <c r="T154" s="584">
        <f t="shared" si="78"/>
        <v>0</v>
      </c>
      <c r="U154" s="570">
        <f t="shared" si="84"/>
        <v>0</v>
      </c>
      <c r="V154" s="575">
        <f t="shared" si="59"/>
        <v>2400</v>
      </c>
      <c r="W154" s="575" t="e">
        <f>VLOOKUP(C154,[3]Лист1!$B$2:$M$24,12,0)</f>
        <v>#N/A</v>
      </c>
      <c r="X154" s="439">
        <v>45536</v>
      </c>
      <c r="Y154" s="439">
        <v>45565</v>
      </c>
      <c r="Z154" s="66" t="str">
        <f t="shared" si="58"/>
        <v>ЗП за 01.10.2024 - 30.09.2024
12 год.роботи х 200 грн. + 0 год.ТО и заправки х 100 грн. = 
До виплати 2 400 грн.</v>
      </c>
      <c r="AA154" s="540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538"/>
    </row>
    <row r="155" spans="1:65" s="534" customFormat="1" x14ac:dyDescent="0.3">
      <c r="A155" s="571"/>
      <c r="B155" s="561"/>
      <c r="C155" s="562" t="s">
        <v>678</v>
      </c>
      <c r="D155" s="563" t="s">
        <v>660</v>
      </c>
      <c r="E155" s="564">
        <f>INDEX($F$166:$F$187,MATCH(D155,$D$166:$D$187,0))</f>
        <v>5000</v>
      </c>
      <c r="F155" s="565">
        <v>143</v>
      </c>
      <c r="G155" s="566"/>
      <c r="H155" s="566" t="s">
        <v>659</v>
      </c>
      <c r="I155" s="566" t="s">
        <v>70</v>
      </c>
      <c r="J155" s="567">
        <f>VLOOKUP(I155,Лист5!$C$2:$F$32,4,0)</f>
        <v>230</v>
      </c>
      <c r="K155" s="568">
        <v>100</v>
      </c>
      <c r="L155" s="568">
        <v>2</v>
      </c>
      <c r="M155" s="568">
        <v>3</v>
      </c>
      <c r="N155" s="568"/>
      <c r="O155" s="569">
        <f t="shared" si="40"/>
        <v>138</v>
      </c>
      <c r="P155" s="560">
        <f t="shared" si="41"/>
        <v>5</v>
      </c>
      <c r="Q155" s="574">
        <f t="shared" si="42"/>
        <v>32240</v>
      </c>
      <c r="R155" s="584">
        <f t="shared" si="76"/>
        <v>1100</v>
      </c>
      <c r="S155" s="584">
        <f t="shared" si="77"/>
        <v>1150</v>
      </c>
      <c r="T155" s="584">
        <f t="shared" si="78"/>
        <v>3850</v>
      </c>
      <c r="U155" s="570">
        <f t="shared" ref="U155" si="95">-ROUND((R155+E155),2)</f>
        <v>-6100</v>
      </c>
      <c r="V155" s="575">
        <f t="shared" si="59"/>
        <v>28390</v>
      </c>
      <c r="W155" s="575" t="e">
        <f>VLOOKUP(C155,[3]Лист1!$B$2:$M$24,12,0)</f>
        <v>#N/A</v>
      </c>
      <c r="X155" s="439">
        <v>45536</v>
      </c>
      <c r="Y155" s="439">
        <v>45565</v>
      </c>
      <c r="Z155" s="66" t="str">
        <f t="shared" si="58"/>
        <v>ЗП за 01.10.2024 - 30.09.2024
138 год.роботи х 230 грн. + 5 год.ТО и заправки х 100 грн. = 
До виплати 32 240 грн.</v>
      </c>
      <c r="AA155" s="540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538"/>
    </row>
    <row r="156" spans="1:65" s="534" customFormat="1" x14ac:dyDescent="0.3">
      <c r="A156" s="571"/>
      <c r="B156" s="561"/>
      <c r="C156" s="562"/>
      <c r="D156" s="563"/>
      <c r="E156" s="564"/>
      <c r="F156" s="565"/>
      <c r="G156" s="566"/>
      <c r="H156" s="566"/>
      <c r="I156" s="566"/>
      <c r="J156" s="567"/>
      <c r="K156" s="568"/>
      <c r="L156" s="568"/>
      <c r="M156" s="568"/>
      <c r="N156" s="568"/>
      <c r="O156" s="569">
        <f t="shared" si="40"/>
        <v>0</v>
      </c>
      <c r="P156" s="560">
        <f t="shared" si="41"/>
        <v>0</v>
      </c>
      <c r="Q156" s="574">
        <f t="shared" ref="Q156:Q158" si="96">O156*J156+(L156+M156)*K156</f>
        <v>0</v>
      </c>
      <c r="R156" s="584">
        <f t="shared" ref="R156" si="97">ROUND(E156*0.22,2)</f>
        <v>0</v>
      </c>
      <c r="S156" s="584">
        <f t="shared" ref="S156" si="98">E156*0.23</f>
        <v>0</v>
      </c>
      <c r="T156" s="584">
        <f t="shared" ref="T156" si="99">E156-S156</f>
        <v>0</v>
      </c>
      <c r="U156" s="570">
        <f t="shared" ref="U156" si="100">-ROUND((R156+E156),2)</f>
        <v>0</v>
      </c>
      <c r="V156" s="575">
        <f t="shared" si="59"/>
        <v>0</v>
      </c>
      <c r="W156" s="575" t="e">
        <f>VLOOKUP(C156,[3]Лист1!$B$2:$M$24,12,0)</f>
        <v>#N/A</v>
      </c>
      <c r="X156" s="439">
        <v>45536</v>
      </c>
      <c r="Y156" s="439">
        <v>45565</v>
      </c>
      <c r="Z156" s="66" t="str">
        <f t="shared" si="58"/>
        <v>ЗП за 01.10.2024 - 30.09.2024
0 год.роботи х  грн. + 0 год.ТО и заправки х  грн. = 
До виплати  грн.</v>
      </c>
      <c r="AA156" s="540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538"/>
    </row>
    <row r="157" spans="1:65" s="534" customFormat="1" x14ac:dyDescent="0.3">
      <c r="A157" s="571"/>
      <c r="B157" s="561"/>
      <c r="C157" s="562"/>
      <c r="D157" s="563"/>
      <c r="E157" s="564"/>
      <c r="F157" s="565"/>
      <c r="G157" s="566"/>
      <c r="H157" s="566"/>
      <c r="I157" s="566"/>
      <c r="J157" s="567"/>
      <c r="K157" s="568"/>
      <c r="L157" s="568"/>
      <c r="M157" s="568"/>
      <c r="N157" s="568"/>
      <c r="O157" s="569">
        <f t="shared" si="40"/>
        <v>0</v>
      </c>
      <c r="P157" s="560">
        <f t="shared" si="41"/>
        <v>0</v>
      </c>
      <c r="Q157" s="574">
        <f t="shared" si="96"/>
        <v>0</v>
      </c>
      <c r="R157" s="584">
        <f t="shared" ref="R157" si="101">ROUND(E157*0.22,2)</f>
        <v>0</v>
      </c>
      <c r="S157" s="584">
        <f t="shared" ref="S157" si="102">E157*0.23</f>
        <v>0</v>
      </c>
      <c r="T157" s="584">
        <f t="shared" ref="T157" si="103">E157-S157</f>
        <v>0</v>
      </c>
      <c r="U157" s="570">
        <f t="shared" ref="U157" si="104">-ROUND((R157+E157),2)</f>
        <v>0</v>
      </c>
      <c r="V157" s="575">
        <f t="shared" si="59"/>
        <v>0</v>
      </c>
      <c r="W157" s="575" t="e">
        <f>VLOOKUP(C157,[3]Лист1!$B$2:$M$24,12,0)</f>
        <v>#N/A</v>
      </c>
      <c r="X157" s="439">
        <v>45536</v>
      </c>
      <c r="Y157" s="439">
        <v>45565</v>
      </c>
      <c r="Z157" s="66" t="str">
        <f t="shared" si="58"/>
        <v>ЗП за 01.10.2024 - 30.09.2024
0 год.роботи х  грн. + 0 год.ТО и заправки х  грн. = 
До виплати  грн.</v>
      </c>
      <c r="AA157" s="540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538"/>
    </row>
    <row r="158" spans="1:65" s="534" customFormat="1" x14ac:dyDescent="0.3">
      <c r="B158" s="559"/>
      <c r="C158" s="296"/>
      <c r="D158" s="297"/>
      <c r="E158" s="564"/>
      <c r="F158" s="299"/>
      <c r="G158" s="78"/>
      <c r="H158" s="78"/>
      <c r="I158" s="78"/>
      <c r="J158" s="130"/>
      <c r="K158" s="79"/>
      <c r="L158" s="79"/>
      <c r="M158" s="79"/>
      <c r="N158" s="79"/>
      <c r="O158" s="306">
        <f t="shared" si="40"/>
        <v>0</v>
      </c>
      <c r="P158" s="315">
        <f t="shared" si="41"/>
        <v>0</v>
      </c>
      <c r="Q158" s="572">
        <f t="shared" si="96"/>
        <v>0</v>
      </c>
      <c r="R158" s="110"/>
      <c r="S158" s="110"/>
      <c r="T158" s="110"/>
      <c r="U158" s="537" t="e">
        <f>-ROUND((R158+E158*Q158/(SUM($Q$158:$Q$158))),2)</f>
        <v>#DIV/0!</v>
      </c>
      <c r="V158" s="573">
        <f t="shared" si="59"/>
        <v>0</v>
      </c>
      <c r="W158" s="418"/>
      <c r="X158" s="439">
        <v>45536</v>
      </c>
      <c r="Y158" s="439">
        <v>45565</v>
      </c>
      <c r="Z158" s="66" t="str">
        <f>CONCATENATE($Z$134,CHAR(10),O158," год.роботи х ",J159," грн. + ",L158+M158," год.ТО и заправки х ",K159," грн."," = ",CHAR(10),"До виплати ",TEXT(Q158,"# #")," грн.")</f>
        <v>ЗП за 01.10.2024 - 30.09.2024
0 год.роботи х  грн. + 0 год.ТО и заправки х  грн. = 
До виплати  грн.</v>
      </c>
      <c r="AA158" s="540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538"/>
    </row>
    <row r="159" spans="1:65" s="315" customFormat="1" ht="15" thickBot="1" x14ac:dyDescent="0.35">
      <c r="A159" s="332"/>
      <c r="B159" s="217"/>
      <c r="C159" s="296"/>
      <c r="D159" s="297"/>
      <c r="E159" s="564"/>
      <c r="F159" s="299"/>
      <c r="G159" s="78"/>
      <c r="H159" s="257"/>
      <c r="I159" s="535"/>
      <c r="J159" s="130"/>
      <c r="K159" s="79"/>
      <c r="L159" s="79"/>
      <c r="M159" s="79"/>
      <c r="N159" s="79"/>
      <c r="O159" s="306"/>
      <c r="P159" s="226">
        <f t="shared" ref="P159" si="105">L159+M159</f>
        <v>0</v>
      </c>
      <c r="Q159" s="533">
        <f>O159</f>
        <v>0</v>
      </c>
      <c r="R159" s="110"/>
      <c r="S159" s="110"/>
      <c r="T159" s="110"/>
      <c r="U159" s="458"/>
      <c r="V159" s="549">
        <f>Q159-T159</f>
        <v>0</v>
      </c>
      <c r="W159" s="418"/>
      <c r="X159" s="439">
        <v>45536</v>
      </c>
      <c r="Y159" s="439">
        <v>45565</v>
      </c>
      <c r="Z159" s="66" t="e">
        <f>CONCATENATE($Z$134,CHAR(10),O159," год.роботи х ",#REF!," грн. + ",L159+M159," год.ТО и заправки х ",#REF!," грн."," = ",CHAR(10),"До виплати ",TEXT(Q159,"# #")," грн.")</f>
        <v>#REF!</v>
      </c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333"/>
    </row>
    <row r="160" spans="1:65" s="212" customFormat="1" ht="15" thickBot="1" x14ac:dyDescent="0.35">
      <c r="B160" s="231"/>
      <c r="C160" s="210"/>
      <c r="D160" s="213"/>
      <c r="E160" s="564"/>
      <c r="F160" s="209"/>
      <c r="G160" s="209"/>
      <c r="H160" s="209"/>
      <c r="I160" s="209"/>
      <c r="J160" s="124"/>
      <c r="K160" s="125"/>
      <c r="L160" s="215"/>
      <c r="M160" s="215"/>
      <c r="N160" s="215"/>
      <c r="O160" s="306">
        <f t="shared" ref="O160" si="106">F160-L160-M160</f>
        <v>0</v>
      </c>
      <c r="P160" s="226">
        <f t="shared" ref="P160" si="107">L160+M160</f>
        <v>0</v>
      </c>
      <c r="Q160" s="363">
        <f t="shared" ref="Q160" si="108">O160*J160+(L160+M160)*K160</f>
        <v>0</v>
      </c>
      <c r="R160" s="211"/>
      <c r="S160" s="211"/>
      <c r="T160" s="211"/>
      <c r="U160" s="464"/>
      <c r="V160" s="550">
        <f>Q160-T160</f>
        <v>0</v>
      </c>
      <c r="W160" s="418"/>
      <c r="X160" s="439">
        <v>45536</v>
      </c>
      <c r="Y160" s="439">
        <v>45565</v>
      </c>
      <c r="Z160" s="66" t="str">
        <f t="shared" si="38"/>
        <v>ЗП за 01.10.2024 - 30.09.2024
0 год.роботи х  грн. + 0 год.ТО и заправки х  грн. = 
До виплати  грн.</v>
      </c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538"/>
    </row>
    <row r="161" spans="2:65" s="212" customFormat="1" ht="15" thickBot="1" x14ac:dyDescent="0.35">
      <c r="B161" s="231"/>
      <c r="C161" s="210"/>
      <c r="D161" s="210"/>
      <c r="E161" s="564"/>
      <c r="F161" s="209"/>
      <c r="G161" s="209"/>
      <c r="H161" s="209"/>
      <c r="I161" s="209"/>
      <c r="J161" s="227"/>
      <c r="K161" s="215"/>
      <c r="L161" s="215"/>
      <c r="M161" s="215"/>
      <c r="N161" s="215"/>
      <c r="O161" s="270"/>
      <c r="P161" s="226"/>
      <c r="Q161" s="283"/>
      <c r="R161" s="211"/>
      <c r="S161" s="211"/>
      <c r="T161" s="211"/>
      <c r="U161" s="464"/>
      <c r="V161" s="550">
        <f t="shared" ref="V161" si="109">Q161-T161</f>
        <v>0</v>
      </c>
      <c r="W161" s="418"/>
      <c r="X161" s="439">
        <v>45536</v>
      </c>
      <c r="Y161" s="439">
        <v>45565</v>
      </c>
      <c r="Z161" s="66" t="str">
        <f t="shared" si="38"/>
        <v>ЗП за 01.10.2024 - 30.09.2024
 год.роботи х  грн. + 0 год.ТО и заправки х  грн. = 
До виплати  грн.</v>
      </c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538"/>
    </row>
    <row r="162" spans="2:65" s="212" customFormat="1" x14ac:dyDescent="0.3">
      <c r="B162" s="231"/>
      <c r="C162" s="210"/>
      <c r="D162" s="210"/>
      <c r="E162" s="564"/>
      <c r="F162" s="209"/>
      <c r="G162" s="209"/>
      <c r="H162" s="209"/>
      <c r="I162" s="209"/>
      <c r="J162" s="227"/>
      <c r="K162" s="215"/>
      <c r="L162" s="215"/>
      <c r="M162" s="215"/>
      <c r="N162" s="215"/>
      <c r="O162" s="270"/>
      <c r="P162" s="226"/>
      <c r="Q162" s="283"/>
      <c r="R162" s="211"/>
      <c r="S162" s="211"/>
      <c r="T162" s="211"/>
      <c r="U162" s="464"/>
      <c r="V162" s="548"/>
      <c r="W162" s="418"/>
      <c r="X162" s="439"/>
      <c r="Y162" s="439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538"/>
    </row>
    <row r="163" spans="2:65" s="216" customFormat="1" ht="27.6" customHeight="1" x14ac:dyDescent="0.3">
      <c r="B163" s="231"/>
      <c r="C163" s="232" t="s">
        <v>468</v>
      </c>
      <c r="D163" s="232"/>
      <c r="E163" s="233"/>
      <c r="F163" s="234">
        <f>SUM(F135:F162)</f>
        <v>2404</v>
      </c>
      <c r="G163" s="234"/>
      <c r="H163" s="234"/>
      <c r="I163" s="234"/>
      <c r="J163" s="235"/>
      <c r="K163" s="235"/>
      <c r="L163" s="236">
        <f>SUM(L135:L162)</f>
        <v>117</v>
      </c>
      <c r="M163" s="236">
        <f>SUM(M135:M162)</f>
        <v>61</v>
      </c>
      <c r="N163" s="236"/>
      <c r="O163" s="271">
        <f>SUM(O135:O162)</f>
        <v>2226</v>
      </c>
      <c r="P163" s="225"/>
      <c r="Q163" s="285">
        <f>SUM(Q135:Q162)</f>
        <v>550810</v>
      </c>
      <c r="R163" s="285">
        <f>SUM(R135:R158)</f>
        <v>18788</v>
      </c>
      <c r="S163" s="285">
        <f>SUM(S135:S158)</f>
        <v>19642</v>
      </c>
      <c r="T163" s="285">
        <f>SUM(T135:T158)</f>
        <v>65758</v>
      </c>
      <c r="U163" s="448" t="e">
        <f>SUM(U135:U158)</f>
        <v>#DIV/0!</v>
      </c>
      <c r="V163" s="551">
        <f>SUM(V135:V160)</f>
        <v>485052</v>
      </c>
      <c r="W163" s="431"/>
      <c r="X163" s="107"/>
      <c r="Y163" s="107"/>
      <c r="Z163" s="66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539"/>
    </row>
    <row r="164" spans="2:65" x14ac:dyDescent="0.3">
      <c r="O164" s="174"/>
      <c r="Q164" s="132"/>
      <c r="T164" s="174"/>
      <c r="U164" s="132"/>
      <c r="V164" s="174"/>
      <c r="W164" s="183"/>
    </row>
    <row r="165" spans="2:65" outlineLevel="1" x14ac:dyDescent="0.3">
      <c r="Q165" s="132"/>
      <c r="T165" s="174"/>
      <c r="U165" s="132"/>
      <c r="V165" s="66"/>
      <c r="W165" s="132"/>
    </row>
    <row r="166" spans="2:65" outlineLevel="1" x14ac:dyDescent="0.3">
      <c r="D166" s="175" t="s">
        <v>485</v>
      </c>
      <c r="E166" s="176"/>
      <c r="F166" s="588">
        <v>10000</v>
      </c>
      <c r="G166" s="239">
        <f>F166*1.22</f>
        <v>12200</v>
      </c>
      <c r="H166" s="239">
        <v>7700</v>
      </c>
      <c r="O166" s="174">
        <f>O163-O154</f>
        <v>2214</v>
      </c>
      <c r="Q166" s="132"/>
      <c r="T166" s="174"/>
      <c r="U166" s="132"/>
      <c r="V166" s="174">
        <f>V163+'2025_01_01'!O16</f>
        <v>485052</v>
      </c>
    </row>
    <row r="167" spans="2:65" outlineLevel="1" x14ac:dyDescent="0.3">
      <c r="D167" s="175" t="s">
        <v>596</v>
      </c>
      <c r="E167" s="176"/>
      <c r="F167" s="402">
        <v>7565.2</v>
      </c>
      <c r="G167" s="239">
        <f t="shared" ref="G167:G185" si="110">F167*1.22</f>
        <v>9229.5439999999999</v>
      </c>
      <c r="H167" s="239">
        <v>5825.2</v>
      </c>
      <c r="Q167" s="132"/>
      <c r="T167" s="174"/>
      <c r="U167" s="132"/>
      <c r="V167" s="66"/>
    </row>
    <row r="168" spans="2:65" outlineLevel="1" x14ac:dyDescent="0.3">
      <c r="D168" s="175" t="s">
        <v>635</v>
      </c>
      <c r="E168" s="176"/>
      <c r="F168" s="588">
        <v>10000</v>
      </c>
      <c r="G168" s="239">
        <f>F168*1.22</f>
        <v>12200</v>
      </c>
      <c r="H168" s="239">
        <v>1540</v>
      </c>
      <c r="Q168" s="132"/>
      <c r="T168" s="174"/>
      <c r="U168" s="132"/>
      <c r="V168" s="66"/>
    </row>
    <row r="169" spans="2:65" outlineLevel="1" x14ac:dyDescent="0.3">
      <c r="D169" s="175" t="s">
        <v>568</v>
      </c>
      <c r="E169" s="176"/>
      <c r="F169" s="588">
        <v>10000</v>
      </c>
      <c r="G169" s="239">
        <f t="shared" si="110"/>
        <v>12200</v>
      </c>
      <c r="H169" s="239">
        <v>7700</v>
      </c>
      <c r="Q169" s="132"/>
      <c r="T169" s="174"/>
      <c r="U169" s="132"/>
      <c r="V169" s="66"/>
    </row>
    <row r="170" spans="2:65" outlineLevel="1" x14ac:dyDescent="0.3">
      <c r="D170" s="175" t="s">
        <v>660</v>
      </c>
      <c r="E170" s="176"/>
      <c r="F170" s="588">
        <v>5000</v>
      </c>
      <c r="G170" s="239">
        <f t="shared" si="110"/>
        <v>6100</v>
      </c>
      <c r="H170" s="239"/>
      <c r="Q170" s="132"/>
      <c r="T170" s="174"/>
      <c r="U170" s="132"/>
      <c r="V170" s="66"/>
    </row>
    <row r="171" spans="2:65" outlineLevel="1" x14ac:dyDescent="0.3">
      <c r="D171" s="175" t="s">
        <v>192</v>
      </c>
      <c r="E171" s="176"/>
      <c r="F171" s="588">
        <v>10000</v>
      </c>
      <c r="G171" s="239">
        <f t="shared" si="110"/>
        <v>12200</v>
      </c>
      <c r="H171" s="239">
        <v>7700</v>
      </c>
      <c r="Q171" s="132"/>
      <c r="T171" s="174"/>
      <c r="U171" s="132"/>
      <c r="V171" s="66"/>
    </row>
    <row r="172" spans="2:65" outlineLevel="1" x14ac:dyDescent="0.3">
      <c r="D172" s="175" t="s">
        <v>582</v>
      </c>
      <c r="E172" s="185"/>
      <c r="F172" s="402">
        <v>0</v>
      </c>
      <c r="G172" s="239">
        <f>F172*1.22</f>
        <v>0</v>
      </c>
      <c r="H172" s="239"/>
      <c r="Q172" s="132"/>
      <c r="T172" s="174"/>
      <c r="U172" s="132"/>
      <c r="V172" s="66"/>
    </row>
    <row r="173" spans="2:65" outlineLevel="1" x14ac:dyDescent="0.3">
      <c r="D173" s="175" t="s">
        <v>589</v>
      </c>
      <c r="E173" s="176"/>
      <c r="F173" s="588">
        <v>10000</v>
      </c>
      <c r="G173" s="239">
        <f>F173*1.22</f>
        <v>12200</v>
      </c>
      <c r="H173" s="239">
        <v>7700</v>
      </c>
      <c r="I173" s="67">
        <f>G173/2</f>
        <v>6100</v>
      </c>
    </row>
    <row r="174" spans="2:65" outlineLevel="1" x14ac:dyDescent="0.3">
      <c r="D174" s="175" t="s">
        <v>193</v>
      </c>
      <c r="E174" s="176"/>
      <c r="F174" s="588">
        <v>10000</v>
      </c>
      <c r="G174" s="239">
        <f t="shared" si="110"/>
        <v>12200</v>
      </c>
      <c r="H174" s="239">
        <v>7700</v>
      </c>
    </row>
    <row r="175" spans="2:65" outlineLevel="1" x14ac:dyDescent="0.3">
      <c r="D175" s="175" t="s">
        <v>545</v>
      </c>
      <c r="E175" s="176"/>
      <c r="F175" s="402">
        <v>9500</v>
      </c>
      <c r="G175" s="239">
        <f t="shared" si="110"/>
        <v>11590</v>
      </c>
      <c r="H175" s="239"/>
      <c r="I175" s="244">
        <f>G175+G176</f>
        <v>11590</v>
      </c>
    </row>
    <row r="176" spans="2:65" outlineLevel="1" x14ac:dyDescent="0.3">
      <c r="D176" s="175" t="s">
        <v>368</v>
      </c>
      <c r="E176" s="176"/>
      <c r="F176" s="402">
        <v>0</v>
      </c>
      <c r="G176" s="239">
        <f t="shared" si="110"/>
        <v>0</v>
      </c>
      <c r="H176" s="239"/>
    </row>
    <row r="177" spans="4:21" outlineLevel="1" x14ac:dyDescent="0.3">
      <c r="D177" s="175" t="s">
        <v>356</v>
      </c>
      <c r="E177" s="176"/>
      <c r="F177" s="402"/>
      <c r="G177" s="239">
        <f t="shared" si="110"/>
        <v>0</v>
      </c>
      <c r="H177" s="239"/>
      <c r="U177" s="132"/>
    </row>
    <row r="178" spans="4:21" outlineLevel="1" x14ac:dyDescent="0.3">
      <c r="D178" s="175" t="s">
        <v>560</v>
      </c>
      <c r="E178" s="186"/>
      <c r="F178" s="402">
        <v>10400</v>
      </c>
      <c r="G178" s="239">
        <f t="shared" si="110"/>
        <v>12688</v>
      </c>
      <c r="H178" s="239">
        <v>8008</v>
      </c>
    </row>
    <row r="179" spans="4:21" outlineLevel="1" x14ac:dyDescent="0.3">
      <c r="D179" s="175" t="s">
        <v>610</v>
      </c>
      <c r="E179" s="176"/>
      <c r="F179" s="402"/>
      <c r="G179" s="239">
        <f>F179*1.22</f>
        <v>0</v>
      </c>
      <c r="H179" s="239"/>
    </row>
    <row r="180" spans="4:21" outlineLevel="1" x14ac:dyDescent="0.3">
      <c r="D180" s="175" t="s">
        <v>561</v>
      </c>
      <c r="E180" s="176"/>
      <c r="F180" s="402">
        <v>9500</v>
      </c>
      <c r="G180" s="239">
        <f t="shared" si="110"/>
        <v>11590</v>
      </c>
      <c r="H180" s="239"/>
    </row>
    <row r="181" spans="4:21" outlineLevel="1" x14ac:dyDescent="0.3">
      <c r="D181" s="175" t="s">
        <v>611</v>
      </c>
      <c r="E181" s="176"/>
      <c r="F181" s="588">
        <v>10400</v>
      </c>
      <c r="G181" s="239">
        <f t="shared" si="110"/>
        <v>12688</v>
      </c>
      <c r="H181" s="239">
        <v>8008</v>
      </c>
    </row>
    <row r="182" spans="4:21" outlineLevel="1" x14ac:dyDescent="0.3">
      <c r="D182" s="175" t="s">
        <v>591</v>
      </c>
      <c r="E182" s="176"/>
      <c r="F182" s="588">
        <v>5000</v>
      </c>
      <c r="G182" s="239">
        <f t="shared" si="110"/>
        <v>6100</v>
      </c>
      <c r="H182" s="239">
        <v>7700</v>
      </c>
    </row>
    <row r="183" spans="4:21" outlineLevel="1" x14ac:dyDescent="0.3">
      <c r="D183" s="175" t="s">
        <v>592</v>
      </c>
      <c r="E183" s="176"/>
      <c r="F183" s="588">
        <v>5000</v>
      </c>
      <c r="G183" s="239">
        <f t="shared" si="110"/>
        <v>6100</v>
      </c>
      <c r="H183" s="239">
        <v>2678.26</v>
      </c>
    </row>
    <row r="184" spans="4:21" x14ac:dyDescent="0.3">
      <c r="D184" s="175" t="s">
        <v>593</v>
      </c>
      <c r="E184" s="176"/>
      <c r="F184" s="402">
        <v>8000</v>
      </c>
      <c r="G184" s="239">
        <f t="shared" ref="G184" si="111">F184*1.22</f>
        <v>9760</v>
      </c>
      <c r="H184" s="239">
        <v>6160</v>
      </c>
    </row>
    <row r="185" spans="4:21" x14ac:dyDescent="0.3">
      <c r="D185" s="175"/>
      <c r="E185" s="176"/>
      <c r="F185" s="177"/>
      <c r="G185" s="188">
        <f t="shared" si="110"/>
        <v>0</v>
      </c>
    </row>
  </sheetData>
  <autoFilter ref="B134:AB163" xr:uid="{00000000-0009-0000-0000-000016000000}">
    <filterColumn colId="1">
      <filters blank="1">
        <filter val="Болох В."/>
        <filter val="Борисенко О."/>
        <filter val="Василиу Р."/>
        <filter val="Гончаренко В."/>
        <filter val="Гончаренко О"/>
        <filter val="Зубко О."/>
        <filter val="ИТОГО"/>
        <filter val="Ільїн Р."/>
        <filter val="Комаров Д."/>
        <filter val="Котик М."/>
        <filter val="Ляшко С."/>
        <filter val="Окольничий В."/>
        <filter val="Скоц С.І."/>
        <filter val="Сокур С."/>
        <filter val="Тройняк О."/>
        <filter val="Черненко А."/>
      </filters>
    </filterColumn>
  </autoFilter>
  <mergeCells count="16">
    <mergeCell ref="B53:V53"/>
    <mergeCell ref="B59:B60"/>
    <mergeCell ref="E59:E60"/>
    <mergeCell ref="B82:V82"/>
    <mergeCell ref="B87:B88"/>
    <mergeCell ref="E87:E88"/>
    <mergeCell ref="B4:V4"/>
    <mergeCell ref="B27:V27"/>
    <mergeCell ref="B32:B33"/>
    <mergeCell ref="B38:B39"/>
    <mergeCell ref="B45:B46"/>
    <mergeCell ref="B131:V131"/>
    <mergeCell ref="B89:B90"/>
    <mergeCell ref="E89:E90"/>
    <mergeCell ref="B100:B101"/>
    <mergeCell ref="E100:E101"/>
  </mergeCells>
  <phoneticPr fontId="45" type="noConversion"/>
  <pageMargins left="0.70866141732283472" right="0.38" top="0.74803149606299213" bottom="0.74803149606299213" header="0.31496062992125984" footer="0.31496062992125984"/>
  <pageSetup paperSize="9" scale="22" orientation="landscape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'C:\Users\user\Desktop\Новая папка\рапорт+табель+топливо\Март\[ТабельСпецтехники.xlsx]ИНФО_СПЕЦТЕХНИКА'!#REF!</xm:f>
          </x14:formula1>
          <xm:sqref>I30:I47 I57:I76</xm:sqref>
        </x14:dataValidation>
        <x14:dataValidation type="list" allowBlank="1" showInputMessage="1" showErrorMessage="1" xr:uid="{00000000-0002-0000-1600-000001000000}">
          <x14:formula1>
            <xm:f>'C:\Users\user\Desktop\Новая папка\рапорт+табель+топливо\Март\[ТабельСпецтехники.xlsx]ИНФО_СПЕЦТЕХНИКА'!#REF!</xm:f>
          </x14:formula1>
          <xm:sqref>I86:I107 I136:I162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32"/>
  <sheetViews>
    <sheetView topLeftCell="A34" workbookViewId="0">
      <selection activeCell="D77" sqref="D77"/>
    </sheetView>
  </sheetViews>
  <sheetFormatPr defaultRowHeight="14.4" x14ac:dyDescent="0.3"/>
  <cols>
    <col min="1" max="1" width="18.33203125" customWidth="1"/>
    <col min="2" max="2" width="10.6640625" customWidth="1"/>
    <col min="3" max="3" width="14.88671875" customWidth="1"/>
    <col min="4" max="4" width="22.109375" customWidth="1"/>
  </cols>
  <sheetData>
    <row r="1" spans="1:8" ht="57.6" x14ac:dyDescent="0.3">
      <c r="A1" s="246" t="s">
        <v>574</v>
      </c>
      <c r="B1" s="246" t="s">
        <v>534</v>
      </c>
      <c r="C1" s="247" t="s">
        <v>234</v>
      </c>
      <c r="D1" s="247" t="s">
        <v>575</v>
      </c>
      <c r="E1" s="248" t="s">
        <v>577</v>
      </c>
      <c r="F1" s="248" t="s">
        <v>235</v>
      </c>
      <c r="G1" s="248" t="s">
        <v>458</v>
      </c>
      <c r="H1" s="247" t="s">
        <v>576</v>
      </c>
    </row>
    <row r="2" spans="1:8" x14ac:dyDescent="0.3">
      <c r="A2" s="249">
        <v>45477</v>
      </c>
      <c r="B2" s="250" t="s">
        <v>543</v>
      </c>
      <c r="C2" s="250" t="s">
        <v>564</v>
      </c>
      <c r="D2" s="250" t="s">
        <v>69</v>
      </c>
      <c r="E2" s="250">
        <f>F2+G2</f>
        <v>1</v>
      </c>
      <c r="F2" s="250"/>
      <c r="G2" s="250">
        <v>1</v>
      </c>
      <c r="H2" s="250"/>
    </row>
    <row r="3" spans="1:8" x14ac:dyDescent="0.3">
      <c r="A3" s="249">
        <v>45482</v>
      </c>
      <c r="B3" s="250" t="s">
        <v>543</v>
      </c>
      <c r="C3" s="250" t="s">
        <v>564</v>
      </c>
      <c r="D3" s="250" t="s">
        <v>69</v>
      </c>
      <c r="E3" s="250">
        <f t="shared" ref="E3:E67" si="0">F3+G3</f>
        <v>1</v>
      </c>
      <c r="F3" s="250">
        <v>1</v>
      </c>
      <c r="G3" s="250"/>
      <c r="H3" s="250"/>
    </row>
    <row r="4" spans="1:8" x14ac:dyDescent="0.3">
      <c r="A4" s="249">
        <v>45484</v>
      </c>
      <c r="B4" s="250" t="s">
        <v>543</v>
      </c>
      <c r="C4" s="250" t="s">
        <v>564</v>
      </c>
      <c r="D4" s="250" t="s">
        <v>69</v>
      </c>
      <c r="E4" s="250">
        <f t="shared" si="0"/>
        <v>2</v>
      </c>
      <c r="F4" s="250">
        <v>1</v>
      </c>
      <c r="G4" s="250">
        <v>1</v>
      </c>
      <c r="H4" s="250"/>
    </row>
    <row r="5" spans="1:8" x14ac:dyDescent="0.3">
      <c r="A5" s="249">
        <v>45491</v>
      </c>
      <c r="B5" s="250" t="s">
        <v>543</v>
      </c>
      <c r="C5" s="250" t="s">
        <v>564</v>
      </c>
      <c r="D5" s="250" t="s">
        <v>69</v>
      </c>
      <c r="E5" s="250">
        <f t="shared" si="0"/>
        <v>1</v>
      </c>
      <c r="F5" s="250">
        <v>1</v>
      </c>
      <c r="G5" s="250"/>
      <c r="H5" s="250"/>
    </row>
    <row r="6" spans="1:8" x14ac:dyDescent="0.3">
      <c r="A6" s="249">
        <v>45492</v>
      </c>
      <c r="B6" s="250" t="s">
        <v>543</v>
      </c>
      <c r="C6" s="250" t="s">
        <v>564</v>
      </c>
      <c r="D6" s="250" t="s">
        <v>69</v>
      </c>
      <c r="E6" s="250">
        <f t="shared" si="0"/>
        <v>1</v>
      </c>
      <c r="F6" s="250"/>
      <c r="G6" s="250">
        <v>1</v>
      </c>
      <c r="H6" s="250"/>
    </row>
    <row r="7" spans="1:8" x14ac:dyDescent="0.3">
      <c r="A7" s="249">
        <v>45498</v>
      </c>
      <c r="B7" s="250" t="s">
        <v>543</v>
      </c>
      <c r="C7" s="250" t="s">
        <v>564</v>
      </c>
      <c r="D7" s="250" t="s">
        <v>69</v>
      </c>
      <c r="E7" s="250">
        <f t="shared" si="0"/>
        <v>1</v>
      </c>
      <c r="F7" s="250"/>
      <c r="G7" s="250">
        <v>1</v>
      </c>
      <c r="H7" s="250"/>
    </row>
    <row r="8" spans="1:8" x14ac:dyDescent="0.3">
      <c r="A8" s="249">
        <v>45500</v>
      </c>
      <c r="B8" s="250" t="s">
        <v>543</v>
      </c>
      <c r="C8" s="250" t="s">
        <v>564</v>
      </c>
      <c r="D8" s="250" t="s">
        <v>69</v>
      </c>
      <c r="E8" s="250">
        <f t="shared" si="0"/>
        <v>1</v>
      </c>
      <c r="F8" s="250">
        <v>1</v>
      </c>
      <c r="G8" s="250"/>
      <c r="H8" s="250"/>
    </row>
    <row r="9" spans="1:8" x14ac:dyDescent="0.3">
      <c r="A9" s="249">
        <v>45502</v>
      </c>
      <c r="B9" s="250" t="s">
        <v>543</v>
      </c>
      <c r="C9" s="250" t="s">
        <v>564</v>
      </c>
      <c r="D9" s="250" t="s">
        <v>69</v>
      </c>
      <c r="E9" s="250">
        <f t="shared" si="0"/>
        <v>1</v>
      </c>
      <c r="F9" s="250">
        <v>1</v>
      </c>
      <c r="G9" s="250"/>
      <c r="H9" s="250"/>
    </row>
    <row r="10" spans="1:8" x14ac:dyDescent="0.3">
      <c r="A10" s="249">
        <v>45489</v>
      </c>
      <c r="B10" s="250" t="s">
        <v>542</v>
      </c>
      <c r="C10" s="250" t="s">
        <v>565</v>
      </c>
      <c r="D10" s="250" t="s">
        <v>523</v>
      </c>
      <c r="E10" s="250">
        <f t="shared" si="0"/>
        <v>9</v>
      </c>
      <c r="F10" s="250">
        <v>9</v>
      </c>
      <c r="G10" s="250"/>
      <c r="H10" s="250"/>
    </row>
    <row r="11" spans="1:8" x14ac:dyDescent="0.3">
      <c r="A11" s="249">
        <v>45490</v>
      </c>
      <c r="B11" s="250" t="s">
        <v>542</v>
      </c>
      <c r="C11" s="250" t="s">
        <v>565</v>
      </c>
      <c r="D11" s="250" t="s">
        <v>523</v>
      </c>
      <c r="E11" s="250">
        <f t="shared" si="0"/>
        <v>9</v>
      </c>
      <c r="F11" s="250">
        <v>9</v>
      </c>
      <c r="G11" s="250"/>
      <c r="H11" s="250"/>
    </row>
    <row r="12" spans="1:8" x14ac:dyDescent="0.3">
      <c r="A12" s="249">
        <v>45491</v>
      </c>
      <c r="B12" s="250" t="s">
        <v>542</v>
      </c>
      <c r="C12" s="250" t="s">
        <v>565</v>
      </c>
      <c r="D12" s="250" t="s">
        <v>523</v>
      </c>
      <c r="E12" s="250">
        <f t="shared" si="0"/>
        <v>9</v>
      </c>
      <c r="F12" s="250">
        <v>9</v>
      </c>
      <c r="G12" s="250"/>
      <c r="H12" s="250"/>
    </row>
    <row r="13" spans="1:8" x14ac:dyDescent="0.3">
      <c r="A13" s="249">
        <v>45492</v>
      </c>
      <c r="B13" s="250" t="s">
        <v>542</v>
      </c>
      <c r="C13" s="250" t="s">
        <v>565</v>
      </c>
      <c r="D13" s="250" t="s">
        <v>523</v>
      </c>
      <c r="E13" s="250">
        <f t="shared" si="0"/>
        <v>1</v>
      </c>
      <c r="F13" s="250">
        <v>1</v>
      </c>
      <c r="G13" s="250"/>
      <c r="H13" s="250"/>
    </row>
    <row r="14" spans="1:8" x14ac:dyDescent="0.3">
      <c r="A14" s="249">
        <v>45494</v>
      </c>
      <c r="B14" s="250" t="s">
        <v>543</v>
      </c>
      <c r="C14" s="250" t="s">
        <v>565</v>
      </c>
      <c r="D14" s="250" t="s">
        <v>523</v>
      </c>
      <c r="E14" s="250">
        <f t="shared" si="0"/>
        <v>5</v>
      </c>
      <c r="F14" s="250">
        <v>4</v>
      </c>
      <c r="G14" s="250">
        <v>1</v>
      </c>
      <c r="H14" s="250"/>
    </row>
    <row r="15" spans="1:8" x14ac:dyDescent="0.3">
      <c r="A15" s="249">
        <v>45498</v>
      </c>
      <c r="B15" s="250" t="s">
        <v>543</v>
      </c>
      <c r="C15" s="250" t="s">
        <v>565</v>
      </c>
      <c r="D15" s="250" t="s">
        <v>578</v>
      </c>
      <c r="E15" s="250">
        <f t="shared" si="0"/>
        <v>1</v>
      </c>
      <c r="F15" s="250"/>
      <c r="G15" s="250">
        <v>1</v>
      </c>
      <c r="H15" s="250"/>
    </row>
    <row r="16" spans="1:8" x14ac:dyDescent="0.3">
      <c r="A16" s="249">
        <v>45502</v>
      </c>
      <c r="B16" s="250" t="s">
        <v>543</v>
      </c>
      <c r="C16" s="250" t="s">
        <v>565</v>
      </c>
      <c r="D16" s="250" t="s">
        <v>579</v>
      </c>
      <c r="E16" s="250">
        <f t="shared" si="0"/>
        <v>9</v>
      </c>
      <c r="F16" s="250">
        <v>9</v>
      </c>
      <c r="G16" s="250"/>
      <c r="H16" s="250"/>
    </row>
    <row r="17" spans="1:8" x14ac:dyDescent="0.3">
      <c r="A17" s="249">
        <v>45500</v>
      </c>
      <c r="B17" s="250" t="s">
        <v>559</v>
      </c>
      <c r="C17" s="250" t="s">
        <v>569</v>
      </c>
      <c r="D17" s="250" t="s">
        <v>64</v>
      </c>
      <c r="E17" s="250">
        <f t="shared" si="0"/>
        <v>10</v>
      </c>
      <c r="F17" s="250">
        <v>10</v>
      </c>
      <c r="G17" s="250"/>
      <c r="H17" s="250" t="s">
        <v>580</v>
      </c>
    </row>
    <row r="18" spans="1:8" x14ac:dyDescent="0.3">
      <c r="A18" s="249">
        <v>45502</v>
      </c>
      <c r="B18" s="250" t="s">
        <v>559</v>
      </c>
      <c r="C18" s="250" t="s">
        <v>569</v>
      </c>
      <c r="D18" s="250" t="s">
        <v>64</v>
      </c>
      <c r="E18" s="250">
        <f t="shared" si="0"/>
        <v>2</v>
      </c>
      <c r="F18" s="250">
        <v>2</v>
      </c>
      <c r="G18" s="250"/>
      <c r="H18" s="250"/>
    </row>
    <row r="19" spans="1:8" x14ac:dyDescent="0.3">
      <c r="A19" s="249">
        <v>45503</v>
      </c>
      <c r="B19" s="250" t="s">
        <v>559</v>
      </c>
      <c r="C19" s="250" t="s">
        <v>569</v>
      </c>
      <c r="D19" s="250" t="s">
        <v>64</v>
      </c>
      <c r="E19" s="250">
        <f t="shared" si="0"/>
        <v>1</v>
      </c>
      <c r="F19" s="250"/>
      <c r="G19" s="250">
        <v>1</v>
      </c>
      <c r="H19" s="250"/>
    </row>
    <row r="20" spans="1:8" x14ac:dyDescent="0.3">
      <c r="A20" s="249">
        <v>45476</v>
      </c>
      <c r="B20" s="250" t="s">
        <v>559</v>
      </c>
      <c r="C20" s="250" t="s">
        <v>571</v>
      </c>
      <c r="D20" s="250" t="s">
        <v>581</v>
      </c>
      <c r="E20" s="250">
        <f t="shared" si="0"/>
        <v>1</v>
      </c>
      <c r="F20" s="250"/>
      <c r="G20" s="250">
        <v>1</v>
      </c>
      <c r="H20" s="250"/>
    </row>
    <row r="21" spans="1:8" x14ac:dyDescent="0.3">
      <c r="A21" s="249">
        <v>45478</v>
      </c>
      <c r="B21" s="250" t="s">
        <v>559</v>
      </c>
      <c r="C21" s="250" t="s">
        <v>571</v>
      </c>
      <c r="D21" s="250" t="s">
        <v>581</v>
      </c>
      <c r="E21" s="250">
        <f t="shared" si="0"/>
        <v>3</v>
      </c>
      <c r="F21" s="250">
        <v>2</v>
      </c>
      <c r="G21" s="250">
        <v>1</v>
      </c>
      <c r="H21" s="250"/>
    </row>
    <row r="22" spans="1:8" x14ac:dyDescent="0.3">
      <c r="A22" s="249">
        <v>45480</v>
      </c>
      <c r="B22" s="250" t="s">
        <v>559</v>
      </c>
      <c r="C22" s="250" t="s">
        <v>571</v>
      </c>
      <c r="D22" s="250" t="s">
        <v>581</v>
      </c>
      <c r="E22" s="250">
        <f t="shared" si="0"/>
        <v>8</v>
      </c>
      <c r="F22" s="250">
        <v>8</v>
      </c>
      <c r="G22" s="250"/>
      <c r="H22" s="250"/>
    </row>
    <row r="23" spans="1:8" x14ac:dyDescent="0.3">
      <c r="A23" s="249">
        <v>45481</v>
      </c>
      <c r="B23" s="250" t="s">
        <v>559</v>
      </c>
      <c r="C23" s="250" t="s">
        <v>571</v>
      </c>
      <c r="D23" s="250" t="s">
        <v>581</v>
      </c>
      <c r="E23" s="250">
        <f t="shared" si="0"/>
        <v>2</v>
      </c>
      <c r="F23" s="250">
        <v>2</v>
      </c>
      <c r="G23" s="250"/>
      <c r="H23" s="250"/>
    </row>
    <row r="24" spans="1:8" x14ac:dyDescent="0.3">
      <c r="A24" s="249">
        <v>45482</v>
      </c>
      <c r="B24" s="250" t="s">
        <v>559</v>
      </c>
      <c r="C24" s="250" t="s">
        <v>571</v>
      </c>
      <c r="D24" s="250" t="s">
        <v>581</v>
      </c>
      <c r="E24" s="250">
        <f t="shared" si="0"/>
        <v>1</v>
      </c>
      <c r="F24" s="250"/>
      <c r="G24" s="250">
        <v>1</v>
      </c>
      <c r="H24" s="250"/>
    </row>
    <row r="25" spans="1:8" x14ac:dyDescent="0.3">
      <c r="A25" s="249">
        <v>45483</v>
      </c>
      <c r="B25" s="250" t="s">
        <v>559</v>
      </c>
      <c r="C25" s="250" t="s">
        <v>571</v>
      </c>
      <c r="D25" s="250" t="s">
        <v>581</v>
      </c>
      <c r="E25" s="250">
        <f t="shared" si="0"/>
        <v>8</v>
      </c>
      <c r="F25" s="250">
        <v>7</v>
      </c>
      <c r="G25" s="250">
        <v>1</v>
      </c>
      <c r="H25" s="250"/>
    </row>
    <row r="26" spans="1:8" x14ac:dyDescent="0.3">
      <c r="A26" s="249">
        <v>45490</v>
      </c>
      <c r="B26" s="250" t="s">
        <v>559</v>
      </c>
      <c r="C26" s="250" t="s">
        <v>566</v>
      </c>
      <c r="D26" s="250" t="s">
        <v>581</v>
      </c>
      <c r="E26" s="250">
        <f t="shared" si="0"/>
        <v>1</v>
      </c>
      <c r="F26" s="250">
        <v>1</v>
      </c>
      <c r="G26" s="250"/>
      <c r="H26" s="250"/>
    </row>
    <row r="27" spans="1:8" x14ac:dyDescent="0.3">
      <c r="A27" s="249">
        <v>45491</v>
      </c>
      <c r="B27" s="250" t="s">
        <v>559</v>
      </c>
      <c r="C27" s="250" t="s">
        <v>566</v>
      </c>
      <c r="D27" s="250" t="s">
        <v>581</v>
      </c>
      <c r="E27" s="250">
        <f t="shared" si="0"/>
        <v>1</v>
      </c>
      <c r="F27" s="250"/>
      <c r="G27" s="250">
        <v>1</v>
      </c>
      <c r="H27" s="250"/>
    </row>
    <row r="28" spans="1:8" x14ac:dyDescent="0.3">
      <c r="A28" s="249">
        <v>45497</v>
      </c>
      <c r="B28" s="250" t="s">
        <v>559</v>
      </c>
      <c r="C28" s="250" t="s">
        <v>566</v>
      </c>
      <c r="D28" s="250" t="s">
        <v>581</v>
      </c>
      <c r="E28" s="250">
        <f t="shared" si="0"/>
        <v>1</v>
      </c>
      <c r="F28" s="250"/>
      <c r="G28" s="250">
        <v>1</v>
      </c>
      <c r="H28" s="250"/>
    </row>
    <row r="29" spans="1:8" x14ac:dyDescent="0.3">
      <c r="A29" s="249">
        <v>45500</v>
      </c>
      <c r="B29" s="250" t="s">
        <v>559</v>
      </c>
      <c r="C29" s="250" t="s">
        <v>566</v>
      </c>
      <c r="D29" s="250" t="s">
        <v>581</v>
      </c>
      <c r="E29" s="250">
        <f t="shared" si="0"/>
        <v>4</v>
      </c>
      <c r="F29" s="250">
        <v>4</v>
      </c>
      <c r="G29" s="250"/>
      <c r="H29" s="250"/>
    </row>
    <row r="30" spans="1:8" x14ac:dyDescent="0.3">
      <c r="A30" s="249">
        <v>45503</v>
      </c>
      <c r="B30" s="250" t="s">
        <v>559</v>
      </c>
      <c r="C30" s="250" t="s">
        <v>566</v>
      </c>
      <c r="D30" s="250" t="s">
        <v>581</v>
      </c>
      <c r="E30" s="250">
        <f t="shared" si="0"/>
        <v>1</v>
      </c>
      <c r="F30" s="250"/>
      <c r="G30" s="250">
        <v>1</v>
      </c>
      <c r="H30" s="250"/>
    </row>
    <row r="31" spans="1:8" x14ac:dyDescent="0.3">
      <c r="A31" s="249">
        <v>45474</v>
      </c>
      <c r="B31" s="250" t="s">
        <v>559</v>
      </c>
      <c r="C31" s="250" t="s">
        <v>567</v>
      </c>
      <c r="D31" s="250" t="s">
        <v>86</v>
      </c>
      <c r="E31" s="250">
        <f t="shared" si="0"/>
        <v>1</v>
      </c>
      <c r="F31" s="250">
        <v>1</v>
      </c>
      <c r="G31" s="250"/>
      <c r="H31" s="250"/>
    </row>
    <row r="32" spans="1:8" x14ac:dyDescent="0.3">
      <c r="A32" s="249">
        <v>45476</v>
      </c>
      <c r="B32" s="250" t="s">
        <v>559</v>
      </c>
      <c r="C32" s="250" t="s">
        <v>567</v>
      </c>
      <c r="D32" s="250" t="s">
        <v>86</v>
      </c>
      <c r="E32" s="250">
        <f t="shared" si="0"/>
        <v>1</v>
      </c>
      <c r="F32" s="250"/>
      <c r="G32" s="250">
        <v>1</v>
      </c>
      <c r="H32" s="250"/>
    </row>
    <row r="33" spans="1:8" x14ac:dyDescent="0.3">
      <c r="A33" s="249">
        <v>45477</v>
      </c>
      <c r="B33" s="250" t="s">
        <v>559</v>
      </c>
      <c r="C33" s="250" t="s">
        <v>567</v>
      </c>
      <c r="D33" s="250" t="s">
        <v>86</v>
      </c>
      <c r="E33" s="250">
        <f t="shared" si="0"/>
        <v>1</v>
      </c>
      <c r="F33" s="250"/>
      <c r="G33" s="250">
        <v>1</v>
      </c>
      <c r="H33" s="250"/>
    </row>
    <row r="34" spans="1:8" x14ac:dyDescent="0.3">
      <c r="A34" s="249">
        <v>45478</v>
      </c>
      <c r="B34" s="250" t="s">
        <v>559</v>
      </c>
      <c r="C34" s="250" t="s">
        <v>567</v>
      </c>
      <c r="D34" s="250" t="s">
        <v>86</v>
      </c>
      <c r="E34" s="250">
        <f t="shared" si="0"/>
        <v>2</v>
      </c>
      <c r="F34" s="250">
        <v>2</v>
      </c>
      <c r="G34" s="250"/>
      <c r="H34" s="250"/>
    </row>
    <row r="35" spans="1:8" x14ac:dyDescent="0.3">
      <c r="A35" s="249">
        <v>45480</v>
      </c>
      <c r="B35" s="250" t="s">
        <v>559</v>
      </c>
      <c r="C35" s="250" t="s">
        <v>567</v>
      </c>
      <c r="D35" s="250" t="s">
        <v>86</v>
      </c>
      <c r="E35" s="250">
        <f t="shared" si="0"/>
        <v>8</v>
      </c>
      <c r="F35" s="250">
        <v>8</v>
      </c>
      <c r="G35" s="250"/>
      <c r="H35" s="250"/>
    </row>
    <row r="36" spans="1:8" x14ac:dyDescent="0.3">
      <c r="A36" s="249">
        <v>45481</v>
      </c>
      <c r="B36" s="250" t="s">
        <v>559</v>
      </c>
      <c r="C36" s="250" t="s">
        <v>567</v>
      </c>
      <c r="D36" s="250" t="s">
        <v>86</v>
      </c>
      <c r="E36" s="250">
        <f t="shared" si="0"/>
        <v>2</v>
      </c>
      <c r="F36" s="250">
        <v>2</v>
      </c>
      <c r="G36" s="250"/>
      <c r="H36" s="250"/>
    </row>
    <row r="37" spans="1:8" x14ac:dyDescent="0.3">
      <c r="A37" s="249">
        <v>45490</v>
      </c>
      <c r="B37" s="250" t="s">
        <v>559</v>
      </c>
      <c r="C37" s="250" t="s">
        <v>567</v>
      </c>
      <c r="D37" s="250" t="s">
        <v>86</v>
      </c>
      <c r="E37" s="250">
        <f t="shared" si="0"/>
        <v>1</v>
      </c>
      <c r="F37" s="250">
        <v>1</v>
      </c>
      <c r="G37" s="250"/>
      <c r="H37" s="250"/>
    </row>
    <row r="38" spans="1:8" x14ac:dyDescent="0.3">
      <c r="A38" s="249">
        <v>45491</v>
      </c>
      <c r="B38" s="250" t="s">
        <v>559</v>
      </c>
      <c r="C38" s="250" t="s">
        <v>567</v>
      </c>
      <c r="D38" s="250" t="s">
        <v>86</v>
      </c>
      <c r="E38" s="250">
        <f t="shared" si="0"/>
        <v>1</v>
      </c>
      <c r="F38" s="250"/>
      <c r="G38" s="250">
        <v>1</v>
      </c>
      <c r="H38" s="250"/>
    </row>
    <row r="39" spans="1:8" x14ac:dyDescent="0.3">
      <c r="A39" s="249">
        <v>45493</v>
      </c>
      <c r="B39" s="250" t="s">
        <v>559</v>
      </c>
      <c r="C39" s="250" t="s">
        <v>567</v>
      </c>
      <c r="D39" s="250" t="s">
        <v>86</v>
      </c>
      <c r="E39" s="250">
        <f t="shared" si="0"/>
        <v>8</v>
      </c>
      <c r="F39" s="250">
        <v>8</v>
      </c>
      <c r="G39" s="250"/>
      <c r="H39" s="250"/>
    </row>
    <row r="40" spans="1:8" x14ac:dyDescent="0.3">
      <c r="A40" s="249">
        <v>45494</v>
      </c>
      <c r="B40" s="250" t="s">
        <v>559</v>
      </c>
      <c r="C40" s="250" t="s">
        <v>567</v>
      </c>
      <c r="D40" s="250" t="s">
        <v>86</v>
      </c>
      <c r="E40" s="250">
        <f t="shared" si="0"/>
        <v>8</v>
      </c>
      <c r="F40" s="250">
        <v>8</v>
      </c>
      <c r="G40" s="250"/>
      <c r="H40" s="250"/>
    </row>
    <row r="41" spans="1:8" x14ac:dyDescent="0.3">
      <c r="A41" s="249">
        <v>45497</v>
      </c>
      <c r="B41" s="250" t="s">
        <v>559</v>
      </c>
      <c r="C41" s="250" t="s">
        <v>567</v>
      </c>
      <c r="D41" s="250" t="s">
        <v>86</v>
      </c>
      <c r="E41" s="250">
        <f t="shared" si="0"/>
        <v>2</v>
      </c>
      <c r="F41" s="250">
        <v>1</v>
      </c>
      <c r="G41" s="250">
        <v>1</v>
      </c>
      <c r="H41" s="250"/>
    </row>
    <row r="42" spans="1:8" x14ac:dyDescent="0.3">
      <c r="A42" s="249">
        <v>45500</v>
      </c>
      <c r="B42" s="250" t="s">
        <v>559</v>
      </c>
      <c r="C42" s="250" t="s">
        <v>567</v>
      </c>
      <c r="D42" s="250" t="s">
        <v>86</v>
      </c>
      <c r="E42" s="250">
        <f t="shared" si="0"/>
        <v>3</v>
      </c>
      <c r="F42" s="250">
        <v>2</v>
      </c>
      <c r="G42" s="250">
        <v>1</v>
      </c>
      <c r="H42" s="250"/>
    </row>
    <row r="43" spans="1:8" x14ac:dyDescent="0.3">
      <c r="A43" s="249">
        <v>45502</v>
      </c>
      <c r="B43" s="250" t="s">
        <v>548</v>
      </c>
      <c r="C43" s="250" t="s">
        <v>567</v>
      </c>
      <c r="D43" s="250" t="s">
        <v>86</v>
      </c>
      <c r="E43" s="250">
        <f t="shared" si="0"/>
        <v>4</v>
      </c>
      <c r="F43" s="250">
        <v>4</v>
      </c>
      <c r="G43" s="250"/>
      <c r="H43" s="250"/>
    </row>
    <row r="44" spans="1:8" x14ac:dyDescent="0.3">
      <c r="A44" s="249">
        <v>45503</v>
      </c>
      <c r="B44" s="250" t="s">
        <v>548</v>
      </c>
      <c r="C44" s="250" t="s">
        <v>567</v>
      </c>
      <c r="D44" s="250" t="s">
        <v>86</v>
      </c>
      <c r="E44" s="250">
        <f t="shared" si="0"/>
        <v>8</v>
      </c>
      <c r="F44" s="250">
        <v>8</v>
      </c>
      <c r="G44" s="250"/>
      <c r="H44" s="250"/>
    </row>
    <row r="45" spans="1:8" x14ac:dyDescent="0.3">
      <c r="A45" s="249">
        <v>45488</v>
      </c>
      <c r="B45" s="250" t="s">
        <v>543</v>
      </c>
      <c r="C45" s="250" t="s">
        <v>549</v>
      </c>
      <c r="D45" s="250" t="s">
        <v>66</v>
      </c>
      <c r="E45" s="250">
        <f t="shared" si="0"/>
        <v>2</v>
      </c>
      <c r="F45" s="250">
        <v>1</v>
      </c>
      <c r="G45" s="250">
        <v>1</v>
      </c>
      <c r="H45" s="250"/>
    </row>
    <row r="46" spans="1:8" x14ac:dyDescent="0.3">
      <c r="A46" s="249">
        <v>45491</v>
      </c>
      <c r="B46" s="250" t="s">
        <v>543</v>
      </c>
      <c r="C46" s="250" t="s">
        <v>549</v>
      </c>
      <c r="D46" s="250" t="s">
        <v>66</v>
      </c>
      <c r="E46" s="250">
        <f t="shared" si="0"/>
        <v>1</v>
      </c>
      <c r="F46" s="250"/>
      <c r="G46" s="250">
        <v>1</v>
      </c>
      <c r="H46" s="250"/>
    </row>
    <row r="47" spans="1:8" x14ac:dyDescent="0.3">
      <c r="A47" s="249">
        <v>45493</v>
      </c>
      <c r="B47" s="250" t="s">
        <v>543</v>
      </c>
      <c r="C47" s="250" t="s">
        <v>549</v>
      </c>
      <c r="D47" s="250" t="s">
        <v>66</v>
      </c>
      <c r="E47" s="250">
        <f t="shared" si="0"/>
        <v>8</v>
      </c>
      <c r="F47" s="250">
        <v>8</v>
      </c>
      <c r="G47" s="250"/>
      <c r="H47" s="250"/>
    </row>
    <row r="48" spans="1:8" x14ac:dyDescent="0.3">
      <c r="A48" s="249">
        <v>45494</v>
      </c>
      <c r="B48" s="250" t="s">
        <v>543</v>
      </c>
      <c r="C48" s="250" t="s">
        <v>549</v>
      </c>
      <c r="D48" s="250" t="s">
        <v>66</v>
      </c>
      <c r="E48" s="250">
        <f t="shared" si="0"/>
        <v>8</v>
      </c>
      <c r="F48" s="250">
        <v>7</v>
      </c>
      <c r="G48" s="250">
        <v>1</v>
      </c>
      <c r="H48" s="250"/>
    </row>
    <row r="49" spans="1:8" x14ac:dyDescent="0.3">
      <c r="A49" s="249">
        <v>45497</v>
      </c>
      <c r="B49" s="250" t="s">
        <v>543</v>
      </c>
      <c r="C49" s="250" t="s">
        <v>549</v>
      </c>
      <c r="D49" s="250" t="s">
        <v>66</v>
      </c>
      <c r="E49" s="250">
        <f t="shared" si="0"/>
        <v>1</v>
      </c>
      <c r="F49" s="250"/>
      <c r="G49" s="250">
        <v>1</v>
      </c>
      <c r="H49" s="250"/>
    </row>
    <row r="50" spans="1:8" x14ac:dyDescent="0.3">
      <c r="A50" s="249">
        <v>45500</v>
      </c>
      <c r="B50" s="250" t="s">
        <v>543</v>
      </c>
      <c r="C50" s="250" t="s">
        <v>549</v>
      </c>
      <c r="D50" s="250" t="s">
        <v>66</v>
      </c>
      <c r="E50" s="250">
        <f t="shared" si="0"/>
        <v>1</v>
      </c>
      <c r="F50" s="250"/>
      <c r="G50" s="250">
        <v>1</v>
      </c>
      <c r="H50" s="250"/>
    </row>
    <row r="51" spans="1:8" x14ac:dyDescent="0.3">
      <c r="A51" s="249">
        <v>45474</v>
      </c>
      <c r="B51" s="250" t="s">
        <v>548</v>
      </c>
      <c r="C51" s="250" t="s">
        <v>572</v>
      </c>
      <c r="D51" s="250" t="s">
        <v>349</v>
      </c>
      <c r="E51" s="250">
        <f t="shared" si="0"/>
        <v>3</v>
      </c>
      <c r="F51" s="250">
        <v>3</v>
      </c>
      <c r="G51" s="250"/>
      <c r="H51" s="250"/>
    </row>
    <row r="52" spans="1:8" x14ac:dyDescent="0.3">
      <c r="A52" s="249">
        <v>45474</v>
      </c>
      <c r="B52" s="250" t="s">
        <v>543</v>
      </c>
      <c r="C52" s="250" t="s">
        <v>573</v>
      </c>
      <c r="D52" s="250" t="s">
        <v>76</v>
      </c>
      <c r="E52" s="250">
        <f t="shared" si="0"/>
        <v>1</v>
      </c>
      <c r="F52" s="250">
        <v>1</v>
      </c>
      <c r="G52" s="250"/>
      <c r="H52" s="250"/>
    </row>
    <row r="53" spans="1:8" x14ac:dyDescent="0.3">
      <c r="A53" s="249">
        <v>45477</v>
      </c>
      <c r="B53" s="250" t="s">
        <v>543</v>
      </c>
      <c r="C53" s="250" t="s">
        <v>573</v>
      </c>
      <c r="D53" s="250" t="s">
        <v>76</v>
      </c>
      <c r="E53" s="250">
        <f t="shared" si="0"/>
        <v>1</v>
      </c>
      <c r="F53" s="250"/>
      <c r="G53" s="250">
        <v>1</v>
      </c>
      <c r="H53" s="250"/>
    </row>
    <row r="54" spans="1:8" x14ac:dyDescent="0.3">
      <c r="A54" s="249">
        <v>45479</v>
      </c>
      <c r="B54" s="250" t="s">
        <v>543</v>
      </c>
      <c r="C54" s="250" t="s">
        <v>573</v>
      </c>
      <c r="D54" s="250" t="s">
        <v>76</v>
      </c>
      <c r="E54" s="250">
        <f t="shared" si="0"/>
        <v>1</v>
      </c>
      <c r="F54" s="250"/>
      <c r="G54" s="250">
        <v>1</v>
      </c>
      <c r="H54" s="250"/>
    </row>
    <row r="55" spans="1:8" x14ac:dyDescent="0.3">
      <c r="A55" s="249">
        <v>45483</v>
      </c>
      <c r="B55" s="250" t="s">
        <v>543</v>
      </c>
      <c r="C55" s="250" t="s">
        <v>573</v>
      </c>
      <c r="D55" s="250" t="s">
        <v>76</v>
      </c>
      <c r="E55" s="250">
        <f t="shared" si="0"/>
        <v>1</v>
      </c>
      <c r="F55" s="250"/>
      <c r="G55" s="250">
        <v>1</v>
      </c>
      <c r="H55" s="250"/>
    </row>
    <row r="56" spans="1:8" x14ac:dyDescent="0.3">
      <c r="A56" s="249">
        <v>45489</v>
      </c>
      <c r="B56" s="250" t="s">
        <v>543</v>
      </c>
      <c r="C56" s="250" t="s">
        <v>573</v>
      </c>
      <c r="D56" s="250" t="s">
        <v>76</v>
      </c>
      <c r="E56" s="250">
        <f t="shared" si="0"/>
        <v>1</v>
      </c>
      <c r="F56" s="250"/>
      <c r="G56" s="250">
        <v>1</v>
      </c>
      <c r="H56" s="250"/>
    </row>
    <row r="57" spans="1:8" x14ac:dyDescent="0.3">
      <c r="A57" s="249">
        <v>45490</v>
      </c>
      <c r="B57" s="250" t="s">
        <v>543</v>
      </c>
      <c r="C57" s="250" t="s">
        <v>573</v>
      </c>
      <c r="D57" s="250" t="s">
        <v>76</v>
      </c>
      <c r="E57" s="250">
        <f t="shared" si="0"/>
        <v>1</v>
      </c>
      <c r="F57" s="250">
        <v>1</v>
      </c>
      <c r="G57" s="250"/>
      <c r="H57" s="250"/>
    </row>
    <row r="58" spans="1:8" x14ac:dyDescent="0.3">
      <c r="A58" s="249">
        <v>45491</v>
      </c>
      <c r="B58" s="250" t="s">
        <v>543</v>
      </c>
      <c r="C58" s="250" t="s">
        <v>573</v>
      </c>
      <c r="D58" s="250" t="s">
        <v>76</v>
      </c>
      <c r="E58" s="250">
        <f t="shared" si="0"/>
        <v>1</v>
      </c>
      <c r="F58" s="250"/>
      <c r="G58" s="250">
        <v>1</v>
      </c>
      <c r="H58" s="250"/>
    </row>
    <row r="59" spans="1:8" x14ac:dyDescent="0.3">
      <c r="A59" s="249">
        <v>45494</v>
      </c>
      <c r="B59" s="250" t="s">
        <v>543</v>
      </c>
      <c r="C59" s="250" t="s">
        <v>573</v>
      </c>
      <c r="D59" s="250" t="s">
        <v>76</v>
      </c>
      <c r="E59" s="250">
        <f t="shared" si="0"/>
        <v>1</v>
      </c>
      <c r="F59" s="250"/>
      <c r="G59" s="250">
        <v>1</v>
      </c>
      <c r="H59" s="250"/>
    </row>
    <row r="60" spans="1:8" x14ac:dyDescent="0.3">
      <c r="A60" s="249">
        <v>45495</v>
      </c>
      <c r="B60" s="250" t="s">
        <v>543</v>
      </c>
      <c r="C60" s="250" t="s">
        <v>573</v>
      </c>
      <c r="D60" s="250" t="s">
        <v>76</v>
      </c>
      <c r="E60" s="250">
        <f t="shared" si="0"/>
        <v>2</v>
      </c>
      <c r="F60" s="250">
        <v>2</v>
      </c>
      <c r="G60" s="250"/>
      <c r="H60" s="250"/>
    </row>
    <row r="61" spans="1:8" x14ac:dyDescent="0.3">
      <c r="A61" s="249">
        <v>45497</v>
      </c>
      <c r="B61" s="250" t="s">
        <v>543</v>
      </c>
      <c r="C61" s="250" t="s">
        <v>573</v>
      </c>
      <c r="D61" s="250" t="s">
        <v>76</v>
      </c>
      <c r="E61" s="250">
        <f t="shared" si="0"/>
        <v>1</v>
      </c>
      <c r="F61" s="250"/>
      <c r="G61" s="250">
        <v>1</v>
      </c>
      <c r="H61" s="250"/>
    </row>
    <row r="62" spans="1:8" x14ac:dyDescent="0.3">
      <c r="A62" s="249">
        <v>45498</v>
      </c>
      <c r="B62" s="250" t="s">
        <v>543</v>
      </c>
      <c r="C62" s="250" t="s">
        <v>573</v>
      </c>
      <c r="D62" s="250" t="s">
        <v>76</v>
      </c>
      <c r="E62" s="250">
        <f t="shared" si="0"/>
        <v>1</v>
      </c>
      <c r="F62" s="250">
        <v>1</v>
      </c>
      <c r="G62" s="250"/>
      <c r="H62" s="250"/>
    </row>
    <row r="63" spans="1:8" x14ac:dyDescent="0.3">
      <c r="A63" s="249">
        <v>45501</v>
      </c>
      <c r="B63" s="250" t="s">
        <v>543</v>
      </c>
      <c r="C63" s="250" t="s">
        <v>573</v>
      </c>
      <c r="D63" s="250" t="s">
        <v>76</v>
      </c>
      <c r="E63" s="250">
        <f t="shared" si="0"/>
        <v>1</v>
      </c>
      <c r="F63" s="250"/>
      <c r="G63" s="250">
        <v>1</v>
      </c>
      <c r="H63" s="250"/>
    </row>
    <row r="64" spans="1:8" x14ac:dyDescent="0.3">
      <c r="A64" s="249">
        <v>45486</v>
      </c>
      <c r="B64" s="250" t="s">
        <v>543</v>
      </c>
      <c r="C64" s="250" t="s">
        <v>547</v>
      </c>
      <c r="D64" s="250" t="s">
        <v>76</v>
      </c>
      <c r="E64" s="250">
        <f t="shared" si="0"/>
        <v>1</v>
      </c>
      <c r="F64" s="250">
        <v>1</v>
      </c>
      <c r="G64" s="250"/>
      <c r="H64" s="250"/>
    </row>
    <row r="65" spans="1:8" x14ac:dyDescent="0.3">
      <c r="A65" s="249">
        <v>45486</v>
      </c>
      <c r="B65" s="250" t="s">
        <v>543</v>
      </c>
      <c r="C65" s="250" t="s">
        <v>547</v>
      </c>
      <c r="D65" s="250" t="s">
        <v>76</v>
      </c>
      <c r="E65" s="250">
        <f t="shared" si="0"/>
        <v>1</v>
      </c>
      <c r="F65" s="250"/>
      <c r="G65" s="250">
        <v>1</v>
      </c>
      <c r="H65" s="250"/>
    </row>
    <row r="66" spans="1:8" x14ac:dyDescent="0.3">
      <c r="A66" s="249">
        <v>45493</v>
      </c>
      <c r="B66" s="250" t="s">
        <v>556</v>
      </c>
      <c r="C66" s="250" t="s">
        <v>563</v>
      </c>
      <c r="D66" s="250" t="s">
        <v>72</v>
      </c>
      <c r="E66" s="250">
        <f t="shared" si="0"/>
        <v>1</v>
      </c>
      <c r="F66" s="250">
        <v>1</v>
      </c>
      <c r="G66" s="250"/>
      <c r="H66" s="250"/>
    </row>
    <row r="67" spans="1:8" x14ac:dyDescent="0.3">
      <c r="A67" s="249">
        <v>45475</v>
      </c>
      <c r="B67" s="250" t="s">
        <v>559</v>
      </c>
      <c r="C67" s="250" t="s">
        <v>570</v>
      </c>
      <c r="D67" s="250" t="s">
        <v>71</v>
      </c>
      <c r="E67" s="250">
        <f t="shared" si="0"/>
        <v>4</v>
      </c>
      <c r="F67" s="250">
        <v>4</v>
      </c>
      <c r="G67" s="250"/>
      <c r="H67" s="250"/>
    </row>
    <row r="68" spans="1:8" x14ac:dyDescent="0.3">
      <c r="A68" s="249">
        <v>45476</v>
      </c>
      <c r="B68" s="250" t="s">
        <v>559</v>
      </c>
      <c r="C68" s="250" t="s">
        <v>570</v>
      </c>
      <c r="D68" s="250" t="s">
        <v>71</v>
      </c>
      <c r="E68" s="250">
        <f t="shared" ref="E68:E111" si="1">F68+G68</f>
        <v>1</v>
      </c>
      <c r="F68" s="250"/>
      <c r="G68" s="250">
        <v>1</v>
      </c>
      <c r="H68" s="250"/>
    </row>
    <row r="69" spans="1:8" x14ac:dyDescent="0.3">
      <c r="A69" s="249">
        <v>45477</v>
      </c>
      <c r="B69" s="250" t="s">
        <v>559</v>
      </c>
      <c r="C69" s="250" t="s">
        <v>570</v>
      </c>
      <c r="D69" s="250" t="s">
        <v>71</v>
      </c>
      <c r="E69" s="250">
        <f t="shared" si="1"/>
        <v>4</v>
      </c>
      <c r="F69" s="250">
        <v>4</v>
      </c>
      <c r="G69" s="250"/>
      <c r="H69" s="250"/>
    </row>
    <row r="70" spans="1:8" x14ac:dyDescent="0.3">
      <c r="A70" s="249">
        <v>45480</v>
      </c>
      <c r="B70" s="250" t="s">
        <v>559</v>
      </c>
      <c r="C70" s="250" t="s">
        <v>570</v>
      </c>
      <c r="D70" s="250" t="s">
        <v>71</v>
      </c>
      <c r="E70" s="250">
        <f t="shared" si="1"/>
        <v>8</v>
      </c>
      <c r="F70" s="250">
        <v>8</v>
      </c>
      <c r="G70" s="250"/>
      <c r="H70" s="250"/>
    </row>
    <row r="71" spans="1:8" x14ac:dyDescent="0.3">
      <c r="A71" s="249">
        <v>45481</v>
      </c>
      <c r="B71" s="250" t="s">
        <v>559</v>
      </c>
      <c r="C71" s="250" t="s">
        <v>570</v>
      </c>
      <c r="D71" s="250" t="s">
        <v>71</v>
      </c>
      <c r="E71" s="250">
        <f t="shared" si="1"/>
        <v>3</v>
      </c>
      <c r="F71" s="250">
        <v>2</v>
      </c>
      <c r="G71" s="250">
        <v>1</v>
      </c>
      <c r="H71" s="250"/>
    </row>
    <row r="72" spans="1:8" x14ac:dyDescent="0.3">
      <c r="A72" s="249">
        <v>45483</v>
      </c>
      <c r="B72" s="250" t="s">
        <v>559</v>
      </c>
      <c r="C72" s="250" t="s">
        <v>570</v>
      </c>
      <c r="D72" s="250" t="s">
        <v>71</v>
      </c>
      <c r="E72" s="250">
        <f t="shared" si="1"/>
        <v>4</v>
      </c>
      <c r="F72" s="250">
        <v>4</v>
      </c>
      <c r="G72" s="250"/>
      <c r="H72" s="250"/>
    </row>
    <row r="73" spans="1:8" x14ac:dyDescent="0.3">
      <c r="A73" s="249">
        <v>45484</v>
      </c>
      <c r="B73" s="250" t="s">
        <v>559</v>
      </c>
      <c r="C73" s="250" t="s">
        <v>570</v>
      </c>
      <c r="D73" s="250" t="s">
        <v>71</v>
      </c>
      <c r="E73" s="250">
        <f t="shared" si="1"/>
        <v>2</v>
      </c>
      <c r="F73" s="250">
        <v>2</v>
      </c>
      <c r="G73" s="250"/>
      <c r="H73" s="250"/>
    </row>
    <row r="74" spans="1:8" x14ac:dyDescent="0.3">
      <c r="A74" s="249">
        <v>45487</v>
      </c>
      <c r="B74" s="250" t="s">
        <v>559</v>
      </c>
      <c r="C74" s="250" t="s">
        <v>570</v>
      </c>
      <c r="D74" s="250" t="s">
        <v>71</v>
      </c>
      <c r="E74" s="250">
        <f t="shared" si="1"/>
        <v>6</v>
      </c>
      <c r="F74" s="250">
        <v>6</v>
      </c>
      <c r="G74" s="250"/>
      <c r="H74" s="250"/>
    </row>
    <row r="75" spans="1:8" x14ac:dyDescent="0.3">
      <c r="A75" s="249">
        <v>45488</v>
      </c>
      <c r="B75" s="250" t="s">
        <v>559</v>
      </c>
      <c r="C75" s="250" t="s">
        <v>570</v>
      </c>
      <c r="D75" s="250" t="s">
        <v>71</v>
      </c>
      <c r="E75" s="250">
        <f t="shared" si="1"/>
        <v>1</v>
      </c>
      <c r="F75" s="250"/>
      <c r="G75" s="250">
        <v>1</v>
      </c>
      <c r="H75" s="250"/>
    </row>
    <row r="76" spans="1:8" x14ac:dyDescent="0.3">
      <c r="A76" s="249">
        <v>45489</v>
      </c>
      <c r="B76" s="250" t="s">
        <v>559</v>
      </c>
      <c r="C76" s="250" t="s">
        <v>570</v>
      </c>
      <c r="D76" s="250" t="s">
        <v>71</v>
      </c>
      <c r="E76" s="250">
        <f t="shared" si="1"/>
        <v>7</v>
      </c>
      <c r="F76" s="250">
        <v>7</v>
      </c>
      <c r="G76" s="250"/>
      <c r="H76" s="250"/>
    </row>
    <row r="77" spans="1:8" x14ac:dyDescent="0.3">
      <c r="A77" s="249">
        <v>45490</v>
      </c>
      <c r="B77" s="250" t="s">
        <v>559</v>
      </c>
      <c r="C77" s="250" t="s">
        <v>570</v>
      </c>
      <c r="D77" s="250" t="s">
        <v>71</v>
      </c>
      <c r="E77" s="250">
        <f t="shared" si="1"/>
        <v>5</v>
      </c>
      <c r="F77" s="250">
        <v>5</v>
      </c>
      <c r="G77" s="250"/>
      <c r="H77" s="250"/>
    </row>
    <row r="78" spans="1:8" x14ac:dyDescent="0.3">
      <c r="A78" s="249">
        <v>45492</v>
      </c>
      <c r="B78" s="250" t="s">
        <v>559</v>
      </c>
      <c r="C78" s="250" t="s">
        <v>570</v>
      </c>
      <c r="D78" s="250" t="s">
        <v>71</v>
      </c>
      <c r="E78" s="250">
        <f t="shared" si="1"/>
        <v>1</v>
      </c>
      <c r="F78" s="250"/>
      <c r="G78" s="250">
        <v>1</v>
      </c>
      <c r="H78" s="250"/>
    </row>
    <row r="79" spans="1:8" x14ac:dyDescent="0.3">
      <c r="A79" s="249">
        <v>45493</v>
      </c>
      <c r="B79" s="250" t="s">
        <v>559</v>
      </c>
      <c r="C79" s="250" t="s">
        <v>570</v>
      </c>
      <c r="D79" s="250" t="s">
        <v>71</v>
      </c>
      <c r="E79" s="250">
        <f t="shared" si="1"/>
        <v>8</v>
      </c>
      <c r="F79" s="250">
        <v>8</v>
      </c>
      <c r="G79" s="250"/>
      <c r="H79" s="250"/>
    </row>
    <row r="80" spans="1:8" x14ac:dyDescent="0.3">
      <c r="A80" s="249">
        <v>45494</v>
      </c>
      <c r="B80" s="250" t="s">
        <v>559</v>
      </c>
      <c r="C80" s="250" t="s">
        <v>570</v>
      </c>
      <c r="D80" s="250" t="s">
        <v>71</v>
      </c>
      <c r="E80" s="250">
        <f t="shared" si="1"/>
        <v>8</v>
      </c>
      <c r="F80" s="250">
        <v>8</v>
      </c>
      <c r="G80" s="250"/>
      <c r="H80" s="250"/>
    </row>
    <row r="81" spans="1:8" x14ac:dyDescent="0.3">
      <c r="A81" s="249">
        <v>45497</v>
      </c>
      <c r="B81" s="250" t="s">
        <v>559</v>
      </c>
      <c r="C81" s="250" t="s">
        <v>570</v>
      </c>
      <c r="D81" s="250" t="s">
        <v>71</v>
      </c>
      <c r="E81" s="250">
        <f t="shared" si="1"/>
        <v>1</v>
      </c>
      <c r="F81" s="250"/>
      <c r="G81" s="250">
        <v>1</v>
      </c>
      <c r="H81" s="250"/>
    </row>
    <row r="82" spans="1:8" x14ac:dyDescent="0.3">
      <c r="A82" s="249">
        <v>45498</v>
      </c>
      <c r="B82" s="250" t="s">
        <v>559</v>
      </c>
      <c r="C82" s="250" t="s">
        <v>570</v>
      </c>
      <c r="D82" s="250" t="s">
        <v>71</v>
      </c>
      <c r="E82" s="250">
        <f t="shared" si="1"/>
        <v>4</v>
      </c>
      <c r="F82" s="250">
        <v>4</v>
      </c>
      <c r="G82" s="250"/>
      <c r="H82" s="250"/>
    </row>
    <row r="83" spans="1:8" x14ac:dyDescent="0.3">
      <c r="A83" s="249">
        <v>45500</v>
      </c>
      <c r="B83" s="250" t="s">
        <v>559</v>
      </c>
      <c r="C83" s="250" t="s">
        <v>570</v>
      </c>
      <c r="D83" s="250" t="s">
        <v>71</v>
      </c>
      <c r="E83" s="250">
        <f t="shared" si="1"/>
        <v>4</v>
      </c>
      <c r="F83" s="250">
        <v>4</v>
      </c>
      <c r="G83" s="250"/>
      <c r="H83" s="250"/>
    </row>
    <row r="84" spans="1:8" x14ac:dyDescent="0.3">
      <c r="A84" s="249">
        <v>45502</v>
      </c>
      <c r="B84" s="250" t="s">
        <v>559</v>
      </c>
      <c r="C84" s="250" t="s">
        <v>570</v>
      </c>
      <c r="D84" s="250" t="s">
        <v>71</v>
      </c>
      <c r="E84" s="250">
        <f t="shared" si="1"/>
        <v>1</v>
      </c>
      <c r="F84" s="250"/>
      <c r="G84" s="250">
        <v>1</v>
      </c>
      <c r="H84" s="250"/>
    </row>
    <row r="85" spans="1:8" x14ac:dyDescent="0.3">
      <c r="A85" s="249">
        <v>45503</v>
      </c>
      <c r="B85" s="250" t="s">
        <v>559</v>
      </c>
      <c r="C85" s="250" t="s">
        <v>570</v>
      </c>
      <c r="D85" s="250" t="s">
        <v>71</v>
      </c>
      <c r="E85" s="250">
        <f t="shared" si="1"/>
        <v>4</v>
      </c>
      <c r="F85" s="250">
        <v>4</v>
      </c>
      <c r="G85" s="250"/>
      <c r="H85" s="250"/>
    </row>
    <row r="86" spans="1:8" x14ac:dyDescent="0.3">
      <c r="A86" s="249">
        <v>45481</v>
      </c>
      <c r="B86" s="250" t="s">
        <v>543</v>
      </c>
      <c r="C86" s="250" t="s">
        <v>547</v>
      </c>
      <c r="D86" s="250" t="s">
        <v>73</v>
      </c>
      <c r="E86" s="250">
        <f t="shared" si="1"/>
        <v>1</v>
      </c>
      <c r="F86" s="250">
        <v>1</v>
      </c>
      <c r="G86" s="250"/>
      <c r="H86" s="250"/>
    </row>
    <row r="87" spans="1:8" x14ac:dyDescent="0.3">
      <c r="A87" s="249">
        <v>45483</v>
      </c>
      <c r="B87" s="250" t="s">
        <v>543</v>
      </c>
      <c r="C87" s="250" t="s">
        <v>547</v>
      </c>
      <c r="D87" s="250" t="s">
        <v>73</v>
      </c>
      <c r="E87" s="250">
        <f t="shared" si="1"/>
        <v>1</v>
      </c>
      <c r="F87" s="250"/>
      <c r="G87" s="250">
        <v>1</v>
      </c>
      <c r="H87" s="250"/>
    </row>
    <row r="88" spans="1:8" x14ac:dyDescent="0.3">
      <c r="A88" s="249">
        <v>45485</v>
      </c>
      <c r="B88" s="250" t="s">
        <v>543</v>
      </c>
      <c r="C88" s="250" t="s">
        <v>547</v>
      </c>
      <c r="D88" s="250" t="s">
        <v>73</v>
      </c>
      <c r="E88" s="250">
        <f t="shared" si="1"/>
        <v>1</v>
      </c>
      <c r="F88" s="250"/>
      <c r="G88" s="250">
        <v>1</v>
      </c>
      <c r="H88" s="250"/>
    </row>
    <row r="89" spans="1:8" x14ac:dyDescent="0.3">
      <c r="A89" s="249">
        <v>45488</v>
      </c>
      <c r="B89" s="250" t="s">
        <v>543</v>
      </c>
      <c r="C89" s="250" t="s">
        <v>547</v>
      </c>
      <c r="D89" s="250" t="s">
        <v>73</v>
      </c>
      <c r="E89" s="250">
        <f t="shared" si="1"/>
        <v>1</v>
      </c>
      <c r="F89" s="250">
        <v>1</v>
      </c>
      <c r="G89" s="250"/>
      <c r="H89" s="250"/>
    </row>
    <row r="90" spans="1:8" x14ac:dyDescent="0.3">
      <c r="A90" s="249">
        <v>45489</v>
      </c>
      <c r="B90" s="250" t="s">
        <v>543</v>
      </c>
      <c r="C90" s="250" t="s">
        <v>547</v>
      </c>
      <c r="D90" s="250" t="s">
        <v>73</v>
      </c>
      <c r="E90" s="250">
        <f t="shared" si="1"/>
        <v>1</v>
      </c>
      <c r="F90" s="250"/>
      <c r="G90" s="250">
        <v>1</v>
      </c>
      <c r="H90" s="250"/>
    </row>
    <row r="91" spans="1:8" x14ac:dyDescent="0.3">
      <c r="A91" s="249">
        <v>45491</v>
      </c>
      <c r="B91" s="250" t="s">
        <v>543</v>
      </c>
      <c r="C91" s="250" t="s">
        <v>547</v>
      </c>
      <c r="D91" s="250" t="s">
        <v>73</v>
      </c>
      <c r="E91" s="250">
        <f t="shared" si="1"/>
        <v>1</v>
      </c>
      <c r="F91" s="250"/>
      <c r="G91" s="250">
        <v>1</v>
      </c>
      <c r="H91" s="250"/>
    </row>
    <row r="92" spans="1:8" x14ac:dyDescent="0.3">
      <c r="A92" s="249">
        <v>45493</v>
      </c>
      <c r="B92" s="250" t="s">
        <v>543</v>
      </c>
      <c r="C92" s="250" t="s">
        <v>547</v>
      </c>
      <c r="D92" s="250" t="s">
        <v>73</v>
      </c>
      <c r="E92" s="250">
        <f t="shared" si="1"/>
        <v>1</v>
      </c>
      <c r="F92" s="250">
        <v>1</v>
      </c>
      <c r="G92" s="250"/>
      <c r="H92" s="250"/>
    </row>
    <row r="93" spans="1:8" x14ac:dyDescent="0.3">
      <c r="A93" s="249">
        <v>45494</v>
      </c>
      <c r="B93" s="250" t="s">
        <v>543</v>
      </c>
      <c r="C93" s="250" t="s">
        <v>547</v>
      </c>
      <c r="D93" s="250" t="s">
        <v>73</v>
      </c>
      <c r="E93" s="250">
        <f t="shared" si="1"/>
        <v>1</v>
      </c>
      <c r="F93" s="250"/>
      <c r="G93" s="250">
        <v>1</v>
      </c>
      <c r="H93" s="250"/>
    </row>
    <row r="94" spans="1:8" x14ac:dyDescent="0.3">
      <c r="A94" s="249">
        <v>45495</v>
      </c>
      <c r="B94" s="250" t="s">
        <v>543</v>
      </c>
      <c r="C94" s="250" t="s">
        <v>547</v>
      </c>
      <c r="D94" s="250" t="s">
        <v>73</v>
      </c>
      <c r="E94" s="250">
        <f t="shared" si="1"/>
        <v>2</v>
      </c>
      <c r="F94" s="250">
        <v>2</v>
      </c>
      <c r="G94" s="250"/>
      <c r="H94" s="250"/>
    </row>
    <row r="95" spans="1:8" x14ac:dyDescent="0.3">
      <c r="A95" s="249">
        <v>45499</v>
      </c>
      <c r="B95" s="250" t="s">
        <v>543</v>
      </c>
      <c r="C95" s="250" t="s">
        <v>547</v>
      </c>
      <c r="D95" s="250" t="s">
        <v>73</v>
      </c>
      <c r="E95" s="250">
        <f t="shared" si="1"/>
        <v>1</v>
      </c>
      <c r="F95" s="250">
        <v>1</v>
      </c>
      <c r="G95" s="250"/>
      <c r="H95" s="250"/>
    </row>
    <row r="96" spans="1:8" x14ac:dyDescent="0.3">
      <c r="A96" s="249">
        <v>45500</v>
      </c>
      <c r="B96" s="250" t="s">
        <v>543</v>
      </c>
      <c r="C96" s="250" t="s">
        <v>547</v>
      </c>
      <c r="D96" s="250" t="s">
        <v>73</v>
      </c>
      <c r="E96" s="250">
        <f t="shared" si="1"/>
        <v>1</v>
      </c>
      <c r="F96" s="250"/>
      <c r="G96" s="250">
        <v>1</v>
      </c>
      <c r="H96" s="250"/>
    </row>
    <row r="97" spans="1:8" x14ac:dyDescent="0.3">
      <c r="A97" s="249">
        <v>45503</v>
      </c>
      <c r="B97" s="250" t="s">
        <v>543</v>
      </c>
      <c r="C97" s="250" t="s">
        <v>547</v>
      </c>
      <c r="D97" s="250" t="s">
        <v>73</v>
      </c>
      <c r="E97" s="250">
        <f t="shared" si="1"/>
        <v>1</v>
      </c>
      <c r="F97" s="250">
        <v>1</v>
      </c>
      <c r="G97" s="250"/>
      <c r="H97" s="250"/>
    </row>
    <row r="98" spans="1:8" x14ac:dyDescent="0.3">
      <c r="A98" s="249">
        <v>45504</v>
      </c>
      <c r="B98" s="250" t="s">
        <v>543</v>
      </c>
      <c r="C98" s="250" t="s">
        <v>547</v>
      </c>
      <c r="D98" s="250" t="s">
        <v>73</v>
      </c>
      <c r="E98" s="250">
        <f t="shared" si="1"/>
        <v>1</v>
      </c>
      <c r="F98" s="250"/>
      <c r="G98" s="250">
        <v>1</v>
      </c>
      <c r="H98" s="250"/>
    </row>
    <row r="99" spans="1:8" x14ac:dyDescent="0.3">
      <c r="A99" s="249">
        <v>45474</v>
      </c>
      <c r="B99" s="250" t="s">
        <v>543</v>
      </c>
      <c r="C99" s="250" t="s">
        <v>563</v>
      </c>
      <c r="D99" s="250" t="s">
        <v>73</v>
      </c>
      <c r="E99" s="250">
        <f t="shared" si="1"/>
        <v>1</v>
      </c>
      <c r="F99" s="250"/>
      <c r="G99" s="250">
        <v>1</v>
      </c>
      <c r="H99" s="250"/>
    </row>
    <row r="100" spans="1:8" x14ac:dyDescent="0.3">
      <c r="A100" s="249">
        <v>45476</v>
      </c>
      <c r="B100" s="250" t="s">
        <v>543</v>
      </c>
      <c r="C100" s="250" t="s">
        <v>563</v>
      </c>
      <c r="D100" s="250" t="s">
        <v>73</v>
      </c>
      <c r="E100" s="250">
        <f t="shared" si="1"/>
        <v>1</v>
      </c>
      <c r="F100" s="250"/>
      <c r="G100" s="250">
        <v>1</v>
      </c>
      <c r="H100" s="250"/>
    </row>
    <row r="101" spans="1:8" x14ac:dyDescent="0.3">
      <c r="A101" s="249">
        <v>45478</v>
      </c>
      <c r="B101" s="250" t="s">
        <v>543</v>
      </c>
      <c r="C101" s="250" t="s">
        <v>563</v>
      </c>
      <c r="D101" s="250" t="s">
        <v>73</v>
      </c>
      <c r="E101" s="250">
        <f t="shared" si="1"/>
        <v>1</v>
      </c>
      <c r="F101" s="250">
        <v>1</v>
      </c>
      <c r="G101" s="250"/>
      <c r="H101" s="250"/>
    </row>
    <row r="102" spans="1:8" x14ac:dyDescent="0.3">
      <c r="A102" s="249">
        <v>45479</v>
      </c>
      <c r="B102" s="250" t="s">
        <v>543</v>
      </c>
      <c r="C102" s="250" t="s">
        <v>563</v>
      </c>
      <c r="D102" s="250" t="s">
        <v>73</v>
      </c>
      <c r="E102" s="250">
        <f t="shared" si="1"/>
        <v>4</v>
      </c>
      <c r="F102" s="250">
        <v>3</v>
      </c>
      <c r="G102" s="250">
        <v>1</v>
      </c>
      <c r="H102" s="250"/>
    </row>
    <row r="103" spans="1:8" x14ac:dyDescent="0.3">
      <c r="A103" s="249">
        <v>45476</v>
      </c>
      <c r="B103" s="250" t="s">
        <v>542</v>
      </c>
      <c r="C103" s="250" t="s">
        <v>562</v>
      </c>
      <c r="D103" s="250" t="s">
        <v>74</v>
      </c>
      <c r="E103" s="250">
        <f t="shared" si="1"/>
        <v>1</v>
      </c>
      <c r="F103" s="250"/>
      <c r="G103" s="250">
        <v>1</v>
      </c>
      <c r="H103" s="250"/>
    </row>
    <row r="104" spans="1:8" x14ac:dyDescent="0.3">
      <c r="A104" s="249">
        <v>45479</v>
      </c>
      <c r="B104" s="250" t="s">
        <v>542</v>
      </c>
      <c r="C104" s="250" t="s">
        <v>562</v>
      </c>
      <c r="D104" s="250" t="s">
        <v>74</v>
      </c>
      <c r="E104" s="250">
        <f t="shared" si="1"/>
        <v>1</v>
      </c>
      <c r="F104" s="250"/>
      <c r="G104" s="250">
        <v>1</v>
      </c>
      <c r="H104" s="250"/>
    </row>
    <row r="105" spans="1:8" x14ac:dyDescent="0.3">
      <c r="A105" s="249">
        <v>45482</v>
      </c>
      <c r="B105" s="250" t="s">
        <v>542</v>
      </c>
      <c r="C105" s="250" t="s">
        <v>562</v>
      </c>
      <c r="D105" s="250" t="s">
        <v>74</v>
      </c>
      <c r="E105" s="250">
        <f t="shared" si="1"/>
        <v>1</v>
      </c>
      <c r="F105" s="250"/>
      <c r="G105" s="250">
        <v>1</v>
      </c>
      <c r="H105" s="250"/>
    </row>
    <row r="106" spans="1:8" x14ac:dyDescent="0.3">
      <c r="A106" s="249">
        <v>45485</v>
      </c>
      <c r="B106" s="250" t="s">
        <v>542</v>
      </c>
      <c r="C106" s="250" t="s">
        <v>562</v>
      </c>
      <c r="D106" s="250" t="s">
        <v>74</v>
      </c>
      <c r="E106" s="250">
        <f t="shared" si="1"/>
        <v>1</v>
      </c>
      <c r="F106" s="250">
        <v>1</v>
      </c>
      <c r="G106" s="250"/>
      <c r="H106" s="250"/>
    </row>
    <row r="107" spans="1:8" x14ac:dyDescent="0.3">
      <c r="A107" s="249">
        <v>45486</v>
      </c>
      <c r="B107" s="250" t="s">
        <v>542</v>
      </c>
      <c r="C107" s="250" t="s">
        <v>562</v>
      </c>
      <c r="D107" s="250" t="s">
        <v>74</v>
      </c>
      <c r="E107" s="250">
        <f t="shared" si="1"/>
        <v>3</v>
      </c>
      <c r="F107" s="250">
        <v>2</v>
      </c>
      <c r="G107" s="250">
        <v>1</v>
      </c>
      <c r="H107" s="250"/>
    </row>
    <row r="108" spans="1:8" x14ac:dyDescent="0.3">
      <c r="A108" s="249">
        <v>45493</v>
      </c>
      <c r="B108" s="250" t="s">
        <v>542</v>
      </c>
      <c r="C108" s="250" t="s">
        <v>562</v>
      </c>
      <c r="D108" s="250" t="s">
        <v>74</v>
      </c>
      <c r="E108" s="250">
        <f t="shared" si="1"/>
        <v>5</v>
      </c>
      <c r="F108" s="250">
        <v>4</v>
      </c>
      <c r="G108" s="250">
        <v>1</v>
      </c>
      <c r="H108" s="250"/>
    </row>
    <row r="109" spans="1:8" x14ac:dyDescent="0.3">
      <c r="A109" s="249">
        <v>45497</v>
      </c>
      <c r="B109" s="250" t="s">
        <v>542</v>
      </c>
      <c r="C109" s="250" t="s">
        <v>562</v>
      </c>
      <c r="D109" s="250" t="s">
        <v>74</v>
      </c>
      <c r="E109" s="250">
        <f t="shared" si="1"/>
        <v>1</v>
      </c>
      <c r="F109" s="250"/>
      <c r="G109" s="250">
        <v>1</v>
      </c>
      <c r="H109" s="250"/>
    </row>
    <row r="110" spans="1:8" x14ac:dyDescent="0.3">
      <c r="A110" s="249">
        <v>45500</v>
      </c>
      <c r="B110" s="250" t="s">
        <v>542</v>
      </c>
      <c r="C110" s="250" t="s">
        <v>562</v>
      </c>
      <c r="D110" s="250" t="s">
        <v>74</v>
      </c>
      <c r="E110" s="250">
        <f t="shared" si="1"/>
        <v>1</v>
      </c>
      <c r="F110" s="250"/>
      <c r="G110" s="250">
        <v>1</v>
      </c>
      <c r="H110" s="250"/>
    </row>
    <row r="111" spans="1:8" ht="15" thickBot="1" x14ac:dyDescent="0.35">
      <c r="A111" s="251">
        <v>45503</v>
      </c>
      <c r="B111" s="245" t="s">
        <v>542</v>
      </c>
      <c r="C111" s="245" t="s">
        <v>562</v>
      </c>
      <c r="D111" s="245" t="s">
        <v>74</v>
      </c>
      <c r="E111" s="245">
        <f t="shared" si="1"/>
        <v>6</v>
      </c>
      <c r="F111" s="245">
        <v>6</v>
      </c>
      <c r="G111" s="245"/>
      <c r="H111" s="245"/>
    </row>
    <row r="112" spans="1:8" ht="15" thickBot="1" x14ac:dyDescent="0.35">
      <c r="A112" s="623" t="s">
        <v>468</v>
      </c>
      <c r="B112" s="624"/>
      <c r="C112" s="624"/>
      <c r="D112" s="624"/>
      <c r="E112" s="252">
        <f>SUM(E2:E111)</f>
        <v>303</v>
      </c>
      <c r="F112" s="252">
        <f t="shared" ref="F112:G112" si="2">SUM(F2:F111)</f>
        <v>247</v>
      </c>
      <c r="G112" s="252">
        <f t="shared" si="2"/>
        <v>56</v>
      </c>
      <c r="H112" s="253"/>
    </row>
    <row r="132" spans="5:5" x14ac:dyDescent="0.3">
      <c r="E132">
        <f t="shared" ref="E132" si="3">F132+G132</f>
        <v>0</v>
      </c>
    </row>
  </sheetData>
  <mergeCells count="1">
    <mergeCell ref="A112:D112"/>
  </mergeCells>
  <phoneticPr fontId="45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3"/>
  <sheetViews>
    <sheetView workbookViewId="0">
      <selection activeCell="C19" sqref="C19"/>
    </sheetView>
  </sheetViews>
  <sheetFormatPr defaultRowHeight="14.4" x14ac:dyDescent="0.3"/>
  <cols>
    <col min="2" max="2" width="22.6640625" customWidth="1"/>
    <col min="3" max="3" width="33.109375" customWidth="1"/>
    <col min="4" max="4" width="18.33203125" customWidth="1"/>
    <col min="7" max="7" width="21.21875" customWidth="1"/>
  </cols>
  <sheetData>
    <row r="1" spans="1:16" ht="72" x14ac:dyDescent="0.3">
      <c r="A1" s="190"/>
      <c r="B1" s="191" t="s">
        <v>452</v>
      </c>
      <c r="C1" s="192" t="s">
        <v>486</v>
      </c>
      <c r="D1" s="192" t="s">
        <v>487</v>
      </c>
      <c r="E1" s="192" t="s">
        <v>488</v>
      </c>
      <c r="F1" s="191" t="s">
        <v>489</v>
      </c>
      <c r="G1" s="192" t="s">
        <v>490</v>
      </c>
      <c r="H1" s="193" t="s">
        <v>491</v>
      </c>
      <c r="I1" s="191" t="s">
        <v>9</v>
      </c>
      <c r="J1" s="191" t="s">
        <v>535</v>
      </c>
      <c r="K1" s="192" t="s">
        <v>536</v>
      </c>
      <c r="L1" s="192" t="s">
        <v>537</v>
      </c>
      <c r="M1" s="191" t="s">
        <v>538</v>
      </c>
      <c r="N1" s="191" t="s">
        <v>539</v>
      </c>
      <c r="O1" s="191" t="s">
        <v>558</v>
      </c>
      <c r="P1" s="192" t="s">
        <v>540</v>
      </c>
    </row>
    <row r="2" spans="1:16" x14ac:dyDescent="0.3">
      <c r="B2" s="194">
        <v>1</v>
      </c>
      <c r="C2" s="62" t="s">
        <v>68</v>
      </c>
      <c r="D2" s="62" t="s">
        <v>441</v>
      </c>
      <c r="E2" s="62">
        <v>2</v>
      </c>
      <c r="F2" s="194">
        <v>230</v>
      </c>
      <c r="G2" s="62" t="s">
        <v>492</v>
      </c>
      <c r="H2" s="62" t="s">
        <v>493</v>
      </c>
      <c r="I2" s="194">
        <v>2008</v>
      </c>
      <c r="J2" s="194">
        <v>1</v>
      </c>
      <c r="K2" s="62">
        <v>125</v>
      </c>
      <c r="L2" s="62" t="str">
        <f>INDEX([1]КОД!B:B,MATCH(C2,[1]КОД!A:A,0))</f>
        <v>00-000171</v>
      </c>
      <c r="M2" s="62">
        <v>467.63</v>
      </c>
      <c r="N2" s="62">
        <v>494.88</v>
      </c>
      <c r="O2" s="208">
        <v>579.13</v>
      </c>
      <c r="P2" s="62"/>
    </row>
    <row r="3" spans="1:16" x14ac:dyDescent="0.3">
      <c r="B3" s="194">
        <v>2</v>
      </c>
      <c r="C3" s="62" t="s">
        <v>67</v>
      </c>
      <c r="D3" s="62" t="s">
        <v>442</v>
      </c>
      <c r="E3" s="62">
        <v>3</v>
      </c>
      <c r="F3" s="194">
        <v>230</v>
      </c>
      <c r="G3" s="62" t="s">
        <v>494</v>
      </c>
      <c r="H3" s="62" t="s">
        <v>495</v>
      </c>
      <c r="I3" s="194">
        <v>2011</v>
      </c>
      <c r="J3" s="194">
        <v>1</v>
      </c>
      <c r="K3" s="62">
        <v>125</v>
      </c>
      <c r="L3" s="62" t="str">
        <f>INDEX([1]КОД!B:B,MATCH(C3,[1]КОД!A:A,0))</f>
        <v>00-000180</v>
      </c>
      <c r="M3" s="62">
        <v>467.63</v>
      </c>
      <c r="N3" s="62">
        <v>494.88</v>
      </c>
      <c r="O3" s="208">
        <v>579.13</v>
      </c>
      <c r="P3" s="62"/>
    </row>
    <row r="4" spans="1:16" x14ac:dyDescent="0.3">
      <c r="B4" s="194">
        <v>3</v>
      </c>
      <c r="C4" s="62" t="s">
        <v>496</v>
      </c>
      <c r="D4" s="62" t="s">
        <v>475</v>
      </c>
      <c r="E4" s="62">
        <v>4</v>
      </c>
      <c r="F4" s="194">
        <v>230</v>
      </c>
      <c r="G4" s="62" t="s">
        <v>497</v>
      </c>
      <c r="H4" s="62" t="s">
        <v>498</v>
      </c>
      <c r="I4" s="194">
        <v>2012</v>
      </c>
      <c r="J4" s="194">
        <v>1</v>
      </c>
      <c r="K4" s="62">
        <v>125</v>
      </c>
      <c r="L4" s="62" t="str">
        <f>INDEX([1]КОД!B:B,MATCH(C4,[1]КОД!A:A,0))</f>
        <v>00-000206</v>
      </c>
      <c r="M4" s="62">
        <v>467.63</v>
      </c>
      <c r="N4" s="62">
        <v>494.88</v>
      </c>
      <c r="O4" s="208">
        <v>579.13</v>
      </c>
      <c r="P4" s="62"/>
    </row>
    <row r="5" spans="1:16" x14ac:dyDescent="0.3">
      <c r="B5" s="194">
        <v>4</v>
      </c>
      <c r="C5" s="62" t="s">
        <v>76</v>
      </c>
      <c r="D5" s="62" t="s">
        <v>444</v>
      </c>
      <c r="E5" s="62">
        <v>5</v>
      </c>
      <c r="F5" s="194">
        <v>230</v>
      </c>
      <c r="G5" s="62" t="s">
        <v>499</v>
      </c>
      <c r="H5" s="62" t="s">
        <v>500</v>
      </c>
      <c r="I5" s="194">
        <v>2013</v>
      </c>
      <c r="J5" s="195"/>
      <c r="K5" s="62">
        <v>125</v>
      </c>
      <c r="L5" s="62" t="str">
        <f>INDEX([1]КОД!B:B,MATCH(C5,[1]КОД!A:A,0))</f>
        <v>00-000208</v>
      </c>
      <c r="M5" s="62">
        <v>467.63</v>
      </c>
      <c r="N5" s="62">
        <v>494.88</v>
      </c>
      <c r="O5" s="208">
        <v>579.13</v>
      </c>
      <c r="P5" s="62"/>
    </row>
    <row r="6" spans="1:16" x14ac:dyDescent="0.3">
      <c r="B6" s="194">
        <v>5</v>
      </c>
      <c r="C6" s="62" t="s">
        <v>72</v>
      </c>
      <c r="D6" s="62" t="s">
        <v>446</v>
      </c>
      <c r="E6" s="62">
        <v>6</v>
      </c>
      <c r="F6" s="194">
        <v>230</v>
      </c>
      <c r="G6" s="62" t="s">
        <v>501</v>
      </c>
      <c r="H6" s="62" t="s">
        <v>502</v>
      </c>
      <c r="I6" s="194">
        <v>2013</v>
      </c>
      <c r="J6" s="195"/>
      <c r="K6" s="62">
        <v>125</v>
      </c>
      <c r="L6" s="62" t="str">
        <f>INDEX([1]КОД!B:B,MATCH(C6,[1]КОД!A:A,0))</f>
        <v>00-000219</v>
      </c>
      <c r="M6" s="62">
        <v>467.63</v>
      </c>
      <c r="N6" s="62">
        <v>494.88</v>
      </c>
      <c r="O6" s="208">
        <v>579.13</v>
      </c>
      <c r="P6" s="62"/>
    </row>
    <row r="7" spans="1:16" x14ac:dyDescent="0.3">
      <c r="B7" s="194">
        <v>6</v>
      </c>
      <c r="C7" s="62" t="s">
        <v>0</v>
      </c>
      <c r="D7" s="62" t="s">
        <v>0</v>
      </c>
      <c r="E7" s="62">
        <v>7</v>
      </c>
      <c r="F7" s="194">
        <v>220</v>
      </c>
      <c r="G7" s="62" t="s">
        <v>503</v>
      </c>
      <c r="H7" s="62" t="s">
        <v>504</v>
      </c>
      <c r="I7" s="194">
        <v>2013</v>
      </c>
      <c r="J7" s="194">
        <v>1</v>
      </c>
      <c r="K7" s="62">
        <v>175</v>
      </c>
      <c r="L7" s="62" t="str">
        <f>INDEX([1]КОД!B:B,MATCH(C7,[1]КОД!A:A,0))</f>
        <v>00-000191</v>
      </c>
      <c r="M7" s="62">
        <v>544.04999999999995</v>
      </c>
      <c r="N7" s="62">
        <v>606.82000000000005</v>
      </c>
      <c r="O7" s="208">
        <v>644.04999999999995</v>
      </c>
      <c r="P7" s="62"/>
    </row>
    <row r="8" spans="1:16" x14ac:dyDescent="0.3">
      <c r="B8" s="194">
        <v>7</v>
      </c>
      <c r="C8" s="62" t="s">
        <v>70</v>
      </c>
      <c r="D8" s="62" t="s">
        <v>70</v>
      </c>
      <c r="E8" s="62">
        <v>8</v>
      </c>
      <c r="F8" s="194">
        <v>230</v>
      </c>
      <c r="G8" s="62" t="s">
        <v>505</v>
      </c>
      <c r="H8" s="62" t="s">
        <v>506</v>
      </c>
      <c r="I8" s="194">
        <v>2008</v>
      </c>
      <c r="J8" s="194">
        <v>1</v>
      </c>
      <c r="K8" s="62">
        <v>160</v>
      </c>
      <c r="L8" s="62" t="str">
        <f>INDEX([1]КОД!B:B,MATCH(C8,[1]КОД!A:A,0))</f>
        <v>00-000182</v>
      </c>
      <c r="M8" s="62">
        <v>592.98</v>
      </c>
      <c r="N8" s="62">
        <v>620.24</v>
      </c>
      <c r="O8" s="208">
        <v>704.48</v>
      </c>
      <c r="P8" s="62"/>
    </row>
    <row r="9" spans="1:16" x14ac:dyDescent="0.3">
      <c r="B9" s="194">
        <v>8</v>
      </c>
      <c r="C9" s="62" t="s">
        <v>71</v>
      </c>
      <c r="D9" s="62" t="s">
        <v>443</v>
      </c>
      <c r="E9" s="62">
        <v>9</v>
      </c>
      <c r="F9" s="194">
        <v>230</v>
      </c>
      <c r="G9" s="62" t="s">
        <v>507</v>
      </c>
      <c r="H9" s="62" t="s">
        <v>508</v>
      </c>
      <c r="I9" s="194">
        <v>2007</v>
      </c>
      <c r="J9" s="194">
        <v>1</v>
      </c>
      <c r="K9" s="62">
        <v>143</v>
      </c>
      <c r="L9" s="62" t="str">
        <f>INDEX([1]КОД!B:B,MATCH(C9,[1]КОД!A:A,0))</f>
        <v>00-000179</v>
      </c>
      <c r="M9" s="62">
        <v>496.93</v>
      </c>
      <c r="N9" s="62">
        <v>524.19000000000005</v>
      </c>
      <c r="O9" s="208">
        <v>608.42999999999995</v>
      </c>
      <c r="P9" s="62"/>
    </row>
    <row r="10" spans="1:16" x14ac:dyDescent="0.3">
      <c r="B10" s="194">
        <v>9</v>
      </c>
      <c r="C10" s="62" t="s">
        <v>74</v>
      </c>
      <c r="D10" s="62" t="s">
        <v>74</v>
      </c>
      <c r="E10" s="62">
        <v>10</v>
      </c>
      <c r="F10" s="194">
        <v>230</v>
      </c>
      <c r="G10" s="62" t="s">
        <v>509</v>
      </c>
      <c r="H10" s="62" t="s">
        <v>510</v>
      </c>
      <c r="I10" s="194">
        <v>2008</v>
      </c>
      <c r="J10" s="194"/>
      <c r="K10" s="62">
        <v>143</v>
      </c>
      <c r="L10" s="62" t="str">
        <f>INDEX([1]КОД!B:B,MATCH(C10,[1]КОД!A:A,0))</f>
        <v>00-000210</v>
      </c>
      <c r="M10" s="62">
        <v>496.93</v>
      </c>
      <c r="N10" s="62">
        <v>524.19000000000005</v>
      </c>
      <c r="O10" s="208">
        <v>608.42999999999995</v>
      </c>
      <c r="P10" s="62"/>
    </row>
    <row r="11" spans="1:16" x14ac:dyDescent="0.3">
      <c r="B11" s="194">
        <v>10</v>
      </c>
      <c r="C11" s="62" t="s">
        <v>73</v>
      </c>
      <c r="D11" s="62" t="s">
        <v>447</v>
      </c>
      <c r="E11" s="62">
        <v>11</v>
      </c>
      <c r="F11" s="194">
        <v>230</v>
      </c>
      <c r="G11" s="62" t="s">
        <v>511</v>
      </c>
      <c r="H11" s="62" t="s">
        <v>512</v>
      </c>
      <c r="I11" s="194">
        <v>2013</v>
      </c>
      <c r="J11" s="194">
        <v>1</v>
      </c>
      <c r="K11" s="62">
        <v>143</v>
      </c>
      <c r="L11" s="62" t="str">
        <f>INDEX([1]КОД!B:B,MATCH(C11,[1]КОД!A:A,0))</f>
        <v>00-000198</v>
      </c>
      <c r="M11" s="62">
        <v>496.93</v>
      </c>
      <c r="N11" s="62">
        <v>524.19000000000005</v>
      </c>
      <c r="O11" s="208">
        <v>608.42999999999995</v>
      </c>
      <c r="P11" s="62"/>
    </row>
    <row r="12" spans="1:16" x14ac:dyDescent="0.3">
      <c r="B12" s="194">
        <v>11</v>
      </c>
      <c r="C12" s="62" t="s">
        <v>77</v>
      </c>
      <c r="D12" s="62" t="s">
        <v>59</v>
      </c>
      <c r="E12" s="62">
        <v>12</v>
      </c>
      <c r="F12" s="194">
        <v>230</v>
      </c>
      <c r="G12" s="62" t="s">
        <v>513</v>
      </c>
      <c r="H12" s="62" t="s">
        <v>514</v>
      </c>
      <c r="I12" s="194">
        <v>2013</v>
      </c>
      <c r="J12" s="194">
        <v>1</v>
      </c>
      <c r="K12" s="62">
        <v>343</v>
      </c>
      <c r="L12" s="62" t="str">
        <f>INDEX([1]КОД!B:B,MATCH(C12,[1]КОД!A:A,0))</f>
        <v>00-000195</v>
      </c>
      <c r="M12" s="62">
        <v>995.97</v>
      </c>
      <c r="N12" s="64">
        <v>1023.23</v>
      </c>
      <c r="O12" s="230">
        <v>608.42999999999995</v>
      </c>
      <c r="P12" s="62"/>
    </row>
    <row r="13" spans="1:16" x14ac:dyDescent="0.3">
      <c r="B13" s="194">
        <v>12</v>
      </c>
      <c r="C13" s="62" t="s">
        <v>75</v>
      </c>
      <c r="D13" s="62" t="s">
        <v>75</v>
      </c>
      <c r="E13" s="62">
        <v>13</v>
      </c>
      <c r="F13" s="194">
        <v>200</v>
      </c>
      <c r="G13" s="62" t="s">
        <v>515</v>
      </c>
      <c r="H13" s="62" t="s">
        <v>516</v>
      </c>
      <c r="I13" s="194">
        <v>2019</v>
      </c>
      <c r="J13" s="194">
        <v>1</v>
      </c>
      <c r="K13" s="62">
        <v>300</v>
      </c>
      <c r="L13" s="62" t="str">
        <f>INDEX([1]КОД!B:B,MATCH(C13,[1]КОД!A:A,0))</f>
        <v>00-000189</v>
      </c>
      <c r="M13" s="62">
        <v>355.37</v>
      </c>
      <c r="N13" s="62">
        <v>386.37</v>
      </c>
      <c r="O13" s="208">
        <v>455.37</v>
      </c>
      <c r="P13" s="62"/>
    </row>
    <row r="14" spans="1:16" ht="13.2" customHeight="1" x14ac:dyDescent="0.3">
      <c r="B14" s="194">
        <v>13</v>
      </c>
      <c r="C14" s="62" t="s">
        <v>86</v>
      </c>
      <c r="D14" s="62" t="s">
        <v>86</v>
      </c>
      <c r="E14" s="62">
        <v>14</v>
      </c>
      <c r="F14" s="194">
        <v>200</v>
      </c>
      <c r="G14" s="62" t="s">
        <v>517</v>
      </c>
      <c r="H14" s="62" t="s">
        <v>518</v>
      </c>
      <c r="I14" s="194">
        <v>2019</v>
      </c>
      <c r="J14" s="194">
        <v>1</v>
      </c>
      <c r="K14" s="62">
        <v>300</v>
      </c>
      <c r="L14" s="62" t="str">
        <f>INDEX([1]КОД!B:B,MATCH(C14,[1]КОД!A:A,0))</f>
        <v>00-000190</v>
      </c>
      <c r="M14" s="62">
        <v>355.37</v>
      </c>
      <c r="N14" s="62">
        <v>386.37</v>
      </c>
      <c r="O14" s="208">
        <v>455.37</v>
      </c>
      <c r="P14" s="62"/>
    </row>
    <row r="15" spans="1:16" x14ac:dyDescent="0.3">
      <c r="B15" s="194">
        <v>14</v>
      </c>
      <c r="C15" s="62" t="s">
        <v>1</v>
      </c>
      <c r="D15" s="62" t="s">
        <v>1</v>
      </c>
      <c r="E15" s="62">
        <v>15</v>
      </c>
      <c r="F15" s="194">
        <v>200</v>
      </c>
      <c r="G15" s="62"/>
      <c r="H15" s="196">
        <v>13282</v>
      </c>
      <c r="I15" s="194">
        <v>1990</v>
      </c>
      <c r="J15" s="195"/>
      <c r="K15" s="62"/>
      <c r="L15" s="62" t="str">
        <f>INDEX([1]КОД!B:B,MATCH(C15,[1]КОД!A:A,0))</f>
        <v>00-000193</v>
      </c>
      <c r="M15" s="62">
        <v>304.14999999999998</v>
      </c>
      <c r="N15" s="62">
        <v>308.41000000000003</v>
      </c>
      <c r="O15" s="208">
        <v>392.65</v>
      </c>
      <c r="P15" s="62"/>
    </row>
    <row r="16" spans="1:16" x14ac:dyDescent="0.3">
      <c r="B16" s="194">
        <v>15</v>
      </c>
      <c r="C16" s="62" t="s">
        <v>348</v>
      </c>
      <c r="D16" s="62" t="s">
        <v>445</v>
      </c>
      <c r="E16" s="62">
        <v>16</v>
      </c>
      <c r="F16" s="194">
        <v>200</v>
      </c>
      <c r="G16" s="62"/>
      <c r="H16" s="196">
        <v>12481</v>
      </c>
      <c r="I16" s="194">
        <v>1989</v>
      </c>
      <c r="J16" s="195"/>
      <c r="K16" s="62"/>
      <c r="L16" s="62" t="str">
        <f>INDEX([1]КОД!B:B,MATCH(C16,[1]КОД!A:A,0))</f>
        <v>00-000218</v>
      </c>
      <c r="M16" s="62">
        <v>304.14999999999998</v>
      </c>
      <c r="N16" s="62">
        <v>308.41000000000003</v>
      </c>
      <c r="O16" s="208">
        <v>392.65</v>
      </c>
      <c r="P16" s="62"/>
    </row>
    <row r="17" spans="2:16" x14ac:dyDescent="0.3">
      <c r="B17" s="194">
        <v>16</v>
      </c>
      <c r="C17" s="62" t="s">
        <v>66</v>
      </c>
      <c r="D17" s="62" t="s">
        <v>440</v>
      </c>
      <c r="E17" s="62">
        <v>17</v>
      </c>
      <c r="F17" s="194">
        <v>200</v>
      </c>
      <c r="G17" s="62" t="s">
        <v>519</v>
      </c>
      <c r="H17" s="62" t="s">
        <v>520</v>
      </c>
      <c r="I17" s="194">
        <v>2011</v>
      </c>
      <c r="J17" s="194">
        <v>1</v>
      </c>
      <c r="K17" s="62">
        <v>480</v>
      </c>
      <c r="L17" s="62" t="str">
        <f>INDEX([1]КОД!B:B,MATCH(C17,[1]КОД!A:A,0))</f>
        <v>00-000204</v>
      </c>
      <c r="M17" s="62">
        <v>430.84</v>
      </c>
      <c r="N17" s="62">
        <v>461.84</v>
      </c>
      <c r="O17" s="208">
        <v>530.84</v>
      </c>
      <c r="P17" s="62"/>
    </row>
    <row r="18" spans="2:16" x14ac:dyDescent="0.3">
      <c r="B18" s="194">
        <v>17</v>
      </c>
      <c r="C18" s="62" t="s">
        <v>69</v>
      </c>
      <c r="D18" s="62" t="s">
        <v>69</v>
      </c>
      <c r="E18" s="62">
        <v>18</v>
      </c>
      <c r="F18" s="194">
        <v>270</v>
      </c>
      <c r="G18" s="62" t="s">
        <v>521</v>
      </c>
      <c r="H18" s="62" t="s">
        <v>522</v>
      </c>
      <c r="I18" s="194">
        <v>2016</v>
      </c>
      <c r="J18" s="194">
        <v>1</v>
      </c>
      <c r="K18" s="62">
        <v>240</v>
      </c>
      <c r="L18" s="62" t="str">
        <f>INDEX([1]КОД!B:B,MATCH(C18,[1]КОД!A:A,0))</f>
        <v>00-000199</v>
      </c>
      <c r="M18" s="62">
        <v>563.19000000000005</v>
      </c>
      <c r="N18" s="62">
        <v>601.95000000000005</v>
      </c>
      <c r="O18" s="208">
        <v>722.13</v>
      </c>
      <c r="P18" s="62"/>
    </row>
    <row r="19" spans="2:16" x14ac:dyDescent="0.3">
      <c r="B19" s="194">
        <v>18</v>
      </c>
      <c r="C19" s="62" t="s">
        <v>523</v>
      </c>
      <c r="D19" s="62" t="s">
        <v>524</v>
      </c>
      <c r="E19" s="62">
        <v>19</v>
      </c>
      <c r="F19" s="194">
        <v>330</v>
      </c>
      <c r="G19" s="62" t="s">
        <v>525</v>
      </c>
      <c r="H19" s="62" t="s">
        <v>526</v>
      </c>
      <c r="I19" s="194">
        <v>2014</v>
      </c>
      <c r="J19" s="194">
        <v>1</v>
      </c>
      <c r="K19" s="62">
        <v>240</v>
      </c>
      <c r="L19" s="62" t="str">
        <f>INDEX([1]КОД!B:B,MATCH(C19,[1]КОД!A:A,0))</f>
        <v>00-000209</v>
      </c>
      <c r="M19" s="62">
        <v>965.67</v>
      </c>
      <c r="N19" s="62">
        <v>969.93</v>
      </c>
      <c r="O19" s="208">
        <v>1157.67</v>
      </c>
      <c r="P19" s="62"/>
    </row>
    <row r="20" spans="2:16" x14ac:dyDescent="0.3">
      <c r="B20" s="194">
        <v>19</v>
      </c>
      <c r="C20" s="62" t="s">
        <v>64</v>
      </c>
      <c r="D20" s="62" t="s">
        <v>473</v>
      </c>
      <c r="E20" s="62">
        <v>20</v>
      </c>
      <c r="F20" s="194">
        <v>270</v>
      </c>
      <c r="G20" s="62" t="s">
        <v>527</v>
      </c>
      <c r="H20" s="62" t="s">
        <v>528</v>
      </c>
      <c r="I20" s="194">
        <v>2008</v>
      </c>
      <c r="J20" s="194">
        <v>1</v>
      </c>
      <c r="K20" s="62">
        <v>230</v>
      </c>
      <c r="L20" s="62" t="str">
        <f>INDEX([1]КОД!B:B,MATCH(C20,[1]КОД!A:A,0))</f>
        <v>00-000205</v>
      </c>
      <c r="M20" s="62">
        <v>490.46</v>
      </c>
      <c r="N20" s="62">
        <v>529.22</v>
      </c>
      <c r="O20" s="208">
        <v>649.39</v>
      </c>
      <c r="P20" s="62"/>
    </row>
    <row r="21" spans="2:16" x14ac:dyDescent="0.3">
      <c r="B21" s="194">
        <v>20</v>
      </c>
      <c r="C21" s="62" t="s">
        <v>529</v>
      </c>
      <c r="D21" s="62" t="s">
        <v>529</v>
      </c>
      <c r="E21" s="62">
        <v>21</v>
      </c>
      <c r="F21" s="194"/>
      <c r="G21" s="62" t="s">
        <v>530</v>
      </c>
      <c r="H21" s="62" t="s">
        <v>531</v>
      </c>
      <c r="I21" s="194">
        <v>2010</v>
      </c>
      <c r="J21" s="195"/>
      <c r="K21" s="62">
        <v>65</v>
      </c>
      <c r="L21" s="62" t="str">
        <f>INDEX([1]КОД!B:B,MATCH(C21,[1]КОД!A:A,0))</f>
        <v>00-000217</v>
      </c>
      <c r="M21" s="62">
        <v>802.86</v>
      </c>
      <c r="N21" s="62">
        <v>802.86</v>
      </c>
      <c r="O21" s="208">
        <v>802.86</v>
      </c>
      <c r="P21" s="62" t="s">
        <v>541</v>
      </c>
    </row>
    <row r="22" spans="2:16" x14ac:dyDescent="0.3">
      <c r="B22" s="194">
        <v>21</v>
      </c>
      <c r="C22" s="62" t="s">
        <v>349</v>
      </c>
      <c r="D22" s="62" t="s">
        <v>349</v>
      </c>
      <c r="E22" s="62">
        <v>22</v>
      </c>
      <c r="F22" s="194">
        <v>200</v>
      </c>
      <c r="G22" s="62" t="s">
        <v>532</v>
      </c>
      <c r="H22" s="62" t="s">
        <v>533</v>
      </c>
      <c r="I22" s="194">
        <v>2020</v>
      </c>
      <c r="J22" s="195">
        <v>1</v>
      </c>
      <c r="K22" s="62">
        <v>300</v>
      </c>
      <c r="L22" s="62"/>
      <c r="M22" s="62"/>
      <c r="N22" s="62">
        <v>514.61</v>
      </c>
      <c r="O22" s="208">
        <v>583.61</v>
      </c>
      <c r="P22" s="62"/>
    </row>
    <row r="23" spans="2:16" x14ac:dyDescent="0.3">
      <c r="B23" s="194">
        <v>21</v>
      </c>
      <c r="C23" s="62" t="s">
        <v>588</v>
      </c>
      <c r="D23" s="62" t="s">
        <v>588</v>
      </c>
      <c r="E23" s="62">
        <v>22</v>
      </c>
      <c r="F23" s="194">
        <v>200</v>
      </c>
      <c r="G23" s="62" t="s">
        <v>587</v>
      </c>
      <c r="H23" s="62" t="s">
        <v>533</v>
      </c>
      <c r="I23" s="194">
        <v>2020</v>
      </c>
      <c r="J23" s="195">
        <v>1</v>
      </c>
      <c r="K23" s="62">
        <v>300</v>
      </c>
      <c r="L23" s="62"/>
      <c r="M23" s="62"/>
      <c r="N23" s="62">
        <v>514.61</v>
      </c>
      <c r="O23" s="208">
        <v>583.61</v>
      </c>
      <c r="P23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Контакты</vt:lpstr>
      <vt:lpstr>Лист2</vt:lpstr>
      <vt:lpstr>Лист3</vt:lpstr>
      <vt:lpstr>Лист1</vt:lpstr>
      <vt:lpstr>IBAN</vt:lpstr>
      <vt:lpstr>МЕХАНИЗАТОРЫ ноябрь</vt:lpstr>
      <vt:lpstr>2025_01_01</vt:lpstr>
      <vt:lpstr>2025_02_01 </vt:lpstr>
      <vt:lpstr>2025_03_01</vt:lpstr>
      <vt:lpstr>2025_04_01</vt:lpstr>
      <vt:lpstr>МЕХАНИЗАТОРЫ апрель</vt:lpstr>
      <vt:lpstr>Лист4 (2)</vt:lpstr>
      <vt:lpstr>Лист5</vt:lpstr>
      <vt:lpstr>'МЕХАНИЗАТОРЫ апрель'!Механизаторі</vt:lpstr>
      <vt:lpstr>Механизаторі</vt:lpstr>
      <vt:lpstr>'МЕХАНИЗАТОРЫ апрель'!Механизаторы</vt:lpstr>
      <vt:lpstr>Механизаторы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2025-05-20T09:43:15Z</dcterms:modified>
</cp:coreProperties>
</file>
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public\Фінансовий відділ\! PnL\PL по компании\2025\Апрель_25\Данные для PL\Строительство_апрель\"/>
    </mc:Choice>
  </mc:AlternateContent>
  <xr:revisionPtr revIDLastSave="0" documentId="13_ncr:1_{DAFEFC38-EAA1-44BE-AEFE-A7B652F82B21}" xr6:coauthVersionLast="45" xr6:coauthVersionMax="45" xr10:uidLastSave="{00000000-0000-0000-0000-000000000000}"/>
  <bookViews>
    <workbookView xWindow="-108" yWindow="-108" windowWidth="23256" windowHeight="12600" activeTab="1" xr2:uid="{00000000-000D-0000-FFFF-FFFF00000000}"/>
  </bookViews>
  <sheets>
    <sheet name="Sheet1" sheetId="1" r:id="rId1"/>
    <sheet name="Лист1" sheetId="2" r:id="rId2"/>
  </sheets>
  <definedNames>
    <definedName name="_xlnm._FilterDatabase" localSheetId="0" hidden="1">Sheet1!$A$1:$I$66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55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2" i="2"/>
  <c r="C55" i="2"/>
  <c r="B55" i="2"/>
  <c r="D64" i="1" l="1"/>
  <c r="D65" i="1"/>
  <c r="D66" i="1"/>
  <c r="D62" i="1"/>
  <c r="D63" i="1" l="1"/>
</calcChain>
</file>

<file path=xl/sharedStrings.xml><?xml version="1.0" encoding="utf-8"?>
<sst xmlns="http://schemas.openxmlformats.org/spreadsheetml/2006/main" count="492" uniqueCount="203">
  <si>
    <t>Дата</t>
  </si>
  <si>
    <t>Номер</t>
  </si>
  <si>
    <t>Контрагент</t>
  </si>
  <si>
    <t>Сума</t>
  </si>
  <si>
    <t>Валюта</t>
  </si>
  <si>
    <t>Підрозділ</t>
  </si>
  <si>
    <t>Організація</t>
  </si>
  <si>
    <t>Відповідальний</t>
  </si>
  <si>
    <t>Коментар</t>
  </si>
  <si>
    <t>01.04.2025 10:00:00</t>
  </si>
  <si>
    <t>ІБ00-000143</t>
  </si>
  <si>
    <t>АСТАРТА АГРО ПРОТЕЇН ТОВ</t>
  </si>
  <si>
    <t>грн</t>
  </si>
  <si>
    <t>Виробничий (Глобине-2)</t>
  </si>
  <si>
    <t>ТОВ "ІНДАСТРІАЛБУД"</t>
  </si>
  <si>
    <t>Хлань Елена</t>
  </si>
  <si>
    <t xml:space="preserve"> Акт 5/1.9-ЗБ</t>
  </si>
  <si>
    <t>01.04.2025 12:59:27</t>
  </si>
  <si>
    <t>ІБ00-000141</t>
  </si>
  <si>
    <t xml:space="preserve"> Акт 3/1.26_Б</t>
  </si>
  <si>
    <t>01.04.2025 13:01:26</t>
  </si>
  <si>
    <t>ІБ00-000144</t>
  </si>
  <si>
    <t xml:space="preserve">Акт 25/1.3-КБ(Цех екстракції поз. 3 ГБ) </t>
  </si>
  <si>
    <t>01.04.2025 13:02:03</t>
  </si>
  <si>
    <t>ІБ00-000145</t>
  </si>
  <si>
    <t>Акт 37/1.3-КМ(Цех екстракції поз. 3 ГБ)</t>
  </si>
  <si>
    <t>01.04.2025 13:07:49</t>
  </si>
  <si>
    <t>ІБ00-000147</t>
  </si>
  <si>
    <t>ГЛОБИНСЬКИЙ ПЕРЕРОБНИЙ ЗАВОД ТОВ</t>
  </si>
  <si>
    <t xml:space="preserve"> Акт 3/ГПЗ</t>
  </si>
  <si>
    <t>02.04.2025 09:44:46</t>
  </si>
  <si>
    <t>ІБ00-000148</t>
  </si>
  <si>
    <t>РЕТАЛ УКРАЇНА ТОВ</t>
  </si>
  <si>
    <t>Виробничий (Ретал ГПУ)</t>
  </si>
  <si>
    <t>Акт № 5 (Ду 2)  Договір підряду №28/07/22 від 28.07.2022  Счёт под оплату</t>
  </si>
  <si>
    <t>02.04.2025 18:08:46</t>
  </si>
  <si>
    <t>ІБ00-000149</t>
  </si>
  <si>
    <t>КАТЕРИНОПІЛЬСЬКИЙ ЕЛЕВАТОР ТОВ</t>
  </si>
  <si>
    <t>Виробничий (Катеринопіль МХП)</t>
  </si>
  <si>
    <t>Акт 7</t>
  </si>
  <si>
    <t>03.04.2025 13:03:48</t>
  </si>
  <si>
    <t>ІБ00-000146</t>
  </si>
  <si>
    <t xml:space="preserve"> Акт 2/1.14-АР (Котельня)</t>
  </si>
  <si>
    <t>03.04.2025 14:34:31</t>
  </si>
  <si>
    <t>ІБ00-000131</t>
  </si>
  <si>
    <t xml:space="preserve"> Акт 1/1.14-АР (Котельня)</t>
  </si>
  <si>
    <t>03.04.2025 16:04:34</t>
  </si>
  <si>
    <t>ІБ00-000134</t>
  </si>
  <si>
    <t xml:space="preserve"> Акт 1/1.1-КБ (АПК)</t>
  </si>
  <si>
    <t>03.04.2025 16:07:49</t>
  </si>
  <si>
    <t>ІБ00-000135</t>
  </si>
  <si>
    <t xml:space="preserve"> Акт 1/1.10-КБ (Біг-бег)</t>
  </si>
  <si>
    <t>04.04.2025 15:17:22</t>
  </si>
  <si>
    <t>ІБ00-000155</t>
  </si>
  <si>
    <t xml:space="preserve"> Акт 2/1.1-КБ</t>
  </si>
  <si>
    <t>07.04.2025 19:59:47</t>
  </si>
  <si>
    <t>ІБ00-000158</t>
  </si>
  <si>
    <t>Акт 1 (пункт відвантаження)</t>
  </si>
  <si>
    <t>08.04.2025 14:52:34</t>
  </si>
  <si>
    <t>ІБ00-000150</t>
  </si>
  <si>
    <t>Акт 26/1.3-КБ(Цех екстракції поз. 3 ГБ)</t>
  </si>
  <si>
    <t>08.04.2025 14:53:33</t>
  </si>
  <si>
    <t>ІБ00-000151</t>
  </si>
  <si>
    <t>Акт 38/1.3-КМ(Цех екстракції поз. 3 ГБ)</t>
  </si>
  <si>
    <t>08.04.2025 14:54:14</t>
  </si>
  <si>
    <t>ІБ00-000152</t>
  </si>
  <si>
    <t xml:space="preserve"> Акт 6/1.9-ЗБ</t>
  </si>
  <si>
    <t>08.04.2025 14:56:01</t>
  </si>
  <si>
    <t>ІБ00-000153</t>
  </si>
  <si>
    <t xml:space="preserve"> Акт 16/1.9-КБ (СПК)</t>
  </si>
  <si>
    <t>08.04.2025 14:57:04</t>
  </si>
  <si>
    <t>ІБ00-000154</t>
  </si>
  <si>
    <t>Акт 9/1.4-КБ (резервуар для зберігання розчинника)</t>
  </si>
  <si>
    <t>08.04.2025 15:11:59</t>
  </si>
  <si>
    <t>ІБ00-000159</t>
  </si>
  <si>
    <t>Акт № 4 Договір підряду №28/07/22 від 28.07.2022  Счёт под оплату</t>
  </si>
  <si>
    <t>10.04.2025 15:18:10</t>
  </si>
  <si>
    <t>ІБ00-000156</t>
  </si>
  <si>
    <t xml:space="preserve"> Акт 3/1.14-АР (Котельня)</t>
  </si>
  <si>
    <t>10.04.2025 15:18:42</t>
  </si>
  <si>
    <t>ІБ00-000157</t>
  </si>
  <si>
    <t xml:space="preserve"> Акт 2/1.10-КБ</t>
  </si>
  <si>
    <t>10.04.2025 22:57:07</t>
  </si>
  <si>
    <t>ІБ00-000167</t>
  </si>
  <si>
    <t>Акт 2 (пункт відвантаження)</t>
  </si>
  <si>
    <t>16.04.2025 09:24:29</t>
  </si>
  <si>
    <t>ІБ00-000166</t>
  </si>
  <si>
    <t>Акт 8</t>
  </si>
  <si>
    <t>16.04.2025 15:51:42</t>
  </si>
  <si>
    <t>ІБ00-000160</t>
  </si>
  <si>
    <t>Акт 39/1.3-КМ(Цех екстракції поз. 3 ГБ)</t>
  </si>
  <si>
    <t>16.04.2025 15:52:12</t>
  </si>
  <si>
    <t>ІБ00-000161</t>
  </si>
  <si>
    <t>Акт 27/1.3-КБ(Цех екстракції поз. 3 ГБ)</t>
  </si>
  <si>
    <t>16.04.2025 15:53:13</t>
  </si>
  <si>
    <t>ІБ00-000163</t>
  </si>
  <si>
    <t xml:space="preserve"> Акт 4/1.26_Б</t>
  </si>
  <si>
    <t>16.04.2025 15:57:54</t>
  </si>
  <si>
    <t>ІБ00-000165</t>
  </si>
  <si>
    <t xml:space="preserve"> Акт 2/1.1-КБ (АПК)</t>
  </si>
  <si>
    <t>22.04.2025 15:52:42</t>
  </si>
  <si>
    <t>ІБ00-000162</t>
  </si>
  <si>
    <t xml:space="preserve"> Акт 4/1.14-АР (Котельня)</t>
  </si>
  <si>
    <t>22.04.2025 16:31:52</t>
  </si>
  <si>
    <t>ІБ00-000187</t>
  </si>
  <si>
    <t>Акт № 2 (Ду 1)  Договір підряду № 17/12/24 від 17.12.2024</t>
  </si>
  <si>
    <t>Аулова Маргарита</t>
  </si>
  <si>
    <t>23.04.2025 11:32:44</t>
  </si>
  <si>
    <t>ІБ00-000168</t>
  </si>
  <si>
    <t xml:space="preserve"> Акт 5/1.14-АР (Котельня)</t>
  </si>
  <si>
    <t>23.04.2025 11:33:35</t>
  </si>
  <si>
    <t>ІБ00-000169</t>
  </si>
  <si>
    <t xml:space="preserve"> Акт 4/ГПЗ</t>
  </si>
  <si>
    <t>23.04.2025 11:35:31</t>
  </si>
  <si>
    <t>ІБ00-000170</t>
  </si>
  <si>
    <t xml:space="preserve"> Акт 2/1.16-КБ (Пожежний резервуар)</t>
  </si>
  <si>
    <t>23.04.2025 11:36:47</t>
  </si>
  <si>
    <t>ІБ00-000171</t>
  </si>
  <si>
    <t xml:space="preserve"> Акт 3/1.10-КБ</t>
  </si>
  <si>
    <t>23.04.2025 11:37:59</t>
  </si>
  <si>
    <t>ІБ00-000172</t>
  </si>
  <si>
    <t xml:space="preserve"> Акт 21/1.14-КБ (Котельня)</t>
  </si>
  <si>
    <t>23.04.2025 11:38:47</t>
  </si>
  <si>
    <t>ІБ00-000173</t>
  </si>
  <si>
    <t xml:space="preserve"> Акт 5/1.26_Б</t>
  </si>
  <si>
    <t>23.04.2025 11:39:38</t>
  </si>
  <si>
    <t>ІБ00-000174</t>
  </si>
  <si>
    <t xml:space="preserve"> Акт 17/1.9-КБ (СПК)</t>
  </si>
  <si>
    <t>23.04.2025 11:41:18</t>
  </si>
  <si>
    <t>ІБ00-000175</t>
  </si>
  <si>
    <t xml:space="preserve"> Акт 7/1.9-ЗБ</t>
  </si>
  <si>
    <t>23.04.2025 11:42:03</t>
  </si>
  <si>
    <t>ІБ00-000176</t>
  </si>
  <si>
    <t>Акт 8/1.5-КМ (насосна,градирня)</t>
  </si>
  <si>
    <t>23.04.2025 11:43:31</t>
  </si>
  <si>
    <t>ІБ00-000177</t>
  </si>
  <si>
    <t>Акт 8/1.5-КБ (насосна,градирня)</t>
  </si>
  <si>
    <t>23.04.2025 11:45:56</t>
  </si>
  <si>
    <t>ІБ00-000178</t>
  </si>
  <si>
    <t>Акт 10/1.4-КБ (резервуар для зберігання розчинника)</t>
  </si>
  <si>
    <t>23.04.2025 11:46:36</t>
  </si>
  <si>
    <t>ІБ00-000179</t>
  </si>
  <si>
    <t>Акт 42/1.3-КМ(Цех екстракції поз. 3 ГБ)</t>
  </si>
  <si>
    <t>23.04.2025 11:47:18</t>
  </si>
  <si>
    <t>ІБ00-000180</t>
  </si>
  <si>
    <t>Акт 41/1.3-КМ(Цех екстракції поз. 3 ГБ)</t>
  </si>
  <si>
    <t>23.04.2025 11:47:49</t>
  </si>
  <si>
    <t>ІБ00-000181</t>
  </si>
  <si>
    <t>Акт 40/1.3-КМ(Цех екстракції поз. 3 ГБ)</t>
  </si>
  <si>
    <t>23.04.2025 11:48:32</t>
  </si>
  <si>
    <t>ІБ00-000182</t>
  </si>
  <si>
    <t>Акт 28/1.3-КБ(Цех екстракції поз. 3 ГБ)</t>
  </si>
  <si>
    <t>23.04.2025 11:52:50</t>
  </si>
  <si>
    <t>ІБ00-000183</t>
  </si>
  <si>
    <t>Акт 2/1.3-ТХ (Цех екстракції поз. 3 ГБ)</t>
  </si>
  <si>
    <t>23.04.2025 11:57:06</t>
  </si>
  <si>
    <t>ІБ00-000185</t>
  </si>
  <si>
    <t xml:space="preserve"> Акт 3/1.1-КБ (АПК)</t>
  </si>
  <si>
    <t>23.04.2025 11:58:06</t>
  </si>
  <si>
    <t>ІБ00-000186</t>
  </si>
  <si>
    <t xml:space="preserve"> Акт 17/1.14-КМ (Котельня)</t>
  </si>
  <si>
    <t>23.04.2025 15:56:15</t>
  </si>
  <si>
    <t>ІБ00-000164</t>
  </si>
  <si>
    <t>Акт 1/1.5-АР (насосна,градирня)</t>
  </si>
  <si>
    <t>25.04.2025 15:37:57</t>
  </si>
  <si>
    <t>ІБ00-000190</t>
  </si>
  <si>
    <t xml:space="preserve"> Акт 18/1.14-КМ (Котельня)</t>
  </si>
  <si>
    <t>25.04.2025 15:57:51</t>
  </si>
  <si>
    <t>ІБ00-000197</t>
  </si>
  <si>
    <t>Акт 4/1.3-ТХ (Цех екстракції поз. 3 ГБ)</t>
  </si>
  <si>
    <t>25.04.2025 16:00:00</t>
  </si>
  <si>
    <t>ІБ00-000198</t>
  </si>
  <si>
    <t>Акт 3/1.3-ТХ (Цех екстракції поз. 3 ГБ)</t>
  </si>
  <si>
    <t>29.04.2025 15:27:54</t>
  </si>
  <si>
    <t>ІБ00-000188</t>
  </si>
  <si>
    <t xml:space="preserve"> Акт 7/1.25 (Демонтажні роботи) </t>
  </si>
  <si>
    <t>29.04.2025 15:35:07</t>
  </si>
  <si>
    <t>ІБ00-000189</t>
  </si>
  <si>
    <t xml:space="preserve"> Акт 4/1.1-КБ (АПК)</t>
  </si>
  <si>
    <t>29.04.2025 15:40:50</t>
  </si>
  <si>
    <t>ІБ00-000191</t>
  </si>
  <si>
    <t xml:space="preserve"> Акт 4/1.10-КБ</t>
  </si>
  <si>
    <t>29.04.2025 15:43:40</t>
  </si>
  <si>
    <t>ІБ00-000192</t>
  </si>
  <si>
    <t xml:space="preserve"> Акт 18/1.9-КБ (СПК)</t>
  </si>
  <si>
    <t>29.04.2025 15:45:51</t>
  </si>
  <si>
    <t>ІБ00-000193</t>
  </si>
  <si>
    <t xml:space="preserve"> Акт 8/1.9-ЗБ</t>
  </si>
  <si>
    <t>29.04.2025 15:48:13</t>
  </si>
  <si>
    <t>ІБ00-000194</t>
  </si>
  <si>
    <t>Акт 11/1.4-КБ (резервуар для зберігання розчинника)</t>
  </si>
  <si>
    <t>29.04.2025 15:52:45</t>
  </si>
  <si>
    <t>ІБ00-000195</t>
  </si>
  <si>
    <t>Акт 43/1.3-КМ(Цех екстракції поз. 3 ГБ)</t>
  </si>
  <si>
    <t>29.04.2025 15:55:41</t>
  </si>
  <si>
    <t>ІБ00-000196</t>
  </si>
  <si>
    <t>Акт 44/1.3-КМ(Цех екстракції поз. 3 ГБ)</t>
  </si>
  <si>
    <t>29.04.2025 16:08:34</t>
  </si>
  <si>
    <t>ІБ00-000200</t>
  </si>
  <si>
    <t xml:space="preserve"> Акт 5/ГПЗ</t>
  </si>
  <si>
    <t>Глобино-2</t>
  </si>
  <si>
    <t>МХП Катеринополь</t>
  </si>
  <si>
    <t>Ретал.ГПУ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</si>
</sst>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Arial"/>
      <family val="2"/>
    </font>
    <font>
      <sz val="10"/>
      <color indexed="63"/>
      <name val="Arial"/>
      <family val="2"/>
      <charset val="204"/>
    </font>
    <font>
      <sz val="8"/>
      <color indexed="6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2" fillId="2" borderId="1" xfId="1" applyNumberFormat="1" applyFont="1" applyFill="1" applyBorder="1" applyAlignment="1">
      <alignment horizontal="left" vertical="top"/>
    </xf>
    <xf numFmtId="0" fontId="3" fillId="2" borderId="1" xfId="1" applyNumberFormat="1" applyFont="1" applyFill="1" applyBorder="1" applyAlignment="1">
      <alignment horizontal="left" vertical="top"/>
    </xf>
    <xf numFmtId="4" fontId="3" fillId="2" borderId="1" xfId="1" applyNumberFormat="1" applyFont="1" applyFill="1" applyBorder="1" applyAlignment="1">
      <alignment horizontal="right" vertical="top"/>
    </xf>
    <xf numFmtId="4" fontId="0" fillId="0" borderId="0" xfId="0" applyNumberFormat="1"/>
    <xf numFmtId="0" fontId="3" fillId="3" borderId="1" xfId="1" applyNumberFormat="1" applyFont="1" applyFill="1" applyBorder="1" applyAlignment="1">
      <alignment horizontal="left" vertical="top"/>
    </xf>
    <xf numFmtId="4" fontId="3" fillId="3" borderId="1" xfId="1" applyNumberFormat="1" applyFont="1" applyFill="1" applyBorder="1" applyAlignment="1">
      <alignment horizontal="right" vertical="top"/>
    </xf>
    <xf numFmtId="0" fontId="0" fillId="3" borderId="0" xfId="0" applyFill="1"/>
  </cellXfs>
  <cellStyles count="2">
    <cellStyle name="Обычный" xfId="0" builtinId="0"/>
    <cellStyle name="Обычный_Sheet1" xfId="1" xr:uid="{4F5C2976-0670-49D3-BF2D-210D9292B47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I66"/>
  <sheetViews>
    <sheetView topLeftCell="A37" workbookViewId="0">
      <selection activeCell="A52" activeCellId="2" sqref="A50:XFD50 A51:XFD51 A52:XFD52"/>
    </sheetView>
  </sheetViews>
  <sheetFormatPr defaultRowHeight="14.4" x14ac:dyDescent="0.3"/>
  <cols>
    <col min="1" max="1" width="14" bestFit="1" customWidth="1"/>
    <col min="2" max="2" width="8.77734375" bestFit="1" customWidth="1"/>
    <col min="3" max="3" width="50.5546875" bestFit="1" customWidth="1"/>
    <col min="4" max="4" width="12.33203125" bestFit="1" customWidth="1"/>
    <col min="5" max="5" width="7.6640625" bestFit="1" customWidth="1"/>
    <col min="6" max="6" width="22.6640625" bestFit="1" customWidth="1"/>
    <col min="7" max="7" width="16.6640625" bestFit="1" customWidth="1"/>
    <col min="8" max="8" width="14.5546875" bestFit="1" customWidth="1"/>
    <col min="9" max="9" width="52.55468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2" t="s">
        <v>9</v>
      </c>
      <c r="B2" s="2" t="s">
        <v>10</v>
      </c>
      <c r="C2" s="2" t="s">
        <v>11</v>
      </c>
      <c r="D2" s="3">
        <v>5653291.9699999997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16</v>
      </c>
    </row>
    <row r="3" spans="1:9" x14ac:dyDescent="0.3">
      <c r="A3" s="2" t="s">
        <v>17</v>
      </c>
      <c r="B3" s="2" t="s">
        <v>18</v>
      </c>
      <c r="C3" s="2" t="s">
        <v>11</v>
      </c>
      <c r="D3" s="3">
        <v>38691.11</v>
      </c>
      <c r="E3" s="2" t="s">
        <v>12</v>
      </c>
      <c r="F3" s="2" t="s">
        <v>13</v>
      </c>
      <c r="G3" s="2" t="s">
        <v>14</v>
      </c>
      <c r="H3" s="2" t="s">
        <v>15</v>
      </c>
      <c r="I3" s="2" t="s">
        <v>19</v>
      </c>
    </row>
    <row r="4" spans="1:9" x14ac:dyDescent="0.3">
      <c r="A4" s="2" t="s">
        <v>20</v>
      </c>
      <c r="B4" s="2" t="s">
        <v>21</v>
      </c>
      <c r="C4" s="2" t="s">
        <v>11</v>
      </c>
      <c r="D4" s="3">
        <v>987819.52000000002</v>
      </c>
      <c r="E4" s="2" t="s">
        <v>12</v>
      </c>
      <c r="F4" s="2" t="s">
        <v>13</v>
      </c>
      <c r="G4" s="2" t="s">
        <v>14</v>
      </c>
      <c r="H4" s="2" t="s">
        <v>15</v>
      </c>
      <c r="I4" s="2" t="s">
        <v>22</v>
      </c>
    </row>
    <row r="5" spans="1:9" x14ac:dyDescent="0.3">
      <c r="A5" s="2" t="s">
        <v>23</v>
      </c>
      <c r="B5" s="2" t="s">
        <v>24</v>
      </c>
      <c r="C5" s="2" t="s">
        <v>11</v>
      </c>
      <c r="D5" s="3">
        <v>688773.96</v>
      </c>
      <c r="E5" s="2" t="s">
        <v>12</v>
      </c>
      <c r="F5" s="2" t="s">
        <v>13</v>
      </c>
      <c r="G5" s="2" t="s">
        <v>14</v>
      </c>
      <c r="H5" s="2" t="s">
        <v>15</v>
      </c>
      <c r="I5" s="2" t="s">
        <v>25</v>
      </c>
    </row>
    <row r="6" spans="1:9" x14ac:dyDescent="0.3">
      <c r="A6" s="2" t="s">
        <v>26</v>
      </c>
      <c r="B6" s="2" t="s">
        <v>27</v>
      </c>
      <c r="C6" s="2" t="s">
        <v>28</v>
      </c>
      <c r="D6" s="3">
        <v>111112.48</v>
      </c>
      <c r="E6" s="2" t="s">
        <v>12</v>
      </c>
      <c r="F6" s="2" t="s">
        <v>13</v>
      </c>
      <c r="G6" s="2" t="s">
        <v>14</v>
      </c>
      <c r="H6" s="2" t="s">
        <v>15</v>
      </c>
      <c r="I6" s="2" t="s">
        <v>29</v>
      </c>
    </row>
    <row r="7" spans="1:9" hidden="1" x14ac:dyDescent="0.3">
      <c r="A7" s="2" t="s">
        <v>30</v>
      </c>
      <c r="B7" s="2" t="s">
        <v>31</v>
      </c>
      <c r="C7" s="2" t="s">
        <v>32</v>
      </c>
      <c r="D7" s="3">
        <v>2036577.39</v>
      </c>
      <c r="E7" s="2" t="s">
        <v>12</v>
      </c>
      <c r="F7" s="2" t="s">
        <v>33</v>
      </c>
      <c r="G7" s="2" t="s">
        <v>14</v>
      </c>
      <c r="H7" s="2" t="s">
        <v>15</v>
      </c>
      <c r="I7" s="2" t="s">
        <v>34</v>
      </c>
    </row>
    <row r="8" spans="1:9" hidden="1" x14ac:dyDescent="0.3">
      <c r="A8" s="2" t="s">
        <v>35</v>
      </c>
      <c r="B8" s="2" t="s">
        <v>36</v>
      </c>
      <c r="C8" s="2" t="s">
        <v>37</v>
      </c>
      <c r="D8" s="3">
        <v>1110272.6599999999</v>
      </c>
      <c r="E8" s="2" t="s">
        <v>12</v>
      </c>
      <c r="F8" s="2" t="s">
        <v>38</v>
      </c>
      <c r="G8" s="2" t="s">
        <v>14</v>
      </c>
      <c r="H8" s="2" t="s">
        <v>15</v>
      </c>
      <c r="I8" s="2" t="s">
        <v>39</v>
      </c>
    </row>
    <row r="9" spans="1:9" x14ac:dyDescent="0.3">
      <c r="A9" s="2" t="s">
        <v>40</v>
      </c>
      <c r="B9" s="2" t="s">
        <v>41</v>
      </c>
      <c r="C9" s="2" t="s">
        <v>11</v>
      </c>
      <c r="D9" s="3">
        <v>276513.48</v>
      </c>
      <c r="E9" s="2" t="s">
        <v>12</v>
      </c>
      <c r="F9" s="2" t="s">
        <v>13</v>
      </c>
      <c r="G9" s="2" t="s">
        <v>14</v>
      </c>
      <c r="H9" s="2" t="s">
        <v>15</v>
      </c>
      <c r="I9" s="2" t="s">
        <v>42</v>
      </c>
    </row>
    <row r="10" spans="1:9" x14ac:dyDescent="0.3">
      <c r="A10" s="2" t="s">
        <v>43</v>
      </c>
      <c r="B10" s="2" t="s">
        <v>44</v>
      </c>
      <c r="C10" s="2" t="s">
        <v>11</v>
      </c>
      <c r="D10" s="3">
        <v>278885.40000000002</v>
      </c>
      <c r="E10" s="2" t="s">
        <v>12</v>
      </c>
      <c r="F10" s="2" t="s">
        <v>13</v>
      </c>
      <c r="G10" s="2" t="s">
        <v>14</v>
      </c>
      <c r="H10" s="2" t="s">
        <v>15</v>
      </c>
      <c r="I10" s="2" t="s">
        <v>45</v>
      </c>
    </row>
    <row r="11" spans="1:9" x14ac:dyDescent="0.3">
      <c r="A11" s="2" t="s">
        <v>46</v>
      </c>
      <c r="B11" s="2" t="s">
        <v>47</v>
      </c>
      <c r="C11" s="2" t="s">
        <v>11</v>
      </c>
      <c r="D11" s="3">
        <v>3660583.96</v>
      </c>
      <c r="E11" s="2" t="s">
        <v>12</v>
      </c>
      <c r="F11" s="2" t="s">
        <v>13</v>
      </c>
      <c r="G11" s="2" t="s">
        <v>14</v>
      </c>
      <c r="H11" s="2" t="s">
        <v>15</v>
      </c>
      <c r="I11" s="2" t="s">
        <v>48</v>
      </c>
    </row>
    <row r="12" spans="1:9" x14ac:dyDescent="0.3">
      <c r="A12" s="2" t="s">
        <v>49</v>
      </c>
      <c r="B12" s="2" t="s">
        <v>50</v>
      </c>
      <c r="C12" s="2" t="s">
        <v>11</v>
      </c>
      <c r="D12" s="3">
        <v>1009145.9</v>
      </c>
      <c r="E12" s="2" t="s">
        <v>12</v>
      </c>
      <c r="F12" s="2" t="s">
        <v>13</v>
      </c>
      <c r="G12" s="2" t="s">
        <v>14</v>
      </c>
      <c r="H12" s="2" t="s">
        <v>15</v>
      </c>
      <c r="I12" s="2" t="s">
        <v>51</v>
      </c>
    </row>
    <row r="13" spans="1:9" s="7" customFormat="1" x14ac:dyDescent="0.3">
      <c r="A13" s="5" t="s">
        <v>52</v>
      </c>
      <c r="B13" s="5" t="s">
        <v>53</v>
      </c>
      <c r="C13" s="5" t="s">
        <v>11</v>
      </c>
      <c r="D13" s="6">
        <v>627056.65</v>
      </c>
      <c r="E13" s="5" t="s">
        <v>12</v>
      </c>
      <c r="F13" s="5" t="s">
        <v>13</v>
      </c>
      <c r="G13" s="5" t="s">
        <v>14</v>
      </c>
      <c r="H13" s="5" t="s">
        <v>15</v>
      </c>
      <c r="I13" s="5" t="s">
        <v>54</v>
      </c>
    </row>
    <row r="14" spans="1:9" hidden="1" x14ac:dyDescent="0.3">
      <c r="A14" s="2" t="s">
        <v>55</v>
      </c>
      <c r="B14" s="2" t="s">
        <v>56</v>
      </c>
      <c r="C14" s="2" t="s">
        <v>37</v>
      </c>
      <c r="D14" s="3">
        <v>1067331.22</v>
      </c>
      <c r="E14" s="2" t="s">
        <v>12</v>
      </c>
      <c r="F14" s="2" t="s">
        <v>38</v>
      </c>
      <c r="G14" s="2" t="s">
        <v>14</v>
      </c>
      <c r="H14" s="2" t="s">
        <v>15</v>
      </c>
      <c r="I14" s="2" t="s">
        <v>57</v>
      </c>
    </row>
    <row r="15" spans="1:9" x14ac:dyDescent="0.3">
      <c r="A15" s="2" t="s">
        <v>58</v>
      </c>
      <c r="B15" s="2" t="s">
        <v>59</v>
      </c>
      <c r="C15" s="2" t="s">
        <v>11</v>
      </c>
      <c r="D15" s="3">
        <v>524107.09</v>
      </c>
      <c r="E15" s="2" t="s">
        <v>12</v>
      </c>
      <c r="F15" s="2" t="s">
        <v>13</v>
      </c>
      <c r="G15" s="2" t="s">
        <v>14</v>
      </c>
      <c r="H15" s="2" t="s">
        <v>15</v>
      </c>
      <c r="I15" s="2" t="s">
        <v>60</v>
      </c>
    </row>
    <row r="16" spans="1:9" x14ac:dyDescent="0.3">
      <c r="A16" s="2" t="s">
        <v>61</v>
      </c>
      <c r="B16" s="2" t="s">
        <v>62</v>
      </c>
      <c r="C16" s="2" t="s">
        <v>11</v>
      </c>
      <c r="D16" s="3">
        <v>279619.26</v>
      </c>
      <c r="E16" s="2" t="s">
        <v>12</v>
      </c>
      <c r="F16" s="2" t="s">
        <v>13</v>
      </c>
      <c r="G16" s="2" t="s">
        <v>14</v>
      </c>
      <c r="H16" s="2" t="s">
        <v>15</v>
      </c>
      <c r="I16" s="2" t="s">
        <v>63</v>
      </c>
    </row>
    <row r="17" spans="1:9" x14ac:dyDescent="0.3">
      <c r="A17" s="2" t="s">
        <v>64</v>
      </c>
      <c r="B17" s="2" t="s">
        <v>65</v>
      </c>
      <c r="C17" s="2" t="s">
        <v>11</v>
      </c>
      <c r="D17" s="3">
        <v>1029145.36</v>
      </c>
      <c r="E17" s="2" t="s">
        <v>12</v>
      </c>
      <c r="F17" s="2" t="s">
        <v>13</v>
      </c>
      <c r="G17" s="2" t="s">
        <v>14</v>
      </c>
      <c r="H17" s="2" t="s">
        <v>15</v>
      </c>
      <c r="I17" s="2" t="s">
        <v>66</v>
      </c>
    </row>
    <row r="18" spans="1:9" x14ac:dyDescent="0.3">
      <c r="A18" s="2" t="s">
        <v>67</v>
      </c>
      <c r="B18" s="2" t="s">
        <v>68</v>
      </c>
      <c r="C18" s="2" t="s">
        <v>11</v>
      </c>
      <c r="D18" s="3">
        <v>39115.67</v>
      </c>
      <c r="E18" s="2" t="s">
        <v>12</v>
      </c>
      <c r="F18" s="2" t="s">
        <v>13</v>
      </c>
      <c r="G18" s="2" t="s">
        <v>14</v>
      </c>
      <c r="H18" s="2" t="s">
        <v>15</v>
      </c>
      <c r="I18" s="2" t="s">
        <v>69</v>
      </c>
    </row>
    <row r="19" spans="1:9" x14ac:dyDescent="0.3">
      <c r="A19" s="2" t="s">
        <v>70</v>
      </c>
      <c r="B19" s="2" t="s">
        <v>71</v>
      </c>
      <c r="C19" s="2" t="s">
        <v>11</v>
      </c>
      <c r="D19" s="3">
        <v>184123.84</v>
      </c>
      <c r="E19" s="2" t="s">
        <v>12</v>
      </c>
      <c r="F19" s="2" t="s">
        <v>13</v>
      </c>
      <c r="G19" s="2" t="s">
        <v>14</v>
      </c>
      <c r="H19" s="2" t="s">
        <v>15</v>
      </c>
      <c r="I19" s="2" t="s">
        <v>72</v>
      </c>
    </row>
    <row r="20" spans="1:9" hidden="1" x14ac:dyDescent="0.3">
      <c r="A20" s="2" t="s">
        <v>73</v>
      </c>
      <c r="B20" s="2" t="s">
        <v>74</v>
      </c>
      <c r="C20" s="2" t="s">
        <v>32</v>
      </c>
      <c r="D20" s="3">
        <v>141680</v>
      </c>
      <c r="E20" s="2" t="s">
        <v>12</v>
      </c>
      <c r="F20" s="2" t="s">
        <v>33</v>
      </c>
      <c r="G20" s="2" t="s">
        <v>14</v>
      </c>
      <c r="H20" s="2" t="s">
        <v>15</v>
      </c>
      <c r="I20" s="2" t="s">
        <v>75</v>
      </c>
    </row>
    <row r="21" spans="1:9" x14ac:dyDescent="0.3">
      <c r="A21" s="2" t="s">
        <v>76</v>
      </c>
      <c r="B21" s="2" t="s">
        <v>77</v>
      </c>
      <c r="C21" s="2" t="s">
        <v>11</v>
      </c>
      <c r="D21" s="3">
        <v>230451.07</v>
      </c>
      <c r="E21" s="2" t="s">
        <v>12</v>
      </c>
      <c r="F21" s="2" t="s">
        <v>13</v>
      </c>
      <c r="G21" s="2" t="s">
        <v>14</v>
      </c>
      <c r="H21" s="2" t="s">
        <v>15</v>
      </c>
      <c r="I21" s="2" t="s">
        <v>78</v>
      </c>
    </row>
    <row r="22" spans="1:9" x14ac:dyDescent="0.3">
      <c r="A22" s="2" t="s">
        <v>79</v>
      </c>
      <c r="B22" s="2" t="s">
        <v>80</v>
      </c>
      <c r="C22" s="2" t="s">
        <v>11</v>
      </c>
      <c r="D22" s="3">
        <v>172188.83</v>
      </c>
      <c r="E22" s="2" t="s">
        <v>12</v>
      </c>
      <c r="F22" s="2" t="s">
        <v>13</v>
      </c>
      <c r="G22" s="2" t="s">
        <v>14</v>
      </c>
      <c r="H22" s="2" t="s">
        <v>15</v>
      </c>
      <c r="I22" s="2" t="s">
        <v>81</v>
      </c>
    </row>
    <row r="23" spans="1:9" hidden="1" x14ac:dyDescent="0.3">
      <c r="A23" s="2" t="s">
        <v>82</v>
      </c>
      <c r="B23" s="2" t="s">
        <v>83</v>
      </c>
      <c r="C23" s="2" t="s">
        <v>37</v>
      </c>
      <c r="D23" s="3">
        <v>569468.43999999994</v>
      </c>
      <c r="E23" s="2" t="s">
        <v>12</v>
      </c>
      <c r="F23" s="2" t="s">
        <v>38</v>
      </c>
      <c r="G23" s="2" t="s">
        <v>14</v>
      </c>
      <c r="H23" s="2" t="s">
        <v>15</v>
      </c>
      <c r="I23" s="2" t="s">
        <v>84</v>
      </c>
    </row>
    <row r="24" spans="1:9" hidden="1" x14ac:dyDescent="0.3">
      <c r="A24" s="2" t="s">
        <v>85</v>
      </c>
      <c r="B24" s="2" t="s">
        <v>86</v>
      </c>
      <c r="C24" s="2" t="s">
        <v>37</v>
      </c>
      <c r="D24" s="3">
        <v>209005.2</v>
      </c>
      <c r="E24" s="2" t="s">
        <v>12</v>
      </c>
      <c r="F24" s="2" t="s">
        <v>38</v>
      </c>
      <c r="G24" s="2" t="s">
        <v>14</v>
      </c>
      <c r="H24" s="2" t="s">
        <v>15</v>
      </c>
      <c r="I24" s="2" t="s">
        <v>87</v>
      </c>
    </row>
    <row r="25" spans="1:9" x14ac:dyDescent="0.3">
      <c r="A25" s="2" t="s">
        <v>88</v>
      </c>
      <c r="B25" s="2" t="s">
        <v>89</v>
      </c>
      <c r="C25" s="2" t="s">
        <v>11</v>
      </c>
      <c r="D25" s="3">
        <v>4763796.07</v>
      </c>
      <c r="E25" s="2" t="s">
        <v>12</v>
      </c>
      <c r="F25" s="2" t="s">
        <v>13</v>
      </c>
      <c r="G25" s="2" t="s">
        <v>14</v>
      </c>
      <c r="H25" s="2" t="s">
        <v>15</v>
      </c>
      <c r="I25" s="2" t="s">
        <v>90</v>
      </c>
    </row>
    <row r="26" spans="1:9" x14ac:dyDescent="0.3">
      <c r="A26" s="2" t="s">
        <v>91</v>
      </c>
      <c r="B26" s="2" t="s">
        <v>92</v>
      </c>
      <c r="C26" s="2" t="s">
        <v>11</v>
      </c>
      <c r="D26" s="3">
        <v>357340.84</v>
      </c>
      <c r="E26" s="2" t="s">
        <v>12</v>
      </c>
      <c r="F26" s="2" t="s">
        <v>13</v>
      </c>
      <c r="G26" s="2" t="s">
        <v>14</v>
      </c>
      <c r="H26" s="2" t="s">
        <v>15</v>
      </c>
      <c r="I26" s="2" t="s">
        <v>93</v>
      </c>
    </row>
    <row r="27" spans="1:9" x14ac:dyDescent="0.3">
      <c r="A27" s="2" t="s">
        <v>94</v>
      </c>
      <c r="B27" s="2" t="s">
        <v>95</v>
      </c>
      <c r="C27" s="2" t="s">
        <v>11</v>
      </c>
      <c r="D27" s="3">
        <v>186798</v>
      </c>
      <c r="E27" s="2" t="s">
        <v>12</v>
      </c>
      <c r="F27" s="2" t="s">
        <v>13</v>
      </c>
      <c r="G27" s="2" t="s">
        <v>14</v>
      </c>
      <c r="H27" s="2" t="s">
        <v>15</v>
      </c>
      <c r="I27" s="2" t="s">
        <v>96</v>
      </c>
    </row>
    <row r="28" spans="1:9" x14ac:dyDescent="0.3">
      <c r="A28" s="2" t="s">
        <v>97</v>
      </c>
      <c r="B28" s="2" t="s">
        <v>98</v>
      </c>
      <c r="C28" s="2" t="s">
        <v>11</v>
      </c>
      <c r="D28" s="3">
        <v>2668533.2200000002</v>
      </c>
      <c r="E28" s="2" t="s">
        <v>12</v>
      </c>
      <c r="F28" s="2" t="s">
        <v>13</v>
      </c>
      <c r="G28" s="2" t="s">
        <v>14</v>
      </c>
      <c r="H28" s="2" t="s">
        <v>15</v>
      </c>
      <c r="I28" s="2" t="s">
        <v>99</v>
      </c>
    </row>
    <row r="29" spans="1:9" x14ac:dyDescent="0.3">
      <c r="A29" s="2" t="s">
        <v>100</v>
      </c>
      <c r="B29" s="2" t="s">
        <v>101</v>
      </c>
      <c r="C29" s="2" t="s">
        <v>11</v>
      </c>
      <c r="D29" s="3">
        <v>381231.14</v>
      </c>
      <c r="E29" s="2" t="s">
        <v>12</v>
      </c>
      <c r="F29" s="2" t="s">
        <v>13</v>
      </c>
      <c r="G29" s="2" t="s">
        <v>14</v>
      </c>
      <c r="H29" s="2" t="s">
        <v>15</v>
      </c>
      <c r="I29" s="2" t="s">
        <v>102</v>
      </c>
    </row>
    <row r="30" spans="1:9" hidden="1" x14ac:dyDescent="0.3">
      <c r="A30" s="2" t="s">
        <v>103</v>
      </c>
      <c r="B30" s="2" t="s">
        <v>104</v>
      </c>
      <c r="C30" s="2" t="s">
        <v>32</v>
      </c>
      <c r="D30" s="3">
        <v>160000</v>
      </c>
      <c r="E30" s="2" t="s">
        <v>12</v>
      </c>
      <c r="F30" s="2" t="s">
        <v>33</v>
      </c>
      <c r="G30" s="2" t="s">
        <v>14</v>
      </c>
      <c r="H30" s="2" t="s">
        <v>15</v>
      </c>
      <c r="I30" s="2" t="s">
        <v>105</v>
      </c>
    </row>
    <row r="31" spans="1:9" x14ac:dyDescent="0.3">
      <c r="A31" s="2" t="s">
        <v>107</v>
      </c>
      <c r="B31" s="2" t="s">
        <v>108</v>
      </c>
      <c r="C31" s="2" t="s">
        <v>11</v>
      </c>
      <c r="D31" s="3">
        <v>907425.8</v>
      </c>
      <c r="E31" s="2" t="s">
        <v>12</v>
      </c>
      <c r="F31" s="2" t="s">
        <v>13</v>
      </c>
      <c r="G31" s="2" t="s">
        <v>14</v>
      </c>
      <c r="H31" s="2" t="s">
        <v>15</v>
      </c>
      <c r="I31" s="2" t="s">
        <v>109</v>
      </c>
    </row>
    <row r="32" spans="1:9" x14ac:dyDescent="0.3">
      <c r="A32" s="2" t="s">
        <v>110</v>
      </c>
      <c r="B32" s="2" t="s">
        <v>111</v>
      </c>
      <c r="C32" s="2" t="s">
        <v>28</v>
      </c>
      <c r="D32" s="3">
        <v>69288.98</v>
      </c>
      <c r="E32" s="2" t="s">
        <v>12</v>
      </c>
      <c r="F32" s="2" t="s">
        <v>13</v>
      </c>
      <c r="G32" s="2" t="s">
        <v>14</v>
      </c>
      <c r="H32" s="2" t="s">
        <v>15</v>
      </c>
      <c r="I32" s="2" t="s">
        <v>112</v>
      </c>
    </row>
    <row r="33" spans="1:9" x14ac:dyDescent="0.3">
      <c r="A33" s="2" t="s">
        <v>113</v>
      </c>
      <c r="B33" s="2" t="s">
        <v>114</v>
      </c>
      <c r="C33" s="2" t="s">
        <v>11</v>
      </c>
      <c r="D33" s="3">
        <v>323479.52</v>
      </c>
      <c r="E33" s="2" t="s">
        <v>12</v>
      </c>
      <c r="F33" s="2" t="s">
        <v>13</v>
      </c>
      <c r="G33" s="2" t="s">
        <v>14</v>
      </c>
      <c r="H33" s="2" t="s">
        <v>15</v>
      </c>
      <c r="I33" s="2" t="s">
        <v>115</v>
      </c>
    </row>
    <row r="34" spans="1:9" x14ac:dyDescent="0.3">
      <c r="A34" s="2" t="s">
        <v>116</v>
      </c>
      <c r="B34" s="2" t="s">
        <v>117</v>
      </c>
      <c r="C34" s="2" t="s">
        <v>11</v>
      </c>
      <c r="D34" s="3">
        <v>367507.33</v>
      </c>
      <c r="E34" s="2" t="s">
        <v>12</v>
      </c>
      <c r="F34" s="2" t="s">
        <v>13</v>
      </c>
      <c r="G34" s="2" t="s">
        <v>14</v>
      </c>
      <c r="H34" s="2" t="s">
        <v>15</v>
      </c>
      <c r="I34" s="2" t="s">
        <v>118</v>
      </c>
    </row>
    <row r="35" spans="1:9" x14ac:dyDescent="0.3">
      <c r="A35" s="2" t="s">
        <v>119</v>
      </c>
      <c r="B35" s="2" t="s">
        <v>120</v>
      </c>
      <c r="C35" s="2" t="s">
        <v>11</v>
      </c>
      <c r="D35" s="3">
        <v>80886.820000000007</v>
      </c>
      <c r="E35" s="2" t="s">
        <v>12</v>
      </c>
      <c r="F35" s="2" t="s">
        <v>13</v>
      </c>
      <c r="G35" s="2" t="s">
        <v>14</v>
      </c>
      <c r="H35" s="2" t="s">
        <v>15</v>
      </c>
      <c r="I35" s="2" t="s">
        <v>121</v>
      </c>
    </row>
    <row r="36" spans="1:9" x14ac:dyDescent="0.3">
      <c r="A36" s="2" t="s">
        <v>122</v>
      </c>
      <c r="B36" s="2" t="s">
        <v>123</v>
      </c>
      <c r="C36" s="2" t="s">
        <v>11</v>
      </c>
      <c r="D36" s="3">
        <v>105132</v>
      </c>
      <c r="E36" s="2" t="s">
        <v>12</v>
      </c>
      <c r="F36" s="2" t="s">
        <v>13</v>
      </c>
      <c r="G36" s="2" t="s">
        <v>14</v>
      </c>
      <c r="H36" s="2" t="s">
        <v>15</v>
      </c>
      <c r="I36" s="2" t="s">
        <v>124</v>
      </c>
    </row>
    <row r="37" spans="1:9" x14ac:dyDescent="0.3">
      <c r="A37" s="2" t="s">
        <v>125</v>
      </c>
      <c r="B37" s="2" t="s">
        <v>126</v>
      </c>
      <c r="C37" s="2" t="s">
        <v>11</v>
      </c>
      <c r="D37" s="3">
        <v>150074.98000000001</v>
      </c>
      <c r="E37" s="2" t="s">
        <v>12</v>
      </c>
      <c r="F37" s="2" t="s">
        <v>13</v>
      </c>
      <c r="G37" s="2" t="s">
        <v>14</v>
      </c>
      <c r="H37" s="2" t="s">
        <v>15</v>
      </c>
      <c r="I37" s="2" t="s">
        <v>127</v>
      </c>
    </row>
    <row r="38" spans="1:9" x14ac:dyDescent="0.3">
      <c r="A38" s="2" t="s">
        <v>128</v>
      </c>
      <c r="B38" s="2" t="s">
        <v>129</v>
      </c>
      <c r="C38" s="2" t="s">
        <v>11</v>
      </c>
      <c r="D38" s="3">
        <v>2392060.7200000002</v>
      </c>
      <c r="E38" s="2" t="s">
        <v>12</v>
      </c>
      <c r="F38" s="2" t="s">
        <v>13</v>
      </c>
      <c r="G38" s="2" t="s">
        <v>14</v>
      </c>
      <c r="H38" s="2" t="s">
        <v>15</v>
      </c>
      <c r="I38" s="2" t="s">
        <v>130</v>
      </c>
    </row>
    <row r="39" spans="1:9" x14ac:dyDescent="0.3">
      <c r="A39" s="2" t="s">
        <v>131</v>
      </c>
      <c r="B39" s="2" t="s">
        <v>132</v>
      </c>
      <c r="C39" s="2" t="s">
        <v>11</v>
      </c>
      <c r="D39" s="3">
        <v>134149.85</v>
      </c>
      <c r="E39" s="2" t="s">
        <v>12</v>
      </c>
      <c r="F39" s="2" t="s">
        <v>13</v>
      </c>
      <c r="G39" s="2" t="s">
        <v>14</v>
      </c>
      <c r="H39" s="2" t="s">
        <v>15</v>
      </c>
      <c r="I39" s="2" t="s">
        <v>133</v>
      </c>
    </row>
    <row r="40" spans="1:9" x14ac:dyDescent="0.3">
      <c r="A40" s="2" t="s">
        <v>134</v>
      </c>
      <c r="B40" s="2" t="s">
        <v>135</v>
      </c>
      <c r="C40" s="2" t="s">
        <v>11</v>
      </c>
      <c r="D40" s="3">
        <v>73375.240000000005</v>
      </c>
      <c r="E40" s="2" t="s">
        <v>12</v>
      </c>
      <c r="F40" s="2" t="s">
        <v>13</v>
      </c>
      <c r="G40" s="2" t="s">
        <v>14</v>
      </c>
      <c r="H40" s="2" t="s">
        <v>15</v>
      </c>
      <c r="I40" s="2" t="s">
        <v>136</v>
      </c>
    </row>
    <row r="41" spans="1:9" x14ac:dyDescent="0.3">
      <c r="A41" s="2" t="s">
        <v>137</v>
      </c>
      <c r="B41" s="2" t="s">
        <v>138</v>
      </c>
      <c r="C41" s="2" t="s">
        <v>11</v>
      </c>
      <c r="D41" s="3">
        <v>175808.34</v>
      </c>
      <c r="E41" s="2" t="s">
        <v>12</v>
      </c>
      <c r="F41" s="2" t="s">
        <v>13</v>
      </c>
      <c r="G41" s="2" t="s">
        <v>14</v>
      </c>
      <c r="H41" s="2" t="s">
        <v>15</v>
      </c>
      <c r="I41" s="2" t="s">
        <v>139</v>
      </c>
    </row>
    <row r="42" spans="1:9" x14ac:dyDescent="0.3">
      <c r="A42" s="2" t="s">
        <v>140</v>
      </c>
      <c r="B42" s="2" t="s">
        <v>141</v>
      </c>
      <c r="C42" s="2" t="s">
        <v>11</v>
      </c>
      <c r="D42" s="3">
        <v>1889378.03</v>
      </c>
      <c r="E42" s="2" t="s">
        <v>12</v>
      </c>
      <c r="F42" s="2" t="s">
        <v>13</v>
      </c>
      <c r="G42" s="2" t="s">
        <v>14</v>
      </c>
      <c r="H42" s="2" t="s">
        <v>15</v>
      </c>
      <c r="I42" s="2" t="s">
        <v>142</v>
      </c>
    </row>
    <row r="43" spans="1:9" x14ac:dyDescent="0.3">
      <c r="A43" s="2" t="s">
        <v>143</v>
      </c>
      <c r="B43" s="2" t="s">
        <v>144</v>
      </c>
      <c r="C43" s="2" t="s">
        <v>11</v>
      </c>
      <c r="D43" s="3">
        <v>1866362.36</v>
      </c>
      <c r="E43" s="2" t="s">
        <v>12</v>
      </c>
      <c r="F43" s="2" t="s">
        <v>13</v>
      </c>
      <c r="G43" s="2" t="s">
        <v>14</v>
      </c>
      <c r="H43" s="2" t="s">
        <v>15</v>
      </c>
      <c r="I43" s="2" t="s">
        <v>145</v>
      </c>
    </row>
    <row r="44" spans="1:9" x14ac:dyDescent="0.3">
      <c r="A44" s="2" t="s">
        <v>146</v>
      </c>
      <c r="B44" s="2" t="s">
        <v>147</v>
      </c>
      <c r="C44" s="2" t="s">
        <v>11</v>
      </c>
      <c r="D44" s="3">
        <v>467375.14</v>
      </c>
      <c r="E44" s="2" t="s">
        <v>12</v>
      </c>
      <c r="F44" s="2" t="s">
        <v>13</v>
      </c>
      <c r="G44" s="2" t="s">
        <v>14</v>
      </c>
      <c r="H44" s="2" t="s">
        <v>15</v>
      </c>
      <c r="I44" s="2" t="s">
        <v>148</v>
      </c>
    </row>
    <row r="45" spans="1:9" x14ac:dyDescent="0.3">
      <c r="A45" s="2" t="s">
        <v>149</v>
      </c>
      <c r="B45" s="2" t="s">
        <v>150</v>
      </c>
      <c r="C45" s="2" t="s">
        <v>11</v>
      </c>
      <c r="D45" s="3">
        <v>290359.33</v>
      </c>
      <c r="E45" s="2" t="s">
        <v>12</v>
      </c>
      <c r="F45" s="2" t="s">
        <v>13</v>
      </c>
      <c r="G45" s="2" t="s">
        <v>14</v>
      </c>
      <c r="H45" s="2" t="s">
        <v>15</v>
      </c>
      <c r="I45" s="2" t="s">
        <v>151</v>
      </c>
    </row>
    <row r="46" spans="1:9" x14ac:dyDescent="0.3">
      <c r="A46" s="2" t="s">
        <v>152</v>
      </c>
      <c r="B46" s="2" t="s">
        <v>153</v>
      </c>
      <c r="C46" s="2" t="s">
        <v>11</v>
      </c>
      <c r="D46" s="3">
        <v>7231516.4000000004</v>
      </c>
      <c r="E46" s="2" t="s">
        <v>12</v>
      </c>
      <c r="F46" s="2" t="s">
        <v>13</v>
      </c>
      <c r="G46" s="2" t="s">
        <v>14</v>
      </c>
      <c r="H46" s="2" t="s">
        <v>15</v>
      </c>
      <c r="I46" s="2" t="s">
        <v>154</v>
      </c>
    </row>
    <row r="47" spans="1:9" x14ac:dyDescent="0.3">
      <c r="A47" s="2" t="s">
        <v>155</v>
      </c>
      <c r="B47" s="2" t="s">
        <v>156</v>
      </c>
      <c r="C47" s="2" t="s">
        <v>11</v>
      </c>
      <c r="D47" s="3">
        <v>47964</v>
      </c>
      <c r="E47" s="2" t="s">
        <v>12</v>
      </c>
      <c r="F47" s="2" t="s">
        <v>13</v>
      </c>
      <c r="G47" s="2" t="s">
        <v>14</v>
      </c>
      <c r="H47" s="2" t="s">
        <v>15</v>
      </c>
      <c r="I47" s="2" t="s">
        <v>157</v>
      </c>
    </row>
    <row r="48" spans="1:9" x14ac:dyDescent="0.3">
      <c r="A48" s="2" t="s">
        <v>158</v>
      </c>
      <c r="B48" s="2" t="s">
        <v>159</v>
      </c>
      <c r="C48" s="2" t="s">
        <v>11</v>
      </c>
      <c r="D48" s="3">
        <v>309320.64</v>
      </c>
      <c r="E48" s="2" t="s">
        <v>12</v>
      </c>
      <c r="F48" s="2" t="s">
        <v>13</v>
      </c>
      <c r="G48" s="2" t="s">
        <v>14</v>
      </c>
      <c r="H48" s="2" t="s">
        <v>15</v>
      </c>
      <c r="I48" s="2" t="s">
        <v>160</v>
      </c>
    </row>
    <row r="49" spans="1:9" x14ac:dyDescent="0.3">
      <c r="A49" s="2" t="s">
        <v>161</v>
      </c>
      <c r="B49" s="2" t="s">
        <v>162</v>
      </c>
      <c r="C49" s="2" t="s">
        <v>11</v>
      </c>
      <c r="D49" s="3">
        <v>1495017.41</v>
      </c>
      <c r="E49" s="2" t="s">
        <v>12</v>
      </c>
      <c r="F49" s="2" t="s">
        <v>13</v>
      </c>
      <c r="G49" s="2" t="s">
        <v>14</v>
      </c>
      <c r="H49" s="2" t="s">
        <v>15</v>
      </c>
      <c r="I49" s="2" t="s">
        <v>163</v>
      </c>
    </row>
    <row r="50" spans="1:9" s="7" customFormat="1" x14ac:dyDescent="0.3">
      <c r="A50" s="5" t="s">
        <v>164</v>
      </c>
      <c r="B50" s="5" t="s">
        <v>165</v>
      </c>
      <c r="C50" s="5" t="s">
        <v>11</v>
      </c>
      <c r="D50" s="6">
        <v>30545.64</v>
      </c>
      <c r="E50" s="5" t="s">
        <v>12</v>
      </c>
      <c r="F50" s="5" t="s">
        <v>13</v>
      </c>
      <c r="G50" s="5" t="s">
        <v>14</v>
      </c>
      <c r="H50" s="5" t="s">
        <v>106</v>
      </c>
      <c r="I50" s="5" t="s">
        <v>166</v>
      </c>
    </row>
    <row r="51" spans="1:9" s="7" customFormat="1" x14ac:dyDescent="0.3">
      <c r="A51" s="5" t="s">
        <v>167</v>
      </c>
      <c r="B51" s="5" t="s">
        <v>168</v>
      </c>
      <c r="C51" s="5" t="s">
        <v>11</v>
      </c>
      <c r="D51" s="6">
        <v>23541</v>
      </c>
      <c r="E51" s="5" t="s">
        <v>12</v>
      </c>
      <c r="F51" s="5" t="s">
        <v>13</v>
      </c>
      <c r="G51" s="5" t="s">
        <v>14</v>
      </c>
      <c r="H51" s="5" t="s">
        <v>106</v>
      </c>
      <c r="I51" s="5" t="s">
        <v>169</v>
      </c>
    </row>
    <row r="52" spans="1:9" s="7" customFormat="1" x14ac:dyDescent="0.3">
      <c r="A52" s="5" t="s">
        <v>170</v>
      </c>
      <c r="B52" s="5" t="s">
        <v>171</v>
      </c>
      <c r="C52" s="5" t="s">
        <v>11</v>
      </c>
      <c r="D52" s="6">
        <v>250366.8</v>
      </c>
      <c r="E52" s="5" t="s">
        <v>12</v>
      </c>
      <c r="F52" s="5" t="s">
        <v>13</v>
      </c>
      <c r="G52" s="5" t="s">
        <v>14</v>
      </c>
      <c r="H52" s="5" t="s">
        <v>106</v>
      </c>
      <c r="I52" s="5" t="s">
        <v>172</v>
      </c>
    </row>
    <row r="53" spans="1:9" x14ac:dyDescent="0.3">
      <c r="A53" s="2" t="s">
        <v>173</v>
      </c>
      <c r="B53" s="2" t="s">
        <v>174</v>
      </c>
      <c r="C53" s="2" t="s">
        <v>11</v>
      </c>
      <c r="D53" s="3">
        <v>392667.46</v>
      </c>
      <c r="E53" s="2" t="s">
        <v>12</v>
      </c>
      <c r="F53" s="2" t="s">
        <v>13</v>
      </c>
      <c r="G53" s="2" t="s">
        <v>14</v>
      </c>
      <c r="H53" s="2" t="s">
        <v>106</v>
      </c>
      <c r="I53" s="2" t="s">
        <v>175</v>
      </c>
    </row>
    <row r="54" spans="1:9" x14ac:dyDescent="0.3">
      <c r="A54" s="2" t="s">
        <v>176</v>
      </c>
      <c r="B54" s="2" t="s">
        <v>177</v>
      </c>
      <c r="C54" s="2" t="s">
        <v>11</v>
      </c>
      <c r="D54" s="3">
        <v>619722.47</v>
      </c>
      <c r="E54" s="2" t="s">
        <v>12</v>
      </c>
      <c r="F54" s="2" t="s">
        <v>13</v>
      </c>
      <c r="G54" s="2" t="s">
        <v>14</v>
      </c>
      <c r="H54" s="2" t="s">
        <v>106</v>
      </c>
      <c r="I54" s="2" t="s">
        <v>178</v>
      </c>
    </row>
    <row r="55" spans="1:9" x14ac:dyDescent="0.3">
      <c r="A55" s="2" t="s">
        <v>179</v>
      </c>
      <c r="B55" s="2" t="s">
        <v>180</v>
      </c>
      <c r="C55" s="2" t="s">
        <v>11</v>
      </c>
      <c r="D55" s="3">
        <v>113687.66</v>
      </c>
      <c r="E55" s="2" t="s">
        <v>12</v>
      </c>
      <c r="F55" s="2" t="s">
        <v>13</v>
      </c>
      <c r="G55" s="2" t="s">
        <v>14</v>
      </c>
      <c r="H55" s="2" t="s">
        <v>106</v>
      </c>
      <c r="I55" s="2" t="s">
        <v>181</v>
      </c>
    </row>
    <row r="56" spans="1:9" x14ac:dyDescent="0.3">
      <c r="A56" s="2" t="s">
        <v>182</v>
      </c>
      <c r="B56" s="2" t="s">
        <v>183</v>
      </c>
      <c r="C56" s="2" t="s">
        <v>11</v>
      </c>
      <c r="D56" s="3">
        <v>306231.88</v>
      </c>
      <c r="E56" s="2" t="s">
        <v>12</v>
      </c>
      <c r="F56" s="2" t="s">
        <v>13</v>
      </c>
      <c r="G56" s="2" t="s">
        <v>14</v>
      </c>
      <c r="H56" s="2" t="s">
        <v>106</v>
      </c>
      <c r="I56" s="2" t="s">
        <v>184</v>
      </c>
    </row>
    <row r="57" spans="1:9" x14ac:dyDescent="0.3">
      <c r="A57" s="2" t="s">
        <v>185</v>
      </c>
      <c r="B57" s="2" t="s">
        <v>186</v>
      </c>
      <c r="C57" s="2" t="s">
        <v>11</v>
      </c>
      <c r="D57" s="3">
        <v>721243.01</v>
      </c>
      <c r="E57" s="2" t="s">
        <v>12</v>
      </c>
      <c r="F57" s="2" t="s">
        <v>13</v>
      </c>
      <c r="G57" s="2" t="s">
        <v>14</v>
      </c>
      <c r="H57" s="2" t="s">
        <v>106</v>
      </c>
      <c r="I57" s="2" t="s">
        <v>187</v>
      </c>
    </row>
    <row r="58" spans="1:9" x14ac:dyDescent="0.3">
      <c r="A58" s="2" t="s">
        <v>188</v>
      </c>
      <c r="B58" s="2" t="s">
        <v>189</v>
      </c>
      <c r="C58" s="2" t="s">
        <v>11</v>
      </c>
      <c r="D58" s="3">
        <v>546652.79</v>
      </c>
      <c r="E58" s="2" t="s">
        <v>12</v>
      </c>
      <c r="F58" s="2" t="s">
        <v>13</v>
      </c>
      <c r="G58" s="2" t="s">
        <v>14</v>
      </c>
      <c r="H58" s="2" t="s">
        <v>106</v>
      </c>
      <c r="I58" s="2" t="s">
        <v>190</v>
      </c>
    </row>
    <row r="59" spans="1:9" x14ac:dyDescent="0.3">
      <c r="A59" s="2" t="s">
        <v>191</v>
      </c>
      <c r="B59" s="2" t="s">
        <v>192</v>
      </c>
      <c r="C59" s="2" t="s">
        <v>11</v>
      </c>
      <c r="D59" s="3">
        <v>507645.95</v>
      </c>
      <c r="E59" s="2" t="s">
        <v>12</v>
      </c>
      <c r="F59" s="2" t="s">
        <v>13</v>
      </c>
      <c r="G59" s="2" t="s">
        <v>14</v>
      </c>
      <c r="H59" s="2" t="s">
        <v>106</v>
      </c>
      <c r="I59" s="2" t="s">
        <v>193</v>
      </c>
    </row>
    <row r="60" spans="1:9" x14ac:dyDescent="0.3">
      <c r="A60" s="2" t="s">
        <v>194</v>
      </c>
      <c r="B60" s="2" t="s">
        <v>195</v>
      </c>
      <c r="C60" s="2" t="s">
        <v>11</v>
      </c>
      <c r="D60" s="3">
        <v>1353258.59</v>
      </c>
      <c r="E60" s="2" t="s">
        <v>12</v>
      </c>
      <c r="F60" s="2" t="s">
        <v>13</v>
      </c>
      <c r="G60" s="2" t="s">
        <v>14</v>
      </c>
      <c r="H60" s="2" t="s">
        <v>106</v>
      </c>
      <c r="I60" s="2" t="s">
        <v>196</v>
      </c>
    </row>
    <row r="61" spans="1:9" x14ac:dyDescent="0.3">
      <c r="A61" s="2" t="s">
        <v>197</v>
      </c>
      <c r="B61" s="2" t="s">
        <v>198</v>
      </c>
      <c r="C61" s="2" t="s">
        <v>28</v>
      </c>
      <c r="D61" s="3">
        <v>74061.100000000006</v>
      </c>
      <c r="E61" s="2" t="s">
        <v>12</v>
      </c>
      <c r="F61" s="2" t="s">
        <v>13</v>
      </c>
      <c r="G61" s="2" t="s">
        <v>14</v>
      </c>
      <c r="H61" s="2" t="s">
        <v>106</v>
      </c>
      <c r="I61" s="2" t="s">
        <v>199</v>
      </c>
    </row>
    <row r="62" spans="1:9" hidden="1" x14ac:dyDescent="0.3">
      <c r="D62" s="4">
        <f>SUM(D2:D61)</f>
        <v>52758766.970000006</v>
      </c>
    </row>
    <row r="63" spans="1:9" hidden="1" x14ac:dyDescent="0.3">
      <c r="D63" s="4">
        <f>D62-D64-D66-D65</f>
        <v>1.1641532182693481E-8</v>
      </c>
    </row>
    <row r="64" spans="1:9" hidden="1" x14ac:dyDescent="0.3">
      <c r="D64" s="4">
        <f>D2+D3+D4+D5+D6+D9+D10+D12+D11+D13+D15+D16+D17+D18+D19+D21+D22+D25+D26+D27+D28+D29+D31+D32+D33+D34+D35+D36+D37+D38+D39+D40+D41+D42+D43+D44+D45+D46+D47+D48+D49+D50+D51+D52+D53+D54+D55+D57+D56+D58+D59+D60+D61</f>
        <v>47464432.059999995</v>
      </c>
      <c r="F64" t="s">
        <v>200</v>
      </c>
    </row>
    <row r="65" spans="4:6" hidden="1" x14ac:dyDescent="0.3">
      <c r="D65" s="4">
        <f>D8+D14+D23+D24</f>
        <v>2956077.52</v>
      </c>
      <c r="F65" t="s">
        <v>201</v>
      </c>
    </row>
    <row r="66" spans="4:6" hidden="1" x14ac:dyDescent="0.3">
      <c r="D66" s="4">
        <f>D30+D20+D7</f>
        <v>2338257.3899999997</v>
      </c>
      <c r="F66" t="s">
        <v>202</v>
      </c>
    </row>
  </sheetData>
  <autoFilter ref="A1:I66" xr:uid="{EFD6C704-7256-4365-9C79-DAEBBCB50BFA}">
    <filterColumn colId="5">
      <filters>
        <filter val="Виробничий (Глобине-2)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A8BE7-1A31-48E3-97DE-1377402B51FC}">
  <dimension ref="B2:D55"/>
  <sheetViews>
    <sheetView tabSelected="1" topLeftCell="A30" workbookViewId="0">
      <selection activeCell="B43" sqref="B43:C45"/>
    </sheetView>
  </sheetViews>
  <sheetFormatPr defaultRowHeight="14.4" x14ac:dyDescent="0.3"/>
  <cols>
    <col min="2" max="3" width="12.33203125" bestFit="1" customWidth="1"/>
    <col min="4" max="4" width="9.88671875" bestFit="1" customWidth="1"/>
  </cols>
  <sheetData>
    <row r="2" spans="2:4" x14ac:dyDescent="0.3">
      <c r="B2" s="3">
        <v>5653291.9699999997</v>
      </c>
      <c r="C2" s="3">
        <v>5653291.9699999997</v>
      </c>
      <c r="D2" s="4">
        <f>B2-C2</f>
        <v>0</v>
      </c>
    </row>
    <row r="3" spans="2:4" x14ac:dyDescent="0.3">
      <c r="B3" s="3">
        <v>38691.11</v>
      </c>
      <c r="C3" s="3">
        <v>38691.11</v>
      </c>
      <c r="D3" s="4">
        <f t="shared" ref="D3:D55" si="0">B3-C3</f>
        <v>0</v>
      </c>
    </row>
    <row r="4" spans="2:4" x14ac:dyDescent="0.3">
      <c r="B4" s="3">
        <v>987819.52000000002</v>
      </c>
      <c r="C4" s="3">
        <v>987819.52000000002</v>
      </c>
      <c r="D4" s="4">
        <f t="shared" si="0"/>
        <v>0</v>
      </c>
    </row>
    <row r="5" spans="2:4" x14ac:dyDescent="0.3">
      <c r="B5" s="3">
        <v>688773.96</v>
      </c>
      <c r="C5" s="3">
        <v>688773.96</v>
      </c>
      <c r="D5" s="4">
        <f t="shared" si="0"/>
        <v>0</v>
      </c>
    </row>
    <row r="6" spans="2:4" x14ac:dyDescent="0.3">
      <c r="B6" s="3">
        <v>111112.48</v>
      </c>
      <c r="C6" s="3">
        <v>111112.48</v>
      </c>
      <c r="D6" s="4">
        <f t="shared" si="0"/>
        <v>0</v>
      </c>
    </row>
    <row r="7" spans="2:4" x14ac:dyDescent="0.3">
      <c r="B7" s="3">
        <v>276513.48</v>
      </c>
      <c r="C7" s="3">
        <v>276513.48</v>
      </c>
      <c r="D7" s="4">
        <f t="shared" si="0"/>
        <v>0</v>
      </c>
    </row>
    <row r="8" spans="2:4" x14ac:dyDescent="0.3">
      <c r="B8" s="3">
        <v>278885.40000000002</v>
      </c>
      <c r="C8" s="3">
        <v>278885.40000000002</v>
      </c>
      <c r="D8" s="4">
        <f t="shared" si="0"/>
        <v>0</v>
      </c>
    </row>
    <row r="9" spans="2:4" x14ac:dyDescent="0.3">
      <c r="B9" s="3">
        <v>3660583.96</v>
      </c>
      <c r="C9" s="3">
        <v>3660583.96</v>
      </c>
      <c r="D9" s="4">
        <f t="shared" si="0"/>
        <v>0</v>
      </c>
    </row>
    <row r="10" spans="2:4" x14ac:dyDescent="0.3">
      <c r="B10" s="3">
        <v>1009145.9</v>
      </c>
      <c r="C10" s="3">
        <v>1009145.9</v>
      </c>
      <c r="D10" s="4">
        <f t="shared" si="0"/>
        <v>0</v>
      </c>
    </row>
    <row r="11" spans="2:4" x14ac:dyDescent="0.3">
      <c r="B11" s="3">
        <v>627056.65</v>
      </c>
      <c r="D11" s="4">
        <f t="shared" si="0"/>
        <v>627056.65</v>
      </c>
    </row>
    <row r="12" spans="2:4" x14ac:dyDescent="0.3">
      <c r="B12" s="3">
        <v>524107.09</v>
      </c>
      <c r="C12" s="3">
        <v>524107.09</v>
      </c>
      <c r="D12" s="4">
        <f t="shared" si="0"/>
        <v>0</v>
      </c>
    </row>
    <row r="13" spans="2:4" x14ac:dyDescent="0.3">
      <c r="B13" s="3">
        <v>279619.26</v>
      </c>
      <c r="C13" s="3">
        <v>279619.26</v>
      </c>
      <c r="D13" s="4">
        <f t="shared" si="0"/>
        <v>0</v>
      </c>
    </row>
    <row r="14" spans="2:4" x14ac:dyDescent="0.3">
      <c r="B14" s="3">
        <v>1029145.36</v>
      </c>
      <c r="C14" s="3">
        <v>1029145.36</v>
      </c>
      <c r="D14" s="4">
        <f t="shared" si="0"/>
        <v>0</v>
      </c>
    </row>
    <row r="15" spans="2:4" x14ac:dyDescent="0.3">
      <c r="B15" s="3">
        <v>39115.67</v>
      </c>
      <c r="C15" s="3">
        <v>39115.67</v>
      </c>
      <c r="D15" s="4">
        <f t="shared" si="0"/>
        <v>0</v>
      </c>
    </row>
    <row r="16" spans="2:4" x14ac:dyDescent="0.3">
      <c r="B16" s="3">
        <v>184123.84</v>
      </c>
      <c r="C16" s="3">
        <v>184123.84</v>
      </c>
      <c r="D16" s="4">
        <f t="shared" si="0"/>
        <v>0</v>
      </c>
    </row>
    <row r="17" spans="2:4" x14ac:dyDescent="0.3">
      <c r="B17" s="3">
        <v>230451.07</v>
      </c>
      <c r="C17" s="3">
        <v>230451.07</v>
      </c>
      <c r="D17" s="4">
        <f t="shared" si="0"/>
        <v>0</v>
      </c>
    </row>
    <row r="18" spans="2:4" x14ac:dyDescent="0.3">
      <c r="B18" s="3">
        <v>172188.83</v>
      </c>
      <c r="C18" s="3">
        <v>172188.83</v>
      </c>
      <c r="D18" s="4">
        <f t="shared" si="0"/>
        <v>0</v>
      </c>
    </row>
    <row r="19" spans="2:4" x14ac:dyDescent="0.3">
      <c r="B19" s="3">
        <v>4763796.07</v>
      </c>
      <c r="C19" s="3">
        <v>4763796.07</v>
      </c>
      <c r="D19" s="4">
        <f t="shared" si="0"/>
        <v>0</v>
      </c>
    </row>
    <row r="20" spans="2:4" x14ac:dyDescent="0.3">
      <c r="B20" s="3">
        <v>357340.84</v>
      </c>
      <c r="C20" s="3">
        <v>357340.84</v>
      </c>
      <c r="D20" s="4">
        <f t="shared" si="0"/>
        <v>0</v>
      </c>
    </row>
    <row r="21" spans="2:4" x14ac:dyDescent="0.3">
      <c r="B21" s="3">
        <v>186798</v>
      </c>
      <c r="C21" s="3">
        <v>186798</v>
      </c>
      <c r="D21" s="4">
        <f t="shared" si="0"/>
        <v>0</v>
      </c>
    </row>
    <row r="22" spans="2:4" x14ac:dyDescent="0.3">
      <c r="B22" s="3">
        <v>2668533.2200000002</v>
      </c>
      <c r="C22" s="3">
        <v>2668533.2200000002</v>
      </c>
      <c r="D22" s="4">
        <f t="shared" si="0"/>
        <v>0</v>
      </c>
    </row>
    <row r="23" spans="2:4" x14ac:dyDescent="0.3">
      <c r="B23" s="3">
        <v>381231.14</v>
      </c>
      <c r="C23" s="3">
        <v>381231.14</v>
      </c>
      <c r="D23" s="4">
        <f t="shared" si="0"/>
        <v>0</v>
      </c>
    </row>
    <row r="24" spans="2:4" x14ac:dyDescent="0.3">
      <c r="B24" s="3">
        <v>907425.8</v>
      </c>
      <c r="C24" s="3">
        <v>907425.8</v>
      </c>
      <c r="D24" s="4">
        <f t="shared" si="0"/>
        <v>0</v>
      </c>
    </row>
    <row r="25" spans="2:4" x14ac:dyDescent="0.3">
      <c r="B25" s="3">
        <v>69288.98</v>
      </c>
      <c r="C25" s="3">
        <v>69288.98</v>
      </c>
      <c r="D25" s="4">
        <f t="shared" si="0"/>
        <v>0</v>
      </c>
    </row>
    <row r="26" spans="2:4" x14ac:dyDescent="0.3">
      <c r="B26" s="3">
        <v>323479.52</v>
      </c>
      <c r="C26" s="3">
        <v>323479.52</v>
      </c>
      <c r="D26" s="4">
        <f t="shared" si="0"/>
        <v>0</v>
      </c>
    </row>
    <row r="27" spans="2:4" x14ac:dyDescent="0.3">
      <c r="B27" s="3">
        <v>367507.33</v>
      </c>
      <c r="C27" s="3">
        <v>367507.33</v>
      </c>
      <c r="D27" s="4">
        <f t="shared" si="0"/>
        <v>0</v>
      </c>
    </row>
    <row r="28" spans="2:4" x14ac:dyDescent="0.3">
      <c r="B28" s="3">
        <v>80886.820000000007</v>
      </c>
      <c r="C28" s="3">
        <v>80886.820000000007</v>
      </c>
      <c r="D28" s="4">
        <f t="shared" si="0"/>
        <v>0</v>
      </c>
    </row>
    <row r="29" spans="2:4" x14ac:dyDescent="0.3">
      <c r="B29" s="3">
        <v>105132</v>
      </c>
      <c r="C29" s="3">
        <v>105132</v>
      </c>
      <c r="D29" s="4">
        <f t="shared" si="0"/>
        <v>0</v>
      </c>
    </row>
    <row r="30" spans="2:4" x14ac:dyDescent="0.3">
      <c r="B30" s="3">
        <v>150074.98000000001</v>
      </c>
      <c r="C30" s="3">
        <v>150074.98000000001</v>
      </c>
      <c r="D30" s="4">
        <f t="shared" si="0"/>
        <v>0</v>
      </c>
    </row>
    <row r="31" spans="2:4" x14ac:dyDescent="0.3">
      <c r="B31" s="3">
        <v>2392060.7200000002</v>
      </c>
      <c r="C31" s="3">
        <v>2392060.7200000002</v>
      </c>
      <c r="D31" s="4">
        <f t="shared" si="0"/>
        <v>0</v>
      </c>
    </row>
    <row r="32" spans="2:4" x14ac:dyDescent="0.3">
      <c r="B32" s="3">
        <v>134149.85</v>
      </c>
      <c r="C32" s="3">
        <v>134149.85</v>
      </c>
      <c r="D32" s="4">
        <f t="shared" si="0"/>
        <v>0</v>
      </c>
    </row>
    <row r="33" spans="2:4" x14ac:dyDescent="0.3">
      <c r="B33" s="3">
        <v>73375.240000000005</v>
      </c>
      <c r="C33" s="3">
        <v>73375.240000000005</v>
      </c>
      <c r="D33" s="4">
        <f t="shared" si="0"/>
        <v>0</v>
      </c>
    </row>
    <row r="34" spans="2:4" x14ac:dyDescent="0.3">
      <c r="B34" s="3">
        <v>175808.34</v>
      </c>
      <c r="C34" s="3">
        <v>175808.34</v>
      </c>
      <c r="D34" s="4">
        <f t="shared" si="0"/>
        <v>0</v>
      </c>
    </row>
    <row r="35" spans="2:4" x14ac:dyDescent="0.3">
      <c r="B35" s="3">
        <v>1889378.03</v>
      </c>
      <c r="C35" s="3">
        <v>1889378.03</v>
      </c>
      <c r="D35" s="4">
        <f t="shared" si="0"/>
        <v>0</v>
      </c>
    </row>
    <row r="36" spans="2:4" x14ac:dyDescent="0.3">
      <c r="B36" s="3">
        <v>1866362.36</v>
      </c>
      <c r="C36" s="3">
        <v>1866362.36</v>
      </c>
      <c r="D36" s="4">
        <f t="shared" si="0"/>
        <v>0</v>
      </c>
    </row>
    <row r="37" spans="2:4" x14ac:dyDescent="0.3">
      <c r="B37" s="3">
        <v>467375.14</v>
      </c>
      <c r="C37" s="3">
        <v>467375.14</v>
      </c>
      <c r="D37" s="4">
        <f t="shared" si="0"/>
        <v>0</v>
      </c>
    </row>
    <row r="38" spans="2:4" x14ac:dyDescent="0.3">
      <c r="B38" s="3">
        <v>290359.33</v>
      </c>
      <c r="C38" s="3">
        <v>290359.33</v>
      </c>
      <c r="D38" s="4">
        <f t="shared" si="0"/>
        <v>0</v>
      </c>
    </row>
    <row r="39" spans="2:4" x14ac:dyDescent="0.3">
      <c r="B39" s="3">
        <v>7231516.4000000004</v>
      </c>
      <c r="C39" s="3">
        <v>7231516.4000000004</v>
      </c>
      <c r="D39" s="4">
        <f t="shared" si="0"/>
        <v>0</v>
      </c>
    </row>
    <row r="40" spans="2:4" x14ac:dyDescent="0.3">
      <c r="B40" s="3">
        <v>47964</v>
      </c>
      <c r="C40" s="3">
        <v>47964</v>
      </c>
      <c r="D40" s="4">
        <f t="shared" si="0"/>
        <v>0</v>
      </c>
    </row>
    <row r="41" spans="2:4" x14ac:dyDescent="0.3">
      <c r="B41" s="3">
        <v>309320.64</v>
      </c>
      <c r="C41" s="3">
        <v>309320.64</v>
      </c>
      <c r="D41" s="4">
        <f t="shared" si="0"/>
        <v>0</v>
      </c>
    </row>
    <row r="42" spans="2:4" x14ac:dyDescent="0.3">
      <c r="B42" s="3">
        <v>1495017.41</v>
      </c>
      <c r="C42" s="3">
        <v>1495017.41</v>
      </c>
      <c r="D42" s="4">
        <f t="shared" si="0"/>
        <v>0</v>
      </c>
    </row>
    <row r="43" spans="2:4" x14ac:dyDescent="0.3">
      <c r="B43" s="3">
        <v>30545.64</v>
      </c>
      <c r="D43" s="4">
        <f t="shared" si="0"/>
        <v>30545.64</v>
      </c>
    </row>
    <row r="44" spans="2:4" x14ac:dyDescent="0.3">
      <c r="B44" s="3">
        <v>23541</v>
      </c>
      <c r="D44" s="4">
        <f t="shared" si="0"/>
        <v>23541</v>
      </c>
    </row>
    <row r="45" spans="2:4" x14ac:dyDescent="0.3">
      <c r="B45" s="3">
        <v>250366.8</v>
      </c>
      <c r="D45" s="4">
        <f t="shared" si="0"/>
        <v>250366.8</v>
      </c>
    </row>
    <row r="46" spans="2:4" x14ac:dyDescent="0.3">
      <c r="B46" s="3">
        <v>392667.46</v>
      </c>
      <c r="C46" s="3">
        <v>392667.46</v>
      </c>
      <c r="D46" s="4">
        <f t="shared" si="0"/>
        <v>0</v>
      </c>
    </row>
    <row r="47" spans="2:4" x14ac:dyDescent="0.3">
      <c r="B47" s="3">
        <v>619722.47</v>
      </c>
      <c r="C47" s="3">
        <v>619722.47</v>
      </c>
      <c r="D47" s="4">
        <f t="shared" si="0"/>
        <v>0</v>
      </c>
    </row>
    <row r="48" spans="2:4" x14ac:dyDescent="0.3">
      <c r="B48" s="3">
        <v>113687.66</v>
      </c>
      <c r="C48" s="3">
        <v>113687.66</v>
      </c>
      <c r="D48" s="4">
        <f t="shared" si="0"/>
        <v>0</v>
      </c>
    </row>
    <row r="49" spans="2:4" x14ac:dyDescent="0.3">
      <c r="B49" s="3">
        <v>306231.88</v>
      </c>
      <c r="C49" s="3">
        <v>306231.88</v>
      </c>
      <c r="D49" s="4">
        <f t="shared" si="0"/>
        <v>0</v>
      </c>
    </row>
    <row r="50" spans="2:4" x14ac:dyDescent="0.3">
      <c r="B50" s="3">
        <v>721243.01</v>
      </c>
      <c r="C50" s="3">
        <v>721243.01</v>
      </c>
      <c r="D50" s="4">
        <f t="shared" si="0"/>
        <v>0</v>
      </c>
    </row>
    <row r="51" spans="2:4" x14ac:dyDescent="0.3">
      <c r="B51" s="3">
        <v>546652.79</v>
      </c>
      <c r="C51" s="3">
        <v>546652.79</v>
      </c>
      <c r="D51" s="4">
        <f t="shared" si="0"/>
        <v>0</v>
      </c>
    </row>
    <row r="52" spans="2:4" x14ac:dyDescent="0.3">
      <c r="B52" s="3">
        <v>507645.95</v>
      </c>
      <c r="C52" s="3">
        <v>507645.95</v>
      </c>
      <c r="D52" s="4">
        <f t="shared" si="0"/>
        <v>0</v>
      </c>
    </row>
    <row r="53" spans="2:4" x14ac:dyDescent="0.3">
      <c r="B53" s="3">
        <v>1353258.59</v>
      </c>
      <c r="C53" s="3">
        <v>1353258.59</v>
      </c>
      <c r="D53" s="4">
        <f t="shared" si="0"/>
        <v>0</v>
      </c>
    </row>
    <row r="54" spans="2:4" x14ac:dyDescent="0.3">
      <c r="B54" s="3">
        <v>74061.100000000006</v>
      </c>
      <c r="C54" s="3">
        <v>74061.100000000006</v>
      </c>
      <c r="D54" s="4">
        <f t="shared" si="0"/>
        <v>0</v>
      </c>
    </row>
    <row r="55" spans="2:4" x14ac:dyDescent="0.3">
      <c r="B55" s="4">
        <f>SUM(B2:B54)</f>
        <v>47464432.059999995</v>
      </c>
      <c r="C55" s="4">
        <f>SUM(C2:C54)</f>
        <v>46532921.969999999</v>
      </c>
      <c r="D55" s="4">
        <f t="shared" si="0"/>
        <v>931510.08999999613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Sheet1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i.steblianko</dc:creator>
  <cp:lastModifiedBy>i.steblianko</cp:lastModifiedBy>
  <dcterms:created xsi:type="dcterms:W3CDTF">2015-06-05T18:17:20Z</dcterms:created>
  <dcterms:modified xsi:type="dcterms:W3CDTF">2025-06-24T12:02:29Z</dcterms:modified>
</cp:coreProperties>
</file>
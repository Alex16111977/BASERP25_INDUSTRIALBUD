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Общая\PL\PL по компании\2025\Аперель_25\Данные для PL\Строительство_апрель\"/>
    </mc:Choice>
  </mc:AlternateContent>
  <xr:revisionPtr revIDLastSave="0" documentId="13_ncr:1_{B6578B53-71FD-47E8-92CE-9257D38DC9E9}" xr6:coauthVersionLast="45" xr6:coauthVersionMax="45" xr10:uidLastSave="{00000000-0000-0000-0000-000000000000}"/>
  <bookViews>
    <workbookView xWindow="-108" yWindow="-108" windowWidth="23256" windowHeight="12600" tabRatio="814" xr2:uid="{00000000-000D-0000-FFFF-FFFF00000000}"/>
  </bookViews>
  <sheets>
    <sheet name="СВОД" sheetId="1" r:id="rId1"/>
    <sheet name="Катеринопіль МХП" sheetId="2" r:id="rId2"/>
    <sheet name="Цех_Катеринопіль МХП" sheetId="3" r:id="rId3"/>
    <sheet name="ДУ-1 Пункт відв" sheetId="4" r:id="rId4"/>
    <sheet name="ДУ-4 Охолодж макухи" sheetId="5" r:id="rId5"/>
    <sheet name="олійно екстракційний" sheetId="6" r:id="rId6"/>
  </sheets>
  <definedNames>
    <definedName name="_xlnm._FilterDatabase" localSheetId="3" hidden="1">'ДУ-1 Пункт відв'!$A$1:$L$39</definedName>
    <definedName name="_xlnm._FilterDatabase" localSheetId="4" hidden="1">'ДУ-4 Охолодж макухи'!$A$1:$L$2</definedName>
    <definedName name="_xlnm._FilterDatabase" localSheetId="1" hidden="1">'Катеринопіль МХП'!$A$1:$L$23</definedName>
    <definedName name="_xlnm._FilterDatabase" localSheetId="5" hidden="1">'олійно екстракційний'!$A$1:$L$42</definedName>
    <definedName name="_xlnm._FilterDatabase" localSheetId="2" hidden="1">'Цех_Катеринопіль МХП'!$A$1:$L$2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1" l="1"/>
  <c r="C6" i="1"/>
  <c r="C4" i="1"/>
  <c r="C2" i="1"/>
  <c r="J44" i="6"/>
  <c r="J41" i="4"/>
  <c r="J25" i="2"/>
</calcChain>
</file>

<file path=xl/sharedStrings.xml><?xml version="1.0" encoding="utf-8"?>
<sst xmlns="http://schemas.openxmlformats.org/spreadsheetml/2006/main" count="2996" uniqueCount="323">
  <si>
    <t>Катеринопіль МХП</t>
  </si>
  <si>
    <t>Цех_Катеринопіль МХП</t>
  </si>
  <si>
    <t>Цех_Катеринопіль МХП(ДУ-1 Пункт відв)</t>
  </si>
  <si>
    <t>Цех_Катеринопіль МХП(ДУ-4 Охолодж макухи)</t>
  </si>
  <si>
    <t>Цех_Катеринопіль МХП(олійно екстракційний)</t>
  </si>
  <si>
    <t>Період</t>
  </si>
  <si>
    <t>Документ</t>
  </si>
  <si>
    <t>Аналітика Дт</t>
  </si>
  <si>
    <t>Аналітика Кт</t>
  </si>
  <si>
    <t>Дебет</t>
  </si>
  <si>
    <t>Кредит</t>
  </si>
  <si>
    <t>Поточне сальдо</t>
  </si>
  <si>
    <t>Рахунок</t>
  </si>
  <si>
    <t>Д</t>
  </si>
  <si>
    <t>01.04.2025</t>
  </si>
  <si>
    <t>Надходження товарів і послуг ІБ00-001612 від 01.04.2025 23:10:32
Оприходованы ТМЦ</t>
  </si>
  <si>
    <t>Обл. НДС
Болт М16*50  DIN 933 оц. 5,8
Надходження товарів і послуг ІБ00-001612 від 01.04.2025 23:10:32
Катеринопіль МХП</t>
  </si>
  <si>
    <t>Солді і Ко ПАТ
Дог № 378542-55/19 від 21.01.2019 р. РАХ_МХП Катер
Рахунок на оплату постачальника ІБ00-001266 від 28.03.2025 11:00:00</t>
  </si>
  <si>
    <t>205</t>
  </si>
  <si>
    <t>631</t>
  </si>
  <si>
    <t xml:space="preserve"> </t>
  </si>
  <si>
    <t>Обл. НДС
Гайка М16 DIN 934 ЦБ
Надходження товарів і послуг ІБ00-001612 від 01.04.2025 23:10:32
Катеринопіль МХП</t>
  </si>
  <si>
    <t>Обл. НДС
Шайба 16  DIN125-1
Надходження товарів і послуг ІБ00-001612 від 01.04.2025 23:10:32
Катеринопіль МХП</t>
  </si>
  <si>
    <t>02.04.2025</t>
  </si>
  <si>
    <t>Надходження товарів і послуг ІБ00-001607 від 02.04.2025 18:11:21
Оприходованы ТМЦ</t>
  </si>
  <si>
    <t>Обл. НДС
Болт М12*45  DIN 933
Надходження товарів і послуг ІБ00-001607 від 02.04.2025 18:11:21
Катеринопіль МХП</t>
  </si>
  <si>
    <t>Солді і Ко ПАТ
Дог № 378542-55/19 від 21.01.2019 р. РАХ_МХП Катер
Рахунок на оплату постачальника ІБ00-001316 від 01.04.2025 23:10:29</t>
  </si>
  <si>
    <t>Обл. НДС
Болт М12*50  DIN 933
Надходження товарів і послуг ІБ00-001607 від 02.04.2025 18:11:21
Катеринопіль МХП</t>
  </si>
  <si>
    <t>Обл. НДС
Болт М12*80
Надходження товарів і послуг ІБ00-001607 від 02.04.2025 18:11:21
Катеринопіль МХП</t>
  </si>
  <si>
    <t>Обл. НДС
Болт М16*50  DIN 931
Надходження товарів і послуг ІБ00-001607 від 02.04.2025 18:11:21
Катеринопіль МХП</t>
  </si>
  <si>
    <t>Обл. НДС
Болт М16*55  DIN 933 8,8 цб пр
Надходження товарів і послуг ІБ00-001607 від 02.04.2025 18:11:21
Катеринопіль МХП</t>
  </si>
  <si>
    <t>Обл. НДС
Болт М16*60  DIN 933 цб
Надходження товарів і послуг ІБ00-001607 від 02.04.2025 18:11:21
Катеринопіль МХП</t>
  </si>
  <si>
    <t>Обл. НДС
Гайка М12 8 цб  ISO4032
Надходження товарів і послуг ІБ00-001607 від 02.04.2025 18:11:21
Катеринопіль МХП</t>
  </si>
  <si>
    <t>Обл. НДС
Гайка М16 8 цб  ISO4032
Надходження товарів і послуг ІБ00-001607 від 02.04.2025 18:11:21
Катеринопіль МХП</t>
  </si>
  <si>
    <t>Обл. НДС
Шайба 12  DIN125-1 цб
Надходження товарів і послуг ІБ00-001607 від 02.04.2025 18:11:21
Катеринопіль МХП</t>
  </si>
  <si>
    <t>Обл. НДС
Шайба 16  DIN125-1
Надходження товарів і послуг ІБ00-001607 від 02.04.2025 18:11:21
Катеринопіль МХП</t>
  </si>
  <si>
    <t>25.04.2025</t>
  </si>
  <si>
    <t>Вимога-накладна ІБ00-000274 від 25.04.2025 12:26:50
Списаны ТМЦ</t>
  </si>
  <si>
    <t>Обл. НДС
Виробничий (Катеринопіль МХП)
Катеринопіль МХП
Прямі материальні виробничі витрати крім зворотніх відходів</t>
  </si>
  <si>
    <t>Обл. НДС
Емаль ПФ-115 С сіра (50 кг)
Надходження товарів і послуг ІБ00-000730 від 26.02.2025 18:00:30
Катеринопіль МХП</t>
  </si>
  <si>
    <t>231</t>
  </si>
  <si>
    <t>Обл. НДС
Розчинник УС Нефрас 0,94 л/ 0,70 кг
Надходження товарів і послуг ІБ00-000730 від 26.02.2025 18:00:30
Катеринопіль МХП</t>
  </si>
  <si>
    <t>Обл. НДС
Розчинник УС Нефрас 0,94 л/ 0,70 кг
Надходження товарів і послуг ІБ00-001079 від 12.03.2025 18:45:29
Катеринопіль МХП</t>
  </si>
  <si>
    <t>Списання товарів ІБ00-000205 від 25.04.2025 12:31:35
Списаны ТМЦ</t>
  </si>
  <si>
    <t>Обл. НДС
Плівка п/е 120 мк 2с 50м 150кв м
Надходження товарів і послуг ІБ00-000604 від 18.02.2025 20:00:22
Катеринопіль МХП</t>
  </si>
  <si>
    <t>Обл. НДС
Провід ПВС 3*1,5 бухта 100м
Надходження товарів і послуг ІБ00-000618 від 12.02.2025 18:03:08
Катеринопіль МХП</t>
  </si>
  <si>
    <t>30.04.2025</t>
  </si>
  <si>
    <t>Вимога-накладна ІБ00-000299 від 30.04.2025 14:14:23
Списаны ТМЦ</t>
  </si>
  <si>
    <t>Обл. НДС
Емаль алкідна ПФ-115 П сіра, 50 кг
Надходження товарів і послуг ІБ00-001454 від 27.03.2025 12:00:00
Катеринопіль МХП</t>
  </si>
  <si>
    <t>Обороти за період та сальдо на кінець</t>
  </si>
  <si>
    <t>Переміщення товарів ІБ00-000315 від 01.04.2025 10:00:00
Перемещение ТМЦ</t>
  </si>
  <si>
    <t>Обл. НДС
Швелер 30П
Оприбуткування товарів ІБ00-000001 від 01.02.2024 20:00:33
Цех_Катеринопіль МХП(ДУ-1 Пункт відв)</t>
  </si>
  <si>
    <t>Обл. НДС
Швелер 30П
Оприбуткування товарів ІБ00-000001 від 01.02.2024 20:00:33
Цех_Катеринопіль МХП</t>
  </si>
  <si>
    <t>03.04.2025</t>
  </si>
  <si>
    <t>Надходження товарів і послуг ІБ00-001671 від 03.04.2025 17:42:11
Оприходованы ТМЦ</t>
  </si>
  <si>
    <t>Обл. НДС
Швелер 10П 
Надходження товарів і послуг ІБ00-001671 від 03.04.2025 17:42:11
Цех_Катеринопіль МХП</t>
  </si>
  <si>
    <t>МЕТАЛ ХОЛДІНГ ТРЕЙД ТОВ
Дог 01/221/25 від 01.04.2025_Катеринопіль МХП
Рахунок на оплату постачальника ІБ00-001152 від 01.04.2025 18:03:51</t>
  </si>
  <si>
    <t>Обл. НДС
Швелер 12П  
Надходження товарів і послуг ІБ00-001671 від 03.04.2025 17:42:11
Цех_Катеринопіль МХП</t>
  </si>
  <si>
    <t>Обл. НДС
Швелер 14П  (140 12,05 8240 3пс)
Надходження товарів і послуг ІБ00-001671 від 03.04.2025 17:42:11
Цех_Катеринопіль МХП</t>
  </si>
  <si>
    <t>Обл. НДС
Швелер 16П  S275JR,12 м
Надходження товарів і послуг ІБ00-001671 від 03.04.2025 17:42:11
Цех_Катеринопіль МХП</t>
  </si>
  <si>
    <t>Обл. НДС
Швелер 20П міра 12,00 м 
Надходження товарів і послуг ІБ00-001671 від 03.04.2025 17:42:11
Цех_Катеринопіль МХП</t>
  </si>
  <si>
    <t>Обл. НДС
Швелер 24П міра 12,00 м 
Надходження товарів і послуг ІБ00-001671 від 03.04.2025 17:42:11
Цех_Катеринопіль МХП</t>
  </si>
  <si>
    <t>Обл. НДС
Швелер 30П
Надходження товарів і послуг ІБ00-001671 від 03.04.2025 17:42:11
Цех_Катеринопіль МХП</t>
  </si>
  <si>
    <t>Обл. НДС
Лист  2*1000*2000
Надходження товарів і послуг ІБ00-001671 від 03.04.2025 17:42:11
Цех_Катеринопіль МХП</t>
  </si>
  <si>
    <t>Обл. НДС
Лист 4 (рифл) ((1,25*6,0) 
Надходження товарів і послуг ІБ00-001671 від 03.04.2025 17:42:11
Цех_Катеринопіль МХП</t>
  </si>
  <si>
    <t>Обл. НДС
Лист 4 (г.к)  (1,5х6) ((1,5*6,0) 14637 3сп5)
Надходження товарів і послуг ІБ00-001671 від 03.04.2025 17:42:11
Цех_Катеринопіль МХП</t>
  </si>
  <si>
    <t>Обл. НДС
Лист 6 (г.к)  (1,5х6) ((1,5*6,0) 14637 3сп5)
Надходження товарів і послуг ІБ00-001671 від 03.04.2025 17:42:11
Цех_Катеринопіль МХП</t>
  </si>
  <si>
    <t>Обл. НДС
Лист 5 мм
Надходження товарів і послуг ІБ00-001671 від 03.04.2025 17:42:11
Цех_Катеринопіль МХП</t>
  </si>
  <si>
    <t>Обл. НДС
Лист 8 (г.к.) (1,5х6) ((1,5*6,0) 14637 3сп5)
Надходження товарів і послуг ІБ00-001671 від 03.04.2025 17:42:11
Цех_Катеринопіль МХП</t>
  </si>
  <si>
    <t>Обл. НДС
Лист 10*1500*6000 3 сп/пс5  7208
Надходження товарів і послуг ІБ00-001671 від 03.04.2025 17:42:11
Цех_Катеринопіль МХП</t>
  </si>
  <si>
    <t>Надходження дод. витрат ІБ00-000257 від 03.04.2025 17:42:12
Доп. расходы при поступлении товаров</t>
  </si>
  <si>
    <t>04.04.2025</t>
  </si>
  <si>
    <t>Надходження товарів і послуг ІБ00-001471 від 04.04.2025 16:24:39
Оприходованы ТМЦ</t>
  </si>
  <si>
    <t>Обл. НДС
Швелер 16П  S275JR,12 м
Надходження товарів і послуг ІБ00-001471 від 04.04.2025 16:24:39
Цех_Катеринопіль МХП</t>
  </si>
  <si>
    <t>Обл. НДС
Лист 12*1500*6000
Надходження товарів і послуг ІБ00-001471 від 04.04.2025 16:24:39
Цех_Катеринопіль МХП</t>
  </si>
  <si>
    <t>Обл. НДС
Лист 20 (г.к)  (1,5х6) imp ((1,5*6,0) S235JR)
Надходження товарів і послуг ІБ00-001471 від 04.04.2025 16:24:39
Цех_Катеринопіль МХП</t>
  </si>
  <si>
    <t>Обл. НДС
Балка 16 IPE160 12м S275JR
Надходження товарів і послуг ІБ00-001471 від 04.04.2025 16:24:39
Цех_Катеринопіль МХП</t>
  </si>
  <si>
    <t>Обл. НДС
Балка 36 ІРЕ(12-S235/S275)
Надходження товарів і послуг ІБ00-001471 від 04.04.2025 16:24:39
Цех_Катеринопіль МХП</t>
  </si>
  <si>
    <t>Обл. НДС
Круг 18 мм
Надходження товарів і послуг ІБ00-001471 від 04.04.2025 16:24:39
Цех_Катеринопіль МХП</t>
  </si>
  <si>
    <t>Обл. НДС
Круг 20 мм 3 ПС, 6 м
Надходження товарів і послуг ІБ00-001471 від 04.04.2025 16:24:39
Цех_Катеринопіль МХП</t>
  </si>
  <si>
    <t>Обл. НДС
Лист 14 (г.к.) (1,5х6) imp ((1,5*6,0) S235JR)
Надходження товарів і послуг ІБ00-001471 від 04.04.2025 16:24:39
Цех_Катеринопіль МХП</t>
  </si>
  <si>
    <t>Надходження дод. витрат ІБ00-000221 від 04.04.2025 23:24:40
Доп. расходы при поступлении товаров</t>
  </si>
  <si>
    <t>07.04.2025</t>
  </si>
  <si>
    <t>Надходження товарів і послуг ІБ00-001470 від 07.04.2025 19:59:50
Оприходованы ТМЦ</t>
  </si>
  <si>
    <t>Обл. НДС
Труба 100х100х4 (12,05- 8940:2019 08кп/1-3пс)
Надходження товарів і послуг ІБ00-001470 від 07.04.2025 19:59:50
Цех_Катеринопіль МХП</t>
  </si>
  <si>
    <t>Обл. НДС
труба 140х140х4 мм; ст. 3пс5; 12 м
Надходження товарів і послуг ІБ00-001470 від 07.04.2025 19:59:50
Цех_Катеринопіль МХП</t>
  </si>
  <si>
    <t>Обл. НДС
Труба 80х80х4 (12,05- 8940:2019 08кп/1-3пс)
Надходження товарів і послуг ІБ00-001470 від 07.04.2025 19:59:50
Цех_Катеринопіль МХП</t>
  </si>
  <si>
    <t>Обл. НДС
Труба профільна 30*30*2  L=6 м
Надходження товарів і послуг ІБ00-001470 від 07.04.2025 19:59:50
Цех_Катеринопіль МХП</t>
  </si>
  <si>
    <t>Обл. НДС
Труба  40*20*2 мм  S235JRH, L=6 м
Надходження товарів і послуг ІБ00-001470 від 07.04.2025 19:59:50
Цех_Катеринопіль МХП</t>
  </si>
  <si>
    <t>Обл. НДС
Швелер 14 (UREAA 140) S275 JR, 12 м
Надходження товарів і послуг ІБ00-001470 від 07.04.2025 19:59:50
Цех_Катеринопіль МХП</t>
  </si>
  <si>
    <t>Надходження дод. витрат ІБ00-000220 від 07.04.2025 19:59:51
Доп. расходы при поступлении товаров</t>
  </si>
  <si>
    <t>08.04.2025</t>
  </si>
  <si>
    <t>Переміщення товарів ІБ00-000318 від 08.04.2025 17:00:00
Перемещение ТМЦ</t>
  </si>
  <si>
    <t>Обл. НДС
Лист 12*1500*6000
Надходження товарів і послуг ІБ00-001471 від 04.04.2025 16:24:39
Цех_Катеринопіль МХП(олійно екстракційний)</t>
  </si>
  <si>
    <t>Надходження товарів і послуг ІБ00-001513 від 08.04.2025 18:11:06
Оприходованы ТМЦ</t>
  </si>
  <si>
    <t>Обл. НДС
Кутник 50х50х5 мм ст.3пс 6м
Надходження товарів і послуг ІБ00-001513 від 08.04.2025 18:11:06
Цех_Катеринопіль МХП</t>
  </si>
  <si>
    <t>Обл. НДС
Кутник 75х75х6 мм ст.3сп5 12м
Надходження товарів і послуг ІБ00-001513 від 08.04.2025 18:11:06
Цех_Катеринопіль МХП</t>
  </si>
  <si>
    <t>Обл. НДС
Швелер 30П
Надходження товарів і послуг ІБ00-001513 від 08.04.2025 18:11:06
Цех_Катеринопіль МХП</t>
  </si>
  <si>
    <t>Обл. НДС
Балка 20 IPE (12,15 IPE200)
Надходження товарів і послуг ІБ00-001513 від 08.04.2025 18:11:06
Цех_Катеринопіль МХП</t>
  </si>
  <si>
    <t>Обл. НДС
Балка 30 ІРЕ (12.15 EN 10024 S235/ S275)
Надходження товарів і послуг ІБ00-001513 від 08.04.2025 18:11:06
Цех_Катеринопіль МХП</t>
  </si>
  <si>
    <t>Обл. НДС
Труба профільна 60*60*4 L=6 ст 1-3 сп/пс
Надходження товарів і послуг ІБ00-001513 від 08.04.2025 18:11:06
Цех_Катеринопіль МХП</t>
  </si>
  <si>
    <t>Переміщення товарів ІБ00-000319 від 08.04.2025 19:11:39
Перемещение ТМЦ</t>
  </si>
  <si>
    <t>Обл. НДС
Лист г/к 14,0 мм 1500х6000, S235 JR
Надходження товарів і послуг ІБ00-000120 від 18.01.2024 17:54:18
Цех_Катеринопіль МХП(олійно екстракційний)</t>
  </si>
  <si>
    <t>Обл. НДС
Лист г/к 14,0 мм 1500х6000, S235 JR
Надходження товарів і послуг ІБ00-000120 від 18.01.2024 17:54:18
Цех_Катеринопіль МХП</t>
  </si>
  <si>
    <t>Обл. НДС
Лист г/к 14*2000*6000, ст 3 пс/сп
Надходження товарів і послуг ІБ00-000014 від 11.01.2024 18:24:00
Цех_Катеринопіль МХП(олійно екстракційний)</t>
  </si>
  <si>
    <t>Обл. НДС
Лист г/к 14*2000*6000, ст 3 пс/сп
Надходження товарів і послуг ІБ00-000014 від 11.01.2024 18:24:00
Цех_Катеринопіль МХП</t>
  </si>
  <si>
    <t>Обл. НДС
Лист 14 (г.к.) (1,5х6) imp ((1,5*6,0) S235JR)
Надходження товарів і послуг ІБ00-001471 від 04.04.2025 16:24:39
Цех_Катеринопіль МХП(олійно екстракційний)</t>
  </si>
  <si>
    <t>Обл. НДС
Швелер 20П міра 12,00 м 
Надходження товарів і послуг ІБ00-001671 від 03.04.2025 17:42:11
Цех_Катеринопіль МХП(олійно екстракційний)</t>
  </si>
  <si>
    <t>Надходження дод. витрат ІБ00-000233 від 08.04.2025 23:11:07
Доп. расходы при поступлении товаров</t>
  </si>
  <si>
    <t>Переміщення товарів ІБ00-000317 від 08.04.2025 23:11:26
Перемещение ТМЦ</t>
  </si>
  <si>
    <t>Обл. НДС
Швелер 20П міра 12,00 м 
Надходження товарів і послуг ІБ00-001671 від 03.04.2025 17:42:11
Цех_Катеринопіль МХП(ДУ-1 Пункт відв)</t>
  </si>
  <si>
    <t>10.04.2025</t>
  </si>
  <si>
    <t>Надходження товарів і послуг ІБ00-001539 від 10.04.2025 22:56:09
Оприходованы ТМЦ</t>
  </si>
  <si>
    <t>Обл. НДС
Лист 10 (г.к.) (1,5х6) imp ((1,5*6,0) S235)
Надходження товарів і послуг ІБ00-001539 від 10.04.2025 22:56:09
Цех_Катеринопіль МХП</t>
  </si>
  <si>
    <t>Обл. НДС
Труба 100х100х4 (12,05- 8940:2019 08кп/1-3пс)
Надходження товарів і послуг ІБ00-001539 від 10.04.2025 22:56:09
Цех_Катеринопіль МХП</t>
  </si>
  <si>
    <t>Обл. НДС
труба 140х140х4 мм; ст. 3пс5; 12 м
Надходження товарів і послуг ІБ00-001539 від 10.04.2025 22:56:09
Цех_Катеринопіль МХП</t>
  </si>
  <si>
    <t>Обл. НДС
Труба 273*6,0
Надходження товарів і послуг ІБ00-001539 від 10.04.2025 22:56:09
Цех_Катеринопіль МХП</t>
  </si>
  <si>
    <t>Надходження дод. витрат ІБ00-000239 від 10.04.2025 22:56:10
Доп. расходы при поступлении товаров</t>
  </si>
  <si>
    <t>15.04.2025</t>
  </si>
  <si>
    <t>Надходження товарів і послуг ІБ00-001632 від 15.04.2025 18:30:28
Оприходованы ТМЦ</t>
  </si>
  <si>
    <t>Обл. НДС
Лист 10*1500*6000 3 сп/пс5  7208
Надходження товарів і послуг ІБ00-001632 від 15.04.2025 18:30:28
Цех_Катеринопіль МХП</t>
  </si>
  <si>
    <t>Обл. НДС
Лист 30 С255 
Надходження товарів і послуг ІБ00-001632 від 15.04.2025 18:30:28
Цех_Катеринопіль МХП</t>
  </si>
  <si>
    <t>Обл. НДС
Балка ІРN 240
Надходження товарів і послуг ІБ00-001632 від 15.04.2025 18:30:28
Цех_Катеринопіль МХП</t>
  </si>
  <si>
    <t>Обл. НДС
Труба 40х40х3 (6,05-S235/S275)
Надходження товарів і послуг ІБ00-001632 від 15.04.2025 18:30:28
Цех_Катеринопіль МХП</t>
  </si>
  <si>
    <t>Обл. НДС
Труба 219*6
Надходження товарів і послуг ІБ00-001632 від 15.04.2025 18:30:28
Цех_Катеринопіль МХП</t>
  </si>
  <si>
    <t>Надходження дод. витрат ІБ00-000252 від 15.04.2025 18:30:30
Доп. расходы при поступлении товаров</t>
  </si>
  <si>
    <t>16.04.2025</t>
  </si>
  <si>
    <t>Переміщення товарів ІБ00-000362 від 16.04.2025 00:00:00
Перемещение ТМЦ</t>
  </si>
  <si>
    <t>Обл. НДС
Швелер 24П міра 12,00 м 
Надходження товарів і послуг ІБ00-001671 від 03.04.2025 17:42:11
Цех_Катеринопіль МХП(олійно екстракційний)</t>
  </si>
  <si>
    <t>Обл. НДС
Труба 40х40х3 (6,05-S235/S275)
Надходження товарів і послуг ІБ00-001632 від 15.04.2025 18:30:28
Цех_Катеринопіль МХП(олійно екстракційний)</t>
  </si>
  <si>
    <t>Обл. НДС
Лист 4 (г.к)  (1,5х6) ((1,5*6,0) 14637 3сп5)
Надходження товарів і послуг ІБ00-001671 від 03.04.2025 17:42:11
Цех_Катеринопіль МХП(олійно екстракційний)</t>
  </si>
  <si>
    <t>17.04.2025</t>
  </si>
  <si>
    <t>Надходження товарів і послуг ІБ00-001677 від 17.04.2025 18:05:55
Оприходованы ТМЦ</t>
  </si>
  <si>
    <t>Обл. НДС
Швелер 16П  S275JR,12 м
Надходження товарів і послуг ІБ00-001677 від 17.04.2025 18:05:55
Цех_Катеринопіль МХП</t>
  </si>
  <si>
    <t>Обл. НДС
Лист 5 мм
Надходження товарів і послуг ІБ00-001677 від 17.04.2025 18:05:55
Цех_Катеринопіль МХП</t>
  </si>
  <si>
    <t>Обл. НДС
Лист 20 (г.к)  (1,5х6) imp ((1,5*6,0) S235JR)
Надходження товарів і послуг ІБ00-001677 від 17.04.2025 18:05:55
Цех_Катеринопіль МХП</t>
  </si>
  <si>
    <t>Обл. НДС
Лист 30 С255 
Надходження товарів і послуг ІБ00-001677 від 17.04.2025 18:05:55
Цех_Катеринопіль МХП</t>
  </si>
  <si>
    <t>Обл. НДС
Труба 40х40х3 (6,05-S235/S275)
Надходження товарів і послуг ІБ00-001677 від 17.04.2025 18:05:55
Цех_Катеринопіль МХП</t>
  </si>
  <si>
    <t>Обл. НДС
Труба 80х80х5 мм ст 1-3пс, 12 м
Надходження товарів і послуг ІБ00-001677 від 17.04.2025 18:05:55
Цех_Катеринопіль МХП</t>
  </si>
  <si>
    <t>Обл. НДС
Труба 100х100х4 (12,05- 8940:2019 08кп/1-3пс)
Надходження товарів і послуг ІБ00-001677 від 17.04.2025 18:05:55
Цех_Катеринопіль МХП</t>
  </si>
  <si>
    <t>Обл. НДС
Труба 100х100х5 мм; ст. 3пс5; 12 м
Надходження товарів і послуг ІБ00-001677 від 17.04.2025 18:05:55
Цех_Катеринопіль МХП</t>
  </si>
  <si>
    <t>Обл. НДС
Труба 120*120*4  ст1-3 пс L=12000
Надходження товарів і послуг ІБ00-001677 від 17.04.2025 18:05:55
Цех_Катеринопіль МХП</t>
  </si>
  <si>
    <t>Обл. НДС
Труба 160х160x4  ст 3 пс 5, L=12000
Надходження товарів і послуг ІБ00-001677 від 17.04.2025 18:05:55
Цех_Катеринопіль МХП</t>
  </si>
  <si>
    <t>Обл. НДС
Труба 219*5
Надходження товарів і послуг ІБ00-001677 від 17.04.2025 18:05:55
Цех_Катеринопіль МХП</t>
  </si>
  <si>
    <t>Обл. НДС
Кутник 125х125х10
Надходження товарів і послуг ІБ00-001677 від 17.04.2025 18:05:55
Цех_Катеринопіль МХП</t>
  </si>
  <si>
    <t>Надходження дод. витрат ІБ00-000258 від 17.04.2025 18:05:57
Доп. расходы при поступлении товаров</t>
  </si>
  <si>
    <t>18.04.2025</t>
  </si>
  <si>
    <t>Переміщення товарів ІБ00-000350 від 18.04.2025 18:10:11
Перемещение ТМЦ</t>
  </si>
  <si>
    <t>Обл. НДС
Балка 20 IPE (12,15 IPE200)
Оприбуткування товарів ІБ00-000001 від 01.02.2024 20:00:33
Цех_Катеринопіль МХП(ДУ-4 Охолодж макухи)</t>
  </si>
  <si>
    <t>Обл. НДС
Балка 20 IPE (12,15 IPE200)
Оприбуткування товарів ІБ00-000001 від 01.02.2024 20:00:33
Цех_Катеринопіль МХП</t>
  </si>
  <si>
    <t>Обл. НДС
Балка 20 IPE (12,15 IPE200)
Надходження товарів і послуг ІБ00-001513 від 08.04.2025 18:11:06
Цех_Катеринопіль МХП(ДУ-4 Охолодж макухи)</t>
  </si>
  <si>
    <t>Обл. НДС
Балка 30 ІРЕ (12.15 EN 10024 S235/ S275)
Надходження товарів і послуг ІБ00-001513 від 08.04.2025 18:11:06
Цех_Катеринопіль МХП(ДУ-4 Охолодж макухи)</t>
  </si>
  <si>
    <t>Обл. НДС
Балка 36 ІРЕ(12-S235/S275)
Надходження товарів і послуг ІБ00-001471 від 04.04.2025 16:24:39
Цех_Катеринопіль МХП(ДУ-4 Охолодж макухи)</t>
  </si>
  <si>
    <t>Обл. НДС
Кутник 50х50х5 мм ст.3пс 6м
Надходження товарів і послуг ІБ00-001513 від 08.04.2025 18:11:06
Цех_Катеринопіль МХП(ДУ-4 Охолодж макухи)</t>
  </si>
  <si>
    <t>Обл. НДС
Кутник 75х75х6 мм ст.3сп5 12м
Надходження товарів і послуг ІБ00-001513 від 08.04.2025 18:11:06
Цех_Катеринопіль МХП(ДУ-4 Охолодж макухи)</t>
  </si>
  <si>
    <t>Обл. НДС
Кутник 125х125х10
Надходження товарів і послуг ІБ00-001677 від 17.04.2025 18:05:55
Цех_Катеринопіль МХП(ДУ-4 Охолодж макухи)</t>
  </si>
  <si>
    <t>Обл. НДС
Швелер 10П 
Оприбуткування товарів ІБ00-000001 від 01.02.2024 20:00:33
Цех_Катеринопіль МХП(ДУ-4 Охолодж макухи)</t>
  </si>
  <si>
    <t>Обл. НДС
Швелер 10П 
Оприбуткування товарів ІБ00-000001 від 01.02.2024 20:00:33
Цех_Катеринопіль МХП</t>
  </si>
  <si>
    <t>Обл. НДС
Швелер 16П  S275JR,12 м
Надходження товарів і послуг ІБ00-001671 від 03.04.2025 17:42:11
Цех_Катеринопіль МХП(ДУ-4 Охолодж макухи)</t>
  </si>
  <si>
    <t>Обл. НДС
Швелер 16П  S275JR,12 м
Надходження товарів і послуг ІБ00-001471 від 04.04.2025 16:24:39
Цех_Катеринопіль МХП(ДУ-4 Охолодж макухи)</t>
  </si>
  <si>
    <t>Обл. НДС
Швелер 16П  S275JR,12 м
Надходження товарів і послуг ІБ00-001677 від 17.04.2025 18:05:55
Цех_Катеринопіль МХП(ДУ-4 Охолодж макухи)</t>
  </si>
  <si>
    <t>Обл. НДС
Швелер 20П міра 12,00 м 
Надходження товарів і послуг ІБ00-001671 від 03.04.2025 17:42:11
Цех_Катеринопіль МХП(ДУ-4 Охолодж макухи)</t>
  </si>
  <si>
    <t>Обл. НДС
Швелер 24П міра 12,00 м 
Надходження товарів і послуг ІБ00-001671 від 03.04.2025 17:42:11
Цех_Катеринопіль МХП(ДУ-4 Охолодж макухи)</t>
  </si>
  <si>
    <t>Обл. НДС
Швелер 30П
Оприбуткування товарів ІБ00-000001 від 01.02.2024 20:00:33
Цех_Катеринопіль МХП(ДУ-4 Охолодж макухи)</t>
  </si>
  <si>
    <t>Обл. НДС
Швелер 30П
Надходження товарів і послуг ІБ00-001671 від 03.04.2025 17:42:11
Цех_Катеринопіль МХП(ДУ-4 Охолодж макухи)</t>
  </si>
  <si>
    <t>Обл. НДС
Труба  40*20*2 мм  S235JRH, L=6 м
Надходження товарів і послуг ІБ00-001470 від 07.04.2025 19:59:50
Цех_Катеринопіль МХП(ДУ-4 Охолодж макухи)</t>
  </si>
  <si>
    <t>Обл. НДС
Труба 40х40х3 (6,05-S235/S275)
Надходження товарів і послуг ІБ00-001632 від 15.04.2025 18:30:28
Цех_Катеринопіль МХП(ДУ-4 Охолодж макухи)</t>
  </si>
  <si>
    <t>Обл. НДС
Труба 100х100х4 (12,05- 8940:2019 08кп/1-3пс)
Надходження товарів і послуг ІБ00-001470 від 07.04.2025 19:59:50
Цех_Катеринопіль МХП(ДУ-4 Охолодж макухи)</t>
  </si>
  <si>
    <t>Обл. НДС
Труба 100х100х4 (12,05- 8940:2019 08кп/1-3пс)
Надходження товарів і послуг ІБ00-001539 від 10.04.2025 22:56:09
Цех_Катеринопіль МХП(ДУ-4 Охолодж макухи)</t>
  </si>
  <si>
    <t>Обл. НДС
Лист 4 (рифл) ((1,25*6,0) 
Надходження товарів і послуг ІБ00-001671 від 03.04.2025 17:42:11
Цех_Катеринопіль МХП(ДУ-4 Охолодж макухи)</t>
  </si>
  <si>
    <t>Обл. НДС
Круг 18 мм
Надходження товарів і послуг ІБ00-001471 від 04.04.2025 16:24:39
Цех_Катеринопіль МХП(ДУ-4 Охолодж макухи)</t>
  </si>
  <si>
    <t>Обл. НДС
Лист  2*1000*2000
Надходження товарів і послуг ІБ00-001671 від 03.04.2025 17:42:11
Цех_Катеринопіль МХП(ДУ-4 Охолодж макухи)</t>
  </si>
  <si>
    <t>Обл. НДС
Лист 4 (г.к)  (1,5х6) ((1,5*6,0) 14637 3сп5)
Надходження товарів і послуг ІБ00-001671 від 03.04.2025 17:42:11
Цех_Катеринопіль МХП(ДУ-4 Охолодж макухи)</t>
  </si>
  <si>
    <t>Обл. НДС
Лист 5 мм
Надходження товарів і послуг ІБ00-001671 від 03.04.2025 17:42:11
Цех_Катеринопіль МХП(ДУ-4 Охолодж макухи)</t>
  </si>
  <si>
    <t>Обл. НДС
Лист 6 (г.к)  (1,5х6) ((1,5*6,0) 14637 3сп5)
Надходження товарів і послуг ІБ00-001671 від 03.04.2025 17:42:11
Цех_Катеринопіль МХП(ДУ-4 Охолодж макухи)</t>
  </si>
  <si>
    <t>Обл. НДС
Лист 8 (г.к.) (1,5х6) ((1,5*6,0) 14637 3сп5)
Надходження товарів і послуг ІБ00-001671 від 03.04.2025 17:42:11
Цех_Катеринопіль МХП(ДУ-4 Охолодж макухи)</t>
  </si>
  <si>
    <t>Обл. НДС
Лист 10*1500*6000 3 сп/пс5  7208
Надходження товарів і послуг ІБ00-001671 від 03.04.2025 17:42:11
Цех_Катеринопіль МХП(ДУ-4 Охолодж макухи)</t>
  </si>
  <si>
    <t>Обл. НДС
Лист 10*1500*6000 3 сп/пс5  7208
Надходження товарів і послуг ІБ00-001632 від 15.04.2025 18:30:28
Цех_Катеринопіль МХП(ДУ-4 Охолодж макухи)</t>
  </si>
  <si>
    <t>Обл. НДС
Лист 12*1500*6000
Надходження товарів і послуг ІБ00-001471 від 04.04.2025 16:24:39
Цех_Катеринопіль МХП(ДУ-4 Охолодж макухи)</t>
  </si>
  <si>
    <t>Обл. НДС
Лист 14 (г.к.) (1,5х6) imp ((1,5*6,0) S235JR)
Надходження товарів і послуг ІБ00-001471 від 04.04.2025 16:24:39
Цех_Катеринопіль МХП(ДУ-4 Охолодж макухи)</t>
  </si>
  <si>
    <t>Обл. НДС
Лист 20 (г.к)  (1,5х6) imp ((1,5*6,0) S235JR)
Надходження товарів і послуг ІБ00-001471 від 04.04.2025 16:24:39
Цех_Катеринопіль МХП(ДУ-4 Охолодж макухи)</t>
  </si>
  <si>
    <t>Обл. НДС
Лист 10 (г.к.) (1,5х6) imp ((1,5*6,0) S235)
Надходження товарів і послуг ІБ00-001539 від 10.04.2025 22:56:09
Цех_Катеринопіль МХП(ДУ-4 Охолодж макухи)</t>
  </si>
  <si>
    <t>Обл. НДС
Лист 30 С255 
Надходження товарів і послуг ІБ00-001632 від 15.04.2025 18:30:28
Цех_Катеринопіль МХП(ДУ-4 Охолодж макухи)</t>
  </si>
  <si>
    <t>Обл. НДС
Лист 30 С255 
Надходження товарів і послуг ІБ00-001677 від 17.04.2025 18:05:55
Цех_Катеринопіль МХП(ДУ-4 Охолодж макухи)</t>
  </si>
  <si>
    <t>Переміщення товарів ІБ00-000351 від 18.04.2025 18:10:12
Перемещение ТМЦ</t>
  </si>
  <si>
    <t>Обл. НДС
Балка 20 IPE (12,15 IPE200)
Надходження товарів і послуг ІБ00-001513 від 08.04.2025 18:11:06
Цех_Катеринопіль МХП(ДУ-5 Охолодж шроту)</t>
  </si>
  <si>
    <t>Обл. НДС
Труба 219*6
Надходження товарів і послуг ІБ00-001632 від 15.04.2025 18:30:28
Цех_Катеринопіль МХП(ДУ-5 Охолодж шроту)</t>
  </si>
  <si>
    <t>Обл. НДС
Труба 219*5
Надходження товарів і послуг ІБ00-001677 від 17.04.2025 18:05:55
Цех_Катеринопіль МХП(ДУ-5 Охолодж шроту)</t>
  </si>
  <si>
    <t>Обл. НДС
Швелер 16П  S275JR,12 м
Надходження товарів і послуг ІБ00-001677 від 17.04.2025 18:05:55
Цех_Катеринопіль МХП(ДУ-5 Охолодж шроту)</t>
  </si>
  <si>
    <t>Обл. НДС
Труба  40*20*2 мм  S235JRH, L=6 м
Надходження товарів і послуг ІБ00-001470 від 07.04.2025 19:59:50
Цех_Катеринопіль МХП(ДУ-5 Охолодж шроту)</t>
  </si>
  <si>
    <t>Обл. НДС
Труба 40х40х3 (6,05-S235/S275)
Надходження товарів і послуг ІБ00-001632 від 15.04.2025 18:30:28
Цех_Катеринопіль МХП(ДУ-5 Охолодж шроту)</t>
  </si>
  <si>
    <t>Обл. НДС
Труба 80х80х4 (12,05- 8940:2019 08кп/1-3пс)
Надходження товарів і послуг ІБ00-001470 від 07.04.2025 19:59:50
Цех_Катеринопіль МХП(ДУ-5 Охолодж шроту)</t>
  </si>
  <si>
    <t>Обл. НДС
Лист 4 (г.к)  (1,5х6) ((1,5*6,0) 14637 3сп5)
Надходження товарів і послуг ІБ00-001671 від 03.04.2025 17:42:11
Цех_Катеринопіль МХП(ДУ-5 Охолодж шроту)</t>
  </si>
  <si>
    <t>Обл. НДС
Лист 6 (г.к)  (1,5х6) ((1,5*6,0) 14637 3сп5)
Надходження товарів і послуг ІБ00-001671 від 03.04.2025 17:42:11
Цех_Катеринопіль МХП(ДУ-5 Охолодж шроту)</t>
  </si>
  <si>
    <t>Обл. НДС
Лист 8 (г.к.) (1,5х6) ((1,5*6,0) 14637 3сп5)
Надходження товарів і послуг ІБ00-001671 від 03.04.2025 17:42:11
Цех_Катеринопіль МХП(ДУ-5 Охолодж шроту)</t>
  </si>
  <si>
    <t>Обл. НДС
Лист 10 (г.к.) (1,5х6) imp ((1,5*6,0) S235)
Надходження товарів і послуг ІБ00-001539 від 10.04.2025 22:56:09
Цех_Катеринопіль МХП(ДУ-5 Охолодж шроту)</t>
  </si>
  <si>
    <t>Обл. НДС
Лист 20 (г.к)  (1,5х6) imp ((1,5*6,0) S235JR)
Надходження товарів і послуг ІБ00-001471 від 04.04.2025 16:24:39
Цех_Катеринопіль МХП(ДУ-5 Охолодж шроту)</t>
  </si>
  <si>
    <t>Обл. НДС
Швелер 16У ст.1-3сп/пс 5, L= 12 м
Надходження товарів і послуг 00000000074 від 13.01.2022 11:58:04
Цех_Катеринопіль МХП(ДУ-5 Охолодж шроту)</t>
  </si>
  <si>
    <t>Обл. НДС
Швелер 16У ст.1-3сп/пс 5, L= 12 м
Надходження товарів і послуг 00000000074 від 13.01.2022 11:58:04
Цех_Катеринопіль МХП</t>
  </si>
  <si>
    <t>Обл. НДС
Швелер № 16 ст.3пс 5, 12м
Надходження товарів і послуг 00000000072 від 19.01.2023 15:30:59
Цех_Катеринопіль МХП(ДУ-5 Охолодж шроту)</t>
  </si>
  <si>
    <t>Обл. НДС
Швелер № 16 ст.3пс 5, 12м
Надходження товарів і послуг 00000000072 від 19.01.2023 15:30:59
Цех_Катеринопіль МХП</t>
  </si>
  <si>
    <t>Переміщення товарів ІБ00-000352 від 18.04.2025 18:10:15
Перемещение ТМЦ</t>
  </si>
  <si>
    <t>Обл. НДС
Балка ІРN 240
Надходження товарів і послуг ІБ00-001632 від 15.04.2025 18:30:28
Цех_Катеринопіль МХП(ДУ-6 Транспортгалерея)</t>
  </si>
  <si>
    <t>Обл. НДС
Кутник 50х50х5 мм ст.3пс 6м
Надходження товарів і послуг ІБ00-001513 від 08.04.2025 18:11:06
Цех_Катеринопіль МХП(ДУ-6 Транспортгалерея)</t>
  </si>
  <si>
    <t>Обл. НДС
Швелер 12П  
Оприбуткування товарів ІБ00-000001 від 01.02.2024 20:00:33
Цех_Катеринопіль МХП(ДУ-6 Транспортгалерея)</t>
  </si>
  <si>
    <t>Обл. НДС
Швелер 12П  
Оприбуткування товарів ІБ00-000001 від 01.02.2024 20:00:33
Цех_Катеринопіль МХП</t>
  </si>
  <si>
    <t>Обл. НДС
Швелер 12П  
Надходження товарів і послуг ІБ00-001671 від 03.04.2025 17:42:11
Цех_Катеринопіль МХП(ДУ-6 Транспортгалерея)</t>
  </si>
  <si>
    <t>Обл. НДС
Швелер 14П  (140 12,05 8240 3пс)
Надходження товарів і послуг AS000002077 від 11.11.2022 16:41:05
Цех_Катеринопіль МХП(ДУ-6 Транспортгалерея)</t>
  </si>
  <si>
    <t>Обл. НДС
Швелер 14П  (140 12,05 8240 3пс)
Надходження товарів і послуг AS000002077 від 11.11.2022 16:41:05
Цех_Катеринопіль МХП</t>
  </si>
  <si>
    <t>Обл. НДС
Швелер 14П  (140 12,05 8240 3пс)
Надходження товарів і послуг ІБ00-001671 від 03.04.2025 17:42:11
Цех_Катеринопіль МХП(ДУ-6 Транспортгалерея)</t>
  </si>
  <si>
    <t>Обл. НДС
Швелер 30П
Надходження товарів і послуг ІБ00-001671 від 03.04.2025 17:42:11
Цех_Катеринопіль МХП(ДУ-6 Транспортгалерея)</t>
  </si>
  <si>
    <t>Обл. НДС
Швелер 30П
Надходження товарів і послуг ІБ00-001513 від 08.04.2025 18:11:06
Цех_Катеринопіль МХП(ДУ-6 Транспортгалерея)</t>
  </si>
  <si>
    <t>Обл. НДС
Круг 18 мм
Надходження товарів і послуг ІБ00-001471 від 04.04.2025 16:24:39
Цех_Катеринопіль МХП(ДУ-6 Транспортгалерея)</t>
  </si>
  <si>
    <t>Обл. НДС
Круг 20 мм 3 ПС, 6 м
Надходження товарів і послуг ІБ00-001471 від 04.04.2025 16:24:39
Цех_Катеринопіль МХП(ДУ-6 Транспортгалерея)</t>
  </si>
  <si>
    <t>Обл. НДС
Лист 4 (г.к)  (1,5х6) ((1,5*6,0) 14637 3сп5)
Надходження товарів і послуг ІБ00-001671 від 03.04.2025 17:42:11
Цех_Катеринопіль МХП(ДУ-6 Транспортгалерея)</t>
  </si>
  <si>
    <t>Обл. НДС
Лист 5 мм
Надходження товарів і послуг ІБ00-001671 від 03.04.2025 17:42:11
Цех_Катеринопіль МХП(ДУ-6 Транспортгалерея)</t>
  </si>
  <si>
    <t>Обл. НДС
Лист 5 мм
Надходження товарів і послуг ІБ00-001677 від 17.04.2025 18:05:55
Цех_Катеринопіль МХП(ДУ-6 Транспортгалерея)</t>
  </si>
  <si>
    <t>Обл. НДС
Лист 8 (г.к.) (1,5х6) ((1,5*6,0) 14637 3сп5)
Надходження товарів і послуг ІБ00-001671 від 03.04.2025 17:42:11
Цех_Катеринопіль МХП(ДУ-6 Транспортгалерея)</t>
  </si>
  <si>
    <t>Обл. НДС
Лист 10 (г.к.) (1,5х6) imp ((1,5*6,0) S235)
Надходження товарів і послуг ІБ00-001539 від 10.04.2025 22:56:09
Цех_Катеринопіль МХП(ДУ-6 Транспортгалерея)</t>
  </si>
  <si>
    <t>Обл. НДС
Лист 20 (г.к)  (1,5х6) imp ((1,5*6,0) S235JR)
Надходження товарів і послуг ІБ00-001471 від 04.04.2025 16:24:39
Цех_Катеринопіль МХП(ДУ-6 Транспортгалерея)</t>
  </si>
  <si>
    <t>Обл. НДС
Лист 20 (г.к)  (1,5х6) imp ((1,5*6,0) S235JR)
Надходження товарів і послуг ІБ00-001677 від 17.04.2025 18:05:55
Цех_Катеринопіль МХП(ДУ-6 Транспортгалерея)</t>
  </si>
  <si>
    <t>Обл. НДС
Лист 30 С255 
Надходження товарів і послуг ІБ00-001677 від 17.04.2025 18:05:55
Цех_Катеринопіль МХП(ДУ-6 Транспортгалерея)</t>
  </si>
  <si>
    <t>Обл. НДС
Балка 16 IPE160 12м S275JR
Надходження товарів і послуг ІБ00-001471 від 04.04.2025 16:24:39
Цех_Катеринопіль МХП(ДУ-6 Транспортгалерея)</t>
  </si>
  <si>
    <t>Обл. НДС
Балка 30 ІРЕ (12.15 EN 10024 S235/ S275)
Надходження товарів і послуг ІБ00-001513 від 08.04.2025 18:11:06
Цех_Катеринопіль МХП(ДУ-6 Транспортгалерея)</t>
  </si>
  <si>
    <t>Обл. НДС
Балка 36 ІРЕ(12-S235/S275)
Надходження товарів і послуг ІБ00-001471 від 04.04.2025 16:24:39
Цех_Катеринопіль МХП(ДУ-6 Транспортгалерея)</t>
  </si>
  <si>
    <t>Обл. НДС
Лист 4 (рифл) ((1,25*6,0) 
Надходження товарів і послуг ІБ00-001671 від 03.04.2025 17:42:11
Цех_Катеринопіль МХП(ДУ-6 Транспортгалерея)</t>
  </si>
  <si>
    <t>Обл. НДС
Труба профільна 30*30*2  L=6 м
Надходження товарів і послуг ІБ00-001470 від 07.04.2025 19:59:50
Цех_Катеринопіль МХП(ДУ-6 Транспортгалерея)</t>
  </si>
  <si>
    <t>Обл. НДС
Труба  40*20*2 мм  S235JRH, L=6 м
Надходження товарів і послуг ІБ00-001470 від 07.04.2025 19:59:50
Цех_Катеринопіль МХП(ДУ-6 Транспортгалерея)</t>
  </si>
  <si>
    <t>Обл. НДС
Труба 40х40х3 (6,05-S235/S275)
Надходження товарів і послуг ІБ00-001632 від 15.04.2025 18:30:28
Цех_Катеринопіль МХП(ДУ-6 Транспортгалерея)</t>
  </si>
  <si>
    <t>Обл. НДС
Труба 40х40х3 (6,05-S235/S275)
Надходження товарів і послуг ІБ00-001677 від 17.04.2025 18:05:55
Цех_Катеринопіль МХП(ДУ-6 Транспортгалерея)</t>
  </si>
  <si>
    <t>Обл. НДС
Труба профільна 60*60*4 L=6 ст 1-3 сп/пс
Надходження товарів і послуг ІБ00-001220 від 27.10.2023 17:55:53
Цех_Катеринопіль МХП(ДУ-6 Транспортгалерея)</t>
  </si>
  <si>
    <t>Обл. НДС
Труба профільна 60*60*4 L=6 ст 1-3 сп/пс
Надходження товарів і послуг ІБ00-001220 від 27.10.2023 17:55:53
Цех_Катеринопіль МХП</t>
  </si>
  <si>
    <t>Обл. НДС
Труба профільна 60*60*4 L=6 ст 1-3 сп/пс
Надходження товарів і послуг ІБ00-001513 від 08.04.2025 18:11:06
Цех_Катеринопіль МХП(ДУ-6 Транспортгалерея)</t>
  </si>
  <si>
    <t>Обл. НДС
Труба 80х80х4 (12,05- 8940:2019 08кп/1-3пс)
Надходження товарів і послуг ІБ00-001470 від 07.04.2025 19:59:50
Цех_Катеринопіль МХП(ДУ-6 Транспортгалерея)</t>
  </si>
  <si>
    <t>Обл. НДС
Труба 80х80х5 мм ст 1-3пс, 12 м
Надходження товарів і послуг ІБ00-001677 від 17.04.2025 18:05:55
Цех_Катеринопіль МХП(ДУ-6 Транспортгалерея)</t>
  </si>
  <si>
    <t>Обл. НДС
Труба 100х100х4 (12,05- 8940:2019 08кп/1-3пс)
Надходження товарів і послуг ІБ00-001539 від 10.04.2025 22:56:09
Цех_Катеринопіль МХП(ДУ-6 Транспортгалерея)</t>
  </si>
  <si>
    <t>Обл. НДС
Труба 100х100х5 мм; ст. 3пс5; 12 м
Надходження товарів і послуг ІБ00-001677 від 17.04.2025 18:05:55
Цех_Катеринопіль МХП(ДУ-6 Транспортгалерея)</t>
  </si>
  <si>
    <t>Обл. НДС
Труба 120*120*4  ст1-3 пс L=12000
Надходження товарів і послуг ІБ00-001677 від 17.04.2025 18:05:55
Цех_Катеринопіль МХП(ДУ-6 Транспортгалерея)</t>
  </si>
  <si>
    <t>Обл. НДС
труба 140х140х4 мм; ст. 3пс5; 12 м
Надходження товарів і послуг ІБ00-001470 від 07.04.2025 19:59:50
Цех_Катеринопіль МХП(ДУ-6 Транспортгалерея)</t>
  </si>
  <si>
    <t>Обл. НДС
труба 140х140х4 мм; ст. 3пс5; 12 м
Надходження товарів і послуг ІБ00-001539 від 10.04.2025 22:56:09
Цех_Катеринопіль МХП(ДУ-6 Транспортгалерея)</t>
  </si>
  <si>
    <t>Обл. НДС
Труба 160х160x4  ст 3 пс 5, L=12000
Надходження товарів і послуг ІБ00-001677 від 17.04.2025 18:05:55
Цех_Катеринопіль МХП(ДУ-6 Транспортгалерея)</t>
  </si>
  <si>
    <t>Обл. НДС
Труба 219*5
Надходження товарів і послуг ІБ00-001677 від 17.04.2025 18:05:55
Цех_Катеринопіль МХП(ДУ-6 Транспортгалерея)</t>
  </si>
  <si>
    <t>Обл. НДС
Труба 273*6,0
Надходження товарів і послуг ІБ00-001539 від 10.04.2025 22:56:09
Цех_Катеринопіль МХП(ДУ-6 Транспортгалерея)</t>
  </si>
  <si>
    <t>24.04.2025</t>
  </si>
  <si>
    <t>Переміщення товарів ІБ00-000353 від 24.04.2025 18:30:28
Перемещение ТМЦ</t>
  </si>
  <si>
    <t>Обл. НДС
Лист 18  (г,к)(2х6)imp((2,0*6,0)S235JR)
Надходження товарів і послуг ІБ00-000470 від 08.02.2024 00:00:00
Цех_Катеринопіль МХП(олійно екстракційний)</t>
  </si>
  <si>
    <t>Обл. НДС
Лист 18  (г,к)(2х6)imp((2,0*6,0)S235JR)
Надходження товарів і послуг ІБ00-000470 від 08.02.2024 00:00:00
Цех_Катеринопіль МХП</t>
  </si>
  <si>
    <t>Переміщення товарів ІБ00-000357 від 25.04.2025 19:45:09
Перемещение ТМЦ</t>
  </si>
  <si>
    <t>Обл. НДС
Швелер 14П  (140 12,05 8240 3пс)
Надходження товарів і послуг ІБ00-001671 від 03.04.2025 17:42:11
Цех_Катеринопіль МХП(ДУ-7 Градирня)</t>
  </si>
  <si>
    <t>Обл. НДС
Лист 4 (г.к)  (1,5х6) ((1,5*6,0) 14637 3сп5)
Надходження товарів і послуг ІБ00-001671 від 03.04.2025 17:42:11
Цех_Катеринопіль МХП(ДУ-7 Градирня)</t>
  </si>
  <si>
    <t>Обл. НДС
Лист 10 (г.к.) (1,5х6) imp ((1,5*6,0) S235)
Надходження товарів і послуг ІБ00-001539 від 10.04.2025 22:56:09
Цех_Катеринопіль МХП(ДУ-7 Градирня)</t>
  </si>
  <si>
    <t>Обл. НДС
Лист 20 (г.к)  (1,5х6) imp ((1,5*6,0) S235JR)
Надходження товарів і послуг ІБ00-001677 від 17.04.2025 18:05:55
Цех_Катеринопіль МХП(ДУ-7 Градирня)</t>
  </si>
  <si>
    <t>Обл. НДС
Балка 20 IPE (12,15 IPE200)
Надходження товарів і послуг ІБ00-001513 від 08.04.2025 18:11:06
Цех_Катеринопіль МХП(ДУ-7 Градирня)</t>
  </si>
  <si>
    <t>Обл. НДС
Балка ІРN 240
Надходження товарів і послуг ІБ00-001632 від 15.04.2025 18:30:28
Цех_Катеринопіль МХП(ДУ-7 Градирня)</t>
  </si>
  <si>
    <t>Обл. НДС
Труба профільна 30*30*2  L=6 м
Надходження товарів і послуг ІБ00-001470 від 07.04.2025 19:59:50
Цех_Катеринопіль МХП(ДУ-7 Градирня)</t>
  </si>
  <si>
    <t>Обл. НДС
Труба 100х100х4 (12,05- 8940:2019 08кп/1-3пс)
Надходження товарів і послуг ІБ00-001539 від 10.04.2025 22:56:09
Цех_Катеринопіль МХП(ДУ-7 Градирня)</t>
  </si>
  <si>
    <t>Обл. НДС
Труба 100х100х4 (12,05- 8940:2019 08кп/1-3пс)
Надходження товарів і послуг ІБ00-001677 від 17.04.2025 18:05:55
Цех_Катеринопіль МХП(ДУ-7 Градирня)</t>
  </si>
  <si>
    <t>Обл. НДС
труба 140х140х4 мм; ст. 3пс5; 12 м
Надходження товарів і послуг ІБ00-001539 від 10.04.2025 22:56:09
Цех_Катеринопіль МХП(ДУ-7 Градирня)</t>
  </si>
  <si>
    <t>Обл. НДС
Швелер 14 (UREAA 140) S275 JR, 12 м
Надходження товарів і послуг ІБ00-001470 від 07.04.2025 19:59:50
Цех_Катеринопіль МХП(ДУ-7 Градирня)</t>
  </si>
  <si>
    <t>Надходження товарів і послуг ІБ00-001842 від 25.04.2025 19:45:33
Оприходованы ТМЦ</t>
  </si>
  <si>
    <t>Обл. НДС
Швелер 16П  S275JR,12 м
Надходження товарів і послуг ІБ00-001842 від 25.04.2025 19:45:33
Цех_Катеринопіль МХП</t>
  </si>
  <si>
    <t>29.04.2025</t>
  </si>
  <si>
    <t>Переміщення товарів ІБ00-000365 від 29.04.2025 18:09:00
Перемещение ТМЦ</t>
  </si>
  <si>
    <t>Обл. НДС
Швелер 16П  S275JR,12 м
Надходження товарів і послуг ІБ00-001842 від 25.04.2025 19:45:33
Цех_Катеринопіль МХП(ДУ-5 Охолодж шроту)</t>
  </si>
  <si>
    <t>Закриття місяця ІБ00-000004 від 30.04.2025 23:58:59
Корректировка стоимости перемещения</t>
  </si>
  <si>
    <t>Переміщення товарів ІБ00-000386 від 30.04.2025 23:59:15
Перемещение ТМЦ</t>
  </si>
  <si>
    <t>Переміщення товарів ІБ00-000316 від 01.04.2025 10:04:20
Перемещение ТМЦ</t>
  </si>
  <si>
    <t>Обл. НДС
Лист 20 (г.к)  (1,5х6) imp ((1,5*6,0) S235JR)
Надходження товарів і послуг ІБ00-000167 від 20.01.2025 18:00:20
Цех_Катеринопіль МХП(ДУ-1 Пункт відв)</t>
  </si>
  <si>
    <t>Обл. НДС
Лист 20 (г.к)  (1,5х6) imp ((1,5*6,0) S235JR)
Надходження товарів і послуг ІБ00-000167 від 20.01.2025 18:00:20
Цех_Катеринопіль МХП(олійно екстракційний)</t>
  </si>
  <si>
    <t>Обл. НДС
Лист 8 (г.к.) (1,5х6) ((1,5*6,0) 14637 3сп5)
Надходження товарів і послуг ІБ00-000244 від 27.01.2025 18:00:04
Цех_Катеринопіль МХП(ДУ-1 Пункт відв)</t>
  </si>
  <si>
    <t>Обл. НДС
Лист 8 (г.к.) (1,5х6) ((1,5*6,0) 14637 3сп5)
Надходження товарів і послуг ІБ00-000244 від 27.01.2025 18:00:04
Цех_Катеринопіль МХП(олійно екстракційний)</t>
  </si>
  <si>
    <t>Обл. НДС
Швелер 18 П ст.3пс
Надходження товарів і послуг ІБ00-000090 від 16.01.2025 15:48:34
Цех_Катеринопіль МХП(ДУ-1 Пункт відв)</t>
  </si>
  <si>
    <t>Обл. НДС
Швелер 18 П ст.3пс
Надходження товарів і послуг ІБ00-000090 від 16.01.2025 15:48:34
Цех_Катеринопіль МХП(олійно екстракційний)</t>
  </si>
  <si>
    <t>Переміщення товарів ІБ00-000296 від 01.04.2025 18:03:52
Перемещение ТМЦ</t>
  </si>
  <si>
    <t>Обл. НДС
Швелер 20П міра 12,00 м 
Надходження товарів і послуг ІБ00-001140 від 20.03.2025 23:15:29
Цех_Катеринопіль МХП(олійно екстракційний)</t>
  </si>
  <si>
    <t>Обл. НДС
Швелер 20П міра 12,00 м 
Надходження товарів і послуг ІБ00-001140 від 20.03.2025 23:15:29
Цех_Катеринопіль МХП(ДУ-1 Пункт відв)</t>
  </si>
  <si>
    <t>Вимога-накладна ІБ00-000262 від 01.04.2025 18:04:19
Списаны ТМЦ</t>
  </si>
  <si>
    <t>Обл. НДС
Виробничий (Цех МХП)
Цех МХП
Прямі материальні виробничі витрати крім зворотніх відходів</t>
  </si>
  <si>
    <t>Обл. НДС
Балка 20 ст3 сп/пс L=12 м
Надходження товарів і послуг ІБ00-001140 від 20.03.2025 23:15:29
Цех_Катеринопіль МХП(ДУ-1 Пункт відв)</t>
  </si>
  <si>
    <t>Обл. НДС
Лист 10*1500*6000 3 сп/пс5  7208
Надходження товарів і послуг ІБ00-001120 від 19.03.2025 18:35:17
Цех_Катеринопіль МХП(ДУ-1 Пункт відв)</t>
  </si>
  <si>
    <t>Обл. НДС
Кутник 50х50х5 мм ст.3пс 6м
Надходження товарів і послуг ІБ00-001120 від 19.03.2025 18:35:17
Цех_Катеринопіль МХП(ДУ-1 Пункт відв)</t>
  </si>
  <si>
    <t>Обл. НДС
Швелер 16П  S275JR,12 м
Надходження товарів і послуг ІБ00-001140 від 20.03.2025 23:15:29
Цех_Катеринопіль МХП(ДУ-1 Пункт відв)</t>
  </si>
  <si>
    <t>Обл. НДС
Лист 6 (г.к)  (1,5х6) ((1,5*6,0) 14637 3сп5)
Надходження товарів і послуг ІБ00-001120 від 19.03.2025 18:35:17
Цех_Катеринопіль МХП(ДУ-1 Пункт відв)</t>
  </si>
  <si>
    <t>Обл. НДС
Швелер 30П
Надходження товарів і послуг ІБ00-001140 від 20.03.2025 23:15:29
Цех_Катеринопіль МХП(ДУ-1 Пункт відв)</t>
  </si>
  <si>
    <t>Обл. НДС
Круг 20 мм 3 ПС, 6 м
Надходження товарів і послуг ІБ00-001120 від 19.03.2025 18:35:17
Цех_Катеринопіль МХП(ДУ-1 Пункт відв)</t>
  </si>
  <si>
    <t>Обл. НДС
Лист 4 (г.к)  (1,5х6) ((1,5*6,0) 14637 3сп5)
Надходження товарів і послуг ІБ00-001120 від 19.03.2025 18:35:17
Цех_Катеринопіль МХП(ДУ-1 Пункт відв)</t>
  </si>
  <si>
    <t>Обл. НДС
Труба 100х100х4 (12,05- 8940:2019 08кп/1-3пс)
Надходження товарів і послуг ІБ00-001140 від 20.03.2025 23:15:29
Цех_Катеринопіль МХП(ДУ-1 Пункт відв)</t>
  </si>
  <si>
    <t>Обл. НДС
Труба 273*8
Надходження товарів і послуг ІБ00-001140 від 20.03.2025 23:15:29
Цех_Катеринопіль МХП(ДУ-1 Пункт відв)</t>
  </si>
  <si>
    <t>Обл. НДС
Лист 30 С255 
Надходження товарів і послуг ІБ00-001120 від 19.03.2025 18:35:17
Цех_Катеринопіль МХП(ДУ-1 Пункт відв)</t>
  </si>
  <si>
    <t>Обл. НДС
Кутник 75х75х6 мм ст.3сп5 12м
Надходження товарів і послуг ІБ00-001120 від 19.03.2025 18:35:17
Цех_Катеринопіль МХП(ДУ-1 Пункт відв)</t>
  </si>
  <si>
    <t>09.04.2025</t>
  </si>
  <si>
    <t>Вимога-накладна ІБ00-000264 від 09.04.2025 23:59:21
Списаны ТМЦ</t>
  </si>
  <si>
    <t>Переміщення товарів ІБ00-000367 від 29.04.2025 18:09:06
Перемещение ТМЦ</t>
  </si>
  <si>
    <t>Вимога-накладна ІБ00-000303 від 30.04.2025 18:55:21
Списаны ТМЦ</t>
  </si>
  <si>
    <t>Обл. НДС
Виробничий (Катеринопіль МХП)
Цех МХП
Прямі материальні виробничі витрати крім зворотніх відходів</t>
  </si>
  <si>
    <t>Обл. НДС
Швелер 10П 
Надходження товарів і послуг ІБ00-001140 від 20.03.2025 23:15:29
Цех_Катеринопіль МХП(ДУ-1 Пункт відв)</t>
  </si>
  <si>
    <t>Обл. НДС
Балка 30 ст.3 пс 5 L=12,04 м
Надходження товарів і послуг ІБ00-001140 від 20.03.2025 23:15:29
Цех_Катеринопіль МХП(ДУ-1 Пункт відв)</t>
  </si>
  <si>
    <t>Обл. НДС
Балка 16 IPE160 12м S275JR
Надходження товарів і послуг ІБ00-001140 від 20.03.2025 23:15:29
Цех_Катеринопіль МХП(ДУ-1 Пункт відв)</t>
  </si>
  <si>
    <t>Закриття місяця ІБ00-000004 від 30.04.2025 23:58:59
Корректировка стоимости списания</t>
  </si>
  <si>
    <t>Переміщення товарів ІБ00-000424 від 29.04.2025 18:09:47
Перемещение ТМЦ</t>
  </si>
  <si>
    <t>Обл. НДС
Кутник 75х75х6 мм ст.3сп5 12м
Надходження товарів і послуг ІБ00-000245 від 22.01.2025 19:00:20
Цех_Катеринопіль МХП(ДУ-4 Охолодж макухи)</t>
  </si>
  <si>
    <t>Обл. НДС
Кутник 75х75х6 мм ст.3сп5 12м
Надходження товарів і послуг ІБ00-000245 від 22.01.2025 19:00:20
Цех_Катеринопіль МХП(олійно екстракційний)</t>
  </si>
  <si>
    <t>Переміщення товарів ІБ00-000388 від 30.04.2025 00:00:00
Перемещение ТМЦ</t>
  </si>
  <si>
    <t>Обл. НДС
Швелер 16П  S275JR,12 м
Надходження товарів і послуг ІБ00-001671 від 03.04.2025 17:42:11
Цех_Катеринопіль МХП(ДУ-5 Охолодж шроту)</t>
  </si>
  <si>
    <t>Списання товарів ІБ00-000204 від 01.04.2025 23:10:04
Списаны ТМЦ</t>
  </si>
  <si>
    <t>Обл. НДС
Дошка 20*120*4000
Надходження товарів і послуг ІБ00-006230 від 13.12.2024 19:00:39
Цех_Катеринопіль МХП(олійно екстракційний)</t>
  </si>
  <si>
    <t>Списання товарів ІБ00-000203 від 07.04.2025 10:00:00
Списаны ТМЦ</t>
  </si>
  <si>
    <t>Вимога-накладна ІБ00-000254 від 07.04.2025 19:59:56
Списаны ТМЦ</t>
  </si>
  <si>
    <t>Обл. НДС
Швелер 14 (UREAA 140) S275 JR, 12 м
Надходження товарів і послуг ІБ00-000090 від 16.01.2025 15:48:34
Цех_Катеринопіль МХП(олійно екстракційний)</t>
  </si>
  <si>
    <t>Обл. НДС
Швелер 16П  S275JR,12 м
Надходження товарів і послуг ІБ00-000189 від 22.01.2025 18:18:27
Цех_Катеринопіль МХП(олійно екстракційний)</t>
  </si>
  <si>
    <t>Обл. НДС
Лист 10*1500*6000 3 сп/пс5  7208
Надходження товарів і послуг ІБ00-000244 від 27.01.2025 18:00:04
Цех_Катеринопіль МХП(олійно екстракційний)</t>
  </si>
  <si>
    <t>Обл. НДС
Швелер 24П ст.3сп/пс 5, 12 м
Надходження товарів і послуг ІБ00-000090 від 16.01.2025 15:48:34
Цех_Катеринопіль МХП(олійно екстракційний)</t>
  </si>
  <si>
    <t>Обл. НДС
Труба 100х100х4 (12,05- 8940:2019 08кп/1-3пс)
Надходження товарів і послуг ІБ00-000169 від 17.01.2025 18:59:58
Цех_Катеринопіль МХП(олійно екстракційний)</t>
  </si>
  <si>
    <t>Обл. НДС
Труба 100х100х4 (12,05- 8940:2019 08кп/1-3пс)
Надходження товарів і послуг ІБ00-000245 від 22.01.2025 19:00:20
Цех_Катеринопіль МХП(олійно екстракційний)</t>
  </si>
  <si>
    <t>Обл. НДС
Кутник 50х50х5 мм ст.3пс 6м
Надходження товарів і послуг ІБ00-000167 від 20.01.2025 18:00:20
Цех_Катеринопіль МХП(олійно екстракційний)</t>
  </si>
  <si>
    <t>Обл. НДС
Лист 4 (г.к)  (1,5х6) ((1,5*6,0) 14637 3сп5)
Надходження товарів і послуг ІБ00-000245 від 22.01.2025 19:00:20
Цех_Катеринопіль МХП(олійно екстракційний)</t>
  </si>
  <si>
    <t>Обл. НДС
Труба 325х10
Надходження товарів і послуг ІБ00-000245 від 22.01.2025 19:00:20
Цех_Катеринопіль МХП(олійно екстракційний)</t>
  </si>
  <si>
    <t>Обл. НДС
Труба 80х80х4 (12,05- 8940:2019 08кп/1-3пс)
Надходження товарів і послуг ІБ00-000245 від 22.01.2025 19:00:20
Цех_Катеринопіль МХП(олійно екстракційний)</t>
  </si>
  <si>
    <t>Обл. НДС
Балка ІРN 240
Надходження товарів і послуг ІБ00-000156 від 20.01.2025 17:50:00
Цех_Катеринопіль МХП(олійно екстракційний)</t>
  </si>
  <si>
    <t>Переміщення товарів ІБ00-000320 від 08.04.2025 21:11:40
Перемещение ТМЦ</t>
  </si>
  <si>
    <t>Обл. НДС
Швелер 10П 
Оприбуткування товарів ІБ00-000001 від 01.02.2024 20:00:33
Цех_Катеринопіль МХП(олійно екстракційний)</t>
  </si>
  <si>
    <t>Обл. НДС
Швелер 10П 
Оприбуткування товарів ІБ00-000001 від 01.02.2024 20:00:33
Вулиця</t>
  </si>
  <si>
    <t>Вимога-накладна ІБ00-000272 від 08.04.2025 23:12:02
Списаны ТМЦ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</si>
</sst>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21"/>
      <name val="Arial"/>
    </font>
    <font>
      <sz val="10"/>
      <color indexed="21"/>
      <name val="Arial"/>
    </font>
    <font>
      <sz val="8"/>
      <name val="Arial"/>
    </font>
    <font>
      <b/>
      <sz val="10"/>
      <color indexed="21"/>
      <name val="Arial"/>
    </font>
    <font>
      <sz val="8"/>
      <color indexed="10"/>
      <name val="Arial"/>
    </font>
    <font>
      <sz val="10"/>
      <color rgb="FFFF0000"/>
      <name val="Arial"/>
    </font>
    <font>
      <sz val="11"/>
      <color rgb="FFFF0000"/>
      <name val="Calibri"/>
      <family val="2"/>
      <scheme val="minor"/>
    </font>
    <font>
      <sz val="8"/>
      <color rgb="FFFF000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0"/>
      </left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/>
      <diagonal/>
    </border>
    <border>
      <left/>
      <right/>
      <top style="thin">
        <color indexed="60"/>
      </top>
      <bottom/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60"/>
      </left>
      <right/>
      <top/>
      <bottom style="thin">
        <color indexed="60"/>
      </bottom>
      <diagonal/>
    </border>
    <border>
      <left style="thin">
        <color indexed="60"/>
      </left>
      <right style="thin">
        <color indexed="60"/>
      </right>
      <top/>
      <bottom style="thin">
        <color indexed="60"/>
      </bottom>
      <diagonal/>
    </border>
    <border>
      <left/>
      <right/>
      <top/>
      <bottom style="thin">
        <color indexed="60"/>
      </bottom>
      <diagonal/>
    </border>
    <border>
      <left/>
      <right style="thin">
        <color indexed="60"/>
      </right>
      <top style="thin">
        <color indexed="60"/>
      </top>
      <bottom style="thin">
        <color indexed="60"/>
      </bottom>
      <diagonal/>
    </border>
    <border>
      <left/>
      <right/>
      <top style="thin">
        <color indexed="60"/>
      </top>
      <bottom style="thin">
        <color indexed="60"/>
      </bottom>
      <diagonal/>
    </border>
    <border>
      <left/>
      <right style="thin">
        <color indexed="60"/>
      </right>
      <top/>
      <bottom style="thin">
        <color indexed="60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45">
    <xf numFmtId="0" fontId="0" fillId="0" borderId="0" xfId="0"/>
    <xf numFmtId="0" fontId="2" fillId="2" borderId="1" xfId="1" applyNumberFormat="1" applyFont="1" applyFill="1" applyBorder="1" applyAlignment="1">
      <alignment vertical="top" wrapText="1" indent="1"/>
    </xf>
    <xf numFmtId="0" fontId="3" fillId="2" borderId="2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vertical="top"/>
    </xf>
    <xf numFmtId="0" fontId="3" fillId="2" borderId="4" xfId="2" applyNumberFormat="1" applyFont="1" applyFill="1" applyBorder="1" applyAlignment="1">
      <alignment vertical="top"/>
    </xf>
    <xf numFmtId="0" fontId="3" fillId="2" borderId="3" xfId="2" applyNumberFormat="1" applyFont="1" applyFill="1" applyBorder="1" applyAlignment="1">
      <alignment horizontal="center" vertical="top"/>
    </xf>
    <xf numFmtId="0" fontId="3" fillId="2" borderId="5" xfId="2" applyNumberFormat="1" applyFont="1" applyFill="1" applyBorder="1" applyAlignment="1">
      <alignment horizontal="center" vertical="top"/>
    </xf>
    <xf numFmtId="0" fontId="3" fillId="2" borderId="6" xfId="2" applyNumberFormat="1" applyFont="1" applyFill="1" applyBorder="1" applyAlignment="1">
      <alignment vertical="top"/>
    </xf>
    <xf numFmtId="0" fontId="3" fillId="2" borderId="7" xfId="2" applyNumberFormat="1" applyFont="1" applyFill="1" applyBorder="1" applyAlignment="1">
      <alignment vertical="top"/>
    </xf>
    <xf numFmtId="0" fontId="3" fillId="2" borderId="8" xfId="2" applyNumberFormat="1" applyFont="1" applyFill="1" applyBorder="1" applyAlignment="1">
      <alignment vertical="top"/>
    </xf>
    <xf numFmtId="0" fontId="3" fillId="2" borderId="5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9" xfId="2" applyNumberFormat="1" applyFont="1" applyFill="1" applyBorder="1" applyAlignment="1">
      <alignment vertical="top"/>
    </xf>
    <xf numFmtId="0" fontId="3" fillId="2" borderId="10" xfId="2" applyNumberFormat="1" applyFont="1" applyFill="1" applyBorder="1" applyAlignment="1">
      <alignment vertical="top"/>
    </xf>
    <xf numFmtId="0" fontId="3" fillId="2" borderId="11" xfId="2" applyNumberFormat="1" applyFont="1" applyFill="1" applyBorder="1" applyAlignment="1">
      <alignment vertical="top"/>
    </xf>
    <xf numFmtId="0" fontId="4" fillId="0" borderId="1" xfId="2" applyNumberFormat="1" applyFont="1" applyBorder="1" applyAlignment="1">
      <alignment vertical="top"/>
    </xf>
    <xf numFmtId="0" fontId="4" fillId="0" borderId="1" xfId="2" applyNumberFormat="1" applyFont="1" applyBorder="1" applyAlignment="1">
      <alignment vertical="top" wrapText="1"/>
    </xf>
    <xf numFmtId="0" fontId="4" fillId="0" borderId="1" xfId="2" applyNumberFormat="1" applyFont="1" applyBorder="1" applyAlignment="1">
      <alignment horizontal="left" vertical="top"/>
    </xf>
    <xf numFmtId="2" fontId="4" fillId="0" borderId="1" xfId="2" applyNumberFormat="1" applyFont="1" applyBorder="1" applyAlignment="1">
      <alignment horizontal="right" vertical="top" wrapText="1"/>
    </xf>
    <xf numFmtId="0" fontId="4" fillId="0" borderId="13" xfId="2" applyNumberFormat="1" applyFont="1" applyBorder="1" applyAlignment="1">
      <alignment horizontal="right" vertical="top" wrapText="1"/>
    </xf>
    <xf numFmtId="0" fontId="4" fillId="0" borderId="12" xfId="2" applyNumberFormat="1" applyFont="1" applyBorder="1" applyAlignment="1">
      <alignment horizontal="center" vertical="top"/>
    </xf>
    <xf numFmtId="4" fontId="4" fillId="0" borderId="13" xfId="2" applyNumberFormat="1" applyFont="1" applyBorder="1" applyAlignment="1">
      <alignment horizontal="right" vertical="top" wrapText="1"/>
    </xf>
    <xf numFmtId="4" fontId="4" fillId="0" borderId="1" xfId="2" applyNumberFormat="1" applyFont="1" applyBorder="1" applyAlignment="1">
      <alignment horizontal="right" vertical="top" wrapText="1"/>
    </xf>
    <xf numFmtId="0" fontId="4" fillId="0" borderId="1" xfId="2" applyNumberFormat="1" applyFont="1" applyBorder="1" applyAlignment="1">
      <alignment horizontal="right" vertical="top" wrapText="1"/>
    </xf>
    <xf numFmtId="4" fontId="4" fillId="0" borderId="13" xfId="2" applyNumberFormat="1" applyFont="1" applyBorder="1" applyAlignment="1">
      <alignment horizontal="right" vertical="top" wrapText="1"/>
    </xf>
    <xf numFmtId="2" fontId="4" fillId="0" borderId="13" xfId="2" applyNumberFormat="1" applyFont="1" applyBorder="1" applyAlignment="1">
      <alignment horizontal="right" vertical="top" wrapText="1"/>
    </xf>
    <xf numFmtId="0" fontId="5" fillId="2" borderId="1" xfId="2" applyNumberFormat="1" applyFont="1" applyFill="1" applyBorder="1" applyAlignment="1">
      <alignment vertical="top"/>
    </xf>
    <xf numFmtId="4" fontId="5" fillId="2" borderId="1" xfId="2" applyNumberFormat="1" applyFont="1" applyFill="1" applyBorder="1" applyAlignment="1">
      <alignment horizontal="right" vertical="top" wrapText="1"/>
    </xf>
    <xf numFmtId="0" fontId="5" fillId="2" borderId="12" xfId="2" applyNumberFormat="1" applyFont="1" applyFill="1" applyBorder="1" applyAlignment="1">
      <alignment horizontal="center" vertical="top"/>
    </xf>
    <xf numFmtId="4" fontId="5" fillId="2" borderId="13" xfId="2" applyNumberFormat="1" applyFont="1" applyFill="1" applyBorder="1" applyAlignment="1">
      <alignment horizontal="right" vertical="top" wrapText="1"/>
    </xf>
    <xf numFmtId="0" fontId="3" fillId="2" borderId="2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vertical="top"/>
    </xf>
    <xf numFmtId="0" fontId="3" fillId="2" borderId="4" xfId="4" applyNumberFormat="1" applyFont="1" applyFill="1" applyBorder="1" applyAlignment="1">
      <alignment vertical="top"/>
    </xf>
    <xf numFmtId="0" fontId="3" fillId="2" borderId="3" xfId="4" applyNumberFormat="1" applyFont="1" applyFill="1" applyBorder="1" applyAlignment="1">
      <alignment horizontal="center" vertical="top"/>
    </xf>
    <xf numFmtId="0" fontId="3" fillId="2" borderId="5" xfId="4" applyNumberFormat="1" applyFont="1" applyFill="1" applyBorder="1" applyAlignment="1">
      <alignment horizontal="center" vertical="top"/>
    </xf>
    <xf numFmtId="0" fontId="3" fillId="2" borderId="6" xfId="4" applyNumberFormat="1" applyFont="1" applyFill="1" applyBorder="1" applyAlignment="1">
      <alignment vertical="top"/>
    </xf>
    <xf numFmtId="0" fontId="3" fillId="2" borderId="7" xfId="4" applyNumberFormat="1" applyFont="1" applyFill="1" applyBorder="1" applyAlignment="1">
      <alignment vertical="top"/>
    </xf>
    <xf numFmtId="0" fontId="3" fillId="2" borderId="8" xfId="4" applyNumberFormat="1" applyFont="1" applyFill="1" applyBorder="1" applyAlignment="1">
      <alignment vertical="top"/>
    </xf>
    <xf numFmtId="0" fontId="3" fillId="2" borderId="5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9" xfId="4" applyNumberFormat="1" applyFont="1" applyFill="1" applyBorder="1" applyAlignment="1">
      <alignment vertical="top"/>
    </xf>
    <xf numFmtId="0" fontId="3" fillId="2" borderId="10" xfId="4" applyNumberFormat="1" applyFont="1" applyFill="1" applyBorder="1" applyAlignment="1">
      <alignment vertical="top"/>
    </xf>
    <xf numFmtId="0" fontId="3" fillId="2" borderId="11" xfId="4" applyNumberFormat="1" applyFont="1" applyFill="1" applyBorder="1" applyAlignment="1">
      <alignment vertical="top"/>
    </xf>
    <xf numFmtId="0" fontId="4" fillId="0" borderId="1" xfId="4" applyNumberFormat="1" applyFont="1" applyBorder="1" applyAlignment="1">
      <alignment vertical="top"/>
    </xf>
    <xf numFmtId="0" fontId="4" fillId="0" borderId="1" xfId="4" applyNumberFormat="1" applyFont="1" applyBorder="1" applyAlignment="1">
      <alignment vertical="top" wrapText="1"/>
    </xf>
    <xf numFmtId="0" fontId="4" fillId="0" borderId="1" xfId="4" applyNumberFormat="1" applyFont="1" applyBorder="1" applyAlignment="1">
      <alignment horizontal="left" vertical="top"/>
    </xf>
    <xf numFmtId="2" fontId="4" fillId="0" borderId="1" xfId="4" applyNumberFormat="1" applyFont="1" applyBorder="1" applyAlignment="1">
      <alignment horizontal="right" vertical="top" wrapText="1"/>
    </xf>
    <xf numFmtId="0" fontId="4" fillId="0" borderId="13" xfId="4" applyNumberFormat="1" applyFont="1" applyBorder="1" applyAlignment="1">
      <alignment horizontal="right" vertical="top" wrapText="1"/>
    </xf>
    <xf numFmtId="0" fontId="4" fillId="0" borderId="12" xfId="4" applyNumberFormat="1" applyFont="1" applyBorder="1" applyAlignment="1">
      <alignment horizontal="center" vertical="top"/>
    </xf>
    <xf numFmtId="4" fontId="4" fillId="0" borderId="13" xfId="4" applyNumberFormat="1" applyFont="1" applyBorder="1" applyAlignment="1">
      <alignment horizontal="right" vertical="top" wrapText="1"/>
    </xf>
    <xf numFmtId="4" fontId="4" fillId="0" borderId="1" xfId="4" applyNumberFormat="1" applyFont="1" applyBorder="1" applyAlignment="1">
      <alignment horizontal="right" vertical="top" wrapText="1"/>
    </xf>
    <xf numFmtId="0" fontId="4" fillId="0" borderId="1" xfId="4" applyNumberFormat="1" applyFont="1" applyBorder="1" applyAlignment="1">
      <alignment horizontal="right" vertical="top" wrapText="1"/>
    </xf>
    <xf numFmtId="4" fontId="4" fillId="0" borderId="13" xfId="4" applyNumberFormat="1" applyFont="1" applyBorder="1" applyAlignment="1">
      <alignment horizontal="right" vertical="top" wrapText="1"/>
    </xf>
    <xf numFmtId="2" fontId="4" fillId="0" borderId="13" xfId="4" applyNumberFormat="1" applyFont="1" applyBorder="1" applyAlignment="1">
      <alignment horizontal="right" vertical="top" wrapText="1"/>
    </xf>
    <xf numFmtId="2" fontId="6" fillId="0" borderId="13" xfId="4" applyNumberFormat="1" applyFont="1" applyBorder="1" applyAlignment="1">
      <alignment horizontal="right" vertical="top" wrapText="1"/>
    </xf>
    <xf numFmtId="0" fontId="5" fillId="2" borderId="1" xfId="4" applyNumberFormat="1" applyFont="1" applyFill="1" applyBorder="1" applyAlignment="1">
      <alignment vertical="top"/>
    </xf>
    <xf numFmtId="4" fontId="5" fillId="2" borderId="1" xfId="4" applyNumberFormat="1" applyFont="1" applyFill="1" applyBorder="1" applyAlignment="1">
      <alignment horizontal="right" vertical="top" wrapText="1"/>
    </xf>
    <xf numFmtId="0" fontId="5" fillId="2" borderId="12" xfId="4" applyNumberFormat="1" applyFont="1" applyFill="1" applyBorder="1" applyAlignment="1">
      <alignment horizontal="center" vertical="top"/>
    </xf>
    <xf numFmtId="4" fontId="5" fillId="2" borderId="13" xfId="4" applyNumberFormat="1" applyFont="1" applyFill="1" applyBorder="1" applyAlignment="1">
      <alignment horizontal="right" vertical="top" wrapText="1"/>
    </xf>
    <xf numFmtId="0" fontId="3" fillId="2" borderId="2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vertical="top"/>
    </xf>
    <xf numFmtId="0" fontId="3" fillId="2" borderId="4" xfId="6" applyNumberFormat="1" applyFont="1" applyFill="1" applyBorder="1" applyAlignment="1">
      <alignment vertical="top"/>
    </xf>
    <xf numFmtId="0" fontId="3" fillId="2" borderId="3" xfId="6" applyNumberFormat="1" applyFont="1" applyFill="1" applyBorder="1" applyAlignment="1">
      <alignment horizontal="center" vertical="top"/>
    </xf>
    <xf numFmtId="0" fontId="3" fillId="2" borderId="5" xfId="6" applyNumberFormat="1" applyFont="1" applyFill="1" applyBorder="1" applyAlignment="1">
      <alignment horizontal="center" vertical="top"/>
    </xf>
    <xf numFmtId="0" fontId="3" fillId="2" borderId="6" xfId="6" applyNumberFormat="1" applyFont="1" applyFill="1" applyBorder="1" applyAlignment="1">
      <alignment vertical="top"/>
    </xf>
    <xf numFmtId="0" fontId="3" fillId="2" borderId="7" xfId="6" applyNumberFormat="1" applyFont="1" applyFill="1" applyBorder="1" applyAlignment="1">
      <alignment vertical="top"/>
    </xf>
    <xf numFmtId="0" fontId="3" fillId="2" borderId="8" xfId="6" applyNumberFormat="1" applyFont="1" applyFill="1" applyBorder="1" applyAlignment="1">
      <alignment vertical="top"/>
    </xf>
    <xf numFmtId="0" fontId="3" fillId="2" borderId="5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9" xfId="6" applyNumberFormat="1" applyFont="1" applyFill="1" applyBorder="1" applyAlignment="1">
      <alignment vertical="top"/>
    </xf>
    <xf numFmtId="0" fontId="3" fillId="2" borderId="10" xfId="6" applyNumberFormat="1" applyFont="1" applyFill="1" applyBorder="1" applyAlignment="1">
      <alignment vertical="top"/>
    </xf>
    <xf numFmtId="0" fontId="3" fillId="2" borderId="11" xfId="6" applyNumberFormat="1" applyFont="1" applyFill="1" applyBorder="1" applyAlignment="1">
      <alignment vertical="top"/>
    </xf>
    <xf numFmtId="0" fontId="4" fillId="0" borderId="1" xfId="6" applyNumberFormat="1" applyFont="1" applyBorder="1" applyAlignment="1">
      <alignment vertical="top"/>
    </xf>
    <xf numFmtId="0" fontId="4" fillId="0" borderId="1" xfId="6" applyNumberFormat="1" applyFont="1" applyBorder="1" applyAlignment="1">
      <alignment vertical="top" wrapText="1"/>
    </xf>
    <xf numFmtId="0" fontId="4" fillId="0" borderId="1" xfId="6" applyNumberFormat="1" applyFont="1" applyBorder="1" applyAlignment="1">
      <alignment horizontal="left" vertical="top"/>
    </xf>
    <xf numFmtId="0" fontId="4" fillId="0" borderId="1" xfId="6" applyNumberFormat="1" applyFont="1" applyBorder="1" applyAlignment="1">
      <alignment horizontal="right" vertical="top" wrapText="1"/>
    </xf>
    <xf numFmtId="4" fontId="4" fillId="0" borderId="13" xfId="6" applyNumberFormat="1" applyFont="1" applyBorder="1" applyAlignment="1">
      <alignment horizontal="right" vertical="top" wrapText="1"/>
    </xf>
    <xf numFmtId="0" fontId="4" fillId="0" borderId="12" xfId="6" applyNumberFormat="1" applyFont="1" applyBorder="1" applyAlignment="1">
      <alignment horizontal="center" vertical="top"/>
    </xf>
    <xf numFmtId="4" fontId="4" fillId="0" borderId="13" xfId="6" applyNumberFormat="1" applyFont="1" applyBorder="1" applyAlignment="1">
      <alignment horizontal="right" vertical="top" wrapText="1"/>
    </xf>
    <xf numFmtId="2" fontId="4" fillId="0" borderId="13" xfId="6" applyNumberFormat="1" applyFont="1" applyBorder="1" applyAlignment="1">
      <alignment horizontal="right" vertical="top" wrapText="1"/>
    </xf>
    <xf numFmtId="4" fontId="4" fillId="0" borderId="1" xfId="6" applyNumberFormat="1" applyFont="1" applyBorder="1" applyAlignment="1">
      <alignment horizontal="right" vertical="top" wrapText="1"/>
    </xf>
    <xf numFmtId="0" fontId="4" fillId="0" borderId="13" xfId="6" applyNumberFormat="1" applyFont="1" applyBorder="1" applyAlignment="1">
      <alignment horizontal="right" vertical="top" wrapText="1"/>
    </xf>
    <xf numFmtId="2" fontId="4" fillId="0" borderId="1" xfId="6" applyNumberFormat="1" applyFont="1" applyBorder="1" applyAlignment="1">
      <alignment horizontal="right" vertical="top" wrapText="1"/>
    </xf>
    <xf numFmtId="2" fontId="6" fillId="0" borderId="13" xfId="6" applyNumberFormat="1" applyFont="1" applyBorder="1" applyAlignment="1">
      <alignment horizontal="right" vertical="top" wrapText="1"/>
    </xf>
    <xf numFmtId="0" fontId="5" fillId="2" borderId="1" xfId="6" applyNumberFormat="1" applyFont="1" applyFill="1" applyBorder="1" applyAlignment="1">
      <alignment vertical="top"/>
    </xf>
    <xf numFmtId="4" fontId="5" fillId="2" borderId="1" xfId="6" applyNumberFormat="1" applyFont="1" applyFill="1" applyBorder="1" applyAlignment="1">
      <alignment horizontal="right" vertical="top" wrapText="1"/>
    </xf>
    <xf numFmtId="0" fontId="5" fillId="2" borderId="12" xfId="6" applyNumberFormat="1" applyFont="1" applyFill="1" applyBorder="1" applyAlignment="1">
      <alignment horizontal="center" vertical="top"/>
    </xf>
    <xf numFmtId="4" fontId="5" fillId="2" borderId="13" xfId="6" applyNumberFormat="1" applyFont="1" applyFill="1" applyBorder="1" applyAlignment="1">
      <alignment horizontal="right" vertical="top" wrapText="1"/>
    </xf>
    <xf numFmtId="4" fontId="0" fillId="0" borderId="0" xfId="0" applyNumberFormat="1"/>
    <xf numFmtId="0" fontId="7" fillId="2" borderId="2" xfId="3" applyNumberFormat="1" applyFont="1" applyFill="1" applyBorder="1" applyAlignment="1">
      <alignment vertical="top"/>
    </xf>
    <xf numFmtId="0" fontId="7" fillId="2" borderId="3" xfId="3" applyNumberFormat="1" applyFont="1" applyFill="1" applyBorder="1" applyAlignment="1">
      <alignment vertical="top"/>
    </xf>
    <xf numFmtId="0" fontId="7" fillId="2" borderId="4" xfId="3" applyNumberFormat="1" applyFont="1" applyFill="1" applyBorder="1" applyAlignment="1">
      <alignment vertical="top"/>
    </xf>
    <xf numFmtId="0" fontId="7" fillId="2" borderId="3" xfId="3" applyNumberFormat="1" applyFont="1" applyFill="1" applyBorder="1" applyAlignment="1">
      <alignment horizontal="center" vertical="top"/>
    </xf>
    <xf numFmtId="0" fontId="7" fillId="2" borderId="5" xfId="3" applyNumberFormat="1" applyFont="1" applyFill="1" applyBorder="1" applyAlignment="1">
      <alignment horizontal="center" vertical="top"/>
    </xf>
    <xf numFmtId="0" fontId="8" fillId="0" borderId="0" xfId="0" applyFont="1"/>
    <xf numFmtId="0" fontId="7" fillId="2" borderId="6" xfId="3" applyNumberFormat="1" applyFont="1" applyFill="1" applyBorder="1" applyAlignment="1">
      <alignment vertical="top"/>
    </xf>
    <xf numFmtId="0" fontId="7" fillId="2" borderId="7" xfId="3" applyNumberFormat="1" applyFont="1" applyFill="1" applyBorder="1" applyAlignment="1">
      <alignment vertical="top"/>
    </xf>
    <xf numFmtId="0" fontId="7" fillId="2" borderId="8" xfId="3" applyNumberFormat="1" applyFont="1" applyFill="1" applyBorder="1" applyAlignment="1">
      <alignment vertical="top"/>
    </xf>
    <xf numFmtId="0" fontId="7" fillId="2" borderId="5" xfId="3" applyNumberFormat="1" applyFont="1" applyFill="1" applyBorder="1" applyAlignment="1">
      <alignment vertical="top"/>
    </xf>
    <xf numFmtId="0" fontId="7" fillId="2" borderId="9" xfId="3" applyNumberFormat="1" applyFont="1" applyFill="1" applyBorder="1" applyAlignment="1">
      <alignment vertical="top"/>
    </xf>
    <xf numFmtId="0" fontId="7" fillId="2" borderId="9" xfId="3" applyNumberFormat="1" applyFont="1" applyFill="1" applyBorder="1" applyAlignment="1">
      <alignment vertical="top"/>
    </xf>
    <xf numFmtId="0" fontId="7" fillId="2" borderId="10" xfId="3" applyNumberFormat="1" applyFont="1" applyFill="1" applyBorder="1" applyAlignment="1">
      <alignment vertical="top"/>
    </xf>
    <xf numFmtId="0" fontId="7" fillId="2" borderId="11" xfId="3" applyNumberFormat="1" applyFont="1" applyFill="1" applyBorder="1" applyAlignment="1">
      <alignment vertical="top"/>
    </xf>
    <xf numFmtId="0" fontId="9" fillId="0" borderId="1" xfId="3" applyNumberFormat="1" applyFont="1" applyBorder="1" applyAlignment="1">
      <alignment vertical="top"/>
    </xf>
    <xf numFmtId="0" fontId="9" fillId="0" borderId="1" xfId="3" applyNumberFormat="1" applyFont="1" applyBorder="1" applyAlignment="1">
      <alignment vertical="top" wrapText="1"/>
    </xf>
    <xf numFmtId="0" fontId="9" fillId="0" borderId="1" xfId="3" applyNumberFormat="1" applyFont="1" applyBorder="1" applyAlignment="1">
      <alignment horizontal="left" vertical="top"/>
    </xf>
    <xf numFmtId="0" fontId="9" fillId="0" borderId="1" xfId="3" applyNumberFormat="1" applyFont="1" applyBorder="1" applyAlignment="1">
      <alignment horizontal="right" vertical="top" wrapText="1"/>
    </xf>
    <xf numFmtId="2" fontId="9" fillId="0" borderId="13" xfId="3" applyNumberFormat="1" applyFont="1" applyBorder="1" applyAlignment="1">
      <alignment horizontal="right" vertical="top" wrapText="1"/>
    </xf>
    <xf numFmtId="0" fontId="9" fillId="0" borderId="12" xfId="3" applyNumberFormat="1" applyFont="1" applyBorder="1" applyAlignment="1">
      <alignment horizontal="center" vertical="top"/>
    </xf>
    <xf numFmtId="4" fontId="9" fillId="0" borderId="13" xfId="3" applyNumberFormat="1" applyFont="1" applyBorder="1" applyAlignment="1">
      <alignment horizontal="right" vertical="top" wrapText="1"/>
    </xf>
    <xf numFmtId="4" fontId="9" fillId="0" borderId="1" xfId="3" applyNumberFormat="1" applyFont="1" applyBorder="1" applyAlignment="1">
      <alignment horizontal="right" vertical="top" wrapText="1"/>
    </xf>
    <xf numFmtId="0" fontId="9" fillId="0" borderId="13" xfId="3" applyNumberFormat="1" applyFont="1" applyBorder="1" applyAlignment="1">
      <alignment horizontal="right" vertical="top" wrapText="1"/>
    </xf>
    <xf numFmtId="2" fontId="9" fillId="0" borderId="1" xfId="3" applyNumberFormat="1" applyFont="1" applyBorder="1" applyAlignment="1">
      <alignment horizontal="right" vertical="top" wrapText="1"/>
    </xf>
    <xf numFmtId="4" fontId="9" fillId="0" borderId="13" xfId="3" applyNumberFormat="1" applyFont="1" applyBorder="1" applyAlignment="1">
      <alignment horizontal="right" vertical="top" wrapText="1"/>
    </xf>
    <xf numFmtId="0" fontId="10" fillId="2" borderId="1" xfId="3" applyNumberFormat="1" applyFont="1" applyFill="1" applyBorder="1" applyAlignment="1">
      <alignment vertical="top"/>
    </xf>
    <xf numFmtId="4" fontId="10" fillId="2" borderId="1" xfId="3" applyNumberFormat="1" applyFont="1" applyFill="1" applyBorder="1" applyAlignment="1">
      <alignment horizontal="right" vertical="top" wrapText="1"/>
    </xf>
    <xf numFmtId="0" fontId="10" fillId="2" borderId="12" xfId="3" applyNumberFormat="1" applyFont="1" applyFill="1" applyBorder="1" applyAlignment="1">
      <alignment horizontal="center" vertical="top"/>
    </xf>
    <xf numFmtId="4" fontId="10" fillId="2" borderId="13" xfId="3" applyNumberFormat="1" applyFont="1" applyFill="1" applyBorder="1" applyAlignment="1">
      <alignment horizontal="right" vertical="top" wrapText="1"/>
    </xf>
    <xf numFmtId="0" fontId="7" fillId="2" borderId="2" xfId="5" applyNumberFormat="1" applyFont="1" applyFill="1" applyBorder="1" applyAlignment="1">
      <alignment vertical="top"/>
    </xf>
    <xf numFmtId="0" fontId="7" fillId="2" borderId="3" xfId="5" applyNumberFormat="1" applyFont="1" applyFill="1" applyBorder="1" applyAlignment="1">
      <alignment vertical="top"/>
    </xf>
    <xf numFmtId="0" fontId="7" fillId="2" borderId="4" xfId="5" applyNumberFormat="1" applyFont="1" applyFill="1" applyBorder="1" applyAlignment="1">
      <alignment vertical="top"/>
    </xf>
    <xf numFmtId="0" fontId="7" fillId="2" borderId="3" xfId="5" applyNumberFormat="1" applyFont="1" applyFill="1" applyBorder="1" applyAlignment="1">
      <alignment horizontal="center" vertical="top"/>
    </xf>
    <xf numFmtId="0" fontId="7" fillId="2" borderId="5" xfId="5" applyNumberFormat="1" applyFont="1" applyFill="1" applyBorder="1" applyAlignment="1">
      <alignment horizontal="center" vertical="top"/>
    </xf>
    <xf numFmtId="0" fontId="7" fillId="2" borderId="6" xfId="5" applyNumberFormat="1" applyFont="1" applyFill="1" applyBorder="1" applyAlignment="1">
      <alignment vertical="top"/>
    </xf>
    <xf numFmtId="0" fontId="7" fillId="2" borderId="7" xfId="5" applyNumberFormat="1" applyFont="1" applyFill="1" applyBorder="1" applyAlignment="1">
      <alignment vertical="top"/>
    </xf>
    <xf numFmtId="0" fontId="7" fillId="2" borderId="8" xfId="5" applyNumberFormat="1" applyFont="1" applyFill="1" applyBorder="1" applyAlignment="1">
      <alignment vertical="top"/>
    </xf>
    <xf numFmtId="0" fontId="7" fillId="2" borderId="5" xfId="5" applyNumberFormat="1" applyFont="1" applyFill="1" applyBorder="1" applyAlignment="1">
      <alignment vertical="top"/>
    </xf>
    <xf numFmtId="0" fontId="7" fillId="2" borderId="9" xfId="5" applyNumberFormat="1" applyFont="1" applyFill="1" applyBorder="1" applyAlignment="1">
      <alignment vertical="top"/>
    </xf>
    <xf numFmtId="0" fontId="7" fillId="2" borderId="9" xfId="5" applyNumberFormat="1" applyFont="1" applyFill="1" applyBorder="1" applyAlignment="1">
      <alignment vertical="top"/>
    </xf>
    <xf numFmtId="0" fontId="7" fillId="2" borderId="10" xfId="5" applyNumberFormat="1" applyFont="1" applyFill="1" applyBorder="1" applyAlignment="1">
      <alignment vertical="top"/>
    </xf>
    <xf numFmtId="0" fontId="7" fillId="2" borderId="11" xfId="5" applyNumberFormat="1" applyFont="1" applyFill="1" applyBorder="1" applyAlignment="1">
      <alignment vertical="top"/>
    </xf>
    <xf numFmtId="0" fontId="9" fillId="0" borderId="1" xfId="5" applyNumberFormat="1" applyFont="1" applyBorder="1" applyAlignment="1">
      <alignment vertical="top"/>
    </xf>
    <xf numFmtId="0" fontId="9" fillId="0" borderId="1" xfId="5" applyNumberFormat="1" applyFont="1" applyBorder="1" applyAlignment="1">
      <alignment vertical="top" wrapText="1"/>
    </xf>
    <xf numFmtId="0" fontId="9" fillId="0" borderId="1" xfId="5" applyNumberFormat="1" applyFont="1" applyBorder="1" applyAlignment="1">
      <alignment horizontal="left" vertical="top"/>
    </xf>
    <xf numFmtId="4" fontId="9" fillId="0" borderId="1" xfId="5" applyNumberFormat="1" applyFont="1" applyBorder="1" applyAlignment="1">
      <alignment horizontal="right" vertical="top" wrapText="1"/>
    </xf>
    <xf numFmtId="0" fontId="9" fillId="0" borderId="13" xfId="5" applyNumberFormat="1" applyFont="1" applyBorder="1" applyAlignment="1">
      <alignment horizontal="right" vertical="top" wrapText="1"/>
    </xf>
    <xf numFmtId="0" fontId="9" fillId="0" borderId="12" xfId="5" applyNumberFormat="1" applyFont="1" applyBorder="1" applyAlignment="1">
      <alignment horizontal="center" vertical="top"/>
    </xf>
    <xf numFmtId="4" fontId="9" fillId="0" borderId="13" xfId="5" applyNumberFormat="1" applyFont="1" applyBorder="1" applyAlignment="1">
      <alignment horizontal="right" vertical="top" wrapText="1"/>
    </xf>
    <xf numFmtId="2" fontId="9" fillId="0" borderId="1" xfId="5" applyNumberFormat="1" applyFont="1" applyBorder="1" applyAlignment="1">
      <alignment horizontal="right" vertical="top" wrapText="1"/>
    </xf>
    <xf numFmtId="0" fontId="9" fillId="0" borderId="1" xfId="5" applyNumberFormat="1" applyFont="1" applyBorder="1" applyAlignment="1">
      <alignment horizontal="right" vertical="top" wrapText="1"/>
    </xf>
    <xf numFmtId="4" fontId="9" fillId="0" borderId="13" xfId="5" applyNumberFormat="1" applyFont="1" applyBorder="1" applyAlignment="1">
      <alignment horizontal="right" vertical="top" wrapText="1"/>
    </xf>
    <xf numFmtId="0" fontId="10" fillId="2" borderId="1" xfId="5" applyNumberFormat="1" applyFont="1" applyFill="1" applyBorder="1" applyAlignment="1">
      <alignment vertical="top"/>
    </xf>
    <xf numFmtId="4" fontId="10" fillId="2" borderId="1" xfId="5" applyNumberFormat="1" applyFont="1" applyFill="1" applyBorder="1" applyAlignment="1">
      <alignment horizontal="right" vertical="top" wrapText="1"/>
    </xf>
    <xf numFmtId="0" fontId="10" fillId="2" borderId="12" xfId="5" applyNumberFormat="1" applyFont="1" applyFill="1" applyBorder="1" applyAlignment="1">
      <alignment horizontal="center" vertical="top"/>
    </xf>
    <xf numFmtId="4" fontId="10" fillId="2" borderId="13" xfId="5" applyNumberFormat="1" applyFont="1" applyFill="1" applyBorder="1" applyAlignment="1">
      <alignment horizontal="right" vertical="top" wrapText="1"/>
    </xf>
  </cellXfs>
  <cellStyles count="7">
    <cellStyle name="Обычный" xfId="0" builtinId="0"/>
    <cellStyle name="Обычный_Sheet1" xfId="1" xr:uid="{AA24DC34-666C-4434-AFEA-EED5FC479BFD}"/>
    <cellStyle name="Обычный_ДУ-1 Пункт відв" xfId="4" xr:uid="{97164253-A0EF-4ABC-83AA-ECD7FF39080A}"/>
    <cellStyle name="Обычный_ДУ-4 Охолодж макухи" xfId="5" xr:uid="{E3C9385A-3C50-4CEE-962B-BF22F0C91226}"/>
    <cellStyle name="Обычный_Лист1" xfId="2" xr:uid="{6155AA7D-BCB4-4E79-A200-36081A6EC07D}"/>
    <cellStyle name="Обычный_олійно екстракційний" xfId="6" xr:uid="{F6EA15DE-97CE-4713-939B-F8EE97B5822D}"/>
    <cellStyle name="Обычный_Цех_Катеринопіль МХП" xfId="3" xr:uid="{392671DF-9819-4BF4-9073-313FC5BF2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9"/>
  <sheetViews>
    <sheetView tabSelected="1" workbookViewId="0">
      <selection activeCell="C10" sqref="C10"/>
    </sheetView>
  </sheetViews>
  <sheetFormatPr defaultRowHeight="14.4" x14ac:dyDescent="0.3"/>
  <cols>
    <col min="2" max="2" width="24.21875" customWidth="1"/>
    <col min="3" max="3" width="11.33203125" bestFit="1" customWidth="1"/>
  </cols>
  <sheetData>
    <row r="2" spans="2:3" x14ac:dyDescent="0.3">
      <c r="B2" s="1" t="s">
        <v>0</v>
      </c>
      <c r="C2" s="88">
        <f>'Катеринопіль МХП'!J25*1.2</f>
        <v>34426.679999999993</v>
      </c>
    </row>
    <row r="3" spans="2:3" x14ac:dyDescent="0.3">
      <c r="B3" s="1" t="s">
        <v>1</v>
      </c>
      <c r="C3" s="88">
        <v>0</v>
      </c>
    </row>
    <row r="4" spans="2:3" ht="20.399999999999999" x14ac:dyDescent="0.3">
      <c r="B4" s="1" t="s">
        <v>2</v>
      </c>
      <c r="C4" s="88">
        <f>'ДУ-1 Пункт відв'!J41*1.2</f>
        <v>935991.66</v>
      </c>
    </row>
    <row r="5" spans="2:3" ht="20.399999999999999" x14ac:dyDescent="0.3">
      <c r="B5" s="1" t="s">
        <v>3</v>
      </c>
      <c r="C5" s="88">
        <v>0</v>
      </c>
    </row>
    <row r="6" spans="2:3" ht="20.399999999999999" x14ac:dyDescent="0.3">
      <c r="B6" s="1" t="s">
        <v>4</v>
      </c>
      <c r="C6" s="88">
        <f>'олійно екстракційний'!J44*1.2</f>
        <v>514953.348</v>
      </c>
    </row>
    <row r="7" spans="2:3" x14ac:dyDescent="0.3">
      <c r="C7" s="88">
        <f>SUM(C2:C6)</f>
        <v>1485371.6880000001</v>
      </c>
    </row>
    <row r="8" spans="2:3" x14ac:dyDescent="0.3">
      <c r="C8" s="88"/>
    </row>
    <row r="9" spans="2:3" x14ac:dyDescent="0.3">
      <c r="C9" s="8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BECF-2396-4DEE-8101-35C842E05C1F}">
  <sheetPr filterMode="1"/>
  <dimension ref="A1:L25"/>
  <sheetViews>
    <sheetView topLeftCell="A19" workbookViewId="0">
      <selection activeCell="J25" sqref="J25"/>
    </sheetView>
  </sheetViews>
  <sheetFormatPr defaultRowHeight="14.4" x14ac:dyDescent="0.3"/>
  <cols>
    <col min="2" max="4" width="24.21875" customWidth="1"/>
  </cols>
  <sheetData>
    <row r="1" spans="1:12" x14ac:dyDescent="0.3">
      <c r="A1" s="2" t="s">
        <v>5</v>
      </c>
      <c r="B1" s="3" t="s">
        <v>6</v>
      </c>
      <c r="C1" s="3" t="s">
        <v>7</v>
      </c>
      <c r="D1" s="4" t="s">
        <v>8</v>
      </c>
      <c r="E1" s="5" t="s">
        <v>9</v>
      </c>
      <c r="F1" s="5"/>
      <c r="G1" s="5"/>
      <c r="H1" s="6" t="s">
        <v>10</v>
      </c>
      <c r="I1" s="6"/>
      <c r="J1" s="6"/>
      <c r="K1" s="3" t="s">
        <v>11</v>
      </c>
      <c r="L1" s="3"/>
    </row>
    <row r="2" spans="1:12" hidden="1" x14ac:dyDescent="0.3">
      <c r="A2" s="7"/>
      <c r="B2" s="8"/>
      <c r="C2" s="8"/>
      <c r="D2" s="9"/>
      <c r="E2" s="10" t="s">
        <v>12</v>
      </c>
      <c r="F2" s="11"/>
      <c r="G2" s="11"/>
      <c r="H2" s="12" t="s">
        <v>12</v>
      </c>
      <c r="I2" s="13"/>
      <c r="J2" s="13"/>
      <c r="K2" s="7"/>
      <c r="L2" s="14"/>
    </row>
    <row r="3" spans="1:12" ht="61.2" hidden="1" x14ac:dyDescent="0.3">
      <c r="A3" s="15" t="s">
        <v>14</v>
      </c>
      <c r="B3" s="16" t="s">
        <v>15</v>
      </c>
      <c r="C3" s="16" t="s">
        <v>16</v>
      </c>
      <c r="D3" s="16" t="s">
        <v>17</v>
      </c>
      <c r="E3" s="17" t="s">
        <v>18</v>
      </c>
      <c r="F3" s="18">
        <v>455.17</v>
      </c>
      <c r="G3" s="18"/>
      <c r="H3" s="17" t="s">
        <v>19</v>
      </c>
      <c r="I3" s="19" t="s">
        <v>20</v>
      </c>
      <c r="J3" s="19"/>
      <c r="K3" s="20" t="s">
        <v>13</v>
      </c>
      <c r="L3" s="21">
        <v>153285.31</v>
      </c>
    </row>
    <row r="4" spans="1:12" ht="61.2" hidden="1" x14ac:dyDescent="0.3">
      <c r="A4" s="15" t="s">
        <v>14</v>
      </c>
      <c r="B4" s="16" t="s">
        <v>15</v>
      </c>
      <c r="C4" s="16" t="s">
        <v>21</v>
      </c>
      <c r="D4" s="16" t="s">
        <v>17</v>
      </c>
      <c r="E4" s="17" t="s">
        <v>18</v>
      </c>
      <c r="F4" s="18">
        <v>124.38</v>
      </c>
      <c r="G4" s="18"/>
      <c r="H4" s="17" t="s">
        <v>19</v>
      </c>
      <c r="I4" s="19" t="s">
        <v>20</v>
      </c>
      <c r="J4" s="19"/>
      <c r="K4" s="20" t="s">
        <v>13</v>
      </c>
      <c r="L4" s="21">
        <v>153409.69</v>
      </c>
    </row>
    <row r="5" spans="1:12" hidden="1" x14ac:dyDescent="0.3">
      <c r="A5" s="15" t="s">
        <v>14</v>
      </c>
      <c r="B5" s="16" t="s">
        <v>15</v>
      </c>
      <c r="C5" s="16" t="s">
        <v>22</v>
      </c>
      <c r="D5" s="16" t="s">
        <v>17</v>
      </c>
      <c r="E5" s="17" t="s">
        <v>18</v>
      </c>
      <c r="F5" s="18">
        <v>46.87</v>
      </c>
      <c r="G5" s="18"/>
      <c r="H5" s="17" t="s">
        <v>19</v>
      </c>
      <c r="I5" s="19" t="s">
        <v>20</v>
      </c>
      <c r="J5" s="19"/>
      <c r="K5" s="20" t="s">
        <v>13</v>
      </c>
      <c r="L5" s="21">
        <v>153456.56</v>
      </c>
    </row>
    <row r="6" spans="1:12" ht="163.19999999999999" hidden="1" x14ac:dyDescent="0.3">
      <c r="A6" s="15" t="s">
        <v>23</v>
      </c>
      <c r="B6" s="16" t="s">
        <v>24</v>
      </c>
      <c r="C6" s="16" t="s">
        <v>25</v>
      </c>
      <c r="D6" s="16" t="s">
        <v>26</v>
      </c>
      <c r="E6" s="17" t="s">
        <v>18</v>
      </c>
      <c r="F6" s="22">
        <v>1130.8499999999999</v>
      </c>
      <c r="G6" s="22"/>
      <c r="H6" s="17" t="s">
        <v>19</v>
      </c>
      <c r="I6" s="19" t="s">
        <v>20</v>
      </c>
      <c r="J6" s="19"/>
      <c r="K6" s="20" t="s">
        <v>13</v>
      </c>
      <c r="L6" s="21">
        <v>154587.41</v>
      </c>
    </row>
    <row r="7" spans="1:12" ht="163.19999999999999" hidden="1" x14ac:dyDescent="0.3">
      <c r="A7" s="15" t="s">
        <v>23</v>
      </c>
      <c r="B7" s="16" t="s">
        <v>24</v>
      </c>
      <c r="C7" s="16" t="s">
        <v>27</v>
      </c>
      <c r="D7" s="16" t="s">
        <v>26</v>
      </c>
      <c r="E7" s="17" t="s">
        <v>18</v>
      </c>
      <c r="F7" s="18">
        <v>774.14</v>
      </c>
      <c r="G7" s="18"/>
      <c r="H7" s="17" t="s">
        <v>19</v>
      </c>
      <c r="I7" s="19" t="s">
        <v>20</v>
      </c>
      <c r="J7" s="19"/>
      <c r="K7" s="20" t="s">
        <v>13</v>
      </c>
      <c r="L7" s="21">
        <v>155361.54999999999</v>
      </c>
    </row>
    <row r="8" spans="1:12" ht="163.19999999999999" hidden="1" x14ac:dyDescent="0.3">
      <c r="A8" s="15" t="s">
        <v>23</v>
      </c>
      <c r="B8" s="16" t="s">
        <v>24</v>
      </c>
      <c r="C8" s="16" t="s">
        <v>28</v>
      </c>
      <c r="D8" s="16" t="s">
        <v>26</v>
      </c>
      <c r="E8" s="17" t="s">
        <v>18</v>
      </c>
      <c r="F8" s="18">
        <v>53.11</v>
      </c>
      <c r="G8" s="18"/>
      <c r="H8" s="17" t="s">
        <v>19</v>
      </c>
      <c r="I8" s="19" t="s">
        <v>20</v>
      </c>
      <c r="J8" s="19"/>
      <c r="K8" s="20" t="s">
        <v>13</v>
      </c>
      <c r="L8" s="21">
        <v>155414.66</v>
      </c>
    </row>
    <row r="9" spans="1:12" ht="163.19999999999999" hidden="1" x14ac:dyDescent="0.3">
      <c r="A9" s="15" t="s">
        <v>23</v>
      </c>
      <c r="B9" s="16" t="s">
        <v>24</v>
      </c>
      <c r="C9" s="16" t="s">
        <v>29</v>
      </c>
      <c r="D9" s="16" t="s">
        <v>26</v>
      </c>
      <c r="E9" s="17" t="s">
        <v>18</v>
      </c>
      <c r="F9" s="18">
        <v>117.34</v>
      </c>
      <c r="G9" s="18"/>
      <c r="H9" s="17" t="s">
        <v>19</v>
      </c>
      <c r="I9" s="19" t="s">
        <v>20</v>
      </c>
      <c r="J9" s="19"/>
      <c r="K9" s="20" t="s">
        <v>13</v>
      </c>
      <c r="L9" s="21">
        <v>155532</v>
      </c>
    </row>
    <row r="10" spans="1:12" ht="163.19999999999999" hidden="1" x14ac:dyDescent="0.3">
      <c r="A10" s="15" t="s">
        <v>23</v>
      </c>
      <c r="B10" s="16" t="s">
        <v>24</v>
      </c>
      <c r="C10" s="16" t="s">
        <v>30</v>
      </c>
      <c r="D10" s="16" t="s">
        <v>26</v>
      </c>
      <c r="E10" s="17" t="s">
        <v>18</v>
      </c>
      <c r="F10" s="22">
        <v>3743.37</v>
      </c>
      <c r="G10" s="22"/>
      <c r="H10" s="17" t="s">
        <v>19</v>
      </c>
      <c r="I10" s="19" t="s">
        <v>20</v>
      </c>
      <c r="J10" s="19"/>
      <c r="K10" s="20" t="s">
        <v>13</v>
      </c>
      <c r="L10" s="21">
        <v>159275.37</v>
      </c>
    </row>
    <row r="11" spans="1:12" ht="163.19999999999999" hidden="1" x14ac:dyDescent="0.3">
      <c r="A11" s="15" t="s">
        <v>23</v>
      </c>
      <c r="B11" s="16" t="s">
        <v>24</v>
      </c>
      <c r="C11" s="16" t="s">
        <v>31</v>
      </c>
      <c r="D11" s="16" t="s">
        <v>26</v>
      </c>
      <c r="E11" s="17" t="s">
        <v>18</v>
      </c>
      <c r="F11" s="22">
        <v>2429.4699999999998</v>
      </c>
      <c r="G11" s="22"/>
      <c r="H11" s="17" t="s">
        <v>19</v>
      </c>
      <c r="I11" s="19" t="s">
        <v>20</v>
      </c>
      <c r="J11" s="19"/>
      <c r="K11" s="20" t="s">
        <v>13</v>
      </c>
      <c r="L11" s="21">
        <v>161704.84</v>
      </c>
    </row>
    <row r="12" spans="1:12" ht="163.19999999999999" hidden="1" x14ac:dyDescent="0.3">
      <c r="A12" s="15" t="s">
        <v>23</v>
      </c>
      <c r="B12" s="16" t="s">
        <v>24</v>
      </c>
      <c r="C12" s="16" t="s">
        <v>32</v>
      </c>
      <c r="D12" s="16" t="s">
        <v>26</v>
      </c>
      <c r="E12" s="17" t="s">
        <v>18</v>
      </c>
      <c r="F12" s="22">
        <v>1153.8399999999999</v>
      </c>
      <c r="G12" s="22"/>
      <c r="H12" s="17" t="s">
        <v>19</v>
      </c>
      <c r="I12" s="19" t="s">
        <v>20</v>
      </c>
      <c r="J12" s="19"/>
      <c r="K12" s="20" t="s">
        <v>13</v>
      </c>
      <c r="L12" s="21">
        <v>162858.68</v>
      </c>
    </row>
    <row r="13" spans="1:12" ht="163.19999999999999" hidden="1" x14ac:dyDescent="0.3">
      <c r="A13" s="15" t="s">
        <v>23</v>
      </c>
      <c r="B13" s="16" t="s">
        <v>24</v>
      </c>
      <c r="C13" s="16" t="s">
        <v>33</v>
      </c>
      <c r="D13" s="16" t="s">
        <v>26</v>
      </c>
      <c r="E13" s="17" t="s">
        <v>18</v>
      </c>
      <c r="F13" s="22">
        <v>4096.51</v>
      </c>
      <c r="G13" s="22"/>
      <c r="H13" s="17" t="s">
        <v>19</v>
      </c>
      <c r="I13" s="19" t="s">
        <v>20</v>
      </c>
      <c r="J13" s="19"/>
      <c r="K13" s="20" t="s">
        <v>13</v>
      </c>
      <c r="L13" s="21">
        <v>166955.19</v>
      </c>
    </row>
    <row r="14" spans="1:12" ht="163.19999999999999" hidden="1" x14ac:dyDescent="0.3">
      <c r="A14" s="15" t="s">
        <v>23</v>
      </c>
      <c r="B14" s="16" t="s">
        <v>24</v>
      </c>
      <c r="C14" s="16" t="s">
        <v>34</v>
      </c>
      <c r="D14" s="16" t="s">
        <v>26</v>
      </c>
      <c r="E14" s="17" t="s">
        <v>18</v>
      </c>
      <c r="F14" s="18">
        <v>364.54</v>
      </c>
      <c r="G14" s="18"/>
      <c r="H14" s="17" t="s">
        <v>19</v>
      </c>
      <c r="I14" s="19" t="s">
        <v>20</v>
      </c>
      <c r="J14" s="19"/>
      <c r="K14" s="20" t="s">
        <v>13</v>
      </c>
      <c r="L14" s="21">
        <v>167319.73000000001</v>
      </c>
    </row>
    <row r="15" spans="1:12" ht="163.19999999999999" hidden="1" x14ac:dyDescent="0.3">
      <c r="A15" s="15" t="s">
        <v>23</v>
      </c>
      <c r="B15" s="16" t="s">
        <v>24</v>
      </c>
      <c r="C15" s="16" t="s">
        <v>35</v>
      </c>
      <c r="D15" s="16" t="s">
        <v>26</v>
      </c>
      <c r="E15" s="17" t="s">
        <v>18</v>
      </c>
      <c r="F15" s="18">
        <v>952.33</v>
      </c>
      <c r="G15" s="18"/>
      <c r="H15" s="17" t="s">
        <v>19</v>
      </c>
      <c r="I15" s="19" t="s">
        <v>20</v>
      </c>
      <c r="J15" s="19"/>
      <c r="K15" s="20" t="s">
        <v>13</v>
      </c>
      <c r="L15" s="21">
        <v>168272.06</v>
      </c>
    </row>
    <row r="16" spans="1:12" ht="61.2" x14ac:dyDescent="0.3">
      <c r="A16" s="15" t="s">
        <v>36</v>
      </c>
      <c r="B16" s="16" t="s">
        <v>37</v>
      </c>
      <c r="C16" s="16" t="s">
        <v>38</v>
      </c>
      <c r="D16" s="16" t="s">
        <v>39</v>
      </c>
      <c r="E16" s="17" t="s">
        <v>40</v>
      </c>
      <c r="F16" s="23" t="s">
        <v>20</v>
      </c>
      <c r="G16" s="23"/>
      <c r="H16" s="17" t="s">
        <v>18</v>
      </c>
      <c r="I16" s="24">
        <v>13728.53</v>
      </c>
      <c r="J16" s="24"/>
      <c r="K16" s="20" t="s">
        <v>13</v>
      </c>
      <c r="L16" s="21">
        <v>154543.53</v>
      </c>
    </row>
    <row r="17" spans="1:12" ht="71.400000000000006" x14ac:dyDescent="0.3">
      <c r="A17" s="15" t="s">
        <v>36</v>
      </c>
      <c r="B17" s="16" t="s">
        <v>37</v>
      </c>
      <c r="C17" s="16" t="s">
        <v>38</v>
      </c>
      <c r="D17" s="16" t="s">
        <v>41</v>
      </c>
      <c r="E17" s="17" t="s">
        <v>40</v>
      </c>
      <c r="F17" s="23" t="s">
        <v>20</v>
      </c>
      <c r="G17" s="23"/>
      <c r="H17" s="17" t="s">
        <v>18</v>
      </c>
      <c r="I17" s="25">
        <v>712.98</v>
      </c>
      <c r="J17" s="25"/>
      <c r="K17" s="20" t="s">
        <v>13</v>
      </c>
      <c r="L17" s="21">
        <v>153830.54999999999</v>
      </c>
    </row>
    <row r="18" spans="1:12" ht="71.400000000000006" x14ac:dyDescent="0.3">
      <c r="A18" s="15" t="s">
        <v>36</v>
      </c>
      <c r="B18" s="16" t="s">
        <v>37</v>
      </c>
      <c r="C18" s="16" t="s">
        <v>38</v>
      </c>
      <c r="D18" s="16" t="s">
        <v>42</v>
      </c>
      <c r="E18" s="17" t="s">
        <v>40</v>
      </c>
      <c r="F18" s="23" t="s">
        <v>20</v>
      </c>
      <c r="G18" s="23"/>
      <c r="H18" s="17" t="s">
        <v>18</v>
      </c>
      <c r="I18" s="24">
        <v>1487.51</v>
      </c>
      <c r="J18" s="24"/>
      <c r="K18" s="20" t="s">
        <v>13</v>
      </c>
      <c r="L18" s="21">
        <v>152343.04000000001</v>
      </c>
    </row>
    <row r="19" spans="1:12" ht="61.2" x14ac:dyDescent="0.3">
      <c r="A19" s="15" t="s">
        <v>36</v>
      </c>
      <c r="B19" s="16" t="s">
        <v>43</v>
      </c>
      <c r="C19" s="16" t="s">
        <v>38</v>
      </c>
      <c r="D19" s="16" t="s">
        <v>44</v>
      </c>
      <c r="E19" s="17" t="s">
        <v>40</v>
      </c>
      <c r="F19" s="23" t="s">
        <v>20</v>
      </c>
      <c r="G19" s="23"/>
      <c r="H19" s="17" t="s">
        <v>18</v>
      </c>
      <c r="I19" s="24">
        <v>1141.5999999999999</v>
      </c>
      <c r="J19" s="24"/>
      <c r="K19" s="20" t="s">
        <v>13</v>
      </c>
      <c r="L19" s="21">
        <v>151201.44</v>
      </c>
    </row>
    <row r="20" spans="1:12" ht="61.2" x14ac:dyDescent="0.3">
      <c r="A20" s="15" t="s">
        <v>36</v>
      </c>
      <c r="B20" s="16" t="s">
        <v>43</v>
      </c>
      <c r="C20" s="16" t="s">
        <v>38</v>
      </c>
      <c r="D20" s="16" t="s">
        <v>45</v>
      </c>
      <c r="E20" s="17" t="s">
        <v>40</v>
      </c>
      <c r="F20" s="23" t="s">
        <v>20</v>
      </c>
      <c r="G20" s="23"/>
      <c r="H20" s="17" t="s">
        <v>18</v>
      </c>
      <c r="I20" s="24">
        <v>1246.07</v>
      </c>
      <c r="J20" s="24"/>
      <c r="K20" s="20" t="s">
        <v>13</v>
      </c>
      <c r="L20" s="21">
        <v>149955.37</v>
      </c>
    </row>
    <row r="21" spans="1:12" ht="71.400000000000006" x14ac:dyDescent="0.3">
      <c r="A21" s="15" t="s">
        <v>46</v>
      </c>
      <c r="B21" s="16" t="s">
        <v>47</v>
      </c>
      <c r="C21" s="16" t="s">
        <v>38</v>
      </c>
      <c r="D21" s="16" t="s">
        <v>48</v>
      </c>
      <c r="E21" s="17" t="s">
        <v>40</v>
      </c>
      <c r="F21" s="23" t="s">
        <v>20</v>
      </c>
      <c r="G21" s="23"/>
      <c r="H21" s="17" t="s">
        <v>18</v>
      </c>
      <c r="I21" s="24">
        <v>9707.0400000000009</v>
      </c>
      <c r="J21" s="24"/>
      <c r="K21" s="20" t="s">
        <v>13</v>
      </c>
      <c r="L21" s="21">
        <v>140248.32999999999</v>
      </c>
    </row>
    <row r="22" spans="1:12" ht="71.400000000000006" x14ac:dyDescent="0.3">
      <c r="A22" s="15" t="s">
        <v>46</v>
      </c>
      <c r="B22" s="16" t="s">
        <v>47</v>
      </c>
      <c r="C22" s="16" t="s">
        <v>38</v>
      </c>
      <c r="D22" s="16" t="s">
        <v>42</v>
      </c>
      <c r="E22" s="17" t="s">
        <v>40</v>
      </c>
      <c r="F22" s="23" t="s">
        <v>20</v>
      </c>
      <c r="G22" s="23"/>
      <c r="H22" s="17" t="s">
        <v>18</v>
      </c>
      <c r="I22" s="25">
        <v>665.17</v>
      </c>
      <c r="J22" s="25"/>
      <c r="K22" s="20" t="s">
        <v>13</v>
      </c>
      <c r="L22" s="21">
        <v>139583.16</v>
      </c>
    </row>
    <row r="23" spans="1:12" hidden="1" x14ac:dyDescent="0.3">
      <c r="A23" s="26" t="s">
        <v>49</v>
      </c>
      <c r="B23" s="26"/>
      <c r="C23" s="26"/>
      <c r="D23" s="26"/>
      <c r="E23" s="27">
        <v>15441.92</v>
      </c>
      <c r="F23" s="27"/>
      <c r="G23" s="27"/>
      <c r="H23" s="27">
        <v>28688.9</v>
      </c>
      <c r="I23" s="27"/>
      <c r="J23" s="27"/>
      <c r="K23" s="28" t="s">
        <v>13</v>
      </c>
      <c r="L23" s="29">
        <v>139583.16</v>
      </c>
    </row>
    <row r="25" spans="1:12" x14ac:dyDescent="0.3">
      <c r="J25" s="88">
        <f>SUBTOTAL(9,I16:J22)</f>
        <v>28688.899999999998</v>
      </c>
    </row>
  </sheetData>
  <autoFilter ref="A1:L23" xr:uid="{807ABB6E-96F2-473F-8C5B-94B39E7F4B39}">
    <filterColumn colId="1">
      <filters>
        <filter val="Вимога-накладна ІБ00-000274 від 25.04.2025 12:26:50_x000a_Списаны ТМЦ"/>
        <filter val="Вимога-накладна ІБ00-000299 від 30.04.2025 14:14:23_x000a_Списаны ТМЦ"/>
        <filter val="Списання товарів ІБ00-000205 від 25.04.2025 12:31:35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52">
    <mergeCell ref="F22:G22"/>
    <mergeCell ref="I22:J22"/>
    <mergeCell ref="A23:D23"/>
    <mergeCell ref="E23:G23"/>
    <mergeCell ref="H23:J23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B29CA-0EA2-4CA5-B74A-C5E7D7974159}">
  <dimension ref="A1:L235"/>
  <sheetViews>
    <sheetView workbookViewId="0">
      <selection activeCell="F4" sqref="F4:G4"/>
    </sheetView>
  </sheetViews>
  <sheetFormatPr defaultRowHeight="14.4" x14ac:dyDescent="0.3"/>
  <cols>
    <col min="1" max="1" width="8.88671875" style="94"/>
    <col min="2" max="4" width="20.21875" style="94" customWidth="1"/>
    <col min="5" max="11" width="8.88671875" style="94"/>
    <col min="12" max="12" width="10.109375" style="94" bestFit="1" customWidth="1"/>
    <col min="13" max="16384" width="8.88671875" style="94"/>
  </cols>
  <sheetData>
    <row r="1" spans="1:12" x14ac:dyDescent="0.3">
      <c r="A1" s="89" t="s">
        <v>5</v>
      </c>
      <c r="B1" s="90" t="s">
        <v>6</v>
      </c>
      <c r="C1" s="90" t="s">
        <v>7</v>
      </c>
      <c r="D1" s="91" t="s">
        <v>8</v>
      </c>
      <c r="E1" s="92" t="s">
        <v>9</v>
      </c>
      <c r="F1" s="92"/>
      <c r="G1" s="92"/>
      <c r="H1" s="93" t="s">
        <v>10</v>
      </c>
      <c r="I1" s="93"/>
      <c r="J1" s="93"/>
      <c r="K1" s="90" t="s">
        <v>11</v>
      </c>
      <c r="L1" s="90"/>
    </row>
    <row r="2" spans="1:12" x14ac:dyDescent="0.3">
      <c r="A2" s="95"/>
      <c r="B2" s="96"/>
      <c r="C2" s="96"/>
      <c r="D2" s="97"/>
      <c r="E2" s="98" t="s">
        <v>12</v>
      </c>
      <c r="F2" s="99"/>
      <c r="G2" s="99"/>
      <c r="H2" s="100" t="s">
        <v>12</v>
      </c>
      <c r="I2" s="101"/>
      <c r="J2" s="101"/>
      <c r="K2" s="95"/>
      <c r="L2" s="102"/>
    </row>
    <row r="3" spans="1:12" ht="71.400000000000006" x14ac:dyDescent="0.3">
      <c r="A3" s="103" t="s">
        <v>14</v>
      </c>
      <c r="B3" s="104" t="s">
        <v>50</v>
      </c>
      <c r="C3" s="104" t="s">
        <v>51</v>
      </c>
      <c r="D3" s="104" t="s">
        <v>52</v>
      </c>
      <c r="E3" s="105" t="s">
        <v>18</v>
      </c>
      <c r="F3" s="106" t="s">
        <v>20</v>
      </c>
      <c r="G3" s="106"/>
      <c r="H3" s="105" t="s">
        <v>18</v>
      </c>
      <c r="I3" s="107">
        <v>693.49</v>
      </c>
      <c r="J3" s="107"/>
      <c r="K3" s="108" t="s">
        <v>13</v>
      </c>
      <c r="L3" s="109">
        <v>43645.3</v>
      </c>
    </row>
    <row r="4" spans="1:12" ht="81.599999999999994" x14ac:dyDescent="0.3">
      <c r="A4" s="103" t="s">
        <v>53</v>
      </c>
      <c r="B4" s="104" t="s">
        <v>54</v>
      </c>
      <c r="C4" s="104" t="s">
        <v>55</v>
      </c>
      <c r="D4" s="104" t="s">
        <v>56</v>
      </c>
      <c r="E4" s="105" t="s">
        <v>18</v>
      </c>
      <c r="F4" s="110">
        <v>10195.76</v>
      </c>
      <c r="G4" s="110"/>
      <c r="H4" s="105" t="s">
        <v>19</v>
      </c>
      <c r="I4" s="111" t="s">
        <v>20</v>
      </c>
      <c r="J4" s="111"/>
      <c r="K4" s="108" t="s">
        <v>13</v>
      </c>
      <c r="L4" s="109">
        <v>53841.06</v>
      </c>
    </row>
    <row r="5" spans="1:12" ht="81.599999999999994" x14ac:dyDescent="0.3">
      <c r="A5" s="103" t="s">
        <v>53</v>
      </c>
      <c r="B5" s="104" t="s">
        <v>54</v>
      </c>
      <c r="C5" s="104" t="s">
        <v>57</v>
      </c>
      <c r="D5" s="104" t="s">
        <v>56</v>
      </c>
      <c r="E5" s="105" t="s">
        <v>18</v>
      </c>
      <c r="F5" s="110">
        <v>8249</v>
      </c>
      <c r="G5" s="110"/>
      <c r="H5" s="105" t="s">
        <v>19</v>
      </c>
      <c r="I5" s="111" t="s">
        <v>20</v>
      </c>
      <c r="J5" s="111"/>
      <c r="K5" s="108" t="s">
        <v>13</v>
      </c>
      <c r="L5" s="109">
        <v>62090.06</v>
      </c>
    </row>
    <row r="6" spans="1:12" ht="81.599999999999994" x14ac:dyDescent="0.3">
      <c r="A6" s="103" t="s">
        <v>53</v>
      </c>
      <c r="B6" s="104" t="s">
        <v>54</v>
      </c>
      <c r="C6" s="104" t="s">
        <v>58</v>
      </c>
      <c r="D6" s="104" t="s">
        <v>56</v>
      </c>
      <c r="E6" s="105" t="s">
        <v>18</v>
      </c>
      <c r="F6" s="110">
        <v>52133.94</v>
      </c>
      <c r="G6" s="110"/>
      <c r="H6" s="105" t="s">
        <v>19</v>
      </c>
      <c r="I6" s="111" t="s">
        <v>20</v>
      </c>
      <c r="J6" s="111"/>
      <c r="K6" s="108" t="s">
        <v>13</v>
      </c>
      <c r="L6" s="109">
        <v>114224</v>
      </c>
    </row>
    <row r="7" spans="1:12" ht="81.599999999999994" x14ac:dyDescent="0.3">
      <c r="A7" s="103" t="s">
        <v>53</v>
      </c>
      <c r="B7" s="104" t="s">
        <v>54</v>
      </c>
      <c r="C7" s="104" t="s">
        <v>59</v>
      </c>
      <c r="D7" s="104" t="s">
        <v>56</v>
      </c>
      <c r="E7" s="105" t="s">
        <v>18</v>
      </c>
      <c r="F7" s="110">
        <v>65252.88</v>
      </c>
      <c r="G7" s="110"/>
      <c r="H7" s="105" t="s">
        <v>19</v>
      </c>
      <c r="I7" s="111" t="s">
        <v>20</v>
      </c>
      <c r="J7" s="111"/>
      <c r="K7" s="108" t="s">
        <v>13</v>
      </c>
      <c r="L7" s="109">
        <v>179476.88</v>
      </c>
    </row>
    <row r="8" spans="1:12" ht="81.599999999999994" x14ac:dyDescent="0.3">
      <c r="A8" s="103" t="s">
        <v>53</v>
      </c>
      <c r="B8" s="104" t="s">
        <v>54</v>
      </c>
      <c r="C8" s="104" t="s">
        <v>60</v>
      </c>
      <c r="D8" s="104" t="s">
        <v>56</v>
      </c>
      <c r="E8" s="105" t="s">
        <v>18</v>
      </c>
      <c r="F8" s="110">
        <v>55931.040000000001</v>
      </c>
      <c r="G8" s="110"/>
      <c r="H8" s="105" t="s">
        <v>19</v>
      </c>
      <c r="I8" s="111" t="s">
        <v>20</v>
      </c>
      <c r="J8" s="111"/>
      <c r="K8" s="108" t="s">
        <v>13</v>
      </c>
      <c r="L8" s="109">
        <v>235407.92</v>
      </c>
    </row>
    <row r="9" spans="1:12" ht="81.599999999999994" x14ac:dyDescent="0.3">
      <c r="A9" s="103" t="s">
        <v>53</v>
      </c>
      <c r="B9" s="104" t="s">
        <v>54</v>
      </c>
      <c r="C9" s="104" t="s">
        <v>61</v>
      </c>
      <c r="D9" s="104" t="s">
        <v>56</v>
      </c>
      <c r="E9" s="105" t="s">
        <v>18</v>
      </c>
      <c r="F9" s="110">
        <v>144253.44</v>
      </c>
      <c r="G9" s="110"/>
      <c r="H9" s="105" t="s">
        <v>19</v>
      </c>
      <c r="I9" s="111" t="s">
        <v>20</v>
      </c>
      <c r="J9" s="111"/>
      <c r="K9" s="108" t="s">
        <v>13</v>
      </c>
      <c r="L9" s="109">
        <v>379661.36</v>
      </c>
    </row>
    <row r="10" spans="1:12" ht="81.599999999999994" x14ac:dyDescent="0.3">
      <c r="A10" s="103" t="s">
        <v>53</v>
      </c>
      <c r="B10" s="104" t="s">
        <v>54</v>
      </c>
      <c r="C10" s="104" t="s">
        <v>62</v>
      </c>
      <c r="D10" s="104" t="s">
        <v>56</v>
      </c>
      <c r="E10" s="105" t="s">
        <v>18</v>
      </c>
      <c r="F10" s="110">
        <v>157276.32</v>
      </c>
      <c r="G10" s="110"/>
      <c r="H10" s="105" t="s">
        <v>19</v>
      </c>
      <c r="I10" s="111" t="s">
        <v>20</v>
      </c>
      <c r="J10" s="111"/>
      <c r="K10" s="108" t="s">
        <v>13</v>
      </c>
      <c r="L10" s="109">
        <v>536937.68000000005</v>
      </c>
    </row>
    <row r="11" spans="1:12" ht="81.599999999999994" x14ac:dyDescent="0.3">
      <c r="A11" s="103" t="s">
        <v>53</v>
      </c>
      <c r="B11" s="104" t="s">
        <v>54</v>
      </c>
      <c r="C11" s="104" t="s">
        <v>63</v>
      </c>
      <c r="D11" s="104" t="s">
        <v>56</v>
      </c>
      <c r="E11" s="105" t="s">
        <v>18</v>
      </c>
      <c r="F11" s="110">
        <v>18616.8</v>
      </c>
      <c r="G11" s="110"/>
      <c r="H11" s="105" t="s">
        <v>19</v>
      </c>
      <c r="I11" s="111" t="s">
        <v>20</v>
      </c>
      <c r="J11" s="111"/>
      <c r="K11" s="108" t="s">
        <v>13</v>
      </c>
      <c r="L11" s="109">
        <v>555554.48</v>
      </c>
    </row>
    <row r="12" spans="1:12" ht="81.599999999999994" x14ac:dyDescent="0.3">
      <c r="A12" s="103" t="s">
        <v>53</v>
      </c>
      <c r="B12" s="104" t="s">
        <v>54</v>
      </c>
      <c r="C12" s="104" t="s">
        <v>64</v>
      </c>
      <c r="D12" s="104" t="s">
        <v>56</v>
      </c>
      <c r="E12" s="105" t="s">
        <v>18</v>
      </c>
      <c r="F12" s="110">
        <v>14778.4</v>
      </c>
      <c r="G12" s="110"/>
      <c r="H12" s="105" t="s">
        <v>19</v>
      </c>
      <c r="I12" s="111" t="s">
        <v>20</v>
      </c>
      <c r="J12" s="111"/>
      <c r="K12" s="108" t="s">
        <v>13</v>
      </c>
      <c r="L12" s="109">
        <v>570332.88</v>
      </c>
    </row>
    <row r="13" spans="1:12" ht="81.599999999999994" x14ac:dyDescent="0.3">
      <c r="A13" s="103" t="s">
        <v>53</v>
      </c>
      <c r="B13" s="104" t="s">
        <v>54</v>
      </c>
      <c r="C13" s="104" t="s">
        <v>65</v>
      </c>
      <c r="D13" s="104" t="s">
        <v>56</v>
      </c>
      <c r="E13" s="105" t="s">
        <v>18</v>
      </c>
      <c r="F13" s="110">
        <v>131622.07999999999</v>
      </c>
      <c r="G13" s="110"/>
      <c r="H13" s="105" t="s">
        <v>19</v>
      </c>
      <c r="I13" s="111" t="s">
        <v>20</v>
      </c>
      <c r="J13" s="111"/>
      <c r="K13" s="108" t="s">
        <v>13</v>
      </c>
      <c r="L13" s="109">
        <v>701954.96</v>
      </c>
    </row>
    <row r="14" spans="1:12" ht="81.599999999999994" x14ac:dyDescent="0.3">
      <c r="A14" s="103" t="s">
        <v>53</v>
      </c>
      <c r="B14" s="104" t="s">
        <v>54</v>
      </c>
      <c r="C14" s="104" t="s">
        <v>66</v>
      </c>
      <c r="D14" s="104" t="s">
        <v>56</v>
      </c>
      <c r="E14" s="105" t="s">
        <v>18</v>
      </c>
      <c r="F14" s="110">
        <v>4161.74</v>
      </c>
      <c r="G14" s="110"/>
      <c r="H14" s="105" t="s">
        <v>19</v>
      </c>
      <c r="I14" s="111" t="s">
        <v>20</v>
      </c>
      <c r="J14" s="111"/>
      <c r="K14" s="108" t="s">
        <v>13</v>
      </c>
      <c r="L14" s="109">
        <v>706116.7</v>
      </c>
    </row>
    <row r="15" spans="1:12" ht="81.599999999999994" x14ac:dyDescent="0.3">
      <c r="A15" s="103" t="s">
        <v>53</v>
      </c>
      <c r="B15" s="104" t="s">
        <v>54</v>
      </c>
      <c r="C15" s="104" t="s">
        <v>67</v>
      </c>
      <c r="D15" s="104" t="s">
        <v>56</v>
      </c>
      <c r="E15" s="105" t="s">
        <v>18</v>
      </c>
      <c r="F15" s="110">
        <v>10404.33</v>
      </c>
      <c r="G15" s="110"/>
      <c r="H15" s="105" t="s">
        <v>19</v>
      </c>
      <c r="I15" s="111" t="s">
        <v>20</v>
      </c>
      <c r="J15" s="111"/>
      <c r="K15" s="108" t="s">
        <v>13</v>
      </c>
      <c r="L15" s="109">
        <v>716521.03</v>
      </c>
    </row>
    <row r="16" spans="1:12" ht="81.599999999999994" x14ac:dyDescent="0.3">
      <c r="A16" s="103" t="s">
        <v>53</v>
      </c>
      <c r="B16" s="104" t="s">
        <v>54</v>
      </c>
      <c r="C16" s="104" t="s">
        <v>68</v>
      </c>
      <c r="D16" s="104" t="s">
        <v>56</v>
      </c>
      <c r="E16" s="105" t="s">
        <v>18</v>
      </c>
      <c r="F16" s="110">
        <v>68580.72</v>
      </c>
      <c r="G16" s="110"/>
      <c r="H16" s="105" t="s">
        <v>19</v>
      </c>
      <c r="I16" s="111" t="s">
        <v>20</v>
      </c>
      <c r="J16" s="111"/>
      <c r="K16" s="108" t="s">
        <v>13</v>
      </c>
      <c r="L16" s="109">
        <v>785101.75</v>
      </c>
    </row>
    <row r="17" spans="1:12" ht="81.599999999999994" x14ac:dyDescent="0.3">
      <c r="A17" s="103" t="s">
        <v>53</v>
      </c>
      <c r="B17" s="104" t="s">
        <v>54</v>
      </c>
      <c r="C17" s="104" t="s">
        <v>69</v>
      </c>
      <c r="D17" s="104" t="s">
        <v>56</v>
      </c>
      <c r="E17" s="105" t="s">
        <v>18</v>
      </c>
      <c r="F17" s="110">
        <v>64800</v>
      </c>
      <c r="G17" s="110"/>
      <c r="H17" s="105" t="s">
        <v>19</v>
      </c>
      <c r="I17" s="111" t="s">
        <v>20</v>
      </c>
      <c r="J17" s="111"/>
      <c r="K17" s="108" t="s">
        <v>13</v>
      </c>
      <c r="L17" s="109">
        <v>849901.75</v>
      </c>
    </row>
    <row r="18" spans="1:12" ht="81.599999999999994" x14ac:dyDescent="0.3">
      <c r="A18" s="103" t="s">
        <v>53</v>
      </c>
      <c r="B18" s="104" t="s">
        <v>70</v>
      </c>
      <c r="C18" s="104" t="s">
        <v>55</v>
      </c>
      <c r="D18" s="104" t="s">
        <v>56</v>
      </c>
      <c r="E18" s="105" t="s">
        <v>18</v>
      </c>
      <c r="F18" s="112">
        <v>73.77</v>
      </c>
      <c r="G18" s="112"/>
      <c r="H18" s="105" t="s">
        <v>19</v>
      </c>
      <c r="I18" s="111" t="s">
        <v>20</v>
      </c>
      <c r="J18" s="111"/>
      <c r="K18" s="108" t="s">
        <v>13</v>
      </c>
      <c r="L18" s="109">
        <v>849975.52</v>
      </c>
    </row>
    <row r="19" spans="1:12" ht="81.599999999999994" x14ac:dyDescent="0.3">
      <c r="A19" s="103" t="s">
        <v>53</v>
      </c>
      <c r="B19" s="104" t="s">
        <v>70</v>
      </c>
      <c r="C19" s="104" t="s">
        <v>57</v>
      </c>
      <c r="D19" s="104" t="s">
        <v>56</v>
      </c>
      <c r="E19" s="105" t="s">
        <v>18</v>
      </c>
      <c r="F19" s="112">
        <v>59.68</v>
      </c>
      <c r="G19" s="112"/>
      <c r="H19" s="105" t="s">
        <v>19</v>
      </c>
      <c r="I19" s="111" t="s">
        <v>20</v>
      </c>
      <c r="J19" s="111"/>
      <c r="K19" s="108" t="s">
        <v>13</v>
      </c>
      <c r="L19" s="109">
        <v>850035.19999999995</v>
      </c>
    </row>
    <row r="20" spans="1:12" ht="81.599999999999994" x14ac:dyDescent="0.3">
      <c r="A20" s="103" t="s">
        <v>53</v>
      </c>
      <c r="B20" s="104" t="s">
        <v>70</v>
      </c>
      <c r="C20" s="104" t="s">
        <v>58</v>
      </c>
      <c r="D20" s="104" t="s">
        <v>56</v>
      </c>
      <c r="E20" s="105" t="s">
        <v>18</v>
      </c>
      <c r="F20" s="112">
        <v>377.19</v>
      </c>
      <c r="G20" s="112"/>
      <c r="H20" s="105" t="s">
        <v>19</v>
      </c>
      <c r="I20" s="111" t="s">
        <v>20</v>
      </c>
      <c r="J20" s="111"/>
      <c r="K20" s="108" t="s">
        <v>13</v>
      </c>
      <c r="L20" s="109">
        <v>850412.39</v>
      </c>
    </row>
    <row r="21" spans="1:12" ht="81.599999999999994" x14ac:dyDescent="0.3">
      <c r="A21" s="103" t="s">
        <v>53</v>
      </c>
      <c r="B21" s="104" t="s">
        <v>70</v>
      </c>
      <c r="C21" s="104" t="s">
        <v>59</v>
      </c>
      <c r="D21" s="104" t="s">
        <v>56</v>
      </c>
      <c r="E21" s="105" t="s">
        <v>18</v>
      </c>
      <c r="F21" s="112">
        <v>472.11</v>
      </c>
      <c r="G21" s="112"/>
      <c r="H21" s="105" t="s">
        <v>19</v>
      </c>
      <c r="I21" s="111" t="s">
        <v>20</v>
      </c>
      <c r="J21" s="111"/>
      <c r="K21" s="108" t="s">
        <v>13</v>
      </c>
      <c r="L21" s="109">
        <v>850884.5</v>
      </c>
    </row>
    <row r="22" spans="1:12" ht="81.599999999999994" x14ac:dyDescent="0.3">
      <c r="A22" s="103" t="s">
        <v>53</v>
      </c>
      <c r="B22" s="104" t="s">
        <v>70</v>
      </c>
      <c r="C22" s="104" t="s">
        <v>60</v>
      </c>
      <c r="D22" s="104" t="s">
        <v>56</v>
      </c>
      <c r="E22" s="105" t="s">
        <v>18</v>
      </c>
      <c r="F22" s="112">
        <v>404.67</v>
      </c>
      <c r="G22" s="112"/>
      <c r="H22" s="105" t="s">
        <v>19</v>
      </c>
      <c r="I22" s="111" t="s">
        <v>20</v>
      </c>
      <c r="J22" s="111"/>
      <c r="K22" s="108" t="s">
        <v>13</v>
      </c>
      <c r="L22" s="109">
        <v>851289.17</v>
      </c>
    </row>
    <row r="23" spans="1:12" ht="81.599999999999994" x14ac:dyDescent="0.3">
      <c r="A23" s="103" t="s">
        <v>53</v>
      </c>
      <c r="B23" s="104" t="s">
        <v>70</v>
      </c>
      <c r="C23" s="104" t="s">
        <v>61</v>
      </c>
      <c r="D23" s="104" t="s">
        <v>56</v>
      </c>
      <c r="E23" s="105" t="s">
        <v>18</v>
      </c>
      <c r="F23" s="110">
        <v>1043.69</v>
      </c>
      <c r="G23" s="110"/>
      <c r="H23" s="105" t="s">
        <v>19</v>
      </c>
      <c r="I23" s="111" t="s">
        <v>20</v>
      </c>
      <c r="J23" s="111"/>
      <c r="K23" s="108" t="s">
        <v>13</v>
      </c>
      <c r="L23" s="109">
        <v>852332.86</v>
      </c>
    </row>
    <row r="24" spans="1:12" ht="81.599999999999994" x14ac:dyDescent="0.3">
      <c r="A24" s="103" t="s">
        <v>53</v>
      </c>
      <c r="B24" s="104" t="s">
        <v>70</v>
      </c>
      <c r="C24" s="104" t="s">
        <v>62</v>
      </c>
      <c r="D24" s="104" t="s">
        <v>56</v>
      </c>
      <c r="E24" s="105" t="s">
        <v>18</v>
      </c>
      <c r="F24" s="110">
        <v>1137.9000000000001</v>
      </c>
      <c r="G24" s="110"/>
      <c r="H24" s="105" t="s">
        <v>19</v>
      </c>
      <c r="I24" s="111" t="s">
        <v>20</v>
      </c>
      <c r="J24" s="111"/>
      <c r="K24" s="108" t="s">
        <v>13</v>
      </c>
      <c r="L24" s="109">
        <v>853470.76</v>
      </c>
    </row>
    <row r="25" spans="1:12" ht="81.599999999999994" x14ac:dyDescent="0.3">
      <c r="A25" s="103" t="s">
        <v>53</v>
      </c>
      <c r="B25" s="104" t="s">
        <v>70</v>
      </c>
      <c r="C25" s="104" t="s">
        <v>63</v>
      </c>
      <c r="D25" s="104" t="s">
        <v>56</v>
      </c>
      <c r="E25" s="105" t="s">
        <v>18</v>
      </c>
      <c r="F25" s="112">
        <v>134.69</v>
      </c>
      <c r="G25" s="112"/>
      <c r="H25" s="105" t="s">
        <v>19</v>
      </c>
      <c r="I25" s="111" t="s">
        <v>20</v>
      </c>
      <c r="J25" s="111"/>
      <c r="K25" s="108" t="s">
        <v>13</v>
      </c>
      <c r="L25" s="109">
        <v>853605.45</v>
      </c>
    </row>
    <row r="26" spans="1:12" ht="81.599999999999994" x14ac:dyDescent="0.3">
      <c r="A26" s="103" t="s">
        <v>53</v>
      </c>
      <c r="B26" s="104" t="s">
        <v>70</v>
      </c>
      <c r="C26" s="104" t="s">
        <v>64</v>
      </c>
      <c r="D26" s="104" t="s">
        <v>56</v>
      </c>
      <c r="E26" s="105" t="s">
        <v>18</v>
      </c>
      <c r="F26" s="112">
        <v>106.92</v>
      </c>
      <c r="G26" s="112"/>
      <c r="H26" s="105" t="s">
        <v>19</v>
      </c>
      <c r="I26" s="111" t="s">
        <v>20</v>
      </c>
      <c r="J26" s="111"/>
      <c r="K26" s="108" t="s">
        <v>13</v>
      </c>
      <c r="L26" s="109">
        <v>853712.37</v>
      </c>
    </row>
    <row r="27" spans="1:12" ht="81.599999999999994" x14ac:dyDescent="0.3">
      <c r="A27" s="103" t="s">
        <v>53</v>
      </c>
      <c r="B27" s="104" t="s">
        <v>70</v>
      </c>
      <c r="C27" s="104" t="s">
        <v>65</v>
      </c>
      <c r="D27" s="104" t="s">
        <v>56</v>
      </c>
      <c r="E27" s="105" t="s">
        <v>18</v>
      </c>
      <c r="F27" s="112">
        <v>952.3</v>
      </c>
      <c r="G27" s="112"/>
      <c r="H27" s="105" t="s">
        <v>19</v>
      </c>
      <c r="I27" s="111" t="s">
        <v>20</v>
      </c>
      <c r="J27" s="111"/>
      <c r="K27" s="108" t="s">
        <v>13</v>
      </c>
      <c r="L27" s="109">
        <v>854664.67</v>
      </c>
    </row>
    <row r="28" spans="1:12" ht="81.599999999999994" x14ac:dyDescent="0.3">
      <c r="A28" s="103" t="s">
        <v>53</v>
      </c>
      <c r="B28" s="104" t="s">
        <v>70</v>
      </c>
      <c r="C28" s="104" t="s">
        <v>66</v>
      </c>
      <c r="D28" s="104" t="s">
        <v>56</v>
      </c>
      <c r="E28" s="105" t="s">
        <v>18</v>
      </c>
      <c r="F28" s="112">
        <v>30.11</v>
      </c>
      <c r="G28" s="112"/>
      <c r="H28" s="105" t="s">
        <v>19</v>
      </c>
      <c r="I28" s="111" t="s">
        <v>20</v>
      </c>
      <c r="J28" s="111"/>
      <c r="K28" s="108" t="s">
        <v>13</v>
      </c>
      <c r="L28" s="109">
        <v>854694.78</v>
      </c>
    </row>
    <row r="29" spans="1:12" ht="81.599999999999994" x14ac:dyDescent="0.3">
      <c r="A29" s="103" t="s">
        <v>53</v>
      </c>
      <c r="B29" s="104" t="s">
        <v>70</v>
      </c>
      <c r="C29" s="104" t="s">
        <v>67</v>
      </c>
      <c r="D29" s="104" t="s">
        <v>56</v>
      </c>
      <c r="E29" s="105" t="s">
        <v>18</v>
      </c>
      <c r="F29" s="112">
        <v>75.28</v>
      </c>
      <c r="G29" s="112"/>
      <c r="H29" s="105" t="s">
        <v>19</v>
      </c>
      <c r="I29" s="111" t="s">
        <v>20</v>
      </c>
      <c r="J29" s="111"/>
      <c r="K29" s="108" t="s">
        <v>13</v>
      </c>
      <c r="L29" s="109">
        <v>854770.06</v>
      </c>
    </row>
    <row r="30" spans="1:12" ht="81.599999999999994" x14ac:dyDescent="0.3">
      <c r="A30" s="103" t="s">
        <v>53</v>
      </c>
      <c r="B30" s="104" t="s">
        <v>70</v>
      </c>
      <c r="C30" s="104" t="s">
        <v>68</v>
      </c>
      <c r="D30" s="104" t="s">
        <v>56</v>
      </c>
      <c r="E30" s="105" t="s">
        <v>18</v>
      </c>
      <c r="F30" s="112">
        <v>496.19</v>
      </c>
      <c r="G30" s="112"/>
      <c r="H30" s="105" t="s">
        <v>19</v>
      </c>
      <c r="I30" s="111" t="s">
        <v>20</v>
      </c>
      <c r="J30" s="111"/>
      <c r="K30" s="108" t="s">
        <v>13</v>
      </c>
      <c r="L30" s="109">
        <v>855266.25</v>
      </c>
    </row>
    <row r="31" spans="1:12" ht="81.599999999999994" x14ac:dyDescent="0.3">
      <c r="A31" s="103" t="s">
        <v>53</v>
      </c>
      <c r="B31" s="104" t="s">
        <v>70</v>
      </c>
      <c r="C31" s="104" t="s">
        <v>69</v>
      </c>
      <c r="D31" s="104" t="s">
        <v>56</v>
      </c>
      <c r="E31" s="105" t="s">
        <v>18</v>
      </c>
      <c r="F31" s="112">
        <v>468.83</v>
      </c>
      <c r="G31" s="112"/>
      <c r="H31" s="105" t="s">
        <v>19</v>
      </c>
      <c r="I31" s="111" t="s">
        <v>20</v>
      </c>
      <c r="J31" s="111"/>
      <c r="K31" s="108" t="s">
        <v>13</v>
      </c>
      <c r="L31" s="109">
        <v>855735.08</v>
      </c>
    </row>
    <row r="32" spans="1:12" ht="81.599999999999994" x14ac:dyDescent="0.3">
      <c r="A32" s="103" t="s">
        <v>71</v>
      </c>
      <c r="B32" s="104" t="s">
        <v>72</v>
      </c>
      <c r="C32" s="104" t="s">
        <v>73</v>
      </c>
      <c r="D32" s="104" t="s">
        <v>56</v>
      </c>
      <c r="E32" s="105" t="s">
        <v>18</v>
      </c>
      <c r="F32" s="110">
        <v>116099.28</v>
      </c>
      <c r="G32" s="110"/>
      <c r="H32" s="105" t="s">
        <v>19</v>
      </c>
      <c r="I32" s="111" t="s">
        <v>20</v>
      </c>
      <c r="J32" s="111"/>
      <c r="K32" s="108" t="s">
        <v>13</v>
      </c>
      <c r="L32" s="109">
        <v>971834.36</v>
      </c>
    </row>
    <row r="33" spans="1:12" ht="81.599999999999994" x14ac:dyDescent="0.3">
      <c r="A33" s="103" t="s">
        <v>71</v>
      </c>
      <c r="B33" s="104" t="s">
        <v>72</v>
      </c>
      <c r="C33" s="104" t="s">
        <v>74</v>
      </c>
      <c r="D33" s="104" t="s">
        <v>56</v>
      </c>
      <c r="E33" s="105" t="s">
        <v>18</v>
      </c>
      <c r="F33" s="110">
        <v>192210</v>
      </c>
      <c r="G33" s="110"/>
      <c r="H33" s="105" t="s">
        <v>19</v>
      </c>
      <c r="I33" s="111" t="s">
        <v>20</v>
      </c>
      <c r="J33" s="111"/>
      <c r="K33" s="108" t="s">
        <v>13</v>
      </c>
      <c r="L33" s="109">
        <v>1164044.3600000001</v>
      </c>
    </row>
    <row r="34" spans="1:12" ht="81.599999999999994" x14ac:dyDescent="0.3">
      <c r="A34" s="103" t="s">
        <v>71</v>
      </c>
      <c r="B34" s="104" t="s">
        <v>72</v>
      </c>
      <c r="C34" s="104" t="s">
        <v>75</v>
      </c>
      <c r="D34" s="104" t="s">
        <v>56</v>
      </c>
      <c r="E34" s="105" t="s">
        <v>18</v>
      </c>
      <c r="F34" s="110">
        <v>97500</v>
      </c>
      <c r="G34" s="110"/>
      <c r="H34" s="105" t="s">
        <v>19</v>
      </c>
      <c r="I34" s="111" t="s">
        <v>20</v>
      </c>
      <c r="J34" s="111"/>
      <c r="K34" s="108" t="s">
        <v>13</v>
      </c>
      <c r="L34" s="109">
        <v>1261544.3600000001</v>
      </c>
    </row>
    <row r="35" spans="1:12" ht="81.599999999999994" x14ac:dyDescent="0.3">
      <c r="A35" s="103" t="s">
        <v>71</v>
      </c>
      <c r="B35" s="104" t="s">
        <v>72</v>
      </c>
      <c r="C35" s="104" t="s">
        <v>76</v>
      </c>
      <c r="D35" s="104" t="s">
        <v>56</v>
      </c>
      <c r="E35" s="105" t="s">
        <v>18</v>
      </c>
      <c r="F35" s="110">
        <v>29729.279999999999</v>
      </c>
      <c r="G35" s="110"/>
      <c r="H35" s="105" t="s">
        <v>19</v>
      </c>
      <c r="I35" s="111" t="s">
        <v>20</v>
      </c>
      <c r="J35" s="111"/>
      <c r="K35" s="108" t="s">
        <v>13</v>
      </c>
      <c r="L35" s="109">
        <v>1291273.6399999999</v>
      </c>
    </row>
    <row r="36" spans="1:12" ht="81.599999999999994" x14ac:dyDescent="0.3">
      <c r="A36" s="103" t="s">
        <v>71</v>
      </c>
      <c r="B36" s="104" t="s">
        <v>72</v>
      </c>
      <c r="C36" s="104" t="s">
        <v>77</v>
      </c>
      <c r="D36" s="104" t="s">
        <v>56</v>
      </c>
      <c r="E36" s="105" t="s">
        <v>18</v>
      </c>
      <c r="F36" s="110">
        <v>255863.52</v>
      </c>
      <c r="G36" s="110"/>
      <c r="H36" s="105" t="s">
        <v>19</v>
      </c>
      <c r="I36" s="111" t="s">
        <v>20</v>
      </c>
      <c r="J36" s="111"/>
      <c r="K36" s="108" t="s">
        <v>13</v>
      </c>
      <c r="L36" s="109">
        <v>1547137.16</v>
      </c>
    </row>
    <row r="37" spans="1:12" ht="81.599999999999994" x14ac:dyDescent="0.3">
      <c r="A37" s="103" t="s">
        <v>71</v>
      </c>
      <c r="B37" s="104" t="s">
        <v>72</v>
      </c>
      <c r="C37" s="104" t="s">
        <v>78</v>
      </c>
      <c r="D37" s="104" t="s">
        <v>56</v>
      </c>
      <c r="E37" s="105" t="s">
        <v>18</v>
      </c>
      <c r="F37" s="110">
        <v>1377.4</v>
      </c>
      <c r="G37" s="110"/>
      <c r="H37" s="105" t="s">
        <v>19</v>
      </c>
      <c r="I37" s="111" t="s">
        <v>20</v>
      </c>
      <c r="J37" s="111"/>
      <c r="K37" s="108" t="s">
        <v>13</v>
      </c>
      <c r="L37" s="109">
        <v>1548514.56</v>
      </c>
    </row>
    <row r="38" spans="1:12" ht="81.599999999999994" x14ac:dyDescent="0.3">
      <c r="A38" s="103" t="s">
        <v>71</v>
      </c>
      <c r="B38" s="104" t="s">
        <v>72</v>
      </c>
      <c r="C38" s="104" t="s">
        <v>79</v>
      </c>
      <c r="D38" s="104" t="s">
        <v>56</v>
      </c>
      <c r="E38" s="105" t="s">
        <v>18</v>
      </c>
      <c r="F38" s="112">
        <v>860.88</v>
      </c>
      <c r="G38" s="112"/>
      <c r="H38" s="105" t="s">
        <v>19</v>
      </c>
      <c r="I38" s="111" t="s">
        <v>20</v>
      </c>
      <c r="J38" s="111"/>
      <c r="K38" s="108" t="s">
        <v>13</v>
      </c>
      <c r="L38" s="109">
        <v>1549375.44</v>
      </c>
    </row>
    <row r="39" spans="1:12" ht="81.599999999999994" x14ac:dyDescent="0.3">
      <c r="A39" s="103" t="s">
        <v>71</v>
      </c>
      <c r="B39" s="104" t="s">
        <v>72</v>
      </c>
      <c r="C39" s="104" t="s">
        <v>80</v>
      </c>
      <c r="D39" s="104" t="s">
        <v>56</v>
      </c>
      <c r="E39" s="105" t="s">
        <v>18</v>
      </c>
      <c r="F39" s="110">
        <v>18000</v>
      </c>
      <c r="G39" s="110"/>
      <c r="H39" s="105" t="s">
        <v>19</v>
      </c>
      <c r="I39" s="111" t="s">
        <v>20</v>
      </c>
      <c r="J39" s="111"/>
      <c r="K39" s="108" t="s">
        <v>13</v>
      </c>
      <c r="L39" s="109">
        <v>1567375.44</v>
      </c>
    </row>
    <row r="40" spans="1:12" ht="81.599999999999994" x14ac:dyDescent="0.3">
      <c r="A40" s="103" t="s">
        <v>71</v>
      </c>
      <c r="B40" s="104" t="s">
        <v>81</v>
      </c>
      <c r="C40" s="104" t="s">
        <v>73</v>
      </c>
      <c r="D40" s="104" t="s">
        <v>56</v>
      </c>
      <c r="E40" s="105" t="s">
        <v>18</v>
      </c>
      <c r="F40" s="112">
        <v>951.67</v>
      </c>
      <c r="G40" s="112"/>
      <c r="H40" s="105" t="s">
        <v>19</v>
      </c>
      <c r="I40" s="111" t="s">
        <v>20</v>
      </c>
      <c r="J40" s="111"/>
      <c r="K40" s="108" t="s">
        <v>13</v>
      </c>
      <c r="L40" s="109">
        <v>1568327.11</v>
      </c>
    </row>
    <row r="41" spans="1:12" ht="81.599999999999994" x14ac:dyDescent="0.3">
      <c r="A41" s="103" t="s">
        <v>71</v>
      </c>
      <c r="B41" s="104" t="s">
        <v>81</v>
      </c>
      <c r="C41" s="104" t="s">
        <v>74</v>
      </c>
      <c r="D41" s="104" t="s">
        <v>56</v>
      </c>
      <c r="E41" s="105" t="s">
        <v>18</v>
      </c>
      <c r="F41" s="110">
        <v>1575.55</v>
      </c>
      <c r="G41" s="110"/>
      <c r="H41" s="105" t="s">
        <v>19</v>
      </c>
      <c r="I41" s="111" t="s">
        <v>20</v>
      </c>
      <c r="J41" s="111"/>
      <c r="K41" s="108" t="s">
        <v>13</v>
      </c>
      <c r="L41" s="109">
        <v>1569902.66</v>
      </c>
    </row>
    <row r="42" spans="1:12" ht="81.599999999999994" x14ac:dyDescent="0.3">
      <c r="A42" s="103" t="s">
        <v>71</v>
      </c>
      <c r="B42" s="104" t="s">
        <v>81</v>
      </c>
      <c r="C42" s="104" t="s">
        <v>75</v>
      </c>
      <c r="D42" s="104" t="s">
        <v>56</v>
      </c>
      <c r="E42" s="105" t="s">
        <v>18</v>
      </c>
      <c r="F42" s="112">
        <v>799.21</v>
      </c>
      <c r="G42" s="112"/>
      <c r="H42" s="105" t="s">
        <v>19</v>
      </c>
      <c r="I42" s="111" t="s">
        <v>20</v>
      </c>
      <c r="J42" s="111"/>
      <c r="K42" s="108" t="s">
        <v>13</v>
      </c>
      <c r="L42" s="109">
        <v>1570701.87</v>
      </c>
    </row>
    <row r="43" spans="1:12" ht="81.599999999999994" x14ac:dyDescent="0.3">
      <c r="A43" s="103" t="s">
        <v>71</v>
      </c>
      <c r="B43" s="104" t="s">
        <v>81</v>
      </c>
      <c r="C43" s="104" t="s">
        <v>76</v>
      </c>
      <c r="D43" s="104" t="s">
        <v>56</v>
      </c>
      <c r="E43" s="105" t="s">
        <v>18</v>
      </c>
      <c r="F43" s="112">
        <v>243.69</v>
      </c>
      <c r="G43" s="112"/>
      <c r="H43" s="105" t="s">
        <v>19</v>
      </c>
      <c r="I43" s="111" t="s">
        <v>20</v>
      </c>
      <c r="J43" s="111"/>
      <c r="K43" s="108" t="s">
        <v>13</v>
      </c>
      <c r="L43" s="109">
        <v>1570945.56</v>
      </c>
    </row>
    <row r="44" spans="1:12" ht="81.599999999999994" x14ac:dyDescent="0.3">
      <c r="A44" s="103" t="s">
        <v>71</v>
      </c>
      <c r="B44" s="104" t="s">
        <v>81</v>
      </c>
      <c r="C44" s="104" t="s">
        <v>77</v>
      </c>
      <c r="D44" s="104" t="s">
        <v>56</v>
      </c>
      <c r="E44" s="105" t="s">
        <v>18</v>
      </c>
      <c r="F44" s="110">
        <v>2097.31</v>
      </c>
      <c r="G44" s="110"/>
      <c r="H44" s="105" t="s">
        <v>19</v>
      </c>
      <c r="I44" s="111" t="s">
        <v>20</v>
      </c>
      <c r="J44" s="111"/>
      <c r="K44" s="108" t="s">
        <v>13</v>
      </c>
      <c r="L44" s="109">
        <v>1573042.87</v>
      </c>
    </row>
    <row r="45" spans="1:12" ht="81.599999999999994" x14ac:dyDescent="0.3">
      <c r="A45" s="103" t="s">
        <v>71</v>
      </c>
      <c r="B45" s="104" t="s">
        <v>81</v>
      </c>
      <c r="C45" s="104" t="s">
        <v>78</v>
      </c>
      <c r="D45" s="104" t="s">
        <v>56</v>
      </c>
      <c r="E45" s="105" t="s">
        <v>18</v>
      </c>
      <c r="F45" s="112">
        <v>11.29</v>
      </c>
      <c r="G45" s="112"/>
      <c r="H45" s="105" t="s">
        <v>19</v>
      </c>
      <c r="I45" s="111" t="s">
        <v>20</v>
      </c>
      <c r="J45" s="111"/>
      <c r="K45" s="108" t="s">
        <v>13</v>
      </c>
      <c r="L45" s="109">
        <v>1573054.16</v>
      </c>
    </row>
    <row r="46" spans="1:12" ht="81.599999999999994" x14ac:dyDescent="0.3">
      <c r="A46" s="103" t="s">
        <v>71</v>
      </c>
      <c r="B46" s="104" t="s">
        <v>81</v>
      </c>
      <c r="C46" s="104" t="s">
        <v>79</v>
      </c>
      <c r="D46" s="104" t="s">
        <v>56</v>
      </c>
      <c r="E46" s="105" t="s">
        <v>18</v>
      </c>
      <c r="F46" s="112">
        <v>7.06</v>
      </c>
      <c r="G46" s="112"/>
      <c r="H46" s="105" t="s">
        <v>19</v>
      </c>
      <c r="I46" s="111" t="s">
        <v>20</v>
      </c>
      <c r="J46" s="111"/>
      <c r="K46" s="108" t="s">
        <v>13</v>
      </c>
      <c r="L46" s="109">
        <v>1573061.22</v>
      </c>
    </row>
    <row r="47" spans="1:12" ht="81.599999999999994" x14ac:dyDescent="0.3">
      <c r="A47" s="103" t="s">
        <v>71</v>
      </c>
      <c r="B47" s="104" t="s">
        <v>81</v>
      </c>
      <c r="C47" s="104" t="s">
        <v>80</v>
      </c>
      <c r="D47" s="104" t="s">
        <v>56</v>
      </c>
      <c r="E47" s="105" t="s">
        <v>18</v>
      </c>
      <c r="F47" s="112">
        <v>147.55000000000001</v>
      </c>
      <c r="G47" s="112"/>
      <c r="H47" s="105" t="s">
        <v>19</v>
      </c>
      <c r="I47" s="111" t="s">
        <v>20</v>
      </c>
      <c r="J47" s="111"/>
      <c r="K47" s="108" t="s">
        <v>13</v>
      </c>
      <c r="L47" s="109">
        <v>1573208.77</v>
      </c>
    </row>
    <row r="48" spans="1:12" ht="81.599999999999994" x14ac:dyDescent="0.3">
      <c r="A48" s="103" t="s">
        <v>82</v>
      </c>
      <c r="B48" s="104" t="s">
        <v>83</v>
      </c>
      <c r="C48" s="104" t="s">
        <v>84</v>
      </c>
      <c r="D48" s="104" t="s">
        <v>56</v>
      </c>
      <c r="E48" s="105" t="s">
        <v>18</v>
      </c>
      <c r="F48" s="110">
        <v>142713.12</v>
      </c>
      <c r="G48" s="110"/>
      <c r="H48" s="105" t="s">
        <v>19</v>
      </c>
      <c r="I48" s="111" t="s">
        <v>20</v>
      </c>
      <c r="J48" s="111"/>
      <c r="K48" s="108" t="s">
        <v>13</v>
      </c>
      <c r="L48" s="109">
        <v>1715921.89</v>
      </c>
    </row>
    <row r="49" spans="1:12" ht="81.599999999999994" x14ac:dyDescent="0.3">
      <c r="A49" s="103" t="s">
        <v>82</v>
      </c>
      <c r="B49" s="104" t="s">
        <v>83</v>
      </c>
      <c r="C49" s="104" t="s">
        <v>85</v>
      </c>
      <c r="D49" s="104" t="s">
        <v>56</v>
      </c>
      <c r="E49" s="105" t="s">
        <v>18</v>
      </c>
      <c r="F49" s="110">
        <v>119100.24</v>
      </c>
      <c r="G49" s="110"/>
      <c r="H49" s="105" t="s">
        <v>19</v>
      </c>
      <c r="I49" s="111" t="s">
        <v>20</v>
      </c>
      <c r="J49" s="111"/>
      <c r="K49" s="108" t="s">
        <v>13</v>
      </c>
      <c r="L49" s="109">
        <v>1835022.13</v>
      </c>
    </row>
    <row r="50" spans="1:12" ht="81.599999999999994" x14ac:dyDescent="0.3">
      <c r="A50" s="103" t="s">
        <v>82</v>
      </c>
      <c r="B50" s="104" t="s">
        <v>83</v>
      </c>
      <c r="C50" s="104" t="s">
        <v>86</v>
      </c>
      <c r="D50" s="104" t="s">
        <v>56</v>
      </c>
      <c r="E50" s="105" t="s">
        <v>18</v>
      </c>
      <c r="F50" s="110">
        <v>268800</v>
      </c>
      <c r="G50" s="110"/>
      <c r="H50" s="105" t="s">
        <v>19</v>
      </c>
      <c r="I50" s="111" t="s">
        <v>20</v>
      </c>
      <c r="J50" s="111"/>
      <c r="K50" s="108" t="s">
        <v>13</v>
      </c>
      <c r="L50" s="109">
        <v>2103822.13</v>
      </c>
    </row>
    <row r="51" spans="1:12" ht="81.599999999999994" x14ac:dyDescent="0.3">
      <c r="A51" s="103" t="s">
        <v>82</v>
      </c>
      <c r="B51" s="104" t="s">
        <v>83</v>
      </c>
      <c r="C51" s="104" t="s">
        <v>87</v>
      </c>
      <c r="D51" s="104" t="s">
        <v>56</v>
      </c>
      <c r="E51" s="105" t="s">
        <v>18</v>
      </c>
      <c r="F51" s="110">
        <v>4707.8999999999996</v>
      </c>
      <c r="G51" s="110"/>
      <c r="H51" s="105" t="s">
        <v>19</v>
      </c>
      <c r="I51" s="111" t="s">
        <v>20</v>
      </c>
      <c r="J51" s="111"/>
      <c r="K51" s="108" t="s">
        <v>13</v>
      </c>
      <c r="L51" s="109">
        <v>2108530.0299999998</v>
      </c>
    </row>
    <row r="52" spans="1:12" ht="81.599999999999994" x14ac:dyDescent="0.3">
      <c r="A52" s="103" t="s">
        <v>82</v>
      </c>
      <c r="B52" s="104" t="s">
        <v>83</v>
      </c>
      <c r="C52" s="104" t="s">
        <v>88</v>
      </c>
      <c r="D52" s="104" t="s">
        <v>56</v>
      </c>
      <c r="E52" s="105" t="s">
        <v>18</v>
      </c>
      <c r="F52" s="110">
        <v>35256</v>
      </c>
      <c r="G52" s="110"/>
      <c r="H52" s="105" t="s">
        <v>19</v>
      </c>
      <c r="I52" s="111" t="s">
        <v>20</v>
      </c>
      <c r="J52" s="111"/>
      <c r="K52" s="108" t="s">
        <v>13</v>
      </c>
      <c r="L52" s="109">
        <v>2143786.0299999998</v>
      </c>
    </row>
    <row r="53" spans="1:12" ht="81.599999999999994" x14ac:dyDescent="0.3">
      <c r="A53" s="103" t="s">
        <v>82</v>
      </c>
      <c r="B53" s="104" t="s">
        <v>83</v>
      </c>
      <c r="C53" s="104" t="s">
        <v>89</v>
      </c>
      <c r="D53" s="104" t="s">
        <v>56</v>
      </c>
      <c r="E53" s="105" t="s">
        <v>18</v>
      </c>
      <c r="F53" s="110">
        <v>5232.08</v>
      </c>
      <c r="G53" s="110"/>
      <c r="H53" s="105" t="s">
        <v>19</v>
      </c>
      <c r="I53" s="111" t="s">
        <v>20</v>
      </c>
      <c r="J53" s="111"/>
      <c r="K53" s="108" t="s">
        <v>13</v>
      </c>
      <c r="L53" s="109">
        <v>2149018.11</v>
      </c>
    </row>
    <row r="54" spans="1:12" ht="81.599999999999994" x14ac:dyDescent="0.3">
      <c r="A54" s="103" t="s">
        <v>82</v>
      </c>
      <c r="B54" s="104" t="s">
        <v>90</v>
      </c>
      <c r="C54" s="104" t="s">
        <v>84</v>
      </c>
      <c r="D54" s="104" t="s">
        <v>56</v>
      </c>
      <c r="E54" s="105" t="s">
        <v>18</v>
      </c>
      <c r="F54" s="110">
        <v>1445.78</v>
      </c>
      <c r="G54" s="110"/>
      <c r="H54" s="105" t="s">
        <v>19</v>
      </c>
      <c r="I54" s="111" t="s">
        <v>20</v>
      </c>
      <c r="J54" s="111"/>
      <c r="K54" s="108" t="s">
        <v>13</v>
      </c>
      <c r="L54" s="109">
        <v>2150463.89</v>
      </c>
    </row>
    <row r="55" spans="1:12" ht="81.599999999999994" x14ac:dyDescent="0.3">
      <c r="A55" s="103" t="s">
        <v>82</v>
      </c>
      <c r="B55" s="104" t="s">
        <v>90</v>
      </c>
      <c r="C55" s="104" t="s">
        <v>85</v>
      </c>
      <c r="D55" s="104" t="s">
        <v>56</v>
      </c>
      <c r="E55" s="105" t="s">
        <v>18</v>
      </c>
      <c r="F55" s="110">
        <v>1206.56</v>
      </c>
      <c r="G55" s="110"/>
      <c r="H55" s="105" t="s">
        <v>19</v>
      </c>
      <c r="I55" s="111" t="s">
        <v>20</v>
      </c>
      <c r="J55" s="111"/>
      <c r="K55" s="108" t="s">
        <v>13</v>
      </c>
      <c r="L55" s="109">
        <v>2151670.4500000002</v>
      </c>
    </row>
    <row r="56" spans="1:12" ht="81.599999999999994" x14ac:dyDescent="0.3">
      <c r="A56" s="103" t="s">
        <v>82</v>
      </c>
      <c r="B56" s="104" t="s">
        <v>90</v>
      </c>
      <c r="C56" s="104" t="s">
        <v>86</v>
      </c>
      <c r="D56" s="104" t="s">
        <v>56</v>
      </c>
      <c r="E56" s="105" t="s">
        <v>18</v>
      </c>
      <c r="F56" s="110">
        <v>2723.13</v>
      </c>
      <c r="G56" s="110"/>
      <c r="H56" s="105" t="s">
        <v>19</v>
      </c>
      <c r="I56" s="111" t="s">
        <v>20</v>
      </c>
      <c r="J56" s="111"/>
      <c r="K56" s="108" t="s">
        <v>13</v>
      </c>
      <c r="L56" s="109">
        <v>2154393.58</v>
      </c>
    </row>
    <row r="57" spans="1:12" ht="81.599999999999994" x14ac:dyDescent="0.3">
      <c r="A57" s="103" t="s">
        <v>82</v>
      </c>
      <c r="B57" s="104" t="s">
        <v>90</v>
      </c>
      <c r="C57" s="104" t="s">
        <v>87</v>
      </c>
      <c r="D57" s="104" t="s">
        <v>56</v>
      </c>
      <c r="E57" s="105" t="s">
        <v>18</v>
      </c>
      <c r="F57" s="112">
        <v>47.69</v>
      </c>
      <c r="G57" s="112"/>
      <c r="H57" s="105" t="s">
        <v>19</v>
      </c>
      <c r="I57" s="111" t="s">
        <v>20</v>
      </c>
      <c r="J57" s="111"/>
      <c r="K57" s="108" t="s">
        <v>13</v>
      </c>
      <c r="L57" s="109">
        <v>2154441.27</v>
      </c>
    </row>
    <row r="58" spans="1:12" ht="81.599999999999994" x14ac:dyDescent="0.3">
      <c r="A58" s="103" t="s">
        <v>82</v>
      </c>
      <c r="B58" s="104" t="s">
        <v>90</v>
      </c>
      <c r="C58" s="104" t="s">
        <v>88</v>
      </c>
      <c r="D58" s="104" t="s">
        <v>56</v>
      </c>
      <c r="E58" s="105" t="s">
        <v>18</v>
      </c>
      <c r="F58" s="112">
        <v>357.17</v>
      </c>
      <c r="G58" s="112"/>
      <c r="H58" s="105" t="s">
        <v>19</v>
      </c>
      <c r="I58" s="111" t="s">
        <v>20</v>
      </c>
      <c r="J58" s="111"/>
      <c r="K58" s="108" t="s">
        <v>13</v>
      </c>
      <c r="L58" s="109">
        <v>2154798.44</v>
      </c>
    </row>
    <row r="59" spans="1:12" ht="81.599999999999994" x14ac:dyDescent="0.3">
      <c r="A59" s="103" t="s">
        <v>82</v>
      </c>
      <c r="B59" s="104" t="s">
        <v>90</v>
      </c>
      <c r="C59" s="104" t="s">
        <v>89</v>
      </c>
      <c r="D59" s="104" t="s">
        <v>56</v>
      </c>
      <c r="E59" s="105" t="s">
        <v>18</v>
      </c>
      <c r="F59" s="112">
        <v>53</v>
      </c>
      <c r="G59" s="112"/>
      <c r="H59" s="105" t="s">
        <v>19</v>
      </c>
      <c r="I59" s="111" t="s">
        <v>20</v>
      </c>
      <c r="J59" s="111"/>
      <c r="K59" s="108" t="s">
        <v>13</v>
      </c>
      <c r="L59" s="109">
        <v>2154851.44</v>
      </c>
    </row>
    <row r="60" spans="1:12" ht="71.400000000000006" x14ac:dyDescent="0.3">
      <c r="A60" s="103" t="s">
        <v>91</v>
      </c>
      <c r="B60" s="104" t="s">
        <v>92</v>
      </c>
      <c r="C60" s="104" t="s">
        <v>93</v>
      </c>
      <c r="D60" s="104" t="s">
        <v>74</v>
      </c>
      <c r="E60" s="105" t="s">
        <v>18</v>
      </c>
      <c r="F60" s="106" t="s">
        <v>20</v>
      </c>
      <c r="G60" s="106"/>
      <c r="H60" s="105" t="s">
        <v>18</v>
      </c>
      <c r="I60" s="113">
        <v>5202.3</v>
      </c>
      <c r="J60" s="113"/>
      <c r="K60" s="108" t="s">
        <v>13</v>
      </c>
      <c r="L60" s="109">
        <v>2149649.14</v>
      </c>
    </row>
    <row r="61" spans="1:12" ht="81.599999999999994" x14ac:dyDescent="0.3">
      <c r="A61" s="103" t="s">
        <v>91</v>
      </c>
      <c r="B61" s="104" t="s">
        <v>94</v>
      </c>
      <c r="C61" s="104" t="s">
        <v>95</v>
      </c>
      <c r="D61" s="104" t="s">
        <v>56</v>
      </c>
      <c r="E61" s="105" t="s">
        <v>18</v>
      </c>
      <c r="F61" s="110">
        <v>85232</v>
      </c>
      <c r="G61" s="110"/>
      <c r="H61" s="105" t="s">
        <v>19</v>
      </c>
      <c r="I61" s="111" t="s">
        <v>20</v>
      </c>
      <c r="J61" s="111"/>
      <c r="K61" s="108" t="s">
        <v>13</v>
      </c>
      <c r="L61" s="109">
        <v>2234881.14</v>
      </c>
    </row>
    <row r="62" spans="1:12" ht="81.599999999999994" x14ac:dyDescent="0.3">
      <c r="A62" s="103" t="s">
        <v>91</v>
      </c>
      <c r="B62" s="104" t="s">
        <v>94</v>
      </c>
      <c r="C62" s="104" t="s">
        <v>96</v>
      </c>
      <c r="D62" s="104" t="s">
        <v>56</v>
      </c>
      <c r="E62" s="105" t="s">
        <v>18</v>
      </c>
      <c r="F62" s="110">
        <v>8995.84</v>
      </c>
      <c r="G62" s="110"/>
      <c r="H62" s="105" t="s">
        <v>19</v>
      </c>
      <c r="I62" s="111" t="s">
        <v>20</v>
      </c>
      <c r="J62" s="111"/>
      <c r="K62" s="108" t="s">
        <v>13</v>
      </c>
      <c r="L62" s="109">
        <v>2243876.98</v>
      </c>
    </row>
    <row r="63" spans="1:12" ht="81.599999999999994" x14ac:dyDescent="0.3">
      <c r="A63" s="103" t="s">
        <v>91</v>
      </c>
      <c r="B63" s="104" t="s">
        <v>94</v>
      </c>
      <c r="C63" s="104" t="s">
        <v>97</v>
      </c>
      <c r="D63" s="104" t="s">
        <v>56</v>
      </c>
      <c r="E63" s="105" t="s">
        <v>18</v>
      </c>
      <c r="F63" s="110">
        <v>19534.32</v>
      </c>
      <c r="G63" s="110"/>
      <c r="H63" s="105" t="s">
        <v>19</v>
      </c>
      <c r="I63" s="111" t="s">
        <v>20</v>
      </c>
      <c r="J63" s="111"/>
      <c r="K63" s="108" t="s">
        <v>13</v>
      </c>
      <c r="L63" s="109">
        <v>2263411.2999999998</v>
      </c>
    </row>
    <row r="64" spans="1:12" ht="81.599999999999994" x14ac:dyDescent="0.3">
      <c r="A64" s="103" t="s">
        <v>91</v>
      </c>
      <c r="B64" s="104" t="s">
        <v>94</v>
      </c>
      <c r="C64" s="104" t="s">
        <v>98</v>
      </c>
      <c r="D64" s="104" t="s">
        <v>56</v>
      </c>
      <c r="E64" s="105" t="s">
        <v>18</v>
      </c>
      <c r="F64" s="110">
        <v>46031.040000000001</v>
      </c>
      <c r="G64" s="110"/>
      <c r="H64" s="105" t="s">
        <v>19</v>
      </c>
      <c r="I64" s="111" t="s">
        <v>20</v>
      </c>
      <c r="J64" s="111"/>
      <c r="K64" s="108" t="s">
        <v>13</v>
      </c>
      <c r="L64" s="109">
        <v>2309442.34</v>
      </c>
    </row>
    <row r="65" spans="1:12" ht="81.599999999999994" x14ac:dyDescent="0.3">
      <c r="A65" s="103" t="s">
        <v>91</v>
      </c>
      <c r="B65" s="104" t="s">
        <v>94</v>
      </c>
      <c r="C65" s="104" t="s">
        <v>99</v>
      </c>
      <c r="D65" s="104" t="s">
        <v>56</v>
      </c>
      <c r="E65" s="105" t="s">
        <v>18</v>
      </c>
      <c r="F65" s="110">
        <v>191660</v>
      </c>
      <c r="G65" s="110"/>
      <c r="H65" s="105" t="s">
        <v>19</v>
      </c>
      <c r="I65" s="111" t="s">
        <v>20</v>
      </c>
      <c r="J65" s="111"/>
      <c r="K65" s="108" t="s">
        <v>13</v>
      </c>
      <c r="L65" s="109">
        <v>2501102.34</v>
      </c>
    </row>
    <row r="66" spans="1:12" ht="81.599999999999994" x14ac:dyDescent="0.3">
      <c r="A66" s="103" t="s">
        <v>91</v>
      </c>
      <c r="B66" s="104" t="s">
        <v>94</v>
      </c>
      <c r="C66" s="104" t="s">
        <v>100</v>
      </c>
      <c r="D66" s="104" t="s">
        <v>56</v>
      </c>
      <c r="E66" s="105" t="s">
        <v>18</v>
      </c>
      <c r="F66" s="110">
        <v>108940.22</v>
      </c>
      <c r="G66" s="110"/>
      <c r="H66" s="105" t="s">
        <v>19</v>
      </c>
      <c r="I66" s="111" t="s">
        <v>20</v>
      </c>
      <c r="J66" s="111"/>
      <c r="K66" s="108" t="s">
        <v>13</v>
      </c>
      <c r="L66" s="109">
        <v>2610042.56</v>
      </c>
    </row>
    <row r="67" spans="1:12" ht="81.599999999999994" x14ac:dyDescent="0.3">
      <c r="A67" s="103" t="s">
        <v>91</v>
      </c>
      <c r="B67" s="104" t="s">
        <v>101</v>
      </c>
      <c r="C67" s="104" t="s">
        <v>102</v>
      </c>
      <c r="D67" s="104" t="s">
        <v>103</v>
      </c>
      <c r="E67" s="105" t="s">
        <v>18</v>
      </c>
      <c r="F67" s="106" t="s">
        <v>20</v>
      </c>
      <c r="G67" s="106"/>
      <c r="H67" s="105" t="s">
        <v>18</v>
      </c>
      <c r="I67" s="113">
        <v>1400.48</v>
      </c>
      <c r="J67" s="113"/>
      <c r="K67" s="108" t="s">
        <v>13</v>
      </c>
      <c r="L67" s="109">
        <v>2608642.08</v>
      </c>
    </row>
    <row r="68" spans="1:12" ht="81.599999999999994" x14ac:dyDescent="0.3">
      <c r="A68" s="103" t="s">
        <v>91</v>
      </c>
      <c r="B68" s="104" t="s">
        <v>101</v>
      </c>
      <c r="C68" s="104" t="s">
        <v>104</v>
      </c>
      <c r="D68" s="104" t="s">
        <v>105</v>
      </c>
      <c r="E68" s="105" t="s">
        <v>18</v>
      </c>
      <c r="F68" s="106" t="s">
        <v>20</v>
      </c>
      <c r="G68" s="106"/>
      <c r="H68" s="105" t="s">
        <v>18</v>
      </c>
      <c r="I68" s="113">
        <v>11145.65</v>
      </c>
      <c r="J68" s="113"/>
      <c r="K68" s="108" t="s">
        <v>13</v>
      </c>
      <c r="L68" s="109">
        <v>2597496.4300000002</v>
      </c>
    </row>
    <row r="69" spans="1:12" ht="81.599999999999994" x14ac:dyDescent="0.3">
      <c r="A69" s="103" t="s">
        <v>91</v>
      </c>
      <c r="B69" s="104" t="s">
        <v>101</v>
      </c>
      <c r="C69" s="104" t="s">
        <v>106</v>
      </c>
      <c r="D69" s="104" t="s">
        <v>80</v>
      </c>
      <c r="E69" s="105" t="s">
        <v>18</v>
      </c>
      <c r="F69" s="106" t="s">
        <v>20</v>
      </c>
      <c r="G69" s="106"/>
      <c r="H69" s="105" t="s">
        <v>18</v>
      </c>
      <c r="I69" s="113">
        <v>1724.02</v>
      </c>
      <c r="J69" s="113"/>
      <c r="K69" s="108" t="s">
        <v>13</v>
      </c>
      <c r="L69" s="109">
        <v>2595772.41</v>
      </c>
    </row>
    <row r="70" spans="1:12" ht="71.400000000000006" x14ac:dyDescent="0.3">
      <c r="A70" s="103" t="s">
        <v>91</v>
      </c>
      <c r="B70" s="104" t="s">
        <v>101</v>
      </c>
      <c r="C70" s="104" t="s">
        <v>107</v>
      </c>
      <c r="D70" s="104" t="s">
        <v>60</v>
      </c>
      <c r="E70" s="105" t="s">
        <v>18</v>
      </c>
      <c r="F70" s="106" t="s">
        <v>20</v>
      </c>
      <c r="G70" s="106"/>
      <c r="H70" s="105" t="s">
        <v>18</v>
      </c>
      <c r="I70" s="113">
        <v>15321.61</v>
      </c>
      <c r="J70" s="113"/>
      <c r="K70" s="108" t="s">
        <v>13</v>
      </c>
      <c r="L70" s="109">
        <v>2580450.7999999998</v>
      </c>
    </row>
    <row r="71" spans="1:12" ht="81.599999999999994" x14ac:dyDescent="0.3">
      <c r="A71" s="103" t="s">
        <v>91</v>
      </c>
      <c r="B71" s="104" t="s">
        <v>108</v>
      </c>
      <c r="C71" s="104" t="s">
        <v>95</v>
      </c>
      <c r="D71" s="104" t="s">
        <v>56</v>
      </c>
      <c r="E71" s="105" t="s">
        <v>18</v>
      </c>
      <c r="F71" s="110">
        <v>1079.92</v>
      </c>
      <c r="G71" s="110"/>
      <c r="H71" s="105" t="s">
        <v>19</v>
      </c>
      <c r="I71" s="111" t="s">
        <v>20</v>
      </c>
      <c r="J71" s="111"/>
      <c r="K71" s="108" t="s">
        <v>13</v>
      </c>
      <c r="L71" s="109">
        <v>2581530.7200000002</v>
      </c>
    </row>
    <row r="72" spans="1:12" ht="81.599999999999994" x14ac:dyDescent="0.3">
      <c r="A72" s="103" t="s">
        <v>91</v>
      </c>
      <c r="B72" s="104" t="s">
        <v>108</v>
      </c>
      <c r="C72" s="104" t="s">
        <v>96</v>
      </c>
      <c r="D72" s="104" t="s">
        <v>56</v>
      </c>
      <c r="E72" s="105" t="s">
        <v>18</v>
      </c>
      <c r="F72" s="112">
        <v>113.98</v>
      </c>
      <c r="G72" s="112"/>
      <c r="H72" s="105" t="s">
        <v>19</v>
      </c>
      <c r="I72" s="111" t="s">
        <v>20</v>
      </c>
      <c r="J72" s="111"/>
      <c r="K72" s="108" t="s">
        <v>13</v>
      </c>
      <c r="L72" s="109">
        <v>2581644.7000000002</v>
      </c>
    </row>
    <row r="73" spans="1:12" ht="81.599999999999994" x14ac:dyDescent="0.3">
      <c r="A73" s="103" t="s">
        <v>91</v>
      </c>
      <c r="B73" s="104" t="s">
        <v>108</v>
      </c>
      <c r="C73" s="104" t="s">
        <v>97</v>
      </c>
      <c r="D73" s="104" t="s">
        <v>56</v>
      </c>
      <c r="E73" s="105" t="s">
        <v>18</v>
      </c>
      <c r="F73" s="112">
        <v>247.51</v>
      </c>
      <c r="G73" s="112"/>
      <c r="H73" s="105" t="s">
        <v>19</v>
      </c>
      <c r="I73" s="111" t="s">
        <v>20</v>
      </c>
      <c r="J73" s="111"/>
      <c r="K73" s="108" t="s">
        <v>13</v>
      </c>
      <c r="L73" s="109">
        <v>2581892.21</v>
      </c>
    </row>
    <row r="74" spans="1:12" ht="81.599999999999994" x14ac:dyDescent="0.3">
      <c r="A74" s="103" t="s">
        <v>91</v>
      </c>
      <c r="B74" s="104" t="s">
        <v>108</v>
      </c>
      <c r="C74" s="104" t="s">
        <v>98</v>
      </c>
      <c r="D74" s="104" t="s">
        <v>56</v>
      </c>
      <c r="E74" s="105" t="s">
        <v>18</v>
      </c>
      <c r="F74" s="112">
        <v>583.23</v>
      </c>
      <c r="G74" s="112"/>
      <c r="H74" s="105" t="s">
        <v>19</v>
      </c>
      <c r="I74" s="111" t="s">
        <v>20</v>
      </c>
      <c r="J74" s="111"/>
      <c r="K74" s="108" t="s">
        <v>13</v>
      </c>
      <c r="L74" s="109">
        <v>2582475.44</v>
      </c>
    </row>
    <row r="75" spans="1:12" ht="81.599999999999994" x14ac:dyDescent="0.3">
      <c r="A75" s="103" t="s">
        <v>91</v>
      </c>
      <c r="B75" s="104" t="s">
        <v>108</v>
      </c>
      <c r="C75" s="104" t="s">
        <v>99</v>
      </c>
      <c r="D75" s="104" t="s">
        <v>56</v>
      </c>
      <c r="E75" s="105" t="s">
        <v>18</v>
      </c>
      <c r="F75" s="110">
        <v>2428.38</v>
      </c>
      <c r="G75" s="110"/>
      <c r="H75" s="105" t="s">
        <v>19</v>
      </c>
      <c r="I75" s="111" t="s">
        <v>20</v>
      </c>
      <c r="J75" s="111"/>
      <c r="K75" s="108" t="s">
        <v>13</v>
      </c>
      <c r="L75" s="109">
        <v>2584903.8199999998</v>
      </c>
    </row>
    <row r="76" spans="1:12" ht="81.599999999999994" x14ac:dyDescent="0.3">
      <c r="A76" s="103" t="s">
        <v>91</v>
      </c>
      <c r="B76" s="104" t="s">
        <v>108</v>
      </c>
      <c r="C76" s="104" t="s">
        <v>100</v>
      </c>
      <c r="D76" s="104" t="s">
        <v>56</v>
      </c>
      <c r="E76" s="105" t="s">
        <v>18</v>
      </c>
      <c r="F76" s="110">
        <v>1380.31</v>
      </c>
      <c r="G76" s="110"/>
      <c r="H76" s="105" t="s">
        <v>19</v>
      </c>
      <c r="I76" s="111" t="s">
        <v>20</v>
      </c>
      <c r="J76" s="111"/>
      <c r="K76" s="108" t="s">
        <v>13</v>
      </c>
      <c r="L76" s="109">
        <v>2586284.13</v>
      </c>
    </row>
    <row r="77" spans="1:12" ht="71.400000000000006" x14ac:dyDescent="0.3">
      <c r="A77" s="103" t="s">
        <v>91</v>
      </c>
      <c r="B77" s="104" t="s">
        <v>109</v>
      </c>
      <c r="C77" s="104" t="s">
        <v>110</v>
      </c>
      <c r="D77" s="104" t="s">
        <v>60</v>
      </c>
      <c r="E77" s="105" t="s">
        <v>18</v>
      </c>
      <c r="F77" s="106" t="s">
        <v>20</v>
      </c>
      <c r="G77" s="106"/>
      <c r="H77" s="105" t="s">
        <v>18</v>
      </c>
      <c r="I77" s="113">
        <v>21168.57</v>
      </c>
      <c r="J77" s="113"/>
      <c r="K77" s="108" t="s">
        <v>13</v>
      </c>
      <c r="L77" s="109">
        <v>2565115.56</v>
      </c>
    </row>
    <row r="78" spans="1:12" ht="81.599999999999994" x14ac:dyDescent="0.3">
      <c r="A78" s="103" t="s">
        <v>111</v>
      </c>
      <c r="B78" s="104" t="s">
        <v>112</v>
      </c>
      <c r="C78" s="104" t="s">
        <v>113</v>
      </c>
      <c r="D78" s="104" t="s">
        <v>56</v>
      </c>
      <c r="E78" s="105" t="s">
        <v>18</v>
      </c>
      <c r="F78" s="110">
        <v>171000</v>
      </c>
      <c r="G78" s="110"/>
      <c r="H78" s="105" t="s">
        <v>19</v>
      </c>
      <c r="I78" s="111" t="s">
        <v>20</v>
      </c>
      <c r="J78" s="111"/>
      <c r="K78" s="108" t="s">
        <v>13</v>
      </c>
      <c r="L78" s="109">
        <v>2736115.56</v>
      </c>
    </row>
    <row r="79" spans="1:12" ht="81.599999999999994" x14ac:dyDescent="0.3">
      <c r="A79" s="103" t="s">
        <v>111</v>
      </c>
      <c r="B79" s="104" t="s">
        <v>112</v>
      </c>
      <c r="C79" s="104" t="s">
        <v>114</v>
      </c>
      <c r="D79" s="104" t="s">
        <v>56</v>
      </c>
      <c r="E79" s="105" t="s">
        <v>18</v>
      </c>
      <c r="F79" s="110">
        <v>215172.32</v>
      </c>
      <c r="G79" s="110"/>
      <c r="H79" s="105" t="s">
        <v>19</v>
      </c>
      <c r="I79" s="111" t="s">
        <v>20</v>
      </c>
      <c r="J79" s="111"/>
      <c r="K79" s="108" t="s">
        <v>13</v>
      </c>
      <c r="L79" s="109">
        <v>2951287.88</v>
      </c>
    </row>
    <row r="80" spans="1:12" ht="81.599999999999994" x14ac:dyDescent="0.3">
      <c r="A80" s="103" t="s">
        <v>111</v>
      </c>
      <c r="B80" s="104" t="s">
        <v>112</v>
      </c>
      <c r="C80" s="104" t="s">
        <v>115</v>
      </c>
      <c r="D80" s="104" t="s">
        <v>56</v>
      </c>
      <c r="E80" s="105" t="s">
        <v>18</v>
      </c>
      <c r="F80" s="110">
        <v>17959.560000000001</v>
      </c>
      <c r="G80" s="110"/>
      <c r="H80" s="105" t="s">
        <v>19</v>
      </c>
      <c r="I80" s="111" t="s">
        <v>20</v>
      </c>
      <c r="J80" s="111"/>
      <c r="K80" s="108" t="s">
        <v>13</v>
      </c>
      <c r="L80" s="109">
        <v>2969247.44</v>
      </c>
    </row>
    <row r="81" spans="1:12" ht="81.599999999999994" x14ac:dyDescent="0.3">
      <c r="A81" s="103" t="s">
        <v>111</v>
      </c>
      <c r="B81" s="104" t="s">
        <v>112</v>
      </c>
      <c r="C81" s="104" t="s">
        <v>116</v>
      </c>
      <c r="D81" s="104" t="s">
        <v>56</v>
      </c>
      <c r="E81" s="105" t="s">
        <v>18</v>
      </c>
      <c r="F81" s="110">
        <v>283853</v>
      </c>
      <c r="G81" s="110"/>
      <c r="H81" s="105" t="s">
        <v>19</v>
      </c>
      <c r="I81" s="111" t="s">
        <v>20</v>
      </c>
      <c r="J81" s="111"/>
      <c r="K81" s="108" t="s">
        <v>13</v>
      </c>
      <c r="L81" s="109">
        <v>3253100.44</v>
      </c>
    </row>
    <row r="82" spans="1:12" ht="81.599999999999994" x14ac:dyDescent="0.3">
      <c r="A82" s="103" t="s">
        <v>111</v>
      </c>
      <c r="B82" s="104" t="s">
        <v>117</v>
      </c>
      <c r="C82" s="104" t="s">
        <v>113</v>
      </c>
      <c r="D82" s="104" t="s">
        <v>56</v>
      </c>
      <c r="E82" s="105" t="s">
        <v>18</v>
      </c>
      <c r="F82" s="110">
        <v>1449.89</v>
      </c>
      <c r="G82" s="110"/>
      <c r="H82" s="105" t="s">
        <v>19</v>
      </c>
      <c r="I82" s="111" t="s">
        <v>20</v>
      </c>
      <c r="J82" s="111"/>
      <c r="K82" s="108" t="s">
        <v>13</v>
      </c>
      <c r="L82" s="109">
        <v>3254550.33</v>
      </c>
    </row>
    <row r="83" spans="1:12" ht="81.599999999999994" x14ac:dyDescent="0.3">
      <c r="A83" s="103" t="s">
        <v>111</v>
      </c>
      <c r="B83" s="104" t="s">
        <v>117</v>
      </c>
      <c r="C83" s="104" t="s">
        <v>114</v>
      </c>
      <c r="D83" s="104" t="s">
        <v>56</v>
      </c>
      <c r="E83" s="105" t="s">
        <v>18</v>
      </c>
      <c r="F83" s="110">
        <v>1824.42</v>
      </c>
      <c r="G83" s="110"/>
      <c r="H83" s="105" t="s">
        <v>19</v>
      </c>
      <c r="I83" s="111" t="s">
        <v>20</v>
      </c>
      <c r="J83" s="111"/>
      <c r="K83" s="108" t="s">
        <v>13</v>
      </c>
      <c r="L83" s="109">
        <v>3256374.75</v>
      </c>
    </row>
    <row r="84" spans="1:12" ht="81.599999999999994" x14ac:dyDescent="0.3">
      <c r="A84" s="103" t="s">
        <v>111</v>
      </c>
      <c r="B84" s="104" t="s">
        <v>117</v>
      </c>
      <c r="C84" s="104" t="s">
        <v>115</v>
      </c>
      <c r="D84" s="104" t="s">
        <v>56</v>
      </c>
      <c r="E84" s="105" t="s">
        <v>18</v>
      </c>
      <c r="F84" s="112">
        <v>152.28</v>
      </c>
      <c r="G84" s="112"/>
      <c r="H84" s="105" t="s">
        <v>19</v>
      </c>
      <c r="I84" s="111" t="s">
        <v>20</v>
      </c>
      <c r="J84" s="111"/>
      <c r="K84" s="108" t="s">
        <v>13</v>
      </c>
      <c r="L84" s="109">
        <v>3256527.03</v>
      </c>
    </row>
    <row r="85" spans="1:12" ht="81.599999999999994" x14ac:dyDescent="0.3">
      <c r="A85" s="103" t="s">
        <v>111</v>
      </c>
      <c r="B85" s="104" t="s">
        <v>117</v>
      </c>
      <c r="C85" s="104" t="s">
        <v>116</v>
      </c>
      <c r="D85" s="104" t="s">
        <v>56</v>
      </c>
      <c r="E85" s="105" t="s">
        <v>18</v>
      </c>
      <c r="F85" s="110">
        <v>2406.7399999999998</v>
      </c>
      <c r="G85" s="110"/>
      <c r="H85" s="105" t="s">
        <v>19</v>
      </c>
      <c r="I85" s="111" t="s">
        <v>20</v>
      </c>
      <c r="J85" s="111"/>
      <c r="K85" s="108" t="s">
        <v>13</v>
      </c>
      <c r="L85" s="109">
        <v>3258933.77</v>
      </c>
    </row>
    <row r="86" spans="1:12" ht="81.599999999999994" x14ac:dyDescent="0.3">
      <c r="A86" s="103" t="s">
        <v>118</v>
      </c>
      <c r="B86" s="104" t="s">
        <v>119</v>
      </c>
      <c r="C86" s="104" t="s">
        <v>120</v>
      </c>
      <c r="D86" s="104" t="s">
        <v>56</v>
      </c>
      <c r="E86" s="105" t="s">
        <v>18</v>
      </c>
      <c r="F86" s="110">
        <v>1913.28</v>
      </c>
      <c r="G86" s="110"/>
      <c r="H86" s="105" t="s">
        <v>19</v>
      </c>
      <c r="I86" s="111" t="s">
        <v>20</v>
      </c>
      <c r="J86" s="111"/>
      <c r="K86" s="108" t="s">
        <v>13</v>
      </c>
      <c r="L86" s="109">
        <v>3260847.05</v>
      </c>
    </row>
    <row r="87" spans="1:12" ht="81.599999999999994" x14ac:dyDescent="0.3">
      <c r="A87" s="103" t="s">
        <v>118</v>
      </c>
      <c r="B87" s="104" t="s">
        <v>119</v>
      </c>
      <c r="C87" s="104" t="s">
        <v>121</v>
      </c>
      <c r="D87" s="104" t="s">
        <v>56</v>
      </c>
      <c r="E87" s="105" t="s">
        <v>18</v>
      </c>
      <c r="F87" s="110">
        <v>6405.98</v>
      </c>
      <c r="G87" s="110"/>
      <c r="H87" s="105" t="s">
        <v>19</v>
      </c>
      <c r="I87" s="111" t="s">
        <v>20</v>
      </c>
      <c r="J87" s="111"/>
      <c r="K87" s="108" t="s">
        <v>13</v>
      </c>
      <c r="L87" s="109">
        <v>3267253.03</v>
      </c>
    </row>
    <row r="88" spans="1:12" ht="81.599999999999994" x14ac:dyDescent="0.3">
      <c r="A88" s="103" t="s">
        <v>118</v>
      </c>
      <c r="B88" s="104" t="s">
        <v>119</v>
      </c>
      <c r="C88" s="104" t="s">
        <v>122</v>
      </c>
      <c r="D88" s="104" t="s">
        <v>56</v>
      </c>
      <c r="E88" s="105" t="s">
        <v>18</v>
      </c>
      <c r="F88" s="110">
        <v>53508</v>
      </c>
      <c r="G88" s="110"/>
      <c r="H88" s="105" t="s">
        <v>19</v>
      </c>
      <c r="I88" s="111" t="s">
        <v>20</v>
      </c>
      <c r="J88" s="111"/>
      <c r="K88" s="108" t="s">
        <v>13</v>
      </c>
      <c r="L88" s="109">
        <v>3320761.03</v>
      </c>
    </row>
    <row r="89" spans="1:12" ht="81.599999999999994" x14ac:dyDescent="0.3">
      <c r="A89" s="103" t="s">
        <v>118</v>
      </c>
      <c r="B89" s="104" t="s">
        <v>119</v>
      </c>
      <c r="C89" s="104" t="s">
        <v>123</v>
      </c>
      <c r="D89" s="104" t="s">
        <v>56</v>
      </c>
      <c r="E89" s="105" t="s">
        <v>18</v>
      </c>
      <c r="F89" s="110">
        <v>93137.35</v>
      </c>
      <c r="G89" s="110"/>
      <c r="H89" s="105" t="s">
        <v>19</v>
      </c>
      <c r="I89" s="111" t="s">
        <v>20</v>
      </c>
      <c r="J89" s="111"/>
      <c r="K89" s="108" t="s">
        <v>13</v>
      </c>
      <c r="L89" s="109">
        <v>3413898.38</v>
      </c>
    </row>
    <row r="90" spans="1:12" ht="81.599999999999994" x14ac:dyDescent="0.3">
      <c r="A90" s="103" t="s">
        <v>118</v>
      </c>
      <c r="B90" s="104" t="s">
        <v>119</v>
      </c>
      <c r="C90" s="104" t="s">
        <v>124</v>
      </c>
      <c r="D90" s="104" t="s">
        <v>56</v>
      </c>
      <c r="E90" s="105" t="s">
        <v>18</v>
      </c>
      <c r="F90" s="110">
        <v>58245</v>
      </c>
      <c r="G90" s="110"/>
      <c r="H90" s="105" t="s">
        <v>19</v>
      </c>
      <c r="I90" s="111" t="s">
        <v>20</v>
      </c>
      <c r="J90" s="111"/>
      <c r="K90" s="108" t="s">
        <v>13</v>
      </c>
      <c r="L90" s="109">
        <v>3472143.38</v>
      </c>
    </row>
    <row r="91" spans="1:12" ht="81.599999999999994" x14ac:dyDescent="0.3">
      <c r="A91" s="103" t="s">
        <v>118</v>
      </c>
      <c r="B91" s="104" t="s">
        <v>125</v>
      </c>
      <c r="C91" s="104" t="s">
        <v>120</v>
      </c>
      <c r="D91" s="104" t="s">
        <v>56</v>
      </c>
      <c r="E91" s="105" t="s">
        <v>18</v>
      </c>
      <c r="F91" s="112">
        <v>2.09</v>
      </c>
      <c r="G91" s="112"/>
      <c r="H91" s="105" t="s">
        <v>19</v>
      </c>
      <c r="I91" s="111" t="s">
        <v>20</v>
      </c>
      <c r="J91" s="111"/>
      <c r="K91" s="108" t="s">
        <v>13</v>
      </c>
      <c r="L91" s="109">
        <v>3472145.47</v>
      </c>
    </row>
    <row r="92" spans="1:12" ht="81.599999999999994" x14ac:dyDescent="0.3">
      <c r="A92" s="103" t="s">
        <v>118</v>
      </c>
      <c r="B92" s="104" t="s">
        <v>125</v>
      </c>
      <c r="C92" s="104" t="s">
        <v>121</v>
      </c>
      <c r="D92" s="104" t="s">
        <v>56</v>
      </c>
      <c r="E92" s="105" t="s">
        <v>18</v>
      </c>
      <c r="F92" s="112">
        <v>6.99</v>
      </c>
      <c r="G92" s="112"/>
      <c r="H92" s="105" t="s">
        <v>19</v>
      </c>
      <c r="I92" s="111" t="s">
        <v>20</v>
      </c>
      <c r="J92" s="111"/>
      <c r="K92" s="108" t="s">
        <v>13</v>
      </c>
      <c r="L92" s="109">
        <v>3472152.46</v>
      </c>
    </row>
    <row r="93" spans="1:12" ht="81.599999999999994" x14ac:dyDescent="0.3">
      <c r="A93" s="103" t="s">
        <v>118</v>
      </c>
      <c r="B93" s="104" t="s">
        <v>125</v>
      </c>
      <c r="C93" s="104" t="s">
        <v>122</v>
      </c>
      <c r="D93" s="104" t="s">
        <v>56</v>
      </c>
      <c r="E93" s="105" t="s">
        <v>18</v>
      </c>
      <c r="F93" s="112">
        <v>58.35</v>
      </c>
      <c r="G93" s="112"/>
      <c r="H93" s="105" t="s">
        <v>19</v>
      </c>
      <c r="I93" s="111" t="s">
        <v>20</v>
      </c>
      <c r="J93" s="111"/>
      <c r="K93" s="108" t="s">
        <v>13</v>
      </c>
      <c r="L93" s="109">
        <v>3472210.81</v>
      </c>
    </row>
    <row r="94" spans="1:12" ht="81.599999999999994" x14ac:dyDescent="0.3">
      <c r="A94" s="103" t="s">
        <v>118</v>
      </c>
      <c r="B94" s="104" t="s">
        <v>125</v>
      </c>
      <c r="C94" s="104" t="s">
        <v>123</v>
      </c>
      <c r="D94" s="104" t="s">
        <v>56</v>
      </c>
      <c r="E94" s="105" t="s">
        <v>18</v>
      </c>
      <c r="F94" s="112">
        <v>101.56</v>
      </c>
      <c r="G94" s="112"/>
      <c r="H94" s="105" t="s">
        <v>19</v>
      </c>
      <c r="I94" s="111" t="s">
        <v>20</v>
      </c>
      <c r="J94" s="111"/>
      <c r="K94" s="108" t="s">
        <v>13</v>
      </c>
      <c r="L94" s="109">
        <v>3472312.37</v>
      </c>
    </row>
    <row r="95" spans="1:12" ht="81.599999999999994" x14ac:dyDescent="0.3">
      <c r="A95" s="103" t="s">
        <v>118</v>
      </c>
      <c r="B95" s="104" t="s">
        <v>125</v>
      </c>
      <c r="C95" s="104" t="s">
        <v>124</v>
      </c>
      <c r="D95" s="104" t="s">
        <v>56</v>
      </c>
      <c r="E95" s="105" t="s">
        <v>18</v>
      </c>
      <c r="F95" s="112">
        <v>63.51</v>
      </c>
      <c r="G95" s="112"/>
      <c r="H95" s="105" t="s">
        <v>19</v>
      </c>
      <c r="I95" s="111" t="s">
        <v>20</v>
      </c>
      <c r="J95" s="111"/>
      <c r="K95" s="108" t="s">
        <v>13</v>
      </c>
      <c r="L95" s="109">
        <v>3472375.88</v>
      </c>
    </row>
    <row r="96" spans="1:12" ht="71.400000000000006" x14ac:dyDescent="0.3">
      <c r="A96" s="103" t="s">
        <v>126</v>
      </c>
      <c r="B96" s="104" t="s">
        <v>127</v>
      </c>
      <c r="C96" s="104" t="s">
        <v>128</v>
      </c>
      <c r="D96" s="104" t="s">
        <v>61</v>
      </c>
      <c r="E96" s="105" t="s">
        <v>18</v>
      </c>
      <c r="F96" s="106" t="s">
        <v>20</v>
      </c>
      <c r="G96" s="106"/>
      <c r="H96" s="105" t="s">
        <v>18</v>
      </c>
      <c r="I96" s="113">
        <v>2926.12</v>
      </c>
      <c r="J96" s="113"/>
      <c r="K96" s="108" t="s">
        <v>13</v>
      </c>
      <c r="L96" s="109">
        <v>3469449.76</v>
      </c>
    </row>
    <row r="97" spans="1:12" ht="81.599999999999994" x14ac:dyDescent="0.3">
      <c r="A97" s="103" t="s">
        <v>126</v>
      </c>
      <c r="B97" s="104" t="s">
        <v>127</v>
      </c>
      <c r="C97" s="104" t="s">
        <v>129</v>
      </c>
      <c r="D97" s="104" t="s">
        <v>123</v>
      </c>
      <c r="E97" s="105" t="s">
        <v>18</v>
      </c>
      <c r="F97" s="106" t="s">
        <v>20</v>
      </c>
      <c r="G97" s="106"/>
      <c r="H97" s="105" t="s">
        <v>18</v>
      </c>
      <c r="I97" s="113">
        <v>20179.96</v>
      </c>
      <c r="J97" s="113"/>
      <c r="K97" s="108" t="s">
        <v>13</v>
      </c>
      <c r="L97" s="109">
        <v>3449269.8</v>
      </c>
    </row>
    <row r="98" spans="1:12" ht="81.599999999999994" x14ac:dyDescent="0.3">
      <c r="A98" s="103" t="s">
        <v>126</v>
      </c>
      <c r="B98" s="104" t="s">
        <v>127</v>
      </c>
      <c r="C98" s="104" t="s">
        <v>130</v>
      </c>
      <c r="D98" s="104" t="s">
        <v>65</v>
      </c>
      <c r="E98" s="105" t="s">
        <v>18</v>
      </c>
      <c r="F98" s="106" t="s">
        <v>20</v>
      </c>
      <c r="G98" s="106"/>
      <c r="H98" s="105" t="s">
        <v>18</v>
      </c>
      <c r="I98" s="113">
        <v>1179.1500000000001</v>
      </c>
      <c r="J98" s="113"/>
      <c r="K98" s="108" t="s">
        <v>13</v>
      </c>
      <c r="L98" s="109">
        <v>3448090.65</v>
      </c>
    </row>
    <row r="99" spans="1:12" ht="81.599999999999994" x14ac:dyDescent="0.3">
      <c r="A99" s="103" t="s">
        <v>131</v>
      </c>
      <c r="B99" s="104" t="s">
        <v>132</v>
      </c>
      <c r="C99" s="104" t="s">
        <v>133</v>
      </c>
      <c r="D99" s="104" t="s">
        <v>56</v>
      </c>
      <c r="E99" s="105" t="s">
        <v>18</v>
      </c>
      <c r="F99" s="110">
        <v>121607.65</v>
      </c>
      <c r="G99" s="110"/>
      <c r="H99" s="105" t="s">
        <v>19</v>
      </c>
      <c r="I99" s="111" t="s">
        <v>20</v>
      </c>
      <c r="J99" s="111"/>
      <c r="K99" s="108" t="s">
        <v>13</v>
      </c>
      <c r="L99" s="109">
        <v>3569698.3</v>
      </c>
    </row>
    <row r="100" spans="1:12" ht="81.599999999999994" x14ac:dyDescent="0.3">
      <c r="A100" s="103" t="s">
        <v>131</v>
      </c>
      <c r="B100" s="104" t="s">
        <v>132</v>
      </c>
      <c r="C100" s="104" t="s">
        <v>134</v>
      </c>
      <c r="D100" s="104" t="s">
        <v>56</v>
      </c>
      <c r="E100" s="105" t="s">
        <v>18</v>
      </c>
      <c r="F100" s="110">
        <v>3516.96</v>
      </c>
      <c r="G100" s="110"/>
      <c r="H100" s="105" t="s">
        <v>19</v>
      </c>
      <c r="I100" s="111" t="s">
        <v>20</v>
      </c>
      <c r="J100" s="111"/>
      <c r="K100" s="108" t="s">
        <v>13</v>
      </c>
      <c r="L100" s="109">
        <v>3573215.26</v>
      </c>
    </row>
    <row r="101" spans="1:12" ht="81.599999999999994" x14ac:dyDescent="0.3">
      <c r="A101" s="103" t="s">
        <v>131</v>
      </c>
      <c r="B101" s="104" t="s">
        <v>132</v>
      </c>
      <c r="C101" s="104" t="s">
        <v>135</v>
      </c>
      <c r="D101" s="104" t="s">
        <v>56</v>
      </c>
      <c r="E101" s="105" t="s">
        <v>18</v>
      </c>
      <c r="F101" s="110">
        <v>45823.06</v>
      </c>
      <c r="G101" s="110"/>
      <c r="H101" s="105" t="s">
        <v>19</v>
      </c>
      <c r="I101" s="111" t="s">
        <v>20</v>
      </c>
      <c r="J101" s="111"/>
      <c r="K101" s="108" t="s">
        <v>13</v>
      </c>
      <c r="L101" s="109">
        <v>3619038.32</v>
      </c>
    </row>
    <row r="102" spans="1:12" ht="81.599999999999994" x14ac:dyDescent="0.3">
      <c r="A102" s="103" t="s">
        <v>131</v>
      </c>
      <c r="B102" s="104" t="s">
        <v>132</v>
      </c>
      <c r="C102" s="104" t="s">
        <v>136</v>
      </c>
      <c r="D102" s="104" t="s">
        <v>56</v>
      </c>
      <c r="E102" s="105" t="s">
        <v>18</v>
      </c>
      <c r="F102" s="110">
        <v>48802.559999999998</v>
      </c>
      <c r="G102" s="110"/>
      <c r="H102" s="105" t="s">
        <v>19</v>
      </c>
      <c r="I102" s="111" t="s">
        <v>20</v>
      </c>
      <c r="J102" s="111"/>
      <c r="K102" s="108" t="s">
        <v>13</v>
      </c>
      <c r="L102" s="109">
        <v>3667840.88</v>
      </c>
    </row>
    <row r="103" spans="1:12" ht="81.599999999999994" x14ac:dyDescent="0.3">
      <c r="A103" s="103" t="s">
        <v>131</v>
      </c>
      <c r="B103" s="104" t="s">
        <v>132</v>
      </c>
      <c r="C103" s="104" t="s">
        <v>137</v>
      </c>
      <c r="D103" s="104" t="s">
        <v>56</v>
      </c>
      <c r="E103" s="105" t="s">
        <v>18</v>
      </c>
      <c r="F103" s="110">
        <v>93324</v>
      </c>
      <c r="G103" s="110"/>
      <c r="H103" s="105" t="s">
        <v>19</v>
      </c>
      <c r="I103" s="111" t="s">
        <v>20</v>
      </c>
      <c r="J103" s="111"/>
      <c r="K103" s="108" t="s">
        <v>13</v>
      </c>
      <c r="L103" s="109">
        <v>3761164.88</v>
      </c>
    </row>
    <row r="104" spans="1:12" ht="81.599999999999994" x14ac:dyDescent="0.3">
      <c r="A104" s="103" t="s">
        <v>131</v>
      </c>
      <c r="B104" s="104" t="s">
        <v>132</v>
      </c>
      <c r="C104" s="104" t="s">
        <v>138</v>
      </c>
      <c r="D104" s="104" t="s">
        <v>56</v>
      </c>
      <c r="E104" s="105" t="s">
        <v>18</v>
      </c>
      <c r="F104" s="110">
        <v>19219.88</v>
      </c>
      <c r="G104" s="110"/>
      <c r="H104" s="105" t="s">
        <v>19</v>
      </c>
      <c r="I104" s="111" t="s">
        <v>20</v>
      </c>
      <c r="J104" s="111"/>
      <c r="K104" s="108" t="s">
        <v>13</v>
      </c>
      <c r="L104" s="109">
        <v>3780384.76</v>
      </c>
    </row>
    <row r="105" spans="1:12" ht="81.599999999999994" x14ac:dyDescent="0.3">
      <c r="A105" s="103" t="s">
        <v>131</v>
      </c>
      <c r="B105" s="104" t="s">
        <v>132</v>
      </c>
      <c r="C105" s="104" t="s">
        <v>139</v>
      </c>
      <c r="D105" s="104" t="s">
        <v>56</v>
      </c>
      <c r="E105" s="105" t="s">
        <v>18</v>
      </c>
      <c r="F105" s="110">
        <v>12916.64</v>
      </c>
      <c r="G105" s="110"/>
      <c r="H105" s="105" t="s">
        <v>19</v>
      </c>
      <c r="I105" s="111" t="s">
        <v>20</v>
      </c>
      <c r="J105" s="111"/>
      <c r="K105" s="108" t="s">
        <v>13</v>
      </c>
      <c r="L105" s="109">
        <v>3793301.4</v>
      </c>
    </row>
    <row r="106" spans="1:12" ht="81.599999999999994" x14ac:dyDescent="0.3">
      <c r="A106" s="103" t="s">
        <v>131</v>
      </c>
      <c r="B106" s="104" t="s">
        <v>132</v>
      </c>
      <c r="C106" s="104" t="s">
        <v>140</v>
      </c>
      <c r="D106" s="104" t="s">
        <v>56</v>
      </c>
      <c r="E106" s="105" t="s">
        <v>18</v>
      </c>
      <c r="F106" s="110">
        <v>26470.36</v>
      </c>
      <c r="G106" s="110"/>
      <c r="H106" s="105" t="s">
        <v>19</v>
      </c>
      <c r="I106" s="111" t="s">
        <v>20</v>
      </c>
      <c r="J106" s="111"/>
      <c r="K106" s="108" t="s">
        <v>13</v>
      </c>
      <c r="L106" s="109">
        <v>3819771.76</v>
      </c>
    </row>
    <row r="107" spans="1:12" ht="81.599999999999994" x14ac:dyDescent="0.3">
      <c r="A107" s="103" t="s">
        <v>131</v>
      </c>
      <c r="B107" s="104" t="s">
        <v>132</v>
      </c>
      <c r="C107" s="104" t="s">
        <v>141</v>
      </c>
      <c r="D107" s="104" t="s">
        <v>56</v>
      </c>
      <c r="E107" s="105" t="s">
        <v>18</v>
      </c>
      <c r="F107" s="110">
        <v>40960.400000000001</v>
      </c>
      <c r="G107" s="110"/>
      <c r="H107" s="105" t="s">
        <v>19</v>
      </c>
      <c r="I107" s="111" t="s">
        <v>20</v>
      </c>
      <c r="J107" s="111"/>
      <c r="K107" s="108" t="s">
        <v>13</v>
      </c>
      <c r="L107" s="109">
        <v>3860732.16</v>
      </c>
    </row>
    <row r="108" spans="1:12" ht="81.599999999999994" x14ac:dyDescent="0.3">
      <c r="A108" s="103" t="s">
        <v>131</v>
      </c>
      <c r="B108" s="104" t="s">
        <v>132</v>
      </c>
      <c r="C108" s="104" t="s">
        <v>142</v>
      </c>
      <c r="D108" s="104" t="s">
        <v>56</v>
      </c>
      <c r="E108" s="105" t="s">
        <v>18</v>
      </c>
      <c r="F108" s="110">
        <v>125619.12</v>
      </c>
      <c r="G108" s="110"/>
      <c r="H108" s="105" t="s">
        <v>19</v>
      </c>
      <c r="I108" s="111" t="s">
        <v>20</v>
      </c>
      <c r="J108" s="111"/>
      <c r="K108" s="108" t="s">
        <v>13</v>
      </c>
      <c r="L108" s="109">
        <v>3986351.28</v>
      </c>
    </row>
    <row r="109" spans="1:12" ht="81.599999999999994" x14ac:dyDescent="0.3">
      <c r="A109" s="103" t="s">
        <v>131</v>
      </c>
      <c r="B109" s="104" t="s">
        <v>132</v>
      </c>
      <c r="C109" s="104" t="s">
        <v>143</v>
      </c>
      <c r="D109" s="104" t="s">
        <v>56</v>
      </c>
      <c r="E109" s="105" t="s">
        <v>18</v>
      </c>
      <c r="F109" s="110">
        <v>47706.96</v>
      </c>
      <c r="G109" s="110"/>
      <c r="H109" s="105" t="s">
        <v>19</v>
      </c>
      <c r="I109" s="111" t="s">
        <v>20</v>
      </c>
      <c r="J109" s="111"/>
      <c r="K109" s="108" t="s">
        <v>13</v>
      </c>
      <c r="L109" s="109">
        <v>4034058.2400000002</v>
      </c>
    </row>
    <row r="110" spans="1:12" ht="81.599999999999994" x14ac:dyDescent="0.3">
      <c r="A110" s="103" t="s">
        <v>131</v>
      </c>
      <c r="B110" s="104" t="s">
        <v>132</v>
      </c>
      <c r="C110" s="104" t="s">
        <v>144</v>
      </c>
      <c r="D110" s="104" t="s">
        <v>56</v>
      </c>
      <c r="E110" s="105" t="s">
        <v>18</v>
      </c>
      <c r="F110" s="110">
        <v>8879.2000000000007</v>
      </c>
      <c r="G110" s="110"/>
      <c r="H110" s="105" t="s">
        <v>19</v>
      </c>
      <c r="I110" s="111" t="s">
        <v>20</v>
      </c>
      <c r="J110" s="111"/>
      <c r="K110" s="108" t="s">
        <v>13</v>
      </c>
      <c r="L110" s="109">
        <v>4042937.44</v>
      </c>
    </row>
    <row r="111" spans="1:12" ht="81.599999999999994" x14ac:dyDescent="0.3">
      <c r="A111" s="103" t="s">
        <v>131</v>
      </c>
      <c r="B111" s="104" t="s">
        <v>145</v>
      </c>
      <c r="C111" s="104" t="s">
        <v>133</v>
      </c>
      <c r="D111" s="104" t="s">
        <v>56</v>
      </c>
      <c r="E111" s="105" t="s">
        <v>18</v>
      </c>
      <c r="F111" s="110">
        <v>1192.54</v>
      </c>
      <c r="G111" s="110"/>
      <c r="H111" s="105" t="s">
        <v>19</v>
      </c>
      <c r="I111" s="111" t="s">
        <v>20</v>
      </c>
      <c r="J111" s="111"/>
      <c r="K111" s="108" t="s">
        <v>13</v>
      </c>
      <c r="L111" s="109">
        <v>4044129.98</v>
      </c>
    </row>
    <row r="112" spans="1:12" ht="81.599999999999994" x14ac:dyDescent="0.3">
      <c r="A112" s="103" t="s">
        <v>131</v>
      </c>
      <c r="B112" s="104" t="s">
        <v>145</v>
      </c>
      <c r="C112" s="104" t="s">
        <v>134</v>
      </c>
      <c r="D112" s="104" t="s">
        <v>56</v>
      </c>
      <c r="E112" s="105" t="s">
        <v>18</v>
      </c>
      <c r="F112" s="112">
        <v>34.49</v>
      </c>
      <c r="G112" s="112"/>
      <c r="H112" s="105" t="s">
        <v>19</v>
      </c>
      <c r="I112" s="111" t="s">
        <v>20</v>
      </c>
      <c r="J112" s="111"/>
      <c r="K112" s="108" t="s">
        <v>13</v>
      </c>
      <c r="L112" s="109">
        <v>4044164.47</v>
      </c>
    </row>
    <row r="113" spans="1:12" ht="81.599999999999994" x14ac:dyDescent="0.3">
      <c r="A113" s="103" t="s">
        <v>131</v>
      </c>
      <c r="B113" s="104" t="s">
        <v>145</v>
      </c>
      <c r="C113" s="104" t="s">
        <v>135</v>
      </c>
      <c r="D113" s="104" t="s">
        <v>56</v>
      </c>
      <c r="E113" s="105" t="s">
        <v>18</v>
      </c>
      <c r="F113" s="112">
        <v>449.36</v>
      </c>
      <c r="G113" s="112"/>
      <c r="H113" s="105" t="s">
        <v>19</v>
      </c>
      <c r="I113" s="111" t="s">
        <v>20</v>
      </c>
      <c r="J113" s="111"/>
      <c r="K113" s="108" t="s">
        <v>13</v>
      </c>
      <c r="L113" s="109">
        <v>4044613.83</v>
      </c>
    </row>
    <row r="114" spans="1:12" ht="81.599999999999994" x14ac:dyDescent="0.3">
      <c r="A114" s="103" t="s">
        <v>131</v>
      </c>
      <c r="B114" s="104" t="s">
        <v>145</v>
      </c>
      <c r="C114" s="104" t="s">
        <v>136</v>
      </c>
      <c r="D114" s="104" t="s">
        <v>56</v>
      </c>
      <c r="E114" s="105" t="s">
        <v>18</v>
      </c>
      <c r="F114" s="112">
        <v>478.58</v>
      </c>
      <c r="G114" s="112"/>
      <c r="H114" s="105" t="s">
        <v>19</v>
      </c>
      <c r="I114" s="111" t="s">
        <v>20</v>
      </c>
      <c r="J114" s="111"/>
      <c r="K114" s="108" t="s">
        <v>13</v>
      </c>
      <c r="L114" s="109">
        <v>4045092.41</v>
      </c>
    </row>
    <row r="115" spans="1:12" ht="81.599999999999994" x14ac:dyDescent="0.3">
      <c r="A115" s="103" t="s">
        <v>131</v>
      </c>
      <c r="B115" s="104" t="s">
        <v>145</v>
      </c>
      <c r="C115" s="104" t="s">
        <v>137</v>
      </c>
      <c r="D115" s="104" t="s">
        <v>56</v>
      </c>
      <c r="E115" s="105" t="s">
        <v>18</v>
      </c>
      <c r="F115" s="112">
        <v>915.18</v>
      </c>
      <c r="G115" s="112"/>
      <c r="H115" s="105" t="s">
        <v>19</v>
      </c>
      <c r="I115" s="111" t="s">
        <v>20</v>
      </c>
      <c r="J115" s="111"/>
      <c r="K115" s="108" t="s">
        <v>13</v>
      </c>
      <c r="L115" s="109">
        <v>4046007.59</v>
      </c>
    </row>
    <row r="116" spans="1:12" ht="81.599999999999994" x14ac:dyDescent="0.3">
      <c r="A116" s="103" t="s">
        <v>131</v>
      </c>
      <c r="B116" s="104" t="s">
        <v>145</v>
      </c>
      <c r="C116" s="104" t="s">
        <v>138</v>
      </c>
      <c r="D116" s="104" t="s">
        <v>56</v>
      </c>
      <c r="E116" s="105" t="s">
        <v>18</v>
      </c>
      <c r="F116" s="112">
        <v>188.48</v>
      </c>
      <c r="G116" s="112"/>
      <c r="H116" s="105" t="s">
        <v>19</v>
      </c>
      <c r="I116" s="111" t="s">
        <v>20</v>
      </c>
      <c r="J116" s="111"/>
      <c r="K116" s="108" t="s">
        <v>13</v>
      </c>
      <c r="L116" s="109">
        <v>4046196.07</v>
      </c>
    </row>
    <row r="117" spans="1:12" ht="81.599999999999994" x14ac:dyDescent="0.3">
      <c r="A117" s="103" t="s">
        <v>131</v>
      </c>
      <c r="B117" s="104" t="s">
        <v>145</v>
      </c>
      <c r="C117" s="104" t="s">
        <v>139</v>
      </c>
      <c r="D117" s="104" t="s">
        <v>56</v>
      </c>
      <c r="E117" s="105" t="s">
        <v>18</v>
      </c>
      <c r="F117" s="112">
        <v>126.67</v>
      </c>
      <c r="G117" s="112"/>
      <c r="H117" s="105" t="s">
        <v>19</v>
      </c>
      <c r="I117" s="111" t="s">
        <v>20</v>
      </c>
      <c r="J117" s="111"/>
      <c r="K117" s="108" t="s">
        <v>13</v>
      </c>
      <c r="L117" s="109">
        <v>4046322.74</v>
      </c>
    </row>
    <row r="118" spans="1:12" ht="81.599999999999994" x14ac:dyDescent="0.3">
      <c r="A118" s="103" t="s">
        <v>131</v>
      </c>
      <c r="B118" s="104" t="s">
        <v>145</v>
      </c>
      <c r="C118" s="104" t="s">
        <v>140</v>
      </c>
      <c r="D118" s="104" t="s">
        <v>56</v>
      </c>
      <c r="E118" s="105" t="s">
        <v>18</v>
      </c>
      <c r="F118" s="112">
        <v>259.58</v>
      </c>
      <c r="G118" s="112"/>
      <c r="H118" s="105" t="s">
        <v>19</v>
      </c>
      <c r="I118" s="111" t="s">
        <v>20</v>
      </c>
      <c r="J118" s="111"/>
      <c r="K118" s="108" t="s">
        <v>13</v>
      </c>
      <c r="L118" s="109">
        <v>4046582.32</v>
      </c>
    </row>
    <row r="119" spans="1:12" ht="81.599999999999994" x14ac:dyDescent="0.3">
      <c r="A119" s="103" t="s">
        <v>131</v>
      </c>
      <c r="B119" s="104" t="s">
        <v>145</v>
      </c>
      <c r="C119" s="104" t="s">
        <v>141</v>
      </c>
      <c r="D119" s="104" t="s">
        <v>56</v>
      </c>
      <c r="E119" s="105" t="s">
        <v>18</v>
      </c>
      <c r="F119" s="112">
        <v>401.68</v>
      </c>
      <c r="G119" s="112"/>
      <c r="H119" s="105" t="s">
        <v>19</v>
      </c>
      <c r="I119" s="111" t="s">
        <v>20</v>
      </c>
      <c r="J119" s="111"/>
      <c r="K119" s="108" t="s">
        <v>13</v>
      </c>
      <c r="L119" s="109">
        <v>4046984</v>
      </c>
    </row>
    <row r="120" spans="1:12" ht="81.599999999999994" x14ac:dyDescent="0.3">
      <c r="A120" s="103" t="s">
        <v>131</v>
      </c>
      <c r="B120" s="104" t="s">
        <v>145</v>
      </c>
      <c r="C120" s="104" t="s">
        <v>142</v>
      </c>
      <c r="D120" s="104" t="s">
        <v>56</v>
      </c>
      <c r="E120" s="105" t="s">
        <v>18</v>
      </c>
      <c r="F120" s="110">
        <v>1231.8599999999999</v>
      </c>
      <c r="G120" s="110"/>
      <c r="H120" s="105" t="s">
        <v>19</v>
      </c>
      <c r="I120" s="111" t="s">
        <v>20</v>
      </c>
      <c r="J120" s="111"/>
      <c r="K120" s="108" t="s">
        <v>13</v>
      </c>
      <c r="L120" s="109">
        <v>4048215.86</v>
      </c>
    </row>
    <row r="121" spans="1:12" ht="81.599999999999994" x14ac:dyDescent="0.3">
      <c r="A121" s="103" t="s">
        <v>131</v>
      </c>
      <c r="B121" s="104" t="s">
        <v>145</v>
      </c>
      <c r="C121" s="104" t="s">
        <v>143</v>
      </c>
      <c r="D121" s="104" t="s">
        <v>56</v>
      </c>
      <c r="E121" s="105" t="s">
        <v>18</v>
      </c>
      <c r="F121" s="112">
        <v>467.84</v>
      </c>
      <c r="G121" s="112"/>
      <c r="H121" s="105" t="s">
        <v>19</v>
      </c>
      <c r="I121" s="111" t="s">
        <v>20</v>
      </c>
      <c r="J121" s="111"/>
      <c r="K121" s="108" t="s">
        <v>13</v>
      </c>
      <c r="L121" s="109">
        <v>4048683.7</v>
      </c>
    </row>
    <row r="122" spans="1:12" ht="81.599999999999994" x14ac:dyDescent="0.3">
      <c r="A122" s="103" t="s">
        <v>131</v>
      </c>
      <c r="B122" s="104" t="s">
        <v>145</v>
      </c>
      <c r="C122" s="104" t="s">
        <v>144</v>
      </c>
      <c r="D122" s="104" t="s">
        <v>56</v>
      </c>
      <c r="E122" s="105" t="s">
        <v>18</v>
      </c>
      <c r="F122" s="112">
        <v>87.07</v>
      </c>
      <c r="G122" s="112"/>
      <c r="H122" s="105" t="s">
        <v>19</v>
      </c>
      <c r="I122" s="111" t="s">
        <v>20</v>
      </c>
      <c r="J122" s="111"/>
      <c r="K122" s="108" t="s">
        <v>13</v>
      </c>
      <c r="L122" s="109">
        <v>4048770.77</v>
      </c>
    </row>
    <row r="123" spans="1:12" ht="71.400000000000006" x14ac:dyDescent="0.3">
      <c r="A123" s="103" t="s">
        <v>146</v>
      </c>
      <c r="B123" s="104" t="s">
        <v>147</v>
      </c>
      <c r="C123" s="104" t="s">
        <v>148</v>
      </c>
      <c r="D123" s="104" t="s">
        <v>149</v>
      </c>
      <c r="E123" s="105" t="s">
        <v>18</v>
      </c>
      <c r="F123" s="106" t="s">
        <v>20</v>
      </c>
      <c r="G123" s="106"/>
      <c r="H123" s="105" t="s">
        <v>18</v>
      </c>
      <c r="I123" s="113">
        <v>5698.67</v>
      </c>
      <c r="J123" s="113"/>
      <c r="K123" s="108" t="s">
        <v>13</v>
      </c>
      <c r="L123" s="109">
        <v>4043072.1</v>
      </c>
    </row>
    <row r="124" spans="1:12" ht="71.400000000000006" x14ac:dyDescent="0.3">
      <c r="A124" s="103" t="s">
        <v>146</v>
      </c>
      <c r="B124" s="104" t="s">
        <v>147</v>
      </c>
      <c r="C124" s="104" t="s">
        <v>150</v>
      </c>
      <c r="D124" s="104" t="s">
        <v>98</v>
      </c>
      <c r="E124" s="105" t="s">
        <v>18</v>
      </c>
      <c r="F124" s="106" t="s">
        <v>20</v>
      </c>
      <c r="G124" s="106"/>
      <c r="H124" s="105" t="s">
        <v>18</v>
      </c>
      <c r="I124" s="113">
        <v>13807.71</v>
      </c>
      <c r="J124" s="113"/>
      <c r="K124" s="108" t="s">
        <v>13</v>
      </c>
      <c r="L124" s="109">
        <v>4029264.39</v>
      </c>
    </row>
    <row r="125" spans="1:12" ht="81.599999999999994" x14ac:dyDescent="0.3">
      <c r="A125" s="103" t="s">
        <v>146</v>
      </c>
      <c r="B125" s="104" t="s">
        <v>147</v>
      </c>
      <c r="C125" s="104" t="s">
        <v>151</v>
      </c>
      <c r="D125" s="104" t="s">
        <v>99</v>
      </c>
      <c r="E125" s="105" t="s">
        <v>18</v>
      </c>
      <c r="F125" s="106" t="s">
        <v>20</v>
      </c>
      <c r="G125" s="106"/>
      <c r="H125" s="105" t="s">
        <v>18</v>
      </c>
      <c r="I125" s="113">
        <v>93672</v>
      </c>
      <c r="J125" s="113"/>
      <c r="K125" s="108" t="s">
        <v>13</v>
      </c>
      <c r="L125" s="109">
        <v>3935592.39</v>
      </c>
    </row>
    <row r="126" spans="1:12" ht="71.400000000000006" x14ac:dyDescent="0.3">
      <c r="A126" s="103" t="s">
        <v>146</v>
      </c>
      <c r="B126" s="104" t="s">
        <v>147</v>
      </c>
      <c r="C126" s="104" t="s">
        <v>152</v>
      </c>
      <c r="D126" s="104" t="s">
        <v>77</v>
      </c>
      <c r="E126" s="105" t="s">
        <v>18</v>
      </c>
      <c r="F126" s="106" t="s">
        <v>20</v>
      </c>
      <c r="G126" s="106"/>
      <c r="H126" s="105" t="s">
        <v>18</v>
      </c>
      <c r="I126" s="113">
        <v>204589.62</v>
      </c>
      <c r="J126" s="113"/>
      <c r="K126" s="108" t="s">
        <v>13</v>
      </c>
      <c r="L126" s="109">
        <v>3731002.77</v>
      </c>
    </row>
    <row r="127" spans="1:12" ht="81.599999999999994" x14ac:dyDescent="0.3">
      <c r="A127" s="103" t="s">
        <v>146</v>
      </c>
      <c r="B127" s="104" t="s">
        <v>147</v>
      </c>
      <c r="C127" s="104" t="s">
        <v>153</v>
      </c>
      <c r="D127" s="104" t="s">
        <v>95</v>
      </c>
      <c r="E127" s="105" t="s">
        <v>18</v>
      </c>
      <c r="F127" s="106" t="s">
        <v>20</v>
      </c>
      <c r="G127" s="106"/>
      <c r="H127" s="105" t="s">
        <v>18</v>
      </c>
      <c r="I127" s="113">
        <v>1701.29</v>
      </c>
      <c r="J127" s="113"/>
      <c r="K127" s="108" t="s">
        <v>13</v>
      </c>
      <c r="L127" s="109">
        <v>3729301.48</v>
      </c>
    </row>
    <row r="128" spans="1:12" ht="81.599999999999994" x14ac:dyDescent="0.3">
      <c r="A128" s="103" t="s">
        <v>146</v>
      </c>
      <c r="B128" s="104" t="s">
        <v>147</v>
      </c>
      <c r="C128" s="104" t="s">
        <v>154</v>
      </c>
      <c r="D128" s="104" t="s">
        <v>96</v>
      </c>
      <c r="E128" s="105" t="s">
        <v>18</v>
      </c>
      <c r="F128" s="106" t="s">
        <v>20</v>
      </c>
      <c r="G128" s="106"/>
      <c r="H128" s="105" t="s">
        <v>18</v>
      </c>
      <c r="I128" s="113">
        <v>9109.82</v>
      </c>
      <c r="J128" s="113"/>
      <c r="K128" s="108" t="s">
        <v>13</v>
      </c>
      <c r="L128" s="109">
        <v>3720191.66</v>
      </c>
    </row>
    <row r="129" spans="1:12" ht="71.400000000000006" x14ac:dyDescent="0.3">
      <c r="A129" s="103" t="s">
        <v>146</v>
      </c>
      <c r="B129" s="104" t="s">
        <v>147</v>
      </c>
      <c r="C129" s="104" t="s">
        <v>155</v>
      </c>
      <c r="D129" s="104" t="s">
        <v>144</v>
      </c>
      <c r="E129" s="105" t="s">
        <v>18</v>
      </c>
      <c r="F129" s="106" t="s">
        <v>20</v>
      </c>
      <c r="G129" s="106"/>
      <c r="H129" s="105" t="s">
        <v>18</v>
      </c>
      <c r="I129" s="113">
        <v>8966.27</v>
      </c>
      <c r="J129" s="113"/>
      <c r="K129" s="108" t="s">
        <v>13</v>
      </c>
      <c r="L129" s="109">
        <v>3711225.39</v>
      </c>
    </row>
    <row r="130" spans="1:12" ht="71.400000000000006" x14ac:dyDescent="0.3">
      <c r="A130" s="103" t="s">
        <v>146</v>
      </c>
      <c r="B130" s="104" t="s">
        <v>147</v>
      </c>
      <c r="C130" s="104" t="s">
        <v>156</v>
      </c>
      <c r="D130" s="104" t="s">
        <v>157</v>
      </c>
      <c r="E130" s="105" t="s">
        <v>18</v>
      </c>
      <c r="F130" s="106" t="s">
        <v>20</v>
      </c>
      <c r="G130" s="106"/>
      <c r="H130" s="105" t="s">
        <v>18</v>
      </c>
      <c r="I130" s="107">
        <v>904.55</v>
      </c>
      <c r="J130" s="107"/>
      <c r="K130" s="108" t="s">
        <v>13</v>
      </c>
      <c r="L130" s="109">
        <v>3710320.84</v>
      </c>
    </row>
    <row r="131" spans="1:12" ht="71.400000000000006" x14ac:dyDescent="0.3">
      <c r="A131" s="103" t="s">
        <v>146</v>
      </c>
      <c r="B131" s="104" t="s">
        <v>147</v>
      </c>
      <c r="C131" s="104" t="s">
        <v>158</v>
      </c>
      <c r="D131" s="104" t="s">
        <v>59</v>
      </c>
      <c r="E131" s="105" t="s">
        <v>18</v>
      </c>
      <c r="F131" s="106" t="s">
        <v>20</v>
      </c>
      <c r="G131" s="106"/>
      <c r="H131" s="105" t="s">
        <v>18</v>
      </c>
      <c r="I131" s="113">
        <v>65724.990000000005</v>
      </c>
      <c r="J131" s="113"/>
      <c r="K131" s="108" t="s">
        <v>13</v>
      </c>
      <c r="L131" s="109">
        <v>3644595.85</v>
      </c>
    </row>
    <row r="132" spans="1:12" ht="71.400000000000006" x14ac:dyDescent="0.3">
      <c r="A132" s="103" t="s">
        <v>146</v>
      </c>
      <c r="B132" s="104" t="s">
        <v>147</v>
      </c>
      <c r="C132" s="104" t="s">
        <v>159</v>
      </c>
      <c r="D132" s="104" t="s">
        <v>73</v>
      </c>
      <c r="E132" s="105" t="s">
        <v>18</v>
      </c>
      <c r="F132" s="106" t="s">
        <v>20</v>
      </c>
      <c r="G132" s="106"/>
      <c r="H132" s="105" t="s">
        <v>18</v>
      </c>
      <c r="I132" s="113">
        <v>117050.95</v>
      </c>
      <c r="J132" s="113"/>
      <c r="K132" s="108" t="s">
        <v>13</v>
      </c>
      <c r="L132" s="109">
        <v>3527544.9</v>
      </c>
    </row>
    <row r="133" spans="1:12" ht="71.400000000000006" x14ac:dyDescent="0.3">
      <c r="A133" s="103" t="s">
        <v>146</v>
      </c>
      <c r="B133" s="104" t="s">
        <v>147</v>
      </c>
      <c r="C133" s="104" t="s">
        <v>160</v>
      </c>
      <c r="D133" s="104" t="s">
        <v>133</v>
      </c>
      <c r="E133" s="105" t="s">
        <v>18</v>
      </c>
      <c r="F133" s="106" t="s">
        <v>20</v>
      </c>
      <c r="G133" s="106"/>
      <c r="H133" s="105" t="s">
        <v>18</v>
      </c>
      <c r="I133" s="113">
        <v>82944.36</v>
      </c>
      <c r="J133" s="113"/>
      <c r="K133" s="108" t="s">
        <v>13</v>
      </c>
      <c r="L133" s="109">
        <v>3444600.54</v>
      </c>
    </row>
    <row r="134" spans="1:12" ht="71.400000000000006" x14ac:dyDescent="0.3">
      <c r="A134" s="103" t="s">
        <v>146</v>
      </c>
      <c r="B134" s="104" t="s">
        <v>147</v>
      </c>
      <c r="C134" s="104" t="s">
        <v>161</v>
      </c>
      <c r="D134" s="104" t="s">
        <v>60</v>
      </c>
      <c r="E134" s="105" t="s">
        <v>18</v>
      </c>
      <c r="F134" s="106" t="s">
        <v>20</v>
      </c>
      <c r="G134" s="106"/>
      <c r="H134" s="105" t="s">
        <v>18</v>
      </c>
      <c r="I134" s="113">
        <v>19845.53</v>
      </c>
      <c r="J134" s="113"/>
      <c r="K134" s="108" t="s">
        <v>13</v>
      </c>
      <c r="L134" s="109">
        <v>3424755.01</v>
      </c>
    </row>
    <row r="135" spans="1:12" ht="71.400000000000006" x14ac:dyDescent="0.3">
      <c r="A135" s="103" t="s">
        <v>146</v>
      </c>
      <c r="B135" s="104" t="s">
        <v>147</v>
      </c>
      <c r="C135" s="104" t="s">
        <v>162</v>
      </c>
      <c r="D135" s="104" t="s">
        <v>61</v>
      </c>
      <c r="E135" s="105" t="s">
        <v>18</v>
      </c>
      <c r="F135" s="106" t="s">
        <v>20</v>
      </c>
      <c r="G135" s="106"/>
      <c r="H135" s="105" t="s">
        <v>18</v>
      </c>
      <c r="I135" s="113">
        <v>141765.60999999999</v>
      </c>
      <c r="J135" s="113"/>
      <c r="K135" s="108" t="s">
        <v>13</v>
      </c>
      <c r="L135" s="109">
        <v>3282989.4</v>
      </c>
    </row>
    <row r="136" spans="1:12" ht="71.400000000000006" x14ac:dyDescent="0.3">
      <c r="A136" s="103" t="s">
        <v>146</v>
      </c>
      <c r="B136" s="104" t="s">
        <v>147</v>
      </c>
      <c r="C136" s="104" t="s">
        <v>163</v>
      </c>
      <c r="D136" s="104" t="s">
        <v>52</v>
      </c>
      <c r="E136" s="105" t="s">
        <v>18</v>
      </c>
      <c r="F136" s="106" t="s">
        <v>20</v>
      </c>
      <c r="G136" s="106"/>
      <c r="H136" s="105" t="s">
        <v>18</v>
      </c>
      <c r="I136" s="113">
        <v>6995.19</v>
      </c>
      <c r="J136" s="113"/>
      <c r="K136" s="108" t="s">
        <v>13</v>
      </c>
      <c r="L136" s="109">
        <v>3275994.21</v>
      </c>
    </row>
    <row r="137" spans="1:12" ht="71.400000000000006" x14ac:dyDescent="0.3">
      <c r="A137" s="103" t="s">
        <v>146</v>
      </c>
      <c r="B137" s="104" t="s">
        <v>147</v>
      </c>
      <c r="C137" s="104" t="s">
        <v>164</v>
      </c>
      <c r="D137" s="104" t="s">
        <v>62</v>
      </c>
      <c r="E137" s="105" t="s">
        <v>18</v>
      </c>
      <c r="F137" s="106" t="s">
        <v>20</v>
      </c>
      <c r="G137" s="106"/>
      <c r="H137" s="105" t="s">
        <v>18</v>
      </c>
      <c r="I137" s="113">
        <v>120980.03</v>
      </c>
      <c r="J137" s="113"/>
      <c r="K137" s="108" t="s">
        <v>13</v>
      </c>
      <c r="L137" s="109">
        <v>3155014.18</v>
      </c>
    </row>
    <row r="138" spans="1:12" ht="81.599999999999994" x14ac:dyDescent="0.3">
      <c r="A138" s="103" t="s">
        <v>146</v>
      </c>
      <c r="B138" s="104" t="s">
        <v>147</v>
      </c>
      <c r="C138" s="104" t="s">
        <v>165</v>
      </c>
      <c r="D138" s="104" t="s">
        <v>88</v>
      </c>
      <c r="E138" s="105" t="s">
        <v>18</v>
      </c>
      <c r="F138" s="106" t="s">
        <v>20</v>
      </c>
      <c r="G138" s="106"/>
      <c r="H138" s="105" t="s">
        <v>18</v>
      </c>
      <c r="I138" s="113">
        <v>1232.29</v>
      </c>
      <c r="J138" s="113"/>
      <c r="K138" s="108" t="s">
        <v>13</v>
      </c>
      <c r="L138" s="109">
        <v>3153781.89</v>
      </c>
    </row>
    <row r="139" spans="1:12" ht="81.599999999999994" x14ac:dyDescent="0.3">
      <c r="A139" s="103" t="s">
        <v>146</v>
      </c>
      <c r="B139" s="104" t="s">
        <v>147</v>
      </c>
      <c r="C139" s="104" t="s">
        <v>166</v>
      </c>
      <c r="D139" s="104" t="s">
        <v>123</v>
      </c>
      <c r="E139" s="105" t="s">
        <v>18</v>
      </c>
      <c r="F139" s="106" t="s">
        <v>20</v>
      </c>
      <c r="G139" s="106"/>
      <c r="H139" s="105" t="s">
        <v>18</v>
      </c>
      <c r="I139" s="113">
        <v>6851.22</v>
      </c>
      <c r="J139" s="113"/>
      <c r="K139" s="108" t="s">
        <v>13</v>
      </c>
      <c r="L139" s="109">
        <v>3146930.67</v>
      </c>
    </row>
    <row r="140" spans="1:12" ht="81.599999999999994" x14ac:dyDescent="0.3">
      <c r="A140" s="103" t="s">
        <v>146</v>
      </c>
      <c r="B140" s="104" t="s">
        <v>147</v>
      </c>
      <c r="C140" s="104" t="s">
        <v>167</v>
      </c>
      <c r="D140" s="104" t="s">
        <v>84</v>
      </c>
      <c r="E140" s="105" t="s">
        <v>18</v>
      </c>
      <c r="F140" s="106" t="s">
        <v>20</v>
      </c>
      <c r="G140" s="106"/>
      <c r="H140" s="105" t="s">
        <v>18</v>
      </c>
      <c r="I140" s="113">
        <v>144158.9</v>
      </c>
      <c r="J140" s="113"/>
      <c r="K140" s="108" t="s">
        <v>13</v>
      </c>
      <c r="L140" s="109">
        <v>3002771.77</v>
      </c>
    </row>
    <row r="141" spans="1:12" ht="81.599999999999994" x14ac:dyDescent="0.3">
      <c r="A141" s="103" t="s">
        <v>146</v>
      </c>
      <c r="B141" s="104" t="s">
        <v>147</v>
      </c>
      <c r="C141" s="104" t="s">
        <v>168</v>
      </c>
      <c r="D141" s="104" t="s">
        <v>114</v>
      </c>
      <c r="E141" s="105" t="s">
        <v>18</v>
      </c>
      <c r="F141" s="106" t="s">
        <v>20</v>
      </c>
      <c r="G141" s="106"/>
      <c r="H141" s="105" t="s">
        <v>18</v>
      </c>
      <c r="I141" s="113">
        <v>62589.1</v>
      </c>
      <c r="J141" s="113"/>
      <c r="K141" s="108" t="s">
        <v>13</v>
      </c>
      <c r="L141" s="109">
        <v>2940182.67</v>
      </c>
    </row>
    <row r="142" spans="1:12" ht="71.400000000000006" x14ac:dyDescent="0.3">
      <c r="A142" s="103" t="s">
        <v>146</v>
      </c>
      <c r="B142" s="104" t="s">
        <v>147</v>
      </c>
      <c r="C142" s="104" t="s">
        <v>169</v>
      </c>
      <c r="D142" s="104" t="s">
        <v>64</v>
      </c>
      <c r="E142" s="105" t="s">
        <v>18</v>
      </c>
      <c r="F142" s="106" t="s">
        <v>20</v>
      </c>
      <c r="G142" s="106"/>
      <c r="H142" s="105" t="s">
        <v>18</v>
      </c>
      <c r="I142" s="113">
        <v>3037.82</v>
      </c>
      <c r="J142" s="113"/>
      <c r="K142" s="108" t="s">
        <v>13</v>
      </c>
      <c r="L142" s="109">
        <v>2937144.85</v>
      </c>
    </row>
    <row r="143" spans="1:12" ht="71.400000000000006" x14ac:dyDescent="0.3">
      <c r="A143" s="103" t="s">
        <v>146</v>
      </c>
      <c r="B143" s="104" t="s">
        <v>147</v>
      </c>
      <c r="C143" s="104" t="s">
        <v>170</v>
      </c>
      <c r="D143" s="104" t="s">
        <v>78</v>
      </c>
      <c r="E143" s="105" t="s">
        <v>18</v>
      </c>
      <c r="F143" s="106" t="s">
        <v>20</v>
      </c>
      <c r="G143" s="106"/>
      <c r="H143" s="105" t="s">
        <v>18</v>
      </c>
      <c r="I143" s="107">
        <v>289.31</v>
      </c>
      <c r="J143" s="107"/>
      <c r="K143" s="108" t="s">
        <v>13</v>
      </c>
      <c r="L143" s="109">
        <v>2936855.54</v>
      </c>
    </row>
    <row r="144" spans="1:12" ht="71.400000000000006" x14ac:dyDescent="0.3">
      <c r="A144" s="103" t="s">
        <v>146</v>
      </c>
      <c r="B144" s="104" t="s">
        <v>147</v>
      </c>
      <c r="C144" s="104" t="s">
        <v>171</v>
      </c>
      <c r="D144" s="104" t="s">
        <v>63</v>
      </c>
      <c r="E144" s="105" t="s">
        <v>18</v>
      </c>
      <c r="F144" s="106" t="s">
        <v>20</v>
      </c>
      <c r="G144" s="106"/>
      <c r="H144" s="105" t="s">
        <v>18</v>
      </c>
      <c r="I144" s="113">
        <v>5937.97</v>
      </c>
      <c r="J144" s="113"/>
      <c r="K144" s="108" t="s">
        <v>13</v>
      </c>
      <c r="L144" s="109">
        <v>2930917.57</v>
      </c>
    </row>
    <row r="145" spans="1:12" ht="81.599999999999994" x14ac:dyDescent="0.3">
      <c r="A145" s="103" t="s">
        <v>146</v>
      </c>
      <c r="B145" s="104" t="s">
        <v>147</v>
      </c>
      <c r="C145" s="104" t="s">
        <v>172</v>
      </c>
      <c r="D145" s="104" t="s">
        <v>65</v>
      </c>
      <c r="E145" s="105" t="s">
        <v>18</v>
      </c>
      <c r="F145" s="106" t="s">
        <v>20</v>
      </c>
      <c r="G145" s="106"/>
      <c r="H145" s="105" t="s">
        <v>18</v>
      </c>
      <c r="I145" s="113">
        <v>6373.77</v>
      </c>
      <c r="J145" s="113"/>
      <c r="K145" s="108" t="s">
        <v>13</v>
      </c>
      <c r="L145" s="109">
        <v>2924543.8</v>
      </c>
    </row>
    <row r="146" spans="1:12" ht="71.400000000000006" x14ac:dyDescent="0.3">
      <c r="A146" s="103" t="s">
        <v>146</v>
      </c>
      <c r="B146" s="104" t="s">
        <v>147</v>
      </c>
      <c r="C146" s="104" t="s">
        <v>173</v>
      </c>
      <c r="D146" s="104" t="s">
        <v>67</v>
      </c>
      <c r="E146" s="105" t="s">
        <v>18</v>
      </c>
      <c r="F146" s="106" t="s">
        <v>20</v>
      </c>
      <c r="G146" s="106"/>
      <c r="H146" s="105" t="s">
        <v>18</v>
      </c>
      <c r="I146" s="113">
        <v>9151.2099999999991</v>
      </c>
      <c r="J146" s="113"/>
      <c r="K146" s="108" t="s">
        <v>13</v>
      </c>
      <c r="L146" s="109">
        <v>2915392.59</v>
      </c>
    </row>
    <row r="147" spans="1:12" ht="81.599999999999994" x14ac:dyDescent="0.3">
      <c r="A147" s="103" t="s">
        <v>146</v>
      </c>
      <c r="B147" s="104" t="s">
        <v>147</v>
      </c>
      <c r="C147" s="104" t="s">
        <v>174</v>
      </c>
      <c r="D147" s="104" t="s">
        <v>66</v>
      </c>
      <c r="E147" s="105" t="s">
        <v>18</v>
      </c>
      <c r="F147" s="106" t="s">
        <v>20</v>
      </c>
      <c r="G147" s="106"/>
      <c r="H147" s="105" t="s">
        <v>18</v>
      </c>
      <c r="I147" s="113">
        <v>1476</v>
      </c>
      <c r="J147" s="113"/>
      <c r="K147" s="108" t="s">
        <v>13</v>
      </c>
      <c r="L147" s="109">
        <v>2913916.59</v>
      </c>
    </row>
    <row r="148" spans="1:12" ht="81.599999999999994" x14ac:dyDescent="0.3">
      <c r="A148" s="103" t="s">
        <v>146</v>
      </c>
      <c r="B148" s="104" t="s">
        <v>147</v>
      </c>
      <c r="C148" s="104" t="s">
        <v>175</v>
      </c>
      <c r="D148" s="104" t="s">
        <v>68</v>
      </c>
      <c r="E148" s="105" t="s">
        <v>18</v>
      </c>
      <c r="F148" s="106" t="s">
        <v>20</v>
      </c>
      <c r="G148" s="106"/>
      <c r="H148" s="105" t="s">
        <v>18</v>
      </c>
      <c r="I148" s="113">
        <v>46051.27</v>
      </c>
      <c r="J148" s="113"/>
      <c r="K148" s="108" t="s">
        <v>13</v>
      </c>
      <c r="L148" s="109">
        <v>2867865.32</v>
      </c>
    </row>
    <row r="149" spans="1:12" ht="81.599999999999994" x14ac:dyDescent="0.3">
      <c r="A149" s="103" t="s">
        <v>146</v>
      </c>
      <c r="B149" s="104" t="s">
        <v>147</v>
      </c>
      <c r="C149" s="104" t="s">
        <v>176</v>
      </c>
      <c r="D149" s="104" t="s">
        <v>69</v>
      </c>
      <c r="E149" s="105" t="s">
        <v>18</v>
      </c>
      <c r="F149" s="106" t="s">
        <v>20</v>
      </c>
      <c r="G149" s="106"/>
      <c r="H149" s="105" t="s">
        <v>18</v>
      </c>
      <c r="I149" s="113">
        <v>65268.83</v>
      </c>
      <c r="J149" s="113"/>
      <c r="K149" s="108" t="s">
        <v>13</v>
      </c>
      <c r="L149" s="109">
        <v>2802596.49</v>
      </c>
    </row>
    <row r="150" spans="1:12" ht="81.599999999999994" x14ac:dyDescent="0.3">
      <c r="A150" s="103" t="s">
        <v>146</v>
      </c>
      <c r="B150" s="104" t="s">
        <v>147</v>
      </c>
      <c r="C150" s="104" t="s">
        <v>177</v>
      </c>
      <c r="D150" s="104" t="s">
        <v>120</v>
      </c>
      <c r="E150" s="105" t="s">
        <v>18</v>
      </c>
      <c r="F150" s="106" t="s">
        <v>20</v>
      </c>
      <c r="G150" s="106"/>
      <c r="H150" s="105" t="s">
        <v>18</v>
      </c>
      <c r="I150" s="113">
        <v>1915.37</v>
      </c>
      <c r="J150" s="113"/>
      <c r="K150" s="108" t="s">
        <v>13</v>
      </c>
      <c r="L150" s="109">
        <v>2800681.12</v>
      </c>
    </row>
    <row r="151" spans="1:12" ht="71.400000000000006" x14ac:dyDescent="0.3">
      <c r="A151" s="103" t="s">
        <v>146</v>
      </c>
      <c r="B151" s="104" t="s">
        <v>147</v>
      </c>
      <c r="C151" s="104" t="s">
        <v>178</v>
      </c>
      <c r="D151" s="104" t="s">
        <v>74</v>
      </c>
      <c r="E151" s="105" t="s">
        <v>18</v>
      </c>
      <c r="F151" s="106" t="s">
        <v>20</v>
      </c>
      <c r="G151" s="106"/>
      <c r="H151" s="105" t="s">
        <v>18</v>
      </c>
      <c r="I151" s="113">
        <v>170284.47</v>
      </c>
      <c r="J151" s="113"/>
      <c r="K151" s="108" t="s">
        <v>13</v>
      </c>
      <c r="L151" s="109">
        <v>2630396.65</v>
      </c>
    </row>
    <row r="152" spans="1:12" ht="81.599999999999994" x14ac:dyDescent="0.3">
      <c r="A152" s="103" t="s">
        <v>146</v>
      </c>
      <c r="B152" s="104" t="s">
        <v>147</v>
      </c>
      <c r="C152" s="104" t="s">
        <v>179</v>
      </c>
      <c r="D152" s="104" t="s">
        <v>80</v>
      </c>
      <c r="E152" s="105" t="s">
        <v>18</v>
      </c>
      <c r="F152" s="106" t="s">
        <v>20</v>
      </c>
      <c r="G152" s="106"/>
      <c r="H152" s="105" t="s">
        <v>18</v>
      </c>
      <c r="I152" s="113">
        <v>5746.72</v>
      </c>
      <c r="J152" s="113"/>
      <c r="K152" s="108" t="s">
        <v>13</v>
      </c>
      <c r="L152" s="109">
        <v>2624649.9300000002</v>
      </c>
    </row>
    <row r="153" spans="1:12" ht="81.599999999999994" x14ac:dyDescent="0.3">
      <c r="A153" s="103" t="s">
        <v>146</v>
      </c>
      <c r="B153" s="104" t="s">
        <v>147</v>
      </c>
      <c r="C153" s="104" t="s">
        <v>180</v>
      </c>
      <c r="D153" s="104" t="s">
        <v>75</v>
      </c>
      <c r="E153" s="105" t="s">
        <v>18</v>
      </c>
      <c r="F153" s="106" t="s">
        <v>20</v>
      </c>
      <c r="G153" s="106"/>
      <c r="H153" s="105" t="s">
        <v>18</v>
      </c>
      <c r="I153" s="113">
        <v>36900.01</v>
      </c>
      <c r="J153" s="113"/>
      <c r="K153" s="108" t="s">
        <v>13</v>
      </c>
      <c r="L153" s="109">
        <v>2587749.92</v>
      </c>
    </row>
    <row r="154" spans="1:12" ht="81.599999999999994" x14ac:dyDescent="0.3">
      <c r="A154" s="103" t="s">
        <v>146</v>
      </c>
      <c r="B154" s="104" t="s">
        <v>147</v>
      </c>
      <c r="C154" s="104" t="s">
        <v>181</v>
      </c>
      <c r="D154" s="104" t="s">
        <v>113</v>
      </c>
      <c r="E154" s="105" t="s">
        <v>18</v>
      </c>
      <c r="F154" s="106" t="s">
        <v>20</v>
      </c>
      <c r="G154" s="106"/>
      <c r="H154" s="105" t="s">
        <v>18</v>
      </c>
      <c r="I154" s="113">
        <v>1815.26</v>
      </c>
      <c r="J154" s="113"/>
      <c r="K154" s="108" t="s">
        <v>13</v>
      </c>
      <c r="L154" s="109">
        <v>2585934.66</v>
      </c>
    </row>
    <row r="155" spans="1:12" ht="71.400000000000006" x14ac:dyDescent="0.3">
      <c r="A155" s="103" t="s">
        <v>146</v>
      </c>
      <c r="B155" s="104" t="s">
        <v>147</v>
      </c>
      <c r="C155" s="104" t="s">
        <v>182</v>
      </c>
      <c r="D155" s="104" t="s">
        <v>121</v>
      </c>
      <c r="E155" s="105" t="s">
        <v>18</v>
      </c>
      <c r="F155" s="106" t="s">
        <v>20</v>
      </c>
      <c r="G155" s="106"/>
      <c r="H155" s="105" t="s">
        <v>18</v>
      </c>
      <c r="I155" s="113">
        <v>6412.97</v>
      </c>
      <c r="J155" s="113"/>
      <c r="K155" s="108" t="s">
        <v>13</v>
      </c>
      <c r="L155" s="109">
        <v>2579521.69</v>
      </c>
    </row>
    <row r="156" spans="1:12" ht="71.400000000000006" x14ac:dyDescent="0.3">
      <c r="A156" s="103" t="s">
        <v>146</v>
      </c>
      <c r="B156" s="104" t="s">
        <v>147</v>
      </c>
      <c r="C156" s="104" t="s">
        <v>183</v>
      </c>
      <c r="D156" s="104" t="s">
        <v>136</v>
      </c>
      <c r="E156" s="105" t="s">
        <v>18</v>
      </c>
      <c r="F156" s="106" t="s">
        <v>20</v>
      </c>
      <c r="G156" s="106"/>
      <c r="H156" s="105" t="s">
        <v>18</v>
      </c>
      <c r="I156" s="113">
        <v>2186.42</v>
      </c>
      <c r="J156" s="113"/>
      <c r="K156" s="108" t="s">
        <v>13</v>
      </c>
      <c r="L156" s="109">
        <v>2577335.27</v>
      </c>
    </row>
    <row r="157" spans="1:12" ht="71.400000000000006" x14ac:dyDescent="0.3">
      <c r="A157" s="103" t="s">
        <v>146</v>
      </c>
      <c r="B157" s="104" t="s">
        <v>184</v>
      </c>
      <c r="C157" s="104" t="s">
        <v>185</v>
      </c>
      <c r="D157" s="104" t="s">
        <v>98</v>
      </c>
      <c r="E157" s="105" t="s">
        <v>18</v>
      </c>
      <c r="F157" s="106" t="s">
        <v>20</v>
      </c>
      <c r="G157" s="106"/>
      <c r="H157" s="105" t="s">
        <v>18</v>
      </c>
      <c r="I157" s="113">
        <v>10947.29</v>
      </c>
      <c r="J157" s="113"/>
      <c r="K157" s="108" t="s">
        <v>13</v>
      </c>
      <c r="L157" s="109">
        <v>2566387.98</v>
      </c>
    </row>
    <row r="158" spans="1:12" ht="71.400000000000006" x14ac:dyDescent="0.3">
      <c r="A158" s="103" t="s">
        <v>146</v>
      </c>
      <c r="B158" s="104" t="s">
        <v>184</v>
      </c>
      <c r="C158" s="104" t="s">
        <v>186</v>
      </c>
      <c r="D158" s="104" t="s">
        <v>124</v>
      </c>
      <c r="E158" s="105" t="s">
        <v>18</v>
      </c>
      <c r="F158" s="106" t="s">
        <v>20</v>
      </c>
      <c r="G158" s="106"/>
      <c r="H158" s="105" t="s">
        <v>18</v>
      </c>
      <c r="I158" s="113">
        <v>58308.51</v>
      </c>
      <c r="J158" s="113"/>
      <c r="K158" s="108" t="s">
        <v>13</v>
      </c>
      <c r="L158" s="109">
        <v>2508079.4700000002</v>
      </c>
    </row>
    <row r="159" spans="1:12" ht="71.400000000000006" x14ac:dyDescent="0.3">
      <c r="A159" s="103" t="s">
        <v>146</v>
      </c>
      <c r="B159" s="104" t="s">
        <v>184</v>
      </c>
      <c r="C159" s="104" t="s">
        <v>187</v>
      </c>
      <c r="D159" s="104" t="s">
        <v>143</v>
      </c>
      <c r="E159" s="105" t="s">
        <v>18</v>
      </c>
      <c r="F159" s="106" t="s">
        <v>20</v>
      </c>
      <c r="G159" s="106"/>
      <c r="H159" s="105" t="s">
        <v>18</v>
      </c>
      <c r="I159" s="113">
        <v>2936.68</v>
      </c>
      <c r="J159" s="113"/>
      <c r="K159" s="108" t="s">
        <v>13</v>
      </c>
      <c r="L159" s="109">
        <v>2505142.79</v>
      </c>
    </row>
    <row r="160" spans="1:12" ht="71.400000000000006" x14ac:dyDescent="0.3">
      <c r="A160" s="103" t="s">
        <v>146</v>
      </c>
      <c r="B160" s="104" t="s">
        <v>184</v>
      </c>
      <c r="C160" s="104" t="s">
        <v>188</v>
      </c>
      <c r="D160" s="104" t="s">
        <v>133</v>
      </c>
      <c r="E160" s="105" t="s">
        <v>18</v>
      </c>
      <c r="F160" s="106" t="s">
        <v>20</v>
      </c>
      <c r="G160" s="106"/>
      <c r="H160" s="105" t="s">
        <v>18</v>
      </c>
      <c r="I160" s="113">
        <v>39855.83</v>
      </c>
      <c r="J160" s="113"/>
      <c r="K160" s="108" t="s">
        <v>13</v>
      </c>
      <c r="L160" s="109">
        <v>2465286.96</v>
      </c>
    </row>
    <row r="161" spans="1:12" ht="81.599999999999994" x14ac:dyDescent="0.3">
      <c r="A161" s="103" t="s">
        <v>146</v>
      </c>
      <c r="B161" s="104" t="s">
        <v>184</v>
      </c>
      <c r="C161" s="104" t="s">
        <v>189</v>
      </c>
      <c r="D161" s="104" t="s">
        <v>88</v>
      </c>
      <c r="E161" s="105" t="s">
        <v>18</v>
      </c>
      <c r="F161" s="106" t="s">
        <v>20</v>
      </c>
      <c r="G161" s="106"/>
      <c r="H161" s="105" t="s">
        <v>18</v>
      </c>
      <c r="I161" s="113">
        <v>4313.01</v>
      </c>
      <c r="J161" s="113"/>
      <c r="K161" s="108" t="s">
        <v>13</v>
      </c>
      <c r="L161" s="109">
        <v>2460973.9500000002</v>
      </c>
    </row>
    <row r="162" spans="1:12" ht="81.599999999999994" x14ac:dyDescent="0.3">
      <c r="A162" s="103" t="s">
        <v>146</v>
      </c>
      <c r="B162" s="104" t="s">
        <v>184</v>
      </c>
      <c r="C162" s="104" t="s">
        <v>190</v>
      </c>
      <c r="D162" s="104" t="s">
        <v>123</v>
      </c>
      <c r="E162" s="105" t="s">
        <v>18</v>
      </c>
      <c r="F162" s="106" t="s">
        <v>20</v>
      </c>
      <c r="G162" s="106"/>
      <c r="H162" s="105" t="s">
        <v>18</v>
      </c>
      <c r="I162" s="113">
        <v>19930.830000000002</v>
      </c>
      <c r="J162" s="113"/>
      <c r="K162" s="108" t="s">
        <v>13</v>
      </c>
      <c r="L162" s="109">
        <v>2441043.12</v>
      </c>
    </row>
    <row r="163" spans="1:12" ht="81.599999999999994" x14ac:dyDescent="0.3">
      <c r="A163" s="103" t="s">
        <v>146</v>
      </c>
      <c r="B163" s="104" t="s">
        <v>184</v>
      </c>
      <c r="C163" s="104" t="s">
        <v>191</v>
      </c>
      <c r="D163" s="104" t="s">
        <v>86</v>
      </c>
      <c r="E163" s="105" t="s">
        <v>18</v>
      </c>
      <c r="F163" s="106" t="s">
        <v>20</v>
      </c>
      <c r="G163" s="106"/>
      <c r="H163" s="105" t="s">
        <v>18</v>
      </c>
      <c r="I163" s="113">
        <v>23644.98</v>
      </c>
      <c r="J163" s="113"/>
      <c r="K163" s="108" t="s">
        <v>13</v>
      </c>
      <c r="L163" s="109">
        <v>2417398.14</v>
      </c>
    </row>
    <row r="164" spans="1:12" ht="81.599999999999994" x14ac:dyDescent="0.3">
      <c r="A164" s="103" t="s">
        <v>146</v>
      </c>
      <c r="B164" s="104" t="s">
        <v>184</v>
      </c>
      <c r="C164" s="104" t="s">
        <v>192</v>
      </c>
      <c r="D164" s="104" t="s">
        <v>65</v>
      </c>
      <c r="E164" s="105" t="s">
        <v>18</v>
      </c>
      <c r="F164" s="106" t="s">
        <v>20</v>
      </c>
      <c r="G164" s="106"/>
      <c r="H164" s="105" t="s">
        <v>18</v>
      </c>
      <c r="I164" s="113">
        <v>8923.2800000000007</v>
      </c>
      <c r="J164" s="113"/>
      <c r="K164" s="108" t="s">
        <v>13</v>
      </c>
      <c r="L164" s="109">
        <v>2408474.86</v>
      </c>
    </row>
    <row r="165" spans="1:12" ht="81.599999999999994" x14ac:dyDescent="0.3">
      <c r="A165" s="103" t="s">
        <v>146</v>
      </c>
      <c r="B165" s="104" t="s">
        <v>184</v>
      </c>
      <c r="C165" s="104" t="s">
        <v>193</v>
      </c>
      <c r="D165" s="104" t="s">
        <v>66</v>
      </c>
      <c r="E165" s="105" t="s">
        <v>18</v>
      </c>
      <c r="F165" s="106" t="s">
        <v>20</v>
      </c>
      <c r="G165" s="106"/>
      <c r="H165" s="105" t="s">
        <v>18</v>
      </c>
      <c r="I165" s="113">
        <v>2361.61</v>
      </c>
      <c r="J165" s="113"/>
      <c r="K165" s="108" t="s">
        <v>13</v>
      </c>
      <c r="L165" s="109">
        <v>2406113.25</v>
      </c>
    </row>
    <row r="166" spans="1:12" ht="81.599999999999994" x14ac:dyDescent="0.3">
      <c r="A166" s="103" t="s">
        <v>146</v>
      </c>
      <c r="B166" s="104" t="s">
        <v>184</v>
      </c>
      <c r="C166" s="104" t="s">
        <v>194</v>
      </c>
      <c r="D166" s="104" t="s">
        <v>68</v>
      </c>
      <c r="E166" s="105" t="s">
        <v>18</v>
      </c>
      <c r="F166" s="106" t="s">
        <v>20</v>
      </c>
      <c r="G166" s="106"/>
      <c r="H166" s="105" t="s">
        <v>18</v>
      </c>
      <c r="I166" s="113">
        <v>2656.8</v>
      </c>
      <c r="J166" s="113"/>
      <c r="K166" s="108" t="s">
        <v>13</v>
      </c>
      <c r="L166" s="109">
        <v>2403456.4500000002</v>
      </c>
    </row>
    <row r="167" spans="1:12" ht="81.599999999999994" x14ac:dyDescent="0.3">
      <c r="A167" s="103" t="s">
        <v>146</v>
      </c>
      <c r="B167" s="104" t="s">
        <v>184</v>
      </c>
      <c r="C167" s="104" t="s">
        <v>195</v>
      </c>
      <c r="D167" s="104" t="s">
        <v>113</v>
      </c>
      <c r="E167" s="105" t="s">
        <v>18</v>
      </c>
      <c r="F167" s="106" t="s">
        <v>20</v>
      </c>
      <c r="G167" s="106"/>
      <c r="H167" s="105" t="s">
        <v>18</v>
      </c>
      <c r="I167" s="113">
        <v>15732.27</v>
      </c>
      <c r="J167" s="113"/>
      <c r="K167" s="108" t="s">
        <v>13</v>
      </c>
      <c r="L167" s="109">
        <v>2387724.1800000002</v>
      </c>
    </row>
    <row r="168" spans="1:12" ht="81.599999999999994" x14ac:dyDescent="0.3">
      <c r="A168" s="103" t="s">
        <v>146</v>
      </c>
      <c r="B168" s="104" t="s">
        <v>184</v>
      </c>
      <c r="C168" s="104" t="s">
        <v>196</v>
      </c>
      <c r="D168" s="104" t="s">
        <v>75</v>
      </c>
      <c r="E168" s="105" t="s">
        <v>18</v>
      </c>
      <c r="F168" s="106" t="s">
        <v>20</v>
      </c>
      <c r="G168" s="106"/>
      <c r="H168" s="105" t="s">
        <v>18</v>
      </c>
      <c r="I168" s="113">
        <v>7863.94</v>
      </c>
      <c r="J168" s="113"/>
      <c r="K168" s="108" t="s">
        <v>13</v>
      </c>
      <c r="L168" s="109">
        <v>2379860.2400000002</v>
      </c>
    </row>
    <row r="169" spans="1:12" ht="81.599999999999994" x14ac:dyDescent="0.3">
      <c r="A169" s="103" t="s">
        <v>146</v>
      </c>
      <c r="B169" s="104" t="s">
        <v>184</v>
      </c>
      <c r="C169" s="104" t="s">
        <v>197</v>
      </c>
      <c r="D169" s="104" t="s">
        <v>198</v>
      </c>
      <c r="E169" s="105" t="s">
        <v>18</v>
      </c>
      <c r="F169" s="106" t="s">
        <v>20</v>
      </c>
      <c r="G169" s="106"/>
      <c r="H169" s="105" t="s">
        <v>18</v>
      </c>
      <c r="I169" s="113">
        <v>3653.74</v>
      </c>
      <c r="J169" s="113"/>
      <c r="K169" s="108" t="s">
        <v>13</v>
      </c>
      <c r="L169" s="109">
        <v>2376206.5</v>
      </c>
    </row>
    <row r="170" spans="1:12" ht="71.400000000000006" x14ac:dyDescent="0.3">
      <c r="A170" s="103" t="s">
        <v>146</v>
      </c>
      <c r="B170" s="104" t="s">
        <v>184</v>
      </c>
      <c r="C170" s="104" t="s">
        <v>199</v>
      </c>
      <c r="D170" s="104" t="s">
        <v>200</v>
      </c>
      <c r="E170" s="105" t="s">
        <v>18</v>
      </c>
      <c r="F170" s="106" t="s">
        <v>20</v>
      </c>
      <c r="G170" s="106"/>
      <c r="H170" s="105" t="s">
        <v>18</v>
      </c>
      <c r="I170" s="113">
        <v>2602.41</v>
      </c>
      <c r="J170" s="113"/>
      <c r="K170" s="108" t="s">
        <v>13</v>
      </c>
      <c r="L170" s="109">
        <v>2373604.09</v>
      </c>
    </row>
    <row r="171" spans="1:12" ht="71.400000000000006" x14ac:dyDescent="0.3">
      <c r="A171" s="103" t="s">
        <v>146</v>
      </c>
      <c r="B171" s="104" t="s">
        <v>201</v>
      </c>
      <c r="C171" s="104" t="s">
        <v>202</v>
      </c>
      <c r="D171" s="104" t="s">
        <v>122</v>
      </c>
      <c r="E171" s="105" t="s">
        <v>18</v>
      </c>
      <c r="F171" s="106" t="s">
        <v>20</v>
      </c>
      <c r="G171" s="106"/>
      <c r="H171" s="105" t="s">
        <v>18</v>
      </c>
      <c r="I171" s="113">
        <v>48209.72</v>
      </c>
      <c r="J171" s="113"/>
      <c r="K171" s="108" t="s">
        <v>13</v>
      </c>
      <c r="L171" s="109">
        <v>2325394.37</v>
      </c>
    </row>
    <row r="172" spans="1:12" ht="81.599999999999994" x14ac:dyDescent="0.3">
      <c r="A172" s="103" t="s">
        <v>146</v>
      </c>
      <c r="B172" s="104" t="s">
        <v>201</v>
      </c>
      <c r="C172" s="104" t="s">
        <v>203</v>
      </c>
      <c r="D172" s="104" t="s">
        <v>95</v>
      </c>
      <c r="E172" s="105" t="s">
        <v>18</v>
      </c>
      <c r="F172" s="106" t="s">
        <v>20</v>
      </c>
      <c r="G172" s="106"/>
      <c r="H172" s="105" t="s">
        <v>18</v>
      </c>
      <c r="I172" s="113">
        <v>84610.63</v>
      </c>
      <c r="J172" s="113"/>
      <c r="K172" s="108" t="s">
        <v>13</v>
      </c>
      <c r="L172" s="109">
        <v>2240783.7400000002</v>
      </c>
    </row>
    <row r="173" spans="1:12" ht="71.400000000000006" x14ac:dyDescent="0.3">
      <c r="A173" s="103" t="s">
        <v>146</v>
      </c>
      <c r="B173" s="104" t="s">
        <v>201</v>
      </c>
      <c r="C173" s="104" t="s">
        <v>204</v>
      </c>
      <c r="D173" s="104" t="s">
        <v>205</v>
      </c>
      <c r="E173" s="105" t="s">
        <v>18</v>
      </c>
      <c r="F173" s="106" t="s">
        <v>20</v>
      </c>
      <c r="G173" s="106"/>
      <c r="H173" s="105" t="s">
        <v>18</v>
      </c>
      <c r="I173" s="113">
        <v>2321.6799999999998</v>
      </c>
      <c r="J173" s="113"/>
      <c r="K173" s="108" t="s">
        <v>13</v>
      </c>
      <c r="L173" s="109">
        <v>2238462.06</v>
      </c>
    </row>
    <row r="174" spans="1:12" ht="71.400000000000006" x14ac:dyDescent="0.3">
      <c r="A174" s="103" t="s">
        <v>146</v>
      </c>
      <c r="B174" s="104" t="s">
        <v>201</v>
      </c>
      <c r="C174" s="104" t="s">
        <v>206</v>
      </c>
      <c r="D174" s="104" t="s">
        <v>57</v>
      </c>
      <c r="E174" s="105" t="s">
        <v>18</v>
      </c>
      <c r="F174" s="106" t="s">
        <v>20</v>
      </c>
      <c r="G174" s="106"/>
      <c r="H174" s="105" t="s">
        <v>18</v>
      </c>
      <c r="I174" s="113">
        <v>8308.68</v>
      </c>
      <c r="J174" s="113"/>
      <c r="K174" s="108" t="s">
        <v>13</v>
      </c>
      <c r="L174" s="109">
        <v>2230153.38</v>
      </c>
    </row>
    <row r="175" spans="1:12" ht="81.599999999999994" x14ac:dyDescent="0.3">
      <c r="A175" s="103" t="s">
        <v>146</v>
      </c>
      <c r="B175" s="104" t="s">
        <v>201</v>
      </c>
      <c r="C175" s="104" t="s">
        <v>207</v>
      </c>
      <c r="D175" s="104" t="s">
        <v>208</v>
      </c>
      <c r="E175" s="105" t="s">
        <v>18</v>
      </c>
      <c r="F175" s="106" t="s">
        <v>20</v>
      </c>
      <c r="G175" s="106"/>
      <c r="H175" s="105" t="s">
        <v>18</v>
      </c>
      <c r="I175" s="107">
        <v>663.09</v>
      </c>
      <c r="J175" s="107"/>
      <c r="K175" s="108" t="s">
        <v>13</v>
      </c>
      <c r="L175" s="109">
        <v>2229490.29</v>
      </c>
    </row>
    <row r="176" spans="1:12" ht="81.599999999999994" x14ac:dyDescent="0.3">
      <c r="A176" s="103" t="s">
        <v>146</v>
      </c>
      <c r="B176" s="104" t="s">
        <v>201</v>
      </c>
      <c r="C176" s="104" t="s">
        <v>209</v>
      </c>
      <c r="D176" s="104" t="s">
        <v>58</v>
      </c>
      <c r="E176" s="105" t="s">
        <v>18</v>
      </c>
      <c r="F176" s="106" t="s">
        <v>20</v>
      </c>
      <c r="G176" s="106"/>
      <c r="H176" s="105" t="s">
        <v>18</v>
      </c>
      <c r="I176" s="113">
        <v>35195.629999999997</v>
      </c>
      <c r="J176" s="113"/>
      <c r="K176" s="108" t="s">
        <v>13</v>
      </c>
      <c r="L176" s="109">
        <v>2194294.66</v>
      </c>
    </row>
    <row r="177" spans="1:12" ht="71.400000000000006" x14ac:dyDescent="0.3">
      <c r="A177" s="103" t="s">
        <v>146</v>
      </c>
      <c r="B177" s="104" t="s">
        <v>201</v>
      </c>
      <c r="C177" s="104" t="s">
        <v>210</v>
      </c>
      <c r="D177" s="104" t="s">
        <v>62</v>
      </c>
      <c r="E177" s="105" t="s">
        <v>18</v>
      </c>
      <c r="F177" s="106" t="s">
        <v>20</v>
      </c>
      <c r="G177" s="106"/>
      <c r="H177" s="105" t="s">
        <v>18</v>
      </c>
      <c r="I177" s="113">
        <v>37434.19</v>
      </c>
      <c r="J177" s="113"/>
      <c r="K177" s="108" t="s">
        <v>13</v>
      </c>
      <c r="L177" s="109">
        <v>2156860.4700000002</v>
      </c>
    </row>
    <row r="178" spans="1:12" ht="71.400000000000006" x14ac:dyDescent="0.3">
      <c r="A178" s="103" t="s">
        <v>146</v>
      </c>
      <c r="B178" s="104" t="s">
        <v>201</v>
      </c>
      <c r="C178" s="104" t="s">
        <v>211</v>
      </c>
      <c r="D178" s="104" t="s">
        <v>97</v>
      </c>
      <c r="E178" s="105" t="s">
        <v>18</v>
      </c>
      <c r="F178" s="106" t="s">
        <v>20</v>
      </c>
      <c r="G178" s="106"/>
      <c r="H178" s="105" t="s">
        <v>18</v>
      </c>
      <c r="I178" s="113">
        <v>19173.16</v>
      </c>
      <c r="J178" s="113"/>
      <c r="K178" s="108" t="s">
        <v>13</v>
      </c>
      <c r="L178" s="109">
        <v>2137687.31</v>
      </c>
    </row>
    <row r="179" spans="1:12" ht="71.400000000000006" x14ac:dyDescent="0.3">
      <c r="A179" s="103" t="s">
        <v>146</v>
      </c>
      <c r="B179" s="104" t="s">
        <v>201</v>
      </c>
      <c r="C179" s="104" t="s">
        <v>212</v>
      </c>
      <c r="D179" s="104" t="s">
        <v>78</v>
      </c>
      <c r="E179" s="105" t="s">
        <v>18</v>
      </c>
      <c r="F179" s="106" t="s">
        <v>20</v>
      </c>
      <c r="G179" s="106"/>
      <c r="H179" s="105" t="s">
        <v>18</v>
      </c>
      <c r="I179" s="113">
        <v>1099.3800000000001</v>
      </c>
      <c r="J179" s="113"/>
      <c r="K179" s="108" t="s">
        <v>13</v>
      </c>
      <c r="L179" s="109">
        <v>2136587.9300000002</v>
      </c>
    </row>
    <row r="180" spans="1:12" ht="71.400000000000006" x14ac:dyDescent="0.3">
      <c r="A180" s="103" t="s">
        <v>146</v>
      </c>
      <c r="B180" s="104" t="s">
        <v>201</v>
      </c>
      <c r="C180" s="104" t="s">
        <v>213</v>
      </c>
      <c r="D180" s="104" t="s">
        <v>79</v>
      </c>
      <c r="E180" s="105" t="s">
        <v>18</v>
      </c>
      <c r="F180" s="106" t="s">
        <v>20</v>
      </c>
      <c r="G180" s="106"/>
      <c r="H180" s="105" t="s">
        <v>18</v>
      </c>
      <c r="I180" s="107">
        <v>578.63</v>
      </c>
      <c r="J180" s="107"/>
      <c r="K180" s="108" t="s">
        <v>13</v>
      </c>
      <c r="L180" s="109">
        <v>2136009.2999999998</v>
      </c>
    </row>
    <row r="181" spans="1:12" ht="81.599999999999994" x14ac:dyDescent="0.3">
      <c r="A181" s="103" t="s">
        <v>146</v>
      </c>
      <c r="B181" s="104" t="s">
        <v>201</v>
      </c>
      <c r="C181" s="104" t="s">
        <v>214</v>
      </c>
      <c r="D181" s="104" t="s">
        <v>65</v>
      </c>
      <c r="E181" s="105" t="s">
        <v>18</v>
      </c>
      <c r="F181" s="106" t="s">
        <v>20</v>
      </c>
      <c r="G181" s="106"/>
      <c r="H181" s="105" t="s">
        <v>18</v>
      </c>
      <c r="I181" s="113">
        <v>87639.31</v>
      </c>
      <c r="J181" s="113"/>
      <c r="K181" s="108" t="s">
        <v>13</v>
      </c>
      <c r="L181" s="109">
        <v>2048369.99</v>
      </c>
    </row>
    <row r="182" spans="1:12" ht="71.400000000000006" x14ac:dyDescent="0.3">
      <c r="A182" s="103" t="s">
        <v>146</v>
      </c>
      <c r="B182" s="104" t="s">
        <v>201</v>
      </c>
      <c r="C182" s="104" t="s">
        <v>215</v>
      </c>
      <c r="D182" s="104" t="s">
        <v>67</v>
      </c>
      <c r="E182" s="105" t="s">
        <v>18</v>
      </c>
      <c r="F182" s="106" t="s">
        <v>20</v>
      </c>
      <c r="G182" s="106"/>
      <c r="H182" s="105" t="s">
        <v>18</v>
      </c>
      <c r="I182" s="113">
        <v>1328.4</v>
      </c>
      <c r="J182" s="113"/>
      <c r="K182" s="108" t="s">
        <v>13</v>
      </c>
      <c r="L182" s="109">
        <v>2047041.59</v>
      </c>
    </row>
    <row r="183" spans="1:12" ht="71.400000000000006" x14ac:dyDescent="0.3">
      <c r="A183" s="103" t="s">
        <v>146</v>
      </c>
      <c r="B183" s="104" t="s">
        <v>201</v>
      </c>
      <c r="C183" s="104" t="s">
        <v>216</v>
      </c>
      <c r="D183" s="104" t="s">
        <v>134</v>
      </c>
      <c r="E183" s="105" t="s">
        <v>18</v>
      </c>
      <c r="F183" s="106" t="s">
        <v>20</v>
      </c>
      <c r="G183" s="106"/>
      <c r="H183" s="105" t="s">
        <v>18</v>
      </c>
      <c r="I183" s="113">
        <v>3551.45</v>
      </c>
      <c r="J183" s="113"/>
      <c r="K183" s="108" t="s">
        <v>13</v>
      </c>
      <c r="L183" s="109">
        <v>2043490.14</v>
      </c>
    </row>
    <row r="184" spans="1:12" ht="81.599999999999994" x14ac:dyDescent="0.3">
      <c r="A184" s="103" t="s">
        <v>146</v>
      </c>
      <c r="B184" s="104" t="s">
        <v>201</v>
      </c>
      <c r="C184" s="104" t="s">
        <v>217</v>
      </c>
      <c r="D184" s="104" t="s">
        <v>68</v>
      </c>
      <c r="E184" s="105" t="s">
        <v>18</v>
      </c>
      <c r="F184" s="106" t="s">
        <v>20</v>
      </c>
      <c r="G184" s="106"/>
      <c r="H184" s="105" t="s">
        <v>18</v>
      </c>
      <c r="I184" s="113">
        <v>20368.84</v>
      </c>
      <c r="J184" s="113"/>
      <c r="K184" s="108" t="s">
        <v>13</v>
      </c>
      <c r="L184" s="109">
        <v>2023121.3</v>
      </c>
    </row>
    <row r="185" spans="1:12" ht="81.599999999999994" x14ac:dyDescent="0.3">
      <c r="A185" s="103" t="s">
        <v>146</v>
      </c>
      <c r="B185" s="104" t="s">
        <v>201</v>
      </c>
      <c r="C185" s="104" t="s">
        <v>218</v>
      </c>
      <c r="D185" s="104" t="s">
        <v>113</v>
      </c>
      <c r="E185" s="105" t="s">
        <v>18</v>
      </c>
      <c r="F185" s="106" t="s">
        <v>20</v>
      </c>
      <c r="G185" s="106"/>
      <c r="H185" s="105" t="s">
        <v>18</v>
      </c>
      <c r="I185" s="113">
        <v>152784.54999999999</v>
      </c>
      <c r="J185" s="113"/>
      <c r="K185" s="108" t="s">
        <v>13</v>
      </c>
      <c r="L185" s="109">
        <v>1870336.75</v>
      </c>
    </row>
    <row r="186" spans="1:12" ht="81.599999999999994" x14ac:dyDescent="0.3">
      <c r="A186" s="103" t="s">
        <v>146</v>
      </c>
      <c r="B186" s="104" t="s">
        <v>201</v>
      </c>
      <c r="C186" s="104" t="s">
        <v>219</v>
      </c>
      <c r="D186" s="104" t="s">
        <v>75</v>
      </c>
      <c r="E186" s="105" t="s">
        <v>18</v>
      </c>
      <c r="F186" s="106" t="s">
        <v>20</v>
      </c>
      <c r="G186" s="106"/>
      <c r="H186" s="105" t="s">
        <v>18</v>
      </c>
      <c r="I186" s="113">
        <v>53535.26</v>
      </c>
      <c r="J186" s="113"/>
      <c r="K186" s="108" t="s">
        <v>13</v>
      </c>
      <c r="L186" s="109">
        <v>1816801.49</v>
      </c>
    </row>
    <row r="187" spans="1:12" ht="81.599999999999994" x14ac:dyDescent="0.3">
      <c r="A187" s="103" t="s">
        <v>146</v>
      </c>
      <c r="B187" s="104" t="s">
        <v>201</v>
      </c>
      <c r="C187" s="104" t="s">
        <v>220</v>
      </c>
      <c r="D187" s="104" t="s">
        <v>135</v>
      </c>
      <c r="E187" s="105" t="s">
        <v>18</v>
      </c>
      <c r="F187" s="106" t="s">
        <v>20</v>
      </c>
      <c r="G187" s="106"/>
      <c r="H187" s="105" t="s">
        <v>18</v>
      </c>
      <c r="I187" s="113">
        <v>41860.92</v>
      </c>
      <c r="J187" s="113"/>
      <c r="K187" s="108" t="s">
        <v>13</v>
      </c>
      <c r="L187" s="109">
        <v>1774940.57</v>
      </c>
    </row>
    <row r="188" spans="1:12" ht="71.400000000000006" x14ac:dyDescent="0.3">
      <c r="A188" s="103" t="s">
        <v>146</v>
      </c>
      <c r="B188" s="104" t="s">
        <v>201</v>
      </c>
      <c r="C188" s="104" t="s">
        <v>221</v>
      </c>
      <c r="D188" s="104" t="s">
        <v>136</v>
      </c>
      <c r="E188" s="105" t="s">
        <v>18</v>
      </c>
      <c r="F188" s="106" t="s">
        <v>20</v>
      </c>
      <c r="G188" s="106"/>
      <c r="H188" s="105" t="s">
        <v>18</v>
      </c>
      <c r="I188" s="113">
        <v>47094.720000000001</v>
      </c>
      <c r="J188" s="113"/>
      <c r="K188" s="108" t="s">
        <v>13</v>
      </c>
      <c r="L188" s="109">
        <v>1727845.85</v>
      </c>
    </row>
    <row r="189" spans="1:12" ht="81.599999999999994" x14ac:dyDescent="0.3">
      <c r="A189" s="103" t="s">
        <v>146</v>
      </c>
      <c r="B189" s="104" t="s">
        <v>201</v>
      </c>
      <c r="C189" s="104" t="s">
        <v>222</v>
      </c>
      <c r="D189" s="104" t="s">
        <v>76</v>
      </c>
      <c r="E189" s="105" t="s">
        <v>18</v>
      </c>
      <c r="F189" s="106" t="s">
        <v>20</v>
      </c>
      <c r="G189" s="106"/>
      <c r="H189" s="105" t="s">
        <v>18</v>
      </c>
      <c r="I189" s="113">
        <v>28724.1</v>
      </c>
      <c r="J189" s="113"/>
      <c r="K189" s="108" t="s">
        <v>13</v>
      </c>
      <c r="L189" s="109">
        <v>1699121.75</v>
      </c>
    </row>
    <row r="190" spans="1:12" ht="81.599999999999994" x14ac:dyDescent="0.3">
      <c r="A190" s="103" t="s">
        <v>146</v>
      </c>
      <c r="B190" s="104" t="s">
        <v>201</v>
      </c>
      <c r="C190" s="104" t="s">
        <v>223</v>
      </c>
      <c r="D190" s="104" t="s">
        <v>99</v>
      </c>
      <c r="E190" s="105" t="s">
        <v>18</v>
      </c>
      <c r="F190" s="106" t="s">
        <v>20</v>
      </c>
      <c r="G190" s="106"/>
      <c r="H190" s="105" t="s">
        <v>18</v>
      </c>
      <c r="I190" s="113">
        <v>84304.8</v>
      </c>
      <c r="J190" s="113"/>
      <c r="K190" s="108" t="s">
        <v>13</v>
      </c>
      <c r="L190" s="109">
        <v>1614816.95</v>
      </c>
    </row>
    <row r="191" spans="1:12" ht="71.400000000000006" x14ac:dyDescent="0.3">
      <c r="A191" s="103" t="s">
        <v>146</v>
      </c>
      <c r="B191" s="104" t="s">
        <v>201</v>
      </c>
      <c r="C191" s="104" t="s">
        <v>224</v>
      </c>
      <c r="D191" s="104" t="s">
        <v>77</v>
      </c>
      <c r="E191" s="105" t="s">
        <v>18</v>
      </c>
      <c r="F191" s="106" t="s">
        <v>20</v>
      </c>
      <c r="G191" s="106"/>
      <c r="H191" s="105" t="s">
        <v>18</v>
      </c>
      <c r="I191" s="113">
        <v>53371.21</v>
      </c>
      <c r="J191" s="113"/>
      <c r="K191" s="108" t="s">
        <v>13</v>
      </c>
      <c r="L191" s="109">
        <v>1561445.74</v>
      </c>
    </row>
    <row r="192" spans="1:12" ht="71.400000000000006" x14ac:dyDescent="0.3">
      <c r="A192" s="103" t="s">
        <v>146</v>
      </c>
      <c r="B192" s="104" t="s">
        <v>201</v>
      </c>
      <c r="C192" s="104" t="s">
        <v>225</v>
      </c>
      <c r="D192" s="104" t="s">
        <v>64</v>
      </c>
      <c r="E192" s="105" t="s">
        <v>18</v>
      </c>
      <c r="F192" s="106" t="s">
        <v>20</v>
      </c>
      <c r="G192" s="106"/>
      <c r="H192" s="105" t="s">
        <v>18</v>
      </c>
      <c r="I192" s="113">
        <v>9113.4599999999991</v>
      </c>
      <c r="J192" s="113"/>
      <c r="K192" s="108" t="s">
        <v>13</v>
      </c>
      <c r="L192" s="109">
        <v>1552332.28</v>
      </c>
    </row>
    <row r="193" spans="1:12" ht="81.599999999999994" x14ac:dyDescent="0.3">
      <c r="A193" s="103" t="s">
        <v>146</v>
      </c>
      <c r="B193" s="104" t="s">
        <v>201</v>
      </c>
      <c r="C193" s="104" t="s">
        <v>226</v>
      </c>
      <c r="D193" s="104" t="s">
        <v>87</v>
      </c>
      <c r="E193" s="105" t="s">
        <v>18</v>
      </c>
      <c r="F193" s="106" t="s">
        <v>20</v>
      </c>
      <c r="G193" s="106"/>
      <c r="H193" s="105" t="s">
        <v>18</v>
      </c>
      <c r="I193" s="113">
        <v>3729.87</v>
      </c>
      <c r="J193" s="113"/>
      <c r="K193" s="108" t="s">
        <v>13</v>
      </c>
      <c r="L193" s="109">
        <v>1548602.41</v>
      </c>
    </row>
    <row r="194" spans="1:12" ht="81.599999999999994" x14ac:dyDescent="0.3">
      <c r="A194" s="103" t="s">
        <v>146</v>
      </c>
      <c r="B194" s="104" t="s">
        <v>201</v>
      </c>
      <c r="C194" s="104" t="s">
        <v>227</v>
      </c>
      <c r="D194" s="104" t="s">
        <v>88</v>
      </c>
      <c r="E194" s="105" t="s">
        <v>18</v>
      </c>
      <c r="F194" s="106" t="s">
        <v>20</v>
      </c>
      <c r="G194" s="106"/>
      <c r="H194" s="105" t="s">
        <v>18</v>
      </c>
      <c r="I194" s="113">
        <v>30067.87</v>
      </c>
      <c r="J194" s="113"/>
      <c r="K194" s="108" t="s">
        <v>13</v>
      </c>
      <c r="L194" s="109">
        <v>1518534.54</v>
      </c>
    </row>
    <row r="195" spans="1:12" ht="81.599999999999994" x14ac:dyDescent="0.3">
      <c r="A195" s="103" t="s">
        <v>146</v>
      </c>
      <c r="B195" s="104" t="s">
        <v>201</v>
      </c>
      <c r="C195" s="104" t="s">
        <v>228</v>
      </c>
      <c r="D195" s="104" t="s">
        <v>123</v>
      </c>
      <c r="E195" s="105" t="s">
        <v>18</v>
      </c>
      <c r="F195" s="106" t="s">
        <v>20</v>
      </c>
      <c r="G195" s="106"/>
      <c r="H195" s="105" t="s">
        <v>18</v>
      </c>
      <c r="I195" s="113">
        <v>46276.9</v>
      </c>
      <c r="J195" s="113"/>
      <c r="K195" s="108" t="s">
        <v>13</v>
      </c>
      <c r="L195" s="109">
        <v>1472257.64</v>
      </c>
    </row>
    <row r="196" spans="1:12" ht="81.599999999999994" x14ac:dyDescent="0.3">
      <c r="A196" s="103" t="s">
        <v>146</v>
      </c>
      <c r="B196" s="104" t="s">
        <v>201</v>
      </c>
      <c r="C196" s="104" t="s">
        <v>229</v>
      </c>
      <c r="D196" s="104" t="s">
        <v>137</v>
      </c>
      <c r="E196" s="105" t="s">
        <v>18</v>
      </c>
      <c r="F196" s="106" t="s">
        <v>20</v>
      </c>
      <c r="G196" s="106"/>
      <c r="H196" s="105" t="s">
        <v>18</v>
      </c>
      <c r="I196" s="113">
        <v>94239.18</v>
      </c>
      <c r="J196" s="113"/>
      <c r="K196" s="108" t="s">
        <v>13</v>
      </c>
      <c r="L196" s="109">
        <v>1378018.46</v>
      </c>
    </row>
    <row r="197" spans="1:12" ht="81.599999999999994" x14ac:dyDescent="0.3">
      <c r="A197" s="103" t="s">
        <v>146</v>
      </c>
      <c r="B197" s="104" t="s">
        <v>201</v>
      </c>
      <c r="C197" s="104" t="s">
        <v>230</v>
      </c>
      <c r="D197" s="104" t="s">
        <v>231</v>
      </c>
      <c r="E197" s="105" t="s">
        <v>18</v>
      </c>
      <c r="F197" s="106" t="s">
        <v>20</v>
      </c>
      <c r="G197" s="106"/>
      <c r="H197" s="105" t="s">
        <v>18</v>
      </c>
      <c r="I197" s="107">
        <v>386.98</v>
      </c>
      <c r="J197" s="107"/>
      <c r="K197" s="108" t="s">
        <v>13</v>
      </c>
      <c r="L197" s="109">
        <v>1377631.48</v>
      </c>
    </row>
    <row r="198" spans="1:12" ht="81.599999999999994" x14ac:dyDescent="0.3">
      <c r="A198" s="103" t="s">
        <v>146</v>
      </c>
      <c r="B198" s="104" t="s">
        <v>201</v>
      </c>
      <c r="C198" s="104" t="s">
        <v>232</v>
      </c>
      <c r="D198" s="104" t="s">
        <v>100</v>
      </c>
      <c r="E198" s="105" t="s">
        <v>18</v>
      </c>
      <c r="F198" s="106" t="s">
        <v>20</v>
      </c>
      <c r="G198" s="106"/>
      <c r="H198" s="105" t="s">
        <v>18</v>
      </c>
      <c r="I198" s="113">
        <v>89151.09</v>
      </c>
      <c r="J198" s="113"/>
      <c r="K198" s="108" t="s">
        <v>13</v>
      </c>
      <c r="L198" s="109">
        <v>1288480.3899999999</v>
      </c>
    </row>
    <row r="199" spans="1:12" ht="81.599999999999994" x14ac:dyDescent="0.3">
      <c r="A199" s="103" t="s">
        <v>146</v>
      </c>
      <c r="B199" s="104" t="s">
        <v>201</v>
      </c>
      <c r="C199" s="104" t="s">
        <v>233</v>
      </c>
      <c r="D199" s="104" t="s">
        <v>86</v>
      </c>
      <c r="E199" s="105" t="s">
        <v>18</v>
      </c>
      <c r="F199" s="106" t="s">
        <v>20</v>
      </c>
      <c r="G199" s="106"/>
      <c r="H199" s="105" t="s">
        <v>18</v>
      </c>
      <c r="I199" s="113">
        <v>247878.15</v>
      </c>
      <c r="J199" s="113"/>
      <c r="K199" s="108" t="s">
        <v>13</v>
      </c>
      <c r="L199" s="109">
        <v>1040602.24</v>
      </c>
    </row>
    <row r="200" spans="1:12" ht="81.599999999999994" x14ac:dyDescent="0.3">
      <c r="A200" s="103" t="s">
        <v>146</v>
      </c>
      <c r="B200" s="104" t="s">
        <v>201</v>
      </c>
      <c r="C200" s="104" t="s">
        <v>234</v>
      </c>
      <c r="D200" s="104" t="s">
        <v>138</v>
      </c>
      <c r="E200" s="105" t="s">
        <v>18</v>
      </c>
      <c r="F200" s="106" t="s">
        <v>20</v>
      </c>
      <c r="G200" s="106"/>
      <c r="H200" s="105" t="s">
        <v>18</v>
      </c>
      <c r="I200" s="113">
        <v>19408.36</v>
      </c>
      <c r="J200" s="113"/>
      <c r="K200" s="108" t="s">
        <v>13</v>
      </c>
      <c r="L200" s="109">
        <v>1021193.88</v>
      </c>
    </row>
    <row r="201" spans="1:12" ht="81.599999999999994" x14ac:dyDescent="0.3">
      <c r="A201" s="103" t="s">
        <v>146</v>
      </c>
      <c r="B201" s="104" t="s">
        <v>201</v>
      </c>
      <c r="C201" s="104" t="s">
        <v>235</v>
      </c>
      <c r="D201" s="104" t="s">
        <v>114</v>
      </c>
      <c r="E201" s="105" t="s">
        <v>18</v>
      </c>
      <c r="F201" s="106" t="s">
        <v>20</v>
      </c>
      <c r="G201" s="106"/>
      <c r="H201" s="105" t="s">
        <v>18</v>
      </c>
      <c r="I201" s="113">
        <v>106433.25</v>
      </c>
      <c r="J201" s="113"/>
      <c r="K201" s="108" t="s">
        <v>13</v>
      </c>
      <c r="L201" s="109">
        <v>914760.63</v>
      </c>
    </row>
    <row r="202" spans="1:12" ht="81.599999999999994" x14ac:dyDescent="0.3">
      <c r="A202" s="103" t="s">
        <v>146</v>
      </c>
      <c r="B202" s="104" t="s">
        <v>201</v>
      </c>
      <c r="C202" s="104" t="s">
        <v>236</v>
      </c>
      <c r="D202" s="104" t="s">
        <v>140</v>
      </c>
      <c r="E202" s="105" t="s">
        <v>18</v>
      </c>
      <c r="F202" s="106" t="s">
        <v>20</v>
      </c>
      <c r="G202" s="106"/>
      <c r="H202" s="105" t="s">
        <v>18</v>
      </c>
      <c r="I202" s="113">
        <v>25441.75</v>
      </c>
      <c r="J202" s="113"/>
      <c r="K202" s="108" t="s">
        <v>13</v>
      </c>
      <c r="L202" s="109">
        <v>889318.88</v>
      </c>
    </row>
    <row r="203" spans="1:12" ht="81.599999999999994" x14ac:dyDescent="0.3">
      <c r="A203" s="103" t="s">
        <v>146</v>
      </c>
      <c r="B203" s="104" t="s">
        <v>201</v>
      </c>
      <c r="C203" s="104" t="s">
        <v>237</v>
      </c>
      <c r="D203" s="104" t="s">
        <v>141</v>
      </c>
      <c r="E203" s="105" t="s">
        <v>18</v>
      </c>
      <c r="F203" s="106" t="s">
        <v>20</v>
      </c>
      <c r="G203" s="106"/>
      <c r="H203" s="105" t="s">
        <v>18</v>
      </c>
      <c r="I203" s="113">
        <v>41362.080000000002</v>
      </c>
      <c r="J203" s="113"/>
      <c r="K203" s="108" t="s">
        <v>13</v>
      </c>
      <c r="L203" s="109">
        <v>847956.8</v>
      </c>
    </row>
    <row r="204" spans="1:12" ht="81.599999999999994" x14ac:dyDescent="0.3">
      <c r="A204" s="103" t="s">
        <v>146</v>
      </c>
      <c r="B204" s="104" t="s">
        <v>201</v>
      </c>
      <c r="C204" s="104" t="s">
        <v>238</v>
      </c>
      <c r="D204" s="104" t="s">
        <v>85</v>
      </c>
      <c r="E204" s="105" t="s">
        <v>18</v>
      </c>
      <c r="F204" s="106" t="s">
        <v>20</v>
      </c>
      <c r="G204" s="106"/>
      <c r="H204" s="105" t="s">
        <v>18</v>
      </c>
      <c r="I204" s="113">
        <v>120306.8</v>
      </c>
      <c r="J204" s="113"/>
      <c r="K204" s="108" t="s">
        <v>13</v>
      </c>
      <c r="L204" s="109">
        <v>727650</v>
      </c>
    </row>
    <row r="205" spans="1:12" ht="81.599999999999994" x14ac:dyDescent="0.3">
      <c r="A205" s="103" t="s">
        <v>146</v>
      </c>
      <c r="B205" s="104" t="s">
        <v>201</v>
      </c>
      <c r="C205" s="104" t="s">
        <v>239</v>
      </c>
      <c r="D205" s="104" t="s">
        <v>115</v>
      </c>
      <c r="E205" s="105" t="s">
        <v>18</v>
      </c>
      <c r="F205" s="106" t="s">
        <v>20</v>
      </c>
      <c r="G205" s="106"/>
      <c r="H205" s="105" t="s">
        <v>18</v>
      </c>
      <c r="I205" s="113">
        <v>3177.52</v>
      </c>
      <c r="J205" s="113"/>
      <c r="K205" s="108" t="s">
        <v>13</v>
      </c>
      <c r="L205" s="109">
        <v>724472.48</v>
      </c>
    </row>
    <row r="206" spans="1:12" ht="81.599999999999994" x14ac:dyDescent="0.3">
      <c r="A206" s="103" t="s">
        <v>146</v>
      </c>
      <c r="B206" s="104" t="s">
        <v>201</v>
      </c>
      <c r="C206" s="104" t="s">
        <v>240</v>
      </c>
      <c r="D206" s="104" t="s">
        <v>142</v>
      </c>
      <c r="E206" s="105" t="s">
        <v>18</v>
      </c>
      <c r="F206" s="106" t="s">
        <v>20</v>
      </c>
      <c r="G206" s="106"/>
      <c r="H206" s="105" t="s">
        <v>18</v>
      </c>
      <c r="I206" s="113">
        <v>126850.98</v>
      </c>
      <c r="J206" s="113"/>
      <c r="K206" s="108" t="s">
        <v>13</v>
      </c>
      <c r="L206" s="109">
        <v>597621.5</v>
      </c>
    </row>
    <row r="207" spans="1:12" ht="71.400000000000006" x14ac:dyDescent="0.3">
      <c r="A207" s="103" t="s">
        <v>146</v>
      </c>
      <c r="B207" s="104" t="s">
        <v>201</v>
      </c>
      <c r="C207" s="104" t="s">
        <v>241</v>
      </c>
      <c r="D207" s="104" t="s">
        <v>143</v>
      </c>
      <c r="E207" s="105" t="s">
        <v>18</v>
      </c>
      <c r="F207" s="106" t="s">
        <v>20</v>
      </c>
      <c r="G207" s="106"/>
      <c r="H207" s="105" t="s">
        <v>18</v>
      </c>
      <c r="I207" s="113">
        <v>44875.15</v>
      </c>
      <c r="J207" s="113"/>
      <c r="K207" s="108" t="s">
        <v>13</v>
      </c>
      <c r="L207" s="109">
        <v>552746.35</v>
      </c>
    </row>
    <row r="208" spans="1:12" ht="71.400000000000006" x14ac:dyDescent="0.3">
      <c r="A208" s="103" t="s">
        <v>146</v>
      </c>
      <c r="B208" s="104" t="s">
        <v>201</v>
      </c>
      <c r="C208" s="104" t="s">
        <v>242</v>
      </c>
      <c r="D208" s="104" t="s">
        <v>116</v>
      </c>
      <c r="E208" s="105" t="s">
        <v>18</v>
      </c>
      <c r="F208" s="106" t="s">
        <v>20</v>
      </c>
      <c r="G208" s="106"/>
      <c r="H208" s="105" t="s">
        <v>18</v>
      </c>
      <c r="I208" s="113">
        <v>286259.74</v>
      </c>
      <c r="J208" s="113"/>
      <c r="K208" s="108" t="s">
        <v>13</v>
      </c>
      <c r="L208" s="109">
        <v>266486.61</v>
      </c>
    </row>
    <row r="209" spans="1:12" ht="91.8" x14ac:dyDescent="0.3">
      <c r="A209" s="103" t="s">
        <v>243</v>
      </c>
      <c r="B209" s="104" t="s">
        <v>244</v>
      </c>
      <c r="C209" s="104" t="s">
        <v>245</v>
      </c>
      <c r="D209" s="104" t="s">
        <v>246</v>
      </c>
      <c r="E209" s="105" t="s">
        <v>18</v>
      </c>
      <c r="F209" s="106" t="s">
        <v>20</v>
      </c>
      <c r="G209" s="106"/>
      <c r="H209" s="105" t="s">
        <v>18</v>
      </c>
      <c r="I209" s="113">
        <v>3007.18</v>
      </c>
      <c r="J209" s="113"/>
      <c r="K209" s="108" t="s">
        <v>13</v>
      </c>
      <c r="L209" s="109">
        <v>263479.43</v>
      </c>
    </row>
    <row r="210" spans="1:12" ht="81.599999999999994" x14ac:dyDescent="0.3">
      <c r="A210" s="103" t="s">
        <v>36</v>
      </c>
      <c r="B210" s="104" t="s">
        <v>247</v>
      </c>
      <c r="C210" s="104" t="s">
        <v>248</v>
      </c>
      <c r="D210" s="104" t="s">
        <v>58</v>
      </c>
      <c r="E210" s="105" t="s">
        <v>18</v>
      </c>
      <c r="F210" s="106" t="s">
        <v>20</v>
      </c>
      <c r="G210" s="106"/>
      <c r="H210" s="105" t="s">
        <v>18</v>
      </c>
      <c r="I210" s="113">
        <v>17315.5</v>
      </c>
      <c r="J210" s="113"/>
      <c r="K210" s="108" t="s">
        <v>13</v>
      </c>
      <c r="L210" s="109">
        <v>246163.93</v>
      </c>
    </row>
    <row r="211" spans="1:12" ht="81.599999999999994" x14ac:dyDescent="0.3">
      <c r="A211" s="103" t="s">
        <v>36</v>
      </c>
      <c r="B211" s="104" t="s">
        <v>247</v>
      </c>
      <c r="C211" s="104" t="s">
        <v>249</v>
      </c>
      <c r="D211" s="104" t="s">
        <v>65</v>
      </c>
      <c r="E211" s="105" t="s">
        <v>18</v>
      </c>
      <c r="F211" s="106" t="s">
        <v>20</v>
      </c>
      <c r="G211" s="106"/>
      <c r="H211" s="105" t="s">
        <v>18</v>
      </c>
      <c r="I211" s="113">
        <v>4142.95</v>
      </c>
      <c r="J211" s="113"/>
      <c r="K211" s="108" t="s">
        <v>13</v>
      </c>
      <c r="L211" s="109">
        <v>242020.98</v>
      </c>
    </row>
    <row r="212" spans="1:12" ht="81.599999999999994" x14ac:dyDescent="0.3">
      <c r="A212" s="103" t="s">
        <v>36</v>
      </c>
      <c r="B212" s="104" t="s">
        <v>247</v>
      </c>
      <c r="C212" s="104" t="s">
        <v>250</v>
      </c>
      <c r="D212" s="104" t="s">
        <v>113</v>
      </c>
      <c r="E212" s="105" t="s">
        <v>18</v>
      </c>
      <c r="F212" s="106" t="s">
        <v>20</v>
      </c>
      <c r="G212" s="106"/>
      <c r="H212" s="105" t="s">
        <v>18</v>
      </c>
      <c r="I212" s="113">
        <v>2117.81</v>
      </c>
      <c r="J212" s="113"/>
      <c r="K212" s="108" t="s">
        <v>13</v>
      </c>
      <c r="L212" s="109">
        <v>239903.17</v>
      </c>
    </row>
    <row r="213" spans="1:12" ht="81.599999999999994" x14ac:dyDescent="0.3">
      <c r="A213" s="103" t="s">
        <v>36</v>
      </c>
      <c r="B213" s="104" t="s">
        <v>247</v>
      </c>
      <c r="C213" s="104" t="s">
        <v>251</v>
      </c>
      <c r="D213" s="104" t="s">
        <v>135</v>
      </c>
      <c r="E213" s="105" t="s">
        <v>18</v>
      </c>
      <c r="F213" s="106" t="s">
        <v>20</v>
      </c>
      <c r="G213" s="106"/>
      <c r="H213" s="105" t="s">
        <v>18</v>
      </c>
      <c r="I213" s="113">
        <v>4411.5</v>
      </c>
      <c r="J213" s="113"/>
      <c r="K213" s="108" t="s">
        <v>13</v>
      </c>
      <c r="L213" s="109">
        <v>235491.67</v>
      </c>
    </row>
    <row r="214" spans="1:12" ht="71.400000000000006" x14ac:dyDescent="0.3">
      <c r="A214" s="103" t="s">
        <v>36</v>
      </c>
      <c r="B214" s="104" t="s">
        <v>247</v>
      </c>
      <c r="C214" s="104" t="s">
        <v>252</v>
      </c>
      <c r="D214" s="104" t="s">
        <v>98</v>
      </c>
      <c r="E214" s="105" t="s">
        <v>18</v>
      </c>
      <c r="F214" s="106" t="s">
        <v>20</v>
      </c>
      <c r="G214" s="106"/>
      <c r="H214" s="105" t="s">
        <v>18</v>
      </c>
      <c r="I214" s="113">
        <v>21859.27</v>
      </c>
      <c r="J214" s="113"/>
      <c r="K214" s="108" t="s">
        <v>13</v>
      </c>
      <c r="L214" s="109">
        <v>213632.4</v>
      </c>
    </row>
    <row r="215" spans="1:12" ht="71.400000000000006" x14ac:dyDescent="0.3">
      <c r="A215" s="103" t="s">
        <v>36</v>
      </c>
      <c r="B215" s="104" t="s">
        <v>247</v>
      </c>
      <c r="C215" s="104" t="s">
        <v>253</v>
      </c>
      <c r="D215" s="104" t="s">
        <v>122</v>
      </c>
      <c r="E215" s="105" t="s">
        <v>18</v>
      </c>
      <c r="F215" s="106" t="s">
        <v>20</v>
      </c>
      <c r="G215" s="106"/>
      <c r="H215" s="105" t="s">
        <v>18</v>
      </c>
      <c r="I215" s="113">
        <v>5356.63</v>
      </c>
      <c r="J215" s="113"/>
      <c r="K215" s="108" t="s">
        <v>13</v>
      </c>
      <c r="L215" s="109">
        <v>208275.77</v>
      </c>
    </row>
    <row r="216" spans="1:12" ht="81.599999999999994" x14ac:dyDescent="0.3">
      <c r="A216" s="103" t="s">
        <v>36</v>
      </c>
      <c r="B216" s="104" t="s">
        <v>247</v>
      </c>
      <c r="C216" s="104" t="s">
        <v>254</v>
      </c>
      <c r="D216" s="104" t="s">
        <v>87</v>
      </c>
      <c r="E216" s="105" t="s">
        <v>18</v>
      </c>
      <c r="F216" s="106" t="s">
        <v>20</v>
      </c>
      <c r="G216" s="106"/>
      <c r="H216" s="105" t="s">
        <v>18</v>
      </c>
      <c r="I216" s="113">
        <v>1025.72</v>
      </c>
      <c r="J216" s="113"/>
      <c r="K216" s="108" t="s">
        <v>13</v>
      </c>
      <c r="L216" s="109">
        <v>207250.05</v>
      </c>
    </row>
    <row r="217" spans="1:12" ht="81.599999999999994" x14ac:dyDescent="0.3">
      <c r="A217" s="103" t="s">
        <v>36</v>
      </c>
      <c r="B217" s="104" t="s">
        <v>247</v>
      </c>
      <c r="C217" s="104" t="s">
        <v>255</v>
      </c>
      <c r="D217" s="104" t="s">
        <v>114</v>
      </c>
      <c r="E217" s="105" t="s">
        <v>18</v>
      </c>
      <c r="F217" s="106" t="s">
        <v>20</v>
      </c>
      <c r="G217" s="106"/>
      <c r="H217" s="105" t="s">
        <v>18</v>
      </c>
      <c r="I217" s="113">
        <v>47974.39</v>
      </c>
      <c r="J217" s="113"/>
      <c r="K217" s="108" t="s">
        <v>13</v>
      </c>
      <c r="L217" s="109">
        <v>159275.66</v>
      </c>
    </row>
    <row r="218" spans="1:12" ht="81.599999999999994" x14ac:dyDescent="0.3">
      <c r="A218" s="103" t="s">
        <v>36</v>
      </c>
      <c r="B218" s="104" t="s">
        <v>247</v>
      </c>
      <c r="C218" s="104" t="s">
        <v>256</v>
      </c>
      <c r="D218" s="104" t="s">
        <v>139</v>
      </c>
      <c r="E218" s="105" t="s">
        <v>18</v>
      </c>
      <c r="F218" s="106" t="s">
        <v>20</v>
      </c>
      <c r="G218" s="106"/>
      <c r="H218" s="105" t="s">
        <v>18</v>
      </c>
      <c r="I218" s="113">
        <v>12725.18</v>
      </c>
      <c r="J218" s="113"/>
      <c r="K218" s="108" t="s">
        <v>13</v>
      </c>
      <c r="L218" s="109">
        <v>146550.48000000001</v>
      </c>
    </row>
    <row r="219" spans="1:12" ht="81.599999999999994" x14ac:dyDescent="0.3">
      <c r="A219" s="103" t="s">
        <v>36</v>
      </c>
      <c r="B219" s="104" t="s">
        <v>247</v>
      </c>
      <c r="C219" s="104" t="s">
        <v>257</v>
      </c>
      <c r="D219" s="104" t="s">
        <v>115</v>
      </c>
      <c r="E219" s="105" t="s">
        <v>18</v>
      </c>
      <c r="F219" s="106" t="s">
        <v>20</v>
      </c>
      <c r="G219" s="106"/>
      <c r="H219" s="105" t="s">
        <v>18</v>
      </c>
      <c r="I219" s="113">
        <v>13663.31</v>
      </c>
      <c r="J219" s="113"/>
      <c r="K219" s="108" t="s">
        <v>13</v>
      </c>
      <c r="L219" s="109">
        <v>132887.17000000001</v>
      </c>
    </row>
    <row r="220" spans="1:12" ht="81.599999999999994" x14ac:dyDescent="0.3">
      <c r="A220" s="103" t="s">
        <v>36</v>
      </c>
      <c r="B220" s="104" t="s">
        <v>247</v>
      </c>
      <c r="C220" s="104" t="s">
        <v>258</v>
      </c>
      <c r="D220" s="104" t="s">
        <v>89</v>
      </c>
      <c r="E220" s="105" t="s">
        <v>18</v>
      </c>
      <c r="F220" s="106" t="s">
        <v>20</v>
      </c>
      <c r="G220" s="106"/>
      <c r="H220" s="105" t="s">
        <v>18</v>
      </c>
      <c r="I220" s="113">
        <v>5285.08</v>
      </c>
      <c r="J220" s="113"/>
      <c r="K220" s="108" t="s">
        <v>13</v>
      </c>
      <c r="L220" s="109">
        <v>127602.09</v>
      </c>
    </row>
    <row r="221" spans="1:12" ht="81.599999999999994" x14ac:dyDescent="0.3">
      <c r="A221" s="103" t="s">
        <v>36</v>
      </c>
      <c r="B221" s="104" t="s">
        <v>259</v>
      </c>
      <c r="C221" s="104" t="s">
        <v>260</v>
      </c>
      <c r="D221" s="104" t="s">
        <v>56</v>
      </c>
      <c r="E221" s="105" t="s">
        <v>18</v>
      </c>
      <c r="F221" s="110">
        <v>167793.12</v>
      </c>
      <c r="G221" s="110"/>
      <c r="H221" s="105" t="s">
        <v>19</v>
      </c>
      <c r="I221" s="111" t="s">
        <v>20</v>
      </c>
      <c r="J221" s="111"/>
      <c r="K221" s="108" t="s">
        <v>13</v>
      </c>
      <c r="L221" s="109">
        <v>295395.21000000002</v>
      </c>
    </row>
    <row r="222" spans="1:12" ht="71.400000000000006" x14ac:dyDescent="0.3">
      <c r="A222" s="103" t="s">
        <v>261</v>
      </c>
      <c r="B222" s="104" t="s">
        <v>262</v>
      </c>
      <c r="C222" s="104" t="s">
        <v>263</v>
      </c>
      <c r="D222" s="104" t="s">
        <v>260</v>
      </c>
      <c r="E222" s="105" t="s">
        <v>18</v>
      </c>
      <c r="F222" s="106" t="s">
        <v>20</v>
      </c>
      <c r="G222" s="106"/>
      <c r="H222" s="105" t="s">
        <v>18</v>
      </c>
      <c r="I222" s="113">
        <v>120802.57</v>
      </c>
      <c r="J222" s="113"/>
      <c r="K222" s="108" t="s">
        <v>13</v>
      </c>
      <c r="L222" s="109">
        <v>174592.64000000001</v>
      </c>
    </row>
    <row r="223" spans="1:12" ht="81.599999999999994" x14ac:dyDescent="0.3">
      <c r="A223" s="103" t="s">
        <v>46</v>
      </c>
      <c r="B223" s="104" t="s">
        <v>264</v>
      </c>
      <c r="C223" s="104" t="s">
        <v>228</v>
      </c>
      <c r="D223" s="104" t="s">
        <v>123</v>
      </c>
      <c r="E223" s="105" t="s">
        <v>18</v>
      </c>
      <c r="F223" s="106" t="s">
        <v>20</v>
      </c>
      <c r="G223" s="106"/>
      <c r="H223" s="105" t="s">
        <v>18</v>
      </c>
      <c r="I223" s="107">
        <v>-0.01</v>
      </c>
      <c r="J223" s="107"/>
      <c r="K223" s="108" t="s">
        <v>13</v>
      </c>
      <c r="L223" s="109">
        <v>174592.65</v>
      </c>
    </row>
    <row r="224" spans="1:12" ht="81.599999999999994" x14ac:dyDescent="0.3">
      <c r="A224" s="103" t="s">
        <v>46</v>
      </c>
      <c r="B224" s="104" t="s">
        <v>264</v>
      </c>
      <c r="C224" s="104" t="s">
        <v>129</v>
      </c>
      <c r="D224" s="104" t="s">
        <v>123</v>
      </c>
      <c r="E224" s="105" t="s">
        <v>18</v>
      </c>
      <c r="F224" s="106" t="s">
        <v>20</v>
      </c>
      <c r="G224" s="106"/>
      <c r="H224" s="105" t="s">
        <v>18</v>
      </c>
      <c r="I224" s="107">
        <v>0.01</v>
      </c>
      <c r="J224" s="107"/>
      <c r="K224" s="108" t="s">
        <v>13</v>
      </c>
      <c r="L224" s="109">
        <v>174592.64000000001</v>
      </c>
    </row>
    <row r="225" spans="1:12" ht="81.599999999999994" x14ac:dyDescent="0.3">
      <c r="A225" s="103" t="s">
        <v>46</v>
      </c>
      <c r="B225" s="104" t="s">
        <v>264</v>
      </c>
      <c r="C225" s="104" t="s">
        <v>217</v>
      </c>
      <c r="D225" s="104" t="s">
        <v>68</v>
      </c>
      <c r="E225" s="105" t="s">
        <v>18</v>
      </c>
      <c r="F225" s="106" t="s">
        <v>20</v>
      </c>
      <c r="G225" s="106"/>
      <c r="H225" s="105" t="s">
        <v>18</v>
      </c>
      <c r="I225" s="107">
        <v>-0.01</v>
      </c>
      <c r="J225" s="107"/>
      <c r="K225" s="108" t="s">
        <v>13</v>
      </c>
      <c r="L225" s="109">
        <v>174592.65</v>
      </c>
    </row>
    <row r="226" spans="1:12" ht="81.599999999999994" x14ac:dyDescent="0.3">
      <c r="A226" s="103" t="s">
        <v>46</v>
      </c>
      <c r="B226" s="104" t="s">
        <v>264</v>
      </c>
      <c r="C226" s="104" t="s">
        <v>175</v>
      </c>
      <c r="D226" s="104" t="s">
        <v>68</v>
      </c>
      <c r="E226" s="105" t="s">
        <v>18</v>
      </c>
      <c r="F226" s="106" t="s">
        <v>20</v>
      </c>
      <c r="G226" s="106"/>
      <c r="H226" s="105" t="s">
        <v>18</v>
      </c>
      <c r="I226" s="107">
        <v>0.01</v>
      </c>
      <c r="J226" s="107"/>
      <c r="K226" s="108" t="s">
        <v>13</v>
      </c>
      <c r="L226" s="109">
        <v>174592.64000000001</v>
      </c>
    </row>
    <row r="227" spans="1:12" ht="81.599999999999994" x14ac:dyDescent="0.3">
      <c r="A227" s="103" t="s">
        <v>46</v>
      </c>
      <c r="B227" s="104" t="s">
        <v>264</v>
      </c>
      <c r="C227" s="104" t="s">
        <v>257</v>
      </c>
      <c r="D227" s="104" t="s">
        <v>115</v>
      </c>
      <c r="E227" s="105" t="s">
        <v>18</v>
      </c>
      <c r="F227" s="106" t="s">
        <v>20</v>
      </c>
      <c r="G227" s="106"/>
      <c r="H227" s="105" t="s">
        <v>18</v>
      </c>
      <c r="I227" s="107">
        <v>0.01</v>
      </c>
      <c r="J227" s="107"/>
      <c r="K227" s="108" t="s">
        <v>13</v>
      </c>
      <c r="L227" s="109">
        <v>174592.63</v>
      </c>
    </row>
    <row r="228" spans="1:12" ht="81.599999999999994" x14ac:dyDescent="0.3">
      <c r="A228" s="103" t="s">
        <v>46</v>
      </c>
      <c r="B228" s="104" t="s">
        <v>264</v>
      </c>
      <c r="C228" s="104" t="s">
        <v>239</v>
      </c>
      <c r="D228" s="104" t="s">
        <v>115</v>
      </c>
      <c r="E228" s="105" t="s">
        <v>18</v>
      </c>
      <c r="F228" s="106" t="s">
        <v>20</v>
      </c>
      <c r="G228" s="106"/>
      <c r="H228" s="105" t="s">
        <v>18</v>
      </c>
      <c r="I228" s="107">
        <v>-0.01</v>
      </c>
      <c r="J228" s="107"/>
      <c r="K228" s="108" t="s">
        <v>13</v>
      </c>
      <c r="L228" s="109">
        <v>174592.64000000001</v>
      </c>
    </row>
    <row r="229" spans="1:12" ht="71.400000000000006" x14ac:dyDescent="0.3">
      <c r="A229" s="103" t="s">
        <v>46</v>
      </c>
      <c r="B229" s="104" t="s">
        <v>264</v>
      </c>
      <c r="C229" s="104" t="s">
        <v>162</v>
      </c>
      <c r="D229" s="104" t="s">
        <v>61</v>
      </c>
      <c r="E229" s="105" t="s">
        <v>18</v>
      </c>
      <c r="F229" s="106" t="s">
        <v>20</v>
      </c>
      <c r="G229" s="106"/>
      <c r="H229" s="105" t="s">
        <v>18</v>
      </c>
      <c r="I229" s="107">
        <v>-0.01</v>
      </c>
      <c r="J229" s="107"/>
      <c r="K229" s="108" t="s">
        <v>13</v>
      </c>
      <c r="L229" s="109">
        <v>174592.65</v>
      </c>
    </row>
    <row r="230" spans="1:12" ht="71.400000000000006" x14ac:dyDescent="0.3">
      <c r="A230" s="103" t="s">
        <v>46</v>
      </c>
      <c r="B230" s="104" t="s">
        <v>264</v>
      </c>
      <c r="C230" s="104" t="s">
        <v>253</v>
      </c>
      <c r="D230" s="104" t="s">
        <v>122</v>
      </c>
      <c r="E230" s="105" t="s">
        <v>18</v>
      </c>
      <c r="F230" s="106" t="s">
        <v>20</v>
      </c>
      <c r="G230" s="106"/>
      <c r="H230" s="105" t="s">
        <v>18</v>
      </c>
      <c r="I230" s="107">
        <v>0.01</v>
      </c>
      <c r="J230" s="107"/>
      <c r="K230" s="108" t="s">
        <v>13</v>
      </c>
      <c r="L230" s="109">
        <v>174592.64000000001</v>
      </c>
    </row>
    <row r="231" spans="1:12" ht="71.400000000000006" x14ac:dyDescent="0.3">
      <c r="A231" s="103" t="s">
        <v>46</v>
      </c>
      <c r="B231" s="104" t="s">
        <v>264</v>
      </c>
      <c r="C231" s="104" t="s">
        <v>202</v>
      </c>
      <c r="D231" s="104" t="s">
        <v>122</v>
      </c>
      <c r="E231" s="105" t="s">
        <v>18</v>
      </c>
      <c r="F231" s="106" t="s">
        <v>20</v>
      </c>
      <c r="G231" s="106"/>
      <c r="H231" s="105" t="s">
        <v>18</v>
      </c>
      <c r="I231" s="107">
        <v>-0.01</v>
      </c>
      <c r="J231" s="107"/>
      <c r="K231" s="108" t="s">
        <v>13</v>
      </c>
      <c r="L231" s="109">
        <v>174592.65</v>
      </c>
    </row>
    <row r="232" spans="1:12" ht="71.400000000000006" x14ac:dyDescent="0.3">
      <c r="A232" s="103" t="s">
        <v>46</v>
      </c>
      <c r="B232" s="104" t="s">
        <v>264</v>
      </c>
      <c r="C232" s="104" t="s">
        <v>178</v>
      </c>
      <c r="D232" s="104" t="s">
        <v>74</v>
      </c>
      <c r="E232" s="105" t="s">
        <v>18</v>
      </c>
      <c r="F232" s="106" t="s">
        <v>20</v>
      </c>
      <c r="G232" s="106"/>
      <c r="H232" s="105" t="s">
        <v>18</v>
      </c>
      <c r="I232" s="107">
        <v>0.01</v>
      </c>
      <c r="J232" s="107"/>
      <c r="K232" s="108" t="s">
        <v>13</v>
      </c>
      <c r="L232" s="109">
        <v>174592.64000000001</v>
      </c>
    </row>
    <row r="233" spans="1:12" ht="71.400000000000006" x14ac:dyDescent="0.3">
      <c r="A233" s="103" t="s">
        <v>46</v>
      </c>
      <c r="B233" s="104" t="s">
        <v>264</v>
      </c>
      <c r="C233" s="104" t="s">
        <v>241</v>
      </c>
      <c r="D233" s="104" t="s">
        <v>143</v>
      </c>
      <c r="E233" s="105" t="s">
        <v>18</v>
      </c>
      <c r="F233" s="106" t="s">
        <v>20</v>
      </c>
      <c r="G233" s="106"/>
      <c r="H233" s="105" t="s">
        <v>18</v>
      </c>
      <c r="I233" s="107">
        <v>0.01</v>
      </c>
      <c r="J233" s="107"/>
      <c r="K233" s="108" t="s">
        <v>13</v>
      </c>
      <c r="L233" s="109">
        <v>174592.63</v>
      </c>
    </row>
    <row r="234" spans="1:12" ht="81.599999999999994" x14ac:dyDescent="0.3">
      <c r="A234" s="103" t="s">
        <v>46</v>
      </c>
      <c r="B234" s="104" t="s">
        <v>265</v>
      </c>
      <c r="C234" s="104" t="s">
        <v>130</v>
      </c>
      <c r="D234" s="104" t="s">
        <v>65</v>
      </c>
      <c r="E234" s="105" t="s">
        <v>18</v>
      </c>
      <c r="F234" s="106" t="s">
        <v>20</v>
      </c>
      <c r="G234" s="106"/>
      <c r="H234" s="105" t="s">
        <v>18</v>
      </c>
      <c r="I234" s="113">
        <v>1689.05</v>
      </c>
      <c r="J234" s="113"/>
      <c r="K234" s="108" t="s">
        <v>13</v>
      </c>
      <c r="L234" s="109">
        <v>172903.58</v>
      </c>
    </row>
    <row r="235" spans="1:12" x14ac:dyDescent="0.3">
      <c r="A235" s="114" t="s">
        <v>49</v>
      </c>
      <c r="B235" s="114"/>
      <c r="C235" s="114"/>
      <c r="D235" s="114"/>
      <c r="E235" s="115">
        <v>4253166.45</v>
      </c>
      <c r="F235" s="115"/>
      <c r="G235" s="115"/>
      <c r="H235" s="115">
        <v>4124601.66</v>
      </c>
      <c r="I235" s="115"/>
      <c r="J235" s="115"/>
      <c r="K235" s="116" t="s">
        <v>13</v>
      </c>
      <c r="L235" s="117">
        <v>172903.58</v>
      </c>
    </row>
  </sheetData>
  <autoFilter ref="A1:L2" xr:uid="{F2B0ADFB-C232-45E5-8A62-2579CC58C6E0}">
    <filterColumn colId="4" showButton="0"/>
    <filterColumn colId="5" showButton="0"/>
    <filterColumn colId="7" showButton="0"/>
    <filterColumn colId="8" showButton="0"/>
    <filterColumn colId="10" showButton="0"/>
  </autoFilter>
  <mergeCells count="476">
    <mergeCell ref="A235:D235"/>
    <mergeCell ref="E235:G235"/>
    <mergeCell ref="H235:J235"/>
    <mergeCell ref="F232:G232"/>
    <mergeCell ref="I232:J232"/>
    <mergeCell ref="F233:G233"/>
    <mergeCell ref="I233:J233"/>
    <mergeCell ref="F234:G234"/>
    <mergeCell ref="I234:J234"/>
    <mergeCell ref="F229:G229"/>
    <mergeCell ref="I229:J229"/>
    <mergeCell ref="F230:G230"/>
    <mergeCell ref="I230:J230"/>
    <mergeCell ref="F231:G231"/>
    <mergeCell ref="I231:J231"/>
    <mergeCell ref="F226:G226"/>
    <mergeCell ref="I226:J226"/>
    <mergeCell ref="F227:G227"/>
    <mergeCell ref="I227:J227"/>
    <mergeCell ref="F228:G228"/>
    <mergeCell ref="I228:J228"/>
    <mergeCell ref="F223:G223"/>
    <mergeCell ref="I223:J223"/>
    <mergeCell ref="F224:G224"/>
    <mergeCell ref="I224:J224"/>
    <mergeCell ref="F225:G225"/>
    <mergeCell ref="I225:J225"/>
    <mergeCell ref="F220:G220"/>
    <mergeCell ref="I220:J220"/>
    <mergeCell ref="F221:G221"/>
    <mergeCell ref="I221:J221"/>
    <mergeCell ref="F222:G222"/>
    <mergeCell ref="I222:J222"/>
    <mergeCell ref="F217:G217"/>
    <mergeCell ref="I217:J217"/>
    <mergeCell ref="F218:G218"/>
    <mergeCell ref="I218:J218"/>
    <mergeCell ref="F219:G219"/>
    <mergeCell ref="I219:J219"/>
    <mergeCell ref="F214:G214"/>
    <mergeCell ref="I214:J214"/>
    <mergeCell ref="F215:G215"/>
    <mergeCell ref="I215:J215"/>
    <mergeCell ref="F216:G216"/>
    <mergeCell ref="I216:J216"/>
    <mergeCell ref="F211:G211"/>
    <mergeCell ref="I211:J211"/>
    <mergeCell ref="F212:G212"/>
    <mergeCell ref="I212:J212"/>
    <mergeCell ref="F213:G213"/>
    <mergeCell ref="I213:J213"/>
    <mergeCell ref="F208:G208"/>
    <mergeCell ref="I208:J208"/>
    <mergeCell ref="F209:G209"/>
    <mergeCell ref="I209:J209"/>
    <mergeCell ref="F210:G210"/>
    <mergeCell ref="I210:J210"/>
    <mergeCell ref="F205:G205"/>
    <mergeCell ref="I205:J205"/>
    <mergeCell ref="F206:G206"/>
    <mergeCell ref="I206:J206"/>
    <mergeCell ref="F207:G207"/>
    <mergeCell ref="I207:J207"/>
    <mergeCell ref="F202:G202"/>
    <mergeCell ref="I202:J202"/>
    <mergeCell ref="F203:G203"/>
    <mergeCell ref="I203:J203"/>
    <mergeCell ref="F204:G204"/>
    <mergeCell ref="I204:J204"/>
    <mergeCell ref="F199:G199"/>
    <mergeCell ref="I199:J199"/>
    <mergeCell ref="F200:G200"/>
    <mergeCell ref="I200:J200"/>
    <mergeCell ref="F201:G201"/>
    <mergeCell ref="I201:J201"/>
    <mergeCell ref="F196:G196"/>
    <mergeCell ref="I196:J196"/>
    <mergeCell ref="F197:G197"/>
    <mergeCell ref="I197:J197"/>
    <mergeCell ref="F198:G198"/>
    <mergeCell ref="I198:J198"/>
    <mergeCell ref="F193:G193"/>
    <mergeCell ref="I193:J193"/>
    <mergeCell ref="F194:G194"/>
    <mergeCell ref="I194:J194"/>
    <mergeCell ref="F195:G195"/>
    <mergeCell ref="I195:J195"/>
    <mergeCell ref="F190:G190"/>
    <mergeCell ref="I190:J190"/>
    <mergeCell ref="F191:G191"/>
    <mergeCell ref="I191:J191"/>
    <mergeCell ref="F192:G192"/>
    <mergeCell ref="I192:J192"/>
    <mergeCell ref="F187:G187"/>
    <mergeCell ref="I187:J187"/>
    <mergeCell ref="F188:G188"/>
    <mergeCell ref="I188:J188"/>
    <mergeCell ref="F189:G189"/>
    <mergeCell ref="I189:J189"/>
    <mergeCell ref="F184:G184"/>
    <mergeCell ref="I184:J184"/>
    <mergeCell ref="F185:G185"/>
    <mergeCell ref="I185:J185"/>
    <mergeCell ref="F186:G186"/>
    <mergeCell ref="I186:J186"/>
    <mergeCell ref="F181:G181"/>
    <mergeCell ref="I181:J181"/>
    <mergeCell ref="F182:G182"/>
    <mergeCell ref="I182:J182"/>
    <mergeCell ref="F183:G183"/>
    <mergeCell ref="I183:J183"/>
    <mergeCell ref="F178:G178"/>
    <mergeCell ref="I178:J178"/>
    <mergeCell ref="F179:G179"/>
    <mergeCell ref="I179:J179"/>
    <mergeCell ref="F180:G180"/>
    <mergeCell ref="I180:J180"/>
    <mergeCell ref="F175:G175"/>
    <mergeCell ref="I175:J175"/>
    <mergeCell ref="F176:G176"/>
    <mergeCell ref="I176:J176"/>
    <mergeCell ref="F177:G177"/>
    <mergeCell ref="I177:J177"/>
    <mergeCell ref="F172:G172"/>
    <mergeCell ref="I172:J172"/>
    <mergeCell ref="F173:G173"/>
    <mergeCell ref="I173:J173"/>
    <mergeCell ref="F174:G174"/>
    <mergeCell ref="I174:J174"/>
    <mergeCell ref="F169:G169"/>
    <mergeCell ref="I169:J169"/>
    <mergeCell ref="F170:G170"/>
    <mergeCell ref="I170:J170"/>
    <mergeCell ref="F171:G171"/>
    <mergeCell ref="I171:J171"/>
    <mergeCell ref="F166:G166"/>
    <mergeCell ref="I166:J166"/>
    <mergeCell ref="F167:G167"/>
    <mergeCell ref="I167:J167"/>
    <mergeCell ref="F168:G168"/>
    <mergeCell ref="I168:J168"/>
    <mergeCell ref="F163:G163"/>
    <mergeCell ref="I163:J163"/>
    <mergeCell ref="F164:G164"/>
    <mergeCell ref="I164:J164"/>
    <mergeCell ref="F165:G165"/>
    <mergeCell ref="I165:J165"/>
    <mergeCell ref="F160:G160"/>
    <mergeCell ref="I160:J160"/>
    <mergeCell ref="F161:G161"/>
    <mergeCell ref="I161:J161"/>
    <mergeCell ref="F162:G162"/>
    <mergeCell ref="I162:J162"/>
    <mergeCell ref="F157:G157"/>
    <mergeCell ref="I157:J157"/>
    <mergeCell ref="F158:G158"/>
    <mergeCell ref="I158:J158"/>
    <mergeCell ref="F159:G159"/>
    <mergeCell ref="I159:J159"/>
    <mergeCell ref="F154:G154"/>
    <mergeCell ref="I154:J154"/>
    <mergeCell ref="F155:G155"/>
    <mergeCell ref="I155:J155"/>
    <mergeCell ref="F156:G156"/>
    <mergeCell ref="I156:J156"/>
    <mergeCell ref="F151:G151"/>
    <mergeCell ref="I151:J151"/>
    <mergeCell ref="F152:G152"/>
    <mergeCell ref="I152:J152"/>
    <mergeCell ref="F153:G153"/>
    <mergeCell ref="I153:J153"/>
    <mergeCell ref="F148:G148"/>
    <mergeCell ref="I148:J148"/>
    <mergeCell ref="F149:G149"/>
    <mergeCell ref="I149:J149"/>
    <mergeCell ref="F150:G150"/>
    <mergeCell ref="I150:J150"/>
    <mergeCell ref="F145:G145"/>
    <mergeCell ref="I145:J145"/>
    <mergeCell ref="F146:G146"/>
    <mergeCell ref="I146:J146"/>
    <mergeCell ref="F147:G147"/>
    <mergeCell ref="I147:J147"/>
    <mergeCell ref="F142:G142"/>
    <mergeCell ref="I142:J142"/>
    <mergeCell ref="F143:G143"/>
    <mergeCell ref="I143:J143"/>
    <mergeCell ref="F144:G144"/>
    <mergeCell ref="I144:J144"/>
    <mergeCell ref="F139:G139"/>
    <mergeCell ref="I139:J139"/>
    <mergeCell ref="F140:G140"/>
    <mergeCell ref="I140:J140"/>
    <mergeCell ref="F141:G141"/>
    <mergeCell ref="I141:J141"/>
    <mergeCell ref="F136:G136"/>
    <mergeCell ref="I136:J136"/>
    <mergeCell ref="F137:G137"/>
    <mergeCell ref="I137:J137"/>
    <mergeCell ref="F138:G138"/>
    <mergeCell ref="I138:J138"/>
    <mergeCell ref="F133:G133"/>
    <mergeCell ref="I133:J133"/>
    <mergeCell ref="F134:G134"/>
    <mergeCell ref="I134:J134"/>
    <mergeCell ref="F135:G135"/>
    <mergeCell ref="I135:J135"/>
    <mergeCell ref="F130:G130"/>
    <mergeCell ref="I130:J130"/>
    <mergeCell ref="F131:G131"/>
    <mergeCell ref="I131:J131"/>
    <mergeCell ref="F132:G132"/>
    <mergeCell ref="I132:J132"/>
    <mergeCell ref="F127:G127"/>
    <mergeCell ref="I127:J127"/>
    <mergeCell ref="F128:G128"/>
    <mergeCell ref="I128:J128"/>
    <mergeCell ref="F129:G129"/>
    <mergeCell ref="I129:J129"/>
    <mergeCell ref="F124:G124"/>
    <mergeCell ref="I124:J124"/>
    <mergeCell ref="F125:G125"/>
    <mergeCell ref="I125:J125"/>
    <mergeCell ref="F126:G126"/>
    <mergeCell ref="I126:J126"/>
    <mergeCell ref="F121:G121"/>
    <mergeCell ref="I121:J121"/>
    <mergeCell ref="F122:G122"/>
    <mergeCell ref="I122:J122"/>
    <mergeCell ref="F123:G123"/>
    <mergeCell ref="I123:J123"/>
    <mergeCell ref="F118:G118"/>
    <mergeCell ref="I118:J118"/>
    <mergeCell ref="F119:G119"/>
    <mergeCell ref="I119:J119"/>
    <mergeCell ref="F120:G120"/>
    <mergeCell ref="I120:J120"/>
    <mergeCell ref="F115:G115"/>
    <mergeCell ref="I115:J115"/>
    <mergeCell ref="F116:G116"/>
    <mergeCell ref="I116:J116"/>
    <mergeCell ref="F117:G117"/>
    <mergeCell ref="I117:J117"/>
    <mergeCell ref="F112:G112"/>
    <mergeCell ref="I112:J112"/>
    <mergeCell ref="F113:G113"/>
    <mergeCell ref="I113:J113"/>
    <mergeCell ref="F114:G114"/>
    <mergeCell ref="I114:J114"/>
    <mergeCell ref="F109:G109"/>
    <mergeCell ref="I109:J109"/>
    <mergeCell ref="F110:G110"/>
    <mergeCell ref="I110:J110"/>
    <mergeCell ref="F111:G111"/>
    <mergeCell ref="I111:J111"/>
    <mergeCell ref="F106:G106"/>
    <mergeCell ref="I106:J106"/>
    <mergeCell ref="F107:G107"/>
    <mergeCell ref="I107:J107"/>
    <mergeCell ref="F108:G108"/>
    <mergeCell ref="I108:J108"/>
    <mergeCell ref="F103:G103"/>
    <mergeCell ref="I103:J103"/>
    <mergeCell ref="F104:G104"/>
    <mergeCell ref="I104:J104"/>
    <mergeCell ref="F105:G105"/>
    <mergeCell ref="I105:J105"/>
    <mergeCell ref="F100:G100"/>
    <mergeCell ref="I100:J100"/>
    <mergeCell ref="F101:G101"/>
    <mergeCell ref="I101:J101"/>
    <mergeCell ref="F102:G102"/>
    <mergeCell ref="I102:J102"/>
    <mergeCell ref="F97:G97"/>
    <mergeCell ref="I97:J97"/>
    <mergeCell ref="F98:G98"/>
    <mergeCell ref="I98:J98"/>
    <mergeCell ref="F99:G99"/>
    <mergeCell ref="I99:J99"/>
    <mergeCell ref="F94:G94"/>
    <mergeCell ref="I94:J94"/>
    <mergeCell ref="F95:G95"/>
    <mergeCell ref="I95:J95"/>
    <mergeCell ref="F96:G96"/>
    <mergeCell ref="I96:J96"/>
    <mergeCell ref="F91:G91"/>
    <mergeCell ref="I91:J91"/>
    <mergeCell ref="F92:G92"/>
    <mergeCell ref="I92:J92"/>
    <mergeCell ref="F93:G93"/>
    <mergeCell ref="I93:J93"/>
    <mergeCell ref="F88:G88"/>
    <mergeCell ref="I88:J88"/>
    <mergeCell ref="F89:G89"/>
    <mergeCell ref="I89:J89"/>
    <mergeCell ref="F90:G90"/>
    <mergeCell ref="I90:J90"/>
    <mergeCell ref="F85:G85"/>
    <mergeCell ref="I85:J85"/>
    <mergeCell ref="F86:G86"/>
    <mergeCell ref="I86:J86"/>
    <mergeCell ref="F87:G87"/>
    <mergeCell ref="I87:J87"/>
    <mergeCell ref="F82:G82"/>
    <mergeCell ref="I82:J82"/>
    <mergeCell ref="F83:G83"/>
    <mergeCell ref="I83:J83"/>
    <mergeCell ref="F84:G84"/>
    <mergeCell ref="I84:J84"/>
    <mergeCell ref="F79:G79"/>
    <mergeCell ref="I79:J79"/>
    <mergeCell ref="F80:G80"/>
    <mergeCell ref="I80:J80"/>
    <mergeCell ref="F81:G81"/>
    <mergeCell ref="I81:J81"/>
    <mergeCell ref="F76:G76"/>
    <mergeCell ref="I76:J76"/>
    <mergeCell ref="F77:G77"/>
    <mergeCell ref="I77:J77"/>
    <mergeCell ref="F78:G78"/>
    <mergeCell ref="I78:J78"/>
    <mergeCell ref="F73:G73"/>
    <mergeCell ref="I73:J73"/>
    <mergeCell ref="F74:G74"/>
    <mergeCell ref="I74:J74"/>
    <mergeCell ref="F75:G75"/>
    <mergeCell ref="I75:J75"/>
    <mergeCell ref="F70:G70"/>
    <mergeCell ref="I70:J70"/>
    <mergeCell ref="F71:G71"/>
    <mergeCell ref="I71:J71"/>
    <mergeCell ref="F72:G72"/>
    <mergeCell ref="I72:J72"/>
    <mergeCell ref="F67:G67"/>
    <mergeCell ref="I67:J67"/>
    <mergeCell ref="F68:G68"/>
    <mergeCell ref="I68:J68"/>
    <mergeCell ref="F69:G69"/>
    <mergeCell ref="I69:J69"/>
    <mergeCell ref="F64:G64"/>
    <mergeCell ref="I64:J64"/>
    <mergeCell ref="F65:G65"/>
    <mergeCell ref="I65:J65"/>
    <mergeCell ref="F66:G66"/>
    <mergeCell ref="I66:J66"/>
    <mergeCell ref="F61:G61"/>
    <mergeCell ref="I61:J61"/>
    <mergeCell ref="F62:G62"/>
    <mergeCell ref="I62:J62"/>
    <mergeCell ref="F63:G63"/>
    <mergeCell ref="I63:J63"/>
    <mergeCell ref="F58:G58"/>
    <mergeCell ref="I58:J58"/>
    <mergeCell ref="F59:G59"/>
    <mergeCell ref="I59:J59"/>
    <mergeCell ref="F60:G60"/>
    <mergeCell ref="I60:J60"/>
    <mergeCell ref="F55:G55"/>
    <mergeCell ref="I55:J55"/>
    <mergeCell ref="F56:G56"/>
    <mergeCell ref="I56:J56"/>
    <mergeCell ref="F57:G57"/>
    <mergeCell ref="I57:J57"/>
    <mergeCell ref="F52:G52"/>
    <mergeCell ref="I52:J52"/>
    <mergeCell ref="F53:G53"/>
    <mergeCell ref="I53:J53"/>
    <mergeCell ref="F54:G54"/>
    <mergeCell ref="I54:J54"/>
    <mergeCell ref="F49:G49"/>
    <mergeCell ref="I49:J49"/>
    <mergeCell ref="F50:G50"/>
    <mergeCell ref="I50:J50"/>
    <mergeCell ref="F51:G51"/>
    <mergeCell ref="I51:J51"/>
    <mergeCell ref="F46:G46"/>
    <mergeCell ref="I46:J46"/>
    <mergeCell ref="F47:G47"/>
    <mergeCell ref="I47:J47"/>
    <mergeCell ref="F48:G48"/>
    <mergeCell ref="I48:J48"/>
    <mergeCell ref="F43:G43"/>
    <mergeCell ref="I43:J43"/>
    <mergeCell ref="F44:G44"/>
    <mergeCell ref="I44:J44"/>
    <mergeCell ref="F45:G45"/>
    <mergeCell ref="I45:J45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784D3-1EB4-41F3-BA3A-2E8CF7927B10}">
  <sheetPr filterMode="1"/>
  <dimension ref="A1:L41"/>
  <sheetViews>
    <sheetView topLeftCell="A33" workbookViewId="0">
      <selection activeCell="J41" sqref="J41"/>
    </sheetView>
  </sheetViews>
  <sheetFormatPr defaultRowHeight="14.4" x14ac:dyDescent="0.3"/>
  <cols>
    <col min="2" max="4" width="21.44140625" customWidth="1"/>
    <col min="10" max="10" width="9.88671875" bestFit="1" customWidth="1"/>
  </cols>
  <sheetData>
    <row r="1" spans="1:12" x14ac:dyDescent="0.3">
      <c r="A1" s="30" t="s">
        <v>5</v>
      </c>
      <c r="B1" s="31" t="s">
        <v>6</v>
      </c>
      <c r="C1" s="31" t="s">
        <v>7</v>
      </c>
      <c r="D1" s="32" t="s">
        <v>8</v>
      </c>
      <c r="E1" s="33" t="s">
        <v>9</v>
      </c>
      <c r="F1" s="33"/>
      <c r="G1" s="33"/>
      <c r="H1" s="34" t="s">
        <v>10</v>
      </c>
      <c r="I1" s="34"/>
      <c r="J1" s="34"/>
      <c r="K1" s="31" t="s">
        <v>11</v>
      </c>
      <c r="L1" s="31"/>
    </row>
    <row r="2" spans="1:12" hidden="1" x14ac:dyDescent="0.3">
      <c r="A2" s="35"/>
      <c r="B2" s="36"/>
      <c r="C2" s="36"/>
      <c r="D2" s="37"/>
      <c r="E2" s="38" t="s">
        <v>12</v>
      </c>
      <c r="F2" s="39"/>
      <c r="G2" s="39"/>
      <c r="H2" s="40" t="s">
        <v>12</v>
      </c>
      <c r="I2" s="41"/>
      <c r="J2" s="41"/>
      <c r="K2" s="35"/>
      <c r="L2" s="42"/>
    </row>
    <row r="3" spans="1:12" ht="71.400000000000006" hidden="1" x14ac:dyDescent="0.3">
      <c r="A3" s="43" t="s">
        <v>14</v>
      </c>
      <c r="B3" s="44" t="s">
        <v>50</v>
      </c>
      <c r="C3" s="44" t="s">
        <v>51</v>
      </c>
      <c r="D3" s="44" t="s">
        <v>52</v>
      </c>
      <c r="E3" s="45" t="s">
        <v>18</v>
      </c>
      <c r="F3" s="46">
        <v>693.49</v>
      </c>
      <c r="G3" s="46"/>
      <c r="H3" s="45" t="s">
        <v>18</v>
      </c>
      <c r="I3" s="47" t="s">
        <v>20</v>
      </c>
      <c r="J3" s="47"/>
      <c r="K3" s="48" t="s">
        <v>13</v>
      </c>
      <c r="L3" s="49">
        <v>811155.85</v>
      </c>
    </row>
    <row r="4" spans="1:12" ht="81.599999999999994" hidden="1" x14ac:dyDescent="0.3">
      <c r="A4" s="43" t="s">
        <v>14</v>
      </c>
      <c r="B4" s="44" t="s">
        <v>266</v>
      </c>
      <c r="C4" s="44" t="s">
        <v>267</v>
      </c>
      <c r="D4" s="44" t="s">
        <v>268</v>
      </c>
      <c r="E4" s="45" t="s">
        <v>18</v>
      </c>
      <c r="F4" s="50">
        <v>11028.06</v>
      </c>
      <c r="G4" s="50"/>
      <c r="H4" s="45" t="s">
        <v>18</v>
      </c>
      <c r="I4" s="47" t="s">
        <v>20</v>
      </c>
      <c r="J4" s="47"/>
      <c r="K4" s="48" t="s">
        <v>13</v>
      </c>
      <c r="L4" s="49">
        <v>822183.91</v>
      </c>
    </row>
    <row r="5" spans="1:12" ht="81.599999999999994" hidden="1" x14ac:dyDescent="0.3">
      <c r="A5" s="43" t="s">
        <v>14</v>
      </c>
      <c r="B5" s="44" t="s">
        <v>266</v>
      </c>
      <c r="C5" s="44" t="s">
        <v>269</v>
      </c>
      <c r="D5" s="44" t="s">
        <v>270</v>
      </c>
      <c r="E5" s="45" t="s">
        <v>18</v>
      </c>
      <c r="F5" s="46">
        <v>918.35</v>
      </c>
      <c r="G5" s="46"/>
      <c r="H5" s="45" t="s">
        <v>18</v>
      </c>
      <c r="I5" s="47" t="s">
        <v>20</v>
      </c>
      <c r="J5" s="47"/>
      <c r="K5" s="48" t="s">
        <v>13</v>
      </c>
      <c r="L5" s="49">
        <v>823102.26</v>
      </c>
    </row>
    <row r="6" spans="1:12" ht="71.400000000000006" hidden="1" x14ac:dyDescent="0.3">
      <c r="A6" s="43" t="s">
        <v>14</v>
      </c>
      <c r="B6" s="44" t="s">
        <v>266</v>
      </c>
      <c r="C6" s="44" t="s">
        <v>271</v>
      </c>
      <c r="D6" s="44" t="s">
        <v>272</v>
      </c>
      <c r="E6" s="45" t="s">
        <v>18</v>
      </c>
      <c r="F6" s="50">
        <v>10711.05</v>
      </c>
      <c r="G6" s="50"/>
      <c r="H6" s="45" t="s">
        <v>18</v>
      </c>
      <c r="I6" s="47" t="s">
        <v>20</v>
      </c>
      <c r="J6" s="47"/>
      <c r="K6" s="48" t="s">
        <v>13</v>
      </c>
      <c r="L6" s="49">
        <v>833813.31</v>
      </c>
    </row>
    <row r="7" spans="1:12" ht="71.400000000000006" hidden="1" x14ac:dyDescent="0.3">
      <c r="A7" s="43" t="s">
        <v>14</v>
      </c>
      <c r="B7" s="44" t="s">
        <v>273</v>
      </c>
      <c r="C7" s="44" t="s">
        <v>274</v>
      </c>
      <c r="D7" s="44" t="s">
        <v>275</v>
      </c>
      <c r="E7" s="45" t="s">
        <v>18</v>
      </c>
      <c r="F7" s="51" t="s">
        <v>20</v>
      </c>
      <c r="G7" s="51"/>
      <c r="H7" s="45" t="s">
        <v>18</v>
      </c>
      <c r="I7" s="52">
        <v>32189.02</v>
      </c>
      <c r="J7" s="52"/>
      <c r="K7" s="48" t="s">
        <v>13</v>
      </c>
      <c r="L7" s="49">
        <v>801624.29</v>
      </c>
    </row>
    <row r="8" spans="1:12" ht="71.400000000000006" x14ac:dyDescent="0.3">
      <c r="A8" s="43" t="s">
        <v>14</v>
      </c>
      <c r="B8" s="44" t="s">
        <v>276</v>
      </c>
      <c r="C8" s="44" t="s">
        <v>277</v>
      </c>
      <c r="D8" s="44" t="s">
        <v>278</v>
      </c>
      <c r="E8" s="45" t="s">
        <v>40</v>
      </c>
      <c r="F8" s="51" t="s">
        <v>20</v>
      </c>
      <c r="G8" s="51"/>
      <c r="H8" s="45" t="s">
        <v>18</v>
      </c>
      <c r="I8" s="52">
        <v>44053.33</v>
      </c>
      <c r="J8" s="52"/>
      <c r="K8" s="48" t="s">
        <v>13</v>
      </c>
      <c r="L8" s="49">
        <v>757570.96</v>
      </c>
    </row>
    <row r="9" spans="1:12" ht="81.599999999999994" x14ac:dyDescent="0.3">
      <c r="A9" s="43" t="s">
        <v>14</v>
      </c>
      <c r="B9" s="44" t="s">
        <v>276</v>
      </c>
      <c r="C9" s="44" t="s">
        <v>277</v>
      </c>
      <c r="D9" s="44" t="s">
        <v>279</v>
      </c>
      <c r="E9" s="45" t="s">
        <v>40</v>
      </c>
      <c r="F9" s="51" t="s">
        <v>20</v>
      </c>
      <c r="G9" s="51"/>
      <c r="H9" s="45" t="s">
        <v>18</v>
      </c>
      <c r="I9" s="52">
        <v>32112.33</v>
      </c>
      <c r="J9" s="52"/>
      <c r="K9" s="48" t="s">
        <v>13</v>
      </c>
      <c r="L9" s="49">
        <v>725458.63</v>
      </c>
    </row>
    <row r="10" spans="1:12" ht="71.400000000000006" x14ac:dyDescent="0.3">
      <c r="A10" s="43" t="s">
        <v>14</v>
      </c>
      <c r="B10" s="44" t="s">
        <v>276</v>
      </c>
      <c r="C10" s="44" t="s">
        <v>277</v>
      </c>
      <c r="D10" s="44" t="s">
        <v>275</v>
      </c>
      <c r="E10" s="45" t="s">
        <v>40</v>
      </c>
      <c r="F10" s="51" t="s">
        <v>20</v>
      </c>
      <c r="G10" s="51"/>
      <c r="H10" s="45" t="s">
        <v>18</v>
      </c>
      <c r="I10" s="52">
        <v>15797.25</v>
      </c>
      <c r="J10" s="52"/>
      <c r="K10" s="48" t="s">
        <v>13</v>
      </c>
      <c r="L10" s="49">
        <v>709661.38</v>
      </c>
    </row>
    <row r="11" spans="1:12" ht="81.599999999999994" x14ac:dyDescent="0.3">
      <c r="A11" s="43" t="s">
        <v>14</v>
      </c>
      <c r="B11" s="44" t="s">
        <v>276</v>
      </c>
      <c r="C11" s="44" t="s">
        <v>277</v>
      </c>
      <c r="D11" s="44" t="s">
        <v>269</v>
      </c>
      <c r="E11" s="45" t="s">
        <v>40</v>
      </c>
      <c r="F11" s="51" t="s">
        <v>20</v>
      </c>
      <c r="G11" s="51"/>
      <c r="H11" s="45" t="s">
        <v>18</v>
      </c>
      <c r="I11" s="53">
        <v>918.35</v>
      </c>
      <c r="J11" s="53"/>
      <c r="K11" s="48" t="s">
        <v>13</v>
      </c>
      <c r="L11" s="49">
        <v>708743.03</v>
      </c>
    </row>
    <row r="12" spans="1:12" ht="71.400000000000006" x14ac:dyDescent="0.3">
      <c r="A12" s="43" t="s">
        <v>14</v>
      </c>
      <c r="B12" s="44" t="s">
        <v>276</v>
      </c>
      <c r="C12" s="44" t="s">
        <v>277</v>
      </c>
      <c r="D12" s="44" t="s">
        <v>280</v>
      </c>
      <c r="E12" s="45" t="s">
        <v>40</v>
      </c>
      <c r="F12" s="51" t="s">
        <v>20</v>
      </c>
      <c r="G12" s="51"/>
      <c r="H12" s="45" t="s">
        <v>18</v>
      </c>
      <c r="I12" s="53">
        <v>256.41000000000003</v>
      </c>
      <c r="J12" s="53"/>
      <c r="K12" s="48" t="s">
        <v>13</v>
      </c>
      <c r="L12" s="49">
        <v>708486.62</v>
      </c>
    </row>
    <row r="13" spans="1:12" ht="71.400000000000006" x14ac:dyDescent="0.3">
      <c r="A13" s="43" t="s">
        <v>14</v>
      </c>
      <c r="B13" s="44" t="s">
        <v>276</v>
      </c>
      <c r="C13" s="44" t="s">
        <v>277</v>
      </c>
      <c r="D13" s="44" t="s">
        <v>281</v>
      </c>
      <c r="E13" s="45" t="s">
        <v>40</v>
      </c>
      <c r="F13" s="51" t="s">
        <v>20</v>
      </c>
      <c r="G13" s="51"/>
      <c r="H13" s="45" t="s">
        <v>18</v>
      </c>
      <c r="I13" s="52">
        <v>58240.04</v>
      </c>
      <c r="J13" s="52"/>
      <c r="K13" s="48" t="s">
        <v>13</v>
      </c>
      <c r="L13" s="49">
        <v>650246.57999999996</v>
      </c>
    </row>
    <row r="14" spans="1:12" ht="81.599999999999994" x14ac:dyDescent="0.3">
      <c r="A14" s="43" t="s">
        <v>14</v>
      </c>
      <c r="B14" s="44" t="s">
        <v>276</v>
      </c>
      <c r="C14" s="44" t="s">
        <v>277</v>
      </c>
      <c r="D14" s="44" t="s">
        <v>282</v>
      </c>
      <c r="E14" s="45" t="s">
        <v>40</v>
      </c>
      <c r="F14" s="51" t="s">
        <v>20</v>
      </c>
      <c r="G14" s="51"/>
      <c r="H14" s="45" t="s">
        <v>18</v>
      </c>
      <c r="I14" s="52">
        <v>1961.12</v>
      </c>
      <c r="J14" s="52"/>
      <c r="K14" s="48" t="s">
        <v>13</v>
      </c>
      <c r="L14" s="49">
        <v>648285.46</v>
      </c>
    </row>
    <row r="15" spans="1:12" ht="71.400000000000006" x14ac:dyDescent="0.3">
      <c r="A15" s="43" t="s">
        <v>14</v>
      </c>
      <c r="B15" s="44" t="s">
        <v>276</v>
      </c>
      <c r="C15" s="44" t="s">
        <v>277</v>
      </c>
      <c r="D15" s="44" t="s">
        <v>51</v>
      </c>
      <c r="E15" s="45" t="s">
        <v>40</v>
      </c>
      <c r="F15" s="51" t="s">
        <v>20</v>
      </c>
      <c r="G15" s="51"/>
      <c r="H15" s="45" t="s">
        <v>18</v>
      </c>
      <c r="I15" s="53">
        <v>693.49</v>
      </c>
      <c r="J15" s="53"/>
      <c r="K15" s="48" t="s">
        <v>13</v>
      </c>
      <c r="L15" s="49">
        <v>647591.97</v>
      </c>
    </row>
    <row r="16" spans="1:12" ht="71.400000000000006" x14ac:dyDescent="0.3">
      <c r="A16" s="43" t="s">
        <v>14</v>
      </c>
      <c r="B16" s="44" t="s">
        <v>276</v>
      </c>
      <c r="C16" s="44" t="s">
        <v>277</v>
      </c>
      <c r="D16" s="44" t="s">
        <v>283</v>
      </c>
      <c r="E16" s="45" t="s">
        <v>40</v>
      </c>
      <c r="F16" s="51" t="s">
        <v>20</v>
      </c>
      <c r="G16" s="51"/>
      <c r="H16" s="45" t="s">
        <v>18</v>
      </c>
      <c r="I16" s="52">
        <v>19648.060000000001</v>
      </c>
      <c r="J16" s="52"/>
      <c r="K16" s="48" t="s">
        <v>13</v>
      </c>
      <c r="L16" s="49">
        <v>627943.91</v>
      </c>
    </row>
    <row r="17" spans="1:12" ht="81.599999999999994" x14ac:dyDescent="0.3">
      <c r="A17" s="43" t="s">
        <v>14</v>
      </c>
      <c r="B17" s="44" t="s">
        <v>276</v>
      </c>
      <c r="C17" s="44" t="s">
        <v>277</v>
      </c>
      <c r="D17" s="44" t="s">
        <v>267</v>
      </c>
      <c r="E17" s="45" t="s">
        <v>40</v>
      </c>
      <c r="F17" s="51" t="s">
        <v>20</v>
      </c>
      <c r="G17" s="51"/>
      <c r="H17" s="45" t="s">
        <v>18</v>
      </c>
      <c r="I17" s="52">
        <v>11028.06</v>
      </c>
      <c r="J17" s="52"/>
      <c r="K17" s="48" t="s">
        <v>13</v>
      </c>
      <c r="L17" s="49">
        <v>616915.85</v>
      </c>
    </row>
    <row r="18" spans="1:12" ht="71.400000000000006" x14ac:dyDescent="0.3">
      <c r="A18" s="43" t="s">
        <v>14</v>
      </c>
      <c r="B18" s="44" t="s">
        <v>276</v>
      </c>
      <c r="C18" s="44" t="s">
        <v>277</v>
      </c>
      <c r="D18" s="44" t="s">
        <v>284</v>
      </c>
      <c r="E18" s="45" t="s">
        <v>40</v>
      </c>
      <c r="F18" s="51" t="s">
        <v>20</v>
      </c>
      <c r="G18" s="51"/>
      <c r="H18" s="45" t="s">
        <v>18</v>
      </c>
      <c r="I18" s="53">
        <v>87.27</v>
      </c>
      <c r="J18" s="53"/>
      <c r="K18" s="48" t="s">
        <v>13</v>
      </c>
      <c r="L18" s="49">
        <v>616828.57999999996</v>
      </c>
    </row>
    <row r="19" spans="1:12" ht="81.599999999999994" x14ac:dyDescent="0.3">
      <c r="A19" s="43" t="s">
        <v>14</v>
      </c>
      <c r="B19" s="44" t="s">
        <v>276</v>
      </c>
      <c r="C19" s="44" t="s">
        <v>277</v>
      </c>
      <c r="D19" s="44" t="s">
        <v>285</v>
      </c>
      <c r="E19" s="45" t="s">
        <v>40</v>
      </c>
      <c r="F19" s="51" t="s">
        <v>20</v>
      </c>
      <c r="G19" s="51"/>
      <c r="H19" s="45" t="s">
        <v>18</v>
      </c>
      <c r="I19" s="53">
        <v>112.06</v>
      </c>
      <c r="J19" s="53"/>
      <c r="K19" s="48" t="s">
        <v>13</v>
      </c>
      <c r="L19" s="49">
        <v>616716.52</v>
      </c>
    </row>
    <row r="20" spans="1:12" ht="81.599999999999994" x14ac:dyDescent="0.3">
      <c r="A20" s="43" t="s">
        <v>14</v>
      </c>
      <c r="B20" s="44" t="s">
        <v>276</v>
      </c>
      <c r="C20" s="44" t="s">
        <v>277</v>
      </c>
      <c r="D20" s="44" t="s">
        <v>286</v>
      </c>
      <c r="E20" s="45" t="s">
        <v>40</v>
      </c>
      <c r="F20" s="51" t="s">
        <v>20</v>
      </c>
      <c r="G20" s="51"/>
      <c r="H20" s="45" t="s">
        <v>18</v>
      </c>
      <c r="I20" s="52">
        <v>74677.47</v>
      </c>
      <c r="J20" s="52"/>
      <c r="K20" s="48" t="s">
        <v>13</v>
      </c>
      <c r="L20" s="49">
        <v>542039.05000000005</v>
      </c>
    </row>
    <row r="21" spans="1:12" ht="71.400000000000006" x14ac:dyDescent="0.3">
      <c r="A21" s="43" t="s">
        <v>14</v>
      </c>
      <c r="B21" s="44" t="s">
        <v>276</v>
      </c>
      <c r="C21" s="44" t="s">
        <v>277</v>
      </c>
      <c r="D21" s="44" t="s">
        <v>287</v>
      </c>
      <c r="E21" s="45" t="s">
        <v>40</v>
      </c>
      <c r="F21" s="51" t="s">
        <v>20</v>
      </c>
      <c r="G21" s="51"/>
      <c r="H21" s="45" t="s">
        <v>18</v>
      </c>
      <c r="I21" s="52">
        <v>183423.62</v>
      </c>
      <c r="J21" s="52"/>
      <c r="K21" s="48" t="s">
        <v>13</v>
      </c>
      <c r="L21" s="49">
        <v>358615.43</v>
      </c>
    </row>
    <row r="22" spans="1:12" ht="71.400000000000006" x14ac:dyDescent="0.3">
      <c r="A22" s="43" t="s">
        <v>14</v>
      </c>
      <c r="B22" s="44" t="s">
        <v>276</v>
      </c>
      <c r="C22" s="44" t="s">
        <v>277</v>
      </c>
      <c r="D22" s="44" t="s">
        <v>288</v>
      </c>
      <c r="E22" s="45" t="s">
        <v>40</v>
      </c>
      <c r="F22" s="51" t="s">
        <v>20</v>
      </c>
      <c r="G22" s="51"/>
      <c r="H22" s="45" t="s">
        <v>18</v>
      </c>
      <c r="I22" s="52">
        <v>19560.189999999999</v>
      </c>
      <c r="J22" s="52"/>
      <c r="K22" s="48" t="s">
        <v>13</v>
      </c>
      <c r="L22" s="49">
        <v>339055.24</v>
      </c>
    </row>
    <row r="23" spans="1:12" ht="81.599999999999994" x14ac:dyDescent="0.3">
      <c r="A23" s="43" t="s">
        <v>14</v>
      </c>
      <c r="B23" s="44" t="s">
        <v>276</v>
      </c>
      <c r="C23" s="44" t="s">
        <v>277</v>
      </c>
      <c r="D23" s="44" t="s">
        <v>289</v>
      </c>
      <c r="E23" s="45" t="s">
        <v>40</v>
      </c>
      <c r="F23" s="51" t="s">
        <v>20</v>
      </c>
      <c r="G23" s="51"/>
      <c r="H23" s="45" t="s">
        <v>18</v>
      </c>
      <c r="I23" s="52">
        <v>1623.94</v>
      </c>
      <c r="J23" s="52"/>
      <c r="K23" s="48" t="s">
        <v>13</v>
      </c>
      <c r="L23" s="49">
        <v>337431.3</v>
      </c>
    </row>
    <row r="24" spans="1:12" ht="71.400000000000006" x14ac:dyDescent="0.3">
      <c r="A24" s="43" t="s">
        <v>14</v>
      </c>
      <c r="B24" s="44" t="s">
        <v>276</v>
      </c>
      <c r="C24" s="44" t="s">
        <v>277</v>
      </c>
      <c r="D24" s="44" t="s">
        <v>271</v>
      </c>
      <c r="E24" s="45" t="s">
        <v>40</v>
      </c>
      <c r="F24" s="51" t="s">
        <v>20</v>
      </c>
      <c r="G24" s="51"/>
      <c r="H24" s="45" t="s">
        <v>18</v>
      </c>
      <c r="I24" s="52">
        <v>10711.05</v>
      </c>
      <c r="J24" s="52"/>
      <c r="K24" s="48" t="s">
        <v>13</v>
      </c>
      <c r="L24" s="49">
        <v>326720.25</v>
      </c>
    </row>
    <row r="25" spans="1:12" ht="71.400000000000006" hidden="1" x14ac:dyDescent="0.3">
      <c r="A25" s="43" t="s">
        <v>91</v>
      </c>
      <c r="B25" s="44" t="s">
        <v>109</v>
      </c>
      <c r="C25" s="44" t="s">
        <v>110</v>
      </c>
      <c r="D25" s="44" t="s">
        <v>60</v>
      </c>
      <c r="E25" s="45" t="s">
        <v>18</v>
      </c>
      <c r="F25" s="50">
        <v>21168.57</v>
      </c>
      <c r="G25" s="50"/>
      <c r="H25" s="45" t="s">
        <v>18</v>
      </c>
      <c r="I25" s="47" t="s">
        <v>20</v>
      </c>
      <c r="J25" s="47"/>
      <c r="K25" s="48" t="s">
        <v>13</v>
      </c>
      <c r="L25" s="49">
        <v>347888.82</v>
      </c>
    </row>
    <row r="26" spans="1:12" ht="71.400000000000006" x14ac:dyDescent="0.3">
      <c r="A26" s="43" t="s">
        <v>290</v>
      </c>
      <c r="B26" s="44" t="s">
        <v>291</v>
      </c>
      <c r="C26" s="44" t="s">
        <v>277</v>
      </c>
      <c r="D26" s="44" t="s">
        <v>110</v>
      </c>
      <c r="E26" s="45" t="s">
        <v>40</v>
      </c>
      <c r="F26" s="51" t="s">
        <v>20</v>
      </c>
      <c r="G26" s="51"/>
      <c r="H26" s="45" t="s">
        <v>18</v>
      </c>
      <c r="I26" s="52">
        <v>21168.57</v>
      </c>
      <c r="J26" s="52"/>
      <c r="K26" s="48" t="s">
        <v>13</v>
      </c>
      <c r="L26" s="49">
        <v>326720.25</v>
      </c>
    </row>
    <row r="27" spans="1:12" ht="71.400000000000006" hidden="1" x14ac:dyDescent="0.3">
      <c r="A27" s="43" t="s">
        <v>261</v>
      </c>
      <c r="B27" s="44" t="s">
        <v>292</v>
      </c>
      <c r="C27" s="44" t="s">
        <v>110</v>
      </c>
      <c r="D27" s="44" t="s">
        <v>161</v>
      </c>
      <c r="E27" s="45" t="s">
        <v>18</v>
      </c>
      <c r="F27" s="50">
        <v>9688.0300000000007</v>
      </c>
      <c r="G27" s="50"/>
      <c r="H27" s="45" t="s">
        <v>18</v>
      </c>
      <c r="I27" s="47" t="s">
        <v>20</v>
      </c>
      <c r="J27" s="47"/>
      <c r="K27" s="48" t="s">
        <v>13</v>
      </c>
      <c r="L27" s="49">
        <v>336408.28</v>
      </c>
    </row>
    <row r="28" spans="1:12" ht="71.400000000000006" x14ac:dyDescent="0.3">
      <c r="A28" s="43" t="s">
        <v>46</v>
      </c>
      <c r="B28" s="44" t="s">
        <v>293</v>
      </c>
      <c r="C28" s="44" t="s">
        <v>294</v>
      </c>
      <c r="D28" s="44" t="s">
        <v>295</v>
      </c>
      <c r="E28" s="45" t="s">
        <v>40</v>
      </c>
      <c r="F28" s="51" t="s">
        <v>20</v>
      </c>
      <c r="G28" s="51"/>
      <c r="H28" s="45" t="s">
        <v>18</v>
      </c>
      <c r="I28" s="52">
        <v>5610.82</v>
      </c>
      <c r="J28" s="52"/>
      <c r="K28" s="48" t="s">
        <v>13</v>
      </c>
      <c r="L28" s="49">
        <v>330797.46000000002</v>
      </c>
    </row>
    <row r="29" spans="1:12" ht="71.400000000000006" x14ac:dyDescent="0.3">
      <c r="A29" s="43" t="s">
        <v>46</v>
      </c>
      <c r="B29" s="44" t="s">
        <v>293</v>
      </c>
      <c r="C29" s="44" t="s">
        <v>294</v>
      </c>
      <c r="D29" s="44" t="s">
        <v>296</v>
      </c>
      <c r="E29" s="45" t="s">
        <v>40</v>
      </c>
      <c r="F29" s="51" t="s">
        <v>20</v>
      </c>
      <c r="G29" s="51"/>
      <c r="H29" s="45" t="s">
        <v>18</v>
      </c>
      <c r="I29" s="52">
        <v>17366.97</v>
      </c>
      <c r="J29" s="52"/>
      <c r="K29" s="48" t="s">
        <v>13</v>
      </c>
      <c r="L29" s="49">
        <v>313430.49</v>
      </c>
    </row>
    <row r="30" spans="1:12" ht="81.599999999999994" x14ac:dyDescent="0.3">
      <c r="A30" s="43" t="s">
        <v>46</v>
      </c>
      <c r="B30" s="44" t="s">
        <v>293</v>
      </c>
      <c r="C30" s="44" t="s">
        <v>294</v>
      </c>
      <c r="D30" s="44" t="s">
        <v>279</v>
      </c>
      <c r="E30" s="45" t="s">
        <v>40</v>
      </c>
      <c r="F30" s="51" t="s">
        <v>20</v>
      </c>
      <c r="G30" s="51"/>
      <c r="H30" s="45" t="s">
        <v>18</v>
      </c>
      <c r="I30" s="52">
        <v>6532.79</v>
      </c>
      <c r="J30" s="52"/>
      <c r="K30" s="48" t="s">
        <v>13</v>
      </c>
      <c r="L30" s="49">
        <v>306897.7</v>
      </c>
    </row>
    <row r="31" spans="1:12" ht="71.400000000000006" x14ac:dyDescent="0.3">
      <c r="A31" s="43" t="s">
        <v>46</v>
      </c>
      <c r="B31" s="44" t="s">
        <v>293</v>
      </c>
      <c r="C31" s="44" t="s">
        <v>294</v>
      </c>
      <c r="D31" s="44" t="s">
        <v>280</v>
      </c>
      <c r="E31" s="45" t="s">
        <v>40</v>
      </c>
      <c r="F31" s="51" t="s">
        <v>20</v>
      </c>
      <c r="G31" s="51"/>
      <c r="H31" s="45" t="s">
        <v>18</v>
      </c>
      <c r="I31" s="53">
        <v>227.92</v>
      </c>
      <c r="J31" s="53"/>
      <c r="K31" s="48" t="s">
        <v>13</v>
      </c>
      <c r="L31" s="49">
        <v>306669.78000000003</v>
      </c>
    </row>
    <row r="32" spans="1:12" ht="71.400000000000006" x14ac:dyDescent="0.3">
      <c r="A32" s="43" t="s">
        <v>46</v>
      </c>
      <c r="B32" s="44" t="s">
        <v>293</v>
      </c>
      <c r="C32" s="44" t="s">
        <v>294</v>
      </c>
      <c r="D32" s="44" t="s">
        <v>297</v>
      </c>
      <c r="E32" s="45" t="s">
        <v>40</v>
      </c>
      <c r="F32" s="51" t="s">
        <v>20</v>
      </c>
      <c r="G32" s="51"/>
      <c r="H32" s="45" t="s">
        <v>18</v>
      </c>
      <c r="I32" s="52">
        <v>4493.21</v>
      </c>
      <c r="J32" s="52"/>
      <c r="K32" s="48" t="s">
        <v>13</v>
      </c>
      <c r="L32" s="49">
        <v>302176.57</v>
      </c>
    </row>
    <row r="33" spans="1:12" ht="71.400000000000006" x14ac:dyDescent="0.3">
      <c r="A33" s="43" t="s">
        <v>46</v>
      </c>
      <c r="B33" s="44" t="s">
        <v>293</v>
      </c>
      <c r="C33" s="44" t="s">
        <v>294</v>
      </c>
      <c r="D33" s="44" t="s">
        <v>281</v>
      </c>
      <c r="E33" s="45" t="s">
        <v>40</v>
      </c>
      <c r="F33" s="51" t="s">
        <v>20</v>
      </c>
      <c r="G33" s="51"/>
      <c r="H33" s="45" t="s">
        <v>18</v>
      </c>
      <c r="I33" s="52">
        <v>155439.82999999999</v>
      </c>
      <c r="J33" s="52"/>
      <c r="K33" s="48" t="s">
        <v>13</v>
      </c>
      <c r="L33" s="49">
        <v>146736.74</v>
      </c>
    </row>
    <row r="34" spans="1:12" ht="71.400000000000006" x14ac:dyDescent="0.3">
      <c r="A34" s="43" t="s">
        <v>46</v>
      </c>
      <c r="B34" s="44" t="s">
        <v>293</v>
      </c>
      <c r="C34" s="44" t="s">
        <v>294</v>
      </c>
      <c r="D34" s="44" t="s">
        <v>110</v>
      </c>
      <c r="E34" s="45" t="s">
        <v>40</v>
      </c>
      <c r="F34" s="51" t="s">
        <v>20</v>
      </c>
      <c r="G34" s="51"/>
      <c r="H34" s="45" t="s">
        <v>18</v>
      </c>
      <c r="I34" s="52">
        <v>9688.0300000000007</v>
      </c>
      <c r="J34" s="52"/>
      <c r="K34" s="48" t="s">
        <v>13</v>
      </c>
      <c r="L34" s="49">
        <v>137048.71</v>
      </c>
    </row>
    <row r="35" spans="1:12" ht="81.599999999999994" x14ac:dyDescent="0.3">
      <c r="A35" s="43" t="s">
        <v>46</v>
      </c>
      <c r="B35" s="44" t="s">
        <v>293</v>
      </c>
      <c r="C35" s="44" t="s">
        <v>294</v>
      </c>
      <c r="D35" s="44" t="s">
        <v>289</v>
      </c>
      <c r="E35" s="45" t="s">
        <v>40</v>
      </c>
      <c r="F35" s="51" t="s">
        <v>20</v>
      </c>
      <c r="G35" s="51"/>
      <c r="H35" s="45" t="s">
        <v>18</v>
      </c>
      <c r="I35" s="52">
        <v>4045.61</v>
      </c>
      <c r="J35" s="52"/>
      <c r="K35" s="48" t="s">
        <v>13</v>
      </c>
      <c r="L35" s="49">
        <v>133003.1</v>
      </c>
    </row>
    <row r="36" spans="1:12" ht="81.599999999999994" x14ac:dyDescent="0.3">
      <c r="A36" s="43" t="s">
        <v>46</v>
      </c>
      <c r="B36" s="44" t="s">
        <v>293</v>
      </c>
      <c r="C36" s="44" t="s">
        <v>294</v>
      </c>
      <c r="D36" s="44" t="s">
        <v>286</v>
      </c>
      <c r="E36" s="45" t="s">
        <v>40</v>
      </c>
      <c r="F36" s="51" t="s">
        <v>20</v>
      </c>
      <c r="G36" s="51"/>
      <c r="H36" s="45" t="s">
        <v>18</v>
      </c>
      <c r="I36" s="52">
        <v>80515.259999999995</v>
      </c>
      <c r="J36" s="52"/>
      <c r="K36" s="48" t="s">
        <v>13</v>
      </c>
      <c r="L36" s="49">
        <v>52487.839999999997</v>
      </c>
    </row>
    <row r="37" spans="1:12" ht="81.599999999999994" hidden="1" x14ac:dyDescent="0.3">
      <c r="A37" s="43" t="s">
        <v>46</v>
      </c>
      <c r="B37" s="44" t="s">
        <v>298</v>
      </c>
      <c r="C37" s="44" t="s">
        <v>294</v>
      </c>
      <c r="D37" s="44" t="s">
        <v>279</v>
      </c>
      <c r="E37" s="45" t="s">
        <v>40</v>
      </c>
      <c r="F37" s="51" t="s">
        <v>20</v>
      </c>
      <c r="G37" s="51"/>
      <c r="H37" s="45" t="s">
        <v>18</v>
      </c>
      <c r="I37" s="53">
        <v>0.01</v>
      </c>
      <c r="J37" s="53"/>
      <c r="K37" s="48" t="s">
        <v>13</v>
      </c>
      <c r="L37" s="49">
        <v>52487.83</v>
      </c>
    </row>
    <row r="38" spans="1:12" ht="81.599999999999994" hidden="1" x14ac:dyDescent="0.3">
      <c r="A38" s="43" t="s">
        <v>46</v>
      </c>
      <c r="B38" s="44" t="s">
        <v>298</v>
      </c>
      <c r="C38" s="44" t="s">
        <v>277</v>
      </c>
      <c r="D38" s="44" t="s">
        <v>279</v>
      </c>
      <c r="E38" s="45" t="s">
        <v>40</v>
      </c>
      <c r="F38" s="51" t="s">
        <v>20</v>
      </c>
      <c r="G38" s="51"/>
      <c r="H38" s="45" t="s">
        <v>18</v>
      </c>
      <c r="I38" s="54">
        <v>-0.01</v>
      </c>
      <c r="J38" s="54"/>
      <c r="K38" s="48" t="s">
        <v>13</v>
      </c>
      <c r="L38" s="49">
        <v>52487.839999999997</v>
      </c>
    </row>
    <row r="39" spans="1:12" hidden="1" x14ac:dyDescent="0.3">
      <c r="A39" s="55" t="s">
        <v>49</v>
      </c>
      <c r="B39" s="55"/>
      <c r="C39" s="55"/>
      <c r="D39" s="55"/>
      <c r="E39" s="56">
        <v>54207.55</v>
      </c>
      <c r="F39" s="56"/>
      <c r="G39" s="56"/>
      <c r="H39" s="56">
        <v>812182.07</v>
      </c>
      <c r="I39" s="56"/>
      <c r="J39" s="56"/>
      <c r="K39" s="57" t="s">
        <v>13</v>
      </c>
      <c r="L39" s="58">
        <v>52487.839999999997</v>
      </c>
    </row>
    <row r="41" spans="1:12" x14ac:dyDescent="0.3">
      <c r="J41" s="88">
        <f>SUBTOTAL(9,I8:J36)</f>
        <v>779993.05</v>
      </c>
    </row>
  </sheetData>
  <autoFilter ref="A1:L39" xr:uid="{9B33C0B2-C2F0-46BE-AF49-559BEB72D76B}">
    <filterColumn colId="1">
      <filters>
        <filter val="Вимога-накладна ІБ00-000262 від 01.04.2025 18:04:19_x000a_Списаны ТМЦ"/>
        <filter val="Вимога-накладна ІБ00-000264 від 09.04.2025 23:59:21_x000a_Списаны ТМЦ"/>
        <filter val="Вимога-накладна ІБ00-000303 від 30.04.2025 18:55:21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84">
    <mergeCell ref="F37:G37"/>
    <mergeCell ref="I37:J37"/>
    <mergeCell ref="F38:G38"/>
    <mergeCell ref="I38:J38"/>
    <mergeCell ref="A39:D39"/>
    <mergeCell ref="E39:G39"/>
    <mergeCell ref="H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7BD0F-87A3-4F4D-88B2-827A15016111}">
  <dimension ref="A1:L43"/>
  <sheetViews>
    <sheetView topLeftCell="A37" workbookViewId="0">
      <selection sqref="A1:XFD1048576"/>
    </sheetView>
  </sheetViews>
  <sheetFormatPr defaultRowHeight="14.4" x14ac:dyDescent="0.3"/>
  <cols>
    <col min="1" max="1" width="8.88671875" style="94"/>
    <col min="2" max="4" width="24.88671875" style="94" customWidth="1"/>
    <col min="5" max="11" width="8.88671875" style="94"/>
    <col min="12" max="12" width="11.6640625" style="94" bestFit="1" customWidth="1"/>
    <col min="13" max="16384" width="8.88671875" style="94"/>
  </cols>
  <sheetData>
    <row r="1" spans="1:12" x14ac:dyDescent="0.3">
      <c r="A1" s="118" t="s">
        <v>5</v>
      </c>
      <c r="B1" s="119" t="s">
        <v>6</v>
      </c>
      <c r="C1" s="119" t="s">
        <v>7</v>
      </c>
      <c r="D1" s="120" t="s">
        <v>8</v>
      </c>
      <c r="E1" s="121" t="s">
        <v>9</v>
      </c>
      <c r="F1" s="121"/>
      <c r="G1" s="121"/>
      <c r="H1" s="122" t="s">
        <v>10</v>
      </c>
      <c r="I1" s="122"/>
      <c r="J1" s="122"/>
      <c r="K1" s="119" t="s">
        <v>11</v>
      </c>
      <c r="L1" s="119"/>
    </row>
    <row r="2" spans="1:12" x14ac:dyDescent="0.3">
      <c r="A2" s="123"/>
      <c r="B2" s="124"/>
      <c r="C2" s="124"/>
      <c r="D2" s="125"/>
      <c r="E2" s="126" t="s">
        <v>12</v>
      </c>
      <c r="F2" s="127"/>
      <c r="G2" s="127"/>
      <c r="H2" s="128" t="s">
        <v>12</v>
      </c>
      <c r="I2" s="129"/>
      <c r="J2" s="129"/>
      <c r="K2" s="123"/>
      <c r="L2" s="130"/>
    </row>
    <row r="3" spans="1:12" ht="61.2" x14ac:dyDescent="0.3">
      <c r="A3" s="131" t="s">
        <v>146</v>
      </c>
      <c r="B3" s="132" t="s">
        <v>147</v>
      </c>
      <c r="C3" s="132" t="s">
        <v>148</v>
      </c>
      <c r="D3" s="132" t="s">
        <v>149</v>
      </c>
      <c r="E3" s="133" t="s">
        <v>18</v>
      </c>
      <c r="F3" s="134">
        <v>5698.67</v>
      </c>
      <c r="G3" s="134"/>
      <c r="H3" s="133" t="s">
        <v>18</v>
      </c>
      <c r="I3" s="135" t="s">
        <v>20</v>
      </c>
      <c r="J3" s="135"/>
      <c r="K3" s="136" t="s">
        <v>13</v>
      </c>
      <c r="L3" s="137">
        <v>5698.67</v>
      </c>
    </row>
    <row r="4" spans="1:12" ht="61.2" x14ac:dyDescent="0.3">
      <c r="A4" s="131" t="s">
        <v>146</v>
      </c>
      <c r="B4" s="132" t="s">
        <v>147</v>
      </c>
      <c r="C4" s="132" t="s">
        <v>150</v>
      </c>
      <c r="D4" s="132" t="s">
        <v>98</v>
      </c>
      <c r="E4" s="133" t="s">
        <v>18</v>
      </c>
      <c r="F4" s="134">
        <v>13807.71</v>
      </c>
      <c r="G4" s="134"/>
      <c r="H4" s="133" t="s">
        <v>18</v>
      </c>
      <c r="I4" s="135" t="s">
        <v>20</v>
      </c>
      <c r="J4" s="135"/>
      <c r="K4" s="136" t="s">
        <v>13</v>
      </c>
      <c r="L4" s="137">
        <v>19506.38</v>
      </c>
    </row>
    <row r="5" spans="1:12" ht="71.400000000000006" x14ac:dyDescent="0.3">
      <c r="A5" s="131" t="s">
        <v>146</v>
      </c>
      <c r="B5" s="132" t="s">
        <v>147</v>
      </c>
      <c r="C5" s="132" t="s">
        <v>151</v>
      </c>
      <c r="D5" s="132" t="s">
        <v>99</v>
      </c>
      <c r="E5" s="133" t="s">
        <v>18</v>
      </c>
      <c r="F5" s="134">
        <v>93672</v>
      </c>
      <c r="G5" s="134"/>
      <c r="H5" s="133" t="s">
        <v>18</v>
      </c>
      <c r="I5" s="135" t="s">
        <v>20</v>
      </c>
      <c r="J5" s="135"/>
      <c r="K5" s="136" t="s">
        <v>13</v>
      </c>
      <c r="L5" s="137">
        <v>113178.38</v>
      </c>
    </row>
    <row r="6" spans="1:12" ht="61.2" x14ac:dyDescent="0.3">
      <c r="A6" s="131" t="s">
        <v>146</v>
      </c>
      <c r="B6" s="132" t="s">
        <v>147</v>
      </c>
      <c r="C6" s="132" t="s">
        <v>152</v>
      </c>
      <c r="D6" s="132" t="s">
        <v>77</v>
      </c>
      <c r="E6" s="133" t="s">
        <v>18</v>
      </c>
      <c r="F6" s="134">
        <v>204589.62</v>
      </c>
      <c r="G6" s="134"/>
      <c r="H6" s="133" t="s">
        <v>18</v>
      </c>
      <c r="I6" s="135" t="s">
        <v>20</v>
      </c>
      <c r="J6" s="135"/>
      <c r="K6" s="136" t="s">
        <v>13</v>
      </c>
      <c r="L6" s="137">
        <v>317768</v>
      </c>
    </row>
    <row r="7" spans="1:12" ht="61.2" x14ac:dyDescent="0.3">
      <c r="A7" s="131" t="s">
        <v>146</v>
      </c>
      <c r="B7" s="132" t="s">
        <v>147</v>
      </c>
      <c r="C7" s="132" t="s">
        <v>153</v>
      </c>
      <c r="D7" s="132" t="s">
        <v>95</v>
      </c>
      <c r="E7" s="133" t="s">
        <v>18</v>
      </c>
      <c r="F7" s="134">
        <v>1701.29</v>
      </c>
      <c r="G7" s="134"/>
      <c r="H7" s="133" t="s">
        <v>18</v>
      </c>
      <c r="I7" s="135" t="s">
        <v>20</v>
      </c>
      <c r="J7" s="135"/>
      <c r="K7" s="136" t="s">
        <v>13</v>
      </c>
      <c r="L7" s="137">
        <v>319469.28999999998</v>
      </c>
    </row>
    <row r="8" spans="1:12" ht="61.2" x14ac:dyDescent="0.3">
      <c r="A8" s="131" t="s">
        <v>146</v>
      </c>
      <c r="B8" s="132" t="s">
        <v>147</v>
      </c>
      <c r="C8" s="132" t="s">
        <v>154</v>
      </c>
      <c r="D8" s="132" t="s">
        <v>96</v>
      </c>
      <c r="E8" s="133" t="s">
        <v>18</v>
      </c>
      <c r="F8" s="134">
        <v>9109.82</v>
      </c>
      <c r="G8" s="134"/>
      <c r="H8" s="133" t="s">
        <v>18</v>
      </c>
      <c r="I8" s="135" t="s">
        <v>20</v>
      </c>
      <c r="J8" s="135"/>
      <c r="K8" s="136" t="s">
        <v>13</v>
      </c>
      <c r="L8" s="137">
        <v>328579.11</v>
      </c>
    </row>
    <row r="9" spans="1:12" ht="61.2" x14ac:dyDescent="0.3">
      <c r="A9" s="131" t="s">
        <v>146</v>
      </c>
      <c r="B9" s="132" t="s">
        <v>147</v>
      </c>
      <c r="C9" s="132" t="s">
        <v>155</v>
      </c>
      <c r="D9" s="132" t="s">
        <v>144</v>
      </c>
      <c r="E9" s="133" t="s">
        <v>18</v>
      </c>
      <c r="F9" s="134">
        <v>8966.27</v>
      </c>
      <c r="G9" s="134"/>
      <c r="H9" s="133" t="s">
        <v>18</v>
      </c>
      <c r="I9" s="135" t="s">
        <v>20</v>
      </c>
      <c r="J9" s="135"/>
      <c r="K9" s="136" t="s">
        <v>13</v>
      </c>
      <c r="L9" s="137">
        <v>337545.38</v>
      </c>
    </row>
    <row r="10" spans="1:12" ht="61.2" x14ac:dyDescent="0.3">
      <c r="A10" s="131" t="s">
        <v>146</v>
      </c>
      <c r="B10" s="132" t="s">
        <v>147</v>
      </c>
      <c r="C10" s="132" t="s">
        <v>156</v>
      </c>
      <c r="D10" s="132" t="s">
        <v>157</v>
      </c>
      <c r="E10" s="133" t="s">
        <v>18</v>
      </c>
      <c r="F10" s="138">
        <v>904.55</v>
      </c>
      <c r="G10" s="138"/>
      <c r="H10" s="133" t="s">
        <v>18</v>
      </c>
      <c r="I10" s="135" t="s">
        <v>20</v>
      </c>
      <c r="J10" s="135"/>
      <c r="K10" s="136" t="s">
        <v>13</v>
      </c>
      <c r="L10" s="137">
        <v>338449.93</v>
      </c>
    </row>
    <row r="11" spans="1:12" ht="61.2" x14ac:dyDescent="0.3">
      <c r="A11" s="131" t="s">
        <v>146</v>
      </c>
      <c r="B11" s="132" t="s">
        <v>147</v>
      </c>
      <c r="C11" s="132" t="s">
        <v>158</v>
      </c>
      <c r="D11" s="132" t="s">
        <v>59</v>
      </c>
      <c r="E11" s="133" t="s">
        <v>18</v>
      </c>
      <c r="F11" s="134">
        <v>65724.990000000005</v>
      </c>
      <c r="G11" s="134"/>
      <c r="H11" s="133" t="s">
        <v>18</v>
      </c>
      <c r="I11" s="135" t="s">
        <v>20</v>
      </c>
      <c r="J11" s="135"/>
      <c r="K11" s="136" t="s">
        <v>13</v>
      </c>
      <c r="L11" s="137">
        <v>404174.92</v>
      </c>
    </row>
    <row r="12" spans="1:12" ht="61.2" x14ac:dyDescent="0.3">
      <c r="A12" s="131" t="s">
        <v>146</v>
      </c>
      <c r="B12" s="132" t="s">
        <v>147</v>
      </c>
      <c r="C12" s="132" t="s">
        <v>159</v>
      </c>
      <c r="D12" s="132" t="s">
        <v>73</v>
      </c>
      <c r="E12" s="133" t="s">
        <v>18</v>
      </c>
      <c r="F12" s="134">
        <v>117050.95</v>
      </c>
      <c r="G12" s="134"/>
      <c r="H12" s="133" t="s">
        <v>18</v>
      </c>
      <c r="I12" s="135" t="s">
        <v>20</v>
      </c>
      <c r="J12" s="135"/>
      <c r="K12" s="136" t="s">
        <v>13</v>
      </c>
      <c r="L12" s="137">
        <v>521225.87</v>
      </c>
    </row>
    <row r="13" spans="1:12" ht="61.2" x14ac:dyDescent="0.3">
      <c r="A13" s="131" t="s">
        <v>146</v>
      </c>
      <c r="B13" s="132" t="s">
        <v>147</v>
      </c>
      <c r="C13" s="132" t="s">
        <v>160</v>
      </c>
      <c r="D13" s="132" t="s">
        <v>133</v>
      </c>
      <c r="E13" s="133" t="s">
        <v>18</v>
      </c>
      <c r="F13" s="134">
        <v>82944.36</v>
      </c>
      <c r="G13" s="134"/>
      <c r="H13" s="133" t="s">
        <v>18</v>
      </c>
      <c r="I13" s="135" t="s">
        <v>20</v>
      </c>
      <c r="J13" s="135"/>
      <c r="K13" s="136" t="s">
        <v>13</v>
      </c>
      <c r="L13" s="137">
        <v>604170.23</v>
      </c>
    </row>
    <row r="14" spans="1:12" ht="61.2" x14ac:dyDescent="0.3">
      <c r="A14" s="131" t="s">
        <v>146</v>
      </c>
      <c r="B14" s="132" t="s">
        <v>147</v>
      </c>
      <c r="C14" s="132" t="s">
        <v>161</v>
      </c>
      <c r="D14" s="132" t="s">
        <v>60</v>
      </c>
      <c r="E14" s="133" t="s">
        <v>18</v>
      </c>
      <c r="F14" s="134">
        <v>19845.53</v>
      </c>
      <c r="G14" s="134"/>
      <c r="H14" s="133" t="s">
        <v>18</v>
      </c>
      <c r="I14" s="135" t="s">
        <v>20</v>
      </c>
      <c r="J14" s="135"/>
      <c r="K14" s="136" t="s">
        <v>13</v>
      </c>
      <c r="L14" s="137">
        <v>624015.76</v>
      </c>
    </row>
    <row r="15" spans="1:12" ht="61.2" x14ac:dyDescent="0.3">
      <c r="A15" s="131" t="s">
        <v>146</v>
      </c>
      <c r="B15" s="132" t="s">
        <v>147</v>
      </c>
      <c r="C15" s="132" t="s">
        <v>162</v>
      </c>
      <c r="D15" s="132" t="s">
        <v>61</v>
      </c>
      <c r="E15" s="133" t="s">
        <v>18</v>
      </c>
      <c r="F15" s="134">
        <v>141765.60999999999</v>
      </c>
      <c r="G15" s="134"/>
      <c r="H15" s="133" t="s">
        <v>18</v>
      </c>
      <c r="I15" s="135" t="s">
        <v>20</v>
      </c>
      <c r="J15" s="135"/>
      <c r="K15" s="136" t="s">
        <v>13</v>
      </c>
      <c r="L15" s="137">
        <v>765781.37</v>
      </c>
    </row>
    <row r="16" spans="1:12" ht="61.2" x14ac:dyDescent="0.3">
      <c r="A16" s="131" t="s">
        <v>146</v>
      </c>
      <c r="B16" s="132" t="s">
        <v>147</v>
      </c>
      <c r="C16" s="132" t="s">
        <v>163</v>
      </c>
      <c r="D16" s="132" t="s">
        <v>52</v>
      </c>
      <c r="E16" s="133" t="s">
        <v>18</v>
      </c>
      <c r="F16" s="134">
        <v>6995.19</v>
      </c>
      <c r="G16" s="134"/>
      <c r="H16" s="133" t="s">
        <v>18</v>
      </c>
      <c r="I16" s="135" t="s">
        <v>20</v>
      </c>
      <c r="J16" s="135"/>
      <c r="K16" s="136" t="s">
        <v>13</v>
      </c>
      <c r="L16" s="137">
        <v>772776.56</v>
      </c>
    </row>
    <row r="17" spans="1:12" ht="61.2" x14ac:dyDescent="0.3">
      <c r="A17" s="131" t="s">
        <v>146</v>
      </c>
      <c r="B17" s="132" t="s">
        <v>147</v>
      </c>
      <c r="C17" s="132" t="s">
        <v>164</v>
      </c>
      <c r="D17" s="132" t="s">
        <v>62</v>
      </c>
      <c r="E17" s="133" t="s">
        <v>18</v>
      </c>
      <c r="F17" s="134">
        <v>120980.03</v>
      </c>
      <c r="G17" s="134"/>
      <c r="H17" s="133" t="s">
        <v>18</v>
      </c>
      <c r="I17" s="135" t="s">
        <v>20</v>
      </c>
      <c r="J17" s="135"/>
      <c r="K17" s="136" t="s">
        <v>13</v>
      </c>
      <c r="L17" s="137">
        <v>893756.59</v>
      </c>
    </row>
    <row r="18" spans="1:12" ht="71.400000000000006" x14ac:dyDescent="0.3">
      <c r="A18" s="131" t="s">
        <v>146</v>
      </c>
      <c r="B18" s="132" t="s">
        <v>147</v>
      </c>
      <c r="C18" s="132" t="s">
        <v>165</v>
      </c>
      <c r="D18" s="132" t="s">
        <v>88</v>
      </c>
      <c r="E18" s="133" t="s">
        <v>18</v>
      </c>
      <c r="F18" s="134">
        <v>1232.29</v>
      </c>
      <c r="G18" s="134"/>
      <c r="H18" s="133" t="s">
        <v>18</v>
      </c>
      <c r="I18" s="135" t="s">
        <v>20</v>
      </c>
      <c r="J18" s="135"/>
      <c r="K18" s="136" t="s">
        <v>13</v>
      </c>
      <c r="L18" s="137">
        <v>894988.88</v>
      </c>
    </row>
    <row r="19" spans="1:12" ht="61.2" x14ac:dyDescent="0.3">
      <c r="A19" s="131" t="s">
        <v>146</v>
      </c>
      <c r="B19" s="132" t="s">
        <v>147</v>
      </c>
      <c r="C19" s="132" t="s">
        <v>166</v>
      </c>
      <c r="D19" s="132" t="s">
        <v>123</v>
      </c>
      <c r="E19" s="133" t="s">
        <v>18</v>
      </c>
      <c r="F19" s="134">
        <v>6851.22</v>
      </c>
      <c r="G19" s="134"/>
      <c r="H19" s="133" t="s">
        <v>18</v>
      </c>
      <c r="I19" s="135" t="s">
        <v>20</v>
      </c>
      <c r="J19" s="135"/>
      <c r="K19" s="136" t="s">
        <v>13</v>
      </c>
      <c r="L19" s="137">
        <v>901840.1</v>
      </c>
    </row>
    <row r="20" spans="1:12" ht="71.400000000000006" x14ac:dyDescent="0.3">
      <c r="A20" s="131" t="s">
        <v>146</v>
      </c>
      <c r="B20" s="132" t="s">
        <v>147</v>
      </c>
      <c r="C20" s="132" t="s">
        <v>167</v>
      </c>
      <c r="D20" s="132" t="s">
        <v>84</v>
      </c>
      <c r="E20" s="133" t="s">
        <v>18</v>
      </c>
      <c r="F20" s="134">
        <v>144158.9</v>
      </c>
      <c r="G20" s="134"/>
      <c r="H20" s="133" t="s">
        <v>18</v>
      </c>
      <c r="I20" s="135" t="s">
        <v>20</v>
      </c>
      <c r="J20" s="135"/>
      <c r="K20" s="136" t="s">
        <v>13</v>
      </c>
      <c r="L20" s="137">
        <v>1045999</v>
      </c>
    </row>
    <row r="21" spans="1:12" ht="71.400000000000006" x14ac:dyDescent="0.3">
      <c r="A21" s="131" t="s">
        <v>146</v>
      </c>
      <c r="B21" s="132" t="s">
        <v>147</v>
      </c>
      <c r="C21" s="132" t="s">
        <v>168</v>
      </c>
      <c r="D21" s="132" t="s">
        <v>114</v>
      </c>
      <c r="E21" s="133" t="s">
        <v>18</v>
      </c>
      <c r="F21" s="134">
        <v>62589.1</v>
      </c>
      <c r="G21" s="134"/>
      <c r="H21" s="133" t="s">
        <v>18</v>
      </c>
      <c r="I21" s="135" t="s">
        <v>20</v>
      </c>
      <c r="J21" s="135"/>
      <c r="K21" s="136" t="s">
        <v>13</v>
      </c>
      <c r="L21" s="137">
        <v>1108588.1000000001</v>
      </c>
    </row>
    <row r="22" spans="1:12" ht="61.2" x14ac:dyDescent="0.3">
      <c r="A22" s="131" t="s">
        <v>146</v>
      </c>
      <c r="B22" s="132" t="s">
        <v>147</v>
      </c>
      <c r="C22" s="132" t="s">
        <v>169</v>
      </c>
      <c r="D22" s="132" t="s">
        <v>64</v>
      </c>
      <c r="E22" s="133" t="s">
        <v>18</v>
      </c>
      <c r="F22" s="134">
        <v>3037.82</v>
      </c>
      <c r="G22" s="134"/>
      <c r="H22" s="133" t="s">
        <v>18</v>
      </c>
      <c r="I22" s="135" t="s">
        <v>20</v>
      </c>
      <c r="J22" s="135"/>
      <c r="K22" s="136" t="s">
        <v>13</v>
      </c>
      <c r="L22" s="137">
        <v>1111625.92</v>
      </c>
    </row>
    <row r="23" spans="1:12" ht="61.2" x14ac:dyDescent="0.3">
      <c r="A23" s="131" t="s">
        <v>146</v>
      </c>
      <c r="B23" s="132" t="s">
        <v>147</v>
      </c>
      <c r="C23" s="132" t="s">
        <v>170</v>
      </c>
      <c r="D23" s="132" t="s">
        <v>78</v>
      </c>
      <c r="E23" s="133" t="s">
        <v>18</v>
      </c>
      <c r="F23" s="138">
        <v>289.31</v>
      </c>
      <c r="G23" s="138"/>
      <c r="H23" s="133" t="s">
        <v>18</v>
      </c>
      <c r="I23" s="135" t="s">
        <v>20</v>
      </c>
      <c r="J23" s="135"/>
      <c r="K23" s="136" t="s">
        <v>13</v>
      </c>
      <c r="L23" s="137">
        <v>1111915.23</v>
      </c>
    </row>
    <row r="24" spans="1:12" ht="61.2" x14ac:dyDescent="0.3">
      <c r="A24" s="131" t="s">
        <v>146</v>
      </c>
      <c r="B24" s="132" t="s">
        <v>147</v>
      </c>
      <c r="C24" s="132" t="s">
        <v>171</v>
      </c>
      <c r="D24" s="132" t="s">
        <v>63</v>
      </c>
      <c r="E24" s="133" t="s">
        <v>18</v>
      </c>
      <c r="F24" s="134">
        <v>5937.97</v>
      </c>
      <c r="G24" s="134"/>
      <c r="H24" s="133" t="s">
        <v>18</v>
      </c>
      <c r="I24" s="135" t="s">
        <v>20</v>
      </c>
      <c r="J24" s="135"/>
      <c r="K24" s="136" t="s">
        <v>13</v>
      </c>
      <c r="L24" s="137">
        <v>1117853.2</v>
      </c>
    </row>
    <row r="25" spans="1:12" ht="71.400000000000006" x14ac:dyDescent="0.3">
      <c r="A25" s="131" t="s">
        <v>146</v>
      </c>
      <c r="B25" s="132" t="s">
        <v>147</v>
      </c>
      <c r="C25" s="132" t="s">
        <v>172</v>
      </c>
      <c r="D25" s="132" t="s">
        <v>65</v>
      </c>
      <c r="E25" s="133" t="s">
        <v>18</v>
      </c>
      <c r="F25" s="134">
        <v>6373.77</v>
      </c>
      <c r="G25" s="134"/>
      <c r="H25" s="133" t="s">
        <v>18</v>
      </c>
      <c r="I25" s="135" t="s">
        <v>20</v>
      </c>
      <c r="J25" s="135"/>
      <c r="K25" s="136" t="s">
        <v>13</v>
      </c>
      <c r="L25" s="137">
        <v>1124226.97</v>
      </c>
    </row>
    <row r="26" spans="1:12" ht="61.2" x14ac:dyDescent="0.3">
      <c r="A26" s="131" t="s">
        <v>146</v>
      </c>
      <c r="B26" s="132" t="s">
        <v>147</v>
      </c>
      <c r="C26" s="132" t="s">
        <v>173</v>
      </c>
      <c r="D26" s="132" t="s">
        <v>67</v>
      </c>
      <c r="E26" s="133" t="s">
        <v>18</v>
      </c>
      <c r="F26" s="134">
        <v>9151.2099999999991</v>
      </c>
      <c r="G26" s="134"/>
      <c r="H26" s="133" t="s">
        <v>18</v>
      </c>
      <c r="I26" s="135" t="s">
        <v>20</v>
      </c>
      <c r="J26" s="135"/>
      <c r="K26" s="136" t="s">
        <v>13</v>
      </c>
      <c r="L26" s="137">
        <v>1133378.18</v>
      </c>
    </row>
    <row r="27" spans="1:12" ht="71.400000000000006" x14ac:dyDescent="0.3">
      <c r="A27" s="131" t="s">
        <v>146</v>
      </c>
      <c r="B27" s="132" t="s">
        <v>147</v>
      </c>
      <c r="C27" s="132" t="s">
        <v>174</v>
      </c>
      <c r="D27" s="132" t="s">
        <v>66</v>
      </c>
      <c r="E27" s="133" t="s">
        <v>18</v>
      </c>
      <c r="F27" s="134">
        <v>1476</v>
      </c>
      <c r="G27" s="134"/>
      <c r="H27" s="133" t="s">
        <v>18</v>
      </c>
      <c r="I27" s="135" t="s">
        <v>20</v>
      </c>
      <c r="J27" s="135"/>
      <c r="K27" s="136" t="s">
        <v>13</v>
      </c>
      <c r="L27" s="137">
        <v>1134854.18</v>
      </c>
    </row>
    <row r="28" spans="1:12" ht="71.400000000000006" x14ac:dyDescent="0.3">
      <c r="A28" s="131" t="s">
        <v>146</v>
      </c>
      <c r="B28" s="132" t="s">
        <v>147</v>
      </c>
      <c r="C28" s="132" t="s">
        <v>175</v>
      </c>
      <c r="D28" s="132" t="s">
        <v>68</v>
      </c>
      <c r="E28" s="133" t="s">
        <v>18</v>
      </c>
      <c r="F28" s="134">
        <v>46051.27</v>
      </c>
      <c r="G28" s="134"/>
      <c r="H28" s="133" t="s">
        <v>18</v>
      </c>
      <c r="I28" s="135" t="s">
        <v>20</v>
      </c>
      <c r="J28" s="135"/>
      <c r="K28" s="136" t="s">
        <v>13</v>
      </c>
      <c r="L28" s="137">
        <v>1180905.45</v>
      </c>
    </row>
    <row r="29" spans="1:12" ht="61.2" x14ac:dyDescent="0.3">
      <c r="A29" s="131" t="s">
        <v>146</v>
      </c>
      <c r="B29" s="132" t="s">
        <v>147</v>
      </c>
      <c r="C29" s="132" t="s">
        <v>176</v>
      </c>
      <c r="D29" s="132" t="s">
        <v>69</v>
      </c>
      <c r="E29" s="133" t="s">
        <v>18</v>
      </c>
      <c r="F29" s="134">
        <v>65268.83</v>
      </c>
      <c r="G29" s="134"/>
      <c r="H29" s="133" t="s">
        <v>18</v>
      </c>
      <c r="I29" s="135" t="s">
        <v>20</v>
      </c>
      <c r="J29" s="135"/>
      <c r="K29" s="136" t="s">
        <v>13</v>
      </c>
      <c r="L29" s="137">
        <v>1246174.28</v>
      </c>
    </row>
    <row r="30" spans="1:12" ht="61.2" x14ac:dyDescent="0.3">
      <c r="A30" s="131" t="s">
        <v>146</v>
      </c>
      <c r="B30" s="132" t="s">
        <v>147</v>
      </c>
      <c r="C30" s="132" t="s">
        <v>177</v>
      </c>
      <c r="D30" s="132" t="s">
        <v>120</v>
      </c>
      <c r="E30" s="133" t="s">
        <v>18</v>
      </c>
      <c r="F30" s="134">
        <v>1915.37</v>
      </c>
      <c r="G30" s="134"/>
      <c r="H30" s="133" t="s">
        <v>18</v>
      </c>
      <c r="I30" s="135" t="s">
        <v>20</v>
      </c>
      <c r="J30" s="135"/>
      <c r="K30" s="136" t="s">
        <v>13</v>
      </c>
      <c r="L30" s="137">
        <v>1248089.6499999999</v>
      </c>
    </row>
    <row r="31" spans="1:12" ht="61.2" x14ac:dyDescent="0.3">
      <c r="A31" s="131" t="s">
        <v>146</v>
      </c>
      <c r="B31" s="132" t="s">
        <v>147</v>
      </c>
      <c r="C31" s="132" t="s">
        <v>178</v>
      </c>
      <c r="D31" s="132" t="s">
        <v>74</v>
      </c>
      <c r="E31" s="133" t="s">
        <v>18</v>
      </c>
      <c r="F31" s="134">
        <v>170284.47</v>
      </c>
      <c r="G31" s="134"/>
      <c r="H31" s="133" t="s">
        <v>18</v>
      </c>
      <c r="I31" s="135" t="s">
        <v>20</v>
      </c>
      <c r="J31" s="135"/>
      <c r="K31" s="136" t="s">
        <v>13</v>
      </c>
      <c r="L31" s="137">
        <v>1418374.12</v>
      </c>
    </row>
    <row r="32" spans="1:12" ht="71.400000000000006" x14ac:dyDescent="0.3">
      <c r="A32" s="131" t="s">
        <v>146</v>
      </c>
      <c r="B32" s="132" t="s">
        <v>147</v>
      </c>
      <c r="C32" s="132" t="s">
        <v>179</v>
      </c>
      <c r="D32" s="132" t="s">
        <v>80</v>
      </c>
      <c r="E32" s="133" t="s">
        <v>18</v>
      </c>
      <c r="F32" s="134">
        <v>5746.72</v>
      </c>
      <c r="G32" s="134"/>
      <c r="H32" s="133" t="s">
        <v>18</v>
      </c>
      <c r="I32" s="135" t="s">
        <v>20</v>
      </c>
      <c r="J32" s="135"/>
      <c r="K32" s="136" t="s">
        <v>13</v>
      </c>
      <c r="L32" s="137">
        <v>1424120.84</v>
      </c>
    </row>
    <row r="33" spans="1:12" ht="71.400000000000006" x14ac:dyDescent="0.3">
      <c r="A33" s="131" t="s">
        <v>146</v>
      </c>
      <c r="B33" s="132" t="s">
        <v>147</v>
      </c>
      <c r="C33" s="132" t="s">
        <v>180</v>
      </c>
      <c r="D33" s="132" t="s">
        <v>75</v>
      </c>
      <c r="E33" s="133" t="s">
        <v>18</v>
      </c>
      <c r="F33" s="134">
        <v>36900.01</v>
      </c>
      <c r="G33" s="134"/>
      <c r="H33" s="133" t="s">
        <v>18</v>
      </c>
      <c r="I33" s="135" t="s">
        <v>20</v>
      </c>
      <c r="J33" s="135"/>
      <c r="K33" s="136" t="s">
        <v>13</v>
      </c>
      <c r="L33" s="137">
        <v>1461020.85</v>
      </c>
    </row>
    <row r="34" spans="1:12" ht="71.400000000000006" x14ac:dyDescent="0.3">
      <c r="A34" s="131" t="s">
        <v>146</v>
      </c>
      <c r="B34" s="132" t="s">
        <v>147</v>
      </c>
      <c r="C34" s="132" t="s">
        <v>181</v>
      </c>
      <c r="D34" s="132" t="s">
        <v>113</v>
      </c>
      <c r="E34" s="133" t="s">
        <v>18</v>
      </c>
      <c r="F34" s="134">
        <v>1815.26</v>
      </c>
      <c r="G34" s="134"/>
      <c r="H34" s="133" t="s">
        <v>18</v>
      </c>
      <c r="I34" s="135" t="s">
        <v>20</v>
      </c>
      <c r="J34" s="135"/>
      <c r="K34" s="136" t="s">
        <v>13</v>
      </c>
      <c r="L34" s="137">
        <v>1462836.11</v>
      </c>
    </row>
    <row r="35" spans="1:12" ht="61.2" x14ac:dyDescent="0.3">
      <c r="A35" s="131" t="s">
        <v>146</v>
      </c>
      <c r="B35" s="132" t="s">
        <v>147</v>
      </c>
      <c r="C35" s="132" t="s">
        <v>182</v>
      </c>
      <c r="D35" s="132" t="s">
        <v>121</v>
      </c>
      <c r="E35" s="133" t="s">
        <v>18</v>
      </c>
      <c r="F35" s="134">
        <v>6412.97</v>
      </c>
      <c r="G35" s="134"/>
      <c r="H35" s="133" t="s">
        <v>18</v>
      </c>
      <c r="I35" s="135" t="s">
        <v>20</v>
      </c>
      <c r="J35" s="135"/>
      <c r="K35" s="136" t="s">
        <v>13</v>
      </c>
      <c r="L35" s="137">
        <v>1469249.08</v>
      </c>
    </row>
    <row r="36" spans="1:12" ht="61.2" x14ac:dyDescent="0.3">
      <c r="A36" s="131" t="s">
        <v>146</v>
      </c>
      <c r="B36" s="132" t="s">
        <v>147</v>
      </c>
      <c r="C36" s="132" t="s">
        <v>183</v>
      </c>
      <c r="D36" s="132" t="s">
        <v>136</v>
      </c>
      <c r="E36" s="133" t="s">
        <v>18</v>
      </c>
      <c r="F36" s="134">
        <v>2186.42</v>
      </c>
      <c r="G36" s="134"/>
      <c r="H36" s="133" t="s">
        <v>18</v>
      </c>
      <c r="I36" s="135" t="s">
        <v>20</v>
      </c>
      <c r="J36" s="135"/>
      <c r="K36" s="136" t="s">
        <v>13</v>
      </c>
      <c r="L36" s="137">
        <v>1471435.5</v>
      </c>
    </row>
    <row r="37" spans="1:12" ht="61.2" x14ac:dyDescent="0.3">
      <c r="A37" s="131" t="s">
        <v>261</v>
      </c>
      <c r="B37" s="132" t="s">
        <v>292</v>
      </c>
      <c r="C37" s="132" t="s">
        <v>110</v>
      </c>
      <c r="D37" s="132" t="s">
        <v>161</v>
      </c>
      <c r="E37" s="133" t="s">
        <v>18</v>
      </c>
      <c r="F37" s="139" t="s">
        <v>20</v>
      </c>
      <c r="G37" s="139"/>
      <c r="H37" s="133" t="s">
        <v>18</v>
      </c>
      <c r="I37" s="140">
        <v>9688.0300000000007</v>
      </c>
      <c r="J37" s="140"/>
      <c r="K37" s="136" t="s">
        <v>13</v>
      </c>
      <c r="L37" s="137">
        <v>1461747.47</v>
      </c>
    </row>
    <row r="38" spans="1:12" ht="61.2" x14ac:dyDescent="0.3">
      <c r="A38" s="131" t="s">
        <v>261</v>
      </c>
      <c r="B38" s="132" t="s">
        <v>299</v>
      </c>
      <c r="C38" s="132" t="s">
        <v>300</v>
      </c>
      <c r="D38" s="132" t="s">
        <v>301</v>
      </c>
      <c r="E38" s="133" t="s">
        <v>18</v>
      </c>
      <c r="F38" s="134">
        <v>4240.41</v>
      </c>
      <c r="G38" s="134"/>
      <c r="H38" s="133" t="s">
        <v>18</v>
      </c>
      <c r="I38" s="135" t="s">
        <v>20</v>
      </c>
      <c r="J38" s="135"/>
      <c r="K38" s="136" t="s">
        <v>13</v>
      </c>
      <c r="L38" s="137">
        <v>1465987.88</v>
      </c>
    </row>
    <row r="39" spans="1:12" ht="61.2" x14ac:dyDescent="0.3">
      <c r="A39" s="131" t="s">
        <v>46</v>
      </c>
      <c r="B39" s="132" t="s">
        <v>302</v>
      </c>
      <c r="C39" s="132" t="s">
        <v>303</v>
      </c>
      <c r="D39" s="132" t="s">
        <v>158</v>
      </c>
      <c r="E39" s="133" t="s">
        <v>18</v>
      </c>
      <c r="F39" s="139" t="s">
        <v>20</v>
      </c>
      <c r="G39" s="139"/>
      <c r="H39" s="133" t="s">
        <v>18</v>
      </c>
      <c r="I39" s="140">
        <v>32307.67</v>
      </c>
      <c r="J39" s="140"/>
      <c r="K39" s="136" t="s">
        <v>13</v>
      </c>
      <c r="L39" s="137">
        <v>1433680.21</v>
      </c>
    </row>
    <row r="40" spans="1:12" ht="71.400000000000006" x14ac:dyDescent="0.3">
      <c r="A40" s="131" t="s">
        <v>46</v>
      </c>
      <c r="B40" s="132" t="s">
        <v>264</v>
      </c>
      <c r="C40" s="132" t="s">
        <v>175</v>
      </c>
      <c r="D40" s="132" t="s">
        <v>68</v>
      </c>
      <c r="E40" s="133" t="s">
        <v>18</v>
      </c>
      <c r="F40" s="138">
        <v>0.01</v>
      </c>
      <c r="G40" s="138"/>
      <c r="H40" s="133" t="s">
        <v>18</v>
      </c>
      <c r="I40" s="135" t="s">
        <v>20</v>
      </c>
      <c r="J40" s="135"/>
      <c r="K40" s="136" t="s">
        <v>13</v>
      </c>
      <c r="L40" s="137">
        <v>1433680.22</v>
      </c>
    </row>
    <row r="41" spans="1:12" ht="61.2" x14ac:dyDescent="0.3">
      <c r="A41" s="131" t="s">
        <v>46</v>
      </c>
      <c r="B41" s="132" t="s">
        <v>264</v>
      </c>
      <c r="C41" s="132" t="s">
        <v>162</v>
      </c>
      <c r="D41" s="132" t="s">
        <v>61</v>
      </c>
      <c r="E41" s="133" t="s">
        <v>18</v>
      </c>
      <c r="F41" s="138">
        <v>-0.01</v>
      </c>
      <c r="G41" s="138"/>
      <c r="H41" s="133" t="s">
        <v>18</v>
      </c>
      <c r="I41" s="135" t="s">
        <v>20</v>
      </c>
      <c r="J41" s="135"/>
      <c r="K41" s="136" t="s">
        <v>13</v>
      </c>
      <c r="L41" s="137">
        <v>1433680.21</v>
      </c>
    </row>
    <row r="42" spans="1:12" ht="61.2" x14ac:dyDescent="0.3">
      <c r="A42" s="131" t="s">
        <v>46</v>
      </c>
      <c r="B42" s="132" t="s">
        <v>264</v>
      </c>
      <c r="C42" s="132" t="s">
        <v>178</v>
      </c>
      <c r="D42" s="132" t="s">
        <v>74</v>
      </c>
      <c r="E42" s="133" t="s">
        <v>18</v>
      </c>
      <c r="F42" s="138">
        <v>0.01</v>
      </c>
      <c r="G42" s="138"/>
      <c r="H42" s="133" t="s">
        <v>18</v>
      </c>
      <c r="I42" s="135" t="s">
        <v>20</v>
      </c>
      <c r="J42" s="135"/>
      <c r="K42" s="136" t="s">
        <v>13</v>
      </c>
      <c r="L42" s="137">
        <v>1433680.22</v>
      </c>
    </row>
    <row r="43" spans="1:12" x14ac:dyDescent="0.3">
      <c r="A43" s="141" t="s">
        <v>49</v>
      </c>
      <c r="B43" s="141"/>
      <c r="C43" s="141"/>
      <c r="D43" s="141"/>
      <c r="E43" s="142">
        <v>1475675.92</v>
      </c>
      <c r="F43" s="142"/>
      <c r="G43" s="142"/>
      <c r="H43" s="142">
        <v>41995.7</v>
      </c>
      <c r="I43" s="142"/>
      <c r="J43" s="142"/>
      <c r="K43" s="143" t="s">
        <v>13</v>
      </c>
      <c r="L43" s="144">
        <v>1433680.22</v>
      </c>
    </row>
  </sheetData>
  <autoFilter ref="A1:L2" xr:uid="{60A480AA-1AEF-4417-97F8-6770C5DAE5DC}">
    <filterColumn colId="4" showButton="0"/>
    <filterColumn colId="5" showButton="0"/>
    <filterColumn colId="7" showButton="0"/>
    <filterColumn colId="8" showButton="0"/>
    <filterColumn colId="10" showButton="0"/>
  </autoFilter>
  <mergeCells count="92">
    <mergeCell ref="A43:D43"/>
    <mergeCell ref="E43:G43"/>
    <mergeCell ref="H43:J43"/>
    <mergeCell ref="F40:G40"/>
    <mergeCell ref="I40:J40"/>
    <mergeCell ref="F41:G41"/>
    <mergeCell ref="I41:J41"/>
    <mergeCell ref="F42:G42"/>
    <mergeCell ref="I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7B40-74E7-4571-AFBF-7601D8607949}">
  <sheetPr filterMode="1"/>
  <dimension ref="A1:L44"/>
  <sheetViews>
    <sheetView topLeftCell="A30" workbookViewId="0">
      <selection activeCell="J44" sqref="J44"/>
    </sheetView>
  </sheetViews>
  <sheetFormatPr defaultRowHeight="14.4" x14ac:dyDescent="0.3"/>
  <cols>
    <col min="2" max="4" width="21.6640625" customWidth="1"/>
    <col min="10" max="10" width="9.88671875" bestFit="1" customWidth="1"/>
  </cols>
  <sheetData>
    <row r="1" spans="1:12" x14ac:dyDescent="0.3">
      <c r="A1" s="59" t="s">
        <v>5</v>
      </c>
      <c r="B1" s="60" t="s">
        <v>6</v>
      </c>
      <c r="C1" s="60" t="s">
        <v>7</v>
      </c>
      <c r="D1" s="61" t="s">
        <v>8</v>
      </c>
      <c r="E1" s="62" t="s">
        <v>9</v>
      </c>
      <c r="F1" s="62"/>
      <c r="G1" s="62"/>
      <c r="H1" s="63" t="s">
        <v>10</v>
      </c>
      <c r="I1" s="63"/>
      <c r="J1" s="63"/>
      <c r="K1" s="60" t="s">
        <v>11</v>
      </c>
      <c r="L1" s="60"/>
    </row>
    <row r="2" spans="1:12" hidden="1" x14ac:dyDescent="0.3">
      <c r="A2" s="64"/>
      <c r="B2" s="65"/>
      <c r="C2" s="65"/>
      <c r="D2" s="66"/>
      <c r="E2" s="67" t="s">
        <v>12</v>
      </c>
      <c r="F2" s="68"/>
      <c r="G2" s="68"/>
      <c r="H2" s="69" t="s">
        <v>12</v>
      </c>
      <c r="I2" s="70"/>
      <c r="J2" s="70"/>
      <c r="K2" s="64"/>
      <c r="L2" s="71"/>
    </row>
    <row r="3" spans="1:12" ht="81.599999999999994" hidden="1" x14ac:dyDescent="0.3">
      <c r="A3" s="72" t="s">
        <v>14</v>
      </c>
      <c r="B3" s="73" t="s">
        <v>266</v>
      </c>
      <c r="C3" s="73" t="s">
        <v>267</v>
      </c>
      <c r="D3" s="73" t="s">
        <v>268</v>
      </c>
      <c r="E3" s="74" t="s">
        <v>18</v>
      </c>
      <c r="F3" s="75" t="s">
        <v>20</v>
      </c>
      <c r="G3" s="75"/>
      <c r="H3" s="74" t="s">
        <v>18</v>
      </c>
      <c r="I3" s="76">
        <v>11028.06</v>
      </c>
      <c r="J3" s="76"/>
      <c r="K3" s="77" t="s">
        <v>13</v>
      </c>
      <c r="L3" s="78">
        <v>773187.32</v>
      </c>
    </row>
    <row r="4" spans="1:12" ht="81.599999999999994" hidden="1" x14ac:dyDescent="0.3">
      <c r="A4" s="72" t="s">
        <v>14</v>
      </c>
      <c r="B4" s="73" t="s">
        <v>266</v>
      </c>
      <c r="C4" s="73" t="s">
        <v>269</v>
      </c>
      <c r="D4" s="73" t="s">
        <v>270</v>
      </c>
      <c r="E4" s="74" t="s">
        <v>18</v>
      </c>
      <c r="F4" s="75" t="s">
        <v>20</v>
      </c>
      <c r="G4" s="75"/>
      <c r="H4" s="74" t="s">
        <v>18</v>
      </c>
      <c r="I4" s="79">
        <v>918.35</v>
      </c>
      <c r="J4" s="79"/>
      <c r="K4" s="77" t="s">
        <v>13</v>
      </c>
      <c r="L4" s="78">
        <v>772268.97</v>
      </c>
    </row>
    <row r="5" spans="1:12" ht="71.400000000000006" hidden="1" x14ac:dyDescent="0.3">
      <c r="A5" s="72" t="s">
        <v>14</v>
      </c>
      <c r="B5" s="73" t="s">
        <v>266</v>
      </c>
      <c r="C5" s="73" t="s">
        <v>271</v>
      </c>
      <c r="D5" s="73" t="s">
        <v>272</v>
      </c>
      <c r="E5" s="74" t="s">
        <v>18</v>
      </c>
      <c r="F5" s="75" t="s">
        <v>20</v>
      </c>
      <c r="G5" s="75"/>
      <c r="H5" s="74" t="s">
        <v>18</v>
      </c>
      <c r="I5" s="76">
        <v>10711.05</v>
      </c>
      <c r="J5" s="76"/>
      <c r="K5" s="77" t="s">
        <v>13</v>
      </c>
      <c r="L5" s="78">
        <v>761557.92</v>
      </c>
    </row>
    <row r="6" spans="1:12" ht="71.400000000000006" hidden="1" x14ac:dyDescent="0.3">
      <c r="A6" s="72" t="s">
        <v>14</v>
      </c>
      <c r="B6" s="73" t="s">
        <v>273</v>
      </c>
      <c r="C6" s="73" t="s">
        <v>274</v>
      </c>
      <c r="D6" s="73" t="s">
        <v>275</v>
      </c>
      <c r="E6" s="74" t="s">
        <v>18</v>
      </c>
      <c r="F6" s="80">
        <v>32189.02</v>
      </c>
      <c r="G6" s="80"/>
      <c r="H6" s="74" t="s">
        <v>18</v>
      </c>
      <c r="I6" s="81" t="s">
        <v>20</v>
      </c>
      <c r="J6" s="81"/>
      <c r="K6" s="77" t="s">
        <v>13</v>
      </c>
      <c r="L6" s="78">
        <v>793746.94</v>
      </c>
    </row>
    <row r="7" spans="1:12" ht="71.400000000000006" x14ac:dyDescent="0.3">
      <c r="A7" s="72" t="s">
        <v>14</v>
      </c>
      <c r="B7" s="73" t="s">
        <v>304</v>
      </c>
      <c r="C7" s="73" t="s">
        <v>277</v>
      </c>
      <c r="D7" s="73" t="s">
        <v>305</v>
      </c>
      <c r="E7" s="74" t="s">
        <v>40</v>
      </c>
      <c r="F7" s="75" t="s">
        <v>20</v>
      </c>
      <c r="G7" s="75"/>
      <c r="H7" s="74" t="s">
        <v>18</v>
      </c>
      <c r="I7" s="79">
        <v>519.57000000000005</v>
      </c>
      <c r="J7" s="79"/>
      <c r="K7" s="77" t="s">
        <v>13</v>
      </c>
      <c r="L7" s="78">
        <v>793227.37</v>
      </c>
    </row>
    <row r="8" spans="1:12" ht="71.400000000000006" x14ac:dyDescent="0.3">
      <c r="A8" s="72" t="s">
        <v>82</v>
      </c>
      <c r="B8" s="73" t="s">
        <v>306</v>
      </c>
      <c r="C8" s="73" t="s">
        <v>277</v>
      </c>
      <c r="D8" s="73" t="s">
        <v>305</v>
      </c>
      <c r="E8" s="74" t="s">
        <v>40</v>
      </c>
      <c r="F8" s="75" t="s">
        <v>20</v>
      </c>
      <c r="G8" s="75"/>
      <c r="H8" s="74" t="s">
        <v>18</v>
      </c>
      <c r="I8" s="79">
        <v>389.68</v>
      </c>
      <c r="J8" s="79"/>
      <c r="K8" s="77" t="s">
        <v>13</v>
      </c>
      <c r="L8" s="78">
        <v>792837.69</v>
      </c>
    </row>
    <row r="9" spans="1:12" ht="81.599999999999994" x14ac:dyDescent="0.3">
      <c r="A9" s="72" t="s">
        <v>82</v>
      </c>
      <c r="B9" s="73" t="s">
        <v>307</v>
      </c>
      <c r="C9" s="73" t="s">
        <v>277</v>
      </c>
      <c r="D9" s="73" t="s">
        <v>308</v>
      </c>
      <c r="E9" s="74" t="s">
        <v>40</v>
      </c>
      <c r="F9" s="75" t="s">
        <v>20</v>
      </c>
      <c r="G9" s="75"/>
      <c r="H9" s="74" t="s">
        <v>18</v>
      </c>
      <c r="I9" s="76">
        <v>2090.98</v>
      </c>
      <c r="J9" s="76"/>
      <c r="K9" s="77" t="s">
        <v>13</v>
      </c>
      <c r="L9" s="78">
        <v>790746.71</v>
      </c>
    </row>
    <row r="10" spans="1:12" ht="71.400000000000006" x14ac:dyDescent="0.3">
      <c r="A10" s="72" t="s">
        <v>82</v>
      </c>
      <c r="B10" s="73" t="s">
        <v>307</v>
      </c>
      <c r="C10" s="73" t="s">
        <v>277</v>
      </c>
      <c r="D10" s="73" t="s">
        <v>309</v>
      </c>
      <c r="E10" s="74" t="s">
        <v>40</v>
      </c>
      <c r="F10" s="75" t="s">
        <v>20</v>
      </c>
      <c r="G10" s="75"/>
      <c r="H10" s="74" t="s">
        <v>18</v>
      </c>
      <c r="I10" s="76">
        <v>155391.41</v>
      </c>
      <c r="J10" s="76"/>
      <c r="K10" s="77" t="s">
        <v>13</v>
      </c>
      <c r="L10" s="78">
        <v>635355.30000000005</v>
      </c>
    </row>
    <row r="11" spans="1:12" ht="81.599999999999994" x14ac:dyDescent="0.3">
      <c r="A11" s="72" t="s">
        <v>82</v>
      </c>
      <c r="B11" s="73" t="s">
        <v>307</v>
      </c>
      <c r="C11" s="73" t="s">
        <v>277</v>
      </c>
      <c r="D11" s="73" t="s">
        <v>310</v>
      </c>
      <c r="E11" s="74" t="s">
        <v>40</v>
      </c>
      <c r="F11" s="75" t="s">
        <v>20</v>
      </c>
      <c r="G11" s="75"/>
      <c r="H11" s="74" t="s">
        <v>18</v>
      </c>
      <c r="I11" s="76">
        <v>9746.93</v>
      </c>
      <c r="J11" s="76"/>
      <c r="K11" s="77" t="s">
        <v>13</v>
      </c>
      <c r="L11" s="78">
        <v>625608.37</v>
      </c>
    </row>
    <row r="12" spans="1:12" ht="71.400000000000006" x14ac:dyDescent="0.3">
      <c r="A12" s="72" t="s">
        <v>82</v>
      </c>
      <c r="B12" s="73" t="s">
        <v>307</v>
      </c>
      <c r="C12" s="73" t="s">
        <v>277</v>
      </c>
      <c r="D12" s="73" t="s">
        <v>311</v>
      </c>
      <c r="E12" s="74" t="s">
        <v>40</v>
      </c>
      <c r="F12" s="75" t="s">
        <v>20</v>
      </c>
      <c r="G12" s="75"/>
      <c r="H12" s="74" t="s">
        <v>18</v>
      </c>
      <c r="I12" s="76">
        <v>48245.96</v>
      </c>
      <c r="J12" s="76"/>
      <c r="K12" s="77" t="s">
        <v>13</v>
      </c>
      <c r="L12" s="78">
        <v>577362.41</v>
      </c>
    </row>
    <row r="13" spans="1:12" ht="81.599999999999994" x14ac:dyDescent="0.3">
      <c r="A13" s="72" t="s">
        <v>82</v>
      </c>
      <c r="B13" s="73" t="s">
        <v>307</v>
      </c>
      <c r="C13" s="73" t="s">
        <v>277</v>
      </c>
      <c r="D13" s="73" t="s">
        <v>312</v>
      </c>
      <c r="E13" s="74" t="s">
        <v>40</v>
      </c>
      <c r="F13" s="75" t="s">
        <v>20</v>
      </c>
      <c r="G13" s="75"/>
      <c r="H13" s="74" t="s">
        <v>18</v>
      </c>
      <c r="I13" s="76">
        <v>79314.03</v>
      </c>
      <c r="J13" s="76"/>
      <c r="K13" s="77" t="s">
        <v>13</v>
      </c>
      <c r="L13" s="78">
        <v>498048.38</v>
      </c>
    </row>
    <row r="14" spans="1:12" ht="81.599999999999994" x14ac:dyDescent="0.3">
      <c r="A14" s="72" t="s">
        <v>82</v>
      </c>
      <c r="B14" s="73" t="s">
        <v>307</v>
      </c>
      <c r="C14" s="73" t="s">
        <v>277</v>
      </c>
      <c r="D14" s="73" t="s">
        <v>313</v>
      </c>
      <c r="E14" s="74" t="s">
        <v>40</v>
      </c>
      <c r="F14" s="75" t="s">
        <v>20</v>
      </c>
      <c r="G14" s="75"/>
      <c r="H14" s="74" t="s">
        <v>18</v>
      </c>
      <c r="I14" s="76">
        <v>5324.92</v>
      </c>
      <c r="J14" s="76"/>
      <c r="K14" s="77" t="s">
        <v>13</v>
      </c>
      <c r="L14" s="78">
        <v>492723.46</v>
      </c>
    </row>
    <row r="15" spans="1:12" ht="71.400000000000006" x14ac:dyDescent="0.3">
      <c r="A15" s="72" t="s">
        <v>82</v>
      </c>
      <c r="B15" s="73" t="s">
        <v>307</v>
      </c>
      <c r="C15" s="73" t="s">
        <v>277</v>
      </c>
      <c r="D15" s="73" t="s">
        <v>314</v>
      </c>
      <c r="E15" s="74" t="s">
        <v>40</v>
      </c>
      <c r="F15" s="75" t="s">
        <v>20</v>
      </c>
      <c r="G15" s="75"/>
      <c r="H15" s="74" t="s">
        <v>18</v>
      </c>
      <c r="I15" s="76">
        <v>1839</v>
      </c>
      <c r="J15" s="76"/>
      <c r="K15" s="77" t="s">
        <v>13</v>
      </c>
      <c r="L15" s="78">
        <v>490884.46</v>
      </c>
    </row>
    <row r="16" spans="1:12" ht="81.599999999999994" x14ac:dyDescent="0.3">
      <c r="A16" s="72" t="s">
        <v>82</v>
      </c>
      <c r="B16" s="73" t="s">
        <v>307</v>
      </c>
      <c r="C16" s="73" t="s">
        <v>277</v>
      </c>
      <c r="D16" s="73" t="s">
        <v>268</v>
      </c>
      <c r="E16" s="74" t="s">
        <v>40</v>
      </c>
      <c r="F16" s="75" t="s">
        <v>20</v>
      </c>
      <c r="G16" s="75"/>
      <c r="H16" s="74" t="s">
        <v>18</v>
      </c>
      <c r="I16" s="76">
        <v>8934.91</v>
      </c>
      <c r="J16" s="76"/>
      <c r="K16" s="77" t="s">
        <v>13</v>
      </c>
      <c r="L16" s="78">
        <v>481949.55</v>
      </c>
    </row>
    <row r="17" spans="1:12" ht="81.599999999999994" x14ac:dyDescent="0.3">
      <c r="A17" s="72" t="s">
        <v>82</v>
      </c>
      <c r="B17" s="73" t="s">
        <v>307</v>
      </c>
      <c r="C17" s="73" t="s">
        <v>277</v>
      </c>
      <c r="D17" s="73" t="s">
        <v>315</v>
      </c>
      <c r="E17" s="74" t="s">
        <v>40</v>
      </c>
      <c r="F17" s="75" t="s">
        <v>20</v>
      </c>
      <c r="G17" s="75"/>
      <c r="H17" s="74" t="s">
        <v>18</v>
      </c>
      <c r="I17" s="79">
        <v>199.08</v>
      </c>
      <c r="J17" s="79"/>
      <c r="K17" s="77" t="s">
        <v>13</v>
      </c>
      <c r="L17" s="78">
        <v>481750.47</v>
      </c>
    </row>
    <row r="18" spans="1:12" ht="71.400000000000006" x14ac:dyDescent="0.3">
      <c r="A18" s="72" t="s">
        <v>82</v>
      </c>
      <c r="B18" s="73" t="s">
        <v>307</v>
      </c>
      <c r="C18" s="73" t="s">
        <v>277</v>
      </c>
      <c r="D18" s="73" t="s">
        <v>316</v>
      </c>
      <c r="E18" s="74" t="s">
        <v>40</v>
      </c>
      <c r="F18" s="75" t="s">
        <v>20</v>
      </c>
      <c r="G18" s="75"/>
      <c r="H18" s="74" t="s">
        <v>18</v>
      </c>
      <c r="I18" s="76">
        <v>41647.15</v>
      </c>
      <c r="J18" s="76"/>
      <c r="K18" s="77" t="s">
        <v>13</v>
      </c>
      <c r="L18" s="78">
        <v>440103.32</v>
      </c>
    </row>
    <row r="19" spans="1:12" ht="81.599999999999994" x14ac:dyDescent="0.3">
      <c r="A19" s="72" t="s">
        <v>82</v>
      </c>
      <c r="B19" s="73" t="s">
        <v>307</v>
      </c>
      <c r="C19" s="73" t="s">
        <v>277</v>
      </c>
      <c r="D19" s="73" t="s">
        <v>317</v>
      </c>
      <c r="E19" s="74" t="s">
        <v>40</v>
      </c>
      <c r="F19" s="75" t="s">
        <v>20</v>
      </c>
      <c r="G19" s="75"/>
      <c r="H19" s="74" t="s">
        <v>18</v>
      </c>
      <c r="I19" s="76">
        <v>1006.39</v>
      </c>
      <c r="J19" s="76"/>
      <c r="K19" s="77" t="s">
        <v>13</v>
      </c>
      <c r="L19" s="78">
        <v>439096.93</v>
      </c>
    </row>
    <row r="20" spans="1:12" ht="81.599999999999994" x14ac:dyDescent="0.3">
      <c r="A20" s="72" t="s">
        <v>82</v>
      </c>
      <c r="B20" s="73" t="s">
        <v>307</v>
      </c>
      <c r="C20" s="73" t="s">
        <v>277</v>
      </c>
      <c r="D20" s="73" t="s">
        <v>301</v>
      </c>
      <c r="E20" s="74" t="s">
        <v>40</v>
      </c>
      <c r="F20" s="75" t="s">
        <v>20</v>
      </c>
      <c r="G20" s="75"/>
      <c r="H20" s="74" t="s">
        <v>18</v>
      </c>
      <c r="I20" s="76">
        <v>2261.5500000000002</v>
      </c>
      <c r="J20" s="76"/>
      <c r="K20" s="77" t="s">
        <v>13</v>
      </c>
      <c r="L20" s="78">
        <v>436835.38</v>
      </c>
    </row>
    <row r="21" spans="1:12" ht="71.400000000000006" x14ac:dyDescent="0.3">
      <c r="A21" s="72" t="s">
        <v>82</v>
      </c>
      <c r="B21" s="73" t="s">
        <v>307</v>
      </c>
      <c r="C21" s="73" t="s">
        <v>277</v>
      </c>
      <c r="D21" s="73" t="s">
        <v>274</v>
      </c>
      <c r="E21" s="74" t="s">
        <v>40</v>
      </c>
      <c r="F21" s="75" t="s">
        <v>20</v>
      </c>
      <c r="G21" s="75"/>
      <c r="H21" s="74" t="s">
        <v>18</v>
      </c>
      <c r="I21" s="76">
        <v>32189.02</v>
      </c>
      <c r="J21" s="76"/>
      <c r="K21" s="77" t="s">
        <v>13</v>
      </c>
      <c r="L21" s="78">
        <v>404646.36</v>
      </c>
    </row>
    <row r="22" spans="1:12" ht="71.400000000000006" x14ac:dyDescent="0.3">
      <c r="A22" s="72" t="s">
        <v>82</v>
      </c>
      <c r="B22" s="73" t="s">
        <v>307</v>
      </c>
      <c r="C22" s="73" t="s">
        <v>277</v>
      </c>
      <c r="D22" s="73" t="s">
        <v>318</v>
      </c>
      <c r="E22" s="74" t="s">
        <v>40</v>
      </c>
      <c r="F22" s="75" t="s">
        <v>20</v>
      </c>
      <c r="G22" s="75"/>
      <c r="H22" s="74" t="s">
        <v>18</v>
      </c>
      <c r="I22" s="76">
        <v>14188.21</v>
      </c>
      <c r="J22" s="76"/>
      <c r="K22" s="77" t="s">
        <v>13</v>
      </c>
      <c r="L22" s="78">
        <v>390458.15</v>
      </c>
    </row>
    <row r="23" spans="1:12" ht="71.400000000000006" hidden="1" x14ac:dyDescent="0.3">
      <c r="A23" s="72" t="s">
        <v>91</v>
      </c>
      <c r="B23" s="73" t="s">
        <v>92</v>
      </c>
      <c r="C23" s="73" t="s">
        <v>93</v>
      </c>
      <c r="D23" s="73" t="s">
        <v>74</v>
      </c>
      <c r="E23" s="74" t="s">
        <v>18</v>
      </c>
      <c r="F23" s="80">
        <v>5202.3</v>
      </c>
      <c r="G23" s="80"/>
      <c r="H23" s="74" t="s">
        <v>18</v>
      </c>
      <c r="I23" s="81" t="s">
        <v>20</v>
      </c>
      <c r="J23" s="81"/>
      <c r="K23" s="77" t="s">
        <v>13</v>
      </c>
      <c r="L23" s="78">
        <v>395660.45</v>
      </c>
    </row>
    <row r="24" spans="1:12" ht="81.599999999999994" hidden="1" x14ac:dyDescent="0.3">
      <c r="A24" s="72" t="s">
        <v>91</v>
      </c>
      <c r="B24" s="73" t="s">
        <v>101</v>
      </c>
      <c r="C24" s="73" t="s">
        <v>102</v>
      </c>
      <c r="D24" s="73" t="s">
        <v>103</v>
      </c>
      <c r="E24" s="74" t="s">
        <v>18</v>
      </c>
      <c r="F24" s="80">
        <v>1400.48</v>
      </c>
      <c r="G24" s="80"/>
      <c r="H24" s="74" t="s">
        <v>18</v>
      </c>
      <c r="I24" s="81" t="s">
        <v>20</v>
      </c>
      <c r="J24" s="81"/>
      <c r="K24" s="77" t="s">
        <v>13</v>
      </c>
      <c r="L24" s="78">
        <v>397060.93</v>
      </c>
    </row>
    <row r="25" spans="1:12" ht="81.599999999999994" hidden="1" x14ac:dyDescent="0.3">
      <c r="A25" s="72" t="s">
        <v>91</v>
      </c>
      <c r="B25" s="73" t="s">
        <v>101</v>
      </c>
      <c r="C25" s="73" t="s">
        <v>104</v>
      </c>
      <c r="D25" s="73" t="s">
        <v>105</v>
      </c>
      <c r="E25" s="74" t="s">
        <v>18</v>
      </c>
      <c r="F25" s="80">
        <v>11145.65</v>
      </c>
      <c r="G25" s="80"/>
      <c r="H25" s="74" t="s">
        <v>18</v>
      </c>
      <c r="I25" s="81" t="s">
        <v>20</v>
      </c>
      <c r="J25" s="81"/>
      <c r="K25" s="77" t="s">
        <v>13</v>
      </c>
      <c r="L25" s="78">
        <v>408206.58</v>
      </c>
    </row>
    <row r="26" spans="1:12" ht="81.599999999999994" hidden="1" x14ac:dyDescent="0.3">
      <c r="A26" s="72" t="s">
        <v>91</v>
      </c>
      <c r="B26" s="73" t="s">
        <v>101</v>
      </c>
      <c r="C26" s="73" t="s">
        <v>106</v>
      </c>
      <c r="D26" s="73" t="s">
        <v>80</v>
      </c>
      <c r="E26" s="74" t="s">
        <v>18</v>
      </c>
      <c r="F26" s="80">
        <v>1724.02</v>
      </c>
      <c r="G26" s="80"/>
      <c r="H26" s="74" t="s">
        <v>18</v>
      </c>
      <c r="I26" s="81" t="s">
        <v>20</v>
      </c>
      <c r="J26" s="81"/>
      <c r="K26" s="77" t="s">
        <v>13</v>
      </c>
      <c r="L26" s="78">
        <v>409930.6</v>
      </c>
    </row>
    <row r="27" spans="1:12" ht="71.400000000000006" hidden="1" x14ac:dyDescent="0.3">
      <c r="A27" s="72" t="s">
        <v>91</v>
      </c>
      <c r="B27" s="73" t="s">
        <v>101</v>
      </c>
      <c r="C27" s="73" t="s">
        <v>107</v>
      </c>
      <c r="D27" s="73" t="s">
        <v>60</v>
      </c>
      <c r="E27" s="74" t="s">
        <v>18</v>
      </c>
      <c r="F27" s="80">
        <v>15321.61</v>
      </c>
      <c r="G27" s="80"/>
      <c r="H27" s="74" t="s">
        <v>18</v>
      </c>
      <c r="I27" s="81" t="s">
        <v>20</v>
      </c>
      <c r="J27" s="81"/>
      <c r="K27" s="77" t="s">
        <v>13</v>
      </c>
      <c r="L27" s="78">
        <v>425252.21</v>
      </c>
    </row>
    <row r="28" spans="1:12" ht="71.400000000000006" hidden="1" x14ac:dyDescent="0.3">
      <c r="A28" s="72" t="s">
        <v>91</v>
      </c>
      <c r="B28" s="73" t="s">
        <v>319</v>
      </c>
      <c r="C28" s="73" t="s">
        <v>320</v>
      </c>
      <c r="D28" s="73" t="s">
        <v>321</v>
      </c>
      <c r="E28" s="74" t="s">
        <v>18</v>
      </c>
      <c r="F28" s="80">
        <v>7779.13</v>
      </c>
      <c r="G28" s="80"/>
      <c r="H28" s="74" t="s">
        <v>18</v>
      </c>
      <c r="I28" s="81" t="s">
        <v>20</v>
      </c>
      <c r="J28" s="81"/>
      <c r="K28" s="77" t="s">
        <v>13</v>
      </c>
      <c r="L28" s="78">
        <v>433031.34</v>
      </c>
    </row>
    <row r="29" spans="1:12" ht="81.599999999999994" x14ac:dyDescent="0.3">
      <c r="A29" s="72" t="s">
        <v>91</v>
      </c>
      <c r="B29" s="73" t="s">
        <v>322</v>
      </c>
      <c r="C29" s="73" t="s">
        <v>277</v>
      </c>
      <c r="D29" s="73" t="s">
        <v>310</v>
      </c>
      <c r="E29" s="74" t="s">
        <v>40</v>
      </c>
      <c r="F29" s="75" t="s">
        <v>20</v>
      </c>
      <c r="G29" s="75"/>
      <c r="H29" s="74" t="s">
        <v>18</v>
      </c>
      <c r="I29" s="76">
        <v>7392.17</v>
      </c>
      <c r="J29" s="76"/>
      <c r="K29" s="77" t="s">
        <v>13</v>
      </c>
      <c r="L29" s="78">
        <v>425639.17</v>
      </c>
    </row>
    <row r="30" spans="1:12" ht="81.599999999999994" x14ac:dyDescent="0.3">
      <c r="A30" s="72" t="s">
        <v>91</v>
      </c>
      <c r="B30" s="73" t="s">
        <v>322</v>
      </c>
      <c r="C30" s="73" t="s">
        <v>277</v>
      </c>
      <c r="D30" s="73" t="s">
        <v>268</v>
      </c>
      <c r="E30" s="74" t="s">
        <v>40</v>
      </c>
      <c r="F30" s="75" t="s">
        <v>20</v>
      </c>
      <c r="G30" s="75"/>
      <c r="H30" s="74" t="s">
        <v>18</v>
      </c>
      <c r="I30" s="76">
        <v>2249.35</v>
      </c>
      <c r="J30" s="76"/>
      <c r="K30" s="77" t="s">
        <v>13</v>
      </c>
      <c r="L30" s="78">
        <v>423389.82</v>
      </c>
    </row>
    <row r="31" spans="1:12" ht="71.400000000000006" x14ac:dyDescent="0.3">
      <c r="A31" s="72" t="s">
        <v>91</v>
      </c>
      <c r="B31" s="73" t="s">
        <v>322</v>
      </c>
      <c r="C31" s="73" t="s">
        <v>277</v>
      </c>
      <c r="D31" s="73" t="s">
        <v>309</v>
      </c>
      <c r="E31" s="74" t="s">
        <v>40</v>
      </c>
      <c r="F31" s="75" t="s">
        <v>20</v>
      </c>
      <c r="G31" s="75"/>
      <c r="H31" s="74" t="s">
        <v>18</v>
      </c>
      <c r="I31" s="76">
        <v>10282.379999999999</v>
      </c>
      <c r="J31" s="76"/>
      <c r="K31" s="77" t="s">
        <v>13</v>
      </c>
      <c r="L31" s="78">
        <v>413107.44</v>
      </c>
    </row>
    <row r="32" spans="1:12" ht="71.400000000000006" x14ac:dyDescent="0.3">
      <c r="A32" s="72" t="s">
        <v>91</v>
      </c>
      <c r="B32" s="73" t="s">
        <v>322</v>
      </c>
      <c r="C32" s="73" t="s">
        <v>277</v>
      </c>
      <c r="D32" s="73" t="s">
        <v>320</v>
      </c>
      <c r="E32" s="74" t="s">
        <v>40</v>
      </c>
      <c r="F32" s="75" t="s">
        <v>20</v>
      </c>
      <c r="G32" s="75"/>
      <c r="H32" s="74" t="s">
        <v>18</v>
      </c>
      <c r="I32" s="76">
        <v>4191.08</v>
      </c>
      <c r="J32" s="76"/>
      <c r="K32" s="77" t="s">
        <v>13</v>
      </c>
      <c r="L32" s="78">
        <v>408916.36</v>
      </c>
    </row>
    <row r="33" spans="1:12" ht="81.599999999999994" x14ac:dyDescent="0.3">
      <c r="A33" s="72" t="s">
        <v>91</v>
      </c>
      <c r="B33" s="73" t="s">
        <v>322</v>
      </c>
      <c r="C33" s="73" t="s">
        <v>277</v>
      </c>
      <c r="D33" s="73" t="s">
        <v>106</v>
      </c>
      <c r="E33" s="74" t="s">
        <v>40</v>
      </c>
      <c r="F33" s="75" t="s">
        <v>20</v>
      </c>
      <c r="G33" s="75"/>
      <c r="H33" s="74" t="s">
        <v>18</v>
      </c>
      <c r="I33" s="76">
        <v>1724.02</v>
      </c>
      <c r="J33" s="76"/>
      <c r="K33" s="77" t="s">
        <v>13</v>
      </c>
      <c r="L33" s="78">
        <v>407192.34</v>
      </c>
    </row>
    <row r="34" spans="1:12" ht="71.400000000000006" hidden="1" x14ac:dyDescent="0.3">
      <c r="A34" s="72" t="s">
        <v>126</v>
      </c>
      <c r="B34" s="73" t="s">
        <v>127</v>
      </c>
      <c r="C34" s="73" t="s">
        <v>128</v>
      </c>
      <c r="D34" s="73" t="s">
        <v>61</v>
      </c>
      <c r="E34" s="74" t="s">
        <v>18</v>
      </c>
      <c r="F34" s="80">
        <v>2926.12</v>
      </c>
      <c r="G34" s="80"/>
      <c r="H34" s="74" t="s">
        <v>18</v>
      </c>
      <c r="I34" s="81" t="s">
        <v>20</v>
      </c>
      <c r="J34" s="81"/>
      <c r="K34" s="77" t="s">
        <v>13</v>
      </c>
      <c r="L34" s="78">
        <v>410118.46</v>
      </c>
    </row>
    <row r="35" spans="1:12" ht="81.599999999999994" hidden="1" x14ac:dyDescent="0.3">
      <c r="A35" s="72" t="s">
        <v>126</v>
      </c>
      <c r="B35" s="73" t="s">
        <v>127</v>
      </c>
      <c r="C35" s="73" t="s">
        <v>129</v>
      </c>
      <c r="D35" s="73" t="s">
        <v>123</v>
      </c>
      <c r="E35" s="74" t="s">
        <v>18</v>
      </c>
      <c r="F35" s="80">
        <v>20179.96</v>
      </c>
      <c r="G35" s="80"/>
      <c r="H35" s="74" t="s">
        <v>18</v>
      </c>
      <c r="I35" s="81" t="s">
        <v>20</v>
      </c>
      <c r="J35" s="81"/>
      <c r="K35" s="77" t="s">
        <v>13</v>
      </c>
      <c r="L35" s="78">
        <v>430298.42</v>
      </c>
    </row>
    <row r="36" spans="1:12" ht="81.599999999999994" hidden="1" x14ac:dyDescent="0.3">
      <c r="A36" s="72" t="s">
        <v>126</v>
      </c>
      <c r="B36" s="73" t="s">
        <v>127</v>
      </c>
      <c r="C36" s="73" t="s">
        <v>130</v>
      </c>
      <c r="D36" s="73" t="s">
        <v>65</v>
      </c>
      <c r="E36" s="74" t="s">
        <v>18</v>
      </c>
      <c r="F36" s="80">
        <v>1179.1500000000001</v>
      </c>
      <c r="G36" s="80"/>
      <c r="H36" s="74" t="s">
        <v>18</v>
      </c>
      <c r="I36" s="81" t="s">
        <v>20</v>
      </c>
      <c r="J36" s="81"/>
      <c r="K36" s="77" t="s">
        <v>13</v>
      </c>
      <c r="L36" s="78">
        <v>431477.57</v>
      </c>
    </row>
    <row r="37" spans="1:12" ht="81.599999999999994" hidden="1" x14ac:dyDescent="0.3">
      <c r="A37" s="72" t="s">
        <v>243</v>
      </c>
      <c r="B37" s="73" t="s">
        <v>244</v>
      </c>
      <c r="C37" s="73" t="s">
        <v>245</v>
      </c>
      <c r="D37" s="73" t="s">
        <v>246</v>
      </c>
      <c r="E37" s="74" t="s">
        <v>18</v>
      </c>
      <c r="F37" s="80">
        <v>3007.18</v>
      </c>
      <c r="G37" s="80"/>
      <c r="H37" s="74" t="s">
        <v>18</v>
      </c>
      <c r="I37" s="81" t="s">
        <v>20</v>
      </c>
      <c r="J37" s="81"/>
      <c r="K37" s="77" t="s">
        <v>13</v>
      </c>
      <c r="L37" s="78">
        <v>434484.75</v>
      </c>
    </row>
    <row r="38" spans="1:12" ht="81.599999999999994" hidden="1" x14ac:dyDescent="0.3">
      <c r="A38" s="72" t="s">
        <v>261</v>
      </c>
      <c r="B38" s="73" t="s">
        <v>299</v>
      </c>
      <c r="C38" s="73" t="s">
        <v>300</v>
      </c>
      <c r="D38" s="73" t="s">
        <v>301</v>
      </c>
      <c r="E38" s="74" t="s">
        <v>18</v>
      </c>
      <c r="F38" s="75" t="s">
        <v>20</v>
      </c>
      <c r="G38" s="75"/>
      <c r="H38" s="74" t="s">
        <v>18</v>
      </c>
      <c r="I38" s="76">
        <v>4240.41</v>
      </c>
      <c r="J38" s="76"/>
      <c r="K38" s="77" t="s">
        <v>13</v>
      </c>
      <c r="L38" s="78">
        <v>430244.34</v>
      </c>
    </row>
    <row r="39" spans="1:12" ht="81.599999999999994" hidden="1" x14ac:dyDescent="0.3">
      <c r="A39" s="72" t="s">
        <v>46</v>
      </c>
      <c r="B39" s="73" t="s">
        <v>264</v>
      </c>
      <c r="C39" s="73" t="s">
        <v>129</v>
      </c>
      <c r="D39" s="73" t="s">
        <v>123</v>
      </c>
      <c r="E39" s="74" t="s">
        <v>18</v>
      </c>
      <c r="F39" s="82">
        <v>0.01</v>
      </c>
      <c r="G39" s="82"/>
      <c r="H39" s="74" t="s">
        <v>18</v>
      </c>
      <c r="I39" s="81" t="s">
        <v>20</v>
      </c>
      <c r="J39" s="81"/>
      <c r="K39" s="77" t="s">
        <v>13</v>
      </c>
      <c r="L39" s="78">
        <v>430244.35</v>
      </c>
    </row>
    <row r="40" spans="1:12" ht="71.400000000000006" hidden="1" x14ac:dyDescent="0.3">
      <c r="A40" s="72" t="s">
        <v>46</v>
      </c>
      <c r="B40" s="73" t="s">
        <v>298</v>
      </c>
      <c r="C40" s="73" t="s">
        <v>277</v>
      </c>
      <c r="D40" s="73" t="s">
        <v>309</v>
      </c>
      <c r="E40" s="74" t="s">
        <v>40</v>
      </c>
      <c r="F40" s="75" t="s">
        <v>20</v>
      </c>
      <c r="G40" s="75"/>
      <c r="H40" s="74" t="s">
        <v>18</v>
      </c>
      <c r="I40" s="83">
        <v>-0.01</v>
      </c>
      <c r="J40" s="83"/>
      <c r="K40" s="77" t="s">
        <v>13</v>
      </c>
      <c r="L40" s="78">
        <v>430244.36</v>
      </c>
    </row>
    <row r="41" spans="1:12" ht="81.599999999999994" hidden="1" x14ac:dyDescent="0.3">
      <c r="A41" s="72" t="s">
        <v>46</v>
      </c>
      <c r="B41" s="73" t="s">
        <v>265</v>
      </c>
      <c r="C41" s="73" t="s">
        <v>130</v>
      </c>
      <c r="D41" s="73" t="s">
        <v>65</v>
      </c>
      <c r="E41" s="74" t="s">
        <v>18</v>
      </c>
      <c r="F41" s="80">
        <v>1689.05</v>
      </c>
      <c r="G41" s="80"/>
      <c r="H41" s="74" t="s">
        <v>18</v>
      </c>
      <c r="I41" s="81" t="s">
        <v>20</v>
      </c>
      <c r="J41" s="81"/>
      <c r="K41" s="77" t="s">
        <v>13</v>
      </c>
      <c r="L41" s="78">
        <v>431933.41</v>
      </c>
    </row>
    <row r="42" spans="1:12" hidden="1" x14ac:dyDescent="0.3">
      <c r="A42" s="84" t="s">
        <v>49</v>
      </c>
      <c r="B42" s="84"/>
      <c r="C42" s="84"/>
      <c r="D42" s="84"/>
      <c r="E42" s="85">
        <v>103743.67999999999</v>
      </c>
      <c r="F42" s="85"/>
      <c r="G42" s="85"/>
      <c r="H42" s="85">
        <v>456025.65</v>
      </c>
      <c r="I42" s="85"/>
      <c r="J42" s="85"/>
      <c r="K42" s="86" t="s">
        <v>13</v>
      </c>
      <c r="L42" s="87">
        <v>431933.41</v>
      </c>
    </row>
    <row r="44" spans="1:12" x14ac:dyDescent="0.3">
      <c r="J44" s="88">
        <f>SUBTOTAL(9,I7:J33)</f>
        <v>429127.79000000004</v>
      </c>
    </row>
  </sheetData>
  <autoFilter ref="A1:L42" xr:uid="{1675CC8F-055E-402E-B756-B833EFBD47A2}">
    <filterColumn colId="1">
      <filters>
        <filter val="Вимога-накладна ІБ00-000254 від 07.04.2025 19:59:56_x000a_Списаны ТМЦ"/>
        <filter val="Вимога-накладна ІБ00-000272 від 08.04.2025 23:12:02_x000a_Списаны ТМЦ"/>
        <filter val="Списання товарів ІБ00-000203 від 07.04.2025 10:00:00_x000a_Списаны ТМЦ"/>
        <filter val="Списання товарів ІБ00-000204 від 01.04.2025 23:10:04_x000a_Списаны ТМЦ"/>
      </filters>
    </filterColumn>
    <filterColumn colId="4" showButton="0"/>
    <filterColumn colId="5" showButton="0"/>
    <filterColumn colId="7" showButton="0"/>
    <filterColumn colId="8" showButton="0"/>
    <filterColumn colId="10" showButton="0"/>
  </autoFilter>
  <mergeCells count="90">
    <mergeCell ref="F40:G40"/>
    <mergeCell ref="I40:J40"/>
    <mergeCell ref="F41:G41"/>
    <mergeCell ref="I41:J41"/>
    <mergeCell ref="A42:D42"/>
    <mergeCell ref="E42:G42"/>
    <mergeCell ref="H42:J42"/>
    <mergeCell ref="F37:G37"/>
    <mergeCell ref="I37:J37"/>
    <mergeCell ref="F38:G38"/>
    <mergeCell ref="I38:J38"/>
    <mergeCell ref="F39:G39"/>
    <mergeCell ref="I39:J39"/>
    <mergeCell ref="F34:G34"/>
    <mergeCell ref="I34:J34"/>
    <mergeCell ref="F35:G35"/>
    <mergeCell ref="I35:J35"/>
    <mergeCell ref="F36:G36"/>
    <mergeCell ref="I36:J36"/>
    <mergeCell ref="F31:G31"/>
    <mergeCell ref="I31:J31"/>
    <mergeCell ref="F32:G32"/>
    <mergeCell ref="I32:J32"/>
    <mergeCell ref="F33:G33"/>
    <mergeCell ref="I33:J33"/>
    <mergeCell ref="F28:G28"/>
    <mergeCell ref="I28:J28"/>
    <mergeCell ref="F29:G29"/>
    <mergeCell ref="I29:J29"/>
    <mergeCell ref="F30:G30"/>
    <mergeCell ref="I30:J30"/>
    <mergeCell ref="F25:G25"/>
    <mergeCell ref="I25:J25"/>
    <mergeCell ref="F26:G26"/>
    <mergeCell ref="I26:J26"/>
    <mergeCell ref="F27:G27"/>
    <mergeCell ref="I27:J27"/>
    <mergeCell ref="F22:G22"/>
    <mergeCell ref="I22:J22"/>
    <mergeCell ref="F23:G23"/>
    <mergeCell ref="I23:J23"/>
    <mergeCell ref="F24:G24"/>
    <mergeCell ref="I24:J24"/>
    <mergeCell ref="F19:G19"/>
    <mergeCell ref="I19:J19"/>
    <mergeCell ref="F20:G20"/>
    <mergeCell ref="I20:J20"/>
    <mergeCell ref="F21:G21"/>
    <mergeCell ref="I21:J21"/>
    <mergeCell ref="F16:G16"/>
    <mergeCell ref="I16:J16"/>
    <mergeCell ref="F17:G17"/>
    <mergeCell ref="I17:J17"/>
    <mergeCell ref="F18:G18"/>
    <mergeCell ref="I18:J18"/>
    <mergeCell ref="F13:G13"/>
    <mergeCell ref="I13:J13"/>
    <mergeCell ref="F14:G14"/>
    <mergeCell ref="I14:J14"/>
    <mergeCell ref="F15:G15"/>
    <mergeCell ref="I15:J15"/>
    <mergeCell ref="F10:G10"/>
    <mergeCell ref="I10:J10"/>
    <mergeCell ref="F11:G11"/>
    <mergeCell ref="I11:J11"/>
    <mergeCell ref="F12:G12"/>
    <mergeCell ref="I12:J12"/>
    <mergeCell ref="F7:G7"/>
    <mergeCell ref="I7:J7"/>
    <mergeCell ref="F8:G8"/>
    <mergeCell ref="I8:J8"/>
    <mergeCell ref="F9:G9"/>
    <mergeCell ref="I9:J9"/>
    <mergeCell ref="F4:G4"/>
    <mergeCell ref="I4:J4"/>
    <mergeCell ref="F5:G5"/>
    <mergeCell ref="I5:J5"/>
    <mergeCell ref="F6:G6"/>
    <mergeCell ref="I6:J6"/>
    <mergeCell ref="K1:L2"/>
    <mergeCell ref="F2:G2"/>
    <mergeCell ref="I2:J2"/>
    <mergeCell ref="F3:G3"/>
    <mergeCell ref="I3:J3"/>
    <mergeCell ref="A1:A2"/>
    <mergeCell ref="B1:B2"/>
    <mergeCell ref="C1:C2"/>
    <mergeCell ref="D1:D2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СВОД</vt:lpstr>
      <vt:lpstr>Катеринопіль МХП</vt:lpstr>
      <vt:lpstr>Цех_Катеринопіль МХП</vt:lpstr>
      <vt:lpstr>ДУ-1 Пункт відв</vt:lpstr>
      <vt:lpstr>ДУ-4 Охолодж макухи</vt:lpstr>
      <vt:lpstr>олійно екстракційний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i.steblianko</dc:creator>
  <cp:lastModifiedBy>i.steblianko</cp:lastModifiedBy>
  <dcterms:created xsi:type="dcterms:W3CDTF">2015-06-05T18:17:20Z</dcterms:created>
  <dcterms:modified xsi:type="dcterms:W3CDTF">2025-05-22T05:32:30Z</dcterms:modified>
</cp:coreProperties>
</file>
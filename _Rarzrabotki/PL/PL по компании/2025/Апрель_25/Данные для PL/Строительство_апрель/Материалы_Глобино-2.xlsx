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Строительство_апрель\"/>
    </mc:Choice>
  </mc:AlternateContent>
  <xr:revisionPtr revIDLastSave="0" documentId="13_ncr:1_{F8993A96-C234-4940-9FD1-2EE4AC4C5BC8}" xr6:coauthVersionLast="45" xr6:coauthVersionMax="45" xr10:uidLastSave="{00000000-0000-0000-0000-000000000000}"/>
  <bookViews>
    <workbookView xWindow="-108" yWindow="-108" windowWidth="23256" windowHeight="12600" tabRatio="807" firstSheet="8" activeTab="10" xr2:uid="{00000000-000D-0000-FFFF-FFFF00000000}"/>
  </bookViews>
  <sheets>
    <sheet name="АПК" sheetId="2" r:id="rId1"/>
    <sheet name="Генплан благоустрій" sheetId="3" r:id="rId2"/>
    <sheet name="Генплан митний склад" sheetId="4" r:id="rId3"/>
    <sheet name="Генплан підпірна стінка" sheetId="5" r:id="rId4"/>
    <sheet name="Глобине-2" sheetId="6" r:id="rId5"/>
    <sheet name="Котельна" sheetId="7" r:id="rId6"/>
    <sheet name="Насосна Градирня" sheetId="8" r:id="rId7"/>
    <sheet name="Підготовчі роботи та тимчасові " sheetId="9" r:id="rId8"/>
    <sheet name="Пожежений резервуар" sheetId="10" r:id="rId9"/>
    <sheet name="зберігання в бігбегах" sheetId="11" r:id="rId10"/>
    <sheet name="СВОД" sheetId="1" r:id="rId11"/>
    <sheet name="зберігання розчинника" sheetId="12" r:id="rId12"/>
    <sheet name="СПК" sheetId="13" r:id="rId13"/>
    <sheet name="Транспортна галерея" sheetId="14" r:id="rId14"/>
    <sheet name="Цех екстракції" sheetId="15" r:id="rId15"/>
  </sheets>
  <definedNames>
    <definedName name="_xlnm._FilterDatabase" localSheetId="0" hidden="1">АПК!$A$1:$L$50</definedName>
    <definedName name="_xlnm._FilterDatabase" localSheetId="1" hidden="1">'Генплан благоустрій'!$A$1:$L$7</definedName>
    <definedName name="_xlnm._FilterDatabase" localSheetId="2" hidden="1">'Генплан митний склад'!$A$1:$L$24</definedName>
    <definedName name="_xlnm._FilterDatabase" localSheetId="3" hidden="1">'Генплан підпірна стінка'!$A$1:$L$18</definedName>
    <definedName name="_xlnm._FilterDatabase" localSheetId="4" hidden="1">'Глобине-2'!$A$1:$L$192</definedName>
    <definedName name="_xlnm._FilterDatabase" localSheetId="9" hidden="1">'зберігання в бігбегах'!$A$1:$L$74</definedName>
    <definedName name="_xlnm._FilterDatabase" localSheetId="11" hidden="1">'зберігання розчинника'!$A$1:$L$60</definedName>
    <definedName name="_xlnm._FilterDatabase" localSheetId="5" hidden="1">Котельна!$A$1:$L$111</definedName>
    <definedName name="_xlnm._FilterDatabase" localSheetId="6" hidden="1">'Насосна Градирня'!$A$1:$L$57</definedName>
    <definedName name="_xlnm._FilterDatabase" localSheetId="7" hidden="1">'Підготовчі роботи та тимчасові '!$A$1:$L$2</definedName>
    <definedName name="_xlnm._FilterDatabase" localSheetId="8" hidden="1">'Пожежений резервуар'!$A$1:$L$24</definedName>
    <definedName name="_xlnm._FilterDatabase" localSheetId="12" hidden="1">СПК!$A$1:$L$218</definedName>
    <definedName name="_xlnm._FilterDatabase" localSheetId="13" hidden="1">'Транспортна галерея'!$A$1:$L$13</definedName>
    <definedName name="_xlnm._FilterDatabase" localSheetId="14" hidden="1">'Цех екстракції'!$A$1:$L$208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6" i="1" l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J52" i="2"/>
  <c r="J9" i="3"/>
  <c r="J26" i="4"/>
  <c r="J20" i="5"/>
  <c r="J194" i="6"/>
  <c r="J113" i="7"/>
  <c r="J59" i="8"/>
  <c r="J6" i="9"/>
  <c r="J26" i="10"/>
  <c r="J76" i="11"/>
  <c r="J62" i="12"/>
  <c r="J220" i="13"/>
  <c r="J15" i="14"/>
  <c r="J210" i="15"/>
</calcChain>
</file>

<file path=xl/sharedStrings.xml><?xml version="1.0" encoding="utf-8"?>
<sst xmlns="http://schemas.openxmlformats.org/spreadsheetml/2006/main" count="8308" uniqueCount="1006">
  <si>
    <t>АПК (Глобине)</t>
  </si>
  <si>
    <t>Генплан благоустрій (Глобине)</t>
  </si>
  <si>
    <t>Генплан митний склад (Глобине)</t>
  </si>
  <si>
    <t>Генплан підпірна стінка (Глобине)</t>
  </si>
  <si>
    <t>Глобине-2</t>
  </si>
  <si>
    <t>Котельна (Глобине)</t>
  </si>
  <si>
    <t>Насосна Градирня (Глобине)</t>
  </si>
  <si>
    <t>Підготовчі роботи та тимчасові споруди (Глобине)</t>
  </si>
  <si>
    <t>Пожежений резервуар (Глобине)</t>
  </si>
  <si>
    <t>Пункт фасування та зберігання в бігбегах (Глобине)</t>
  </si>
  <si>
    <t>Резервуар для зберігання розчинника(Глобине)</t>
  </si>
  <si>
    <t>СПК (Глобине)</t>
  </si>
  <si>
    <t>Транспортна галерея (Глобине)</t>
  </si>
  <si>
    <t>Цех екстракції (Глобине)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</si>
  <si>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</si>
  <si>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</si>
  <si>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</si>
  <si>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</si>
  <si>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</si>
  <si>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</si>
  <si>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</si>
  <si>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</si>
  <si>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</si>
  <si>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01.04.2025</t>
  </si>
  <si>
    <t>Переміщення товарів ІБ00-000377 від 01.04.2025 11:00:00
Перемещение ТМЦ</t>
  </si>
  <si>
    <t>Обл. НДС
Емульсія бітумна Igoflex-101 каністра 32л
Надходження товарів і послуг ІБ00-000606 від 21.02.2024 23:54:14
АПК (Глобине)</t>
  </si>
  <si>
    <t>Обл. НДС
Емульсія бітумна Igoflex-101 каністра 32л
Надходження товарів і послуг ІБ00-000606 від 21.02.2024 23:54:14
Глобине-2</t>
  </si>
  <si>
    <t>205</t>
  </si>
  <si>
    <t xml:space="preserve"> </t>
  </si>
  <si>
    <t>Обл. НДС
Емульсія бітумна Igoflex-101 каністра 32л
Надходження товарів і послуг ІБ00-001108 від 22.03.2024 17:34:05
АПК (Глобине)</t>
  </si>
  <si>
    <t>Обл. НДС
Емульсія бітумна Igoflex-101 каністра 32л
Надходження товарів і послуг ІБ00-001108 від 22.03.2024 17:34:05
Глобине-2</t>
  </si>
  <si>
    <t>Переміщення товарів ІБ00-000360 від 01.04.2025 23:11:15
Перемещение ТМЦ</t>
  </si>
  <si>
    <t>Обл. НДС
Емульсія бітумна Р-10 EN каністра 20л
Надходження товарів і послуг ІБ00-002088 від 19.12.2023 18:21:48
АПК (Глобине)</t>
  </si>
  <si>
    <t>Обл. НДС
Емульсія бітумна Р-10 EN каністра 20л
Надходження товарів і послуг ІБ00-002088 від 19.12.2023 18:21:48
Глобине-2</t>
  </si>
  <si>
    <t>Переміщення товарів ІБ00-000363 від 01.04.2025 23:11:17
Перемещение ТМЦ</t>
  </si>
  <si>
    <t>Обл. НДС
Бетон С  8/10 Р4
Надходження товарів і послуг ІБ00-001194 від 21.03.2025 19:26:05
Пункт фасування та зберігання в бігбегах (Глобине)</t>
  </si>
  <si>
    <t>Обл. НДС
Бетон С  8/10 Р4
Надходження товарів і послуг ІБ00-001194 від 21.03.2025 19:26:05
АПК (Глобине)</t>
  </si>
  <si>
    <t>03.04.2025</t>
  </si>
  <si>
    <t>Вимога-накладна ІБ00-000256 від 03.04.2025 17:41:31
Списаны ТМЦ</t>
  </si>
  <si>
    <t>Обл. НДС
Виробничий (Глобине-2)
Глобине-2
Прямі материальні виробничі витрати крім зворотніх відходів</t>
  </si>
  <si>
    <t>Обл. НДС
Прокат сталевий круглий (кл. А240С) ф8мм, ст.3пс, міра 6м
Надходження товарів і послуг ІБ00-000851 від 03.03.2025 18:09:07
АПК (Глобине)</t>
  </si>
  <si>
    <t>231</t>
  </si>
  <si>
    <t>Обл. НДС
Прокат сталевий круглий (кл. А240С) ф12мм, ст.3пс, міра 6м
Надходження товарів і послуг ІБ00-000851 від 03.03.2025 18:09:07
АПК (Глобине)</t>
  </si>
  <si>
    <t>Обл. НДС
Прокат арматурний №12 мм  А500С 6м
Надходження товарів і послуг ІБ00-000851 від 03.03.2025 18:09:07
АПК (Глобине)</t>
  </si>
  <si>
    <t>Обл. НДС
Прокат арматурний №14 мм  А500С, 12 м
Надходження товарів і послуг ІБ00-000851 від 03.03.2025 18:09:07
АПК (Глобине)</t>
  </si>
  <si>
    <t>Обл. НДС
Прокат арматурний №14 мм  А500С, 12 м
Надходження товарів і послуг ІБ00-000820 від 04.03.2025 17:40:13
АПК (Глобине)</t>
  </si>
  <si>
    <t>Обл. НДС
Прокат арматурний №18 мм  А500С
Надходження товарів і послуг ІБ00-000819 від 04.03.2025 17:40:12
АПК (Глобине)</t>
  </si>
  <si>
    <t>Обл. НДС
Прокат арматурний №18 мм  А500С
Надходження товарів і послуг ІБ00-000820 від 04.03.2025 17:40:13
АПК (Глобине)</t>
  </si>
  <si>
    <t>Обл. НДС
Прокат арматурний №25 мм  А500С  12м
Надходження товарів і послуг ІБ00-000851 від 03.03.2025 18:09:07
АПК (Глобине)</t>
  </si>
  <si>
    <t>Обл. НДС
Дріт 1,2 мм термооброблений
Надходження товарів і послуг ІБ00-000851 від 03.03.2025 18:09:07
АПК (Глобине)</t>
  </si>
  <si>
    <t>Обл. НДС
Щебінь 70-120
Надходження товарів і послуг ІБ00-001071 від 05.03.2025 18:40:09
АПК (Глобине)</t>
  </si>
  <si>
    <t>Обл. НДС
Щебінь 40-70
Надходження товарів і послуг ІБ00-001478 від 13.03.2025 11:00:00
АПК (Глобине)</t>
  </si>
  <si>
    <t>Обл. НДС
Щебінь 40-70
Надходження товарів і послуг ІБ00-001481 від 14.03.2025 11:00:00
АПК (Глобине)</t>
  </si>
  <si>
    <t>Обл. НДС
Щебінь 40-70
Надходження товарів і послуг ІБ00-001482 від 18.03.2025 11:00:00
АПК (Глобине)</t>
  </si>
  <si>
    <t>04.04.2025</t>
  </si>
  <si>
    <t>Надходження товарів і послуг ІБ00-001456 від 04.04.2025 11:00:00
Оприходованы ТМЦ</t>
  </si>
  <si>
    <t>Обл. НДС
Пенетрон Адмікс 18кг/мішок
Надходження товарів і послуг ІБ00-001456 від 04.04.2025 11:00:00
АПК (Глобине)</t>
  </si>
  <si>
    <t>АГРОНАС ТОВ
Договір 12/04/2024 від 12.04.2024_Глобине 2
Рахунок на оплату постачальника ІБ00-001146 від 04.04.2025 23:24:22</t>
  </si>
  <si>
    <t>631</t>
  </si>
  <si>
    <t>07.04.2025</t>
  </si>
  <si>
    <t>Надходження товарів і послуг ІБ00-001530 від 07.04.2025 20:00:36
Оприходованы ТМЦ (Зачет аванса поставщику)</t>
  </si>
  <si>
    <t>Обл. НДС
Бетон С 20/25  F75 W6 Р4
Надходження товарів і послуг ІБ00-001530 від 07.04.2025 20:00:36
АПК (Глобине)</t>
  </si>
  <si>
    <t>Кременчуцький річковий порт ПРАТ
Договір 112/Б від 15.10.2024_Глобине-2
Списання з банківського рахунку 00000024808 від 04.04.2025 17:02:03</t>
  </si>
  <si>
    <t>Кременчуцький річковий порт ПРАТ
Договір 112/Б від 15.10.2024_Глобине-2
Списання з банківського рахунку 00000024261 від 25.03.2025 17:00:54</t>
  </si>
  <si>
    <t>Надходження дод. витрат ІБ00-000235 від 07.04.2025 20:00:37
Доп. расходы при поступлении товаров</t>
  </si>
  <si>
    <t>Кременчуцький річковий порт ПРАТ
Договір 112/Б від 15.10.2024_Глобине-2
Надходження дод. витрат ІБ00-000235 від 07.04.2025 20:00:37</t>
  </si>
  <si>
    <t>Надходження дод. витрат ІБ00-000235 від 07.04.2025 20:00:37
Доп. расходы при поступлении товаров (Зачет аванса поставщику)</t>
  </si>
  <si>
    <t>09.04.2025</t>
  </si>
  <si>
    <t>Переміщення товарів ІБ00-000324 від 09.04.2025 11:05:00
Перемещение ТМЦ</t>
  </si>
  <si>
    <t>Обл. НДС
Піна монтажна  750 мл 
Надходження товарів і послуг ІБ00-001613 від 09.04.2025 11:00:00
АПК (Глобине)</t>
  </si>
  <si>
    <t>Обл. НДС
Піна монтажна  750 мл 
Надходження товарів і послуг ІБ00-001613 від 09.04.2025 11:00:00
Глобине-2</t>
  </si>
  <si>
    <t>11.04.2025</t>
  </si>
  <si>
    <t>Надходження товарів і послуг ІБ00-001648 від 11.04.2025 11:00:00
Оприходованы ТМЦ</t>
  </si>
  <si>
    <t>Обл. НДС
Кутник 125х125 мм 8,0 мм, S355JR. 12м
Надходження товарів і послуг ІБ00-001648 від 11.04.2025 11:00:00
АПК (Глобине)</t>
  </si>
  <si>
    <t>АВ МЕТАЛ ГРУП ТОВ
Дог 2420/Р от 05.10.2023від 05.10.2023_Глобино-2
Рахунок на оплату постачальника ІБ00-001268 від 11.04.2025 15:03:51</t>
  </si>
  <si>
    <t>26.04.2025</t>
  </si>
  <si>
    <t>Надходження товарів і послуг ІБ00-001882 від 26.04.2025 11:00:00
Оприходованы ТМЦ</t>
  </si>
  <si>
    <t>Обл. НДС
Бетон С20/25 W6 F75 P4
Надходження товарів і послуг ІБ00-001882 від 26.04.2025 11:00:00
АПК (Глобине)</t>
  </si>
  <si>
    <t>Кременчуцький річковий порт ПРАТ
Договір 112/Б від 15.10.2024_Глобине-2
Надходження товарів і послуг ІБ00-001882 від 26.04.2025 11:00:00</t>
  </si>
  <si>
    <t>Надходження товарів і послуг ІБ00-001882 від 26.04.2025 11:00:00
Оприходованы ТМЦ (Зачет аванса поставщику)</t>
  </si>
  <si>
    <t>Кременчуцький річковий порт ПРАТ
Договір 112/Б від 15.10.2024_Глобине-2
Списання з банківського рахунку 00000025169 від 10.04.2025 09:09:56</t>
  </si>
  <si>
    <t>Надходження дод. витрат ІБ00-000288 від 26.04.2025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</si>
  <si>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ІБ00-000288 від 26.04.2025 11:05:00</t>
  </si>
  <si>
    <t>29.04.2025</t>
  </si>
  <si>
    <t>Списання товарів ІБ00-000201 від 29.04.2025 00:00:00
Списаны ТМЦ</t>
  </si>
  <si>
    <t>Обл. НДС
Піна монтажна  750 мл 
Надходження товарів і послуг ІБ00-001198 від 21.03.2025 19:26:08
АПК (Глобине)</t>
  </si>
  <si>
    <t>Обл. НДС
Шуруп г/к по дереву 3,5*55 мм
Надходження товарів і послуг ІБ00-000711 від 18.02.2025 20:00:44
АПК (Глобине)</t>
  </si>
  <si>
    <t>Обл. НДС
Шуруп г/к по дереву 4,2*76 мм
Надходження товарів і послуг ІБ00-000711 від 18.02.2025 20:00:44
АПК (Глобине)</t>
  </si>
  <si>
    <t>Вимога-накладна ІБ00-000277 від 29.04.2025 14:08:17
Списаны ТМЦ</t>
  </si>
  <si>
    <t>Обл. НДС
Бетон С  8/10 Р4
Надходження товарів і послуг ІБ00-001449 від 22.03.2025 12:00:01
АПК (Глобине)</t>
  </si>
  <si>
    <t>Обл. НДС
Плівка п/е рукав 1500*200 мкм
Надходження товарів і послуг ІБ00-001528 від 26.03.2025 11:00:00
АПК (Глобине)</t>
  </si>
  <si>
    <t>Обл. НДС
Труба КАН внутр 50/1000 1,8мм
Надходження товарів і послуг ІБ00-001377 від 28.03.2025 20:00:14
АПК (Глобине)</t>
  </si>
  <si>
    <t>Обл. НДС
Труба КАН тришар 110/2000 2,7мм
Надходження товарів і послуг ІБ00-001377 від 28.03.2025 20:00:14
АПК (Глобине)</t>
  </si>
  <si>
    <t>Обл. НДС
Коліно каналіз. 50/90
Надходження товарів і послуг ІБ00-001377 від 28.03.2025 20:00:14
АПК (Глобине)</t>
  </si>
  <si>
    <t>Обл. НДС
Коліно 110/90° внутр КАН
Надходження товарів і послуг ІБ00-001377 від 28.03.2025 20:00:14
АПК (Глобине)</t>
  </si>
  <si>
    <t>Обл. НДС
Трійник 50/50/90° внутр
Надходження товарів і послуг ІБ00-001377 від 28.03.2025 20:00:14
АПК (Глобине)</t>
  </si>
  <si>
    <t>Обл. НДС
Трійник 110/50/90° 
Надходження товарів і послуг ІБ00-001377 від 28.03.2025 20:00:14
АПК (Глобине)</t>
  </si>
  <si>
    <t>Обл. НДС
Трійник 110/110/90° 
Надходження товарів і послуг ІБ00-001377 від 28.03.2025 20:00:14
АПК (Глобине)</t>
  </si>
  <si>
    <t>30.04.2025</t>
  </si>
  <si>
    <t>Переміщення товарів ІБ00-000422 від 30.04.2025 10:00:00
Перемещение ТМЦ</t>
  </si>
  <si>
    <t>Обл. НДС
Бетон С20/25 W6 F75 P4
Надходження товарів і послуг ІБ00-001882 від 26.04.2025 11:00:00
Пункт фасування та зберігання в бігбегах (Глобине)</t>
  </si>
  <si>
    <t>Переміщення товарів ІБ00-000374 від 30.04.2025 11:10:00
Перемещение ТМЦ</t>
  </si>
  <si>
    <t>Обл. НДС
Пенетрон Адмікс 18кг/мішок/відро
Надходження товарів і послуг ІБ00-001895 від 30.04.2025 11:00:00
АПК (Глобине)</t>
  </si>
  <si>
    <t>Обл. НДС
Пенетрон Адмікс 18кг/мішок/відро
Надходження товарів і послуг ІБ00-001895 від 30.04.2025 11:00:00
Глобине-2</t>
  </si>
  <si>
    <t>Вимога-накладна ІБ00-000347 від 30.04.2025 20:00:00
Списаны ТМЦ</t>
  </si>
  <si>
    <t>Обороти за період та сальдо на кінець</t>
  </si>
  <si>
    <t>Переміщення товарів ІБ00-000399 від 30.04.2025 10:00:00
Перемещение ТМЦ</t>
  </si>
  <si>
    <t>Обл. НДС
Щебінь 20-40
Надходження товарів і послуг ІБ00-001480 від 19.03.2025 11:00:00
Генплан благоустрій (Глобине)</t>
  </si>
  <si>
    <t>Обл. НДС
Щебінь 20-40
Надходження товарів і послуг ІБ00-001480 від 19.03.2025 11:00:00
Резервуар для зберігання розчинника(Глобине)</t>
  </si>
  <si>
    <t>Обл. НДС
Щебінь 20-40
Надходження товарів і послуг ІБ00-001479 від 24.03.2025 11:00:00
Генплан благоустрій (Глобине)</t>
  </si>
  <si>
    <t>Обл. НДС
Щебінь 20-40
Надходження товарів і послуг ІБ00-001479 від 24.03.2025 11:00:00
Резервуар для зберігання розчинника(Глобине)</t>
  </si>
  <si>
    <t>Вимога-накладна ІБ00-000328 від 30.04.2025 10:00:00
Списаны ТМЦ</t>
  </si>
  <si>
    <t>Надходження товарів і послуг ІБ00-001661 від 01.04.2025 11:00:00
Оприходованы ТМЦ</t>
  </si>
  <si>
    <t>Обл. НДС
Дріт в'язальний 1,6 мм  100м
Надходження товарів і послуг ІБ00-001661 від 01.04.2025 11:00:00
Генплан митний склад (Глобине)</t>
  </si>
  <si>
    <t>Солді і Ко ПАТ
Дог № 378542-55/19 від 21.01.2019 р. РАХ_Глобине-2
Рахунок на оплату постачальника ІБ00-001179 від 28.03.2025 20:00:28</t>
  </si>
  <si>
    <t>Переміщення товарів ІБ00-000331 від 01.04.2025 11:10:00
Перемещение ТМЦ</t>
  </si>
  <si>
    <t>Обл. НДС
Труба профільна 80*80*4 L=12 м
Надходження товарів і послуг ІБ00-001657 від 01.04.2025 11:00:00
Генплан митний склад (Глобине)</t>
  </si>
  <si>
    <t>Обл. НДС
Труба профільна 80*80*4 L=12 м
Надходження товарів і послуг ІБ00-001657 від 01.04.2025 11:00:00
Глобине-2</t>
  </si>
  <si>
    <t>Обл. НДС
Труба профільна 40*40*3,0  L=6000 мм ст1-3 сп/пс
Надходження товарів і послуг ІБ00-001657 від 01.04.2025 11:00:00
Генплан митний склад (Глобине)</t>
  </si>
  <si>
    <t>Обл. НДС
Труба профільна 40*40*3,0  L=6000 мм ст1-3 сп/пс
Надходження товарів і послуг ІБ00-001657 від 01.04.2025 11:00:00
Глобине-2</t>
  </si>
  <si>
    <t>Обл. НДС
Дріт 3,0мм з/я т/о 
Надходження товарів і послуг ІБ00-001657 від 01.04.2025 11:00:00
Генплан митний склад (Глобине)</t>
  </si>
  <si>
    <t>Обл. НДС
Дріт 3,0мм з/я т/о 
Надходження товарів і послуг ІБ00-001657 від 01.04.2025 11:00:00
Глобине-2</t>
  </si>
  <si>
    <t>Обл. НДС
Труба ДУ 32*2,8 ст.1-3пс; 6 м
Надходження товарів і послуг ІБ00-001657 від 01.04.2025 11:00:00
Генплан митний склад (Глобине)</t>
  </si>
  <si>
    <t>Обл. НДС
Труба ДУ 32*2,8 ст.1-3пс; 6 м
Надходження товарів і послуг ІБ00-001657 від 01.04.2025 11:00:00
Глобине-2</t>
  </si>
  <si>
    <t>Обл. НДС
Кутник 45х45х4,0
Надходження товарів і послуг ІБ00-001657 від 01.04.2025 11:00:00
Генплан митний склад (Глобине)</t>
  </si>
  <si>
    <t>Обл. НДС
Кутник 45х45х4,0
Надходження товарів і послуг ІБ00-001657 від 01.04.2025 11:00:00
Глобине-2</t>
  </si>
  <si>
    <t>Обл. НДС
Труба 100х100х4 (12,05- 8940:2019 08кп/1-3пс)
Надходження товарів і послуг ІБ00-001657 від 01.04.2025 11:00:00
Генплан митний склад (Глобине)</t>
  </si>
  <si>
    <t>Обл. НДС
Труба 100х100х4 (12,05- 8940:2019 08кп/1-3пс)
Надходження товарів і послуг ІБ00-001657 від 01.04.2025 11:00:00
Глобине-2</t>
  </si>
  <si>
    <t>02.04.2025</t>
  </si>
  <si>
    <t>Списання товарів ІБ00-000168 від 02.04.2025 15:47:34
Списаны ТМЦ</t>
  </si>
  <si>
    <t>Обл. НДС
Хомут нейлон. 4,8х350мм ІЕК
Надходження товарів і послуг ІБ00-001198 від 21.03.2025 19:26:08
Генплан митний склад (Глобине)</t>
  </si>
  <si>
    <t>Списання товарів ІБ00-000199 від 03.04.2025 17:41:39
Списаны ТМЦ</t>
  </si>
  <si>
    <t>Обл. НДС
Провід ПВС 3*2,5 бухта 100м 
Надходження товарів і послуг ІБ00-001045 від 12.03.2025 18:45:21
Генплан митний склад (Глобине)</t>
  </si>
  <si>
    <t>Надходження товарів і послуг ІБ00-001660 від 07.04.2025 11:00:00
Оприходованы ТМЦ</t>
  </si>
  <si>
    <t>Обл. НДС
Прожектор LED200W 6000К 16000Lm
Надходження товарів і послуг ІБ00-001660 від 07.04.2025 11:00:00
Генплан митний склад (Глобине)</t>
  </si>
  <si>
    <t>Моноліт - Центр" ТОВ
Рахунки_Глобине-2
Рахунок на оплату постачальника ІБ00-001341 від 14.03.2025 18:14:57</t>
  </si>
  <si>
    <t>Переміщення товарів ІБ00-000322 від 09.04.2025 11:10:00
Перемещение ТМЦ</t>
  </si>
  <si>
    <t>Обл. НДС
Бетон С20/25 W6 F75 P4 доб-5
Надходження товарів і послуг ІБ00-001591 від 09.04.2025 11:00:00
Генплан митний склад (Глобине)</t>
  </si>
  <si>
    <t>Обл. НДС
Бетон С20/25 W6 F75 P4 доб-5
Надходження товарів і послуг ІБ00-001591 від 09.04.2025 11:00:00
Глобине-2</t>
  </si>
  <si>
    <t>Надходження товарів і послуг ІБ00-001809 від 11.04.2025 11:00:00
Оприходованы ТМЦ (Зачет аванса поставщику)</t>
  </si>
  <si>
    <t>Обл. НДС
Дріт колючо-ріжуч спіраль діам кільця=500мм/3скоби 10м
Надходження товарів і послуг ІБ00-001809 від 11.04.2025 11:00:00
Генплан митний склад (Глобине)</t>
  </si>
  <si>
    <t>Сітка Захід Україна ТОВ
Договір 19/09/24 від 19.09.2024_Глобине 2
Рахунок на оплату постачальника ІБ00-001035 від 27.03.2025 18:14:42</t>
  </si>
  <si>
    <t>Надходження товарів і послуг ІБ00-001604 від 11.04.2025 20:51:44
Оприходованы ТМЦ</t>
  </si>
  <si>
    <t>Обл. НДС
Щебінь 40-70
Надходження товарів і послуг ІБ00-001604 від 11.04.2025 20:51:44
Генплан митний склад (Глобине)</t>
  </si>
  <si>
    <t>Енергія Логістик ТОВ
№28/10-2024 ВІД 28/10/24_Глобине-2
Рахунок на оплату постачальника ІБ00-001315 від 11.04.2025 20:51:43</t>
  </si>
  <si>
    <t>Надходження дод. витрат ІБ00-000246 від 11.04.2025 20:51:45
Доп. расходы при поступлении товаров</t>
  </si>
  <si>
    <t>12.04.2025</t>
  </si>
  <si>
    <t>Надходження товарів і послуг ІБ00-001628 від 12.04.2025 12:00:03
Оприходованы ТМЦ</t>
  </si>
  <si>
    <t>Обл. НДС
Щебенево-піщана суміш фр 0-70 мм
Надходження товарів і послуг ІБ00-001628 від 12.04.2025 12:00:03
Генплан митний склад (Глобине)</t>
  </si>
  <si>
    <t>Венкрас Авто ПП
Договір 05/09/2024 від 05.09.2024_Глобине-2
Рахунок на оплату постачальника ІБ00-001331 від 12.04.2025 12:00:02</t>
  </si>
  <si>
    <t>Надходження дод. витрат ІБ00-000265 від 12.04.2025 12:05:00
Доп. расходы при поступлении товаров</t>
  </si>
  <si>
    <t>15.04.2025</t>
  </si>
  <si>
    <t>Переміщення товарів ІБ00-000334 від 15.04.2025 11:10:00
Перемещение ТМЦ</t>
  </si>
  <si>
    <t>Обл. НДС
Пісок з відсіву дроблення щебеню фр. 0-5мм.
Надходження товарів і послуг ІБ00-001681 від 15.04.2025 11:00:00
Генплан митний склад (Глобине)</t>
  </si>
  <si>
    <t>Обл. НДС
Пісок з відсіву дроблення щебеню фр. 0-5мм.
Надходження товарів і послуг ІБ00-001681 від 15.04.2025 11:00:00
Глобине-2</t>
  </si>
  <si>
    <t>18.04.2025</t>
  </si>
  <si>
    <t>Переміщення товарів ІБ00-000345 від 18.04.2025 11:10:00
Перемещение ТМЦ</t>
  </si>
  <si>
    <t>Обл. НДС
Пісок з відсіву дроблення щебеню фр. 0-5мм.
Надходження товарів і послуг ІБ00-001749 від 18.04.2025 11:00:00
Генплан митний склад (Глобине)</t>
  </si>
  <si>
    <t>Обл. НДС
Пісок з відсіву дроблення щебеню фр. 0-5мм.
Надходження товарів і послуг ІБ00-001749 від 18.04.2025 11:00:00
Глобине-2</t>
  </si>
  <si>
    <t>Переміщення товарів ІБ00-000402 від 30.04.2025 10:00:00
Перемещение ТМЦ</t>
  </si>
  <si>
    <t>Обл. НДС
Бетон С 20/25  F75 W6 Р4
Надходження товарів і послуг ІБ00-001450 від 20.03.2025 12:16:00
Цех екстракції (Глобине)</t>
  </si>
  <si>
    <t>Обл. НДС
Бетон С 20/25  F75 W6 Р4
Надходження товарів і послуг ІБ00-001450 від 20.03.2025 12:16:00
Генплан митний склад (Глобине)</t>
  </si>
  <si>
    <t>Обл. НДС
Бетон С20/25 W6 F75 P4 доб-5
Надходження товарів і послуг ІБ00-001591 від 09.04.2025 11:00:00
Цех екстракції (Глобине)</t>
  </si>
  <si>
    <t>Переміщення товарів ІБ00-000405 від 30.04.2025 10:00:00
Перемещение ТМЦ</t>
  </si>
  <si>
    <t>Обл. НДС
Щебінь 40-70
Надходження товарів і послуг ІБ00-001604 від 11.04.2025 20:51:44
Генплан підпірна стінка (Глобине)</t>
  </si>
  <si>
    <t>Надходження товарів і послуг ІБ00-002038 від 01.04.2025 11:00:00
Оприходованы ТМЦ (Зачет аванса поставщику)</t>
  </si>
  <si>
    <t>Обл. НДС
Цемент ПЦ ІІ/А-Ш 500 25кг 1пал/64шт
Надходження товарів і послуг ІБ00-002038 від 01.04.2025 11:00:00
Генплан підпірна стінка (Глобине)</t>
  </si>
  <si>
    <t>Лозовий Микола Миколайович ФОП
РАХУНКИ_Глобино-2
Рахунок на оплату постачальника ІБ00-000941 від 17.03.2025 18:00:03</t>
  </si>
  <si>
    <t>Надходження товарів і послуг ІБ00-002042 від 01.04.2025 11:00:00
Оприходованы ТМЦ (Зачет аванса поставщику)</t>
  </si>
  <si>
    <t>Обл. НДС
Цемент ПЦ ІІ/А-Ш 500 25кг 1пал/64шт
Надходження товарів і послуг ІБ00-002042 від 01.04.2025 11:00:00
Генплан підпірна стінка (Глобине)</t>
  </si>
  <si>
    <t>Лозовий Микола Миколайович ФОП
РАХУНКИ_Глобино-2
Рахунок на оплату постачальника ІБ00-000940 від 17.03.2025 18:00:02</t>
  </si>
  <si>
    <t>Переміщення товарів ІБ00-000349 від 01.04.2025 11:05:00
Перемещение ТМЦ</t>
  </si>
  <si>
    <t>Обл. НДС
дошка 0,15*0,25 4 м
Надходження товарів і послуг ІБ00-001790 від 01.04.2025 11:00:00
Генплан підпірна стінка (Глобине)</t>
  </si>
  <si>
    <t>Обл. НДС
дошка 0,15*0,25 4 м
Надходження товарів і послуг ІБ00-001790 від 01.04.2025 11:00:00
Глобине-2</t>
  </si>
  <si>
    <t>Переміщення товарів ІБ00-000303 від 01.04.2025 18:03:57
Перемещение ТМЦ</t>
  </si>
  <si>
    <t>Обл. НДС
Щебінь 20-40
Надходження товарів і послуг ІБ00-001482 від 18.03.2025 11:00:00
Цех екстракції (Глобине)</t>
  </si>
  <si>
    <t>Обл. НДС
Щебінь 20-40
Надходження товарів і послуг ІБ00-001482 від 18.03.2025 11:00:00
Генплан підпірна стінка (Глобине)</t>
  </si>
  <si>
    <t>14.04.2025</t>
  </si>
  <si>
    <t>Переміщення товарів ІБ00-000337 від 14.04.2025 11:15:00
Перемещение ТМЦ</t>
  </si>
  <si>
    <t>Обл. НДС
Щебенево-піщана суміш фр 0-70 мм
Надходження товарів і послуг ІБ00-001691 від 14.04.2025 11:04:21
Генплан підпірна стінка (Глобине)</t>
  </si>
  <si>
    <t>Обл. НДС
Щебенево-піщана суміш фр 0-70 мм
Надходження товарів і послуг ІБ00-001691 від 14.04.2025 11:04:21
Глобине-2</t>
  </si>
  <si>
    <t>21.04.2025</t>
  </si>
  <si>
    <t>Надходження товарів і послуг ІБ00-001748 від 21.04.2025 11:00:00
Оприходованы ТМЦ</t>
  </si>
  <si>
    <t>Обл. НДС
Пісок з відсіву дроблення щебеню фр. 0-5мм.
Надходження товарів і послуг ІБ00-001748 від 21.04.2025 11:00:00
Генплан підпірна стінка (Глобине)</t>
  </si>
  <si>
    <t>Енергія Логістик ТОВ
№28/10-2024 ВІД 28/10/24_Глобине-2
Рахунок на оплату постачальника ІБ00-001404 від 21.04.2025 11:00:01</t>
  </si>
  <si>
    <t>23.04.2025</t>
  </si>
  <si>
    <t>Переміщення товарів ІБ00-000358 від 23.04.2025 11:10:00
Перемещение ТМЦ</t>
  </si>
  <si>
    <t>Обл. НДС
Пісок з відсіву дроблення щебеню фр. 0-5мм.
Надходження товарів і послуг ІБ00-001810 від 23.04.2025 11:00:00
Генплан підпірна стінка (Глобине)</t>
  </si>
  <si>
    <t>Обл. НДС
Пісок з відсіву дроблення щебеню фр. 0-5мм.
Надходження товарів і послуг ІБ00-001810 від 23.04.2025 11:00:00
Глобине-2</t>
  </si>
  <si>
    <t>Переміщення товарів ІБ00-000406 від 30.04.2025 10:00:00
Перемещение ТМЦ</t>
  </si>
  <si>
    <t>Обл. НДС
Бетон С20/25 W6 F75 P4
Надходження товарів і послуг ІБ00-001089 від 13.03.2025 18:55:01
СПК (Глобине)</t>
  </si>
  <si>
    <t>Обл. НДС
Бетон С20/25 W6 F75 P4
Надходження товарів і послуг ІБ00-001089 від 13.03.2025 18:55:01
Генплан підпірна стінка (Глобине)</t>
  </si>
  <si>
    <t>Переміщення товарів ІБ00-000407 від 30.04.2025 10:00:00
Перемещение ТМЦ</t>
  </si>
  <si>
    <t>Обл. НДС
Бетон С20/25 W6 F75 P4
Надходження товарів і послуг ІБ00-001089 від 13.03.2025 18:55:01
Котельна (Глобине)</t>
  </si>
  <si>
    <t>Переміщення товарів ІБ00-000410 від 30.04.2025 10:00:00
Перемещение ТМЦ</t>
  </si>
  <si>
    <t>Переміщення товарів ІБ00-000420 від 30.04.2025 10:00:00
Перемещение ТМЦ</t>
  </si>
  <si>
    <t>Обл. НДС
Бетон С20/25 W6 F75 P4
Надходження товарів і послуг ІБ00-001089 від 13.03.2025 18:55:01
Пункт фасування та зберігання в бігбегах (Глобине)</t>
  </si>
  <si>
    <t>Переміщення товарів ІБ00-000423 від 30.04.2025 10:00:00
Перемещение ТМЦ</t>
  </si>
  <si>
    <t>Обл. НДС
Фібра поліпропілен 12мм
Надходження товарів і послуг ІБ00-001072 від 01.03.2025 18:17:15
Транспортна галерея (Глобине)</t>
  </si>
  <si>
    <t>Обл. НДС
Фібра поліпропілен 12мм
Надходження товарів і послуг ІБ00-001072 від 01.03.2025 18:17:15
Генплан підпірна стінка (Глобине)</t>
  </si>
  <si>
    <t>Вимога-накладна ІБ00-000337 від 30.04.2025 11:00:00
Списаны ТМЦ</t>
  </si>
  <si>
    <t>Переміщення товарів ІБ00-000382 від 30.04.2025 11:10:00
Перемещение ТМЦ</t>
  </si>
  <si>
    <t>Обл. НДС
Бетон С 30/35 W4 F75 Р4
Надходження товарів і послуг ІБ00-001961 від 30.04.2025 11:00:00
Генплан підпірна стінка (Глобине)</t>
  </si>
  <si>
    <t>Обл. НДС
Бетон С 30/35 W4 F75 Р4
Надходження товарів і послуг ІБ00-001961 від 30.04.2025 11:00:00
Глобине-2</t>
  </si>
  <si>
    <t>Надходження товарів і послуг ІБ00-001657 від 01.04.2025 11:00:00
Оприходованы ТМЦ (Зачет аванса поставщику)</t>
  </si>
  <si>
    <t>Обл. НДС
Круг 10 (6,05- 3760 3пс/А240с)
Надходження товарів і послуг ІБ00-001657 від 01.04.2025 11:00:00
Глобине-2</t>
  </si>
  <si>
    <t>МЕТАЛ ХОЛДІНГ ТРЕЙД ТОВ
Договір 01/467/24 від 06.09.2024_Глобине-2
Рахунок на оплату постачальника ІБ00-000855 від 13.03.2025 18:54:43</t>
  </si>
  <si>
    <t>Обл. НДС
Арматура 12 міра (12-3760  А500С/А400С)
Надходження товарів і послуг ІБ00-001657 від 01.04.2025 11:00:00
Глобине-2</t>
  </si>
  <si>
    <t>Обл. НДС
Арматура 14 міра (12-3760  А500С/А400С)
Надходження товарів і послуг ІБ00-001657 від 01.04.2025 11:00:00
Глобине-2</t>
  </si>
  <si>
    <t>Обл. НДС
Труба г/к 377х9 (11,8- 8732 20)
Надходження товарів і послуг ІБ00-001657 від 01.04.2025 11:00:00
Глобине-2</t>
  </si>
  <si>
    <t>Обл. НДС
Дріт 1,2 мм термооброблений
Надходження товарів і послуг ІБ00-001657 від 01.04.2025 11:00:00
Глобине-2</t>
  </si>
  <si>
    <t>Обл. НДС
Балка 30  (12,05 8239 3пс5)
Надходження товарів і послуг ІБ00-001657 від 01.04.2025 11:00:00
Глобине-2</t>
  </si>
  <si>
    <t>Надходження товарів і послуг ІБ00-001657 від 01.04.2025 11:00:00
Оприходованы ТМЦ</t>
  </si>
  <si>
    <t>Обл. НДС
Труба профільна 100*100*4 L=12000 мм ст1-3 сп/пс
Надходження товарів і послуг ІБ00-001657 від 01.04.2025 11:00:00
Глобине-2</t>
  </si>
  <si>
    <t>Обл. НДС
Труба профільна 80*80*4 L=12  ст 1-3 сп/пс
Надходження товарів і послуг ІБ00-001657 від 01.04.2025 11:00:00
Глобине-2</t>
  </si>
  <si>
    <t>Обл. НДС
Кутик 75*75*6мм ст.3ПС МІРА 12 м
Надходження товарів і послуг ІБ00-001657 від 01.04.2025 11:00:00
Глобине-2</t>
  </si>
  <si>
    <t>Надходження товарів і послуг ІБ00-001790 від 01.04.2025 11:00:00
Оприходованы ТМЦ (Зачет аванса поставщику)</t>
  </si>
  <si>
    <t>Мошинець Ю.П. ФОП
Рахунки_Глобине-2
Рахунок на оплату постачальника ІБ00-000841 від 01.03.2025 18:16:41</t>
  </si>
  <si>
    <t>Обл. НДС
Плита OSB 18 мм
Надходження товарів і послуг ІБ00-001790 від 01.04.2025 11:00:00
Глобине-2</t>
  </si>
  <si>
    <t>Переміщення товарів ІБ00-000348 від 01.04.2025 11:05:00
Перемещение ТМЦ</t>
  </si>
  <si>
    <t>Обл. НДС
дошка 0,15*0,25 4 м
Надходження товарів і послуг ІБ00-001790 від 01.04.2025 11:00:00
Цех екстракції (Глобине)</t>
  </si>
  <si>
    <t>Обл. НДС
Плита OSB 18 мм
Надходження товарів і послуг ІБ00-001790 від 01.04.2025 11:00:00
Цех екстракції (Глобине)</t>
  </si>
  <si>
    <t>Надходження дод. витрат ІБ00-000253 від 01.04.2025 11:05:00
Доп. расходы при поступлении товаров</t>
  </si>
  <si>
    <t>Переміщення товарів ІБ00-000329 від 01.04.2025 11:10:00
Перемещение ТМЦ</t>
  </si>
  <si>
    <t>Обл. НДС
Круг 10 (6,05- 3760 3пс/А240с)
Надходження товарів і послуг ІБ00-001657 від 01.04.2025 11:00:00
Транспортна галерея (Глобине)</t>
  </si>
  <si>
    <t>Обл. НДС
Арматура 12 міра (12-3760  А500С/А400С)
Надходження товарів і послуг ІБ00-001657 від 01.04.2025 11:00:00
Транспортна галерея (Глобине)</t>
  </si>
  <si>
    <t>Обл. НДС
Арматура 14 міра (12-3760  А500С/А400С)
Надходження товарів і послуг ІБ00-001657 від 01.04.2025 11:00:00
Транспортна галерея (Глобине)</t>
  </si>
  <si>
    <t>Обл. НДС
Дріт 1,2 мм термооброблений
Надходження товарів і послуг ІБ00-001657 від 01.04.2025 11:00:00
Транспортна галерея (Глобине)</t>
  </si>
  <si>
    <t>Переміщення товарів ІБ00-000330 від 01.04.2025 11:10:00
Перемещение ТМЦ</t>
  </si>
  <si>
    <t>Обл. НДС
Труба г/к 377х9 (11,8- 8732 20)
Надходження товарів і послуг ІБ00-001657 від 01.04.2025 11:00:00
Резервуар для зберігання розчинника(Глобине)</t>
  </si>
  <si>
    <t>Переміщення товарів ІБ00-000332 від 01.04.2025 11:10:00
Перемещение ТМЦ</t>
  </si>
  <si>
    <t>Обл. НДС
Балка 30  (12,05 8239 3пс5)
Надходження товарів і послуг ІБ00-001657 від 01.04.2025 11:00:00
Пожежений резервуар (Глобине)</t>
  </si>
  <si>
    <t>Обл. НДС
Труба профільна 100*100*4 L=12000 мм ст1-3 сп/пс
Надходження товарів і послуг ІБ00-001657 від 01.04.2025 11:00:00
Пожежений резервуар (Глобине)</t>
  </si>
  <si>
    <t>Переміщення товарів ІБ00-000333 від 01.04.2025 11:10:00
Перемещение ТМЦ</t>
  </si>
  <si>
    <t>Обл. НДС
Труба профільна 80*80*4 L=12  ст 1-3 сп/пс
Надходження товарів і послуг ІБ00-001657 від 01.04.2025 11:00:00
Котельна (Глобине)</t>
  </si>
  <si>
    <t>Обл. НДС
Кутик 75*75*6мм ст.3ПС МІРА 12 м
Надходження товарів і послуг ІБ00-001657 від 01.04.2025 11:00:00
Котельна (Глобине)</t>
  </si>
  <si>
    <t>Переміщення товарів ІБ00-000364 від 01.04.2025 23:11:18
Перемещение ТМЦ</t>
  </si>
  <si>
    <t>Обл. НДС
Бетон С 8/10 Р4 доб-10
Надходження товарів і послуг ІБ00-000728 від 22.02.2025 20:00:06
Пункт фасування та зберігання в бігбегах (Глобине)</t>
  </si>
  <si>
    <t>Обл. НДС
Бетон С 8/10 Р4 доб-10
Надходження товарів і послуг ІБ00-000728 від 22.02.2025 20:00:06
Глобине-2</t>
  </si>
  <si>
    <t>Надходження товарів і послуг ІБ00-001438 від 02.04.2025 18:11:01
Оприходованы ТМЦ (Зачет аванса поставщику)</t>
  </si>
  <si>
    <t>Обл. НДС
Бетон С 20/25  F75 W6 Р4
Надходження товарів і послуг ІБ00-001438 від 02.04.2025 18:11:01
Глобине-2</t>
  </si>
  <si>
    <t>Кременчуцький річковий порт ПРАТ
Договір 112/Б від 15.10.2024_Глобине-2
Списання з банківського рахунку 00000024157 від 21.03.2025 17:06:46</t>
  </si>
  <si>
    <t>Надходження дод. витрат ІБ00-000213 від 02.04.2025 18:11:02
Доп. расходы при поступлении товаров (Зачет аванса поставщику)</t>
  </si>
  <si>
    <t>Переміщення товарів ІБ00-000285 від 02.04.2025 18:11:03
Перемещение ТМЦ</t>
  </si>
  <si>
    <t>Обл. НДС
Бетон С 20/25  F75 W6 Р4
Надходження товарів і послуг ІБ00-001438 від 02.04.2025 18:11:01
Цех екстракції (Глобине)</t>
  </si>
  <si>
    <t>Переміщення товарів ІБ00-000286 від 02.04.2025 18:11:04
Перемещение ТМЦ</t>
  </si>
  <si>
    <t>Обл. НДС
Бетон С 20/25  F75 W6 Р4
Надходження товарів і послуг ІБ00-001438 від 02.04.2025 18:11:01
Пункт фасування та зберігання в бігбегах (Глобине)</t>
  </si>
  <si>
    <t>Надходження товарів і послуг ІБ00-001437 від 04.04.2025 11:24:02
Оприходованы ТМЦ (Зачет аванса поставщику)</t>
  </si>
  <si>
    <t>Обл. НДС
Бетон С 20/25  F75 W6 Р4
Надходження товарів і послуг ІБ00-001437 від 04.04.2025 11:24:02
Глобине-2</t>
  </si>
  <si>
    <t>Надходження дод. витрат ІБ00-000212 від 04.04.2025 11:30:00
Доп. расходы при поступлении товаров (Зачет аванса поставщику)</t>
  </si>
  <si>
    <t>Переміщення товарів ІБ00-000282 від 04.04.2025 11:35:00
Перемещение ТМЦ</t>
  </si>
  <si>
    <t>Обл. НДС
Бетон С 20/25  F75 W6 Р4
Надходження товарів і послуг ІБ00-001437 від 04.04.2025 11:24:02
СПК (Глобине)</t>
  </si>
  <si>
    <t>Переміщення товарів ІБ00-000283 від 04.04.2025 11:40:00
Перемещение ТМЦ</t>
  </si>
  <si>
    <t>Обл. НДС
Бетон С 20/25  F75 W6 Р4
Надходження товарів і послуг ІБ00-001437 від 04.04.2025 11:24:02
Цех екстракції (Глобине)</t>
  </si>
  <si>
    <t>Переміщення товарів ІБ00-000284 від 04.04.2025 11:40:00
Перемещение ТМЦ</t>
  </si>
  <si>
    <t>Обл. НДС
Бетон С 20/25  F75 W6 Р4
Надходження товарів і послуг ІБ00-001437 від 04.04.2025 11:24:02
Пункт фасування та зберігання в бігбегах (Глобине)</t>
  </si>
  <si>
    <t>05.04.2025</t>
  </si>
  <si>
    <t>Надходження товарів і послуг ІБ00-001435 від 05.04.2025 12:00:00
Оприходованы ТМЦ (Зачет аванса поставщику)</t>
  </si>
  <si>
    <t>Обл. НДС
Бетон С 20/25  F75 W6 Р4
Надходження товарів і послуг ІБ00-001435 від 05.04.2025 12:00:00
Глобине-2</t>
  </si>
  <si>
    <t>Надходження дод. витрат ІБ00-000211 від 05.04.2025 12:00:01
Доп. расходы при поступлении товаров (Зачет аванса поставщику)</t>
  </si>
  <si>
    <t>Переміщення товарів ІБ00-000280 від 05.04.2025 12:05:00
Перемещение ТМЦ</t>
  </si>
  <si>
    <t>Обл. НДС
Бетон С 20/25  F75 W6 Р4
Надходження товарів і послуг ІБ00-001435 від 05.04.2025 12:00:00
Цех екстракції (Глобине)</t>
  </si>
  <si>
    <t>Переміщення товарів ІБ00-000281 від 05.04.2025 12:05:00
Перемещение ТМЦ</t>
  </si>
  <si>
    <t>Обл. НДС
Бетон С 20/25  F75 W6 Р4
Надходження товарів і послуг ІБ00-001435 від 05.04.2025 12:00:00
Пункт фасування та зберігання в бігбегах (Глобине)</t>
  </si>
  <si>
    <t>Надходження товарів і послуг ІБ00-001591 від 09.04.2025 11:00:00
Оприходованы ТМЦ</t>
  </si>
  <si>
    <t>Кременчуцький річковий порт ПРАТ
Договір 112/Б від 15.10.2024_Глобине-2
Надходження товарів і послуг ІБ00-001591 від 09.04.2025 11:00:00</t>
  </si>
  <si>
    <t>Надходження товарів і послуг ІБ00-001613 від 09.04.2025 11:00:00
Оприходованы ТМЦ</t>
  </si>
  <si>
    <t>Лук'ян Михайло Федорович ФОП
22/08-24-1 от 22.08.2024 (РАХУНКИ)_Глобине-2
Рахунок на оплату постачальника ІБ00-001318 від 09.04.2025 23:59:59</t>
  </si>
  <si>
    <t>Надходження дод. витрат ІБ00-000245 від 09.04.2025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</si>
  <si>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ІБ00-000245 від 09.04.2025 11:05:00</t>
  </si>
  <si>
    <t>Переміщення товарів ІБ00-000321 від 09.04.2025 11:10:00
Перемещение ТМЦ</t>
  </si>
  <si>
    <t>Надходження товарів і послуг ІБ00-001614 від 11.04.2025 11:00:00
Оприходованы ТМЦ</t>
  </si>
  <si>
    <t>Обл. НДС
Шуруп г/к по дереву 3,5*55 мм
Надходження товарів і послуг ІБ00-001614 від 11.04.2025 11:00:00
Глобине-2</t>
  </si>
  <si>
    <t>Лук'ян Михайло Федорович ФОП
22/08-24-1 от 22.08.2024 (РАХУНКИ)_Глобине-2
Рахунок на оплату постачальника ІБ00-001319 від 10.04.2025 22:56:53</t>
  </si>
  <si>
    <t>Обл. НДС
Полотно шабельне 455*50*1,5мм крок 12,7мм
Надходження товарів і послуг ІБ00-001614 від 11.04.2025 11:00:00
Глобине-2</t>
  </si>
  <si>
    <t>Надходження товарів і послуг ІБ00-001629 від 11.04.2025 11:00:00
Оприходованы ТМЦ (Зачет аванса поставщику)</t>
  </si>
  <si>
    <t>Обл. НДС
Бетон С20/25 W6 F75 P4 доб-5
Надходження товарів і послуг ІБ00-001629 від 11.04.2025 11:00:00
Глобине-2</t>
  </si>
  <si>
    <t>Надходження дод. витрат ІБ00-000250 від 11.04.2025 11:05:00
Доп. расходы при поступлении товаров (Зачет аванса поставщику)</t>
  </si>
  <si>
    <t>Переміщення товарів ІБ00-000326 від 11.04.2025 11:10:00
Перемещение ТМЦ</t>
  </si>
  <si>
    <t>Обл. НДС
Бетон С20/25 W6 F75 P4 доб-5
Надходження товарів і послуг ІБ00-001629 від 11.04.2025 11:00:00
Резервуар для зберігання розчинника(Глобине)</t>
  </si>
  <si>
    <t>Переміщення товарів ІБ00-000327 від 11.04.2025 11:10:00
Перемещение ТМЦ</t>
  </si>
  <si>
    <t>Обл. НДС
Бетон С20/25 W6 F75 P4 доб-5
Надходження товарів і послуг ІБ00-001629 від 11.04.2025 11:00:00
СПК (Глобине)</t>
  </si>
  <si>
    <t>Переміщення товарів ІБ00-000328 від 11.04.2025 11:10:00
Перемещение ТМЦ</t>
  </si>
  <si>
    <t>Обл. НДС
Бетон С20/25 W6 F75 P4 доб-5
Надходження товарів і послуг ІБ00-001629 від 11.04.2025 11:00:00
Пункт фасування та зберігання в бігбегах (Глобине)</t>
  </si>
  <si>
    <t>Надходження товарів і послуг ІБ00-001692 від 14.04.2025 11:00:00
Оприходованы ТМЦ</t>
  </si>
  <si>
    <t>Обл. НДС
Пісок з відсіву дроблення щебеню фр. 0-5мм.
Надходження товарів і послуг ІБ00-001692 від 14.04.2025 11:00:00
Глобине-2</t>
  </si>
  <si>
    <t>Енергія Логістик ТОВ
№28/10-2024 ВІД 28/10/24_Глобине-2
Рахунок на оплату постачальника ІБ00-001388 від 14.04.2025 18:04:21</t>
  </si>
  <si>
    <t>Обл. НДС
Щебінь 20-40
Надходження товарів і послуг ІБ00-001692 від 14.04.2025 11:00:00
Глобине-2</t>
  </si>
  <si>
    <t>Надходження товарів і послуг ІБ00-001691 від 14.04.2025 11:04:21
Оприходованы ТМЦ</t>
  </si>
  <si>
    <t>Венкрас Авто ПП
Договір 05/09/2024 від 05.09.2024_Глобине-2
Рахунок на оплату постачальника ІБ00-001387 від 14.04.2025 18:04:20</t>
  </si>
  <si>
    <t>Надходження дод. витрат ІБ00-000261 від 14.04.2025 11:05:00
Доп. расходы при поступлении товаров</t>
  </si>
  <si>
    <t>Надходження дод. витрат ІБ00-000272 від 14.04.2025 11:10:00
Доп. расходы при поступлении товаров</t>
  </si>
  <si>
    <t>Переміщення товарів ІБ00-000336 від 14.04.2025 11:15:00
Перемещение ТМЦ</t>
  </si>
  <si>
    <t>Обл. НДС
Щебенево-піщана суміш фр 0-70 мм
Надходження товарів і послуг ІБ00-001691 від 14.04.2025 11:04:21
СПК (Глобине)</t>
  </si>
  <si>
    <t>Переміщення товарів ІБ00-000338 від 14.04.2025 11:15:00
Перемещение ТМЦ</t>
  </si>
  <si>
    <t>Обл. НДС
Пісок з відсіву дроблення щебеню фр. 0-5мм.
Надходження товарів і послуг ІБ00-001692 від 14.04.2025 11:00:00
СПК (Глобине)</t>
  </si>
  <si>
    <t>Обл. НДС
Щебінь 20-40
Надходження товарів і послуг ІБ00-001692 від 14.04.2025 11:00:00
СПК (Глобине)</t>
  </si>
  <si>
    <t>Переміщення товарів ІБ00-000339 від 14.04.2025 11:15:00
Перемещение ТМЦ</t>
  </si>
  <si>
    <t>Обл. НДС
Щебінь 20-40
Надходження товарів і послуг ІБ00-001692 від 14.04.2025 11:00:00
Резервуар для зберігання розчинника(Глобине)</t>
  </si>
  <si>
    <t>Надходження товарів і послуг ІБ00-001681 від 15.04.2025 11:00:00
Оприходованы ТМЦ</t>
  </si>
  <si>
    <t>Енергія Логістик ТОВ
№28/10-2024 ВІД 28/10/24_Глобине-2
Рахунок на оплату постачальника ІБ00-001379 від 15.04.2025 18:30:55</t>
  </si>
  <si>
    <t>Надходження дод. витрат ІБ00-000260 від 15.04.2025 11:05:00
Доп. расходы при поступлении товаров</t>
  </si>
  <si>
    <t>Переміщення товарів ІБ00-000335 від 15.04.2025 11:10:00
Перемещение ТМЦ</t>
  </si>
  <si>
    <t>Обл. НДС
Пісок з відсіву дроблення щебеню фр. 0-5мм.
Надходження товарів і послуг ІБ00-001681 від 15.04.2025 11:00:00
СПК (Глобине)</t>
  </si>
  <si>
    <t>17.04.2025</t>
  </si>
  <si>
    <t>Надходження товарів і послуг ІБ00-001750 від 17.04.2025 11:00:00
Оприходованы ТМЦ</t>
  </si>
  <si>
    <t>Обл. НДС
Пісок з відсіву дроблення щебеню фр. 0-5мм.
Надходження товарів і послуг ІБ00-001750 від 17.04.2025 11:00:00
Глобине-2</t>
  </si>
  <si>
    <t>Енергія Логістик ТОВ
№28/10-2024 ВІД 28/10/24_Глобине-2
Рахунок на оплату постачальника ІБ00-001406 від 17.04.2025 18:06:20</t>
  </si>
  <si>
    <t>Надходження дод. витрат ІБ00-000267 від 17.04.2025 11:05:00
Доп. расходы при поступлении товаров</t>
  </si>
  <si>
    <t>Переміщення товарів ІБ00-000346 від 17.04.2025 11:10:00
Перемещение ТМЦ</t>
  </si>
  <si>
    <t>Обл. НДС
Пісок з відсіву дроблення щебеню фр. 0-5мм.
Надходження товарів і послуг ІБ00-001750 від 17.04.2025 11:00:00
СПК (Глобине)</t>
  </si>
  <si>
    <t>Переміщення товарів ІБ00-000347 від 17.04.2025 11:10:00
Перемещение ТМЦ</t>
  </si>
  <si>
    <t>Обл. НДС
Пісок з відсіву дроблення щебеню фр. 0-5мм.
Надходження товарів і послуг ІБ00-001750 від 17.04.2025 11:00:00
Резервуар для зберігання розчинника(Глобине)</t>
  </si>
  <si>
    <t>Надходження товарів і послуг ІБ00-001749 від 18.04.2025 11:00:00
Оприходованы ТМЦ</t>
  </si>
  <si>
    <t>Енергія Логістик ТОВ
№28/10-2024 ВІД 28/10/24_Глобине-2
Рахунок на оплату постачальника ІБ00-001405 від 18.04.2025 18:10:02</t>
  </si>
  <si>
    <t>Надходження дод. витрат ІБ00-000266 від 18.04.2025 11:05:00
Доп. расходы при поступлении товаров</t>
  </si>
  <si>
    <t>Переміщення товарів ІБ00-000344 від 18.04.2025 11:10:00
Перемещение ТМЦ</t>
  </si>
  <si>
    <t>Обл. НДС
Пісок з відсіву дроблення щебеню фр. 0-5мм.
Надходження товарів і послуг ІБ00-001749 від 18.04.2025 11:00:00
СПК (Глобине)</t>
  </si>
  <si>
    <t>22.04.2025</t>
  </si>
  <si>
    <t>Надходження товарів і послуг ІБ00-001808 від 22.04.2025 11:00:00
Оприходованы ТМЦ</t>
  </si>
  <si>
    <t>Обл. НДС
Кутик 50*50*5мм ст. S235 JR 6м
Надходження товарів і послуг ІБ00-001808 від 22.04.2025 11:00:00
Глобине-2</t>
  </si>
  <si>
    <t>МЕТАЛ ХОЛДІНГ ТРЕЙД ТОВ
Дог 01/219/25 від 01.04.2025_Глобине-2
Рахунок на оплату постачальника ІБ00-001456 від 15.04.2025 18:31:02</t>
  </si>
  <si>
    <t>Обл. НДС
Лист г/к 10,0 мм 1500*6000, S235 JR
Надходження товарів і послуг ІБ00-001808 від 22.04.2025 11:00:00
Глобине-2</t>
  </si>
  <si>
    <t>Обл. НДС
Лист г/к 20х1500х6000, ст.3пс5/S235JR
Надходження товарів і послуг ІБ00-001808 від 22.04.2025 11:00:00
Глобине-2</t>
  </si>
  <si>
    <t>Обл. НДС
Лист г/к 20*1500*6000, S355J2
Надходження товарів і послуг ІБ00-001808 від 22.04.2025 11:00:00
Глобине-2</t>
  </si>
  <si>
    <t>Обл. НДС
Лист г/к 30,0 мм 1500*6000, S235 JR
Надходження товарів і послуг ІБ00-001808 від 22.04.2025 11:00:00
Глобине-2</t>
  </si>
  <si>
    <t>Обл. НДС
Лист г/к  8 мм (1500х6000, ст3пс)
Надходження товарів і послуг ІБ00-001808 від 22.04.2025 11:00:00
Глобине-2</t>
  </si>
  <si>
    <t>Обл. НДС
Труба 40х40х3 (6,05-S235/S275)
Надходження товарів і послуг ІБ00-001808 від 22.04.2025 11:00:00
Глобине-2</t>
  </si>
  <si>
    <t>Обл. НДС
Кутник 100х100х7 мм ст.3 сп 5 12м
Надходження товарів і послуг ІБ00-001808 від 22.04.2025 11:00:00
Глобине-2</t>
  </si>
  <si>
    <t>Обл. НДС
Труба 273*8
Надходження товарів і послуг ІБ00-001808 від 22.04.2025 11:00:00
Глобине-2</t>
  </si>
  <si>
    <t>Обл. НДС
Лист г/к  4,0 мм 1500х6000, S235JR
Надходження товарів і послуг ІБ00-001808 від 22.04.2025 11:00:00
Глобине-2</t>
  </si>
  <si>
    <t>Обл. НДС
Труба 40х20х2 6,05-S235/S275
Надходження товарів і послуг ІБ00-001808 від 22.04.2025 11:00:00
Глобине-2</t>
  </si>
  <si>
    <t>Обл. НДС
Труба 80х80х4 12,0-S235/S275
Надходження товарів і послуг ІБ00-001808 від 22.04.2025 11:00:00
Глобине-2</t>
  </si>
  <si>
    <t>Надходження товарів і послуг ІБ00-001815 від 22.04.2025 11:00:00
Оприходованы ТМЦ</t>
  </si>
  <si>
    <t>Обл. НДС
Лист г/к 10,0 мм 1500х6000, S235 JR
Надходження товарів і послуг ІБ00-001815 від 22.04.2025 11:00:00
Глобине-2</t>
  </si>
  <si>
    <t>Надходження товарів і послуг ІБ00-001816 від 22.04.2025 11:00:00
Оприходованы ТМЦ</t>
  </si>
  <si>
    <t>Обл. НДС
Лист г/к 10,0 мм 2000х6000, S355 JR
Надходження товарів і послуг ІБ00-001816 від 22.04.2025 11:00:00
Глобине-2</t>
  </si>
  <si>
    <t>Надходження дод. витрат ІБ00-000278 від 22.04.2025 11:07:00
Доп. расходы при поступлении товаров</t>
  </si>
  <si>
    <t>Надходження дод. витрат ІБ00-000279 від 22.04.2025 11:07:00
Доп. расходы при поступлении товаров</t>
  </si>
  <si>
    <t>Надходження дод. витрат ІБ00-000280 від 22.04.2025 11:07:00
Доп. расходы при поступлении товаров</t>
  </si>
  <si>
    <t>Переміщення товарів ІБ00-000354 від 22.04.2025 11:10:00
Перемещение ТМЦ</t>
  </si>
  <si>
    <t>Обл. НДС
Кутик 50*50*5мм ст. S235 JR 6м
Надходження товарів і послуг ІБ00-001808 від 22.04.2025 11:00:00
СПК (Глобине)</t>
  </si>
  <si>
    <t>Обл. НДС
Труба 273*8
Надходження товарів і послуг ІБ00-001808 від 22.04.2025 11:00:00
СПК (Глобине)</t>
  </si>
  <si>
    <t>Обл. НДС
Труба 40х20х2 6,05-S235/S275
Надходження товарів і послуг ІБ00-001808 від 22.04.2025 11:00:00
СПК (Глобине)</t>
  </si>
  <si>
    <t>Обл. НДС
Труба 80х80х4 12,0-S235/S275
Надходження товарів і послуг ІБ00-001808 від 22.04.2025 11:00:00
СПК (Глобине)</t>
  </si>
  <si>
    <t>Переміщення товарів ІБ00-000355 від 22.04.2025 11:10:00
Перемещение ТМЦ</t>
  </si>
  <si>
    <t>Обл. НДС
Лист г/к 10,0 мм 1500х6000, S235 JR
Надходження товарів і послуг ІБ00-001815 від 22.04.2025 11:00:00
Пожежений резервуар (Глобине)</t>
  </si>
  <si>
    <t>Переміщення товарів ІБ00-000356 від 22.04.2025 11:10:00
Перемещение ТМЦ</t>
  </si>
  <si>
    <t>Обл. НДС
Труба 80х80х4 12,0-S235/S275
Надходження товарів і послуг ІБ00-001808 від 22.04.2025 11:00:00
Котельна (Глобине)</t>
  </si>
  <si>
    <t>Надходження товарів і послуг ІБ00-001810 від 23.04.2025 11:00:00
Оприходованы ТМЦ</t>
  </si>
  <si>
    <t>Енергія Логістик ТОВ
№28/10-2024 ВІД 28/10/24_Глобине-2
Рахунок на оплату постачальника ІБ00-001460 від 23.04.2025 22:03:57</t>
  </si>
  <si>
    <t>Надходження дод. витрат ІБ00-000276 від 23.04.2025 11:05:00
Доп. расходы при поступлении товаров</t>
  </si>
  <si>
    <t>Переміщення товарів ІБ00-000359 від 23.04.2025 11:10:00
Перемещение ТМЦ</t>
  </si>
  <si>
    <t>Обл. НДС
Пісок з відсіву дроблення щебеню фр. 0-5мм.
Надходження товарів і послуг ІБ00-001810 від 23.04.2025 11:00:00
СПК (Глобине)</t>
  </si>
  <si>
    <t>25.04.2025</t>
  </si>
  <si>
    <t>Переміщення товарів ІБ00-000366 від 25.04.2025 11:00:00
Перемещение ТМЦ</t>
  </si>
  <si>
    <t>Обл. НДС
Лист г/к 10,0 мм 1500*6000, S235 JR
Надходження товарів і послуг ІБ00-001808 від 22.04.2025 11:00:00
Цех_Глобино</t>
  </si>
  <si>
    <t>Обл. НДС
Лист г/к 20х1500х6000, ст.3пс5/S235JR
Надходження товарів і послуг ІБ00-001808 від 22.04.2025 11:00:00
Цех_Глобино</t>
  </si>
  <si>
    <t>Обл. НДС
Лист г/к 20*1500*6000, S355J2
Надходження товарів і послуг ІБ00-001808 від 22.04.2025 11:00:00
Цех_Глобино</t>
  </si>
  <si>
    <t>Обл. НДС
Лист г/к 30,0 мм 1500*6000, S235 JR
Надходження товарів і послуг ІБ00-001808 від 22.04.2025 11:00:00
Цех_Глобино</t>
  </si>
  <si>
    <t>Обл. НДС
Лист г/к  8 мм (1500х6000, ст3пс)
Надходження товарів і послуг ІБ00-001808 від 22.04.2025 11:00:00
Цех_Глобино</t>
  </si>
  <si>
    <t>Обл. НДС
Лист г/к 10,0 мм 2000х6000, S355 JR
Надходження товарів і послуг ІБ00-001816 від 22.04.2025 11:00:00
Цех_Глобино</t>
  </si>
  <si>
    <t>Обл. НДС
Лист г/к  4,0 мм 1500х6000, S235JR
Надходження товарів і послуг ІБ00-001808 від 22.04.2025 11:00:00
Цех_Глобино</t>
  </si>
  <si>
    <t>Авансовий звіт ІБ00-000093 від 25.04.2025 12:44:49
Оприходованы ТМЦ</t>
  </si>
  <si>
    <t>Обл. НДС
Хомут пластик.150х2,5 мм (100 шт.)
Авансовий звіт ІБ00-000093 від 25.04.2025 12:44:49
Глобине-2</t>
  </si>
  <si>
    <t>Штиченко Олександр Володимирович</t>
  </si>
  <si>
    <t>3721</t>
  </si>
  <si>
    <t>Обл. НДС
Труби ППР, ПЕ, ПП, МП
Авансовий звіт ІБ00-000093 від 25.04.2025 12:44:49
Глобине-2</t>
  </si>
  <si>
    <t>Обл. НДС
Акумулятор mastak 1,2V  2000mAh
Авансовий звіт ІБ00-000093 від 25.04.2025 12:44:49
Глобине-2</t>
  </si>
  <si>
    <t>Обл. НДС
Запчастини до мототехніки
Авансовий звіт ІБ00-000093 від 25.04.2025 12:44:49
Глобине-2</t>
  </si>
  <si>
    <t>Надходження товарів і послуг ІБ00-001881 від 29.04.2025 11:00:00
Оприходованы ТМЦ</t>
  </si>
  <si>
    <t>Обл. НДС
Пісок з відсіву дроблення щебеню фр. 0-5мм.
Надходження товарів і послуг ІБ00-001881 від 29.04.2025 11:00:00
Глобине-2</t>
  </si>
  <si>
    <t>Енергія Логістик ТОВ
№28/10-2024 ВІД 28/10/24_Глобине-2
Рахунок на оплату постачальника ІБ00-001544 від 29.04.2025 18:09:05</t>
  </si>
  <si>
    <t>Обл. НДС
Щебінь 20-40
Надходження товарів і послуг ІБ00-001881 від 29.04.2025 11:00:00
Глобине-2</t>
  </si>
  <si>
    <t>Надходження дод. витрат ІБ00-000287 від 29.04.2025 11:05:00
Доп. расходы при поступлении товаров</t>
  </si>
  <si>
    <t>Переміщення товарів ІБ00-000368 від 29.04.2025 11:10:00
Перемещение ТМЦ</t>
  </si>
  <si>
    <t>Обл. НДС
Пісок з відсіву дроблення щебеню фр. 0-5мм.
Надходження товарів і послуг ІБ00-001881 від 29.04.2025 11:00:00
Генплан дорога СПК (Глобине)</t>
  </si>
  <si>
    <t>Переміщення товарів ІБ00-000369 від 29.04.2025 11:10:00
Перемещение ТМЦ</t>
  </si>
  <si>
    <t>Обл. НДС
Пісок з відсіву дроблення щебеню фр. 0-5мм.
Надходження товарів і послуг ІБ00-001881 від 29.04.2025 11:00:00
СПК (Глобине)</t>
  </si>
  <si>
    <t>Переміщення товарів ІБ00-000370 від 29.04.2025 11:10:00
Перемещение ТМЦ</t>
  </si>
  <si>
    <t>Обл. НДС
Щебінь 20-40
Надходження товарів і послуг ІБ00-001881 від 29.04.2025 11:00:00
Резервуар для зберігання розчинника(Глобине)</t>
  </si>
  <si>
    <t>Переміщення товарів ІБ00-000371 від 29.04.2025 11:10:00
Перемещение ТМЦ</t>
  </si>
  <si>
    <t>Обл. НДС
Щебінь 20-40
Надходження товарів і послуг ІБ00-001881 від 29.04.2025 11:00:00
Пожежений резервуар (Глобине)</t>
  </si>
  <si>
    <t>Списання товарів ІБ00-000211 від 29.04.2025 16:40:28
Списаны ТМЦ</t>
  </si>
  <si>
    <t>Обл. НДС
Анкер М 20х160/45 цб одноконус
Надходження товарів і послуг ІБ00-001481 від 19.04.2024 18:43:45
Глобине-2</t>
  </si>
  <si>
    <t>Обл. НДС
Розчинник УС Нефрас 0,94 л/ 0,70 кг
Надходження товарів і послуг ІБ00-004709 від 04.10.2024 18:40:29
Глобине-2</t>
  </si>
  <si>
    <t>Переміщення товарів ІБ00-000409 від 30.04.2025 10:00:00
Перемещение ТМЦ</t>
  </si>
  <si>
    <t>Обл. НДС
Праймер бітумний Техноніколь №1 (20л)
Надходження товарів і послуг ІБ00-006494 від 20.12.2024 18:18:17
СПК (Глобине)</t>
  </si>
  <si>
    <t>Обл. НДС
Праймер бітумний Техноніколь №1 (20л)
Надходження товарів і послуг ІБ00-006494 від 20.12.2024 18:18:17
Глобине-2</t>
  </si>
  <si>
    <t>Списання товарів ІБ00-000222 від 30.04.2025 10:00:00
Списаны ТМЦ</t>
  </si>
  <si>
    <t>Обл. НДС
Піна монтажна  860 мл 
Надходження товарів і послуг ІБ00-000711 від 18.02.2025 20:00:44
Глобине-2</t>
  </si>
  <si>
    <t>Списання товарів ІБ00-000226 від 30.04.2025 10:00:00
Списаны ТМЦ</t>
  </si>
  <si>
    <t>Обл. НДС
Дріт 1,2 мм Н-О-Ч
Надходження товарів і послуг ІБ00-000069 від 13.01.2025 17:25:04
Глобине-2</t>
  </si>
  <si>
    <t>Надходження товарів і послуг ІБ00-001895 від 30.04.2025 11:00:00
Оприходованы ТМЦ</t>
  </si>
  <si>
    <t>ВЕМАКС ПП
№290425 від 29.04.25,Спец№СРМ85_Глобино-2
Рахунок на оплату постачальника ІБ00-001580 від 29.04.2025 18:09:18</t>
  </si>
  <si>
    <t>Надходження товарів і послуг ІБ00-001961 від 30.04.2025 11:00:00
Оприходованы ТМЦ (Зачет аванса поставщику)</t>
  </si>
  <si>
    <t>Кременчуцький річковий порт ПРАТ
Договір 112/Б від 15.10.2024_Глобине-2
Списання з банківського рахунку 00000026026 від 28.04.2025 17:40:12</t>
  </si>
  <si>
    <t>Обл. НДС
Бетон С  8/10 Р4
Надходження товарів і послуг ІБ00-001961 від 30.04.2025 11:00:00
Глобине-2</t>
  </si>
  <si>
    <t>Надходження товарів і послуг ІБ00-001964 від 30.04.2025 11:00:00
Оприходованы ТМЦ</t>
  </si>
  <si>
    <t>Обл. НДС
Пісок з відсіву дроблення щебеню фр. 0-5мм.
Надходження товарів і послуг ІБ00-001964 від 30.04.2025 11:00:00
Глобине-2</t>
  </si>
  <si>
    <t>Енергія Логістик ТОВ
№28/10-2024 ВІД 28/10/24_Глобине-2
Рахунок на оплату постачальника ІБ00-001611 від 30.04.2025 19:10:29</t>
  </si>
  <si>
    <t>Обл. НДС
Щебінь 20-40
Надходження товарів і послуг ІБ00-001964 від 30.04.2025 11:00:00
Глобине-2</t>
  </si>
  <si>
    <t>Надходження дод. витрат ІБ00-000295 від 30.04.2025 11:05:00
Доп. расходы при поступлении товаров (Зачет аванса поставщику)</t>
  </si>
  <si>
    <t>Надходження дод. витрат ІБ00-000296 від 30.04.2025 11:05:00
Доп. расходы при поступлении товаров</t>
  </si>
  <si>
    <t>Переміщення товарів ІБ00-000376 від 30.04.2025 11:10:00
Перемещение ТМЦ</t>
  </si>
  <si>
    <t>Обл. НДС
Пенетрон Адмікс 18кг/мішок/відро
Надходження товарів і послуг ІБ00-001895 від 30.04.2025 11:00:00
Пожежений резервуар (Глобине)</t>
  </si>
  <si>
    <t>Переміщення товарів ІБ00-000383 від 30.04.2025 11:10:00
Перемещение ТМЦ</t>
  </si>
  <si>
    <t>Обл. НДС
Бетон С 30/35 W4 F75 Р4
Надходження товарів і послуг ІБ00-001961 від 30.04.2025 11:00:00
Резервуар для зберігання розчинника(Глобине)</t>
  </si>
  <si>
    <t>Обл. НДС
Бетон С  8/10 Р4
Надходження товарів і послуг ІБ00-001961 від 30.04.2025 11:00:00
Резервуар для зберігання розчинника(Глобине)</t>
  </si>
  <si>
    <t>Переміщення товарів ІБ00-000384 від 30.04.2025 11:10:00
Перемещение ТМЦ</t>
  </si>
  <si>
    <t>Обл. НДС
Пісок з відсіву дроблення щебеню фр. 0-5мм.
Надходження товарів і послуг ІБ00-001964 від 30.04.2025 11:00:00
Резервуар для зберігання розчинника(Глобине)</t>
  </si>
  <si>
    <t>Обл. НДС
Щебінь 20-40
Надходження товарів і послуг ІБ00-001964 від 30.04.2025 11:00:00
Резервуар для зберігання розчинника(Глобине)</t>
  </si>
  <si>
    <t>Переміщення товарів ІБ00-000385 від 30.04.2025 11:10:00
Перемещение ТМЦ</t>
  </si>
  <si>
    <t>Обл. НДС
Щебінь 20-40
Надходження товарів і послуг ІБ00-001964 від 30.04.2025 11:00:00
Пожежений резервуар (Глобине)</t>
  </si>
  <si>
    <t>Списання товарів ІБ00-000254 від 30.04.2025 20:00:00
Списаны ТМЦ</t>
  </si>
  <si>
    <t>Обл. НДС
Розчинник Уайт-спіріт 4 л (шт) 
Надходження товарів і послуг ІБ00-000929 від 05.10.2023 18:32:13
Глобине-2</t>
  </si>
  <si>
    <t>Списання товарів ІБ00-000218 від 30.04.2025 23:59:23
Списаны ТМЦ</t>
  </si>
  <si>
    <t>Списання товарів ІБ00-000220 від 30.04.2025 23:59:34
Списаны ТМЦ</t>
  </si>
  <si>
    <t>Обл. НДС
Шпилька М10х1000
Надходження товарів і послуг ІБ00-002265 від 26.12.2023 18:15:16
Глобине-2</t>
  </si>
  <si>
    <t>Надходження товарів і послуг ІБ00-001789 від 01.04.2025 11:00:00
Оприходованы ТМЦ (Зачет аванса поставщику)</t>
  </si>
  <si>
    <t>Обл. НДС
дошка 0,15*0,25 4 м
Надходження товарів і послуг ІБ00-001789 від 01.04.2025 11:00:00
Котельна (Глобине)</t>
  </si>
  <si>
    <t>Мошинець Ю.П. ФОП
Рахунки_Глобине-2
Рахунок на оплату постачальника ІБ00-000782 від 24.01.2025 22:10:42</t>
  </si>
  <si>
    <t>Надходження товарів і послуг ІБ00-001594 від 01.04.2025 23:10:21
Оприходованы ТМЦ (Зачет аванса поставщику)</t>
  </si>
  <si>
    <t>Обл. НДС
Газоблок 300*200*600 D500
Надходження товарів і послуг ІБ00-001594 від 01.04.2025 23:10:21
Котельна (Глобине)</t>
  </si>
  <si>
    <t>СТАНДАРТ БУД ГРУП
РАХУНКИ_Глобино-2
Рахунок на оплату постачальника ІБ00-000931 від 19.03.2025 23:12:36</t>
  </si>
  <si>
    <t>Надходження товарів і послуг ІБ00-001596 від 01.04.2025 23:10:22
Оприходованы ТМЦ</t>
  </si>
  <si>
    <t>Обл. НДС
Газоблок 300*200*600 D500
Надходження товарів і послуг ІБ00-001596 від 01.04.2025 23:10:22
Котельна (Глобине)</t>
  </si>
  <si>
    <t>СТАНДАРТ БУД ГРУП
РАХУНКИ_Глобино-2
Рахунок на оплату постачальника ІБ00-000895 від 17.03.2025 17:20:10</t>
  </si>
  <si>
    <t>Надходження товарів і послуг ІБ00-001596 від 01.04.2025 23:10:22
Оприходованы ТМЦ (Зачет аванса поставщику)</t>
  </si>
  <si>
    <t>Надходження товарів і послуг ІБ00-001597 від 01.04.2025 23:10:23
Оприходованы ТМЦ (Зачет аванса поставщику)</t>
  </si>
  <si>
    <t>Обл. НДС
Клей для газобетону МР2 (25 кг)
Надходження товарів і послуг ІБ00-001597 від 01.04.2025 23:10:23
Котельна (Глобине)</t>
  </si>
  <si>
    <t>Обл. НДС
Газоблок 300*200*600 D500
Надходження товарів і послуг ІБ00-001597 від 01.04.2025 23:10:23
Котельна (Глобине)</t>
  </si>
  <si>
    <t>Надходження товарів і послуг ІБ00-001389 від 02.04.2025 18:08:50
Оприходованы ТМЦ</t>
  </si>
  <si>
    <t>Обл. НДС
Газоблок 300*200*600 D500
Надходження товарів і послуг ІБ00-001389 від 02.04.2025 18:08:50
Котельна (Глобине)</t>
  </si>
  <si>
    <t>СТАНДАРТ БУД ГРУП
РАХУНКИ_Глобино-2
Рахунок на оплату постачальника ІБ00-001096 від 31.03.2025 23:59:59</t>
  </si>
  <si>
    <t>Надходження товарів і послуг ІБ00-001397 від 02.04.2025 18:08:54
Оприходованы ТМЦ</t>
  </si>
  <si>
    <t>Обл. НДС
Газоблок 300*200*600 D500
Надходження товарів і послуг ІБ00-001397 від 02.04.2025 18:08:54
Котельна (Глобине)</t>
  </si>
  <si>
    <t>Надходження товарів і послуг ІБ00-001397 від 02.04.2025 18:08:54
Оприходованы ТМЦ (Зачет аванса поставщику)</t>
  </si>
  <si>
    <t>Вимога-накладна ІБ00-000255 від 03.04.2025 17:41:25
Списаны ТМЦ</t>
  </si>
  <si>
    <t>Обл. НДС
Клей для газобетону ХСМ МР2 (25 кг)
Надходження товарів і послуг ІБ00-000860 від 04.03.2025 10:00:00
Котельна (Глобине)</t>
  </si>
  <si>
    <t>Обл. НДС
Газоблок 300*200*600 D500
Надходження товарів і послуг ІБ00-000860 від 04.03.2025 10:00:00
Котельна (Глобине)</t>
  </si>
  <si>
    <t>Обл. НДС
Прокат арматурний № 8 мм  А500С 12м
Надходження товарів і послуг ІБ00-000546 від 14.02.2025 10:00:00
Котельна (Глобине)</t>
  </si>
  <si>
    <t>Вимога-накладна ІБ00-000260 від 03.04.2025 17:41:45
Списаны ТМЦ</t>
  </si>
  <si>
    <t>Надходження товарів і послуг ІБ00-001525 від 07.04.2025 20:00:35
Оприходованы ТМЦ (Зачет аванса поставщику)</t>
  </si>
  <si>
    <t>Обл. НДС
Решітковий настил KOZ 34*38/30*2/оц/1068*1130
Надходження товарів і послуг ІБ00-001525 від 07.04.2025 20:00:35
Котельна (Глобине)</t>
  </si>
  <si>
    <t>Червоноградський завод металоконструкцій
Договір поставки № 44 від 11.06.2020 р._Глобино-2
Рахунок на оплату постачальника ІБ00-000980 від 12.03.2025 18:45:42</t>
  </si>
  <si>
    <t>Обл. НДС
Сходинки SOZ/34*38/30*2/оц/800*205
Надходження товарів і послуг ІБ00-001525 від 07.04.2025 20:00:35
Котельна (Глобине)</t>
  </si>
  <si>
    <t>Обл. НДС
Кріплення гакове до швелера 16
Надходження товарів і послуг ІБ00-001525 від 07.04.2025 20:00:35
Котельна (Глобине)</t>
  </si>
  <si>
    <t>Обл. НДС
Кріплення для сходинок
Надходження товарів і послуг ІБ00-001525 від 07.04.2025 20:00:35
Котельна (Глобине)</t>
  </si>
  <si>
    <t>Надходження товарів і послуг ІБ00-001654 від 12.04.2025 12:00:04
Оприходованы ТМЦ (Зачет аванса поставщику)</t>
  </si>
  <si>
    <t>Обл. НДС
Клей для газобетону МР2 (25 кг)
Надходження товарів і послуг ІБ00-001654 від 12.04.2025 12:00:04
Котельна (Глобине)</t>
  </si>
  <si>
    <t>СТАНДАРТ БУД ГРУП
РАХУНКИ_Глобино-2
Рахунок на оплату постачальника ІБ00-001294 від 10.04.2025 00:00:00</t>
  </si>
  <si>
    <t>16.04.2025</t>
  </si>
  <si>
    <t>Надходження товарів і послуг ІБ00-001716 від 16.04.2025 11:00:00
Оприходованы ТМЦ</t>
  </si>
  <si>
    <t>Обл. НДС
Розчинник УС Нефрас 0,94 л/ 0,75 кг
Надходження товарів і послуг ІБ00-001716 від 16.04.2025 11:00:00
Котельна (Глобине)</t>
  </si>
  <si>
    <t>Лук'ян Михайло Федорович ФОП
22/08-24-1 от 22.08.2024 (РАХУНКИ)_Глобине-2
Рахунок на оплату постачальника ІБ00-001398 від 15.04.2025 18:30:58</t>
  </si>
  <si>
    <t>Вимога-накладна ІБ00-000287 від 29.04.2025 16:10:02
Списаны ТМЦ</t>
  </si>
  <si>
    <t>Списання товарів ІБ00-000210 від 29.04.2025 16:17:27
Списаны ТМЦ</t>
  </si>
  <si>
    <t>Обл. НДС
Шуруп г/к по дереву 3,5*55 мм
Надходження товарів і послуг ІБ00-000711 від 18.02.2025 20:00:44
Котельна (Глобине)</t>
  </si>
  <si>
    <t>Обл. НДС
Шуруп г/к по дереву 4,2*76 мм
Надходження товарів і послуг ІБ00-001198 від 21.03.2025 19:26:08
Котельна (Глобине)</t>
  </si>
  <si>
    <t>Обл. НДС
Клей-піна монтажна , 860 мл
Надходження товарів і послуг ІБ00-000776 від 06.02.2025 18:36:51
Котельна (Глобине)</t>
  </si>
  <si>
    <t>Обл. НДС
Плівка п/е рукав 1500*100
Надходження товарів і послуг ІБ00-005781 від 19.11.2024 17:51:41
Котельна (Глобине)</t>
  </si>
  <si>
    <t>Переміщення товарів ІБ00-000391 від 30.04.2025 10:00:00
Перемещение ТМЦ</t>
  </si>
  <si>
    <t>Обл. НДС
Бетон М-350 (Р-4)
Надходження товарів і послуг ІБ00-005013 від 09.10.2024 18:37:38
Насосна Градирня (Глобине)</t>
  </si>
  <si>
    <t>Обл. НДС
Бетон М-350 (Р-4)
Надходження товарів і послуг ІБ00-005013 від 09.10.2024 18:37:38
Котельна (Глобине)</t>
  </si>
  <si>
    <t>Переміщення товарів ІБ00-000398 від 30.04.2025 10:00:00
Перемещение ТМЦ</t>
  </si>
  <si>
    <t>Обл. НДС
дошка 0,15*0,25 4 м
Надходження товарів і послуг ІБ00-001789 від 01.04.2025 11:00:00
Пожежений резервуар (Глобине)</t>
  </si>
  <si>
    <t>Списання товарів ІБ00-000223 від 30.04.2025 10:00:00
Списаны ТМЦ</t>
  </si>
  <si>
    <t>Списання товарів ІБ00-000224 від 30.04.2025 10:00:00
Списаны ТМЦ</t>
  </si>
  <si>
    <t>Обл. НДС
DIN933  Болт М12х65 5.8 цб пр
Надходження товарів і послуг ІБ00-000950 від 06.03.2025 22:00:06
Котельна (Глобине)</t>
  </si>
  <si>
    <t>Обл. НДС
Грунт-емаль ПФ-012 Р сірий (кг)
Надходження товарів і послуг ІБ00-000138 від 17.01.2025 17:59:46
Котельна (Глобине)</t>
  </si>
  <si>
    <t>Обл. НДС
Стрижень М 12 8.8 1м цб  DIN 975
Надходження товарів і послуг ІБ00-000504 від 07.02.2025 18:30:23
Котельна (Глобине)</t>
  </si>
  <si>
    <t>Обл. НДС
Стрижень М 16 8.8 1м цб  DIN 975
Надходження товарів і послуг ІБ00-000504 від 07.02.2025 18:30:23
Котельна (Глобине)</t>
  </si>
  <si>
    <t>Вимога-накладна ІБ00-000323 від 30.04.2025 10:00:00
Списаны ТМЦ</t>
  </si>
  <si>
    <t>Обл. НДС
Сендвіч-панель ТПК стінова 100мм МВ 1000мм відкр замок С0,5 PS/C 0.5 PS 3,00м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</si>
  <si>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3,18м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</si>
  <si>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3,25м трапеція 9006 срібл/тр
Надходження товарів і послуг ІБ00-001142 від 17.03.2025 17:20:37
Котельна (Глобине)</t>
  </si>
  <si>
    <t>Обл. НДС
Сендвіч-панель ТПК стінова 100мм МВ 1150мм відкр замок С0,5 PS/C 0.5 PS 5,98м трапеція 9006 срібл/тр
Надходження товарів і послуг ІБ00-001149 від 14.03.2025 17:50:57
Котельна (Глобине)</t>
  </si>
  <si>
    <t>Обл. НДС
Сендвіч-панель ТПК стінова 100мм МВ 1150мм відкр замок С0,5 PS/C 0.5 PS 6,24м трапеція 9006 срібл/тр
Надходження товарів і послуг ІБ00-001149 від 14.03.2025 17:50:57
Котельна (Глобине)</t>
  </si>
  <si>
    <t>Обл. НДС
Сендвіч-панель ТПК стінова 100мм МВ 1150мм відкр замок С0,5 PS/C 0.5 PS 6,24м трапеція 9006 срібл/тр
Надходження товарів і послуг ІБ00-001145 від 17.03.2025 17:20:39
Котельна (Глобине)</t>
  </si>
  <si>
    <t>Обл. НДС
Сендвіч-панель ТПК стінова 100мм МВ 1000мм відкр замок С0,5 PS/C 0.5 PS 2,49м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</si>
  <si>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5,98м трапеція 9006 срібл/тр
Надходження товарів і послуг ІБ00-001149 від 14.03.2025 17:50:57
Котельна (Глобине)</t>
  </si>
  <si>
    <t>Обл. НДС
Сендвіч-панель ТПК стінова 100мм МВ 1000мм відкр замок С0,5 PS/C 0.5 PS 6,24м трапеція 9006 срібл/тр
Надходження товарів і послуг ІБ00-001149 від 14.03.2025 17:50:57
Котельна (Глобине)</t>
  </si>
  <si>
    <t>Обл. НДС
Стрічка ущільнювальна ТПК УП-1 ППЕ НХ (5*50 мм 20 м)
Надходження товарів і послуг ІБ00-001149 від 14.03.2025 17:50:57
Котельна (Глобине)</t>
  </si>
  <si>
    <t>Обл. НДС
Клей-герметик д/сендвіч-панелей, 600 мл
Надходження товарів і послуг ІБ00-001149 від 14.03.2025 17:50:57
Котельна (Глобине)</t>
  </si>
  <si>
    <t>Обл. НДС
Самонаріз до сендвіч-панелей 6,3/7*155 синій 5005 до 16мм з гол
Надходження товарів і послуг ІБ00-001149 від 14.03.2025 17:50:57
Котельна (Глобине)</t>
  </si>
  <si>
    <t>Обл. НДС
Самонаріз до сендвіч-панелей 6,3/7*155 срібло 9006 до 16мм з гол
Надходження товарів і послуг ІБ00-001149 від 14.03.2025 17:50:57
Котельна (Глобине)</t>
  </si>
  <si>
    <t>Вимога-накладна ІБ00-000324 від 30.04.2025 10:00:00
Списаны ТМЦ</t>
  </si>
  <si>
    <t>Обл. НДС
Сендвіч-панель ТПК стінова 150мм МВ 1000мм термо замок С0,5 PS/C 0.5 PS 5,61м трапеція 9006 срібл/тр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</si>
  <si>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4,47м трапеція 9006 срібл/тр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</si>
  <si>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3,80м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</si>
  <si>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2,93м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</si>
  <si>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2,90м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</si>
  <si>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6,29м трапеція 9006 срібл/тр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</si>
  <si>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5,98м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</si>
  <si>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3,64м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</si>
  <si>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2,49м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</si>
  <si>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6,29м трап 5005 син/9003 біл
Надходження товарів і послуг ІБ00-001144 від 17.03.2025 17:20:38
Котельна (Глобине)</t>
  </si>
  <si>
    <t>Вимога-накладна ІБ00-000329 від 30.04.2025 10:00:00
Списаны ТМЦ</t>
  </si>
  <si>
    <t>Обл. НДС
Труба  80*80*4  ст1-3 пс L=12000
Надходження товарів і послуг ІБ00-001037 від 01.03.2025 18:17:06
Котельна (Глобине)</t>
  </si>
  <si>
    <t>Обл. НДС
Кутик 75*75*6мм ст.3ПС МІРА 12 м
Надходження товарів і послуг ІБ00-001037 від 01.03.2025 18:17:06
Котельна (Глобине)</t>
  </si>
  <si>
    <t>Обл. НДС
Швелер 16П (160 12,05 8240 3пс)
Надходження товарів і послуг ІБ00-001037 від 01.03.2025 18:17:06
Котельна (Глобине)</t>
  </si>
  <si>
    <t>Обл. НДС
Швелер 18П  (180 12,05 8240 3пс5)
Надходження товарів і послуг ІБ00-001037 від 01.03.2025 18:17:06
Котельна (Глобине)</t>
  </si>
  <si>
    <t>Обл. НДС
Балка 20  L=12000
Надходження товарів і послуг ІБ00-001037 від 01.03.2025 18:17:06
Котельна (Глобине)</t>
  </si>
  <si>
    <t>Обл. НДС
Лист г/к  4,0*1500*6000 мм; ст.3 сп/пс
Надходження товарів і послуг ІБ00-001037 від 01.03.2025 18:17:06
Котельна (Глобине)</t>
  </si>
  <si>
    <t>Обл. НДС
Лист г/к 10*2000*6000 1-3 сп/пс
Надходження товарів і послуг ІБ00-001037 від 01.03.2025 18:17:06
Котельна (Глобине)</t>
  </si>
  <si>
    <t>Обл. НДС
Кутик 50х50х5мм ст, 3пс; 6 м
Надходження товарів і послуг ІБ00-000709 від 21.02.2025 18:25:51
Котельна (Глобине)</t>
  </si>
  <si>
    <t>Обл. НДС
Лист рифл 630х630х3
Надходження товарів і послуг ІБ00-000644 від 21.02.2025 18:25:40
Котельна (Глобине)</t>
  </si>
  <si>
    <t>Обл. НДС
Лист рифл 920х630х3
Надходження товарів і послуг ІБ00-000644 від 21.02.2025 18:25:40
Котельна (Глобине)</t>
  </si>
  <si>
    <t>Обл. НДС
Лист рифл 920х690х3
Надходження товарів і послуг ІБ00-000644 від 21.02.2025 18:25:40
Котельна (Глобине)</t>
  </si>
  <si>
    <t>Обл. НДС
Лист рифл 920х790х3
Надходження товарів і послуг ІБ00-000644 від 21.02.2025 18:25:40
Котельна (Глобине)</t>
  </si>
  <si>
    <t>Обл. НДС
Лист рифл 690х1350х3
Надходження товарів і послуг ІБ00-000644 від 21.02.2025 18:25:40
Котельна (Глобине)</t>
  </si>
  <si>
    <t>Обл. НДС
Лист рифл 1080х1350х4
Надходження товарів і послуг ІБ00-000644 від 21.02.2025 18:25:40
Котельна (Глобине)</t>
  </si>
  <si>
    <t>Обл. НДС
Лист рифлений 3*1500*6000 
Надходження товарів і послуг ІБ00-001038 від 01.03.2025 18:17:09
Котельна (Глобине)</t>
  </si>
  <si>
    <t>Вимога-накладна ІБ00-000330 від 30.04.2025 10:00:00
Списаны ТМЦ</t>
  </si>
  <si>
    <t>Обл. НДС
Труба КАН тришар 110/2000 2,7мм
Надходження товарів і послуг ІБ00-000840 від 05.03.2025 18:37:39
Котельна (Глобине)</t>
  </si>
  <si>
    <t>Обл. НДС
Труба КАН тришар 110/1500 2,7мм
Надходження товарів і послуг ІБ00-000840 від 05.03.2025 18:37:39
Котельна (Глобине)</t>
  </si>
  <si>
    <t>Обл. НДС
Труба КАН тришар 110/1000 2,7мм
Надходження товарів і послуг ІБ00-000840 від 05.03.2025 18:37:39
Котельна (Глобине)</t>
  </si>
  <si>
    <t>Обл. НДС
Коліно 110/90  КАН
Надходження товарів і послуг ІБ00-001238 від 01.03.2025 18:17:56
Котельна (Глобине)</t>
  </si>
  <si>
    <t>Обл. НДС
Відведення 89/160 попередньоізол сталь/ПЕ ПТ3 х/к
Надходження товарів і послуг ІБ00-001044 від 12.03.2025 18:45:19
Котельна (Глобине)</t>
  </si>
  <si>
    <t>Обл. НДС
Труба 89/160 попередньоізол сталь/ПЕ ПТ3 х/к
Надходження товарів і послуг ІБ00-001044 від 12.03.2025 18:45:19
Котельна (Глобине)</t>
  </si>
  <si>
    <t>Обл. НДС
Труба ПЕТ 63*3,8 6атм
Надходження товарів і послуг ІБ00-000840 від 05.03.2025 18:37:39
Котельна (Глобине)</t>
  </si>
  <si>
    <t>Обл. НДС
Коліно ПЕТ 63*63
Надходження товарів і послуг ІБ00-000840 від 05.03.2025 18:37:39
Котельна (Глобине)</t>
  </si>
  <si>
    <t>Обл. НДС
Труба ПЕТ110*10 16атм чорна SDR11
Надходження товарів і послуг ІБ00-000457 від 06.02.2025 15:36:10
Котельна (Глобине)</t>
  </si>
  <si>
    <t>Обл. НДС
Коліно 110/90 ПЕТ терморезист SDR11
Надходження товарів і послуг ІБ00-000457 від 06.02.2025 15:36:10
Котельна (Глобине)</t>
  </si>
  <si>
    <t>Обл. НДС
Пісок з відсіву дроблення щебеню фр. 0-5мм.
Надходження товарів і послуг ІБ00-006087 від 06.12.2024 18:14:39
Котельна (Глобине)</t>
  </si>
  <si>
    <t>Вимога-накладна ІБ00-000340 від 30.04.2025 11:00:00
Списаны ТМЦ</t>
  </si>
  <si>
    <t>Вимога-накладна ІБ00-000342 від 30.04.2025 11:00:00
Списаны ТМЦ</t>
  </si>
  <si>
    <t>Надходження товарів і послуг ІБ00-001507 від 04.04.2025 23:24:49
Оприходованы ТМЦ</t>
  </si>
  <si>
    <t>Обл. НДС
Грунт-емаль АК-100 ЖИДКИЙ ЦИНК
Надходження товарів і послуг ІБ00-001507 від 04.04.2025 23:24:49
Насосна Градирня (Глобине)</t>
  </si>
  <si>
    <t>ДНІПРО-СПЕЦЕМАЛЬ НВП ТОВ
Рахунки_Глобине-2
Рахунок на оплату постачальника ІБ00-001190 від 02.04.2025 18:11:11</t>
  </si>
  <si>
    <t>Надходження товарів і послуг ІБ00-001658 від 07.04.2025 23:00:01
Оприходованы ТМЦ</t>
  </si>
  <si>
    <t>Обл. НДС
Розчинник ПК універсальний ТМ "КОРАБЕЛЬНАЯ" (0,7л) (безбарвний)
Надходження товарів і послуг ІБ00-001658 від 07.04.2025 23:00:01
Насосна Градирня (Глобине)</t>
  </si>
  <si>
    <t>Моноліт - Центр" ТОВ
Рахунки_Глобине-2
Рахунок на оплату постачальника ІБ00-001476 від 01.04.2025 23:11:11</t>
  </si>
  <si>
    <t>Списання товарів ІБ00-000219 від 30.04.2025 00:00:00
Списаны ТМЦ</t>
  </si>
  <si>
    <t>Переміщення товарів ІБ00-000390 від 30.04.2025 10:00:00
Перемещение ТМЦ</t>
  </si>
  <si>
    <t>Обл. НДС
Бетон С20/25 W6 F75 P4 доб-5
Надходження товарів і послуг ІБ00-001629 від 11.04.2025 11:00:00
Насосна Градирня (Глобине)</t>
  </si>
  <si>
    <t>Переміщення товарів ІБ00-000392 від 30.04.2025 10:00:00
Перемещение ТМЦ</t>
  </si>
  <si>
    <t>Переміщення товарів ІБ00-000393 від 30.04.2025 10:00:00
Перемещение ТМЦ</t>
  </si>
  <si>
    <t>Обл. НДС
Бетон С 20/25  F75 W6 Р4
Надходження товарів і послуг ІБ00-001356 від 31.03.2025 18:59:59
Насосна Градирня (Глобине)</t>
  </si>
  <si>
    <t>Обл. НДС
Бетон С 20/25  F75 W6 Р4
Надходження товарів і послуг ІБ00-001356 від 31.03.2025 18:59:59
Пункт фасування та зберігання в бігбегах (Глобине)</t>
  </si>
  <si>
    <t>Вимога-накладна ІБ00-000315 від 30.04.2025 11:00:00
Списаны ТМЦ</t>
  </si>
  <si>
    <t>Вимога-накладна ІБ00-000314 від 30.04.2025 23:59:21
Списаны ТМЦ</t>
  </si>
  <si>
    <t>Обл. НДС
Сендвіч-панель ТПК покрівельна 100мм МВ 1000мм С0,5 PS/C 0.5 PS 1070мм 7,70м трапеція 5005 синій/90
Надходження товарів і послуг ІБ00-001158 від 20.03.2025 23:15:32
Насосна Градирня (Глобине)</t>
  </si>
  <si>
    <t>Обл. НДС
Стрічка ущільнювальна ТПК УП-1 ППЕ НХ (5*50 мм 20 м)
Надходження товарів і послуг ІБ00-001148 від 14.03.2025 17:50:56
Насосна Градирня (Глобине)</t>
  </si>
  <si>
    <t>Обл. НДС
Стрічка ущільнювальна ТПК УП-1 ППЕ НХ (5*50 мм 20 м)
Надходження товарів і послуг ІБ00-001150 від 14.03.2025 17:50:58
Насосна Градирня (Глобине)</t>
  </si>
  <si>
    <t>Обл. НДС
Стрічка ущільнювальна ТПК УП-4 ППЕ 3*15мм 30м
Надходження товарів і послуг ІБ00-001158 від 20.03.2025 23:15:32
Насосна Градирня (Глобине)</t>
  </si>
  <si>
    <t>Обл. НДС
Клей-герметик д/сендвіч-панелей, 600 мл
Надходження товарів і послуг ІБ00-001148 від 14.03.2025 17:50:56
Насосна Градирня (Глобине)</t>
  </si>
  <si>
    <t>Обл. НДС
Клей-герметик д/сендвіч-панелей, 600 мл
Надходження товарів і послуг ІБ00-001150 від 14.03.2025 17:50:58
Насосна Градирня (Глобине)</t>
  </si>
  <si>
    <t>Обл. НДС
Ущільнювач КН для с/п 1 м ППЕ НХ
Надходження товарів і послуг ІБ00-001158 від 20.03.2025 23:15:32
Насосна Градирня (Глобине)</t>
  </si>
  <si>
    <t>Обл. НДС
Самонаріз в метал до сендвіч-панелей 5,5*6,3/150 5005 синій
Надходження товарів і послуг ІБ00-001150 від 14.03.2025 17:50:58
Насосна Градирня (Глобине)</t>
  </si>
  <si>
    <t>Обл. НДС
Самонаріз в метал до сендвіч-панелей 5,5*6,3/150 5005 синій
Надходження товарів і послуг ІБ00-001158 від 20.03.2025 23:15:32
Насосна Градирня (Глобине)</t>
  </si>
  <si>
    <t>Обл. НДС
Сендвіч-панель ТПК стінова 100мм МВ 1000мм відкр замок С0,5 PS/C 0.5 PS 7,04м трапеція 9006 срібл/тр
Надходження товарів і послуг ІБ00-001146 від 17.03.2025 17:20:40
Насосна Градирня (Глобине)</t>
  </si>
  <si>
    <t>Обл. НДС
Сендвіч-панель ТПК стінова 100мм МВ 1000мм відкр замок С0,5 PS/C 0.5 PS 6,56м трапеція 9006 срібл/тр
Надходження товарів і послуг ІБ00-001146 від 17.03.2025 17:20:40
Насосна Градирня (Глобине)</t>
  </si>
  <si>
    <t>Обл. НДС
Сендвіч-панель ТПК стінова 100мм МВ 1000мм відкр замок С0,5 PS/C 0.5 PS 6,48м трапеція 9006 срібл/тр
Надходження товарів і послуг ІБ00-001146 від 17.03.2025 17:20:40
Насосна Градирня (Глобине)</t>
  </si>
  <si>
    <t>Обл. НДС
Сендвіч-панель ТПК стінова 100мм МВ 1180мм відкр замок С0,5 PS/C 0.5 PS 7,04м трапеція 9006 срібл/тр
Надходження товарів і послуг ІБ00-001150 від 14.03.2025 17:50:58
Насосна Градирня (Глобине)</t>
  </si>
  <si>
    <t>Обл. НДС
Сендвіч-панель ТПК стінова 100мм МВ 1180мм відкр замок С0,5 PS/C 0.5 PS 6,56м трапеція 9006 срібл/тр
Надходження товарів і послуг ІБ00-001150 від 14.03.2025 17:50:58
Насосна Градирня (Глобине)</t>
  </si>
  <si>
    <t>Обл. НДС
Сендвіч-панель ТПК стінова 100мм МВ 1180мм відкр замок С0,5 PS/C 0.5 PS 6,48м трапеція 9006 срібл/тр
Надходження товарів і послуг ІБ00-001150 від 14.03.2025 17:50:58
Насосна Градирня (Глобине)</t>
  </si>
  <si>
    <t>Обл. НДС
Сендвіч-панель ТПК стінова 100мм МВ 1180мм відкр замок С0,5 PS/C 0.5 PS 3,50м трапеція 9006 срібл/тр
Надходження товарів і послуг ІБ00-001147 від 17.03.2025 17:20:41
Насосна Градирня (Глобине)</t>
  </si>
  <si>
    <t>Обл. НДС
Сендвіч-панель ТПК стінова 100мм МВ 1180мм відкр замок С0,5 PS/C 0.5 PS 3,56м трапеція 9006 срібл/тр
Надходження товарів і послуг ІБ00-001147 від 17.03.2025 17:20:41
Насосна Градирня (Глобине)</t>
  </si>
  <si>
    <t>Обл. НДС
Сендвіч-панель ТПК стінова 100мм МВ 1000мм відкр замок С0,5 PS/C 0.5 PS 7,04м трапеція 5005 синій/90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</si>
  <si>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6,56м трапеція 5005 синій/90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</si>
  <si>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6,48м трапеція 5005 синій/90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</si>
  <si>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3,50м трапеція 5005 синій/90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</si>
  <si>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2,50м трапеція 5005 синій/90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</si>
  <si>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3,56м трапеція 5005 синій/90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</si>
  <si>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3,04м трапеція 5005 синій/90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</si>
  <si>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2,56м трапеція 5005 синій/90
Надходження товарів і послуг ІБ00-001150 від 14.03.2025 17:50:58
Насосна Градирня (Глобине)</t>
  </si>
  <si>
    <t>Обл. НДС
Стрічка ущільнювальна ТПК УП-1 ППЕ НХ (5*50 мм 20 м)
Надходження товарів і послуг ІБ00-001158 від 20.03.2025 23:15:32
Насосна Градирня (Глобине)</t>
  </si>
  <si>
    <t>Обл. НДС
Клей-герметик д/сендвіч-панелей, 600 мл
Надходження товарів і послуг ІБ00-001158 від 20.03.2025 23:15:32
Насосна Градирня (Глобине)</t>
  </si>
  <si>
    <t>Обл. НДС
Самонаріз в метал до сендвіч-панелей 5,5*6,3/150 9006 срібло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</si>
  <si>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6,80м трапеція 9006 срібл/тр
Надходження товарів і послуг ІБ00-001148 від 14.03.2025 17:50:56
Насосна Градирня (Глобине)</t>
  </si>
  <si>
    <t>Списання товарів ІБ00-000217 від 30.04.2025 23:59:22
Списаны ТМЦ</t>
  </si>
  <si>
    <t>Обл. НДС
Кутник 50х50 мм 5,0 мм, 6 м
Надходження товарів і послуг ІБ00-006411 від 23.12.2024 17:16:15
Насосна Градирня (Глобине)</t>
  </si>
  <si>
    <t>Обл. НДС
Саморіз  4,8*19 RAL 5005
Надходження товарів і послуг ІБ00-001158 від 20.03.2025 23:15:32
Насосна Градирня (Глобине)</t>
  </si>
  <si>
    <t>Вимога-накладна ІБ00-000316 від 30.04.2025 23:59:33
Списаны ТМЦ</t>
  </si>
  <si>
    <t>Обл. НДС
Стрижень М 12 8.8 1м цб  DIN 975
Надходження товарів і послуг ІБ00-001073 від 06.03.2025 22:00:30
Насосна Градирня (Глобине)</t>
  </si>
  <si>
    <t>Обл. НДС
Гайка DIN934 M 12
Надходження товарів і послуг ІБ00-001073 від 06.03.2025 22:00:30
Насосна Градирня (Глобине)</t>
  </si>
  <si>
    <t>Обл. НДС
Шайба 12 цб 140 HVдо кл.м.4.6-8.8
Надходження товарів і послуг ІБ00-001073 від 06.03.2025 22:00:30
Насосна Градирня (Глобине)</t>
  </si>
  <si>
    <t>Обл. НДС
Болт М12*65  DIN 933
Надходження товарів і послуг ІБ00-001073 від 06.03.2025 22:00:30
Насосна Градирня (Глобине)</t>
  </si>
  <si>
    <t>Обл. НДС
Болт М12*35 DIN 933 
Надходження товарів і послуг ІБ00-001073 від 06.03.2025 22:00:30
Насосна Градирня (Глобине)</t>
  </si>
  <si>
    <t>Обл. НДС
Грунт-емаль АК-100 ЖИДКИЙ ЦИНК
Надходження товарів і послуг ІБ00-001195 від 20.03.2025 23:15:43
Насосна Градирня (Глобине)</t>
  </si>
  <si>
    <t>Списання товарів ІБ00-000225 від 30.04.2025 10:00:00
Списаны ТМЦ</t>
  </si>
  <si>
    <t>Обл. НДС
Хомут нейлон. 3,6х150мм ІЕК
Надходження товарів і послуг ІБ00-001198 від 21.03.2025 19:26:08
Підготовчі роботи та тимчасові споруди (Глобине)</t>
  </si>
  <si>
    <t>Надходження товарів і послуг ІБ00-001998 від 01.04.2025 11:00:00
Оприходованы ТМЦ (Зачет аванса поставщику)</t>
  </si>
  <si>
    <t>Обл. НДС
Брус 50*150 мм 6,0 м
Надходження товарів і послуг ІБ00-001998 від 01.04.2025 11:00:00
Пожежений резервуар (Глобине)</t>
  </si>
  <si>
    <t>Мошинець Ю.П. ФОП
Рахунки_Глобине-2
Рахунок на оплату постачальника ІБ00-000963 від 11.03.2025 19:00:24</t>
  </si>
  <si>
    <t>Надходження товарів і послуг ІБ00-002044 від 01.04.2025 11:00:00
Оприходованы ТМЦ (Зачет аванса поставщику)</t>
  </si>
  <si>
    <t>Обл. НДС
Брус 50*100* 6 м  шт
Надходження товарів і послуг ІБ00-002044 від 01.04.2025 11:00:00
Пожежений резервуар (Глобине)</t>
  </si>
  <si>
    <t>Мошинець Ю.П. ФОП
Рахунки_Глобине-2
Рахунок на оплату постачальника ІБ00-000927 від 12.03.2025 18:45:40</t>
  </si>
  <si>
    <t>Обл. НДС
Плита вологост.орієнтовно-стружкова OSB 22мм
Надходження товарів і послуг ІБ00-002044 від 01.04.2025 11:00:00
Пожежений резервуар (Глобине)</t>
  </si>
  <si>
    <t>Надходження товарів і послуг ІБ00-002045 від 03.04.2025 11:00:00
Оприходованы ТМЦ</t>
  </si>
  <si>
    <t>Обл. НДС
Брус 50*120* 6 м  шт
Надходження товарів і послуг ІБ00-002045 від 03.04.2025 11:00:00
Пожежений резервуар (Глобине)</t>
  </si>
  <si>
    <t>Мошинець Ю.П. ФОП
Рахунки_Глобине-2
Рахунок на оплату постачальника ІБ00-001652 від 03.04.2025 17:42:16</t>
  </si>
  <si>
    <t>Надходження товарів і послуг ІБ00-001655 від 03.04.2025 17:42:09
Оприходованы ТМЦ</t>
  </si>
  <si>
    <t>Обл. НДС
Балка 20 ІРЕ 12,05м S235/275
Надходження товарів і послуг ІБ00-001655 від 03.04.2025 17:42:09
Пожежений резервуар (Глобине)</t>
  </si>
  <si>
    <t>МЕТАЛ ХОЛДІНГ ТРЕЙД ТОВ
Дог 01/219/25 від 01.04.2025_Глобине-2
Рахунок на оплату постачальника ІБ00-001339 від 01.04.2025 23:10:41</t>
  </si>
  <si>
    <t>Надходження товарів і послуг ІБ00-001656 від 03.04.2025 17:42:10
Оприходованы ТМЦ</t>
  </si>
  <si>
    <t>Обл. НДС
Труба 100*100*4 (12,05-8940:2019 08кп/1-3пс)
Надходження товарів і послуг ІБ00-001656 від 03.04.2025 17:42:10
Пожежений резервуар (Глобине)</t>
  </si>
  <si>
    <t>Надходження товарів і послуг ІБ00-001903 від 25.04.2025 11:00:00
Оприходованы ТМЦ</t>
  </si>
  <si>
    <t>Обл. НДС
Щебінь 20-40
Надходження товарів і послуг ІБ00-001903 від 25.04.2025 11:00:00
Пожежений резервуар (Глобине)</t>
  </si>
  <si>
    <t>Енергія Логістик ТОВ
№28/10-2024 ВІД 28/10/24_Глобине-2
Рахунок на оплату постачальника ІБ00-001590 від 25.04.2025 10:00:00</t>
  </si>
  <si>
    <t>Надходження дод. витрат ІБ00-000293 від 25.04.2025 11:05:00
Доп. расходы при поступлении товаров</t>
  </si>
  <si>
    <t>Вимога-накладна ІБ00-000322 від 30.04.2025 10:00:00
Списаны ТМЦ</t>
  </si>
  <si>
    <t>Переміщення товарів ІБ00-000418 від 30.04.2025 15:00:00
Перемещение ТМЦ</t>
  </si>
  <si>
    <t>Обл. НДС
Щебінь 20-40
Надходження товарів і послуг ІБ00-001903 від 25.04.2025 11:00:00
Резервуар для зберігання розчинника(Глобине)</t>
  </si>
  <si>
    <t>Переміщення товарів ІБ00-000310 від 01.04.2025 18:04:03
Перемещение ТМЦ</t>
  </si>
  <si>
    <t>Обл. НДС
Бетон С  8/10 доб-10
Надходження товарів і послуг ІБ00-005899 від 27.11.2024 18:37:16
Пункт фасування та зберігання в бігбегах (Глобине)</t>
  </si>
  <si>
    <t>Обл. НДС
Бетон С  8/10 доб-10
Надходження товарів і послуг ІБ00-005899 від 27.11.2024 18:37:16
СПК (Глобине)</t>
  </si>
  <si>
    <t>Обл. НДС
Бетон С  8/10 Р4
Надходження товарів і послуг ІБ00-000364 від 29.01.2025 18:00:25
Пункт фасування та зберігання в бігбегах (Глобине)</t>
  </si>
  <si>
    <t>Обл. НДС
Бетон С  8/10 Р4
Надходження товарів і послуг ІБ00-000364 від 29.01.2025 18:00:25
СПК (Глобине)</t>
  </si>
  <si>
    <t>Переміщення товарів ІБ00-000311 від 01.04.2025 18:04:04
Перемещение ТМЦ</t>
  </si>
  <si>
    <t>Обл. НДС
Бетон С 8/10 Р4 доб-10
Надходження товарів і послуг ІБ00-000728 від 22.02.2025 20:00:06
Цех екстракції (Глобине)</t>
  </si>
  <si>
    <t>Вимога-накладна ІБ00-000259 від 03.04.2025 00:00:00
Списаны ТМЦ</t>
  </si>
  <si>
    <t>Обл. НДС
Прокат сталевий круглий (кл. А240С) ф10мм, ст.3пс, міра 6м
Надходження товарів і послуг ІБ00-000546 від 14.02.2025 10:00:00
Пункт фасування та зберігання в бігбегах (Глобине)</t>
  </si>
  <si>
    <t>Обл. НДС
Прокат сталевий круглий (кл. А240С) ф12мм, ст.3пс, міра 6м
Надходження товарів і послуг ІБ00-000546 від 14.02.2025 10:00:00
Пункт фасування та зберігання в бігбегах (Глобине)</t>
  </si>
  <si>
    <t>Обл. НДС
Прокат арматурний №12 мм  А500С  12м
Надходження товарів і послуг ІБ00-000546 від 14.02.2025 10:00:00
Пункт фасування та зберігання в бігбегах (Глобине)</t>
  </si>
  <si>
    <t>Обл. НДС
Прокат арматурний №14 мм  А500С, 12 м
Надходження товарів і послуг ІБ00-000546 від 14.02.2025 10:00:00
Пункт фасування та зберігання в бігбегах (Глобине)</t>
  </si>
  <si>
    <t>Обл. НДС
Дріт 1,2 мм термооброблений
Надходження товарів і послуг ІБ00-000546 від 14.02.2025 10:00:00
Пункт фасування та зберігання в бігбегах (Глобине)</t>
  </si>
  <si>
    <t>Обл. НДС
Бетон С  8/10 Р4
Надходження товарів і послуг ІБ00-001449 від 22.03.2025 12:00:01
Пункт фасування та зберігання в бігбегах (Глобине)</t>
  </si>
  <si>
    <t>Обл. НДС
Бетон С20/25 W6 F75 P4
Надходження товарів і послуг ІБ00-001087 від 11.03.2025 19:00:13
Пункт фасування та зберігання в бігбегах (Глобине)</t>
  </si>
  <si>
    <t>Обл. НДС
Бетон С20/25 W6 F75 P4
Надходження товарів і послуг ІБ00-001090 від 15.03.2025 12:00:00
Пункт фасування та зберігання в бігбегах (Глобине)</t>
  </si>
  <si>
    <t>Обл. НДС
Бетон С20/25 W6 F75 P4
Надходження товарів і послуг ІБ00-001293 від 27.03.2025 18:14:54
Пункт фасування та зберігання в бігбегах (Глобине)</t>
  </si>
  <si>
    <t>Обл. НДС
Бетон С20/25 W6 F75 P4 доб-5
Надходження товарів і послуг ІБ00-001086 від 17.03.2025 17:20:12
Пункт фасування та зберігання в бігбегах (Глобине)</t>
  </si>
  <si>
    <t>Обл. НДС
Бетон С 20/25  F75 W6 Р4
Надходження товарів і послуг ІБ00-001450 від 20.03.2025 12:16:00
Пункт фасування та зберігання в бігбегах (Глобине)</t>
  </si>
  <si>
    <t>Обл. НДС
Бетон С 20/25  F75 W6 Р4
Надходження товарів і послуг ІБ00-001358 від 24.03.2025 18:31:10
Пункт фасування та зберігання в бігбегах (Глобине)</t>
  </si>
  <si>
    <t>Списання товарів ІБ00-000200 від 03.04.2025 15:39:18
Списаны ТМЦ</t>
  </si>
  <si>
    <t>Обл. НДС
Піна монтажна  750 мл 
Надходження товарів і послуг ІБ00-001198 від 21.03.2025 19:26:08
Пункт фасування та зберігання в бігбегах (Глобине)</t>
  </si>
  <si>
    <t>Обл. НДС
Шуруп г/к по дереву 3,5*55 мм
Надходження товарів і послуг ІБ00-000711 від 18.02.2025 20:00:44
Пункт фасування та зберігання в бігбегах (Глобине)</t>
  </si>
  <si>
    <t>Обл. НДС
Шуруп г/к по дереву 4,2*76 мм
Надходження товарів і послуг ІБ00-000748 від 25.02.2025 18:19:56
Пункт фасування та зберігання в бігбегах (Глобине)</t>
  </si>
  <si>
    <t>Надходження товарів і послуг ІБ00-001678 від 14.04.2025 11:00:00
Оприходованы ТМЦ (Зачет аванса поставщику)</t>
  </si>
  <si>
    <t>Обл. НДС
Бетон С20/25 W6 F75 P4
Надходження товарів і послуг ІБ00-001678 від 14.04.2025 11:00:00
Пункт фасування та зберігання в бігбегах (Глобине)</t>
  </si>
  <si>
    <t>Надходження дод. витрат ІБ00-000259 від 14.04.2025 11:05:00
Доп. расходы при поступлении товаров (Зачет аванса поставщику)</t>
  </si>
  <si>
    <t>Надходження товарів і послуг ІБ00-001731 від 17.04.2025 11:00:00
Оприходованы ТМЦ (Зачет аванса поставщику)</t>
  </si>
  <si>
    <t>Обл. НДС
Бетон С20/25 W6 F75 P4
Надходження товарів і послуг ІБ00-001731 від 17.04.2025 11:00:00
Пункт фасування та зберігання в бігбегах (Глобине)</t>
  </si>
  <si>
    <t>Надходження дод. витрат ІБ00-000263 від 17.04.2025 11:05:00
Доп. расходы при поступлении товаров (Зачет аванса поставщику)</t>
  </si>
  <si>
    <t>19.04.2025</t>
  </si>
  <si>
    <t>Надходження товарів і послуг ІБ00-001732 від 19.04.2025 11:00:00
Оприходованы ТМЦ (Зачет аванса поставщику)</t>
  </si>
  <si>
    <t>Обл. НДС
Бетон С20/25 W6 F75 P4
Надходження товарів і послуг ІБ00-001732 від 19.04.2025 11:00:00
Пункт фасування та зберігання в бігбегах (Глобине)</t>
  </si>
  <si>
    <t>Надходження дод. витрат ІБ00-000264 від 19.04.2025 11:05:00
Доп. расходы при поступлении товаров (Зачет аванса поставщику)</t>
  </si>
  <si>
    <t>Вимога-накладна ІБ00-000281 від 29.04.2025 15:57:46
Списаны ТМЦ</t>
  </si>
  <si>
    <t>Обл. НДС
Бетон С  8/10 Р4
Надходження товарів і послуг ІБ00-001292 від 28.03.2025 17:56:31
Пункт фасування та зберігання в бігбегах (Глобине)</t>
  </si>
  <si>
    <t>Списання товарів ІБ00-000209 від 29.04.2025 16:03:38
Списаны ТМЦ</t>
  </si>
  <si>
    <t>Обл. НДС
Цвяхи 100*4,0  10кг
Надходження товарів і послуг ІБ00-000748 від 25.02.2025 18:19:56
Пункт фасування та зберігання в бігбегах (Глобине)</t>
  </si>
  <si>
    <t>Вимога-накладна ІБ00-000318 від 30.04.2025 00:00:00
Списаны ТМЦ</t>
  </si>
  <si>
    <t>Переміщення товарів ІБ00-000394 від 30.04.2025 10:00:00
Перемещение ТМЦ</t>
  </si>
  <si>
    <t>Обл. НДС
Бетон С20/25 W6 F75 P4
Надходження товарів і послуг ІБ00-001291 від 29.03.2025 12:00:00
Пункт фасування та зберігання в бігбегах (Глобине)</t>
  </si>
  <si>
    <t>Обл. НДС
Бетон С20/25 W6 F75 P4
Надходження товарів і послуг ІБ00-001291 від 29.03.2025 12:00:00
Цех екстракції (Глобине)</t>
  </si>
  <si>
    <t>Переміщення товарів ІБ00-000401 від 30.04.2025 10:00:00
Перемещение ТМЦ</t>
  </si>
  <si>
    <t>Обл. НДС
Бетон С 20/25  F75 W6 Р4
Надходження товарів і послуг ІБ00-001356 від 31.03.2025 18:59:59
Цех екстракції (Глобине)</t>
  </si>
  <si>
    <t>Обл. НДС
Бетон С20/25 W6 F75 P4 доб-5
Надходження товарів і послуг ІБ00-001629 від 11.04.2025 11:00:00
Цех екстракції (Глобине)</t>
  </si>
  <si>
    <t>Обл. НДС
Провід ПВС 4*2,5 Expert Power
Надходження товарів і послуг ІБ00-000543 від 13.02.2025 18:15:01
Цех екстракції (Глобине)</t>
  </si>
  <si>
    <t>Обл. НДС
Провід ПВС 4*2,5 Expert Power
Надходження товарів і послуг ІБ00-000543 від 13.02.2025 18:15:01
Пункт фасування та зберігання в бігбегах (Глобине)</t>
  </si>
  <si>
    <t>Переміщення товарів ІБ00-000421 від 30.04.2025 10:00:00
Перемещение ТМЦ</t>
  </si>
  <si>
    <t>Вимога-накладна ІБ00-000320 від 30.04.2025 11:00:00
Списаны ТМЦ</t>
  </si>
  <si>
    <t>Вимога-накладна ІБ00-000350 від 30.04.2025 20:00:00
Списаны ТМЦ</t>
  </si>
  <si>
    <t>Переміщення товарів ІБ00-000304 від 01.04.2025 18:03:58
Перемещение ТМЦ</t>
  </si>
  <si>
    <t>Обл. НДС
Щебінь 20-40
Надходження товарів і послуг ІБ00-001480 від 19.03.2025 11:00:00
Цех екстракції (Глобине)</t>
  </si>
  <si>
    <t>Переміщення товарів ІБ00-000361 від 01.04.2025 23:11:16
Перемещение ТМЦ</t>
  </si>
  <si>
    <t>Надходження товарів і послуг ІБ00-001430 від 02.04.2025 18:09:00
Оприходованы ТМЦ (Зачет аванса поставщику)</t>
  </si>
  <si>
    <t>Обл. НДС
Мапеграут 450 Тіксо/25
Надходження товарів і послуг ІБ00-001430 від 02.04.2025 18:09:00
Резервуар для зберігання розчинника(Глобине)</t>
  </si>
  <si>
    <t>СЛОН-М ТОВ
РАХУНКИ_Глобино-2
Рахунок на оплату постачальника ІБ00-001033 від 28.03.2025 09:00:00</t>
  </si>
  <si>
    <t>Надходження дод. витрат ІБ00-000210 від 02.04.2025 18:11:00
Доп. расходы при поступлении товаров (Зачет аванса поставщику)</t>
  </si>
  <si>
    <t>24.04.2025</t>
  </si>
  <si>
    <t>Надходження товарів і послуг ІБ00-001811 від 24.04.2025 11:00:00
Оприходованы ТМЦ</t>
  </si>
  <si>
    <t>Обл. НДС
Щебінь 20-40
Надходження товарів і послуг ІБ00-001811 від 24.04.2025 11:00:00
Резервуар для зберігання розчинника(Глобине)</t>
  </si>
  <si>
    <t>Енергія Логістик ТОВ
№28/10-2024 ВІД 28/10/24_Глобине-2
Рахунок на оплату постачальника ІБ00-001461 від 24.04.2025 18:46:05</t>
  </si>
  <si>
    <t>Надходження дод. витрат ІБ00-000277 від 24.04.2025 11:05:00
Доп. расходы при поступлении товаров</t>
  </si>
  <si>
    <t>Надходження товарів і послуг ІБ00-001871 від 26.04.2025 11:00:00
Оприходованы ТМЦ</t>
  </si>
  <si>
    <t>Обл. НДС
Щебінь 20-40
Надходження товарів і послуг ІБ00-001871 від 26.04.2025 11:00:00
Резервуар для зберігання розчинника(Глобине)</t>
  </si>
  <si>
    <t>Енергія Логістик ТОВ
№28/10-2024 ВІД 28/10/24_Глобине-2
Рахунок на оплату постачальника ІБ00-001537 від 26.04.2025 12:00:00</t>
  </si>
  <si>
    <t>Надходження дод. витрат ІБ00-000284 від 26.04.2025 11:10:00
Доп. расходы при поступлении товаров</t>
  </si>
  <si>
    <t>28.04.2025</t>
  </si>
  <si>
    <t>Надходження товарів і послуг ІБ00-001902 від 28.04.2025 11:00:00
Оприходованы ТМЦ</t>
  </si>
  <si>
    <t>Обл. НДС
Щебінь 20-40
Надходження товарів і послуг ІБ00-001902 від 28.04.2025 11:00:00
Резервуар для зберігання розчинника(Глобине)</t>
  </si>
  <si>
    <t>Енергія Логістик ТОВ
№28/10-2024 ВІД 28/10/24_Глобине-2
Рахунок на оплату постачальника ІБ00-001589 від 28.04.2025 10:00:00</t>
  </si>
  <si>
    <t>Надходження дод. витрат ІБ00-000292 від 28.04.2025 11:05:00
Доп. расходы при поступлении товаров</t>
  </si>
  <si>
    <t>Вимога-накладна ІБ00-000278 від 29.04.2025 14:31:19
Списаны ТМЦ</t>
  </si>
  <si>
    <t>Обл. НДС
Бетон С  8/10 Р4
Надходження товарів і послуг ІБ00-001292 від 28.03.2025 17:56:31
Резервуар для зберігання розчинника(Глобине)</t>
  </si>
  <si>
    <t>Обл. НДС
Бетон С 20/25  F75 W6 Р4
Надходження товарів і послуг ІБ00-001356 від 31.03.2025 18:59:59
Резервуар для зберігання розчинника(Глобине)</t>
  </si>
  <si>
    <t>Списання товарів ІБ00-000207 від 29.04.2025 14:32:34
Списаны ТМЦ</t>
  </si>
  <si>
    <t>Обл. НДС
Піна монтажна  750 мл 
Надходження товарів і послуг ІБ00-001198 від 21.03.2025 19:26:08
Резервуар для зберігання розчинника(Глобине)</t>
  </si>
  <si>
    <t>Списання товарів ІБ00-000221 від 30.04.2025 00:00:00
Списаны ТМЦ</t>
  </si>
  <si>
    <t>Обл. НДС
Шуруп г/к по дереву 3,5*55 мм
Надходження товарів і послуг ІБ00-000711 від 18.02.2025 20:00:44
Резервуар для зберігання розчинника(Глобине)</t>
  </si>
  <si>
    <t>Обл. НДС
Шуруп г/к по дереву 4,2*76 мм
Надходження товарів і послуг ІБ00-000711 від 18.02.2025 20:00:44
Резервуар для зберігання розчинника(Глобине)</t>
  </si>
  <si>
    <t>Вимога-накладна ІБ00-000317 від 30.04.2025 00:00:00
Списаны ТМЦ</t>
  </si>
  <si>
    <t>Обл. НДС
Шпонка гідроізоляційна ВД 240
Надходження товарів і послуг ІБ00-000659 від 13.02.2025 18:20:14
Резервуар для зберігання розчинника(Глобине)</t>
  </si>
  <si>
    <t>Переміщення товарів ІБ00-000404 від 30.04.2025 10:00:00
Перемещение ТМЦ</t>
  </si>
  <si>
    <t>Обл. НДС
Щебінь 20-40
Надходження товарів і послуг ІБ00-001479 від 24.03.2025 11:00:00
Транспортна галерея (Глобине)</t>
  </si>
  <si>
    <t>Переміщення товарів ІБ00-000408 від 30.04.2025 10:00:00
Перемещение ТМЦ</t>
  </si>
  <si>
    <t>Обл. НДС
Щебінь 20-40
Надходження товарів і послуг ІБ00-001479 від 24.03.2025 11:00:00
Цех екстракції (Глобине)</t>
  </si>
  <si>
    <t>Вимога-накладна ІБ00-000338 від 30.04.2025 11:00:00
Списаны ТМЦ</t>
  </si>
  <si>
    <t>Переміщення товарів ІБ00-000419 від 30.04.2025 15:00:00
Перемещение ТМЦ</t>
  </si>
  <si>
    <t>Вимога-накладна ІБ00-000348 від 30.04.2025 20:00:00
Списаны ТМЦ</t>
  </si>
  <si>
    <t>Вимога-накладна ІБ00-000261 від 03.04.2025 10:00:00
Списаны ТМЦ</t>
  </si>
  <si>
    <t>Обл. НДС
Заготовка арматури
Надходження товарів і послуг ІБ00-001171 від 21.03.2025 19:25:59
СПК (Глобине)</t>
  </si>
  <si>
    <t>Обл. НДС
Дужка-накладка д/стикування арматури ф20
Надходження товарів і послуг ІБ00-001169 від 21.03.2025 19:25:57
СПК (Глобине)</t>
  </si>
  <si>
    <t>Обл. НДС
Дужка-накладка д/стикування арматури ф25
Надходження товарів і послуг ІБ00-001169 від 21.03.2025 19:25:57
СПК (Глобине)</t>
  </si>
  <si>
    <t>Обл. НДС
Дужка-накладка д/стикування арматури ф32
Надходження товарів і послуг ІБ00-001169 від 21.03.2025 19:25:57
СПК (Глобине)</t>
  </si>
  <si>
    <t>Обл. НДС
МН4
Надходження товарів і послуг ІБ00-001235 від 24.03.2025 17:30:49
СПК (Глобине)</t>
  </si>
  <si>
    <t>Обл. НДС
МН4
Надходження товарів і послуг ІБ00-001311 від 25.03.2025 17:56:45
СПК (Глобине)</t>
  </si>
  <si>
    <t>Обл. НДС
Ригель Р4 1Р6.3.83-2 L=6740
Надходження товарів і послуг ІБ00-001155 від 17.03.2025 17:20:43
СПК (Глобине)</t>
  </si>
  <si>
    <t>Обл. НДС
Ригель Р5 2Р6.3.83-5 L=6740
Надходження товарів і послуг ІБ00-001236 від 24.03.2025 17:30:50
СПК (Глобине)</t>
  </si>
  <si>
    <t>Обл. НДС
Ригель Р5 2Р6.3.83-5 L=6740
Надходження товарів і послуг ІБ00-001237 від 24.03.2025 17:30:51
СПК (Глобине)</t>
  </si>
  <si>
    <t>Обл. НДС
Ригель Р5 2Р6.3.83-5 L=6740
Надходження товарів і послуг ІБ00-001318 від 24.03.2025 18:31:00
СПК (Глобине)</t>
  </si>
  <si>
    <t>Обл. НДС
Ригель Р5 2Р6.3.83-5 L=6740
Надходження товарів і послуг ІБ00-001310 від 25.03.2025 17:56:44
СПК (Глобине)</t>
  </si>
  <si>
    <t>Обл. НДС
Плита ребриста РП1 РП 6.2.65-2 L=6240
Надходження товарів і послуг ІБ00-001155 від 17.03.2025 17:20:43
СПК (Глобине)</t>
  </si>
  <si>
    <t>Обл. НДС
Плита ребриста РП1 РП 6.2.65-2 L=6240
Надходження товарів і послуг ІБ00-001339 від 21.03.2025 20:00:14
СПК (Глобине)</t>
  </si>
  <si>
    <t>Обл. НДС
Плита ребриста РП2 РП 6.2.53-2 
Надходження товарів і послуг ІБ00-001172 від 21.03.2025 19:26:00
СПК (Глобине)</t>
  </si>
  <si>
    <t>Обл. НДС
Плита ребриста РП2 РП 6.2.53-2 
Надходження товарів і послуг ІБ00-001152 від 19.03.2025 12:00:00
СПК (Глобине)</t>
  </si>
  <si>
    <t>Обл. НДС
Плита перекриття ПП1 3ПГ 12-1АІІІв L=6660
Надходження товарів і послуг ІБ00-001170 від 21.03.2025 19:25:58
СПК (Глобине)</t>
  </si>
  <si>
    <t>Обл. НДС
Плита перекриття ПП1 3ПГ 12-1АІІІв L=6660
Надходження товарів і послуг ІБ00-001339 від 21.03.2025 20:00:14
СПК (Глобине)</t>
  </si>
  <si>
    <t>Обл. НДС
Плита перекриття ПП1 3ПГ 12-1АІІІв L=6660
Надходження товарів і послуг ІБ00-001236 від 24.03.2025 17:30:50
СПК (Глобине)</t>
  </si>
  <si>
    <t>Обл. НДС
Плита перекриття ПП1 3ПГ 12-1АІІІв L=6660
Надходження товарів і послуг ІБ00-001237 від 24.03.2025 17:30:51
СПК (Глобине)</t>
  </si>
  <si>
    <t>Обл. НДС
Плита перекриття ПП1 3ПГ 12-1АІІІв L=6660
Надходження товарів і послуг ІБ00-001318 від 24.03.2025 18:31:00
СПК (Глобине)</t>
  </si>
  <si>
    <t>Обл. НДС
Плита перекриття ПП1 3ПГ 12-1АІІІв L=6660
Надходження товарів і послуг ІБ00-001310 від 25.03.2025 17:56:44
СПК (Глобине)</t>
  </si>
  <si>
    <t>Обл. НДС
Плита перекриття ПП1 3ПГ 12-1АІІІв L=6660
Надходження товарів і послуг ІБ00-001312 від 26.03.2025 22:32:02
СПК (Глобине)</t>
  </si>
  <si>
    <t>Обл. НДС
Плита перекриття ПП1 3ПГ 12-1АІІІв L=6660
Надходження товарів і послуг ІБ00-001314 від 27.03.2025 19:00:02
СПК (Глобине)</t>
  </si>
  <si>
    <t>Обл. НДС
Плита перекриття ПП1 3ПГ 12-1АІІІв L=6660
Надходження товарів і послуг ІБ00-001315 від 28.03.2025 18:00:05
СПК (Глобине)</t>
  </si>
  <si>
    <t>Обл. НДС
Плита перекриття ПП2 3ПГ 12-1АІІІв  В=1200 L=6660
Надходження товарів і послуг ІБ00-001170 від 21.03.2025 19:25:58
СПК (Глобине)</t>
  </si>
  <si>
    <t>Обл. НДС
Плита перекриття ПП2 3ПГ 12-1АІІІв  В=1200 L=6660
Надходження товарів і послуг ІБ00-001339 від 21.03.2025 20:00:14
СПК (Глобине)</t>
  </si>
  <si>
    <t>Обл. НДС
Плита перекриття ПП2 3ПГ 12-1АІІІв  В=1200 L=6660
Надходження товарів і послуг ІБ00-001236 від 24.03.2025 17:30:50
СПК (Глобине)</t>
  </si>
  <si>
    <t>Обл. НДС
Плита перекриття ПП2 3ПГ 12-1АІІІв  В=1200 L=6660
Надходження товарів і послуг ІБ00-001237 від 24.03.2025 17:30:51
СПК (Глобине)</t>
  </si>
  <si>
    <t>Обл. НДС
Плита перекриття ПП2 3ПГ 12-1АІІІв  В=1200 L=6660
Надходження товарів і послуг ІБ00-001310 від 25.03.2025 17:56:44
СПК (Глобине)</t>
  </si>
  <si>
    <t>Обл. НДС
Плита перекриття ПП2 3ПГ 12-1АІІІв  В=1200 L=6660
Надходження товарів і послуг ІБ00-001314 від 27.03.2025 19:00:02
СПК (Глобине)</t>
  </si>
  <si>
    <t>Обл. НДС
Плита перекриття ПП2 3ПГ 12-1АІІІв  В=1200 L=6660
Надходження товарів і послуг ІБ00-001315 від 28.03.2025 18:00:05
СПК (Глобине)</t>
  </si>
  <si>
    <t>Обл. НДС
Плита перекриття ПП2 3ПГ 12-1АІІІв  В=1200 L=6660
Надходження товарів і послуг ІБ00-001316 від 28.03.2025 18:00:06
СПК (Глобине)</t>
  </si>
  <si>
    <t>Надходження товарів і послуг ІБ00-001704 від 03.04.2025 11:00:00
Оприходованы ТМЦ</t>
  </si>
  <si>
    <t>Обл. НДС
Колона К6с-1 4КС 60.60-13 L=5820
Надходження товарів і послуг ІБ00-001704 від 03.04.2025 11:00:00
СПК (Глобине)</t>
  </si>
  <si>
    <t>БМЗ БЕТОН ПП
Договір ПП/М 221-2 від 14.01.2025 _Глобино-2
Рахунок на оплату постачальника ІБ00-000358 від 28.01.2025 23:21:44</t>
  </si>
  <si>
    <t>Обл. НДС
Колона К7с-1 4КС 60.60-13 L=5820
Надходження товарів і послуг ІБ00-001704 від 03.04.2025 11:00:00
СПК (Глобине)</t>
  </si>
  <si>
    <t>Обл. НДС
Колона К11с-1 5КС 60.60-13-н L=5820
Надходження товарів і послуг ІБ00-001704 від 03.04.2025 11:00:00
СПК (Глобине)</t>
  </si>
  <si>
    <t>Обл. НДС
Колона К18с-1 2КС 60.60-13 L=5820
Надходження товарів і послуг ІБ00-001704 від 03.04.2025 11:00:00
СПК (Глобине)</t>
  </si>
  <si>
    <t>Обл. НДС
Плита ребриста РП1а РП 6.2.65-2 L=6240
Надходження товарів і послуг ІБ00-001704 від 03.04.2025 11:00:00
СПК (Глобине)</t>
  </si>
  <si>
    <t>Обл. НДС
Ригель Р2-2 1Р6 3.53-4 
Надходження товарів і послуг ІБ00-001704 від 03.04.2025 11:00:00
СПК (Глобине)</t>
  </si>
  <si>
    <t>Обл. НДС
Ригель Р3-1 2Р6 3.53-6 
Надходження товарів і послуг ІБ00-001704 від 03.04.2025 11:00:00
СПК (Глобине)</t>
  </si>
  <si>
    <t>Надходження товарів і послуг ІБ00-001494 від 03.04.2025 17:41:27
Оприходованы ТМЦ</t>
  </si>
  <si>
    <t>Обл. НДС
Пісок з відсіву дроблення щебеню фр. 0-5мм.
Надходження товарів і послуг ІБ00-001494 від 03.04.2025 17:41:27
СПК (Глобине)</t>
  </si>
  <si>
    <t>Енергія Логістик ТОВ
№28/10-2024 ВІД 28/10/24_Глобине-2
Рахунок на оплату постачальника ІБ00-001164 від 03.04.2025 17:41:26</t>
  </si>
  <si>
    <t>Надходження дод. витрат ІБ00-000231 від 03.04.2025 17:41:28
Доп. расходы при поступлении товаров</t>
  </si>
  <si>
    <t>Надходження товарів і послуг ІБ00-001600 від 03.04.2025 17:42:05
Оприходованы ТМЦ</t>
  </si>
  <si>
    <t>Обл. НДС
МН4
Надходження товарів і послуг ІБ00-001600 від 03.04.2025 17:42:05
СПК (Глобине)</t>
  </si>
  <si>
    <t>Надходження товарів і послуг ІБ00-001602 від 03.04.2025 17:42:06
Оприходованы ТМЦ</t>
  </si>
  <si>
    <t>Обл. НДС
Плита перекриття ПП2 3ПГ 12-1АІІІв  В=1200 L=6660
Надходження товарів і послуг ІБ00-001602 від 03.04.2025 17:42:06
СПК (Глобине)</t>
  </si>
  <si>
    <t>Обл. НДС
Ригель Р1 2Р6 3.83-10 L=6740
Надходження товарів і послуг ІБ00-001602 від 03.04.2025 17:42:06
СПК (Глобине)</t>
  </si>
  <si>
    <t>Надходження товарів і послуг ІБ00-001486 від 04.04.2025 11:24:46
Оприходованы ТМЦ</t>
  </si>
  <si>
    <t>Обл. НДС
Пісок з відсіву дроблення щебеню фр. 0-5мм.
Надходження товарів і послуг ІБ00-001486 від 04.04.2025 11:24:46
СПК (Глобине)</t>
  </si>
  <si>
    <t>Енергія Логістик ТОВ
№28/10-2024 ВІД 28/10/24_Глобине-2
Рахунок на оплату постачальника ІБ00-001159 від 04.04.2025 23:24:45</t>
  </si>
  <si>
    <t>Надходження дод. витрат ІБ00-000228 від 04.04.2025 11:30:00
Доп. расходы при поступлении товаров</t>
  </si>
  <si>
    <t>08.04.2025</t>
  </si>
  <si>
    <t>Надходження товарів і послуг ІБ00-001493 від 08.04.2025 23:10:42
Оприходованы ТМЦ</t>
  </si>
  <si>
    <t>Обл. НДС
Пісок з відсіву дроблення щебеню фр. 0-5мм.
Надходження товарів і послуг ІБ00-001493 від 08.04.2025 23:10:42
СПК (Глобине)</t>
  </si>
  <si>
    <t>Енергія Логістик ТОВ
№28/10-2024 ВІД 28/10/24_Глобине-2
Рахунок на оплату постачальника ІБ00-001161 від 08.04.2025 23:10:41</t>
  </si>
  <si>
    <t>Надходження дод. витрат ІБ00-000230 від 08.04.2025 23:10:43
Доп. расходы при поступлении товаров</t>
  </si>
  <si>
    <t>Надходження товарів і послуг ІБ00-001497 від 08.04.2025 23:10:49
Оприходованы ТМЦ (Зачет аванса поставщику)</t>
  </si>
  <si>
    <t>Обл. НДС
Колона К8с-1 4КС 60.60-13 L=5820
Надходження товарів і послуг ІБ00-001497 від 08.04.2025 23:10:49
СПК (Глобине)</t>
  </si>
  <si>
    <t>Обл. НДС
Колона К9с-1 4КС 60.60-13 L=5820
Надходження товарів і послуг ІБ00-001497 від 08.04.2025 23:10:49
СПК (Глобине)</t>
  </si>
  <si>
    <t>Обл. НДС
Колона К10с-1 4КС 60.60-13 L=5820
Надходження товарів і послуг ІБ00-001497 від 08.04.2025 23:10:49
СПК (Глобине)</t>
  </si>
  <si>
    <t>Обл. НДС
Колона К26с-1 4КС 60.60-13 L=5820
Надходження товарів і послуг ІБ00-001497 від 08.04.2025 23:10:49
СПК (Глобине)</t>
  </si>
  <si>
    <t>Обл. НДС
Колона К27с-1 4КС 60.60-13 L=5820
Надходження товарів і послуг ІБ00-001497 від 08.04.2025 23:10:49
СПК (Глобине)</t>
  </si>
  <si>
    <t>Обл. НДС
Ригель Р1 2Р6 3.83-10 L=6740
Надходження товарів і послуг ІБ00-001497 від 08.04.2025 23:10:49
СПК (Глобине)</t>
  </si>
  <si>
    <t>10.04.2025</t>
  </si>
  <si>
    <t>Надходження товарів і послуг ІБ00-001701 від 10.04.2025 11:00:00
Оприходованы ТМЦ (Зачет аванса поставщику)</t>
  </si>
  <si>
    <t>Обл. НДС
Заготовка арматури
Надходження товарів і послуг ІБ00-001701 від 10.04.2025 11:00:00
СПК (Глобине)</t>
  </si>
  <si>
    <t>Надходження товарів і послуг ІБ00-001702 від 10.04.2025 11:00:00
Оприходованы ТМЦ (Зачет аванса поставщику)</t>
  </si>
  <si>
    <t>Обл. НДС
МС24
Надходження товарів і послуг ІБ00-001702 від 10.04.2025 11:00:00
СПК (Глобине)</t>
  </si>
  <si>
    <t>Надходження товарів і послуг ІБ00-001605 від 10.04.2025 22:56:51
Оприходованы ТМЦ (Зачет аванса поставщику)</t>
  </si>
  <si>
    <t>Обл. НДС
Бетон С 30/35 W4 F75 Р4 доб-5
Надходження товарів і послуг ІБ00-001605 від 10.04.2025 22:56:51
СПК (Глобине)</t>
  </si>
  <si>
    <t>Надходження дод. витрат ІБ00-000247 від 10.04.2025 22:56:52
Доп. расходы при поступлении товаров (Зачет аванса поставщику)</t>
  </si>
  <si>
    <t>Надходження товарів і послуг ІБ00-001699 від 10.04.2025 23:16:51
Оприходованы ТМЦ (Зачет аванса поставщику)</t>
  </si>
  <si>
    <t>Обл. НДС
Дужка-накладка д/стикування арматури ф36
Надходження товарів і послуг ІБ00-001699 від 10.04.2025 23:16:51
СПК (Глобине)</t>
  </si>
  <si>
    <t>Обл. НДС
Дужка-накладка д/стикування арматури ф40
Надходження товарів і послуг ІБ00-001699 від 10.04.2025 23:16:51
СПК (Глобине)</t>
  </si>
  <si>
    <t>Надходження товарів і послуг ІБ00-001649 від 11.04.2025 11:00:00
Оприходованы ТМЦ</t>
  </si>
  <si>
    <t>Обл. НДС
Балка 30 (ІРЕ 300) S275 JR, 12 м
Надходження товарів і послуг ІБ00-001649 від 11.04.2025 11:00:00
СПК (Глобине)</t>
  </si>
  <si>
    <t>АВ МЕТАЛ ГРУП ТОВ
Дог 2420/Р от 05.10.2023від 05.10.2023_Глобино-2
Рахунок на оплату постачальника ІБ00-001248 від 10.04.2025 16:17:07</t>
  </si>
  <si>
    <t>Обл. НДС
Труба профільна 120*120мм 4,0мм S235JRH 12 м
Надходження товарів і послуг ІБ00-001649 від 11.04.2025 11:00:00
СПК (Глобине)</t>
  </si>
  <si>
    <t>Надходження товарів і послуг ІБ00-001650 від 11.04.2025 11:00:00
Оприходованы ТМЦ (Зачет аванса поставщику)</t>
  </si>
  <si>
    <t>Обл. НДС
Балка 30 Б2 ст 235/255 300*150*6,5*9*1200
Надходження товарів і послуг ІБ00-001650 від 11.04.2025 11:00:00
СПК (Глобине)</t>
  </si>
  <si>
    <t>АБСОЛЮТ-СТАЛЬ ТОВ
РАХУНКИ_Глобине 2
Рахунок на оплату постачальника ІБ00-001258 від 08.04.2025 23:11:25</t>
  </si>
  <si>
    <t>Надходження товарів і послуг ІБ00-001651 від 11.04.2025 11:00:00
Оприходованы ТМЦ (Зачет аванса поставщику)</t>
  </si>
  <si>
    <t>Обл. НДС
Балка 30 Б1 ст 235/255 298*149*5,5*8
Надходження товарів і послуг ІБ00-001651 від 11.04.2025 11:00:00
СПК (Глобине)</t>
  </si>
  <si>
    <t>Надходження товарів і послуг ІБ00-001651 від 11.04.2025 11:00:00
Оприходованы ТМЦ</t>
  </si>
  <si>
    <t>Обл. НДС
Балка 30 Б1 ст 355 298*149*5,5*8
Надходження товарів і послуг ІБ00-001651 від 11.04.2025 11:00:00
СПК (Глобине)</t>
  </si>
  <si>
    <t>Надходження дод. витрат ІБ00-000270 від 11.04.2025 11:10:00
Доп. расходы при поступлении товаров</t>
  </si>
  <si>
    <t>Надходження дод. витрат ІБ00-000271 від 11.04.2025 11:10:00
Доп. расходы при поступлении товаров</t>
  </si>
  <si>
    <t>Надходження товарів і послуг ІБ00-001703 від 14.04.2025 11:00:00
Оприходованы ТМЦ (Зачет аванса поставщику)</t>
  </si>
  <si>
    <t>Обл. НДС
Колона К19с-1 2КС 60.60-13 L=5820
Надходження товарів і послуг ІБ00-001703 від 14.04.2025 11:00:00
СПК (Глобине)</t>
  </si>
  <si>
    <t>Обл. НДС
Колона К21с-1 2КС 60.60-13 L=5820
Надходження товарів і послуг ІБ00-001703 від 14.04.2025 11:00:00
СПК (Глобине)</t>
  </si>
  <si>
    <t>Обл. НДС
Колона К22с-1 3КС 60.60-13 L=5820
Надходження товарів і послуг ІБ00-001703 від 14.04.2025 11:00:00
СПК (Глобине)</t>
  </si>
  <si>
    <t>Обл. НДС
Колона К24с-1 4КС 60.60-13 L=5820
Надходження товарів і послуг ІБ00-001703 від 14.04.2025 11:00:00
СПК (Глобине)</t>
  </si>
  <si>
    <t>Обл. НДС
Колона К25с-1 4КС 60.60-13 L=5820
Надходження товарів і послуг ІБ00-001703 від 14.04.2025 11:00:00
СПК (Глобине)</t>
  </si>
  <si>
    <t>Обл. НДС
Ригель Р1 2Р6 3.83-10 L=6740
Надходження товарів і послуг ІБ00-001703 від 14.04.2025 11:00:00
СПК (Глобине)</t>
  </si>
  <si>
    <t>Надходження товарів і послуг ІБ00-001698 від 15.04.2025 11:00:00
Оприходованы ТМЦ (Зачет аванса поставщику)</t>
  </si>
  <si>
    <t>Обл. НДС
Колона К3с-1 4КС 60.60-13 L=5820
Надходження товарів і послуг ІБ00-001698 від 15.04.2025 11:00:00
СПК (Глобине)</t>
  </si>
  <si>
    <t>Обл. НДС
Колона К4с-1 4КС 60.60-13 L=5820
Надходження товарів і послуг ІБ00-001698 від 15.04.2025 11:00:00
СПК (Глобине)</t>
  </si>
  <si>
    <t>Обл. НДС
Колона К17с-1 2КС 60.60-13 L=5820
Надходження товарів і послуг ІБ00-001698 від 15.04.2025 11:00:00
СПК (Глобине)</t>
  </si>
  <si>
    <t>Обл. НДС
Колона К20с-1 2КС 60.60-13 L=5820
Надходження товарів і послуг ІБ00-001698 від 15.04.2025 11:00:00
СПК (Глобине)</t>
  </si>
  <si>
    <t>Обл. НДС
Колона К23с-1 5КС 60.60-13 L=5820
Надходження товарів і послуг ІБ00-001698 від 15.04.2025 11:00:00
СПК (Глобине)</t>
  </si>
  <si>
    <t>Обл. НДС
Ригель Р2 1Р6 3.83-5 L=6740
Надходження товарів і послуг ІБ00-001698 від 15.04.2025 11:00:00
СПК (Глобине)</t>
  </si>
  <si>
    <t>Обл. НДС
Ригель Р4 1Р6.3.83-2 L=6740
Надходження товарів і послуг ІБ00-001698 від 15.04.2025 11:00:00
СПК (Глобине)</t>
  </si>
  <si>
    <t>Надходження товарів і послуг ІБ00-001679 від 15.04.2025 18:30:54
Оприходованы ТМЦ</t>
  </si>
  <si>
    <t>Обл. НДС
Пісок з відсіву дроблення щебеню фр. 0-5мм.
Надходження товарів і послуг ІБ00-001679 від 15.04.2025 18:30:54
СПК (Глобине)</t>
  </si>
  <si>
    <t>Енергія Логістик ТОВ
№28/10-2024 ВІД 28/10/24_Глобине-2
Рахунок на оплату постачальника ІБ00-001378 від 15.04.2025 18:30:53</t>
  </si>
  <si>
    <t>Надходження товарів і послуг ІБ00-001753 від 16.04.2025 11:00:00
Оприходованы ТМЦ</t>
  </si>
  <si>
    <t>Обл. НДС
Пісок з відсіву дроблення щебеню фр. 0-5мм.
Надходження товарів і послуг ІБ00-001753 від 16.04.2025 11:00:00
СПК (Глобине)</t>
  </si>
  <si>
    <t>Енергія Логістик ТОВ
№28/10-2024 ВІД 28/10/24_Глобине-2
Рахунок на оплату постачальника ІБ00-001407 від 16.04.2025 17:38:49</t>
  </si>
  <si>
    <t>Надходження дод. витрат ІБ00-000268 від 16.04.2025 11:05:00
Доп. расходы при поступлении товаров</t>
  </si>
  <si>
    <t>Надходження товарів і послуг ІБ00-001711 від 16.04.2025 17:38:43
Оприходованы ТМЦ (Зачет аванса поставщику)</t>
  </si>
  <si>
    <t>Обл. НДС
МС24
Надходження товарів і послуг ІБ00-001711 від 16.04.2025 17:38:43
СПК (Глобине)</t>
  </si>
  <si>
    <t>Надходження товарів і послуг ІБ00-001712 від 16.04.2025 17:38:44
Оприходованы ТМЦ (Зачет аванса поставщику)</t>
  </si>
  <si>
    <t>Обл. НДС
Колона К1с-1 5КС 60.60-13 L=5820
Надходження товарів і послуг ІБ00-001712 від 16.04.2025 17:38:44
СПК (Глобине)</t>
  </si>
  <si>
    <t>Обл. НДС
Колона К2с-1 4КС 60.60-13 L=5820
Надходження товарів і послуг ІБ00-001712 від 16.04.2025 17:38:44
СПК (Глобине)</t>
  </si>
  <si>
    <t>Обл. НДС
Колона К12с-1 3КС 60.60-13 L=5820
Надходження товарів і послуг ІБ00-001712 від 16.04.2025 17:38:44
СПК (Глобине)</t>
  </si>
  <si>
    <t>Обл. НДС
Колона К13с-1 2КС 60.60-13 L=5820
Надходження товарів і послуг ІБ00-001712 від 16.04.2025 17:38:44
СПК (Глобине)</t>
  </si>
  <si>
    <t>Обл. НДС
Ригель Р1 2Р6 3.83-10 L=6740
Надходження товарів і послуг ІБ00-001712 від 16.04.2025 17:38:44
СПК (Глобине)</t>
  </si>
  <si>
    <t>Надходження товарів і послуг ІБ00-001742 від 18.04.2025 11:00:00
Оприходованы ТМЦ</t>
  </si>
  <si>
    <t>Обл. НДС
Болт М16*60  DIN 933 оц. 5,8
Надходження товарів і послуг ІБ00-001742 від 18.04.2025 11:00:00
СПК (Глобине)</t>
  </si>
  <si>
    <t>Солді і Ко ПАТ
Дог № 378542-55/19 від 21.01.2019 р. РАХ_Глобине-2
Рахунок на оплату постачальника ІБ00-001401 від 17.04.2025 18:06:19</t>
  </si>
  <si>
    <t>Обл. НДС
Гайка М16 6 цб
Надходження товарів і послуг ІБ00-001742 від 18.04.2025 11:00:00
СПК (Глобине)</t>
  </si>
  <si>
    <t>Надходження товарів і послуг ІБ00-001791 від 18.04.2025 11:00:00
Оприходованы ТМЦ</t>
  </si>
  <si>
    <t>Обл. НДС
Грунт ГФ-021C червон.-коричн. 25 кг
Надходження товарів і послуг ІБ00-001791 від 18.04.2025 11:00:00
СПК (Глобине)</t>
  </si>
  <si>
    <t>ДНІПРО-СПЕЦЕМАЛЬ НВП ТОВ
Рахунки_Глобине-2
Рахунок на оплату постачальника ІБ00-001430 від 14.04.2025 18:04:29</t>
  </si>
  <si>
    <t>Обл. НДС
Грунт ГФ-021 сіра темний 25 кг
Надходження товарів і послуг ІБ00-001791 від 18.04.2025 11:00:00
СПК (Глобине)</t>
  </si>
  <si>
    <t>Надходження товарів і послуг ІБ00-001950 від 22.04.2025 11:00:00
Оприходованы ТМЦ (Зачет аванса поставщику)</t>
  </si>
  <si>
    <t>Обл. НДС
Колона К5с-1 4КС 60.60-13 L=5820
Надходження товарів і послуг ІБ00-001950 від 22.04.2025 11:00:00
СПК (Глобине)</t>
  </si>
  <si>
    <t>Обл. НДС
Колона К14с-1 2КС 60.60-13 L=5820
Надходження товарів і послуг ІБ00-001950 від 22.04.2025 11:00:00
СПК (Глобине)</t>
  </si>
  <si>
    <t>Обл. НДС
Колона К15с-1 2КС 60.60-13 L=5820
Надходження товарів і послуг ІБ00-001950 від 22.04.2025 11:00:00
СПК (Глобине)</t>
  </si>
  <si>
    <t>Обл. НДС
Колона К16с-1 2КС 60.60-13 L=5820
Надходження товарів і послуг ІБ00-001950 від 22.04.2025 11:00:00
СПК (Глобине)</t>
  </si>
  <si>
    <t>Обл. НДС
Ригель Р1 2Р6 3.83-10 L=6740
Надходження товарів і послуг ІБ00-001950 від 22.04.2025 11:00:00
СПК (Глобине)</t>
  </si>
  <si>
    <t>Обл. НДС
Ригель Р2-1 1Р6 3.83-5 L=6240
Надходження товарів і послуг ІБ00-001950 від 22.04.2025 11:00:00
СПК (Глобине)</t>
  </si>
  <si>
    <t>Надходження товарів і послуг ІБ00-001844 від 24.04.2025 11:00:00
Оприходованы ТМЦ</t>
  </si>
  <si>
    <t>Обл. НДС
Болт М12*40  DIN 933
Надходження товарів і послуг ІБ00-001844 від 24.04.2025 11:00:00
СПК (Глобине)</t>
  </si>
  <si>
    <t>Солді і Ко ПАТ
Дог № 378542-55/19 від 21.01.2019 р. РАХ_Глобине-2
Рахунок на оплату постачальника ІБ00-001513 від 22.04.2025 18:28:32</t>
  </si>
  <si>
    <t>Обл. НДС
Болт М16*60  DIN 933 оц. 5,8
Надходження товарів і послуг ІБ00-001844 від 24.04.2025 11:00:00
СПК (Глобине)</t>
  </si>
  <si>
    <t>Обл. НДС
Болт М20*90  DIN 933 оц. 5,8
Надходження товарів і послуг ІБ00-001844 від 24.04.2025 11:00:00
СПК (Глобине)</t>
  </si>
  <si>
    <t>Обл. НДС
Болт М20*100  DIN 933 з шест.голівкою цб
Надходження товарів і послуг ІБ00-001844 від 24.04.2025 11:00:00
СПК (Глобине)</t>
  </si>
  <si>
    <t>Обл. НДС
Гайка М12  DIN 934
Надходження товарів і послуг ІБ00-001844 від 24.04.2025 11:00:00
СПК (Глобине)</t>
  </si>
  <si>
    <t>Обл. НДС
Гайка М16 DIN 934 ЦБ
Надходження товарів і послуг ІБ00-001844 від 24.04.2025 11:00:00
СПК (Глобине)</t>
  </si>
  <si>
    <t>Обл. НДС
Гайка М20 DIN 934 ЦБ
Надходження товарів і послуг ІБ00-001844 від 24.04.2025 11:00:00
СПК (Глобине)</t>
  </si>
  <si>
    <t>Обл. НДС
Шайба 12  DIN125-1 цб
Надходження товарів і послуг ІБ00-001844 від 24.04.2025 11:00:00
СПК (Глобине)</t>
  </si>
  <si>
    <t>Обл. НДС
Шайба 16  DIN125-1
Надходження товарів і послуг ІБ00-001844 від 24.04.2025 11:00:00
СПК (Глобине)</t>
  </si>
  <si>
    <t>Обл. НДС
Шайба 20  DIN125-1
Надходження товарів і послуг ІБ00-001844 від 24.04.2025 11:00:00
СПК (Глобине)</t>
  </si>
  <si>
    <t>Надходження товарів і послуг ІБ00-001947 від 24.04.2025 11:00:00
Оприходованы ТМЦ (Зачет аванса поставщику)</t>
  </si>
  <si>
    <t>Обл. НДС
Ригель Р1-1н 2Р6 3.83-10 L=6740
Надходження товарів і послуг ІБ00-001947 від 24.04.2025 11:00:00
СПК (Глобине)</t>
  </si>
  <si>
    <t>Надходження товарів і послуг ІБ00-001947 від 24.04.2025 11:00:00
Оприходованы ТМЦ</t>
  </si>
  <si>
    <t>Обл. НДС
Ригель Р2 1Р6 3.83-5 L=6740
Надходження товарів і послуг ІБ00-001947 від 24.04.2025 11:00:00
СПК (Глобине)</t>
  </si>
  <si>
    <t>Обл. НДС
Ригель Р2-1 1Р6 3.83-5 L=6240
Надходження товарів і послуг ІБ00-001947 від 24.04.2025 11:00:00
СПК (Глобине)</t>
  </si>
  <si>
    <t>Надходження товарів і послуг ІБ00-001948 від 24.04.2025 11:00:00
Оприходованы ТМЦ</t>
  </si>
  <si>
    <t>Обл. НДС
Заготовка арматури
Надходження товарів і послуг ІБ00-001948 від 24.04.2025 11:00:00
СПК (Глобине)</t>
  </si>
  <si>
    <t>Обл. НДС
МС1
Надходження товарів і послуг ІБ00-001948 від 24.04.2025 11:00:00
СПК (Глобине)</t>
  </si>
  <si>
    <t>Надходження товарів і послуг ІБ00-001817 від 25.04.2025 11:00:00
Оприходованы ТМЦ</t>
  </si>
  <si>
    <t>Обл. НДС
Ригель Р2-1 1Р6 3.83-5 L=6240
Надходження товарів і послуг ІБ00-001817 від 25.04.2025 11:00:00
СПК (Глобине)</t>
  </si>
  <si>
    <t>Обл. НДС
Ригель Р3 2Р6 3.83-10 L=6240
Надходження товарів і послуг ІБ00-001817 від 25.04.2025 11:00:00
СПК (Глобине)</t>
  </si>
  <si>
    <t>Надходження товарів і послуг ІБ00-001872 від 25.04.2025 11:00:00
Оприходованы ТМЦ (Зачет аванса поставщику)</t>
  </si>
  <si>
    <t>Обл. НДС
Бетон С 30/35 W4 F75 Р4
Надходження товарів і послуг ІБ00-001872 від 25.04.2025 11:00:00
СПК (Глобине)</t>
  </si>
  <si>
    <t>Надходження товарів і послуг ІБ00-001949 від 25.04.2025 11:00:00
Оприходованы ТМЦ</t>
  </si>
  <si>
    <t>Обл. НДС
Заготовка арматури
Надходження товарів і послуг ІБ00-001949 від 25.04.2025 11:00:00
СПК (Глобине)</t>
  </si>
  <si>
    <t>Надходження дод. витрат ІБ00-000285 від 25.04.2025 11:05:00
Доп. расходы при поступлении товаров (Зачет аванса поставщику)</t>
  </si>
  <si>
    <t>Надходження товарів і послуг ІБ00-001945 від 29.04.2025 11:00:00
Оприходованы ТМЦ</t>
  </si>
  <si>
    <t>Обл. НДС
Колона К6с-2 4КС 36.108-6 L=8180
Надходження товарів і послуг ІБ00-001945 від 29.04.2025 11:00:00
СПК (Глобине)</t>
  </si>
  <si>
    <t>Обл. НДС
Ригель Р1-1 2Р6 3.83-10 L=6740
Надходження товарів і послуг ІБ00-001945 від 29.04.2025 11:00:00
СПК (Глобине)</t>
  </si>
  <si>
    <t>Обл. НДС
Ригель Р2-1 1Р6 3.83-5 L=6240
Надходження товарів і послуг ІБ00-001945 від 29.04.2025 11:00:00
СПК (Глобине)</t>
  </si>
  <si>
    <t>Обл. НДС
Ригель Р3 2Р6 3.83-10 L=6240
Надходження товарів і послуг ІБ00-001945 від 29.04.2025 11:00:00
СПК (Глобине)</t>
  </si>
  <si>
    <t>Надходження товарів і послуг ІБ00-001946 від 29.04.2025 11:00:00
Оприходованы ТМЦ</t>
  </si>
  <si>
    <t>Обл. НДС
Заготовка арматури
Надходження товарів і послуг ІБ00-001946 від 29.04.2025 11:00:00
СПК (Глобине)</t>
  </si>
  <si>
    <t>Вимога-накладна ІБ00-000292 від 29.04.2025 16:25:11
Списаны ТМЦ</t>
  </si>
  <si>
    <t>Обл. НДС
Колона К28с 4КС 60.60-13 L=5820
Надходження товарів і послуг ІБ00-001316 від 28.03.2025 18:00:06
СПК (Глобине)</t>
  </si>
  <si>
    <t>Обл. НДС
Колона К29с-1 4КС 60.60-13 L=5820
Надходження товарів і послуг ІБ00-001316 від 28.03.2025 18:00:06
СПК (Глобине)</t>
  </si>
  <si>
    <t>Обл. НДС
Колона К30с-1 4КС 60.60-13 L=5820
Надходження товарів і послуг ІБ00-001316 від 28.03.2025 18:00:06
СПК (Глобине)</t>
  </si>
  <si>
    <t>Обл. НДС
Колона К31с-1 4КС 60.60-13 L=5820
Надходження товарів і послуг ІБ00-001316 від 28.03.2025 18:00:06
СПК (Глобине)</t>
  </si>
  <si>
    <t>Обл. НДС
Колона К32с-1 4КС 60.60-13 L=5820
Надходження товарів і послуг ІБ00-001315 від 28.03.2025 18:00:05
СПК (Глобине)</t>
  </si>
  <si>
    <t>Обл. НДС
Колона К33с-1 5КС 60.60-13-н L=5820
Надходження товарів і послуг ІБ00-001315 від 28.03.2025 18:00:05
СПК (Глобине)</t>
  </si>
  <si>
    <t>Обл. НДС
Ригель Р1 2Р6 3.83-10 L=6740
Надходження товарів і послуг ІБ00-001310 від 25.03.2025 17:56:44
СПК (Глобине)</t>
  </si>
  <si>
    <t>Обл. НДС
Ригель Р1 2Р6 3.83-10 L=6740
Надходження товарів і послуг ІБ00-001312 від 26.03.2025 22:32:02
СПК (Глобине)</t>
  </si>
  <si>
    <t>Обл. НДС
Ригель Р1 2Р6 3.83-10 L=6740
Надходження товарів і послуг ІБ00-001314 від 27.03.2025 19:00:02
СПК (Глобине)</t>
  </si>
  <si>
    <t>Вимога-накладна ІБ00-000293 від 29.04.2025 16:30:53
Списаны ТМЦ</t>
  </si>
  <si>
    <t>Вимога-накладна ІБ00-000339 від 30.04.2025 11:00:00
Списаны ТМЦ</t>
  </si>
  <si>
    <t>Вимога-накладна ІБ00-000341 від 30.04.2025 11:00:00
Списаны ТМЦ</t>
  </si>
  <si>
    <t>Вимога-накладна ІБ00-000344 від 30.04.2025 11:00:00
Списаны ТМЦ</t>
  </si>
  <si>
    <t>Вимога-накладна ІБ00-000353 від 30.04.2025 20:00:00
Списаны ТМЦ</t>
  </si>
  <si>
    <t>Вимога-накладна ІБ00-000354 від 30.04.2025 20:00:00
Списаны ТМЦ</t>
  </si>
  <si>
    <t>Вимога-накладна ІБ00-000319 від 30.04.2025 23:59:43
Списаны ТМЦ</t>
  </si>
  <si>
    <t>Обл. НДС
Заготовка арматури
Надходження товарів і послуг ІБ00-001313 від 27.03.2025 19:00:01
СПК (Глобине)</t>
  </si>
  <si>
    <t>Переміщення товарів ІБ00-000403 від 30.04.2025 10:00:00
Перемещение ТМЦ</t>
  </si>
  <si>
    <t>Обл. НДС
Арматура 12 міра (12-3760  А500С/А400С)
Надходження товарів і послуг ІБ00-001657 від 01.04.2025 11:00:00
Цех екстракції (Глобине)</t>
  </si>
  <si>
    <t>Вимога-накладна ІБ00-000336 від 30.04.2025 11:00:00
Списаны ТМЦ</t>
  </si>
  <si>
    <t>Вимога-накладна ІБ00-000352 від 30.04.2025 20:00:00
Списаны ТМЦ</t>
  </si>
  <si>
    <t>Надходження товарів і послуг ІБ00-001831 від 01.04.2025 11:00:00
Оприходованы ТМЦ</t>
  </si>
  <si>
    <t>Обл. НДС
Труба профільна 120*120*5 (12,05 мм стS235/275)
Надходження товарів і послуг ІБ00-001831 від 01.04.2025 11:00:00
Цех екстракції (Глобине)</t>
  </si>
  <si>
    <t>МЕТАЛ ХОЛДІНГ ТРЕЙД ТОВ
Договір 01/467/24 від 06.09.2024_Глобине-2
Рахунок на оплату постачальника ІБ00-001474 від 12.03.2025 18:45:52</t>
  </si>
  <si>
    <t>Вимога-накладна ІБ00-000257 від 03.04.2025 17:41:32
Списаны ТМЦ</t>
  </si>
  <si>
    <t>Обл. НДС
Бетон С 20/25  F75 W6 Р4
Надходження товарів і послуг ІБ00-001449 від 22.03.2025 12:00:01
Цех екстракції (Глобине)</t>
  </si>
  <si>
    <t>Обл. НДС
Бетон С20/25 W6 F75 P4
Надходження товарів і послуг ІБ00-001090 від 15.03.2025 12:00:00
Цех екстракції (Глобине)</t>
  </si>
  <si>
    <t>Обл. НДС
Бетон С20/25 W6 F75 P4
Надходження товарів і послуг ІБ00-001293 від 27.03.2025 18:14:54
Цех екстракції (Глобине)</t>
  </si>
  <si>
    <t>Обл. НДС
Плівка п/е рукав 1500*200 мкм
Надходження товарів і послуг ІБ00-001045 від 12.03.2025 18:45:21
Цех екстракції (Глобине)</t>
  </si>
  <si>
    <t>Обл. НДС
Пінополістирол фасад шаршавий 1200х600х20мм 0,264 куб м
Надходження товарів і послуг ІБ00-000464 від 06.02.2025 18:36:11
Цех екстракції (Глобине)</t>
  </si>
  <si>
    <t>Списання товарів ІБ00-000197 від 03.04.2025 17:41:33
Списаны ТМЦ</t>
  </si>
  <si>
    <t>Обл. НДС
Шуруп 5х40
Надходження товарів і послуг ІБ00-001075 від 14.03.2025 17:50:43
Цех екстракції (Глобине)</t>
  </si>
  <si>
    <t>Обл. НДС
Шуруп г/к по дереву 3,5*55 мм
Надходження товарів і послуг ІБ00-000711 від 18.02.2025 20:00:44
Цех екстракції (Глобине)</t>
  </si>
  <si>
    <t>Обл. НДС
Шуруп г/к по дереву 3,5*55 мм
Надходження товарів і послуг ІБ00-000977 від 07.03.2025 20:00:01
Цех екстракції (Глобине)</t>
  </si>
  <si>
    <t>Обл. НДС
Шуруп г/к по дереву 4,2*76 мм
Надходження товарів і послуг ІБ00-000711 від 18.02.2025 20:00:44
Цех екстракції (Глобине)</t>
  </si>
  <si>
    <t>Надходження товарів і послуг ІБ00-001623 від 09.04.2025 11:00:00
Оприходованы ТМЦ</t>
  </si>
  <si>
    <t>Обл. НДС
Болт М 24*95 EN14399/4
Надходження товарів і послуг ІБ00-001623 від 09.04.2025 11:00:00
Цех екстракції (Глобине)</t>
  </si>
  <si>
    <t>Солді і Ко ПАТ
Дог № 378542-55/19 від 21.01.2019 р. РАХ_Глобине-2
Рахунок на оплату постачальника ІБ00-001326 від 31.03.2025 23:59:59</t>
  </si>
  <si>
    <t>Обл. НДС
Болт М24*120 HV БП Varvit
Надходження товарів і послуг ІБ00-001623 від 09.04.2025 11:00:00
Цех екстракції (Глобине)</t>
  </si>
  <si>
    <t>Обл. НДС
Болт М24*120 HV БП Fram
Надходження товарів і послуг ІБ00-001623 від 09.04.2025 11:00:00
Цех екстракції (Глобине)</t>
  </si>
  <si>
    <t>Обл. НДС
Болт М24*120 HV гц Peiner
Надходження товарів і послуг ІБ00-001623 від 09.04.2025 11:00:00
Цех екстракції (Глобине)</t>
  </si>
  <si>
    <t>Обл. НДС
Гайка М24 HV БП VARVIT
Надходження товарів і послуг ІБ00-001623 від 09.04.2025 11:00:00
Цех екстракції (Глобине)</t>
  </si>
  <si>
    <t>Обл. НДС
Гайка М24 HV БП Fram
Надходження товарів і послуг ІБ00-001623 від 09.04.2025 11:00:00
Цех екстракції (Глобине)</t>
  </si>
  <si>
    <t>Обл. НДС
Гайка М24 HV гц Peiner
Надходження товарів і послуг ІБ00-001623 від 09.04.2025 11:00:00
Цех екстракції (Глобине)</t>
  </si>
  <si>
    <t>Обл. НДС
Шайба М24 БП Varvit 300HV
Надходження товарів і послуг ІБ00-001623 від 09.04.2025 11:00:00
Цех екстракції (Глобине)</t>
  </si>
  <si>
    <t>Обл. НДС
Шайба М24 БП Peiner 300HV
Надходження товарів і послуг ІБ00-001623 від 09.04.2025 11:00:00
Цех екстракції (Глобине)</t>
  </si>
  <si>
    <t>Надходження товарів і послуг ІБ00-002049 від 09.04.2025 11:00:00
Оприходованы ТМЦ (Зачет аванса поставщику)</t>
  </si>
  <si>
    <t>Обл. НДС
Металоконструкція марки Т-2 креслення 237-2021-ТК-Тр арк 01
Надходження товарів і послуг ІБ00-002049 від 09.04.2025 11:00:00
Цех екстракції (Глобине)</t>
  </si>
  <si>
    <t>ВЕНКО ТЕХНОЛОДЖІ ТОВ
Договір 039/0325 від 14.03.2025_Глобине 2
Рахунок на оплату постачальника ІБ00-000896 від 18.03.2025 09:00:00</t>
  </si>
  <si>
    <t>Надходження товарів і послуг ІБ00-001643 від 11.04.2025 11:00:00
Оприходованы ТМЦ (Зачет аванса поставщику)</t>
  </si>
  <si>
    <t>Обл. НДС
Строп СТКП- 30,0/7250
Надходження товарів і послуг ІБ00-001643 від 11.04.2025 11:00:00
Цех екстракції (Глобине)</t>
  </si>
  <si>
    <t>ЛОАД-ТЕХ ТОВ
Договір поставки № 2353 від 25.06.2021 р.Глобине2
Рахунок на оплату постачальника ІБ00-001220 від 01.04.2025 18:04:13</t>
  </si>
  <si>
    <t>Обл. НДС
Строп СТКП- 30,0/2300
Надходження товарів і послуг ІБ00-001643 від 11.04.2025 11:00:00
Цех екстракції (Глобине)</t>
  </si>
  <si>
    <t>Надходження товарів і послуг ІБ00-001643 від 11.04.2025 11:00:00
Оприходованы ТМЦ</t>
  </si>
  <si>
    <t>Обл. НДС
Скоба такелажна G-2130 2" 35,0 тн
Надходження товарів і послуг ІБ00-001643 від 11.04.2025 11:00:00
Цех екстракції (Глобине)</t>
  </si>
  <si>
    <t>Надходження товарів і послуг ІБ00-001644 від 11.04.2025 20:51:54
Оприходованы ТМЦ (Зачет аванса поставщику)</t>
  </si>
  <si>
    <t>Обл. НДС
Строп СТКП- 30,0/7250
Надходження товарів і послуг ІБ00-001644 від 11.04.2025 20:51:54
Цех екстракції (Глобине)</t>
  </si>
  <si>
    <t>ЛОАД-ТЕХ ТОВ
Договір поставки № 2353 від 25.06.2021 р.Глобине2
Рахунок на оплату постачальника ІБ00-001218 від 01.04.2025 18:04:11</t>
  </si>
  <si>
    <t>Обл. НДС
Строп СТКП- 30,0/2300
Надходження товарів і послуг ІБ00-001644 від 11.04.2025 20:51:54
Цех екстракції (Глобине)</t>
  </si>
  <si>
    <t>Надходження товарів і послуг ІБ00-001644 від 11.04.2025 20:51:54
Оприходованы ТМЦ</t>
  </si>
  <si>
    <t>Обл. НДС
Скоба такелажна G-2130 2" 35,0 тн
Надходження товарів і послуг ІБ00-001644 від 11.04.2025 20:51:54
Цех екстракції (Глобине)</t>
  </si>
  <si>
    <t>Надходження товарів і послуг ІБ00-001792 від 16.04.2025 11:00:00
Оприходованы ТМЦ</t>
  </si>
  <si>
    <t>Обл. НДС
Болт М12*45  DIN 933
Надходження товарів і послуг ІБ00-001792 від 16.04.2025 11:00:00
Цех екстракції (Глобине)</t>
  </si>
  <si>
    <t>Солді і Ко ПАТ
Дог № 378542-55/19 від 21.01.2019 р. РАХ_Глобине-2
Рахунок на оплату постачальника ІБ00-001431 від 15.04.2025 18:31:01</t>
  </si>
  <si>
    <t>Обл. НДС
ISO4032 Гайка М12 8 ЦБ  S18Г
Надходження товарів і послуг ІБ00-001792 від 16.04.2025 11:00:00
Цех екстракції (Глобине)</t>
  </si>
  <si>
    <t>Обл. НДС
DIN125-1 Шайба 24 цб 140HV до кл.м. 4.6-8.8
Надходження товарів і послуг ІБ00-001792 від 16.04.2025 11:00:00
Цех екстракції (Глобине)</t>
  </si>
  <si>
    <t>Обл. НДС
Болт М24*110  DIN 933
Надходження товарів і послуг ІБ00-001792 від 16.04.2025 11:00:00
Цех екстракції (Глобине)</t>
  </si>
  <si>
    <t>Обл. НДС
Гайка М24 8 цб  ISO4032
Надходження товарів і послуг ІБ00-001792 від 16.04.2025 11:00:00
Цех екстракції (Глобине)</t>
  </si>
  <si>
    <t>Вимога-накладна ІБ00-000279 від 29.04.2025 14:42:28
Списаны ТМЦ</t>
  </si>
  <si>
    <t>Обл. НДС
Бетон С 20/25  F75 W6 Р4
Надходження товарів і послуг ІБ00-001358 від 24.03.2025 18:31:10
Цех екстракції (Глобине)</t>
  </si>
  <si>
    <t>Обл. НДС
Бетон С20/25 W6 F75 P4 доб-5
Надходження товарів і послуг ІБ00-001137 від 19.03.2025 17:35:43
Цех екстракції (Глобине)</t>
  </si>
  <si>
    <t>Вимога-накладна ІБ00-000280 від 29.04.2025 15:04:51
Списаны ТМЦ</t>
  </si>
  <si>
    <t>Вимога-накладна ІБ00-000294 від 29.04.2025 16:36:57
Списаны ТМЦ</t>
  </si>
  <si>
    <t>Обл. НДС
Труба профільна 80х80 мм 4,0 мм, 12 м
Надходження товарів і послуг ІБ00-006404 від 23.12.2024 17:16:10
Цех екстракції (Глобине)</t>
  </si>
  <si>
    <t>Обл. НДС
Труба профільна 80*80 мм 4,0 мм,12 м
Надходження товарів і послуг ІБ00-006502 від 27.12.2024 12:00:00
Цех екстракції (Глобине)</t>
  </si>
  <si>
    <t>Обл. НДС
Труба профільна 80*80*4 L=12 м
Надходження товарів і послуг ІБ00-000716 від 19.02.2025 18:22:45
Цех екстракції (Глобине)</t>
  </si>
  <si>
    <t>Обл. НДС
Лист г/к  6*1500*6000 1-3 сп/пс
Надходження товарів і послуг ІБ00-000720 від 18.02.2025 20:00:46
Цех екстракції (Глобине)</t>
  </si>
  <si>
    <t>Обл. НДС
Лист г/к 14*1500*6000, 1-3 пс/сп 5 кат
Надходження товарів і послуг ІБ00-000714 від 21.02.2025 18:25:55
Цех екстракції (Глобине)</t>
  </si>
  <si>
    <t>Обл. НДС
Лист г/к 14*2000*6000, ст 3 пс/сп
Надходження товарів і послуг ІБ00-000181 від 15.01.2025 22:00:08
Цех екстракції (Глобине)</t>
  </si>
  <si>
    <t>Обл. НДС
Лист г/к 16*1500*6000, S355 J2
Надходження товарів і послуг ІБ00-001030 від 07.03.2025 20:00:08
Цех екстракції (Глобине)</t>
  </si>
  <si>
    <t>Обл. НДС
Лист г/к  4*1500*6000 мм
Надходження товарів і послуг ІБ00-000537 від 13.02.2025 18:05:04
Цех екстракції (Глобине)</t>
  </si>
  <si>
    <t>Обл. НДС
Лист г/к 16,0 мм 1500*6000, S235 JR
Надходження товарів і послуг ІБ00-000983 від 12.03.2025 10:00:00
Цех екстракції (Глобине)</t>
  </si>
  <si>
    <t>Обл. НДС
Лист г/к 30*1500*6000 мм необр кромка
Надходження товарів і послуг ІБ00-000178 від 16.01.2025 17:55:14
Цех екстракції (Глобине)</t>
  </si>
  <si>
    <t>Обл. НДС
Швелер 16П міра  12,00 м
Надходження товарів і послуг ІБ00-000537 від 13.02.2025 18:05:04
Цех екстракції (Глобине)</t>
  </si>
  <si>
    <t>Обл. НДС
швелер № 18П; ст. 3пс5; 12 м
Надходження товарів і послуг ІБ00-000537 від 13.02.2025 18:05:04
Цех екстракції (Глобине)</t>
  </si>
  <si>
    <t>Обл. НДС
Балка 30 ІРЕ (12.15 EN 10024 S235/ S275)
Надходження товарів і послуг ІБ00-001443 від 27.03.2025 19:10:01
Цех екстракції (Глобине)</t>
  </si>
  <si>
    <t>Обл. НДС
Балка 36 ІРЕ360 12м S275JR
Надходження товарів і послуг ІБ00-001029 від 07.03.2025 20:00:07
Цех екстракції (Глобине)</t>
  </si>
  <si>
    <t>Обл. НДС
Труба 100х100х5 мм; ст. 3пс5; 12 м
Надходження товарів і послуг ІБ00-000718 від 18.02.2025 20:00:45
Цех екстракції (Глобине)</t>
  </si>
  <si>
    <t>Обл. НДС
Труба профільна 120*120*5 L=12000 мм ст1-3 сп/пс
Надходження товарів і послуг ІБ00-001444 від 27.03.2025 19:10:03
Цех екстракції (Глобине)</t>
  </si>
  <si>
    <t>Обл. НДС
Лист г/к  8*1500*6000 1-3 сп/пс
Надходження товарів і послуг ІБ00-000721 від 18.02.2025 20:00:47
Цех екстракції (Глобине)</t>
  </si>
  <si>
    <t>Обл. НДС
Лист г/к 10*1500*6000 1-3 сп/пс
Надходження товарів і послуг ІБ00-000713 від 20.02.2025 18:11:45
Цех екстракції (Глобине)</t>
  </si>
  <si>
    <t>Обл. НДС
Лист г/к 18*1500*6000, S235 JR
Надходження товарів і послуг ІБ00-001035 від 07.03.2025 20:00:10
Цех екстракції (Глобине)</t>
  </si>
  <si>
    <t>Обл. НДС
Лист г/к 20*1500*6000, S355J2
Надходження товарів і послуг ІБ00-000180 від 17.01.2025 19:00:05
Цех екстракції (Глобине)</t>
  </si>
  <si>
    <t>Обл. НДС
Швелер 22П ст.1-3сп/пс 5, L= 12м
Надходження товарів і послуг ІБ00-000713 від 20.02.2025 18:11:45
Цех екстракції (Глобине)</t>
  </si>
  <si>
    <t>Обл. НДС
Лист г/к 12*1500*6000 мм 3 пс
Надходження товарів і послуг ІБ00-000717 від 19.02.2025 18:22:46
Цех екстракції (Глобине)</t>
  </si>
  <si>
    <t>Обл. НДС
Лист г/к 16*1500*6000, S235 JR
Надходження товарів і послуг ІБ00-005332 від 29.10.2024 22:00:06
Цех екстракції (Глобине)</t>
  </si>
  <si>
    <t>Обл. НДС
Лист г/к 20*2000*6000 мм
Надходження товарів і послуг ІБ00-001031 від 06.03.2025 22:00:28
Цех екстракції (Глобине)</t>
  </si>
  <si>
    <t>Обл. НДС
Лист г/к 40*2000*6000, 3 сп 5 кат.
Надходження товарів і послуг ІБ00-001030 від 07.03.2025 20:00:08
Цех екстракції (Глобине)</t>
  </si>
  <si>
    <t>Обл. НДС
Болт М20*100  DIN 6914 
Надходження товарів і послуг ІБ00-000890 від 04.03.2025 17:40:28
Цех екстракції (Глобине)</t>
  </si>
  <si>
    <t>Обл. НДС
Болт М20*100  ЕN 14399/4
Надходження товарів і послуг ІБ00-000890 від 04.03.2025 17:40:28
Цех екстракції (Глобине)</t>
  </si>
  <si>
    <t>Обл. НДС
Болт М20*70  DIN 931
Надходження товарів і послуг ІБ00-000540 від 13.02.2025 18:05:06
Цех екстракції (Глобине)</t>
  </si>
  <si>
    <t>Обл. НДС
Болт М24*100  ЕN 14399/4
Надходження товарів і послуг ІБ00-000890 від 04.03.2025 17:40:28
Цех екстракції (Глобине)</t>
  </si>
  <si>
    <t>Обл. НДС
Болт М24*130  DIN 931
Надходження товарів і послуг ІБ00-000890 від 04.03.2025 17:40:28
Цех екстракції (Глобине)</t>
  </si>
  <si>
    <t>Обл. НДС
Гайка М20
Надходження товарів і послуг ІБ00-000540 від 13.02.2025 18:05:06
Цех екстракції (Глобине)</t>
  </si>
  <si>
    <t>Обл. НДС
Гайка М24  ЕN 14399/4Мо
Надходження товарів і послуг ІБ00-000890 від 04.03.2025 17:40:28
Цех екстракції (Глобине)</t>
  </si>
  <si>
    <t>Обл. НДС
Гайка М24  DIN 934 шестигранна цб
Надходження товарів і послуг ІБ00-000890 від 04.03.2025 17:40:28
Цех екстракції (Глобине)</t>
  </si>
  <si>
    <t>Обл. НДС
Шайба 20  DIN6916
Надходження товарів і послуг ІБ00-000918 від 04.03.2025 17:40:38
Цех екстракції (Глобине)</t>
  </si>
  <si>
    <t>Обл. НДС
Шайба 24  ЕN14399/6 
Надходження товарів і послуг ІБ00-000890 від 04.03.2025 17:40:28
Цех екстракції (Глобине)</t>
  </si>
  <si>
    <t>Переміщення товарів ІБ00-000400 від 30.04.2025 10:00:00
Перемещение ТМЦ</t>
  </si>
  <si>
    <t>Обл. НДС
Провід ПВС 3*1,5 бухта 100м
Надходження товарів і послуг ІБ00-004399 від 19.09.2024 18:10:36
Цех екстракції (Глобине)</t>
  </si>
  <si>
    <t>Обл. НДС
Провід ПВС 3*1,5 бухта 100м
Надходження товарів і послуг ІБ00-004399 від 19.09.2024 18:10:36
Глобине-2</t>
  </si>
  <si>
    <t>221</t>
  </si>
  <si>
    <t>Вимога-накладна ІБ00-000321 від 30.04.2025 10:00:00
Списаны ТМЦ</t>
  </si>
  <si>
    <t>Вимога-накладна ІБ00-000331 від 30.04.2025 10:00:00
Списаны ТМЦ</t>
  </si>
  <si>
    <t>Обл. НДС
Труба ПЕТ110*10 16атм чорна SDR11
Надходження товарів і послуг ІБ00-000478 від 06.02.2025 15:36:15
Цех екстракції (Глобине)</t>
  </si>
  <si>
    <t>Вимога-накладна ІБ00-000333 від 30.04.2025 10:00:00
Списаны ТМЦ</t>
  </si>
  <si>
    <t>Обл. НДС
Лист г/к  4,0*1500*6000 мм; ст.3 сп/пс 5 кат.необ.кр.
Надходження товарів і послуг ІБ00-000181 від 15.01.2025 22:00:08
Цех екстракції (Глобине)</t>
  </si>
  <si>
    <t>Обл. НДС
Кутики 100х100х7 мм; ст. 3пс5; 12 м
Надходження товарів і послуг ІБ00-000720 від 18.02.2025 20:00:46
Цех екстракції (Глобине)</t>
  </si>
  <si>
    <t>Обл. НДС
Балка ІРN 300 S355
Надходження товарів і послуг ІБ00-000006 від 02.01.2025 17:13:37
Цех екстракції (Глобине)</t>
  </si>
  <si>
    <t>Обл. НДС
балка №36 ИПН  S275 JR L=12,1 м
Надходження товарів і послуг ІБ00-001443 від 27.03.2025 19:10:01
Цех екстракції (Глобине)</t>
  </si>
  <si>
    <t>Вимога-накладна ІБ00-000334 від 30.04.2025 11:00:00
Списаны ТМЦ</t>
  </si>
  <si>
    <t>Вимога-накладна ІБ00-000335 від 30.04.2025 11:00:00
Списаны ТМЦ</t>
  </si>
  <si>
    <t>Вимога-накладна ІБ00-000343 від 30.04.2025 11:00:00
Списаны ТМЦ</t>
  </si>
  <si>
    <t>Вимога-накладна ІБ00-000332 від 30.04.2025 16:37:10
Списаны ТМЦ</t>
  </si>
  <si>
    <t>Обл. НДС
Труба  40*40*3 мм  08кп/1-3 пс, L=6 м
Надходження товарів і послуг ІБ00-000716 від 19.02.2025 18:22:45
Цех екстракції (Глобине)</t>
  </si>
  <si>
    <t>Обл. НДС
Труба 40*20*2  L=6 м стS235JRH
Надходження товарів і послуг ІБ00-000716 від 19.02.2025 18:22:45
Цех екстракції (Глобине)</t>
  </si>
  <si>
    <t>Обл. НДС
Швелер 16П  S275JR,12 м
Надходження товарів і послуг ІБ00-000983 від 12.03.2025 10:00:00
Цех екстракції (Глобине)</t>
  </si>
  <si>
    <t>Обл. НДС
Лист г/к 30*2000*6000, 1-3пс/сп 5 кат.
Надходження товарів і послуг ІБ00-000712 від 20.02.2025 18:11:44
Цех екстракції (Глобине)</t>
  </si>
  <si>
    <t>Обл. НДС
Швелер 22П ст.1-3сп/пс 5, L= 12м
Надходження товарів і послуг ІБ00-000983 від 12.03.2025 10:00:00
Цех екстракції (Глобине)</t>
  </si>
  <si>
    <t>Обл. НДС
Лист г/к  6*1500*6000 1-3 сп/пс
Надходження товарів і послуг ІБ00-000721 від 18.02.2025 20:00:47
Цех екстракції (Глобине)</t>
  </si>
  <si>
    <t>Списання товарів ІБ00-000255 від 30.04.2025 20:00:00
Списаны ТМЦ</t>
  </si>
  <si>
    <t>Вимога-накладна ІБ00-000349 від 30.04.2025 20:00:00
Списаны ТМЦ</t>
  </si>
  <si>
    <t>Обл. НДС
Балка 20 ст3 пс 5 L=12,04 м
Надходження товарів і послуг ІБ00-000920 від 01.03.2025 18:15:08
Цех екстракції (Глобине)</t>
  </si>
  <si>
    <t>Обл. НДС
Швелер 16 ст.3 пс 5, 12м
Надходження товарів і послуг ІБ00-000713 від 20.02.2025 18:11:45
Цех екстракції (Глобине)</t>
  </si>
  <si>
    <t>Обл. НДС
Швелер 20П міра 12,00 м 
Надходження товарів і послуг ІБ00-000722 від 19.02.2025 18:22:48
Цех екстракції (Глобине)</t>
  </si>
  <si>
    <t>Обл. НДС
Швелер 20П L= 12м
Надходження товарів і послуг ІБ00-000717 від 19.02.2025 18:22:46
Цех екстракції (Глобине)</t>
  </si>
  <si>
    <t>Обл. НДС
Лист  4*1500*6000 3 сп/пс 5
Надходження товарів і послуг ІБ00-000720 від 18.02.2025 20:00:46
Цех екстракції (Глобине)</t>
  </si>
  <si>
    <t>Обл. НДС
Лист г/к 18*2000*6000, S235 JR
Надходження товарів і послуг ІБ00-000721 від 18.02.2025 20:00:47
Цех екстракції (Глобине)</t>
  </si>
  <si>
    <t>Обл. НДС
Лист г/к 30*2000*6000, 1-3пс/сп 5 кат.
Надходження товарів і послуг ІБ00-000715 від 21.02.2025 18:25:56
Цех екстракції (Глобине)</t>
  </si>
  <si>
    <t>Закриття місяця ІБ00-000004 від 30.04.2025 23:58:59
Корректировка стоимости списания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</si>
</sst>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21"/>
      <name val="Arial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  <font>
      <sz val="8"/>
      <color indexed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91">
    <xf numFmtId="0" fontId="0" fillId="0" borderId="0" xfId="0"/>
    <xf numFmtId="4" fontId="0" fillId="0" borderId="0" xfId="0" applyNumberFormat="1"/>
    <xf numFmtId="0" fontId="3" fillId="2" borderId="2" xfId="1" applyNumberFormat="1" applyFont="1" applyFill="1" applyBorder="1" applyAlignment="1">
      <alignment vertical="top" wrapText="1" indent="1"/>
    </xf>
    <xf numFmtId="4" fontId="0" fillId="0" borderId="2" xfId="0" applyNumberFormat="1" applyBorder="1"/>
    <xf numFmtId="0" fontId="4" fillId="2" borderId="3" xfId="2" applyNumberFormat="1" applyFont="1" applyFill="1" applyBorder="1" applyAlignment="1">
      <alignment vertical="top"/>
    </xf>
    <xf numFmtId="0" fontId="4" fillId="2" borderId="4" xfId="2" applyNumberFormat="1" applyFont="1" applyFill="1" applyBorder="1" applyAlignment="1">
      <alignment vertical="top"/>
    </xf>
    <xf numFmtId="0" fontId="4" fillId="2" borderId="5" xfId="2" applyNumberFormat="1" applyFont="1" applyFill="1" applyBorder="1" applyAlignment="1">
      <alignment vertical="top"/>
    </xf>
    <xf numFmtId="0" fontId="4" fillId="2" borderId="4" xfId="2" applyNumberFormat="1" applyFont="1" applyFill="1" applyBorder="1" applyAlignment="1">
      <alignment horizontal="center" vertical="top"/>
    </xf>
    <xf numFmtId="0" fontId="4" fillId="2" borderId="6" xfId="2" applyNumberFormat="1" applyFont="1" applyFill="1" applyBorder="1" applyAlignment="1">
      <alignment horizontal="center" vertical="top"/>
    </xf>
    <xf numFmtId="0" fontId="4" fillId="2" borderId="7" xfId="2" applyNumberFormat="1" applyFont="1" applyFill="1" applyBorder="1" applyAlignment="1">
      <alignment vertical="top"/>
    </xf>
    <xf numFmtId="0" fontId="4" fillId="2" borderId="8" xfId="2" applyNumberFormat="1" applyFont="1" applyFill="1" applyBorder="1" applyAlignment="1">
      <alignment vertical="top"/>
    </xf>
    <xf numFmtId="0" fontId="4" fillId="2" borderId="9" xfId="2" applyNumberFormat="1" applyFont="1" applyFill="1" applyBorder="1" applyAlignment="1">
      <alignment vertical="top"/>
    </xf>
    <xf numFmtId="0" fontId="4" fillId="2" borderId="6" xfId="2" applyNumberFormat="1" applyFont="1" applyFill="1" applyBorder="1" applyAlignment="1">
      <alignment vertical="top"/>
    </xf>
    <xf numFmtId="0" fontId="4" fillId="2" borderId="10" xfId="2" applyNumberFormat="1" applyFont="1" applyFill="1" applyBorder="1" applyAlignment="1">
      <alignment vertical="top"/>
    </xf>
    <xf numFmtId="0" fontId="4" fillId="2" borderId="10" xfId="2" applyNumberFormat="1" applyFont="1" applyFill="1" applyBorder="1" applyAlignment="1">
      <alignment vertical="top"/>
    </xf>
    <xf numFmtId="0" fontId="4" fillId="2" borderId="11" xfId="2" applyNumberFormat="1" applyFont="1" applyFill="1" applyBorder="1" applyAlignment="1">
      <alignment vertical="top"/>
    </xf>
    <xf numFmtId="0" fontId="4" fillId="2" borderId="12" xfId="2" applyNumberFormat="1" applyFont="1" applyFill="1" applyBorder="1" applyAlignment="1">
      <alignment vertical="top"/>
    </xf>
    <xf numFmtId="0" fontId="5" fillId="0" borderId="1" xfId="2" applyNumberFormat="1" applyFont="1" applyBorder="1" applyAlignment="1">
      <alignment vertical="top"/>
    </xf>
    <xf numFmtId="0" fontId="5" fillId="0" borderId="1" xfId="2" applyNumberFormat="1" applyFont="1" applyBorder="1" applyAlignment="1">
      <alignment vertical="top" wrapText="1"/>
    </xf>
    <xf numFmtId="0" fontId="5" fillId="0" borderId="1" xfId="2" applyNumberFormat="1" applyFont="1" applyBorder="1" applyAlignment="1">
      <alignment horizontal="left" vertical="top"/>
    </xf>
    <xf numFmtId="4" fontId="5" fillId="0" borderId="1" xfId="2" applyNumberFormat="1" applyFont="1" applyBorder="1" applyAlignment="1">
      <alignment horizontal="right" vertical="top" wrapText="1"/>
    </xf>
    <xf numFmtId="0" fontId="5" fillId="0" borderId="14" xfId="2" applyNumberFormat="1" applyFont="1" applyBorder="1" applyAlignment="1">
      <alignment horizontal="right" vertical="top" wrapText="1"/>
    </xf>
    <xf numFmtId="0" fontId="5" fillId="0" borderId="13" xfId="2" applyNumberFormat="1" applyFont="1" applyBorder="1" applyAlignment="1">
      <alignment horizontal="center" vertical="top"/>
    </xf>
    <xf numFmtId="4" fontId="5" fillId="0" borderId="14" xfId="2" applyNumberFormat="1" applyFont="1" applyBorder="1" applyAlignment="1">
      <alignment horizontal="right" vertical="top" wrapText="1"/>
    </xf>
    <xf numFmtId="0" fontId="5" fillId="0" borderId="1" xfId="2" applyNumberFormat="1" applyFont="1" applyBorder="1" applyAlignment="1">
      <alignment horizontal="right" vertical="top" wrapText="1"/>
    </xf>
    <xf numFmtId="4" fontId="5" fillId="0" borderId="14" xfId="2" applyNumberFormat="1" applyFont="1" applyBorder="1" applyAlignment="1">
      <alignment horizontal="right" vertical="top" wrapText="1"/>
    </xf>
    <xf numFmtId="2" fontId="5" fillId="0" borderId="14" xfId="2" applyNumberFormat="1" applyFont="1" applyBorder="1" applyAlignment="1">
      <alignment horizontal="right" vertical="top" wrapText="1"/>
    </xf>
    <xf numFmtId="0" fontId="6" fillId="2" borderId="1" xfId="2" applyNumberFormat="1" applyFont="1" applyFill="1" applyBorder="1" applyAlignment="1">
      <alignment vertical="top"/>
    </xf>
    <xf numFmtId="4" fontId="6" fillId="2" borderId="1" xfId="2" applyNumberFormat="1" applyFont="1" applyFill="1" applyBorder="1" applyAlignment="1">
      <alignment horizontal="right" vertical="top" wrapText="1"/>
    </xf>
    <xf numFmtId="0" fontId="6" fillId="2" borderId="13" xfId="2" applyNumberFormat="1" applyFont="1" applyFill="1" applyBorder="1" applyAlignment="1">
      <alignment horizontal="center" vertical="top"/>
    </xf>
    <xf numFmtId="4" fontId="6" fillId="2" borderId="14" xfId="2" applyNumberFormat="1" applyFont="1" applyFill="1" applyBorder="1" applyAlignment="1">
      <alignment horizontal="right" vertical="top" wrapText="1"/>
    </xf>
    <xf numFmtId="0" fontId="4" fillId="2" borderId="3" xfId="3" applyNumberFormat="1" applyFont="1" applyFill="1" applyBorder="1" applyAlignment="1">
      <alignment vertical="top"/>
    </xf>
    <xf numFmtId="0" fontId="4" fillId="2" borderId="4" xfId="3" applyNumberFormat="1" applyFont="1" applyFill="1" applyBorder="1" applyAlignment="1">
      <alignment vertical="top"/>
    </xf>
    <xf numFmtId="0" fontId="4" fillId="2" borderId="5" xfId="3" applyNumberFormat="1" applyFont="1" applyFill="1" applyBorder="1" applyAlignment="1">
      <alignment vertical="top"/>
    </xf>
    <xf numFmtId="0" fontId="4" fillId="2" borderId="4" xfId="3" applyNumberFormat="1" applyFont="1" applyFill="1" applyBorder="1" applyAlignment="1">
      <alignment horizontal="center" vertical="top"/>
    </xf>
    <xf numFmtId="0" fontId="4" fillId="2" borderId="6" xfId="3" applyNumberFormat="1" applyFont="1" applyFill="1" applyBorder="1" applyAlignment="1">
      <alignment horizontal="center" vertical="top"/>
    </xf>
    <xf numFmtId="0" fontId="4" fillId="2" borderId="7" xfId="3" applyNumberFormat="1" applyFont="1" applyFill="1" applyBorder="1" applyAlignment="1">
      <alignment vertical="top"/>
    </xf>
    <xf numFmtId="0" fontId="4" fillId="2" borderId="8" xfId="3" applyNumberFormat="1" applyFont="1" applyFill="1" applyBorder="1" applyAlignment="1">
      <alignment vertical="top"/>
    </xf>
    <xf numFmtId="0" fontId="4" fillId="2" borderId="9" xfId="3" applyNumberFormat="1" applyFont="1" applyFill="1" applyBorder="1" applyAlignment="1">
      <alignment vertical="top"/>
    </xf>
    <xf numFmtId="0" fontId="4" fillId="2" borderId="6" xfId="3" applyNumberFormat="1" applyFont="1" applyFill="1" applyBorder="1" applyAlignment="1">
      <alignment vertical="top"/>
    </xf>
    <xf numFmtId="0" fontId="4" fillId="2" borderId="10" xfId="3" applyNumberFormat="1" applyFont="1" applyFill="1" applyBorder="1" applyAlignment="1">
      <alignment vertical="top"/>
    </xf>
    <xf numFmtId="0" fontId="4" fillId="2" borderId="10" xfId="3" applyNumberFormat="1" applyFont="1" applyFill="1" applyBorder="1" applyAlignment="1">
      <alignment vertical="top"/>
    </xf>
    <xf numFmtId="0" fontId="4" fillId="2" borderId="11" xfId="3" applyNumberFormat="1" applyFont="1" applyFill="1" applyBorder="1" applyAlignment="1">
      <alignment vertical="top"/>
    </xf>
    <xf numFmtId="0" fontId="4" fillId="2" borderId="12" xfId="3" applyNumberFormat="1" applyFont="1" applyFill="1" applyBorder="1" applyAlignment="1">
      <alignment vertical="top"/>
    </xf>
    <xf numFmtId="0" fontId="5" fillId="0" borderId="1" xfId="3" applyNumberFormat="1" applyFont="1" applyBorder="1" applyAlignment="1">
      <alignment vertical="top"/>
    </xf>
    <xf numFmtId="0" fontId="5" fillId="0" borderId="1" xfId="3" applyNumberFormat="1" applyFont="1" applyBorder="1" applyAlignment="1">
      <alignment vertical="top" wrapText="1"/>
    </xf>
    <xf numFmtId="0" fontId="5" fillId="0" borderId="1" xfId="3" applyNumberFormat="1" applyFont="1" applyBorder="1" applyAlignment="1">
      <alignment horizontal="left" vertical="top"/>
    </xf>
    <xf numFmtId="4" fontId="5" fillId="0" borderId="1" xfId="3" applyNumberFormat="1" applyFont="1" applyBorder="1" applyAlignment="1">
      <alignment horizontal="right" vertical="top" wrapText="1"/>
    </xf>
    <xf numFmtId="0" fontId="5" fillId="0" borderId="14" xfId="3" applyNumberFormat="1" applyFont="1" applyBorder="1" applyAlignment="1">
      <alignment horizontal="right" vertical="top" wrapText="1"/>
    </xf>
    <xf numFmtId="0" fontId="5" fillId="0" borderId="13" xfId="3" applyNumberFormat="1" applyFont="1" applyBorder="1" applyAlignment="1">
      <alignment horizontal="center" vertical="top"/>
    </xf>
    <xf numFmtId="4" fontId="5" fillId="0" borderId="14" xfId="3" applyNumberFormat="1" applyFont="1" applyBorder="1" applyAlignment="1">
      <alignment horizontal="right" vertical="top" wrapText="1"/>
    </xf>
    <xf numFmtId="2" fontId="5" fillId="0" borderId="1" xfId="3" applyNumberFormat="1" applyFont="1" applyBorder="1" applyAlignment="1">
      <alignment horizontal="right" vertical="top" wrapText="1"/>
    </xf>
    <xf numFmtId="0" fontId="5" fillId="0" borderId="1" xfId="3" applyNumberFormat="1" applyFont="1" applyBorder="1" applyAlignment="1">
      <alignment horizontal="right" vertical="top" wrapText="1"/>
    </xf>
    <xf numFmtId="4" fontId="5" fillId="0" borderId="14" xfId="3" applyNumberFormat="1" applyFont="1" applyBorder="1" applyAlignment="1">
      <alignment horizontal="right" vertical="top" wrapText="1"/>
    </xf>
    <xf numFmtId="2" fontId="5" fillId="0" borderId="14" xfId="3" applyNumberFormat="1" applyFont="1" applyBorder="1" applyAlignment="1">
      <alignment horizontal="right" vertical="top" wrapText="1"/>
    </xf>
    <xf numFmtId="2" fontId="5" fillId="0" borderId="14" xfId="3" applyNumberFormat="1" applyFont="1" applyBorder="1" applyAlignment="1">
      <alignment horizontal="right" vertical="top" wrapText="1"/>
    </xf>
    <xf numFmtId="0" fontId="5" fillId="0" borderId="14" xfId="3" applyNumberFormat="1" applyFont="1" applyBorder="1" applyAlignment="1">
      <alignment horizontal="right" vertical="top" wrapText="1"/>
    </xf>
    <xf numFmtId="0" fontId="6" fillId="2" borderId="1" xfId="3" applyNumberFormat="1" applyFont="1" applyFill="1" applyBorder="1" applyAlignment="1">
      <alignment vertical="top"/>
    </xf>
    <xf numFmtId="4" fontId="6" fillId="2" borderId="1" xfId="3" applyNumberFormat="1" applyFont="1" applyFill="1" applyBorder="1" applyAlignment="1">
      <alignment horizontal="right" vertical="top" wrapText="1"/>
    </xf>
    <xf numFmtId="0" fontId="6" fillId="2" borderId="13" xfId="3" applyNumberFormat="1" applyFont="1" applyFill="1" applyBorder="1" applyAlignment="1">
      <alignment horizontal="center" vertical="top"/>
    </xf>
    <xf numFmtId="2" fontId="6" fillId="2" borderId="14" xfId="3" applyNumberFormat="1" applyFont="1" applyFill="1" applyBorder="1" applyAlignment="1">
      <alignment horizontal="right" vertical="top" wrapText="1"/>
    </xf>
    <xf numFmtId="0" fontId="4" fillId="2" borderId="3" xfId="4" applyNumberFormat="1" applyFont="1" applyFill="1" applyBorder="1" applyAlignment="1">
      <alignment vertical="top"/>
    </xf>
    <xf numFmtId="0" fontId="4" fillId="2" borderId="4" xfId="4" applyNumberFormat="1" applyFont="1" applyFill="1" applyBorder="1" applyAlignment="1">
      <alignment vertical="top"/>
    </xf>
    <xf numFmtId="0" fontId="4" fillId="2" borderId="5" xfId="4" applyNumberFormat="1" applyFont="1" applyFill="1" applyBorder="1" applyAlignment="1">
      <alignment vertical="top"/>
    </xf>
    <xf numFmtId="0" fontId="4" fillId="2" borderId="4" xfId="4" applyNumberFormat="1" applyFont="1" applyFill="1" applyBorder="1" applyAlignment="1">
      <alignment horizontal="center" vertical="top"/>
    </xf>
    <xf numFmtId="0" fontId="4" fillId="2" borderId="6" xfId="4" applyNumberFormat="1" applyFont="1" applyFill="1" applyBorder="1" applyAlignment="1">
      <alignment horizontal="center" vertical="top"/>
    </xf>
    <xf numFmtId="0" fontId="4" fillId="2" borderId="7" xfId="4" applyNumberFormat="1" applyFont="1" applyFill="1" applyBorder="1" applyAlignment="1">
      <alignment vertical="top"/>
    </xf>
    <xf numFmtId="0" fontId="4" fillId="2" borderId="8" xfId="4" applyNumberFormat="1" applyFont="1" applyFill="1" applyBorder="1" applyAlignment="1">
      <alignment vertical="top"/>
    </xf>
    <xf numFmtId="0" fontId="4" fillId="2" borderId="9" xfId="4" applyNumberFormat="1" applyFont="1" applyFill="1" applyBorder="1" applyAlignment="1">
      <alignment vertical="top"/>
    </xf>
    <xf numFmtId="0" fontId="4" fillId="2" borderId="6" xfId="4" applyNumberFormat="1" applyFont="1" applyFill="1" applyBorder="1" applyAlignment="1">
      <alignment vertical="top"/>
    </xf>
    <xf numFmtId="0" fontId="4" fillId="2" borderId="10" xfId="4" applyNumberFormat="1" applyFont="1" applyFill="1" applyBorder="1" applyAlignment="1">
      <alignment vertical="top"/>
    </xf>
    <xf numFmtId="0" fontId="4" fillId="2" borderId="10" xfId="4" applyNumberFormat="1" applyFont="1" applyFill="1" applyBorder="1" applyAlignment="1">
      <alignment vertical="top"/>
    </xf>
    <xf numFmtId="0" fontId="4" fillId="2" borderId="11" xfId="4" applyNumberFormat="1" applyFont="1" applyFill="1" applyBorder="1" applyAlignment="1">
      <alignment vertical="top"/>
    </xf>
    <xf numFmtId="0" fontId="4" fillId="2" borderId="12" xfId="4" applyNumberFormat="1" applyFont="1" applyFill="1" applyBorder="1" applyAlignment="1">
      <alignment vertical="top"/>
    </xf>
    <xf numFmtId="0" fontId="5" fillId="0" borderId="1" xfId="4" applyNumberFormat="1" applyFont="1" applyBorder="1" applyAlignment="1">
      <alignment vertical="top"/>
    </xf>
    <xf numFmtId="0" fontId="5" fillId="0" borderId="1" xfId="4" applyNumberFormat="1" applyFont="1" applyBorder="1" applyAlignment="1">
      <alignment vertical="top" wrapText="1"/>
    </xf>
    <xf numFmtId="0" fontId="5" fillId="0" borderId="1" xfId="4" applyNumberFormat="1" applyFont="1" applyBorder="1" applyAlignment="1">
      <alignment horizontal="left" vertical="top"/>
    </xf>
    <xf numFmtId="2" fontId="5" fillId="0" borderId="1" xfId="4" applyNumberFormat="1" applyFont="1" applyBorder="1" applyAlignment="1">
      <alignment horizontal="right" vertical="top" wrapText="1"/>
    </xf>
    <xf numFmtId="0" fontId="5" fillId="0" borderId="14" xfId="4" applyNumberFormat="1" applyFont="1" applyBorder="1" applyAlignment="1">
      <alignment horizontal="right" vertical="top" wrapText="1"/>
    </xf>
    <xf numFmtId="0" fontId="5" fillId="0" borderId="13" xfId="4" applyNumberFormat="1" applyFont="1" applyBorder="1" applyAlignment="1">
      <alignment horizontal="center" vertical="top"/>
    </xf>
    <xf numFmtId="4" fontId="5" fillId="0" borderId="14" xfId="4" applyNumberFormat="1" applyFont="1" applyBorder="1" applyAlignment="1">
      <alignment horizontal="right" vertical="top" wrapText="1"/>
    </xf>
    <xf numFmtId="4" fontId="5" fillId="0" borderId="1" xfId="4" applyNumberFormat="1" applyFont="1" applyBorder="1" applyAlignment="1">
      <alignment horizontal="right" vertical="top" wrapText="1"/>
    </xf>
    <xf numFmtId="0" fontId="5" fillId="0" borderId="1" xfId="4" applyNumberFormat="1" applyFont="1" applyBorder="1" applyAlignment="1">
      <alignment horizontal="right" vertical="top" wrapText="1"/>
    </xf>
    <xf numFmtId="2" fontId="5" fillId="0" borderId="14" xfId="4" applyNumberFormat="1" applyFont="1" applyBorder="1" applyAlignment="1">
      <alignment horizontal="right" vertical="top" wrapText="1"/>
    </xf>
    <xf numFmtId="4" fontId="5" fillId="0" borderId="14" xfId="4" applyNumberFormat="1" applyFont="1" applyBorder="1" applyAlignment="1">
      <alignment horizontal="right" vertical="top" wrapText="1"/>
    </xf>
    <xf numFmtId="0" fontId="6" fillId="2" borderId="1" xfId="4" applyNumberFormat="1" applyFont="1" applyFill="1" applyBorder="1" applyAlignment="1">
      <alignment vertical="top"/>
    </xf>
    <xf numFmtId="4" fontId="6" fillId="2" borderId="1" xfId="4" applyNumberFormat="1" applyFont="1" applyFill="1" applyBorder="1" applyAlignment="1">
      <alignment horizontal="right" vertical="top" wrapText="1"/>
    </xf>
    <xf numFmtId="0" fontId="6" fillId="2" borderId="13" xfId="4" applyNumberFormat="1" applyFont="1" applyFill="1" applyBorder="1" applyAlignment="1">
      <alignment horizontal="center" vertical="top"/>
    </xf>
    <xf numFmtId="4" fontId="6" fillId="2" borderId="14" xfId="4" applyNumberFormat="1" applyFont="1" applyFill="1" applyBorder="1" applyAlignment="1">
      <alignment horizontal="right" vertical="top" wrapText="1"/>
    </xf>
    <xf numFmtId="0" fontId="4" fillId="2" borderId="3" xfId="5" applyNumberFormat="1" applyFont="1" applyFill="1" applyBorder="1" applyAlignment="1">
      <alignment vertical="top"/>
    </xf>
    <xf numFmtId="0" fontId="4" fillId="2" borderId="4" xfId="5" applyNumberFormat="1" applyFont="1" applyFill="1" applyBorder="1" applyAlignment="1">
      <alignment vertical="top"/>
    </xf>
    <xf numFmtId="0" fontId="4" fillId="2" borderId="5" xfId="5" applyNumberFormat="1" applyFont="1" applyFill="1" applyBorder="1" applyAlignment="1">
      <alignment vertical="top"/>
    </xf>
    <xf numFmtId="0" fontId="4" fillId="2" borderId="4" xfId="5" applyNumberFormat="1" applyFont="1" applyFill="1" applyBorder="1" applyAlignment="1">
      <alignment horizontal="center" vertical="top"/>
    </xf>
    <xf numFmtId="0" fontId="4" fillId="2" borderId="6" xfId="5" applyNumberFormat="1" applyFont="1" applyFill="1" applyBorder="1" applyAlignment="1">
      <alignment horizontal="center" vertical="top"/>
    </xf>
    <xf numFmtId="0" fontId="4" fillId="2" borderId="7" xfId="5" applyNumberFormat="1" applyFont="1" applyFill="1" applyBorder="1" applyAlignment="1">
      <alignment vertical="top"/>
    </xf>
    <xf numFmtId="0" fontId="4" fillId="2" borderId="8" xfId="5" applyNumberFormat="1" applyFont="1" applyFill="1" applyBorder="1" applyAlignment="1">
      <alignment vertical="top"/>
    </xf>
    <xf numFmtId="0" fontId="4" fillId="2" borderId="9" xfId="5" applyNumberFormat="1" applyFont="1" applyFill="1" applyBorder="1" applyAlignment="1">
      <alignment vertical="top"/>
    </xf>
    <xf numFmtId="0" fontId="4" fillId="2" borderId="6" xfId="5" applyNumberFormat="1" applyFont="1" applyFill="1" applyBorder="1" applyAlignment="1">
      <alignment vertical="top"/>
    </xf>
    <xf numFmtId="0" fontId="4" fillId="2" borderId="10" xfId="5" applyNumberFormat="1" applyFont="1" applyFill="1" applyBorder="1" applyAlignment="1">
      <alignment vertical="top"/>
    </xf>
    <xf numFmtId="0" fontId="4" fillId="2" borderId="10" xfId="5" applyNumberFormat="1" applyFont="1" applyFill="1" applyBorder="1" applyAlignment="1">
      <alignment vertical="top"/>
    </xf>
    <xf numFmtId="0" fontId="4" fillId="2" borderId="11" xfId="5" applyNumberFormat="1" applyFont="1" applyFill="1" applyBorder="1" applyAlignment="1">
      <alignment vertical="top"/>
    </xf>
    <xf numFmtId="0" fontId="4" fillId="2" borderId="12" xfId="5" applyNumberFormat="1" applyFont="1" applyFill="1" applyBorder="1" applyAlignment="1">
      <alignment vertical="top"/>
    </xf>
    <xf numFmtId="0" fontId="5" fillId="0" borderId="1" xfId="5" applyNumberFormat="1" applyFont="1" applyBorder="1" applyAlignment="1">
      <alignment vertical="top"/>
    </xf>
    <xf numFmtId="0" fontId="5" fillId="0" borderId="1" xfId="5" applyNumberFormat="1" applyFont="1" applyBorder="1" applyAlignment="1">
      <alignment vertical="top" wrapText="1"/>
    </xf>
    <xf numFmtId="0" fontId="5" fillId="0" borderId="1" xfId="5" applyNumberFormat="1" applyFont="1" applyBorder="1" applyAlignment="1">
      <alignment horizontal="left" vertical="top"/>
    </xf>
    <xf numFmtId="4" fontId="5" fillId="0" borderId="1" xfId="5" applyNumberFormat="1" applyFont="1" applyBorder="1" applyAlignment="1">
      <alignment horizontal="right" vertical="top" wrapText="1"/>
    </xf>
    <xf numFmtId="0" fontId="5" fillId="0" borderId="14" xfId="5" applyNumberFormat="1" applyFont="1" applyBorder="1" applyAlignment="1">
      <alignment horizontal="right" vertical="top" wrapText="1"/>
    </xf>
    <xf numFmtId="0" fontId="5" fillId="0" borderId="13" xfId="5" applyNumberFormat="1" applyFont="1" applyBorder="1" applyAlignment="1">
      <alignment horizontal="center" vertical="top"/>
    </xf>
    <xf numFmtId="4" fontId="5" fillId="0" borderId="14" xfId="5" applyNumberFormat="1" applyFont="1" applyBorder="1" applyAlignment="1">
      <alignment horizontal="right" vertical="top" wrapText="1"/>
    </xf>
    <xf numFmtId="0" fontId="5" fillId="0" borderId="1" xfId="5" applyNumberFormat="1" applyFont="1" applyBorder="1" applyAlignment="1">
      <alignment horizontal="right" vertical="top" wrapText="1"/>
    </xf>
    <xf numFmtId="4" fontId="5" fillId="0" borderId="14" xfId="5" applyNumberFormat="1" applyFont="1" applyBorder="1" applyAlignment="1">
      <alignment horizontal="right" vertical="top" wrapText="1"/>
    </xf>
    <xf numFmtId="0" fontId="6" fillId="2" borderId="1" xfId="5" applyNumberFormat="1" applyFont="1" applyFill="1" applyBorder="1" applyAlignment="1">
      <alignment vertical="top"/>
    </xf>
    <xf numFmtId="4" fontId="6" fillId="2" borderId="1" xfId="5" applyNumberFormat="1" applyFont="1" applyFill="1" applyBorder="1" applyAlignment="1">
      <alignment horizontal="right" vertical="top" wrapText="1"/>
    </xf>
    <xf numFmtId="0" fontId="6" fillId="2" borderId="13" xfId="5" applyNumberFormat="1" applyFont="1" applyFill="1" applyBorder="1" applyAlignment="1">
      <alignment horizontal="center" vertical="top"/>
    </xf>
    <xf numFmtId="4" fontId="6" fillId="2" borderId="14" xfId="5" applyNumberFormat="1" applyFont="1" applyFill="1" applyBorder="1" applyAlignment="1">
      <alignment horizontal="right" vertical="top" wrapText="1"/>
    </xf>
    <xf numFmtId="0" fontId="4" fillId="2" borderId="3" xfId="6" applyNumberFormat="1" applyFont="1" applyFill="1" applyBorder="1" applyAlignment="1">
      <alignment vertical="top"/>
    </xf>
    <xf numFmtId="0" fontId="4" fillId="2" borderId="4" xfId="6" applyNumberFormat="1" applyFont="1" applyFill="1" applyBorder="1" applyAlignment="1">
      <alignment vertical="top"/>
    </xf>
    <xf numFmtId="0" fontId="4" fillId="2" borderId="5" xfId="6" applyNumberFormat="1" applyFont="1" applyFill="1" applyBorder="1" applyAlignment="1">
      <alignment vertical="top"/>
    </xf>
    <xf numFmtId="0" fontId="4" fillId="2" borderId="4" xfId="6" applyNumberFormat="1" applyFont="1" applyFill="1" applyBorder="1" applyAlignment="1">
      <alignment horizontal="center" vertical="top"/>
    </xf>
    <xf numFmtId="0" fontId="4" fillId="2" borderId="6" xfId="6" applyNumberFormat="1" applyFont="1" applyFill="1" applyBorder="1" applyAlignment="1">
      <alignment horizontal="center" vertical="top"/>
    </xf>
    <xf numFmtId="0" fontId="4" fillId="2" borderId="7" xfId="6" applyNumberFormat="1" applyFont="1" applyFill="1" applyBorder="1" applyAlignment="1">
      <alignment vertical="top"/>
    </xf>
    <xf numFmtId="0" fontId="4" fillId="2" borderId="8" xfId="6" applyNumberFormat="1" applyFont="1" applyFill="1" applyBorder="1" applyAlignment="1">
      <alignment vertical="top"/>
    </xf>
    <xf numFmtId="0" fontId="4" fillId="2" borderId="9" xfId="6" applyNumberFormat="1" applyFont="1" applyFill="1" applyBorder="1" applyAlignment="1">
      <alignment vertical="top"/>
    </xf>
    <xf numFmtId="0" fontId="4" fillId="2" borderId="6" xfId="6" applyNumberFormat="1" applyFont="1" applyFill="1" applyBorder="1" applyAlignment="1">
      <alignment vertical="top"/>
    </xf>
    <xf numFmtId="0" fontId="4" fillId="2" borderId="10" xfId="6" applyNumberFormat="1" applyFont="1" applyFill="1" applyBorder="1" applyAlignment="1">
      <alignment vertical="top"/>
    </xf>
    <xf numFmtId="0" fontId="4" fillId="2" borderId="10" xfId="6" applyNumberFormat="1" applyFont="1" applyFill="1" applyBorder="1" applyAlignment="1">
      <alignment vertical="top"/>
    </xf>
    <xf numFmtId="0" fontId="4" fillId="2" borderId="11" xfId="6" applyNumberFormat="1" applyFont="1" applyFill="1" applyBorder="1" applyAlignment="1">
      <alignment vertical="top"/>
    </xf>
    <xf numFmtId="0" fontId="4" fillId="2" borderId="12" xfId="6" applyNumberFormat="1" applyFont="1" applyFill="1" applyBorder="1" applyAlignment="1">
      <alignment vertical="top"/>
    </xf>
    <xf numFmtId="0" fontId="5" fillId="0" borderId="1" xfId="6" applyNumberFormat="1" applyFont="1" applyBorder="1" applyAlignment="1">
      <alignment vertical="top"/>
    </xf>
    <xf numFmtId="0" fontId="5" fillId="0" borderId="1" xfId="6" applyNumberFormat="1" applyFont="1" applyBorder="1" applyAlignment="1">
      <alignment vertical="top" wrapText="1"/>
    </xf>
    <xf numFmtId="0" fontId="5" fillId="0" borderId="1" xfId="6" applyNumberFormat="1" applyFont="1" applyBorder="1" applyAlignment="1">
      <alignment horizontal="left" vertical="top"/>
    </xf>
    <xf numFmtId="0" fontId="5" fillId="0" borderId="1" xfId="6" applyNumberFormat="1" applyFont="1" applyBorder="1" applyAlignment="1">
      <alignment horizontal="right" vertical="top" wrapText="1"/>
    </xf>
    <xf numFmtId="4" fontId="5" fillId="0" borderId="14" xfId="6" applyNumberFormat="1" applyFont="1" applyBorder="1" applyAlignment="1">
      <alignment horizontal="right" vertical="top" wrapText="1"/>
    </xf>
    <xf numFmtId="0" fontId="5" fillId="0" borderId="13" xfId="6" applyNumberFormat="1" applyFont="1" applyBorder="1" applyAlignment="1">
      <alignment horizontal="center" vertical="top"/>
    </xf>
    <xf numFmtId="4" fontId="5" fillId="0" borderId="14" xfId="6" applyNumberFormat="1" applyFont="1" applyBorder="1" applyAlignment="1">
      <alignment horizontal="right" vertical="top" wrapText="1"/>
    </xf>
    <xf numFmtId="4" fontId="5" fillId="0" borderId="1" xfId="6" applyNumberFormat="1" applyFont="1" applyBorder="1" applyAlignment="1">
      <alignment horizontal="right" vertical="top" wrapText="1"/>
    </xf>
    <xf numFmtId="0" fontId="5" fillId="0" borderId="14" xfId="6" applyNumberFormat="1" applyFont="1" applyBorder="1" applyAlignment="1">
      <alignment horizontal="right" vertical="top" wrapText="1"/>
    </xf>
    <xf numFmtId="2" fontId="5" fillId="0" borderId="1" xfId="6" applyNumberFormat="1" applyFont="1" applyBorder="1" applyAlignment="1">
      <alignment horizontal="right" vertical="top" wrapText="1"/>
    </xf>
    <xf numFmtId="2" fontId="5" fillId="0" borderId="14" xfId="6" applyNumberFormat="1" applyFont="1" applyBorder="1" applyAlignment="1">
      <alignment horizontal="right" vertical="top" wrapText="1"/>
    </xf>
    <xf numFmtId="0" fontId="6" fillId="2" borderId="1" xfId="6" applyNumberFormat="1" applyFont="1" applyFill="1" applyBorder="1" applyAlignment="1">
      <alignment vertical="top"/>
    </xf>
    <xf numFmtId="4" fontId="6" fillId="2" borderId="1" xfId="6" applyNumberFormat="1" applyFont="1" applyFill="1" applyBorder="1" applyAlignment="1">
      <alignment horizontal="right" vertical="top" wrapText="1"/>
    </xf>
    <xf numFmtId="0" fontId="6" fillId="2" borderId="13" xfId="6" applyNumberFormat="1" applyFont="1" applyFill="1" applyBorder="1" applyAlignment="1">
      <alignment horizontal="center" vertical="top"/>
    </xf>
    <xf numFmtId="4" fontId="6" fillId="2" borderId="14" xfId="6" applyNumberFormat="1" applyFont="1" applyFill="1" applyBorder="1" applyAlignment="1">
      <alignment horizontal="right" vertical="top" wrapText="1"/>
    </xf>
    <xf numFmtId="0" fontId="4" fillId="2" borderId="3" xfId="7" applyNumberFormat="1" applyFont="1" applyFill="1" applyBorder="1" applyAlignment="1">
      <alignment vertical="top"/>
    </xf>
    <xf numFmtId="0" fontId="4" fillId="2" borderId="4" xfId="7" applyNumberFormat="1" applyFont="1" applyFill="1" applyBorder="1" applyAlignment="1">
      <alignment vertical="top"/>
    </xf>
    <xf numFmtId="0" fontId="4" fillId="2" borderId="5" xfId="7" applyNumberFormat="1" applyFont="1" applyFill="1" applyBorder="1" applyAlignment="1">
      <alignment vertical="top"/>
    </xf>
    <xf numFmtId="0" fontId="4" fillId="2" borderId="4" xfId="7" applyNumberFormat="1" applyFont="1" applyFill="1" applyBorder="1" applyAlignment="1">
      <alignment horizontal="center" vertical="top"/>
    </xf>
    <xf numFmtId="0" fontId="4" fillId="2" borderId="6" xfId="7" applyNumberFormat="1" applyFont="1" applyFill="1" applyBorder="1" applyAlignment="1">
      <alignment horizontal="center" vertical="top"/>
    </xf>
    <xf numFmtId="0" fontId="4" fillId="2" borderId="7" xfId="7" applyNumberFormat="1" applyFont="1" applyFill="1" applyBorder="1" applyAlignment="1">
      <alignment vertical="top"/>
    </xf>
    <xf numFmtId="0" fontId="4" fillId="2" borderId="8" xfId="7" applyNumberFormat="1" applyFont="1" applyFill="1" applyBorder="1" applyAlignment="1">
      <alignment vertical="top"/>
    </xf>
    <xf numFmtId="0" fontId="4" fillId="2" borderId="9" xfId="7" applyNumberFormat="1" applyFont="1" applyFill="1" applyBorder="1" applyAlignment="1">
      <alignment vertical="top"/>
    </xf>
    <xf numFmtId="0" fontId="4" fillId="2" borderId="6" xfId="7" applyNumberFormat="1" applyFont="1" applyFill="1" applyBorder="1" applyAlignment="1">
      <alignment vertical="top"/>
    </xf>
    <xf numFmtId="0" fontId="4" fillId="2" borderId="10" xfId="7" applyNumberFormat="1" applyFont="1" applyFill="1" applyBorder="1" applyAlignment="1">
      <alignment vertical="top"/>
    </xf>
    <xf numFmtId="0" fontId="4" fillId="2" borderId="10" xfId="7" applyNumberFormat="1" applyFont="1" applyFill="1" applyBorder="1" applyAlignment="1">
      <alignment vertical="top"/>
    </xf>
    <xf numFmtId="0" fontId="4" fillId="2" borderId="11" xfId="7" applyNumberFormat="1" applyFont="1" applyFill="1" applyBorder="1" applyAlignment="1">
      <alignment vertical="top"/>
    </xf>
    <xf numFmtId="0" fontId="4" fillId="2" borderId="12" xfId="7" applyNumberFormat="1" applyFont="1" applyFill="1" applyBorder="1" applyAlignment="1">
      <alignment vertical="top"/>
    </xf>
    <xf numFmtId="0" fontId="5" fillId="0" borderId="1" xfId="7" applyNumberFormat="1" applyFont="1" applyBorder="1" applyAlignment="1">
      <alignment vertical="top"/>
    </xf>
    <xf numFmtId="0" fontId="5" fillId="0" borderId="1" xfId="7" applyNumberFormat="1" applyFont="1" applyBorder="1" applyAlignment="1">
      <alignment vertical="top" wrapText="1"/>
    </xf>
    <xf numFmtId="0" fontId="5" fillId="0" borderId="1" xfId="7" applyNumberFormat="1" applyFont="1" applyBorder="1" applyAlignment="1">
      <alignment horizontal="left" vertical="top"/>
    </xf>
    <xf numFmtId="4" fontId="5" fillId="0" borderId="1" xfId="7" applyNumberFormat="1" applyFont="1" applyBorder="1" applyAlignment="1">
      <alignment horizontal="right" vertical="top" wrapText="1"/>
    </xf>
    <xf numFmtId="0" fontId="5" fillId="0" borderId="14" xfId="7" applyNumberFormat="1" applyFont="1" applyBorder="1" applyAlignment="1">
      <alignment horizontal="right" vertical="top" wrapText="1"/>
    </xf>
    <xf numFmtId="0" fontId="5" fillId="0" borderId="13" xfId="7" applyNumberFormat="1" applyFont="1" applyBorder="1" applyAlignment="1">
      <alignment horizontal="center" vertical="top"/>
    </xf>
    <xf numFmtId="4" fontId="5" fillId="0" borderId="14" xfId="7" applyNumberFormat="1" applyFont="1" applyBorder="1" applyAlignment="1">
      <alignment horizontal="right" vertical="top" wrapText="1"/>
    </xf>
    <xf numFmtId="2" fontId="5" fillId="0" borderId="1" xfId="7" applyNumberFormat="1" applyFont="1" applyBorder="1" applyAlignment="1">
      <alignment horizontal="right" vertical="top" wrapText="1"/>
    </xf>
    <xf numFmtId="0" fontId="5" fillId="0" borderId="1" xfId="7" applyNumberFormat="1" applyFont="1" applyBorder="1" applyAlignment="1">
      <alignment horizontal="right" vertical="top" wrapText="1"/>
    </xf>
    <xf numFmtId="4" fontId="5" fillId="0" borderId="14" xfId="7" applyNumberFormat="1" applyFont="1" applyBorder="1" applyAlignment="1">
      <alignment horizontal="right" vertical="top" wrapText="1"/>
    </xf>
    <xf numFmtId="2" fontId="5" fillId="0" borderId="14" xfId="7" applyNumberFormat="1" applyFont="1" applyBorder="1" applyAlignment="1">
      <alignment horizontal="right" vertical="top" wrapText="1"/>
    </xf>
    <xf numFmtId="0" fontId="6" fillId="2" borderId="1" xfId="7" applyNumberFormat="1" applyFont="1" applyFill="1" applyBorder="1" applyAlignment="1">
      <alignment vertical="top"/>
    </xf>
    <xf numFmtId="4" fontId="6" fillId="2" borderId="1" xfId="7" applyNumberFormat="1" applyFont="1" applyFill="1" applyBorder="1" applyAlignment="1">
      <alignment horizontal="right" vertical="top" wrapText="1"/>
    </xf>
    <xf numFmtId="0" fontId="6" fillId="2" borderId="13" xfId="7" applyNumberFormat="1" applyFont="1" applyFill="1" applyBorder="1" applyAlignment="1">
      <alignment horizontal="center" vertical="top"/>
    </xf>
    <xf numFmtId="4" fontId="6" fillId="2" borderId="14" xfId="7" applyNumberFormat="1" applyFont="1" applyFill="1" applyBorder="1" applyAlignment="1">
      <alignment horizontal="right" vertical="top" wrapText="1"/>
    </xf>
    <xf numFmtId="0" fontId="4" fillId="2" borderId="3" xfId="8" applyNumberFormat="1" applyFont="1" applyFill="1" applyBorder="1" applyAlignment="1">
      <alignment vertical="top"/>
    </xf>
    <xf numFmtId="0" fontId="4" fillId="2" borderId="4" xfId="8" applyNumberFormat="1" applyFont="1" applyFill="1" applyBorder="1" applyAlignment="1">
      <alignment vertical="top"/>
    </xf>
    <xf numFmtId="0" fontId="4" fillId="2" borderId="5" xfId="8" applyNumberFormat="1" applyFont="1" applyFill="1" applyBorder="1" applyAlignment="1">
      <alignment vertical="top"/>
    </xf>
    <xf numFmtId="0" fontId="4" fillId="2" borderId="4" xfId="8" applyNumberFormat="1" applyFont="1" applyFill="1" applyBorder="1" applyAlignment="1">
      <alignment horizontal="center" vertical="top"/>
    </xf>
    <xf numFmtId="0" fontId="4" fillId="2" borderId="6" xfId="8" applyNumberFormat="1" applyFont="1" applyFill="1" applyBorder="1" applyAlignment="1">
      <alignment horizontal="center" vertical="top"/>
    </xf>
    <xf numFmtId="0" fontId="4" fillId="2" borderId="7" xfId="8" applyNumberFormat="1" applyFont="1" applyFill="1" applyBorder="1" applyAlignment="1">
      <alignment vertical="top"/>
    </xf>
    <xf numFmtId="0" fontId="4" fillId="2" borderId="8" xfId="8" applyNumberFormat="1" applyFont="1" applyFill="1" applyBorder="1" applyAlignment="1">
      <alignment vertical="top"/>
    </xf>
    <xf numFmtId="0" fontId="4" fillId="2" borderId="9" xfId="8" applyNumberFormat="1" applyFont="1" applyFill="1" applyBorder="1" applyAlignment="1">
      <alignment vertical="top"/>
    </xf>
    <xf numFmtId="0" fontId="4" fillId="2" borderId="6" xfId="8" applyNumberFormat="1" applyFont="1" applyFill="1" applyBorder="1" applyAlignment="1">
      <alignment vertical="top"/>
    </xf>
    <xf numFmtId="0" fontId="4" fillId="2" borderId="10" xfId="8" applyNumberFormat="1" applyFont="1" applyFill="1" applyBorder="1" applyAlignment="1">
      <alignment vertical="top"/>
    </xf>
    <xf numFmtId="0" fontId="4" fillId="2" borderId="10" xfId="8" applyNumberFormat="1" applyFont="1" applyFill="1" applyBorder="1" applyAlignment="1">
      <alignment vertical="top"/>
    </xf>
    <xf numFmtId="0" fontId="4" fillId="2" borderId="11" xfId="8" applyNumberFormat="1" applyFont="1" applyFill="1" applyBorder="1" applyAlignment="1">
      <alignment vertical="top"/>
    </xf>
    <xf numFmtId="0" fontId="4" fillId="2" borderId="12" xfId="8" applyNumberFormat="1" applyFont="1" applyFill="1" applyBorder="1" applyAlignment="1">
      <alignment vertical="top"/>
    </xf>
    <xf numFmtId="0" fontId="5" fillId="0" borderId="1" xfId="8" applyNumberFormat="1" applyFont="1" applyBorder="1" applyAlignment="1">
      <alignment vertical="top"/>
    </xf>
    <xf numFmtId="0" fontId="5" fillId="0" borderId="1" xfId="8" applyNumberFormat="1" applyFont="1" applyBorder="1" applyAlignment="1">
      <alignment vertical="top" wrapText="1"/>
    </xf>
    <xf numFmtId="0" fontId="5" fillId="0" borderId="1" xfId="8" applyNumberFormat="1" applyFont="1" applyBorder="1" applyAlignment="1">
      <alignment horizontal="left" vertical="top"/>
    </xf>
    <xf numFmtId="4" fontId="5" fillId="0" borderId="1" xfId="8" applyNumberFormat="1" applyFont="1" applyBorder="1" applyAlignment="1">
      <alignment horizontal="right" vertical="top" wrapText="1"/>
    </xf>
    <xf numFmtId="0" fontId="5" fillId="0" borderId="14" xfId="8" applyNumberFormat="1" applyFont="1" applyBorder="1" applyAlignment="1">
      <alignment horizontal="right" vertical="top" wrapText="1"/>
    </xf>
    <xf numFmtId="0" fontId="5" fillId="0" borderId="13" xfId="8" applyNumberFormat="1" applyFont="1" applyBorder="1" applyAlignment="1">
      <alignment horizontal="center" vertical="top"/>
    </xf>
    <xf numFmtId="4" fontId="5" fillId="0" borderId="14" xfId="8" applyNumberFormat="1" applyFont="1" applyBorder="1" applyAlignment="1">
      <alignment horizontal="right" vertical="top" wrapText="1"/>
    </xf>
    <xf numFmtId="2" fontId="5" fillId="0" borderId="1" xfId="8" applyNumberFormat="1" applyFont="1" applyBorder="1" applyAlignment="1">
      <alignment horizontal="right" vertical="top" wrapText="1"/>
    </xf>
    <xf numFmtId="0" fontId="5" fillId="0" borderId="1" xfId="8" applyNumberFormat="1" applyFont="1" applyBorder="1" applyAlignment="1">
      <alignment horizontal="right" vertical="top" wrapText="1"/>
    </xf>
    <xf numFmtId="2" fontId="5" fillId="0" borderId="14" xfId="8" applyNumberFormat="1" applyFont="1" applyBorder="1" applyAlignment="1">
      <alignment horizontal="right" vertical="top" wrapText="1"/>
    </xf>
    <xf numFmtId="4" fontId="5" fillId="0" borderId="14" xfId="8" applyNumberFormat="1" applyFont="1" applyBorder="1" applyAlignment="1">
      <alignment horizontal="right" vertical="top" wrapText="1"/>
    </xf>
    <xf numFmtId="0" fontId="6" fillId="2" borderId="1" xfId="8" applyNumberFormat="1" applyFont="1" applyFill="1" applyBorder="1" applyAlignment="1">
      <alignment vertical="top"/>
    </xf>
    <xf numFmtId="4" fontId="6" fillId="2" borderId="1" xfId="8" applyNumberFormat="1" applyFont="1" applyFill="1" applyBorder="1" applyAlignment="1">
      <alignment horizontal="right" vertical="top" wrapText="1"/>
    </xf>
    <xf numFmtId="0" fontId="6" fillId="2" borderId="13" xfId="8" applyNumberFormat="1" applyFont="1" applyFill="1" applyBorder="1" applyAlignment="1">
      <alignment horizontal="center" vertical="top"/>
    </xf>
    <xf numFmtId="4" fontId="6" fillId="2" borderId="14" xfId="8" applyNumberFormat="1" applyFont="1" applyFill="1" applyBorder="1" applyAlignment="1">
      <alignment horizontal="right" vertical="top" wrapText="1"/>
    </xf>
    <xf numFmtId="0" fontId="4" fillId="2" borderId="3" xfId="9" applyNumberFormat="1" applyFont="1" applyFill="1" applyBorder="1" applyAlignment="1">
      <alignment vertical="top"/>
    </xf>
    <xf numFmtId="0" fontId="4" fillId="2" borderId="4" xfId="9" applyNumberFormat="1" applyFont="1" applyFill="1" applyBorder="1" applyAlignment="1">
      <alignment vertical="top"/>
    </xf>
    <xf numFmtId="0" fontId="4" fillId="2" borderId="5" xfId="9" applyNumberFormat="1" applyFont="1" applyFill="1" applyBorder="1" applyAlignment="1">
      <alignment vertical="top"/>
    </xf>
    <xf numFmtId="0" fontId="4" fillId="2" borderId="4" xfId="9" applyNumberFormat="1" applyFont="1" applyFill="1" applyBorder="1" applyAlignment="1">
      <alignment horizontal="center" vertical="top"/>
    </xf>
    <xf numFmtId="0" fontId="4" fillId="2" borderId="6" xfId="9" applyNumberFormat="1" applyFont="1" applyFill="1" applyBorder="1" applyAlignment="1">
      <alignment horizontal="center" vertical="top"/>
    </xf>
    <xf numFmtId="0" fontId="4" fillId="2" borderId="7" xfId="9" applyNumberFormat="1" applyFont="1" applyFill="1" applyBorder="1" applyAlignment="1">
      <alignment vertical="top"/>
    </xf>
    <xf numFmtId="0" fontId="4" fillId="2" borderId="8" xfId="9" applyNumberFormat="1" applyFont="1" applyFill="1" applyBorder="1" applyAlignment="1">
      <alignment vertical="top"/>
    </xf>
    <xf numFmtId="0" fontId="4" fillId="2" borderId="9" xfId="9" applyNumberFormat="1" applyFont="1" applyFill="1" applyBorder="1" applyAlignment="1">
      <alignment vertical="top"/>
    </xf>
    <xf numFmtId="0" fontId="4" fillId="2" borderId="6" xfId="9" applyNumberFormat="1" applyFont="1" applyFill="1" applyBorder="1" applyAlignment="1">
      <alignment vertical="top"/>
    </xf>
    <xf numFmtId="0" fontId="4" fillId="2" borderId="10" xfId="9" applyNumberFormat="1" applyFont="1" applyFill="1" applyBorder="1" applyAlignment="1">
      <alignment vertical="top"/>
    </xf>
    <xf numFmtId="0" fontId="4" fillId="2" borderId="10" xfId="9" applyNumberFormat="1" applyFont="1" applyFill="1" applyBorder="1" applyAlignment="1">
      <alignment vertical="top"/>
    </xf>
    <xf numFmtId="0" fontId="4" fillId="2" borderId="11" xfId="9" applyNumberFormat="1" applyFont="1" applyFill="1" applyBorder="1" applyAlignment="1">
      <alignment vertical="top"/>
    </xf>
    <xf numFmtId="0" fontId="4" fillId="2" borderId="12" xfId="9" applyNumberFormat="1" applyFont="1" applyFill="1" applyBorder="1" applyAlignment="1">
      <alignment vertical="top"/>
    </xf>
    <xf numFmtId="0" fontId="5" fillId="0" borderId="1" xfId="9" applyNumberFormat="1" applyFont="1" applyBorder="1" applyAlignment="1">
      <alignment vertical="top"/>
    </xf>
    <xf numFmtId="0" fontId="5" fillId="0" borderId="1" xfId="9" applyNumberFormat="1" applyFont="1" applyBorder="1" applyAlignment="1">
      <alignment vertical="top" wrapText="1"/>
    </xf>
    <xf numFmtId="0" fontId="5" fillId="0" borderId="1" xfId="9" applyNumberFormat="1" applyFont="1" applyBorder="1" applyAlignment="1">
      <alignment horizontal="left" vertical="top"/>
    </xf>
    <xf numFmtId="0" fontId="5" fillId="0" borderId="1" xfId="9" applyNumberFormat="1" applyFont="1" applyBorder="1" applyAlignment="1">
      <alignment horizontal="right" vertical="top" wrapText="1"/>
    </xf>
    <xf numFmtId="2" fontId="5" fillId="0" borderId="14" xfId="9" applyNumberFormat="1" applyFont="1" applyBorder="1" applyAlignment="1">
      <alignment horizontal="right" vertical="top" wrapText="1"/>
    </xf>
    <xf numFmtId="0" fontId="5" fillId="0" borderId="13" xfId="9" applyNumberFormat="1" applyFont="1" applyBorder="1" applyAlignment="1">
      <alignment horizontal="center" vertical="top"/>
    </xf>
    <xf numFmtId="0" fontId="5" fillId="0" borderId="14" xfId="9" applyNumberFormat="1" applyFont="1" applyBorder="1" applyAlignment="1">
      <alignment horizontal="right" vertical="top" wrapText="1"/>
    </xf>
    <xf numFmtId="0" fontId="6" fillId="2" borderId="1" xfId="9" applyNumberFormat="1" applyFont="1" applyFill="1" applyBorder="1" applyAlignment="1">
      <alignment vertical="top"/>
    </xf>
    <xf numFmtId="2" fontId="6" fillId="2" borderId="1" xfId="9" applyNumberFormat="1" applyFont="1" applyFill="1" applyBorder="1" applyAlignment="1">
      <alignment horizontal="right" vertical="top" wrapText="1"/>
    </xf>
    <xf numFmtId="0" fontId="6" fillId="2" borderId="13" xfId="9" applyNumberFormat="1" applyFont="1" applyFill="1" applyBorder="1" applyAlignment="1">
      <alignment horizontal="center" vertical="top"/>
    </xf>
    <xf numFmtId="2" fontId="6" fillId="2" borderId="14" xfId="9" applyNumberFormat="1" applyFont="1" applyFill="1" applyBorder="1" applyAlignment="1">
      <alignment horizontal="right" vertical="top" wrapText="1"/>
    </xf>
    <xf numFmtId="2" fontId="6" fillId="2" borderId="1" xfId="9" applyNumberFormat="1" applyFont="1" applyFill="1" applyBorder="1" applyAlignment="1">
      <alignment vertical="top" wrapText="1"/>
    </xf>
    <xf numFmtId="0" fontId="4" fillId="2" borderId="3" xfId="10" applyNumberFormat="1" applyFont="1" applyFill="1" applyBorder="1" applyAlignment="1">
      <alignment vertical="top"/>
    </xf>
    <xf numFmtId="0" fontId="4" fillId="2" borderId="4" xfId="10" applyNumberFormat="1" applyFont="1" applyFill="1" applyBorder="1" applyAlignment="1">
      <alignment vertical="top"/>
    </xf>
    <xf numFmtId="0" fontId="4" fillId="2" borderId="5" xfId="10" applyNumberFormat="1" applyFont="1" applyFill="1" applyBorder="1" applyAlignment="1">
      <alignment vertical="top"/>
    </xf>
    <xf numFmtId="0" fontId="4" fillId="2" borderId="4" xfId="10" applyNumberFormat="1" applyFont="1" applyFill="1" applyBorder="1" applyAlignment="1">
      <alignment horizontal="center" vertical="top"/>
    </xf>
    <xf numFmtId="0" fontId="4" fillId="2" borderId="6" xfId="10" applyNumberFormat="1" applyFont="1" applyFill="1" applyBorder="1" applyAlignment="1">
      <alignment horizontal="center" vertical="top"/>
    </xf>
    <xf numFmtId="0" fontId="4" fillId="2" borderId="7" xfId="10" applyNumberFormat="1" applyFont="1" applyFill="1" applyBorder="1" applyAlignment="1">
      <alignment vertical="top"/>
    </xf>
    <xf numFmtId="0" fontId="4" fillId="2" borderId="8" xfId="10" applyNumberFormat="1" applyFont="1" applyFill="1" applyBorder="1" applyAlignment="1">
      <alignment vertical="top"/>
    </xf>
    <xf numFmtId="0" fontId="4" fillId="2" borderId="9" xfId="10" applyNumberFormat="1" applyFont="1" applyFill="1" applyBorder="1" applyAlignment="1">
      <alignment vertical="top"/>
    </xf>
    <xf numFmtId="0" fontId="4" fillId="2" borderId="6" xfId="10" applyNumberFormat="1" applyFont="1" applyFill="1" applyBorder="1" applyAlignment="1">
      <alignment vertical="top"/>
    </xf>
    <xf numFmtId="0" fontId="4" fillId="2" borderId="10" xfId="10" applyNumberFormat="1" applyFont="1" applyFill="1" applyBorder="1" applyAlignment="1">
      <alignment vertical="top"/>
    </xf>
    <xf numFmtId="0" fontId="4" fillId="2" borderId="10" xfId="10" applyNumberFormat="1" applyFont="1" applyFill="1" applyBorder="1" applyAlignment="1">
      <alignment vertical="top"/>
    </xf>
    <xf numFmtId="0" fontId="4" fillId="2" borderId="11" xfId="10" applyNumberFormat="1" applyFont="1" applyFill="1" applyBorder="1" applyAlignment="1">
      <alignment vertical="top"/>
    </xf>
    <xf numFmtId="0" fontId="4" fillId="2" borderId="12" xfId="10" applyNumberFormat="1" applyFont="1" applyFill="1" applyBorder="1" applyAlignment="1">
      <alignment vertical="top"/>
    </xf>
    <xf numFmtId="0" fontId="5" fillId="0" borderId="1" xfId="10" applyNumberFormat="1" applyFont="1" applyBorder="1" applyAlignment="1">
      <alignment vertical="top"/>
    </xf>
    <xf numFmtId="0" fontId="5" fillId="0" borderId="1" xfId="10" applyNumberFormat="1" applyFont="1" applyBorder="1" applyAlignment="1">
      <alignment vertical="top" wrapText="1"/>
    </xf>
    <xf numFmtId="0" fontId="5" fillId="0" borderId="1" xfId="10" applyNumberFormat="1" applyFont="1" applyBorder="1" applyAlignment="1">
      <alignment horizontal="left" vertical="top"/>
    </xf>
    <xf numFmtId="4" fontId="5" fillId="0" borderId="1" xfId="10" applyNumberFormat="1" applyFont="1" applyBorder="1" applyAlignment="1">
      <alignment horizontal="right" vertical="top" wrapText="1"/>
    </xf>
    <xf numFmtId="0" fontId="5" fillId="0" borderId="14" xfId="10" applyNumberFormat="1" applyFont="1" applyBorder="1" applyAlignment="1">
      <alignment horizontal="right" vertical="top" wrapText="1"/>
    </xf>
    <xf numFmtId="0" fontId="5" fillId="0" borderId="13" xfId="10" applyNumberFormat="1" applyFont="1" applyBorder="1" applyAlignment="1">
      <alignment horizontal="center" vertical="top"/>
    </xf>
    <xf numFmtId="4" fontId="5" fillId="0" borderId="14" xfId="10" applyNumberFormat="1" applyFont="1" applyBorder="1" applyAlignment="1">
      <alignment horizontal="right" vertical="top" wrapText="1"/>
    </xf>
    <xf numFmtId="0" fontId="5" fillId="0" borderId="1" xfId="10" applyNumberFormat="1" applyFont="1" applyBorder="1" applyAlignment="1">
      <alignment horizontal="right" vertical="top" wrapText="1"/>
    </xf>
    <xf numFmtId="4" fontId="5" fillId="0" borderId="14" xfId="10" applyNumberFormat="1" applyFont="1" applyBorder="1" applyAlignment="1">
      <alignment horizontal="right" vertical="top" wrapText="1"/>
    </xf>
    <xf numFmtId="0" fontId="6" fillId="2" borderId="1" xfId="10" applyNumberFormat="1" applyFont="1" applyFill="1" applyBorder="1" applyAlignment="1">
      <alignment vertical="top"/>
    </xf>
    <xf numFmtId="4" fontId="6" fillId="2" borderId="1" xfId="10" applyNumberFormat="1" applyFont="1" applyFill="1" applyBorder="1" applyAlignment="1">
      <alignment horizontal="right" vertical="top" wrapText="1"/>
    </xf>
    <xf numFmtId="0" fontId="6" fillId="2" borderId="13" xfId="10" applyNumberFormat="1" applyFont="1" applyFill="1" applyBorder="1" applyAlignment="1">
      <alignment horizontal="center" vertical="top"/>
    </xf>
    <xf numFmtId="4" fontId="6" fillId="2" borderId="14" xfId="10" applyNumberFormat="1" applyFont="1" applyFill="1" applyBorder="1" applyAlignment="1">
      <alignment horizontal="right" vertical="top" wrapText="1"/>
    </xf>
    <xf numFmtId="0" fontId="4" fillId="2" borderId="3" xfId="11" applyNumberFormat="1" applyFont="1" applyFill="1" applyBorder="1" applyAlignment="1">
      <alignment vertical="top"/>
    </xf>
    <xf numFmtId="0" fontId="4" fillId="2" borderId="4" xfId="11" applyNumberFormat="1" applyFont="1" applyFill="1" applyBorder="1" applyAlignment="1">
      <alignment vertical="top"/>
    </xf>
    <xf numFmtId="0" fontId="4" fillId="2" borderId="5" xfId="11" applyNumberFormat="1" applyFont="1" applyFill="1" applyBorder="1" applyAlignment="1">
      <alignment vertical="top"/>
    </xf>
    <xf numFmtId="0" fontId="4" fillId="2" borderId="4" xfId="11" applyNumberFormat="1" applyFont="1" applyFill="1" applyBorder="1" applyAlignment="1">
      <alignment horizontal="center" vertical="top"/>
    </xf>
    <xf numFmtId="0" fontId="4" fillId="2" borderId="6" xfId="11" applyNumberFormat="1" applyFont="1" applyFill="1" applyBorder="1" applyAlignment="1">
      <alignment horizontal="center" vertical="top"/>
    </xf>
    <xf numFmtId="0" fontId="4" fillId="2" borderId="7" xfId="11" applyNumberFormat="1" applyFont="1" applyFill="1" applyBorder="1" applyAlignment="1">
      <alignment vertical="top"/>
    </xf>
    <xf numFmtId="0" fontId="4" fillId="2" borderId="8" xfId="11" applyNumberFormat="1" applyFont="1" applyFill="1" applyBorder="1" applyAlignment="1">
      <alignment vertical="top"/>
    </xf>
    <xf numFmtId="0" fontId="4" fillId="2" borderId="9" xfId="11" applyNumberFormat="1" applyFont="1" applyFill="1" applyBorder="1" applyAlignment="1">
      <alignment vertical="top"/>
    </xf>
    <xf numFmtId="0" fontId="4" fillId="2" borderId="6" xfId="11" applyNumberFormat="1" applyFont="1" applyFill="1" applyBorder="1" applyAlignment="1">
      <alignment vertical="top"/>
    </xf>
    <xf numFmtId="0" fontId="4" fillId="2" borderId="10" xfId="11" applyNumberFormat="1" applyFont="1" applyFill="1" applyBorder="1" applyAlignment="1">
      <alignment vertical="top"/>
    </xf>
    <xf numFmtId="0" fontId="4" fillId="2" borderId="10" xfId="11" applyNumberFormat="1" applyFont="1" applyFill="1" applyBorder="1" applyAlignment="1">
      <alignment vertical="top"/>
    </xf>
    <xf numFmtId="0" fontId="4" fillId="2" borderId="11" xfId="11" applyNumberFormat="1" applyFont="1" applyFill="1" applyBorder="1" applyAlignment="1">
      <alignment vertical="top"/>
    </xf>
    <xf numFmtId="0" fontId="4" fillId="2" borderId="12" xfId="11" applyNumberFormat="1" applyFont="1" applyFill="1" applyBorder="1" applyAlignment="1">
      <alignment vertical="top"/>
    </xf>
    <xf numFmtId="0" fontId="5" fillId="0" borderId="1" xfId="11" applyNumberFormat="1" applyFont="1" applyBorder="1" applyAlignment="1">
      <alignment vertical="top"/>
    </xf>
    <xf numFmtId="0" fontId="5" fillId="0" borderId="1" xfId="11" applyNumberFormat="1" applyFont="1" applyBorder="1" applyAlignment="1">
      <alignment vertical="top" wrapText="1"/>
    </xf>
    <xf numFmtId="0" fontId="5" fillId="0" borderId="1" xfId="11" applyNumberFormat="1" applyFont="1" applyBorder="1" applyAlignment="1">
      <alignment horizontal="left" vertical="top"/>
    </xf>
    <xf numFmtId="4" fontId="5" fillId="0" borderId="1" xfId="11" applyNumberFormat="1" applyFont="1" applyBorder="1" applyAlignment="1">
      <alignment horizontal="right" vertical="top" wrapText="1"/>
    </xf>
    <xf numFmtId="0" fontId="5" fillId="0" borderId="14" xfId="11" applyNumberFormat="1" applyFont="1" applyBorder="1" applyAlignment="1">
      <alignment horizontal="right" vertical="top" wrapText="1"/>
    </xf>
    <xf numFmtId="0" fontId="5" fillId="0" borderId="13" xfId="11" applyNumberFormat="1" applyFont="1" applyBorder="1" applyAlignment="1">
      <alignment horizontal="center" vertical="top"/>
    </xf>
    <xf numFmtId="4" fontId="5" fillId="0" borderId="14" xfId="11" applyNumberFormat="1" applyFont="1" applyBorder="1" applyAlignment="1">
      <alignment horizontal="right" vertical="top" wrapText="1"/>
    </xf>
    <xf numFmtId="2" fontId="5" fillId="0" borderId="1" xfId="11" applyNumberFormat="1" applyFont="1" applyBorder="1" applyAlignment="1">
      <alignment horizontal="right" vertical="top" wrapText="1"/>
    </xf>
    <xf numFmtId="0" fontId="5" fillId="0" borderId="1" xfId="11" applyNumberFormat="1" applyFont="1" applyBorder="1" applyAlignment="1">
      <alignment horizontal="right" vertical="top" wrapText="1"/>
    </xf>
    <xf numFmtId="4" fontId="5" fillId="0" borderId="14" xfId="11" applyNumberFormat="1" applyFont="1" applyBorder="1" applyAlignment="1">
      <alignment horizontal="right" vertical="top" wrapText="1"/>
    </xf>
    <xf numFmtId="2" fontId="5" fillId="0" borderId="14" xfId="11" applyNumberFormat="1" applyFont="1" applyBorder="1" applyAlignment="1">
      <alignment horizontal="right" vertical="top" wrapText="1"/>
    </xf>
    <xf numFmtId="0" fontId="6" fillId="2" borderId="1" xfId="11" applyNumberFormat="1" applyFont="1" applyFill="1" applyBorder="1" applyAlignment="1">
      <alignment vertical="top"/>
    </xf>
    <xf numFmtId="4" fontId="6" fillId="2" borderId="1" xfId="11" applyNumberFormat="1" applyFont="1" applyFill="1" applyBorder="1" applyAlignment="1">
      <alignment horizontal="right" vertical="top" wrapText="1"/>
    </xf>
    <xf numFmtId="0" fontId="6" fillId="2" borderId="13" xfId="11" applyNumberFormat="1" applyFont="1" applyFill="1" applyBorder="1" applyAlignment="1">
      <alignment horizontal="center" vertical="top"/>
    </xf>
    <xf numFmtId="4" fontId="6" fillId="2" borderId="14" xfId="11" applyNumberFormat="1" applyFont="1" applyFill="1" applyBorder="1" applyAlignment="1">
      <alignment horizontal="right" vertical="top" wrapText="1"/>
    </xf>
    <xf numFmtId="0" fontId="4" fillId="2" borderId="3" xfId="12" applyNumberFormat="1" applyFont="1" applyFill="1" applyBorder="1" applyAlignment="1">
      <alignment vertical="top"/>
    </xf>
    <xf numFmtId="0" fontId="4" fillId="2" borderId="4" xfId="12" applyNumberFormat="1" applyFont="1" applyFill="1" applyBorder="1" applyAlignment="1">
      <alignment vertical="top"/>
    </xf>
    <xf numFmtId="0" fontId="4" fillId="2" borderId="5" xfId="12" applyNumberFormat="1" applyFont="1" applyFill="1" applyBorder="1" applyAlignment="1">
      <alignment vertical="top"/>
    </xf>
    <xf numFmtId="0" fontId="4" fillId="2" borderId="4" xfId="12" applyNumberFormat="1" applyFont="1" applyFill="1" applyBorder="1" applyAlignment="1">
      <alignment horizontal="center" vertical="top"/>
    </xf>
    <xf numFmtId="0" fontId="4" fillId="2" borderId="6" xfId="12" applyNumberFormat="1" applyFont="1" applyFill="1" applyBorder="1" applyAlignment="1">
      <alignment horizontal="center" vertical="top"/>
    </xf>
    <xf numFmtId="0" fontId="4" fillId="2" borderId="7" xfId="12" applyNumberFormat="1" applyFont="1" applyFill="1" applyBorder="1" applyAlignment="1">
      <alignment vertical="top"/>
    </xf>
    <xf numFmtId="0" fontId="4" fillId="2" borderId="8" xfId="12" applyNumberFormat="1" applyFont="1" applyFill="1" applyBorder="1" applyAlignment="1">
      <alignment vertical="top"/>
    </xf>
    <xf numFmtId="0" fontId="4" fillId="2" borderId="9" xfId="12" applyNumberFormat="1" applyFont="1" applyFill="1" applyBorder="1" applyAlignment="1">
      <alignment vertical="top"/>
    </xf>
    <xf numFmtId="0" fontId="4" fillId="2" borderId="6" xfId="12" applyNumberFormat="1" applyFont="1" applyFill="1" applyBorder="1" applyAlignment="1">
      <alignment vertical="top"/>
    </xf>
    <xf numFmtId="0" fontId="4" fillId="2" borderId="10" xfId="12" applyNumberFormat="1" applyFont="1" applyFill="1" applyBorder="1" applyAlignment="1">
      <alignment vertical="top"/>
    </xf>
    <xf numFmtId="0" fontId="4" fillId="2" borderId="10" xfId="12" applyNumberFormat="1" applyFont="1" applyFill="1" applyBorder="1" applyAlignment="1">
      <alignment vertical="top"/>
    </xf>
    <xf numFmtId="0" fontId="4" fillId="2" borderId="11" xfId="12" applyNumberFormat="1" applyFont="1" applyFill="1" applyBorder="1" applyAlignment="1">
      <alignment vertical="top"/>
    </xf>
    <xf numFmtId="0" fontId="4" fillId="2" borderId="12" xfId="12" applyNumberFormat="1" applyFont="1" applyFill="1" applyBorder="1" applyAlignment="1">
      <alignment vertical="top"/>
    </xf>
    <xf numFmtId="0" fontId="5" fillId="0" borderId="1" xfId="12" applyNumberFormat="1" applyFont="1" applyBorder="1" applyAlignment="1">
      <alignment vertical="top"/>
    </xf>
    <xf numFmtId="0" fontId="5" fillId="0" borderId="1" xfId="12" applyNumberFormat="1" applyFont="1" applyBorder="1" applyAlignment="1">
      <alignment vertical="top" wrapText="1"/>
    </xf>
    <xf numFmtId="0" fontId="5" fillId="0" borderId="1" xfId="12" applyNumberFormat="1" applyFont="1" applyBorder="1" applyAlignment="1">
      <alignment horizontal="left" vertical="top"/>
    </xf>
    <xf numFmtId="4" fontId="5" fillId="0" borderId="1" xfId="12" applyNumberFormat="1" applyFont="1" applyBorder="1" applyAlignment="1">
      <alignment horizontal="right" vertical="top" wrapText="1"/>
    </xf>
    <xf numFmtId="0" fontId="5" fillId="0" borderId="14" xfId="12" applyNumberFormat="1" applyFont="1" applyBorder="1" applyAlignment="1">
      <alignment horizontal="right" vertical="top" wrapText="1"/>
    </xf>
    <xf numFmtId="0" fontId="5" fillId="0" borderId="13" xfId="12" applyNumberFormat="1" applyFont="1" applyBorder="1" applyAlignment="1">
      <alignment horizontal="center" vertical="top"/>
    </xf>
    <xf numFmtId="4" fontId="5" fillId="0" borderId="14" xfId="12" applyNumberFormat="1" applyFont="1" applyBorder="1" applyAlignment="1">
      <alignment horizontal="right" vertical="top" wrapText="1"/>
    </xf>
    <xf numFmtId="0" fontId="5" fillId="0" borderId="1" xfId="12" applyNumberFormat="1" applyFont="1" applyBorder="1" applyAlignment="1">
      <alignment horizontal="right" vertical="top" wrapText="1"/>
    </xf>
    <xf numFmtId="4" fontId="5" fillId="0" borderId="14" xfId="12" applyNumberFormat="1" applyFont="1" applyBorder="1" applyAlignment="1">
      <alignment horizontal="right" vertical="top" wrapText="1"/>
    </xf>
    <xf numFmtId="2" fontId="5" fillId="0" borderId="1" xfId="12" applyNumberFormat="1" applyFont="1" applyBorder="1" applyAlignment="1">
      <alignment horizontal="right" vertical="top" wrapText="1"/>
    </xf>
    <xf numFmtId="2" fontId="5" fillId="0" borderId="14" xfId="12" applyNumberFormat="1" applyFont="1" applyBorder="1" applyAlignment="1">
      <alignment horizontal="right" vertical="top" wrapText="1"/>
    </xf>
    <xf numFmtId="0" fontId="6" fillId="2" borderId="1" xfId="12" applyNumberFormat="1" applyFont="1" applyFill="1" applyBorder="1" applyAlignment="1">
      <alignment vertical="top"/>
    </xf>
    <xf numFmtId="4" fontId="6" fillId="2" borderId="1" xfId="12" applyNumberFormat="1" applyFont="1" applyFill="1" applyBorder="1" applyAlignment="1">
      <alignment horizontal="right" vertical="top" wrapText="1"/>
    </xf>
    <xf numFmtId="0" fontId="6" fillId="2" borderId="13" xfId="12" applyNumberFormat="1" applyFont="1" applyFill="1" applyBorder="1" applyAlignment="1">
      <alignment horizontal="center" vertical="top"/>
    </xf>
    <xf numFmtId="4" fontId="6" fillId="2" borderId="14" xfId="12" applyNumberFormat="1" applyFont="1" applyFill="1" applyBorder="1" applyAlignment="1">
      <alignment horizontal="right" vertical="top" wrapText="1"/>
    </xf>
    <xf numFmtId="0" fontId="4" fillId="2" borderId="3" xfId="13" applyNumberFormat="1" applyFont="1" applyFill="1" applyBorder="1" applyAlignment="1">
      <alignment vertical="top"/>
    </xf>
    <xf numFmtId="0" fontId="4" fillId="2" borderId="4" xfId="13" applyNumberFormat="1" applyFont="1" applyFill="1" applyBorder="1" applyAlignment="1">
      <alignment vertical="top"/>
    </xf>
    <xf numFmtId="0" fontId="4" fillId="2" borderId="5" xfId="13" applyNumberFormat="1" applyFont="1" applyFill="1" applyBorder="1" applyAlignment="1">
      <alignment vertical="top"/>
    </xf>
    <xf numFmtId="0" fontId="4" fillId="2" borderId="4" xfId="13" applyNumberFormat="1" applyFont="1" applyFill="1" applyBorder="1" applyAlignment="1">
      <alignment horizontal="center" vertical="top"/>
    </xf>
    <xf numFmtId="0" fontId="4" fillId="2" borderId="6" xfId="13" applyNumberFormat="1" applyFont="1" applyFill="1" applyBorder="1" applyAlignment="1">
      <alignment horizontal="center" vertical="top"/>
    </xf>
    <xf numFmtId="0" fontId="4" fillId="2" borderId="7" xfId="13" applyNumberFormat="1" applyFont="1" applyFill="1" applyBorder="1" applyAlignment="1">
      <alignment vertical="top"/>
    </xf>
    <xf numFmtId="0" fontId="4" fillId="2" borderId="8" xfId="13" applyNumberFormat="1" applyFont="1" applyFill="1" applyBorder="1" applyAlignment="1">
      <alignment vertical="top"/>
    </xf>
    <xf numFmtId="0" fontId="4" fillId="2" borderId="9" xfId="13" applyNumberFormat="1" applyFont="1" applyFill="1" applyBorder="1" applyAlignment="1">
      <alignment vertical="top"/>
    </xf>
    <xf numFmtId="0" fontId="4" fillId="2" borderId="6" xfId="13" applyNumberFormat="1" applyFont="1" applyFill="1" applyBorder="1" applyAlignment="1">
      <alignment vertical="top"/>
    </xf>
    <xf numFmtId="0" fontId="4" fillId="2" borderId="10" xfId="13" applyNumberFormat="1" applyFont="1" applyFill="1" applyBorder="1" applyAlignment="1">
      <alignment vertical="top"/>
    </xf>
    <xf numFmtId="0" fontId="4" fillId="2" borderId="10" xfId="13" applyNumberFormat="1" applyFont="1" applyFill="1" applyBorder="1" applyAlignment="1">
      <alignment vertical="top"/>
    </xf>
    <xf numFmtId="0" fontId="4" fillId="2" borderId="11" xfId="13" applyNumberFormat="1" applyFont="1" applyFill="1" applyBorder="1" applyAlignment="1">
      <alignment vertical="top"/>
    </xf>
    <xf numFmtId="0" fontId="4" fillId="2" borderId="12" xfId="13" applyNumberFormat="1" applyFont="1" applyFill="1" applyBorder="1" applyAlignment="1">
      <alignment vertical="top"/>
    </xf>
    <xf numFmtId="0" fontId="5" fillId="0" borderId="1" xfId="13" applyNumberFormat="1" applyFont="1" applyBorder="1" applyAlignment="1">
      <alignment vertical="top"/>
    </xf>
    <xf numFmtId="0" fontId="5" fillId="0" borderId="1" xfId="13" applyNumberFormat="1" applyFont="1" applyBorder="1" applyAlignment="1">
      <alignment vertical="top" wrapText="1"/>
    </xf>
    <xf numFmtId="0" fontId="5" fillId="0" borderId="1" xfId="13" applyNumberFormat="1" applyFont="1" applyBorder="1" applyAlignment="1">
      <alignment horizontal="left" vertical="top"/>
    </xf>
    <xf numFmtId="0" fontId="5" fillId="0" borderId="1" xfId="13" applyNumberFormat="1" applyFont="1" applyBorder="1" applyAlignment="1">
      <alignment horizontal="right" vertical="top" wrapText="1"/>
    </xf>
    <xf numFmtId="4" fontId="5" fillId="0" borderId="14" xfId="13" applyNumberFormat="1" applyFont="1" applyBorder="1" applyAlignment="1">
      <alignment horizontal="right" vertical="top" wrapText="1"/>
    </xf>
    <xf numFmtId="0" fontId="5" fillId="0" borderId="13" xfId="13" applyNumberFormat="1" applyFont="1" applyBorder="1" applyAlignment="1">
      <alignment horizontal="center" vertical="top"/>
    </xf>
    <xf numFmtId="4" fontId="5" fillId="0" borderId="14" xfId="13" applyNumberFormat="1" applyFont="1" applyBorder="1" applyAlignment="1">
      <alignment horizontal="right" vertical="top" wrapText="1"/>
    </xf>
    <xf numFmtId="2" fontId="5" fillId="0" borderId="14" xfId="13" applyNumberFormat="1" applyFont="1" applyBorder="1" applyAlignment="1">
      <alignment horizontal="right" vertical="top" wrapText="1"/>
    </xf>
    <xf numFmtId="4" fontId="5" fillId="0" borderId="1" xfId="13" applyNumberFormat="1" applyFont="1" applyBorder="1" applyAlignment="1">
      <alignment horizontal="right" vertical="top" wrapText="1"/>
    </xf>
    <xf numFmtId="0" fontId="5" fillId="0" borderId="14" xfId="13" applyNumberFormat="1" applyFont="1" applyBorder="1" applyAlignment="1">
      <alignment horizontal="right" vertical="top" wrapText="1"/>
    </xf>
    <xf numFmtId="2" fontId="5" fillId="0" borderId="1" xfId="13" applyNumberFormat="1" applyFont="1" applyBorder="1" applyAlignment="1">
      <alignment horizontal="right" vertical="top" wrapText="1"/>
    </xf>
    <xf numFmtId="0" fontId="6" fillId="2" borderId="1" xfId="13" applyNumberFormat="1" applyFont="1" applyFill="1" applyBorder="1" applyAlignment="1">
      <alignment vertical="top"/>
    </xf>
    <xf numFmtId="4" fontId="6" fillId="2" borderId="1" xfId="13" applyNumberFormat="1" applyFont="1" applyFill="1" applyBorder="1" applyAlignment="1">
      <alignment horizontal="right" vertical="top" wrapText="1"/>
    </xf>
    <xf numFmtId="0" fontId="6" fillId="2" borderId="13" xfId="13" applyNumberFormat="1" applyFont="1" applyFill="1" applyBorder="1" applyAlignment="1">
      <alignment horizontal="center" vertical="top"/>
    </xf>
    <xf numFmtId="4" fontId="6" fillId="2" borderId="14" xfId="13" applyNumberFormat="1" applyFont="1" applyFill="1" applyBorder="1" applyAlignment="1">
      <alignment horizontal="right" vertical="top" wrapText="1"/>
    </xf>
    <xf numFmtId="0" fontId="4" fillId="2" borderId="3" xfId="14" applyNumberFormat="1" applyFont="1" applyFill="1" applyBorder="1" applyAlignment="1">
      <alignment vertical="top"/>
    </xf>
    <xf numFmtId="0" fontId="4" fillId="2" borderId="4" xfId="14" applyNumberFormat="1" applyFont="1" applyFill="1" applyBorder="1" applyAlignment="1">
      <alignment vertical="top"/>
    </xf>
    <xf numFmtId="0" fontId="4" fillId="2" borderId="5" xfId="14" applyNumberFormat="1" applyFont="1" applyFill="1" applyBorder="1" applyAlignment="1">
      <alignment vertical="top"/>
    </xf>
    <xf numFmtId="0" fontId="4" fillId="2" borderId="4" xfId="14" applyNumberFormat="1" applyFont="1" applyFill="1" applyBorder="1" applyAlignment="1">
      <alignment horizontal="center" vertical="top"/>
    </xf>
    <xf numFmtId="0" fontId="4" fillId="2" borderId="6" xfId="14" applyNumberFormat="1" applyFont="1" applyFill="1" applyBorder="1" applyAlignment="1">
      <alignment horizontal="center" vertical="top"/>
    </xf>
    <xf numFmtId="0" fontId="4" fillId="2" borderId="7" xfId="14" applyNumberFormat="1" applyFont="1" applyFill="1" applyBorder="1" applyAlignment="1">
      <alignment vertical="top"/>
    </xf>
    <xf numFmtId="0" fontId="4" fillId="2" borderId="8" xfId="14" applyNumberFormat="1" applyFont="1" applyFill="1" applyBorder="1" applyAlignment="1">
      <alignment vertical="top"/>
    </xf>
    <xf numFmtId="0" fontId="4" fillId="2" borderId="9" xfId="14" applyNumberFormat="1" applyFont="1" applyFill="1" applyBorder="1" applyAlignment="1">
      <alignment vertical="top"/>
    </xf>
    <xf numFmtId="0" fontId="4" fillId="2" borderId="6" xfId="14" applyNumberFormat="1" applyFont="1" applyFill="1" applyBorder="1" applyAlignment="1">
      <alignment vertical="top"/>
    </xf>
    <xf numFmtId="0" fontId="4" fillId="2" borderId="10" xfId="14" applyNumberFormat="1" applyFont="1" applyFill="1" applyBorder="1" applyAlignment="1">
      <alignment vertical="top"/>
    </xf>
    <xf numFmtId="0" fontId="4" fillId="2" borderId="10" xfId="14" applyNumberFormat="1" applyFont="1" applyFill="1" applyBorder="1" applyAlignment="1">
      <alignment vertical="top"/>
    </xf>
    <xf numFmtId="0" fontId="4" fillId="2" borderId="11" xfId="14" applyNumberFormat="1" applyFont="1" applyFill="1" applyBorder="1" applyAlignment="1">
      <alignment vertical="top"/>
    </xf>
    <xf numFmtId="0" fontId="4" fillId="2" borderId="12" xfId="14" applyNumberFormat="1" applyFont="1" applyFill="1" applyBorder="1" applyAlignment="1">
      <alignment vertical="top"/>
    </xf>
    <xf numFmtId="0" fontId="5" fillId="0" borderId="1" xfId="14" applyNumberFormat="1" applyFont="1" applyBorder="1" applyAlignment="1">
      <alignment vertical="top"/>
    </xf>
    <xf numFmtId="0" fontId="5" fillId="0" borderId="1" xfId="14" applyNumberFormat="1" applyFont="1" applyBorder="1" applyAlignment="1">
      <alignment vertical="top" wrapText="1"/>
    </xf>
    <xf numFmtId="0" fontId="5" fillId="0" borderId="1" xfId="14" applyNumberFormat="1" applyFont="1" applyBorder="1" applyAlignment="1">
      <alignment horizontal="left" vertical="top"/>
    </xf>
    <xf numFmtId="4" fontId="5" fillId="0" borderId="1" xfId="14" applyNumberFormat="1" applyFont="1" applyBorder="1" applyAlignment="1">
      <alignment horizontal="right" vertical="top" wrapText="1"/>
    </xf>
    <xf numFmtId="0" fontId="5" fillId="0" borderId="14" xfId="14" applyNumberFormat="1" applyFont="1" applyBorder="1" applyAlignment="1">
      <alignment horizontal="right" vertical="top" wrapText="1"/>
    </xf>
    <xf numFmtId="0" fontId="5" fillId="0" borderId="13" xfId="14" applyNumberFormat="1" applyFont="1" applyBorder="1" applyAlignment="1">
      <alignment horizontal="center" vertical="top"/>
    </xf>
    <xf numFmtId="4" fontId="5" fillId="0" borderId="14" xfId="14" applyNumberFormat="1" applyFont="1" applyBorder="1" applyAlignment="1">
      <alignment horizontal="right" vertical="top" wrapText="1"/>
    </xf>
    <xf numFmtId="0" fontId="5" fillId="0" borderId="1" xfId="14" applyNumberFormat="1" applyFont="1" applyBorder="1" applyAlignment="1">
      <alignment horizontal="right" vertical="top" wrapText="1"/>
    </xf>
    <xf numFmtId="4" fontId="5" fillId="0" borderId="14" xfId="14" applyNumberFormat="1" applyFont="1" applyBorder="1" applyAlignment="1">
      <alignment horizontal="right" vertical="top" wrapText="1"/>
    </xf>
    <xf numFmtId="0" fontId="6" fillId="2" borderId="1" xfId="14" applyNumberFormat="1" applyFont="1" applyFill="1" applyBorder="1" applyAlignment="1">
      <alignment vertical="top"/>
    </xf>
    <xf numFmtId="4" fontId="6" fillId="2" borderId="1" xfId="14" applyNumberFormat="1" applyFont="1" applyFill="1" applyBorder="1" applyAlignment="1">
      <alignment horizontal="right" vertical="top" wrapText="1"/>
    </xf>
    <xf numFmtId="0" fontId="6" fillId="2" borderId="13" xfId="14" applyNumberFormat="1" applyFont="1" applyFill="1" applyBorder="1" applyAlignment="1">
      <alignment horizontal="center" vertical="top"/>
    </xf>
    <xf numFmtId="4" fontId="6" fillId="2" borderId="14" xfId="14" applyNumberFormat="1" applyFont="1" applyFill="1" applyBorder="1" applyAlignment="1">
      <alignment horizontal="right" vertical="top" wrapText="1"/>
    </xf>
    <xf numFmtId="0" fontId="4" fillId="2" borderId="3" xfId="15" applyNumberFormat="1" applyFont="1" applyFill="1" applyBorder="1" applyAlignment="1">
      <alignment vertical="top"/>
    </xf>
    <xf numFmtId="0" fontId="4" fillId="2" borderId="4" xfId="15" applyNumberFormat="1" applyFont="1" applyFill="1" applyBorder="1" applyAlignment="1">
      <alignment vertical="top"/>
    </xf>
    <xf numFmtId="0" fontId="4" fillId="2" borderId="5" xfId="15" applyNumberFormat="1" applyFont="1" applyFill="1" applyBorder="1" applyAlignment="1">
      <alignment vertical="top"/>
    </xf>
    <xf numFmtId="0" fontId="4" fillId="2" borderId="4" xfId="15" applyNumberFormat="1" applyFont="1" applyFill="1" applyBorder="1" applyAlignment="1">
      <alignment horizontal="center" vertical="top"/>
    </xf>
    <xf numFmtId="0" fontId="4" fillId="2" borderId="6" xfId="15" applyNumberFormat="1" applyFont="1" applyFill="1" applyBorder="1" applyAlignment="1">
      <alignment horizontal="center" vertical="top"/>
    </xf>
    <xf numFmtId="0" fontId="4" fillId="2" borderId="7" xfId="15" applyNumberFormat="1" applyFont="1" applyFill="1" applyBorder="1" applyAlignment="1">
      <alignment vertical="top"/>
    </xf>
    <xf numFmtId="0" fontId="4" fillId="2" borderId="8" xfId="15" applyNumberFormat="1" applyFont="1" applyFill="1" applyBorder="1" applyAlignment="1">
      <alignment vertical="top"/>
    </xf>
    <xf numFmtId="0" fontId="4" fillId="2" borderId="9" xfId="15" applyNumberFormat="1" applyFont="1" applyFill="1" applyBorder="1" applyAlignment="1">
      <alignment vertical="top"/>
    </xf>
    <xf numFmtId="0" fontId="4" fillId="2" borderId="6" xfId="15" applyNumberFormat="1" applyFont="1" applyFill="1" applyBorder="1" applyAlignment="1">
      <alignment vertical="top"/>
    </xf>
    <xf numFmtId="0" fontId="4" fillId="2" borderId="10" xfId="15" applyNumberFormat="1" applyFont="1" applyFill="1" applyBorder="1" applyAlignment="1">
      <alignment vertical="top"/>
    </xf>
    <xf numFmtId="0" fontId="4" fillId="2" borderId="10" xfId="15" applyNumberFormat="1" applyFont="1" applyFill="1" applyBorder="1" applyAlignment="1">
      <alignment vertical="top"/>
    </xf>
    <xf numFmtId="0" fontId="4" fillId="2" borderId="11" xfId="15" applyNumberFormat="1" applyFont="1" applyFill="1" applyBorder="1" applyAlignment="1">
      <alignment vertical="top"/>
    </xf>
    <xf numFmtId="0" fontId="4" fillId="2" borderId="12" xfId="15" applyNumberFormat="1" applyFont="1" applyFill="1" applyBorder="1" applyAlignment="1">
      <alignment vertical="top"/>
    </xf>
    <xf numFmtId="0" fontId="5" fillId="0" borderId="1" xfId="15" applyNumberFormat="1" applyFont="1" applyBorder="1" applyAlignment="1">
      <alignment vertical="top"/>
    </xf>
    <xf numFmtId="0" fontId="5" fillId="0" borderId="1" xfId="15" applyNumberFormat="1" applyFont="1" applyBorder="1" applyAlignment="1">
      <alignment vertical="top" wrapText="1"/>
    </xf>
    <xf numFmtId="0" fontId="5" fillId="0" borderId="1" xfId="15" applyNumberFormat="1" applyFont="1" applyBorder="1" applyAlignment="1">
      <alignment horizontal="left" vertical="top"/>
    </xf>
    <xf numFmtId="4" fontId="5" fillId="0" borderId="1" xfId="15" applyNumberFormat="1" applyFont="1" applyBorder="1" applyAlignment="1">
      <alignment horizontal="right" vertical="top" wrapText="1"/>
    </xf>
    <xf numFmtId="0" fontId="5" fillId="0" borderId="14" xfId="15" applyNumberFormat="1" applyFont="1" applyBorder="1" applyAlignment="1">
      <alignment horizontal="right" vertical="top" wrapText="1"/>
    </xf>
    <xf numFmtId="0" fontId="5" fillId="0" borderId="13" xfId="15" applyNumberFormat="1" applyFont="1" applyBorder="1" applyAlignment="1">
      <alignment horizontal="center" vertical="top"/>
    </xf>
    <xf numFmtId="4" fontId="5" fillId="0" borderId="14" xfId="15" applyNumberFormat="1" applyFont="1" applyBorder="1" applyAlignment="1">
      <alignment horizontal="right" vertical="top" wrapText="1"/>
    </xf>
    <xf numFmtId="0" fontId="5" fillId="0" borderId="1" xfId="15" applyNumberFormat="1" applyFont="1" applyBorder="1" applyAlignment="1">
      <alignment horizontal="right" vertical="top" wrapText="1"/>
    </xf>
    <xf numFmtId="2" fontId="5" fillId="0" borderId="14" xfId="15" applyNumberFormat="1" applyFont="1" applyBorder="1" applyAlignment="1">
      <alignment horizontal="right" vertical="top" wrapText="1"/>
    </xf>
    <xf numFmtId="4" fontId="5" fillId="0" borderId="14" xfId="15" applyNumberFormat="1" applyFont="1" applyBorder="1" applyAlignment="1">
      <alignment horizontal="right" vertical="top" wrapText="1"/>
    </xf>
    <xf numFmtId="2" fontId="5" fillId="0" borderId="1" xfId="15" applyNumberFormat="1" applyFont="1" applyBorder="1" applyAlignment="1">
      <alignment horizontal="right" vertical="top" wrapText="1"/>
    </xf>
    <xf numFmtId="2" fontId="7" fillId="0" borderId="14" xfId="15" applyNumberFormat="1" applyFont="1" applyBorder="1" applyAlignment="1">
      <alignment horizontal="right" vertical="top" wrapText="1"/>
    </xf>
    <xf numFmtId="0" fontId="6" fillId="2" borderId="1" xfId="15" applyNumberFormat="1" applyFont="1" applyFill="1" applyBorder="1" applyAlignment="1">
      <alignment vertical="top"/>
    </xf>
    <xf numFmtId="4" fontId="6" fillId="2" borderId="1" xfId="15" applyNumberFormat="1" applyFont="1" applyFill="1" applyBorder="1" applyAlignment="1">
      <alignment horizontal="right" vertical="top" wrapText="1"/>
    </xf>
    <xf numFmtId="0" fontId="6" fillId="2" borderId="13" xfId="15" applyNumberFormat="1" applyFont="1" applyFill="1" applyBorder="1" applyAlignment="1">
      <alignment horizontal="center" vertical="top"/>
    </xf>
    <xf numFmtId="4" fontId="6" fillId="2" borderId="14" xfId="15" applyNumberFormat="1" applyFont="1" applyFill="1" applyBorder="1" applyAlignment="1">
      <alignment horizontal="right" vertical="top" wrapText="1"/>
    </xf>
    <xf numFmtId="2" fontId="0" fillId="0" borderId="0" xfId="0" applyNumberFormat="1"/>
    <xf numFmtId="4" fontId="1" fillId="0" borderId="2" xfId="0" applyNumberFormat="1" applyFont="1" applyBorder="1"/>
  </cellXfs>
  <cellStyles count="16">
    <cellStyle name="Обычный" xfId="0" builtinId="0"/>
    <cellStyle name="Обычный_Sheet1" xfId="1" xr:uid="{2F523583-E222-43D2-92E8-EA95ED6ED99B}"/>
    <cellStyle name="Обычный_АПК" xfId="2" xr:uid="{814ECA3A-FA49-4A2E-A415-062C729A45E6}"/>
    <cellStyle name="Обычный_Генплан благоустрій" xfId="3" xr:uid="{A9D1F30B-DD0C-47B9-8F06-70806AA3F70C}"/>
    <cellStyle name="Обычный_Генплан митний склад" xfId="4" xr:uid="{788F1FA9-58BC-49FA-95D8-CA4B813FDD02}"/>
    <cellStyle name="Обычный_Генплан підпірна стінка" xfId="5" xr:uid="{CAD6DFCF-6CED-4B78-8EA2-CAE9D6D0B8DA}"/>
    <cellStyle name="Обычный_Глобине-2" xfId="6" xr:uid="{C71F94A8-E52C-4C25-970C-CB3EF2A137E0}"/>
    <cellStyle name="Обычный_зберігання в бігбегах" xfId="11" xr:uid="{2D87C318-BDC5-435E-9D07-C99AE8E94BEC}"/>
    <cellStyle name="Обычный_зберігання розчинника" xfId="12" xr:uid="{439F58A1-FC9F-4CCC-879C-AFC14E42A882}"/>
    <cellStyle name="Обычный_Котельна" xfId="7" xr:uid="{48EAD911-F5C9-40C9-A93E-B7CD61E3B63C}"/>
    <cellStyle name="Обычный_Насосна Градирня" xfId="8" xr:uid="{2CB80B2C-36B0-426E-9976-13418CF08524}"/>
    <cellStyle name="Обычный_Підготовчі роботи та тимчасові" xfId="9" xr:uid="{E1F58F1A-6427-4F63-B259-087B74BEF96C}"/>
    <cellStyle name="Обычный_Пожежений резервуар" xfId="10" xr:uid="{73117D90-CB86-4CB1-BA85-2C974173B9D4}"/>
    <cellStyle name="Обычный_СПК" xfId="13" xr:uid="{DA67DCD7-870D-47DA-ADC0-AFC5FD49900A}"/>
    <cellStyle name="Обычный_Транспортна галерея" xfId="14" xr:uid="{94B7D856-4216-443E-87FC-898AFB913608}"/>
    <cellStyle name="Обычный_Цех екстракції" xfId="15" xr:uid="{57F565C7-9AA9-4624-B8BC-753CA96920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6B24-79D8-4C97-8738-C7A228679E65}">
  <sheetPr filterMode="1"/>
  <dimension ref="A1:L52"/>
  <sheetViews>
    <sheetView topLeftCell="A42" workbookViewId="0">
      <selection activeCell="J52" sqref="J52"/>
    </sheetView>
  </sheetViews>
  <sheetFormatPr defaultRowHeight="14.4" x14ac:dyDescent="0.3"/>
  <cols>
    <col min="2" max="4" width="25.33203125" customWidth="1"/>
    <col min="10" max="10" width="11.33203125" bestFit="1" customWidth="1"/>
  </cols>
  <sheetData>
    <row r="1" spans="1:12" x14ac:dyDescent="0.3">
      <c r="A1" s="4" t="s">
        <v>14</v>
      </c>
      <c r="B1" s="5" t="s">
        <v>15</v>
      </c>
      <c r="C1" s="5" t="s">
        <v>16</v>
      </c>
      <c r="D1" s="6" t="s">
        <v>17</v>
      </c>
      <c r="E1" s="7" t="s">
        <v>18</v>
      </c>
      <c r="F1" s="7"/>
      <c r="G1" s="7"/>
      <c r="H1" s="8" t="s">
        <v>19</v>
      </c>
      <c r="I1" s="8"/>
      <c r="J1" s="8"/>
      <c r="K1" s="5" t="s">
        <v>20</v>
      </c>
      <c r="L1" s="5"/>
    </row>
    <row r="2" spans="1:12" hidden="1" x14ac:dyDescent="0.3">
      <c r="A2" s="9"/>
      <c r="B2" s="10"/>
      <c r="C2" s="10"/>
      <c r="D2" s="11"/>
      <c r="E2" s="12" t="s">
        <v>21</v>
      </c>
      <c r="F2" s="13"/>
      <c r="G2" s="13"/>
      <c r="H2" s="14" t="s">
        <v>21</v>
      </c>
      <c r="I2" s="15"/>
      <c r="J2" s="15"/>
      <c r="K2" s="9"/>
      <c r="L2" s="16"/>
    </row>
    <row r="3" spans="1:12" ht="61.2" hidden="1" x14ac:dyDescent="0.3">
      <c r="A3" s="17" t="s">
        <v>23</v>
      </c>
      <c r="B3" s="18" t="s">
        <v>24</v>
      </c>
      <c r="C3" s="18" t="s">
        <v>25</v>
      </c>
      <c r="D3" s="18" t="s">
        <v>26</v>
      </c>
      <c r="E3" s="19" t="s">
        <v>27</v>
      </c>
      <c r="F3" s="20">
        <v>2507.38</v>
      </c>
      <c r="G3" s="20"/>
      <c r="H3" s="19" t="s">
        <v>27</v>
      </c>
      <c r="I3" s="21" t="s">
        <v>28</v>
      </c>
      <c r="J3" s="21"/>
      <c r="K3" s="22" t="s">
        <v>22</v>
      </c>
      <c r="L3" s="23">
        <v>1981064.69</v>
      </c>
    </row>
    <row r="4" spans="1:12" ht="61.2" hidden="1" x14ac:dyDescent="0.3">
      <c r="A4" s="17" t="s">
        <v>23</v>
      </c>
      <c r="B4" s="18" t="s">
        <v>24</v>
      </c>
      <c r="C4" s="18" t="s">
        <v>29</v>
      </c>
      <c r="D4" s="18" t="s">
        <v>30</v>
      </c>
      <c r="E4" s="19" t="s">
        <v>27</v>
      </c>
      <c r="F4" s="20">
        <v>93456</v>
      </c>
      <c r="G4" s="20"/>
      <c r="H4" s="19" t="s">
        <v>27</v>
      </c>
      <c r="I4" s="21" t="s">
        <v>28</v>
      </c>
      <c r="J4" s="21"/>
      <c r="K4" s="22" t="s">
        <v>22</v>
      </c>
      <c r="L4" s="23">
        <v>2074520.69</v>
      </c>
    </row>
    <row r="5" spans="1:12" ht="61.2" hidden="1" x14ac:dyDescent="0.3">
      <c r="A5" s="17" t="s">
        <v>23</v>
      </c>
      <c r="B5" s="18" t="s">
        <v>31</v>
      </c>
      <c r="C5" s="18" t="s">
        <v>32</v>
      </c>
      <c r="D5" s="18" t="s">
        <v>33</v>
      </c>
      <c r="E5" s="19" t="s">
        <v>27</v>
      </c>
      <c r="F5" s="20">
        <v>19202.93</v>
      </c>
      <c r="G5" s="20"/>
      <c r="H5" s="19" t="s">
        <v>27</v>
      </c>
      <c r="I5" s="21" t="s">
        <v>28</v>
      </c>
      <c r="J5" s="21"/>
      <c r="K5" s="22" t="s">
        <v>22</v>
      </c>
      <c r="L5" s="23">
        <v>2093723.62</v>
      </c>
    </row>
    <row r="6" spans="1:12" ht="61.2" hidden="1" x14ac:dyDescent="0.3">
      <c r="A6" s="17" t="s">
        <v>23</v>
      </c>
      <c r="B6" s="18" t="s">
        <v>34</v>
      </c>
      <c r="C6" s="18" t="s">
        <v>35</v>
      </c>
      <c r="D6" s="18" t="s">
        <v>36</v>
      </c>
      <c r="E6" s="19" t="s">
        <v>27</v>
      </c>
      <c r="F6" s="24" t="s">
        <v>28</v>
      </c>
      <c r="G6" s="24"/>
      <c r="H6" s="19" t="s">
        <v>27</v>
      </c>
      <c r="I6" s="25">
        <v>6414.41</v>
      </c>
      <c r="J6" s="25"/>
      <c r="K6" s="22" t="s">
        <v>22</v>
      </c>
      <c r="L6" s="23">
        <v>2087309.21</v>
      </c>
    </row>
    <row r="7" spans="1:12" ht="61.2" x14ac:dyDescent="0.3">
      <c r="A7" s="17" t="s">
        <v>37</v>
      </c>
      <c r="B7" s="18" t="s">
        <v>38</v>
      </c>
      <c r="C7" s="18" t="s">
        <v>39</v>
      </c>
      <c r="D7" s="18" t="s">
        <v>40</v>
      </c>
      <c r="E7" s="19" t="s">
        <v>41</v>
      </c>
      <c r="F7" s="24" t="s">
        <v>28</v>
      </c>
      <c r="G7" s="24"/>
      <c r="H7" s="19" t="s">
        <v>27</v>
      </c>
      <c r="I7" s="25">
        <v>2666.67</v>
      </c>
      <c r="J7" s="25"/>
      <c r="K7" s="22" t="s">
        <v>22</v>
      </c>
      <c r="L7" s="23">
        <v>2084642.54</v>
      </c>
    </row>
    <row r="8" spans="1:12" ht="61.2" x14ac:dyDescent="0.3">
      <c r="A8" s="17" t="s">
        <v>37</v>
      </c>
      <c r="B8" s="18" t="s">
        <v>38</v>
      </c>
      <c r="C8" s="18" t="s">
        <v>39</v>
      </c>
      <c r="D8" s="18" t="s">
        <v>42</v>
      </c>
      <c r="E8" s="19" t="s">
        <v>41</v>
      </c>
      <c r="F8" s="24" t="s">
        <v>28</v>
      </c>
      <c r="G8" s="24"/>
      <c r="H8" s="19" t="s">
        <v>27</v>
      </c>
      <c r="I8" s="25">
        <v>69200</v>
      </c>
      <c r="J8" s="25"/>
      <c r="K8" s="22" t="s">
        <v>22</v>
      </c>
      <c r="L8" s="23">
        <v>2015442.54</v>
      </c>
    </row>
    <row r="9" spans="1:12" ht="61.2" x14ac:dyDescent="0.3">
      <c r="A9" s="17" t="s">
        <v>37</v>
      </c>
      <c r="B9" s="18" t="s">
        <v>38</v>
      </c>
      <c r="C9" s="18" t="s">
        <v>39</v>
      </c>
      <c r="D9" s="18" t="s">
        <v>43</v>
      </c>
      <c r="E9" s="19" t="s">
        <v>41</v>
      </c>
      <c r="F9" s="24" t="s">
        <v>28</v>
      </c>
      <c r="G9" s="24"/>
      <c r="H9" s="19" t="s">
        <v>27</v>
      </c>
      <c r="I9" s="25">
        <v>108420</v>
      </c>
      <c r="J9" s="25"/>
      <c r="K9" s="22" t="s">
        <v>22</v>
      </c>
      <c r="L9" s="23">
        <v>1907022.54</v>
      </c>
    </row>
    <row r="10" spans="1:12" ht="61.2" x14ac:dyDescent="0.3">
      <c r="A10" s="17" t="s">
        <v>37</v>
      </c>
      <c r="B10" s="18" t="s">
        <v>38</v>
      </c>
      <c r="C10" s="18" t="s">
        <v>39</v>
      </c>
      <c r="D10" s="18" t="s">
        <v>44</v>
      </c>
      <c r="E10" s="19" t="s">
        <v>41</v>
      </c>
      <c r="F10" s="24" t="s">
        <v>28</v>
      </c>
      <c r="G10" s="24"/>
      <c r="H10" s="19" t="s">
        <v>27</v>
      </c>
      <c r="I10" s="25">
        <v>292500</v>
      </c>
      <c r="J10" s="25"/>
      <c r="K10" s="22" t="s">
        <v>22</v>
      </c>
      <c r="L10" s="23">
        <v>1614522.54</v>
      </c>
    </row>
    <row r="11" spans="1:12" ht="61.2" x14ac:dyDescent="0.3">
      <c r="A11" s="17" t="s">
        <v>37</v>
      </c>
      <c r="B11" s="18" t="s">
        <v>38</v>
      </c>
      <c r="C11" s="18" t="s">
        <v>39</v>
      </c>
      <c r="D11" s="18" t="s">
        <v>45</v>
      </c>
      <c r="E11" s="19" t="s">
        <v>41</v>
      </c>
      <c r="F11" s="24" t="s">
        <v>28</v>
      </c>
      <c r="G11" s="24"/>
      <c r="H11" s="19" t="s">
        <v>27</v>
      </c>
      <c r="I11" s="25">
        <v>77220</v>
      </c>
      <c r="J11" s="25"/>
      <c r="K11" s="22" t="s">
        <v>22</v>
      </c>
      <c r="L11" s="23">
        <v>1537302.54</v>
      </c>
    </row>
    <row r="12" spans="1:12" ht="51" x14ac:dyDescent="0.3">
      <c r="A12" s="17" t="s">
        <v>37</v>
      </c>
      <c r="B12" s="18" t="s">
        <v>38</v>
      </c>
      <c r="C12" s="18" t="s">
        <v>39</v>
      </c>
      <c r="D12" s="18" t="s">
        <v>46</v>
      </c>
      <c r="E12" s="19" t="s">
        <v>41</v>
      </c>
      <c r="F12" s="24" t="s">
        <v>28</v>
      </c>
      <c r="G12" s="24"/>
      <c r="H12" s="19" t="s">
        <v>27</v>
      </c>
      <c r="I12" s="25">
        <v>538278</v>
      </c>
      <c r="J12" s="25"/>
      <c r="K12" s="22" t="s">
        <v>22</v>
      </c>
      <c r="L12" s="23">
        <v>999024.54</v>
      </c>
    </row>
    <row r="13" spans="1:12" ht="51" x14ac:dyDescent="0.3">
      <c r="A13" s="17" t="s">
        <v>37</v>
      </c>
      <c r="B13" s="18" t="s">
        <v>38</v>
      </c>
      <c r="C13" s="18" t="s">
        <v>39</v>
      </c>
      <c r="D13" s="18" t="s">
        <v>47</v>
      </c>
      <c r="E13" s="19" t="s">
        <v>41</v>
      </c>
      <c r="F13" s="24" t="s">
        <v>28</v>
      </c>
      <c r="G13" s="24"/>
      <c r="H13" s="19" t="s">
        <v>27</v>
      </c>
      <c r="I13" s="25">
        <v>415480</v>
      </c>
      <c r="J13" s="25"/>
      <c r="K13" s="22" t="s">
        <v>22</v>
      </c>
      <c r="L13" s="23">
        <v>583544.54</v>
      </c>
    </row>
    <row r="14" spans="1:12" ht="61.2" x14ac:dyDescent="0.3">
      <c r="A14" s="17" t="s">
        <v>37</v>
      </c>
      <c r="B14" s="18" t="s">
        <v>38</v>
      </c>
      <c r="C14" s="18" t="s">
        <v>39</v>
      </c>
      <c r="D14" s="18" t="s">
        <v>48</v>
      </c>
      <c r="E14" s="19" t="s">
        <v>41</v>
      </c>
      <c r="F14" s="24" t="s">
        <v>28</v>
      </c>
      <c r="G14" s="24"/>
      <c r="H14" s="19" t="s">
        <v>27</v>
      </c>
      <c r="I14" s="25">
        <v>10686</v>
      </c>
      <c r="J14" s="25"/>
      <c r="K14" s="22" t="s">
        <v>22</v>
      </c>
      <c r="L14" s="23">
        <v>572858.54</v>
      </c>
    </row>
    <row r="15" spans="1:12" ht="51" x14ac:dyDescent="0.3">
      <c r="A15" s="17" t="s">
        <v>37</v>
      </c>
      <c r="B15" s="18" t="s">
        <v>38</v>
      </c>
      <c r="C15" s="18" t="s">
        <v>39</v>
      </c>
      <c r="D15" s="18" t="s">
        <v>49</v>
      </c>
      <c r="E15" s="19" t="s">
        <v>41</v>
      </c>
      <c r="F15" s="24" t="s">
        <v>28</v>
      </c>
      <c r="G15" s="24"/>
      <c r="H15" s="19" t="s">
        <v>27</v>
      </c>
      <c r="I15" s="25">
        <v>19415.5</v>
      </c>
      <c r="J15" s="25"/>
      <c r="K15" s="22" t="s">
        <v>22</v>
      </c>
      <c r="L15" s="23">
        <v>553443.04</v>
      </c>
    </row>
    <row r="16" spans="1:12" ht="51" x14ac:dyDescent="0.3">
      <c r="A16" s="17" t="s">
        <v>37</v>
      </c>
      <c r="B16" s="18" t="s">
        <v>38</v>
      </c>
      <c r="C16" s="18" t="s">
        <v>39</v>
      </c>
      <c r="D16" s="18" t="s">
        <v>50</v>
      </c>
      <c r="E16" s="19" t="s">
        <v>41</v>
      </c>
      <c r="F16" s="24" t="s">
        <v>28</v>
      </c>
      <c r="G16" s="24"/>
      <c r="H16" s="19" t="s">
        <v>27</v>
      </c>
      <c r="I16" s="25">
        <v>146841.75</v>
      </c>
      <c r="J16" s="25"/>
      <c r="K16" s="22" t="s">
        <v>22</v>
      </c>
      <c r="L16" s="23">
        <v>406601.29</v>
      </c>
    </row>
    <row r="17" spans="1:12" ht="51" x14ac:dyDescent="0.3">
      <c r="A17" s="17" t="s">
        <v>37</v>
      </c>
      <c r="B17" s="18" t="s">
        <v>38</v>
      </c>
      <c r="C17" s="18" t="s">
        <v>39</v>
      </c>
      <c r="D17" s="18" t="s">
        <v>51</v>
      </c>
      <c r="E17" s="19" t="s">
        <v>41</v>
      </c>
      <c r="F17" s="24" t="s">
        <v>28</v>
      </c>
      <c r="G17" s="24"/>
      <c r="H17" s="19" t="s">
        <v>27</v>
      </c>
      <c r="I17" s="25">
        <v>33967.300000000003</v>
      </c>
      <c r="J17" s="25"/>
      <c r="K17" s="22" t="s">
        <v>22</v>
      </c>
      <c r="L17" s="23">
        <v>372633.99</v>
      </c>
    </row>
    <row r="18" spans="1:12" ht="51" x14ac:dyDescent="0.3">
      <c r="A18" s="17" t="s">
        <v>37</v>
      </c>
      <c r="B18" s="18" t="s">
        <v>38</v>
      </c>
      <c r="C18" s="18" t="s">
        <v>39</v>
      </c>
      <c r="D18" s="18" t="s">
        <v>52</v>
      </c>
      <c r="E18" s="19" t="s">
        <v>41</v>
      </c>
      <c r="F18" s="24" t="s">
        <v>28</v>
      </c>
      <c r="G18" s="24"/>
      <c r="H18" s="19" t="s">
        <v>27</v>
      </c>
      <c r="I18" s="25">
        <v>25660.83</v>
      </c>
      <c r="J18" s="25"/>
      <c r="K18" s="22" t="s">
        <v>22</v>
      </c>
      <c r="L18" s="23">
        <v>346973.16</v>
      </c>
    </row>
    <row r="19" spans="1:12" ht="51" x14ac:dyDescent="0.3">
      <c r="A19" s="17" t="s">
        <v>37</v>
      </c>
      <c r="B19" s="18" t="s">
        <v>38</v>
      </c>
      <c r="C19" s="18" t="s">
        <v>39</v>
      </c>
      <c r="D19" s="18" t="s">
        <v>53</v>
      </c>
      <c r="E19" s="19" t="s">
        <v>41</v>
      </c>
      <c r="F19" s="24" t="s">
        <v>28</v>
      </c>
      <c r="G19" s="24"/>
      <c r="H19" s="19" t="s">
        <v>27</v>
      </c>
      <c r="I19" s="25">
        <v>40817.199999999997</v>
      </c>
      <c r="J19" s="25"/>
      <c r="K19" s="22" t="s">
        <v>22</v>
      </c>
      <c r="L19" s="23">
        <v>306155.96000000002</v>
      </c>
    </row>
    <row r="20" spans="1:12" ht="51" hidden="1" x14ac:dyDescent="0.3">
      <c r="A20" s="17" t="s">
        <v>54</v>
      </c>
      <c r="B20" s="18" t="s">
        <v>55</v>
      </c>
      <c r="C20" s="18" t="s">
        <v>56</v>
      </c>
      <c r="D20" s="18" t="s">
        <v>57</v>
      </c>
      <c r="E20" s="19" t="s">
        <v>27</v>
      </c>
      <c r="F20" s="20">
        <v>128700</v>
      </c>
      <c r="G20" s="20"/>
      <c r="H20" s="19" t="s">
        <v>58</v>
      </c>
      <c r="I20" s="21" t="s">
        <v>28</v>
      </c>
      <c r="J20" s="21"/>
      <c r="K20" s="22" t="s">
        <v>22</v>
      </c>
      <c r="L20" s="23">
        <v>434855.96</v>
      </c>
    </row>
    <row r="21" spans="1:12" ht="61.2" hidden="1" x14ac:dyDescent="0.3">
      <c r="A21" s="17" t="s">
        <v>59</v>
      </c>
      <c r="B21" s="18" t="s">
        <v>60</v>
      </c>
      <c r="C21" s="18" t="s">
        <v>61</v>
      </c>
      <c r="D21" s="18" t="s">
        <v>62</v>
      </c>
      <c r="E21" s="19" t="s">
        <v>27</v>
      </c>
      <c r="F21" s="20">
        <v>210298.52</v>
      </c>
      <c r="G21" s="20"/>
      <c r="H21" s="19" t="s">
        <v>58</v>
      </c>
      <c r="I21" s="21" t="s">
        <v>28</v>
      </c>
      <c r="J21" s="21"/>
      <c r="K21" s="22" t="s">
        <v>22</v>
      </c>
      <c r="L21" s="23">
        <v>645154.48</v>
      </c>
    </row>
    <row r="22" spans="1:12" ht="61.2" hidden="1" x14ac:dyDescent="0.3">
      <c r="A22" s="17" t="s">
        <v>59</v>
      </c>
      <c r="B22" s="18" t="s">
        <v>60</v>
      </c>
      <c r="C22" s="18" t="s">
        <v>61</v>
      </c>
      <c r="D22" s="18" t="s">
        <v>63</v>
      </c>
      <c r="E22" s="19" t="s">
        <v>27</v>
      </c>
      <c r="F22" s="20">
        <v>335741.48</v>
      </c>
      <c r="G22" s="20"/>
      <c r="H22" s="19" t="s">
        <v>58</v>
      </c>
      <c r="I22" s="21" t="s">
        <v>28</v>
      </c>
      <c r="J22" s="21"/>
      <c r="K22" s="22" t="s">
        <v>22</v>
      </c>
      <c r="L22" s="23">
        <v>980895.96</v>
      </c>
    </row>
    <row r="23" spans="1:12" ht="51" hidden="1" x14ac:dyDescent="0.3">
      <c r="A23" s="17" t="s">
        <v>59</v>
      </c>
      <c r="B23" s="18" t="s">
        <v>64</v>
      </c>
      <c r="C23" s="18" t="s">
        <v>61</v>
      </c>
      <c r="D23" s="18" t="s">
        <v>65</v>
      </c>
      <c r="E23" s="19" t="s">
        <v>27</v>
      </c>
      <c r="F23" s="20">
        <v>131750.42000000001</v>
      </c>
      <c r="G23" s="20"/>
      <c r="H23" s="19" t="s">
        <v>58</v>
      </c>
      <c r="I23" s="21" t="s">
        <v>28</v>
      </c>
      <c r="J23" s="21"/>
      <c r="K23" s="22" t="s">
        <v>22</v>
      </c>
      <c r="L23" s="23">
        <v>1112646.3799999999</v>
      </c>
    </row>
    <row r="24" spans="1:12" ht="61.2" hidden="1" x14ac:dyDescent="0.3">
      <c r="A24" s="17" t="s">
        <v>59</v>
      </c>
      <c r="B24" s="18" t="s">
        <v>66</v>
      </c>
      <c r="C24" s="18" t="s">
        <v>61</v>
      </c>
      <c r="D24" s="18" t="s">
        <v>62</v>
      </c>
      <c r="E24" s="19" t="s">
        <v>27</v>
      </c>
      <c r="F24" s="20">
        <v>28437.08</v>
      </c>
      <c r="G24" s="20"/>
      <c r="H24" s="19" t="s">
        <v>58</v>
      </c>
      <c r="I24" s="21" t="s">
        <v>28</v>
      </c>
      <c r="J24" s="21"/>
      <c r="K24" s="22" t="s">
        <v>22</v>
      </c>
      <c r="L24" s="23">
        <v>1141083.46</v>
      </c>
    </row>
    <row r="25" spans="1:12" ht="51" hidden="1" x14ac:dyDescent="0.3">
      <c r="A25" s="17" t="s">
        <v>67</v>
      </c>
      <c r="B25" s="18" t="s">
        <v>68</v>
      </c>
      <c r="C25" s="18" t="s">
        <v>69</v>
      </c>
      <c r="D25" s="18" t="s">
        <v>70</v>
      </c>
      <c r="E25" s="19" t="s">
        <v>27</v>
      </c>
      <c r="F25" s="20">
        <v>5400</v>
      </c>
      <c r="G25" s="20"/>
      <c r="H25" s="19" t="s">
        <v>27</v>
      </c>
      <c r="I25" s="21" t="s">
        <v>28</v>
      </c>
      <c r="J25" s="21"/>
      <c r="K25" s="22" t="s">
        <v>22</v>
      </c>
      <c r="L25" s="23">
        <v>1146483.46</v>
      </c>
    </row>
    <row r="26" spans="1:12" ht="61.2" hidden="1" x14ac:dyDescent="0.3">
      <c r="A26" s="17" t="s">
        <v>71</v>
      </c>
      <c r="B26" s="18" t="s">
        <v>72</v>
      </c>
      <c r="C26" s="18" t="s">
        <v>73</v>
      </c>
      <c r="D26" s="18" t="s">
        <v>74</v>
      </c>
      <c r="E26" s="19" t="s">
        <v>27</v>
      </c>
      <c r="F26" s="20">
        <v>42462.91</v>
      </c>
      <c r="G26" s="20"/>
      <c r="H26" s="19" t="s">
        <v>58</v>
      </c>
      <c r="I26" s="21" t="s">
        <v>28</v>
      </c>
      <c r="J26" s="21"/>
      <c r="K26" s="22" t="s">
        <v>22</v>
      </c>
      <c r="L26" s="23">
        <v>1188946.3700000001</v>
      </c>
    </row>
    <row r="27" spans="1:12" ht="51" hidden="1" x14ac:dyDescent="0.3">
      <c r="A27" s="17" t="s">
        <v>75</v>
      </c>
      <c r="B27" s="18" t="s">
        <v>76</v>
      </c>
      <c r="C27" s="18" t="s">
        <v>77</v>
      </c>
      <c r="D27" s="18" t="s">
        <v>78</v>
      </c>
      <c r="E27" s="19" t="s">
        <v>27</v>
      </c>
      <c r="F27" s="20">
        <v>82782.52</v>
      </c>
      <c r="G27" s="20"/>
      <c r="H27" s="19" t="s">
        <v>58</v>
      </c>
      <c r="I27" s="21" t="s">
        <v>28</v>
      </c>
      <c r="J27" s="21"/>
      <c r="K27" s="22" t="s">
        <v>22</v>
      </c>
      <c r="L27" s="23">
        <v>1271728.8899999999</v>
      </c>
    </row>
    <row r="28" spans="1:12" ht="61.2" hidden="1" x14ac:dyDescent="0.3">
      <c r="A28" s="17" t="s">
        <v>75</v>
      </c>
      <c r="B28" s="18" t="s">
        <v>79</v>
      </c>
      <c r="C28" s="18" t="s">
        <v>77</v>
      </c>
      <c r="D28" s="18" t="s">
        <v>80</v>
      </c>
      <c r="E28" s="19" t="s">
        <v>27</v>
      </c>
      <c r="F28" s="20">
        <v>57377.48</v>
      </c>
      <c r="G28" s="20"/>
      <c r="H28" s="19" t="s">
        <v>58</v>
      </c>
      <c r="I28" s="21" t="s">
        <v>28</v>
      </c>
      <c r="J28" s="21"/>
      <c r="K28" s="22" t="s">
        <v>22</v>
      </c>
      <c r="L28" s="23">
        <v>1329106.3700000001</v>
      </c>
    </row>
    <row r="29" spans="1:12" ht="51" hidden="1" x14ac:dyDescent="0.3">
      <c r="A29" s="17" t="s">
        <v>75</v>
      </c>
      <c r="B29" s="18" t="s">
        <v>81</v>
      </c>
      <c r="C29" s="18" t="s">
        <v>77</v>
      </c>
      <c r="D29" s="18" t="s">
        <v>82</v>
      </c>
      <c r="E29" s="19" t="s">
        <v>27</v>
      </c>
      <c r="F29" s="20">
        <v>38875</v>
      </c>
      <c r="G29" s="20"/>
      <c r="H29" s="19" t="s">
        <v>58</v>
      </c>
      <c r="I29" s="21" t="s">
        <v>28</v>
      </c>
      <c r="J29" s="21"/>
      <c r="K29" s="22" t="s">
        <v>22</v>
      </c>
      <c r="L29" s="23">
        <v>1367981.37</v>
      </c>
    </row>
    <row r="30" spans="1:12" ht="51" x14ac:dyDescent="0.3">
      <c r="A30" s="17" t="s">
        <v>83</v>
      </c>
      <c r="B30" s="18" t="s">
        <v>84</v>
      </c>
      <c r="C30" s="18" t="s">
        <v>39</v>
      </c>
      <c r="D30" s="18" t="s">
        <v>85</v>
      </c>
      <c r="E30" s="19" t="s">
        <v>41</v>
      </c>
      <c r="F30" s="24" t="s">
        <v>28</v>
      </c>
      <c r="G30" s="24"/>
      <c r="H30" s="19" t="s">
        <v>27</v>
      </c>
      <c r="I30" s="26">
        <v>810</v>
      </c>
      <c r="J30" s="26"/>
      <c r="K30" s="22" t="s">
        <v>22</v>
      </c>
      <c r="L30" s="23">
        <v>1367171.37</v>
      </c>
    </row>
    <row r="31" spans="1:12" ht="51" x14ac:dyDescent="0.3">
      <c r="A31" s="17" t="s">
        <v>83</v>
      </c>
      <c r="B31" s="18" t="s">
        <v>84</v>
      </c>
      <c r="C31" s="18" t="s">
        <v>39</v>
      </c>
      <c r="D31" s="18" t="s">
        <v>86</v>
      </c>
      <c r="E31" s="19" t="s">
        <v>41</v>
      </c>
      <c r="F31" s="24" t="s">
        <v>28</v>
      </c>
      <c r="G31" s="24"/>
      <c r="H31" s="19" t="s">
        <v>27</v>
      </c>
      <c r="I31" s="26">
        <v>99.05</v>
      </c>
      <c r="J31" s="26"/>
      <c r="K31" s="22" t="s">
        <v>22</v>
      </c>
      <c r="L31" s="23">
        <v>1367072.32</v>
      </c>
    </row>
    <row r="32" spans="1:12" ht="51" x14ac:dyDescent="0.3">
      <c r="A32" s="17" t="s">
        <v>83</v>
      </c>
      <c r="B32" s="18" t="s">
        <v>84</v>
      </c>
      <c r="C32" s="18" t="s">
        <v>39</v>
      </c>
      <c r="D32" s="18" t="s">
        <v>87</v>
      </c>
      <c r="E32" s="19" t="s">
        <v>41</v>
      </c>
      <c r="F32" s="24" t="s">
        <v>28</v>
      </c>
      <c r="G32" s="24"/>
      <c r="H32" s="19" t="s">
        <v>27</v>
      </c>
      <c r="I32" s="26">
        <v>182.5</v>
      </c>
      <c r="J32" s="26"/>
      <c r="K32" s="22" t="s">
        <v>22</v>
      </c>
      <c r="L32" s="23">
        <v>1366889.82</v>
      </c>
    </row>
    <row r="33" spans="1:12" ht="51" x14ac:dyDescent="0.3">
      <c r="A33" s="17" t="s">
        <v>83</v>
      </c>
      <c r="B33" s="18" t="s">
        <v>88</v>
      </c>
      <c r="C33" s="18" t="s">
        <v>39</v>
      </c>
      <c r="D33" s="18" t="s">
        <v>36</v>
      </c>
      <c r="E33" s="19" t="s">
        <v>41</v>
      </c>
      <c r="F33" s="24" t="s">
        <v>28</v>
      </c>
      <c r="G33" s="24"/>
      <c r="H33" s="19" t="s">
        <v>27</v>
      </c>
      <c r="I33" s="25">
        <v>100393.59</v>
      </c>
      <c r="J33" s="25"/>
      <c r="K33" s="22" t="s">
        <v>22</v>
      </c>
      <c r="L33" s="23">
        <v>1266496.23</v>
      </c>
    </row>
    <row r="34" spans="1:12" ht="51" x14ac:dyDescent="0.3">
      <c r="A34" s="17" t="s">
        <v>83</v>
      </c>
      <c r="B34" s="18" t="s">
        <v>88</v>
      </c>
      <c r="C34" s="18" t="s">
        <v>39</v>
      </c>
      <c r="D34" s="18" t="s">
        <v>89</v>
      </c>
      <c r="E34" s="19" t="s">
        <v>41</v>
      </c>
      <c r="F34" s="24" t="s">
        <v>28</v>
      </c>
      <c r="G34" s="24"/>
      <c r="H34" s="19" t="s">
        <v>27</v>
      </c>
      <c r="I34" s="25">
        <v>6240.16</v>
      </c>
      <c r="J34" s="25"/>
      <c r="K34" s="22" t="s">
        <v>22</v>
      </c>
      <c r="L34" s="23">
        <v>1260256.07</v>
      </c>
    </row>
    <row r="35" spans="1:12" ht="51" x14ac:dyDescent="0.3">
      <c r="A35" s="17" t="s">
        <v>83</v>
      </c>
      <c r="B35" s="18" t="s">
        <v>88</v>
      </c>
      <c r="C35" s="18" t="s">
        <v>39</v>
      </c>
      <c r="D35" s="18" t="s">
        <v>89</v>
      </c>
      <c r="E35" s="19" t="s">
        <v>41</v>
      </c>
      <c r="F35" s="24" t="s">
        <v>28</v>
      </c>
      <c r="G35" s="24"/>
      <c r="H35" s="19" t="s">
        <v>27</v>
      </c>
      <c r="I35" s="25">
        <v>34167.879999999997</v>
      </c>
      <c r="J35" s="25"/>
      <c r="K35" s="22" t="s">
        <v>22</v>
      </c>
      <c r="L35" s="23">
        <v>1226088.19</v>
      </c>
    </row>
    <row r="36" spans="1:12" ht="51" x14ac:dyDescent="0.3">
      <c r="A36" s="17" t="s">
        <v>83</v>
      </c>
      <c r="B36" s="18" t="s">
        <v>88</v>
      </c>
      <c r="C36" s="18" t="s">
        <v>39</v>
      </c>
      <c r="D36" s="18" t="s">
        <v>61</v>
      </c>
      <c r="E36" s="19" t="s">
        <v>41</v>
      </c>
      <c r="F36" s="24" t="s">
        <v>28</v>
      </c>
      <c r="G36" s="24"/>
      <c r="H36" s="19" t="s">
        <v>27</v>
      </c>
      <c r="I36" s="25">
        <v>706227.5</v>
      </c>
      <c r="J36" s="25"/>
      <c r="K36" s="22" t="s">
        <v>22</v>
      </c>
      <c r="L36" s="23">
        <v>519860.69</v>
      </c>
    </row>
    <row r="37" spans="1:12" ht="51" x14ac:dyDescent="0.3">
      <c r="A37" s="17" t="s">
        <v>83</v>
      </c>
      <c r="B37" s="18" t="s">
        <v>88</v>
      </c>
      <c r="C37" s="18" t="s">
        <v>39</v>
      </c>
      <c r="D37" s="18" t="s">
        <v>90</v>
      </c>
      <c r="E37" s="19" t="s">
        <v>41</v>
      </c>
      <c r="F37" s="24" t="s">
        <v>28</v>
      </c>
      <c r="G37" s="24"/>
      <c r="H37" s="19" t="s">
        <v>27</v>
      </c>
      <c r="I37" s="25">
        <v>4900.1400000000003</v>
      </c>
      <c r="J37" s="25"/>
      <c r="K37" s="22" t="s">
        <v>22</v>
      </c>
      <c r="L37" s="23">
        <v>514960.55</v>
      </c>
    </row>
    <row r="38" spans="1:12" ht="51" x14ac:dyDescent="0.3">
      <c r="A38" s="17" t="s">
        <v>83</v>
      </c>
      <c r="B38" s="18" t="s">
        <v>88</v>
      </c>
      <c r="C38" s="18" t="s">
        <v>39</v>
      </c>
      <c r="D38" s="18" t="s">
        <v>91</v>
      </c>
      <c r="E38" s="19" t="s">
        <v>41</v>
      </c>
      <c r="F38" s="24" t="s">
        <v>28</v>
      </c>
      <c r="G38" s="24"/>
      <c r="H38" s="19" t="s">
        <v>27</v>
      </c>
      <c r="I38" s="26">
        <v>444</v>
      </c>
      <c r="J38" s="26"/>
      <c r="K38" s="22" t="s">
        <v>22</v>
      </c>
      <c r="L38" s="23">
        <v>514516.55</v>
      </c>
    </row>
    <row r="39" spans="1:12" ht="51" x14ac:dyDescent="0.3">
      <c r="A39" s="17" t="s">
        <v>83</v>
      </c>
      <c r="B39" s="18" t="s">
        <v>88</v>
      </c>
      <c r="C39" s="18" t="s">
        <v>39</v>
      </c>
      <c r="D39" s="18" t="s">
        <v>92</v>
      </c>
      <c r="E39" s="19" t="s">
        <v>41</v>
      </c>
      <c r="F39" s="24" t="s">
        <v>28</v>
      </c>
      <c r="G39" s="24"/>
      <c r="H39" s="19" t="s">
        <v>27</v>
      </c>
      <c r="I39" s="25">
        <v>1470</v>
      </c>
      <c r="J39" s="25"/>
      <c r="K39" s="22" t="s">
        <v>22</v>
      </c>
      <c r="L39" s="23">
        <v>513046.55</v>
      </c>
    </row>
    <row r="40" spans="1:12" ht="51" x14ac:dyDescent="0.3">
      <c r="A40" s="17" t="s">
        <v>83</v>
      </c>
      <c r="B40" s="18" t="s">
        <v>88</v>
      </c>
      <c r="C40" s="18" t="s">
        <v>39</v>
      </c>
      <c r="D40" s="18" t="s">
        <v>93</v>
      </c>
      <c r="E40" s="19" t="s">
        <v>41</v>
      </c>
      <c r="F40" s="24" t="s">
        <v>28</v>
      </c>
      <c r="G40" s="24"/>
      <c r="H40" s="19" t="s">
        <v>27</v>
      </c>
      <c r="I40" s="26">
        <v>52</v>
      </c>
      <c r="J40" s="26"/>
      <c r="K40" s="22" t="s">
        <v>22</v>
      </c>
      <c r="L40" s="23">
        <v>512994.55</v>
      </c>
    </row>
    <row r="41" spans="1:12" ht="51" x14ac:dyDescent="0.3">
      <c r="A41" s="17" t="s">
        <v>83</v>
      </c>
      <c r="B41" s="18" t="s">
        <v>88</v>
      </c>
      <c r="C41" s="18" t="s">
        <v>39</v>
      </c>
      <c r="D41" s="18" t="s">
        <v>94</v>
      </c>
      <c r="E41" s="19" t="s">
        <v>41</v>
      </c>
      <c r="F41" s="24" t="s">
        <v>28</v>
      </c>
      <c r="G41" s="24"/>
      <c r="H41" s="19" t="s">
        <v>27</v>
      </c>
      <c r="I41" s="26">
        <v>166</v>
      </c>
      <c r="J41" s="26"/>
      <c r="K41" s="22" t="s">
        <v>22</v>
      </c>
      <c r="L41" s="23">
        <v>512828.55</v>
      </c>
    </row>
    <row r="42" spans="1:12" ht="51" x14ac:dyDescent="0.3">
      <c r="A42" s="17" t="s">
        <v>83</v>
      </c>
      <c r="B42" s="18" t="s">
        <v>88</v>
      </c>
      <c r="C42" s="18" t="s">
        <v>39</v>
      </c>
      <c r="D42" s="18" t="s">
        <v>95</v>
      </c>
      <c r="E42" s="19" t="s">
        <v>41</v>
      </c>
      <c r="F42" s="24" t="s">
        <v>28</v>
      </c>
      <c r="G42" s="24"/>
      <c r="H42" s="19" t="s">
        <v>27</v>
      </c>
      <c r="I42" s="26">
        <v>75</v>
      </c>
      <c r="J42" s="26"/>
      <c r="K42" s="22" t="s">
        <v>22</v>
      </c>
      <c r="L42" s="23">
        <v>512753.55</v>
      </c>
    </row>
    <row r="43" spans="1:12" ht="51" x14ac:dyDescent="0.3">
      <c r="A43" s="17" t="s">
        <v>83</v>
      </c>
      <c r="B43" s="18" t="s">
        <v>88</v>
      </c>
      <c r="C43" s="18" t="s">
        <v>39</v>
      </c>
      <c r="D43" s="18" t="s">
        <v>96</v>
      </c>
      <c r="E43" s="19" t="s">
        <v>41</v>
      </c>
      <c r="F43" s="24" t="s">
        <v>28</v>
      </c>
      <c r="G43" s="24"/>
      <c r="H43" s="19" t="s">
        <v>27</v>
      </c>
      <c r="I43" s="26">
        <v>191</v>
      </c>
      <c r="J43" s="26"/>
      <c r="K43" s="22" t="s">
        <v>22</v>
      </c>
      <c r="L43" s="23">
        <v>512562.55</v>
      </c>
    </row>
    <row r="44" spans="1:12" ht="51" x14ac:dyDescent="0.3">
      <c r="A44" s="17" t="s">
        <v>83</v>
      </c>
      <c r="B44" s="18" t="s">
        <v>88</v>
      </c>
      <c r="C44" s="18" t="s">
        <v>39</v>
      </c>
      <c r="D44" s="18" t="s">
        <v>97</v>
      </c>
      <c r="E44" s="19" t="s">
        <v>41</v>
      </c>
      <c r="F44" s="24" t="s">
        <v>28</v>
      </c>
      <c r="G44" s="24"/>
      <c r="H44" s="19" t="s">
        <v>27</v>
      </c>
      <c r="I44" s="26">
        <v>385.5</v>
      </c>
      <c r="J44" s="26"/>
      <c r="K44" s="22" t="s">
        <v>22</v>
      </c>
      <c r="L44" s="23">
        <v>512177.05</v>
      </c>
    </row>
    <row r="45" spans="1:12" ht="61.2" x14ac:dyDescent="0.3">
      <c r="A45" s="17" t="s">
        <v>83</v>
      </c>
      <c r="B45" s="18" t="s">
        <v>88</v>
      </c>
      <c r="C45" s="18" t="s">
        <v>39</v>
      </c>
      <c r="D45" s="18" t="s">
        <v>32</v>
      </c>
      <c r="E45" s="19" t="s">
        <v>41</v>
      </c>
      <c r="F45" s="24" t="s">
        <v>28</v>
      </c>
      <c r="G45" s="24"/>
      <c r="H45" s="19" t="s">
        <v>27</v>
      </c>
      <c r="I45" s="25">
        <v>19202.93</v>
      </c>
      <c r="J45" s="25"/>
      <c r="K45" s="22" t="s">
        <v>22</v>
      </c>
      <c r="L45" s="23">
        <v>492974.12</v>
      </c>
    </row>
    <row r="46" spans="1:12" ht="61.2" hidden="1" x14ac:dyDescent="0.3">
      <c r="A46" s="17" t="s">
        <v>98</v>
      </c>
      <c r="B46" s="18" t="s">
        <v>99</v>
      </c>
      <c r="C46" s="18" t="s">
        <v>100</v>
      </c>
      <c r="D46" s="18" t="s">
        <v>77</v>
      </c>
      <c r="E46" s="19" t="s">
        <v>27</v>
      </c>
      <c r="F46" s="24" t="s">
        <v>28</v>
      </c>
      <c r="G46" s="24"/>
      <c r="H46" s="19" t="s">
        <v>27</v>
      </c>
      <c r="I46" s="26">
        <v>857.88</v>
      </c>
      <c r="J46" s="26"/>
      <c r="K46" s="22" t="s">
        <v>22</v>
      </c>
      <c r="L46" s="23">
        <v>492116.24</v>
      </c>
    </row>
    <row r="47" spans="1:12" ht="51" hidden="1" x14ac:dyDescent="0.3">
      <c r="A47" s="17" t="s">
        <v>98</v>
      </c>
      <c r="B47" s="18" t="s">
        <v>101</v>
      </c>
      <c r="C47" s="18" t="s">
        <v>102</v>
      </c>
      <c r="D47" s="18" t="s">
        <v>103</v>
      </c>
      <c r="E47" s="19" t="s">
        <v>27</v>
      </c>
      <c r="F47" s="20">
        <v>47250</v>
      </c>
      <c r="G47" s="20"/>
      <c r="H47" s="19" t="s">
        <v>27</v>
      </c>
      <c r="I47" s="21" t="s">
        <v>28</v>
      </c>
      <c r="J47" s="21"/>
      <c r="K47" s="22" t="s">
        <v>22</v>
      </c>
      <c r="L47" s="23">
        <v>539366.24</v>
      </c>
    </row>
    <row r="48" spans="1:12" ht="51" x14ac:dyDescent="0.3">
      <c r="A48" s="17" t="s">
        <v>98</v>
      </c>
      <c r="B48" s="18" t="s">
        <v>104</v>
      </c>
      <c r="C48" s="18" t="s">
        <v>39</v>
      </c>
      <c r="D48" s="18" t="s">
        <v>77</v>
      </c>
      <c r="E48" s="19" t="s">
        <v>41</v>
      </c>
      <c r="F48" s="24" t="s">
        <v>28</v>
      </c>
      <c r="G48" s="24"/>
      <c r="H48" s="19" t="s">
        <v>27</v>
      </c>
      <c r="I48" s="25">
        <v>177281.95</v>
      </c>
      <c r="J48" s="25"/>
      <c r="K48" s="22" t="s">
        <v>22</v>
      </c>
      <c r="L48" s="23">
        <v>362084.29</v>
      </c>
    </row>
    <row r="49" spans="1:12" ht="51" x14ac:dyDescent="0.3">
      <c r="A49" s="17" t="s">
        <v>98</v>
      </c>
      <c r="B49" s="18" t="s">
        <v>104</v>
      </c>
      <c r="C49" s="18" t="s">
        <v>39</v>
      </c>
      <c r="D49" s="18" t="s">
        <v>102</v>
      </c>
      <c r="E49" s="19" t="s">
        <v>41</v>
      </c>
      <c r="F49" s="24" t="s">
        <v>28</v>
      </c>
      <c r="G49" s="24"/>
      <c r="H49" s="19" t="s">
        <v>27</v>
      </c>
      <c r="I49" s="25">
        <v>22443.75</v>
      </c>
      <c r="J49" s="25"/>
      <c r="K49" s="22" t="s">
        <v>22</v>
      </c>
      <c r="L49" s="23">
        <v>339640.54</v>
      </c>
    </row>
    <row r="50" spans="1:12" hidden="1" x14ac:dyDescent="0.3">
      <c r="A50" s="27" t="s">
        <v>105</v>
      </c>
      <c r="B50" s="27"/>
      <c r="C50" s="27"/>
      <c r="D50" s="27"/>
      <c r="E50" s="28">
        <v>1224241.72</v>
      </c>
      <c r="F50" s="28"/>
      <c r="G50" s="28"/>
      <c r="H50" s="28">
        <v>2863158.49</v>
      </c>
      <c r="I50" s="28"/>
      <c r="J50" s="28"/>
      <c r="K50" s="29" t="s">
        <v>22</v>
      </c>
      <c r="L50" s="30">
        <v>339640.54</v>
      </c>
    </row>
    <row r="52" spans="1:12" x14ac:dyDescent="0.3">
      <c r="J52" s="1">
        <f>SUBTOTAL(9,I7:J49)</f>
        <v>2855886.2</v>
      </c>
    </row>
  </sheetData>
  <autoFilter ref="A1:L50" xr:uid="{515C023F-43A2-488E-A293-21A52523A5C4}">
    <filterColumn colId="1">
      <filters>
        <filter val="Вимога-накладна ІБ00-000256 від 03.04.2025 17:41:31_x000a_Списаны ТМЦ"/>
        <filter val="Вимога-накладна ІБ00-000277 від 29.04.2025 14:08:17_x000a_Списаны ТМЦ"/>
        <filter val="Вимога-накладна ІБ00-000347 від 30.04.2025 20:00:00_x000a_Списаны ТМЦ"/>
        <filter val="Списання товарів ІБ00-000201 від 29.04.2025 0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06">
    <mergeCell ref="F49:G49"/>
    <mergeCell ref="I49:J49"/>
    <mergeCell ref="A50:D50"/>
    <mergeCell ref="E50:G50"/>
    <mergeCell ref="H50:J50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0727-3395-4484-B2EC-3E960120A3A2}">
  <sheetPr filterMode="1"/>
  <dimension ref="A1:L9"/>
  <sheetViews>
    <sheetView workbookViewId="0">
      <selection activeCell="J9" sqref="J9"/>
    </sheetView>
  </sheetViews>
  <sheetFormatPr defaultRowHeight="14.4" x14ac:dyDescent="0.3"/>
  <cols>
    <col min="2" max="4" width="25.33203125" customWidth="1"/>
  </cols>
  <sheetData>
    <row r="1" spans="1:12" x14ac:dyDescent="0.3">
      <c r="A1" s="31" t="s">
        <v>14</v>
      </c>
      <c r="B1" s="32" t="s">
        <v>15</v>
      </c>
      <c r="C1" s="32" t="s">
        <v>16</v>
      </c>
      <c r="D1" s="33" t="s">
        <v>17</v>
      </c>
      <c r="E1" s="34" t="s">
        <v>18</v>
      </c>
      <c r="F1" s="34"/>
      <c r="G1" s="34"/>
      <c r="H1" s="35" t="s">
        <v>19</v>
      </c>
      <c r="I1" s="35"/>
      <c r="J1" s="35"/>
      <c r="K1" s="32" t="s">
        <v>20</v>
      </c>
      <c r="L1" s="32"/>
    </row>
    <row r="2" spans="1:12" hidden="1" x14ac:dyDescent="0.3">
      <c r="A2" s="36"/>
      <c r="B2" s="37"/>
      <c r="C2" s="37"/>
      <c r="D2" s="38"/>
      <c r="E2" s="39" t="s">
        <v>21</v>
      </c>
      <c r="F2" s="40"/>
      <c r="G2" s="40"/>
      <c r="H2" s="41" t="s">
        <v>21</v>
      </c>
      <c r="I2" s="42"/>
      <c r="J2" s="42"/>
      <c r="K2" s="36"/>
      <c r="L2" s="43"/>
    </row>
    <row r="3" spans="1:12" ht="61.2" hidden="1" x14ac:dyDescent="0.3">
      <c r="A3" s="44" t="s">
        <v>98</v>
      </c>
      <c r="B3" s="45" t="s">
        <v>106</v>
      </c>
      <c r="C3" s="45" t="s">
        <v>107</v>
      </c>
      <c r="D3" s="45" t="s">
        <v>108</v>
      </c>
      <c r="E3" s="46" t="s">
        <v>27</v>
      </c>
      <c r="F3" s="47">
        <v>46829.29</v>
      </c>
      <c r="G3" s="47"/>
      <c r="H3" s="46" t="s">
        <v>27</v>
      </c>
      <c r="I3" s="48" t="s">
        <v>28</v>
      </c>
      <c r="J3" s="48"/>
      <c r="K3" s="49" t="s">
        <v>22</v>
      </c>
      <c r="L3" s="50">
        <v>46829.29</v>
      </c>
    </row>
    <row r="4" spans="1:12" ht="61.2" hidden="1" x14ac:dyDescent="0.3">
      <c r="A4" s="44" t="s">
        <v>98</v>
      </c>
      <c r="B4" s="45" t="s">
        <v>106</v>
      </c>
      <c r="C4" s="45" t="s">
        <v>109</v>
      </c>
      <c r="D4" s="45" t="s">
        <v>110</v>
      </c>
      <c r="E4" s="46" t="s">
        <v>27</v>
      </c>
      <c r="F4" s="51">
        <v>434.74</v>
      </c>
      <c r="G4" s="51"/>
      <c r="H4" s="46" t="s">
        <v>27</v>
      </c>
      <c r="I4" s="48" t="s">
        <v>28</v>
      </c>
      <c r="J4" s="48"/>
      <c r="K4" s="49" t="s">
        <v>22</v>
      </c>
      <c r="L4" s="50">
        <v>47264.03</v>
      </c>
    </row>
    <row r="5" spans="1:12" ht="51" x14ac:dyDescent="0.3">
      <c r="A5" s="44" t="s">
        <v>98</v>
      </c>
      <c r="B5" s="45" t="s">
        <v>111</v>
      </c>
      <c r="C5" s="45" t="s">
        <v>39</v>
      </c>
      <c r="D5" s="45" t="s">
        <v>107</v>
      </c>
      <c r="E5" s="46" t="s">
        <v>41</v>
      </c>
      <c r="F5" s="52" t="s">
        <v>28</v>
      </c>
      <c r="G5" s="52"/>
      <c r="H5" s="46" t="s">
        <v>27</v>
      </c>
      <c r="I5" s="53">
        <v>46829.29</v>
      </c>
      <c r="J5" s="53"/>
      <c r="K5" s="49" t="s">
        <v>22</v>
      </c>
      <c r="L5" s="54">
        <v>434.74</v>
      </c>
    </row>
    <row r="6" spans="1:12" ht="51" x14ac:dyDescent="0.3">
      <c r="A6" s="44" t="s">
        <v>98</v>
      </c>
      <c r="B6" s="45" t="s">
        <v>111</v>
      </c>
      <c r="C6" s="45" t="s">
        <v>39</v>
      </c>
      <c r="D6" s="45" t="s">
        <v>109</v>
      </c>
      <c r="E6" s="46" t="s">
        <v>41</v>
      </c>
      <c r="F6" s="52" t="s">
        <v>28</v>
      </c>
      <c r="G6" s="52"/>
      <c r="H6" s="46" t="s">
        <v>27</v>
      </c>
      <c r="I6" s="55">
        <v>434.74</v>
      </c>
      <c r="J6" s="55"/>
      <c r="K6" s="49"/>
      <c r="L6" s="56"/>
    </row>
    <row r="7" spans="1:12" hidden="1" x14ac:dyDescent="0.3">
      <c r="A7" s="57" t="s">
        <v>105</v>
      </c>
      <c r="B7" s="57"/>
      <c r="C7" s="57"/>
      <c r="D7" s="57"/>
      <c r="E7" s="58">
        <v>47264.03</v>
      </c>
      <c r="F7" s="58"/>
      <c r="G7" s="58"/>
      <c r="H7" s="58">
        <v>47264.03</v>
      </c>
      <c r="I7" s="58"/>
      <c r="J7" s="58"/>
      <c r="K7" s="59"/>
      <c r="L7" s="60">
        <v>0</v>
      </c>
    </row>
    <row r="9" spans="1:12" x14ac:dyDescent="0.3">
      <c r="J9" s="1">
        <f>SUBTOTAL(9,I5:J6)</f>
        <v>47264.03</v>
      </c>
    </row>
  </sheetData>
  <autoFilter ref="A1:L7" xr:uid="{A1E830B7-3672-45B1-A568-B6B051E83491}">
    <filterColumn colId="1">
      <filters>
        <filter val="Вимога-накладна ІБ00-000328 від 30.04.2025 1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0">
    <mergeCell ref="A7:D7"/>
    <mergeCell ref="E7:G7"/>
    <mergeCell ref="H7:J7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A44A-49E1-40EE-8334-C8603D75B733}">
  <sheetPr filterMode="1"/>
  <dimension ref="A1:L26"/>
  <sheetViews>
    <sheetView workbookViewId="0">
      <selection activeCell="J27" sqref="J27"/>
    </sheetView>
  </sheetViews>
  <sheetFormatPr defaultRowHeight="14.4" x14ac:dyDescent="0.3"/>
  <cols>
    <col min="2" max="4" width="25.33203125" customWidth="1"/>
  </cols>
  <sheetData>
    <row r="1" spans="1:12" x14ac:dyDescent="0.3">
      <c r="A1" s="61" t="s">
        <v>14</v>
      </c>
      <c r="B1" s="62" t="s">
        <v>15</v>
      </c>
      <c r="C1" s="62" t="s">
        <v>16</v>
      </c>
      <c r="D1" s="63" t="s">
        <v>17</v>
      </c>
      <c r="E1" s="64" t="s">
        <v>18</v>
      </c>
      <c r="F1" s="64"/>
      <c r="G1" s="64"/>
      <c r="H1" s="65" t="s">
        <v>19</v>
      </c>
      <c r="I1" s="65"/>
      <c r="J1" s="65"/>
      <c r="K1" s="62" t="s">
        <v>20</v>
      </c>
      <c r="L1" s="62"/>
    </row>
    <row r="2" spans="1:12" hidden="1" x14ac:dyDescent="0.3">
      <c r="A2" s="66"/>
      <c r="B2" s="67"/>
      <c r="C2" s="67"/>
      <c r="D2" s="68"/>
      <c r="E2" s="69" t="s">
        <v>21</v>
      </c>
      <c r="F2" s="70"/>
      <c r="G2" s="70"/>
      <c r="H2" s="71" t="s">
        <v>21</v>
      </c>
      <c r="I2" s="72"/>
      <c r="J2" s="72"/>
      <c r="K2" s="66"/>
      <c r="L2" s="73"/>
    </row>
    <row r="3" spans="1:12" ht="51" hidden="1" x14ac:dyDescent="0.3">
      <c r="A3" s="74" t="s">
        <v>23</v>
      </c>
      <c r="B3" s="75" t="s">
        <v>112</v>
      </c>
      <c r="C3" s="75" t="s">
        <v>113</v>
      </c>
      <c r="D3" s="75" t="s">
        <v>114</v>
      </c>
      <c r="E3" s="76" t="s">
        <v>27</v>
      </c>
      <c r="F3" s="77">
        <v>400</v>
      </c>
      <c r="G3" s="77"/>
      <c r="H3" s="76" t="s">
        <v>58</v>
      </c>
      <c r="I3" s="78" t="s">
        <v>28</v>
      </c>
      <c r="J3" s="78"/>
      <c r="K3" s="79" t="s">
        <v>22</v>
      </c>
      <c r="L3" s="80">
        <v>119748.1</v>
      </c>
    </row>
    <row r="4" spans="1:12" ht="51" hidden="1" x14ac:dyDescent="0.3">
      <c r="A4" s="74" t="s">
        <v>23</v>
      </c>
      <c r="B4" s="75" t="s">
        <v>115</v>
      </c>
      <c r="C4" s="75" t="s">
        <v>116</v>
      </c>
      <c r="D4" s="75" t="s">
        <v>117</v>
      </c>
      <c r="E4" s="76" t="s">
        <v>27</v>
      </c>
      <c r="F4" s="81">
        <v>5148.68</v>
      </c>
      <c r="G4" s="81"/>
      <c r="H4" s="76" t="s">
        <v>27</v>
      </c>
      <c r="I4" s="78" t="s">
        <v>28</v>
      </c>
      <c r="J4" s="78"/>
      <c r="K4" s="79" t="s">
        <v>22</v>
      </c>
      <c r="L4" s="80">
        <v>124896.78</v>
      </c>
    </row>
    <row r="5" spans="1:12" ht="61.2" hidden="1" x14ac:dyDescent="0.3">
      <c r="A5" s="74" t="s">
        <v>23</v>
      </c>
      <c r="B5" s="75" t="s">
        <v>115</v>
      </c>
      <c r="C5" s="75" t="s">
        <v>118</v>
      </c>
      <c r="D5" s="75" t="s">
        <v>119</v>
      </c>
      <c r="E5" s="76" t="s">
        <v>27</v>
      </c>
      <c r="F5" s="81">
        <v>5792.26</v>
      </c>
      <c r="G5" s="81"/>
      <c r="H5" s="76" t="s">
        <v>27</v>
      </c>
      <c r="I5" s="78" t="s">
        <v>28</v>
      </c>
      <c r="J5" s="78"/>
      <c r="K5" s="79" t="s">
        <v>22</v>
      </c>
      <c r="L5" s="80">
        <v>130689.04</v>
      </c>
    </row>
    <row r="6" spans="1:12" ht="51" hidden="1" x14ac:dyDescent="0.3">
      <c r="A6" s="74" t="s">
        <v>23</v>
      </c>
      <c r="B6" s="75" t="s">
        <v>115</v>
      </c>
      <c r="C6" s="75" t="s">
        <v>120</v>
      </c>
      <c r="D6" s="75" t="s">
        <v>121</v>
      </c>
      <c r="E6" s="76" t="s">
        <v>27</v>
      </c>
      <c r="F6" s="77">
        <v>343.23</v>
      </c>
      <c r="G6" s="77"/>
      <c r="H6" s="76" t="s">
        <v>27</v>
      </c>
      <c r="I6" s="78" t="s">
        <v>28</v>
      </c>
      <c r="J6" s="78"/>
      <c r="K6" s="79" t="s">
        <v>22</v>
      </c>
      <c r="L6" s="80">
        <v>131032.27</v>
      </c>
    </row>
    <row r="7" spans="1:12" ht="51" hidden="1" x14ac:dyDescent="0.3">
      <c r="A7" s="74" t="s">
        <v>23</v>
      </c>
      <c r="B7" s="75" t="s">
        <v>115</v>
      </c>
      <c r="C7" s="75" t="s">
        <v>122</v>
      </c>
      <c r="D7" s="75" t="s">
        <v>123</v>
      </c>
      <c r="E7" s="76" t="s">
        <v>27</v>
      </c>
      <c r="F7" s="81">
        <v>14567.68</v>
      </c>
      <c r="G7" s="81"/>
      <c r="H7" s="76" t="s">
        <v>27</v>
      </c>
      <c r="I7" s="78" t="s">
        <v>28</v>
      </c>
      <c r="J7" s="78"/>
      <c r="K7" s="79" t="s">
        <v>22</v>
      </c>
      <c r="L7" s="80">
        <v>145599.95000000001</v>
      </c>
    </row>
    <row r="8" spans="1:12" ht="51" hidden="1" x14ac:dyDescent="0.3">
      <c r="A8" s="74" t="s">
        <v>23</v>
      </c>
      <c r="B8" s="75" t="s">
        <v>115</v>
      </c>
      <c r="C8" s="75" t="s">
        <v>124</v>
      </c>
      <c r="D8" s="75" t="s">
        <v>125</v>
      </c>
      <c r="E8" s="76" t="s">
        <v>27</v>
      </c>
      <c r="F8" s="81">
        <v>2865.61</v>
      </c>
      <c r="G8" s="81"/>
      <c r="H8" s="76" t="s">
        <v>27</v>
      </c>
      <c r="I8" s="78" t="s">
        <v>28</v>
      </c>
      <c r="J8" s="78"/>
      <c r="K8" s="79" t="s">
        <v>22</v>
      </c>
      <c r="L8" s="80">
        <v>148465.56</v>
      </c>
    </row>
    <row r="9" spans="1:12" ht="61.2" hidden="1" x14ac:dyDescent="0.3">
      <c r="A9" s="74" t="s">
        <v>23</v>
      </c>
      <c r="B9" s="75" t="s">
        <v>115</v>
      </c>
      <c r="C9" s="75" t="s">
        <v>126</v>
      </c>
      <c r="D9" s="75" t="s">
        <v>127</v>
      </c>
      <c r="E9" s="76" t="s">
        <v>27</v>
      </c>
      <c r="F9" s="81">
        <v>4370.3</v>
      </c>
      <c r="G9" s="81"/>
      <c r="H9" s="76" t="s">
        <v>27</v>
      </c>
      <c r="I9" s="78" t="s">
        <v>28</v>
      </c>
      <c r="J9" s="78"/>
      <c r="K9" s="79" t="s">
        <v>22</v>
      </c>
      <c r="L9" s="80">
        <v>152835.85999999999</v>
      </c>
    </row>
    <row r="10" spans="1:12" ht="51" x14ac:dyDescent="0.3">
      <c r="A10" s="74" t="s">
        <v>128</v>
      </c>
      <c r="B10" s="75" t="s">
        <v>129</v>
      </c>
      <c r="C10" s="75" t="s">
        <v>39</v>
      </c>
      <c r="D10" s="75" t="s">
        <v>130</v>
      </c>
      <c r="E10" s="76" t="s">
        <v>41</v>
      </c>
      <c r="F10" s="82" t="s">
        <v>28</v>
      </c>
      <c r="G10" s="82"/>
      <c r="H10" s="76" t="s">
        <v>27</v>
      </c>
      <c r="I10" s="83">
        <v>358.6</v>
      </c>
      <c r="J10" s="83"/>
      <c r="K10" s="79" t="s">
        <v>22</v>
      </c>
      <c r="L10" s="80">
        <v>152477.26</v>
      </c>
    </row>
    <row r="11" spans="1:12" ht="51" x14ac:dyDescent="0.3">
      <c r="A11" s="74" t="s">
        <v>37</v>
      </c>
      <c r="B11" s="75" t="s">
        <v>131</v>
      </c>
      <c r="C11" s="75" t="s">
        <v>39</v>
      </c>
      <c r="D11" s="75" t="s">
        <v>132</v>
      </c>
      <c r="E11" s="76" t="s">
        <v>41</v>
      </c>
      <c r="F11" s="82" t="s">
        <v>28</v>
      </c>
      <c r="G11" s="82"/>
      <c r="H11" s="76" t="s">
        <v>27</v>
      </c>
      <c r="I11" s="83">
        <v>446.15</v>
      </c>
      <c r="J11" s="83"/>
      <c r="K11" s="79" t="s">
        <v>22</v>
      </c>
      <c r="L11" s="80">
        <v>152031.10999999999</v>
      </c>
    </row>
    <row r="12" spans="1:12" ht="61.2" hidden="1" x14ac:dyDescent="0.3">
      <c r="A12" s="74" t="s">
        <v>59</v>
      </c>
      <c r="B12" s="75" t="s">
        <v>133</v>
      </c>
      <c r="C12" s="75" t="s">
        <v>134</v>
      </c>
      <c r="D12" s="75" t="s">
        <v>135</v>
      </c>
      <c r="E12" s="76" t="s">
        <v>27</v>
      </c>
      <c r="F12" s="81">
        <v>1602.75</v>
      </c>
      <c r="G12" s="81"/>
      <c r="H12" s="76" t="s">
        <v>58</v>
      </c>
      <c r="I12" s="78" t="s">
        <v>28</v>
      </c>
      <c r="J12" s="78"/>
      <c r="K12" s="79" t="s">
        <v>22</v>
      </c>
      <c r="L12" s="80">
        <v>153633.85999999999</v>
      </c>
    </row>
    <row r="13" spans="1:12" ht="51" hidden="1" x14ac:dyDescent="0.3">
      <c r="A13" s="74" t="s">
        <v>67</v>
      </c>
      <c r="B13" s="75" t="s">
        <v>136</v>
      </c>
      <c r="C13" s="75" t="s">
        <v>137</v>
      </c>
      <c r="D13" s="75" t="s">
        <v>138</v>
      </c>
      <c r="E13" s="76" t="s">
        <v>27</v>
      </c>
      <c r="F13" s="81">
        <v>3941.11</v>
      </c>
      <c r="G13" s="81"/>
      <c r="H13" s="76" t="s">
        <v>27</v>
      </c>
      <c r="I13" s="78" t="s">
        <v>28</v>
      </c>
      <c r="J13" s="78"/>
      <c r="K13" s="79" t="s">
        <v>22</v>
      </c>
      <c r="L13" s="80">
        <v>157574.97</v>
      </c>
    </row>
    <row r="14" spans="1:12" ht="61.2" hidden="1" x14ac:dyDescent="0.3">
      <c r="A14" s="74" t="s">
        <v>71</v>
      </c>
      <c r="B14" s="75" t="s">
        <v>139</v>
      </c>
      <c r="C14" s="75" t="s">
        <v>140</v>
      </c>
      <c r="D14" s="75" t="s">
        <v>141</v>
      </c>
      <c r="E14" s="76" t="s">
        <v>27</v>
      </c>
      <c r="F14" s="81">
        <v>5250</v>
      </c>
      <c r="G14" s="81"/>
      <c r="H14" s="76" t="s">
        <v>58</v>
      </c>
      <c r="I14" s="78" t="s">
        <v>28</v>
      </c>
      <c r="J14" s="78"/>
      <c r="K14" s="79" t="s">
        <v>22</v>
      </c>
      <c r="L14" s="80">
        <v>162824.97</v>
      </c>
    </row>
    <row r="15" spans="1:12" ht="51" hidden="1" x14ac:dyDescent="0.3">
      <c r="A15" s="74" t="s">
        <v>71</v>
      </c>
      <c r="B15" s="75" t="s">
        <v>142</v>
      </c>
      <c r="C15" s="75" t="s">
        <v>143</v>
      </c>
      <c r="D15" s="75" t="s">
        <v>144</v>
      </c>
      <c r="E15" s="76" t="s">
        <v>27</v>
      </c>
      <c r="F15" s="81">
        <v>13345.5</v>
      </c>
      <c r="G15" s="81"/>
      <c r="H15" s="76" t="s">
        <v>58</v>
      </c>
      <c r="I15" s="78" t="s">
        <v>28</v>
      </c>
      <c r="J15" s="78"/>
      <c r="K15" s="79" t="s">
        <v>22</v>
      </c>
      <c r="L15" s="80">
        <v>176170.47</v>
      </c>
    </row>
    <row r="16" spans="1:12" ht="51" hidden="1" x14ac:dyDescent="0.3">
      <c r="A16" s="74" t="s">
        <v>71</v>
      </c>
      <c r="B16" s="75" t="s">
        <v>145</v>
      </c>
      <c r="C16" s="75" t="s">
        <v>143</v>
      </c>
      <c r="D16" s="75" t="s">
        <v>144</v>
      </c>
      <c r="E16" s="76" t="s">
        <v>27</v>
      </c>
      <c r="F16" s="81">
        <v>13671</v>
      </c>
      <c r="G16" s="81"/>
      <c r="H16" s="76" t="s">
        <v>58</v>
      </c>
      <c r="I16" s="78" t="s">
        <v>28</v>
      </c>
      <c r="J16" s="78"/>
      <c r="K16" s="79" t="s">
        <v>22</v>
      </c>
      <c r="L16" s="80">
        <v>189841.47</v>
      </c>
    </row>
    <row r="17" spans="1:12" ht="61.2" hidden="1" x14ac:dyDescent="0.3">
      <c r="A17" s="74" t="s">
        <v>146</v>
      </c>
      <c r="B17" s="75" t="s">
        <v>147</v>
      </c>
      <c r="C17" s="75" t="s">
        <v>148</v>
      </c>
      <c r="D17" s="75" t="s">
        <v>149</v>
      </c>
      <c r="E17" s="76" t="s">
        <v>27</v>
      </c>
      <c r="F17" s="81">
        <v>10017</v>
      </c>
      <c r="G17" s="81"/>
      <c r="H17" s="76" t="s">
        <v>58</v>
      </c>
      <c r="I17" s="78" t="s">
        <v>28</v>
      </c>
      <c r="J17" s="78"/>
      <c r="K17" s="79" t="s">
        <v>22</v>
      </c>
      <c r="L17" s="80">
        <v>199858.47</v>
      </c>
    </row>
    <row r="18" spans="1:12" ht="61.2" hidden="1" x14ac:dyDescent="0.3">
      <c r="A18" s="74" t="s">
        <v>146</v>
      </c>
      <c r="B18" s="75" t="s">
        <v>150</v>
      </c>
      <c r="C18" s="75" t="s">
        <v>148</v>
      </c>
      <c r="D18" s="75" t="s">
        <v>149</v>
      </c>
      <c r="E18" s="76" t="s">
        <v>27</v>
      </c>
      <c r="F18" s="81">
        <v>10573.5</v>
      </c>
      <c r="G18" s="81"/>
      <c r="H18" s="76" t="s">
        <v>58</v>
      </c>
      <c r="I18" s="78" t="s">
        <v>28</v>
      </c>
      <c r="J18" s="78"/>
      <c r="K18" s="79" t="s">
        <v>22</v>
      </c>
      <c r="L18" s="80">
        <v>210431.97</v>
      </c>
    </row>
    <row r="19" spans="1:12" ht="61.2" hidden="1" x14ac:dyDescent="0.3">
      <c r="A19" s="74" t="s">
        <v>151</v>
      </c>
      <c r="B19" s="75" t="s">
        <v>152</v>
      </c>
      <c r="C19" s="75" t="s">
        <v>153</v>
      </c>
      <c r="D19" s="75" t="s">
        <v>154</v>
      </c>
      <c r="E19" s="76" t="s">
        <v>27</v>
      </c>
      <c r="F19" s="81">
        <v>18870</v>
      </c>
      <c r="G19" s="81"/>
      <c r="H19" s="76" t="s">
        <v>27</v>
      </c>
      <c r="I19" s="78" t="s">
        <v>28</v>
      </c>
      <c r="J19" s="78"/>
      <c r="K19" s="79" t="s">
        <v>22</v>
      </c>
      <c r="L19" s="80">
        <v>229301.97</v>
      </c>
    </row>
    <row r="20" spans="1:12" ht="61.2" hidden="1" x14ac:dyDescent="0.3">
      <c r="A20" s="74" t="s">
        <v>155</v>
      </c>
      <c r="B20" s="75" t="s">
        <v>156</v>
      </c>
      <c r="C20" s="75" t="s">
        <v>157</v>
      </c>
      <c r="D20" s="75" t="s">
        <v>158</v>
      </c>
      <c r="E20" s="76" t="s">
        <v>27</v>
      </c>
      <c r="F20" s="81">
        <v>9105</v>
      </c>
      <c r="G20" s="81"/>
      <c r="H20" s="76" t="s">
        <v>27</v>
      </c>
      <c r="I20" s="78" t="s">
        <v>28</v>
      </c>
      <c r="J20" s="78"/>
      <c r="K20" s="79" t="s">
        <v>22</v>
      </c>
      <c r="L20" s="80">
        <v>238406.97</v>
      </c>
    </row>
    <row r="21" spans="1:12" ht="51" hidden="1" x14ac:dyDescent="0.3">
      <c r="A21" s="74" t="s">
        <v>98</v>
      </c>
      <c r="B21" s="75" t="s">
        <v>159</v>
      </c>
      <c r="C21" s="75" t="s">
        <v>160</v>
      </c>
      <c r="D21" s="75" t="s">
        <v>161</v>
      </c>
      <c r="E21" s="76" t="s">
        <v>27</v>
      </c>
      <c r="F21" s="82" t="s">
        <v>28</v>
      </c>
      <c r="G21" s="82"/>
      <c r="H21" s="76" t="s">
        <v>27</v>
      </c>
      <c r="I21" s="84">
        <v>5035.45</v>
      </c>
      <c r="J21" s="84"/>
      <c r="K21" s="79" t="s">
        <v>22</v>
      </c>
      <c r="L21" s="80">
        <v>233371.51999999999</v>
      </c>
    </row>
    <row r="22" spans="1:12" ht="51" hidden="1" x14ac:dyDescent="0.3">
      <c r="A22" s="74" t="s">
        <v>98</v>
      </c>
      <c r="B22" s="75" t="s">
        <v>159</v>
      </c>
      <c r="C22" s="75" t="s">
        <v>162</v>
      </c>
      <c r="D22" s="75" t="s">
        <v>137</v>
      </c>
      <c r="E22" s="76" t="s">
        <v>27</v>
      </c>
      <c r="F22" s="82" t="s">
        <v>28</v>
      </c>
      <c r="G22" s="82"/>
      <c r="H22" s="76" t="s">
        <v>27</v>
      </c>
      <c r="I22" s="84">
        <v>3941.11</v>
      </c>
      <c r="J22" s="84"/>
      <c r="K22" s="79" t="s">
        <v>22</v>
      </c>
      <c r="L22" s="80">
        <v>229430.41</v>
      </c>
    </row>
    <row r="23" spans="1:12" ht="51" hidden="1" x14ac:dyDescent="0.3">
      <c r="A23" s="74" t="s">
        <v>98</v>
      </c>
      <c r="B23" s="75" t="s">
        <v>163</v>
      </c>
      <c r="C23" s="75" t="s">
        <v>164</v>
      </c>
      <c r="D23" s="75" t="s">
        <v>143</v>
      </c>
      <c r="E23" s="76" t="s">
        <v>27</v>
      </c>
      <c r="F23" s="82" t="s">
        <v>28</v>
      </c>
      <c r="G23" s="82"/>
      <c r="H23" s="76" t="s">
        <v>27</v>
      </c>
      <c r="I23" s="84">
        <v>17537.21</v>
      </c>
      <c r="J23" s="84"/>
      <c r="K23" s="79" t="s">
        <v>22</v>
      </c>
      <c r="L23" s="80">
        <v>211893.2</v>
      </c>
    </row>
    <row r="24" spans="1:12" hidden="1" x14ac:dyDescent="0.3">
      <c r="A24" s="85" t="s">
        <v>105</v>
      </c>
      <c r="B24" s="85"/>
      <c r="C24" s="85"/>
      <c r="D24" s="85"/>
      <c r="E24" s="86">
        <v>119863.62</v>
      </c>
      <c r="F24" s="86"/>
      <c r="G24" s="86"/>
      <c r="H24" s="86">
        <v>27318.52</v>
      </c>
      <c r="I24" s="86"/>
      <c r="J24" s="86"/>
      <c r="K24" s="87" t="s">
        <v>22</v>
      </c>
      <c r="L24" s="88">
        <v>211893.2</v>
      </c>
    </row>
    <row r="26" spans="1:12" x14ac:dyDescent="0.3">
      <c r="J26">
        <f>SUBTOTAL(9,I10:J11)</f>
        <v>804.75</v>
      </c>
    </row>
  </sheetData>
  <autoFilter ref="A1:L24" xr:uid="{7F617B5F-FD40-449C-98BD-74ED20F918A3}">
    <filterColumn colId="1">
      <filters>
        <filter val="Списання товарів ІБ00-000168 від 02.04.2025 15:47:34_x000a_Списаны ТМЦ"/>
        <filter val="Списання товарів ІБ00-000199 від 03.04.2025 17:41:39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54">
    <mergeCell ref="F22:G22"/>
    <mergeCell ref="I22:J22"/>
    <mergeCell ref="F23:G23"/>
    <mergeCell ref="I23:J23"/>
    <mergeCell ref="A24:D24"/>
    <mergeCell ref="E24:G24"/>
    <mergeCell ref="H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6155-5330-4D0E-AC4B-76F1AD1DF1CE}">
  <sheetPr filterMode="1"/>
  <dimension ref="A1:L20"/>
  <sheetViews>
    <sheetView workbookViewId="0">
      <selection activeCell="J20" sqref="J20"/>
    </sheetView>
  </sheetViews>
  <sheetFormatPr defaultRowHeight="14.4" x14ac:dyDescent="0.3"/>
  <cols>
    <col min="2" max="4" width="25.33203125" customWidth="1"/>
  </cols>
  <sheetData>
    <row r="1" spans="1:12" x14ac:dyDescent="0.3">
      <c r="A1" s="89" t="s">
        <v>14</v>
      </c>
      <c r="B1" s="90" t="s">
        <v>15</v>
      </c>
      <c r="C1" s="90" t="s">
        <v>16</v>
      </c>
      <c r="D1" s="91" t="s">
        <v>17</v>
      </c>
      <c r="E1" s="92" t="s">
        <v>18</v>
      </c>
      <c r="F1" s="92"/>
      <c r="G1" s="92"/>
      <c r="H1" s="93" t="s">
        <v>19</v>
      </c>
      <c r="I1" s="93"/>
      <c r="J1" s="93"/>
      <c r="K1" s="90" t="s">
        <v>20</v>
      </c>
      <c r="L1" s="90"/>
    </row>
    <row r="2" spans="1:12" hidden="1" x14ac:dyDescent="0.3">
      <c r="A2" s="94"/>
      <c r="B2" s="95"/>
      <c r="C2" s="95"/>
      <c r="D2" s="96"/>
      <c r="E2" s="97" t="s">
        <v>21</v>
      </c>
      <c r="F2" s="98"/>
      <c r="G2" s="98"/>
      <c r="H2" s="99" t="s">
        <v>21</v>
      </c>
      <c r="I2" s="100"/>
      <c r="J2" s="100"/>
      <c r="K2" s="94"/>
      <c r="L2" s="101"/>
    </row>
    <row r="3" spans="1:12" ht="61.2" hidden="1" x14ac:dyDescent="0.3">
      <c r="A3" s="102" t="s">
        <v>23</v>
      </c>
      <c r="B3" s="103" t="s">
        <v>165</v>
      </c>
      <c r="C3" s="103" t="s">
        <v>166</v>
      </c>
      <c r="D3" s="103" t="s">
        <v>167</v>
      </c>
      <c r="E3" s="104" t="s">
        <v>27</v>
      </c>
      <c r="F3" s="105">
        <v>17820</v>
      </c>
      <c r="G3" s="105"/>
      <c r="H3" s="104" t="s">
        <v>58</v>
      </c>
      <c r="I3" s="106" t="s">
        <v>28</v>
      </c>
      <c r="J3" s="106"/>
      <c r="K3" s="107" t="s">
        <v>22</v>
      </c>
      <c r="L3" s="108">
        <v>179410.54</v>
      </c>
    </row>
    <row r="4" spans="1:12" ht="61.2" hidden="1" x14ac:dyDescent="0.3">
      <c r="A4" s="102" t="s">
        <v>23</v>
      </c>
      <c r="B4" s="103" t="s">
        <v>168</v>
      </c>
      <c r="C4" s="103" t="s">
        <v>169</v>
      </c>
      <c r="D4" s="103" t="s">
        <v>170</v>
      </c>
      <c r="E4" s="104" t="s">
        <v>27</v>
      </c>
      <c r="F4" s="105">
        <v>1980</v>
      </c>
      <c r="G4" s="105"/>
      <c r="H4" s="104" t="s">
        <v>58</v>
      </c>
      <c r="I4" s="106" t="s">
        <v>28</v>
      </c>
      <c r="J4" s="106"/>
      <c r="K4" s="107" t="s">
        <v>22</v>
      </c>
      <c r="L4" s="108">
        <v>181390.54</v>
      </c>
    </row>
    <row r="5" spans="1:12" ht="51" hidden="1" x14ac:dyDescent="0.3">
      <c r="A5" s="102" t="s">
        <v>23</v>
      </c>
      <c r="B5" s="103" t="s">
        <v>171</v>
      </c>
      <c r="C5" s="103" t="s">
        <v>172</v>
      </c>
      <c r="D5" s="103" t="s">
        <v>173</v>
      </c>
      <c r="E5" s="104" t="s">
        <v>27</v>
      </c>
      <c r="F5" s="105">
        <v>3167.5</v>
      </c>
      <c r="G5" s="105"/>
      <c r="H5" s="104" t="s">
        <v>27</v>
      </c>
      <c r="I5" s="106" t="s">
        <v>28</v>
      </c>
      <c r="J5" s="106"/>
      <c r="K5" s="107" t="s">
        <v>22</v>
      </c>
      <c r="L5" s="108">
        <v>184558.04</v>
      </c>
    </row>
    <row r="6" spans="1:12" ht="51" hidden="1" x14ac:dyDescent="0.3">
      <c r="A6" s="102" t="s">
        <v>23</v>
      </c>
      <c r="B6" s="103" t="s">
        <v>174</v>
      </c>
      <c r="C6" s="103" t="s">
        <v>175</v>
      </c>
      <c r="D6" s="103" t="s">
        <v>176</v>
      </c>
      <c r="E6" s="104" t="s">
        <v>27</v>
      </c>
      <c r="F6" s="109" t="s">
        <v>28</v>
      </c>
      <c r="G6" s="109"/>
      <c r="H6" s="104" t="s">
        <v>27</v>
      </c>
      <c r="I6" s="110">
        <v>27724.19</v>
      </c>
      <c r="J6" s="110"/>
      <c r="K6" s="107" t="s">
        <v>22</v>
      </c>
      <c r="L6" s="108">
        <v>156833.85</v>
      </c>
    </row>
    <row r="7" spans="1:12" ht="61.2" hidden="1" x14ac:dyDescent="0.3">
      <c r="A7" s="102" t="s">
        <v>177</v>
      </c>
      <c r="B7" s="103" t="s">
        <v>178</v>
      </c>
      <c r="C7" s="103" t="s">
        <v>179</v>
      </c>
      <c r="D7" s="103" t="s">
        <v>180</v>
      </c>
      <c r="E7" s="104" t="s">
        <v>27</v>
      </c>
      <c r="F7" s="105">
        <v>62647.17</v>
      </c>
      <c r="G7" s="105"/>
      <c r="H7" s="104" t="s">
        <v>27</v>
      </c>
      <c r="I7" s="106" t="s">
        <v>28</v>
      </c>
      <c r="J7" s="106"/>
      <c r="K7" s="107" t="s">
        <v>22</v>
      </c>
      <c r="L7" s="108">
        <v>219481.02</v>
      </c>
    </row>
    <row r="8" spans="1:12" ht="61.2" hidden="1" x14ac:dyDescent="0.3">
      <c r="A8" s="102" t="s">
        <v>181</v>
      </c>
      <c r="B8" s="103" t="s">
        <v>182</v>
      </c>
      <c r="C8" s="103" t="s">
        <v>183</v>
      </c>
      <c r="D8" s="103" t="s">
        <v>184</v>
      </c>
      <c r="E8" s="104" t="s">
        <v>27</v>
      </c>
      <c r="F8" s="105">
        <v>3327</v>
      </c>
      <c r="G8" s="105"/>
      <c r="H8" s="104" t="s">
        <v>58</v>
      </c>
      <c r="I8" s="106" t="s">
        <v>28</v>
      </c>
      <c r="J8" s="106"/>
      <c r="K8" s="107" t="s">
        <v>22</v>
      </c>
      <c r="L8" s="108">
        <v>222808.02</v>
      </c>
    </row>
    <row r="9" spans="1:12" ht="61.2" hidden="1" x14ac:dyDescent="0.3">
      <c r="A9" s="102" t="s">
        <v>185</v>
      </c>
      <c r="B9" s="103" t="s">
        <v>186</v>
      </c>
      <c r="C9" s="103" t="s">
        <v>187</v>
      </c>
      <c r="D9" s="103" t="s">
        <v>188</v>
      </c>
      <c r="E9" s="104" t="s">
        <v>27</v>
      </c>
      <c r="F9" s="105">
        <v>19797.330000000002</v>
      </c>
      <c r="G9" s="105"/>
      <c r="H9" s="104" t="s">
        <v>27</v>
      </c>
      <c r="I9" s="106" t="s">
        <v>28</v>
      </c>
      <c r="J9" s="106"/>
      <c r="K9" s="107" t="s">
        <v>22</v>
      </c>
      <c r="L9" s="108">
        <v>242605.35</v>
      </c>
    </row>
    <row r="10" spans="1:12" ht="51" hidden="1" x14ac:dyDescent="0.3">
      <c r="A10" s="102" t="s">
        <v>98</v>
      </c>
      <c r="B10" s="103" t="s">
        <v>163</v>
      </c>
      <c r="C10" s="103" t="s">
        <v>164</v>
      </c>
      <c r="D10" s="103" t="s">
        <v>143</v>
      </c>
      <c r="E10" s="104" t="s">
        <v>27</v>
      </c>
      <c r="F10" s="105">
        <v>17537.21</v>
      </c>
      <c r="G10" s="105"/>
      <c r="H10" s="104" t="s">
        <v>27</v>
      </c>
      <c r="I10" s="106" t="s">
        <v>28</v>
      </c>
      <c r="J10" s="106"/>
      <c r="K10" s="107" t="s">
        <v>22</v>
      </c>
      <c r="L10" s="108">
        <v>260142.56</v>
      </c>
    </row>
    <row r="11" spans="1:12" ht="51" hidden="1" x14ac:dyDescent="0.3">
      <c r="A11" s="102" t="s">
        <v>98</v>
      </c>
      <c r="B11" s="103" t="s">
        <v>189</v>
      </c>
      <c r="C11" s="103" t="s">
        <v>190</v>
      </c>
      <c r="D11" s="103" t="s">
        <v>191</v>
      </c>
      <c r="E11" s="104" t="s">
        <v>27</v>
      </c>
      <c r="F11" s="109" t="s">
        <v>28</v>
      </c>
      <c r="G11" s="109"/>
      <c r="H11" s="104" t="s">
        <v>27</v>
      </c>
      <c r="I11" s="110">
        <v>37254.239999999998</v>
      </c>
      <c r="J11" s="110"/>
      <c r="K11" s="107" t="s">
        <v>22</v>
      </c>
      <c r="L11" s="108">
        <v>222888.32000000001</v>
      </c>
    </row>
    <row r="12" spans="1:12" ht="51" hidden="1" x14ac:dyDescent="0.3">
      <c r="A12" s="102" t="s">
        <v>98</v>
      </c>
      <c r="B12" s="103" t="s">
        <v>192</v>
      </c>
      <c r="C12" s="103" t="s">
        <v>193</v>
      </c>
      <c r="D12" s="103" t="s">
        <v>191</v>
      </c>
      <c r="E12" s="104" t="s">
        <v>27</v>
      </c>
      <c r="F12" s="109" t="s">
        <v>28</v>
      </c>
      <c r="G12" s="109"/>
      <c r="H12" s="104" t="s">
        <v>27</v>
      </c>
      <c r="I12" s="110">
        <v>3184.12</v>
      </c>
      <c r="J12" s="110"/>
      <c r="K12" s="107" t="s">
        <v>22</v>
      </c>
      <c r="L12" s="108">
        <v>219704.2</v>
      </c>
    </row>
    <row r="13" spans="1:12" ht="51" hidden="1" x14ac:dyDescent="0.3">
      <c r="A13" s="102" t="s">
        <v>98</v>
      </c>
      <c r="B13" s="103" t="s">
        <v>194</v>
      </c>
      <c r="C13" s="103" t="s">
        <v>193</v>
      </c>
      <c r="D13" s="103" t="s">
        <v>191</v>
      </c>
      <c r="E13" s="104" t="s">
        <v>27</v>
      </c>
      <c r="F13" s="109" t="s">
        <v>28</v>
      </c>
      <c r="G13" s="109"/>
      <c r="H13" s="104" t="s">
        <v>27</v>
      </c>
      <c r="I13" s="110">
        <v>61533.18</v>
      </c>
      <c r="J13" s="110"/>
      <c r="K13" s="107" t="s">
        <v>22</v>
      </c>
      <c r="L13" s="108">
        <v>158171.01999999999</v>
      </c>
    </row>
    <row r="14" spans="1:12" ht="61.2" hidden="1" x14ac:dyDescent="0.3">
      <c r="A14" s="102" t="s">
        <v>98</v>
      </c>
      <c r="B14" s="103" t="s">
        <v>195</v>
      </c>
      <c r="C14" s="103" t="s">
        <v>196</v>
      </c>
      <c r="D14" s="103" t="s">
        <v>191</v>
      </c>
      <c r="E14" s="104" t="s">
        <v>27</v>
      </c>
      <c r="F14" s="109" t="s">
        <v>28</v>
      </c>
      <c r="G14" s="109"/>
      <c r="H14" s="104" t="s">
        <v>27</v>
      </c>
      <c r="I14" s="110">
        <v>23403.31</v>
      </c>
      <c r="J14" s="110"/>
      <c r="K14" s="107" t="s">
        <v>22</v>
      </c>
      <c r="L14" s="108">
        <v>134767.71</v>
      </c>
    </row>
    <row r="15" spans="1:12" ht="51" hidden="1" x14ac:dyDescent="0.3">
      <c r="A15" s="102" t="s">
        <v>98</v>
      </c>
      <c r="B15" s="103" t="s">
        <v>197</v>
      </c>
      <c r="C15" s="103" t="s">
        <v>198</v>
      </c>
      <c r="D15" s="103" t="s">
        <v>199</v>
      </c>
      <c r="E15" s="104" t="s">
        <v>27</v>
      </c>
      <c r="F15" s="109" t="s">
        <v>28</v>
      </c>
      <c r="G15" s="109"/>
      <c r="H15" s="104" t="s">
        <v>27</v>
      </c>
      <c r="I15" s="110">
        <v>8491.5</v>
      </c>
      <c r="J15" s="110"/>
      <c r="K15" s="107" t="s">
        <v>22</v>
      </c>
      <c r="L15" s="108">
        <v>126276.21</v>
      </c>
    </row>
    <row r="16" spans="1:12" ht="51" x14ac:dyDescent="0.3">
      <c r="A16" s="102" t="s">
        <v>98</v>
      </c>
      <c r="B16" s="103" t="s">
        <v>200</v>
      </c>
      <c r="C16" s="103" t="s">
        <v>39</v>
      </c>
      <c r="D16" s="103" t="s">
        <v>164</v>
      </c>
      <c r="E16" s="104" t="s">
        <v>41</v>
      </c>
      <c r="F16" s="109" t="s">
        <v>28</v>
      </c>
      <c r="G16" s="109"/>
      <c r="H16" s="104" t="s">
        <v>27</v>
      </c>
      <c r="I16" s="110">
        <v>17537.21</v>
      </c>
      <c r="J16" s="110"/>
      <c r="K16" s="107" t="s">
        <v>22</v>
      </c>
      <c r="L16" s="108">
        <v>108739</v>
      </c>
    </row>
    <row r="17" spans="1:12" ht="51" hidden="1" x14ac:dyDescent="0.3">
      <c r="A17" s="102" t="s">
        <v>98</v>
      </c>
      <c r="B17" s="103" t="s">
        <v>201</v>
      </c>
      <c r="C17" s="103" t="s">
        <v>202</v>
      </c>
      <c r="D17" s="103" t="s">
        <v>203</v>
      </c>
      <c r="E17" s="104" t="s">
        <v>27</v>
      </c>
      <c r="F17" s="105">
        <v>11827.73</v>
      </c>
      <c r="G17" s="105"/>
      <c r="H17" s="104" t="s">
        <v>27</v>
      </c>
      <c r="I17" s="106" t="s">
        <v>28</v>
      </c>
      <c r="J17" s="106"/>
      <c r="K17" s="107" t="s">
        <v>22</v>
      </c>
      <c r="L17" s="108">
        <v>120566.73</v>
      </c>
    </row>
    <row r="18" spans="1:12" hidden="1" x14ac:dyDescent="0.3">
      <c r="A18" s="111" t="s">
        <v>105</v>
      </c>
      <c r="B18" s="111"/>
      <c r="C18" s="111"/>
      <c r="D18" s="111"/>
      <c r="E18" s="112">
        <v>138103.94</v>
      </c>
      <c r="F18" s="112"/>
      <c r="G18" s="112"/>
      <c r="H18" s="112">
        <v>179127.75</v>
      </c>
      <c r="I18" s="112"/>
      <c r="J18" s="112"/>
      <c r="K18" s="113" t="s">
        <v>22</v>
      </c>
      <c r="L18" s="114">
        <v>120566.73</v>
      </c>
    </row>
    <row r="20" spans="1:12" x14ac:dyDescent="0.3">
      <c r="J20" s="1">
        <f>SUBTOTAL(9,I16)</f>
        <v>17537.21</v>
      </c>
    </row>
  </sheetData>
  <autoFilter ref="A1:L18" xr:uid="{BB6F1F75-3A3B-4E87-B5D9-6A568CD67BF2}">
    <filterColumn colId="1">
      <filters>
        <filter val="Вимога-накладна ІБ00-000337 від 30.04.2025 11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42">
    <mergeCell ref="F16:G16"/>
    <mergeCell ref="I16:J16"/>
    <mergeCell ref="F17:G17"/>
    <mergeCell ref="I17:J17"/>
    <mergeCell ref="A18:D18"/>
    <mergeCell ref="E18:G18"/>
    <mergeCell ref="H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6DD4-D030-4CBB-80F4-3CD391C3B337}">
  <sheetPr filterMode="1"/>
  <dimension ref="A1:L194"/>
  <sheetViews>
    <sheetView topLeftCell="A169" workbookViewId="0">
      <selection activeCell="J194" sqref="J194"/>
    </sheetView>
  </sheetViews>
  <sheetFormatPr defaultRowHeight="14.4" x14ac:dyDescent="0.3"/>
  <cols>
    <col min="2" max="4" width="25.33203125" customWidth="1"/>
  </cols>
  <sheetData>
    <row r="1" spans="1:12" x14ac:dyDescent="0.3">
      <c r="A1" s="115" t="s">
        <v>14</v>
      </c>
      <c r="B1" s="116" t="s">
        <v>15</v>
      </c>
      <c r="C1" s="116" t="s">
        <v>16</v>
      </c>
      <c r="D1" s="117" t="s">
        <v>17</v>
      </c>
      <c r="E1" s="118" t="s">
        <v>18</v>
      </c>
      <c r="F1" s="118"/>
      <c r="G1" s="118"/>
      <c r="H1" s="119" t="s">
        <v>19</v>
      </c>
      <c r="I1" s="119"/>
      <c r="J1" s="119"/>
      <c r="K1" s="116" t="s">
        <v>20</v>
      </c>
      <c r="L1" s="116"/>
    </row>
    <row r="2" spans="1:12" hidden="1" x14ac:dyDescent="0.3">
      <c r="A2" s="120"/>
      <c r="B2" s="121"/>
      <c r="C2" s="121"/>
      <c r="D2" s="122"/>
      <c r="E2" s="123" t="s">
        <v>21</v>
      </c>
      <c r="F2" s="124"/>
      <c r="G2" s="124"/>
      <c r="H2" s="125" t="s">
        <v>21</v>
      </c>
      <c r="I2" s="126"/>
      <c r="J2" s="126"/>
      <c r="K2" s="120"/>
      <c r="L2" s="127"/>
    </row>
    <row r="3" spans="1:12" ht="61.2" hidden="1" x14ac:dyDescent="0.3">
      <c r="A3" s="128" t="s">
        <v>23</v>
      </c>
      <c r="B3" s="129" t="s">
        <v>24</v>
      </c>
      <c r="C3" s="129" t="s">
        <v>25</v>
      </c>
      <c r="D3" s="129" t="s">
        <v>26</v>
      </c>
      <c r="E3" s="130" t="s">
        <v>27</v>
      </c>
      <c r="F3" s="131" t="s">
        <v>28</v>
      </c>
      <c r="G3" s="131"/>
      <c r="H3" s="130" t="s">
        <v>27</v>
      </c>
      <c r="I3" s="132">
        <v>2507.38</v>
      </c>
      <c r="J3" s="132"/>
      <c r="K3" s="133" t="s">
        <v>22</v>
      </c>
      <c r="L3" s="134">
        <v>385036.45</v>
      </c>
    </row>
    <row r="4" spans="1:12" ht="61.2" hidden="1" x14ac:dyDescent="0.3">
      <c r="A4" s="128" t="s">
        <v>23</v>
      </c>
      <c r="B4" s="129" t="s">
        <v>24</v>
      </c>
      <c r="C4" s="129" t="s">
        <v>29</v>
      </c>
      <c r="D4" s="129" t="s">
        <v>30</v>
      </c>
      <c r="E4" s="130" t="s">
        <v>27</v>
      </c>
      <c r="F4" s="131" t="s">
        <v>28</v>
      </c>
      <c r="G4" s="131"/>
      <c r="H4" s="130" t="s">
        <v>27</v>
      </c>
      <c r="I4" s="132">
        <v>93456</v>
      </c>
      <c r="J4" s="132"/>
      <c r="K4" s="133" t="s">
        <v>22</v>
      </c>
      <c r="L4" s="134">
        <v>291580.45</v>
      </c>
    </row>
    <row r="5" spans="1:12" ht="51" hidden="1" x14ac:dyDescent="0.3">
      <c r="A5" s="128" t="s">
        <v>23</v>
      </c>
      <c r="B5" s="129" t="s">
        <v>204</v>
      </c>
      <c r="C5" s="129" t="s">
        <v>205</v>
      </c>
      <c r="D5" s="129" t="s">
        <v>206</v>
      </c>
      <c r="E5" s="130" t="s">
        <v>27</v>
      </c>
      <c r="F5" s="135">
        <v>14828.4</v>
      </c>
      <c r="G5" s="135"/>
      <c r="H5" s="130" t="s">
        <v>58</v>
      </c>
      <c r="I5" s="136" t="s">
        <v>28</v>
      </c>
      <c r="J5" s="136"/>
      <c r="K5" s="133" t="s">
        <v>22</v>
      </c>
      <c r="L5" s="134">
        <v>306408.84999999998</v>
      </c>
    </row>
    <row r="6" spans="1:12" ht="61.2" hidden="1" x14ac:dyDescent="0.3">
      <c r="A6" s="128" t="s">
        <v>23</v>
      </c>
      <c r="B6" s="129" t="s">
        <v>204</v>
      </c>
      <c r="C6" s="129" t="s">
        <v>207</v>
      </c>
      <c r="D6" s="129" t="s">
        <v>206</v>
      </c>
      <c r="E6" s="130" t="s">
        <v>27</v>
      </c>
      <c r="F6" s="135">
        <v>22400</v>
      </c>
      <c r="G6" s="135"/>
      <c r="H6" s="130" t="s">
        <v>58</v>
      </c>
      <c r="I6" s="136" t="s">
        <v>28</v>
      </c>
      <c r="J6" s="136"/>
      <c r="K6" s="133" t="s">
        <v>22</v>
      </c>
      <c r="L6" s="134">
        <v>328808.84999999998</v>
      </c>
    </row>
    <row r="7" spans="1:12" ht="61.2" hidden="1" x14ac:dyDescent="0.3">
      <c r="A7" s="128" t="s">
        <v>23</v>
      </c>
      <c r="B7" s="129" t="s">
        <v>204</v>
      </c>
      <c r="C7" s="129" t="s">
        <v>208</v>
      </c>
      <c r="D7" s="129" t="s">
        <v>206</v>
      </c>
      <c r="E7" s="130" t="s">
        <v>27</v>
      </c>
      <c r="F7" s="135">
        <v>41466.67</v>
      </c>
      <c r="G7" s="135"/>
      <c r="H7" s="130" t="s">
        <v>58</v>
      </c>
      <c r="I7" s="136" t="s">
        <v>28</v>
      </c>
      <c r="J7" s="136"/>
      <c r="K7" s="133" t="s">
        <v>22</v>
      </c>
      <c r="L7" s="134">
        <v>370275.52</v>
      </c>
    </row>
    <row r="8" spans="1:12" ht="51" hidden="1" x14ac:dyDescent="0.3">
      <c r="A8" s="128" t="s">
        <v>23</v>
      </c>
      <c r="B8" s="129" t="s">
        <v>204</v>
      </c>
      <c r="C8" s="129" t="s">
        <v>209</v>
      </c>
      <c r="D8" s="129" t="s">
        <v>206</v>
      </c>
      <c r="E8" s="130" t="s">
        <v>27</v>
      </c>
      <c r="F8" s="135">
        <v>17560.400000000001</v>
      </c>
      <c r="G8" s="135"/>
      <c r="H8" s="130" t="s">
        <v>58</v>
      </c>
      <c r="I8" s="136" t="s">
        <v>28</v>
      </c>
      <c r="J8" s="136"/>
      <c r="K8" s="133" t="s">
        <v>22</v>
      </c>
      <c r="L8" s="134">
        <v>387835.92</v>
      </c>
    </row>
    <row r="9" spans="1:12" ht="51" hidden="1" x14ac:dyDescent="0.3">
      <c r="A9" s="128" t="s">
        <v>23</v>
      </c>
      <c r="B9" s="129" t="s">
        <v>204</v>
      </c>
      <c r="C9" s="129" t="s">
        <v>210</v>
      </c>
      <c r="D9" s="129" t="s">
        <v>206</v>
      </c>
      <c r="E9" s="130" t="s">
        <v>27</v>
      </c>
      <c r="F9" s="137">
        <v>996.24</v>
      </c>
      <c r="G9" s="137"/>
      <c r="H9" s="130" t="s">
        <v>58</v>
      </c>
      <c r="I9" s="136" t="s">
        <v>28</v>
      </c>
      <c r="J9" s="136"/>
      <c r="K9" s="133" t="s">
        <v>22</v>
      </c>
      <c r="L9" s="134">
        <v>388832.16</v>
      </c>
    </row>
    <row r="10" spans="1:12" ht="51" hidden="1" x14ac:dyDescent="0.3">
      <c r="A10" s="128" t="s">
        <v>23</v>
      </c>
      <c r="B10" s="129" t="s">
        <v>204</v>
      </c>
      <c r="C10" s="129" t="s">
        <v>117</v>
      </c>
      <c r="D10" s="129" t="s">
        <v>206</v>
      </c>
      <c r="E10" s="130" t="s">
        <v>27</v>
      </c>
      <c r="F10" s="135">
        <v>4898.5600000000004</v>
      </c>
      <c r="G10" s="135"/>
      <c r="H10" s="130" t="s">
        <v>58</v>
      </c>
      <c r="I10" s="136" t="s">
        <v>28</v>
      </c>
      <c r="J10" s="136"/>
      <c r="K10" s="133" t="s">
        <v>22</v>
      </c>
      <c r="L10" s="134">
        <v>393730.72</v>
      </c>
    </row>
    <row r="11" spans="1:12" ht="61.2" hidden="1" x14ac:dyDescent="0.3">
      <c r="A11" s="128" t="s">
        <v>23</v>
      </c>
      <c r="B11" s="129" t="s">
        <v>204</v>
      </c>
      <c r="C11" s="129" t="s">
        <v>119</v>
      </c>
      <c r="D11" s="129" t="s">
        <v>206</v>
      </c>
      <c r="E11" s="130" t="s">
        <v>27</v>
      </c>
      <c r="F11" s="135">
        <v>5510.88</v>
      </c>
      <c r="G11" s="135"/>
      <c r="H11" s="130" t="s">
        <v>58</v>
      </c>
      <c r="I11" s="136" t="s">
        <v>28</v>
      </c>
      <c r="J11" s="136"/>
      <c r="K11" s="133" t="s">
        <v>22</v>
      </c>
      <c r="L11" s="134">
        <v>399241.6</v>
      </c>
    </row>
    <row r="12" spans="1:12" ht="51" hidden="1" x14ac:dyDescent="0.3">
      <c r="A12" s="128" t="s">
        <v>23</v>
      </c>
      <c r="B12" s="129" t="s">
        <v>204</v>
      </c>
      <c r="C12" s="129" t="s">
        <v>121</v>
      </c>
      <c r="D12" s="129" t="s">
        <v>206</v>
      </c>
      <c r="E12" s="130" t="s">
        <v>27</v>
      </c>
      <c r="F12" s="137">
        <v>326.56</v>
      </c>
      <c r="G12" s="137"/>
      <c r="H12" s="130" t="s">
        <v>58</v>
      </c>
      <c r="I12" s="136" t="s">
        <v>28</v>
      </c>
      <c r="J12" s="136"/>
      <c r="K12" s="133" t="s">
        <v>22</v>
      </c>
      <c r="L12" s="134">
        <v>399568.16</v>
      </c>
    </row>
    <row r="13" spans="1:12" ht="51" hidden="1" x14ac:dyDescent="0.3">
      <c r="A13" s="128" t="s">
        <v>23</v>
      </c>
      <c r="B13" s="129" t="s">
        <v>204</v>
      </c>
      <c r="C13" s="129" t="s">
        <v>211</v>
      </c>
      <c r="D13" s="129" t="s">
        <v>206</v>
      </c>
      <c r="E13" s="130" t="s">
        <v>27</v>
      </c>
      <c r="F13" s="135">
        <v>109156.32</v>
      </c>
      <c r="G13" s="135"/>
      <c r="H13" s="130" t="s">
        <v>58</v>
      </c>
      <c r="I13" s="136" t="s">
        <v>28</v>
      </c>
      <c r="J13" s="136"/>
      <c r="K13" s="133" t="s">
        <v>22</v>
      </c>
      <c r="L13" s="134">
        <v>508724.47999999998</v>
      </c>
    </row>
    <row r="14" spans="1:12" ht="61.2" hidden="1" x14ac:dyDescent="0.3">
      <c r="A14" s="128" t="s">
        <v>23</v>
      </c>
      <c r="B14" s="129" t="s">
        <v>212</v>
      </c>
      <c r="C14" s="129" t="s">
        <v>213</v>
      </c>
      <c r="D14" s="129" t="s">
        <v>206</v>
      </c>
      <c r="E14" s="130" t="s">
        <v>27</v>
      </c>
      <c r="F14" s="135">
        <v>4093.58</v>
      </c>
      <c r="G14" s="135"/>
      <c r="H14" s="130" t="s">
        <v>58</v>
      </c>
      <c r="I14" s="136" t="s">
        <v>28</v>
      </c>
      <c r="J14" s="136"/>
      <c r="K14" s="133" t="s">
        <v>22</v>
      </c>
      <c r="L14" s="134">
        <v>512818.06</v>
      </c>
    </row>
    <row r="15" spans="1:12" ht="51" hidden="1" x14ac:dyDescent="0.3">
      <c r="A15" s="128" t="s">
        <v>23</v>
      </c>
      <c r="B15" s="129" t="s">
        <v>212</v>
      </c>
      <c r="C15" s="129" t="s">
        <v>123</v>
      </c>
      <c r="D15" s="129" t="s">
        <v>206</v>
      </c>
      <c r="E15" s="130" t="s">
        <v>27</v>
      </c>
      <c r="F15" s="135">
        <v>13860</v>
      </c>
      <c r="G15" s="135"/>
      <c r="H15" s="130" t="s">
        <v>58</v>
      </c>
      <c r="I15" s="136" t="s">
        <v>28</v>
      </c>
      <c r="J15" s="136"/>
      <c r="K15" s="133" t="s">
        <v>22</v>
      </c>
      <c r="L15" s="134">
        <v>526678.06000000006</v>
      </c>
    </row>
    <row r="16" spans="1:12" ht="51" hidden="1" x14ac:dyDescent="0.3">
      <c r="A16" s="128" t="s">
        <v>23</v>
      </c>
      <c r="B16" s="129" t="s">
        <v>212</v>
      </c>
      <c r="C16" s="129" t="s">
        <v>125</v>
      </c>
      <c r="D16" s="129" t="s">
        <v>206</v>
      </c>
      <c r="E16" s="130" t="s">
        <v>27</v>
      </c>
      <c r="F16" s="135">
        <v>2726.4</v>
      </c>
      <c r="G16" s="135"/>
      <c r="H16" s="130" t="s">
        <v>58</v>
      </c>
      <c r="I16" s="136" t="s">
        <v>28</v>
      </c>
      <c r="J16" s="136"/>
      <c r="K16" s="133" t="s">
        <v>22</v>
      </c>
      <c r="L16" s="134">
        <v>529404.46</v>
      </c>
    </row>
    <row r="17" spans="1:12" ht="61.2" hidden="1" x14ac:dyDescent="0.3">
      <c r="A17" s="128" t="s">
        <v>23</v>
      </c>
      <c r="B17" s="129" t="s">
        <v>212</v>
      </c>
      <c r="C17" s="129" t="s">
        <v>127</v>
      </c>
      <c r="D17" s="129" t="s">
        <v>206</v>
      </c>
      <c r="E17" s="130" t="s">
        <v>27</v>
      </c>
      <c r="F17" s="135">
        <v>4158</v>
      </c>
      <c r="G17" s="135"/>
      <c r="H17" s="130" t="s">
        <v>58</v>
      </c>
      <c r="I17" s="136" t="s">
        <v>28</v>
      </c>
      <c r="J17" s="136"/>
      <c r="K17" s="133" t="s">
        <v>22</v>
      </c>
      <c r="L17" s="134">
        <v>533562.46</v>
      </c>
    </row>
    <row r="18" spans="1:12" ht="61.2" hidden="1" x14ac:dyDescent="0.3">
      <c r="A18" s="128" t="s">
        <v>23</v>
      </c>
      <c r="B18" s="129" t="s">
        <v>212</v>
      </c>
      <c r="C18" s="129" t="s">
        <v>214</v>
      </c>
      <c r="D18" s="129" t="s">
        <v>206</v>
      </c>
      <c r="E18" s="130" t="s">
        <v>27</v>
      </c>
      <c r="F18" s="135">
        <v>18752.3</v>
      </c>
      <c r="G18" s="135"/>
      <c r="H18" s="130" t="s">
        <v>58</v>
      </c>
      <c r="I18" s="136" t="s">
        <v>28</v>
      </c>
      <c r="J18" s="136"/>
      <c r="K18" s="133" t="s">
        <v>22</v>
      </c>
      <c r="L18" s="134">
        <v>552314.76</v>
      </c>
    </row>
    <row r="19" spans="1:12" ht="51" hidden="1" x14ac:dyDescent="0.3">
      <c r="A19" s="128" t="s">
        <v>23</v>
      </c>
      <c r="B19" s="129" t="s">
        <v>212</v>
      </c>
      <c r="C19" s="129" t="s">
        <v>215</v>
      </c>
      <c r="D19" s="129" t="s">
        <v>206</v>
      </c>
      <c r="E19" s="130" t="s">
        <v>27</v>
      </c>
      <c r="F19" s="137">
        <v>401.77</v>
      </c>
      <c r="G19" s="137"/>
      <c r="H19" s="130" t="s">
        <v>58</v>
      </c>
      <c r="I19" s="136" t="s">
        <v>28</v>
      </c>
      <c r="J19" s="136"/>
      <c r="K19" s="133" t="s">
        <v>22</v>
      </c>
      <c r="L19" s="134">
        <v>552716.53</v>
      </c>
    </row>
    <row r="20" spans="1:12" ht="51" hidden="1" x14ac:dyDescent="0.3">
      <c r="A20" s="128" t="s">
        <v>23</v>
      </c>
      <c r="B20" s="129" t="s">
        <v>216</v>
      </c>
      <c r="C20" s="129" t="s">
        <v>173</v>
      </c>
      <c r="D20" s="129" t="s">
        <v>217</v>
      </c>
      <c r="E20" s="130" t="s">
        <v>27</v>
      </c>
      <c r="F20" s="135">
        <v>6968.5</v>
      </c>
      <c r="G20" s="135"/>
      <c r="H20" s="130" t="s">
        <v>58</v>
      </c>
      <c r="I20" s="136" t="s">
        <v>28</v>
      </c>
      <c r="J20" s="136"/>
      <c r="K20" s="133" t="s">
        <v>22</v>
      </c>
      <c r="L20" s="134">
        <v>559685.03</v>
      </c>
    </row>
    <row r="21" spans="1:12" ht="51" hidden="1" x14ac:dyDescent="0.3">
      <c r="A21" s="128" t="s">
        <v>23</v>
      </c>
      <c r="B21" s="129" t="s">
        <v>216</v>
      </c>
      <c r="C21" s="129" t="s">
        <v>218</v>
      </c>
      <c r="D21" s="129" t="s">
        <v>217</v>
      </c>
      <c r="E21" s="130" t="s">
        <v>27</v>
      </c>
      <c r="F21" s="135">
        <v>17800</v>
      </c>
      <c r="G21" s="135"/>
      <c r="H21" s="130" t="s">
        <v>58</v>
      </c>
      <c r="I21" s="136" t="s">
        <v>28</v>
      </c>
      <c r="J21" s="136"/>
      <c r="K21" s="133" t="s">
        <v>22</v>
      </c>
      <c r="L21" s="134">
        <v>577485.03</v>
      </c>
    </row>
    <row r="22" spans="1:12" ht="51" hidden="1" x14ac:dyDescent="0.3">
      <c r="A22" s="128" t="s">
        <v>23</v>
      </c>
      <c r="B22" s="129" t="s">
        <v>219</v>
      </c>
      <c r="C22" s="129" t="s">
        <v>220</v>
      </c>
      <c r="D22" s="129" t="s">
        <v>173</v>
      </c>
      <c r="E22" s="130" t="s">
        <v>27</v>
      </c>
      <c r="F22" s="131" t="s">
        <v>28</v>
      </c>
      <c r="G22" s="131"/>
      <c r="H22" s="130" t="s">
        <v>27</v>
      </c>
      <c r="I22" s="132">
        <v>3801</v>
      </c>
      <c r="J22" s="132"/>
      <c r="K22" s="133" t="s">
        <v>22</v>
      </c>
      <c r="L22" s="134">
        <v>573684.03</v>
      </c>
    </row>
    <row r="23" spans="1:12" ht="51" hidden="1" x14ac:dyDescent="0.3">
      <c r="A23" s="128" t="s">
        <v>23</v>
      </c>
      <c r="B23" s="129" t="s">
        <v>219</v>
      </c>
      <c r="C23" s="129" t="s">
        <v>221</v>
      </c>
      <c r="D23" s="129" t="s">
        <v>218</v>
      </c>
      <c r="E23" s="130" t="s">
        <v>27</v>
      </c>
      <c r="F23" s="131" t="s">
        <v>28</v>
      </c>
      <c r="G23" s="131"/>
      <c r="H23" s="130" t="s">
        <v>27</v>
      </c>
      <c r="I23" s="132">
        <v>17800</v>
      </c>
      <c r="J23" s="132"/>
      <c r="K23" s="133" t="s">
        <v>22</v>
      </c>
      <c r="L23" s="134">
        <v>555884.03</v>
      </c>
    </row>
    <row r="24" spans="1:12" ht="51" hidden="1" x14ac:dyDescent="0.3">
      <c r="A24" s="128" t="s">
        <v>23</v>
      </c>
      <c r="B24" s="129" t="s">
        <v>171</v>
      </c>
      <c r="C24" s="129" t="s">
        <v>172</v>
      </c>
      <c r="D24" s="129" t="s">
        <v>173</v>
      </c>
      <c r="E24" s="130" t="s">
        <v>27</v>
      </c>
      <c r="F24" s="131" t="s">
        <v>28</v>
      </c>
      <c r="G24" s="131"/>
      <c r="H24" s="130" t="s">
        <v>27</v>
      </c>
      <c r="I24" s="132">
        <v>3167.5</v>
      </c>
      <c r="J24" s="132"/>
      <c r="K24" s="133" t="s">
        <v>22</v>
      </c>
      <c r="L24" s="134">
        <v>552716.53</v>
      </c>
    </row>
    <row r="25" spans="1:12" ht="51" hidden="1" x14ac:dyDescent="0.3">
      <c r="A25" s="128" t="s">
        <v>23</v>
      </c>
      <c r="B25" s="129" t="s">
        <v>222</v>
      </c>
      <c r="C25" s="129" t="s">
        <v>205</v>
      </c>
      <c r="D25" s="129" t="s">
        <v>206</v>
      </c>
      <c r="E25" s="130" t="s">
        <v>27</v>
      </c>
      <c r="F25" s="137">
        <v>757.12</v>
      </c>
      <c r="G25" s="137"/>
      <c r="H25" s="130" t="s">
        <v>58</v>
      </c>
      <c r="I25" s="136" t="s">
        <v>28</v>
      </c>
      <c r="J25" s="136"/>
      <c r="K25" s="133" t="s">
        <v>22</v>
      </c>
      <c r="L25" s="134">
        <v>553473.65</v>
      </c>
    </row>
    <row r="26" spans="1:12" ht="61.2" hidden="1" x14ac:dyDescent="0.3">
      <c r="A26" s="128" t="s">
        <v>23</v>
      </c>
      <c r="B26" s="129" t="s">
        <v>222</v>
      </c>
      <c r="C26" s="129" t="s">
        <v>207</v>
      </c>
      <c r="D26" s="129" t="s">
        <v>206</v>
      </c>
      <c r="E26" s="130" t="s">
        <v>27</v>
      </c>
      <c r="F26" s="135">
        <v>1143.72</v>
      </c>
      <c r="G26" s="135"/>
      <c r="H26" s="130" t="s">
        <v>58</v>
      </c>
      <c r="I26" s="136" t="s">
        <v>28</v>
      </c>
      <c r="J26" s="136"/>
      <c r="K26" s="133" t="s">
        <v>22</v>
      </c>
      <c r="L26" s="134">
        <v>554617.37</v>
      </c>
    </row>
    <row r="27" spans="1:12" ht="61.2" hidden="1" x14ac:dyDescent="0.3">
      <c r="A27" s="128" t="s">
        <v>23</v>
      </c>
      <c r="B27" s="129" t="s">
        <v>222</v>
      </c>
      <c r="C27" s="129" t="s">
        <v>208</v>
      </c>
      <c r="D27" s="129" t="s">
        <v>206</v>
      </c>
      <c r="E27" s="130" t="s">
        <v>27</v>
      </c>
      <c r="F27" s="135">
        <v>2117.2399999999998</v>
      </c>
      <c r="G27" s="135"/>
      <c r="H27" s="130" t="s">
        <v>58</v>
      </c>
      <c r="I27" s="136" t="s">
        <v>28</v>
      </c>
      <c r="J27" s="136"/>
      <c r="K27" s="133" t="s">
        <v>22</v>
      </c>
      <c r="L27" s="134">
        <v>556734.61</v>
      </c>
    </row>
    <row r="28" spans="1:12" ht="51" hidden="1" x14ac:dyDescent="0.3">
      <c r="A28" s="128" t="s">
        <v>23</v>
      </c>
      <c r="B28" s="129" t="s">
        <v>222</v>
      </c>
      <c r="C28" s="129" t="s">
        <v>209</v>
      </c>
      <c r="D28" s="129" t="s">
        <v>206</v>
      </c>
      <c r="E28" s="130" t="s">
        <v>27</v>
      </c>
      <c r="F28" s="137">
        <v>896.62</v>
      </c>
      <c r="G28" s="137"/>
      <c r="H28" s="130" t="s">
        <v>58</v>
      </c>
      <c r="I28" s="136" t="s">
        <v>28</v>
      </c>
      <c r="J28" s="136"/>
      <c r="K28" s="133" t="s">
        <v>22</v>
      </c>
      <c r="L28" s="134">
        <v>557631.23</v>
      </c>
    </row>
    <row r="29" spans="1:12" ht="51" hidden="1" x14ac:dyDescent="0.3">
      <c r="A29" s="128" t="s">
        <v>23</v>
      </c>
      <c r="B29" s="129" t="s">
        <v>222</v>
      </c>
      <c r="C29" s="129" t="s">
        <v>210</v>
      </c>
      <c r="D29" s="129" t="s">
        <v>206</v>
      </c>
      <c r="E29" s="130" t="s">
        <v>27</v>
      </c>
      <c r="F29" s="137">
        <v>50.87</v>
      </c>
      <c r="G29" s="137"/>
      <c r="H29" s="130" t="s">
        <v>58</v>
      </c>
      <c r="I29" s="136" t="s">
        <v>28</v>
      </c>
      <c r="J29" s="136"/>
      <c r="K29" s="133" t="s">
        <v>22</v>
      </c>
      <c r="L29" s="134">
        <v>557682.1</v>
      </c>
    </row>
    <row r="30" spans="1:12" ht="51" hidden="1" x14ac:dyDescent="0.3">
      <c r="A30" s="128" t="s">
        <v>23</v>
      </c>
      <c r="B30" s="129" t="s">
        <v>222</v>
      </c>
      <c r="C30" s="129" t="s">
        <v>117</v>
      </c>
      <c r="D30" s="129" t="s">
        <v>206</v>
      </c>
      <c r="E30" s="130" t="s">
        <v>27</v>
      </c>
      <c r="F30" s="137">
        <v>250.12</v>
      </c>
      <c r="G30" s="137"/>
      <c r="H30" s="130" t="s">
        <v>58</v>
      </c>
      <c r="I30" s="136" t="s">
        <v>28</v>
      </c>
      <c r="J30" s="136"/>
      <c r="K30" s="133" t="s">
        <v>22</v>
      </c>
      <c r="L30" s="134">
        <v>557932.22</v>
      </c>
    </row>
    <row r="31" spans="1:12" ht="61.2" hidden="1" x14ac:dyDescent="0.3">
      <c r="A31" s="128" t="s">
        <v>23</v>
      </c>
      <c r="B31" s="129" t="s">
        <v>222</v>
      </c>
      <c r="C31" s="129" t="s">
        <v>119</v>
      </c>
      <c r="D31" s="129" t="s">
        <v>206</v>
      </c>
      <c r="E31" s="130" t="s">
        <v>27</v>
      </c>
      <c r="F31" s="137">
        <v>281.38</v>
      </c>
      <c r="G31" s="137"/>
      <c r="H31" s="130" t="s">
        <v>58</v>
      </c>
      <c r="I31" s="136" t="s">
        <v>28</v>
      </c>
      <c r="J31" s="136"/>
      <c r="K31" s="133" t="s">
        <v>22</v>
      </c>
      <c r="L31" s="134">
        <v>558213.6</v>
      </c>
    </row>
    <row r="32" spans="1:12" ht="51" hidden="1" x14ac:dyDescent="0.3">
      <c r="A32" s="128" t="s">
        <v>23</v>
      </c>
      <c r="B32" s="129" t="s">
        <v>222</v>
      </c>
      <c r="C32" s="129" t="s">
        <v>121</v>
      </c>
      <c r="D32" s="129" t="s">
        <v>206</v>
      </c>
      <c r="E32" s="130" t="s">
        <v>27</v>
      </c>
      <c r="F32" s="137">
        <v>16.670000000000002</v>
      </c>
      <c r="G32" s="137"/>
      <c r="H32" s="130" t="s">
        <v>58</v>
      </c>
      <c r="I32" s="136" t="s">
        <v>28</v>
      </c>
      <c r="J32" s="136"/>
      <c r="K32" s="133" t="s">
        <v>22</v>
      </c>
      <c r="L32" s="134">
        <v>558230.27</v>
      </c>
    </row>
    <row r="33" spans="1:12" ht="51" hidden="1" x14ac:dyDescent="0.3">
      <c r="A33" s="128" t="s">
        <v>23</v>
      </c>
      <c r="B33" s="129" t="s">
        <v>222</v>
      </c>
      <c r="C33" s="129" t="s">
        <v>211</v>
      </c>
      <c r="D33" s="129" t="s">
        <v>206</v>
      </c>
      <c r="E33" s="130" t="s">
        <v>27</v>
      </c>
      <c r="F33" s="135">
        <v>5573.41</v>
      </c>
      <c r="G33" s="135"/>
      <c r="H33" s="130" t="s">
        <v>58</v>
      </c>
      <c r="I33" s="136" t="s">
        <v>28</v>
      </c>
      <c r="J33" s="136"/>
      <c r="K33" s="133" t="s">
        <v>22</v>
      </c>
      <c r="L33" s="134">
        <v>563803.68000000005</v>
      </c>
    </row>
    <row r="34" spans="1:12" ht="61.2" hidden="1" x14ac:dyDescent="0.3">
      <c r="A34" s="128" t="s">
        <v>23</v>
      </c>
      <c r="B34" s="129" t="s">
        <v>222</v>
      </c>
      <c r="C34" s="129" t="s">
        <v>213</v>
      </c>
      <c r="D34" s="129" t="s">
        <v>206</v>
      </c>
      <c r="E34" s="130" t="s">
        <v>27</v>
      </c>
      <c r="F34" s="137">
        <v>209.01</v>
      </c>
      <c r="G34" s="137"/>
      <c r="H34" s="130" t="s">
        <v>58</v>
      </c>
      <c r="I34" s="136" t="s">
        <v>28</v>
      </c>
      <c r="J34" s="136"/>
      <c r="K34" s="133" t="s">
        <v>22</v>
      </c>
      <c r="L34" s="134">
        <v>564012.68999999994</v>
      </c>
    </row>
    <row r="35" spans="1:12" ht="51" hidden="1" x14ac:dyDescent="0.3">
      <c r="A35" s="128" t="s">
        <v>23</v>
      </c>
      <c r="B35" s="129" t="s">
        <v>222</v>
      </c>
      <c r="C35" s="129" t="s">
        <v>123</v>
      </c>
      <c r="D35" s="129" t="s">
        <v>206</v>
      </c>
      <c r="E35" s="130" t="s">
        <v>27</v>
      </c>
      <c r="F35" s="137">
        <v>707.68</v>
      </c>
      <c r="G35" s="137"/>
      <c r="H35" s="130" t="s">
        <v>58</v>
      </c>
      <c r="I35" s="136" t="s">
        <v>28</v>
      </c>
      <c r="J35" s="136"/>
      <c r="K35" s="133" t="s">
        <v>22</v>
      </c>
      <c r="L35" s="134">
        <v>564720.37</v>
      </c>
    </row>
    <row r="36" spans="1:12" ht="51" hidden="1" x14ac:dyDescent="0.3">
      <c r="A36" s="128" t="s">
        <v>23</v>
      </c>
      <c r="B36" s="129" t="s">
        <v>222</v>
      </c>
      <c r="C36" s="129" t="s">
        <v>125</v>
      </c>
      <c r="D36" s="129" t="s">
        <v>206</v>
      </c>
      <c r="E36" s="130" t="s">
        <v>27</v>
      </c>
      <c r="F36" s="137">
        <v>139.21</v>
      </c>
      <c r="G36" s="137"/>
      <c r="H36" s="130" t="s">
        <v>58</v>
      </c>
      <c r="I36" s="136" t="s">
        <v>28</v>
      </c>
      <c r="J36" s="136"/>
      <c r="K36" s="133" t="s">
        <v>22</v>
      </c>
      <c r="L36" s="134">
        <v>564859.57999999996</v>
      </c>
    </row>
    <row r="37" spans="1:12" ht="61.2" hidden="1" x14ac:dyDescent="0.3">
      <c r="A37" s="128" t="s">
        <v>23</v>
      </c>
      <c r="B37" s="129" t="s">
        <v>222</v>
      </c>
      <c r="C37" s="129" t="s">
        <v>127</v>
      </c>
      <c r="D37" s="129" t="s">
        <v>206</v>
      </c>
      <c r="E37" s="130" t="s">
        <v>27</v>
      </c>
      <c r="F37" s="137">
        <v>212.3</v>
      </c>
      <c r="G37" s="137"/>
      <c r="H37" s="130" t="s">
        <v>58</v>
      </c>
      <c r="I37" s="136" t="s">
        <v>28</v>
      </c>
      <c r="J37" s="136"/>
      <c r="K37" s="133" t="s">
        <v>22</v>
      </c>
      <c r="L37" s="134">
        <v>565071.88</v>
      </c>
    </row>
    <row r="38" spans="1:12" ht="61.2" hidden="1" x14ac:dyDescent="0.3">
      <c r="A38" s="128" t="s">
        <v>23</v>
      </c>
      <c r="B38" s="129" t="s">
        <v>222</v>
      </c>
      <c r="C38" s="129" t="s">
        <v>214</v>
      </c>
      <c r="D38" s="129" t="s">
        <v>206</v>
      </c>
      <c r="E38" s="130" t="s">
        <v>27</v>
      </c>
      <c r="F38" s="137">
        <v>957.47</v>
      </c>
      <c r="G38" s="137"/>
      <c r="H38" s="130" t="s">
        <v>58</v>
      </c>
      <c r="I38" s="136" t="s">
        <v>28</v>
      </c>
      <c r="J38" s="136"/>
      <c r="K38" s="133" t="s">
        <v>22</v>
      </c>
      <c r="L38" s="134">
        <v>566029.35</v>
      </c>
    </row>
    <row r="39" spans="1:12" ht="51" hidden="1" x14ac:dyDescent="0.3">
      <c r="A39" s="128" t="s">
        <v>23</v>
      </c>
      <c r="B39" s="129" t="s">
        <v>222</v>
      </c>
      <c r="C39" s="129" t="s">
        <v>215</v>
      </c>
      <c r="D39" s="129" t="s">
        <v>206</v>
      </c>
      <c r="E39" s="130" t="s">
        <v>27</v>
      </c>
      <c r="F39" s="137">
        <v>20.51</v>
      </c>
      <c r="G39" s="137"/>
      <c r="H39" s="130" t="s">
        <v>58</v>
      </c>
      <c r="I39" s="136" t="s">
        <v>28</v>
      </c>
      <c r="J39" s="136"/>
      <c r="K39" s="133" t="s">
        <v>22</v>
      </c>
      <c r="L39" s="134">
        <v>566049.86</v>
      </c>
    </row>
    <row r="40" spans="1:12" ht="51" hidden="1" x14ac:dyDescent="0.3">
      <c r="A40" s="128" t="s">
        <v>23</v>
      </c>
      <c r="B40" s="129" t="s">
        <v>223</v>
      </c>
      <c r="C40" s="129" t="s">
        <v>224</v>
      </c>
      <c r="D40" s="129" t="s">
        <v>205</v>
      </c>
      <c r="E40" s="130" t="s">
        <v>27</v>
      </c>
      <c r="F40" s="131" t="s">
        <v>28</v>
      </c>
      <c r="G40" s="131"/>
      <c r="H40" s="130" t="s">
        <v>27</v>
      </c>
      <c r="I40" s="132">
        <v>15585.52</v>
      </c>
      <c r="J40" s="132"/>
      <c r="K40" s="133" t="s">
        <v>22</v>
      </c>
      <c r="L40" s="134">
        <v>550464.34</v>
      </c>
    </row>
    <row r="41" spans="1:12" ht="61.2" hidden="1" x14ac:dyDescent="0.3">
      <c r="A41" s="128" t="s">
        <v>23</v>
      </c>
      <c r="B41" s="129" t="s">
        <v>223</v>
      </c>
      <c r="C41" s="129" t="s">
        <v>225</v>
      </c>
      <c r="D41" s="129" t="s">
        <v>207</v>
      </c>
      <c r="E41" s="130" t="s">
        <v>27</v>
      </c>
      <c r="F41" s="131" t="s">
        <v>28</v>
      </c>
      <c r="G41" s="131"/>
      <c r="H41" s="130" t="s">
        <v>27</v>
      </c>
      <c r="I41" s="132">
        <v>23543.72</v>
      </c>
      <c r="J41" s="132"/>
      <c r="K41" s="133" t="s">
        <v>22</v>
      </c>
      <c r="L41" s="134">
        <v>526920.62</v>
      </c>
    </row>
    <row r="42" spans="1:12" ht="61.2" hidden="1" x14ac:dyDescent="0.3">
      <c r="A42" s="128" t="s">
        <v>23</v>
      </c>
      <c r="B42" s="129" t="s">
        <v>223</v>
      </c>
      <c r="C42" s="129" t="s">
        <v>226</v>
      </c>
      <c r="D42" s="129" t="s">
        <v>208</v>
      </c>
      <c r="E42" s="130" t="s">
        <v>27</v>
      </c>
      <c r="F42" s="131" t="s">
        <v>28</v>
      </c>
      <c r="G42" s="131"/>
      <c r="H42" s="130" t="s">
        <v>27</v>
      </c>
      <c r="I42" s="132">
        <v>43583.91</v>
      </c>
      <c r="J42" s="132"/>
      <c r="K42" s="133" t="s">
        <v>22</v>
      </c>
      <c r="L42" s="134">
        <v>483336.71</v>
      </c>
    </row>
    <row r="43" spans="1:12" ht="51" hidden="1" x14ac:dyDescent="0.3">
      <c r="A43" s="128" t="s">
        <v>23</v>
      </c>
      <c r="B43" s="129" t="s">
        <v>223</v>
      </c>
      <c r="C43" s="129" t="s">
        <v>227</v>
      </c>
      <c r="D43" s="129" t="s">
        <v>210</v>
      </c>
      <c r="E43" s="130" t="s">
        <v>27</v>
      </c>
      <c r="F43" s="131" t="s">
        <v>28</v>
      </c>
      <c r="G43" s="131"/>
      <c r="H43" s="130" t="s">
        <v>27</v>
      </c>
      <c r="I43" s="132">
        <v>1047.1099999999999</v>
      </c>
      <c r="J43" s="132"/>
      <c r="K43" s="133" t="s">
        <v>22</v>
      </c>
      <c r="L43" s="134">
        <v>482289.6</v>
      </c>
    </row>
    <row r="44" spans="1:12" ht="61.2" hidden="1" x14ac:dyDescent="0.3">
      <c r="A44" s="128" t="s">
        <v>23</v>
      </c>
      <c r="B44" s="129" t="s">
        <v>228</v>
      </c>
      <c r="C44" s="129" t="s">
        <v>229</v>
      </c>
      <c r="D44" s="129" t="s">
        <v>209</v>
      </c>
      <c r="E44" s="130" t="s">
        <v>27</v>
      </c>
      <c r="F44" s="131" t="s">
        <v>28</v>
      </c>
      <c r="G44" s="131"/>
      <c r="H44" s="130" t="s">
        <v>27</v>
      </c>
      <c r="I44" s="132">
        <v>18457.02</v>
      </c>
      <c r="J44" s="132"/>
      <c r="K44" s="133" t="s">
        <v>22</v>
      </c>
      <c r="L44" s="134">
        <v>463832.58</v>
      </c>
    </row>
    <row r="45" spans="1:12" ht="51" hidden="1" x14ac:dyDescent="0.3">
      <c r="A45" s="128" t="s">
        <v>23</v>
      </c>
      <c r="B45" s="129" t="s">
        <v>115</v>
      </c>
      <c r="C45" s="129" t="s">
        <v>116</v>
      </c>
      <c r="D45" s="129" t="s">
        <v>117</v>
      </c>
      <c r="E45" s="130" t="s">
        <v>27</v>
      </c>
      <c r="F45" s="131" t="s">
        <v>28</v>
      </c>
      <c r="G45" s="131"/>
      <c r="H45" s="130" t="s">
        <v>27</v>
      </c>
      <c r="I45" s="132">
        <v>5148.68</v>
      </c>
      <c r="J45" s="132"/>
      <c r="K45" s="133" t="s">
        <v>22</v>
      </c>
      <c r="L45" s="134">
        <v>458683.9</v>
      </c>
    </row>
    <row r="46" spans="1:12" ht="61.2" hidden="1" x14ac:dyDescent="0.3">
      <c r="A46" s="128" t="s">
        <v>23</v>
      </c>
      <c r="B46" s="129" t="s">
        <v>115</v>
      </c>
      <c r="C46" s="129" t="s">
        <v>118</v>
      </c>
      <c r="D46" s="129" t="s">
        <v>119</v>
      </c>
      <c r="E46" s="130" t="s">
        <v>27</v>
      </c>
      <c r="F46" s="131" t="s">
        <v>28</v>
      </c>
      <c r="G46" s="131"/>
      <c r="H46" s="130" t="s">
        <v>27</v>
      </c>
      <c r="I46" s="132">
        <v>5792.26</v>
      </c>
      <c r="J46" s="132"/>
      <c r="K46" s="133" t="s">
        <v>22</v>
      </c>
      <c r="L46" s="134">
        <v>452891.64</v>
      </c>
    </row>
    <row r="47" spans="1:12" ht="51" hidden="1" x14ac:dyDescent="0.3">
      <c r="A47" s="128" t="s">
        <v>23</v>
      </c>
      <c r="B47" s="129" t="s">
        <v>115</v>
      </c>
      <c r="C47" s="129" t="s">
        <v>120</v>
      </c>
      <c r="D47" s="129" t="s">
        <v>121</v>
      </c>
      <c r="E47" s="130" t="s">
        <v>27</v>
      </c>
      <c r="F47" s="131" t="s">
        <v>28</v>
      </c>
      <c r="G47" s="131"/>
      <c r="H47" s="130" t="s">
        <v>27</v>
      </c>
      <c r="I47" s="138">
        <v>343.23</v>
      </c>
      <c r="J47" s="138"/>
      <c r="K47" s="133" t="s">
        <v>22</v>
      </c>
      <c r="L47" s="134">
        <v>452548.41</v>
      </c>
    </row>
    <row r="48" spans="1:12" ht="51" hidden="1" x14ac:dyDescent="0.3">
      <c r="A48" s="128" t="s">
        <v>23</v>
      </c>
      <c r="B48" s="129" t="s">
        <v>115</v>
      </c>
      <c r="C48" s="129" t="s">
        <v>122</v>
      </c>
      <c r="D48" s="129" t="s">
        <v>123</v>
      </c>
      <c r="E48" s="130" t="s">
        <v>27</v>
      </c>
      <c r="F48" s="131" t="s">
        <v>28</v>
      </c>
      <c r="G48" s="131"/>
      <c r="H48" s="130" t="s">
        <v>27</v>
      </c>
      <c r="I48" s="132">
        <v>14567.68</v>
      </c>
      <c r="J48" s="132"/>
      <c r="K48" s="133" t="s">
        <v>22</v>
      </c>
      <c r="L48" s="134">
        <v>437980.73</v>
      </c>
    </row>
    <row r="49" spans="1:12" ht="51" hidden="1" x14ac:dyDescent="0.3">
      <c r="A49" s="128" t="s">
        <v>23</v>
      </c>
      <c r="B49" s="129" t="s">
        <v>115</v>
      </c>
      <c r="C49" s="129" t="s">
        <v>124</v>
      </c>
      <c r="D49" s="129" t="s">
        <v>125</v>
      </c>
      <c r="E49" s="130" t="s">
        <v>27</v>
      </c>
      <c r="F49" s="131" t="s">
        <v>28</v>
      </c>
      <c r="G49" s="131"/>
      <c r="H49" s="130" t="s">
        <v>27</v>
      </c>
      <c r="I49" s="132">
        <v>2865.61</v>
      </c>
      <c r="J49" s="132"/>
      <c r="K49" s="133" t="s">
        <v>22</v>
      </c>
      <c r="L49" s="134">
        <v>435115.12</v>
      </c>
    </row>
    <row r="50" spans="1:12" ht="61.2" hidden="1" x14ac:dyDescent="0.3">
      <c r="A50" s="128" t="s">
        <v>23</v>
      </c>
      <c r="B50" s="129" t="s">
        <v>115</v>
      </c>
      <c r="C50" s="129" t="s">
        <v>126</v>
      </c>
      <c r="D50" s="129" t="s">
        <v>127</v>
      </c>
      <c r="E50" s="130" t="s">
        <v>27</v>
      </c>
      <c r="F50" s="131" t="s">
        <v>28</v>
      </c>
      <c r="G50" s="131"/>
      <c r="H50" s="130" t="s">
        <v>27</v>
      </c>
      <c r="I50" s="132">
        <v>4370.3</v>
      </c>
      <c r="J50" s="132"/>
      <c r="K50" s="133" t="s">
        <v>22</v>
      </c>
      <c r="L50" s="134">
        <v>430744.82</v>
      </c>
    </row>
    <row r="51" spans="1:12" ht="51" hidden="1" x14ac:dyDescent="0.3">
      <c r="A51" s="128" t="s">
        <v>23</v>
      </c>
      <c r="B51" s="129" t="s">
        <v>230</v>
      </c>
      <c r="C51" s="129" t="s">
        <v>231</v>
      </c>
      <c r="D51" s="129" t="s">
        <v>211</v>
      </c>
      <c r="E51" s="130" t="s">
        <v>27</v>
      </c>
      <c r="F51" s="131" t="s">
        <v>28</v>
      </c>
      <c r="G51" s="131"/>
      <c r="H51" s="130" t="s">
        <v>27</v>
      </c>
      <c r="I51" s="132">
        <v>114729.73</v>
      </c>
      <c r="J51" s="132"/>
      <c r="K51" s="133" t="s">
        <v>22</v>
      </c>
      <c r="L51" s="134">
        <v>316015.09000000003</v>
      </c>
    </row>
    <row r="52" spans="1:12" ht="61.2" hidden="1" x14ac:dyDescent="0.3">
      <c r="A52" s="128" t="s">
        <v>23</v>
      </c>
      <c r="B52" s="129" t="s">
        <v>230</v>
      </c>
      <c r="C52" s="129" t="s">
        <v>232</v>
      </c>
      <c r="D52" s="129" t="s">
        <v>213</v>
      </c>
      <c r="E52" s="130" t="s">
        <v>27</v>
      </c>
      <c r="F52" s="131" t="s">
        <v>28</v>
      </c>
      <c r="G52" s="131"/>
      <c r="H52" s="130" t="s">
        <v>27</v>
      </c>
      <c r="I52" s="132">
        <v>4302.59</v>
      </c>
      <c r="J52" s="132"/>
      <c r="K52" s="133" t="s">
        <v>22</v>
      </c>
      <c r="L52" s="134">
        <v>311712.5</v>
      </c>
    </row>
    <row r="53" spans="1:12" ht="61.2" hidden="1" x14ac:dyDescent="0.3">
      <c r="A53" s="128" t="s">
        <v>23</v>
      </c>
      <c r="B53" s="129" t="s">
        <v>233</v>
      </c>
      <c r="C53" s="129" t="s">
        <v>234</v>
      </c>
      <c r="D53" s="129" t="s">
        <v>214</v>
      </c>
      <c r="E53" s="130" t="s">
        <v>27</v>
      </c>
      <c r="F53" s="131" t="s">
        <v>28</v>
      </c>
      <c r="G53" s="131"/>
      <c r="H53" s="130" t="s">
        <v>27</v>
      </c>
      <c r="I53" s="132">
        <v>19709.77</v>
      </c>
      <c r="J53" s="132"/>
      <c r="K53" s="133" t="s">
        <v>22</v>
      </c>
      <c r="L53" s="134">
        <v>292002.73</v>
      </c>
    </row>
    <row r="54" spans="1:12" ht="51" hidden="1" x14ac:dyDescent="0.3">
      <c r="A54" s="128" t="s">
        <v>23</v>
      </c>
      <c r="B54" s="129" t="s">
        <v>233</v>
      </c>
      <c r="C54" s="129" t="s">
        <v>235</v>
      </c>
      <c r="D54" s="129" t="s">
        <v>215</v>
      </c>
      <c r="E54" s="130" t="s">
        <v>27</v>
      </c>
      <c r="F54" s="131" t="s">
        <v>28</v>
      </c>
      <c r="G54" s="131"/>
      <c r="H54" s="130" t="s">
        <v>27</v>
      </c>
      <c r="I54" s="138">
        <v>422.28</v>
      </c>
      <c r="J54" s="138"/>
      <c r="K54" s="133" t="s">
        <v>22</v>
      </c>
      <c r="L54" s="134">
        <v>291580.45</v>
      </c>
    </row>
    <row r="55" spans="1:12" ht="61.2" hidden="1" x14ac:dyDescent="0.3">
      <c r="A55" s="128" t="s">
        <v>23</v>
      </c>
      <c r="B55" s="129" t="s">
        <v>31</v>
      </c>
      <c r="C55" s="129" t="s">
        <v>32</v>
      </c>
      <c r="D55" s="129" t="s">
        <v>33</v>
      </c>
      <c r="E55" s="130" t="s">
        <v>27</v>
      </c>
      <c r="F55" s="131" t="s">
        <v>28</v>
      </c>
      <c r="G55" s="131"/>
      <c r="H55" s="130" t="s">
        <v>27</v>
      </c>
      <c r="I55" s="132">
        <v>19202.93</v>
      </c>
      <c r="J55" s="132"/>
      <c r="K55" s="133" t="s">
        <v>22</v>
      </c>
      <c r="L55" s="134">
        <v>272377.52</v>
      </c>
    </row>
    <row r="56" spans="1:12" ht="61.2" hidden="1" x14ac:dyDescent="0.3">
      <c r="A56" s="128" t="s">
        <v>23</v>
      </c>
      <c r="B56" s="129" t="s">
        <v>236</v>
      </c>
      <c r="C56" s="129" t="s">
        <v>237</v>
      </c>
      <c r="D56" s="129" t="s">
        <v>238</v>
      </c>
      <c r="E56" s="130" t="s">
        <v>27</v>
      </c>
      <c r="F56" s="131" t="s">
        <v>28</v>
      </c>
      <c r="G56" s="131"/>
      <c r="H56" s="130" t="s">
        <v>27</v>
      </c>
      <c r="I56" s="132">
        <v>2728.88</v>
      </c>
      <c r="J56" s="132"/>
      <c r="K56" s="133" t="s">
        <v>22</v>
      </c>
      <c r="L56" s="134">
        <v>269648.64000000001</v>
      </c>
    </row>
    <row r="57" spans="1:12" ht="61.2" hidden="1" x14ac:dyDescent="0.3">
      <c r="A57" s="128" t="s">
        <v>128</v>
      </c>
      <c r="B57" s="129" t="s">
        <v>239</v>
      </c>
      <c r="C57" s="129" t="s">
        <v>240</v>
      </c>
      <c r="D57" s="129" t="s">
        <v>63</v>
      </c>
      <c r="E57" s="130" t="s">
        <v>27</v>
      </c>
      <c r="F57" s="135">
        <v>16190.52</v>
      </c>
      <c r="G57" s="135"/>
      <c r="H57" s="130" t="s">
        <v>58</v>
      </c>
      <c r="I57" s="136" t="s">
        <v>28</v>
      </c>
      <c r="J57" s="136"/>
      <c r="K57" s="133" t="s">
        <v>22</v>
      </c>
      <c r="L57" s="134">
        <v>285839.15999999997</v>
      </c>
    </row>
    <row r="58" spans="1:12" ht="61.2" hidden="1" x14ac:dyDescent="0.3">
      <c r="A58" s="128" t="s">
        <v>128</v>
      </c>
      <c r="B58" s="129" t="s">
        <v>239</v>
      </c>
      <c r="C58" s="129" t="s">
        <v>240</v>
      </c>
      <c r="D58" s="129" t="s">
        <v>241</v>
      </c>
      <c r="E58" s="130" t="s">
        <v>27</v>
      </c>
      <c r="F58" s="135">
        <v>40749.480000000003</v>
      </c>
      <c r="G58" s="135"/>
      <c r="H58" s="130" t="s">
        <v>58</v>
      </c>
      <c r="I58" s="136" t="s">
        <v>28</v>
      </c>
      <c r="J58" s="136"/>
      <c r="K58" s="133" t="s">
        <v>22</v>
      </c>
      <c r="L58" s="134">
        <v>326588.64</v>
      </c>
    </row>
    <row r="59" spans="1:12" ht="61.2" hidden="1" x14ac:dyDescent="0.3">
      <c r="A59" s="128" t="s">
        <v>128</v>
      </c>
      <c r="B59" s="129" t="s">
        <v>242</v>
      </c>
      <c r="C59" s="129" t="s">
        <v>240</v>
      </c>
      <c r="D59" s="129" t="s">
        <v>63</v>
      </c>
      <c r="E59" s="130" t="s">
        <v>27</v>
      </c>
      <c r="F59" s="135">
        <v>16198</v>
      </c>
      <c r="G59" s="135"/>
      <c r="H59" s="130" t="s">
        <v>58</v>
      </c>
      <c r="I59" s="136" t="s">
        <v>28</v>
      </c>
      <c r="J59" s="136"/>
      <c r="K59" s="133" t="s">
        <v>22</v>
      </c>
      <c r="L59" s="134">
        <v>342786.64</v>
      </c>
    </row>
    <row r="60" spans="1:12" ht="51" hidden="1" x14ac:dyDescent="0.3">
      <c r="A60" s="128" t="s">
        <v>128</v>
      </c>
      <c r="B60" s="129" t="s">
        <v>243</v>
      </c>
      <c r="C60" s="129" t="s">
        <v>244</v>
      </c>
      <c r="D60" s="129" t="s">
        <v>240</v>
      </c>
      <c r="E60" s="130" t="s">
        <v>27</v>
      </c>
      <c r="F60" s="131" t="s">
        <v>28</v>
      </c>
      <c r="G60" s="131"/>
      <c r="H60" s="130" t="s">
        <v>27</v>
      </c>
      <c r="I60" s="132">
        <v>61886</v>
      </c>
      <c r="J60" s="132"/>
      <c r="K60" s="133" t="s">
        <v>22</v>
      </c>
      <c r="L60" s="134">
        <v>280900.64</v>
      </c>
    </row>
    <row r="61" spans="1:12" ht="61.2" hidden="1" x14ac:dyDescent="0.3">
      <c r="A61" s="128" t="s">
        <v>128</v>
      </c>
      <c r="B61" s="129" t="s">
        <v>245</v>
      </c>
      <c r="C61" s="129" t="s">
        <v>246</v>
      </c>
      <c r="D61" s="129" t="s">
        <v>240</v>
      </c>
      <c r="E61" s="130" t="s">
        <v>27</v>
      </c>
      <c r="F61" s="131" t="s">
        <v>28</v>
      </c>
      <c r="G61" s="131"/>
      <c r="H61" s="130" t="s">
        <v>27</v>
      </c>
      <c r="I61" s="132">
        <v>11252</v>
      </c>
      <c r="J61" s="132"/>
      <c r="K61" s="133" t="s">
        <v>22</v>
      </c>
      <c r="L61" s="134">
        <v>269648.64000000001</v>
      </c>
    </row>
    <row r="62" spans="1:12" ht="61.2" hidden="1" x14ac:dyDescent="0.3">
      <c r="A62" s="128" t="s">
        <v>54</v>
      </c>
      <c r="B62" s="129" t="s">
        <v>247</v>
      </c>
      <c r="C62" s="129" t="s">
        <v>248</v>
      </c>
      <c r="D62" s="129" t="s">
        <v>241</v>
      </c>
      <c r="E62" s="130" t="s">
        <v>27</v>
      </c>
      <c r="F62" s="135">
        <v>14600</v>
      </c>
      <c r="G62" s="135"/>
      <c r="H62" s="130" t="s">
        <v>58</v>
      </c>
      <c r="I62" s="136" t="s">
        <v>28</v>
      </c>
      <c r="J62" s="136"/>
      <c r="K62" s="133" t="s">
        <v>22</v>
      </c>
      <c r="L62" s="134">
        <v>284248.64</v>
      </c>
    </row>
    <row r="63" spans="1:12" ht="61.2" hidden="1" x14ac:dyDescent="0.3">
      <c r="A63" s="128" t="s">
        <v>54</v>
      </c>
      <c r="B63" s="129" t="s">
        <v>249</v>
      </c>
      <c r="C63" s="129" t="s">
        <v>248</v>
      </c>
      <c r="D63" s="129" t="s">
        <v>241</v>
      </c>
      <c r="E63" s="130" t="s">
        <v>27</v>
      </c>
      <c r="F63" s="135">
        <v>8720</v>
      </c>
      <c r="G63" s="135"/>
      <c r="H63" s="130" t="s">
        <v>58</v>
      </c>
      <c r="I63" s="136" t="s">
        <v>28</v>
      </c>
      <c r="J63" s="136"/>
      <c r="K63" s="133" t="s">
        <v>22</v>
      </c>
      <c r="L63" s="134">
        <v>292968.64</v>
      </c>
    </row>
    <row r="64" spans="1:12" ht="51" hidden="1" x14ac:dyDescent="0.3">
      <c r="A64" s="128" t="s">
        <v>54</v>
      </c>
      <c r="B64" s="129" t="s">
        <v>250</v>
      </c>
      <c r="C64" s="129" t="s">
        <v>251</v>
      </c>
      <c r="D64" s="129" t="s">
        <v>248</v>
      </c>
      <c r="E64" s="130" t="s">
        <v>27</v>
      </c>
      <c r="F64" s="131" t="s">
        <v>28</v>
      </c>
      <c r="G64" s="131"/>
      <c r="H64" s="130" t="s">
        <v>27</v>
      </c>
      <c r="I64" s="132">
        <v>6996</v>
      </c>
      <c r="J64" s="132"/>
      <c r="K64" s="133" t="s">
        <v>22</v>
      </c>
      <c r="L64" s="134">
        <v>285972.64</v>
      </c>
    </row>
    <row r="65" spans="1:12" ht="51" hidden="1" x14ac:dyDescent="0.3">
      <c r="A65" s="128" t="s">
        <v>54</v>
      </c>
      <c r="B65" s="129" t="s">
        <v>252</v>
      </c>
      <c r="C65" s="129" t="s">
        <v>253</v>
      </c>
      <c r="D65" s="129" t="s">
        <v>248</v>
      </c>
      <c r="E65" s="130" t="s">
        <v>27</v>
      </c>
      <c r="F65" s="131" t="s">
        <v>28</v>
      </c>
      <c r="G65" s="131"/>
      <c r="H65" s="130" t="s">
        <v>27</v>
      </c>
      <c r="I65" s="132">
        <v>6996</v>
      </c>
      <c r="J65" s="132"/>
      <c r="K65" s="133" t="s">
        <v>22</v>
      </c>
      <c r="L65" s="134">
        <v>278976.64000000001</v>
      </c>
    </row>
    <row r="66" spans="1:12" ht="61.2" hidden="1" x14ac:dyDescent="0.3">
      <c r="A66" s="128" t="s">
        <v>54</v>
      </c>
      <c r="B66" s="129" t="s">
        <v>254</v>
      </c>
      <c r="C66" s="129" t="s">
        <v>255</v>
      </c>
      <c r="D66" s="129" t="s">
        <v>248</v>
      </c>
      <c r="E66" s="130" t="s">
        <v>27</v>
      </c>
      <c r="F66" s="131" t="s">
        <v>28</v>
      </c>
      <c r="G66" s="131"/>
      <c r="H66" s="130" t="s">
        <v>27</v>
      </c>
      <c r="I66" s="132">
        <v>9328</v>
      </c>
      <c r="J66" s="132"/>
      <c r="K66" s="133" t="s">
        <v>22</v>
      </c>
      <c r="L66" s="134">
        <v>269648.64000000001</v>
      </c>
    </row>
    <row r="67" spans="1:12" ht="61.2" hidden="1" x14ac:dyDescent="0.3">
      <c r="A67" s="128" t="s">
        <v>256</v>
      </c>
      <c r="B67" s="129" t="s">
        <v>257</v>
      </c>
      <c r="C67" s="129" t="s">
        <v>258</v>
      </c>
      <c r="D67" s="129" t="s">
        <v>63</v>
      </c>
      <c r="E67" s="130" t="s">
        <v>27</v>
      </c>
      <c r="F67" s="135">
        <v>73000</v>
      </c>
      <c r="G67" s="135"/>
      <c r="H67" s="130" t="s">
        <v>58</v>
      </c>
      <c r="I67" s="136" t="s">
        <v>28</v>
      </c>
      <c r="J67" s="136"/>
      <c r="K67" s="133" t="s">
        <v>22</v>
      </c>
      <c r="L67" s="134">
        <v>342648.64</v>
      </c>
    </row>
    <row r="68" spans="1:12" ht="61.2" hidden="1" x14ac:dyDescent="0.3">
      <c r="A68" s="128" t="s">
        <v>256</v>
      </c>
      <c r="B68" s="129" t="s">
        <v>259</v>
      </c>
      <c r="C68" s="129" t="s">
        <v>258</v>
      </c>
      <c r="D68" s="129" t="s">
        <v>63</v>
      </c>
      <c r="E68" s="130" t="s">
        <v>27</v>
      </c>
      <c r="F68" s="135">
        <v>24702</v>
      </c>
      <c r="G68" s="135"/>
      <c r="H68" s="130" t="s">
        <v>58</v>
      </c>
      <c r="I68" s="136" t="s">
        <v>28</v>
      </c>
      <c r="J68" s="136"/>
      <c r="K68" s="133" t="s">
        <v>22</v>
      </c>
      <c r="L68" s="134">
        <v>367350.64</v>
      </c>
    </row>
    <row r="69" spans="1:12" ht="51" hidden="1" x14ac:dyDescent="0.3">
      <c r="A69" s="128" t="s">
        <v>256</v>
      </c>
      <c r="B69" s="129" t="s">
        <v>260</v>
      </c>
      <c r="C69" s="129" t="s">
        <v>261</v>
      </c>
      <c r="D69" s="129" t="s">
        <v>258</v>
      </c>
      <c r="E69" s="130" t="s">
        <v>27</v>
      </c>
      <c r="F69" s="131" t="s">
        <v>28</v>
      </c>
      <c r="G69" s="131"/>
      <c r="H69" s="130" t="s">
        <v>27</v>
      </c>
      <c r="I69" s="132">
        <v>93793.919999999998</v>
      </c>
      <c r="J69" s="132"/>
      <c r="K69" s="133" t="s">
        <v>22</v>
      </c>
      <c r="L69" s="134">
        <v>273556.71999999997</v>
      </c>
    </row>
    <row r="70" spans="1:12" ht="61.2" hidden="1" x14ac:dyDescent="0.3">
      <c r="A70" s="128" t="s">
        <v>256</v>
      </c>
      <c r="B70" s="129" t="s">
        <v>262</v>
      </c>
      <c r="C70" s="129" t="s">
        <v>263</v>
      </c>
      <c r="D70" s="129" t="s">
        <v>258</v>
      </c>
      <c r="E70" s="130" t="s">
        <v>27</v>
      </c>
      <c r="F70" s="131" t="s">
        <v>28</v>
      </c>
      <c r="G70" s="131"/>
      <c r="H70" s="130" t="s">
        <v>27</v>
      </c>
      <c r="I70" s="132">
        <v>3908.08</v>
      </c>
      <c r="J70" s="132"/>
      <c r="K70" s="133" t="s">
        <v>22</v>
      </c>
      <c r="L70" s="134">
        <v>269648.64000000001</v>
      </c>
    </row>
    <row r="71" spans="1:12" ht="51" hidden="1" x14ac:dyDescent="0.3">
      <c r="A71" s="128" t="s">
        <v>67</v>
      </c>
      <c r="B71" s="129" t="s">
        <v>264</v>
      </c>
      <c r="C71" s="129" t="s">
        <v>138</v>
      </c>
      <c r="D71" s="129" t="s">
        <v>265</v>
      </c>
      <c r="E71" s="130" t="s">
        <v>27</v>
      </c>
      <c r="F71" s="135">
        <v>51975</v>
      </c>
      <c r="G71" s="135"/>
      <c r="H71" s="130" t="s">
        <v>58</v>
      </c>
      <c r="I71" s="136" t="s">
        <v>28</v>
      </c>
      <c r="J71" s="136"/>
      <c r="K71" s="133" t="s">
        <v>22</v>
      </c>
      <c r="L71" s="134">
        <v>321623.64</v>
      </c>
    </row>
    <row r="72" spans="1:12" ht="51" hidden="1" x14ac:dyDescent="0.3">
      <c r="A72" s="128" t="s">
        <v>67</v>
      </c>
      <c r="B72" s="129" t="s">
        <v>266</v>
      </c>
      <c r="C72" s="129" t="s">
        <v>70</v>
      </c>
      <c r="D72" s="129" t="s">
        <v>267</v>
      </c>
      <c r="E72" s="130" t="s">
        <v>27</v>
      </c>
      <c r="F72" s="135">
        <v>5400</v>
      </c>
      <c r="G72" s="135"/>
      <c r="H72" s="130" t="s">
        <v>58</v>
      </c>
      <c r="I72" s="136" t="s">
        <v>28</v>
      </c>
      <c r="J72" s="136"/>
      <c r="K72" s="133" t="s">
        <v>22</v>
      </c>
      <c r="L72" s="134">
        <v>327023.64</v>
      </c>
    </row>
    <row r="73" spans="1:12" ht="51" hidden="1" x14ac:dyDescent="0.3">
      <c r="A73" s="128" t="s">
        <v>67</v>
      </c>
      <c r="B73" s="129" t="s">
        <v>68</v>
      </c>
      <c r="C73" s="129" t="s">
        <v>69</v>
      </c>
      <c r="D73" s="129" t="s">
        <v>70</v>
      </c>
      <c r="E73" s="130" t="s">
        <v>27</v>
      </c>
      <c r="F73" s="131" t="s">
        <v>28</v>
      </c>
      <c r="G73" s="131"/>
      <c r="H73" s="130" t="s">
        <v>27</v>
      </c>
      <c r="I73" s="132">
        <v>5400</v>
      </c>
      <c r="J73" s="132"/>
      <c r="K73" s="133" t="s">
        <v>22</v>
      </c>
      <c r="L73" s="134">
        <v>321623.64</v>
      </c>
    </row>
    <row r="74" spans="1:12" ht="51" hidden="1" x14ac:dyDescent="0.3">
      <c r="A74" s="128" t="s">
        <v>67</v>
      </c>
      <c r="B74" s="129" t="s">
        <v>268</v>
      </c>
      <c r="C74" s="129" t="s">
        <v>138</v>
      </c>
      <c r="D74" s="129" t="s">
        <v>269</v>
      </c>
      <c r="E74" s="130" t="s">
        <v>27</v>
      </c>
      <c r="F74" s="135">
        <v>16994.5</v>
      </c>
      <c r="G74" s="135"/>
      <c r="H74" s="130" t="s">
        <v>58</v>
      </c>
      <c r="I74" s="136" t="s">
        <v>28</v>
      </c>
      <c r="J74" s="136"/>
      <c r="K74" s="133" t="s">
        <v>22</v>
      </c>
      <c r="L74" s="134">
        <v>338618.14</v>
      </c>
    </row>
    <row r="75" spans="1:12" ht="51" hidden="1" x14ac:dyDescent="0.3">
      <c r="A75" s="128" t="s">
        <v>67</v>
      </c>
      <c r="B75" s="129" t="s">
        <v>270</v>
      </c>
      <c r="C75" s="129" t="s">
        <v>162</v>
      </c>
      <c r="D75" s="129" t="s">
        <v>138</v>
      </c>
      <c r="E75" s="130" t="s">
        <v>27</v>
      </c>
      <c r="F75" s="131" t="s">
        <v>28</v>
      </c>
      <c r="G75" s="131"/>
      <c r="H75" s="130" t="s">
        <v>27</v>
      </c>
      <c r="I75" s="132">
        <v>65028.39</v>
      </c>
      <c r="J75" s="132"/>
      <c r="K75" s="133" t="s">
        <v>22</v>
      </c>
      <c r="L75" s="134">
        <v>273589.75</v>
      </c>
    </row>
    <row r="76" spans="1:12" ht="51" hidden="1" x14ac:dyDescent="0.3">
      <c r="A76" s="128" t="s">
        <v>67</v>
      </c>
      <c r="B76" s="129" t="s">
        <v>136</v>
      </c>
      <c r="C76" s="129" t="s">
        <v>137</v>
      </c>
      <c r="D76" s="129" t="s">
        <v>138</v>
      </c>
      <c r="E76" s="130" t="s">
        <v>27</v>
      </c>
      <c r="F76" s="131" t="s">
        <v>28</v>
      </c>
      <c r="G76" s="131"/>
      <c r="H76" s="130" t="s">
        <v>27</v>
      </c>
      <c r="I76" s="132">
        <v>3941.11</v>
      </c>
      <c r="J76" s="132"/>
      <c r="K76" s="133" t="s">
        <v>22</v>
      </c>
      <c r="L76" s="134">
        <v>269648.64000000001</v>
      </c>
    </row>
    <row r="77" spans="1:12" ht="51" hidden="1" x14ac:dyDescent="0.3">
      <c r="A77" s="128" t="s">
        <v>71</v>
      </c>
      <c r="B77" s="129" t="s">
        <v>271</v>
      </c>
      <c r="C77" s="129" t="s">
        <v>272</v>
      </c>
      <c r="D77" s="129" t="s">
        <v>273</v>
      </c>
      <c r="E77" s="130" t="s">
        <v>27</v>
      </c>
      <c r="F77" s="137">
        <v>362.55</v>
      </c>
      <c r="G77" s="137"/>
      <c r="H77" s="130" t="s">
        <v>58</v>
      </c>
      <c r="I77" s="136" t="s">
        <v>28</v>
      </c>
      <c r="J77" s="136"/>
      <c r="K77" s="133" t="s">
        <v>22</v>
      </c>
      <c r="L77" s="134">
        <v>270011.19</v>
      </c>
    </row>
    <row r="78" spans="1:12" ht="61.2" hidden="1" x14ac:dyDescent="0.3">
      <c r="A78" s="128" t="s">
        <v>71</v>
      </c>
      <c r="B78" s="129" t="s">
        <v>271</v>
      </c>
      <c r="C78" s="129" t="s">
        <v>274</v>
      </c>
      <c r="D78" s="129" t="s">
        <v>273</v>
      </c>
      <c r="E78" s="130" t="s">
        <v>27</v>
      </c>
      <c r="F78" s="137">
        <v>901.4</v>
      </c>
      <c r="G78" s="137"/>
      <c r="H78" s="130" t="s">
        <v>58</v>
      </c>
      <c r="I78" s="136" t="s">
        <v>28</v>
      </c>
      <c r="J78" s="136"/>
      <c r="K78" s="133" t="s">
        <v>22</v>
      </c>
      <c r="L78" s="134">
        <v>270912.59000000003</v>
      </c>
    </row>
    <row r="79" spans="1:12" ht="61.2" hidden="1" x14ac:dyDescent="0.3">
      <c r="A79" s="128" t="s">
        <v>71</v>
      </c>
      <c r="B79" s="129" t="s">
        <v>275</v>
      </c>
      <c r="C79" s="129" t="s">
        <v>276</v>
      </c>
      <c r="D79" s="129" t="s">
        <v>80</v>
      </c>
      <c r="E79" s="130" t="s">
        <v>27</v>
      </c>
      <c r="F79" s="135">
        <v>66825</v>
      </c>
      <c r="G79" s="135"/>
      <c r="H79" s="130" t="s">
        <v>58</v>
      </c>
      <c r="I79" s="136" t="s">
        <v>28</v>
      </c>
      <c r="J79" s="136"/>
      <c r="K79" s="133" t="s">
        <v>22</v>
      </c>
      <c r="L79" s="134">
        <v>337737.59</v>
      </c>
    </row>
    <row r="80" spans="1:12" ht="61.2" hidden="1" x14ac:dyDescent="0.3">
      <c r="A80" s="128" t="s">
        <v>71</v>
      </c>
      <c r="B80" s="129" t="s">
        <v>277</v>
      </c>
      <c r="C80" s="129" t="s">
        <v>276</v>
      </c>
      <c r="D80" s="129" t="s">
        <v>80</v>
      </c>
      <c r="E80" s="130" t="s">
        <v>27</v>
      </c>
      <c r="F80" s="135">
        <v>25485</v>
      </c>
      <c r="G80" s="135"/>
      <c r="H80" s="130" t="s">
        <v>58</v>
      </c>
      <c r="I80" s="136" t="s">
        <v>28</v>
      </c>
      <c r="J80" s="136"/>
      <c r="K80" s="133" t="s">
        <v>22</v>
      </c>
      <c r="L80" s="134">
        <v>363222.59</v>
      </c>
    </row>
    <row r="81" spans="1:12" ht="61.2" hidden="1" x14ac:dyDescent="0.3">
      <c r="A81" s="128" t="s">
        <v>71</v>
      </c>
      <c r="B81" s="129" t="s">
        <v>278</v>
      </c>
      <c r="C81" s="129" t="s">
        <v>279</v>
      </c>
      <c r="D81" s="129" t="s">
        <v>276</v>
      </c>
      <c r="E81" s="130" t="s">
        <v>27</v>
      </c>
      <c r="F81" s="131" t="s">
        <v>28</v>
      </c>
      <c r="G81" s="131"/>
      <c r="H81" s="130" t="s">
        <v>27</v>
      </c>
      <c r="I81" s="132">
        <v>59488.67</v>
      </c>
      <c r="J81" s="132"/>
      <c r="K81" s="133" t="s">
        <v>22</v>
      </c>
      <c r="L81" s="134">
        <v>303733.92</v>
      </c>
    </row>
    <row r="82" spans="1:12" ht="51" hidden="1" x14ac:dyDescent="0.3">
      <c r="A82" s="128" t="s">
        <v>71</v>
      </c>
      <c r="B82" s="129" t="s">
        <v>280</v>
      </c>
      <c r="C82" s="129" t="s">
        <v>281</v>
      </c>
      <c r="D82" s="129" t="s">
        <v>276</v>
      </c>
      <c r="E82" s="130" t="s">
        <v>27</v>
      </c>
      <c r="F82" s="131" t="s">
        <v>28</v>
      </c>
      <c r="G82" s="131"/>
      <c r="H82" s="130" t="s">
        <v>27</v>
      </c>
      <c r="I82" s="132">
        <v>24616</v>
      </c>
      <c r="J82" s="132"/>
      <c r="K82" s="133" t="s">
        <v>22</v>
      </c>
      <c r="L82" s="134">
        <v>279117.92</v>
      </c>
    </row>
    <row r="83" spans="1:12" ht="61.2" hidden="1" x14ac:dyDescent="0.3">
      <c r="A83" s="128" t="s">
        <v>71</v>
      </c>
      <c r="B83" s="129" t="s">
        <v>282</v>
      </c>
      <c r="C83" s="129" t="s">
        <v>283</v>
      </c>
      <c r="D83" s="129" t="s">
        <v>276</v>
      </c>
      <c r="E83" s="130" t="s">
        <v>27</v>
      </c>
      <c r="F83" s="131" t="s">
        <v>28</v>
      </c>
      <c r="G83" s="131"/>
      <c r="H83" s="130" t="s">
        <v>27</v>
      </c>
      <c r="I83" s="132">
        <v>8205.33</v>
      </c>
      <c r="J83" s="132"/>
      <c r="K83" s="133" t="s">
        <v>22</v>
      </c>
      <c r="L83" s="134">
        <v>270912.59000000003</v>
      </c>
    </row>
    <row r="84" spans="1:12" ht="61.2" hidden="1" x14ac:dyDescent="0.3">
      <c r="A84" s="128" t="s">
        <v>177</v>
      </c>
      <c r="B84" s="129" t="s">
        <v>284</v>
      </c>
      <c r="C84" s="129" t="s">
        <v>285</v>
      </c>
      <c r="D84" s="129" t="s">
        <v>286</v>
      </c>
      <c r="E84" s="130" t="s">
        <v>27</v>
      </c>
      <c r="F84" s="135">
        <v>5226</v>
      </c>
      <c r="G84" s="135"/>
      <c r="H84" s="130" t="s">
        <v>58</v>
      </c>
      <c r="I84" s="136" t="s">
        <v>28</v>
      </c>
      <c r="J84" s="136"/>
      <c r="K84" s="133" t="s">
        <v>22</v>
      </c>
      <c r="L84" s="134">
        <v>276138.59000000003</v>
      </c>
    </row>
    <row r="85" spans="1:12" ht="51" hidden="1" x14ac:dyDescent="0.3">
      <c r="A85" s="128" t="s">
        <v>177</v>
      </c>
      <c r="B85" s="129" t="s">
        <v>284</v>
      </c>
      <c r="C85" s="129" t="s">
        <v>287</v>
      </c>
      <c r="D85" s="129" t="s">
        <v>286</v>
      </c>
      <c r="E85" s="130" t="s">
        <v>27</v>
      </c>
      <c r="F85" s="135">
        <v>31187.33</v>
      </c>
      <c r="G85" s="135"/>
      <c r="H85" s="130" t="s">
        <v>58</v>
      </c>
      <c r="I85" s="136" t="s">
        <v>28</v>
      </c>
      <c r="J85" s="136"/>
      <c r="K85" s="133" t="s">
        <v>22</v>
      </c>
      <c r="L85" s="134">
        <v>307325.92</v>
      </c>
    </row>
    <row r="86" spans="1:12" ht="61.2" hidden="1" x14ac:dyDescent="0.3">
      <c r="A86" s="128" t="s">
        <v>177</v>
      </c>
      <c r="B86" s="129" t="s">
        <v>288</v>
      </c>
      <c r="C86" s="129" t="s">
        <v>180</v>
      </c>
      <c r="D86" s="129" t="s">
        <v>289</v>
      </c>
      <c r="E86" s="130" t="s">
        <v>27</v>
      </c>
      <c r="F86" s="135">
        <v>36921</v>
      </c>
      <c r="G86" s="135"/>
      <c r="H86" s="130" t="s">
        <v>58</v>
      </c>
      <c r="I86" s="136" t="s">
        <v>28</v>
      </c>
      <c r="J86" s="136"/>
      <c r="K86" s="133" t="s">
        <v>22</v>
      </c>
      <c r="L86" s="134">
        <v>344246.92</v>
      </c>
    </row>
    <row r="87" spans="1:12" ht="61.2" hidden="1" x14ac:dyDescent="0.3">
      <c r="A87" s="128" t="s">
        <v>177</v>
      </c>
      <c r="B87" s="129" t="s">
        <v>290</v>
      </c>
      <c r="C87" s="129" t="s">
        <v>285</v>
      </c>
      <c r="D87" s="129" t="s">
        <v>286</v>
      </c>
      <c r="E87" s="130" t="s">
        <v>27</v>
      </c>
      <c r="F87" s="135">
        <v>12194</v>
      </c>
      <c r="G87" s="135"/>
      <c r="H87" s="130" t="s">
        <v>58</v>
      </c>
      <c r="I87" s="136" t="s">
        <v>28</v>
      </c>
      <c r="J87" s="136"/>
      <c r="K87" s="133" t="s">
        <v>22</v>
      </c>
      <c r="L87" s="134">
        <v>356440.92</v>
      </c>
    </row>
    <row r="88" spans="1:12" ht="51" hidden="1" x14ac:dyDescent="0.3">
      <c r="A88" s="128" t="s">
        <v>177</v>
      </c>
      <c r="B88" s="129" t="s">
        <v>290</v>
      </c>
      <c r="C88" s="129" t="s">
        <v>287</v>
      </c>
      <c r="D88" s="129" t="s">
        <v>286</v>
      </c>
      <c r="E88" s="130" t="s">
        <v>27</v>
      </c>
      <c r="F88" s="135">
        <v>31948</v>
      </c>
      <c r="G88" s="135"/>
      <c r="H88" s="130" t="s">
        <v>58</v>
      </c>
      <c r="I88" s="136" t="s">
        <v>28</v>
      </c>
      <c r="J88" s="136"/>
      <c r="K88" s="133" t="s">
        <v>22</v>
      </c>
      <c r="L88" s="134">
        <v>388388.92</v>
      </c>
    </row>
    <row r="89" spans="1:12" ht="61.2" hidden="1" x14ac:dyDescent="0.3">
      <c r="A89" s="128" t="s">
        <v>177</v>
      </c>
      <c r="B89" s="129" t="s">
        <v>291</v>
      </c>
      <c r="C89" s="129" t="s">
        <v>180</v>
      </c>
      <c r="D89" s="129" t="s">
        <v>289</v>
      </c>
      <c r="E89" s="130" t="s">
        <v>27</v>
      </c>
      <c r="F89" s="135">
        <v>38972.17</v>
      </c>
      <c r="G89" s="135"/>
      <c r="H89" s="130" t="s">
        <v>58</v>
      </c>
      <c r="I89" s="136" t="s">
        <v>28</v>
      </c>
      <c r="J89" s="136"/>
      <c r="K89" s="133" t="s">
        <v>22</v>
      </c>
      <c r="L89" s="134">
        <v>427361.09</v>
      </c>
    </row>
    <row r="90" spans="1:12" ht="61.2" hidden="1" x14ac:dyDescent="0.3">
      <c r="A90" s="128" t="s">
        <v>177</v>
      </c>
      <c r="B90" s="129" t="s">
        <v>292</v>
      </c>
      <c r="C90" s="129" t="s">
        <v>293</v>
      </c>
      <c r="D90" s="129" t="s">
        <v>180</v>
      </c>
      <c r="E90" s="130" t="s">
        <v>27</v>
      </c>
      <c r="F90" s="131" t="s">
        <v>28</v>
      </c>
      <c r="G90" s="131"/>
      <c r="H90" s="130" t="s">
        <v>27</v>
      </c>
      <c r="I90" s="132">
        <v>13246</v>
      </c>
      <c r="J90" s="132"/>
      <c r="K90" s="133" t="s">
        <v>22</v>
      </c>
      <c r="L90" s="134">
        <v>414115.09</v>
      </c>
    </row>
    <row r="91" spans="1:12" ht="61.2" hidden="1" x14ac:dyDescent="0.3">
      <c r="A91" s="128" t="s">
        <v>177</v>
      </c>
      <c r="B91" s="129" t="s">
        <v>178</v>
      </c>
      <c r="C91" s="129" t="s">
        <v>179</v>
      </c>
      <c r="D91" s="129" t="s">
        <v>180</v>
      </c>
      <c r="E91" s="130" t="s">
        <v>27</v>
      </c>
      <c r="F91" s="131" t="s">
        <v>28</v>
      </c>
      <c r="G91" s="131"/>
      <c r="H91" s="130" t="s">
        <v>27</v>
      </c>
      <c r="I91" s="132">
        <v>62647.17</v>
      </c>
      <c r="J91" s="132"/>
      <c r="K91" s="133" t="s">
        <v>22</v>
      </c>
      <c r="L91" s="134">
        <v>351467.92</v>
      </c>
    </row>
    <row r="92" spans="1:12" ht="61.2" hidden="1" x14ac:dyDescent="0.3">
      <c r="A92" s="128" t="s">
        <v>177</v>
      </c>
      <c r="B92" s="129" t="s">
        <v>294</v>
      </c>
      <c r="C92" s="129" t="s">
        <v>295</v>
      </c>
      <c r="D92" s="129" t="s">
        <v>285</v>
      </c>
      <c r="E92" s="130" t="s">
        <v>27</v>
      </c>
      <c r="F92" s="131" t="s">
        <v>28</v>
      </c>
      <c r="G92" s="131"/>
      <c r="H92" s="130" t="s">
        <v>27</v>
      </c>
      <c r="I92" s="132">
        <v>17420</v>
      </c>
      <c r="J92" s="132"/>
      <c r="K92" s="133" t="s">
        <v>22</v>
      </c>
      <c r="L92" s="134">
        <v>334047.92</v>
      </c>
    </row>
    <row r="93" spans="1:12" ht="51" hidden="1" x14ac:dyDescent="0.3">
      <c r="A93" s="128" t="s">
        <v>177</v>
      </c>
      <c r="B93" s="129" t="s">
        <v>294</v>
      </c>
      <c r="C93" s="129" t="s">
        <v>296</v>
      </c>
      <c r="D93" s="129" t="s">
        <v>287</v>
      </c>
      <c r="E93" s="130" t="s">
        <v>27</v>
      </c>
      <c r="F93" s="131" t="s">
        <v>28</v>
      </c>
      <c r="G93" s="131"/>
      <c r="H93" s="130" t="s">
        <v>27</v>
      </c>
      <c r="I93" s="132">
        <v>50968.91</v>
      </c>
      <c r="J93" s="132"/>
      <c r="K93" s="133" t="s">
        <v>22</v>
      </c>
      <c r="L93" s="134">
        <v>283079.01</v>
      </c>
    </row>
    <row r="94" spans="1:12" ht="61.2" hidden="1" x14ac:dyDescent="0.3">
      <c r="A94" s="128" t="s">
        <v>177</v>
      </c>
      <c r="B94" s="129" t="s">
        <v>297</v>
      </c>
      <c r="C94" s="129" t="s">
        <v>298</v>
      </c>
      <c r="D94" s="129" t="s">
        <v>287</v>
      </c>
      <c r="E94" s="130" t="s">
        <v>27</v>
      </c>
      <c r="F94" s="131" t="s">
        <v>28</v>
      </c>
      <c r="G94" s="131"/>
      <c r="H94" s="130" t="s">
        <v>27</v>
      </c>
      <c r="I94" s="132">
        <v>12166.42</v>
      </c>
      <c r="J94" s="132"/>
      <c r="K94" s="133" t="s">
        <v>22</v>
      </c>
      <c r="L94" s="134">
        <v>270912.59000000003</v>
      </c>
    </row>
    <row r="95" spans="1:12" ht="61.2" hidden="1" x14ac:dyDescent="0.3">
      <c r="A95" s="128" t="s">
        <v>151</v>
      </c>
      <c r="B95" s="129" t="s">
        <v>299</v>
      </c>
      <c r="C95" s="129" t="s">
        <v>154</v>
      </c>
      <c r="D95" s="129" t="s">
        <v>300</v>
      </c>
      <c r="E95" s="130" t="s">
        <v>27</v>
      </c>
      <c r="F95" s="135">
        <v>13731</v>
      </c>
      <c r="G95" s="135"/>
      <c r="H95" s="130" t="s">
        <v>58</v>
      </c>
      <c r="I95" s="136" t="s">
        <v>28</v>
      </c>
      <c r="J95" s="136"/>
      <c r="K95" s="133" t="s">
        <v>22</v>
      </c>
      <c r="L95" s="134">
        <v>284643.59000000003</v>
      </c>
    </row>
    <row r="96" spans="1:12" ht="61.2" hidden="1" x14ac:dyDescent="0.3">
      <c r="A96" s="128" t="s">
        <v>151</v>
      </c>
      <c r="B96" s="129" t="s">
        <v>301</v>
      </c>
      <c r="C96" s="129" t="s">
        <v>154</v>
      </c>
      <c r="D96" s="129" t="s">
        <v>300</v>
      </c>
      <c r="E96" s="130" t="s">
        <v>27</v>
      </c>
      <c r="F96" s="135">
        <v>32039</v>
      </c>
      <c r="G96" s="135"/>
      <c r="H96" s="130" t="s">
        <v>58</v>
      </c>
      <c r="I96" s="136" t="s">
        <v>28</v>
      </c>
      <c r="J96" s="136"/>
      <c r="K96" s="133" t="s">
        <v>22</v>
      </c>
      <c r="L96" s="134">
        <v>316682.59000000003</v>
      </c>
    </row>
    <row r="97" spans="1:12" ht="61.2" hidden="1" x14ac:dyDescent="0.3">
      <c r="A97" s="128" t="s">
        <v>151</v>
      </c>
      <c r="B97" s="129" t="s">
        <v>152</v>
      </c>
      <c r="C97" s="129" t="s">
        <v>153</v>
      </c>
      <c r="D97" s="129" t="s">
        <v>154</v>
      </c>
      <c r="E97" s="130" t="s">
        <v>27</v>
      </c>
      <c r="F97" s="131" t="s">
        <v>28</v>
      </c>
      <c r="G97" s="131"/>
      <c r="H97" s="130" t="s">
        <v>27</v>
      </c>
      <c r="I97" s="132">
        <v>18870</v>
      </c>
      <c r="J97" s="132"/>
      <c r="K97" s="133" t="s">
        <v>22</v>
      </c>
      <c r="L97" s="134">
        <v>297812.59000000003</v>
      </c>
    </row>
    <row r="98" spans="1:12" ht="61.2" hidden="1" x14ac:dyDescent="0.3">
      <c r="A98" s="128" t="s">
        <v>151</v>
      </c>
      <c r="B98" s="129" t="s">
        <v>302</v>
      </c>
      <c r="C98" s="129" t="s">
        <v>303</v>
      </c>
      <c r="D98" s="129" t="s">
        <v>154</v>
      </c>
      <c r="E98" s="130" t="s">
        <v>27</v>
      </c>
      <c r="F98" s="131" t="s">
        <v>28</v>
      </c>
      <c r="G98" s="131"/>
      <c r="H98" s="130" t="s">
        <v>27</v>
      </c>
      <c r="I98" s="132">
        <v>26900</v>
      </c>
      <c r="J98" s="132"/>
      <c r="K98" s="133" t="s">
        <v>22</v>
      </c>
      <c r="L98" s="134">
        <v>270912.59000000003</v>
      </c>
    </row>
    <row r="99" spans="1:12" ht="61.2" hidden="1" x14ac:dyDescent="0.3">
      <c r="A99" s="128" t="s">
        <v>304</v>
      </c>
      <c r="B99" s="129" t="s">
        <v>305</v>
      </c>
      <c r="C99" s="129" t="s">
        <v>306</v>
      </c>
      <c r="D99" s="129" t="s">
        <v>307</v>
      </c>
      <c r="E99" s="130" t="s">
        <v>27</v>
      </c>
      <c r="F99" s="135">
        <v>13917</v>
      </c>
      <c r="G99" s="135"/>
      <c r="H99" s="130" t="s">
        <v>58</v>
      </c>
      <c r="I99" s="136" t="s">
        <v>28</v>
      </c>
      <c r="J99" s="136"/>
      <c r="K99" s="133" t="s">
        <v>22</v>
      </c>
      <c r="L99" s="134">
        <v>284829.59000000003</v>
      </c>
    </row>
    <row r="100" spans="1:12" ht="61.2" hidden="1" x14ac:dyDescent="0.3">
      <c r="A100" s="128" t="s">
        <v>304</v>
      </c>
      <c r="B100" s="129" t="s">
        <v>308</v>
      </c>
      <c r="C100" s="129" t="s">
        <v>306</v>
      </c>
      <c r="D100" s="129" t="s">
        <v>307</v>
      </c>
      <c r="E100" s="130" t="s">
        <v>27</v>
      </c>
      <c r="F100" s="135">
        <v>32473</v>
      </c>
      <c r="G100" s="135"/>
      <c r="H100" s="130" t="s">
        <v>58</v>
      </c>
      <c r="I100" s="136" t="s">
        <v>28</v>
      </c>
      <c r="J100" s="136"/>
      <c r="K100" s="133" t="s">
        <v>22</v>
      </c>
      <c r="L100" s="134">
        <v>317302.59000000003</v>
      </c>
    </row>
    <row r="101" spans="1:12" ht="61.2" hidden="1" x14ac:dyDescent="0.3">
      <c r="A101" s="128" t="s">
        <v>304</v>
      </c>
      <c r="B101" s="129" t="s">
        <v>309</v>
      </c>
      <c r="C101" s="129" t="s">
        <v>310</v>
      </c>
      <c r="D101" s="129" t="s">
        <v>306</v>
      </c>
      <c r="E101" s="130" t="s">
        <v>27</v>
      </c>
      <c r="F101" s="131" t="s">
        <v>28</v>
      </c>
      <c r="G101" s="131"/>
      <c r="H101" s="130" t="s">
        <v>27</v>
      </c>
      <c r="I101" s="132">
        <v>37515</v>
      </c>
      <c r="J101" s="132"/>
      <c r="K101" s="133" t="s">
        <v>22</v>
      </c>
      <c r="L101" s="134">
        <v>279787.59000000003</v>
      </c>
    </row>
    <row r="102" spans="1:12" ht="71.400000000000006" hidden="1" x14ac:dyDescent="0.3">
      <c r="A102" s="128" t="s">
        <v>304</v>
      </c>
      <c r="B102" s="129" t="s">
        <v>311</v>
      </c>
      <c r="C102" s="129" t="s">
        <v>312</v>
      </c>
      <c r="D102" s="129" t="s">
        <v>306</v>
      </c>
      <c r="E102" s="130" t="s">
        <v>27</v>
      </c>
      <c r="F102" s="131" t="s">
        <v>28</v>
      </c>
      <c r="G102" s="131"/>
      <c r="H102" s="130" t="s">
        <v>27</v>
      </c>
      <c r="I102" s="132">
        <v>8875</v>
      </c>
      <c r="J102" s="132"/>
      <c r="K102" s="133" t="s">
        <v>22</v>
      </c>
      <c r="L102" s="134">
        <v>270912.59000000003</v>
      </c>
    </row>
    <row r="103" spans="1:12" ht="61.2" hidden="1" x14ac:dyDescent="0.3">
      <c r="A103" s="128" t="s">
        <v>155</v>
      </c>
      <c r="B103" s="129" t="s">
        <v>313</v>
      </c>
      <c r="C103" s="129" t="s">
        <v>158</v>
      </c>
      <c r="D103" s="129" t="s">
        <v>314</v>
      </c>
      <c r="E103" s="130" t="s">
        <v>27</v>
      </c>
      <c r="F103" s="135">
        <v>8242.5</v>
      </c>
      <c r="G103" s="135"/>
      <c r="H103" s="130" t="s">
        <v>58</v>
      </c>
      <c r="I103" s="136" t="s">
        <v>28</v>
      </c>
      <c r="J103" s="136"/>
      <c r="K103" s="133" t="s">
        <v>22</v>
      </c>
      <c r="L103" s="134">
        <v>279155.09000000003</v>
      </c>
    </row>
    <row r="104" spans="1:12" ht="61.2" hidden="1" x14ac:dyDescent="0.3">
      <c r="A104" s="128" t="s">
        <v>155</v>
      </c>
      <c r="B104" s="129" t="s">
        <v>315</v>
      </c>
      <c r="C104" s="129" t="s">
        <v>158</v>
      </c>
      <c r="D104" s="129" t="s">
        <v>314</v>
      </c>
      <c r="E104" s="130" t="s">
        <v>27</v>
      </c>
      <c r="F104" s="135">
        <v>19232.5</v>
      </c>
      <c r="G104" s="135"/>
      <c r="H104" s="130" t="s">
        <v>58</v>
      </c>
      <c r="I104" s="136" t="s">
        <v>28</v>
      </c>
      <c r="J104" s="136"/>
      <c r="K104" s="133" t="s">
        <v>22</v>
      </c>
      <c r="L104" s="134">
        <v>298387.59000000003</v>
      </c>
    </row>
    <row r="105" spans="1:12" ht="61.2" hidden="1" x14ac:dyDescent="0.3">
      <c r="A105" s="128" t="s">
        <v>155</v>
      </c>
      <c r="B105" s="129" t="s">
        <v>316</v>
      </c>
      <c r="C105" s="129" t="s">
        <v>317</v>
      </c>
      <c r="D105" s="129" t="s">
        <v>158</v>
      </c>
      <c r="E105" s="130" t="s">
        <v>27</v>
      </c>
      <c r="F105" s="131" t="s">
        <v>28</v>
      </c>
      <c r="G105" s="131"/>
      <c r="H105" s="130" t="s">
        <v>27</v>
      </c>
      <c r="I105" s="132">
        <v>18370</v>
      </c>
      <c r="J105" s="132"/>
      <c r="K105" s="133" t="s">
        <v>22</v>
      </c>
      <c r="L105" s="134">
        <v>280017.59000000003</v>
      </c>
    </row>
    <row r="106" spans="1:12" ht="61.2" hidden="1" x14ac:dyDescent="0.3">
      <c r="A106" s="128" t="s">
        <v>155</v>
      </c>
      <c r="B106" s="129" t="s">
        <v>156</v>
      </c>
      <c r="C106" s="129" t="s">
        <v>157</v>
      </c>
      <c r="D106" s="129" t="s">
        <v>158</v>
      </c>
      <c r="E106" s="130" t="s">
        <v>27</v>
      </c>
      <c r="F106" s="131" t="s">
        <v>28</v>
      </c>
      <c r="G106" s="131"/>
      <c r="H106" s="130" t="s">
        <v>27</v>
      </c>
      <c r="I106" s="132">
        <v>9105</v>
      </c>
      <c r="J106" s="132"/>
      <c r="K106" s="133" t="s">
        <v>22</v>
      </c>
      <c r="L106" s="134">
        <v>270912.59000000003</v>
      </c>
    </row>
    <row r="107" spans="1:12" ht="51" hidden="1" x14ac:dyDescent="0.3">
      <c r="A107" s="128" t="s">
        <v>318</v>
      </c>
      <c r="B107" s="129" t="s">
        <v>319</v>
      </c>
      <c r="C107" s="129" t="s">
        <v>320</v>
      </c>
      <c r="D107" s="129" t="s">
        <v>321</v>
      </c>
      <c r="E107" s="130" t="s">
        <v>27</v>
      </c>
      <c r="F107" s="135">
        <v>4666.59</v>
      </c>
      <c r="G107" s="135"/>
      <c r="H107" s="130" t="s">
        <v>58</v>
      </c>
      <c r="I107" s="136" t="s">
        <v>28</v>
      </c>
      <c r="J107" s="136"/>
      <c r="K107" s="133" t="s">
        <v>22</v>
      </c>
      <c r="L107" s="134">
        <v>275579.18</v>
      </c>
    </row>
    <row r="108" spans="1:12" ht="61.2" hidden="1" x14ac:dyDescent="0.3">
      <c r="A108" s="128" t="s">
        <v>318</v>
      </c>
      <c r="B108" s="129" t="s">
        <v>319</v>
      </c>
      <c r="C108" s="129" t="s">
        <v>322</v>
      </c>
      <c r="D108" s="129" t="s">
        <v>321</v>
      </c>
      <c r="E108" s="130" t="s">
        <v>27</v>
      </c>
      <c r="F108" s="135">
        <v>67740</v>
      </c>
      <c r="G108" s="135"/>
      <c r="H108" s="130" t="s">
        <v>58</v>
      </c>
      <c r="I108" s="136" t="s">
        <v>28</v>
      </c>
      <c r="J108" s="136"/>
      <c r="K108" s="133" t="s">
        <v>22</v>
      </c>
      <c r="L108" s="134">
        <v>343319.18</v>
      </c>
    </row>
    <row r="109" spans="1:12" ht="61.2" hidden="1" x14ac:dyDescent="0.3">
      <c r="A109" s="128" t="s">
        <v>318</v>
      </c>
      <c r="B109" s="129" t="s">
        <v>319</v>
      </c>
      <c r="C109" s="129" t="s">
        <v>323</v>
      </c>
      <c r="D109" s="129" t="s">
        <v>321</v>
      </c>
      <c r="E109" s="130" t="s">
        <v>27</v>
      </c>
      <c r="F109" s="135">
        <v>3600</v>
      </c>
      <c r="G109" s="135"/>
      <c r="H109" s="130" t="s">
        <v>58</v>
      </c>
      <c r="I109" s="136" t="s">
        <v>28</v>
      </c>
      <c r="J109" s="136"/>
      <c r="K109" s="133" t="s">
        <v>22</v>
      </c>
      <c r="L109" s="134">
        <v>346919.18</v>
      </c>
    </row>
    <row r="110" spans="1:12" ht="51" hidden="1" x14ac:dyDescent="0.3">
      <c r="A110" s="128" t="s">
        <v>318</v>
      </c>
      <c r="B110" s="129" t="s">
        <v>319</v>
      </c>
      <c r="C110" s="129" t="s">
        <v>324</v>
      </c>
      <c r="D110" s="129" t="s">
        <v>321</v>
      </c>
      <c r="E110" s="130" t="s">
        <v>27</v>
      </c>
      <c r="F110" s="135">
        <v>45918.720000000001</v>
      </c>
      <c r="G110" s="135"/>
      <c r="H110" s="130" t="s">
        <v>58</v>
      </c>
      <c r="I110" s="136" t="s">
        <v>28</v>
      </c>
      <c r="J110" s="136"/>
      <c r="K110" s="133" t="s">
        <v>22</v>
      </c>
      <c r="L110" s="134">
        <v>392837.9</v>
      </c>
    </row>
    <row r="111" spans="1:12" ht="61.2" hidden="1" x14ac:dyDescent="0.3">
      <c r="A111" s="128" t="s">
        <v>318</v>
      </c>
      <c r="B111" s="129" t="s">
        <v>319</v>
      </c>
      <c r="C111" s="129" t="s">
        <v>325</v>
      </c>
      <c r="D111" s="129" t="s">
        <v>321</v>
      </c>
      <c r="E111" s="130" t="s">
        <v>27</v>
      </c>
      <c r="F111" s="135">
        <v>19795.97</v>
      </c>
      <c r="G111" s="135"/>
      <c r="H111" s="130" t="s">
        <v>58</v>
      </c>
      <c r="I111" s="136" t="s">
        <v>28</v>
      </c>
      <c r="J111" s="136"/>
      <c r="K111" s="133" t="s">
        <v>22</v>
      </c>
      <c r="L111" s="134">
        <v>412633.87</v>
      </c>
    </row>
    <row r="112" spans="1:12" ht="51" hidden="1" x14ac:dyDescent="0.3">
      <c r="A112" s="128" t="s">
        <v>318</v>
      </c>
      <c r="B112" s="129" t="s">
        <v>319</v>
      </c>
      <c r="C112" s="129" t="s">
        <v>326</v>
      </c>
      <c r="D112" s="129" t="s">
        <v>321</v>
      </c>
      <c r="E112" s="130" t="s">
        <v>27</v>
      </c>
      <c r="F112" s="135">
        <v>25322.11</v>
      </c>
      <c r="G112" s="135"/>
      <c r="H112" s="130" t="s">
        <v>58</v>
      </c>
      <c r="I112" s="136" t="s">
        <v>28</v>
      </c>
      <c r="J112" s="136"/>
      <c r="K112" s="133" t="s">
        <v>22</v>
      </c>
      <c r="L112" s="134">
        <v>437955.98</v>
      </c>
    </row>
    <row r="113" spans="1:12" ht="51" hidden="1" x14ac:dyDescent="0.3">
      <c r="A113" s="128" t="s">
        <v>318</v>
      </c>
      <c r="B113" s="129" t="s">
        <v>319</v>
      </c>
      <c r="C113" s="129" t="s">
        <v>327</v>
      </c>
      <c r="D113" s="129" t="s">
        <v>321</v>
      </c>
      <c r="E113" s="130" t="s">
        <v>27</v>
      </c>
      <c r="F113" s="135">
        <v>76397.179999999993</v>
      </c>
      <c r="G113" s="135"/>
      <c r="H113" s="130" t="s">
        <v>58</v>
      </c>
      <c r="I113" s="136" t="s">
        <v>28</v>
      </c>
      <c r="J113" s="136"/>
      <c r="K113" s="133" t="s">
        <v>22</v>
      </c>
      <c r="L113" s="134">
        <v>514353.16</v>
      </c>
    </row>
    <row r="114" spans="1:12" ht="51" hidden="1" x14ac:dyDescent="0.3">
      <c r="A114" s="128" t="s">
        <v>318</v>
      </c>
      <c r="B114" s="129" t="s">
        <v>319</v>
      </c>
      <c r="C114" s="129" t="s">
        <v>328</v>
      </c>
      <c r="D114" s="129" t="s">
        <v>321</v>
      </c>
      <c r="E114" s="130" t="s">
        <v>27</v>
      </c>
      <c r="F114" s="135">
        <v>39352.400000000001</v>
      </c>
      <c r="G114" s="135"/>
      <c r="H114" s="130" t="s">
        <v>58</v>
      </c>
      <c r="I114" s="136" t="s">
        <v>28</v>
      </c>
      <c r="J114" s="136"/>
      <c r="K114" s="133" t="s">
        <v>22</v>
      </c>
      <c r="L114" s="134">
        <v>553705.56000000006</v>
      </c>
    </row>
    <row r="115" spans="1:12" ht="51" hidden="1" x14ac:dyDescent="0.3">
      <c r="A115" s="128" t="s">
        <v>318</v>
      </c>
      <c r="B115" s="129" t="s">
        <v>319</v>
      </c>
      <c r="C115" s="129" t="s">
        <v>329</v>
      </c>
      <c r="D115" s="129" t="s">
        <v>321</v>
      </c>
      <c r="E115" s="130" t="s">
        <v>27</v>
      </c>
      <c r="F115" s="135">
        <v>191860.32</v>
      </c>
      <c r="G115" s="135"/>
      <c r="H115" s="130" t="s">
        <v>58</v>
      </c>
      <c r="I115" s="136" t="s">
        <v>28</v>
      </c>
      <c r="J115" s="136"/>
      <c r="K115" s="133" t="s">
        <v>22</v>
      </c>
      <c r="L115" s="134">
        <v>745565.88</v>
      </c>
    </row>
    <row r="116" spans="1:12" ht="51" hidden="1" x14ac:dyDescent="0.3">
      <c r="A116" s="128" t="s">
        <v>318</v>
      </c>
      <c r="B116" s="129" t="s">
        <v>319</v>
      </c>
      <c r="C116" s="129" t="s">
        <v>330</v>
      </c>
      <c r="D116" s="129" t="s">
        <v>321</v>
      </c>
      <c r="E116" s="130" t="s">
        <v>27</v>
      </c>
      <c r="F116" s="135">
        <v>16881.41</v>
      </c>
      <c r="G116" s="135"/>
      <c r="H116" s="130" t="s">
        <v>58</v>
      </c>
      <c r="I116" s="136" t="s">
        <v>28</v>
      </c>
      <c r="J116" s="136"/>
      <c r="K116" s="133" t="s">
        <v>22</v>
      </c>
      <c r="L116" s="134">
        <v>762447.29</v>
      </c>
    </row>
    <row r="117" spans="1:12" ht="51" hidden="1" x14ac:dyDescent="0.3">
      <c r="A117" s="128" t="s">
        <v>318</v>
      </c>
      <c r="B117" s="129" t="s">
        <v>319</v>
      </c>
      <c r="C117" s="129" t="s">
        <v>331</v>
      </c>
      <c r="D117" s="129" t="s">
        <v>321</v>
      </c>
      <c r="E117" s="130" t="s">
        <v>27</v>
      </c>
      <c r="F117" s="135">
        <v>14766</v>
      </c>
      <c r="G117" s="135"/>
      <c r="H117" s="130" t="s">
        <v>58</v>
      </c>
      <c r="I117" s="136" t="s">
        <v>28</v>
      </c>
      <c r="J117" s="136"/>
      <c r="K117" s="133" t="s">
        <v>22</v>
      </c>
      <c r="L117" s="134">
        <v>777213.29</v>
      </c>
    </row>
    <row r="118" spans="1:12" ht="51" hidden="1" x14ac:dyDescent="0.3">
      <c r="A118" s="128" t="s">
        <v>318</v>
      </c>
      <c r="B118" s="129" t="s">
        <v>319</v>
      </c>
      <c r="C118" s="129" t="s">
        <v>332</v>
      </c>
      <c r="D118" s="129" t="s">
        <v>321</v>
      </c>
      <c r="E118" s="130" t="s">
        <v>27</v>
      </c>
      <c r="F118" s="135">
        <v>150094.07999999999</v>
      </c>
      <c r="G118" s="135"/>
      <c r="H118" s="130" t="s">
        <v>58</v>
      </c>
      <c r="I118" s="136" t="s">
        <v>28</v>
      </c>
      <c r="J118" s="136"/>
      <c r="K118" s="133" t="s">
        <v>22</v>
      </c>
      <c r="L118" s="134">
        <v>927307.37</v>
      </c>
    </row>
    <row r="119" spans="1:12" ht="61.2" hidden="1" x14ac:dyDescent="0.3">
      <c r="A119" s="128" t="s">
        <v>318</v>
      </c>
      <c r="B119" s="129" t="s">
        <v>333</v>
      </c>
      <c r="C119" s="129" t="s">
        <v>334</v>
      </c>
      <c r="D119" s="129" t="s">
        <v>321</v>
      </c>
      <c r="E119" s="130" t="s">
        <v>27</v>
      </c>
      <c r="F119" s="135">
        <v>6120</v>
      </c>
      <c r="G119" s="135"/>
      <c r="H119" s="130" t="s">
        <v>58</v>
      </c>
      <c r="I119" s="136" t="s">
        <v>28</v>
      </c>
      <c r="J119" s="136"/>
      <c r="K119" s="133" t="s">
        <v>22</v>
      </c>
      <c r="L119" s="134">
        <v>933427.37</v>
      </c>
    </row>
    <row r="120" spans="1:12" ht="61.2" hidden="1" x14ac:dyDescent="0.3">
      <c r="A120" s="128" t="s">
        <v>318</v>
      </c>
      <c r="B120" s="129" t="s">
        <v>335</v>
      </c>
      <c r="C120" s="129" t="s">
        <v>336</v>
      </c>
      <c r="D120" s="129" t="s">
        <v>321</v>
      </c>
      <c r="E120" s="130" t="s">
        <v>27</v>
      </c>
      <c r="F120" s="135">
        <v>28061.439999999999</v>
      </c>
      <c r="G120" s="135"/>
      <c r="H120" s="130" t="s">
        <v>58</v>
      </c>
      <c r="I120" s="136" t="s">
        <v>28</v>
      </c>
      <c r="J120" s="136"/>
      <c r="K120" s="133" t="s">
        <v>22</v>
      </c>
      <c r="L120" s="134">
        <v>961488.81</v>
      </c>
    </row>
    <row r="121" spans="1:12" ht="51" hidden="1" x14ac:dyDescent="0.3">
      <c r="A121" s="128" t="s">
        <v>318</v>
      </c>
      <c r="B121" s="129" t="s">
        <v>337</v>
      </c>
      <c r="C121" s="129" t="s">
        <v>320</v>
      </c>
      <c r="D121" s="129" t="s">
        <v>321</v>
      </c>
      <c r="E121" s="130" t="s">
        <v>27</v>
      </c>
      <c r="F121" s="137">
        <v>101.36</v>
      </c>
      <c r="G121" s="137"/>
      <c r="H121" s="130" t="s">
        <v>58</v>
      </c>
      <c r="I121" s="136" t="s">
        <v>28</v>
      </c>
      <c r="J121" s="136"/>
      <c r="K121" s="133" t="s">
        <v>22</v>
      </c>
      <c r="L121" s="134">
        <v>961590.17</v>
      </c>
    </row>
    <row r="122" spans="1:12" ht="61.2" hidden="1" x14ac:dyDescent="0.3">
      <c r="A122" s="128" t="s">
        <v>318</v>
      </c>
      <c r="B122" s="129" t="s">
        <v>337</v>
      </c>
      <c r="C122" s="129" t="s">
        <v>322</v>
      </c>
      <c r="D122" s="129" t="s">
        <v>321</v>
      </c>
      <c r="E122" s="130" t="s">
        <v>27</v>
      </c>
      <c r="F122" s="135">
        <v>1471.38</v>
      </c>
      <c r="G122" s="135"/>
      <c r="H122" s="130" t="s">
        <v>58</v>
      </c>
      <c r="I122" s="136" t="s">
        <v>28</v>
      </c>
      <c r="J122" s="136"/>
      <c r="K122" s="133" t="s">
        <v>22</v>
      </c>
      <c r="L122" s="134">
        <v>963061.55</v>
      </c>
    </row>
    <row r="123" spans="1:12" ht="61.2" hidden="1" x14ac:dyDescent="0.3">
      <c r="A123" s="128" t="s">
        <v>318</v>
      </c>
      <c r="B123" s="129" t="s">
        <v>337</v>
      </c>
      <c r="C123" s="129" t="s">
        <v>323</v>
      </c>
      <c r="D123" s="129" t="s">
        <v>321</v>
      </c>
      <c r="E123" s="130" t="s">
        <v>27</v>
      </c>
      <c r="F123" s="137">
        <v>78.2</v>
      </c>
      <c r="G123" s="137"/>
      <c r="H123" s="130" t="s">
        <v>58</v>
      </c>
      <c r="I123" s="136" t="s">
        <v>28</v>
      </c>
      <c r="J123" s="136"/>
      <c r="K123" s="133" t="s">
        <v>22</v>
      </c>
      <c r="L123" s="134">
        <v>963139.75</v>
      </c>
    </row>
    <row r="124" spans="1:12" ht="51" hidden="1" x14ac:dyDescent="0.3">
      <c r="A124" s="128" t="s">
        <v>318</v>
      </c>
      <c r="B124" s="129" t="s">
        <v>337</v>
      </c>
      <c r="C124" s="129" t="s">
        <v>324</v>
      </c>
      <c r="D124" s="129" t="s">
        <v>321</v>
      </c>
      <c r="E124" s="130" t="s">
        <v>27</v>
      </c>
      <c r="F124" s="137">
        <v>997.4</v>
      </c>
      <c r="G124" s="137"/>
      <c r="H124" s="130" t="s">
        <v>58</v>
      </c>
      <c r="I124" s="136" t="s">
        <v>28</v>
      </c>
      <c r="J124" s="136"/>
      <c r="K124" s="133" t="s">
        <v>22</v>
      </c>
      <c r="L124" s="134">
        <v>964137.15</v>
      </c>
    </row>
    <row r="125" spans="1:12" ht="61.2" hidden="1" x14ac:dyDescent="0.3">
      <c r="A125" s="128" t="s">
        <v>318</v>
      </c>
      <c r="B125" s="129" t="s">
        <v>337</v>
      </c>
      <c r="C125" s="129" t="s">
        <v>325</v>
      </c>
      <c r="D125" s="129" t="s">
        <v>321</v>
      </c>
      <c r="E125" s="130" t="s">
        <v>27</v>
      </c>
      <c r="F125" s="137">
        <v>429.99</v>
      </c>
      <c r="G125" s="137"/>
      <c r="H125" s="130" t="s">
        <v>58</v>
      </c>
      <c r="I125" s="136" t="s">
        <v>28</v>
      </c>
      <c r="J125" s="136"/>
      <c r="K125" s="133" t="s">
        <v>22</v>
      </c>
      <c r="L125" s="134">
        <v>964567.14</v>
      </c>
    </row>
    <row r="126" spans="1:12" ht="51" hidden="1" x14ac:dyDescent="0.3">
      <c r="A126" s="128" t="s">
        <v>318</v>
      </c>
      <c r="B126" s="129" t="s">
        <v>337</v>
      </c>
      <c r="C126" s="129" t="s">
        <v>326</v>
      </c>
      <c r="D126" s="129" t="s">
        <v>321</v>
      </c>
      <c r="E126" s="130" t="s">
        <v>27</v>
      </c>
      <c r="F126" s="137">
        <v>550.02</v>
      </c>
      <c r="G126" s="137"/>
      <c r="H126" s="130" t="s">
        <v>58</v>
      </c>
      <c r="I126" s="136" t="s">
        <v>28</v>
      </c>
      <c r="J126" s="136"/>
      <c r="K126" s="133" t="s">
        <v>22</v>
      </c>
      <c r="L126" s="134">
        <v>965117.16</v>
      </c>
    </row>
    <row r="127" spans="1:12" ht="51" hidden="1" x14ac:dyDescent="0.3">
      <c r="A127" s="128" t="s">
        <v>318</v>
      </c>
      <c r="B127" s="129" t="s">
        <v>337</v>
      </c>
      <c r="C127" s="129" t="s">
        <v>327</v>
      </c>
      <c r="D127" s="129" t="s">
        <v>321</v>
      </c>
      <c r="E127" s="130" t="s">
        <v>27</v>
      </c>
      <c r="F127" s="135">
        <v>1659.42</v>
      </c>
      <c r="G127" s="135"/>
      <c r="H127" s="130" t="s">
        <v>58</v>
      </c>
      <c r="I127" s="136" t="s">
        <v>28</v>
      </c>
      <c r="J127" s="136"/>
      <c r="K127" s="133" t="s">
        <v>22</v>
      </c>
      <c r="L127" s="134">
        <v>966776.58</v>
      </c>
    </row>
    <row r="128" spans="1:12" ht="51" hidden="1" x14ac:dyDescent="0.3">
      <c r="A128" s="128" t="s">
        <v>318</v>
      </c>
      <c r="B128" s="129" t="s">
        <v>337</v>
      </c>
      <c r="C128" s="129" t="s">
        <v>328</v>
      </c>
      <c r="D128" s="129" t="s">
        <v>321</v>
      </c>
      <c r="E128" s="130" t="s">
        <v>27</v>
      </c>
      <c r="F128" s="137">
        <v>854.77</v>
      </c>
      <c r="G128" s="137"/>
      <c r="H128" s="130" t="s">
        <v>58</v>
      </c>
      <c r="I128" s="136" t="s">
        <v>28</v>
      </c>
      <c r="J128" s="136"/>
      <c r="K128" s="133" t="s">
        <v>22</v>
      </c>
      <c r="L128" s="134">
        <v>967631.35</v>
      </c>
    </row>
    <row r="129" spans="1:12" ht="51" hidden="1" x14ac:dyDescent="0.3">
      <c r="A129" s="128" t="s">
        <v>318</v>
      </c>
      <c r="B129" s="129" t="s">
        <v>337</v>
      </c>
      <c r="C129" s="129" t="s">
        <v>329</v>
      </c>
      <c r="D129" s="129" t="s">
        <v>321</v>
      </c>
      <c r="E129" s="130" t="s">
        <v>27</v>
      </c>
      <c r="F129" s="135">
        <v>4167.41</v>
      </c>
      <c r="G129" s="135"/>
      <c r="H129" s="130" t="s">
        <v>58</v>
      </c>
      <c r="I129" s="136" t="s">
        <v>28</v>
      </c>
      <c r="J129" s="136"/>
      <c r="K129" s="133" t="s">
        <v>22</v>
      </c>
      <c r="L129" s="134">
        <v>971798.76</v>
      </c>
    </row>
    <row r="130" spans="1:12" ht="51" hidden="1" x14ac:dyDescent="0.3">
      <c r="A130" s="128" t="s">
        <v>318</v>
      </c>
      <c r="B130" s="129" t="s">
        <v>337</v>
      </c>
      <c r="C130" s="129" t="s">
        <v>330</v>
      </c>
      <c r="D130" s="129" t="s">
        <v>321</v>
      </c>
      <c r="E130" s="130" t="s">
        <v>27</v>
      </c>
      <c r="F130" s="137">
        <v>366.68</v>
      </c>
      <c r="G130" s="137"/>
      <c r="H130" s="130" t="s">
        <v>58</v>
      </c>
      <c r="I130" s="136" t="s">
        <v>28</v>
      </c>
      <c r="J130" s="136"/>
      <c r="K130" s="133" t="s">
        <v>22</v>
      </c>
      <c r="L130" s="134">
        <v>972165.44</v>
      </c>
    </row>
    <row r="131" spans="1:12" ht="51" hidden="1" x14ac:dyDescent="0.3">
      <c r="A131" s="128" t="s">
        <v>318</v>
      </c>
      <c r="B131" s="129" t="s">
        <v>337</v>
      </c>
      <c r="C131" s="129" t="s">
        <v>331</v>
      </c>
      <c r="D131" s="129" t="s">
        <v>321</v>
      </c>
      <c r="E131" s="130" t="s">
        <v>27</v>
      </c>
      <c r="F131" s="137">
        <v>320.73</v>
      </c>
      <c r="G131" s="137"/>
      <c r="H131" s="130" t="s">
        <v>58</v>
      </c>
      <c r="I131" s="136" t="s">
        <v>28</v>
      </c>
      <c r="J131" s="136"/>
      <c r="K131" s="133" t="s">
        <v>22</v>
      </c>
      <c r="L131" s="134">
        <v>972486.17</v>
      </c>
    </row>
    <row r="132" spans="1:12" ht="51" hidden="1" x14ac:dyDescent="0.3">
      <c r="A132" s="128" t="s">
        <v>318</v>
      </c>
      <c r="B132" s="129" t="s">
        <v>337</v>
      </c>
      <c r="C132" s="129" t="s">
        <v>332</v>
      </c>
      <c r="D132" s="129" t="s">
        <v>321</v>
      </c>
      <c r="E132" s="130" t="s">
        <v>27</v>
      </c>
      <c r="F132" s="135">
        <v>3260.19</v>
      </c>
      <c r="G132" s="135"/>
      <c r="H132" s="130" t="s">
        <v>58</v>
      </c>
      <c r="I132" s="136" t="s">
        <v>28</v>
      </c>
      <c r="J132" s="136"/>
      <c r="K132" s="133" t="s">
        <v>22</v>
      </c>
      <c r="L132" s="134">
        <v>975746.36</v>
      </c>
    </row>
    <row r="133" spans="1:12" ht="61.2" hidden="1" x14ac:dyDescent="0.3">
      <c r="A133" s="128" t="s">
        <v>318</v>
      </c>
      <c r="B133" s="129" t="s">
        <v>338</v>
      </c>
      <c r="C133" s="129" t="s">
        <v>334</v>
      </c>
      <c r="D133" s="129" t="s">
        <v>321</v>
      </c>
      <c r="E133" s="130" t="s">
        <v>27</v>
      </c>
      <c r="F133" s="135">
        <v>6072.93</v>
      </c>
      <c r="G133" s="135"/>
      <c r="H133" s="130" t="s">
        <v>58</v>
      </c>
      <c r="I133" s="136" t="s">
        <v>28</v>
      </c>
      <c r="J133" s="136"/>
      <c r="K133" s="133" t="s">
        <v>22</v>
      </c>
      <c r="L133" s="134">
        <v>981819.29</v>
      </c>
    </row>
    <row r="134" spans="1:12" ht="61.2" hidden="1" x14ac:dyDescent="0.3">
      <c r="A134" s="128" t="s">
        <v>318</v>
      </c>
      <c r="B134" s="129" t="s">
        <v>339</v>
      </c>
      <c r="C134" s="129" t="s">
        <v>336</v>
      </c>
      <c r="D134" s="129" t="s">
        <v>321</v>
      </c>
      <c r="E134" s="130" t="s">
        <v>27</v>
      </c>
      <c r="F134" s="137">
        <v>919.52</v>
      </c>
      <c r="G134" s="137"/>
      <c r="H134" s="130" t="s">
        <v>58</v>
      </c>
      <c r="I134" s="136" t="s">
        <v>28</v>
      </c>
      <c r="J134" s="136"/>
      <c r="K134" s="133" t="s">
        <v>22</v>
      </c>
      <c r="L134" s="134">
        <v>982738.81</v>
      </c>
    </row>
    <row r="135" spans="1:12" ht="51" hidden="1" x14ac:dyDescent="0.3">
      <c r="A135" s="128" t="s">
        <v>318</v>
      </c>
      <c r="B135" s="129" t="s">
        <v>340</v>
      </c>
      <c r="C135" s="129" t="s">
        <v>341</v>
      </c>
      <c r="D135" s="129" t="s">
        <v>320</v>
      </c>
      <c r="E135" s="130" t="s">
        <v>27</v>
      </c>
      <c r="F135" s="131" t="s">
        <v>28</v>
      </c>
      <c r="G135" s="131"/>
      <c r="H135" s="130" t="s">
        <v>27</v>
      </c>
      <c r="I135" s="132">
        <v>4767.95</v>
      </c>
      <c r="J135" s="132"/>
      <c r="K135" s="133" t="s">
        <v>22</v>
      </c>
      <c r="L135" s="134">
        <v>977970.86</v>
      </c>
    </row>
    <row r="136" spans="1:12" ht="51" hidden="1" x14ac:dyDescent="0.3">
      <c r="A136" s="128" t="s">
        <v>318</v>
      </c>
      <c r="B136" s="129" t="s">
        <v>340</v>
      </c>
      <c r="C136" s="129" t="s">
        <v>342</v>
      </c>
      <c r="D136" s="129" t="s">
        <v>329</v>
      </c>
      <c r="E136" s="130" t="s">
        <v>27</v>
      </c>
      <c r="F136" s="131" t="s">
        <v>28</v>
      </c>
      <c r="G136" s="131"/>
      <c r="H136" s="130" t="s">
        <v>27</v>
      </c>
      <c r="I136" s="132">
        <v>196027.73</v>
      </c>
      <c r="J136" s="132"/>
      <c r="K136" s="133" t="s">
        <v>22</v>
      </c>
      <c r="L136" s="134">
        <v>781943.13</v>
      </c>
    </row>
    <row r="137" spans="1:12" ht="51" hidden="1" x14ac:dyDescent="0.3">
      <c r="A137" s="128" t="s">
        <v>318</v>
      </c>
      <c r="B137" s="129" t="s">
        <v>340</v>
      </c>
      <c r="C137" s="129" t="s">
        <v>343</v>
      </c>
      <c r="D137" s="129" t="s">
        <v>331</v>
      </c>
      <c r="E137" s="130" t="s">
        <v>27</v>
      </c>
      <c r="F137" s="131" t="s">
        <v>28</v>
      </c>
      <c r="G137" s="131"/>
      <c r="H137" s="130" t="s">
        <v>27</v>
      </c>
      <c r="I137" s="132">
        <v>15086.73</v>
      </c>
      <c r="J137" s="132"/>
      <c r="K137" s="133" t="s">
        <v>22</v>
      </c>
      <c r="L137" s="134">
        <v>766856.4</v>
      </c>
    </row>
    <row r="138" spans="1:12" ht="51" hidden="1" x14ac:dyDescent="0.3">
      <c r="A138" s="128" t="s">
        <v>318</v>
      </c>
      <c r="B138" s="129" t="s">
        <v>340</v>
      </c>
      <c r="C138" s="129" t="s">
        <v>344</v>
      </c>
      <c r="D138" s="129" t="s">
        <v>332</v>
      </c>
      <c r="E138" s="130" t="s">
        <v>27</v>
      </c>
      <c r="F138" s="131" t="s">
        <v>28</v>
      </c>
      <c r="G138" s="131"/>
      <c r="H138" s="130" t="s">
        <v>27</v>
      </c>
      <c r="I138" s="132">
        <v>148599.1</v>
      </c>
      <c r="J138" s="132"/>
      <c r="K138" s="133" t="s">
        <v>22</v>
      </c>
      <c r="L138" s="134">
        <v>618257.30000000005</v>
      </c>
    </row>
    <row r="139" spans="1:12" ht="61.2" hidden="1" x14ac:dyDescent="0.3">
      <c r="A139" s="128" t="s">
        <v>318</v>
      </c>
      <c r="B139" s="129" t="s">
        <v>345</v>
      </c>
      <c r="C139" s="129" t="s">
        <v>346</v>
      </c>
      <c r="D139" s="129" t="s">
        <v>334</v>
      </c>
      <c r="E139" s="130" t="s">
        <v>27</v>
      </c>
      <c r="F139" s="131" t="s">
        <v>28</v>
      </c>
      <c r="G139" s="131"/>
      <c r="H139" s="130" t="s">
        <v>27</v>
      </c>
      <c r="I139" s="132">
        <v>12192.93</v>
      </c>
      <c r="J139" s="132"/>
      <c r="K139" s="133" t="s">
        <v>22</v>
      </c>
      <c r="L139" s="134">
        <v>606064.37</v>
      </c>
    </row>
    <row r="140" spans="1:12" ht="51" hidden="1" x14ac:dyDescent="0.3">
      <c r="A140" s="128" t="s">
        <v>318</v>
      </c>
      <c r="B140" s="129" t="s">
        <v>347</v>
      </c>
      <c r="C140" s="129" t="s">
        <v>348</v>
      </c>
      <c r="D140" s="129" t="s">
        <v>332</v>
      </c>
      <c r="E140" s="130" t="s">
        <v>27</v>
      </c>
      <c r="F140" s="131" t="s">
        <v>28</v>
      </c>
      <c r="G140" s="131"/>
      <c r="H140" s="130" t="s">
        <v>27</v>
      </c>
      <c r="I140" s="132">
        <v>4755.17</v>
      </c>
      <c r="J140" s="132"/>
      <c r="K140" s="133" t="s">
        <v>22</v>
      </c>
      <c r="L140" s="134">
        <v>601309.19999999995</v>
      </c>
    </row>
    <row r="141" spans="1:12" ht="61.2" hidden="1" x14ac:dyDescent="0.3">
      <c r="A141" s="128" t="s">
        <v>185</v>
      </c>
      <c r="B141" s="129" t="s">
        <v>349</v>
      </c>
      <c r="C141" s="129" t="s">
        <v>188</v>
      </c>
      <c r="D141" s="129" t="s">
        <v>350</v>
      </c>
      <c r="E141" s="130" t="s">
        <v>27</v>
      </c>
      <c r="F141" s="135">
        <v>16989.5</v>
      </c>
      <c r="G141" s="135"/>
      <c r="H141" s="130" t="s">
        <v>58</v>
      </c>
      <c r="I141" s="136" t="s">
        <v>28</v>
      </c>
      <c r="J141" s="136"/>
      <c r="K141" s="133" t="s">
        <v>22</v>
      </c>
      <c r="L141" s="134">
        <v>618298.69999999995</v>
      </c>
    </row>
    <row r="142" spans="1:12" ht="61.2" hidden="1" x14ac:dyDescent="0.3">
      <c r="A142" s="128" t="s">
        <v>185</v>
      </c>
      <c r="B142" s="129" t="s">
        <v>351</v>
      </c>
      <c r="C142" s="129" t="s">
        <v>188</v>
      </c>
      <c r="D142" s="129" t="s">
        <v>350</v>
      </c>
      <c r="E142" s="130" t="s">
        <v>27</v>
      </c>
      <c r="F142" s="135">
        <v>32434.5</v>
      </c>
      <c r="G142" s="135"/>
      <c r="H142" s="130" t="s">
        <v>58</v>
      </c>
      <c r="I142" s="136" t="s">
        <v>28</v>
      </c>
      <c r="J142" s="136"/>
      <c r="K142" s="133" t="s">
        <v>22</v>
      </c>
      <c r="L142" s="134">
        <v>650733.19999999995</v>
      </c>
    </row>
    <row r="143" spans="1:12" ht="61.2" hidden="1" x14ac:dyDescent="0.3">
      <c r="A143" s="128" t="s">
        <v>185</v>
      </c>
      <c r="B143" s="129" t="s">
        <v>186</v>
      </c>
      <c r="C143" s="129" t="s">
        <v>187</v>
      </c>
      <c r="D143" s="129" t="s">
        <v>188</v>
      </c>
      <c r="E143" s="130" t="s">
        <v>27</v>
      </c>
      <c r="F143" s="131" t="s">
        <v>28</v>
      </c>
      <c r="G143" s="131"/>
      <c r="H143" s="130" t="s">
        <v>27</v>
      </c>
      <c r="I143" s="132">
        <v>19797.330000000002</v>
      </c>
      <c r="J143" s="132"/>
      <c r="K143" s="133" t="s">
        <v>22</v>
      </c>
      <c r="L143" s="134">
        <v>630935.87</v>
      </c>
    </row>
    <row r="144" spans="1:12" ht="61.2" hidden="1" x14ac:dyDescent="0.3">
      <c r="A144" s="128" t="s">
        <v>185</v>
      </c>
      <c r="B144" s="129" t="s">
        <v>352</v>
      </c>
      <c r="C144" s="129" t="s">
        <v>353</v>
      </c>
      <c r="D144" s="129" t="s">
        <v>188</v>
      </c>
      <c r="E144" s="130" t="s">
        <v>27</v>
      </c>
      <c r="F144" s="131" t="s">
        <v>28</v>
      </c>
      <c r="G144" s="131"/>
      <c r="H144" s="130" t="s">
        <v>27</v>
      </c>
      <c r="I144" s="132">
        <v>29626.67</v>
      </c>
      <c r="J144" s="132"/>
      <c r="K144" s="133" t="s">
        <v>22</v>
      </c>
      <c r="L144" s="134">
        <v>601309.19999999995</v>
      </c>
    </row>
    <row r="145" spans="1:12" ht="61.2" hidden="1" x14ac:dyDescent="0.3">
      <c r="A145" s="128" t="s">
        <v>354</v>
      </c>
      <c r="B145" s="129" t="s">
        <v>355</v>
      </c>
      <c r="C145" s="129" t="s">
        <v>356</v>
      </c>
      <c r="D145" s="129" t="s">
        <v>322</v>
      </c>
      <c r="E145" s="130" t="s">
        <v>27</v>
      </c>
      <c r="F145" s="131" t="s">
        <v>28</v>
      </c>
      <c r="G145" s="131"/>
      <c r="H145" s="130" t="s">
        <v>27</v>
      </c>
      <c r="I145" s="132">
        <v>69211.38</v>
      </c>
      <c r="J145" s="132"/>
      <c r="K145" s="133" t="s">
        <v>22</v>
      </c>
      <c r="L145" s="134">
        <v>532097.81999999995</v>
      </c>
    </row>
    <row r="146" spans="1:12" ht="61.2" hidden="1" x14ac:dyDescent="0.3">
      <c r="A146" s="128" t="s">
        <v>354</v>
      </c>
      <c r="B146" s="129" t="s">
        <v>355</v>
      </c>
      <c r="C146" s="129" t="s">
        <v>357</v>
      </c>
      <c r="D146" s="129" t="s">
        <v>323</v>
      </c>
      <c r="E146" s="130" t="s">
        <v>27</v>
      </c>
      <c r="F146" s="131" t="s">
        <v>28</v>
      </c>
      <c r="G146" s="131"/>
      <c r="H146" s="130" t="s">
        <v>27</v>
      </c>
      <c r="I146" s="132">
        <v>3678.2</v>
      </c>
      <c r="J146" s="132"/>
      <c r="K146" s="133" t="s">
        <v>22</v>
      </c>
      <c r="L146" s="134">
        <v>528419.62</v>
      </c>
    </row>
    <row r="147" spans="1:12" ht="51" hidden="1" x14ac:dyDescent="0.3">
      <c r="A147" s="128" t="s">
        <v>354</v>
      </c>
      <c r="B147" s="129" t="s">
        <v>355</v>
      </c>
      <c r="C147" s="129" t="s">
        <v>358</v>
      </c>
      <c r="D147" s="129" t="s">
        <v>324</v>
      </c>
      <c r="E147" s="130" t="s">
        <v>27</v>
      </c>
      <c r="F147" s="131" t="s">
        <v>28</v>
      </c>
      <c r="G147" s="131"/>
      <c r="H147" s="130" t="s">
        <v>27</v>
      </c>
      <c r="I147" s="132">
        <v>46916.12</v>
      </c>
      <c r="J147" s="132"/>
      <c r="K147" s="133" t="s">
        <v>22</v>
      </c>
      <c r="L147" s="134">
        <v>481503.5</v>
      </c>
    </row>
    <row r="148" spans="1:12" ht="61.2" hidden="1" x14ac:dyDescent="0.3">
      <c r="A148" s="128" t="s">
        <v>354</v>
      </c>
      <c r="B148" s="129" t="s">
        <v>355</v>
      </c>
      <c r="C148" s="129" t="s">
        <v>359</v>
      </c>
      <c r="D148" s="129" t="s">
        <v>325</v>
      </c>
      <c r="E148" s="130" t="s">
        <v>27</v>
      </c>
      <c r="F148" s="131" t="s">
        <v>28</v>
      </c>
      <c r="G148" s="131"/>
      <c r="H148" s="130" t="s">
        <v>27</v>
      </c>
      <c r="I148" s="132">
        <v>20225.96</v>
      </c>
      <c r="J148" s="132"/>
      <c r="K148" s="133" t="s">
        <v>22</v>
      </c>
      <c r="L148" s="134">
        <v>461277.54</v>
      </c>
    </row>
    <row r="149" spans="1:12" ht="51" hidden="1" x14ac:dyDescent="0.3">
      <c r="A149" s="128" t="s">
        <v>354</v>
      </c>
      <c r="B149" s="129" t="s">
        <v>355</v>
      </c>
      <c r="C149" s="129" t="s">
        <v>360</v>
      </c>
      <c r="D149" s="129" t="s">
        <v>326</v>
      </c>
      <c r="E149" s="130" t="s">
        <v>27</v>
      </c>
      <c r="F149" s="131" t="s">
        <v>28</v>
      </c>
      <c r="G149" s="131"/>
      <c r="H149" s="130" t="s">
        <v>27</v>
      </c>
      <c r="I149" s="132">
        <v>25872.13</v>
      </c>
      <c r="J149" s="132"/>
      <c r="K149" s="133" t="s">
        <v>22</v>
      </c>
      <c r="L149" s="134">
        <v>435405.41</v>
      </c>
    </row>
    <row r="150" spans="1:12" ht="61.2" hidden="1" x14ac:dyDescent="0.3">
      <c r="A150" s="128" t="s">
        <v>354</v>
      </c>
      <c r="B150" s="129" t="s">
        <v>355</v>
      </c>
      <c r="C150" s="129" t="s">
        <v>361</v>
      </c>
      <c r="D150" s="129" t="s">
        <v>336</v>
      </c>
      <c r="E150" s="130" t="s">
        <v>27</v>
      </c>
      <c r="F150" s="131" t="s">
        <v>28</v>
      </c>
      <c r="G150" s="131"/>
      <c r="H150" s="130" t="s">
        <v>27</v>
      </c>
      <c r="I150" s="132">
        <v>28980.959999999999</v>
      </c>
      <c r="J150" s="132"/>
      <c r="K150" s="133" t="s">
        <v>22</v>
      </c>
      <c r="L150" s="134">
        <v>406424.45</v>
      </c>
    </row>
    <row r="151" spans="1:12" ht="51" hidden="1" x14ac:dyDescent="0.3">
      <c r="A151" s="128" t="s">
        <v>354</v>
      </c>
      <c r="B151" s="129" t="s">
        <v>355</v>
      </c>
      <c r="C151" s="129" t="s">
        <v>362</v>
      </c>
      <c r="D151" s="129" t="s">
        <v>330</v>
      </c>
      <c r="E151" s="130" t="s">
        <v>27</v>
      </c>
      <c r="F151" s="131" t="s">
        <v>28</v>
      </c>
      <c r="G151" s="131"/>
      <c r="H151" s="130" t="s">
        <v>27</v>
      </c>
      <c r="I151" s="132">
        <v>17248.09</v>
      </c>
      <c r="J151" s="132"/>
      <c r="K151" s="133" t="s">
        <v>22</v>
      </c>
      <c r="L151" s="134">
        <v>389176.36</v>
      </c>
    </row>
    <row r="152" spans="1:12" ht="51" hidden="1" x14ac:dyDescent="0.3">
      <c r="A152" s="128" t="s">
        <v>354</v>
      </c>
      <c r="B152" s="129" t="s">
        <v>363</v>
      </c>
      <c r="C152" s="129" t="s">
        <v>364</v>
      </c>
      <c r="D152" s="129" t="s">
        <v>365</v>
      </c>
      <c r="E152" s="130" t="s">
        <v>27</v>
      </c>
      <c r="F152" s="137">
        <v>17</v>
      </c>
      <c r="G152" s="137"/>
      <c r="H152" s="130" t="s">
        <v>366</v>
      </c>
      <c r="I152" s="136" t="s">
        <v>28</v>
      </c>
      <c r="J152" s="136"/>
      <c r="K152" s="133" t="s">
        <v>22</v>
      </c>
      <c r="L152" s="134">
        <v>389193.36</v>
      </c>
    </row>
    <row r="153" spans="1:12" ht="51" hidden="1" x14ac:dyDescent="0.3">
      <c r="A153" s="128" t="s">
        <v>354</v>
      </c>
      <c r="B153" s="129" t="s">
        <v>363</v>
      </c>
      <c r="C153" s="129" t="s">
        <v>367</v>
      </c>
      <c r="D153" s="129" t="s">
        <v>365</v>
      </c>
      <c r="E153" s="130" t="s">
        <v>27</v>
      </c>
      <c r="F153" s="137">
        <v>275</v>
      </c>
      <c r="G153" s="137"/>
      <c r="H153" s="130" t="s">
        <v>366</v>
      </c>
      <c r="I153" s="136" t="s">
        <v>28</v>
      </c>
      <c r="J153" s="136"/>
      <c r="K153" s="133" t="s">
        <v>22</v>
      </c>
      <c r="L153" s="134">
        <v>389468.36</v>
      </c>
    </row>
    <row r="154" spans="1:12" ht="51" hidden="1" x14ac:dyDescent="0.3">
      <c r="A154" s="128" t="s">
        <v>354</v>
      </c>
      <c r="B154" s="129" t="s">
        <v>363</v>
      </c>
      <c r="C154" s="129" t="s">
        <v>368</v>
      </c>
      <c r="D154" s="129" t="s">
        <v>365</v>
      </c>
      <c r="E154" s="130" t="s">
        <v>27</v>
      </c>
      <c r="F154" s="137">
        <v>900</v>
      </c>
      <c r="G154" s="137"/>
      <c r="H154" s="130" t="s">
        <v>366</v>
      </c>
      <c r="I154" s="136" t="s">
        <v>28</v>
      </c>
      <c r="J154" s="136"/>
      <c r="K154" s="133" t="s">
        <v>22</v>
      </c>
      <c r="L154" s="134">
        <v>390368.36</v>
      </c>
    </row>
    <row r="155" spans="1:12" ht="51" hidden="1" x14ac:dyDescent="0.3">
      <c r="A155" s="128" t="s">
        <v>354</v>
      </c>
      <c r="B155" s="129" t="s">
        <v>363</v>
      </c>
      <c r="C155" s="129" t="s">
        <v>369</v>
      </c>
      <c r="D155" s="129" t="s">
        <v>365</v>
      </c>
      <c r="E155" s="130" t="s">
        <v>27</v>
      </c>
      <c r="F155" s="137">
        <v>200</v>
      </c>
      <c r="G155" s="137"/>
      <c r="H155" s="130" t="s">
        <v>366</v>
      </c>
      <c r="I155" s="136" t="s">
        <v>28</v>
      </c>
      <c r="J155" s="136"/>
      <c r="K155" s="133" t="s">
        <v>22</v>
      </c>
      <c r="L155" s="134">
        <v>390568.36</v>
      </c>
    </row>
    <row r="156" spans="1:12" ht="61.2" hidden="1" x14ac:dyDescent="0.3">
      <c r="A156" s="128" t="s">
        <v>83</v>
      </c>
      <c r="B156" s="129" t="s">
        <v>370</v>
      </c>
      <c r="C156" s="129" t="s">
        <v>371</v>
      </c>
      <c r="D156" s="129" t="s">
        <v>372</v>
      </c>
      <c r="E156" s="130" t="s">
        <v>27</v>
      </c>
      <c r="F156" s="135">
        <v>10125.5</v>
      </c>
      <c r="G156" s="135"/>
      <c r="H156" s="130" t="s">
        <v>58</v>
      </c>
      <c r="I156" s="136" t="s">
        <v>28</v>
      </c>
      <c r="J156" s="136"/>
      <c r="K156" s="133" t="s">
        <v>22</v>
      </c>
      <c r="L156" s="134">
        <v>400693.86</v>
      </c>
    </row>
    <row r="157" spans="1:12" ht="51" hidden="1" x14ac:dyDescent="0.3">
      <c r="A157" s="128" t="s">
        <v>83</v>
      </c>
      <c r="B157" s="129" t="s">
        <v>370</v>
      </c>
      <c r="C157" s="129" t="s">
        <v>373</v>
      </c>
      <c r="D157" s="129" t="s">
        <v>372</v>
      </c>
      <c r="E157" s="130" t="s">
        <v>27</v>
      </c>
      <c r="F157" s="135">
        <v>13387.33</v>
      </c>
      <c r="G157" s="135"/>
      <c r="H157" s="130" t="s">
        <v>58</v>
      </c>
      <c r="I157" s="136" t="s">
        <v>28</v>
      </c>
      <c r="J157" s="136"/>
      <c r="K157" s="133" t="s">
        <v>22</v>
      </c>
      <c r="L157" s="134">
        <v>414081.19</v>
      </c>
    </row>
    <row r="158" spans="1:12" ht="61.2" hidden="1" x14ac:dyDescent="0.3">
      <c r="A158" s="128" t="s">
        <v>83</v>
      </c>
      <c r="B158" s="129" t="s">
        <v>374</v>
      </c>
      <c r="C158" s="129" t="s">
        <v>371</v>
      </c>
      <c r="D158" s="129" t="s">
        <v>372</v>
      </c>
      <c r="E158" s="130" t="s">
        <v>27</v>
      </c>
      <c r="F158" s="135">
        <v>19330.5</v>
      </c>
      <c r="G158" s="135"/>
      <c r="H158" s="130" t="s">
        <v>58</v>
      </c>
      <c r="I158" s="136" t="s">
        <v>28</v>
      </c>
      <c r="J158" s="136"/>
      <c r="K158" s="133" t="s">
        <v>22</v>
      </c>
      <c r="L158" s="134">
        <v>433411.69</v>
      </c>
    </row>
    <row r="159" spans="1:12" ht="51" hidden="1" x14ac:dyDescent="0.3">
      <c r="A159" s="128" t="s">
        <v>83</v>
      </c>
      <c r="B159" s="129" t="s">
        <v>374</v>
      </c>
      <c r="C159" s="129" t="s">
        <v>373</v>
      </c>
      <c r="D159" s="129" t="s">
        <v>372</v>
      </c>
      <c r="E159" s="130" t="s">
        <v>27</v>
      </c>
      <c r="F159" s="135">
        <v>13076</v>
      </c>
      <c r="G159" s="135"/>
      <c r="H159" s="130" t="s">
        <v>58</v>
      </c>
      <c r="I159" s="136" t="s">
        <v>28</v>
      </c>
      <c r="J159" s="136"/>
      <c r="K159" s="133" t="s">
        <v>22</v>
      </c>
      <c r="L159" s="134">
        <v>446487.69</v>
      </c>
    </row>
    <row r="160" spans="1:12" ht="61.2" hidden="1" x14ac:dyDescent="0.3">
      <c r="A160" s="128" t="s">
        <v>83</v>
      </c>
      <c r="B160" s="129" t="s">
        <v>375</v>
      </c>
      <c r="C160" s="129" t="s">
        <v>376</v>
      </c>
      <c r="D160" s="129" t="s">
        <v>371</v>
      </c>
      <c r="E160" s="130" t="s">
        <v>27</v>
      </c>
      <c r="F160" s="131" t="s">
        <v>28</v>
      </c>
      <c r="G160" s="131"/>
      <c r="H160" s="130" t="s">
        <v>27</v>
      </c>
      <c r="I160" s="132">
        <v>12794.67</v>
      </c>
      <c r="J160" s="132"/>
      <c r="K160" s="133" t="s">
        <v>22</v>
      </c>
      <c r="L160" s="134">
        <v>433693.02</v>
      </c>
    </row>
    <row r="161" spans="1:12" ht="61.2" hidden="1" x14ac:dyDescent="0.3">
      <c r="A161" s="128" t="s">
        <v>83</v>
      </c>
      <c r="B161" s="129" t="s">
        <v>377</v>
      </c>
      <c r="C161" s="129" t="s">
        <v>378</v>
      </c>
      <c r="D161" s="129" t="s">
        <v>371</v>
      </c>
      <c r="E161" s="130" t="s">
        <v>27</v>
      </c>
      <c r="F161" s="131" t="s">
        <v>28</v>
      </c>
      <c r="G161" s="131"/>
      <c r="H161" s="130" t="s">
        <v>27</v>
      </c>
      <c r="I161" s="132">
        <v>16661.330000000002</v>
      </c>
      <c r="J161" s="132"/>
      <c r="K161" s="133" t="s">
        <v>22</v>
      </c>
      <c r="L161" s="134">
        <v>417031.69</v>
      </c>
    </row>
    <row r="162" spans="1:12" ht="61.2" hidden="1" x14ac:dyDescent="0.3">
      <c r="A162" s="128" t="s">
        <v>83</v>
      </c>
      <c r="B162" s="129" t="s">
        <v>379</v>
      </c>
      <c r="C162" s="129" t="s">
        <v>380</v>
      </c>
      <c r="D162" s="129" t="s">
        <v>373</v>
      </c>
      <c r="E162" s="130" t="s">
        <v>27</v>
      </c>
      <c r="F162" s="131" t="s">
        <v>28</v>
      </c>
      <c r="G162" s="131"/>
      <c r="H162" s="130" t="s">
        <v>27</v>
      </c>
      <c r="I162" s="132">
        <v>22262.91</v>
      </c>
      <c r="J162" s="132"/>
      <c r="K162" s="133" t="s">
        <v>22</v>
      </c>
      <c r="L162" s="134">
        <v>394768.78</v>
      </c>
    </row>
    <row r="163" spans="1:12" ht="51" hidden="1" x14ac:dyDescent="0.3">
      <c r="A163" s="128" t="s">
        <v>83</v>
      </c>
      <c r="B163" s="129" t="s">
        <v>381</v>
      </c>
      <c r="C163" s="129" t="s">
        <v>382</v>
      </c>
      <c r="D163" s="129" t="s">
        <v>373</v>
      </c>
      <c r="E163" s="130" t="s">
        <v>27</v>
      </c>
      <c r="F163" s="131" t="s">
        <v>28</v>
      </c>
      <c r="G163" s="131"/>
      <c r="H163" s="130" t="s">
        <v>27</v>
      </c>
      <c r="I163" s="132">
        <v>4200.42</v>
      </c>
      <c r="J163" s="132"/>
      <c r="K163" s="133" t="s">
        <v>22</v>
      </c>
      <c r="L163" s="134">
        <v>390568.36</v>
      </c>
    </row>
    <row r="164" spans="1:12" ht="51" x14ac:dyDescent="0.3">
      <c r="A164" s="128" t="s">
        <v>83</v>
      </c>
      <c r="B164" s="129" t="s">
        <v>383</v>
      </c>
      <c r="C164" s="129" t="s">
        <v>39</v>
      </c>
      <c r="D164" s="129" t="s">
        <v>384</v>
      </c>
      <c r="E164" s="130" t="s">
        <v>41</v>
      </c>
      <c r="F164" s="131" t="s">
        <v>28</v>
      </c>
      <c r="G164" s="131"/>
      <c r="H164" s="130" t="s">
        <v>27</v>
      </c>
      <c r="I164" s="132">
        <v>1417</v>
      </c>
      <c r="J164" s="132"/>
      <c r="K164" s="133" t="s">
        <v>22</v>
      </c>
      <c r="L164" s="134">
        <v>389151.36</v>
      </c>
    </row>
    <row r="165" spans="1:12" ht="61.2" x14ac:dyDescent="0.3">
      <c r="A165" s="128" t="s">
        <v>83</v>
      </c>
      <c r="B165" s="129" t="s">
        <v>383</v>
      </c>
      <c r="C165" s="129" t="s">
        <v>39</v>
      </c>
      <c r="D165" s="129" t="s">
        <v>385</v>
      </c>
      <c r="E165" s="130" t="s">
        <v>41</v>
      </c>
      <c r="F165" s="131" t="s">
        <v>28</v>
      </c>
      <c r="G165" s="131"/>
      <c r="H165" s="130" t="s">
        <v>27</v>
      </c>
      <c r="I165" s="138">
        <v>600.5</v>
      </c>
      <c r="J165" s="138"/>
      <c r="K165" s="133" t="s">
        <v>22</v>
      </c>
      <c r="L165" s="134">
        <v>388550.86</v>
      </c>
    </row>
    <row r="166" spans="1:12" ht="61.2" hidden="1" x14ac:dyDescent="0.3">
      <c r="A166" s="128" t="s">
        <v>98</v>
      </c>
      <c r="B166" s="129" t="s">
        <v>386</v>
      </c>
      <c r="C166" s="129" t="s">
        <v>387</v>
      </c>
      <c r="D166" s="129" t="s">
        <v>388</v>
      </c>
      <c r="E166" s="130" t="s">
        <v>27</v>
      </c>
      <c r="F166" s="131" t="s">
        <v>28</v>
      </c>
      <c r="G166" s="131"/>
      <c r="H166" s="130" t="s">
        <v>27</v>
      </c>
      <c r="I166" s="132">
        <v>3378.62</v>
      </c>
      <c r="J166" s="132"/>
      <c r="K166" s="133" t="s">
        <v>22</v>
      </c>
      <c r="L166" s="134">
        <v>385172.24</v>
      </c>
    </row>
    <row r="167" spans="1:12" ht="51" x14ac:dyDescent="0.3">
      <c r="A167" s="128" t="s">
        <v>98</v>
      </c>
      <c r="B167" s="129" t="s">
        <v>389</v>
      </c>
      <c r="C167" s="129" t="s">
        <v>39</v>
      </c>
      <c r="D167" s="129" t="s">
        <v>390</v>
      </c>
      <c r="E167" s="130" t="s">
        <v>41</v>
      </c>
      <c r="F167" s="131" t="s">
        <v>28</v>
      </c>
      <c r="G167" s="131"/>
      <c r="H167" s="130" t="s">
        <v>27</v>
      </c>
      <c r="I167" s="132">
        <v>2000</v>
      </c>
      <c r="J167" s="132"/>
      <c r="K167" s="133" t="s">
        <v>22</v>
      </c>
      <c r="L167" s="134">
        <v>383172.24</v>
      </c>
    </row>
    <row r="168" spans="1:12" ht="51" x14ac:dyDescent="0.3">
      <c r="A168" s="128" t="s">
        <v>98</v>
      </c>
      <c r="B168" s="129" t="s">
        <v>391</v>
      </c>
      <c r="C168" s="129" t="s">
        <v>39</v>
      </c>
      <c r="D168" s="129" t="s">
        <v>392</v>
      </c>
      <c r="E168" s="130" t="s">
        <v>41</v>
      </c>
      <c r="F168" s="131" t="s">
        <v>28</v>
      </c>
      <c r="G168" s="131"/>
      <c r="H168" s="130" t="s">
        <v>27</v>
      </c>
      <c r="I168" s="132">
        <v>1615</v>
      </c>
      <c r="J168" s="132"/>
      <c r="K168" s="133" t="s">
        <v>22</v>
      </c>
      <c r="L168" s="134">
        <v>381557.24</v>
      </c>
    </row>
    <row r="169" spans="1:12" ht="51" x14ac:dyDescent="0.3">
      <c r="A169" s="128" t="s">
        <v>98</v>
      </c>
      <c r="B169" s="129" t="s">
        <v>391</v>
      </c>
      <c r="C169" s="129" t="s">
        <v>39</v>
      </c>
      <c r="D169" s="129" t="s">
        <v>368</v>
      </c>
      <c r="E169" s="130" t="s">
        <v>41</v>
      </c>
      <c r="F169" s="131" t="s">
        <v>28</v>
      </c>
      <c r="G169" s="131"/>
      <c r="H169" s="130" t="s">
        <v>27</v>
      </c>
      <c r="I169" s="138">
        <v>900</v>
      </c>
      <c r="J169" s="138"/>
      <c r="K169" s="133" t="s">
        <v>22</v>
      </c>
      <c r="L169" s="134">
        <v>380657.24</v>
      </c>
    </row>
    <row r="170" spans="1:12" ht="51" hidden="1" x14ac:dyDescent="0.3">
      <c r="A170" s="128" t="s">
        <v>98</v>
      </c>
      <c r="B170" s="129" t="s">
        <v>393</v>
      </c>
      <c r="C170" s="129" t="s">
        <v>103</v>
      </c>
      <c r="D170" s="129" t="s">
        <v>394</v>
      </c>
      <c r="E170" s="130" t="s">
        <v>27</v>
      </c>
      <c r="F170" s="135">
        <v>162000</v>
      </c>
      <c r="G170" s="135"/>
      <c r="H170" s="130" t="s">
        <v>58</v>
      </c>
      <c r="I170" s="136" t="s">
        <v>28</v>
      </c>
      <c r="J170" s="136"/>
      <c r="K170" s="133" t="s">
        <v>22</v>
      </c>
      <c r="L170" s="134">
        <v>542657.24</v>
      </c>
    </row>
    <row r="171" spans="1:12" ht="61.2" hidden="1" x14ac:dyDescent="0.3">
      <c r="A171" s="128" t="s">
        <v>98</v>
      </c>
      <c r="B171" s="129" t="s">
        <v>395</v>
      </c>
      <c r="C171" s="129" t="s">
        <v>203</v>
      </c>
      <c r="D171" s="129" t="s">
        <v>396</v>
      </c>
      <c r="E171" s="130" t="s">
        <v>27</v>
      </c>
      <c r="F171" s="135">
        <v>12320</v>
      </c>
      <c r="G171" s="135"/>
      <c r="H171" s="130" t="s">
        <v>58</v>
      </c>
      <c r="I171" s="136" t="s">
        <v>28</v>
      </c>
      <c r="J171" s="136"/>
      <c r="K171" s="133" t="s">
        <v>22</v>
      </c>
      <c r="L171" s="134">
        <v>554977.24</v>
      </c>
    </row>
    <row r="172" spans="1:12" ht="61.2" hidden="1" x14ac:dyDescent="0.3">
      <c r="A172" s="128" t="s">
        <v>98</v>
      </c>
      <c r="B172" s="129" t="s">
        <v>395</v>
      </c>
      <c r="C172" s="129" t="s">
        <v>397</v>
      </c>
      <c r="D172" s="129" t="s">
        <v>396</v>
      </c>
      <c r="E172" s="130" t="s">
        <v>27</v>
      </c>
      <c r="F172" s="135">
        <v>9483.75</v>
      </c>
      <c r="G172" s="135"/>
      <c r="H172" s="130" t="s">
        <v>58</v>
      </c>
      <c r="I172" s="136" t="s">
        <v>28</v>
      </c>
      <c r="J172" s="136"/>
      <c r="K172" s="133" t="s">
        <v>22</v>
      </c>
      <c r="L172" s="134">
        <v>564460.99</v>
      </c>
    </row>
    <row r="173" spans="1:12" ht="61.2" hidden="1" x14ac:dyDescent="0.3">
      <c r="A173" s="128" t="s">
        <v>98</v>
      </c>
      <c r="B173" s="129" t="s">
        <v>398</v>
      </c>
      <c r="C173" s="129" t="s">
        <v>399</v>
      </c>
      <c r="D173" s="129" t="s">
        <v>400</v>
      </c>
      <c r="E173" s="130" t="s">
        <v>27</v>
      </c>
      <c r="F173" s="135">
        <v>4097.5</v>
      </c>
      <c r="G173" s="135"/>
      <c r="H173" s="130" t="s">
        <v>58</v>
      </c>
      <c r="I173" s="136" t="s">
        <v>28</v>
      </c>
      <c r="J173" s="136"/>
      <c r="K173" s="133" t="s">
        <v>22</v>
      </c>
      <c r="L173" s="134">
        <v>568558.49</v>
      </c>
    </row>
    <row r="174" spans="1:12" ht="51" hidden="1" x14ac:dyDescent="0.3">
      <c r="A174" s="128" t="s">
        <v>98</v>
      </c>
      <c r="B174" s="129" t="s">
        <v>398</v>
      </c>
      <c r="C174" s="129" t="s">
        <v>401</v>
      </c>
      <c r="D174" s="129" t="s">
        <v>400</v>
      </c>
      <c r="E174" s="130" t="s">
        <v>27</v>
      </c>
      <c r="F174" s="135">
        <v>19912.580000000002</v>
      </c>
      <c r="G174" s="135"/>
      <c r="H174" s="130" t="s">
        <v>58</v>
      </c>
      <c r="I174" s="136" t="s">
        <v>28</v>
      </c>
      <c r="J174" s="136"/>
      <c r="K174" s="133" t="s">
        <v>22</v>
      </c>
      <c r="L174" s="134">
        <v>588471.06999999995</v>
      </c>
    </row>
    <row r="175" spans="1:12" ht="61.2" hidden="1" x14ac:dyDescent="0.3">
      <c r="A175" s="128" t="s">
        <v>98</v>
      </c>
      <c r="B175" s="129" t="s">
        <v>402</v>
      </c>
      <c r="C175" s="129" t="s">
        <v>203</v>
      </c>
      <c r="D175" s="129" t="s">
        <v>396</v>
      </c>
      <c r="E175" s="130" t="s">
        <v>27</v>
      </c>
      <c r="F175" s="135">
        <v>9184.9599999999991</v>
      </c>
      <c r="G175" s="135"/>
      <c r="H175" s="130" t="s">
        <v>58</v>
      </c>
      <c r="I175" s="136" t="s">
        <v>28</v>
      </c>
      <c r="J175" s="136"/>
      <c r="K175" s="133" t="s">
        <v>22</v>
      </c>
      <c r="L175" s="134">
        <v>597656.03</v>
      </c>
    </row>
    <row r="176" spans="1:12" ht="61.2" hidden="1" x14ac:dyDescent="0.3">
      <c r="A176" s="128" t="s">
        <v>98</v>
      </c>
      <c r="B176" s="129" t="s">
        <v>402</v>
      </c>
      <c r="C176" s="129" t="s">
        <v>397</v>
      </c>
      <c r="D176" s="129" t="s">
        <v>396</v>
      </c>
      <c r="E176" s="130" t="s">
        <v>27</v>
      </c>
      <c r="F176" s="135">
        <v>8484.5400000000009</v>
      </c>
      <c r="G176" s="135"/>
      <c r="H176" s="130" t="s">
        <v>58</v>
      </c>
      <c r="I176" s="136" t="s">
        <v>28</v>
      </c>
      <c r="J176" s="136"/>
      <c r="K176" s="133" t="s">
        <v>22</v>
      </c>
      <c r="L176" s="134">
        <v>606140.56999999995</v>
      </c>
    </row>
    <row r="177" spans="1:12" ht="61.2" hidden="1" x14ac:dyDescent="0.3">
      <c r="A177" s="128" t="s">
        <v>98</v>
      </c>
      <c r="B177" s="129" t="s">
        <v>403</v>
      </c>
      <c r="C177" s="129" t="s">
        <v>399</v>
      </c>
      <c r="D177" s="129" t="s">
        <v>400</v>
      </c>
      <c r="E177" s="130" t="s">
        <v>27</v>
      </c>
      <c r="F177" s="135">
        <v>7822.5</v>
      </c>
      <c r="G177" s="135"/>
      <c r="H177" s="130" t="s">
        <v>58</v>
      </c>
      <c r="I177" s="136" t="s">
        <v>28</v>
      </c>
      <c r="J177" s="136"/>
      <c r="K177" s="133" t="s">
        <v>22</v>
      </c>
      <c r="L177" s="134">
        <v>613963.06999999995</v>
      </c>
    </row>
    <row r="178" spans="1:12" ht="51" hidden="1" x14ac:dyDescent="0.3">
      <c r="A178" s="128" t="s">
        <v>98</v>
      </c>
      <c r="B178" s="129" t="s">
        <v>403</v>
      </c>
      <c r="C178" s="129" t="s">
        <v>401</v>
      </c>
      <c r="D178" s="129" t="s">
        <v>400</v>
      </c>
      <c r="E178" s="130" t="s">
        <v>27</v>
      </c>
      <c r="F178" s="135">
        <v>19449.5</v>
      </c>
      <c r="G178" s="135"/>
      <c r="H178" s="130" t="s">
        <v>58</v>
      </c>
      <c r="I178" s="136" t="s">
        <v>28</v>
      </c>
      <c r="J178" s="136"/>
      <c r="K178" s="133" t="s">
        <v>22</v>
      </c>
      <c r="L178" s="134">
        <v>633412.56999999995</v>
      </c>
    </row>
    <row r="179" spans="1:12" ht="51" hidden="1" x14ac:dyDescent="0.3">
      <c r="A179" s="128" t="s">
        <v>98</v>
      </c>
      <c r="B179" s="129" t="s">
        <v>101</v>
      </c>
      <c r="C179" s="129" t="s">
        <v>102</v>
      </c>
      <c r="D179" s="129" t="s">
        <v>103</v>
      </c>
      <c r="E179" s="130" t="s">
        <v>27</v>
      </c>
      <c r="F179" s="131" t="s">
        <v>28</v>
      </c>
      <c r="G179" s="131"/>
      <c r="H179" s="130" t="s">
        <v>27</v>
      </c>
      <c r="I179" s="132">
        <v>47250</v>
      </c>
      <c r="J179" s="132"/>
      <c r="K179" s="133" t="s">
        <v>22</v>
      </c>
      <c r="L179" s="134">
        <v>586162.56999999995</v>
      </c>
    </row>
    <row r="180" spans="1:12" ht="51" hidden="1" x14ac:dyDescent="0.3">
      <c r="A180" s="128" t="s">
        <v>98</v>
      </c>
      <c r="B180" s="129" t="s">
        <v>404</v>
      </c>
      <c r="C180" s="129" t="s">
        <v>405</v>
      </c>
      <c r="D180" s="129" t="s">
        <v>103</v>
      </c>
      <c r="E180" s="130" t="s">
        <v>27</v>
      </c>
      <c r="F180" s="131" t="s">
        <v>28</v>
      </c>
      <c r="G180" s="131"/>
      <c r="H180" s="130" t="s">
        <v>27</v>
      </c>
      <c r="I180" s="132">
        <v>114750</v>
      </c>
      <c r="J180" s="132"/>
      <c r="K180" s="133" t="s">
        <v>22</v>
      </c>
      <c r="L180" s="134">
        <v>471412.57</v>
      </c>
    </row>
    <row r="181" spans="1:12" ht="51" hidden="1" x14ac:dyDescent="0.3">
      <c r="A181" s="128" t="s">
        <v>98</v>
      </c>
      <c r="B181" s="129" t="s">
        <v>201</v>
      </c>
      <c r="C181" s="129" t="s">
        <v>202</v>
      </c>
      <c r="D181" s="129" t="s">
        <v>203</v>
      </c>
      <c r="E181" s="130" t="s">
        <v>27</v>
      </c>
      <c r="F181" s="131" t="s">
        <v>28</v>
      </c>
      <c r="G181" s="131"/>
      <c r="H181" s="130" t="s">
        <v>27</v>
      </c>
      <c r="I181" s="132">
        <v>11827.73</v>
      </c>
      <c r="J181" s="132"/>
      <c r="K181" s="133" t="s">
        <v>22</v>
      </c>
      <c r="L181" s="134">
        <v>459584.84</v>
      </c>
    </row>
    <row r="182" spans="1:12" ht="61.2" hidden="1" x14ac:dyDescent="0.3">
      <c r="A182" s="128" t="s">
        <v>98</v>
      </c>
      <c r="B182" s="129" t="s">
        <v>406</v>
      </c>
      <c r="C182" s="129" t="s">
        <v>407</v>
      </c>
      <c r="D182" s="129" t="s">
        <v>203</v>
      </c>
      <c r="E182" s="130" t="s">
        <v>27</v>
      </c>
      <c r="F182" s="131" t="s">
        <v>28</v>
      </c>
      <c r="G182" s="131"/>
      <c r="H182" s="130" t="s">
        <v>27</v>
      </c>
      <c r="I182" s="132">
        <v>9677.23</v>
      </c>
      <c r="J182" s="132"/>
      <c r="K182" s="133" t="s">
        <v>22</v>
      </c>
      <c r="L182" s="134">
        <v>449907.61</v>
      </c>
    </row>
    <row r="183" spans="1:12" ht="61.2" hidden="1" x14ac:dyDescent="0.3">
      <c r="A183" s="128" t="s">
        <v>98</v>
      </c>
      <c r="B183" s="129" t="s">
        <v>406</v>
      </c>
      <c r="C183" s="129" t="s">
        <v>408</v>
      </c>
      <c r="D183" s="129" t="s">
        <v>397</v>
      </c>
      <c r="E183" s="130" t="s">
        <v>27</v>
      </c>
      <c r="F183" s="131" t="s">
        <v>28</v>
      </c>
      <c r="G183" s="131"/>
      <c r="H183" s="130" t="s">
        <v>27</v>
      </c>
      <c r="I183" s="132">
        <v>17968.29</v>
      </c>
      <c r="J183" s="132"/>
      <c r="K183" s="133" t="s">
        <v>22</v>
      </c>
      <c r="L183" s="134">
        <v>431939.32</v>
      </c>
    </row>
    <row r="184" spans="1:12" ht="71.400000000000006" hidden="1" x14ac:dyDescent="0.3">
      <c r="A184" s="128" t="s">
        <v>98</v>
      </c>
      <c r="B184" s="129" t="s">
        <v>409</v>
      </c>
      <c r="C184" s="129" t="s">
        <v>410</v>
      </c>
      <c r="D184" s="129" t="s">
        <v>399</v>
      </c>
      <c r="E184" s="130" t="s">
        <v>27</v>
      </c>
      <c r="F184" s="131" t="s">
        <v>28</v>
      </c>
      <c r="G184" s="131"/>
      <c r="H184" s="130" t="s">
        <v>27</v>
      </c>
      <c r="I184" s="132">
        <v>11920</v>
      </c>
      <c r="J184" s="132"/>
      <c r="K184" s="133" t="s">
        <v>22</v>
      </c>
      <c r="L184" s="134">
        <v>420019.32</v>
      </c>
    </row>
    <row r="185" spans="1:12" ht="61.2" hidden="1" x14ac:dyDescent="0.3">
      <c r="A185" s="128" t="s">
        <v>98</v>
      </c>
      <c r="B185" s="129" t="s">
        <v>409</v>
      </c>
      <c r="C185" s="129" t="s">
        <v>411</v>
      </c>
      <c r="D185" s="129" t="s">
        <v>401</v>
      </c>
      <c r="E185" s="130" t="s">
        <v>27</v>
      </c>
      <c r="F185" s="131" t="s">
        <v>28</v>
      </c>
      <c r="G185" s="131"/>
      <c r="H185" s="130" t="s">
        <v>27</v>
      </c>
      <c r="I185" s="132">
        <v>25811.66</v>
      </c>
      <c r="J185" s="132"/>
      <c r="K185" s="133" t="s">
        <v>22</v>
      </c>
      <c r="L185" s="134">
        <v>394207.66</v>
      </c>
    </row>
    <row r="186" spans="1:12" ht="51" hidden="1" x14ac:dyDescent="0.3">
      <c r="A186" s="128" t="s">
        <v>98</v>
      </c>
      <c r="B186" s="129" t="s">
        <v>412</v>
      </c>
      <c r="C186" s="129" t="s">
        <v>413</v>
      </c>
      <c r="D186" s="129" t="s">
        <v>401</v>
      </c>
      <c r="E186" s="130" t="s">
        <v>27</v>
      </c>
      <c r="F186" s="131" t="s">
        <v>28</v>
      </c>
      <c r="G186" s="131"/>
      <c r="H186" s="130" t="s">
        <v>27</v>
      </c>
      <c r="I186" s="132">
        <v>13550.42</v>
      </c>
      <c r="J186" s="132"/>
      <c r="K186" s="133" t="s">
        <v>22</v>
      </c>
      <c r="L186" s="134">
        <v>380657.24</v>
      </c>
    </row>
    <row r="187" spans="1:12" ht="51" x14ac:dyDescent="0.3">
      <c r="A187" s="128" t="s">
        <v>98</v>
      </c>
      <c r="B187" s="129" t="s">
        <v>414</v>
      </c>
      <c r="C187" s="129" t="s">
        <v>39</v>
      </c>
      <c r="D187" s="129" t="s">
        <v>392</v>
      </c>
      <c r="E187" s="130" t="s">
        <v>41</v>
      </c>
      <c r="F187" s="131" t="s">
        <v>28</v>
      </c>
      <c r="G187" s="131"/>
      <c r="H187" s="130" t="s">
        <v>27</v>
      </c>
      <c r="I187" s="132">
        <v>1615</v>
      </c>
      <c r="J187" s="132"/>
      <c r="K187" s="133" t="s">
        <v>22</v>
      </c>
      <c r="L187" s="134">
        <v>379042.24</v>
      </c>
    </row>
    <row r="188" spans="1:12" ht="51" x14ac:dyDescent="0.3">
      <c r="A188" s="128" t="s">
        <v>98</v>
      </c>
      <c r="B188" s="129" t="s">
        <v>414</v>
      </c>
      <c r="C188" s="129" t="s">
        <v>39</v>
      </c>
      <c r="D188" s="129" t="s">
        <v>415</v>
      </c>
      <c r="E188" s="130" t="s">
        <v>41</v>
      </c>
      <c r="F188" s="131" t="s">
        <v>28</v>
      </c>
      <c r="G188" s="131"/>
      <c r="H188" s="130" t="s">
        <v>27</v>
      </c>
      <c r="I188" s="132">
        <v>1162.75</v>
      </c>
      <c r="J188" s="132"/>
      <c r="K188" s="133" t="s">
        <v>22</v>
      </c>
      <c r="L188" s="134">
        <v>377879.49</v>
      </c>
    </row>
    <row r="189" spans="1:12" ht="61.2" x14ac:dyDescent="0.3">
      <c r="A189" s="128" t="s">
        <v>98</v>
      </c>
      <c r="B189" s="129" t="s">
        <v>416</v>
      </c>
      <c r="C189" s="129" t="s">
        <v>39</v>
      </c>
      <c r="D189" s="129" t="s">
        <v>274</v>
      </c>
      <c r="E189" s="130" t="s">
        <v>41</v>
      </c>
      <c r="F189" s="131" t="s">
        <v>28</v>
      </c>
      <c r="G189" s="131"/>
      <c r="H189" s="130" t="s">
        <v>27</v>
      </c>
      <c r="I189" s="138">
        <v>901.4</v>
      </c>
      <c r="J189" s="138"/>
      <c r="K189" s="133" t="s">
        <v>22</v>
      </c>
      <c r="L189" s="134">
        <v>376978.09</v>
      </c>
    </row>
    <row r="190" spans="1:12" ht="51" x14ac:dyDescent="0.3">
      <c r="A190" s="128" t="s">
        <v>98</v>
      </c>
      <c r="B190" s="129" t="s">
        <v>416</v>
      </c>
      <c r="C190" s="129" t="s">
        <v>39</v>
      </c>
      <c r="D190" s="129" t="s">
        <v>364</v>
      </c>
      <c r="E190" s="130" t="s">
        <v>41</v>
      </c>
      <c r="F190" s="131" t="s">
        <v>28</v>
      </c>
      <c r="G190" s="131"/>
      <c r="H190" s="130" t="s">
        <v>27</v>
      </c>
      <c r="I190" s="138">
        <v>17</v>
      </c>
      <c r="J190" s="138"/>
      <c r="K190" s="133" t="s">
        <v>22</v>
      </c>
      <c r="L190" s="134">
        <v>376961.09</v>
      </c>
    </row>
    <row r="191" spans="1:12" ht="51" x14ac:dyDescent="0.3">
      <c r="A191" s="128" t="s">
        <v>98</v>
      </c>
      <c r="B191" s="129" t="s">
        <v>417</v>
      </c>
      <c r="C191" s="129" t="s">
        <v>39</v>
      </c>
      <c r="D191" s="129" t="s">
        <v>418</v>
      </c>
      <c r="E191" s="130" t="s">
        <v>41</v>
      </c>
      <c r="F191" s="131" t="s">
        <v>28</v>
      </c>
      <c r="G191" s="131"/>
      <c r="H191" s="130" t="s">
        <v>27</v>
      </c>
      <c r="I191" s="138">
        <v>281.05</v>
      </c>
      <c r="J191" s="138"/>
      <c r="K191" s="133" t="s">
        <v>22</v>
      </c>
      <c r="L191" s="134">
        <v>376680.04</v>
      </c>
    </row>
    <row r="192" spans="1:12" hidden="1" x14ac:dyDescent="0.3">
      <c r="A192" s="139" t="s">
        <v>105</v>
      </c>
      <c r="B192" s="139"/>
      <c r="C192" s="139"/>
      <c r="D192" s="139"/>
      <c r="E192" s="140">
        <v>2008741.74</v>
      </c>
      <c r="F192" s="140"/>
      <c r="G192" s="140"/>
      <c r="H192" s="140">
        <v>2019605.53</v>
      </c>
      <c r="I192" s="140"/>
      <c r="J192" s="140"/>
      <c r="K192" s="141" t="s">
        <v>22</v>
      </c>
      <c r="L192" s="142">
        <v>376680.04</v>
      </c>
    </row>
    <row r="194" spans="10:10" x14ac:dyDescent="0.3">
      <c r="J194" s="1">
        <f>SUBTOTAL(9,I164:J191)</f>
        <v>10509.699999999999</v>
      </c>
    </row>
  </sheetData>
  <autoFilter ref="A1:L192" xr:uid="{0C863ACC-B098-48B1-B7FD-51067F0057E3}">
    <filterColumn colId="1">
      <filters>
        <filter val="Списання товарів ІБ00-000211 від 29.04.2025 16:40:28_x000a_Списаны ТМЦ"/>
        <filter val="Списання товарів ІБ00-000218 від 30.04.2025 23:59:23_x000a_Списаны ТМЦ"/>
        <filter val="Списання товарів ІБ00-000220 від 30.04.2025 23:59:34_x000a_Списаны ТМЦ"/>
        <filter val="Списання товарів ІБ00-000222 від 30.04.2025 10:00:00_x000a_Списаны ТМЦ"/>
        <filter val="Списання товарів ІБ00-000226 від 30.04.2025 10:00:00_x000a_Списаны ТМЦ"/>
        <filter val="Списання товарів ІБ00-000254 від 30.04.2025 2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90">
    <mergeCell ref="F190:G190"/>
    <mergeCell ref="I190:J190"/>
    <mergeCell ref="F191:G191"/>
    <mergeCell ref="I191:J191"/>
    <mergeCell ref="A192:D192"/>
    <mergeCell ref="E192:G192"/>
    <mergeCell ref="H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64A6-673A-4164-A564-ED362FB7A61C}">
  <sheetPr filterMode="1"/>
  <dimension ref="A1:L113"/>
  <sheetViews>
    <sheetView topLeftCell="A105" workbookViewId="0">
      <selection activeCell="J113" sqref="J113"/>
    </sheetView>
  </sheetViews>
  <sheetFormatPr defaultRowHeight="14.4" x14ac:dyDescent="0.3"/>
  <cols>
    <col min="2" max="4" width="25.33203125" customWidth="1"/>
    <col min="10" max="10" width="11.33203125" bestFit="1" customWidth="1"/>
  </cols>
  <sheetData>
    <row r="1" spans="1:12" x14ac:dyDescent="0.3">
      <c r="A1" s="143" t="s">
        <v>14</v>
      </c>
      <c r="B1" s="144" t="s">
        <v>15</v>
      </c>
      <c r="C1" s="144" t="s">
        <v>16</v>
      </c>
      <c r="D1" s="145" t="s">
        <v>17</v>
      </c>
      <c r="E1" s="146" t="s">
        <v>18</v>
      </c>
      <c r="F1" s="146"/>
      <c r="G1" s="146"/>
      <c r="H1" s="147" t="s">
        <v>19</v>
      </c>
      <c r="I1" s="147"/>
      <c r="J1" s="147"/>
      <c r="K1" s="144" t="s">
        <v>20</v>
      </c>
      <c r="L1" s="144"/>
    </row>
    <row r="2" spans="1:12" hidden="1" x14ac:dyDescent="0.3">
      <c r="A2" s="148"/>
      <c r="B2" s="149"/>
      <c r="C2" s="149"/>
      <c r="D2" s="150"/>
      <c r="E2" s="151" t="s">
        <v>21</v>
      </c>
      <c r="F2" s="152"/>
      <c r="G2" s="152"/>
      <c r="H2" s="153" t="s">
        <v>21</v>
      </c>
      <c r="I2" s="154"/>
      <c r="J2" s="154"/>
      <c r="K2" s="148"/>
      <c r="L2" s="155"/>
    </row>
    <row r="3" spans="1:12" ht="51" hidden="1" x14ac:dyDescent="0.3">
      <c r="A3" s="156" t="s">
        <v>23</v>
      </c>
      <c r="B3" s="157" t="s">
        <v>419</v>
      </c>
      <c r="C3" s="157" t="s">
        <v>420</v>
      </c>
      <c r="D3" s="157" t="s">
        <v>421</v>
      </c>
      <c r="E3" s="158" t="s">
        <v>27</v>
      </c>
      <c r="F3" s="159">
        <v>4882.5</v>
      </c>
      <c r="G3" s="159"/>
      <c r="H3" s="158" t="s">
        <v>58</v>
      </c>
      <c r="I3" s="160" t="s">
        <v>28</v>
      </c>
      <c r="J3" s="160"/>
      <c r="K3" s="161" t="s">
        <v>22</v>
      </c>
      <c r="L3" s="162">
        <v>2277339.7400000002</v>
      </c>
    </row>
    <row r="4" spans="1:12" ht="61.2" hidden="1" x14ac:dyDescent="0.3">
      <c r="A4" s="156" t="s">
        <v>23</v>
      </c>
      <c r="B4" s="157" t="s">
        <v>233</v>
      </c>
      <c r="C4" s="157" t="s">
        <v>234</v>
      </c>
      <c r="D4" s="157" t="s">
        <v>214</v>
      </c>
      <c r="E4" s="158" t="s">
        <v>27</v>
      </c>
      <c r="F4" s="159">
        <v>19709.77</v>
      </c>
      <c r="G4" s="159"/>
      <c r="H4" s="158" t="s">
        <v>27</v>
      </c>
      <c r="I4" s="160" t="s">
        <v>28</v>
      </c>
      <c r="J4" s="160"/>
      <c r="K4" s="161" t="s">
        <v>22</v>
      </c>
      <c r="L4" s="162">
        <v>2297049.5099999998</v>
      </c>
    </row>
    <row r="5" spans="1:12" ht="51" hidden="1" x14ac:dyDescent="0.3">
      <c r="A5" s="156" t="s">
        <v>23</v>
      </c>
      <c r="B5" s="157" t="s">
        <v>233</v>
      </c>
      <c r="C5" s="157" t="s">
        <v>235</v>
      </c>
      <c r="D5" s="157" t="s">
        <v>215</v>
      </c>
      <c r="E5" s="158" t="s">
        <v>27</v>
      </c>
      <c r="F5" s="163">
        <v>422.28</v>
      </c>
      <c r="G5" s="163"/>
      <c r="H5" s="158" t="s">
        <v>27</v>
      </c>
      <c r="I5" s="160" t="s">
        <v>28</v>
      </c>
      <c r="J5" s="160"/>
      <c r="K5" s="161" t="s">
        <v>22</v>
      </c>
      <c r="L5" s="162">
        <v>2297471.79</v>
      </c>
    </row>
    <row r="6" spans="1:12" ht="51" hidden="1" x14ac:dyDescent="0.3">
      <c r="A6" s="156" t="s">
        <v>23</v>
      </c>
      <c r="B6" s="157" t="s">
        <v>422</v>
      </c>
      <c r="C6" s="157" t="s">
        <v>423</v>
      </c>
      <c r="D6" s="157" t="s">
        <v>424</v>
      </c>
      <c r="E6" s="158" t="s">
        <v>27</v>
      </c>
      <c r="F6" s="159">
        <v>123750</v>
      </c>
      <c r="G6" s="159"/>
      <c r="H6" s="158" t="s">
        <v>58</v>
      </c>
      <c r="I6" s="160" t="s">
        <v>28</v>
      </c>
      <c r="J6" s="160"/>
      <c r="K6" s="161" t="s">
        <v>22</v>
      </c>
      <c r="L6" s="162">
        <v>2421221.79</v>
      </c>
    </row>
    <row r="7" spans="1:12" ht="51" hidden="1" x14ac:dyDescent="0.3">
      <c r="A7" s="156" t="s">
        <v>23</v>
      </c>
      <c r="B7" s="157" t="s">
        <v>425</v>
      </c>
      <c r="C7" s="157" t="s">
        <v>426</v>
      </c>
      <c r="D7" s="157" t="s">
        <v>427</v>
      </c>
      <c r="E7" s="158" t="s">
        <v>27</v>
      </c>
      <c r="F7" s="159">
        <v>4950</v>
      </c>
      <c r="G7" s="159"/>
      <c r="H7" s="158" t="s">
        <v>58</v>
      </c>
      <c r="I7" s="160" t="s">
        <v>28</v>
      </c>
      <c r="J7" s="160"/>
      <c r="K7" s="161" t="s">
        <v>22</v>
      </c>
      <c r="L7" s="162">
        <v>2426171.79</v>
      </c>
    </row>
    <row r="8" spans="1:12" ht="51" hidden="1" x14ac:dyDescent="0.3">
      <c r="A8" s="156" t="s">
        <v>23</v>
      </c>
      <c r="B8" s="157" t="s">
        <v>428</v>
      </c>
      <c r="C8" s="157" t="s">
        <v>426</v>
      </c>
      <c r="D8" s="157" t="s">
        <v>427</v>
      </c>
      <c r="E8" s="158" t="s">
        <v>27</v>
      </c>
      <c r="F8" s="159">
        <v>118800</v>
      </c>
      <c r="G8" s="159"/>
      <c r="H8" s="158" t="s">
        <v>58</v>
      </c>
      <c r="I8" s="160" t="s">
        <v>28</v>
      </c>
      <c r="J8" s="160"/>
      <c r="K8" s="161" t="s">
        <v>22</v>
      </c>
      <c r="L8" s="162">
        <v>2544971.79</v>
      </c>
    </row>
    <row r="9" spans="1:12" ht="51" hidden="1" x14ac:dyDescent="0.3">
      <c r="A9" s="156" t="s">
        <v>23</v>
      </c>
      <c r="B9" s="157" t="s">
        <v>429</v>
      </c>
      <c r="C9" s="157" t="s">
        <v>430</v>
      </c>
      <c r="D9" s="157" t="s">
        <v>424</v>
      </c>
      <c r="E9" s="158" t="s">
        <v>27</v>
      </c>
      <c r="F9" s="159">
        <v>10158.34</v>
      </c>
      <c r="G9" s="159"/>
      <c r="H9" s="158" t="s">
        <v>58</v>
      </c>
      <c r="I9" s="160" t="s">
        <v>28</v>
      </c>
      <c r="J9" s="160"/>
      <c r="K9" s="161" t="s">
        <v>22</v>
      </c>
      <c r="L9" s="162">
        <v>2555130.13</v>
      </c>
    </row>
    <row r="10" spans="1:12" ht="51" hidden="1" x14ac:dyDescent="0.3">
      <c r="A10" s="156" t="s">
        <v>23</v>
      </c>
      <c r="B10" s="157" t="s">
        <v>429</v>
      </c>
      <c r="C10" s="157" t="s">
        <v>431</v>
      </c>
      <c r="D10" s="157" t="s">
        <v>424</v>
      </c>
      <c r="E10" s="158" t="s">
        <v>27</v>
      </c>
      <c r="F10" s="159">
        <v>106875</v>
      </c>
      <c r="G10" s="159"/>
      <c r="H10" s="158" t="s">
        <v>58</v>
      </c>
      <c r="I10" s="160" t="s">
        <v>28</v>
      </c>
      <c r="J10" s="160"/>
      <c r="K10" s="161" t="s">
        <v>22</v>
      </c>
      <c r="L10" s="162">
        <v>2662005.13</v>
      </c>
    </row>
    <row r="11" spans="1:12" ht="51" hidden="1" x14ac:dyDescent="0.3">
      <c r="A11" s="156" t="s">
        <v>128</v>
      </c>
      <c r="B11" s="157" t="s">
        <v>432</v>
      </c>
      <c r="C11" s="157" t="s">
        <v>433</v>
      </c>
      <c r="D11" s="157" t="s">
        <v>434</v>
      </c>
      <c r="E11" s="158" t="s">
        <v>27</v>
      </c>
      <c r="F11" s="159">
        <v>22500</v>
      </c>
      <c r="G11" s="159"/>
      <c r="H11" s="158" t="s">
        <v>58</v>
      </c>
      <c r="I11" s="160" t="s">
        <v>28</v>
      </c>
      <c r="J11" s="160"/>
      <c r="K11" s="161" t="s">
        <v>22</v>
      </c>
      <c r="L11" s="162">
        <v>2684505.13</v>
      </c>
    </row>
    <row r="12" spans="1:12" ht="51" hidden="1" x14ac:dyDescent="0.3">
      <c r="A12" s="156" t="s">
        <v>128</v>
      </c>
      <c r="B12" s="157" t="s">
        <v>435</v>
      </c>
      <c r="C12" s="157" t="s">
        <v>436</v>
      </c>
      <c r="D12" s="157" t="s">
        <v>424</v>
      </c>
      <c r="E12" s="158" t="s">
        <v>27</v>
      </c>
      <c r="F12" s="159">
        <v>61838</v>
      </c>
      <c r="G12" s="159"/>
      <c r="H12" s="158" t="s">
        <v>58</v>
      </c>
      <c r="I12" s="160" t="s">
        <v>28</v>
      </c>
      <c r="J12" s="160"/>
      <c r="K12" s="161" t="s">
        <v>22</v>
      </c>
      <c r="L12" s="162">
        <v>2746343.13</v>
      </c>
    </row>
    <row r="13" spans="1:12" ht="51" hidden="1" x14ac:dyDescent="0.3">
      <c r="A13" s="156" t="s">
        <v>128</v>
      </c>
      <c r="B13" s="157" t="s">
        <v>437</v>
      </c>
      <c r="C13" s="157" t="s">
        <v>436</v>
      </c>
      <c r="D13" s="157" t="s">
        <v>424</v>
      </c>
      <c r="E13" s="158" t="s">
        <v>27</v>
      </c>
      <c r="F13" s="159">
        <v>39412</v>
      </c>
      <c r="G13" s="159"/>
      <c r="H13" s="158" t="s">
        <v>58</v>
      </c>
      <c r="I13" s="160" t="s">
        <v>28</v>
      </c>
      <c r="J13" s="160"/>
      <c r="K13" s="161" t="s">
        <v>22</v>
      </c>
      <c r="L13" s="162">
        <v>2785755.13</v>
      </c>
    </row>
    <row r="14" spans="1:12" ht="61.2" x14ac:dyDescent="0.3">
      <c r="A14" s="156" t="s">
        <v>37</v>
      </c>
      <c r="B14" s="157" t="s">
        <v>438</v>
      </c>
      <c r="C14" s="157" t="s">
        <v>39</v>
      </c>
      <c r="D14" s="157" t="s">
        <v>439</v>
      </c>
      <c r="E14" s="158" t="s">
        <v>41</v>
      </c>
      <c r="F14" s="164" t="s">
        <v>28</v>
      </c>
      <c r="G14" s="164"/>
      <c r="H14" s="158" t="s">
        <v>27</v>
      </c>
      <c r="I14" s="165">
        <v>2300</v>
      </c>
      <c r="J14" s="165"/>
      <c r="K14" s="161" t="s">
        <v>22</v>
      </c>
      <c r="L14" s="162">
        <v>2783455.13</v>
      </c>
    </row>
    <row r="15" spans="1:12" ht="51" x14ac:dyDescent="0.3">
      <c r="A15" s="156" t="s">
        <v>37</v>
      </c>
      <c r="B15" s="157" t="s">
        <v>438</v>
      </c>
      <c r="C15" s="157" t="s">
        <v>39</v>
      </c>
      <c r="D15" s="157" t="s">
        <v>440</v>
      </c>
      <c r="E15" s="158" t="s">
        <v>41</v>
      </c>
      <c r="F15" s="164" t="s">
        <v>28</v>
      </c>
      <c r="G15" s="164"/>
      <c r="H15" s="158" t="s">
        <v>27</v>
      </c>
      <c r="I15" s="165">
        <v>86375</v>
      </c>
      <c r="J15" s="165"/>
      <c r="K15" s="161" t="s">
        <v>22</v>
      </c>
      <c r="L15" s="162">
        <v>2697080.13</v>
      </c>
    </row>
    <row r="16" spans="1:12" ht="61.2" x14ac:dyDescent="0.3">
      <c r="A16" s="156" t="s">
        <v>37</v>
      </c>
      <c r="B16" s="157" t="s">
        <v>438</v>
      </c>
      <c r="C16" s="157" t="s">
        <v>39</v>
      </c>
      <c r="D16" s="157" t="s">
        <v>441</v>
      </c>
      <c r="E16" s="158" t="s">
        <v>41</v>
      </c>
      <c r="F16" s="164" t="s">
        <v>28</v>
      </c>
      <c r="G16" s="164"/>
      <c r="H16" s="158" t="s">
        <v>27</v>
      </c>
      <c r="I16" s="165">
        <v>35550</v>
      </c>
      <c r="J16" s="165"/>
      <c r="K16" s="161" t="s">
        <v>22</v>
      </c>
      <c r="L16" s="162">
        <v>2661530.13</v>
      </c>
    </row>
    <row r="17" spans="1:12" ht="61.2" x14ac:dyDescent="0.3">
      <c r="A17" s="156" t="s">
        <v>37</v>
      </c>
      <c r="B17" s="157" t="s">
        <v>442</v>
      </c>
      <c r="C17" s="157" t="s">
        <v>39</v>
      </c>
      <c r="D17" s="157" t="s">
        <v>439</v>
      </c>
      <c r="E17" s="158" t="s">
        <v>41</v>
      </c>
      <c r="F17" s="164" t="s">
        <v>28</v>
      </c>
      <c r="G17" s="164"/>
      <c r="H17" s="158" t="s">
        <v>27</v>
      </c>
      <c r="I17" s="165">
        <v>2760</v>
      </c>
      <c r="J17" s="165"/>
      <c r="K17" s="161" t="s">
        <v>22</v>
      </c>
      <c r="L17" s="162">
        <v>2658770.13</v>
      </c>
    </row>
    <row r="18" spans="1:12" ht="51" x14ac:dyDescent="0.3">
      <c r="A18" s="156" t="s">
        <v>37</v>
      </c>
      <c r="B18" s="157" t="s">
        <v>442</v>
      </c>
      <c r="C18" s="157" t="s">
        <v>39</v>
      </c>
      <c r="D18" s="157" t="s">
        <v>440</v>
      </c>
      <c r="E18" s="158" t="s">
        <v>41</v>
      </c>
      <c r="F18" s="164" t="s">
        <v>28</v>
      </c>
      <c r="G18" s="164"/>
      <c r="H18" s="158" t="s">
        <v>27</v>
      </c>
      <c r="I18" s="165">
        <v>17275</v>
      </c>
      <c r="J18" s="165"/>
      <c r="K18" s="161" t="s">
        <v>22</v>
      </c>
      <c r="L18" s="162">
        <v>2641495.13</v>
      </c>
    </row>
    <row r="19" spans="1:12" ht="51" x14ac:dyDescent="0.3">
      <c r="A19" s="156" t="s">
        <v>37</v>
      </c>
      <c r="B19" s="157" t="s">
        <v>442</v>
      </c>
      <c r="C19" s="157" t="s">
        <v>39</v>
      </c>
      <c r="D19" s="157" t="s">
        <v>423</v>
      </c>
      <c r="E19" s="158" t="s">
        <v>41</v>
      </c>
      <c r="F19" s="164" t="s">
        <v>28</v>
      </c>
      <c r="G19" s="164"/>
      <c r="H19" s="158" t="s">
        <v>27</v>
      </c>
      <c r="I19" s="165">
        <v>93750</v>
      </c>
      <c r="J19" s="165"/>
      <c r="K19" s="161" t="s">
        <v>22</v>
      </c>
      <c r="L19" s="162">
        <v>2547745.13</v>
      </c>
    </row>
    <row r="20" spans="1:12" ht="61.2" hidden="1" x14ac:dyDescent="0.3">
      <c r="A20" s="156" t="s">
        <v>59</v>
      </c>
      <c r="B20" s="157" t="s">
        <v>443</v>
      </c>
      <c r="C20" s="157" t="s">
        <v>444</v>
      </c>
      <c r="D20" s="157" t="s">
        <v>445</v>
      </c>
      <c r="E20" s="158" t="s">
        <v>27</v>
      </c>
      <c r="F20" s="159">
        <v>4150</v>
      </c>
      <c r="G20" s="159"/>
      <c r="H20" s="158" t="s">
        <v>58</v>
      </c>
      <c r="I20" s="160" t="s">
        <v>28</v>
      </c>
      <c r="J20" s="160"/>
      <c r="K20" s="161" t="s">
        <v>22</v>
      </c>
      <c r="L20" s="162">
        <v>2551895.13</v>
      </c>
    </row>
    <row r="21" spans="1:12" ht="61.2" hidden="1" x14ac:dyDescent="0.3">
      <c r="A21" s="156" t="s">
        <v>59</v>
      </c>
      <c r="B21" s="157" t="s">
        <v>443</v>
      </c>
      <c r="C21" s="157" t="s">
        <v>446</v>
      </c>
      <c r="D21" s="157" t="s">
        <v>445</v>
      </c>
      <c r="E21" s="158" t="s">
        <v>27</v>
      </c>
      <c r="F21" s="159">
        <v>1977.2</v>
      </c>
      <c r="G21" s="159"/>
      <c r="H21" s="158" t="s">
        <v>58</v>
      </c>
      <c r="I21" s="160" t="s">
        <v>28</v>
      </c>
      <c r="J21" s="160"/>
      <c r="K21" s="161" t="s">
        <v>22</v>
      </c>
      <c r="L21" s="162">
        <v>2553872.33</v>
      </c>
    </row>
    <row r="22" spans="1:12" ht="61.2" hidden="1" x14ac:dyDescent="0.3">
      <c r="A22" s="156" t="s">
        <v>59</v>
      </c>
      <c r="B22" s="157" t="s">
        <v>443</v>
      </c>
      <c r="C22" s="157" t="s">
        <v>447</v>
      </c>
      <c r="D22" s="157" t="s">
        <v>445</v>
      </c>
      <c r="E22" s="158" t="s">
        <v>27</v>
      </c>
      <c r="F22" s="163">
        <v>477.6</v>
      </c>
      <c r="G22" s="163"/>
      <c r="H22" s="158" t="s">
        <v>58</v>
      </c>
      <c r="I22" s="160" t="s">
        <v>28</v>
      </c>
      <c r="J22" s="160"/>
      <c r="K22" s="161" t="s">
        <v>22</v>
      </c>
      <c r="L22" s="162">
        <v>2554349.9300000002</v>
      </c>
    </row>
    <row r="23" spans="1:12" ht="61.2" hidden="1" x14ac:dyDescent="0.3">
      <c r="A23" s="156" t="s">
        <v>59</v>
      </c>
      <c r="B23" s="157" t="s">
        <v>443</v>
      </c>
      <c r="C23" s="157" t="s">
        <v>448</v>
      </c>
      <c r="D23" s="157" t="s">
        <v>445</v>
      </c>
      <c r="E23" s="158" t="s">
        <v>27</v>
      </c>
      <c r="F23" s="163">
        <v>235.2</v>
      </c>
      <c r="G23" s="163"/>
      <c r="H23" s="158" t="s">
        <v>58</v>
      </c>
      <c r="I23" s="160" t="s">
        <v>28</v>
      </c>
      <c r="J23" s="160"/>
      <c r="K23" s="161" t="s">
        <v>22</v>
      </c>
      <c r="L23" s="162">
        <v>2554585.13</v>
      </c>
    </row>
    <row r="24" spans="1:12" ht="51" hidden="1" x14ac:dyDescent="0.3">
      <c r="A24" s="156" t="s">
        <v>146</v>
      </c>
      <c r="B24" s="157" t="s">
        <v>449</v>
      </c>
      <c r="C24" s="157" t="s">
        <v>450</v>
      </c>
      <c r="D24" s="157" t="s">
        <v>451</v>
      </c>
      <c r="E24" s="158" t="s">
        <v>27</v>
      </c>
      <c r="F24" s="159">
        <v>9126.68</v>
      </c>
      <c r="G24" s="159"/>
      <c r="H24" s="158" t="s">
        <v>58</v>
      </c>
      <c r="I24" s="160" t="s">
        <v>28</v>
      </c>
      <c r="J24" s="160"/>
      <c r="K24" s="161" t="s">
        <v>22</v>
      </c>
      <c r="L24" s="162">
        <v>2563711.81</v>
      </c>
    </row>
    <row r="25" spans="1:12" ht="61.2" hidden="1" x14ac:dyDescent="0.3">
      <c r="A25" s="156" t="s">
        <v>452</v>
      </c>
      <c r="B25" s="157" t="s">
        <v>453</v>
      </c>
      <c r="C25" s="157" t="s">
        <v>454</v>
      </c>
      <c r="D25" s="157" t="s">
        <v>455</v>
      </c>
      <c r="E25" s="158" t="s">
        <v>27</v>
      </c>
      <c r="F25" s="163">
        <v>281</v>
      </c>
      <c r="G25" s="163"/>
      <c r="H25" s="158" t="s">
        <v>58</v>
      </c>
      <c r="I25" s="160" t="s">
        <v>28</v>
      </c>
      <c r="J25" s="160"/>
      <c r="K25" s="161" t="s">
        <v>22</v>
      </c>
      <c r="L25" s="162">
        <v>2563992.81</v>
      </c>
    </row>
    <row r="26" spans="1:12" ht="51" hidden="1" x14ac:dyDescent="0.3">
      <c r="A26" s="156" t="s">
        <v>318</v>
      </c>
      <c r="B26" s="157" t="s">
        <v>347</v>
      </c>
      <c r="C26" s="157" t="s">
        <v>348</v>
      </c>
      <c r="D26" s="157" t="s">
        <v>332</v>
      </c>
      <c r="E26" s="158" t="s">
        <v>27</v>
      </c>
      <c r="F26" s="159">
        <v>4755.17</v>
      </c>
      <c r="G26" s="159"/>
      <c r="H26" s="158" t="s">
        <v>27</v>
      </c>
      <c r="I26" s="160" t="s">
        <v>28</v>
      </c>
      <c r="J26" s="160"/>
      <c r="K26" s="161" t="s">
        <v>22</v>
      </c>
      <c r="L26" s="162">
        <v>2568747.98</v>
      </c>
    </row>
    <row r="27" spans="1:12" ht="61.2" x14ac:dyDescent="0.3">
      <c r="A27" s="156" t="s">
        <v>83</v>
      </c>
      <c r="B27" s="157" t="s">
        <v>456</v>
      </c>
      <c r="C27" s="157" t="s">
        <v>39</v>
      </c>
      <c r="D27" s="157" t="s">
        <v>439</v>
      </c>
      <c r="E27" s="158" t="s">
        <v>41</v>
      </c>
      <c r="F27" s="164" t="s">
        <v>28</v>
      </c>
      <c r="G27" s="164"/>
      <c r="H27" s="158" t="s">
        <v>27</v>
      </c>
      <c r="I27" s="165">
        <v>1840</v>
      </c>
      <c r="J27" s="165"/>
      <c r="K27" s="161" t="s">
        <v>22</v>
      </c>
      <c r="L27" s="162">
        <v>2566907.98</v>
      </c>
    </row>
    <row r="28" spans="1:12" ht="51" x14ac:dyDescent="0.3">
      <c r="A28" s="156" t="s">
        <v>83</v>
      </c>
      <c r="B28" s="157" t="s">
        <v>456</v>
      </c>
      <c r="C28" s="157" t="s">
        <v>39</v>
      </c>
      <c r="D28" s="157" t="s">
        <v>423</v>
      </c>
      <c r="E28" s="158" t="s">
        <v>41</v>
      </c>
      <c r="F28" s="164" t="s">
        <v>28</v>
      </c>
      <c r="G28" s="164"/>
      <c r="H28" s="158" t="s">
        <v>27</v>
      </c>
      <c r="I28" s="165">
        <v>30000</v>
      </c>
      <c r="J28" s="165"/>
      <c r="K28" s="161" t="s">
        <v>22</v>
      </c>
      <c r="L28" s="162">
        <v>2536907.98</v>
      </c>
    </row>
    <row r="29" spans="1:12" ht="51" x14ac:dyDescent="0.3">
      <c r="A29" s="156" t="s">
        <v>83</v>
      </c>
      <c r="B29" s="157" t="s">
        <v>456</v>
      </c>
      <c r="C29" s="157" t="s">
        <v>39</v>
      </c>
      <c r="D29" s="157" t="s">
        <v>426</v>
      </c>
      <c r="E29" s="158" t="s">
        <v>41</v>
      </c>
      <c r="F29" s="164" t="s">
        <v>28</v>
      </c>
      <c r="G29" s="164"/>
      <c r="H29" s="158" t="s">
        <v>27</v>
      </c>
      <c r="I29" s="165">
        <v>62812.5</v>
      </c>
      <c r="J29" s="165"/>
      <c r="K29" s="161" t="s">
        <v>22</v>
      </c>
      <c r="L29" s="162">
        <v>2474095.48</v>
      </c>
    </row>
    <row r="30" spans="1:12" ht="51" x14ac:dyDescent="0.3">
      <c r="A30" s="156" t="s">
        <v>83</v>
      </c>
      <c r="B30" s="157" t="s">
        <v>457</v>
      </c>
      <c r="C30" s="157" t="s">
        <v>39</v>
      </c>
      <c r="D30" s="157" t="s">
        <v>458</v>
      </c>
      <c r="E30" s="158" t="s">
        <v>41</v>
      </c>
      <c r="F30" s="164" t="s">
        <v>28</v>
      </c>
      <c r="G30" s="164"/>
      <c r="H30" s="158" t="s">
        <v>27</v>
      </c>
      <c r="I30" s="166">
        <v>99.05</v>
      </c>
      <c r="J30" s="166"/>
      <c r="K30" s="161" t="s">
        <v>22</v>
      </c>
      <c r="L30" s="162">
        <v>2473996.4300000002</v>
      </c>
    </row>
    <row r="31" spans="1:12" ht="51" x14ac:dyDescent="0.3">
      <c r="A31" s="156" t="s">
        <v>83</v>
      </c>
      <c r="B31" s="157" t="s">
        <v>457</v>
      </c>
      <c r="C31" s="157" t="s">
        <v>39</v>
      </c>
      <c r="D31" s="157" t="s">
        <v>459</v>
      </c>
      <c r="E31" s="158" t="s">
        <v>41</v>
      </c>
      <c r="F31" s="164" t="s">
        <v>28</v>
      </c>
      <c r="G31" s="164"/>
      <c r="H31" s="158" t="s">
        <v>27</v>
      </c>
      <c r="I31" s="166">
        <v>91.25</v>
      </c>
      <c r="J31" s="166"/>
      <c r="K31" s="161" t="s">
        <v>22</v>
      </c>
      <c r="L31" s="162">
        <v>2473905.1800000002</v>
      </c>
    </row>
    <row r="32" spans="1:12" ht="51" x14ac:dyDescent="0.3">
      <c r="A32" s="156" t="s">
        <v>83</v>
      </c>
      <c r="B32" s="157" t="s">
        <v>457</v>
      </c>
      <c r="C32" s="157" t="s">
        <v>39</v>
      </c>
      <c r="D32" s="157" t="s">
        <v>460</v>
      </c>
      <c r="E32" s="158" t="s">
        <v>41</v>
      </c>
      <c r="F32" s="164" t="s">
        <v>28</v>
      </c>
      <c r="G32" s="164"/>
      <c r="H32" s="158" t="s">
        <v>27</v>
      </c>
      <c r="I32" s="166">
        <v>312.86</v>
      </c>
      <c r="J32" s="166"/>
      <c r="K32" s="161" t="s">
        <v>22</v>
      </c>
      <c r="L32" s="162">
        <v>2473592.3199999998</v>
      </c>
    </row>
    <row r="33" spans="1:12" ht="51" x14ac:dyDescent="0.3">
      <c r="A33" s="156" t="s">
        <v>83</v>
      </c>
      <c r="B33" s="157" t="s">
        <v>457</v>
      </c>
      <c r="C33" s="157" t="s">
        <v>39</v>
      </c>
      <c r="D33" s="157" t="s">
        <v>461</v>
      </c>
      <c r="E33" s="158" t="s">
        <v>41</v>
      </c>
      <c r="F33" s="164" t="s">
        <v>28</v>
      </c>
      <c r="G33" s="164"/>
      <c r="H33" s="158" t="s">
        <v>27</v>
      </c>
      <c r="I33" s="166">
        <v>435</v>
      </c>
      <c r="J33" s="166"/>
      <c r="K33" s="161" t="s">
        <v>22</v>
      </c>
      <c r="L33" s="162">
        <v>2473157.3199999998</v>
      </c>
    </row>
    <row r="34" spans="1:12" ht="51" hidden="1" x14ac:dyDescent="0.3">
      <c r="A34" s="156" t="s">
        <v>98</v>
      </c>
      <c r="B34" s="157" t="s">
        <v>462</v>
      </c>
      <c r="C34" s="157" t="s">
        <v>463</v>
      </c>
      <c r="D34" s="157" t="s">
        <v>464</v>
      </c>
      <c r="E34" s="158" t="s">
        <v>27</v>
      </c>
      <c r="F34" s="164" t="s">
        <v>28</v>
      </c>
      <c r="G34" s="164"/>
      <c r="H34" s="158" t="s">
        <v>27</v>
      </c>
      <c r="I34" s="166">
        <v>269</v>
      </c>
      <c r="J34" s="166"/>
      <c r="K34" s="161" t="s">
        <v>22</v>
      </c>
      <c r="L34" s="162">
        <v>2472888.3199999998</v>
      </c>
    </row>
    <row r="35" spans="1:12" ht="51" hidden="1" x14ac:dyDescent="0.3">
      <c r="A35" s="156" t="s">
        <v>98</v>
      </c>
      <c r="B35" s="157" t="s">
        <v>465</v>
      </c>
      <c r="C35" s="157" t="s">
        <v>466</v>
      </c>
      <c r="D35" s="157" t="s">
        <v>420</v>
      </c>
      <c r="E35" s="158" t="s">
        <v>27</v>
      </c>
      <c r="F35" s="164" t="s">
        <v>28</v>
      </c>
      <c r="G35" s="164"/>
      <c r="H35" s="158" t="s">
        <v>27</v>
      </c>
      <c r="I35" s="165">
        <v>1395</v>
      </c>
      <c r="J35" s="165"/>
      <c r="K35" s="161" t="s">
        <v>22</v>
      </c>
      <c r="L35" s="162">
        <v>2471493.3199999998</v>
      </c>
    </row>
    <row r="36" spans="1:12" ht="51" hidden="1" x14ac:dyDescent="0.3">
      <c r="A36" s="156" t="s">
        <v>98</v>
      </c>
      <c r="B36" s="157" t="s">
        <v>192</v>
      </c>
      <c r="C36" s="157" t="s">
        <v>193</v>
      </c>
      <c r="D36" s="157" t="s">
        <v>191</v>
      </c>
      <c r="E36" s="158" t="s">
        <v>27</v>
      </c>
      <c r="F36" s="159">
        <v>3184.12</v>
      </c>
      <c r="G36" s="159"/>
      <c r="H36" s="158" t="s">
        <v>27</v>
      </c>
      <c r="I36" s="160" t="s">
        <v>28</v>
      </c>
      <c r="J36" s="160"/>
      <c r="K36" s="161" t="s">
        <v>22</v>
      </c>
      <c r="L36" s="162">
        <v>2474677.44</v>
      </c>
    </row>
    <row r="37" spans="1:12" ht="51" hidden="1" x14ac:dyDescent="0.3">
      <c r="A37" s="156" t="s">
        <v>98</v>
      </c>
      <c r="B37" s="157" t="s">
        <v>194</v>
      </c>
      <c r="C37" s="157" t="s">
        <v>193</v>
      </c>
      <c r="D37" s="157" t="s">
        <v>191</v>
      </c>
      <c r="E37" s="158" t="s">
        <v>27</v>
      </c>
      <c r="F37" s="159">
        <v>61533.18</v>
      </c>
      <c r="G37" s="159"/>
      <c r="H37" s="158" t="s">
        <v>27</v>
      </c>
      <c r="I37" s="160" t="s">
        <v>28</v>
      </c>
      <c r="J37" s="160"/>
      <c r="K37" s="161" t="s">
        <v>22</v>
      </c>
      <c r="L37" s="162">
        <v>2536210.62</v>
      </c>
    </row>
    <row r="38" spans="1:12" ht="51" x14ac:dyDescent="0.3">
      <c r="A38" s="156" t="s">
        <v>98</v>
      </c>
      <c r="B38" s="157" t="s">
        <v>467</v>
      </c>
      <c r="C38" s="157" t="s">
        <v>39</v>
      </c>
      <c r="D38" s="157" t="s">
        <v>460</v>
      </c>
      <c r="E38" s="158" t="s">
        <v>41</v>
      </c>
      <c r="F38" s="164" t="s">
        <v>28</v>
      </c>
      <c r="G38" s="164"/>
      <c r="H38" s="158" t="s">
        <v>27</v>
      </c>
      <c r="I38" s="166">
        <v>938.57</v>
      </c>
      <c r="J38" s="166"/>
      <c r="K38" s="161" t="s">
        <v>22</v>
      </c>
      <c r="L38" s="162">
        <v>2535272.0499999998</v>
      </c>
    </row>
    <row r="39" spans="1:12" ht="51" x14ac:dyDescent="0.3">
      <c r="A39" s="156" t="s">
        <v>98</v>
      </c>
      <c r="B39" s="157" t="s">
        <v>468</v>
      </c>
      <c r="C39" s="157" t="s">
        <v>39</v>
      </c>
      <c r="D39" s="157" t="s">
        <v>469</v>
      </c>
      <c r="E39" s="158" t="s">
        <v>41</v>
      </c>
      <c r="F39" s="164" t="s">
        <v>28</v>
      </c>
      <c r="G39" s="164"/>
      <c r="H39" s="158" t="s">
        <v>27</v>
      </c>
      <c r="I39" s="166">
        <v>308.7</v>
      </c>
      <c r="J39" s="166"/>
      <c r="K39" s="161" t="s">
        <v>22</v>
      </c>
      <c r="L39" s="162">
        <v>2534963.35</v>
      </c>
    </row>
    <row r="40" spans="1:12" ht="51" x14ac:dyDescent="0.3">
      <c r="A40" s="156" t="s">
        <v>98</v>
      </c>
      <c r="B40" s="157" t="s">
        <v>468</v>
      </c>
      <c r="C40" s="157" t="s">
        <v>39</v>
      </c>
      <c r="D40" s="157" t="s">
        <v>470</v>
      </c>
      <c r="E40" s="158" t="s">
        <v>41</v>
      </c>
      <c r="F40" s="164" t="s">
        <v>28</v>
      </c>
      <c r="G40" s="164"/>
      <c r="H40" s="158" t="s">
        <v>27</v>
      </c>
      <c r="I40" s="165">
        <v>2544.3000000000002</v>
      </c>
      <c r="J40" s="165"/>
      <c r="K40" s="161" t="s">
        <v>22</v>
      </c>
      <c r="L40" s="162">
        <v>2532419.0499999998</v>
      </c>
    </row>
    <row r="41" spans="1:12" ht="61.2" x14ac:dyDescent="0.3">
      <c r="A41" s="156" t="s">
        <v>98</v>
      </c>
      <c r="B41" s="157" t="s">
        <v>468</v>
      </c>
      <c r="C41" s="157" t="s">
        <v>39</v>
      </c>
      <c r="D41" s="157" t="s">
        <v>454</v>
      </c>
      <c r="E41" s="158" t="s">
        <v>41</v>
      </c>
      <c r="F41" s="164" t="s">
        <v>28</v>
      </c>
      <c r="G41" s="164"/>
      <c r="H41" s="158" t="s">
        <v>27</v>
      </c>
      <c r="I41" s="166">
        <v>281</v>
      </c>
      <c r="J41" s="166"/>
      <c r="K41" s="161" t="s">
        <v>22</v>
      </c>
      <c r="L41" s="162">
        <v>2532138.0499999998</v>
      </c>
    </row>
    <row r="42" spans="1:12" ht="51" x14ac:dyDescent="0.3">
      <c r="A42" s="156" t="s">
        <v>98</v>
      </c>
      <c r="B42" s="157" t="s">
        <v>468</v>
      </c>
      <c r="C42" s="157" t="s">
        <v>39</v>
      </c>
      <c r="D42" s="157" t="s">
        <v>471</v>
      </c>
      <c r="E42" s="158" t="s">
        <v>41</v>
      </c>
      <c r="F42" s="164" t="s">
        <v>28</v>
      </c>
      <c r="G42" s="164"/>
      <c r="H42" s="158" t="s">
        <v>27</v>
      </c>
      <c r="I42" s="166">
        <v>54.07</v>
      </c>
      <c r="J42" s="166"/>
      <c r="K42" s="161" t="s">
        <v>22</v>
      </c>
      <c r="L42" s="162">
        <v>2532083.98</v>
      </c>
    </row>
    <row r="43" spans="1:12" ht="51" x14ac:dyDescent="0.3">
      <c r="A43" s="156" t="s">
        <v>98</v>
      </c>
      <c r="B43" s="157" t="s">
        <v>468</v>
      </c>
      <c r="C43" s="157" t="s">
        <v>39</v>
      </c>
      <c r="D43" s="157" t="s">
        <v>472</v>
      </c>
      <c r="E43" s="158" t="s">
        <v>41</v>
      </c>
      <c r="F43" s="164" t="s">
        <v>28</v>
      </c>
      <c r="G43" s="164"/>
      <c r="H43" s="158" t="s">
        <v>27</v>
      </c>
      <c r="I43" s="166">
        <v>302.83</v>
      </c>
      <c r="J43" s="166"/>
      <c r="K43" s="161" t="s">
        <v>22</v>
      </c>
      <c r="L43" s="162">
        <v>2531781.15</v>
      </c>
    </row>
    <row r="44" spans="1:12" ht="71.400000000000006" x14ac:dyDescent="0.3">
      <c r="A44" s="156" t="s">
        <v>98</v>
      </c>
      <c r="B44" s="157" t="s">
        <v>473</v>
      </c>
      <c r="C44" s="157" t="s">
        <v>39</v>
      </c>
      <c r="D44" s="157" t="s">
        <v>474</v>
      </c>
      <c r="E44" s="158" t="s">
        <v>41</v>
      </c>
      <c r="F44" s="164" t="s">
        <v>28</v>
      </c>
      <c r="G44" s="164"/>
      <c r="H44" s="158" t="s">
        <v>27</v>
      </c>
      <c r="I44" s="165">
        <v>9749.9699999999993</v>
      </c>
      <c r="J44" s="165"/>
      <c r="K44" s="161" t="s">
        <v>22</v>
      </c>
      <c r="L44" s="162">
        <v>2522031.1800000002</v>
      </c>
    </row>
    <row r="45" spans="1:12" ht="71.400000000000006" x14ac:dyDescent="0.3">
      <c r="A45" s="156" t="s">
        <v>98</v>
      </c>
      <c r="B45" s="157" t="s">
        <v>473</v>
      </c>
      <c r="C45" s="157" t="s">
        <v>39</v>
      </c>
      <c r="D45" s="157" t="s">
        <v>475</v>
      </c>
      <c r="E45" s="158" t="s">
        <v>41</v>
      </c>
      <c r="F45" s="164" t="s">
        <v>28</v>
      </c>
      <c r="G45" s="164"/>
      <c r="H45" s="158" t="s">
        <v>27</v>
      </c>
      <c r="I45" s="165">
        <v>3444.99</v>
      </c>
      <c r="J45" s="165"/>
      <c r="K45" s="161" t="s">
        <v>22</v>
      </c>
      <c r="L45" s="162">
        <v>2518586.19</v>
      </c>
    </row>
    <row r="46" spans="1:12" ht="71.400000000000006" x14ac:dyDescent="0.3">
      <c r="A46" s="156" t="s">
        <v>98</v>
      </c>
      <c r="B46" s="157" t="s">
        <v>473</v>
      </c>
      <c r="C46" s="157" t="s">
        <v>39</v>
      </c>
      <c r="D46" s="157" t="s">
        <v>476</v>
      </c>
      <c r="E46" s="158" t="s">
        <v>41</v>
      </c>
      <c r="F46" s="164" t="s">
        <v>28</v>
      </c>
      <c r="G46" s="164"/>
      <c r="H46" s="158" t="s">
        <v>27</v>
      </c>
      <c r="I46" s="165">
        <v>10562.47</v>
      </c>
      <c r="J46" s="165"/>
      <c r="K46" s="161" t="s">
        <v>22</v>
      </c>
      <c r="L46" s="162">
        <v>2508023.7200000002</v>
      </c>
    </row>
    <row r="47" spans="1:12" ht="71.400000000000006" x14ac:dyDescent="0.3">
      <c r="A47" s="156" t="s">
        <v>98</v>
      </c>
      <c r="B47" s="157" t="s">
        <v>473</v>
      </c>
      <c r="C47" s="157" t="s">
        <v>39</v>
      </c>
      <c r="D47" s="157" t="s">
        <v>477</v>
      </c>
      <c r="E47" s="158" t="s">
        <v>41</v>
      </c>
      <c r="F47" s="164" t="s">
        <v>28</v>
      </c>
      <c r="G47" s="164"/>
      <c r="H47" s="158" t="s">
        <v>27</v>
      </c>
      <c r="I47" s="165">
        <v>13880.04</v>
      </c>
      <c r="J47" s="165"/>
      <c r="K47" s="161" t="s">
        <v>22</v>
      </c>
      <c r="L47" s="162">
        <v>2494143.6800000002</v>
      </c>
    </row>
    <row r="48" spans="1:12" ht="71.400000000000006" x14ac:dyDescent="0.3">
      <c r="A48" s="156" t="s">
        <v>98</v>
      </c>
      <c r="B48" s="157" t="s">
        <v>473</v>
      </c>
      <c r="C48" s="157" t="s">
        <v>39</v>
      </c>
      <c r="D48" s="157" t="s">
        <v>478</v>
      </c>
      <c r="E48" s="158" t="s">
        <v>41</v>
      </c>
      <c r="F48" s="164" t="s">
        <v>28</v>
      </c>
      <c r="G48" s="164"/>
      <c r="H48" s="158" t="s">
        <v>27</v>
      </c>
      <c r="I48" s="165">
        <v>16600.53</v>
      </c>
      <c r="J48" s="165"/>
      <c r="K48" s="161" t="s">
        <v>22</v>
      </c>
      <c r="L48" s="162">
        <v>2477543.15</v>
      </c>
    </row>
    <row r="49" spans="1:12" ht="71.400000000000006" x14ac:dyDescent="0.3">
      <c r="A49" s="156" t="s">
        <v>98</v>
      </c>
      <c r="B49" s="157" t="s">
        <v>473</v>
      </c>
      <c r="C49" s="157" t="s">
        <v>39</v>
      </c>
      <c r="D49" s="157" t="s">
        <v>479</v>
      </c>
      <c r="E49" s="158" t="s">
        <v>41</v>
      </c>
      <c r="F49" s="164" t="s">
        <v>28</v>
      </c>
      <c r="G49" s="164"/>
      <c r="H49" s="158" t="s">
        <v>27</v>
      </c>
      <c r="I49" s="165">
        <v>31771.9</v>
      </c>
      <c r="J49" s="165"/>
      <c r="K49" s="161" t="s">
        <v>22</v>
      </c>
      <c r="L49" s="162">
        <v>2445771.25</v>
      </c>
    </row>
    <row r="50" spans="1:12" ht="71.400000000000006" x14ac:dyDescent="0.3">
      <c r="A50" s="156" t="s">
        <v>98</v>
      </c>
      <c r="B50" s="157" t="s">
        <v>473</v>
      </c>
      <c r="C50" s="157" t="s">
        <v>39</v>
      </c>
      <c r="D50" s="157" t="s">
        <v>480</v>
      </c>
      <c r="E50" s="158" t="s">
        <v>41</v>
      </c>
      <c r="F50" s="164" t="s">
        <v>28</v>
      </c>
      <c r="G50" s="164"/>
      <c r="H50" s="158" t="s">
        <v>27</v>
      </c>
      <c r="I50" s="165">
        <v>2697.49</v>
      </c>
      <c r="J50" s="165"/>
      <c r="K50" s="161" t="s">
        <v>22</v>
      </c>
      <c r="L50" s="162">
        <v>2443073.7599999998</v>
      </c>
    </row>
    <row r="51" spans="1:12" ht="71.400000000000006" x14ac:dyDescent="0.3">
      <c r="A51" s="156" t="s">
        <v>98</v>
      </c>
      <c r="B51" s="157" t="s">
        <v>473</v>
      </c>
      <c r="C51" s="157" t="s">
        <v>39</v>
      </c>
      <c r="D51" s="157" t="s">
        <v>481</v>
      </c>
      <c r="E51" s="158" t="s">
        <v>41</v>
      </c>
      <c r="F51" s="164" t="s">
        <v>28</v>
      </c>
      <c r="G51" s="164"/>
      <c r="H51" s="158" t="s">
        <v>27</v>
      </c>
      <c r="I51" s="165">
        <v>13554.63</v>
      </c>
      <c r="J51" s="165"/>
      <c r="K51" s="161" t="s">
        <v>22</v>
      </c>
      <c r="L51" s="162">
        <v>2429519.13</v>
      </c>
    </row>
    <row r="52" spans="1:12" ht="71.400000000000006" x14ac:dyDescent="0.3">
      <c r="A52" s="156" t="s">
        <v>98</v>
      </c>
      <c r="B52" s="157" t="s">
        <v>473</v>
      </c>
      <c r="C52" s="157" t="s">
        <v>39</v>
      </c>
      <c r="D52" s="157" t="s">
        <v>482</v>
      </c>
      <c r="E52" s="158" t="s">
        <v>41</v>
      </c>
      <c r="F52" s="164" t="s">
        <v>28</v>
      </c>
      <c r="G52" s="164"/>
      <c r="H52" s="158" t="s">
        <v>27</v>
      </c>
      <c r="I52" s="165">
        <v>28287.919999999998</v>
      </c>
      <c r="J52" s="165"/>
      <c r="K52" s="161" t="s">
        <v>22</v>
      </c>
      <c r="L52" s="162">
        <v>2401231.21</v>
      </c>
    </row>
    <row r="53" spans="1:12" ht="71.400000000000006" x14ac:dyDescent="0.3">
      <c r="A53" s="156" t="s">
        <v>98</v>
      </c>
      <c r="B53" s="157" t="s">
        <v>473</v>
      </c>
      <c r="C53" s="157" t="s">
        <v>39</v>
      </c>
      <c r="D53" s="157" t="s">
        <v>477</v>
      </c>
      <c r="E53" s="158" t="s">
        <v>41</v>
      </c>
      <c r="F53" s="164" t="s">
        <v>28</v>
      </c>
      <c r="G53" s="164"/>
      <c r="H53" s="158" t="s">
        <v>27</v>
      </c>
      <c r="I53" s="165">
        <v>15908.84</v>
      </c>
      <c r="J53" s="165"/>
      <c r="K53" s="161" t="s">
        <v>22</v>
      </c>
      <c r="L53" s="162">
        <v>2385322.37</v>
      </c>
    </row>
    <row r="54" spans="1:12" ht="71.400000000000006" x14ac:dyDescent="0.3">
      <c r="A54" s="156" t="s">
        <v>98</v>
      </c>
      <c r="B54" s="157" t="s">
        <v>473</v>
      </c>
      <c r="C54" s="157" t="s">
        <v>39</v>
      </c>
      <c r="D54" s="157" t="s">
        <v>477</v>
      </c>
      <c r="E54" s="158" t="s">
        <v>41</v>
      </c>
      <c r="F54" s="164" t="s">
        <v>28</v>
      </c>
      <c r="G54" s="164"/>
      <c r="H54" s="158" t="s">
        <v>27</v>
      </c>
      <c r="I54" s="165">
        <v>6916.89</v>
      </c>
      <c r="J54" s="165"/>
      <c r="K54" s="161" t="s">
        <v>22</v>
      </c>
      <c r="L54" s="162">
        <v>2378405.48</v>
      </c>
    </row>
    <row r="55" spans="1:12" ht="61.2" x14ac:dyDescent="0.3">
      <c r="A55" s="156" t="s">
        <v>98</v>
      </c>
      <c r="B55" s="157" t="s">
        <v>473</v>
      </c>
      <c r="C55" s="157" t="s">
        <v>39</v>
      </c>
      <c r="D55" s="157" t="s">
        <v>483</v>
      </c>
      <c r="E55" s="158" t="s">
        <v>41</v>
      </c>
      <c r="F55" s="164" t="s">
        <v>28</v>
      </c>
      <c r="G55" s="164"/>
      <c r="H55" s="158" t="s">
        <v>27</v>
      </c>
      <c r="I55" s="166">
        <v>673.75</v>
      </c>
      <c r="J55" s="166"/>
      <c r="K55" s="161" t="s">
        <v>22</v>
      </c>
      <c r="L55" s="162">
        <v>2377731.73</v>
      </c>
    </row>
    <row r="56" spans="1:12" ht="61.2" x14ac:dyDescent="0.3">
      <c r="A56" s="156" t="s">
        <v>98</v>
      </c>
      <c r="B56" s="157" t="s">
        <v>473</v>
      </c>
      <c r="C56" s="157" t="s">
        <v>39</v>
      </c>
      <c r="D56" s="157" t="s">
        <v>484</v>
      </c>
      <c r="E56" s="158" t="s">
        <v>41</v>
      </c>
      <c r="F56" s="164" t="s">
        <v>28</v>
      </c>
      <c r="G56" s="164"/>
      <c r="H56" s="158" t="s">
        <v>27</v>
      </c>
      <c r="I56" s="165">
        <v>3090.75</v>
      </c>
      <c r="J56" s="165"/>
      <c r="K56" s="161" t="s">
        <v>22</v>
      </c>
      <c r="L56" s="162">
        <v>2374640.98</v>
      </c>
    </row>
    <row r="57" spans="1:12" ht="61.2" x14ac:dyDescent="0.3">
      <c r="A57" s="156" t="s">
        <v>98</v>
      </c>
      <c r="B57" s="157" t="s">
        <v>473</v>
      </c>
      <c r="C57" s="157" t="s">
        <v>39</v>
      </c>
      <c r="D57" s="157" t="s">
        <v>485</v>
      </c>
      <c r="E57" s="158" t="s">
        <v>41</v>
      </c>
      <c r="F57" s="164" t="s">
        <v>28</v>
      </c>
      <c r="G57" s="164"/>
      <c r="H57" s="158" t="s">
        <v>27</v>
      </c>
      <c r="I57" s="165">
        <v>1289.8800000000001</v>
      </c>
      <c r="J57" s="165"/>
      <c r="K57" s="161" t="s">
        <v>22</v>
      </c>
      <c r="L57" s="162">
        <v>2373351.1</v>
      </c>
    </row>
    <row r="58" spans="1:12" ht="61.2" x14ac:dyDescent="0.3">
      <c r="A58" s="156" t="s">
        <v>98</v>
      </c>
      <c r="B58" s="157" t="s">
        <v>473</v>
      </c>
      <c r="C58" s="157" t="s">
        <v>39</v>
      </c>
      <c r="D58" s="157" t="s">
        <v>486</v>
      </c>
      <c r="E58" s="158" t="s">
        <v>41</v>
      </c>
      <c r="F58" s="164" t="s">
        <v>28</v>
      </c>
      <c r="G58" s="164"/>
      <c r="H58" s="158" t="s">
        <v>27</v>
      </c>
      <c r="I58" s="165">
        <v>4514.58</v>
      </c>
      <c r="J58" s="165"/>
      <c r="K58" s="161" t="s">
        <v>22</v>
      </c>
      <c r="L58" s="162">
        <v>2368836.52</v>
      </c>
    </row>
    <row r="59" spans="1:12" ht="71.400000000000006" x14ac:dyDescent="0.3">
      <c r="A59" s="156" t="s">
        <v>98</v>
      </c>
      <c r="B59" s="157" t="s">
        <v>487</v>
      </c>
      <c r="C59" s="157" t="s">
        <v>39</v>
      </c>
      <c r="D59" s="157" t="s">
        <v>488</v>
      </c>
      <c r="E59" s="158" t="s">
        <v>41</v>
      </c>
      <c r="F59" s="164" t="s">
        <v>28</v>
      </c>
      <c r="G59" s="164"/>
      <c r="H59" s="158" t="s">
        <v>27</v>
      </c>
      <c r="I59" s="165">
        <v>7134.07</v>
      </c>
      <c r="J59" s="165"/>
      <c r="K59" s="161" t="s">
        <v>22</v>
      </c>
      <c r="L59" s="162">
        <v>2361702.4500000002</v>
      </c>
    </row>
    <row r="60" spans="1:12" ht="71.400000000000006" x14ac:dyDescent="0.3">
      <c r="A60" s="156" t="s">
        <v>98</v>
      </c>
      <c r="B60" s="157" t="s">
        <v>487</v>
      </c>
      <c r="C60" s="157" t="s">
        <v>39</v>
      </c>
      <c r="D60" s="157" t="s">
        <v>489</v>
      </c>
      <c r="E60" s="158" t="s">
        <v>41</v>
      </c>
      <c r="F60" s="164" t="s">
        <v>28</v>
      </c>
      <c r="G60" s="164"/>
      <c r="H60" s="158" t="s">
        <v>27</v>
      </c>
      <c r="I60" s="165">
        <v>11368.73</v>
      </c>
      <c r="J60" s="165"/>
      <c r="K60" s="161" t="s">
        <v>22</v>
      </c>
      <c r="L60" s="162">
        <v>2350333.7200000002</v>
      </c>
    </row>
    <row r="61" spans="1:12" ht="71.400000000000006" x14ac:dyDescent="0.3">
      <c r="A61" s="156" t="s">
        <v>98</v>
      </c>
      <c r="B61" s="157" t="s">
        <v>487</v>
      </c>
      <c r="C61" s="157" t="s">
        <v>39</v>
      </c>
      <c r="D61" s="157" t="s">
        <v>490</v>
      </c>
      <c r="E61" s="158" t="s">
        <v>41</v>
      </c>
      <c r="F61" s="164" t="s">
        <v>28</v>
      </c>
      <c r="G61" s="164"/>
      <c r="H61" s="158" t="s">
        <v>27</v>
      </c>
      <c r="I61" s="165">
        <v>4832.3500000000004</v>
      </c>
      <c r="J61" s="165"/>
      <c r="K61" s="161" t="s">
        <v>22</v>
      </c>
      <c r="L61" s="162">
        <v>2345501.37</v>
      </c>
    </row>
    <row r="62" spans="1:12" ht="71.400000000000006" x14ac:dyDescent="0.3">
      <c r="A62" s="156" t="s">
        <v>98</v>
      </c>
      <c r="B62" s="157" t="s">
        <v>487</v>
      </c>
      <c r="C62" s="157" t="s">
        <v>39</v>
      </c>
      <c r="D62" s="157" t="s">
        <v>491</v>
      </c>
      <c r="E62" s="158" t="s">
        <v>41</v>
      </c>
      <c r="F62" s="164" t="s">
        <v>28</v>
      </c>
      <c r="G62" s="164"/>
      <c r="H62" s="158" t="s">
        <v>27</v>
      </c>
      <c r="I62" s="165">
        <v>3725.99</v>
      </c>
      <c r="J62" s="165"/>
      <c r="K62" s="161" t="s">
        <v>22</v>
      </c>
      <c r="L62" s="162">
        <v>2341775.38</v>
      </c>
    </row>
    <row r="63" spans="1:12" ht="71.400000000000006" x14ac:dyDescent="0.3">
      <c r="A63" s="156" t="s">
        <v>98</v>
      </c>
      <c r="B63" s="157" t="s">
        <v>487</v>
      </c>
      <c r="C63" s="157" t="s">
        <v>39</v>
      </c>
      <c r="D63" s="157" t="s">
        <v>492</v>
      </c>
      <c r="E63" s="158" t="s">
        <v>41</v>
      </c>
      <c r="F63" s="164" t="s">
        <v>28</v>
      </c>
      <c r="G63" s="164"/>
      <c r="H63" s="158" t="s">
        <v>27</v>
      </c>
      <c r="I63" s="165">
        <v>7375.69</v>
      </c>
      <c r="J63" s="165"/>
      <c r="K63" s="161" t="s">
        <v>22</v>
      </c>
      <c r="L63" s="162">
        <v>2334399.69</v>
      </c>
    </row>
    <row r="64" spans="1:12" ht="71.400000000000006" x14ac:dyDescent="0.3">
      <c r="A64" s="156" t="s">
        <v>98</v>
      </c>
      <c r="B64" s="157" t="s">
        <v>487</v>
      </c>
      <c r="C64" s="157" t="s">
        <v>39</v>
      </c>
      <c r="D64" s="157" t="s">
        <v>493</v>
      </c>
      <c r="E64" s="158" t="s">
        <v>41</v>
      </c>
      <c r="F64" s="164" t="s">
        <v>28</v>
      </c>
      <c r="G64" s="164"/>
      <c r="H64" s="158" t="s">
        <v>27</v>
      </c>
      <c r="I64" s="165">
        <v>47992.83</v>
      </c>
      <c r="J64" s="165"/>
      <c r="K64" s="161" t="s">
        <v>22</v>
      </c>
      <c r="L64" s="162">
        <v>2286406.86</v>
      </c>
    </row>
    <row r="65" spans="1:12" ht="71.400000000000006" x14ac:dyDescent="0.3">
      <c r="A65" s="156" t="s">
        <v>98</v>
      </c>
      <c r="B65" s="157" t="s">
        <v>487</v>
      </c>
      <c r="C65" s="157" t="s">
        <v>39</v>
      </c>
      <c r="D65" s="157" t="s">
        <v>494</v>
      </c>
      <c r="E65" s="158" t="s">
        <v>41</v>
      </c>
      <c r="F65" s="164" t="s">
        <v>28</v>
      </c>
      <c r="G65" s="164"/>
      <c r="H65" s="158" t="s">
        <v>27</v>
      </c>
      <c r="I65" s="165">
        <v>22813.759999999998</v>
      </c>
      <c r="J65" s="165"/>
      <c r="K65" s="161" t="s">
        <v>22</v>
      </c>
      <c r="L65" s="162">
        <v>2263593.1</v>
      </c>
    </row>
    <row r="66" spans="1:12" ht="71.400000000000006" x14ac:dyDescent="0.3">
      <c r="A66" s="156" t="s">
        <v>98</v>
      </c>
      <c r="B66" s="157" t="s">
        <v>487</v>
      </c>
      <c r="C66" s="157" t="s">
        <v>39</v>
      </c>
      <c r="D66" s="157" t="s">
        <v>495</v>
      </c>
      <c r="E66" s="158" t="s">
        <v>41</v>
      </c>
      <c r="F66" s="164" t="s">
        <v>28</v>
      </c>
      <c r="G66" s="164"/>
      <c r="H66" s="158" t="s">
        <v>27</v>
      </c>
      <c r="I66" s="165">
        <v>4628.88</v>
      </c>
      <c r="J66" s="165"/>
      <c r="K66" s="161" t="s">
        <v>22</v>
      </c>
      <c r="L66" s="162">
        <v>2258964.2200000002</v>
      </c>
    </row>
    <row r="67" spans="1:12" ht="71.400000000000006" x14ac:dyDescent="0.3">
      <c r="A67" s="156" t="s">
        <v>98</v>
      </c>
      <c r="B67" s="157" t="s">
        <v>487</v>
      </c>
      <c r="C67" s="157" t="s">
        <v>39</v>
      </c>
      <c r="D67" s="157" t="s">
        <v>496</v>
      </c>
      <c r="E67" s="158" t="s">
        <v>41</v>
      </c>
      <c r="F67" s="164" t="s">
        <v>28</v>
      </c>
      <c r="G67" s="164"/>
      <c r="H67" s="158" t="s">
        <v>27</v>
      </c>
      <c r="I67" s="165">
        <v>3153.74</v>
      </c>
      <c r="J67" s="165"/>
      <c r="K67" s="161" t="s">
        <v>22</v>
      </c>
      <c r="L67" s="162">
        <v>2255810.48</v>
      </c>
    </row>
    <row r="68" spans="1:12" ht="81.599999999999994" x14ac:dyDescent="0.3">
      <c r="A68" s="156" t="s">
        <v>98</v>
      </c>
      <c r="B68" s="157" t="s">
        <v>487</v>
      </c>
      <c r="C68" s="157" t="s">
        <v>39</v>
      </c>
      <c r="D68" s="157" t="s">
        <v>497</v>
      </c>
      <c r="E68" s="158" t="s">
        <v>41</v>
      </c>
      <c r="F68" s="164" t="s">
        <v>28</v>
      </c>
      <c r="G68" s="164"/>
      <c r="H68" s="158" t="s">
        <v>27</v>
      </c>
      <c r="I68" s="165">
        <v>36019.5</v>
      </c>
      <c r="J68" s="165"/>
      <c r="K68" s="161" t="s">
        <v>22</v>
      </c>
      <c r="L68" s="162">
        <v>2219790.98</v>
      </c>
    </row>
    <row r="69" spans="1:12" ht="71.400000000000006" x14ac:dyDescent="0.3">
      <c r="A69" s="156" t="s">
        <v>98</v>
      </c>
      <c r="B69" s="157" t="s">
        <v>487</v>
      </c>
      <c r="C69" s="157" t="s">
        <v>39</v>
      </c>
      <c r="D69" s="157" t="s">
        <v>494</v>
      </c>
      <c r="E69" s="158" t="s">
        <v>41</v>
      </c>
      <c r="F69" s="164" t="s">
        <v>28</v>
      </c>
      <c r="G69" s="164"/>
      <c r="H69" s="158" t="s">
        <v>27</v>
      </c>
      <c r="I69" s="165">
        <v>15209.18</v>
      </c>
      <c r="J69" s="165"/>
      <c r="K69" s="161" t="s">
        <v>22</v>
      </c>
      <c r="L69" s="162">
        <v>2204581.7999999998</v>
      </c>
    </row>
    <row r="70" spans="1:12" ht="61.2" x14ac:dyDescent="0.3">
      <c r="A70" s="156" t="s">
        <v>98</v>
      </c>
      <c r="B70" s="157" t="s">
        <v>487</v>
      </c>
      <c r="C70" s="157" t="s">
        <v>39</v>
      </c>
      <c r="D70" s="157" t="s">
        <v>483</v>
      </c>
      <c r="E70" s="158" t="s">
        <v>41</v>
      </c>
      <c r="F70" s="164" t="s">
        <v>28</v>
      </c>
      <c r="G70" s="164"/>
      <c r="H70" s="158" t="s">
        <v>27</v>
      </c>
      <c r="I70" s="165">
        <v>1837.5</v>
      </c>
      <c r="J70" s="165"/>
      <c r="K70" s="161" t="s">
        <v>22</v>
      </c>
      <c r="L70" s="162">
        <v>2202744.2999999998</v>
      </c>
    </row>
    <row r="71" spans="1:12" ht="61.2" x14ac:dyDescent="0.3">
      <c r="A71" s="156" t="s">
        <v>98</v>
      </c>
      <c r="B71" s="157" t="s">
        <v>487</v>
      </c>
      <c r="C71" s="157" t="s">
        <v>39</v>
      </c>
      <c r="D71" s="157" t="s">
        <v>484</v>
      </c>
      <c r="E71" s="158" t="s">
        <v>41</v>
      </c>
      <c r="F71" s="164" t="s">
        <v>28</v>
      </c>
      <c r="G71" s="164"/>
      <c r="H71" s="158" t="s">
        <v>27</v>
      </c>
      <c r="I71" s="165">
        <v>2600</v>
      </c>
      <c r="J71" s="165"/>
      <c r="K71" s="161" t="s">
        <v>22</v>
      </c>
      <c r="L71" s="162">
        <v>2200144.2999999998</v>
      </c>
    </row>
    <row r="72" spans="1:12" ht="61.2" x14ac:dyDescent="0.3">
      <c r="A72" s="156" t="s">
        <v>98</v>
      </c>
      <c r="B72" s="157" t="s">
        <v>487</v>
      </c>
      <c r="C72" s="157" t="s">
        <v>39</v>
      </c>
      <c r="D72" s="157" t="s">
        <v>486</v>
      </c>
      <c r="E72" s="158" t="s">
        <v>41</v>
      </c>
      <c r="F72" s="164" t="s">
        <v>28</v>
      </c>
      <c r="G72" s="164"/>
      <c r="H72" s="158" t="s">
        <v>27</v>
      </c>
      <c r="I72" s="165">
        <v>5159.5200000000004</v>
      </c>
      <c r="J72" s="165"/>
      <c r="K72" s="161" t="s">
        <v>22</v>
      </c>
      <c r="L72" s="162">
        <v>2194984.7799999998</v>
      </c>
    </row>
    <row r="73" spans="1:12" ht="51" x14ac:dyDescent="0.3">
      <c r="A73" s="156" t="s">
        <v>98</v>
      </c>
      <c r="B73" s="157" t="s">
        <v>487</v>
      </c>
      <c r="C73" s="157" t="s">
        <v>39</v>
      </c>
      <c r="D73" s="157" t="s">
        <v>430</v>
      </c>
      <c r="E73" s="158" t="s">
        <v>41</v>
      </c>
      <c r="F73" s="164" t="s">
        <v>28</v>
      </c>
      <c r="G73" s="164"/>
      <c r="H73" s="158" t="s">
        <v>27</v>
      </c>
      <c r="I73" s="165">
        <v>6229.17</v>
      </c>
      <c r="J73" s="165"/>
      <c r="K73" s="161" t="s">
        <v>22</v>
      </c>
      <c r="L73" s="162">
        <v>2188755.61</v>
      </c>
    </row>
    <row r="74" spans="1:12" ht="51" x14ac:dyDescent="0.3">
      <c r="A74" s="156" t="s">
        <v>98</v>
      </c>
      <c r="B74" s="157" t="s">
        <v>487</v>
      </c>
      <c r="C74" s="157" t="s">
        <v>39</v>
      </c>
      <c r="D74" s="157" t="s">
        <v>426</v>
      </c>
      <c r="E74" s="158" t="s">
        <v>41</v>
      </c>
      <c r="F74" s="164" t="s">
        <v>28</v>
      </c>
      <c r="G74" s="164"/>
      <c r="H74" s="158" t="s">
        <v>27</v>
      </c>
      <c r="I74" s="165">
        <v>60937.5</v>
      </c>
      <c r="J74" s="165"/>
      <c r="K74" s="161" t="s">
        <v>22</v>
      </c>
      <c r="L74" s="162">
        <v>2127818.11</v>
      </c>
    </row>
    <row r="75" spans="1:12" ht="51" x14ac:dyDescent="0.3">
      <c r="A75" s="156" t="s">
        <v>98</v>
      </c>
      <c r="B75" s="157" t="s">
        <v>487</v>
      </c>
      <c r="C75" s="157" t="s">
        <v>39</v>
      </c>
      <c r="D75" s="157" t="s">
        <v>431</v>
      </c>
      <c r="E75" s="158" t="s">
        <v>41</v>
      </c>
      <c r="F75" s="164" t="s">
        <v>28</v>
      </c>
      <c r="G75" s="164"/>
      <c r="H75" s="158" t="s">
        <v>27</v>
      </c>
      <c r="I75" s="165">
        <v>62812.5</v>
      </c>
      <c r="J75" s="165"/>
      <c r="K75" s="161" t="s">
        <v>22</v>
      </c>
      <c r="L75" s="162">
        <v>2065005.61</v>
      </c>
    </row>
    <row r="76" spans="1:12" ht="51" x14ac:dyDescent="0.3">
      <c r="A76" s="156" t="s">
        <v>98</v>
      </c>
      <c r="B76" s="157" t="s">
        <v>487</v>
      </c>
      <c r="C76" s="157" t="s">
        <v>39</v>
      </c>
      <c r="D76" s="157" t="s">
        <v>431</v>
      </c>
      <c r="E76" s="158" t="s">
        <v>41</v>
      </c>
      <c r="F76" s="164" t="s">
        <v>28</v>
      </c>
      <c r="G76" s="164"/>
      <c r="H76" s="158" t="s">
        <v>27</v>
      </c>
      <c r="I76" s="165">
        <v>30937.5</v>
      </c>
      <c r="J76" s="165"/>
      <c r="K76" s="161" t="s">
        <v>22</v>
      </c>
      <c r="L76" s="162">
        <v>2034068.11</v>
      </c>
    </row>
    <row r="77" spans="1:12" ht="51" x14ac:dyDescent="0.3">
      <c r="A77" s="156" t="s">
        <v>98</v>
      </c>
      <c r="B77" s="157" t="s">
        <v>487</v>
      </c>
      <c r="C77" s="157" t="s">
        <v>39</v>
      </c>
      <c r="D77" s="157" t="s">
        <v>431</v>
      </c>
      <c r="E77" s="158" t="s">
        <v>41</v>
      </c>
      <c r="F77" s="164" t="s">
        <v>28</v>
      </c>
      <c r="G77" s="164"/>
      <c r="H77" s="158" t="s">
        <v>27</v>
      </c>
      <c r="I77" s="165">
        <v>13125</v>
      </c>
      <c r="J77" s="165"/>
      <c r="K77" s="161" t="s">
        <v>22</v>
      </c>
      <c r="L77" s="162">
        <v>2020943.11</v>
      </c>
    </row>
    <row r="78" spans="1:12" ht="51" x14ac:dyDescent="0.3">
      <c r="A78" s="156" t="s">
        <v>98</v>
      </c>
      <c r="B78" s="157" t="s">
        <v>487</v>
      </c>
      <c r="C78" s="157" t="s">
        <v>39</v>
      </c>
      <c r="D78" s="157" t="s">
        <v>433</v>
      </c>
      <c r="E78" s="158" t="s">
        <v>41</v>
      </c>
      <c r="F78" s="164" t="s">
        <v>28</v>
      </c>
      <c r="G78" s="164"/>
      <c r="H78" s="158" t="s">
        <v>27</v>
      </c>
      <c r="I78" s="165">
        <v>16875</v>
      </c>
      <c r="J78" s="165"/>
      <c r="K78" s="161" t="s">
        <v>22</v>
      </c>
      <c r="L78" s="162">
        <v>2004068.11</v>
      </c>
    </row>
    <row r="79" spans="1:12" ht="51" x14ac:dyDescent="0.3">
      <c r="A79" s="156" t="s">
        <v>98</v>
      </c>
      <c r="B79" s="157" t="s">
        <v>487</v>
      </c>
      <c r="C79" s="157" t="s">
        <v>39</v>
      </c>
      <c r="D79" s="157" t="s">
        <v>433</v>
      </c>
      <c r="E79" s="158" t="s">
        <v>41</v>
      </c>
      <c r="F79" s="164" t="s">
        <v>28</v>
      </c>
      <c r="G79" s="164"/>
      <c r="H79" s="158" t="s">
        <v>27</v>
      </c>
      <c r="I79" s="165">
        <v>5625</v>
      </c>
      <c r="J79" s="165"/>
      <c r="K79" s="161" t="s">
        <v>22</v>
      </c>
      <c r="L79" s="162">
        <v>1998443.11</v>
      </c>
    </row>
    <row r="80" spans="1:12" ht="51" x14ac:dyDescent="0.3">
      <c r="A80" s="156" t="s">
        <v>98</v>
      </c>
      <c r="B80" s="157" t="s">
        <v>487</v>
      </c>
      <c r="C80" s="157" t="s">
        <v>39</v>
      </c>
      <c r="D80" s="157" t="s">
        <v>436</v>
      </c>
      <c r="E80" s="158" t="s">
        <v>41</v>
      </c>
      <c r="F80" s="164" t="s">
        <v>28</v>
      </c>
      <c r="G80" s="164"/>
      <c r="H80" s="158" t="s">
        <v>27</v>
      </c>
      <c r="I80" s="165">
        <v>12812.5</v>
      </c>
      <c r="J80" s="165"/>
      <c r="K80" s="161" t="s">
        <v>22</v>
      </c>
      <c r="L80" s="162">
        <v>1985630.61</v>
      </c>
    </row>
    <row r="81" spans="1:12" ht="51" x14ac:dyDescent="0.3">
      <c r="A81" s="156" t="s">
        <v>98</v>
      </c>
      <c r="B81" s="157" t="s">
        <v>498</v>
      </c>
      <c r="C81" s="157" t="s">
        <v>39</v>
      </c>
      <c r="D81" s="157" t="s">
        <v>499</v>
      </c>
      <c r="E81" s="158" t="s">
        <v>41</v>
      </c>
      <c r="F81" s="164" t="s">
        <v>28</v>
      </c>
      <c r="G81" s="164"/>
      <c r="H81" s="158" t="s">
        <v>27</v>
      </c>
      <c r="I81" s="165">
        <v>16177.81</v>
      </c>
      <c r="J81" s="165"/>
      <c r="K81" s="161" t="s">
        <v>22</v>
      </c>
      <c r="L81" s="162">
        <v>1969452.8</v>
      </c>
    </row>
    <row r="82" spans="1:12" ht="61.2" x14ac:dyDescent="0.3">
      <c r="A82" s="156" t="s">
        <v>98</v>
      </c>
      <c r="B82" s="157" t="s">
        <v>498</v>
      </c>
      <c r="C82" s="157" t="s">
        <v>39</v>
      </c>
      <c r="D82" s="157" t="s">
        <v>234</v>
      </c>
      <c r="E82" s="158" t="s">
        <v>41</v>
      </c>
      <c r="F82" s="164" t="s">
        <v>28</v>
      </c>
      <c r="G82" s="164"/>
      <c r="H82" s="158" t="s">
        <v>27</v>
      </c>
      <c r="I82" s="165">
        <v>4270.45</v>
      </c>
      <c r="J82" s="165"/>
      <c r="K82" s="161" t="s">
        <v>22</v>
      </c>
      <c r="L82" s="162">
        <v>1965182.35</v>
      </c>
    </row>
    <row r="83" spans="1:12" ht="51" x14ac:dyDescent="0.3">
      <c r="A83" s="156" t="s">
        <v>98</v>
      </c>
      <c r="B83" s="157" t="s">
        <v>498</v>
      </c>
      <c r="C83" s="157" t="s">
        <v>39</v>
      </c>
      <c r="D83" s="157" t="s">
        <v>500</v>
      </c>
      <c r="E83" s="158" t="s">
        <v>41</v>
      </c>
      <c r="F83" s="164" t="s">
        <v>28</v>
      </c>
      <c r="G83" s="164"/>
      <c r="H83" s="158" t="s">
        <v>27</v>
      </c>
      <c r="I83" s="166">
        <v>753.09</v>
      </c>
      <c r="J83" s="166"/>
      <c r="K83" s="161" t="s">
        <v>22</v>
      </c>
      <c r="L83" s="162">
        <v>1964429.26</v>
      </c>
    </row>
    <row r="84" spans="1:12" ht="51" x14ac:dyDescent="0.3">
      <c r="A84" s="156" t="s">
        <v>98</v>
      </c>
      <c r="B84" s="157" t="s">
        <v>498</v>
      </c>
      <c r="C84" s="157" t="s">
        <v>39</v>
      </c>
      <c r="D84" s="157" t="s">
        <v>235</v>
      </c>
      <c r="E84" s="158" t="s">
        <v>41</v>
      </c>
      <c r="F84" s="164" t="s">
        <v>28</v>
      </c>
      <c r="G84" s="164"/>
      <c r="H84" s="158" t="s">
        <v>27</v>
      </c>
      <c r="I84" s="166">
        <v>301.63</v>
      </c>
      <c r="J84" s="166"/>
      <c r="K84" s="161" t="s">
        <v>22</v>
      </c>
      <c r="L84" s="162">
        <v>1964127.63</v>
      </c>
    </row>
    <row r="85" spans="1:12" ht="51" x14ac:dyDescent="0.3">
      <c r="A85" s="156" t="s">
        <v>98</v>
      </c>
      <c r="B85" s="157" t="s">
        <v>498</v>
      </c>
      <c r="C85" s="157" t="s">
        <v>39</v>
      </c>
      <c r="D85" s="157" t="s">
        <v>501</v>
      </c>
      <c r="E85" s="158" t="s">
        <v>41</v>
      </c>
      <c r="F85" s="164" t="s">
        <v>28</v>
      </c>
      <c r="G85" s="164"/>
      <c r="H85" s="158" t="s">
        <v>27</v>
      </c>
      <c r="I85" s="165">
        <v>3196.46</v>
      </c>
      <c r="J85" s="165"/>
      <c r="K85" s="161" t="s">
        <v>22</v>
      </c>
      <c r="L85" s="162">
        <v>1960931.17</v>
      </c>
    </row>
    <row r="86" spans="1:12" ht="51" x14ac:dyDescent="0.3">
      <c r="A86" s="156" t="s">
        <v>98</v>
      </c>
      <c r="B86" s="157" t="s">
        <v>498</v>
      </c>
      <c r="C86" s="157" t="s">
        <v>39</v>
      </c>
      <c r="D86" s="157" t="s">
        <v>502</v>
      </c>
      <c r="E86" s="158" t="s">
        <v>41</v>
      </c>
      <c r="F86" s="164" t="s">
        <v>28</v>
      </c>
      <c r="G86" s="164"/>
      <c r="H86" s="158" t="s">
        <v>27</v>
      </c>
      <c r="I86" s="165">
        <v>24184.28</v>
      </c>
      <c r="J86" s="165"/>
      <c r="K86" s="161" t="s">
        <v>22</v>
      </c>
      <c r="L86" s="162">
        <v>1936746.89</v>
      </c>
    </row>
    <row r="87" spans="1:12" ht="51" x14ac:dyDescent="0.3">
      <c r="A87" s="156" t="s">
        <v>98</v>
      </c>
      <c r="B87" s="157" t="s">
        <v>498</v>
      </c>
      <c r="C87" s="157" t="s">
        <v>39</v>
      </c>
      <c r="D87" s="157" t="s">
        <v>503</v>
      </c>
      <c r="E87" s="158" t="s">
        <v>41</v>
      </c>
      <c r="F87" s="164" t="s">
        <v>28</v>
      </c>
      <c r="G87" s="164"/>
      <c r="H87" s="158" t="s">
        <v>27</v>
      </c>
      <c r="I87" s="165">
        <v>5654.84</v>
      </c>
      <c r="J87" s="165"/>
      <c r="K87" s="161" t="s">
        <v>22</v>
      </c>
      <c r="L87" s="162">
        <v>1931092.05</v>
      </c>
    </row>
    <row r="88" spans="1:12" ht="61.2" x14ac:dyDescent="0.3">
      <c r="A88" s="156" t="s">
        <v>98</v>
      </c>
      <c r="B88" s="157" t="s">
        <v>498</v>
      </c>
      <c r="C88" s="157" t="s">
        <v>39</v>
      </c>
      <c r="D88" s="157" t="s">
        <v>504</v>
      </c>
      <c r="E88" s="158" t="s">
        <v>41</v>
      </c>
      <c r="F88" s="164" t="s">
        <v>28</v>
      </c>
      <c r="G88" s="164"/>
      <c r="H88" s="158" t="s">
        <v>27</v>
      </c>
      <c r="I88" s="166">
        <v>889.64</v>
      </c>
      <c r="J88" s="166"/>
      <c r="K88" s="161" t="s">
        <v>22</v>
      </c>
      <c r="L88" s="162">
        <v>1930202.41</v>
      </c>
    </row>
    <row r="89" spans="1:12" ht="51" x14ac:dyDescent="0.3">
      <c r="A89" s="156" t="s">
        <v>98</v>
      </c>
      <c r="B89" s="157" t="s">
        <v>498</v>
      </c>
      <c r="C89" s="157" t="s">
        <v>39</v>
      </c>
      <c r="D89" s="157" t="s">
        <v>505</v>
      </c>
      <c r="E89" s="158" t="s">
        <v>41</v>
      </c>
      <c r="F89" s="164" t="s">
        <v>28</v>
      </c>
      <c r="G89" s="164"/>
      <c r="H89" s="158" t="s">
        <v>27</v>
      </c>
      <c r="I89" s="165">
        <v>3170.46</v>
      </c>
      <c r="J89" s="165"/>
      <c r="K89" s="161" t="s">
        <v>22</v>
      </c>
      <c r="L89" s="162">
        <v>1927031.95</v>
      </c>
    </row>
    <row r="90" spans="1:12" ht="51" x14ac:dyDescent="0.3">
      <c r="A90" s="156" t="s">
        <v>98</v>
      </c>
      <c r="B90" s="157" t="s">
        <v>498</v>
      </c>
      <c r="C90" s="157" t="s">
        <v>39</v>
      </c>
      <c r="D90" s="157" t="s">
        <v>506</v>
      </c>
      <c r="E90" s="158" t="s">
        <v>41</v>
      </c>
      <c r="F90" s="164" t="s">
        <v>28</v>
      </c>
      <c r="G90" s="164"/>
      <c r="H90" s="158" t="s">
        <v>27</v>
      </c>
      <c r="I90" s="165">
        <v>19664.71</v>
      </c>
      <c r="J90" s="165"/>
      <c r="K90" s="161" t="s">
        <v>22</v>
      </c>
      <c r="L90" s="162">
        <v>1907367.24</v>
      </c>
    </row>
    <row r="91" spans="1:12" ht="51" x14ac:dyDescent="0.3">
      <c r="A91" s="156" t="s">
        <v>98</v>
      </c>
      <c r="B91" s="157" t="s">
        <v>498</v>
      </c>
      <c r="C91" s="157" t="s">
        <v>39</v>
      </c>
      <c r="D91" s="157" t="s">
        <v>507</v>
      </c>
      <c r="E91" s="158" t="s">
        <v>41</v>
      </c>
      <c r="F91" s="164" t="s">
        <v>28</v>
      </c>
      <c r="G91" s="164"/>
      <c r="H91" s="158" t="s">
        <v>27</v>
      </c>
      <c r="I91" s="165">
        <v>3600</v>
      </c>
      <c r="J91" s="165"/>
      <c r="K91" s="161" t="s">
        <v>22</v>
      </c>
      <c r="L91" s="162">
        <v>1903767.24</v>
      </c>
    </row>
    <row r="92" spans="1:12" ht="51" x14ac:dyDescent="0.3">
      <c r="A92" s="156" t="s">
        <v>98</v>
      </c>
      <c r="B92" s="157" t="s">
        <v>498</v>
      </c>
      <c r="C92" s="157" t="s">
        <v>39</v>
      </c>
      <c r="D92" s="157" t="s">
        <v>508</v>
      </c>
      <c r="E92" s="158" t="s">
        <v>41</v>
      </c>
      <c r="F92" s="164" t="s">
        <v>28</v>
      </c>
      <c r="G92" s="164"/>
      <c r="H92" s="158" t="s">
        <v>27</v>
      </c>
      <c r="I92" s="165">
        <v>2400</v>
      </c>
      <c r="J92" s="165"/>
      <c r="K92" s="161" t="s">
        <v>22</v>
      </c>
      <c r="L92" s="162">
        <v>1901367.24</v>
      </c>
    </row>
    <row r="93" spans="1:12" ht="51" x14ac:dyDescent="0.3">
      <c r="A93" s="156" t="s">
        <v>98</v>
      </c>
      <c r="B93" s="157" t="s">
        <v>498</v>
      </c>
      <c r="C93" s="157" t="s">
        <v>39</v>
      </c>
      <c r="D93" s="157" t="s">
        <v>509</v>
      </c>
      <c r="E93" s="158" t="s">
        <v>41</v>
      </c>
      <c r="F93" s="164" t="s">
        <v>28</v>
      </c>
      <c r="G93" s="164"/>
      <c r="H93" s="158" t="s">
        <v>27</v>
      </c>
      <c r="I93" s="165">
        <v>7200</v>
      </c>
      <c r="J93" s="165"/>
      <c r="K93" s="161" t="s">
        <v>22</v>
      </c>
      <c r="L93" s="162">
        <v>1894167.24</v>
      </c>
    </row>
    <row r="94" spans="1:12" ht="51" x14ac:dyDescent="0.3">
      <c r="A94" s="156" t="s">
        <v>98</v>
      </c>
      <c r="B94" s="157" t="s">
        <v>498</v>
      </c>
      <c r="C94" s="157" t="s">
        <v>39</v>
      </c>
      <c r="D94" s="157" t="s">
        <v>510</v>
      </c>
      <c r="E94" s="158" t="s">
        <v>41</v>
      </c>
      <c r="F94" s="164" t="s">
        <v>28</v>
      </c>
      <c r="G94" s="164"/>
      <c r="H94" s="158" t="s">
        <v>27</v>
      </c>
      <c r="I94" s="165">
        <v>8400</v>
      </c>
      <c r="J94" s="165"/>
      <c r="K94" s="161" t="s">
        <v>22</v>
      </c>
      <c r="L94" s="162">
        <v>1885767.24</v>
      </c>
    </row>
    <row r="95" spans="1:12" ht="51" x14ac:dyDescent="0.3">
      <c r="A95" s="156" t="s">
        <v>98</v>
      </c>
      <c r="B95" s="157" t="s">
        <v>498</v>
      </c>
      <c r="C95" s="157" t="s">
        <v>39</v>
      </c>
      <c r="D95" s="157" t="s">
        <v>511</v>
      </c>
      <c r="E95" s="158" t="s">
        <v>41</v>
      </c>
      <c r="F95" s="164" t="s">
        <v>28</v>
      </c>
      <c r="G95" s="164"/>
      <c r="H95" s="158" t="s">
        <v>27</v>
      </c>
      <c r="I95" s="165">
        <v>3100</v>
      </c>
      <c r="J95" s="165"/>
      <c r="K95" s="161" t="s">
        <v>22</v>
      </c>
      <c r="L95" s="162">
        <v>1882667.24</v>
      </c>
    </row>
    <row r="96" spans="1:12" ht="51" x14ac:dyDescent="0.3">
      <c r="A96" s="156" t="s">
        <v>98</v>
      </c>
      <c r="B96" s="157" t="s">
        <v>498</v>
      </c>
      <c r="C96" s="157" t="s">
        <v>39</v>
      </c>
      <c r="D96" s="157" t="s">
        <v>512</v>
      </c>
      <c r="E96" s="158" t="s">
        <v>41</v>
      </c>
      <c r="F96" s="164" t="s">
        <v>28</v>
      </c>
      <c r="G96" s="164"/>
      <c r="H96" s="158" t="s">
        <v>27</v>
      </c>
      <c r="I96" s="165">
        <v>1600</v>
      </c>
      <c r="J96" s="165"/>
      <c r="K96" s="161" t="s">
        <v>22</v>
      </c>
      <c r="L96" s="162">
        <v>1881067.24</v>
      </c>
    </row>
    <row r="97" spans="1:12" ht="51" x14ac:dyDescent="0.3">
      <c r="A97" s="156" t="s">
        <v>98</v>
      </c>
      <c r="B97" s="157" t="s">
        <v>498</v>
      </c>
      <c r="C97" s="157" t="s">
        <v>39</v>
      </c>
      <c r="D97" s="157" t="s">
        <v>513</v>
      </c>
      <c r="E97" s="158" t="s">
        <v>41</v>
      </c>
      <c r="F97" s="164" t="s">
        <v>28</v>
      </c>
      <c r="G97" s="164"/>
      <c r="H97" s="158" t="s">
        <v>27</v>
      </c>
      <c r="I97" s="165">
        <v>7760.62</v>
      </c>
      <c r="J97" s="165"/>
      <c r="K97" s="161" t="s">
        <v>22</v>
      </c>
      <c r="L97" s="162">
        <v>1873306.62</v>
      </c>
    </row>
    <row r="98" spans="1:12" ht="51" x14ac:dyDescent="0.3">
      <c r="A98" s="156" t="s">
        <v>98</v>
      </c>
      <c r="B98" s="157" t="s">
        <v>514</v>
      </c>
      <c r="C98" s="157" t="s">
        <v>39</v>
      </c>
      <c r="D98" s="157" t="s">
        <v>515</v>
      </c>
      <c r="E98" s="158" t="s">
        <v>41</v>
      </c>
      <c r="F98" s="164" t="s">
        <v>28</v>
      </c>
      <c r="G98" s="164"/>
      <c r="H98" s="158" t="s">
        <v>27</v>
      </c>
      <c r="I98" s="166">
        <v>624</v>
      </c>
      <c r="J98" s="166"/>
      <c r="K98" s="161" t="s">
        <v>22</v>
      </c>
      <c r="L98" s="162">
        <v>1872682.62</v>
      </c>
    </row>
    <row r="99" spans="1:12" ht="51" x14ac:dyDescent="0.3">
      <c r="A99" s="156" t="s">
        <v>98</v>
      </c>
      <c r="B99" s="157" t="s">
        <v>514</v>
      </c>
      <c r="C99" s="157" t="s">
        <v>39</v>
      </c>
      <c r="D99" s="157" t="s">
        <v>516</v>
      </c>
      <c r="E99" s="158" t="s">
        <v>41</v>
      </c>
      <c r="F99" s="164" t="s">
        <v>28</v>
      </c>
      <c r="G99" s="164"/>
      <c r="H99" s="158" t="s">
        <v>27</v>
      </c>
      <c r="I99" s="166">
        <v>232.5</v>
      </c>
      <c r="J99" s="166"/>
      <c r="K99" s="161" t="s">
        <v>22</v>
      </c>
      <c r="L99" s="162">
        <v>1872450.12</v>
      </c>
    </row>
    <row r="100" spans="1:12" ht="51" x14ac:dyDescent="0.3">
      <c r="A100" s="156" t="s">
        <v>98</v>
      </c>
      <c r="B100" s="157" t="s">
        <v>514</v>
      </c>
      <c r="C100" s="157" t="s">
        <v>39</v>
      </c>
      <c r="D100" s="157" t="s">
        <v>517</v>
      </c>
      <c r="E100" s="158" t="s">
        <v>41</v>
      </c>
      <c r="F100" s="164" t="s">
        <v>28</v>
      </c>
      <c r="G100" s="164"/>
      <c r="H100" s="158" t="s">
        <v>27</v>
      </c>
      <c r="I100" s="166">
        <v>162</v>
      </c>
      <c r="J100" s="166"/>
      <c r="K100" s="161" t="s">
        <v>22</v>
      </c>
      <c r="L100" s="162">
        <v>1872288.12</v>
      </c>
    </row>
    <row r="101" spans="1:12" ht="51" x14ac:dyDescent="0.3">
      <c r="A101" s="156" t="s">
        <v>98</v>
      </c>
      <c r="B101" s="157" t="s">
        <v>514</v>
      </c>
      <c r="C101" s="157" t="s">
        <v>39</v>
      </c>
      <c r="D101" s="157" t="s">
        <v>518</v>
      </c>
      <c r="E101" s="158" t="s">
        <v>41</v>
      </c>
      <c r="F101" s="164" t="s">
        <v>28</v>
      </c>
      <c r="G101" s="164"/>
      <c r="H101" s="158" t="s">
        <v>27</v>
      </c>
      <c r="I101" s="166">
        <v>201.03</v>
      </c>
      <c r="J101" s="166"/>
      <c r="K101" s="161" t="s">
        <v>22</v>
      </c>
      <c r="L101" s="162">
        <v>1872087.09</v>
      </c>
    </row>
    <row r="102" spans="1:12" ht="61.2" x14ac:dyDescent="0.3">
      <c r="A102" s="156" t="s">
        <v>98</v>
      </c>
      <c r="B102" s="157" t="s">
        <v>514</v>
      </c>
      <c r="C102" s="157" t="s">
        <v>39</v>
      </c>
      <c r="D102" s="157" t="s">
        <v>519</v>
      </c>
      <c r="E102" s="158" t="s">
        <v>41</v>
      </c>
      <c r="F102" s="164" t="s">
        <v>28</v>
      </c>
      <c r="G102" s="164"/>
      <c r="H102" s="158" t="s">
        <v>27</v>
      </c>
      <c r="I102" s="165">
        <v>12000</v>
      </c>
      <c r="J102" s="165"/>
      <c r="K102" s="161" t="s">
        <v>22</v>
      </c>
      <c r="L102" s="162">
        <v>1860087.09</v>
      </c>
    </row>
    <row r="103" spans="1:12" ht="61.2" x14ac:dyDescent="0.3">
      <c r="A103" s="156" t="s">
        <v>98</v>
      </c>
      <c r="B103" s="157" t="s">
        <v>514</v>
      </c>
      <c r="C103" s="157" t="s">
        <v>39</v>
      </c>
      <c r="D103" s="157" t="s">
        <v>520</v>
      </c>
      <c r="E103" s="158" t="s">
        <v>41</v>
      </c>
      <c r="F103" s="164" t="s">
        <v>28</v>
      </c>
      <c r="G103" s="164"/>
      <c r="H103" s="158" t="s">
        <v>27</v>
      </c>
      <c r="I103" s="165">
        <v>10800</v>
      </c>
      <c r="J103" s="165"/>
      <c r="K103" s="161" t="s">
        <v>22</v>
      </c>
      <c r="L103" s="162">
        <v>1849287.09</v>
      </c>
    </row>
    <row r="104" spans="1:12" ht="51" x14ac:dyDescent="0.3">
      <c r="A104" s="156" t="s">
        <v>98</v>
      </c>
      <c r="B104" s="157" t="s">
        <v>514</v>
      </c>
      <c r="C104" s="157" t="s">
        <v>39</v>
      </c>
      <c r="D104" s="157" t="s">
        <v>521</v>
      </c>
      <c r="E104" s="158" t="s">
        <v>41</v>
      </c>
      <c r="F104" s="164" t="s">
        <v>28</v>
      </c>
      <c r="G104" s="164"/>
      <c r="H104" s="158" t="s">
        <v>27</v>
      </c>
      <c r="I104" s="166">
        <v>244</v>
      </c>
      <c r="J104" s="166"/>
      <c r="K104" s="161" t="s">
        <v>22</v>
      </c>
      <c r="L104" s="162">
        <v>1849043.09</v>
      </c>
    </row>
    <row r="105" spans="1:12" ht="51" x14ac:dyDescent="0.3">
      <c r="A105" s="156" t="s">
        <v>98</v>
      </c>
      <c r="B105" s="157" t="s">
        <v>514</v>
      </c>
      <c r="C105" s="157" t="s">
        <v>39</v>
      </c>
      <c r="D105" s="157" t="s">
        <v>522</v>
      </c>
      <c r="E105" s="158" t="s">
        <v>41</v>
      </c>
      <c r="F105" s="164" t="s">
        <v>28</v>
      </c>
      <c r="G105" s="164"/>
      <c r="H105" s="158" t="s">
        <v>27</v>
      </c>
      <c r="I105" s="166">
        <v>370</v>
      </c>
      <c r="J105" s="166"/>
      <c r="K105" s="161" t="s">
        <v>22</v>
      </c>
      <c r="L105" s="162">
        <v>1848673.09</v>
      </c>
    </row>
    <row r="106" spans="1:12" ht="61.2" x14ac:dyDescent="0.3">
      <c r="A106" s="156" t="s">
        <v>98</v>
      </c>
      <c r="B106" s="157" t="s">
        <v>514</v>
      </c>
      <c r="C106" s="157" t="s">
        <v>39</v>
      </c>
      <c r="D106" s="157" t="s">
        <v>523</v>
      </c>
      <c r="E106" s="158" t="s">
        <v>41</v>
      </c>
      <c r="F106" s="164" t="s">
        <v>28</v>
      </c>
      <c r="G106" s="164"/>
      <c r="H106" s="158" t="s">
        <v>27</v>
      </c>
      <c r="I106" s="165">
        <v>5018.47</v>
      </c>
      <c r="J106" s="165"/>
      <c r="K106" s="161" t="s">
        <v>22</v>
      </c>
      <c r="L106" s="162">
        <v>1843654.62</v>
      </c>
    </row>
    <row r="107" spans="1:12" ht="61.2" x14ac:dyDescent="0.3">
      <c r="A107" s="156" t="s">
        <v>98</v>
      </c>
      <c r="B107" s="157" t="s">
        <v>514</v>
      </c>
      <c r="C107" s="157" t="s">
        <v>39</v>
      </c>
      <c r="D107" s="157" t="s">
        <v>524</v>
      </c>
      <c r="E107" s="158" t="s">
        <v>41</v>
      </c>
      <c r="F107" s="164" t="s">
        <v>28</v>
      </c>
      <c r="G107" s="164"/>
      <c r="H107" s="158" t="s">
        <v>27</v>
      </c>
      <c r="I107" s="165">
        <v>1996.53</v>
      </c>
      <c r="J107" s="165"/>
      <c r="K107" s="161" t="s">
        <v>22</v>
      </c>
      <c r="L107" s="162">
        <v>1841658.09</v>
      </c>
    </row>
    <row r="108" spans="1:12" ht="61.2" x14ac:dyDescent="0.3">
      <c r="A108" s="156" t="s">
        <v>98</v>
      </c>
      <c r="B108" s="157" t="s">
        <v>514</v>
      </c>
      <c r="C108" s="157" t="s">
        <v>39</v>
      </c>
      <c r="D108" s="157" t="s">
        <v>525</v>
      </c>
      <c r="E108" s="158" t="s">
        <v>41</v>
      </c>
      <c r="F108" s="164" t="s">
        <v>28</v>
      </c>
      <c r="G108" s="164"/>
      <c r="H108" s="158" t="s">
        <v>27</v>
      </c>
      <c r="I108" s="166">
        <v>855</v>
      </c>
      <c r="J108" s="166"/>
      <c r="K108" s="161" t="s">
        <v>22</v>
      </c>
      <c r="L108" s="162">
        <v>1840803.09</v>
      </c>
    </row>
    <row r="109" spans="1:12" ht="51" x14ac:dyDescent="0.3">
      <c r="A109" s="156" t="s">
        <v>98</v>
      </c>
      <c r="B109" s="157" t="s">
        <v>526</v>
      </c>
      <c r="C109" s="157" t="s">
        <v>39</v>
      </c>
      <c r="D109" s="157" t="s">
        <v>193</v>
      </c>
      <c r="E109" s="158" t="s">
        <v>41</v>
      </c>
      <c r="F109" s="164" t="s">
        <v>28</v>
      </c>
      <c r="G109" s="164"/>
      <c r="H109" s="158" t="s">
        <v>27</v>
      </c>
      <c r="I109" s="165">
        <v>3184.12</v>
      </c>
      <c r="J109" s="165"/>
      <c r="K109" s="161" t="s">
        <v>22</v>
      </c>
      <c r="L109" s="162">
        <v>1837618.97</v>
      </c>
    </row>
    <row r="110" spans="1:12" ht="51" x14ac:dyDescent="0.3">
      <c r="A110" s="156" t="s">
        <v>98</v>
      </c>
      <c r="B110" s="157" t="s">
        <v>527</v>
      </c>
      <c r="C110" s="157" t="s">
        <v>39</v>
      </c>
      <c r="D110" s="157" t="s">
        <v>193</v>
      </c>
      <c r="E110" s="158" t="s">
        <v>41</v>
      </c>
      <c r="F110" s="164" t="s">
        <v>28</v>
      </c>
      <c r="G110" s="164"/>
      <c r="H110" s="158" t="s">
        <v>27</v>
      </c>
      <c r="I110" s="165">
        <v>61533.18</v>
      </c>
      <c r="J110" s="165"/>
      <c r="K110" s="161" t="s">
        <v>22</v>
      </c>
      <c r="L110" s="162">
        <v>1776085.79</v>
      </c>
    </row>
    <row r="111" spans="1:12" hidden="1" x14ac:dyDescent="0.3">
      <c r="A111" s="167" t="s">
        <v>105</v>
      </c>
      <c r="B111" s="167"/>
      <c r="C111" s="167"/>
      <c r="D111" s="167"/>
      <c r="E111" s="168">
        <v>599018.04</v>
      </c>
      <c r="F111" s="168"/>
      <c r="G111" s="168"/>
      <c r="H111" s="168">
        <v>1095389.49</v>
      </c>
      <c r="I111" s="168"/>
      <c r="J111" s="168"/>
      <c r="K111" s="169" t="s">
        <v>22</v>
      </c>
      <c r="L111" s="170">
        <v>1776085.79</v>
      </c>
    </row>
    <row r="113" spans="10:10" x14ac:dyDescent="0.3">
      <c r="J113" s="1">
        <f>SUBTOTAL(9,I14:J110)</f>
        <v>1093725.4899999998</v>
      </c>
    </row>
  </sheetData>
  <autoFilter ref="A1:L111" xr:uid="{1BEF2991-B00D-4FB4-A525-299345A79550}">
    <filterColumn colId="1">
      <filters>
        <filter val="Вимога-накладна ІБ00-000255 від 03.04.2025 17:41:25_x000a_Списаны ТМЦ"/>
        <filter val="Вимога-накладна ІБ00-000260 від 03.04.2025 17:41:45_x000a_Списаны ТМЦ"/>
        <filter val="Вимога-накладна ІБ00-000287 від 29.04.2025 16:10:02_x000a_Списаны ТМЦ"/>
        <filter val="Вимога-накладна ІБ00-000323 від 30.04.2025 10:00:00_x000a_Списаны ТМЦ"/>
        <filter val="Вимога-накладна ІБ00-000324 від 30.04.2025 10:00:00_x000a_Списаны ТМЦ"/>
        <filter val="Вимога-накладна ІБ00-000329 від 30.04.2025 10:00:00_x000a_Списаны ТМЦ"/>
        <filter val="Вимога-накладна ІБ00-000330 від 30.04.2025 10:00:00_x000a_Списаны ТМЦ"/>
        <filter val="Вимога-накладна ІБ00-000340 від 30.04.2025 11:00:00_x000a_Списаны ТМЦ"/>
        <filter val="Вимога-накладна ІБ00-000342 від 30.04.2025 11:00:00_x000a_Списаны ТМЦ"/>
        <filter val="Списання товарів ІБ00-000210 від 29.04.2025 16:17:27_x000a_Списаны ТМЦ"/>
        <filter val="Списання товарів ІБ00-000223 від 30.04.2025 10:00:00_x000a_Списаны ТМЦ"/>
        <filter val="Списання товарів ІБ00-000224 від 30.04.2025 1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28">
    <mergeCell ref="F109:G109"/>
    <mergeCell ref="I109:J109"/>
    <mergeCell ref="F110:G110"/>
    <mergeCell ref="I110:J110"/>
    <mergeCell ref="A111:D111"/>
    <mergeCell ref="E111:G111"/>
    <mergeCell ref="H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EDA8-F0BB-4497-BFF9-FFF2C01C71B4}">
  <sheetPr filterMode="1"/>
  <dimension ref="A1:L59"/>
  <sheetViews>
    <sheetView topLeftCell="A51" workbookViewId="0">
      <selection activeCell="J59" sqref="J59"/>
    </sheetView>
  </sheetViews>
  <sheetFormatPr defaultRowHeight="14.4" x14ac:dyDescent="0.3"/>
  <cols>
    <col min="2" max="4" width="25.33203125" customWidth="1"/>
    <col min="10" max="10" width="9.88671875" bestFit="1" customWidth="1"/>
  </cols>
  <sheetData>
    <row r="1" spans="1:12" x14ac:dyDescent="0.3">
      <c r="A1" s="171" t="s">
        <v>14</v>
      </c>
      <c r="B1" s="172" t="s">
        <v>15</v>
      </c>
      <c r="C1" s="172" t="s">
        <v>16</v>
      </c>
      <c r="D1" s="173" t="s">
        <v>17</v>
      </c>
      <c r="E1" s="174" t="s">
        <v>18</v>
      </c>
      <c r="F1" s="174"/>
      <c r="G1" s="174"/>
      <c r="H1" s="175" t="s">
        <v>19</v>
      </c>
      <c r="I1" s="175"/>
      <c r="J1" s="175"/>
      <c r="K1" s="172" t="s">
        <v>20</v>
      </c>
      <c r="L1" s="172"/>
    </row>
    <row r="2" spans="1:12" hidden="1" x14ac:dyDescent="0.3">
      <c r="A2" s="176"/>
      <c r="B2" s="177"/>
      <c r="C2" s="177"/>
      <c r="D2" s="178"/>
      <c r="E2" s="179" t="s">
        <v>21</v>
      </c>
      <c r="F2" s="180"/>
      <c r="G2" s="180"/>
      <c r="H2" s="181" t="s">
        <v>21</v>
      </c>
      <c r="I2" s="182"/>
      <c r="J2" s="182"/>
      <c r="K2" s="176"/>
      <c r="L2" s="183"/>
    </row>
    <row r="3" spans="1:12" ht="61.2" hidden="1" x14ac:dyDescent="0.3">
      <c r="A3" s="184" t="s">
        <v>54</v>
      </c>
      <c r="B3" s="185" t="s">
        <v>528</v>
      </c>
      <c r="C3" s="185" t="s">
        <v>529</v>
      </c>
      <c r="D3" s="185" t="s">
        <v>530</v>
      </c>
      <c r="E3" s="186" t="s">
        <v>27</v>
      </c>
      <c r="F3" s="187">
        <v>2968.96</v>
      </c>
      <c r="G3" s="187"/>
      <c r="H3" s="186" t="s">
        <v>58</v>
      </c>
      <c r="I3" s="188" t="s">
        <v>28</v>
      </c>
      <c r="J3" s="188"/>
      <c r="K3" s="189" t="s">
        <v>22</v>
      </c>
      <c r="L3" s="190">
        <v>686671.68</v>
      </c>
    </row>
    <row r="4" spans="1:12" ht="71.400000000000006" hidden="1" x14ac:dyDescent="0.3">
      <c r="A4" s="184" t="s">
        <v>59</v>
      </c>
      <c r="B4" s="185" t="s">
        <v>531</v>
      </c>
      <c r="C4" s="185" t="s">
        <v>532</v>
      </c>
      <c r="D4" s="185" t="s">
        <v>533</v>
      </c>
      <c r="E4" s="186" t="s">
        <v>27</v>
      </c>
      <c r="F4" s="191">
        <v>193.83</v>
      </c>
      <c r="G4" s="191"/>
      <c r="H4" s="186" t="s">
        <v>58</v>
      </c>
      <c r="I4" s="188" t="s">
        <v>28</v>
      </c>
      <c r="J4" s="188"/>
      <c r="K4" s="189" t="s">
        <v>22</v>
      </c>
      <c r="L4" s="190">
        <v>686865.51</v>
      </c>
    </row>
    <row r="5" spans="1:12" ht="71.400000000000006" x14ac:dyDescent="0.3">
      <c r="A5" s="184" t="s">
        <v>98</v>
      </c>
      <c r="B5" s="185" t="s">
        <v>534</v>
      </c>
      <c r="C5" s="185" t="s">
        <v>39</v>
      </c>
      <c r="D5" s="185" t="s">
        <v>532</v>
      </c>
      <c r="E5" s="186" t="s">
        <v>41</v>
      </c>
      <c r="F5" s="192" t="s">
        <v>28</v>
      </c>
      <c r="G5" s="192"/>
      <c r="H5" s="186" t="s">
        <v>27</v>
      </c>
      <c r="I5" s="193">
        <v>193.83</v>
      </c>
      <c r="J5" s="193"/>
      <c r="K5" s="189" t="s">
        <v>22</v>
      </c>
      <c r="L5" s="190">
        <v>686671.68</v>
      </c>
    </row>
    <row r="6" spans="1:12" ht="51" hidden="1" x14ac:dyDescent="0.3">
      <c r="A6" s="184" t="s">
        <v>98</v>
      </c>
      <c r="B6" s="185" t="s">
        <v>535</v>
      </c>
      <c r="C6" s="185" t="s">
        <v>536</v>
      </c>
      <c r="D6" s="185" t="s">
        <v>281</v>
      </c>
      <c r="E6" s="186" t="s">
        <v>27</v>
      </c>
      <c r="F6" s="187">
        <v>24616</v>
      </c>
      <c r="G6" s="187"/>
      <c r="H6" s="186" t="s">
        <v>27</v>
      </c>
      <c r="I6" s="188" t="s">
        <v>28</v>
      </c>
      <c r="J6" s="188"/>
      <c r="K6" s="189" t="s">
        <v>22</v>
      </c>
      <c r="L6" s="190">
        <v>711287.68</v>
      </c>
    </row>
    <row r="7" spans="1:12" ht="51" hidden="1" x14ac:dyDescent="0.3">
      <c r="A7" s="184" t="s">
        <v>98</v>
      </c>
      <c r="B7" s="185" t="s">
        <v>462</v>
      </c>
      <c r="C7" s="185" t="s">
        <v>463</v>
      </c>
      <c r="D7" s="185" t="s">
        <v>464</v>
      </c>
      <c r="E7" s="186" t="s">
        <v>27</v>
      </c>
      <c r="F7" s="191">
        <v>269</v>
      </c>
      <c r="G7" s="191"/>
      <c r="H7" s="186" t="s">
        <v>27</v>
      </c>
      <c r="I7" s="188" t="s">
        <v>28</v>
      </c>
      <c r="J7" s="188"/>
      <c r="K7" s="189" t="s">
        <v>22</v>
      </c>
      <c r="L7" s="190">
        <v>711556.68</v>
      </c>
    </row>
    <row r="8" spans="1:12" ht="61.2" hidden="1" x14ac:dyDescent="0.3">
      <c r="A8" s="184" t="s">
        <v>98</v>
      </c>
      <c r="B8" s="185" t="s">
        <v>537</v>
      </c>
      <c r="C8" s="185" t="s">
        <v>536</v>
      </c>
      <c r="D8" s="185" t="s">
        <v>279</v>
      </c>
      <c r="E8" s="186" t="s">
        <v>27</v>
      </c>
      <c r="F8" s="187">
        <v>1846.2</v>
      </c>
      <c r="G8" s="187"/>
      <c r="H8" s="186" t="s">
        <v>27</v>
      </c>
      <c r="I8" s="188" t="s">
        <v>28</v>
      </c>
      <c r="J8" s="188"/>
      <c r="K8" s="189" t="s">
        <v>22</v>
      </c>
      <c r="L8" s="190">
        <v>713402.88</v>
      </c>
    </row>
    <row r="9" spans="1:12" ht="61.2" hidden="1" x14ac:dyDescent="0.3">
      <c r="A9" s="184" t="s">
        <v>98</v>
      </c>
      <c r="B9" s="185" t="s">
        <v>538</v>
      </c>
      <c r="C9" s="185" t="s">
        <v>539</v>
      </c>
      <c r="D9" s="185" t="s">
        <v>540</v>
      </c>
      <c r="E9" s="186" t="s">
        <v>27</v>
      </c>
      <c r="F9" s="187">
        <v>1029.2</v>
      </c>
      <c r="G9" s="187"/>
      <c r="H9" s="186" t="s">
        <v>27</v>
      </c>
      <c r="I9" s="188" t="s">
        <v>28</v>
      </c>
      <c r="J9" s="188"/>
      <c r="K9" s="189" t="s">
        <v>22</v>
      </c>
      <c r="L9" s="190">
        <v>714432.08</v>
      </c>
    </row>
    <row r="10" spans="1:12" ht="51" x14ac:dyDescent="0.3">
      <c r="A10" s="184" t="s">
        <v>98</v>
      </c>
      <c r="B10" s="185" t="s">
        <v>541</v>
      </c>
      <c r="C10" s="185" t="s">
        <v>39</v>
      </c>
      <c r="D10" s="185" t="s">
        <v>536</v>
      </c>
      <c r="E10" s="186" t="s">
        <v>41</v>
      </c>
      <c r="F10" s="192" t="s">
        <v>28</v>
      </c>
      <c r="G10" s="192"/>
      <c r="H10" s="186" t="s">
        <v>27</v>
      </c>
      <c r="I10" s="194">
        <v>24616</v>
      </c>
      <c r="J10" s="194"/>
      <c r="K10" s="189" t="s">
        <v>22</v>
      </c>
      <c r="L10" s="190">
        <v>689816.08</v>
      </c>
    </row>
    <row r="11" spans="1:12" ht="51" x14ac:dyDescent="0.3">
      <c r="A11" s="184" t="s">
        <v>98</v>
      </c>
      <c r="B11" s="185" t="s">
        <v>541</v>
      </c>
      <c r="C11" s="185" t="s">
        <v>39</v>
      </c>
      <c r="D11" s="185" t="s">
        <v>463</v>
      </c>
      <c r="E11" s="186" t="s">
        <v>41</v>
      </c>
      <c r="F11" s="192" t="s">
        <v>28</v>
      </c>
      <c r="G11" s="192"/>
      <c r="H11" s="186" t="s">
        <v>27</v>
      </c>
      <c r="I11" s="193">
        <v>269</v>
      </c>
      <c r="J11" s="193"/>
      <c r="K11" s="189" t="s">
        <v>22</v>
      </c>
      <c r="L11" s="190">
        <v>689547.08</v>
      </c>
    </row>
    <row r="12" spans="1:12" ht="51" x14ac:dyDescent="0.3">
      <c r="A12" s="184" t="s">
        <v>98</v>
      </c>
      <c r="B12" s="185" t="s">
        <v>541</v>
      </c>
      <c r="C12" s="185" t="s">
        <v>39</v>
      </c>
      <c r="D12" s="185" t="s">
        <v>536</v>
      </c>
      <c r="E12" s="186" t="s">
        <v>41</v>
      </c>
      <c r="F12" s="192" t="s">
        <v>28</v>
      </c>
      <c r="G12" s="192"/>
      <c r="H12" s="186" t="s">
        <v>27</v>
      </c>
      <c r="I12" s="194">
        <v>1846.2</v>
      </c>
      <c r="J12" s="194"/>
      <c r="K12" s="189" t="s">
        <v>22</v>
      </c>
      <c r="L12" s="190">
        <v>687700.88</v>
      </c>
    </row>
    <row r="13" spans="1:12" ht="51" x14ac:dyDescent="0.3">
      <c r="A13" s="184" t="s">
        <v>98</v>
      </c>
      <c r="B13" s="185" t="s">
        <v>541</v>
      </c>
      <c r="C13" s="185" t="s">
        <v>39</v>
      </c>
      <c r="D13" s="185" t="s">
        <v>539</v>
      </c>
      <c r="E13" s="186" t="s">
        <v>41</v>
      </c>
      <c r="F13" s="192" t="s">
        <v>28</v>
      </c>
      <c r="G13" s="192"/>
      <c r="H13" s="186" t="s">
        <v>27</v>
      </c>
      <c r="I13" s="194">
        <v>1029.2</v>
      </c>
      <c r="J13" s="194"/>
      <c r="K13" s="189" t="s">
        <v>22</v>
      </c>
      <c r="L13" s="190">
        <v>686671.68</v>
      </c>
    </row>
    <row r="14" spans="1:12" ht="81.599999999999994" x14ac:dyDescent="0.3">
      <c r="A14" s="184" t="s">
        <v>98</v>
      </c>
      <c r="B14" s="185" t="s">
        <v>542</v>
      </c>
      <c r="C14" s="185" t="s">
        <v>39</v>
      </c>
      <c r="D14" s="185" t="s">
        <v>543</v>
      </c>
      <c r="E14" s="186" t="s">
        <v>41</v>
      </c>
      <c r="F14" s="192" t="s">
        <v>28</v>
      </c>
      <c r="G14" s="192"/>
      <c r="H14" s="186" t="s">
        <v>27</v>
      </c>
      <c r="I14" s="194">
        <v>182232.82</v>
      </c>
      <c r="J14" s="194"/>
      <c r="K14" s="189" t="s">
        <v>22</v>
      </c>
      <c r="L14" s="190">
        <v>504438.86</v>
      </c>
    </row>
    <row r="15" spans="1:12" ht="61.2" x14ac:dyDescent="0.3">
      <c r="A15" s="184" t="s">
        <v>98</v>
      </c>
      <c r="B15" s="185" t="s">
        <v>542</v>
      </c>
      <c r="C15" s="185" t="s">
        <v>39</v>
      </c>
      <c r="D15" s="185" t="s">
        <v>544</v>
      </c>
      <c r="E15" s="186" t="s">
        <v>41</v>
      </c>
      <c r="F15" s="192" t="s">
        <v>28</v>
      </c>
      <c r="G15" s="192"/>
      <c r="H15" s="186" t="s">
        <v>27</v>
      </c>
      <c r="I15" s="193">
        <v>175</v>
      </c>
      <c r="J15" s="193"/>
      <c r="K15" s="189" t="s">
        <v>22</v>
      </c>
      <c r="L15" s="190">
        <v>504263.86</v>
      </c>
    </row>
    <row r="16" spans="1:12" ht="61.2" x14ac:dyDescent="0.3">
      <c r="A16" s="184" t="s">
        <v>98</v>
      </c>
      <c r="B16" s="185" t="s">
        <v>542</v>
      </c>
      <c r="C16" s="185" t="s">
        <v>39</v>
      </c>
      <c r="D16" s="185" t="s">
        <v>545</v>
      </c>
      <c r="E16" s="186" t="s">
        <v>41</v>
      </c>
      <c r="F16" s="192" t="s">
        <v>28</v>
      </c>
      <c r="G16" s="192"/>
      <c r="H16" s="186" t="s">
        <v>27</v>
      </c>
      <c r="I16" s="193">
        <v>921.6</v>
      </c>
      <c r="J16" s="193"/>
      <c r="K16" s="189" t="s">
        <v>22</v>
      </c>
      <c r="L16" s="190">
        <v>503342.26</v>
      </c>
    </row>
    <row r="17" spans="1:12" ht="61.2" x14ac:dyDescent="0.3">
      <c r="A17" s="184" t="s">
        <v>98</v>
      </c>
      <c r="B17" s="185" t="s">
        <v>542</v>
      </c>
      <c r="C17" s="185" t="s">
        <v>39</v>
      </c>
      <c r="D17" s="185" t="s">
        <v>546</v>
      </c>
      <c r="E17" s="186" t="s">
        <v>41</v>
      </c>
      <c r="F17" s="192" t="s">
        <v>28</v>
      </c>
      <c r="G17" s="192"/>
      <c r="H17" s="186" t="s">
        <v>27</v>
      </c>
      <c r="I17" s="193">
        <v>562.5</v>
      </c>
      <c r="J17" s="193"/>
      <c r="K17" s="189" t="s">
        <v>22</v>
      </c>
      <c r="L17" s="190">
        <v>502779.76</v>
      </c>
    </row>
    <row r="18" spans="1:12" ht="61.2" x14ac:dyDescent="0.3">
      <c r="A18" s="184" t="s">
        <v>98</v>
      </c>
      <c r="B18" s="185" t="s">
        <v>542</v>
      </c>
      <c r="C18" s="185" t="s">
        <v>39</v>
      </c>
      <c r="D18" s="185" t="s">
        <v>547</v>
      </c>
      <c r="E18" s="186" t="s">
        <v>41</v>
      </c>
      <c r="F18" s="192" t="s">
        <v>28</v>
      </c>
      <c r="G18" s="192"/>
      <c r="H18" s="186" t="s">
        <v>27</v>
      </c>
      <c r="I18" s="193">
        <v>975</v>
      </c>
      <c r="J18" s="193"/>
      <c r="K18" s="189" t="s">
        <v>22</v>
      </c>
      <c r="L18" s="190">
        <v>501804.76</v>
      </c>
    </row>
    <row r="19" spans="1:12" ht="61.2" x14ac:dyDescent="0.3">
      <c r="A19" s="184" t="s">
        <v>98</v>
      </c>
      <c r="B19" s="185" t="s">
        <v>542</v>
      </c>
      <c r="C19" s="185" t="s">
        <v>39</v>
      </c>
      <c r="D19" s="185" t="s">
        <v>548</v>
      </c>
      <c r="E19" s="186" t="s">
        <v>41</v>
      </c>
      <c r="F19" s="192" t="s">
        <v>28</v>
      </c>
      <c r="G19" s="192"/>
      <c r="H19" s="186" t="s">
        <v>27</v>
      </c>
      <c r="I19" s="193">
        <v>567.34</v>
      </c>
      <c r="J19" s="193"/>
      <c r="K19" s="189" t="s">
        <v>22</v>
      </c>
      <c r="L19" s="190">
        <v>501237.42</v>
      </c>
    </row>
    <row r="20" spans="1:12" ht="61.2" x14ac:dyDescent="0.3">
      <c r="A20" s="184" t="s">
        <v>98</v>
      </c>
      <c r="B20" s="185" t="s">
        <v>542</v>
      </c>
      <c r="C20" s="185" t="s">
        <v>39</v>
      </c>
      <c r="D20" s="185" t="s">
        <v>549</v>
      </c>
      <c r="E20" s="186" t="s">
        <v>41</v>
      </c>
      <c r="F20" s="192" t="s">
        <v>28</v>
      </c>
      <c r="G20" s="192"/>
      <c r="H20" s="186" t="s">
        <v>27</v>
      </c>
      <c r="I20" s="193">
        <v>600</v>
      </c>
      <c r="J20" s="193"/>
      <c r="K20" s="189" t="s">
        <v>22</v>
      </c>
      <c r="L20" s="190">
        <v>500637.42</v>
      </c>
    </row>
    <row r="21" spans="1:12" ht="61.2" x14ac:dyDescent="0.3">
      <c r="A21" s="184" t="s">
        <v>98</v>
      </c>
      <c r="B21" s="185" t="s">
        <v>542</v>
      </c>
      <c r="C21" s="185" t="s">
        <v>39</v>
      </c>
      <c r="D21" s="185" t="s">
        <v>550</v>
      </c>
      <c r="E21" s="186" t="s">
        <v>41</v>
      </c>
      <c r="F21" s="192" t="s">
        <v>28</v>
      </c>
      <c r="G21" s="192"/>
      <c r="H21" s="186" t="s">
        <v>27</v>
      </c>
      <c r="I21" s="194">
        <v>2150</v>
      </c>
      <c r="J21" s="194"/>
      <c r="K21" s="189" t="s">
        <v>22</v>
      </c>
      <c r="L21" s="190">
        <v>498487.42</v>
      </c>
    </row>
    <row r="22" spans="1:12" ht="61.2" x14ac:dyDescent="0.3">
      <c r="A22" s="184" t="s">
        <v>98</v>
      </c>
      <c r="B22" s="185" t="s">
        <v>542</v>
      </c>
      <c r="C22" s="185" t="s">
        <v>39</v>
      </c>
      <c r="D22" s="185" t="s">
        <v>551</v>
      </c>
      <c r="E22" s="186" t="s">
        <v>41</v>
      </c>
      <c r="F22" s="192" t="s">
        <v>28</v>
      </c>
      <c r="G22" s="192"/>
      <c r="H22" s="186" t="s">
        <v>27</v>
      </c>
      <c r="I22" s="194">
        <v>2166</v>
      </c>
      <c r="J22" s="194"/>
      <c r="K22" s="189" t="s">
        <v>22</v>
      </c>
      <c r="L22" s="190">
        <v>496321.42</v>
      </c>
    </row>
    <row r="23" spans="1:12" ht="71.400000000000006" x14ac:dyDescent="0.3">
      <c r="A23" s="184" t="s">
        <v>98</v>
      </c>
      <c r="B23" s="185" t="s">
        <v>542</v>
      </c>
      <c r="C23" s="185" t="s">
        <v>39</v>
      </c>
      <c r="D23" s="185" t="s">
        <v>552</v>
      </c>
      <c r="E23" s="186" t="s">
        <v>41</v>
      </c>
      <c r="F23" s="192" t="s">
        <v>28</v>
      </c>
      <c r="G23" s="192"/>
      <c r="H23" s="186" t="s">
        <v>27</v>
      </c>
      <c r="I23" s="194">
        <v>46992</v>
      </c>
      <c r="J23" s="194"/>
      <c r="K23" s="189" t="s">
        <v>22</v>
      </c>
      <c r="L23" s="190">
        <v>449329.42</v>
      </c>
    </row>
    <row r="24" spans="1:12" ht="71.400000000000006" x14ac:dyDescent="0.3">
      <c r="A24" s="184" t="s">
        <v>98</v>
      </c>
      <c r="B24" s="185" t="s">
        <v>542</v>
      </c>
      <c r="C24" s="185" t="s">
        <v>39</v>
      </c>
      <c r="D24" s="185" t="s">
        <v>553</v>
      </c>
      <c r="E24" s="186" t="s">
        <v>41</v>
      </c>
      <c r="F24" s="192" t="s">
        <v>28</v>
      </c>
      <c r="G24" s="192"/>
      <c r="H24" s="186" t="s">
        <v>27</v>
      </c>
      <c r="I24" s="194">
        <v>72980</v>
      </c>
      <c r="J24" s="194"/>
      <c r="K24" s="189" t="s">
        <v>22</v>
      </c>
      <c r="L24" s="190">
        <v>376349.42</v>
      </c>
    </row>
    <row r="25" spans="1:12" ht="71.400000000000006" x14ac:dyDescent="0.3">
      <c r="A25" s="184" t="s">
        <v>98</v>
      </c>
      <c r="B25" s="185" t="s">
        <v>542</v>
      </c>
      <c r="C25" s="185" t="s">
        <v>39</v>
      </c>
      <c r="D25" s="185" t="s">
        <v>554</v>
      </c>
      <c r="E25" s="186" t="s">
        <v>41</v>
      </c>
      <c r="F25" s="192" t="s">
        <v>28</v>
      </c>
      <c r="G25" s="192"/>
      <c r="H25" s="186" t="s">
        <v>27</v>
      </c>
      <c r="I25" s="194">
        <v>36045</v>
      </c>
      <c r="J25" s="194"/>
      <c r="K25" s="189" t="s">
        <v>22</v>
      </c>
      <c r="L25" s="190">
        <v>340304.42</v>
      </c>
    </row>
    <row r="26" spans="1:12" ht="71.400000000000006" x14ac:dyDescent="0.3">
      <c r="A26" s="184" t="s">
        <v>98</v>
      </c>
      <c r="B26" s="185" t="s">
        <v>542</v>
      </c>
      <c r="C26" s="185" t="s">
        <v>39</v>
      </c>
      <c r="D26" s="185" t="s">
        <v>555</v>
      </c>
      <c r="E26" s="186" t="s">
        <v>41</v>
      </c>
      <c r="F26" s="192" t="s">
        <v>28</v>
      </c>
      <c r="G26" s="192"/>
      <c r="H26" s="186" t="s">
        <v>27</v>
      </c>
      <c r="I26" s="194">
        <v>36967.26</v>
      </c>
      <c r="J26" s="194"/>
      <c r="K26" s="189" t="s">
        <v>22</v>
      </c>
      <c r="L26" s="190">
        <v>303337.15999999997</v>
      </c>
    </row>
    <row r="27" spans="1:12" ht="71.400000000000006" x14ac:dyDescent="0.3">
      <c r="A27" s="184" t="s">
        <v>98</v>
      </c>
      <c r="B27" s="185" t="s">
        <v>542</v>
      </c>
      <c r="C27" s="185" t="s">
        <v>39</v>
      </c>
      <c r="D27" s="185" t="s">
        <v>556</v>
      </c>
      <c r="E27" s="186" t="s">
        <v>41</v>
      </c>
      <c r="F27" s="192" t="s">
        <v>28</v>
      </c>
      <c r="G27" s="192"/>
      <c r="H27" s="186" t="s">
        <v>27</v>
      </c>
      <c r="I27" s="194">
        <v>60281.93</v>
      </c>
      <c r="J27" s="194"/>
      <c r="K27" s="189" t="s">
        <v>22</v>
      </c>
      <c r="L27" s="190">
        <v>243055.23</v>
      </c>
    </row>
    <row r="28" spans="1:12" ht="71.400000000000006" x14ac:dyDescent="0.3">
      <c r="A28" s="184" t="s">
        <v>98</v>
      </c>
      <c r="B28" s="185" t="s">
        <v>542</v>
      </c>
      <c r="C28" s="185" t="s">
        <v>39</v>
      </c>
      <c r="D28" s="185" t="s">
        <v>557</v>
      </c>
      <c r="E28" s="186" t="s">
        <v>41</v>
      </c>
      <c r="F28" s="192" t="s">
        <v>28</v>
      </c>
      <c r="G28" s="192"/>
      <c r="H28" s="186" t="s">
        <v>27</v>
      </c>
      <c r="I28" s="194">
        <v>25519.64</v>
      </c>
      <c r="J28" s="194"/>
      <c r="K28" s="189" t="s">
        <v>22</v>
      </c>
      <c r="L28" s="190">
        <v>217535.59</v>
      </c>
    </row>
    <row r="29" spans="1:12" ht="71.400000000000006" x14ac:dyDescent="0.3">
      <c r="A29" s="184" t="s">
        <v>98</v>
      </c>
      <c r="B29" s="185" t="s">
        <v>542</v>
      </c>
      <c r="C29" s="185" t="s">
        <v>39</v>
      </c>
      <c r="D29" s="185" t="s">
        <v>558</v>
      </c>
      <c r="E29" s="186" t="s">
        <v>41</v>
      </c>
      <c r="F29" s="192" t="s">
        <v>28</v>
      </c>
      <c r="G29" s="192"/>
      <c r="H29" s="186" t="s">
        <v>27</v>
      </c>
      <c r="I29" s="194">
        <v>4594.63</v>
      </c>
      <c r="J29" s="194"/>
      <c r="K29" s="189" t="s">
        <v>22</v>
      </c>
      <c r="L29" s="190">
        <v>212940.96</v>
      </c>
    </row>
    <row r="30" spans="1:12" ht="71.400000000000006" x14ac:dyDescent="0.3">
      <c r="A30" s="184" t="s">
        <v>98</v>
      </c>
      <c r="B30" s="185" t="s">
        <v>542</v>
      </c>
      <c r="C30" s="185" t="s">
        <v>39</v>
      </c>
      <c r="D30" s="185" t="s">
        <v>559</v>
      </c>
      <c r="E30" s="186" t="s">
        <v>41</v>
      </c>
      <c r="F30" s="192" t="s">
        <v>28</v>
      </c>
      <c r="G30" s="192"/>
      <c r="H30" s="186" t="s">
        <v>27</v>
      </c>
      <c r="I30" s="194">
        <v>4673.6099999999997</v>
      </c>
      <c r="J30" s="194"/>
      <c r="K30" s="189" t="s">
        <v>22</v>
      </c>
      <c r="L30" s="190">
        <v>208267.35</v>
      </c>
    </row>
    <row r="31" spans="1:12" ht="71.400000000000006" x14ac:dyDescent="0.3">
      <c r="A31" s="184" t="s">
        <v>98</v>
      </c>
      <c r="B31" s="185" t="s">
        <v>542</v>
      </c>
      <c r="C31" s="185" t="s">
        <v>39</v>
      </c>
      <c r="D31" s="185" t="s">
        <v>560</v>
      </c>
      <c r="E31" s="186" t="s">
        <v>41</v>
      </c>
      <c r="F31" s="192" t="s">
        <v>28</v>
      </c>
      <c r="G31" s="192"/>
      <c r="H31" s="186" t="s">
        <v>27</v>
      </c>
      <c r="I31" s="194">
        <v>23935.93</v>
      </c>
      <c r="J31" s="194"/>
      <c r="K31" s="189" t="s">
        <v>22</v>
      </c>
      <c r="L31" s="190">
        <v>184331.42</v>
      </c>
    </row>
    <row r="32" spans="1:12" ht="71.400000000000006" x14ac:dyDescent="0.3">
      <c r="A32" s="184" t="s">
        <v>98</v>
      </c>
      <c r="B32" s="185" t="s">
        <v>542</v>
      </c>
      <c r="C32" s="185" t="s">
        <v>39</v>
      </c>
      <c r="D32" s="185" t="s">
        <v>561</v>
      </c>
      <c r="E32" s="186" t="s">
        <v>41</v>
      </c>
      <c r="F32" s="192" t="s">
        <v>28</v>
      </c>
      <c r="G32" s="192"/>
      <c r="H32" s="186" t="s">
        <v>27</v>
      </c>
      <c r="I32" s="194">
        <v>44607.87</v>
      </c>
      <c r="J32" s="194"/>
      <c r="K32" s="189" t="s">
        <v>22</v>
      </c>
      <c r="L32" s="190">
        <v>139723.54999999999</v>
      </c>
    </row>
    <row r="33" spans="1:12" ht="71.400000000000006" x14ac:dyDescent="0.3">
      <c r="A33" s="184" t="s">
        <v>98</v>
      </c>
      <c r="B33" s="185" t="s">
        <v>542</v>
      </c>
      <c r="C33" s="185" t="s">
        <v>39</v>
      </c>
      <c r="D33" s="185" t="s">
        <v>562</v>
      </c>
      <c r="E33" s="186" t="s">
        <v>41</v>
      </c>
      <c r="F33" s="192" t="s">
        <v>28</v>
      </c>
      <c r="G33" s="192"/>
      <c r="H33" s="186" t="s">
        <v>27</v>
      </c>
      <c r="I33" s="194">
        <v>14687.96</v>
      </c>
      <c r="J33" s="194"/>
      <c r="K33" s="189" t="s">
        <v>22</v>
      </c>
      <c r="L33" s="190">
        <v>125035.59</v>
      </c>
    </row>
    <row r="34" spans="1:12" ht="71.400000000000006" x14ac:dyDescent="0.3">
      <c r="A34" s="184" t="s">
        <v>98</v>
      </c>
      <c r="B34" s="185" t="s">
        <v>542</v>
      </c>
      <c r="C34" s="185" t="s">
        <v>39</v>
      </c>
      <c r="D34" s="185" t="s">
        <v>563</v>
      </c>
      <c r="E34" s="186" t="s">
        <v>41</v>
      </c>
      <c r="F34" s="192" t="s">
        <v>28</v>
      </c>
      <c r="G34" s="192"/>
      <c r="H34" s="186" t="s">
        <v>27</v>
      </c>
      <c r="I34" s="194">
        <v>3966.66</v>
      </c>
      <c r="J34" s="194"/>
      <c r="K34" s="189" t="s">
        <v>22</v>
      </c>
      <c r="L34" s="190">
        <v>121068.93</v>
      </c>
    </row>
    <row r="35" spans="1:12" ht="71.400000000000006" x14ac:dyDescent="0.3">
      <c r="A35" s="184" t="s">
        <v>98</v>
      </c>
      <c r="B35" s="185" t="s">
        <v>542</v>
      </c>
      <c r="C35" s="185" t="s">
        <v>39</v>
      </c>
      <c r="D35" s="185" t="s">
        <v>564</v>
      </c>
      <c r="E35" s="186" t="s">
        <v>41</v>
      </c>
      <c r="F35" s="192" t="s">
        <v>28</v>
      </c>
      <c r="G35" s="192"/>
      <c r="H35" s="186" t="s">
        <v>27</v>
      </c>
      <c r="I35" s="194">
        <v>2833.33</v>
      </c>
      <c r="J35" s="194"/>
      <c r="K35" s="189" t="s">
        <v>22</v>
      </c>
      <c r="L35" s="190">
        <v>118235.6</v>
      </c>
    </row>
    <row r="36" spans="1:12" ht="71.400000000000006" x14ac:dyDescent="0.3">
      <c r="A36" s="184" t="s">
        <v>98</v>
      </c>
      <c r="B36" s="185" t="s">
        <v>542</v>
      </c>
      <c r="C36" s="185" t="s">
        <v>39</v>
      </c>
      <c r="D36" s="185" t="s">
        <v>565</v>
      </c>
      <c r="E36" s="186" t="s">
        <v>41</v>
      </c>
      <c r="F36" s="192" t="s">
        <v>28</v>
      </c>
      <c r="G36" s="192"/>
      <c r="H36" s="186" t="s">
        <v>27</v>
      </c>
      <c r="I36" s="194">
        <v>4034.65</v>
      </c>
      <c r="J36" s="194"/>
      <c r="K36" s="189" t="s">
        <v>22</v>
      </c>
      <c r="L36" s="190">
        <v>114200.95</v>
      </c>
    </row>
    <row r="37" spans="1:12" ht="71.400000000000006" x14ac:dyDescent="0.3">
      <c r="A37" s="184" t="s">
        <v>98</v>
      </c>
      <c r="B37" s="185" t="s">
        <v>542</v>
      </c>
      <c r="C37" s="185" t="s">
        <v>39</v>
      </c>
      <c r="D37" s="185" t="s">
        <v>566</v>
      </c>
      <c r="E37" s="186" t="s">
        <v>41</v>
      </c>
      <c r="F37" s="192" t="s">
        <v>28</v>
      </c>
      <c r="G37" s="192"/>
      <c r="H37" s="186" t="s">
        <v>27</v>
      </c>
      <c r="I37" s="194">
        <v>3445.32</v>
      </c>
      <c r="J37" s="194"/>
      <c r="K37" s="189" t="s">
        <v>22</v>
      </c>
      <c r="L37" s="190">
        <v>110755.63</v>
      </c>
    </row>
    <row r="38" spans="1:12" ht="71.400000000000006" x14ac:dyDescent="0.3">
      <c r="A38" s="184" t="s">
        <v>98</v>
      </c>
      <c r="B38" s="185" t="s">
        <v>542</v>
      </c>
      <c r="C38" s="185" t="s">
        <v>39</v>
      </c>
      <c r="D38" s="185" t="s">
        <v>567</v>
      </c>
      <c r="E38" s="186" t="s">
        <v>41</v>
      </c>
      <c r="F38" s="192" t="s">
        <v>28</v>
      </c>
      <c r="G38" s="192"/>
      <c r="H38" s="186" t="s">
        <v>27</v>
      </c>
      <c r="I38" s="194">
        <v>2901.32</v>
      </c>
      <c r="J38" s="194"/>
      <c r="K38" s="189" t="s">
        <v>22</v>
      </c>
      <c r="L38" s="190">
        <v>107854.31</v>
      </c>
    </row>
    <row r="39" spans="1:12" ht="61.2" x14ac:dyDescent="0.3">
      <c r="A39" s="184" t="s">
        <v>98</v>
      </c>
      <c r="B39" s="185" t="s">
        <v>542</v>
      </c>
      <c r="C39" s="185" t="s">
        <v>39</v>
      </c>
      <c r="D39" s="185" t="s">
        <v>545</v>
      </c>
      <c r="E39" s="186" t="s">
        <v>41</v>
      </c>
      <c r="F39" s="192" t="s">
        <v>28</v>
      </c>
      <c r="G39" s="192"/>
      <c r="H39" s="186" t="s">
        <v>27</v>
      </c>
      <c r="I39" s="193">
        <v>153.6</v>
      </c>
      <c r="J39" s="193"/>
      <c r="K39" s="189" t="s">
        <v>22</v>
      </c>
      <c r="L39" s="190">
        <v>107700.71</v>
      </c>
    </row>
    <row r="40" spans="1:12" ht="61.2" x14ac:dyDescent="0.3">
      <c r="A40" s="184" t="s">
        <v>98</v>
      </c>
      <c r="B40" s="185" t="s">
        <v>542</v>
      </c>
      <c r="C40" s="185" t="s">
        <v>39</v>
      </c>
      <c r="D40" s="185" t="s">
        <v>568</v>
      </c>
      <c r="E40" s="186" t="s">
        <v>41</v>
      </c>
      <c r="F40" s="192" t="s">
        <v>28</v>
      </c>
      <c r="G40" s="192"/>
      <c r="H40" s="186" t="s">
        <v>27</v>
      </c>
      <c r="I40" s="194">
        <v>1106.4000000000001</v>
      </c>
      <c r="J40" s="194"/>
      <c r="K40" s="189" t="s">
        <v>22</v>
      </c>
      <c r="L40" s="190">
        <v>106594.31</v>
      </c>
    </row>
    <row r="41" spans="1:12" ht="61.2" x14ac:dyDescent="0.3">
      <c r="A41" s="184" t="s">
        <v>98</v>
      </c>
      <c r="B41" s="185" t="s">
        <v>542</v>
      </c>
      <c r="C41" s="185" t="s">
        <v>39</v>
      </c>
      <c r="D41" s="185" t="s">
        <v>548</v>
      </c>
      <c r="E41" s="186" t="s">
        <v>41</v>
      </c>
      <c r="F41" s="192" t="s">
        <v>28</v>
      </c>
      <c r="G41" s="192"/>
      <c r="H41" s="186" t="s">
        <v>27</v>
      </c>
      <c r="I41" s="194">
        <v>5957.07</v>
      </c>
      <c r="J41" s="194"/>
      <c r="K41" s="189" t="s">
        <v>22</v>
      </c>
      <c r="L41" s="190">
        <v>100637.24</v>
      </c>
    </row>
    <row r="42" spans="1:12" ht="61.2" x14ac:dyDescent="0.3">
      <c r="A42" s="184" t="s">
        <v>98</v>
      </c>
      <c r="B42" s="185" t="s">
        <v>542</v>
      </c>
      <c r="C42" s="185" t="s">
        <v>39</v>
      </c>
      <c r="D42" s="185" t="s">
        <v>569</v>
      </c>
      <c r="E42" s="186" t="s">
        <v>41</v>
      </c>
      <c r="F42" s="192" t="s">
        <v>28</v>
      </c>
      <c r="G42" s="192"/>
      <c r="H42" s="186" t="s">
        <v>27</v>
      </c>
      <c r="I42" s="193">
        <v>680.8</v>
      </c>
      <c r="J42" s="193"/>
      <c r="K42" s="189" t="s">
        <v>22</v>
      </c>
      <c r="L42" s="190">
        <v>99956.44</v>
      </c>
    </row>
    <row r="43" spans="1:12" ht="61.2" x14ac:dyDescent="0.3">
      <c r="A43" s="184" t="s">
        <v>98</v>
      </c>
      <c r="B43" s="185" t="s">
        <v>542</v>
      </c>
      <c r="C43" s="185" t="s">
        <v>39</v>
      </c>
      <c r="D43" s="185" t="s">
        <v>570</v>
      </c>
      <c r="E43" s="186" t="s">
        <v>41</v>
      </c>
      <c r="F43" s="192" t="s">
        <v>28</v>
      </c>
      <c r="G43" s="192"/>
      <c r="H43" s="186" t="s">
        <v>27</v>
      </c>
      <c r="I43" s="194">
        <v>3225</v>
      </c>
      <c r="J43" s="194"/>
      <c r="K43" s="189" t="s">
        <v>22</v>
      </c>
      <c r="L43" s="190">
        <v>96731.44</v>
      </c>
    </row>
    <row r="44" spans="1:12" ht="61.2" x14ac:dyDescent="0.3">
      <c r="A44" s="184" t="s">
        <v>98</v>
      </c>
      <c r="B44" s="185" t="s">
        <v>542</v>
      </c>
      <c r="C44" s="185" t="s">
        <v>39</v>
      </c>
      <c r="D44" s="185" t="s">
        <v>551</v>
      </c>
      <c r="E44" s="186" t="s">
        <v>41</v>
      </c>
      <c r="F44" s="192" t="s">
        <v>28</v>
      </c>
      <c r="G44" s="192"/>
      <c r="H44" s="186" t="s">
        <v>27</v>
      </c>
      <c r="I44" s="194">
        <v>2166</v>
      </c>
      <c r="J44" s="194"/>
      <c r="K44" s="189" t="s">
        <v>22</v>
      </c>
      <c r="L44" s="190">
        <v>94565.440000000002</v>
      </c>
    </row>
    <row r="45" spans="1:12" ht="71.400000000000006" x14ac:dyDescent="0.3">
      <c r="A45" s="184" t="s">
        <v>98</v>
      </c>
      <c r="B45" s="185" t="s">
        <v>542</v>
      </c>
      <c r="C45" s="185" t="s">
        <v>39</v>
      </c>
      <c r="D45" s="185" t="s">
        <v>571</v>
      </c>
      <c r="E45" s="186" t="s">
        <v>41</v>
      </c>
      <c r="F45" s="192" t="s">
        <v>28</v>
      </c>
      <c r="G45" s="192"/>
      <c r="H45" s="186" t="s">
        <v>27</v>
      </c>
      <c r="I45" s="194">
        <v>52700.14</v>
      </c>
      <c r="J45" s="194"/>
      <c r="K45" s="189" t="s">
        <v>22</v>
      </c>
      <c r="L45" s="190">
        <v>41865.300000000003</v>
      </c>
    </row>
    <row r="46" spans="1:12" ht="61.2" x14ac:dyDescent="0.3">
      <c r="A46" s="184" t="s">
        <v>98</v>
      </c>
      <c r="B46" s="185" t="s">
        <v>542</v>
      </c>
      <c r="C46" s="185" t="s">
        <v>39</v>
      </c>
      <c r="D46" s="185" t="s">
        <v>568</v>
      </c>
      <c r="E46" s="186" t="s">
        <v>41</v>
      </c>
      <c r="F46" s="192" t="s">
        <v>28</v>
      </c>
      <c r="G46" s="192"/>
      <c r="H46" s="186" t="s">
        <v>27</v>
      </c>
      <c r="I46" s="193">
        <v>184.4</v>
      </c>
      <c r="J46" s="193"/>
      <c r="K46" s="189" t="s">
        <v>22</v>
      </c>
      <c r="L46" s="190">
        <v>41680.9</v>
      </c>
    </row>
    <row r="47" spans="1:12" ht="61.2" x14ac:dyDescent="0.3">
      <c r="A47" s="184" t="s">
        <v>98</v>
      </c>
      <c r="B47" s="185" t="s">
        <v>542</v>
      </c>
      <c r="C47" s="185" t="s">
        <v>39</v>
      </c>
      <c r="D47" s="185" t="s">
        <v>569</v>
      </c>
      <c r="E47" s="186" t="s">
        <v>41</v>
      </c>
      <c r="F47" s="192" t="s">
        <v>28</v>
      </c>
      <c r="G47" s="192"/>
      <c r="H47" s="186" t="s">
        <v>27</v>
      </c>
      <c r="I47" s="194">
        <v>1021.2</v>
      </c>
      <c r="J47" s="194"/>
      <c r="K47" s="189" t="s">
        <v>22</v>
      </c>
      <c r="L47" s="190">
        <v>40659.699999999997</v>
      </c>
    </row>
    <row r="48" spans="1:12" ht="51" x14ac:dyDescent="0.3">
      <c r="A48" s="184" t="s">
        <v>98</v>
      </c>
      <c r="B48" s="185" t="s">
        <v>572</v>
      </c>
      <c r="C48" s="185" t="s">
        <v>39</v>
      </c>
      <c r="D48" s="185" t="s">
        <v>573</v>
      </c>
      <c r="E48" s="186" t="s">
        <v>41</v>
      </c>
      <c r="F48" s="192" t="s">
        <v>28</v>
      </c>
      <c r="G48" s="192"/>
      <c r="H48" s="186" t="s">
        <v>27</v>
      </c>
      <c r="I48" s="194">
        <v>1173.7</v>
      </c>
      <c r="J48" s="194"/>
      <c r="K48" s="189" t="s">
        <v>22</v>
      </c>
      <c r="L48" s="190">
        <v>39486</v>
      </c>
    </row>
    <row r="49" spans="1:12" ht="51" x14ac:dyDescent="0.3">
      <c r="A49" s="184" t="s">
        <v>98</v>
      </c>
      <c r="B49" s="185" t="s">
        <v>572</v>
      </c>
      <c r="C49" s="185" t="s">
        <v>39</v>
      </c>
      <c r="D49" s="185" t="s">
        <v>574</v>
      </c>
      <c r="E49" s="186" t="s">
        <v>41</v>
      </c>
      <c r="F49" s="192" t="s">
        <v>28</v>
      </c>
      <c r="G49" s="192"/>
      <c r="H49" s="186" t="s">
        <v>27</v>
      </c>
      <c r="I49" s="193">
        <v>427.5</v>
      </c>
      <c r="J49" s="193"/>
      <c r="K49" s="189" t="s">
        <v>22</v>
      </c>
      <c r="L49" s="190">
        <v>39058.5</v>
      </c>
    </row>
    <row r="50" spans="1:12" ht="51" x14ac:dyDescent="0.3">
      <c r="A50" s="184" t="s">
        <v>98</v>
      </c>
      <c r="B50" s="185" t="s">
        <v>575</v>
      </c>
      <c r="C50" s="185" t="s">
        <v>39</v>
      </c>
      <c r="D50" s="185" t="s">
        <v>576</v>
      </c>
      <c r="E50" s="186" t="s">
        <v>41</v>
      </c>
      <c r="F50" s="192" t="s">
        <v>28</v>
      </c>
      <c r="G50" s="192"/>
      <c r="H50" s="186" t="s">
        <v>27</v>
      </c>
      <c r="I50" s="193">
        <v>555.22</v>
      </c>
      <c r="J50" s="193"/>
      <c r="K50" s="189" t="s">
        <v>22</v>
      </c>
      <c r="L50" s="190">
        <v>38503.279999999999</v>
      </c>
    </row>
    <row r="51" spans="1:12" ht="51" x14ac:dyDescent="0.3">
      <c r="A51" s="184" t="s">
        <v>98</v>
      </c>
      <c r="B51" s="185" t="s">
        <v>575</v>
      </c>
      <c r="C51" s="185" t="s">
        <v>39</v>
      </c>
      <c r="D51" s="185" t="s">
        <v>577</v>
      </c>
      <c r="E51" s="186" t="s">
        <v>41</v>
      </c>
      <c r="F51" s="192" t="s">
        <v>28</v>
      </c>
      <c r="G51" s="192"/>
      <c r="H51" s="186" t="s">
        <v>27</v>
      </c>
      <c r="I51" s="193">
        <v>70.3</v>
      </c>
      <c r="J51" s="193"/>
      <c r="K51" s="189" t="s">
        <v>22</v>
      </c>
      <c r="L51" s="190">
        <v>38432.980000000003</v>
      </c>
    </row>
    <row r="52" spans="1:12" ht="51" x14ac:dyDescent="0.3">
      <c r="A52" s="184" t="s">
        <v>98</v>
      </c>
      <c r="B52" s="185" t="s">
        <v>575</v>
      </c>
      <c r="C52" s="185" t="s">
        <v>39</v>
      </c>
      <c r="D52" s="185" t="s">
        <v>578</v>
      </c>
      <c r="E52" s="186" t="s">
        <v>41</v>
      </c>
      <c r="F52" s="192" t="s">
        <v>28</v>
      </c>
      <c r="G52" s="192"/>
      <c r="H52" s="186" t="s">
        <v>27</v>
      </c>
      <c r="I52" s="193">
        <v>33.14</v>
      </c>
      <c r="J52" s="193"/>
      <c r="K52" s="189" t="s">
        <v>22</v>
      </c>
      <c r="L52" s="190">
        <v>38399.839999999997</v>
      </c>
    </row>
    <row r="53" spans="1:12" ht="51" x14ac:dyDescent="0.3">
      <c r="A53" s="184" t="s">
        <v>98</v>
      </c>
      <c r="B53" s="185" t="s">
        <v>575</v>
      </c>
      <c r="C53" s="185" t="s">
        <v>39</v>
      </c>
      <c r="D53" s="185" t="s">
        <v>579</v>
      </c>
      <c r="E53" s="186" t="s">
        <v>41</v>
      </c>
      <c r="F53" s="192" t="s">
        <v>28</v>
      </c>
      <c r="G53" s="192"/>
      <c r="H53" s="186" t="s">
        <v>27</v>
      </c>
      <c r="I53" s="193">
        <v>185.22</v>
      </c>
      <c r="J53" s="193"/>
      <c r="K53" s="189" t="s">
        <v>22</v>
      </c>
      <c r="L53" s="190">
        <v>38214.620000000003</v>
      </c>
    </row>
    <row r="54" spans="1:12" ht="51" x14ac:dyDescent="0.3">
      <c r="A54" s="184" t="s">
        <v>98</v>
      </c>
      <c r="B54" s="185" t="s">
        <v>575</v>
      </c>
      <c r="C54" s="185" t="s">
        <v>39</v>
      </c>
      <c r="D54" s="185" t="s">
        <v>580</v>
      </c>
      <c r="E54" s="186" t="s">
        <v>41</v>
      </c>
      <c r="F54" s="192" t="s">
        <v>28</v>
      </c>
      <c r="G54" s="192"/>
      <c r="H54" s="186" t="s">
        <v>27</v>
      </c>
      <c r="I54" s="193">
        <v>111.04</v>
      </c>
      <c r="J54" s="193"/>
      <c r="K54" s="189" t="s">
        <v>22</v>
      </c>
      <c r="L54" s="190">
        <v>38103.58</v>
      </c>
    </row>
    <row r="55" spans="1:12" ht="61.2" x14ac:dyDescent="0.3">
      <c r="A55" s="184" t="s">
        <v>98</v>
      </c>
      <c r="B55" s="185" t="s">
        <v>575</v>
      </c>
      <c r="C55" s="185" t="s">
        <v>39</v>
      </c>
      <c r="D55" s="185" t="s">
        <v>581</v>
      </c>
      <c r="E55" s="186" t="s">
        <v>41</v>
      </c>
      <c r="F55" s="192" t="s">
        <v>28</v>
      </c>
      <c r="G55" s="192"/>
      <c r="H55" s="186" t="s">
        <v>27</v>
      </c>
      <c r="I55" s="194">
        <v>1484.48</v>
      </c>
      <c r="J55" s="194"/>
      <c r="K55" s="189" t="s">
        <v>22</v>
      </c>
      <c r="L55" s="190">
        <v>36619.1</v>
      </c>
    </row>
    <row r="56" spans="1:12" ht="61.2" x14ac:dyDescent="0.3">
      <c r="A56" s="184" t="s">
        <v>98</v>
      </c>
      <c r="B56" s="185" t="s">
        <v>575</v>
      </c>
      <c r="C56" s="185" t="s">
        <v>39</v>
      </c>
      <c r="D56" s="185" t="s">
        <v>529</v>
      </c>
      <c r="E56" s="186" t="s">
        <v>41</v>
      </c>
      <c r="F56" s="192" t="s">
        <v>28</v>
      </c>
      <c r="G56" s="192"/>
      <c r="H56" s="186" t="s">
        <v>27</v>
      </c>
      <c r="I56" s="194">
        <v>2968.96</v>
      </c>
      <c r="J56" s="194"/>
      <c r="K56" s="189" t="s">
        <v>22</v>
      </c>
      <c r="L56" s="190">
        <v>33650.14</v>
      </c>
    </row>
    <row r="57" spans="1:12" hidden="1" x14ac:dyDescent="0.3">
      <c r="A57" s="195" t="s">
        <v>105</v>
      </c>
      <c r="B57" s="195"/>
      <c r="C57" s="195"/>
      <c r="D57" s="195"/>
      <c r="E57" s="196">
        <v>30923.19</v>
      </c>
      <c r="F57" s="196"/>
      <c r="G57" s="196"/>
      <c r="H57" s="196">
        <v>680975.77</v>
      </c>
      <c r="I57" s="196"/>
      <c r="J57" s="196"/>
      <c r="K57" s="197" t="s">
        <v>22</v>
      </c>
      <c r="L57" s="198">
        <v>33650.14</v>
      </c>
    </row>
    <row r="59" spans="1:12" x14ac:dyDescent="0.3">
      <c r="J59" s="1">
        <f>SUBTOTAL(9,I5:J56)</f>
        <v>680975.76999999979</v>
      </c>
    </row>
  </sheetData>
  <autoFilter ref="A1:L57" xr:uid="{5BE9BA4A-BAC6-4FB3-9D62-C34010CFDA34}">
    <filterColumn colId="1">
      <filters>
        <filter val="Вимога-накладна ІБ00-000314 від 30.04.2025 23:59:21_x000a_Списаны ТМЦ"/>
        <filter val="Вимога-накладна ІБ00-000315 від 30.04.2025 11:00:00_x000a_Списаны ТМЦ"/>
        <filter val="Вимога-накладна ІБ00-000316 від 30.04.2025 23:59:33_x000a_Списаны ТМЦ"/>
        <filter val="Списання товарів ІБ00-000217 від 30.04.2025 23:59:22_x000a_Списаны ТМЦ"/>
        <filter val="Списання товарів ІБ00-000219 від 30.04.2025 0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20">
    <mergeCell ref="F55:G55"/>
    <mergeCell ref="I55:J55"/>
    <mergeCell ref="F56:G56"/>
    <mergeCell ref="I56:J56"/>
    <mergeCell ref="A57:D57"/>
    <mergeCell ref="E57:G57"/>
    <mergeCell ref="H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2EEE-65FC-4466-AEE7-3E13A2A1470E}">
  <dimension ref="A1:L6"/>
  <sheetViews>
    <sheetView workbookViewId="0">
      <selection activeCell="J7" sqref="J7"/>
    </sheetView>
  </sheetViews>
  <sheetFormatPr defaultRowHeight="14.4" x14ac:dyDescent="0.3"/>
  <cols>
    <col min="2" max="4" width="25.33203125" customWidth="1"/>
  </cols>
  <sheetData>
    <row r="1" spans="1:12" x14ac:dyDescent="0.3">
      <c r="A1" s="199" t="s">
        <v>14</v>
      </c>
      <c r="B1" s="200" t="s">
        <v>15</v>
      </c>
      <c r="C1" s="200" t="s">
        <v>16</v>
      </c>
      <c r="D1" s="201" t="s">
        <v>17</v>
      </c>
      <c r="E1" s="202" t="s">
        <v>18</v>
      </c>
      <c r="F1" s="202"/>
      <c r="G1" s="202"/>
      <c r="H1" s="203" t="s">
        <v>19</v>
      </c>
      <c r="I1" s="203"/>
      <c r="J1" s="203"/>
      <c r="K1" s="200" t="s">
        <v>20</v>
      </c>
      <c r="L1" s="200"/>
    </row>
    <row r="2" spans="1:12" x14ac:dyDescent="0.3">
      <c r="A2" s="204"/>
      <c r="B2" s="205"/>
      <c r="C2" s="205"/>
      <c r="D2" s="206"/>
      <c r="E2" s="207" t="s">
        <v>21</v>
      </c>
      <c r="F2" s="208"/>
      <c r="G2" s="208"/>
      <c r="H2" s="209" t="s">
        <v>21</v>
      </c>
      <c r="I2" s="210"/>
      <c r="J2" s="210"/>
      <c r="K2" s="204"/>
      <c r="L2" s="211"/>
    </row>
    <row r="3" spans="1:12" ht="61.2" x14ac:dyDescent="0.3">
      <c r="A3" s="212" t="s">
        <v>98</v>
      </c>
      <c r="B3" s="213" t="s">
        <v>582</v>
      </c>
      <c r="C3" s="213" t="s">
        <v>39</v>
      </c>
      <c r="D3" s="213" t="s">
        <v>583</v>
      </c>
      <c r="E3" s="214" t="s">
        <v>41</v>
      </c>
      <c r="F3" s="215" t="s">
        <v>28</v>
      </c>
      <c r="G3" s="215"/>
      <c r="H3" s="214" t="s">
        <v>27</v>
      </c>
      <c r="I3" s="216">
        <v>154.80000000000001</v>
      </c>
      <c r="J3" s="216"/>
      <c r="K3" s="217"/>
      <c r="L3" s="218"/>
    </row>
    <row r="4" spans="1:12" x14ac:dyDescent="0.3">
      <c r="A4" s="219" t="s">
        <v>105</v>
      </c>
      <c r="B4" s="219"/>
      <c r="C4" s="219"/>
      <c r="D4" s="219"/>
      <c r="E4" s="220">
        <v>0</v>
      </c>
      <c r="F4" s="220"/>
      <c r="G4" s="220"/>
      <c r="H4" s="223">
        <v>154.80000000000001</v>
      </c>
      <c r="I4" s="223"/>
      <c r="J4" s="223"/>
      <c r="K4" s="221"/>
      <c r="L4" s="222">
        <v>0</v>
      </c>
    </row>
    <row r="6" spans="1:12" x14ac:dyDescent="0.3">
      <c r="J6" s="389">
        <f>I3</f>
        <v>154.80000000000001</v>
      </c>
    </row>
  </sheetData>
  <autoFilter ref="A1:L2" xr:uid="{30F7FE6E-169A-4543-9128-DBD282FBF351}">
    <filterColumn colId="4" showButton="0"/>
    <filterColumn colId="5" showButton="0"/>
    <filterColumn colId="7" showButton="0"/>
    <filterColumn colId="8" showButton="0"/>
    <filterColumn colId="10" showButton="0"/>
  </autoFilter>
  <mergeCells count="13">
    <mergeCell ref="A4:D4"/>
    <mergeCell ref="E4:G4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571E-1BA7-403E-917E-8A84C8835D66}">
  <sheetPr filterMode="1"/>
  <dimension ref="A1:L26"/>
  <sheetViews>
    <sheetView workbookViewId="0">
      <selection activeCell="J26" sqref="J26"/>
    </sheetView>
  </sheetViews>
  <sheetFormatPr defaultRowHeight="14.4" x14ac:dyDescent="0.3"/>
  <cols>
    <col min="2" max="4" width="25.33203125" customWidth="1"/>
    <col min="10" max="10" width="9.88671875" bestFit="1" customWidth="1"/>
  </cols>
  <sheetData>
    <row r="1" spans="1:12" x14ac:dyDescent="0.3">
      <c r="A1" s="224" t="s">
        <v>14</v>
      </c>
      <c r="B1" s="225" t="s">
        <v>15</v>
      </c>
      <c r="C1" s="225" t="s">
        <v>16</v>
      </c>
      <c r="D1" s="226" t="s">
        <v>17</v>
      </c>
      <c r="E1" s="227" t="s">
        <v>18</v>
      </c>
      <c r="F1" s="227"/>
      <c r="G1" s="227"/>
      <c r="H1" s="228" t="s">
        <v>19</v>
      </c>
      <c r="I1" s="228"/>
      <c r="J1" s="228"/>
      <c r="K1" s="225" t="s">
        <v>20</v>
      </c>
      <c r="L1" s="225"/>
    </row>
    <row r="2" spans="1:12" hidden="1" x14ac:dyDescent="0.3">
      <c r="A2" s="229"/>
      <c r="B2" s="230"/>
      <c r="C2" s="230"/>
      <c r="D2" s="231"/>
      <c r="E2" s="232" t="s">
        <v>21</v>
      </c>
      <c r="F2" s="233"/>
      <c r="G2" s="233"/>
      <c r="H2" s="234" t="s">
        <v>21</v>
      </c>
      <c r="I2" s="235"/>
      <c r="J2" s="235"/>
      <c r="K2" s="229"/>
      <c r="L2" s="236"/>
    </row>
    <row r="3" spans="1:12" ht="51" hidden="1" x14ac:dyDescent="0.3">
      <c r="A3" s="237" t="s">
        <v>23</v>
      </c>
      <c r="B3" s="238" t="s">
        <v>584</v>
      </c>
      <c r="C3" s="238" t="s">
        <v>585</v>
      </c>
      <c r="D3" s="238" t="s">
        <v>586</v>
      </c>
      <c r="E3" s="239" t="s">
        <v>27</v>
      </c>
      <c r="F3" s="240">
        <v>19331.400000000001</v>
      </c>
      <c r="G3" s="240"/>
      <c r="H3" s="239" t="s">
        <v>58</v>
      </c>
      <c r="I3" s="241" t="s">
        <v>28</v>
      </c>
      <c r="J3" s="241"/>
      <c r="K3" s="242" t="s">
        <v>22</v>
      </c>
      <c r="L3" s="243">
        <v>173058.07</v>
      </c>
    </row>
    <row r="4" spans="1:12" ht="51" hidden="1" x14ac:dyDescent="0.3">
      <c r="A4" s="237" t="s">
        <v>23</v>
      </c>
      <c r="B4" s="238" t="s">
        <v>587</v>
      </c>
      <c r="C4" s="238" t="s">
        <v>588</v>
      </c>
      <c r="D4" s="238" t="s">
        <v>589</v>
      </c>
      <c r="E4" s="239" t="s">
        <v>27</v>
      </c>
      <c r="F4" s="240">
        <v>4490.5</v>
      </c>
      <c r="G4" s="240"/>
      <c r="H4" s="239" t="s">
        <v>58</v>
      </c>
      <c r="I4" s="241" t="s">
        <v>28</v>
      </c>
      <c r="J4" s="241"/>
      <c r="K4" s="242" t="s">
        <v>22</v>
      </c>
      <c r="L4" s="243">
        <v>177548.57</v>
      </c>
    </row>
    <row r="5" spans="1:12" ht="61.2" hidden="1" x14ac:dyDescent="0.3">
      <c r="A5" s="237" t="s">
        <v>23</v>
      </c>
      <c r="B5" s="238" t="s">
        <v>587</v>
      </c>
      <c r="C5" s="238" t="s">
        <v>590</v>
      </c>
      <c r="D5" s="238" t="s">
        <v>589</v>
      </c>
      <c r="E5" s="239" t="s">
        <v>27</v>
      </c>
      <c r="F5" s="240">
        <v>4200</v>
      </c>
      <c r="G5" s="240"/>
      <c r="H5" s="239" t="s">
        <v>58</v>
      </c>
      <c r="I5" s="241" t="s">
        <v>28</v>
      </c>
      <c r="J5" s="241"/>
      <c r="K5" s="242" t="s">
        <v>22</v>
      </c>
      <c r="L5" s="243">
        <v>181748.57</v>
      </c>
    </row>
    <row r="6" spans="1:12" ht="51" hidden="1" x14ac:dyDescent="0.3">
      <c r="A6" s="237" t="s">
        <v>23</v>
      </c>
      <c r="B6" s="238" t="s">
        <v>230</v>
      </c>
      <c r="C6" s="238" t="s">
        <v>231</v>
      </c>
      <c r="D6" s="238" t="s">
        <v>211</v>
      </c>
      <c r="E6" s="239" t="s">
        <v>27</v>
      </c>
      <c r="F6" s="240">
        <v>114729.73</v>
      </c>
      <c r="G6" s="240"/>
      <c r="H6" s="239" t="s">
        <v>27</v>
      </c>
      <c r="I6" s="241" t="s">
        <v>28</v>
      </c>
      <c r="J6" s="241"/>
      <c r="K6" s="242" t="s">
        <v>22</v>
      </c>
      <c r="L6" s="243">
        <v>296478.3</v>
      </c>
    </row>
    <row r="7" spans="1:12" ht="61.2" hidden="1" x14ac:dyDescent="0.3">
      <c r="A7" s="237" t="s">
        <v>23</v>
      </c>
      <c r="B7" s="238" t="s">
        <v>230</v>
      </c>
      <c r="C7" s="238" t="s">
        <v>232</v>
      </c>
      <c r="D7" s="238" t="s">
        <v>213</v>
      </c>
      <c r="E7" s="239" t="s">
        <v>27</v>
      </c>
      <c r="F7" s="240">
        <v>4302.59</v>
      </c>
      <c r="G7" s="240"/>
      <c r="H7" s="239" t="s">
        <v>27</v>
      </c>
      <c r="I7" s="241" t="s">
        <v>28</v>
      </c>
      <c r="J7" s="241"/>
      <c r="K7" s="242" t="s">
        <v>22</v>
      </c>
      <c r="L7" s="243">
        <v>300780.89</v>
      </c>
    </row>
    <row r="8" spans="1:12" ht="51" hidden="1" x14ac:dyDescent="0.3">
      <c r="A8" s="237" t="s">
        <v>37</v>
      </c>
      <c r="B8" s="238" t="s">
        <v>591</v>
      </c>
      <c r="C8" s="238" t="s">
        <v>592</v>
      </c>
      <c r="D8" s="238" t="s">
        <v>593</v>
      </c>
      <c r="E8" s="239" t="s">
        <v>27</v>
      </c>
      <c r="F8" s="240">
        <v>19656</v>
      </c>
      <c r="G8" s="240"/>
      <c r="H8" s="239" t="s">
        <v>58</v>
      </c>
      <c r="I8" s="241" t="s">
        <v>28</v>
      </c>
      <c r="J8" s="241"/>
      <c r="K8" s="242" t="s">
        <v>22</v>
      </c>
      <c r="L8" s="243">
        <v>320436.89</v>
      </c>
    </row>
    <row r="9" spans="1:12" ht="51" hidden="1" x14ac:dyDescent="0.3">
      <c r="A9" s="237" t="s">
        <v>37</v>
      </c>
      <c r="B9" s="238" t="s">
        <v>594</v>
      </c>
      <c r="C9" s="238" t="s">
        <v>595</v>
      </c>
      <c r="D9" s="238" t="s">
        <v>596</v>
      </c>
      <c r="E9" s="239" t="s">
        <v>27</v>
      </c>
      <c r="F9" s="240">
        <v>18656.52</v>
      </c>
      <c r="G9" s="240"/>
      <c r="H9" s="239" t="s">
        <v>58</v>
      </c>
      <c r="I9" s="241" t="s">
        <v>28</v>
      </c>
      <c r="J9" s="241"/>
      <c r="K9" s="242" t="s">
        <v>22</v>
      </c>
      <c r="L9" s="243">
        <v>339093.41</v>
      </c>
    </row>
    <row r="10" spans="1:12" ht="61.2" hidden="1" x14ac:dyDescent="0.3">
      <c r="A10" s="237" t="s">
        <v>37</v>
      </c>
      <c r="B10" s="238" t="s">
        <v>597</v>
      </c>
      <c r="C10" s="238" t="s">
        <v>598</v>
      </c>
      <c r="D10" s="238" t="s">
        <v>596</v>
      </c>
      <c r="E10" s="239" t="s">
        <v>27</v>
      </c>
      <c r="F10" s="240">
        <v>12601.6</v>
      </c>
      <c r="G10" s="240"/>
      <c r="H10" s="239" t="s">
        <v>58</v>
      </c>
      <c r="I10" s="241" t="s">
        <v>28</v>
      </c>
      <c r="J10" s="241"/>
      <c r="K10" s="242" t="s">
        <v>22</v>
      </c>
      <c r="L10" s="243">
        <v>351695.01</v>
      </c>
    </row>
    <row r="11" spans="1:12" ht="61.2" hidden="1" x14ac:dyDescent="0.3">
      <c r="A11" s="237" t="s">
        <v>318</v>
      </c>
      <c r="B11" s="238" t="s">
        <v>345</v>
      </c>
      <c r="C11" s="238" t="s">
        <v>346</v>
      </c>
      <c r="D11" s="238" t="s">
        <v>334</v>
      </c>
      <c r="E11" s="239" t="s">
        <v>27</v>
      </c>
      <c r="F11" s="240">
        <v>12192.93</v>
      </c>
      <c r="G11" s="240"/>
      <c r="H11" s="239" t="s">
        <v>27</v>
      </c>
      <c r="I11" s="241" t="s">
        <v>28</v>
      </c>
      <c r="J11" s="241"/>
      <c r="K11" s="242" t="s">
        <v>22</v>
      </c>
      <c r="L11" s="243">
        <v>363887.94</v>
      </c>
    </row>
    <row r="12" spans="1:12" ht="51" hidden="1" x14ac:dyDescent="0.3">
      <c r="A12" s="237" t="s">
        <v>354</v>
      </c>
      <c r="B12" s="238" t="s">
        <v>599</v>
      </c>
      <c r="C12" s="238" t="s">
        <v>600</v>
      </c>
      <c r="D12" s="238" t="s">
        <v>601</v>
      </c>
      <c r="E12" s="239" t="s">
        <v>27</v>
      </c>
      <c r="F12" s="240">
        <v>19095.580000000002</v>
      </c>
      <c r="G12" s="240"/>
      <c r="H12" s="239" t="s">
        <v>58</v>
      </c>
      <c r="I12" s="241" t="s">
        <v>28</v>
      </c>
      <c r="J12" s="241"/>
      <c r="K12" s="242" t="s">
        <v>22</v>
      </c>
      <c r="L12" s="243">
        <v>382983.52</v>
      </c>
    </row>
    <row r="13" spans="1:12" ht="51" hidden="1" x14ac:dyDescent="0.3">
      <c r="A13" s="237" t="s">
        <v>354</v>
      </c>
      <c r="B13" s="238" t="s">
        <v>602</v>
      </c>
      <c r="C13" s="238" t="s">
        <v>600</v>
      </c>
      <c r="D13" s="238" t="s">
        <v>601</v>
      </c>
      <c r="E13" s="239" t="s">
        <v>27</v>
      </c>
      <c r="F13" s="240">
        <v>18651.5</v>
      </c>
      <c r="G13" s="240"/>
      <c r="H13" s="239" t="s">
        <v>58</v>
      </c>
      <c r="I13" s="241" t="s">
        <v>28</v>
      </c>
      <c r="J13" s="241"/>
      <c r="K13" s="242" t="s">
        <v>22</v>
      </c>
      <c r="L13" s="243">
        <v>401635.02</v>
      </c>
    </row>
    <row r="14" spans="1:12" ht="51" hidden="1" x14ac:dyDescent="0.3">
      <c r="A14" s="237" t="s">
        <v>83</v>
      </c>
      <c r="B14" s="238" t="s">
        <v>381</v>
      </c>
      <c r="C14" s="238" t="s">
        <v>382</v>
      </c>
      <c r="D14" s="238" t="s">
        <v>373</v>
      </c>
      <c r="E14" s="239" t="s">
        <v>27</v>
      </c>
      <c r="F14" s="240">
        <v>4200.42</v>
      </c>
      <c r="G14" s="240"/>
      <c r="H14" s="239" t="s">
        <v>27</v>
      </c>
      <c r="I14" s="241" t="s">
        <v>28</v>
      </c>
      <c r="J14" s="241"/>
      <c r="K14" s="242" t="s">
        <v>22</v>
      </c>
      <c r="L14" s="243">
        <v>405835.44</v>
      </c>
    </row>
    <row r="15" spans="1:12" ht="51" hidden="1" x14ac:dyDescent="0.3">
      <c r="A15" s="237" t="s">
        <v>98</v>
      </c>
      <c r="B15" s="238" t="s">
        <v>465</v>
      </c>
      <c r="C15" s="238" t="s">
        <v>466</v>
      </c>
      <c r="D15" s="238" t="s">
        <v>420</v>
      </c>
      <c r="E15" s="239" t="s">
        <v>27</v>
      </c>
      <c r="F15" s="240">
        <v>1395</v>
      </c>
      <c r="G15" s="240"/>
      <c r="H15" s="239" t="s">
        <v>27</v>
      </c>
      <c r="I15" s="241" t="s">
        <v>28</v>
      </c>
      <c r="J15" s="241"/>
      <c r="K15" s="242" t="s">
        <v>22</v>
      </c>
      <c r="L15" s="243">
        <v>407230.44</v>
      </c>
    </row>
    <row r="16" spans="1:12" ht="51" x14ac:dyDescent="0.3">
      <c r="A16" s="237" t="s">
        <v>98</v>
      </c>
      <c r="B16" s="238" t="s">
        <v>603</v>
      </c>
      <c r="C16" s="238" t="s">
        <v>39</v>
      </c>
      <c r="D16" s="238" t="s">
        <v>231</v>
      </c>
      <c r="E16" s="239" t="s">
        <v>41</v>
      </c>
      <c r="F16" s="244" t="s">
        <v>28</v>
      </c>
      <c r="G16" s="244"/>
      <c r="H16" s="239" t="s">
        <v>27</v>
      </c>
      <c r="I16" s="245">
        <v>109480.66</v>
      </c>
      <c r="J16" s="245"/>
      <c r="K16" s="242" t="s">
        <v>22</v>
      </c>
      <c r="L16" s="243">
        <v>297749.78000000003</v>
      </c>
    </row>
    <row r="17" spans="1:12" ht="61.2" x14ac:dyDescent="0.3">
      <c r="A17" s="237" t="s">
        <v>98</v>
      </c>
      <c r="B17" s="238" t="s">
        <v>603</v>
      </c>
      <c r="C17" s="238" t="s">
        <v>39</v>
      </c>
      <c r="D17" s="238" t="s">
        <v>598</v>
      </c>
      <c r="E17" s="239" t="s">
        <v>41</v>
      </c>
      <c r="F17" s="244" t="s">
        <v>28</v>
      </c>
      <c r="G17" s="244"/>
      <c r="H17" s="239" t="s">
        <v>27</v>
      </c>
      <c r="I17" s="245">
        <v>12601.6</v>
      </c>
      <c r="J17" s="245"/>
      <c r="K17" s="242" t="s">
        <v>22</v>
      </c>
      <c r="L17" s="243">
        <v>285148.18</v>
      </c>
    </row>
    <row r="18" spans="1:12" ht="51" x14ac:dyDescent="0.3">
      <c r="A18" s="237" t="s">
        <v>98</v>
      </c>
      <c r="B18" s="238" t="s">
        <v>603</v>
      </c>
      <c r="C18" s="238" t="s">
        <v>39</v>
      </c>
      <c r="D18" s="238" t="s">
        <v>466</v>
      </c>
      <c r="E18" s="239" t="s">
        <v>41</v>
      </c>
      <c r="F18" s="244" t="s">
        <v>28</v>
      </c>
      <c r="G18" s="244"/>
      <c r="H18" s="239" t="s">
        <v>27</v>
      </c>
      <c r="I18" s="245">
        <v>1395</v>
      </c>
      <c r="J18" s="245"/>
      <c r="K18" s="242" t="s">
        <v>22</v>
      </c>
      <c r="L18" s="243">
        <v>283753.18</v>
      </c>
    </row>
    <row r="19" spans="1:12" ht="51" hidden="1" x14ac:dyDescent="0.3">
      <c r="A19" s="237" t="s">
        <v>98</v>
      </c>
      <c r="B19" s="238" t="s">
        <v>404</v>
      </c>
      <c r="C19" s="238" t="s">
        <v>405</v>
      </c>
      <c r="D19" s="238" t="s">
        <v>103</v>
      </c>
      <c r="E19" s="239" t="s">
        <v>27</v>
      </c>
      <c r="F19" s="240">
        <v>114750</v>
      </c>
      <c r="G19" s="240"/>
      <c r="H19" s="239" t="s">
        <v>27</v>
      </c>
      <c r="I19" s="241" t="s">
        <v>28</v>
      </c>
      <c r="J19" s="241"/>
      <c r="K19" s="242" t="s">
        <v>22</v>
      </c>
      <c r="L19" s="243">
        <v>398503.18</v>
      </c>
    </row>
    <row r="20" spans="1:12" ht="51" hidden="1" x14ac:dyDescent="0.3">
      <c r="A20" s="237" t="s">
        <v>98</v>
      </c>
      <c r="B20" s="238" t="s">
        <v>412</v>
      </c>
      <c r="C20" s="238" t="s">
        <v>413</v>
      </c>
      <c r="D20" s="238" t="s">
        <v>401</v>
      </c>
      <c r="E20" s="239" t="s">
        <v>27</v>
      </c>
      <c r="F20" s="240">
        <v>13550.42</v>
      </c>
      <c r="G20" s="240"/>
      <c r="H20" s="239" t="s">
        <v>27</v>
      </c>
      <c r="I20" s="241" t="s">
        <v>28</v>
      </c>
      <c r="J20" s="241"/>
      <c r="K20" s="242" t="s">
        <v>22</v>
      </c>
      <c r="L20" s="243">
        <v>412053.6</v>
      </c>
    </row>
    <row r="21" spans="1:12" ht="61.2" hidden="1" x14ac:dyDescent="0.3">
      <c r="A21" s="237" t="s">
        <v>98</v>
      </c>
      <c r="B21" s="238" t="s">
        <v>604</v>
      </c>
      <c r="C21" s="238" t="s">
        <v>605</v>
      </c>
      <c r="D21" s="238" t="s">
        <v>600</v>
      </c>
      <c r="E21" s="239" t="s">
        <v>27</v>
      </c>
      <c r="F21" s="244" t="s">
        <v>28</v>
      </c>
      <c r="G21" s="244"/>
      <c r="H21" s="239" t="s">
        <v>27</v>
      </c>
      <c r="I21" s="245">
        <v>37747.08</v>
      </c>
      <c r="J21" s="245"/>
      <c r="K21" s="242" t="s">
        <v>22</v>
      </c>
      <c r="L21" s="243">
        <v>374306.52</v>
      </c>
    </row>
    <row r="22" spans="1:12" ht="61.2" hidden="1" x14ac:dyDescent="0.3">
      <c r="A22" s="237" t="s">
        <v>98</v>
      </c>
      <c r="B22" s="238" t="s">
        <v>604</v>
      </c>
      <c r="C22" s="238" t="s">
        <v>380</v>
      </c>
      <c r="D22" s="238" t="s">
        <v>382</v>
      </c>
      <c r="E22" s="239" t="s">
        <v>27</v>
      </c>
      <c r="F22" s="244" t="s">
        <v>28</v>
      </c>
      <c r="G22" s="244"/>
      <c r="H22" s="239" t="s">
        <v>27</v>
      </c>
      <c r="I22" s="245">
        <v>4200.42</v>
      </c>
      <c r="J22" s="245"/>
      <c r="K22" s="242" t="s">
        <v>22</v>
      </c>
      <c r="L22" s="243">
        <v>370106.1</v>
      </c>
    </row>
    <row r="23" spans="1:12" ht="61.2" hidden="1" x14ac:dyDescent="0.3">
      <c r="A23" s="237" t="s">
        <v>98</v>
      </c>
      <c r="B23" s="238" t="s">
        <v>604</v>
      </c>
      <c r="C23" s="238" t="s">
        <v>411</v>
      </c>
      <c r="D23" s="238" t="s">
        <v>413</v>
      </c>
      <c r="E23" s="239" t="s">
        <v>27</v>
      </c>
      <c r="F23" s="244" t="s">
        <v>28</v>
      </c>
      <c r="G23" s="244"/>
      <c r="H23" s="239" t="s">
        <v>27</v>
      </c>
      <c r="I23" s="245">
        <v>3541.67</v>
      </c>
      <c r="J23" s="245"/>
      <c r="K23" s="242" t="s">
        <v>22</v>
      </c>
      <c r="L23" s="243">
        <v>366564.43</v>
      </c>
    </row>
    <row r="24" spans="1:12" hidden="1" x14ac:dyDescent="0.3">
      <c r="A24" s="246" t="s">
        <v>105</v>
      </c>
      <c r="B24" s="246"/>
      <c r="C24" s="246"/>
      <c r="D24" s="246"/>
      <c r="E24" s="247">
        <v>381804.19</v>
      </c>
      <c r="F24" s="247"/>
      <c r="G24" s="247"/>
      <c r="H24" s="247">
        <v>168966.43</v>
      </c>
      <c r="I24" s="247"/>
      <c r="J24" s="247"/>
      <c r="K24" s="248" t="s">
        <v>22</v>
      </c>
      <c r="L24" s="249">
        <v>366564.43</v>
      </c>
    </row>
    <row r="26" spans="1:12" x14ac:dyDescent="0.3">
      <c r="J26" s="1">
        <f>SUBTOTAL(9,I16:J18)</f>
        <v>123477.26000000001</v>
      </c>
    </row>
  </sheetData>
  <autoFilter ref="A1:L24" xr:uid="{B2D1B121-F5D2-4FBC-B79B-4F9E8E35FC67}">
    <filterColumn colId="1">
      <filters>
        <filter val="Вимога-накладна ІБ00-000322 від 30.04.2025 1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54">
    <mergeCell ref="F22:G22"/>
    <mergeCell ref="I22:J22"/>
    <mergeCell ref="F23:G23"/>
    <mergeCell ref="I23:J23"/>
    <mergeCell ref="A24:D24"/>
    <mergeCell ref="E24:G24"/>
    <mergeCell ref="H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BBD8-FA7F-429A-802F-B54D398A391E}">
  <sheetPr filterMode="1"/>
  <dimension ref="A1:L76"/>
  <sheetViews>
    <sheetView topLeftCell="A69" workbookViewId="0">
      <selection activeCell="J76" sqref="J76"/>
    </sheetView>
  </sheetViews>
  <sheetFormatPr defaultRowHeight="14.4" x14ac:dyDescent="0.3"/>
  <cols>
    <col min="2" max="4" width="25.33203125" customWidth="1"/>
    <col min="10" max="10" width="9.88671875" bestFit="1" customWidth="1"/>
  </cols>
  <sheetData>
    <row r="1" spans="1:12" x14ac:dyDescent="0.3">
      <c r="A1" s="250" t="s">
        <v>14</v>
      </c>
      <c r="B1" s="251" t="s">
        <v>15</v>
      </c>
      <c r="C1" s="251" t="s">
        <v>16</v>
      </c>
      <c r="D1" s="252" t="s">
        <v>17</v>
      </c>
      <c r="E1" s="253" t="s">
        <v>18</v>
      </c>
      <c r="F1" s="253"/>
      <c r="G1" s="253"/>
      <c r="H1" s="254" t="s">
        <v>19</v>
      </c>
      <c r="I1" s="254"/>
      <c r="J1" s="254"/>
      <c r="K1" s="251" t="s">
        <v>20</v>
      </c>
      <c r="L1" s="251"/>
    </row>
    <row r="2" spans="1:12" hidden="1" x14ac:dyDescent="0.3">
      <c r="A2" s="255"/>
      <c r="B2" s="256"/>
      <c r="C2" s="256"/>
      <c r="D2" s="257"/>
      <c r="E2" s="258" t="s">
        <v>21</v>
      </c>
      <c r="F2" s="259"/>
      <c r="G2" s="259"/>
      <c r="H2" s="260" t="s">
        <v>21</v>
      </c>
      <c r="I2" s="261"/>
      <c r="J2" s="261"/>
      <c r="K2" s="255"/>
      <c r="L2" s="262"/>
    </row>
    <row r="3" spans="1:12" ht="61.2" hidden="1" x14ac:dyDescent="0.3">
      <c r="A3" s="263" t="s">
        <v>23</v>
      </c>
      <c r="B3" s="264" t="s">
        <v>606</v>
      </c>
      <c r="C3" s="264" t="s">
        <v>607</v>
      </c>
      <c r="D3" s="264" t="s">
        <v>608</v>
      </c>
      <c r="E3" s="265" t="s">
        <v>27</v>
      </c>
      <c r="F3" s="266">
        <v>1236.1099999999999</v>
      </c>
      <c r="G3" s="266"/>
      <c r="H3" s="265" t="s">
        <v>27</v>
      </c>
      <c r="I3" s="267" t="s">
        <v>28</v>
      </c>
      <c r="J3" s="267"/>
      <c r="K3" s="268" t="s">
        <v>22</v>
      </c>
      <c r="L3" s="269">
        <v>349093.78</v>
      </c>
    </row>
    <row r="4" spans="1:12" ht="61.2" hidden="1" x14ac:dyDescent="0.3">
      <c r="A4" s="263" t="s">
        <v>23</v>
      </c>
      <c r="B4" s="264" t="s">
        <v>606</v>
      </c>
      <c r="C4" s="264" t="s">
        <v>609</v>
      </c>
      <c r="D4" s="264" t="s">
        <v>610</v>
      </c>
      <c r="E4" s="265" t="s">
        <v>27</v>
      </c>
      <c r="F4" s="266">
        <v>13295.72</v>
      </c>
      <c r="G4" s="266"/>
      <c r="H4" s="265" t="s">
        <v>27</v>
      </c>
      <c r="I4" s="267" t="s">
        <v>28</v>
      </c>
      <c r="J4" s="267"/>
      <c r="K4" s="268" t="s">
        <v>22</v>
      </c>
      <c r="L4" s="269">
        <v>362389.5</v>
      </c>
    </row>
    <row r="5" spans="1:12" ht="61.2" hidden="1" x14ac:dyDescent="0.3">
      <c r="A5" s="263" t="s">
        <v>23</v>
      </c>
      <c r="B5" s="264" t="s">
        <v>611</v>
      </c>
      <c r="C5" s="264" t="s">
        <v>237</v>
      </c>
      <c r="D5" s="264" t="s">
        <v>612</v>
      </c>
      <c r="E5" s="265" t="s">
        <v>27</v>
      </c>
      <c r="F5" s="270">
        <v>682.22</v>
      </c>
      <c r="G5" s="270"/>
      <c r="H5" s="265" t="s">
        <v>27</v>
      </c>
      <c r="I5" s="267" t="s">
        <v>28</v>
      </c>
      <c r="J5" s="267"/>
      <c r="K5" s="268" t="s">
        <v>22</v>
      </c>
      <c r="L5" s="269">
        <v>363071.72</v>
      </c>
    </row>
    <row r="6" spans="1:12" ht="61.2" hidden="1" x14ac:dyDescent="0.3">
      <c r="A6" s="263" t="s">
        <v>23</v>
      </c>
      <c r="B6" s="264" t="s">
        <v>34</v>
      </c>
      <c r="C6" s="264" t="s">
        <v>35</v>
      </c>
      <c r="D6" s="264" t="s">
        <v>36</v>
      </c>
      <c r="E6" s="265" t="s">
        <v>27</v>
      </c>
      <c r="F6" s="266">
        <v>6414.41</v>
      </c>
      <c r="G6" s="266"/>
      <c r="H6" s="265" t="s">
        <v>27</v>
      </c>
      <c r="I6" s="267" t="s">
        <v>28</v>
      </c>
      <c r="J6" s="267"/>
      <c r="K6" s="268" t="s">
        <v>22</v>
      </c>
      <c r="L6" s="269">
        <v>369486.13</v>
      </c>
    </row>
    <row r="7" spans="1:12" ht="61.2" hidden="1" x14ac:dyDescent="0.3">
      <c r="A7" s="263" t="s">
        <v>23</v>
      </c>
      <c r="B7" s="264" t="s">
        <v>236</v>
      </c>
      <c r="C7" s="264" t="s">
        <v>237</v>
      </c>
      <c r="D7" s="264" t="s">
        <v>238</v>
      </c>
      <c r="E7" s="265" t="s">
        <v>27</v>
      </c>
      <c r="F7" s="266">
        <v>2728.88</v>
      </c>
      <c r="G7" s="266"/>
      <c r="H7" s="265" t="s">
        <v>27</v>
      </c>
      <c r="I7" s="267" t="s">
        <v>28</v>
      </c>
      <c r="J7" s="267"/>
      <c r="K7" s="268" t="s">
        <v>22</v>
      </c>
      <c r="L7" s="269">
        <v>372215.01</v>
      </c>
    </row>
    <row r="8" spans="1:12" ht="61.2" hidden="1" x14ac:dyDescent="0.3">
      <c r="A8" s="263" t="s">
        <v>128</v>
      </c>
      <c r="B8" s="264" t="s">
        <v>245</v>
      </c>
      <c r="C8" s="264" t="s">
        <v>246</v>
      </c>
      <c r="D8" s="264" t="s">
        <v>240</v>
      </c>
      <c r="E8" s="265" t="s">
        <v>27</v>
      </c>
      <c r="F8" s="266">
        <v>11252</v>
      </c>
      <c r="G8" s="266"/>
      <c r="H8" s="265" t="s">
        <v>27</v>
      </c>
      <c r="I8" s="267" t="s">
        <v>28</v>
      </c>
      <c r="J8" s="267"/>
      <c r="K8" s="268" t="s">
        <v>22</v>
      </c>
      <c r="L8" s="269">
        <v>383467.01</v>
      </c>
    </row>
    <row r="9" spans="1:12" ht="71.400000000000006" x14ac:dyDescent="0.3">
      <c r="A9" s="263" t="s">
        <v>37</v>
      </c>
      <c r="B9" s="264" t="s">
        <v>613</v>
      </c>
      <c r="C9" s="264" t="s">
        <v>39</v>
      </c>
      <c r="D9" s="264" t="s">
        <v>614</v>
      </c>
      <c r="E9" s="265" t="s">
        <v>41</v>
      </c>
      <c r="F9" s="271" t="s">
        <v>28</v>
      </c>
      <c r="G9" s="271"/>
      <c r="H9" s="265" t="s">
        <v>27</v>
      </c>
      <c r="I9" s="272">
        <v>3328</v>
      </c>
      <c r="J9" s="272"/>
      <c r="K9" s="268" t="s">
        <v>22</v>
      </c>
      <c r="L9" s="269">
        <v>380139.01</v>
      </c>
    </row>
    <row r="10" spans="1:12" ht="71.400000000000006" x14ac:dyDescent="0.3">
      <c r="A10" s="263" t="s">
        <v>37</v>
      </c>
      <c r="B10" s="264" t="s">
        <v>613</v>
      </c>
      <c r="C10" s="264" t="s">
        <v>39</v>
      </c>
      <c r="D10" s="264" t="s">
        <v>615</v>
      </c>
      <c r="E10" s="265" t="s">
        <v>41</v>
      </c>
      <c r="F10" s="271" t="s">
        <v>28</v>
      </c>
      <c r="G10" s="271"/>
      <c r="H10" s="265" t="s">
        <v>27</v>
      </c>
      <c r="I10" s="272">
        <v>1274</v>
      </c>
      <c r="J10" s="272"/>
      <c r="K10" s="268" t="s">
        <v>22</v>
      </c>
      <c r="L10" s="269">
        <v>378865.01</v>
      </c>
    </row>
    <row r="11" spans="1:12" ht="71.400000000000006" x14ac:dyDescent="0.3">
      <c r="A11" s="263" t="s">
        <v>37</v>
      </c>
      <c r="B11" s="264" t="s">
        <v>613</v>
      </c>
      <c r="C11" s="264" t="s">
        <v>39</v>
      </c>
      <c r="D11" s="264" t="s">
        <v>616</v>
      </c>
      <c r="E11" s="265" t="s">
        <v>41</v>
      </c>
      <c r="F11" s="271" t="s">
        <v>28</v>
      </c>
      <c r="G11" s="271"/>
      <c r="H11" s="265" t="s">
        <v>27</v>
      </c>
      <c r="I11" s="272">
        <v>54921.67</v>
      </c>
      <c r="J11" s="272"/>
      <c r="K11" s="268" t="s">
        <v>22</v>
      </c>
      <c r="L11" s="269">
        <v>323943.34000000003</v>
      </c>
    </row>
    <row r="12" spans="1:12" ht="71.400000000000006" x14ac:dyDescent="0.3">
      <c r="A12" s="263" t="s">
        <v>37</v>
      </c>
      <c r="B12" s="264" t="s">
        <v>613</v>
      </c>
      <c r="C12" s="264" t="s">
        <v>39</v>
      </c>
      <c r="D12" s="264" t="s">
        <v>617</v>
      </c>
      <c r="E12" s="265" t="s">
        <v>41</v>
      </c>
      <c r="F12" s="271" t="s">
        <v>28</v>
      </c>
      <c r="G12" s="271"/>
      <c r="H12" s="265" t="s">
        <v>27</v>
      </c>
      <c r="I12" s="272">
        <v>9196.67</v>
      </c>
      <c r="J12" s="272"/>
      <c r="K12" s="268" t="s">
        <v>22</v>
      </c>
      <c r="L12" s="269">
        <v>314746.67</v>
      </c>
    </row>
    <row r="13" spans="1:12" ht="61.2" x14ac:dyDescent="0.3">
      <c r="A13" s="263" t="s">
        <v>37</v>
      </c>
      <c r="B13" s="264" t="s">
        <v>613</v>
      </c>
      <c r="C13" s="264" t="s">
        <v>39</v>
      </c>
      <c r="D13" s="264" t="s">
        <v>618</v>
      </c>
      <c r="E13" s="265" t="s">
        <v>41</v>
      </c>
      <c r="F13" s="271" t="s">
        <v>28</v>
      </c>
      <c r="G13" s="271"/>
      <c r="H13" s="265" t="s">
        <v>27</v>
      </c>
      <c r="I13" s="272">
        <v>1338.31</v>
      </c>
      <c r="J13" s="272"/>
      <c r="K13" s="268" t="s">
        <v>22</v>
      </c>
      <c r="L13" s="269">
        <v>313408.36</v>
      </c>
    </row>
    <row r="14" spans="1:12" ht="61.2" x14ac:dyDescent="0.3">
      <c r="A14" s="263" t="s">
        <v>37</v>
      </c>
      <c r="B14" s="264" t="s">
        <v>613</v>
      </c>
      <c r="C14" s="264" t="s">
        <v>39</v>
      </c>
      <c r="D14" s="264" t="s">
        <v>609</v>
      </c>
      <c r="E14" s="265" t="s">
        <v>41</v>
      </c>
      <c r="F14" s="271" t="s">
        <v>28</v>
      </c>
      <c r="G14" s="271"/>
      <c r="H14" s="265" t="s">
        <v>27</v>
      </c>
      <c r="I14" s="272">
        <v>10172.700000000001</v>
      </c>
      <c r="J14" s="272"/>
      <c r="K14" s="268" t="s">
        <v>22</v>
      </c>
      <c r="L14" s="269">
        <v>303235.65999999997</v>
      </c>
    </row>
    <row r="15" spans="1:12" ht="61.2" x14ac:dyDescent="0.3">
      <c r="A15" s="263" t="s">
        <v>37</v>
      </c>
      <c r="B15" s="264" t="s">
        <v>613</v>
      </c>
      <c r="C15" s="264" t="s">
        <v>39</v>
      </c>
      <c r="D15" s="264" t="s">
        <v>609</v>
      </c>
      <c r="E15" s="265" t="s">
        <v>41</v>
      </c>
      <c r="F15" s="271" t="s">
        <v>28</v>
      </c>
      <c r="G15" s="271"/>
      <c r="H15" s="265" t="s">
        <v>27</v>
      </c>
      <c r="I15" s="272">
        <v>1271.5899999999999</v>
      </c>
      <c r="J15" s="272"/>
      <c r="K15" s="268" t="s">
        <v>22</v>
      </c>
      <c r="L15" s="269">
        <v>301964.07</v>
      </c>
    </row>
    <row r="16" spans="1:12" ht="61.2" x14ac:dyDescent="0.3">
      <c r="A16" s="263" t="s">
        <v>37</v>
      </c>
      <c r="B16" s="264" t="s">
        <v>613</v>
      </c>
      <c r="C16" s="264" t="s">
        <v>39</v>
      </c>
      <c r="D16" s="264" t="s">
        <v>607</v>
      </c>
      <c r="E16" s="265" t="s">
        <v>41</v>
      </c>
      <c r="F16" s="271" t="s">
        <v>28</v>
      </c>
      <c r="G16" s="271"/>
      <c r="H16" s="265" t="s">
        <v>27</v>
      </c>
      <c r="I16" s="272">
        <v>1236.1099999999999</v>
      </c>
      <c r="J16" s="272"/>
      <c r="K16" s="268" t="s">
        <v>22</v>
      </c>
      <c r="L16" s="269">
        <v>300727.96000000002</v>
      </c>
    </row>
    <row r="17" spans="1:12" ht="61.2" x14ac:dyDescent="0.3">
      <c r="A17" s="263" t="s">
        <v>37</v>
      </c>
      <c r="B17" s="264" t="s">
        <v>613</v>
      </c>
      <c r="C17" s="264" t="s">
        <v>39</v>
      </c>
      <c r="D17" s="264" t="s">
        <v>609</v>
      </c>
      <c r="E17" s="265" t="s">
        <v>41</v>
      </c>
      <c r="F17" s="271" t="s">
        <v>28</v>
      </c>
      <c r="G17" s="271"/>
      <c r="H17" s="265" t="s">
        <v>27</v>
      </c>
      <c r="I17" s="272">
        <v>1851.43</v>
      </c>
      <c r="J17" s="272"/>
      <c r="K17" s="268" t="s">
        <v>22</v>
      </c>
      <c r="L17" s="269">
        <v>298876.53000000003</v>
      </c>
    </row>
    <row r="18" spans="1:12" ht="61.2" x14ac:dyDescent="0.3">
      <c r="A18" s="263" t="s">
        <v>37</v>
      </c>
      <c r="B18" s="264" t="s">
        <v>613</v>
      </c>
      <c r="C18" s="264" t="s">
        <v>39</v>
      </c>
      <c r="D18" s="264" t="s">
        <v>35</v>
      </c>
      <c r="E18" s="265" t="s">
        <v>41</v>
      </c>
      <c r="F18" s="271" t="s">
        <v>28</v>
      </c>
      <c r="G18" s="271"/>
      <c r="H18" s="265" t="s">
        <v>27</v>
      </c>
      <c r="I18" s="272">
        <v>6414.41</v>
      </c>
      <c r="J18" s="272"/>
      <c r="K18" s="268" t="s">
        <v>22</v>
      </c>
      <c r="L18" s="269">
        <v>292462.12</v>
      </c>
    </row>
    <row r="19" spans="1:12" ht="61.2" x14ac:dyDescent="0.3">
      <c r="A19" s="263" t="s">
        <v>37</v>
      </c>
      <c r="B19" s="264" t="s">
        <v>613</v>
      </c>
      <c r="C19" s="264" t="s">
        <v>39</v>
      </c>
      <c r="D19" s="264" t="s">
        <v>619</v>
      </c>
      <c r="E19" s="265" t="s">
        <v>41</v>
      </c>
      <c r="F19" s="271" t="s">
        <v>28</v>
      </c>
      <c r="G19" s="271"/>
      <c r="H19" s="265" t="s">
        <v>27</v>
      </c>
      <c r="I19" s="272">
        <v>6748.14</v>
      </c>
      <c r="J19" s="272"/>
      <c r="K19" s="268" t="s">
        <v>22</v>
      </c>
      <c r="L19" s="269">
        <v>285713.98</v>
      </c>
    </row>
    <row r="20" spans="1:12" ht="61.2" x14ac:dyDescent="0.3">
      <c r="A20" s="263" t="s">
        <v>37</v>
      </c>
      <c r="B20" s="264" t="s">
        <v>613</v>
      </c>
      <c r="C20" s="264" t="s">
        <v>39</v>
      </c>
      <c r="D20" s="264" t="s">
        <v>237</v>
      </c>
      <c r="E20" s="265" t="s">
        <v>41</v>
      </c>
      <c r="F20" s="271" t="s">
        <v>28</v>
      </c>
      <c r="G20" s="271"/>
      <c r="H20" s="265" t="s">
        <v>27</v>
      </c>
      <c r="I20" s="273">
        <v>682.22</v>
      </c>
      <c r="J20" s="273"/>
      <c r="K20" s="268" t="s">
        <v>22</v>
      </c>
      <c r="L20" s="269">
        <v>285031.76</v>
      </c>
    </row>
    <row r="21" spans="1:12" ht="61.2" x14ac:dyDescent="0.3">
      <c r="A21" s="263" t="s">
        <v>37</v>
      </c>
      <c r="B21" s="264" t="s">
        <v>613</v>
      </c>
      <c r="C21" s="264" t="s">
        <v>39</v>
      </c>
      <c r="D21" s="264" t="s">
        <v>620</v>
      </c>
      <c r="E21" s="265" t="s">
        <v>41</v>
      </c>
      <c r="F21" s="271" t="s">
        <v>28</v>
      </c>
      <c r="G21" s="271"/>
      <c r="H21" s="265" t="s">
        <v>27</v>
      </c>
      <c r="I21" s="272">
        <v>7688.92</v>
      </c>
      <c r="J21" s="272"/>
      <c r="K21" s="268" t="s">
        <v>22</v>
      </c>
      <c r="L21" s="269">
        <v>277342.84000000003</v>
      </c>
    </row>
    <row r="22" spans="1:12" ht="61.2" x14ac:dyDescent="0.3">
      <c r="A22" s="263" t="s">
        <v>37</v>
      </c>
      <c r="B22" s="264" t="s">
        <v>613</v>
      </c>
      <c r="C22" s="264" t="s">
        <v>39</v>
      </c>
      <c r="D22" s="264" t="s">
        <v>196</v>
      </c>
      <c r="E22" s="265" t="s">
        <v>41</v>
      </c>
      <c r="F22" s="271" t="s">
        <v>28</v>
      </c>
      <c r="G22" s="271"/>
      <c r="H22" s="265" t="s">
        <v>27</v>
      </c>
      <c r="I22" s="272">
        <v>4378.17</v>
      </c>
      <c r="J22" s="272"/>
      <c r="K22" s="268" t="s">
        <v>22</v>
      </c>
      <c r="L22" s="269">
        <v>272964.67</v>
      </c>
    </row>
    <row r="23" spans="1:12" ht="61.2" x14ac:dyDescent="0.3">
      <c r="A23" s="263" t="s">
        <v>37</v>
      </c>
      <c r="B23" s="264" t="s">
        <v>613</v>
      </c>
      <c r="C23" s="264" t="s">
        <v>39</v>
      </c>
      <c r="D23" s="264" t="s">
        <v>621</v>
      </c>
      <c r="E23" s="265" t="s">
        <v>41</v>
      </c>
      <c r="F23" s="271" t="s">
        <v>28</v>
      </c>
      <c r="G23" s="271"/>
      <c r="H23" s="265" t="s">
        <v>27</v>
      </c>
      <c r="I23" s="272">
        <v>8107.7</v>
      </c>
      <c r="J23" s="272"/>
      <c r="K23" s="268" t="s">
        <v>22</v>
      </c>
      <c r="L23" s="269">
        <v>264856.96999999997</v>
      </c>
    </row>
    <row r="24" spans="1:12" ht="61.2" x14ac:dyDescent="0.3">
      <c r="A24" s="263" t="s">
        <v>37</v>
      </c>
      <c r="B24" s="264" t="s">
        <v>613</v>
      </c>
      <c r="C24" s="264" t="s">
        <v>39</v>
      </c>
      <c r="D24" s="264" t="s">
        <v>622</v>
      </c>
      <c r="E24" s="265" t="s">
        <v>41</v>
      </c>
      <c r="F24" s="271" t="s">
        <v>28</v>
      </c>
      <c r="G24" s="271"/>
      <c r="H24" s="265" t="s">
        <v>27</v>
      </c>
      <c r="I24" s="272">
        <v>23387.42</v>
      </c>
      <c r="J24" s="272"/>
      <c r="K24" s="268" t="s">
        <v>22</v>
      </c>
      <c r="L24" s="269">
        <v>241469.55</v>
      </c>
    </row>
    <row r="25" spans="1:12" ht="61.2" x14ac:dyDescent="0.3">
      <c r="A25" s="263" t="s">
        <v>37</v>
      </c>
      <c r="B25" s="264" t="s">
        <v>613</v>
      </c>
      <c r="C25" s="264" t="s">
        <v>39</v>
      </c>
      <c r="D25" s="264" t="s">
        <v>622</v>
      </c>
      <c r="E25" s="265" t="s">
        <v>41</v>
      </c>
      <c r="F25" s="271" t="s">
        <v>28</v>
      </c>
      <c r="G25" s="271"/>
      <c r="H25" s="265" t="s">
        <v>27</v>
      </c>
      <c r="I25" s="272">
        <v>4360.37</v>
      </c>
      <c r="J25" s="272"/>
      <c r="K25" s="268" t="s">
        <v>22</v>
      </c>
      <c r="L25" s="269">
        <v>237109.18</v>
      </c>
    </row>
    <row r="26" spans="1:12" ht="61.2" x14ac:dyDescent="0.3">
      <c r="A26" s="263" t="s">
        <v>37</v>
      </c>
      <c r="B26" s="264" t="s">
        <v>613</v>
      </c>
      <c r="C26" s="264" t="s">
        <v>39</v>
      </c>
      <c r="D26" s="264" t="s">
        <v>622</v>
      </c>
      <c r="E26" s="265" t="s">
        <v>41</v>
      </c>
      <c r="F26" s="271" t="s">
        <v>28</v>
      </c>
      <c r="G26" s="271"/>
      <c r="H26" s="265" t="s">
        <v>27</v>
      </c>
      <c r="I26" s="272">
        <v>7927.94</v>
      </c>
      <c r="J26" s="272"/>
      <c r="K26" s="268" t="s">
        <v>22</v>
      </c>
      <c r="L26" s="269">
        <v>229181.24</v>
      </c>
    </row>
    <row r="27" spans="1:12" ht="61.2" x14ac:dyDescent="0.3">
      <c r="A27" s="263" t="s">
        <v>37</v>
      </c>
      <c r="B27" s="264" t="s">
        <v>613</v>
      </c>
      <c r="C27" s="264" t="s">
        <v>39</v>
      </c>
      <c r="D27" s="264" t="s">
        <v>622</v>
      </c>
      <c r="E27" s="265" t="s">
        <v>41</v>
      </c>
      <c r="F27" s="271" t="s">
        <v>28</v>
      </c>
      <c r="G27" s="271"/>
      <c r="H27" s="265" t="s">
        <v>27</v>
      </c>
      <c r="I27" s="272">
        <v>7927.93</v>
      </c>
      <c r="J27" s="272"/>
      <c r="K27" s="268" t="s">
        <v>22</v>
      </c>
      <c r="L27" s="269">
        <v>221253.31</v>
      </c>
    </row>
    <row r="28" spans="1:12" ht="61.2" x14ac:dyDescent="0.3">
      <c r="A28" s="263" t="s">
        <v>37</v>
      </c>
      <c r="B28" s="264" t="s">
        <v>613</v>
      </c>
      <c r="C28" s="264" t="s">
        <v>39</v>
      </c>
      <c r="D28" s="264" t="s">
        <v>623</v>
      </c>
      <c r="E28" s="265" t="s">
        <v>41</v>
      </c>
      <c r="F28" s="271" t="s">
        <v>28</v>
      </c>
      <c r="G28" s="271"/>
      <c r="H28" s="265" t="s">
        <v>27</v>
      </c>
      <c r="I28" s="272">
        <v>24912.43</v>
      </c>
      <c r="J28" s="272"/>
      <c r="K28" s="268" t="s">
        <v>22</v>
      </c>
      <c r="L28" s="269">
        <v>196340.88</v>
      </c>
    </row>
    <row r="29" spans="1:12" ht="61.2" x14ac:dyDescent="0.3">
      <c r="A29" s="263" t="s">
        <v>37</v>
      </c>
      <c r="B29" s="264" t="s">
        <v>613</v>
      </c>
      <c r="C29" s="264" t="s">
        <v>39</v>
      </c>
      <c r="D29" s="264" t="s">
        <v>624</v>
      </c>
      <c r="E29" s="265" t="s">
        <v>41</v>
      </c>
      <c r="F29" s="271" t="s">
        <v>28</v>
      </c>
      <c r="G29" s="271"/>
      <c r="H29" s="265" t="s">
        <v>27</v>
      </c>
      <c r="I29" s="272">
        <v>25564.58</v>
      </c>
      <c r="J29" s="272"/>
      <c r="K29" s="268" t="s">
        <v>22</v>
      </c>
      <c r="L29" s="269">
        <v>170776.3</v>
      </c>
    </row>
    <row r="30" spans="1:12" ht="61.2" x14ac:dyDescent="0.3">
      <c r="A30" s="263" t="s">
        <v>37</v>
      </c>
      <c r="B30" s="264" t="s">
        <v>613</v>
      </c>
      <c r="C30" s="264" t="s">
        <v>39</v>
      </c>
      <c r="D30" s="264" t="s">
        <v>625</v>
      </c>
      <c r="E30" s="265" t="s">
        <v>41</v>
      </c>
      <c r="F30" s="271" t="s">
        <v>28</v>
      </c>
      <c r="G30" s="271"/>
      <c r="H30" s="265" t="s">
        <v>27</v>
      </c>
      <c r="I30" s="272">
        <v>12536.56</v>
      </c>
      <c r="J30" s="272"/>
      <c r="K30" s="268" t="s">
        <v>22</v>
      </c>
      <c r="L30" s="269">
        <v>158239.74</v>
      </c>
    </row>
    <row r="31" spans="1:12" ht="61.2" x14ac:dyDescent="0.3">
      <c r="A31" s="263" t="s">
        <v>37</v>
      </c>
      <c r="B31" s="264" t="s">
        <v>613</v>
      </c>
      <c r="C31" s="264" t="s">
        <v>39</v>
      </c>
      <c r="D31" s="264" t="s">
        <v>625</v>
      </c>
      <c r="E31" s="265" t="s">
        <v>41</v>
      </c>
      <c r="F31" s="271" t="s">
        <v>28</v>
      </c>
      <c r="G31" s="271"/>
      <c r="H31" s="265" t="s">
        <v>27</v>
      </c>
      <c r="I31" s="272">
        <v>4178.8500000000004</v>
      </c>
      <c r="J31" s="272"/>
      <c r="K31" s="268" t="s">
        <v>22</v>
      </c>
      <c r="L31" s="269">
        <v>154060.89000000001</v>
      </c>
    </row>
    <row r="32" spans="1:12" ht="61.2" x14ac:dyDescent="0.3">
      <c r="A32" s="263" t="s">
        <v>37</v>
      </c>
      <c r="B32" s="264" t="s">
        <v>626</v>
      </c>
      <c r="C32" s="264" t="s">
        <v>39</v>
      </c>
      <c r="D32" s="264" t="s">
        <v>627</v>
      </c>
      <c r="E32" s="265" t="s">
        <v>41</v>
      </c>
      <c r="F32" s="271" t="s">
        <v>28</v>
      </c>
      <c r="G32" s="271"/>
      <c r="H32" s="265" t="s">
        <v>27</v>
      </c>
      <c r="I32" s="273">
        <v>405</v>
      </c>
      <c r="J32" s="273"/>
      <c r="K32" s="268" t="s">
        <v>22</v>
      </c>
      <c r="L32" s="269">
        <v>153655.89000000001</v>
      </c>
    </row>
    <row r="33" spans="1:12" ht="61.2" x14ac:dyDescent="0.3">
      <c r="A33" s="263" t="s">
        <v>37</v>
      </c>
      <c r="B33" s="264" t="s">
        <v>626</v>
      </c>
      <c r="C33" s="264" t="s">
        <v>39</v>
      </c>
      <c r="D33" s="264" t="s">
        <v>628</v>
      </c>
      <c r="E33" s="265" t="s">
        <v>41</v>
      </c>
      <c r="F33" s="271" t="s">
        <v>28</v>
      </c>
      <c r="G33" s="271"/>
      <c r="H33" s="265" t="s">
        <v>27</v>
      </c>
      <c r="I33" s="273">
        <v>297.14999999999998</v>
      </c>
      <c r="J33" s="273"/>
      <c r="K33" s="268" t="s">
        <v>22</v>
      </c>
      <c r="L33" s="269">
        <v>153358.74</v>
      </c>
    </row>
    <row r="34" spans="1:12" ht="61.2" x14ac:dyDescent="0.3">
      <c r="A34" s="263" t="s">
        <v>37</v>
      </c>
      <c r="B34" s="264" t="s">
        <v>626</v>
      </c>
      <c r="C34" s="264" t="s">
        <v>39</v>
      </c>
      <c r="D34" s="264" t="s">
        <v>629</v>
      </c>
      <c r="E34" s="265" t="s">
        <v>41</v>
      </c>
      <c r="F34" s="271" t="s">
        <v>28</v>
      </c>
      <c r="G34" s="271"/>
      <c r="H34" s="265" t="s">
        <v>27</v>
      </c>
      <c r="I34" s="273">
        <v>365</v>
      </c>
      <c r="J34" s="273"/>
      <c r="K34" s="268" t="s">
        <v>22</v>
      </c>
      <c r="L34" s="269">
        <v>152993.74</v>
      </c>
    </row>
    <row r="35" spans="1:12" ht="61.2" hidden="1" x14ac:dyDescent="0.3">
      <c r="A35" s="263" t="s">
        <v>54</v>
      </c>
      <c r="B35" s="264" t="s">
        <v>254</v>
      </c>
      <c r="C35" s="264" t="s">
        <v>255</v>
      </c>
      <c r="D35" s="264" t="s">
        <v>248</v>
      </c>
      <c r="E35" s="265" t="s">
        <v>27</v>
      </c>
      <c r="F35" s="266">
        <v>9328</v>
      </c>
      <c r="G35" s="266"/>
      <c r="H35" s="265" t="s">
        <v>27</v>
      </c>
      <c r="I35" s="267" t="s">
        <v>28</v>
      </c>
      <c r="J35" s="267"/>
      <c r="K35" s="268" t="s">
        <v>22</v>
      </c>
      <c r="L35" s="269">
        <v>162321.74</v>
      </c>
    </row>
    <row r="36" spans="1:12" ht="61.2" hidden="1" x14ac:dyDescent="0.3">
      <c r="A36" s="263" t="s">
        <v>256</v>
      </c>
      <c r="B36" s="264" t="s">
        <v>262</v>
      </c>
      <c r="C36" s="264" t="s">
        <v>263</v>
      </c>
      <c r="D36" s="264" t="s">
        <v>258</v>
      </c>
      <c r="E36" s="265" t="s">
        <v>27</v>
      </c>
      <c r="F36" s="266">
        <v>3908.08</v>
      </c>
      <c r="G36" s="266"/>
      <c r="H36" s="265" t="s">
        <v>27</v>
      </c>
      <c r="I36" s="267" t="s">
        <v>28</v>
      </c>
      <c r="J36" s="267"/>
      <c r="K36" s="268" t="s">
        <v>22</v>
      </c>
      <c r="L36" s="269">
        <v>166229.82</v>
      </c>
    </row>
    <row r="37" spans="1:12" ht="61.2" hidden="1" x14ac:dyDescent="0.3">
      <c r="A37" s="263" t="s">
        <v>71</v>
      </c>
      <c r="B37" s="264" t="s">
        <v>282</v>
      </c>
      <c r="C37" s="264" t="s">
        <v>283</v>
      </c>
      <c r="D37" s="264" t="s">
        <v>276</v>
      </c>
      <c r="E37" s="265" t="s">
        <v>27</v>
      </c>
      <c r="F37" s="266">
        <v>8205.33</v>
      </c>
      <c r="G37" s="266"/>
      <c r="H37" s="265" t="s">
        <v>27</v>
      </c>
      <c r="I37" s="267" t="s">
        <v>28</v>
      </c>
      <c r="J37" s="267"/>
      <c r="K37" s="268" t="s">
        <v>22</v>
      </c>
      <c r="L37" s="269">
        <v>174435.15</v>
      </c>
    </row>
    <row r="38" spans="1:12" ht="61.2" hidden="1" x14ac:dyDescent="0.3">
      <c r="A38" s="263" t="s">
        <v>177</v>
      </c>
      <c r="B38" s="264" t="s">
        <v>630</v>
      </c>
      <c r="C38" s="264" t="s">
        <v>631</v>
      </c>
      <c r="D38" s="264" t="s">
        <v>80</v>
      </c>
      <c r="E38" s="265" t="s">
        <v>27</v>
      </c>
      <c r="F38" s="266">
        <v>45260</v>
      </c>
      <c r="G38" s="266"/>
      <c r="H38" s="265" t="s">
        <v>58</v>
      </c>
      <c r="I38" s="267" t="s">
        <v>28</v>
      </c>
      <c r="J38" s="267"/>
      <c r="K38" s="268" t="s">
        <v>22</v>
      </c>
      <c r="L38" s="269">
        <v>219695.15</v>
      </c>
    </row>
    <row r="39" spans="1:12" ht="61.2" hidden="1" x14ac:dyDescent="0.3">
      <c r="A39" s="263" t="s">
        <v>177</v>
      </c>
      <c r="B39" s="264" t="s">
        <v>632</v>
      </c>
      <c r="C39" s="264" t="s">
        <v>631</v>
      </c>
      <c r="D39" s="264" t="s">
        <v>80</v>
      </c>
      <c r="E39" s="265" t="s">
        <v>27</v>
      </c>
      <c r="F39" s="266">
        <v>15860.5</v>
      </c>
      <c r="G39" s="266"/>
      <c r="H39" s="265" t="s">
        <v>58</v>
      </c>
      <c r="I39" s="267" t="s">
        <v>28</v>
      </c>
      <c r="J39" s="267"/>
      <c r="K39" s="268" t="s">
        <v>22</v>
      </c>
      <c r="L39" s="269">
        <v>235555.65</v>
      </c>
    </row>
    <row r="40" spans="1:12" ht="61.2" hidden="1" x14ac:dyDescent="0.3">
      <c r="A40" s="263" t="s">
        <v>304</v>
      </c>
      <c r="B40" s="264" t="s">
        <v>633</v>
      </c>
      <c r="C40" s="264" t="s">
        <v>634</v>
      </c>
      <c r="D40" s="264" t="s">
        <v>80</v>
      </c>
      <c r="E40" s="265" t="s">
        <v>27</v>
      </c>
      <c r="F40" s="266">
        <v>21900</v>
      </c>
      <c r="G40" s="266"/>
      <c r="H40" s="265" t="s">
        <v>58</v>
      </c>
      <c r="I40" s="267" t="s">
        <v>28</v>
      </c>
      <c r="J40" s="267"/>
      <c r="K40" s="268" t="s">
        <v>22</v>
      </c>
      <c r="L40" s="269">
        <v>257455.65</v>
      </c>
    </row>
    <row r="41" spans="1:12" ht="61.2" hidden="1" x14ac:dyDescent="0.3">
      <c r="A41" s="263" t="s">
        <v>304</v>
      </c>
      <c r="B41" s="264" t="s">
        <v>635</v>
      </c>
      <c r="C41" s="264" t="s">
        <v>634</v>
      </c>
      <c r="D41" s="264" t="s">
        <v>80</v>
      </c>
      <c r="E41" s="265" t="s">
        <v>27</v>
      </c>
      <c r="F41" s="266">
        <v>8490.5</v>
      </c>
      <c r="G41" s="266"/>
      <c r="H41" s="265" t="s">
        <v>58</v>
      </c>
      <c r="I41" s="267" t="s">
        <v>28</v>
      </c>
      <c r="J41" s="267"/>
      <c r="K41" s="268" t="s">
        <v>22</v>
      </c>
      <c r="L41" s="269">
        <v>265946.15000000002</v>
      </c>
    </row>
    <row r="42" spans="1:12" ht="61.2" hidden="1" x14ac:dyDescent="0.3">
      <c r="A42" s="263" t="s">
        <v>636</v>
      </c>
      <c r="B42" s="264" t="s">
        <v>637</v>
      </c>
      <c r="C42" s="264" t="s">
        <v>638</v>
      </c>
      <c r="D42" s="264" t="s">
        <v>80</v>
      </c>
      <c r="E42" s="265" t="s">
        <v>27</v>
      </c>
      <c r="F42" s="266">
        <v>17520</v>
      </c>
      <c r="G42" s="266"/>
      <c r="H42" s="265" t="s">
        <v>58</v>
      </c>
      <c r="I42" s="267" t="s">
        <v>28</v>
      </c>
      <c r="J42" s="267"/>
      <c r="K42" s="268" t="s">
        <v>22</v>
      </c>
      <c r="L42" s="269">
        <v>283466.15000000002</v>
      </c>
    </row>
    <row r="43" spans="1:12" ht="61.2" hidden="1" x14ac:dyDescent="0.3">
      <c r="A43" s="263" t="s">
        <v>636</v>
      </c>
      <c r="B43" s="264" t="s">
        <v>639</v>
      </c>
      <c r="C43" s="264" t="s">
        <v>638</v>
      </c>
      <c r="D43" s="264" t="s">
        <v>80</v>
      </c>
      <c r="E43" s="265" t="s">
        <v>27</v>
      </c>
      <c r="F43" s="266">
        <v>7370</v>
      </c>
      <c r="G43" s="266"/>
      <c r="H43" s="265" t="s">
        <v>58</v>
      </c>
      <c r="I43" s="267" t="s">
        <v>28</v>
      </c>
      <c r="J43" s="267"/>
      <c r="K43" s="268" t="s">
        <v>22</v>
      </c>
      <c r="L43" s="269">
        <v>290836.15000000002</v>
      </c>
    </row>
    <row r="44" spans="1:12" ht="61.2" x14ac:dyDescent="0.3">
      <c r="A44" s="263" t="s">
        <v>83</v>
      </c>
      <c r="B44" s="264" t="s">
        <v>640</v>
      </c>
      <c r="C44" s="264" t="s">
        <v>39</v>
      </c>
      <c r="D44" s="264" t="s">
        <v>619</v>
      </c>
      <c r="E44" s="265" t="s">
        <v>41</v>
      </c>
      <c r="F44" s="271" t="s">
        <v>28</v>
      </c>
      <c r="G44" s="271"/>
      <c r="H44" s="265" t="s">
        <v>27</v>
      </c>
      <c r="I44" s="272">
        <v>4797.01</v>
      </c>
      <c r="J44" s="272"/>
      <c r="K44" s="268" t="s">
        <v>22</v>
      </c>
      <c r="L44" s="269">
        <v>286039.14</v>
      </c>
    </row>
    <row r="45" spans="1:12" ht="61.2" x14ac:dyDescent="0.3">
      <c r="A45" s="263" t="s">
        <v>83</v>
      </c>
      <c r="B45" s="264" t="s">
        <v>640</v>
      </c>
      <c r="C45" s="264" t="s">
        <v>39</v>
      </c>
      <c r="D45" s="264" t="s">
        <v>641</v>
      </c>
      <c r="E45" s="265" t="s">
        <v>41</v>
      </c>
      <c r="F45" s="271" t="s">
        <v>28</v>
      </c>
      <c r="G45" s="271"/>
      <c r="H45" s="265" t="s">
        <v>27</v>
      </c>
      <c r="I45" s="272">
        <v>1872.64</v>
      </c>
      <c r="J45" s="272"/>
      <c r="K45" s="268" t="s">
        <v>22</v>
      </c>
      <c r="L45" s="269">
        <v>284166.5</v>
      </c>
    </row>
    <row r="46" spans="1:12" ht="61.2" x14ac:dyDescent="0.3">
      <c r="A46" s="263" t="s">
        <v>83</v>
      </c>
      <c r="B46" s="264" t="s">
        <v>640</v>
      </c>
      <c r="C46" s="264" t="s">
        <v>39</v>
      </c>
      <c r="D46" s="264" t="s">
        <v>237</v>
      </c>
      <c r="E46" s="265" t="s">
        <v>41</v>
      </c>
      <c r="F46" s="271" t="s">
        <v>28</v>
      </c>
      <c r="G46" s="271"/>
      <c r="H46" s="265" t="s">
        <v>27</v>
      </c>
      <c r="I46" s="272">
        <v>2728.88</v>
      </c>
      <c r="J46" s="272"/>
      <c r="K46" s="268" t="s">
        <v>22</v>
      </c>
      <c r="L46" s="269">
        <v>281437.62</v>
      </c>
    </row>
    <row r="47" spans="1:12" ht="61.2" x14ac:dyDescent="0.3">
      <c r="A47" s="263" t="s">
        <v>83</v>
      </c>
      <c r="B47" s="264" t="s">
        <v>640</v>
      </c>
      <c r="C47" s="264" t="s">
        <v>39</v>
      </c>
      <c r="D47" s="264" t="s">
        <v>625</v>
      </c>
      <c r="E47" s="265" t="s">
        <v>41</v>
      </c>
      <c r="F47" s="271" t="s">
        <v>28</v>
      </c>
      <c r="G47" s="271"/>
      <c r="H47" s="265" t="s">
        <v>27</v>
      </c>
      <c r="I47" s="272">
        <v>32595.040000000001</v>
      </c>
      <c r="J47" s="272"/>
      <c r="K47" s="268" t="s">
        <v>22</v>
      </c>
      <c r="L47" s="269">
        <v>248842.58</v>
      </c>
    </row>
    <row r="48" spans="1:12" ht="61.2" x14ac:dyDescent="0.3">
      <c r="A48" s="263" t="s">
        <v>83</v>
      </c>
      <c r="B48" s="264" t="s">
        <v>640</v>
      </c>
      <c r="C48" s="264" t="s">
        <v>39</v>
      </c>
      <c r="D48" s="264" t="s">
        <v>540</v>
      </c>
      <c r="E48" s="265" t="s">
        <v>41</v>
      </c>
      <c r="F48" s="271" t="s">
        <v>28</v>
      </c>
      <c r="G48" s="271"/>
      <c r="H48" s="265" t="s">
        <v>27</v>
      </c>
      <c r="I48" s="272">
        <v>20950.080000000002</v>
      </c>
      <c r="J48" s="272"/>
      <c r="K48" s="268" t="s">
        <v>22</v>
      </c>
      <c r="L48" s="269">
        <v>227892.5</v>
      </c>
    </row>
    <row r="49" spans="1:12" ht="61.2" x14ac:dyDescent="0.3">
      <c r="A49" s="263" t="s">
        <v>83</v>
      </c>
      <c r="B49" s="264" t="s">
        <v>642</v>
      </c>
      <c r="C49" s="264" t="s">
        <v>39</v>
      </c>
      <c r="D49" s="264" t="s">
        <v>627</v>
      </c>
      <c r="E49" s="265" t="s">
        <v>41</v>
      </c>
      <c r="F49" s="271" t="s">
        <v>28</v>
      </c>
      <c r="G49" s="271"/>
      <c r="H49" s="265" t="s">
        <v>27</v>
      </c>
      <c r="I49" s="273">
        <v>405</v>
      </c>
      <c r="J49" s="273"/>
      <c r="K49" s="268" t="s">
        <v>22</v>
      </c>
      <c r="L49" s="269">
        <v>227487.5</v>
      </c>
    </row>
    <row r="50" spans="1:12" ht="61.2" x14ac:dyDescent="0.3">
      <c r="A50" s="263" t="s">
        <v>83</v>
      </c>
      <c r="B50" s="264" t="s">
        <v>642</v>
      </c>
      <c r="C50" s="264" t="s">
        <v>39</v>
      </c>
      <c r="D50" s="264" t="s">
        <v>643</v>
      </c>
      <c r="E50" s="265" t="s">
        <v>41</v>
      </c>
      <c r="F50" s="271" t="s">
        <v>28</v>
      </c>
      <c r="G50" s="271"/>
      <c r="H50" s="265" t="s">
        <v>27</v>
      </c>
      <c r="I50" s="273">
        <v>150.44999999999999</v>
      </c>
      <c r="J50" s="273"/>
      <c r="K50" s="268" t="s">
        <v>22</v>
      </c>
      <c r="L50" s="269">
        <v>227337.05</v>
      </c>
    </row>
    <row r="51" spans="1:12" ht="71.400000000000006" x14ac:dyDescent="0.3">
      <c r="A51" s="263" t="s">
        <v>98</v>
      </c>
      <c r="B51" s="264" t="s">
        <v>644</v>
      </c>
      <c r="C51" s="264" t="s">
        <v>39</v>
      </c>
      <c r="D51" s="264" t="s">
        <v>615</v>
      </c>
      <c r="E51" s="265" t="s">
        <v>41</v>
      </c>
      <c r="F51" s="271" t="s">
        <v>28</v>
      </c>
      <c r="G51" s="271"/>
      <c r="H51" s="265" t="s">
        <v>27</v>
      </c>
      <c r="I51" s="272">
        <v>6526</v>
      </c>
      <c r="J51" s="272"/>
      <c r="K51" s="268" t="s">
        <v>22</v>
      </c>
      <c r="L51" s="269">
        <v>220811.05</v>
      </c>
    </row>
    <row r="52" spans="1:12" ht="71.400000000000006" x14ac:dyDescent="0.3">
      <c r="A52" s="263" t="s">
        <v>98</v>
      </c>
      <c r="B52" s="264" t="s">
        <v>644</v>
      </c>
      <c r="C52" s="264" t="s">
        <v>39</v>
      </c>
      <c r="D52" s="264" t="s">
        <v>617</v>
      </c>
      <c r="E52" s="265" t="s">
        <v>41</v>
      </c>
      <c r="F52" s="271" t="s">
        <v>28</v>
      </c>
      <c r="G52" s="271"/>
      <c r="H52" s="265" t="s">
        <v>27</v>
      </c>
      <c r="I52" s="272">
        <v>28933.33</v>
      </c>
      <c r="J52" s="272"/>
      <c r="K52" s="268" t="s">
        <v>22</v>
      </c>
      <c r="L52" s="269">
        <v>191877.72</v>
      </c>
    </row>
    <row r="53" spans="1:12" ht="61.2" x14ac:dyDescent="0.3">
      <c r="A53" s="263" t="s">
        <v>98</v>
      </c>
      <c r="B53" s="264" t="s">
        <v>644</v>
      </c>
      <c r="C53" s="264" t="s">
        <v>39</v>
      </c>
      <c r="D53" s="264" t="s">
        <v>540</v>
      </c>
      <c r="E53" s="265" t="s">
        <v>41</v>
      </c>
      <c r="F53" s="271" t="s">
        <v>28</v>
      </c>
      <c r="G53" s="271"/>
      <c r="H53" s="265" t="s">
        <v>27</v>
      </c>
      <c r="I53" s="272">
        <v>12203.93</v>
      </c>
      <c r="J53" s="272"/>
      <c r="K53" s="268" t="s">
        <v>22</v>
      </c>
      <c r="L53" s="269">
        <v>179673.79</v>
      </c>
    </row>
    <row r="54" spans="1:12" ht="61.2" x14ac:dyDescent="0.3">
      <c r="A54" s="263" t="s">
        <v>98</v>
      </c>
      <c r="B54" s="264" t="s">
        <v>644</v>
      </c>
      <c r="C54" s="264" t="s">
        <v>39</v>
      </c>
      <c r="D54" s="264" t="s">
        <v>631</v>
      </c>
      <c r="E54" s="265" t="s">
        <v>41</v>
      </c>
      <c r="F54" s="271" t="s">
        <v>28</v>
      </c>
      <c r="G54" s="271"/>
      <c r="H54" s="265" t="s">
        <v>27</v>
      </c>
      <c r="I54" s="272">
        <v>61120.5</v>
      </c>
      <c r="J54" s="272"/>
      <c r="K54" s="268" t="s">
        <v>22</v>
      </c>
      <c r="L54" s="269">
        <v>118553.29</v>
      </c>
    </row>
    <row r="55" spans="1:12" ht="61.2" x14ac:dyDescent="0.3">
      <c r="A55" s="263" t="s">
        <v>98</v>
      </c>
      <c r="B55" s="264" t="s">
        <v>644</v>
      </c>
      <c r="C55" s="264" t="s">
        <v>39</v>
      </c>
      <c r="D55" s="264" t="s">
        <v>634</v>
      </c>
      <c r="E55" s="265" t="s">
        <v>41</v>
      </c>
      <c r="F55" s="271" t="s">
        <v>28</v>
      </c>
      <c r="G55" s="271"/>
      <c r="H55" s="265" t="s">
        <v>27</v>
      </c>
      <c r="I55" s="272">
        <v>30390.5</v>
      </c>
      <c r="J55" s="272"/>
      <c r="K55" s="268" t="s">
        <v>22</v>
      </c>
      <c r="L55" s="269">
        <v>88162.79</v>
      </c>
    </row>
    <row r="56" spans="1:12" ht="61.2" x14ac:dyDescent="0.3">
      <c r="A56" s="263" t="s">
        <v>98</v>
      </c>
      <c r="B56" s="264" t="s">
        <v>644</v>
      </c>
      <c r="C56" s="264" t="s">
        <v>39</v>
      </c>
      <c r="D56" s="264" t="s">
        <v>540</v>
      </c>
      <c r="E56" s="265" t="s">
        <v>41</v>
      </c>
      <c r="F56" s="271" t="s">
        <v>28</v>
      </c>
      <c r="G56" s="271"/>
      <c r="H56" s="265" t="s">
        <v>27</v>
      </c>
      <c r="I56" s="272">
        <v>3038.78</v>
      </c>
      <c r="J56" s="272"/>
      <c r="K56" s="268" t="s">
        <v>22</v>
      </c>
      <c r="L56" s="269">
        <v>85124.01</v>
      </c>
    </row>
    <row r="57" spans="1:12" ht="61.2" hidden="1" x14ac:dyDescent="0.3">
      <c r="A57" s="263" t="s">
        <v>98</v>
      </c>
      <c r="B57" s="264" t="s">
        <v>538</v>
      </c>
      <c r="C57" s="264" t="s">
        <v>539</v>
      </c>
      <c r="D57" s="264" t="s">
        <v>540</v>
      </c>
      <c r="E57" s="265" t="s">
        <v>27</v>
      </c>
      <c r="F57" s="271" t="s">
        <v>28</v>
      </c>
      <c r="G57" s="271"/>
      <c r="H57" s="265" t="s">
        <v>27</v>
      </c>
      <c r="I57" s="272">
        <v>1029.2</v>
      </c>
      <c r="J57" s="272"/>
      <c r="K57" s="268" t="s">
        <v>22</v>
      </c>
      <c r="L57" s="269">
        <v>84094.81</v>
      </c>
    </row>
    <row r="58" spans="1:12" ht="61.2" hidden="1" x14ac:dyDescent="0.3">
      <c r="A58" s="263" t="s">
        <v>98</v>
      </c>
      <c r="B58" s="264" t="s">
        <v>645</v>
      </c>
      <c r="C58" s="264" t="s">
        <v>646</v>
      </c>
      <c r="D58" s="264" t="s">
        <v>647</v>
      </c>
      <c r="E58" s="265" t="s">
        <v>27</v>
      </c>
      <c r="F58" s="266">
        <v>37390.080000000002</v>
      </c>
      <c r="G58" s="266"/>
      <c r="H58" s="265" t="s">
        <v>27</v>
      </c>
      <c r="I58" s="267" t="s">
        <v>28</v>
      </c>
      <c r="J58" s="267"/>
      <c r="K58" s="268" t="s">
        <v>22</v>
      </c>
      <c r="L58" s="269">
        <v>121484.89</v>
      </c>
    </row>
    <row r="59" spans="1:12" ht="61.2" hidden="1" x14ac:dyDescent="0.3">
      <c r="A59" s="263" t="s">
        <v>98</v>
      </c>
      <c r="B59" s="264" t="s">
        <v>648</v>
      </c>
      <c r="C59" s="264" t="s">
        <v>649</v>
      </c>
      <c r="D59" s="264" t="s">
        <v>540</v>
      </c>
      <c r="E59" s="265" t="s">
        <v>27</v>
      </c>
      <c r="F59" s="271" t="s">
        <v>28</v>
      </c>
      <c r="G59" s="271"/>
      <c r="H59" s="265" t="s">
        <v>27</v>
      </c>
      <c r="I59" s="272">
        <v>1423.79</v>
      </c>
      <c r="J59" s="272"/>
      <c r="K59" s="268" t="s">
        <v>22</v>
      </c>
      <c r="L59" s="269">
        <v>120061.1</v>
      </c>
    </row>
    <row r="60" spans="1:12" ht="61.2" hidden="1" x14ac:dyDescent="0.3">
      <c r="A60" s="263" t="s">
        <v>98</v>
      </c>
      <c r="B60" s="264" t="s">
        <v>648</v>
      </c>
      <c r="C60" s="264" t="s">
        <v>244</v>
      </c>
      <c r="D60" s="264" t="s">
        <v>246</v>
      </c>
      <c r="E60" s="265" t="s">
        <v>27</v>
      </c>
      <c r="F60" s="271" t="s">
        <v>28</v>
      </c>
      <c r="G60" s="271"/>
      <c r="H60" s="265" t="s">
        <v>27</v>
      </c>
      <c r="I60" s="272">
        <v>11252</v>
      </c>
      <c r="J60" s="272"/>
      <c r="K60" s="268" t="s">
        <v>22</v>
      </c>
      <c r="L60" s="269">
        <v>108809.1</v>
      </c>
    </row>
    <row r="61" spans="1:12" ht="61.2" hidden="1" x14ac:dyDescent="0.3">
      <c r="A61" s="263" t="s">
        <v>98</v>
      </c>
      <c r="B61" s="264" t="s">
        <v>648</v>
      </c>
      <c r="C61" s="264" t="s">
        <v>253</v>
      </c>
      <c r="D61" s="264" t="s">
        <v>255</v>
      </c>
      <c r="E61" s="265" t="s">
        <v>27</v>
      </c>
      <c r="F61" s="271" t="s">
        <v>28</v>
      </c>
      <c r="G61" s="271"/>
      <c r="H61" s="265" t="s">
        <v>27</v>
      </c>
      <c r="I61" s="272">
        <v>9328</v>
      </c>
      <c r="J61" s="272"/>
      <c r="K61" s="268" t="s">
        <v>22</v>
      </c>
      <c r="L61" s="269">
        <v>99481.1</v>
      </c>
    </row>
    <row r="62" spans="1:12" ht="61.2" hidden="1" x14ac:dyDescent="0.3">
      <c r="A62" s="263" t="s">
        <v>98</v>
      </c>
      <c r="B62" s="264" t="s">
        <v>648</v>
      </c>
      <c r="C62" s="264" t="s">
        <v>261</v>
      </c>
      <c r="D62" s="264" t="s">
        <v>263</v>
      </c>
      <c r="E62" s="265" t="s">
        <v>27</v>
      </c>
      <c r="F62" s="271" t="s">
        <v>28</v>
      </c>
      <c r="G62" s="271"/>
      <c r="H62" s="265" t="s">
        <v>27</v>
      </c>
      <c r="I62" s="272">
        <v>3908.08</v>
      </c>
      <c r="J62" s="272"/>
      <c r="K62" s="268" t="s">
        <v>22</v>
      </c>
      <c r="L62" s="269">
        <v>95573.02</v>
      </c>
    </row>
    <row r="63" spans="1:12" ht="61.2" hidden="1" x14ac:dyDescent="0.3">
      <c r="A63" s="263" t="s">
        <v>98</v>
      </c>
      <c r="B63" s="264" t="s">
        <v>648</v>
      </c>
      <c r="C63" s="264" t="s">
        <v>647</v>
      </c>
      <c r="D63" s="264" t="s">
        <v>646</v>
      </c>
      <c r="E63" s="265" t="s">
        <v>27</v>
      </c>
      <c r="F63" s="271" t="s">
        <v>28</v>
      </c>
      <c r="G63" s="271"/>
      <c r="H63" s="265" t="s">
        <v>27</v>
      </c>
      <c r="I63" s="272">
        <v>24971.11</v>
      </c>
      <c r="J63" s="272"/>
      <c r="K63" s="268" t="s">
        <v>22</v>
      </c>
      <c r="L63" s="269">
        <v>70601.91</v>
      </c>
    </row>
    <row r="64" spans="1:12" ht="61.2" hidden="1" x14ac:dyDescent="0.3">
      <c r="A64" s="263" t="s">
        <v>98</v>
      </c>
      <c r="B64" s="264" t="s">
        <v>648</v>
      </c>
      <c r="C64" s="264" t="s">
        <v>650</v>
      </c>
      <c r="D64" s="264" t="s">
        <v>283</v>
      </c>
      <c r="E64" s="265" t="s">
        <v>27</v>
      </c>
      <c r="F64" s="271" t="s">
        <v>28</v>
      </c>
      <c r="G64" s="271"/>
      <c r="H64" s="265" t="s">
        <v>27</v>
      </c>
      <c r="I64" s="272">
        <v>8205.33</v>
      </c>
      <c r="J64" s="272"/>
      <c r="K64" s="268" t="s">
        <v>22</v>
      </c>
      <c r="L64" s="269">
        <v>62396.58</v>
      </c>
    </row>
    <row r="65" spans="1:12" ht="61.2" hidden="1" x14ac:dyDescent="0.3">
      <c r="A65" s="263" t="s">
        <v>98</v>
      </c>
      <c r="B65" s="264" t="s">
        <v>648</v>
      </c>
      <c r="C65" s="264" t="s">
        <v>651</v>
      </c>
      <c r="D65" s="264" t="s">
        <v>652</v>
      </c>
      <c r="E65" s="265" t="s">
        <v>27</v>
      </c>
      <c r="F65" s="271" t="s">
        <v>28</v>
      </c>
      <c r="G65" s="271"/>
      <c r="H65" s="265" t="s">
        <v>27</v>
      </c>
      <c r="I65" s="272">
        <v>7387.5</v>
      </c>
      <c r="J65" s="272"/>
      <c r="K65" s="268" t="s">
        <v>22</v>
      </c>
      <c r="L65" s="269">
        <v>55009.08</v>
      </c>
    </row>
    <row r="66" spans="1:12" ht="61.2" hidden="1" x14ac:dyDescent="0.3">
      <c r="A66" s="263" t="s">
        <v>98</v>
      </c>
      <c r="B66" s="264" t="s">
        <v>195</v>
      </c>
      <c r="C66" s="264" t="s">
        <v>196</v>
      </c>
      <c r="D66" s="264" t="s">
        <v>191</v>
      </c>
      <c r="E66" s="265" t="s">
        <v>27</v>
      </c>
      <c r="F66" s="266">
        <v>23403.31</v>
      </c>
      <c r="G66" s="266"/>
      <c r="H66" s="265" t="s">
        <v>27</v>
      </c>
      <c r="I66" s="267" t="s">
        <v>28</v>
      </c>
      <c r="J66" s="267"/>
      <c r="K66" s="268" t="s">
        <v>22</v>
      </c>
      <c r="L66" s="269">
        <v>78412.39</v>
      </c>
    </row>
    <row r="67" spans="1:12" ht="61.2" hidden="1" x14ac:dyDescent="0.3">
      <c r="A67" s="263" t="s">
        <v>98</v>
      </c>
      <c r="B67" s="264" t="s">
        <v>653</v>
      </c>
      <c r="C67" s="264" t="s">
        <v>283</v>
      </c>
      <c r="D67" s="264" t="s">
        <v>279</v>
      </c>
      <c r="E67" s="265" t="s">
        <v>27</v>
      </c>
      <c r="F67" s="270">
        <v>41.03</v>
      </c>
      <c r="G67" s="270"/>
      <c r="H67" s="265" t="s">
        <v>27</v>
      </c>
      <c r="I67" s="267" t="s">
        <v>28</v>
      </c>
      <c r="J67" s="267"/>
      <c r="K67" s="268" t="s">
        <v>22</v>
      </c>
      <c r="L67" s="269">
        <v>78453.42</v>
      </c>
    </row>
    <row r="68" spans="1:12" ht="61.2" hidden="1" x14ac:dyDescent="0.3">
      <c r="A68" s="263" t="s">
        <v>98</v>
      </c>
      <c r="B68" s="264" t="s">
        <v>99</v>
      </c>
      <c r="C68" s="264" t="s">
        <v>100</v>
      </c>
      <c r="D68" s="264" t="s">
        <v>77</v>
      </c>
      <c r="E68" s="265" t="s">
        <v>27</v>
      </c>
      <c r="F68" s="270">
        <v>857.88</v>
      </c>
      <c r="G68" s="270"/>
      <c r="H68" s="265" t="s">
        <v>27</v>
      </c>
      <c r="I68" s="267" t="s">
        <v>28</v>
      </c>
      <c r="J68" s="267"/>
      <c r="K68" s="268" t="s">
        <v>22</v>
      </c>
      <c r="L68" s="269">
        <v>79311.3</v>
      </c>
    </row>
    <row r="69" spans="1:12" ht="61.2" x14ac:dyDescent="0.3">
      <c r="A69" s="263" t="s">
        <v>98</v>
      </c>
      <c r="B69" s="264" t="s">
        <v>654</v>
      </c>
      <c r="C69" s="264" t="s">
        <v>39</v>
      </c>
      <c r="D69" s="264" t="s">
        <v>646</v>
      </c>
      <c r="E69" s="265" t="s">
        <v>41</v>
      </c>
      <c r="F69" s="271" t="s">
        <v>28</v>
      </c>
      <c r="G69" s="271"/>
      <c r="H69" s="265" t="s">
        <v>27</v>
      </c>
      <c r="I69" s="272">
        <v>12418.97</v>
      </c>
      <c r="J69" s="272"/>
      <c r="K69" s="268" t="s">
        <v>22</v>
      </c>
      <c r="L69" s="269">
        <v>66892.33</v>
      </c>
    </row>
    <row r="70" spans="1:12" ht="61.2" x14ac:dyDescent="0.3">
      <c r="A70" s="263" t="s">
        <v>98</v>
      </c>
      <c r="B70" s="264" t="s">
        <v>654</v>
      </c>
      <c r="C70" s="264" t="s">
        <v>39</v>
      </c>
      <c r="D70" s="264" t="s">
        <v>638</v>
      </c>
      <c r="E70" s="265" t="s">
        <v>41</v>
      </c>
      <c r="F70" s="271" t="s">
        <v>28</v>
      </c>
      <c r="G70" s="271"/>
      <c r="H70" s="265" t="s">
        <v>27</v>
      </c>
      <c r="I70" s="272">
        <v>24890</v>
      </c>
      <c r="J70" s="272"/>
      <c r="K70" s="268" t="s">
        <v>22</v>
      </c>
      <c r="L70" s="269">
        <v>42002.33</v>
      </c>
    </row>
    <row r="71" spans="1:12" ht="61.2" x14ac:dyDescent="0.3">
      <c r="A71" s="263" t="s">
        <v>98</v>
      </c>
      <c r="B71" s="264" t="s">
        <v>655</v>
      </c>
      <c r="C71" s="264" t="s">
        <v>39</v>
      </c>
      <c r="D71" s="264" t="s">
        <v>196</v>
      </c>
      <c r="E71" s="265" t="s">
        <v>41</v>
      </c>
      <c r="F71" s="271" t="s">
        <v>28</v>
      </c>
      <c r="G71" s="271"/>
      <c r="H71" s="265" t="s">
        <v>27</v>
      </c>
      <c r="I71" s="272">
        <v>23403.31</v>
      </c>
      <c r="J71" s="272"/>
      <c r="K71" s="268" t="s">
        <v>22</v>
      </c>
      <c r="L71" s="269">
        <v>18599.02</v>
      </c>
    </row>
    <row r="72" spans="1:12" ht="61.2" x14ac:dyDescent="0.3">
      <c r="A72" s="263" t="s">
        <v>98</v>
      </c>
      <c r="B72" s="264" t="s">
        <v>655</v>
      </c>
      <c r="C72" s="264" t="s">
        <v>39</v>
      </c>
      <c r="D72" s="264" t="s">
        <v>283</v>
      </c>
      <c r="E72" s="265" t="s">
        <v>41</v>
      </c>
      <c r="F72" s="271" t="s">
        <v>28</v>
      </c>
      <c r="G72" s="271"/>
      <c r="H72" s="265" t="s">
        <v>27</v>
      </c>
      <c r="I72" s="273">
        <v>41.03</v>
      </c>
      <c r="J72" s="273"/>
      <c r="K72" s="268" t="s">
        <v>22</v>
      </c>
      <c r="L72" s="269">
        <v>18557.990000000002</v>
      </c>
    </row>
    <row r="73" spans="1:12" ht="61.2" x14ac:dyDescent="0.3">
      <c r="A73" s="263" t="s">
        <v>98</v>
      </c>
      <c r="B73" s="264" t="s">
        <v>655</v>
      </c>
      <c r="C73" s="264" t="s">
        <v>39</v>
      </c>
      <c r="D73" s="264" t="s">
        <v>100</v>
      </c>
      <c r="E73" s="265" t="s">
        <v>41</v>
      </c>
      <c r="F73" s="271" t="s">
        <v>28</v>
      </c>
      <c r="G73" s="271"/>
      <c r="H73" s="265" t="s">
        <v>27</v>
      </c>
      <c r="I73" s="273">
        <v>857.88</v>
      </c>
      <c r="J73" s="273"/>
      <c r="K73" s="268" t="s">
        <v>22</v>
      </c>
      <c r="L73" s="269">
        <v>17700.11</v>
      </c>
    </row>
    <row r="74" spans="1:12" hidden="1" x14ac:dyDescent="0.3">
      <c r="A74" s="274" t="s">
        <v>105</v>
      </c>
      <c r="B74" s="274"/>
      <c r="C74" s="274"/>
      <c r="D74" s="274"/>
      <c r="E74" s="275">
        <v>235144.05</v>
      </c>
      <c r="F74" s="275"/>
      <c r="G74" s="275"/>
      <c r="H74" s="275">
        <v>565301.61</v>
      </c>
      <c r="I74" s="275"/>
      <c r="J74" s="275"/>
      <c r="K74" s="276" t="s">
        <v>22</v>
      </c>
      <c r="L74" s="277">
        <v>17700.11</v>
      </c>
    </row>
    <row r="76" spans="1:12" x14ac:dyDescent="0.3">
      <c r="J76" s="1">
        <f>SUBTOTAL(9,I9:J73)</f>
        <v>497796.60000000003</v>
      </c>
    </row>
  </sheetData>
  <autoFilter ref="A1:L74" xr:uid="{1FDFF18F-B563-457C-B2F5-CC8266020470}">
    <filterColumn colId="1">
      <filters>
        <filter val="Вимога-накладна ІБ00-000259 від 03.04.2025 00:00:00_x000a_Списаны ТМЦ"/>
        <filter val="Вимога-накладна ІБ00-000281 від 29.04.2025 15:57:46_x000a_Списаны ТМЦ"/>
        <filter val="Вимога-накладна ІБ00-000318 від 30.04.2025 00:00:00_x000a_Списаны ТМЦ"/>
        <filter val="Вимога-накладна ІБ00-000320 від 30.04.2025 11:00:00_x000a_Списаны ТМЦ"/>
        <filter val="Вимога-накладна ІБ00-000350 від 30.04.2025 20:00:00_x000a_Списаны ТМЦ"/>
        <filter val="Списання товарів ІБ00-000200 від 03.04.2025 15:39:18_x000a_Списаны ТМЦ"/>
        <filter val="Списання товарів ІБ00-000209 від 29.04.2025 16:03:38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54">
    <mergeCell ref="F73:G73"/>
    <mergeCell ref="I73:J73"/>
    <mergeCell ref="A74:D74"/>
    <mergeCell ref="E74:G74"/>
    <mergeCell ref="H74:J74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2:C19"/>
  <sheetViews>
    <sheetView tabSelected="1" workbookViewId="0">
      <selection activeCell="C16" sqref="C16"/>
    </sheetView>
  </sheetViews>
  <sheetFormatPr defaultRowHeight="14.4" x14ac:dyDescent="0.3"/>
  <cols>
    <col min="1" max="1" width="3.33203125" customWidth="1"/>
    <col min="2" max="2" width="41.88671875" customWidth="1"/>
    <col min="3" max="3" width="13.44140625" customWidth="1"/>
  </cols>
  <sheetData>
    <row r="2" spans="2:3" x14ac:dyDescent="0.3">
      <c r="B2" s="2" t="s">
        <v>0</v>
      </c>
      <c r="C2" s="3">
        <f>АПК!J52*1.2</f>
        <v>3427063.44</v>
      </c>
    </row>
    <row r="3" spans="2:3" x14ac:dyDescent="0.3">
      <c r="B3" s="2" t="s">
        <v>1</v>
      </c>
      <c r="C3" s="3">
        <f>'Генплан благоустрій'!J9*1.2</f>
        <v>56716.835999999996</v>
      </c>
    </row>
    <row r="4" spans="2:3" x14ac:dyDescent="0.3">
      <c r="B4" s="2" t="s">
        <v>2</v>
      </c>
      <c r="C4" s="3">
        <f>'Генплан митний склад'!J26*1.2</f>
        <v>965.69999999999993</v>
      </c>
    </row>
    <row r="5" spans="2:3" x14ac:dyDescent="0.3">
      <c r="B5" s="2" t="s">
        <v>3</v>
      </c>
      <c r="C5" s="3">
        <f>'Генплан підпірна стінка'!J20*1.2</f>
        <v>21044.651999999998</v>
      </c>
    </row>
    <row r="6" spans="2:3" x14ac:dyDescent="0.3">
      <c r="B6" s="2" t="s">
        <v>4</v>
      </c>
      <c r="C6" s="3">
        <f>'Глобине-2'!J194*1.2</f>
        <v>12611.639999999998</v>
      </c>
    </row>
    <row r="7" spans="2:3" x14ac:dyDescent="0.3">
      <c r="B7" s="2" t="s">
        <v>5</v>
      </c>
      <c r="C7" s="3">
        <f>Котельна!J113*1.2</f>
        <v>1312470.5879999998</v>
      </c>
    </row>
    <row r="8" spans="2:3" x14ac:dyDescent="0.3">
      <c r="B8" s="2" t="s">
        <v>6</v>
      </c>
      <c r="C8" s="3">
        <f>'Насосна Градирня'!J59*1.2</f>
        <v>817170.92399999977</v>
      </c>
    </row>
    <row r="9" spans="2:3" x14ac:dyDescent="0.3">
      <c r="B9" s="2" t="s">
        <v>7</v>
      </c>
      <c r="C9" s="3">
        <f>'Підготовчі роботи та тимчасові '!J6*1.2</f>
        <v>185.76000000000002</v>
      </c>
    </row>
    <row r="10" spans="2:3" x14ac:dyDescent="0.3">
      <c r="B10" s="2" t="s">
        <v>8</v>
      </c>
      <c r="C10" s="3">
        <f>'Пожежений резервуар'!J26*1.2</f>
        <v>148172.712</v>
      </c>
    </row>
    <row r="11" spans="2:3" x14ac:dyDescent="0.3">
      <c r="B11" s="2" t="s">
        <v>9</v>
      </c>
      <c r="C11" s="3">
        <f>'зберігання в бігбегах'!J76*1.2</f>
        <v>597355.92000000004</v>
      </c>
    </row>
    <row r="12" spans="2:3" x14ac:dyDescent="0.3">
      <c r="B12" s="2" t="s">
        <v>10</v>
      </c>
      <c r="C12" s="3">
        <f>'зберігання розчинника'!J62*1.2</f>
        <v>473362.76399999997</v>
      </c>
    </row>
    <row r="13" spans="2:3" x14ac:dyDescent="0.3">
      <c r="B13" s="2" t="s">
        <v>11</v>
      </c>
      <c r="C13" s="3">
        <f>СПК!J220*1.2</f>
        <v>5808148.7279999992</v>
      </c>
    </row>
    <row r="14" spans="2:3" x14ac:dyDescent="0.3">
      <c r="B14" s="2" t="s">
        <v>12</v>
      </c>
      <c r="C14" s="3">
        <f>'Транспортна галерея'!J15*1.2</f>
        <v>49533.515999999996</v>
      </c>
    </row>
    <row r="15" spans="2:3" x14ac:dyDescent="0.3">
      <c r="B15" s="2" t="s">
        <v>13</v>
      </c>
      <c r="C15" s="3">
        <f>'Цех екстракції'!J210*1.2</f>
        <v>4968587.3759999992</v>
      </c>
    </row>
    <row r="16" spans="2:3" x14ac:dyDescent="0.3">
      <c r="C16" s="390">
        <f>SUM(C2:C15)</f>
        <v>17693390.555999998</v>
      </c>
    </row>
    <row r="17" spans="3:3" x14ac:dyDescent="0.3">
      <c r="C17" s="1"/>
    </row>
    <row r="18" spans="3:3" x14ac:dyDescent="0.3">
      <c r="C18" s="1"/>
    </row>
    <row r="19" spans="3:3" x14ac:dyDescent="0.3">
      <c r="C19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F4FC-5130-431A-9A9E-0EA31C70B61F}">
  <sheetPr filterMode="1"/>
  <dimension ref="A1:L62"/>
  <sheetViews>
    <sheetView topLeftCell="A55" workbookViewId="0">
      <selection activeCell="J62" sqref="J62"/>
    </sheetView>
  </sheetViews>
  <sheetFormatPr defaultRowHeight="14.4" x14ac:dyDescent="0.3"/>
  <cols>
    <col min="2" max="4" width="25.33203125" customWidth="1"/>
    <col min="10" max="10" width="9.88671875" bestFit="1" customWidth="1"/>
  </cols>
  <sheetData>
    <row r="1" spans="1:12" x14ac:dyDescent="0.3">
      <c r="A1" s="278" t="s">
        <v>14</v>
      </c>
      <c r="B1" s="279" t="s">
        <v>15</v>
      </c>
      <c r="C1" s="279" t="s">
        <v>16</v>
      </c>
      <c r="D1" s="280" t="s">
        <v>17</v>
      </c>
      <c r="E1" s="281" t="s">
        <v>18</v>
      </c>
      <c r="F1" s="281"/>
      <c r="G1" s="281"/>
      <c r="H1" s="282" t="s">
        <v>19</v>
      </c>
      <c r="I1" s="282"/>
      <c r="J1" s="282"/>
      <c r="K1" s="279" t="s">
        <v>20</v>
      </c>
      <c r="L1" s="279"/>
    </row>
    <row r="2" spans="1:12" hidden="1" x14ac:dyDescent="0.3">
      <c r="A2" s="283"/>
      <c r="B2" s="284"/>
      <c r="C2" s="284"/>
      <c r="D2" s="285"/>
      <c r="E2" s="286" t="s">
        <v>21</v>
      </c>
      <c r="F2" s="287"/>
      <c r="G2" s="287"/>
      <c r="H2" s="288" t="s">
        <v>21</v>
      </c>
      <c r="I2" s="289"/>
      <c r="J2" s="289"/>
      <c r="K2" s="283"/>
      <c r="L2" s="290"/>
    </row>
    <row r="3" spans="1:12" ht="61.2" hidden="1" x14ac:dyDescent="0.3">
      <c r="A3" s="291" t="s">
        <v>23</v>
      </c>
      <c r="B3" s="292" t="s">
        <v>228</v>
      </c>
      <c r="C3" s="292" t="s">
        <v>229</v>
      </c>
      <c r="D3" s="292" t="s">
        <v>209</v>
      </c>
      <c r="E3" s="293" t="s">
        <v>27</v>
      </c>
      <c r="F3" s="294">
        <v>18457.02</v>
      </c>
      <c r="G3" s="294"/>
      <c r="H3" s="293" t="s">
        <v>27</v>
      </c>
      <c r="I3" s="295" t="s">
        <v>28</v>
      </c>
      <c r="J3" s="295"/>
      <c r="K3" s="296" t="s">
        <v>22</v>
      </c>
      <c r="L3" s="297">
        <v>310825.40999999997</v>
      </c>
    </row>
    <row r="4" spans="1:12" ht="61.2" hidden="1" x14ac:dyDescent="0.3">
      <c r="A4" s="291" t="s">
        <v>23</v>
      </c>
      <c r="B4" s="292" t="s">
        <v>656</v>
      </c>
      <c r="C4" s="292" t="s">
        <v>657</v>
      </c>
      <c r="D4" s="292" t="s">
        <v>108</v>
      </c>
      <c r="E4" s="293" t="s">
        <v>27</v>
      </c>
      <c r="F4" s="298" t="s">
        <v>28</v>
      </c>
      <c r="G4" s="298"/>
      <c r="H4" s="293" t="s">
        <v>27</v>
      </c>
      <c r="I4" s="299">
        <v>2604.12</v>
      </c>
      <c r="J4" s="299"/>
      <c r="K4" s="296" t="s">
        <v>22</v>
      </c>
      <c r="L4" s="297">
        <v>308221.28999999998</v>
      </c>
    </row>
    <row r="5" spans="1:12" ht="61.2" hidden="1" x14ac:dyDescent="0.3">
      <c r="A5" s="291" t="s">
        <v>23</v>
      </c>
      <c r="B5" s="292" t="s">
        <v>658</v>
      </c>
      <c r="C5" s="292" t="s">
        <v>657</v>
      </c>
      <c r="D5" s="292" t="s">
        <v>108</v>
      </c>
      <c r="E5" s="293" t="s">
        <v>27</v>
      </c>
      <c r="F5" s="298" t="s">
        <v>28</v>
      </c>
      <c r="G5" s="298"/>
      <c r="H5" s="293" t="s">
        <v>27</v>
      </c>
      <c r="I5" s="299">
        <v>22825</v>
      </c>
      <c r="J5" s="299"/>
      <c r="K5" s="296" t="s">
        <v>22</v>
      </c>
      <c r="L5" s="297">
        <v>285396.28999999998</v>
      </c>
    </row>
    <row r="6" spans="1:12" ht="61.2" hidden="1" x14ac:dyDescent="0.3">
      <c r="A6" s="291" t="s">
        <v>128</v>
      </c>
      <c r="B6" s="292" t="s">
        <v>659</v>
      </c>
      <c r="C6" s="292" t="s">
        <v>660</v>
      </c>
      <c r="D6" s="292" t="s">
        <v>661</v>
      </c>
      <c r="E6" s="293" t="s">
        <v>27</v>
      </c>
      <c r="F6" s="294">
        <v>1426.19</v>
      </c>
      <c r="G6" s="294"/>
      <c r="H6" s="293" t="s">
        <v>58</v>
      </c>
      <c r="I6" s="295" t="s">
        <v>28</v>
      </c>
      <c r="J6" s="295"/>
      <c r="K6" s="296" t="s">
        <v>22</v>
      </c>
      <c r="L6" s="297">
        <v>286822.48</v>
      </c>
    </row>
    <row r="7" spans="1:12" ht="61.2" hidden="1" x14ac:dyDescent="0.3">
      <c r="A7" s="291" t="s">
        <v>128</v>
      </c>
      <c r="B7" s="292" t="s">
        <v>662</v>
      </c>
      <c r="C7" s="292" t="s">
        <v>660</v>
      </c>
      <c r="D7" s="292" t="s">
        <v>661</v>
      </c>
      <c r="E7" s="293" t="s">
        <v>27</v>
      </c>
      <c r="F7" s="300">
        <v>420</v>
      </c>
      <c r="G7" s="300"/>
      <c r="H7" s="293" t="s">
        <v>58</v>
      </c>
      <c r="I7" s="295" t="s">
        <v>28</v>
      </c>
      <c r="J7" s="295"/>
      <c r="K7" s="296" t="s">
        <v>22</v>
      </c>
      <c r="L7" s="297">
        <v>287242.48</v>
      </c>
    </row>
    <row r="8" spans="1:12" ht="61.2" hidden="1" x14ac:dyDescent="0.3">
      <c r="A8" s="291" t="s">
        <v>71</v>
      </c>
      <c r="B8" s="292" t="s">
        <v>278</v>
      </c>
      <c r="C8" s="292" t="s">
        <v>279</v>
      </c>
      <c r="D8" s="292" t="s">
        <v>276</v>
      </c>
      <c r="E8" s="293" t="s">
        <v>27</v>
      </c>
      <c r="F8" s="294">
        <v>59488.67</v>
      </c>
      <c r="G8" s="294"/>
      <c r="H8" s="293" t="s">
        <v>27</v>
      </c>
      <c r="I8" s="295" t="s">
        <v>28</v>
      </c>
      <c r="J8" s="295"/>
      <c r="K8" s="296" t="s">
        <v>22</v>
      </c>
      <c r="L8" s="297">
        <v>346731.15</v>
      </c>
    </row>
    <row r="9" spans="1:12" ht="61.2" hidden="1" x14ac:dyDescent="0.3">
      <c r="A9" s="291" t="s">
        <v>177</v>
      </c>
      <c r="B9" s="292" t="s">
        <v>297</v>
      </c>
      <c r="C9" s="292" t="s">
        <v>298</v>
      </c>
      <c r="D9" s="292" t="s">
        <v>287</v>
      </c>
      <c r="E9" s="293" t="s">
        <v>27</v>
      </c>
      <c r="F9" s="294">
        <v>12166.42</v>
      </c>
      <c r="G9" s="294"/>
      <c r="H9" s="293" t="s">
        <v>27</v>
      </c>
      <c r="I9" s="295" t="s">
        <v>28</v>
      </c>
      <c r="J9" s="295"/>
      <c r="K9" s="296" t="s">
        <v>22</v>
      </c>
      <c r="L9" s="297">
        <v>358897.57</v>
      </c>
    </row>
    <row r="10" spans="1:12" ht="71.400000000000006" hidden="1" x14ac:dyDescent="0.3">
      <c r="A10" s="291" t="s">
        <v>304</v>
      </c>
      <c r="B10" s="292" t="s">
        <v>311</v>
      </c>
      <c r="C10" s="292" t="s">
        <v>312</v>
      </c>
      <c r="D10" s="292" t="s">
        <v>306</v>
      </c>
      <c r="E10" s="293" t="s">
        <v>27</v>
      </c>
      <c r="F10" s="294">
        <v>8875</v>
      </c>
      <c r="G10" s="294"/>
      <c r="H10" s="293" t="s">
        <v>27</v>
      </c>
      <c r="I10" s="295" t="s">
        <v>28</v>
      </c>
      <c r="J10" s="295"/>
      <c r="K10" s="296" t="s">
        <v>22</v>
      </c>
      <c r="L10" s="297">
        <v>367772.57</v>
      </c>
    </row>
    <row r="11" spans="1:12" ht="61.2" hidden="1" x14ac:dyDescent="0.3">
      <c r="A11" s="291" t="s">
        <v>663</v>
      </c>
      <c r="B11" s="292" t="s">
        <v>664</v>
      </c>
      <c r="C11" s="292" t="s">
        <v>665</v>
      </c>
      <c r="D11" s="292" t="s">
        <v>666</v>
      </c>
      <c r="E11" s="293" t="s">
        <v>27</v>
      </c>
      <c r="F11" s="294">
        <v>26993.25</v>
      </c>
      <c r="G11" s="294"/>
      <c r="H11" s="293" t="s">
        <v>58</v>
      </c>
      <c r="I11" s="295" t="s">
        <v>28</v>
      </c>
      <c r="J11" s="295"/>
      <c r="K11" s="296" t="s">
        <v>22</v>
      </c>
      <c r="L11" s="297">
        <v>394765.82</v>
      </c>
    </row>
    <row r="12" spans="1:12" ht="61.2" hidden="1" x14ac:dyDescent="0.3">
      <c r="A12" s="291" t="s">
        <v>663</v>
      </c>
      <c r="B12" s="292" t="s">
        <v>667</v>
      </c>
      <c r="C12" s="292" t="s">
        <v>665</v>
      </c>
      <c r="D12" s="292" t="s">
        <v>666</v>
      </c>
      <c r="E12" s="293" t="s">
        <v>27</v>
      </c>
      <c r="F12" s="294">
        <v>26365.5</v>
      </c>
      <c r="G12" s="294"/>
      <c r="H12" s="293" t="s">
        <v>58</v>
      </c>
      <c r="I12" s="295" t="s">
        <v>28</v>
      </c>
      <c r="J12" s="295"/>
      <c r="K12" s="296" t="s">
        <v>22</v>
      </c>
      <c r="L12" s="297">
        <v>421131.32</v>
      </c>
    </row>
    <row r="13" spans="1:12" ht="61.2" hidden="1" x14ac:dyDescent="0.3">
      <c r="A13" s="291" t="s">
        <v>75</v>
      </c>
      <c r="B13" s="292" t="s">
        <v>668</v>
      </c>
      <c r="C13" s="292" t="s">
        <v>669</v>
      </c>
      <c r="D13" s="292" t="s">
        <v>670</v>
      </c>
      <c r="E13" s="293" t="s">
        <v>27</v>
      </c>
      <c r="F13" s="294">
        <v>6657.83</v>
      </c>
      <c r="G13" s="294"/>
      <c r="H13" s="293" t="s">
        <v>58</v>
      </c>
      <c r="I13" s="295" t="s">
        <v>28</v>
      </c>
      <c r="J13" s="295"/>
      <c r="K13" s="296" t="s">
        <v>22</v>
      </c>
      <c r="L13" s="297">
        <v>427789.15</v>
      </c>
    </row>
    <row r="14" spans="1:12" ht="61.2" hidden="1" x14ac:dyDescent="0.3">
      <c r="A14" s="291" t="s">
        <v>75</v>
      </c>
      <c r="B14" s="292" t="s">
        <v>671</v>
      </c>
      <c r="C14" s="292" t="s">
        <v>669</v>
      </c>
      <c r="D14" s="292" t="s">
        <v>670</v>
      </c>
      <c r="E14" s="293" t="s">
        <v>27</v>
      </c>
      <c r="F14" s="294">
        <v>6503</v>
      </c>
      <c r="G14" s="294"/>
      <c r="H14" s="293" t="s">
        <v>58</v>
      </c>
      <c r="I14" s="295" t="s">
        <v>28</v>
      </c>
      <c r="J14" s="295"/>
      <c r="K14" s="296" t="s">
        <v>22</v>
      </c>
      <c r="L14" s="297">
        <v>434292.15</v>
      </c>
    </row>
    <row r="15" spans="1:12" ht="61.2" hidden="1" x14ac:dyDescent="0.3">
      <c r="A15" s="291" t="s">
        <v>672</v>
      </c>
      <c r="B15" s="292" t="s">
        <v>673</v>
      </c>
      <c r="C15" s="292" t="s">
        <v>674</v>
      </c>
      <c r="D15" s="292" t="s">
        <v>675</v>
      </c>
      <c r="E15" s="293" t="s">
        <v>27</v>
      </c>
      <c r="F15" s="294">
        <v>26290.92</v>
      </c>
      <c r="G15" s="294"/>
      <c r="H15" s="293" t="s">
        <v>58</v>
      </c>
      <c r="I15" s="295" t="s">
        <v>28</v>
      </c>
      <c r="J15" s="295"/>
      <c r="K15" s="296" t="s">
        <v>22</v>
      </c>
      <c r="L15" s="297">
        <v>460583.07</v>
      </c>
    </row>
    <row r="16" spans="1:12" ht="61.2" hidden="1" x14ac:dyDescent="0.3">
      <c r="A16" s="291" t="s">
        <v>672</v>
      </c>
      <c r="B16" s="292" t="s">
        <v>676</v>
      </c>
      <c r="C16" s="292" t="s">
        <v>674</v>
      </c>
      <c r="D16" s="292" t="s">
        <v>675</v>
      </c>
      <c r="E16" s="293" t="s">
        <v>27</v>
      </c>
      <c r="F16" s="294">
        <v>25679.5</v>
      </c>
      <c r="G16" s="294"/>
      <c r="H16" s="293" t="s">
        <v>58</v>
      </c>
      <c r="I16" s="295" t="s">
        <v>28</v>
      </c>
      <c r="J16" s="295"/>
      <c r="K16" s="296" t="s">
        <v>22</v>
      </c>
      <c r="L16" s="297">
        <v>486262.57</v>
      </c>
    </row>
    <row r="17" spans="1:12" ht="61.2" hidden="1" x14ac:dyDescent="0.3">
      <c r="A17" s="291" t="s">
        <v>83</v>
      </c>
      <c r="B17" s="292" t="s">
        <v>379</v>
      </c>
      <c r="C17" s="292" t="s">
        <v>380</v>
      </c>
      <c r="D17" s="292" t="s">
        <v>373</v>
      </c>
      <c r="E17" s="293" t="s">
        <v>27</v>
      </c>
      <c r="F17" s="294">
        <v>22262.91</v>
      </c>
      <c r="G17" s="294"/>
      <c r="H17" s="293" t="s">
        <v>27</v>
      </c>
      <c r="I17" s="295" t="s">
        <v>28</v>
      </c>
      <c r="J17" s="295"/>
      <c r="K17" s="296" t="s">
        <v>22</v>
      </c>
      <c r="L17" s="297">
        <v>508525.48</v>
      </c>
    </row>
    <row r="18" spans="1:12" ht="61.2" x14ac:dyDescent="0.3">
      <c r="A18" s="291" t="s">
        <v>83</v>
      </c>
      <c r="B18" s="292" t="s">
        <v>677</v>
      </c>
      <c r="C18" s="292" t="s">
        <v>39</v>
      </c>
      <c r="D18" s="292" t="s">
        <v>678</v>
      </c>
      <c r="E18" s="293" t="s">
        <v>41</v>
      </c>
      <c r="F18" s="298" t="s">
        <v>28</v>
      </c>
      <c r="G18" s="298"/>
      <c r="H18" s="293" t="s">
        <v>27</v>
      </c>
      <c r="I18" s="299">
        <v>12996.11</v>
      </c>
      <c r="J18" s="299"/>
      <c r="K18" s="296" t="s">
        <v>22</v>
      </c>
      <c r="L18" s="297">
        <v>495529.37</v>
      </c>
    </row>
    <row r="19" spans="1:12" ht="61.2" x14ac:dyDescent="0.3">
      <c r="A19" s="291" t="s">
        <v>83</v>
      </c>
      <c r="B19" s="292" t="s">
        <v>677</v>
      </c>
      <c r="C19" s="292" t="s">
        <v>39</v>
      </c>
      <c r="D19" s="292" t="s">
        <v>679</v>
      </c>
      <c r="E19" s="293" t="s">
        <v>41</v>
      </c>
      <c r="F19" s="298" t="s">
        <v>28</v>
      </c>
      <c r="G19" s="298"/>
      <c r="H19" s="293" t="s">
        <v>27</v>
      </c>
      <c r="I19" s="299">
        <v>50849.72</v>
      </c>
      <c r="J19" s="299"/>
      <c r="K19" s="296" t="s">
        <v>22</v>
      </c>
      <c r="L19" s="297">
        <v>444679.65</v>
      </c>
    </row>
    <row r="20" spans="1:12" ht="61.2" x14ac:dyDescent="0.3">
      <c r="A20" s="291" t="s">
        <v>83</v>
      </c>
      <c r="B20" s="292" t="s">
        <v>677</v>
      </c>
      <c r="C20" s="292" t="s">
        <v>39</v>
      </c>
      <c r="D20" s="292" t="s">
        <v>108</v>
      </c>
      <c r="E20" s="293" t="s">
        <v>41</v>
      </c>
      <c r="F20" s="298" t="s">
        <v>28</v>
      </c>
      <c r="G20" s="298"/>
      <c r="H20" s="293" t="s">
        <v>27</v>
      </c>
      <c r="I20" s="299">
        <v>5256.67</v>
      </c>
      <c r="J20" s="299"/>
      <c r="K20" s="296" t="s">
        <v>22</v>
      </c>
      <c r="L20" s="297">
        <v>439422.98</v>
      </c>
    </row>
    <row r="21" spans="1:12" ht="61.2" x14ac:dyDescent="0.3">
      <c r="A21" s="291" t="s">
        <v>83</v>
      </c>
      <c r="B21" s="292" t="s">
        <v>680</v>
      </c>
      <c r="C21" s="292" t="s">
        <v>39</v>
      </c>
      <c r="D21" s="292" t="s">
        <v>681</v>
      </c>
      <c r="E21" s="293" t="s">
        <v>41</v>
      </c>
      <c r="F21" s="298" t="s">
        <v>28</v>
      </c>
      <c r="G21" s="298"/>
      <c r="H21" s="293" t="s">
        <v>27</v>
      </c>
      <c r="I21" s="301">
        <v>810</v>
      </c>
      <c r="J21" s="301"/>
      <c r="K21" s="296" t="s">
        <v>22</v>
      </c>
      <c r="L21" s="297">
        <v>438612.98</v>
      </c>
    </row>
    <row r="22" spans="1:12" ht="61.2" x14ac:dyDescent="0.3">
      <c r="A22" s="291" t="s">
        <v>98</v>
      </c>
      <c r="B22" s="292" t="s">
        <v>682</v>
      </c>
      <c r="C22" s="292" t="s">
        <v>39</v>
      </c>
      <c r="D22" s="292" t="s">
        <v>683</v>
      </c>
      <c r="E22" s="293" t="s">
        <v>41</v>
      </c>
      <c r="F22" s="298" t="s">
        <v>28</v>
      </c>
      <c r="G22" s="298"/>
      <c r="H22" s="293" t="s">
        <v>27</v>
      </c>
      <c r="I22" s="301">
        <v>99.05</v>
      </c>
      <c r="J22" s="301"/>
      <c r="K22" s="296" t="s">
        <v>22</v>
      </c>
      <c r="L22" s="297">
        <v>438513.93</v>
      </c>
    </row>
    <row r="23" spans="1:12" ht="61.2" x14ac:dyDescent="0.3">
      <c r="A23" s="291" t="s">
        <v>98</v>
      </c>
      <c r="B23" s="292" t="s">
        <v>682</v>
      </c>
      <c r="C23" s="292" t="s">
        <v>39</v>
      </c>
      <c r="D23" s="292" t="s">
        <v>684</v>
      </c>
      <c r="E23" s="293" t="s">
        <v>41</v>
      </c>
      <c r="F23" s="298" t="s">
        <v>28</v>
      </c>
      <c r="G23" s="298"/>
      <c r="H23" s="293" t="s">
        <v>27</v>
      </c>
      <c r="I23" s="301">
        <v>91.25</v>
      </c>
      <c r="J23" s="301"/>
      <c r="K23" s="296" t="s">
        <v>22</v>
      </c>
      <c r="L23" s="297">
        <v>438422.68</v>
      </c>
    </row>
    <row r="24" spans="1:12" ht="61.2" x14ac:dyDescent="0.3">
      <c r="A24" s="291" t="s">
        <v>98</v>
      </c>
      <c r="B24" s="292" t="s">
        <v>682</v>
      </c>
      <c r="C24" s="292" t="s">
        <v>39</v>
      </c>
      <c r="D24" s="292" t="s">
        <v>660</v>
      </c>
      <c r="E24" s="293" t="s">
        <v>41</v>
      </c>
      <c r="F24" s="298" t="s">
        <v>28</v>
      </c>
      <c r="G24" s="298"/>
      <c r="H24" s="293" t="s">
        <v>27</v>
      </c>
      <c r="I24" s="299">
        <v>1292.33</v>
      </c>
      <c r="J24" s="299"/>
      <c r="K24" s="296" t="s">
        <v>22</v>
      </c>
      <c r="L24" s="297">
        <v>437130.35</v>
      </c>
    </row>
    <row r="25" spans="1:12" ht="61.2" x14ac:dyDescent="0.3">
      <c r="A25" s="291" t="s">
        <v>98</v>
      </c>
      <c r="B25" s="292" t="s">
        <v>685</v>
      </c>
      <c r="C25" s="292" t="s">
        <v>39</v>
      </c>
      <c r="D25" s="292" t="s">
        <v>279</v>
      </c>
      <c r="E25" s="293" t="s">
        <v>41</v>
      </c>
      <c r="F25" s="298" t="s">
        <v>28</v>
      </c>
      <c r="G25" s="298"/>
      <c r="H25" s="293" t="s">
        <v>27</v>
      </c>
      <c r="I25" s="299">
        <v>57601.440000000002</v>
      </c>
      <c r="J25" s="299"/>
      <c r="K25" s="296" t="s">
        <v>22</v>
      </c>
      <c r="L25" s="297">
        <v>379528.91</v>
      </c>
    </row>
    <row r="26" spans="1:12" ht="61.2" x14ac:dyDescent="0.3">
      <c r="A26" s="291" t="s">
        <v>98</v>
      </c>
      <c r="B26" s="292" t="s">
        <v>685</v>
      </c>
      <c r="C26" s="292" t="s">
        <v>39</v>
      </c>
      <c r="D26" s="292" t="s">
        <v>686</v>
      </c>
      <c r="E26" s="293" t="s">
        <v>41</v>
      </c>
      <c r="F26" s="298" t="s">
        <v>28</v>
      </c>
      <c r="G26" s="298"/>
      <c r="H26" s="293" t="s">
        <v>27</v>
      </c>
      <c r="I26" s="299">
        <v>1505</v>
      </c>
      <c r="J26" s="299"/>
      <c r="K26" s="296" t="s">
        <v>22</v>
      </c>
      <c r="L26" s="297">
        <v>378023.91</v>
      </c>
    </row>
    <row r="27" spans="1:12" ht="61.2" hidden="1" x14ac:dyDescent="0.3">
      <c r="A27" s="291" t="s">
        <v>98</v>
      </c>
      <c r="B27" s="292" t="s">
        <v>537</v>
      </c>
      <c r="C27" s="292" t="s">
        <v>536</v>
      </c>
      <c r="D27" s="292" t="s">
        <v>279</v>
      </c>
      <c r="E27" s="293" t="s">
        <v>27</v>
      </c>
      <c r="F27" s="298" t="s">
        <v>28</v>
      </c>
      <c r="G27" s="298"/>
      <c r="H27" s="293" t="s">
        <v>27</v>
      </c>
      <c r="I27" s="299">
        <v>1846.2</v>
      </c>
      <c r="J27" s="299"/>
      <c r="K27" s="296" t="s">
        <v>22</v>
      </c>
      <c r="L27" s="297">
        <v>376177.71</v>
      </c>
    </row>
    <row r="28" spans="1:12" ht="61.2" hidden="1" x14ac:dyDescent="0.3">
      <c r="A28" s="291" t="s">
        <v>98</v>
      </c>
      <c r="B28" s="292" t="s">
        <v>106</v>
      </c>
      <c r="C28" s="292" t="s">
        <v>107</v>
      </c>
      <c r="D28" s="292" t="s">
        <v>108</v>
      </c>
      <c r="E28" s="293" t="s">
        <v>27</v>
      </c>
      <c r="F28" s="298" t="s">
        <v>28</v>
      </c>
      <c r="G28" s="298"/>
      <c r="H28" s="293" t="s">
        <v>27</v>
      </c>
      <c r="I28" s="299">
        <v>46829.29</v>
      </c>
      <c r="J28" s="299"/>
      <c r="K28" s="296" t="s">
        <v>22</v>
      </c>
      <c r="L28" s="297">
        <v>329348.42</v>
      </c>
    </row>
    <row r="29" spans="1:12" ht="61.2" hidden="1" x14ac:dyDescent="0.3">
      <c r="A29" s="291" t="s">
        <v>98</v>
      </c>
      <c r="B29" s="292" t="s">
        <v>106</v>
      </c>
      <c r="C29" s="292" t="s">
        <v>109</v>
      </c>
      <c r="D29" s="292" t="s">
        <v>110</v>
      </c>
      <c r="E29" s="293" t="s">
        <v>27</v>
      </c>
      <c r="F29" s="298" t="s">
        <v>28</v>
      </c>
      <c r="G29" s="298"/>
      <c r="H29" s="293" t="s">
        <v>27</v>
      </c>
      <c r="I29" s="301">
        <v>434.74</v>
      </c>
      <c r="J29" s="301"/>
      <c r="K29" s="296" t="s">
        <v>22</v>
      </c>
      <c r="L29" s="297">
        <v>328913.68</v>
      </c>
    </row>
    <row r="30" spans="1:12" ht="61.2" hidden="1" x14ac:dyDescent="0.3">
      <c r="A30" s="291" t="s">
        <v>98</v>
      </c>
      <c r="B30" s="292" t="s">
        <v>687</v>
      </c>
      <c r="C30" s="292" t="s">
        <v>688</v>
      </c>
      <c r="D30" s="292" t="s">
        <v>110</v>
      </c>
      <c r="E30" s="293" t="s">
        <v>27</v>
      </c>
      <c r="F30" s="298" t="s">
        <v>28</v>
      </c>
      <c r="G30" s="298"/>
      <c r="H30" s="293" t="s">
        <v>27</v>
      </c>
      <c r="I30" s="299">
        <v>32786.43</v>
      </c>
      <c r="J30" s="299"/>
      <c r="K30" s="296" t="s">
        <v>22</v>
      </c>
      <c r="L30" s="297">
        <v>296127.25</v>
      </c>
    </row>
    <row r="31" spans="1:12" ht="61.2" hidden="1" x14ac:dyDescent="0.3">
      <c r="A31" s="291" t="s">
        <v>98</v>
      </c>
      <c r="B31" s="292" t="s">
        <v>689</v>
      </c>
      <c r="C31" s="292" t="s">
        <v>690</v>
      </c>
      <c r="D31" s="292" t="s">
        <v>110</v>
      </c>
      <c r="E31" s="293" t="s">
        <v>27</v>
      </c>
      <c r="F31" s="298" t="s">
        <v>28</v>
      </c>
      <c r="G31" s="298"/>
      <c r="H31" s="293" t="s">
        <v>27</v>
      </c>
      <c r="I31" s="299">
        <v>23977.83</v>
      </c>
      <c r="J31" s="299"/>
      <c r="K31" s="296" t="s">
        <v>22</v>
      </c>
      <c r="L31" s="297">
        <v>272149.42</v>
      </c>
    </row>
    <row r="32" spans="1:12" ht="61.2" hidden="1" x14ac:dyDescent="0.3">
      <c r="A32" s="291" t="s">
        <v>98</v>
      </c>
      <c r="B32" s="292" t="s">
        <v>653</v>
      </c>
      <c r="C32" s="292" t="s">
        <v>283</v>
      </c>
      <c r="D32" s="292" t="s">
        <v>279</v>
      </c>
      <c r="E32" s="293" t="s">
        <v>27</v>
      </c>
      <c r="F32" s="298" t="s">
        <v>28</v>
      </c>
      <c r="G32" s="298"/>
      <c r="H32" s="293" t="s">
        <v>27</v>
      </c>
      <c r="I32" s="301">
        <v>41.03</v>
      </c>
      <c r="J32" s="301"/>
      <c r="K32" s="296" t="s">
        <v>22</v>
      </c>
      <c r="L32" s="297">
        <v>272108.39</v>
      </c>
    </row>
    <row r="33" spans="1:12" ht="61.2" x14ac:dyDescent="0.3">
      <c r="A33" s="291" t="s">
        <v>98</v>
      </c>
      <c r="B33" s="292" t="s">
        <v>691</v>
      </c>
      <c r="C33" s="292" t="s">
        <v>39</v>
      </c>
      <c r="D33" s="292" t="s">
        <v>110</v>
      </c>
      <c r="E33" s="293" t="s">
        <v>41</v>
      </c>
      <c r="F33" s="298" t="s">
        <v>28</v>
      </c>
      <c r="G33" s="298"/>
      <c r="H33" s="293" t="s">
        <v>27</v>
      </c>
      <c r="I33" s="299">
        <v>24372.45</v>
      </c>
      <c r="J33" s="299"/>
      <c r="K33" s="296" t="s">
        <v>22</v>
      </c>
      <c r="L33" s="297">
        <v>247735.94</v>
      </c>
    </row>
    <row r="34" spans="1:12" ht="61.2" x14ac:dyDescent="0.3">
      <c r="A34" s="291" t="s">
        <v>98</v>
      </c>
      <c r="B34" s="292" t="s">
        <v>691</v>
      </c>
      <c r="C34" s="292" t="s">
        <v>39</v>
      </c>
      <c r="D34" s="292" t="s">
        <v>110</v>
      </c>
      <c r="E34" s="293" t="s">
        <v>41</v>
      </c>
      <c r="F34" s="298" t="s">
        <v>28</v>
      </c>
      <c r="G34" s="298"/>
      <c r="H34" s="293" t="s">
        <v>27</v>
      </c>
      <c r="I34" s="299">
        <v>10801.73</v>
      </c>
      <c r="J34" s="299"/>
      <c r="K34" s="296" t="s">
        <v>22</v>
      </c>
      <c r="L34" s="297">
        <v>236934.21</v>
      </c>
    </row>
    <row r="35" spans="1:12" ht="61.2" hidden="1" x14ac:dyDescent="0.3">
      <c r="A35" s="291" t="s">
        <v>98</v>
      </c>
      <c r="B35" s="292" t="s">
        <v>406</v>
      </c>
      <c r="C35" s="292" t="s">
        <v>407</v>
      </c>
      <c r="D35" s="292" t="s">
        <v>203</v>
      </c>
      <c r="E35" s="293" t="s">
        <v>27</v>
      </c>
      <c r="F35" s="294">
        <v>9677.23</v>
      </c>
      <c r="G35" s="294"/>
      <c r="H35" s="293" t="s">
        <v>27</v>
      </c>
      <c r="I35" s="295" t="s">
        <v>28</v>
      </c>
      <c r="J35" s="295"/>
      <c r="K35" s="296" t="s">
        <v>22</v>
      </c>
      <c r="L35" s="297">
        <v>246611.44</v>
      </c>
    </row>
    <row r="36" spans="1:12" ht="61.2" hidden="1" x14ac:dyDescent="0.3">
      <c r="A36" s="291" t="s">
        <v>98</v>
      </c>
      <c r="B36" s="292" t="s">
        <v>406</v>
      </c>
      <c r="C36" s="292" t="s">
        <v>408</v>
      </c>
      <c r="D36" s="292" t="s">
        <v>397</v>
      </c>
      <c r="E36" s="293" t="s">
        <v>27</v>
      </c>
      <c r="F36" s="294">
        <v>17968.29</v>
      </c>
      <c r="G36" s="294"/>
      <c r="H36" s="293" t="s">
        <v>27</v>
      </c>
      <c r="I36" s="295" t="s">
        <v>28</v>
      </c>
      <c r="J36" s="295"/>
      <c r="K36" s="296" t="s">
        <v>22</v>
      </c>
      <c r="L36" s="297">
        <v>264579.73</v>
      </c>
    </row>
    <row r="37" spans="1:12" ht="71.400000000000006" hidden="1" x14ac:dyDescent="0.3">
      <c r="A37" s="291" t="s">
        <v>98</v>
      </c>
      <c r="B37" s="292" t="s">
        <v>409</v>
      </c>
      <c r="C37" s="292" t="s">
        <v>410</v>
      </c>
      <c r="D37" s="292" t="s">
        <v>399</v>
      </c>
      <c r="E37" s="293" t="s">
        <v>27</v>
      </c>
      <c r="F37" s="294">
        <v>11920</v>
      </c>
      <c r="G37" s="294"/>
      <c r="H37" s="293" t="s">
        <v>27</v>
      </c>
      <c r="I37" s="295" t="s">
        <v>28</v>
      </c>
      <c r="J37" s="295"/>
      <c r="K37" s="296" t="s">
        <v>22</v>
      </c>
      <c r="L37" s="297">
        <v>276499.73</v>
      </c>
    </row>
    <row r="38" spans="1:12" ht="61.2" hidden="1" x14ac:dyDescent="0.3">
      <c r="A38" s="291" t="s">
        <v>98</v>
      </c>
      <c r="B38" s="292" t="s">
        <v>409</v>
      </c>
      <c r="C38" s="292" t="s">
        <v>411</v>
      </c>
      <c r="D38" s="292" t="s">
        <v>401</v>
      </c>
      <c r="E38" s="293" t="s">
        <v>27</v>
      </c>
      <c r="F38" s="294">
        <v>25811.66</v>
      </c>
      <c r="G38" s="294"/>
      <c r="H38" s="293" t="s">
        <v>27</v>
      </c>
      <c r="I38" s="295" t="s">
        <v>28</v>
      </c>
      <c r="J38" s="295"/>
      <c r="K38" s="296" t="s">
        <v>22</v>
      </c>
      <c r="L38" s="297">
        <v>302311.39</v>
      </c>
    </row>
    <row r="39" spans="1:12" ht="61.2" hidden="1" x14ac:dyDescent="0.3">
      <c r="A39" s="291" t="s">
        <v>98</v>
      </c>
      <c r="B39" s="292" t="s">
        <v>604</v>
      </c>
      <c r="C39" s="292" t="s">
        <v>605</v>
      </c>
      <c r="D39" s="292" t="s">
        <v>600</v>
      </c>
      <c r="E39" s="293" t="s">
        <v>27</v>
      </c>
      <c r="F39" s="294">
        <v>37747.08</v>
      </c>
      <c r="G39" s="294"/>
      <c r="H39" s="293" t="s">
        <v>27</v>
      </c>
      <c r="I39" s="295" t="s">
        <v>28</v>
      </c>
      <c r="J39" s="295"/>
      <c r="K39" s="296" t="s">
        <v>22</v>
      </c>
      <c r="L39" s="297">
        <v>340058.47</v>
      </c>
    </row>
    <row r="40" spans="1:12" ht="61.2" hidden="1" x14ac:dyDescent="0.3">
      <c r="A40" s="291" t="s">
        <v>98</v>
      </c>
      <c r="B40" s="292" t="s">
        <v>604</v>
      </c>
      <c r="C40" s="292" t="s">
        <v>380</v>
      </c>
      <c r="D40" s="292" t="s">
        <v>382</v>
      </c>
      <c r="E40" s="293" t="s">
        <v>27</v>
      </c>
      <c r="F40" s="294">
        <v>4200.42</v>
      </c>
      <c r="G40" s="294"/>
      <c r="H40" s="293" t="s">
        <v>27</v>
      </c>
      <c r="I40" s="295" t="s">
        <v>28</v>
      </c>
      <c r="J40" s="295"/>
      <c r="K40" s="296" t="s">
        <v>22</v>
      </c>
      <c r="L40" s="297">
        <v>344258.89</v>
      </c>
    </row>
    <row r="41" spans="1:12" ht="61.2" hidden="1" x14ac:dyDescent="0.3">
      <c r="A41" s="291" t="s">
        <v>98</v>
      </c>
      <c r="B41" s="292" t="s">
        <v>604</v>
      </c>
      <c r="C41" s="292" t="s">
        <v>411</v>
      </c>
      <c r="D41" s="292" t="s">
        <v>413</v>
      </c>
      <c r="E41" s="293" t="s">
        <v>27</v>
      </c>
      <c r="F41" s="294">
        <v>3541.67</v>
      </c>
      <c r="G41" s="294"/>
      <c r="H41" s="293" t="s">
        <v>27</v>
      </c>
      <c r="I41" s="295" t="s">
        <v>28</v>
      </c>
      <c r="J41" s="295"/>
      <c r="K41" s="296" t="s">
        <v>22</v>
      </c>
      <c r="L41" s="297">
        <v>347800.56</v>
      </c>
    </row>
    <row r="42" spans="1:12" ht="61.2" hidden="1" x14ac:dyDescent="0.3">
      <c r="A42" s="291" t="s">
        <v>98</v>
      </c>
      <c r="B42" s="292" t="s">
        <v>692</v>
      </c>
      <c r="C42" s="292" t="s">
        <v>298</v>
      </c>
      <c r="D42" s="292" t="s">
        <v>296</v>
      </c>
      <c r="E42" s="293" t="s">
        <v>27</v>
      </c>
      <c r="F42" s="294">
        <v>18280.75</v>
      </c>
      <c r="G42" s="294"/>
      <c r="H42" s="293" t="s">
        <v>27</v>
      </c>
      <c r="I42" s="295" t="s">
        <v>28</v>
      </c>
      <c r="J42" s="295"/>
      <c r="K42" s="296" t="s">
        <v>22</v>
      </c>
      <c r="L42" s="297">
        <v>366081.31</v>
      </c>
    </row>
    <row r="43" spans="1:12" ht="61.2" x14ac:dyDescent="0.3">
      <c r="A43" s="291" t="s">
        <v>98</v>
      </c>
      <c r="B43" s="292" t="s">
        <v>693</v>
      </c>
      <c r="C43" s="292" t="s">
        <v>39</v>
      </c>
      <c r="D43" s="292" t="s">
        <v>110</v>
      </c>
      <c r="E43" s="293" t="s">
        <v>41</v>
      </c>
      <c r="F43" s="298" t="s">
        <v>28</v>
      </c>
      <c r="G43" s="298"/>
      <c r="H43" s="293" t="s">
        <v>27</v>
      </c>
      <c r="I43" s="299">
        <v>4882.5200000000004</v>
      </c>
      <c r="J43" s="299"/>
      <c r="K43" s="296" t="s">
        <v>22</v>
      </c>
      <c r="L43" s="297">
        <v>361198.79</v>
      </c>
    </row>
    <row r="44" spans="1:12" ht="61.2" x14ac:dyDescent="0.3">
      <c r="A44" s="291" t="s">
        <v>98</v>
      </c>
      <c r="B44" s="292" t="s">
        <v>693</v>
      </c>
      <c r="C44" s="292" t="s">
        <v>39</v>
      </c>
      <c r="D44" s="292" t="s">
        <v>298</v>
      </c>
      <c r="E44" s="293" t="s">
        <v>41</v>
      </c>
      <c r="F44" s="298" t="s">
        <v>28</v>
      </c>
      <c r="G44" s="298"/>
      <c r="H44" s="293" t="s">
        <v>27</v>
      </c>
      <c r="I44" s="299">
        <v>30447.17</v>
      </c>
      <c r="J44" s="299"/>
      <c r="K44" s="296" t="s">
        <v>22</v>
      </c>
      <c r="L44" s="297">
        <v>330751.62</v>
      </c>
    </row>
    <row r="45" spans="1:12" ht="61.2" x14ac:dyDescent="0.3">
      <c r="A45" s="291" t="s">
        <v>98</v>
      </c>
      <c r="B45" s="292" t="s">
        <v>693</v>
      </c>
      <c r="C45" s="292" t="s">
        <v>39</v>
      </c>
      <c r="D45" s="292" t="s">
        <v>665</v>
      </c>
      <c r="E45" s="293" t="s">
        <v>41</v>
      </c>
      <c r="F45" s="298" t="s">
        <v>28</v>
      </c>
      <c r="G45" s="298"/>
      <c r="H45" s="293" t="s">
        <v>27</v>
      </c>
      <c r="I45" s="299">
        <v>20789.580000000002</v>
      </c>
      <c r="J45" s="299"/>
      <c r="K45" s="296" t="s">
        <v>22</v>
      </c>
      <c r="L45" s="297">
        <v>309962.03999999998</v>
      </c>
    </row>
    <row r="46" spans="1:12" ht="61.2" x14ac:dyDescent="0.3">
      <c r="A46" s="291" t="s">
        <v>98</v>
      </c>
      <c r="B46" s="292" t="s">
        <v>693</v>
      </c>
      <c r="C46" s="292" t="s">
        <v>39</v>
      </c>
      <c r="D46" s="292" t="s">
        <v>665</v>
      </c>
      <c r="E46" s="293" t="s">
        <v>41</v>
      </c>
      <c r="F46" s="298" t="s">
        <v>28</v>
      </c>
      <c r="G46" s="298"/>
      <c r="H46" s="293" t="s">
        <v>27</v>
      </c>
      <c r="I46" s="299">
        <v>25811.67</v>
      </c>
      <c r="J46" s="299"/>
      <c r="K46" s="296" t="s">
        <v>22</v>
      </c>
      <c r="L46" s="297">
        <v>284150.37</v>
      </c>
    </row>
    <row r="47" spans="1:12" ht="61.2" x14ac:dyDescent="0.3">
      <c r="A47" s="291" t="s">
        <v>98</v>
      </c>
      <c r="B47" s="292" t="s">
        <v>693</v>
      </c>
      <c r="C47" s="292" t="s">
        <v>39</v>
      </c>
      <c r="D47" s="292" t="s">
        <v>665</v>
      </c>
      <c r="E47" s="293" t="s">
        <v>41</v>
      </c>
      <c r="F47" s="298" t="s">
        <v>28</v>
      </c>
      <c r="G47" s="298"/>
      <c r="H47" s="293" t="s">
        <v>27</v>
      </c>
      <c r="I47" s="299">
        <v>6757.5</v>
      </c>
      <c r="J47" s="299"/>
      <c r="K47" s="296" t="s">
        <v>22</v>
      </c>
      <c r="L47" s="297">
        <v>277392.87</v>
      </c>
    </row>
    <row r="48" spans="1:12" ht="61.2" x14ac:dyDescent="0.3">
      <c r="A48" s="291" t="s">
        <v>98</v>
      </c>
      <c r="B48" s="292" t="s">
        <v>693</v>
      </c>
      <c r="C48" s="292" t="s">
        <v>39</v>
      </c>
      <c r="D48" s="292" t="s">
        <v>605</v>
      </c>
      <c r="E48" s="293" t="s">
        <v>41</v>
      </c>
      <c r="F48" s="298" t="s">
        <v>28</v>
      </c>
      <c r="G48" s="298"/>
      <c r="H48" s="293" t="s">
        <v>27</v>
      </c>
      <c r="I48" s="299">
        <v>37747.08</v>
      </c>
      <c r="J48" s="299"/>
      <c r="K48" s="296" t="s">
        <v>22</v>
      </c>
      <c r="L48" s="297">
        <v>239645.79</v>
      </c>
    </row>
    <row r="49" spans="1:12" ht="61.2" x14ac:dyDescent="0.3">
      <c r="A49" s="291" t="s">
        <v>98</v>
      </c>
      <c r="B49" s="292" t="s">
        <v>693</v>
      </c>
      <c r="C49" s="292" t="s">
        <v>39</v>
      </c>
      <c r="D49" s="292" t="s">
        <v>669</v>
      </c>
      <c r="E49" s="293" t="s">
        <v>41</v>
      </c>
      <c r="F49" s="298" t="s">
        <v>28</v>
      </c>
      <c r="G49" s="298"/>
      <c r="H49" s="293" t="s">
        <v>27</v>
      </c>
      <c r="I49" s="299">
        <v>8854.16</v>
      </c>
      <c r="J49" s="299"/>
      <c r="K49" s="296" t="s">
        <v>22</v>
      </c>
      <c r="L49" s="297">
        <v>230791.63</v>
      </c>
    </row>
    <row r="50" spans="1:12" ht="61.2" x14ac:dyDescent="0.3">
      <c r="A50" s="291" t="s">
        <v>98</v>
      </c>
      <c r="B50" s="292" t="s">
        <v>693</v>
      </c>
      <c r="C50" s="292" t="s">
        <v>39</v>
      </c>
      <c r="D50" s="292" t="s">
        <v>669</v>
      </c>
      <c r="E50" s="293" t="s">
        <v>41</v>
      </c>
      <c r="F50" s="298" t="s">
        <v>28</v>
      </c>
      <c r="G50" s="298"/>
      <c r="H50" s="293" t="s">
        <v>27</v>
      </c>
      <c r="I50" s="299">
        <v>4306.67</v>
      </c>
      <c r="J50" s="299"/>
      <c r="K50" s="296" t="s">
        <v>22</v>
      </c>
      <c r="L50" s="297">
        <v>226484.96</v>
      </c>
    </row>
    <row r="51" spans="1:12" ht="61.2" x14ac:dyDescent="0.3">
      <c r="A51" s="291" t="s">
        <v>98</v>
      </c>
      <c r="B51" s="292" t="s">
        <v>693</v>
      </c>
      <c r="C51" s="292" t="s">
        <v>39</v>
      </c>
      <c r="D51" s="292" t="s">
        <v>674</v>
      </c>
      <c r="E51" s="293" t="s">
        <v>41</v>
      </c>
      <c r="F51" s="298" t="s">
        <v>28</v>
      </c>
      <c r="G51" s="298"/>
      <c r="H51" s="293" t="s">
        <v>27</v>
      </c>
      <c r="I51" s="299">
        <v>8854.17</v>
      </c>
      <c r="J51" s="299"/>
      <c r="K51" s="296" t="s">
        <v>22</v>
      </c>
      <c r="L51" s="297">
        <v>217630.79</v>
      </c>
    </row>
    <row r="52" spans="1:12" ht="61.2" x14ac:dyDescent="0.3">
      <c r="A52" s="291" t="s">
        <v>98</v>
      </c>
      <c r="B52" s="292" t="s">
        <v>693</v>
      </c>
      <c r="C52" s="292" t="s">
        <v>39</v>
      </c>
      <c r="D52" s="292" t="s">
        <v>674</v>
      </c>
      <c r="E52" s="293" t="s">
        <v>41</v>
      </c>
      <c r="F52" s="298" t="s">
        <v>28</v>
      </c>
      <c r="G52" s="298"/>
      <c r="H52" s="293" t="s">
        <v>27</v>
      </c>
      <c r="I52" s="299">
        <v>4200.42</v>
      </c>
      <c r="J52" s="299"/>
      <c r="K52" s="296" t="s">
        <v>22</v>
      </c>
      <c r="L52" s="297">
        <v>213430.37</v>
      </c>
    </row>
    <row r="53" spans="1:12" ht="61.2" x14ac:dyDescent="0.3">
      <c r="A53" s="291" t="s">
        <v>98</v>
      </c>
      <c r="B53" s="292" t="s">
        <v>693</v>
      </c>
      <c r="C53" s="292" t="s">
        <v>39</v>
      </c>
      <c r="D53" s="292" t="s">
        <v>674</v>
      </c>
      <c r="E53" s="293" t="s">
        <v>41</v>
      </c>
      <c r="F53" s="298" t="s">
        <v>28</v>
      </c>
      <c r="G53" s="298"/>
      <c r="H53" s="293" t="s">
        <v>27</v>
      </c>
      <c r="I53" s="299">
        <v>37747.08</v>
      </c>
      <c r="J53" s="299"/>
      <c r="K53" s="296" t="s">
        <v>22</v>
      </c>
      <c r="L53" s="297">
        <v>175683.29</v>
      </c>
    </row>
    <row r="54" spans="1:12" ht="61.2" x14ac:dyDescent="0.3">
      <c r="A54" s="291" t="s">
        <v>98</v>
      </c>
      <c r="B54" s="292" t="s">
        <v>693</v>
      </c>
      <c r="C54" s="292" t="s">
        <v>39</v>
      </c>
      <c r="D54" s="292" t="s">
        <v>674</v>
      </c>
      <c r="E54" s="293" t="s">
        <v>41</v>
      </c>
      <c r="F54" s="298" t="s">
        <v>28</v>
      </c>
      <c r="G54" s="298"/>
      <c r="H54" s="293" t="s">
        <v>27</v>
      </c>
      <c r="I54" s="299">
        <v>1168.75</v>
      </c>
      <c r="J54" s="299"/>
      <c r="K54" s="296" t="s">
        <v>22</v>
      </c>
      <c r="L54" s="297">
        <v>174514.54</v>
      </c>
    </row>
    <row r="55" spans="1:12" ht="61.2" x14ac:dyDescent="0.3">
      <c r="A55" s="291" t="s">
        <v>98</v>
      </c>
      <c r="B55" s="292" t="s">
        <v>693</v>
      </c>
      <c r="C55" s="292" t="s">
        <v>39</v>
      </c>
      <c r="D55" s="292" t="s">
        <v>380</v>
      </c>
      <c r="E55" s="293" t="s">
        <v>41</v>
      </c>
      <c r="F55" s="298" t="s">
        <v>28</v>
      </c>
      <c r="G55" s="298"/>
      <c r="H55" s="293" t="s">
        <v>27</v>
      </c>
      <c r="I55" s="299">
        <v>2372.92</v>
      </c>
      <c r="J55" s="299"/>
      <c r="K55" s="296" t="s">
        <v>22</v>
      </c>
      <c r="L55" s="297">
        <v>172141.62</v>
      </c>
    </row>
    <row r="56" spans="1:12" ht="61.2" x14ac:dyDescent="0.3">
      <c r="A56" s="291" t="s">
        <v>98</v>
      </c>
      <c r="B56" s="292" t="s">
        <v>693</v>
      </c>
      <c r="C56" s="292" t="s">
        <v>39</v>
      </c>
      <c r="D56" s="292" t="s">
        <v>380</v>
      </c>
      <c r="E56" s="293" t="s">
        <v>41</v>
      </c>
      <c r="F56" s="298" t="s">
        <v>28</v>
      </c>
      <c r="G56" s="298"/>
      <c r="H56" s="293" t="s">
        <v>27</v>
      </c>
      <c r="I56" s="299">
        <v>3672.71</v>
      </c>
      <c r="J56" s="299"/>
      <c r="K56" s="296" t="s">
        <v>22</v>
      </c>
      <c r="L56" s="297">
        <v>168468.91</v>
      </c>
    </row>
    <row r="57" spans="1:12" ht="61.2" x14ac:dyDescent="0.3">
      <c r="A57" s="291" t="s">
        <v>98</v>
      </c>
      <c r="B57" s="292" t="s">
        <v>693</v>
      </c>
      <c r="C57" s="292" t="s">
        <v>39</v>
      </c>
      <c r="D57" s="292" t="s">
        <v>380</v>
      </c>
      <c r="E57" s="293" t="s">
        <v>41</v>
      </c>
      <c r="F57" s="298" t="s">
        <v>28</v>
      </c>
      <c r="G57" s="298"/>
      <c r="H57" s="293" t="s">
        <v>27</v>
      </c>
      <c r="I57" s="299">
        <v>12459.58</v>
      </c>
      <c r="J57" s="299"/>
      <c r="K57" s="296" t="s">
        <v>22</v>
      </c>
      <c r="L57" s="297">
        <v>156009.32999999999</v>
      </c>
    </row>
    <row r="58" spans="1:12" ht="61.2" x14ac:dyDescent="0.3">
      <c r="A58" s="291" t="s">
        <v>98</v>
      </c>
      <c r="B58" s="292" t="s">
        <v>693</v>
      </c>
      <c r="C58" s="292" t="s">
        <v>39</v>
      </c>
      <c r="D58" s="292" t="s">
        <v>380</v>
      </c>
      <c r="E58" s="293" t="s">
        <v>41</v>
      </c>
      <c r="F58" s="298" t="s">
        <v>28</v>
      </c>
      <c r="G58" s="298"/>
      <c r="H58" s="293" t="s">
        <v>27</v>
      </c>
      <c r="I58" s="299">
        <v>7958.12</v>
      </c>
      <c r="J58" s="299"/>
      <c r="K58" s="296" t="s">
        <v>22</v>
      </c>
      <c r="L58" s="297">
        <v>148051.21</v>
      </c>
    </row>
    <row r="59" spans="1:12" ht="61.2" x14ac:dyDescent="0.3">
      <c r="A59" s="291" t="s">
        <v>98</v>
      </c>
      <c r="B59" s="292" t="s">
        <v>693</v>
      </c>
      <c r="C59" s="292" t="s">
        <v>39</v>
      </c>
      <c r="D59" s="292" t="s">
        <v>411</v>
      </c>
      <c r="E59" s="293" t="s">
        <v>41</v>
      </c>
      <c r="F59" s="298" t="s">
        <v>28</v>
      </c>
      <c r="G59" s="298"/>
      <c r="H59" s="293" t="s">
        <v>27</v>
      </c>
      <c r="I59" s="299">
        <v>10763.12</v>
      </c>
      <c r="J59" s="299"/>
      <c r="K59" s="296" t="s">
        <v>22</v>
      </c>
      <c r="L59" s="297">
        <v>137288.09</v>
      </c>
    </row>
    <row r="60" spans="1:12" hidden="1" x14ac:dyDescent="0.3">
      <c r="A60" s="302" t="s">
        <v>105</v>
      </c>
      <c r="B60" s="302"/>
      <c r="C60" s="302"/>
      <c r="D60" s="302"/>
      <c r="E60" s="303">
        <v>370733.31</v>
      </c>
      <c r="F60" s="303"/>
      <c r="G60" s="303"/>
      <c r="H60" s="303">
        <v>525813.61</v>
      </c>
      <c r="I60" s="303"/>
      <c r="J60" s="303"/>
      <c r="K60" s="304" t="s">
        <v>22</v>
      </c>
      <c r="L60" s="305">
        <v>137288.09</v>
      </c>
    </row>
    <row r="62" spans="1:12" x14ac:dyDescent="0.3">
      <c r="J62" s="1">
        <f>SUBTOTAL(9,I18:J59)</f>
        <v>394468.97</v>
      </c>
    </row>
  </sheetData>
  <autoFilter ref="A1:L60" xr:uid="{CFA1FAB5-979C-48A1-AF4B-CD597E4007DF}">
    <filterColumn colId="1">
      <filters>
        <filter val="Вимога-накладна ІБ00-000278 від 29.04.2025 14:31:19_x000a_Списаны ТМЦ"/>
        <filter val="Вимога-накладна ІБ00-000317 від 30.04.2025 00:00:00_x000a_Списаны ТМЦ"/>
        <filter val="Вимога-накладна ІБ00-000338 від 30.04.2025 11:00:00_x000a_Списаны ТМЦ"/>
        <filter val="Вимога-накладна ІБ00-000348 від 30.04.2025 20:00:00_x000a_Списаны ТМЦ"/>
        <filter val="Списання товарів ІБ00-000207 від 29.04.2025 14:32:34_x000a_Списаны ТМЦ"/>
        <filter val="Списання товарів ІБ00-000221 від 30.04.2025 0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26">
    <mergeCell ref="F58:G58"/>
    <mergeCell ref="I58:J58"/>
    <mergeCell ref="F59:G59"/>
    <mergeCell ref="I59:J59"/>
    <mergeCell ref="A60:D60"/>
    <mergeCell ref="E60:G60"/>
    <mergeCell ref="H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A6CF-7120-4B73-9E6C-925156EA1A24}">
  <sheetPr filterMode="1"/>
  <dimension ref="A1:L220"/>
  <sheetViews>
    <sheetView topLeftCell="A211" workbookViewId="0">
      <selection activeCell="J220" sqref="J220"/>
    </sheetView>
  </sheetViews>
  <sheetFormatPr defaultRowHeight="14.4" x14ac:dyDescent="0.3"/>
  <cols>
    <col min="2" max="4" width="25.33203125" customWidth="1"/>
    <col min="10" max="10" width="11.33203125" bestFit="1" customWidth="1"/>
  </cols>
  <sheetData>
    <row r="1" spans="1:12" x14ac:dyDescent="0.3">
      <c r="A1" s="306" t="s">
        <v>14</v>
      </c>
      <c r="B1" s="307" t="s">
        <v>15</v>
      </c>
      <c r="C1" s="307" t="s">
        <v>16</v>
      </c>
      <c r="D1" s="308" t="s">
        <v>17</v>
      </c>
      <c r="E1" s="309" t="s">
        <v>18</v>
      </c>
      <c r="F1" s="309"/>
      <c r="G1" s="309"/>
      <c r="H1" s="310" t="s">
        <v>19</v>
      </c>
      <c r="I1" s="310"/>
      <c r="J1" s="310"/>
      <c r="K1" s="307" t="s">
        <v>20</v>
      </c>
      <c r="L1" s="307"/>
    </row>
    <row r="2" spans="1:12" hidden="1" x14ac:dyDescent="0.3">
      <c r="A2" s="311"/>
      <c r="B2" s="312"/>
      <c r="C2" s="312"/>
      <c r="D2" s="313"/>
      <c r="E2" s="314" t="s">
        <v>21</v>
      </c>
      <c r="F2" s="315"/>
      <c r="G2" s="315"/>
      <c r="H2" s="316" t="s">
        <v>21</v>
      </c>
      <c r="I2" s="317"/>
      <c r="J2" s="317"/>
      <c r="K2" s="311"/>
      <c r="L2" s="318"/>
    </row>
    <row r="3" spans="1:12" ht="61.2" hidden="1" x14ac:dyDescent="0.3">
      <c r="A3" s="319" t="s">
        <v>23</v>
      </c>
      <c r="B3" s="320" t="s">
        <v>606</v>
      </c>
      <c r="C3" s="320" t="s">
        <v>607</v>
      </c>
      <c r="D3" s="320" t="s">
        <v>608</v>
      </c>
      <c r="E3" s="321" t="s">
        <v>27</v>
      </c>
      <c r="F3" s="322" t="s">
        <v>28</v>
      </c>
      <c r="G3" s="322"/>
      <c r="H3" s="321" t="s">
        <v>27</v>
      </c>
      <c r="I3" s="323">
        <v>1236.1099999999999</v>
      </c>
      <c r="J3" s="323"/>
      <c r="K3" s="324" t="s">
        <v>22</v>
      </c>
      <c r="L3" s="325">
        <v>2819915.95</v>
      </c>
    </row>
    <row r="4" spans="1:12" ht="61.2" hidden="1" x14ac:dyDescent="0.3">
      <c r="A4" s="319" t="s">
        <v>23</v>
      </c>
      <c r="B4" s="320" t="s">
        <v>606</v>
      </c>
      <c r="C4" s="320" t="s">
        <v>609</v>
      </c>
      <c r="D4" s="320" t="s">
        <v>610</v>
      </c>
      <c r="E4" s="321" t="s">
        <v>27</v>
      </c>
      <c r="F4" s="322" t="s">
        <v>28</v>
      </c>
      <c r="G4" s="322"/>
      <c r="H4" s="321" t="s">
        <v>27</v>
      </c>
      <c r="I4" s="323">
        <v>13295.72</v>
      </c>
      <c r="J4" s="323"/>
      <c r="K4" s="324" t="s">
        <v>22</v>
      </c>
      <c r="L4" s="325">
        <v>2806620.23</v>
      </c>
    </row>
    <row r="5" spans="1:12" ht="51" x14ac:dyDescent="0.3">
      <c r="A5" s="319" t="s">
        <v>37</v>
      </c>
      <c r="B5" s="320" t="s">
        <v>694</v>
      </c>
      <c r="C5" s="320" t="s">
        <v>39</v>
      </c>
      <c r="D5" s="320" t="s">
        <v>695</v>
      </c>
      <c r="E5" s="321" t="s">
        <v>41</v>
      </c>
      <c r="F5" s="322" t="s">
        <v>28</v>
      </c>
      <c r="G5" s="322"/>
      <c r="H5" s="321" t="s">
        <v>27</v>
      </c>
      <c r="I5" s="323">
        <v>36758.01</v>
      </c>
      <c r="J5" s="323"/>
      <c r="K5" s="324" t="s">
        <v>22</v>
      </c>
      <c r="L5" s="325">
        <v>2769862.22</v>
      </c>
    </row>
    <row r="6" spans="1:12" ht="61.2" x14ac:dyDescent="0.3">
      <c r="A6" s="319" t="s">
        <v>37</v>
      </c>
      <c r="B6" s="320" t="s">
        <v>694</v>
      </c>
      <c r="C6" s="320" t="s">
        <v>39</v>
      </c>
      <c r="D6" s="320" t="s">
        <v>696</v>
      </c>
      <c r="E6" s="321" t="s">
        <v>41</v>
      </c>
      <c r="F6" s="322" t="s">
        <v>28</v>
      </c>
      <c r="G6" s="322"/>
      <c r="H6" s="321" t="s">
        <v>27</v>
      </c>
      <c r="I6" s="323">
        <v>10451.370000000001</v>
      </c>
      <c r="J6" s="323"/>
      <c r="K6" s="324" t="s">
        <v>22</v>
      </c>
      <c r="L6" s="325">
        <v>2759410.85</v>
      </c>
    </row>
    <row r="7" spans="1:12" ht="61.2" x14ac:dyDescent="0.3">
      <c r="A7" s="319" t="s">
        <v>37</v>
      </c>
      <c r="B7" s="320" t="s">
        <v>694</v>
      </c>
      <c r="C7" s="320" t="s">
        <v>39</v>
      </c>
      <c r="D7" s="320" t="s">
        <v>697</v>
      </c>
      <c r="E7" s="321" t="s">
        <v>41</v>
      </c>
      <c r="F7" s="322" t="s">
        <v>28</v>
      </c>
      <c r="G7" s="322"/>
      <c r="H7" s="321" t="s">
        <v>27</v>
      </c>
      <c r="I7" s="323">
        <v>12157.71</v>
      </c>
      <c r="J7" s="323"/>
      <c r="K7" s="324" t="s">
        <v>22</v>
      </c>
      <c r="L7" s="325">
        <v>2747253.14</v>
      </c>
    </row>
    <row r="8" spans="1:12" ht="61.2" x14ac:dyDescent="0.3">
      <c r="A8" s="319" t="s">
        <v>37</v>
      </c>
      <c r="B8" s="320" t="s">
        <v>694</v>
      </c>
      <c r="C8" s="320" t="s">
        <v>39</v>
      </c>
      <c r="D8" s="320" t="s">
        <v>698</v>
      </c>
      <c r="E8" s="321" t="s">
        <v>41</v>
      </c>
      <c r="F8" s="322" t="s">
        <v>28</v>
      </c>
      <c r="G8" s="322"/>
      <c r="H8" s="321" t="s">
        <v>27</v>
      </c>
      <c r="I8" s="323">
        <v>50534.080000000002</v>
      </c>
      <c r="J8" s="323"/>
      <c r="K8" s="324" t="s">
        <v>22</v>
      </c>
      <c r="L8" s="325">
        <v>2696719.06</v>
      </c>
    </row>
    <row r="9" spans="1:12" ht="51" x14ac:dyDescent="0.3">
      <c r="A9" s="319" t="s">
        <v>37</v>
      </c>
      <c r="B9" s="320" t="s">
        <v>694</v>
      </c>
      <c r="C9" s="320" t="s">
        <v>39</v>
      </c>
      <c r="D9" s="320" t="s">
        <v>699</v>
      </c>
      <c r="E9" s="321" t="s">
        <v>41</v>
      </c>
      <c r="F9" s="322" t="s">
        <v>28</v>
      </c>
      <c r="G9" s="322"/>
      <c r="H9" s="321" t="s">
        <v>27</v>
      </c>
      <c r="I9" s="323">
        <v>1018.65</v>
      </c>
      <c r="J9" s="323"/>
      <c r="K9" s="324" t="s">
        <v>22</v>
      </c>
      <c r="L9" s="325">
        <v>2695700.41</v>
      </c>
    </row>
    <row r="10" spans="1:12" ht="51" x14ac:dyDescent="0.3">
      <c r="A10" s="319" t="s">
        <v>37</v>
      </c>
      <c r="B10" s="320" t="s">
        <v>694</v>
      </c>
      <c r="C10" s="320" t="s">
        <v>39</v>
      </c>
      <c r="D10" s="320" t="s">
        <v>700</v>
      </c>
      <c r="E10" s="321" t="s">
        <v>41</v>
      </c>
      <c r="F10" s="322" t="s">
        <v>28</v>
      </c>
      <c r="G10" s="322"/>
      <c r="H10" s="321" t="s">
        <v>27</v>
      </c>
      <c r="I10" s="326">
        <v>509.32</v>
      </c>
      <c r="J10" s="326"/>
      <c r="K10" s="324" t="s">
        <v>22</v>
      </c>
      <c r="L10" s="325">
        <v>2695191.09</v>
      </c>
    </row>
    <row r="11" spans="1:12" ht="51" x14ac:dyDescent="0.3">
      <c r="A11" s="319" t="s">
        <v>37</v>
      </c>
      <c r="B11" s="320" t="s">
        <v>694</v>
      </c>
      <c r="C11" s="320" t="s">
        <v>39</v>
      </c>
      <c r="D11" s="320" t="s">
        <v>700</v>
      </c>
      <c r="E11" s="321" t="s">
        <v>41</v>
      </c>
      <c r="F11" s="322" t="s">
        <v>28</v>
      </c>
      <c r="G11" s="322"/>
      <c r="H11" s="321" t="s">
        <v>27</v>
      </c>
      <c r="I11" s="323">
        <v>1018.65</v>
      </c>
      <c r="J11" s="323"/>
      <c r="K11" s="324" t="s">
        <v>22</v>
      </c>
      <c r="L11" s="325">
        <v>2694172.44</v>
      </c>
    </row>
    <row r="12" spans="1:12" ht="51" x14ac:dyDescent="0.3">
      <c r="A12" s="319" t="s">
        <v>37</v>
      </c>
      <c r="B12" s="320" t="s">
        <v>694</v>
      </c>
      <c r="C12" s="320" t="s">
        <v>39</v>
      </c>
      <c r="D12" s="320" t="s">
        <v>701</v>
      </c>
      <c r="E12" s="321" t="s">
        <v>41</v>
      </c>
      <c r="F12" s="322" t="s">
        <v>28</v>
      </c>
      <c r="G12" s="322"/>
      <c r="H12" s="321" t="s">
        <v>27</v>
      </c>
      <c r="I12" s="323">
        <v>87534.3</v>
      </c>
      <c r="J12" s="323"/>
      <c r="K12" s="324" t="s">
        <v>22</v>
      </c>
      <c r="L12" s="325">
        <v>2606638.14</v>
      </c>
    </row>
    <row r="13" spans="1:12" ht="51" x14ac:dyDescent="0.3">
      <c r="A13" s="319" t="s">
        <v>37</v>
      </c>
      <c r="B13" s="320" t="s">
        <v>694</v>
      </c>
      <c r="C13" s="320" t="s">
        <v>39</v>
      </c>
      <c r="D13" s="320" t="s">
        <v>702</v>
      </c>
      <c r="E13" s="321" t="s">
        <v>41</v>
      </c>
      <c r="F13" s="322" t="s">
        <v>28</v>
      </c>
      <c r="G13" s="322"/>
      <c r="H13" s="321" t="s">
        <v>27</v>
      </c>
      <c r="I13" s="323">
        <v>30930.82</v>
      </c>
      <c r="J13" s="323"/>
      <c r="K13" s="324" t="s">
        <v>22</v>
      </c>
      <c r="L13" s="325">
        <v>2575707.3199999998</v>
      </c>
    </row>
    <row r="14" spans="1:12" ht="51" x14ac:dyDescent="0.3">
      <c r="A14" s="319" t="s">
        <v>37</v>
      </c>
      <c r="B14" s="320" t="s">
        <v>694</v>
      </c>
      <c r="C14" s="320" t="s">
        <v>39</v>
      </c>
      <c r="D14" s="320" t="s">
        <v>702</v>
      </c>
      <c r="E14" s="321" t="s">
        <v>41</v>
      </c>
      <c r="F14" s="322" t="s">
        <v>28</v>
      </c>
      <c r="G14" s="322"/>
      <c r="H14" s="321" t="s">
        <v>27</v>
      </c>
      <c r="I14" s="323">
        <v>30930.81</v>
      </c>
      <c r="J14" s="323"/>
      <c r="K14" s="324" t="s">
        <v>22</v>
      </c>
      <c r="L14" s="325">
        <v>2544776.5099999998</v>
      </c>
    </row>
    <row r="15" spans="1:12" ht="51" x14ac:dyDescent="0.3">
      <c r="A15" s="319" t="s">
        <v>37</v>
      </c>
      <c r="B15" s="320" t="s">
        <v>694</v>
      </c>
      <c r="C15" s="320" t="s">
        <v>39</v>
      </c>
      <c r="D15" s="320" t="s">
        <v>703</v>
      </c>
      <c r="E15" s="321" t="s">
        <v>41</v>
      </c>
      <c r="F15" s="322" t="s">
        <v>28</v>
      </c>
      <c r="G15" s="322"/>
      <c r="H15" s="321" t="s">
        <v>27</v>
      </c>
      <c r="I15" s="323">
        <v>30930.82</v>
      </c>
      <c r="J15" s="323"/>
      <c r="K15" s="324" t="s">
        <v>22</v>
      </c>
      <c r="L15" s="325">
        <v>2513845.69</v>
      </c>
    </row>
    <row r="16" spans="1:12" ht="51" x14ac:dyDescent="0.3">
      <c r="A16" s="319" t="s">
        <v>37</v>
      </c>
      <c r="B16" s="320" t="s">
        <v>694</v>
      </c>
      <c r="C16" s="320" t="s">
        <v>39</v>
      </c>
      <c r="D16" s="320" t="s">
        <v>703</v>
      </c>
      <c r="E16" s="321" t="s">
        <v>41</v>
      </c>
      <c r="F16" s="322" t="s">
        <v>28</v>
      </c>
      <c r="G16" s="322"/>
      <c r="H16" s="321" t="s">
        <v>27</v>
      </c>
      <c r="I16" s="323">
        <v>30930.81</v>
      </c>
      <c r="J16" s="323"/>
      <c r="K16" s="324" t="s">
        <v>22</v>
      </c>
      <c r="L16" s="325">
        <v>2482914.88</v>
      </c>
    </row>
    <row r="17" spans="1:12" ht="51" x14ac:dyDescent="0.3">
      <c r="A17" s="319" t="s">
        <v>37</v>
      </c>
      <c r="B17" s="320" t="s">
        <v>694</v>
      </c>
      <c r="C17" s="320" t="s">
        <v>39</v>
      </c>
      <c r="D17" s="320" t="s">
        <v>704</v>
      </c>
      <c r="E17" s="321" t="s">
        <v>41</v>
      </c>
      <c r="F17" s="322" t="s">
        <v>28</v>
      </c>
      <c r="G17" s="322"/>
      <c r="H17" s="321" t="s">
        <v>27</v>
      </c>
      <c r="I17" s="323">
        <v>30930.82</v>
      </c>
      <c r="J17" s="323"/>
      <c r="K17" s="324" t="s">
        <v>22</v>
      </c>
      <c r="L17" s="325">
        <v>2451984.06</v>
      </c>
    </row>
    <row r="18" spans="1:12" ht="51" x14ac:dyDescent="0.3">
      <c r="A18" s="319" t="s">
        <v>37</v>
      </c>
      <c r="B18" s="320" t="s">
        <v>694</v>
      </c>
      <c r="C18" s="320" t="s">
        <v>39</v>
      </c>
      <c r="D18" s="320" t="s">
        <v>705</v>
      </c>
      <c r="E18" s="321" t="s">
        <v>41</v>
      </c>
      <c r="F18" s="322" t="s">
        <v>28</v>
      </c>
      <c r="G18" s="322"/>
      <c r="H18" s="321" t="s">
        <v>27</v>
      </c>
      <c r="I18" s="323">
        <v>30930.82</v>
      </c>
      <c r="J18" s="323"/>
      <c r="K18" s="324" t="s">
        <v>22</v>
      </c>
      <c r="L18" s="325">
        <v>2421053.2400000002</v>
      </c>
    </row>
    <row r="19" spans="1:12" ht="61.2" x14ac:dyDescent="0.3">
      <c r="A19" s="319" t="s">
        <v>37</v>
      </c>
      <c r="B19" s="320" t="s">
        <v>694</v>
      </c>
      <c r="C19" s="320" t="s">
        <v>39</v>
      </c>
      <c r="D19" s="320" t="s">
        <v>706</v>
      </c>
      <c r="E19" s="321" t="s">
        <v>41</v>
      </c>
      <c r="F19" s="322" t="s">
        <v>28</v>
      </c>
      <c r="G19" s="322"/>
      <c r="H19" s="321" t="s">
        <v>27</v>
      </c>
      <c r="I19" s="323">
        <v>38054.370000000003</v>
      </c>
      <c r="J19" s="323"/>
      <c r="K19" s="324" t="s">
        <v>22</v>
      </c>
      <c r="L19" s="325">
        <v>2382998.87</v>
      </c>
    </row>
    <row r="20" spans="1:12" ht="61.2" x14ac:dyDescent="0.3">
      <c r="A20" s="319" t="s">
        <v>37</v>
      </c>
      <c r="B20" s="320" t="s">
        <v>694</v>
      </c>
      <c r="C20" s="320" t="s">
        <v>39</v>
      </c>
      <c r="D20" s="320" t="s">
        <v>707</v>
      </c>
      <c r="E20" s="321" t="s">
        <v>41</v>
      </c>
      <c r="F20" s="322" t="s">
        <v>28</v>
      </c>
      <c r="G20" s="322"/>
      <c r="H20" s="321" t="s">
        <v>27</v>
      </c>
      <c r="I20" s="323">
        <v>19027.189999999999</v>
      </c>
      <c r="J20" s="323"/>
      <c r="K20" s="324" t="s">
        <v>22</v>
      </c>
      <c r="L20" s="325">
        <v>2363971.6800000002</v>
      </c>
    </row>
    <row r="21" spans="1:12" ht="51" x14ac:dyDescent="0.3">
      <c r="A21" s="319" t="s">
        <v>37</v>
      </c>
      <c r="B21" s="320" t="s">
        <v>694</v>
      </c>
      <c r="C21" s="320" t="s">
        <v>39</v>
      </c>
      <c r="D21" s="320" t="s">
        <v>708</v>
      </c>
      <c r="E21" s="321" t="s">
        <v>41</v>
      </c>
      <c r="F21" s="322" t="s">
        <v>28</v>
      </c>
      <c r="G21" s="322"/>
      <c r="H21" s="321" t="s">
        <v>27</v>
      </c>
      <c r="I21" s="323">
        <v>31706.85</v>
      </c>
      <c r="J21" s="323"/>
      <c r="K21" s="324" t="s">
        <v>22</v>
      </c>
      <c r="L21" s="325">
        <v>2332264.83</v>
      </c>
    </row>
    <row r="22" spans="1:12" ht="51" x14ac:dyDescent="0.3">
      <c r="A22" s="319" t="s">
        <v>37</v>
      </c>
      <c r="B22" s="320" t="s">
        <v>694</v>
      </c>
      <c r="C22" s="320" t="s">
        <v>39</v>
      </c>
      <c r="D22" s="320" t="s">
        <v>709</v>
      </c>
      <c r="E22" s="321" t="s">
        <v>41</v>
      </c>
      <c r="F22" s="322" t="s">
        <v>28</v>
      </c>
      <c r="G22" s="322"/>
      <c r="H22" s="321" t="s">
        <v>27</v>
      </c>
      <c r="I22" s="323">
        <v>31706.85</v>
      </c>
      <c r="J22" s="323"/>
      <c r="K22" s="324" t="s">
        <v>22</v>
      </c>
      <c r="L22" s="325">
        <v>2300557.98</v>
      </c>
    </row>
    <row r="23" spans="1:12" ht="61.2" x14ac:dyDescent="0.3">
      <c r="A23" s="319" t="s">
        <v>37</v>
      </c>
      <c r="B23" s="320" t="s">
        <v>694</v>
      </c>
      <c r="C23" s="320" t="s">
        <v>39</v>
      </c>
      <c r="D23" s="320" t="s">
        <v>710</v>
      </c>
      <c r="E23" s="321" t="s">
        <v>41</v>
      </c>
      <c r="F23" s="322" t="s">
        <v>28</v>
      </c>
      <c r="G23" s="322"/>
      <c r="H23" s="321" t="s">
        <v>27</v>
      </c>
      <c r="I23" s="323">
        <v>96443.39</v>
      </c>
      <c r="J23" s="323"/>
      <c r="K23" s="324" t="s">
        <v>22</v>
      </c>
      <c r="L23" s="325">
        <v>2204114.59</v>
      </c>
    </row>
    <row r="24" spans="1:12" ht="61.2" x14ac:dyDescent="0.3">
      <c r="A24" s="319" t="s">
        <v>37</v>
      </c>
      <c r="B24" s="320" t="s">
        <v>694</v>
      </c>
      <c r="C24" s="320" t="s">
        <v>39</v>
      </c>
      <c r="D24" s="320" t="s">
        <v>711</v>
      </c>
      <c r="E24" s="321" t="s">
        <v>41</v>
      </c>
      <c r="F24" s="322" t="s">
        <v>28</v>
      </c>
      <c r="G24" s="322"/>
      <c r="H24" s="321" t="s">
        <v>27</v>
      </c>
      <c r="I24" s="323">
        <v>96443.39</v>
      </c>
      <c r="J24" s="323"/>
      <c r="K24" s="324" t="s">
        <v>22</v>
      </c>
      <c r="L24" s="325">
        <v>2107671.2000000002</v>
      </c>
    </row>
    <row r="25" spans="1:12" ht="61.2" x14ac:dyDescent="0.3">
      <c r="A25" s="319" t="s">
        <v>37</v>
      </c>
      <c r="B25" s="320" t="s">
        <v>694</v>
      </c>
      <c r="C25" s="320" t="s">
        <v>39</v>
      </c>
      <c r="D25" s="320" t="s">
        <v>712</v>
      </c>
      <c r="E25" s="321" t="s">
        <v>41</v>
      </c>
      <c r="F25" s="322" t="s">
        <v>28</v>
      </c>
      <c r="G25" s="322"/>
      <c r="H25" s="321" t="s">
        <v>27</v>
      </c>
      <c r="I25" s="323">
        <v>96188.98</v>
      </c>
      <c r="J25" s="323"/>
      <c r="K25" s="324" t="s">
        <v>22</v>
      </c>
      <c r="L25" s="325">
        <v>2011482.22</v>
      </c>
    </row>
    <row r="26" spans="1:12" ht="61.2" x14ac:dyDescent="0.3">
      <c r="A26" s="319" t="s">
        <v>37</v>
      </c>
      <c r="B26" s="320" t="s">
        <v>694</v>
      </c>
      <c r="C26" s="320" t="s">
        <v>39</v>
      </c>
      <c r="D26" s="320" t="s">
        <v>713</v>
      </c>
      <c r="E26" s="321" t="s">
        <v>41</v>
      </c>
      <c r="F26" s="322" t="s">
        <v>28</v>
      </c>
      <c r="G26" s="322"/>
      <c r="H26" s="321" t="s">
        <v>27</v>
      </c>
      <c r="I26" s="323">
        <v>96188.98</v>
      </c>
      <c r="J26" s="323"/>
      <c r="K26" s="324" t="s">
        <v>22</v>
      </c>
      <c r="L26" s="325">
        <v>1915293.24</v>
      </c>
    </row>
    <row r="27" spans="1:12" ht="61.2" x14ac:dyDescent="0.3">
      <c r="A27" s="319" t="s">
        <v>37</v>
      </c>
      <c r="B27" s="320" t="s">
        <v>694</v>
      </c>
      <c r="C27" s="320" t="s">
        <v>39</v>
      </c>
      <c r="D27" s="320" t="s">
        <v>714</v>
      </c>
      <c r="E27" s="321" t="s">
        <v>41</v>
      </c>
      <c r="F27" s="322" t="s">
        <v>28</v>
      </c>
      <c r="G27" s="322"/>
      <c r="H27" s="321" t="s">
        <v>27</v>
      </c>
      <c r="I27" s="323">
        <v>192377.95</v>
      </c>
      <c r="J27" s="323"/>
      <c r="K27" s="324" t="s">
        <v>22</v>
      </c>
      <c r="L27" s="325">
        <v>1722915.29</v>
      </c>
    </row>
    <row r="28" spans="1:12" ht="61.2" x14ac:dyDescent="0.3">
      <c r="A28" s="319" t="s">
        <v>37</v>
      </c>
      <c r="B28" s="320" t="s">
        <v>694</v>
      </c>
      <c r="C28" s="320" t="s">
        <v>39</v>
      </c>
      <c r="D28" s="320" t="s">
        <v>715</v>
      </c>
      <c r="E28" s="321" t="s">
        <v>41</v>
      </c>
      <c r="F28" s="322" t="s">
        <v>28</v>
      </c>
      <c r="G28" s="322"/>
      <c r="H28" s="321" t="s">
        <v>27</v>
      </c>
      <c r="I28" s="323">
        <v>96188.98</v>
      </c>
      <c r="J28" s="323"/>
      <c r="K28" s="324" t="s">
        <v>22</v>
      </c>
      <c r="L28" s="325">
        <v>1626726.31</v>
      </c>
    </row>
    <row r="29" spans="1:12" ht="61.2" x14ac:dyDescent="0.3">
      <c r="A29" s="319" t="s">
        <v>37</v>
      </c>
      <c r="B29" s="320" t="s">
        <v>694</v>
      </c>
      <c r="C29" s="320" t="s">
        <v>39</v>
      </c>
      <c r="D29" s="320" t="s">
        <v>716</v>
      </c>
      <c r="E29" s="321" t="s">
        <v>41</v>
      </c>
      <c r="F29" s="322" t="s">
        <v>28</v>
      </c>
      <c r="G29" s="322"/>
      <c r="H29" s="321" t="s">
        <v>27</v>
      </c>
      <c r="I29" s="323">
        <v>96188.98</v>
      </c>
      <c r="J29" s="323"/>
      <c r="K29" s="324" t="s">
        <v>22</v>
      </c>
      <c r="L29" s="325">
        <v>1530537.33</v>
      </c>
    </row>
    <row r="30" spans="1:12" ht="61.2" x14ac:dyDescent="0.3">
      <c r="A30" s="319" t="s">
        <v>37</v>
      </c>
      <c r="B30" s="320" t="s">
        <v>694</v>
      </c>
      <c r="C30" s="320" t="s">
        <v>39</v>
      </c>
      <c r="D30" s="320" t="s">
        <v>716</v>
      </c>
      <c r="E30" s="321" t="s">
        <v>41</v>
      </c>
      <c r="F30" s="322" t="s">
        <v>28</v>
      </c>
      <c r="G30" s="322"/>
      <c r="H30" s="321" t="s">
        <v>27</v>
      </c>
      <c r="I30" s="323">
        <v>96188.98</v>
      </c>
      <c r="J30" s="323"/>
      <c r="K30" s="324" t="s">
        <v>22</v>
      </c>
      <c r="L30" s="325">
        <v>1434348.35</v>
      </c>
    </row>
    <row r="31" spans="1:12" ht="61.2" x14ac:dyDescent="0.3">
      <c r="A31" s="319" t="s">
        <v>37</v>
      </c>
      <c r="B31" s="320" t="s">
        <v>694</v>
      </c>
      <c r="C31" s="320" t="s">
        <v>39</v>
      </c>
      <c r="D31" s="320" t="s">
        <v>717</v>
      </c>
      <c r="E31" s="321" t="s">
        <v>41</v>
      </c>
      <c r="F31" s="322" t="s">
        <v>28</v>
      </c>
      <c r="G31" s="322"/>
      <c r="H31" s="321" t="s">
        <v>27</v>
      </c>
      <c r="I31" s="323">
        <v>96188.98</v>
      </c>
      <c r="J31" s="323"/>
      <c r="K31" s="324" t="s">
        <v>22</v>
      </c>
      <c r="L31" s="325">
        <v>1338159.3700000001</v>
      </c>
    </row>
    <row r="32" spans="1:12" ht="61.2" x14ac:dyDescent="0.3">
      <c r="A32" s="319" t="s">
        <v>37</v>
      </c>
      <c r="B32" s="320" t="s">
        <v>694</v>
      </c>
      <c r="C32" s="320" t="s">
        <v>39</v>
      </c>
      <c r="D32" s="320" t="s">
        <v>718</v>
      </c>
      <c r="E32" s="321" t="s">
        <v>41</v>
      </c>
      <c r="F32" s="322" t="s">
        <v>28</v>
      </c>
      <c r="G32" s="322"/>
      <c r="H32" s="321" t="s">
        <v>27</v>
      </c>
      <c r="I32" s="323">
        <v>96188.98</v>
      </c>
      <c r="J32" s="323"/>
      <c r="K32" s="324" t="s">
        <v>22</v>
      </c>
      <c r="L32" s="325">
        <v>1241970.3899999999</v>
      </c>
    </row>
    <row r="33" spans="1:12" ht="61.2" x14ac:dyDescent="0.3">
      <c r="A33" s="319" t="s">
        <v>37</v>
      </c>
      <c r="B33" s="320" t="s">
        <v>694</v>
      </c>
      <c r="C33" s="320" t="s">
        <v>39</v>
      </c>
      <c r="D33" s="320" t="s">
        <v>719</v>
      </c>
      <c r="E33" s="321" t="s">
        <v>41</v>
      </c>
      <c r="F33" s="322" t="s">
        <v>28</v>
      </c>
      <c r="G33" s="322"/>
      <c r="H33" s="321" t="s">
        <v>27</v>
      </c>
      <c r="I33" s="323">
        <v>92182.65</v>
      </c>
      <c r="J33" s="323"/>
      <c r="K33" s="324" t="s">
        <v>22</v>
      </c>
      <c r="L33" s="325">
        <v>1149787.74</v>
      </c>
    </row>
    <row r="34" spans="1:12" ht="61.2" x14ac:dyDescent="0.3">
      <c r="A34" s="319" t="s">
        <v>37</v>
      </c>
      <c r="B34" s="320" t="s">
        <v>694</v>
      </c>
      <c r="C34" s="320" t="s">
        <v>39</v>
      </c>
      <c r="D34" s="320" t="s">
        <v>720</v>
      </c>
      <c r="E34" s="321" t="s">
        <v>41</v>
      </c>
      <c r="F34" s="322" t="s">
        <v>28</v>
      </c>
      <c r="G34" s="322"/>
      <c r="H34" s="321" t="s">
        <v>27</v>
      </c>
      <c r="I34" s="323">
        <v>92182.65</v>
      </c>
      <c r="J34" s="323"/>
      <c r="K34" s="324" t="s">
        <v>22</v>
      </c>
      <c r="L34" s="325">
        <v>1057605.0900000001</v>
      </c>
    </row>
    <row r="35" spans="1:12" ht="61.2" x14ac:dyDescent="0.3">
      <c r="A35" s="319" t="s">
        <v>37</v>
      </c>
      <c r="B35" s="320" t="s">
        <v>694</v>
      </c>
      <c r="C35" s="320" t="s">
        <v>39</v>
      </c>
      <c r="D35" s="320" t="s">
        <v>721</v>
      </c>
      <c r="E35" s="321" t="s">
        <v>41</v>
      </c>
      <c r="F35" s="322" t="s">
        <v>28</v>
      </c>
      <c r="G35" s="322"/>
      <c r="H35" s="321" t="s">
        <v>27</v>
      </c>
      <c r="I35" s="323">
        <v>91939.48</v>
      </c>
      <c r="J35" s="323"/>
      <c r="K35" s="324" t="s">
        <v>22</v>
      </c>
      <c r="L35" s="325">
        <v>965665.61</v>
      </c>
    </row>
    <row r="36" spans="1:12" ht="61.2" x14ac:dyDescent="0.3">
      <c r="A36" s="319" t="s">
        <v>37</v>
      </c>
      <c r="B36" s="320" t="s">
        <v>694</v>
      </c>
      <c r="C36" s="320" t="s">
        <v>39</v>
      </c>
      <c r="D36" s="320" t="s">
        <v>722</v>
      </c>
      <c r="E36" s="321" t="s">
        <v>41</v>
      </c>
      <c r="F36" s="322" t="s">
        <v>28</v>
      </c>
      <c r="G36" s="322"/>
      <c r="H36" s="321" t="s">
        <v>27</v>
      </c>
      <c r="I36" s="323">
        <v>91939.48</v>
      </c>
      <c r="J36" s="323"/>
      <c r="K36" s="324" t="s">
        <v>22</v>
      </c>
      <c r="L36" s="325">
        <v>873726.13</v>
      </c>
    </row>
    <row r="37" spans="1:12" ht="61.2" x14ac:dyDescent="0.3">
      <c r="A37" s="319" t="s">
        <v>37</v>
      </c>
      <c r="B37" s="320" t="s">
        <v>694</v>
      </c>
      <c r="C37" s="320" t="s">
        <v>39</v>
      </c>
      <c r="D37" s="320" t="s">
        <v>723</v>
      </c>
      <c r="E37" s="321" t="s">
        <v>41</v>
      </c>
      <c r="F37" s="322" t="s">
        <v>28</v>
      </c>
      <c r="G37" s="322"/>
      <c r="H37" s="321" t="s">
        <v>27</v>
      </c>
      <c r="I37" s="323">
        <v>91939.48</v>
      </c>
      <c r="J37" s="323"/>
      <c r="K37" s="324" t="s">
        <v>22</v>
      </c>
      <c r="L37" s="325">
        <v>781786.65</v>
      </c>
    </row>
    <row r="38" spans="1:12" ht="61.2" x14ac:dyDescent="0.3">
      <c r="A38" s="319" t="s">
        <v>37</v>
      </c>
      <c r="B38" s="320" t="s">
        <v>694</v>
      </c>
      <c r="C38" s="320" t="s">
        <v>39</v>
      </c>
      <c r="D38" s="320" t="s">
        <v>724</v>
      </c>
      <c r="E38" s="321" t="s">
        <v>41</v>
      </c>
      <c r="F38" s="322" t="s">
        <v>28</v>
      </c>
      <c r="G38" s="322"/>
      <c r="H38" s="321" t="s">
        <v>27</v>
      </c>
      <c r="I38" s="323">
        <v>91939.48</v>
      </c>
      <c r="J38" s="323"/>
      <c r="K38" s="324" t="s">
        <v>22</v>
      </c>
      <c r="L38" s="325">
        <v>689847.17</v>
      </c>
    </row>
    <row r="39" spans="1:12" ht="61.2" x14ac:dyDescent="0.3">
      <c r="A39" s="319" t="s">
        <v>37</v>
      </c>
      <c r="B39" s="320" t="s">
        <v>694</v>
      </c>
      <c r="C39" s="320" t="s">
        <v>39</v>
      </c>
      <c r="D39" s="320" t="s">
        <v>725</v>
      </c>
      <c r="E39" s="321" t="s">
        <v>41</v>
      </c>
      <c r="F39" s="322" t="s">
        <v>28</v>
      </c>
      <c r="G39" s="322"/>
      <c r="H39" s="321" t="s">
        <v>27</v>
      </c>
      <c r="I39" s="323">
        <v>91939.49</v>
      </c>
      <c r="J39" s="323"/>
      <c r="K39" s="324" t="s">
        <v>22</v>
      </c>
      <c r="L39" s="325">
        <v>597907.68000000005</v>
      </c>
    </row>
    <row r="40" spans="1:12" ht="61.2" x14ac:dyDescent="0.3">
      <c r="A40" s="319" t="s">
        <v>37</v>
      </c>
      <c r="B40" s="320" t="s">
        <v>694</v>
      </c>
      <c r="C40" s="320" t="s">
        <v>39</v>
      </c>
      <c r="D40" s="320" t="s">
        <v>726</v>
      </c>
      <c r="E40" s="321" t="s">
        <v>41</v>
      </c>
      <c r="F40" s="322" t="s">
        <v>28</v>
      </c>
      <c r="G40" s="322"/>
      <c r="H40" s="321" t="s">
        <v>27</v>
      </c>
      <c r="I40" s="323">
        <v>91939.48</v>
      </c>
      <c r="J40" s="323"/>
      <c r="K40" s="324" t="s">
        <v>22</v>
      </c>
      <c r="L40" s="325">
        <v>505968.2</v>
      </c>
    </row>
    <row r="41" spans="1:12" ht="51" hidden="1" x14ac:dyDescent="0.3">
      <c r="A41" s="319" t="s">
        <v>37</v>
      </c>
      <c r="B41" s="320" t="s">
        <v>727</v>
      </c>
      <c r="C41" s="320" t="s">
        <v>728</v>
      </c>
      <c r="D41" s="320" t="s">
        <v>729</v>
      </c>
      <c r="E41" s="321" t="s">
        <v>27</v>
      </c>
      <c r="F41" s="327">
        <v>49203</v>
      </c>
      <c r="G41" s="327"/>
      <c r="H41" s="321" t="s">
        <v>58</v>
      </c>
      <c r="I41" s="328" t="s">
        <v>28</v>
      </c>
      <c r="J41" s="328"/>
      <c r="K41" s="324" t="s">
        <v>22</v>
      </c>
      <c r="L41" s="325">
        <v>555171.19999999995</v>
      </c>
    </row>
    <row r="42" spans="1:12" ht="51" hidden="1" x14ac:dyDescent="0.3">
      <c r="A42" s="319" t="s">
        <v>37</v>
      </c>
      <c r="B42" s="320" t="s">
        <v>727</v>
      </c>
      <c r="C42" s="320" t="s">
        <v>730</v>
      </c>
      <c r="D42" s="320" t="s">
        <v>729</v>
      </c>
      <c r="E42" s="321" t="s">
        <v>27</v>
      </c>
      <c r="F42" s="327">
        <v>50325</v>
      </c>
      <c r="G42" s="327"/>
      <c r="H42" s="321" t="s">
        <v>58</v>
      </c>
      <c r="I42" s="328" t="s">
        <v>28</v>
      </c>
      <c r="J42" s="328"/>
      <c r="K42" s="324" t="s">
        <v>22</v>
      </c>
      <c r="L42" s="325">
        <v>605496.19999999995</v>
      </c>
    </row>
    <row r="43" spans="1:12" ht="61.2" hidden="1" x14ac:dyDescent="0.3">
      <c r="A43" s="319" t="s">
        <v>37</v>
      </c>
      <c r="B43" s="320" t="s">
        <v>727</v>
      </c>
      <c r="C43" s="320" t="s">
        <v>731</v>
      </c>
      <c r="D43" s="320" t="s">
        <v>729</v>
      </c>
      <c r="E43" s="321" t="s">
        <v>27</v>
      </c>
      <c r="F43" s="327">
        <v>48267</v>
      </c>
      <c r="G43" s="327"/>
      <c r="H43" s="321" t="s">
        <v>58</v>
      </c>
      <c r="I43" s="328" t="s">
        <v>28</v>
      </c>
      <c r="J43" s="328"/>
      <c r="K43" s="324" t="s">
        <v>22</v>
      </c>
      <c r="L43" s="325">
        <v>653763.19999999995</v>
      </c>
    </row>
    <row r="44" spans="1:12" ht="51" hidden="1" x14ac:dyDescent="0.3">
      <c r="A44" s="319" t="s">
        <v>37</v>
      </c>
      <c r="B44" s="320" t="s">
        <v>727</v>
      </c>
      <c r="C44" s="320" t="s">
        <v>732</v>
      </c>
      <c r="D44" s="320" t="s">
        <v>729</v>
      </c>
      <c r="E44" s="321" t="s">
        <v>27</v>
      </c>
      <c r="F44" s="327">
        <v>49826</v>
      </c>
      <c r="G44" s="327"/>
      <c r="H44" s="321" t="s">
        <v>58</v>
      </c>
      <c r="I44" s="328" t="s">
        <v>28</v>
      </c>
      <c r="J44" s="328"/>
      <c r="K44" s="324" t="s">
        <v>22</v>
      </c>
      <c r="L44" s="325">
        <v>703589.2</v>
      </c>
    </row>
    <row r="45" spans="1:12" ht="61.2" hidden="1" x14ac:dyDescent="0.3">
      <c r="A45" s="319" t="s">
        <v>37</v>
      </c>
      <c r="B45" s="320" t="s">
        <v>727</v>
      </c>
      <c r="C45" s="320" t="s">
        <v>733</v>
      </c>
      <c r="D45" s="320" t="s">
        <v>729</v>
      </c>
      <c r="E45" s="321" t="s">
        <v>27</v>
      </c>
      <c r="F45" s="327">
        <v>37684</v>
      </c>
      <c r="G45" s="327"/>
      <c r="H45" s="321" t="s">
        <v>58</v>
      </c>
      <c r="I45" s="328" t="s">
        <v>28</v>
      </c>
      <c r="J45" s="328"/>
      <c r="K45" s="324" t="s">
        <v>22</v>
      </c>
      <c r="L45" s="325">
        <v>741273.2</v>
      </c>
    </row>
    <row r="46" spans="1:12" ht="51" hidden="1" x14ac:dyDescent="0.3">
      <c r="A46" s="319" t="s">
        <v>37</v>
      </c>
      <c r="B46" s="320" t="s">
        <v>727</v>
      </c>
      <c r="C46" s="320" t="s">
        <v>734</v>
      </c>
      <c r="D46" s="320" t="s">
        <v>729</v>
      </c>
      <c r="E46" s="321" t="s">
        <v>27</v>
      </c>
      <c r="F46" s="327">
        <v>17826</v>
      </c>
      <c r="G46" s="327"/>
      <c r="H46" s="321" t="s">
        <v>58</v>
      </c>
      <c r="I46" s="328" t="s">
        <v>28</v>
      </c>
      <c r="J46" s="328"/>
      <c r="K46" s="324" t="s">
        <v>22</v>
      </c>
      <c r="L46" s="325">
        <v>759099.2</v>
      </c>
    </row>
    <row r="47" spans="1:12" ht="51" hidden="1" x14ac:dyDescent="0.3">
      <c r="A47" s="319" t="s">
        <v>37</v>
      </c>
      <c r="B47" s="320" t="s">
        <v>727</v>
      </c>
      <c r="C47" s="320" t="s">
        <v>735</v>
      </c>
      <c r="D47" s="320" t="s">
        <v>729</v>
      </c>
      <c r="E47" s="321" t="s">
        <v>27</v>
      </c>
      <c r="F47" s="327">
        <v>20750</v>
      </c>
      <c r="G47" s="327"/>
      <c r="H47" s="321" t="s">
        <v>58</v>
      </c>
      <c r="I47" s="328" t="s">
        <v>28</v>
      </c>
      <c r="J47" s="328"/>
      <c r="K47" s="324" t="s">
        <v>22</v>
      </c>
      <c r="L47" s="325">
        <v>779849.2</v>
      </c>
    </row>
    <row r="48" spans="1:12" ht="61.2" hidden="1" x14ac:dyDescent="0.3">
      <c r="A48" s="319" t="s">
        <v>37</v>
      </c>
      <c r="B48" s="320" t="s">
        <v>736</v>
      </c>
      <c r="C48" s="320" t="s">
        <v>737</v>
      </c>
      <c r="D48" s="320" t="s">
        <v>738</v>
      </c>
      <c r="E48" s="321" t="s">
        <v>27</v>
      </c>
      <c r="F48" s="327">
        <v>5646</v>
      </c>
      <c r="G48" s="327"/>
      <c r="H48" s="321" t="s">
        <v>58</v>
      </c>
      <c r="I48" s="328" t="s">
        <v>28</v>
      </c>
      <c r="J48" s="328"/>
      <c r="K48" s="324" t="s">
        <v>22</v>
      </c>
      <c r="L48" s="325">
        <v>785495.2</v>
      </c>
    </row>
    <row r="49" spans="1:12" ht="61.2" hidden="1" x14ac:dyDescent="0.3">
      <c r="A49" s="319" t="s">
        <v>37</v>
      </c>
      <c r="B49" s="320" t="s">
        <v>739</v>
      </c>
      <c r="C49" s="320" t="s">
        <v>737</v>
      </c>
      <c r="D49" s="320" t="s">
        <v>738</v>
      </c>
      <c r="E49" s="321" t="s">
        <v>27</v>
      </c>
      <c r="F49" s="327">
        <v>13174</v>
      </c>
      <c r="G49" s="327"/>
      <c r="H49" s="321" t="s">
        <v>58</v>
      </c>
      <c r="I49" s="328" t="s">
        <v>28</v>
      </c>
      <c r="J49" s="328"/>
      <c r="K49" s="324" t="s">
        <v>22</v>
      </c>
      <c r="L49" s="325">
        <v>798669.2</v>
      </c>
    </row>
    <row r="50" spans="1:12" ht="51" hidden="1" x14ac:dyDescent="0.3">
      <c r="A50" s="319" t="s">
        <v>37</v>
      </c>
      <c r="B50" s="320" t="s">
        <v>740</v>
      </c>
      <c r="C50" s="320" t="s">
        <v>741</v>
      </c>
      <c r="D50" s="320" t="s">
        <v>729</v>
      </c>
      <c r="E50" s="321" t="s">
        <v>27</v>
      </c>
      <c r="F50" s="327">
        <v>3154</v>
      </c>
      <c r="G50" s="327"/>
      <c r="H50" s="321" t="s">
        <v>58</v>
      </c>
      <c r="I50" s="328" t="s">
        <v>28</v>
      </c>
      <c r="J50" s="328"/>
      <c r="K50" s="324" t="s">
        <v>22</v>
      </c>
      <c r="L50" s="325">
        <v>801823.2</v>
      </c>
    </row>
    <row r="51" spans="1:12" ht="61.2" hidden="1" x14ac:dyDescent="0.3">
      <c r="A51" s="319" t="s">
        <v>37</v>
      </c>
      <c r="B51" s="320" t="s">
        <v>742</v>
      </c>
      <c r="C51" s="320" t="s">
        <v>743</v>
      </c>
      <c r="D51" s="320" t="s">
        <v>729</v>
      </c>
      <c r="E51" s="321" t="s">
        <v>27</v>
      </c>
      <c r="F51" s="327">
        <v>89895</v>
      </c>
      <c r="G51" s="327"/>
      <c r="H51" s="321" t="s">
        <v>58</v>
      </c>
      <c r="I51" s="328" t="s">
        <v>28</v>
      </c>
      <c r="J51" s="328"/>
      <c r="K51" s="324" t="s">
        <v>22</v>
      </c>
      <c r="L51" s="325">
        <v>891718.2</v>
      </c>
    </row>
    <row r="52" spans="1:12" ht="51" hidden="1" x14ac:dyDescent="0.3">
      <c r="A52" s="319" t="s">
        <v>37</v>
      </c>
      <c r="B52" s="320" t="s">
        <v>742</v>
      </c>
      <c r="C52" s="320" t="s">
        <v>744</v>
      </c>
      <c r="D52" s="320" t="s">
        <v>729</v>
      </c>
      <c r="E52" s="321" t="s">
        <v>27</v>
      </c>
      <c r="F52" s="327">
        <v>158376</v>
      </c>
      <c r="G52" s="327"/>
      <c r="H52" s="321" t="s">
        <v>58</v>
      </c>
      <c r="I52" s="328" t="s">
        <v>28</v>
      </c>
      <c r="J52" s="328"/>
      <c r="K52" s="324" t="s">
        <v>22</v>
      </c>
      <c r="L52" s="325">
        <v>1050094.2</v>
      </c>
    </row>
    <row r="53" spans="1:12" ht="61.2" hidden="1" x14ac:dyDescent="0.3">
      <c r="A53" s="319" t="s">
        <v>54</v>
      </c>
      <c r="B53" s="320" t="s">
        <v>745</v>
      </c>
      <c r="C53" s="320" t="s">
        <v>746</v>
      </c>
      <c r="D53" s="320" t="s">
        <v>747</v>
      </c>
      <c r="E53" s="321" t="s">
        <v>27</v>
      </c>
      <c r="F53" s="327">
        <v>8382</v>
      </c>
      <c r="G53" s="327"/>
      <c r="H53" s="321" t="s">
        <v>58</v>
      </c>
      <c r="I53" s="328" t="s">
        <v>28</v>
      </c>
      <c r="J53" s="328"/>
      <c r="K53" s="324" t="s">
        <v>22</v>
      </c>
      <c r="L53" s="325">
        <v>1058476.2</v>
      </c>
    </row>
    <row r="54" spans="1:12" ht="61.2" hidden="1" x14ac:dyDescent="0.3">
      <c r="A54" s="319" t="s">
        <v>54</v>
      </c>
      <c r="B54" s="320" t="s">
        <v>748</v>
      </c>
      <c r="C54" s="320" t="s">
        <v>746</v>
      </c>
      <c r="D54" s="320" t="s">
        <v>747</v>
      </c>
      <c r="E54" s="321" t="s">
        <v>27</v>
      </c>
      <c r="F54" s="327">
        <v>19558</v>
      </c>
      <c r="G54" s="327"/>
      <c r="H54" s="321" t="s">
        <v>58</v>
      </c>
      <c r="I54" s="328" t="s">
        <v>28</v>
      </c>
      <c r="J54" s="328"/>
      <c r="K54" s="324" t="s">
        <v>22</v>
      </c>
      <c r="L54" s="325">
        <v>1078034.2</v>
      </c>
    </row>
    <row r="55" spans="1:12" ht="51" hidden="1" x14ac:dyDescent="0.3">
      <c r="A55" s="319" t="s">
        <v>54</v>
      </c>
      <c r="B55" s="320" t="s">
        <v>250</v>
      </c>
      <c r="C55" s="320" t="s">
        <v>251</v>
      </c>
      <c r="D55" s="320" t="s">
        <v>248</v>
      </c>
      <c r="E55" s="321" t="s">
        <v>27</v>
      </c>
      <c r="F55" s="327">
        <v>6996</v>
      </c>
      <c r="G55" s="327"/>
      <c r="H55" s="321" t="s">
        <v>27</v>
      </c>
      <c r="I55" s="328" t="s">
        <v>28</v>
      </c>
      <c r="J55" s="328"/>
      <c r="K55" s="324" t="s">
        <v>22</v>
      </c>
      <c r="L55" s="325">
        <v>1085030.2</v>
      </c>
    </row>
    <row r="56" spans="1:12" ht="61.2" hidden="1" x14ac:dyDescent="0.3">
      <c r="A56" s="319" t="s">
        <v>749</v>
      </c>
      <c r="B56" s="320" t="s">
        <v>750</v>
      </c>
      <c r="C56" s="320" t="s">
        <v>751</v>
      </c>
      <c r="D56" s="320" t="s">
        <v>752</v>
      </c>
      <c r="E56" s="321" t="s">
        <v>27</v>
      </c>
      <c r="F56" s="327">
        <v>19947</v>
      </c>
      <c r="G56" s="327"/>
      <c r="H56" s="321" t="s">
        <v>58</v>
      </c>
      <c r="I56" s="328" t="s">
        <v>28</v>
      </c>
      <c r="J56" s="328"/>
      <c r="K56" s="324" t="s">
        <v>22</v>
      </c>
      <c r="L56" s="325">
        <v>1104977.2</v>
      </c>
    </row>
    <row r="57" spans="1:12" ht="61.2" hidden="1" x14ac:dyDescent="0.3">
      <c r="A57" s="319" t="s">
        <v>749</v>
      </c>
      <c r="B57" s="320" t="s">
        <v>753</v>
      </c>
      <c r="C57" s="320" t="s">
        <v>751</v>
      </c>
      <c r="D57" s="320" t="s">
        <v>752</v>
      </c>
      <c r="E57" s="321" t="s">
        <v>27</v>
      </c>
      <c r="F57" s="327">
        <v>46543</v>
      </c>
      <c r="G57" s="327"/>
      <c r="H57" s="321" t="s">
        <v>58</v>
      </c>
      <c r="I57" s="328" t="s">
        <v>28</v>
      </c>
      <c r="J57" s="328"/>
      <c r="K57" s="324" t="s">
        <v>22</v>
      </c>
      <c r="L57" s="325">
        <v>1151520.2</v>
      </c>
    </row>
    <row r="58" spans="1:12" ht="51" hidden="1" x14ac:dyDescent="0.3">
      <c r="A58" s="319" t="s">
        <v>749</v>
      </c>
      <c r="B58" s="320" t="s">
        <v>754</v>
      </c>
      <c r="C58" s="320" t="s">
        <v>755</v>
      </c>
      <c r="D58" s="320" t="s">
        <v>729</v>
      </c>
      <c r="E58" s="321" t="s">
        <v>27</v>
      </c>
      <c r="F58" s="327">
        <v>48392</v>
      </c>
      <c r="G58" s="327"/>
      <c r="H58" s="321" t="s">
        <v>58</v>
      </c>
      <c r="I58" s="328" t="s">
        <v>28</v>
      </c>
      <c r="J58" s="328"/>
      <c r="K58" s="324" t="s">
        <v>22</v>
      </c>
      <c r="L58" s="325">
        <v>1199912.2</v>
      </c>
    </row>
    <row r="59" spans="1:12" ht="51" hidden="1" x14ac:dyDescent="0.3">
      <c r="A59" s="319" t="s">
        <v>749</v>
      </c>
      <c r="B59" s="320" t="s">
        <v>754</v>
      </c>
      <c r="C59" s="320" t="s">
        <v>756</v>
      </c>
      <c r="D59" s="320" t="s">
        <v>729</v>
      </c>
      <c r="E59" s="321" t="s">
        <v>27</v>
      </c>
      <c r="F59" s="327">
        <v>47394</v>
      </c>
      <c r="G59" s="327"/>
      <c r="H59" s="321" t="s">
        <v>58</v>
      </c>
      <c r="I59" s="328" t="s">
        <v>28</v>
      </c>
      <c r="J59" s="328"/>
      <c r="K59" s="324" t="s">
        <v>22</v>
      </c>
      <c r="L59" s="325">
        <v>1247306.2</v>
      </c>
    </row>
    <row r="60" spans="1:12" ht="51" hidden="1" x14ac:dyDescent="0.3">
      <c r="A60" s="319" t="s">
        <v>749</v>
      </c>
      <c r="B60" s="320" t="s">
        <v>754</v>
      </c>
      <c r="C60" s="320" t="s">
        <v>757</v>
      </c>
      <c r="D60" s="320" t="s">
        <v>729</v>
      </c>
      <c r="E60" s="321" t="s">
        <v>27</v>
      </c>
      <c r="F60" s="327">
        <v>48891</v>
      </c>
      <c r="G60" s="327"/>
      <c r="H60" s="321" t="s">
        <v>58</v>
      </c>
      <c r="I60" s="328" t="s">
        <v>28</v>
      </c>
      <c r="J60" s="328"/>
      <c r="K60" s="324" t="s">
        <v>22</v>
      </c>
      <c r="L60" s="325">
        <v>1296197.2</v>
      </c>
    </row>
    <row r="61" spans="1:12" ht="51" hidden="1" x14ac:dyDescent="0.3">
      <c r="A61" s="319" t="s">
        <v>749</v>
      </c>
      <c r="B61" s="320" t="s">
        <v>754</v>
      </c>
      <c r="C61" s="320" t="s">
        <v>758</v>
      </c>
      <c r="D61" s="320" t="s">
        <v>729</v>
      </c>
      <c r="E61" s="321" t="s">
        <v>27</v>
      </c>
      <c r="F61" s="327">
        <v>47394</v>
      </c>
      <c r="G61" s="327"/>
      <c r="H61" s="321" t="s">
        <v>58</v>
      </c>
      <c r="I61" s="328" t="s">
        <v>28</v>
      </c>
      <c r="J61" s="328"/>
      <c r="K61" s="324" t="s">
        <v>22</v>
      </c>
      <c r="L61" s="325">
        <v>1343591.2</v>
      </c>
    </row>
    <row r="62" spans="1:12" ht="51" hidden="1" x14ac:dyDescent="0.3">
      <c r="A62" s="319" t="s">
        <v>749</v>
      </c>
      <c r="B62" s="320" t="s">
        <v>754</v>
      </c>
      <c r="C62" s="320" t="s">
        <v>759</v>
      </c>
      <c r="D62" s="320" t="s">
        <v>729</v>
      </c>
      <c r="E62" s="321" t="s">
        <v>27</v>
      </c>
      <c r="F62" s="327">
        <v>47399</v>
      </c>
      <c r="G62" s="327"/>
      <c r="H62" s="321" t="s">
        <v>58</v>
      </c>
      <c r="I62" s="328" t="s">
        <v>28</v>
      </c>
      <c r="J62" s="328"/>
      <c r="K62" s="324" t="s">
        <v>22</v>
      </c>
      <c r="L62" s="325">
        <v>1390990.2</v>
      </c>
    </row>
    <row r="63" spans="1:12" ht="51" hidden="1" x14ac:dyDescent="0.3">
      <c r="A63" s="319" t="s">
        <v>749</v>
      </c>
      <c r="B63" s="320" t="s">
        <v>754</v>
      </c>
      <c r="C63" s="320" t="s">
        <v>760</v>
      </c>
      <c r="D63" s="320" t="s">
        <v>729</v>
      </c>
      <c r="E63" s="321" t="s">
        <v>27</v>
      </c>
      <c r="F63" s="327">
        <v>79188</v>
      </c>
      <c r="G63" s="327"/>
      <c r="H63" s="321" t="s">
        <v>58</v>
      </c>
      <c r="I63" s="328" t="s">
        <v>28</v>
      </c>
      <c r="J63" s="328"/>
      <c r="K63" s="324" t="s">
        <v>22</v>
      </c>
      <c r="L63" s="325">
        <v>1470178.2</v>
      </c>
    </row>
    <row r="64" spans="1:12" ht="51" hidden="1" x14ac:dyDescent="0.3">
      <c r="A64" s="319" t="s">
        <v>761</v>
      </c>
      <c r="B64" s="320" t="s">
        <v>762</v>
      </c>
      <c r="C64" s="320" t="s">
        <v>763</v>
      </c>
      <c r="D64" s="320" t="s">
        <v>729</v>
      </c>
      <c r="E64" s="321" t="s">
        <v>27</v>
      </c>
      <c r="F64" s="327">
        <v>3823.55</v>
      </c>
      <c r="G64" s="327"/>
      <c r="H64" s="321" t="s">
        <v>58</v>
      </c>
      <c r="I64" s="328" t="s">
        <v>28</v>
      </c>
      <c r="J64" s="328"/>
      <c r="K64" s="324" t="s">
        <v>22</v>
      </c>
      <c r="L64" s="325">
        <v>1474001.75</v>
      </c>
    </row>
    <row r="65" spans="1:12" ht="51" hidden="1" x14ac:dyDescent="0.3">
      <c r="A65" s="319" t="s">
        <v>761</v>
      </c>
      <c r="B65" s="320" t="s">
        <v>764</v>
      </c>
      <c r="C65" s="320" t="s">
        <v>765</v>
      </c>
      <c r="D65" s="320" t="s">
        <v>729</v>
      </c>
      <c r="E65" s="321" t="s">
        <v>27</v>
      </c>
      <c r="F65" s="327">
        <v>7300</v>
      </c>
      <c r="G65" s="327"/>
      <c r="H65" s="321" t="s">
        <v>58</v>
      </c>
      <c r="I65" s="328" t="s">
        <v>28</v>
      </c>
      <c r="J65" s="328"/>
      <c r="K65" s="324" t="s">
        <v>22</v>
      </c>
      <c r="L65" s="325">
        <v>1481301.75</v>
      </c>
    </row>
    <row r="66" spans="1:12" ht="61.2" hidden="1" x14ac:dyDescent="0.3">
      <c r="A66" s="319" t="s">
        <v>761</v>
      </c>
      <c r="B66" s="320" t="s">
        <v>766</v>
      </c>
      <c r="C66" s="320" t="s">
        <v>767</v>
      </c>
      <c r="D66" s="320" t="s">
        <v>80</v>
      </c>
      <c r="E66" s="321" t="s">
        <v>27</v>
      </c>
      <c r="F66" s="327">
        <v>28170</v>
      </c>
      <c r="G66" s="327"/>
      <c r="H66" s="321" t="s">
        <v>58</v>
      </c>
      <c r="I66" s="328" t="s">
        <v>28</v>
      </c>
      <c r="J66" s="328"/>
      <c r="K66" s="324" t="s">
        <v>22</v>
      </c>
      <c r="L66" s="325">
        <v>1509471.75</v>
      </c>
    </row>
    <row r="67" spans="1:12" ht="61.2" hidden="1" x14ac:dyDescent="0.3">
      <c r="A67" s="319" t="s">
        <v>761</v>
      </c>
      <c r="B67" s="320" t="s">
        <v>768</v>
      </c>
      <c r="C67" s="320" t="s">
        <v>767</v>
      </c>
      <c r="D67" s="320" t="s">
        <v>80</v>
      </c>
      <c r="E67" s="321" t="s">
        <v>27</v>
      </c>
      <c r="F67" s="327">
        <v>13107.5</v>
      </c>
      <c r="G67" s="327"/>
      <c r="H67" s="321" t="s">
        <v>58</v>
      </c>
      <c r="I67" s="328" t="s">
        <v>28</v>
      </c>
      <c r="J67" s="328"/>
      <c r="K67" s="324" t="s">
        <v>22</v>
      </c>
      <c r="L67" s="325">
        <v>1522579.25</v>
      </c>
    </row>
    <row r="68" spans="1:12" ht="61.2" hidden="1" x14ac:dyDescent="0.3">
      <c r="A68" s="319" t="s">
        <v>761</v>
      </c>
      <c r="B68" s="320" t="s">
        <v>769</v>
      </c>
      <c r="C68" s="320" t="s">
        <v>770</v>
      </c>
      <c r="D68" s="320" t="s">
        <v>729</v>
      </c>
      <c r="E68" s="321" t="s">
        <v>27</v>
      </c>
      <c r="F68" s="327">
        <v>30600</v>
      </c>
      <c r="G68" s="327"/>
      <c r="H68" s="321" t="s">
        <v>58</v>
      </c>
      <c r="I68" s="328" t="s">
        <v>28</v>
      </c>
      <c r="J68" s="328"/>
      <c r="K68" s="324" t="s">
        <v>22</v>
      </c>
      <c r="L68" s="325">
        <v>1553179.25</v>
      </c>
    </row>
    <row r="69" spans="1:12" ht="61.2" hidden="1" x14ac:dyDescent="0.3">
      <c r="A69" s="319" t="s">
        <v>761</v>
      </c>
      <c r="B69" s="320" t="s">
        <v>769</v>
      </c>
      <c r="C69" s="320" t="s">
        <v>771</v>
      </c>
      <c r="D69" s="320" t="s">
        <v>729</v>
      </c>
      <c r="E69" s="321" t="s">
        <v>27</v>
      </c>
      <c r="F69" s="327">
        <v>23000</v>
      </c>
      <c r="G69" s="327"/>
      <c r="H69" s="321" t="s">
        <v>58</v>
      </c>
      <c r="I69" s="328" t="s">
        <v>28</v>
      </c>
      <c r="J69" s="328"/>
      <c r="K69" s="324" t="s">
        <v>22</v>
      </c>
      <c r="L69" s="325">
        <v>1576179.25</v>
      </c>
    </row>
    <row r="70" spans="1:12" ht="51" hidden="1" x14ac:dyDescent="0.3">
      <c r="A70" s="319" t="s">
        <v>71</v>
      </c>
      <c r="B70" s="320" t="s">
        <v>772</v>
      </c>
      <c r="C70" s="320" t="s">
        <v>773</v>
      </c>
      <c r="D70" s="320" t="s">
        <v>774</v>
      </c>
      <c r="E70" s="321" t="s">
        <v>27</v>
      </c>
      <c r="F70" s="327">
        <v>300653.57</v>
      </c>
      <c r="G70" s="327"/>
      <c r="H70" s="321" t="s">
        <v>58</v>
      </c>
      <c r="I70" s="328" t="s">
        <v>28</v>
      </c>
      <c r="J70" s="328"/>
      <c r="K70" s="324" t="s">
        <v>22</v>
      </c>
      <c r="L70" s="325">
        <v>1876832.82</v>
      </c>
    </row>
    <row r="71" spans="1:12" ht="61.2" hidden="1" x14ac:dyDescent="0.3">
      <c r="A71" s="319" t="s">
        <v>71</v>
      </c>
      <c r="B71" s="320" t="s">
        <v>772</v>
      </c>
      <c r="C71" s="320" t="s">
        <v>775</v>
      </c>
      <c r="D71" s="320" t="s">
        <v>774</v>
      </c>
      <c r="E71" s="321" t="s">
        <v>27</v>
      </c>
      <c r="F71" s="327">
        <v>173392.48</v>
      </c>
      <c r="G71" s="327"/>
      <c r="H71" s="321" t="s">
        <v>58</v>
      </c>
      <c r="I71" s="328" t="s">
        <v>28</v>
      </c>
      <c r="J71" s="328"/>
      <c r="K71" s="324" t="s">
        <v>22</v>
      </c>
      <c r="L71" s="325">
        <v>2050225.3</v>
      </c>
    </row>
    <row r="72" spans="1:12" ht="61.2" hidden="1" x14ac:dyDescent="0.3">
      <c r="A72" s="319" t="s">
        <v>71</v>
      </c>
      <c r="B72" s="320" t="s">
        <v>776</v>
      </c>
      <c r="C72" s="320" t="s">
        <v>777</v>
      </c>
      <c r="D72" s="320" t="s">
        <v>778</v>
      </c>
      <c r="E72" s="321" t="s">
        <v>27</v>
      </c>
      <c r="F72" s="327">
        <v>626425.37</v>
      </c>
      <c r="G72" s="327"/>
      <c r="H72" s="321" t="s">
        <v>58</v>
      </c>
      <c r="I72" s="328" t="s">
        <v>28</v>
      </c>
      <c r="J72" s="328"/>
      <c r="K72" s="324" t="s">
        <v>22</v>
      </c>
      <c r="L72" s="325">
        <v>2676650.67</v>
      </c>
    </row>
    <row r="73" spans="1:12" ht="61.2" hidden="1" x14ac:dyDescent="0.3">
      <c r="A73" s="319" t="s">
        <v>71</v>
      </c>
      <c r="B73" s="320" t="s">
        <v>779</v>
      </c>
      <c r="C73" s="320" t="s">
        <v>780</v>
      </c>
      <c r="D73" s="320" t="s">
        <v>778</v>
      </c>
      <c r="E73" s="321" t="s">
        <v>27</v>
      </c>
      <c r="F73" s="327">
        <v>475821.36</v>
      </c>
      <c r="G73" s="327"/>
      <c r="H73" s="321" t="s">
        <v>58</v>
      </c>
      <c r="I73" s="328" t="s">
        <v>28</v>
      </c>
      <c r="J73" s="328"/>
      <c r="K73" s="324" t="s">
        <v>22</v>
      </c>
      <c r="L73" s="325">
        <v>3152472.03</v>
      </c>
    </row>
    <row r="74" spans="1:12" ht="51" hidden="1" x14ac:dyDescent="0.3">
      <c r="A74" s="319" t="s">
        <v>71</v>
      </c>
      <c r="B74" s="320" t="s">
        <v>781</v>
      </c>
      <c r="C74" s="320" t="s">
        <v>782</v>
      </c>
      <c r="D74" s="320" t="s">
        <v>778</v>
      </c>
      <c r="E74" s="321" t="s">
        <v>27</v>
      </c>
      <c r="F74" s="327">
        <v>253809.82</v>
      </c>
      <c r="G74" s="327"/>
      <c r="H74" s="321" t="s">
        <v>58</v>
      </c>
      <c r="I74" s="328" t="s">
        <v>28</v>
      </c>
      <c r="J74" s="328"/>
      <c r="K74" s="324" t="s">
        <v>22</v>
      </c>
      <c r="L74" s="325">
        <v>3406281.85</v>
      </c>
    </row>
    <row r="75" spans="1:12" ht="51" hidden="1" x14ac:dyDescent="0.3">
      <c r="A75" s="319" t="s">
        <v>71</v>
      </c>
      <c r="B75" s="320" t="s">
        <v>779</v>
      </c>
      <c r="C75" s="320" t="s">
        <v>782</v>
      </c>
      <c r="D75" s="320" t="s">
        <v>778</v>
      </c>
      <c r="E75" s="321" t="s">
        <v>27</v>
      </c>
      <c r="F75" s="327">
        <v>208915.54</v>
      </c>
      <c r="G75" s="327"/>
      <c r="H75" s="321" t="s">
        <v>58</v>
      </c>
      <c r="I75" s="328" t="s">
        <v>28</v>
      </c>
      <c r="J75" s="328"/>
      <c r="K75" s="324" t="s">
        <v>22</v>
      </c>
      <c r="L75" s="325">
        <v>3615197.39</v>
      </c>
    </row>
    <row r="76" spans="1:12" ht="51" hidden="1" x14ac:dyDescent="0.3">
      <c r="A76" s="319" t="s">
        <v>71</v>
      </c>
      <c r="B76" s="320" t="s">
        <v>280</v>
      </c>
      <c r="C76" s="320" t="s">
        <v>281</v>
      </c>
      <c r="D76" s="320" t="s">
        <v>276</v>
      </c>
      <c r="E76" s="321" t="s">
        <v>27</v>
      </c>
      <c r="F76" s="327">
        <v>24616</v>
      </c>
      <c r="G76" s="327"/>
      <c r="H76" s="321" t="s">
        <v>27</v>
      </c>
      <c r="I76" s="328" t="s">
        <v>28</v>
      </c>
      <c r="J76" s="328"/>
      <c r="K76" s="324" t="s">
        <v>22</v>
      </c>
      <c r="L76" s="325">
        <v>3639813.39</v>
      </c>
    </row>
    <row r="77" spans="1:12" ht="61.2" hidden="1" x14ac:dyDescent="0.3">
      <c r="A77" s="319" t="s">
        <v>71</v>
      </c>
      <c r="B77" s="320" t="s">
        <v>783</v>
      </c>
      <c r="C77" s="320" t="s">
        <v>777</v>
      </c>
      <c r="D77" s="320" t="s">
        <v>778</v>
      </c>
      <c r="E77" s="321" t="s">
        <v>27</v>
      </c>
      <c r="F77" s="327">
        <v>10006.969999999999</v>
      </c>
      <c r="G77" s="327"/>
      <c r="H77" s="321" t="s">
        <v>58</v>
      </c>
      <c r="I77" s="328" t="s">
        <v>28</v>
      </c>
      <c r="J77" s="328"/>
      <c r="K77" s="324" t="s">
        <v>22</v>
      </c>
      <c r="L77" s="325">
        <v>3649820.36</v>
      </c>
    </row>
    <row r="78" spans="1:12" ht="61.2" hidden="1" x14ac:dyDescent="0.3">
      <c r="A78" s="319" t="s">
        <v>71</v>
      </c>
      <c r="B78" s="320" t="s">
        <v>784</v>
      </c>
      <c r="C78" s="320" t="s">
        <v>780</v>
      </c>
      <c r="D78" s="320" t="s">
        <v>778</v>
      </c>
      <c r="E78" s="321" t="s">
        <v>27</v>
      </c>
      <c r="F78" s="327">
        <v>7601.12</v>
      </c>
      <c r="G78" s="327"/>
      <c r="H78" s="321" t="s">
        <v>58</v>
      </c>
      <c r="I78" s="328" t="s">
        <v>28</v>
      </c>
      <c r="J78" s="328"/>
      <c r="K78" s="324" t="s">
        <v>22</v>
      </c>
      <c r="L78" s="325">
        <v>3657421.48</v>
      </c>
    </row>
    <row r="79" spans="1:12" ht="51" hidden="1" x14ac:dyDescent="0.3">
      <c r="A79" s="319" t="s">
        <v>71</v>
      </c>
      <c r="B79" s="320" t="s">
        <v>784</v>
      </c>
      <c r="C79" s="320" t="s">
        <v>782</v>
      </c>
      <c r="D79" s="320" t="s">
        <v>778</v>
      </c>
      <c r="E79" s="321" t="s">
        <v>27</v>
      </c>
      <c r="F79" s="327">
        <v>7391.91</v>
      </c>
      <c r="G79" s="327"/>
      <c r="H79" s="321" t="s">
        <v>58</v>
      </c>
      <c r="I79" s="328" t="s">
        <v>28</v>
      </c>
      <c r="J79" s="328"/>
      <c r="K79" s="324" t="s">
        <v>22</v>
      </c>
      <c r="L79" s="325">
        <v>3664813.39</v>
      </c>
    </row>
    <row r="80" spans="1:12" ht="51" hidden="1" x14ac:dyDescent="0.3">
      <c r="A80" s="319" t="s">
        <v>177</v>
      </c>
      <c r="B80" s="320" t="s">
        <v>785</v>
      </c>
      <c r="C80" s="320" t="s">
        <v>786</v>
      </c>
      <c r="D80" s="320" t="s">
        <v>729</v>
      </c>
      <c r="E80" s="321" t="s">
        <v>27</v>
      </c>
      <c r="F80" s="327">
        <v>47675</v>
      </c>
      <c r="G80" s="327"/>
      <c r="H80" s="321" t="s">
        <v>58</v>
      </c>
      <c r="I80" s="328" t="s">
        <v>28</v>
      </c>
      <c r="J80" s="328"/>
      <c r="K80" s="324" t="s">
        <v>22</v>
      </c>
      <c r="L80" s="325">
        <v>3712488.39</v>
      </c>
    </row>
    <row r="81" spans="1:12" ht="51" hidden="1" x14ac:dyDescent="0.3">
      <c r="A81" s="319" t="s">
        <v>177</v>
      </c>
      <c r="B81" s="320" t="s">
        <v>785</v>
      </c>
      <c r="C81" s="320" t="s">
        <v>787</v>
      </c>
      <c r="D81" s="320" t="s">
        <v>729</v>
      </c>
      <c r="E81" s="321" t="s">
        <v>27</v>
      </c>
      <c r="F81" s="327">
        <v>47706</v>
      </c>
      <c r="G81" s="327"/>
      <c r="H81" s="321" t="s">
        <v>58</v>
      </c>
      <c r="I81" s="328" t="s">
        <v>28</v>
      </c>
      <c r="J81" s="328"/>
      <c r="K81" s="324" t="s">
        <v>22</v>
      </c>
      <c r="L81" s="325">
        <v>3760194.39</v>
      </c>
    </row>
    <row r="82" spans="1:12" ht="51" hidden="1" x14ac:dyDescent="0.3">
      <c r="A82" s="319" t="s">
        <v>177</v>
      </c>
      <c r="B82" s="320" t="s">
        <v>785</v>
      </c>
      <c r="C82" s="320" t="s">
        <v>788</v>
      </c>
      <c r="D82" s="320" t="s">
        <v>729</v>
      </c>
      <c r="E82" s="321" t="s">
        <v>27</v>
      </c>
      <c r="F82" s="327">
        <v>48330</v>
      </c>
      <c r="G82" s="327"/>
      <c r="H82" s="321" t="s">
        <v>58</v>
      </c>
      <c r="I82" s="328" t="s">
        <v>28</v>
      </c>
      <c r="J82" s="328"/>
      <c r="K82" s="324" t="s">
        <v>22</v>
      </c>
      <c r="L82" s="325">
        <v>3808524.39</v>
      </c>
    </row>
    <row r="83" spans="1:12" ht="51" hidden="1" x14ac:dyDescent="0.3">
      <c r="A83" s="319" t="s">
        <v>177</v>
      </c>
      <c r="B83" s="320" t="s">
        <v>785</v>
      </c>
      <c r="C83" s="320" t="s">
        <v>789</v>
      </c>
      <c r="D83" s="320" t="s">
        <v>729</v>
      </c>
      <c r="E83" s="321" t="s">
        <v>27</v>
      </c>
      <c r="F83" s="327">
        <v>47955</v>
      </c>
      <c r="G83" s="327"/>
      <c r="H83" s="321" t="s">
        <v>58</v>
      </c>
      <c r="I83" s="328" t="s">
        <v>28</v>
      </c>
      <c r="J83" s="328"/>
      <c r="K83" s="324" t="s">
        <v>22</v>
      </c>
      <c r="L83" s="325">
        <v>3856479.39</v>
      </c>
    </row>
    <row r="84" spans="1:12" ht="51" hidden="1" x14ac:dyDescent="0.3">
      <c r="A84" s="319" t="s">
        <v>177</v>
      </c>
      <c r="B84" s="320" t="s">
        <v>785</v>
      </c>
      <c r="C84" s="320" t="s">
        <v>790</v>
      </c>
      <c r="D84" s="320" t="s">
        <v>729</v>
      </c>
      <c r="E84" s="321" t="s">
        <v>27</v>
      </c>
      <c r="F84" s="327">
        <v>47394</v>
      </c>
      <c r="G84" s="327"/>
      <c r="H84" s="321" t="s">
        <v>58</v>
      </c>
      <c r="I84" s="328" t="s">
        <v>28</v>
      </c>
      <c r="J84" s="328"/>
      <c r="K84" s="324" t="s">
        <v>22</v>
      </c>
      <c r="L84" s="325">
        <v>3903873.39</v>
      </c>
    </row>
    <row r="85" spans="1:12" ht="51" hidden="1" x14ac:dyDescent="0.3">
      <c r="A85" s="319" t="s">
        <v>177</v>
      </c>
      <c r="B85" s="320" t="s">
        <v>785</v>
      </c>
      <c r="C85" s="320" t="s">
        <v>791</v>
      </c>
      <c r="D85" s="320" t="s">
        <v>729</v>
      </c>
      <c r="E85" s="321" t="s">
        <v>27</v>
      </c>
      <c r="F85" s="327">
        <v>79188</v>
      </c>
      <c r="G85" s="327"/>
      <c r="H85" s="321" t="s">
        <v>58</v>
      </c>
      <c r="I85" s="328" t="s">
        <v>28</v>
      </c>
      <c r="J85" s="328"/>
      <c r="K85" s="324" t="s">
        <v>22</v>
      </c>
      <c r="L85" s="325">
        <v>3983061.39</v>
      </c>
    </row>
    <row r="86" spans="1:12" ht="61.2" hidden="1" x14ac:dyDescent="0.3">
      <c r="A86" s="319" t="s">
        <v>177</v>
      </c>
      <c r="B86" s="320" t="s">
        <v>292</v>
      </c>
      <c r="C86" s="320" t="s">
        <v>293</v>
      </c>
      <c r="D86" s="320" t="s">
        <v>180</v>
      </c>
      <c r="E86" s="321" t="s">
        <v>27</v>
      </c>
      <c r="F86" s="327">
        <v>13246</v>
      </c>
      <c r="G86" s="327"/>
      <c r="H86" s="321" t="s">
        <v>27</v>
      </c>
      <c r="I86" s="328" t="s">
        <v>28</v>
      </c>
      <c r="J86" s="328"/>
      <c r="K86" s="324" t="s">
        <v>22</v>
      </c>
      <c r="L86" s="325">
        <v>3996307.39</v>
      </c>
    </row>
    <row r="87" spans="1:12" ht="61.2" hidden="1" x14ac:dyDescent="0.3">
      <c r="A87" s="319" t="s">
        <v>177</v>
      </c>
      <c r="B87" s="320" t="s">
        <v>294</v>
      </c>
      <c r="C87" s="320" t="s">
        <v>295</v>
      </c>
      <c r="D87" s="320" t="s">
        <v>285</v>
      </c>
      <c r="E87" s="321" t="s">
        <v>27</v>
      </c>
      <c r="F87" s="327">
        <v>17420</v>
      </c>
      <c r="G87" s="327"/>
      <c r="H87" s="321" t="s">
        <v>27</v>
      </c>
      <c r="I87" s="328" t="s">
        <v>28</v>
      </c>
      <c r="J87" s="328"/>
      <c r="K87" s="324" t="s">
        <v>22</v>
      </c>
      <c r="L87" s="325">
        <v>4013727.39</v>
      </c>
    </row>
    <row r="88" spans="1:12" ht="51" hidden="1" x14ac:dyDescent="0.3">
      <c r="A88" s="319" t="s">
        <v>177</v>
      </c>
      <c r="B88" s="320" t="s">
        <v>294</v>
      </c>
      <c r="C88" s="320" t="s">
        <v>296</v>
      </c>
      <c r="D88" s="320" t="s">
        <v>287</v>
      </c>
      <c r="E88" s="321" t="s">
        <v>27</v>
      </c>
      <c r="F88" s="327">
        <v>50968.91</v>
      </c>
      <c r="G88" s="327"/>
      <c r="H88" s="321" t="s">
        <v>27</v>
      </c>
      <c r="I88" s="328" t="s">
        <v>28</v>
      </c>
      <c r="J88" s="328"/>
      <c r="K88" s="324" t="s">
        <v>22</v>
      </c>
      <c r="L88" s="325">
        <v>4064696.3</v>
      </c>
    </row>
    <row r="89" spans="1:12" ht="51" hidden="1" x14ac:dyDescent="0.3">
      <c r="A89" s="319" t="s">
        <v>151</v>
      </c>
      <c r="B89" s="320" t="s">
        <v>792</v>
      </c>
      <c r="C89" s="320" t="s">
        <v>793</v>
      </c>
      <c r="D89" s="320" t="s">
        <v>729</v>
      </c>
      <c r="E89" s="321" t="s">
        <v>27</v>
      </c>
      <c r="F89" s="327">
        <v>47394</v>
      </c>
      <c r="G89" s="327"/>
      <c r="H89" s="321" t="s">
        <v>58</v>
      </c>
      <c r="I89" s="328" t="s">
        <v>28</v>
      </c>
      <c r="J89" s="328"/>
      <c r="K89" s="324" t="s">
        <v>22</v>
      </c>
      <c r="L89" s="325">
        <v>4112090.3</v>
      </c>
    </row>
    <row r="90" spans="1:12" ht="51" hidden="1" x14ac:dyDescent="0.3">
      <c r="A90" s="319" t="s">
        <v>151</v>
      </c>
      <c r="B90" s="320" t="s">
        <v>792</v>
      </c>
      <c r="C90" s="320" t="s">
        <v>794</v>
      </c>
      <c r="D90" s="320" t="s">
        <v>729</v>
      </c>
      <c r="E90" s="321" t="s">
        <v>27</v>
      </c>
      <c r="F90" s="327">
        <v>47394</v>
      </c>
      <c r="G90" s="327"/>
      <c r="H90" s="321" t="s">
        <v>58</v>
      </c>
      <c r="I90" s="328" t="s">
        <v>28</v>
      </c>
      <c r="J90" s="328"/>
      <c r="K90" s="324" t="s">
        <v>22</v>
      </c>
      <c r="L90" s="325">
        <v>4159484.3</v>
      </c>
    </row>
    <row r="91" spans="1:12" ht="51" hidden="1" x14ac:dyDescent="0.3">
      <c r="A91" s="319" t="s">
        <v>151</v>
      </c>
      <c r="B91" s="320" t="s">
        <v>792</v>
      </c>
      <c r="C91" s="320" t="s">
        <v>795</v>
      </c>
      <c r="D91" s="320" t="s">
        <v>729</v>
      </c>
      <c r="E91" s="321" t="s">
        <v>27</v>
      </c>
      <c r="F91" s="327">
        <v>48392</v>
      </c>
      <c r="G91" s="327"/>
      <c r="H91" s="321" t="s">
        <v>58</v>
      </c>
      <c r="I91" s="328" t="s">
        <v>28</v>
      </c>
      <c r="J91" s="328"/>
      <c r="K91" s="324" t="s">
        <v>22</v>
      </c>
      <c r="L91" s="325">
        <v>4207876.3</v>
      </c>
    </row>
    <row r="92" spans="1:12" ht="51" hidden="1" x14ac:dyDescent="0.3">
      <c r="A92" s="319" t="s">
        <v>151</v>
      </c>
      <c r="B92" s="320" t="s">
        <v>792</v>
      </c>
      <c r="C92" s="320" t="s">
        <v>796</v>
      </c>
      <c r="D92" s="320" t="s">
        <v>729</v>
      </c>
      <c r="E92" s="321" t="s">
        <v>27</v>
      </c>
      <c r="F92" s="327">
        <v>47145</v>
      </c>
      <c r="G92" s="327"/>
      <c r="H92" s="321" t="s">
        <v>58</v>
      </c>
      <c r="I92" s="328" t="s">
        <v>28</v>
      </c>
      <c r="J92" s="328"/>
      <c r="K92" s="324" t="s">
        <v>22</v>
      </c>
      <c r="L92" s="325">
        <v>4255021.3</v>
      </c>
    </row>
    <row r="93" spans="1:12" ht="51" hidden="1" x14ac:dyDescent="0.3">
      <c r="A93" s="319" t="s">
        <v>151</v>
      </c>
      <c r="B93" s="320" t="s">
        <v>792</v>
      </c>
      <c r="C93" s="320" t="s">
        <v>797</v>
      </c>
      <c r="D93" s="320" t="s">
        <v>729</v>
      </c>
      <c r="E93" s="321" t="s">
        <v>27</v>
      </c>
      <c r="F93" s="327">
        <v>47394</v>
      </c>
      <c r="G93" s="327"/>
      <c r="H93" s="321" t="s">
        <v>58</v>
      </c>
      <c r="I93" s="328" t="s">
        <v>28</v>
      </c>
      <c r="J93" s="328"/>
      <c r="K93" s="324" t="s">
        <v>22</v>
      </c>
      <c r="L93" s="325">
        <v>4302415.3</v>
      </c>
    </row>
    <row r="94" spans="1:12" ht="51" hidden="1" x14ac:dyDescent="0.3">
      <c r="A94" s="319" t="s">
        <v>151</v>
      </c>
      <c r="B94" s="320" t="s">
        <v>792</v>
      </c>
      <c r="C94" s="320" t="s">
        <v>798</v>
      </c>
      <c r="D94" s="320" t="s">
        <v>729</v>
      </c>
      <c r="E94" s="321" t="s">
        <v>27</v>
      </c>
      <c r="F94" s="327">
        <v>30023</v>
      </c>
      <c r="G94" s="327"/>
      <c r="H94" s="321" t="s">
        <v>58</v>
      </c>
      <c r="I94" s="328" t="s">
        <v>28</v>
      </c>
      <c r="J94" s="328"/>
      <c r="K94" s="324" t="s">
        <v>22</v>
      </c>
      <c r="L94" s="325">
        <v>4332438.3</v>
      </c>
    </row>
    <row r="95" spans="1:12" ht="51" hidden="1" x14ac:dyDescent="0.3">
      <c r="A95" s="319" t="s">
        <v>151</v>
      </c>
      <c r="B95" s="320" t="s">
        <v>792</v>
      </c>
      <c r="C95" s="320" t="s">
        <v>799</v>
      </c>
      <c r="D95" s="320" t="s">
        <v>729</v>
      </c>
      <c r="E95" s="321" t="s">
        <v>27</v>
      </c>
      <c r="F95" s="327">
        <v>28454</v>
      </c>
      <c r="G95" s="327"/>
      <c r="H95" s="321" t="s">
        <v>58</v>
      </c>
      <c r="I95" s="328" t="s">
        <v>28</v>
      </c>
      <c r="J95" s="328"/>
      <c r="K95" s="324" t="s">
        <v>22</v>
      </c>
      <c r="L95" s="325">
        <v>4360892.3</v>
      </c>
    </row>
    <row r="96" spans="1:12" ht="61.2" hidden="1" x14ac:dyDescent="0.3">
      <c r="A96" s="319" t="s">
        <v>151</v>
      </c>
      <c r="B96" s="320" t="s">
        <v>302</v>
      </c>
      <c r="C96" s="320" t="s">
        <v>303</v>
      </c>
      <c r="D96" s="320" t="s">
        <v>154</v>
      </c>
      <c r="E96" s="321" t="s">
        <v>27</v>
      </c>
      <c r="F96" s="327">
        <v>26900</v>
      </c>
      <c r="G96" s="327"/>
      <c r="H96" s="321" t="s">
        <v>27</v>
      </c>
      <c r="I96" s="328" t="s">
        <v>28</v>
      </c>
      <c r="J96" s="328"/>
      <c r="K96" s="324" t="s">
        <v>22</v>
      </c>
      <c r="L96" s="325">
        <v>4387792.3</v>
      </c>
    </row>
    <row r="97" spans="1:12" ht="61.2" hidden="1" x14ac:dyDescent="0.3">
      <c r="A97" s="319" t="s">
        <v>151</v>
      </c>
      <c r="B97" s="320" t="s">
        <v>800</v>
      </c>
      <c r="C97" s="320" t="s">
        <v>801</v>
      </c>
      <c r="D97" s="320" t="s">
        <v>802</v>
      </c>
      <c r="E97" s="321" t="s">
        <v>27</v>
      </c>
      <c r="F97" s="327">
        <v>1482</v>
      </c>
      <c r="G97" s="327"/>
      <c r="H97" s="321" t="s">
        <v>58</v>
      </c>
      <c r="I97" s="328" t="s">
        <v>28</v>
      </c>
      <c r="J97" s="328"/>
      <c r="K97" s="324" t="s">
        <v>22</v>
      </c>
      <c r="L97" s="325">
        <v>4389274.3</v>
      </c>
    </row>
    <row r="98" spans="1:12" ht="61.2" hidden="1" x14ac:dyDescent="0.3">
      <c r="A98" s="319" t="s">
        <v>452</v>
      </c>
      <c r="B98" s="320" t="s">
        <v>803</v>
      </c>
      <c r="C98" s="320" t="s">
        <v>804</v>
      </c>
      <c r="D98" s="320" t="s">
        <v>805</v>
      </c>
      <c r="E98" s="321" t="s">
        <v>27</v>
      </c>
      <c r="F98" s="327">
        <v>13830</v>
      </c>
      <c r="G98" s="327"/>
      <c r="H98" s="321" t="s">
        <v>58</v>
      </c>
      <c r="I98" s="328" t="s">
        <v>28</v>
      </c>
      <c r="J98" s="328"/>
      <c r="K98" s="324" t="s">
        <v>22</v>
      </c>
      <c r="L98" s="325">
        <v>4403104.3</v>
      </c>
    </row>
    <row r="99" spans="1:12" ht="61.2" hidden="1" x14ac:dyDescent="0.3">
      <c r="A99" s="319" t="s">
        <v>452</v>
      </c>
      <c r="B99" s="320" t="s">
        <v>806</v>
      </c>
      <c r="C99" s="320" t="s">
        <v>804</v>
      </c>
      <c r="D99" s="320" t="s">
        <v>805</v>
      </c>
      <c r="E99" s="321" t="s">
        <v>27</v>
      </c>
      <c r="F99" s="327">
        <v>32270</v>
      </c>
      <c r="G99" s="327"/>
      <c r="H99" s="321" t="s">
        <v>58</v>
      </c>
      <c r="I99" s="328" t="s">
        <v>28</v>
      </c>
      <c r="J99" s="328"/>
      <c r="K99" s="324" t="s">
        <v>22</v>
      </c>
      <c r="L99" s="325">
        <v>4435374.3</v>
      </c>
    </row>
    <row r="100" spans="1:12" ht="51" hidden="1" x14ac:dyDescent="0.3">
      <c r="A100" s="319" t="s">
        <v>452</v>
      </c>
      <c r="B100" s="320" t="s">
        <v>807</v>
      </c>
      <c r="C100" s="320" t="s">
        <v>808</v>
      </c>
      <c r="D100" s="320" t="s">
        <v>729</v>
      </c>
      <c r="E100" s="321" t="s">
        <v>27</v>
      </c>
      <c r="F100" s="327">
        <v>21900</v>
      </c>
      <c r="G100" s="327"/>
      <c r="H100" s="321" t="s">
        <v>58</v>
      </c>
      <c r="I100" s="328" t="s">
        <v>28</v>
      </c>
      <c r="J100" s="328"/>
      <c r="K100" s="324" t="s">
        <v>22</v>
      </c>
      <c r="L100" s="325">
        <v>4457274.3</v>
      </c>
    </row>
    <row r="101" spans="1:12" ht="51" hidden="1" x14ac:dyDescent="0.3">
      <c r="A101" s="319" t="s">
        <v>452</v>
      </c>
      <c r="B101" s="320" t="s">
        <v>809</v>
      </c>
      <c r="C101" s="320" t="s">
        <v>810</v>
      </c>
      <c r="D101" s="320" t="s">
        <v>729</v>
      </c>
      <c r="E101" s="321" t="s">
        <v>27</v>
      </c>
      <c r="F101" s="327">
        <v>48330</v>
      </c>
      <c r="G101" s="327"/>
      <c r="H101" s="321" t="s">
        <v>58</v>
      </c>
      <c r="I101" s="328" t="s">
        <v>28</v>
      </c>
      <c r="J101" s="328"/>
      <c r="K101" s="324" t="s">
        <v>22</v>
      </c>
      <c r="L101" s="325">
        <v>4505604.3</v>
      </c>
    </row>
    <row r="102" spans="1:12" ht="51" hidden="1" x14ac:dyDescent="0.3">
      <c r="A102" s="319" t="s">
        <v>452</v>
      </c>
      <c r="B102" s="320" t="s">
        <v>809</v>
      </c>
      <c r="C102" s="320" t="s">
        <v>811</v>
      </c>
      <c r="D102" s="320" t="s">
        <v>729</v>
      </c>
      <c r="E102" s="321" t="s">
        <v>27</v>
      </c>
      <c r="F102" s="327">
        <v>48891</v>
      </c>
      <c r="G102" s="327"/>
      <c r="H102" s="321" t="s">
        <v>58</v>
      </c>
      <c r="I102" s="328" t="s">
        <v>28</v>
      </c>
      <c r="J102" s="328"/>
      <c r="K102" s="324" t="s">
        <v>22</v>
      </c>
      <c r="L102" s="325">
        <v>4554495.3</v>
      </c>
    </row>
    <row r="103" spans="1:12" ht="51" hidden="1" x14ac:dyDescent="0.3">
      <c r="A103" s="319" t="s">
        <v>452</v>
      </c>
      <c r="B103" s="320" t="s">
        <v>809</v>
      </c>
      <c r="C103" s="320" t="s">
        <v>812</v>
      </c>
      <c r="D103" s="320" t="s">
        <v>729</v>
      </c>
      <c r="E103" s="321" t="s">
        <v>27</v>
      </c>
      <c r="F103" s="327">
        <v>48018</v>
      </c>
      <c r="G103" s="327"/>
      <c r="H103" s="321" t="s">
        <v>58</v>
      </c>
      <c r="I103" s="328" t="s">
        <v>28</v>
      </c>
      <c r="J103" s="328"/>
      <c r="K103" s="324" t="s">
        <v>22</v>
      </c>
      <c r="L103" s="325">
        <v>4602513.3</v>
      </c>
    </row>
    <row r="104" spans="1:12" ht="51" hidden="1" x14ac:dyDescent="0.3">
      <c r="A104" s="319" t="s">
        <v>452</v>
      </c>
      <c r="B104" s="320" t="s">
        <v>809</v>
      </c>
      <c r="C104" s="320" t="s">
        <v>813</v>
      </c>
      <c r="D104" s="320" t="s">
        <v>729</v>
      </c>
      <c r="E104" s="321" t="s">
        <v>27</v>
      </c>
      <c r="F104" s="327">
        <v>47675</v>
      </c>
      <c r="G104" s="327"/>
      <c r="H104" s="321" t="s">
        <v>58</v>
      </c>
      <c r="I104" s="328" t="s">
        <v>28</v>
      </c>
      <c r="J104" s="328"/>
      <c r="K104" s="324" t="s">
        <v>22</v>
      </c>
      <c r="L104" s="325">
        <v>4650188.3</v>
      </c>
    </row>
    <row r="105" spans="1:12" ht="51" hidden="1" x14ac:dyDescent="0.3">
      <c r="A105" s="319" t="s">
        <v>452</v>
      </c>
      <c r="B105" s="320" t="s">
        <v>809</v>
      </c>
      <c r="C105" s="320" t="s">
        <v>814</v>
      </c>
      <c r="D105" s="320" t="s">
        <v>729</v>
      </c>
      <c r="E105" s="321" t="s">
        <v>27</v>
      </c>
      <c r="F105" s="327">
        <v>118782</v>
      </c>
      <c r="G105" s="327"/>
      <c r="H105" s="321" t="s">
        <v>58</v>
      </c>
      <c r="I105" s="328" t="s">
        <v>28</v>
      </c>
      <c r="J105" s="328"/>
      <c r="K105" s="324" t="s">
        <v>22</v>
      </c>
      <c r="L105" s="325">
        <v>4768970.3</v>
      </c>
    </row>
    <row r="106" spans="1:12" ht="61.2" hidden="1" x14ac:dyDescent="0.3">
      <c r="A106" s="319" t="s">
        <v>304</v>
      </c>
      <c r="B106" s="320" t="s">
        <v>309</v>
      </c>
      <c r="C106" s="320" t="s">
        <v>310</v>
      </c>
      <c r="D106" s="320" t="s">
        <v>306</v>
      </c>
      <c r="E106" s="321" t="s">
        <v>27</v>
      </c>
      <c r="F106" s="327">
        <v>37515</v>
      </c>
      <c r="G106" s="327"/>
      <c r="H106" s="321" t="s">
        <v>27</v>
      </c>
      <c r="I106" s="328" t="s">
        <v>28</v>
      </c>
      <c r="J106" s="328"/>
      <c r="K106" s="324" t="s">
        <v>22</v>
      </c>
      <c r="L106" s="325">
        <v>4806485.3</v>
      </c>
    </row>
    <row r="107" spans="1:12" ht="51" hidden="1" x14ac:dyDescent="0.3">
      <c r="A107" s="319" t="s">
        <v>155</v>
      </c>
      <c r="B107" s="320" t="s">
        <v>815</v>
      </c>
      <c r="C107" s="320" t="s">
        <v>816</v>
      </c>
      <c r="D107" s="320" t="s">
        <v>817</v>
      </c>
      <c r="E107" s="321" t="s">
        <v>27</v>
      </c>
      <c r="F107" s="327">
        <v>3969</v>
      </c>
      <c r="G107" s="327"/>
      <c r="H107" s="321" t="s">
        <v>58</v>
      </c>
      <c r="I107" s="328" t="s">
        <v>28</v>
      </c>
      <c r="J107" s="328"/>
      <c r="K107" s="324" t="s">
        <v>22</v>
      </c>
      <c r="L107" s="325">
        <v>4810454.3</v>
      </c>
    </row>
    <row r="108" spans="1:12" ht="51" hidden="1" x14ac:dyDescent="0.3">
      <c r="A108" s="319" t="s">
        <v>155</v>
      </c>
      <c r="B108" s="320" t="s">
        <v>815</v>
      </c>
      <c r="C108" s="320" t="s">
        <v>818</v>
      </c>
      <c r="D108" s="320" t="s">
        <v>817</v>
      </c>
      <c r="E108" s="321" t="s">
        <v>27</v>
      </c>
      <c r="F108" s="329">
        <v>994.97</v>
      </c>
      <c r="G108" s="329"/>
      <c r="H108" s="321" t="s">
        <v>58</v>
      </c>
      <c r="I108" s="328" t="s">
        <v>28</v>
      </c>
      <c r="J108" s="328"/>
      <c r="K108" s="324" t="s">
        <v>22</v>
      </c>
      <c r="L108" s="325">
        <v>4811449.2699999996</v>
      </c>
    </row>
    <row r="109" spans="1:12" ht="61.2" hidden="1" x14ac:dyDescent="0.3">
      <c r="A109" s="319" t="s">
        <v>155</v>
      </c>
      <c r="B109" s="320" t="s">
        <v>819</v>
      </c>
      <c r="C109" s="320" t="s">
        <v>820</v>
      </c>
      <c r="D109" s="320" t="s">
        <v>821</v>
      </c>
      <c r="E109" s="321" t="s">
        <v>27</v>
      </c>
      <c r="F109" s="327">
        <v>3774</v>
      </c>
      <c r="G109" s="327"/>
      <c r="H109" s="321" t="s">
        <v>58</v>
      </c>
      <c r="I109" s="328" t="s">
        <v>28</v>
      </c>
      <c r="J109" s="328"/>
      <c r="K109" s="324" t="s">
        <v>22</v>
      </c>
      <c r="L109" s="325">
        <v>4815223.2699999996</v>
      </c>
    </row>
    <row r="110" spans="1:12" ht="51" hidden="1" x14ac:dyDescent="0.3">
      <c r="A110" s="319" t="s">
        <v>155</v>
      </c>
      <c r="B110" s="320" t="s">
        <v>819</v>
      </c>
      <c r="C110" s="320" t="s">
        <v>822</v>
      </c>
      <c r="D110" s="320" t="s">
        <v>821</v>
      </c>
      <c r="E110" s="321" t="s">
        <v>27</v>
      </c>
      <c r="F110" s="327">
        <v>7946.68</v>
      </c>
      <c r="G110" s="327"/>
      <c r="H110" s="321" t="s">
        <v>58</v>
      </c>
      <c r="I110" s="328" t="s">
        <v>28</v>
      </c>
      <c r="J110" s="328"/>
      <c r="K110" s="324" t="s">
        <v>22</v>
      </c>
      <c r="L110" s="325">
        <v>4823169.95</v>
      </c>
    </row>
    <row r="111" spans="1:12" ht="61.2" hidden="1" x14ac:dyDescent="0.3">
      <c r="A111" s="319" t="s">
        <v>155</v>
      </c>
      <c r="B111" s="320" t="s">
        <v>316</v>
      </c>
      <c r="C111" s="320" t="s">
        <v>317</v>
      </c>
      <c r="D111" s="320" t="s">
        <v>158</v>
      </c>
      <c r="E111" s="321" t="s">
        <v>27</v>
      </c>
      <c r="F111" s="327">
        <v>18370</v>
      </c>
      <c r="G111" s="327"/>
      <c r="H111" s="321" t="s">
        <v>27</v>
      </c>
      <c r="I111" s="328" t="s">
        <v>28</v>
      </c>
      <c r="J111" s="328"/>
      <c r="K111" s="324" t="s">
        <v>22</v>
      </c>
      <c r="L111" s="325">
        <v>4841539.95</v>
      </c>
    </row>
    <row r="112" spans="1:12" ht="51" hidden="1" x14ac:dyDescent="0.3">
      <c r="A112" s="319" t="s">
        <v>318</v>
      </c>
      <c r="B112" s="320" t="s">
        <v>823</v>
      </c>
      <c r="C112" s="320" t="s">
        <v>824</v>
      </c>
      <c r="D112" s="320" t="s">
        <v>729</v>
      </c>
      <c r="E112" s="321" t="s">
        <v>27</v>
      </c>
      <c r="F112" s="327">
        <v>48891</v>
      </c>
      <c r="G112" s="327"/>
      <c r="H112" s="321" t="s">
        <v>58</v>
      </c>
      <c r="I112" s="328" t="s">
        <v>28</v>
      </c>
      <c r="J112" s="328"/>
      <c r="K112" s="324" t="s">
        <v>22</v>
      </c>
      <c r="L112" s="325">
        <v>4890430.95</v>
      </c>
    </row>
    <row r="113" spans="1:12" ht="51" hidden="1" x14ac:dyDescent="0.3">
      <c r="A113" s="319" t="s">
        <v>318</v>
      </c>
      <c r="B113" s="320" t="s">
        <v>823</v>
      </c>
      <c r="C113" s="320" t="s">
        <v>825</v>
      </c>
      <c r="D113" s="320" t="s">
        <v>729</v>
      </c>
      <c r="E113" s="321" t="s">
        <v>27</v>
      </c>
      <c r="F113" s="327">
        <v>47080</v>
      </c>
      <c r="G113" s="327"/>
      <c r="H113" s="321" t="s">
        <v>58</v>
      </c>
      <c r="I113" s="328" t="s">
        <v>28</v>
      </c>
      <c r="J113" s="328"/>
      <c r="K113" s="324" t="s">
        <v>22</v>
      </c>
      <c r="L113" s="325">
        <v>4937510.95</v>
      </c>
    </row>
    <row r="114" spans="1:12" ht="51" hidden="1" x14ac:dyDescent="0.3">
      <c r="A114" s="319" t="s">
        <v>318</v>
      </c>
      <c r="B114" s="320" t="s">
        <v>823</v>
      </c>
      <c r="C114" s="320" t="s">
        <v>826</v>
      </c>
      <c r="D114" s="320" t="s">
        <v>729</v>
      </c>
      <c r="E114" s="321" t="s">
        <v>27</v>
      </c>
      <c r="F114" s="327">
        <v>47145</v>
      </c>
      <c r="G114" s="327"/>
      <c r="H114" s="321" t="s">
        <v>58</v>
      </c>
      <c r="I114" s="328" t="s">
        <v>28</v>
      </c>
      <c r="J114" s="328"/>
      <c r="K114" s="324" t="s">
        <v>22</v>
      </c>
      <c r="L114" s="325">
        <v>4984655.95</v>
      </c>
    </row>
    <row r="115" spans="1:12" ht="51" hidden="1" x14ac:dyDescent="0.3">
      <c r="A115" s="319" t="s">
        <v>318</v>
      </c>
      <c r="B115" s="320" t="s">
        <v>823</v>
      </c>
      <c r="C115" s="320" t="s">
        <v>827</v>
      </c>
      <c r="D115" s="320" t="s">
        <v>729</v>
      </c>
      <c r="E115" s="321" t="s">
        <v>27</v>
      </c>
      <c r="F115" s="327">
        <v>47675</v>
      </c>
      <c r="G115" s="327"/>
      <c r="H115" s="321" t="s">
        <v>58</v>
      </c>
      <c r="I115" s="328" t="s">
        <v>28</v>
      </c>
      <c r="J115" s="328"/>
      <c r="K115" s="324" t="s">
        <v>22</v>
      </c>
      <c r="L115" s="325">
        <v>5032330.95</v>
      </c>
    </row>
    <row r="116" spans="1:12" ht="51" hidden="1" x14ac:dyDescent="0.3">
      <c r="A116" s="319" t="s">
        <v>318</v>
      </c>
      <c r="B116" s="320" t="s">
        <v>823</v>
      </c>
      <c r="C116" s="320" t="s">
        <v>828</v>
      </c>
      <c r="D116" s="320" t="s">
        <v>729</v>
      </c>
      <c r="E116" s="321" t="s">
        <v>27</v>
      </c>
      <c r="F116" s="327">
        <v>39594</v>
      </c>
      <c r="G116" s="327"/>
      <c r="H116" s="321" t="s">
        <v>58</v>
      </c>
      <c r="I116" s="328" t="s">
        <v>28</v>
      </c>
      <c r="J116" s="328"/>
      <c r="K116" s="324" t="s">
        <v>22</v>
      </c>
      <c r="L116" s="325">
        <v>5071924.95</v>
      </c>
    </row>
    <row r="117" spans="1:12" ht="51" hidden="1" x14ac:dyDescent="0.3">
      <c r="A117" s="319" t="s">
        <v>318</v>
      </c>
      <c r="B117" s="320" t="s">
        <v>823</v>
      </c>
      <c r="C117" s="320" t="s">
        <v>829</v>
      </c>
      <c r="D117" s="320" t="s">
        <v>729</v>
      </c>
      <c r="E117" s="321" t="s">
        <v>27</v>
      </c>
      <c r="F117" s="327">
        <v>57380</v>
      </c>
      <c r="G117" s="327"/>
      <c r="H117" s="321" t="s">
        <v>58</v>
      </c>
      <c r="I117" s="328" t="s">
        <v>28</v>
      </c>
      <c r="J117" s="328"/>
      <c r="K117" s="324" t="s">
        <v>22</v>
      </c>
      <c r="L117" s="325">
        <v>5129304.95</v>
      </c>
    </row>
    <row r="118" spans="1:12" ht="51" hidden="1" x14ac:dyDescent="0.3">
      <c r="A118" s="319" t="s">
        <v>318</v>
      </c>
      <c r="B118" s="320" t="s">
        <v>340</v>
      </c>
      <c r="C118" s="320" t="s">
        <v>341</v>
      </c>
      <c r="D118" s="320" t="s">
        <v>320</v>
      </c>
      <c r="E118" s="321" t="s">
        <v>27</v>
      </c>
      <c r="F118" s="327">
        <v>4767.95</v>
      </c>
      <c r="G118" s="327"/>
      <c r="H118" s="321" t="s">
        <v>27</v>
      </c>
      <c r="I118" s="328" t="s">
        <v>28</v>
      </c>
      <c r="J118" s="328"/>
      <c r="K118" s="324" t="s">
        <v>22</v>
      </c>
      <c r="L118" s="325">
        <v>5134072.9000000004</v>
      </c>
    </row>
    <row r="119" spans="1:12" ht="51" hidden="1" x14ac:dyDescent="0.3">
      <c r="A119" s="319" t="s">
        <v>318</v>
      </c>
      <c r="B119" s="320" t="s">
        <v>340</v>
      </c>
      <c r="C119" s="320" t="s">
        <v>342</v>
      </c>
      <c r="D119" s="320" t="s">
        <v>329</v>
      </c>
      <c r="E119" s="321" t="s">
        <v>27</v>
      </c>
      <c r="F119" s="327">
        <v>196027.73</v>
      </c>
      <c r="G119" s="327"/>
      <c r="H119" s="321" t="s">
        <v>27</v>
      </c>
      <c r="I119" s="328" t="s">
        <v>28</v>
      </c>
      <c r="J119" s="328"/>
      <c r="K119" s="324" t="s">
        <v>22</v>
      </c>
      <c r="L119" s="325">
        <v>5330100.63</v>
      </c>
    </row>
    <row r="120" spans="1:12" ht="51" hidden="1" x14ac:dyDescent="0.3">
      <c r="A120" s="319" t="s">
        <v>318</v>
      </c>
      <c r="B120" s="320" t="s">
        <v>340</v>
      </c>
      <c r="C120" s="320" t="s">
        <v>343</v>
      </c>
      <c r="D120" s="320" t="s">
        <v>331</v>
      </c>
      <c r="E120" s="321" t="s">
        <v>27</v>
      </c>
      <c r="F120" s="327">
        <v>15086.73</v>
      </c>
      <c r="G120" s="327"/>
      <c r="H120" s="321" t="s">
        <v>27</v>
      </c>
      <c r="I120" s="328" t="s">
        <v>28</v>
      </c>
      <c r="J120" s="328"/>
      <c r="K120" s="324" t="s">
        <v>22</v>
      </c>
      <c r="L120" s="325">
        <v>5345187.3600000003</v>
      </c>
    </row>
    <row r="121" spans="1:12" ht="51" hidden="1" x14ac:dyDescent="0.3">
      <c r="A121" s="319" t="s">
        <v>318</v>
      </c>
      <c r="B121" s="320" t="s">
        <v>340</v>
      </c>
      <c r="C121" s="320" t="s">
        <v>344</v>
      </c>
      <c r="D121" s="320" t="s">
        <v>332</v>
      </c>
      <c r="E121" s="321" t="s">
        <v>27</v>
      </c>
      <c r="F121" s="327">
        <v>148599.1</v>
      </c>
      <c r="G121" s="327"/>
      <c r="H121" s="321" t="s">
        <v>27</v>
      </c>
      <c r="I121" s="328" t="s">
        <v>28</v>
      </c>
      <c r="J121" s="328"/>
      <c r="K121" s="324" t="s">
        <v>22</v>
      </c>
      <c r="L121" s="325">
        <v>5493786.46</v>
      </c>
    </row>
    <row r="122" spans="1:12" ht="61.2" hidden="1" x14ac:dyDescent="0.3">
      <c r="A122" s="319" t="s">
        <v>185</v>
      </c>
      <c r="B122" s="320" t="s">
        <v>352</v>
      </c>
      <c r="C122" s="320" t="s">
        <v>353</v>
      </c>
      <c r="D122" s="320" t="s">
        <v>188</v>
      </c>
      <c r="E122" s="321" t="s">
        <v>27</v>
      </c>
      <c r="F122" s="327">
        <v>29626.67</v>
      </c>
      <c r="G122" s="327"/>
      <c r="H122" s="321" t="s">
        <v>27</v>
      </c>
      <c r="I122" s="328" t="s">
        <v>28</v>
      </c>
      <c r="J122" s="328"/>
      <c r="K122" s="324" t="s">
        <v>22</v>
      </c>
      <c r="L122" s="325">
        <v>5523413.1299999999</v>
      </c>
    </row>
    <row r="123" spans="1:12" ht="51" hidden="1" x14ac:dyDescent="0.3">
      <c r="A123" s="319" t="s">
        <v>663</v>
      </c>
      <c r="B123" s="320" t="s">
        <v>830</v>
      </c>
      <c r="C123" s="320" t="s">
        <v>831</v>
      </c>
      <c r="D123" s="320" t="s">
        <v>832</v>
      </c>
      <c r="E123" s="321" t="s">
        <v>27</v>
      </c>
      <c r="F123" s="327">
        <v>5741.82</v>
      </c>
      <c r="G123" s="327"/>
      <c r="H123" s="321" t="s">
        <v>58</v>
      </c>
      <c r="I123" s="328" t="s">
        <v>28</v>
      </c>
      <c r="J123" s="328"/>
      <c r="K123" s="324" t="s">
        <v>22</v>
      </c>
      <c r="L123" s="325">
        <v>5529154.9500000002</v>
      </c>
    </row>
    <row r="124" spans="1:12" ht="51" hidden="1" x14ac:dyDescent="0.3">
      <c r="A124" s="319" t="s">
        <v>663</v>
      </c>
      <c r="B124" s="320" t="s">
        <v>830</v>
      </c>
      <c r="C124" s="320" t="s">
        <v>833</v>
      </c>
      <c r="D124" s="320" t="s">
        <v>832</v>
      </c>
      <c r="E124" s="321" t="s">
        <v>27</v>
      </c>
      <c r="F124" s="327">
        <v>8275.36</v>
      </c>
      <c r="G124" s="327"/>
      <c r="H124" s="321" t="s">
        <v>58</v>
      </c>
      <c r="I124" s="328" t="s">
        <v>28</v>
      </c>
      <c r="J124" s="328"/>
      <c r="K124" s="324" t="s">
        <v>22</v>
      </c>
      <c r="L124" s="325">
        <v>5537430.3099999996</v>
      </c>
    </row>
    <row r="125" spans="1:12" ht="51" hidden="1" x14ac:dyDescent="0.3">
      <c r="A125" s="319" t="s">
        <v>663</v>
      </c>
      <c r="B125" s="320" t="s">
        <v>830</v>
      </c>
      <c r="C125" s="320" t="s">
        <v>834</v>
      </c>
      <c r="D125" s="320" t="s">
        <v>832</v>
      </c>
      <c r="E125" s="321" t="s">
        <v>27</v>
      </c>
      <c r="F125" s="327">
        <v>1126.95</v>
      </c>
      <c r="G125" s="327"/>
      <c r="H125" s="321" t="s">
        <v>58</v>
      </c>
      <c r="I125" s="328" t="s">
        <v>28</v>
      </c>
      <c r="J125" s="328"/>
      <c r="K125" s="324" t="s">
        <v>22</v>
      </c>
      <c r="L125" s="325">
        <v>5538557.2599999998</v>
      </c>
    </row>
    <row r="126" spans="1:12" ht="61.2" hidden="1" x14ac:dyDescent="0.3">
      <c r="A126" s="319" t="s">
        <v>663</v>
      </c>
      <c r="B126" s="320" t="s">
        <v>830</v>
      </c>
      <c r="C126" s="320" t="s">
        <v>835</v>
      </c>
      <c r="D126" s="320" t="s">
        <v>832</v>
      </c>
      <c r="E126" s="321" t="s">
        <v>27</v>
      </c>
      <c r="F126" s="327">
        <v>2487.4</v>
      </c>
      <c r="G126" s="327"/>
      <c r="H126" s="321" t="s">
        <v>58</v>
      </c>
      <c r="I126" s="328" t="s">
        <v>28</v>
      </c>
      <c r="J126" s="328"/>
      <c r="K126" s="324" t="s">
        <v>22</v>
      </c>
      <c r="L126" s="325">
        <v>5541044.6600000001</v>
      </c>
    </row>
    <row r="127" spans="1:12" ht="51" hidden="1" x14ac:dyDescent="0.3">
      <c r="A127" s="319" t="s">
        <v>663</v>
      </c>
      <c r="B127" s="320" t="s">
        <v>830</v>
      </c>
      <c r="C127" s="320" t="s">
        <v>836</v>
      </c>
      <c r="D127" s="320" t="s">
        <v>832</v>
      </c>
      <c r="E127" s="321" t="s">
        <v>27</v>
      </c>
      <c r="F127" s="327">
        <v>3969.49</v>
      </c>
      <c r="G127" s="327"/>
      <c r="H127" s="321" t="s">
        <v>58</v>
      </c>
      <c r="I127" s="328" t="s">
        <v>28</v>
      </c>
      <c r="J127" s="328"/>
      <c r="K127" s="324" t="s">
        <v>22</v>
      </c>
      <c r="L127" s="325">
        <v>5545014.1500000004</v>
      </c>
    </row>
    <row r="128" spans="1:12" ht="51" hidden="1" x14ac:dyDescent="0.3">
      <c r="A128" s="319" t="s">
        <v>663</v>
      </c>
      <c r="B128" s="320" t="s">
        <v>830</v>
      </c>
      <c r="C128" s="320" t="s">
        <v>837</v>
      </c>
      <c r="D128" s="320" t="s">
        <v>832</v>
      </c>
      <c r="E128" s="321" t="s">
        <v>27</v>
      </c>
      <c r="F128" s="327">
        <v>4149.01</v>
      </c>
      <c r="G128" s="327"/>
      <c r="H128" s="321" t="s">
        <v>58</v>
      </c>
      <c r="I128" s="328" t="s">
        <v>28</v>
      </c>
      <c r="J128" s="328"/>
      <c r="K128" s="324" t="s">
        <v>22</v>
      </c>
      <c r="L128" s="325">
        <v>5549163.1600000001</v>
      </c>
    </row>
    <row r="129" spans="1:12" ht="51" hidden="1" x14ac:dyDescent="0.3">
      <c r="A129" s="319" t="s">
        <v>663</v>
      </c>
      <c r="B129" s="320" t="s">
        <v>830</v>
      </c>
      <c r="C129" s="320" t="s">
        <v>838</v>
      </c>
      <c r="D129" s="320" t="s">
        <v>832</v>
      </c>
      <c r="E129" s="321" t="s">
        <v>27</v>
      </c>
      <c r="F129" s="327">
        <v>1375.08</v>
      </c>
      <c r="G129" s="327"/>
      <c r="H129" s="321" t="s">
        <v>58</v>
      </c>
      <c r="I129" s="328" t="s">
        <v>28</v>
      </c>
      <c r="J129" s="328"/>
      <c r="K129" s="324" t="s">
        <v>22</v>
      </c>
      <c r="L129" s="325">
        <v>5550538.2400000002</v>
      </c>
    </row>
    <row r="130" spans="1:12" ht="51" hidden="1" x14ac:dyDescent="0.3">
      <c r="A130" s="319" t="s">
        <v>663</v>
      </c>
      <c r="B130" s="320" t="s">
        <v>830</v>
      </c>
      <c r="C130" s="320" t="s">
        <v>839</v>
      </c>
      <c r="D130" s="320" t="s">
        <v>832</v>
      </c>
      <c r="E130" s="321" t="s">
        <v>27</v>
      </c>
      <c r="F130" s="327">
        <v>1643.74</v>
      </c>
      <c r="G130" s="327"/>
      <c r="H130" s="321" t="s">
        <v>58</v>
      </c>
      <c r="I130" s="328" t="s">
        <v>28</v>
      </c>
      <c r="J130" s="328"/>
      <c r="K130" s="324" t="s">
        <v>22</v>
      </c>
      <c r="L130" s="325">
        <v>5552181.9800000004</v>
      </c>
    </row>
    <row r="131" spans="1:12" ht="51" hidden="1" x14ac:dyDescent="0.3">
      <c r="A131" s="319" t="s">
        <v>663</v>
      </c>
      <c r="B131" s="320" t="s">
        <v>830</v>
      </c>
      <c r="C131" s="320" t="s">
        <v>840</v>
      </c>
      <c r="D131" s="320" t="s">
        <v>832</v>
      </c>
      <c r="E131" s="321" t="s">
        <v>27</v>
      </c>
      <c r="F131" s="327">
        <v>1563.48</v>
      </c>
      <c r="G131" s="327"/>
      <c r="H131" s="321" t="s">
        <v>58</v>
      </c>
      <c r="I131" s="328" t="s">
        <v>28</v>
      </c>
      <c r="J131" s="328"/>
      <c r="K131" s="324" t="s">
        <v>22</v>
      </c>
      <c r="L131" s="325">
        <v>5553745.46</v>
      </c>
    </row>
    <row r="132" spans="1:12" ht="51" hidden="1" x14ac:dyDescent="0.3">
      <c r="A132" s="319" t="s">
        <v>663</v>
      </c>
      <c r="B132" s="320" t="s">
        <v>830</v>
      </c>
      <c r="C132" s="320" t="s">
        <v>841</v>
      </c>
      <c r="D132" s="320" t="s">
        <v>832</v>
      </c>
      <c r="E132" s="321" t="s">
        <v>27</v>
      </c>
      <c r="F132" s="329">
        <v>368.49</v>
      </c>
      <c r="G132" s="329"/>
      <c r="H132" s="321" t="s">
        <v>58</v>
      </c>
      <c r="I132" s="328" t="s">
        <v>28</v>
      </c>
      <c r="J132" s="328"/>
      <c r="K132" s="324" t="s">
        <v>22</v>
      </c>
      <c r="L132" s="325">
        <v>5554113.9500000002</v>
      </c>
    </row>
    <row r="133" spans="1:12" ht="51" hidden="1" x14ac:dyDescent="0.3">
      <c r="A133" s="319" t="s">
        <v>663</v>
      </c>
      <c r="B133" s="320" t="s">
        <v>842</v>
      </c>
      <c r="C133" s="320" t="s">
        <v>843</v>
      </c>
      <c r="D133" s="320" t="s">
        <v>729</v>
      </c>
      <c r="E133" s="321" t="s">
        <v>27</v>
      </c>
      <c r="F133" s="327">
        <v>40511</v>
      </c>
      <c r="G133" s="327"/>
      <c r="H133" s="321" t="s">
        <v>58</v>
      </c>
      <c r="I133" s="328" t="s">
        <v>28</v>
      </c>
      <c r="J133" s="328"/>
      <c r="K133" s="324" t="s">
        <v>22</v>
      </c>
      <c r="L133" s="325">
        <v>5594624.9500000002</v>
      </c>
    </row>
    <row r="134" spans="1:12" ht="51" hidden="1" x14ac:dyDescent="0.3">
      <c r="A134" s="319" t="s">
        <v>663</v>
      </c>
      <c r="B134" s="320" t="s">
        <v>844</v>
      </c>
      <c r="C134" s="320" t="s">
        <v>845</v>
      </c>
      <c r="D134" s="320" t="s">
        <v>729</v>
      </c>
      <c r="E134" s="321" t="s">
        <v>27</v>
      </c>
      <c r="F134" s="327">
        <v>4004.32</v>
      </c>
      <c r="G134" s="327"/>
      <c r="H134" s="321" t="s">
        <v>58</v>
      </c>
      <c r="I134" s="328" t="s">
        <v>28</v>
      </c>
      <c r="J134" s="328"/>
      <c r="K134" s="324" t="s">
        <v>22</v>
      </c>
      <c r="L134" s="325">
        <v>5598629.2699999996</v>
      </c>
    </row>
    <row r="135" spans="1:12" ht="51" hidden="1" x14ac:dyDescent="0.3">
      <c r="A135" s="319" t="s">
        <v>663</v>
      </c>
      <c r="B135" s="320" t="s">
        <v>842</v>
      </c>
      <c r="C135" s="320" t="s">
        <v>845</v>
      </c>
      <c r="D135" s="320" t="s">
        <v>729</v>
      </c>
      <c r="E135" s="321" t="s">
        <v>27</v>
      </c>
      <c r="F135" s="327">
        <v>86064.68</v>
      </c>
      <c r="G135" s="327"/>
      <c r="H135" s="321" t="s">
        <v>58</v>
      </c>
      <c r="I135" s="328" t="s">
        <v>28</v>
      </c>
      <c r="J135" s="328"/>
      <c r="K135" s="324" t="s">
        <v>22</v>
      </c>
      <c r="L135" s="325">
        <v>5684693.9500000002</v>
      </c>
    </row>
    <row r="136" spans="1:12" ht="51" hidden="1" x14ac:dyDescent="0.3">
      <c r="A136" s="319" t="s">
        <v>663</v>
      </c>
      <c r="B136" s="320" t="s">
        <v>844</v>
      </c>
      <c r="C136" s="320" t="s">
        <v>846</v>
      </c>
      <c r="D136" s="320" t="s">
        <v>729</v>
      </c>
      <c r="E136" s="321" t="s">
        <v>27</v>
      </c>
      <c r="F136" s="327">
        <v>57380</v>
      </c>
      <c r="G136" s="327"/>
      <c r="H136" s="321" t="s">
        <v>58</v>
      </c>
      <c r="I136" s="328" t="s">
        <v>28</v>
      </c>
      <c r="J136" s="328"/>
      <c r="K136" s="324" t="s">
        <v>22</v>
      </c>
      <c r="L136" s="325">
        <v>5742073.9500000002</v>
      </c>
    </row>
    <row r="137" spans="1:12" ht="51" hidden="1" x14ac:dyDescent="0.3">
      <c r="A137" s="319" t="s">
        <v>663</v>
      </c>
      <c r="B137" s="320" t="s">
        <v>847</v>
      </c>
      <c r="C137" s="320" t="s">
        <v>848</v>
      </c>
      <c r="D137" s="320" t="s">
        <v>729</v>
      </c>
      <c r="E137" s="321" t="s">
        <v>27</v>
      </c>
      <c r="F137" s="327">
        <v>92661.39</v>
      </c>
      <c r="G137" s="327"/>
      <c r="H137" s="321" t="s">
        <v>58</v>
      </c>
      <c r="I137" s="328" t="s">
        <v>28</v>
      </c>
      <c r="J137" s="328"/>
      <c r="K137" s="324" t="s">
        <v>22</v>
      </c>
      <c r="L137" s="325">
        <v>5834735.3399999999</v>
      </c>
    </row>
    <row r="138" spans="1:12" ht="51" hidden="1" x14ac:dyDescent="0.3">
      <c r="A138" s="319" t="s">
        <v>663</v>
      </c>
      <c r="B138" s="320" t="s">
        <v>847</v>
      </c>
      <c r="C138" s="320" t="s">
        <v>849</v>
      </c>
      <c r="D138" s="320" t="s">
        <v>729</v>
      </c>
      <c r="E138" s="321" t="s">
        <v>27</v>
      </c>
      <c r="F138" s="327">
        <v>1650</v>
      </c>
      <c r="G138" s="327"/>
      <c r="H138" s="321" t="s">
        <v>58</v>
      </c>
      <c r="I138" s="328" t="s">
        <v>28</v>
      </c>
      <c r="J138" s="328"/>
      <c r="K138" s="324" t="s">
        <v>22</v>
      </c>
      <c r="L138" s="325">
        <v>5836385.3399999999</v>
      </c>
    </row>
    <row r="139" spans="1:12" ht="51" hidden="1" x14ac:dyDescent="0.3">
      <c r="A139" s="319" t="s">
        <v>354</v>
      </c>
      <c r="B139" s="320" t="s">
        <v>850</v>
      </c>
      <c r="C139" s="320" t="s">
        <v>851</v>
      </c>
      <c r="D139" s="320" t="s">
        <v>729</v>
      </c>
      <c r="E139" s="321" t="s">
        <v>27</v>
      </c>
      <c r="F139" s="327">
        <v>114760</v>
      </c>
      <c r="G139" s="327"/>
      <c r="H139" s="321" t="s">
        <v>58</v>
      </c>
      <c r="I139" s="328" t="s">
        <v>28</v>
      </c>
      <c r="J139" s="328"/>
      <c r="K139" s="324" t="s">
        <v>22</v>
      </c>
      <c r="L139" s="325">
        <v>5951145.3399999999</v>
      </c>
    </row>
    <row r="140" spans="1:12" ht="51" hidden="1" x14ac:dyDescent="0.3">
      <c r="A140" s="319" t="s">
        <v>354</v>
      </c>
      <c r="B140" s="320" t="s">
        <v>850</v>
      </c>
      <c r="C140" s="320" t="s">
        <v>852</v>
      </c>
      <c r="D140" s="320" t="s">
        <v>729</v>
      </c>
      <c r="E140" s="321" t="s">
        <v>27</v>
      </c>
      <c r="F140" s="327">
        <v>77196</v>
      </c>
      <c r="G140" s="327"/>
      <c r="H140" s="321" t="s">
        <v>58</v>
      </c>
      <c r="I140" s="328" t="s">
        <v>28</v>
      </c>
      <c r="J140" s="328"/>
      <c r="K140" s="324" t="s">
        <v>22</v>
      </c>
      <c r="L140" s="325">
        <v>6028341.3399999999</v>
      </c>
    </row>
    <row r="141" spans="1:12" ht="61.2" hidden="1" x14ac:dyDescent="0.3">
      <c r="A141" s="319" t="s">
        <v>354</v>
      </c>
      <c r="B141" s="320" t="s">
        <v>853</v>
      </c>
      <c r="C141" s="320" t="s">
        <v>854</v>
      </c>
      <c r="D141" s="320" t="s">
        <v>80</v>
      </c>
      <c r="E141" s="321" t="s">
        <v>27</v>
      </c>
      <c r="F141" s="327">
        <v>18480</v>
      </c>
      <c r="G141" s="327"/>
      <c r="H141" s="321" t="s">
        <v>58</v>
      </c>
      <c r="I141" s="328" t="s">
        <v>28</v>
      </c>
      <c r="J141" s="328"/>
      <c r="K141" s="324" t="s">
        <v>22</v>
      </c>
      <c r="L141" s="325">
        <v>6046821.3399999999</v>
      </c>
    </row>
    <row r="142" spans="1:12" ht="51" hidden="1" x14ac:dyDescent="0.3">
      <c r="A142" s="319" t="s">
        <v>354</v>
      </c>
      <c r="B142" s="320" t="s">
        <v>855</v>
      </c>
      <c r="C142" s="320" t="s">
        <v>856</v>
      </c>
      <c r="D142" s="320" t="s">
        <v>729</v>
      </c>
      <c r="E142" s="321" t="s">
        <v>27</v>
      </c>
      <c r="F142" s="327">
        <v>129104.62</v>
      </c>
      <c r="G142" s="327"/>
      <c r="H142" s="321" t="s">
        <v>58</v>
      </c>
      <c r="I142" s="328" t="s">
        <v>28</v>
      </c>
      <c r="J142" s="328"/>
      <c r="K142" s="324" t="s">
        <v>22</v>
      </c>
      <c r="L142" s="325">
        <v>6175925.96</v>
      </c>
    </row>
    <row r="143" spans="1:12" ht="61.2" hidden="1" x14ac:dyDescent="0.3">
      <c r="A143" s="319" t="s">
        <v>354</v>
      </c>
      <c r="B143" s="320" t="s">
        <v>857</v>
      </c>
      <c r="C143" s="320" t="s">
        <v>854</v>
      </c>
      <c r="D143" s="320" t="s">
        <v>80</v>
      </c>
      <c r="E143" s="321" t="s">
        <v>27</v>
      </c>
      <c r="F143" s="327">
        <v>11757.5</v>
      </c>
      <c r="G143" s="327"/>
      <c r="H143" s="321" t="s">
        <v>58</v>
      </c>
      <c r="I143" s="328" t="s">
        <v>28</v>
      </c>
      <c r="J143" s="328"/>
      <c r="K143" s="324" t="s">
        <v>22</v>
      </c>
      <c r="L143" s="325">
        <v>6187683.46</v>
      </c>
    </row>
    <row r="144" spans="1:12" ht="51" hidden="1" x14ac:dyDescent="0.3">
      <c r="A144" s="319" t="s">
        <v>83</v>
      </c>
      <c r="B144" s="320" t="s">
        <v>858</v>
      </c>
      <c r="C144" s="320" t="s">
        <v>859</v>
      </c>
      <c r="D144" s="320" t="s">
        <v>729</v>
      </c>
      <c r="E144" s="321" t="s">
        <v>27</v>
      </c>
      <c r="F144" s="327">
        <v>35945</v>
      </c>
      <c r="G144" s="327"/>
      <c r="H144" s="321" t="s">
        <v>58</v>
      </c>
      <c r="I144" s="328" t="s">
        <v>28</v>
      </c>
      <c r="J144" s="328"/>
      <c r="K144" s="324" t="s">
        <v>22</v>
      </c>
      <c r="L144" s="325">
        <v>6223628.46</v>
      </c>
    </row>
    <row r="145" spans="1:12" ht="51" hidden="1" x14ac:dyDescent="0.3">
      <c r="A145" s="319" t="s">
        <v>83</v>
      </c>
      <c r="B145" s="320" t="s">
        <v>858</v>
      </c>
      <c r="C145" s="320" t="s">
        <v>860</v>
      </c>
      <c r="D145" s="320" t="s">
        <v>729</v>
      </c>
      <c r="E145" s="321" t="s">
        <v>27</v>
      </c>
      <c r="F145" s="327">
        <v>40511</v>
      </c>
      <c r="G145" s="327"/>
      <c r="H145" s="321" t="s">
        <v>58</v>
      </c>
      <c r="I145" s="328" t="s">
        <v>28</v>
      </c>
      <c r="J145" s="328"/>
      <c r="K145" s="324" t="s">
        <v>22</v>
      </c>
      <c r="L145" s="325">
        <v>6264139.46</v>
      </c>
    </row>
    <row r="146" spans="1:12" ht="51" hidden="1" x14ac:dyDescent="0.3">
      <c r="A146" s="319" t="s">
        <v>83</v>
      </c>
      <c r="B146" s="320" t="s">
        <v>858</v>
      </c>
      <c r="C146" s="320" t="s">
        <v>861</v>
      </c>
      <c r="D146" s="320" t="s">
        <v>729</v>
      </c>
      <c r="E146" s="321" t="s">
        <v>27</v>
      </c>
      <c r="F146" s="327">
        <v>57380</v>
      </c>
      <c r="G146" s="327"/>
      <c r="H146" s="321" t="s">
        <v>58</v>
      </c>
      <c r="I146" s="328" t="s">
        <v>28</v>
      </c>
      <c r="J146" s="328"/>
      <c r="K146" s="324" t="s">
        <v>22</v>
      </c>
      <c r="L146" s="325">
        <v>6321519.46</v>
      </c>
    </row>
    <row r="147" spans="1:12" ht="51" hidden="1" x14ac:dyDescent="0.3">
      <c r="A147" s="319" t="s">
        <v>83</v>
      </c>
      <c r="B147" s="320" t="s">
        <v>858</v>
      </c>
      <c r="C147" s="320" t="s">
        <v>862</v>
      </c>
      <c r="D147" s="320" t="s">
        <v>729</v>
      </c>
      <c r="E147" s="321" t="s">
        <v>27</v>
      </c>
      <c r="F147" s="327">
        <v>77196</v>
      </c>
      <c r="G147" s="327"/>
      <c r="H147" s="321" t="s">
        <v>58</v>
      </c>
      <c r="I147" s="328" t="s">
        <v>28</v>
      </c>
      <c r="J147" s="328"/>
      <c r="K147" s="324" t="s">
        <v>22</v>
      </c>
      <c r="L147" s="325">
        <v>6398715.46</v>
      </c>
    </row>
    <row r="148" spans="1:12" ht="51" hidden="1" x14ac:dyDescent="0.3">
      <c r="A148" s="319" t="s">
        <v>83</v>
      </c>
      <c r="B148" s="320" t="s">
        <v>863</v>
      </c>
      <c r="C148" s="320" t="s">
        <v>864</v>
      </c>
      <c r="D148" s="320" t="s">
        <v>729</v>
      </c>
      <c r="E148" s="321" t="s">
        <v>27</v>
      </c>
      <c r="F148" s="327">
        <v>86029.92</v>
      </c>
      <c r="G148" s="327"/>
      <c r="H148" s="321" t="s">
        <v>58</v>
      </c>
      <c r="I148" s="328" t="s">
        <v>28</v>
      </c>
      <c r="J148" s="328"/>
      <c r="K148" s="324" t="s">
        <v>22</v>
      </c>
      <c r="L148" s="325">
        <v>6484745.3799999999</v>
      </c>
    </row>
    <row r="149" spans="1:12" ht="61.2" hidden="1" x14ac:dyDescent="0.3">
      <c r="A149" s="319" t="s">
        <v>83</v>
      </c>
      <c r="B149" s="320" t="s">
        <v>377</v>
      </c>
      <c r="C149" s="320" t="s">
        <v>378</v>
      </c>
      <c r="D149" s="320" t="s">
        <v>371</v>
      </c>
      <c r="E149" s="321" t="s">
        <v>27</v>
      </c>
      <c r="F149" s="327">
        <v>16661.330000000002</v>
      </c>
      <c r="G149" s="327"/>
      <c r="H149" s="321" t="s">
        <v>27</v>
      </c>
      <c r="I149" s="328" t="s">
        <v>28</v>
      </c>
      <c r="J149" s="328"/>
      <c r="K149" s="324" t="s">
        <v>22</v>
      </c>
      <c r="L149" s="325">
        <v>6501406.71</v>
      </c>
    </row>
    <row r="150" spans="1:12" ht="51" x14ac:dyDescent="0.3">
      <c r="A150" s="319" t="s">
        <v>83</v>
      </c>
      <c r="B150" s="320" t="s">
        <v>865</v>
      </c>
      <c r="C150" s="320" t="s">
        <v>39</v>
      </c>
      <c r="D150" s="320" t="s">
        <v>741</v>
      </c>
      <c r="E150" s="321" t="s">
        <v>41</v>
      </c>
      <c r="F150" s="322" t="s">
        <v>28</v>
      </c>
      <c r="G150" s="322"/>
      <c r="H150" s="321" t="s">
        <v>27</v>
      </c>
      <c r="I150" s="323">
        <v>3154</v>
      </c>
      <c r="J150" s="323"/>
      <c r="K150" s="324" t="s">
        <v>22</v>
      </c>
      <c r="L150" s="325">
        <v>6498252.71</v>
      </c>
    </row>
    <row r="151" spans="1:12" ht="51" x14ac:dyDescent="0.3">
      <c r="A151" s="319" t="s">
        <v>83</v>
      </c>
      <c r="B151" s="320" t="s">
        <v>865</v>
      </c>
      <c r="C151" s="320" t="s">
        <v>39</v>
      </c>
      <c r="D151" s="320" t="s">
        <v>728</v>
      </c>
      <c r="E151" s="321" t="s">
        <v>41</v>
      </c>
      <c r="F151" s="322" t="s">
        <v>28</v>
      </c>
      <c r="G151" s="322"/>
      <c r="H151" s="321" t="s">
        <v>27</v>
      </c>
      <c r="I151" s="323">
        <v>49203</v>
      </c>
      <c r="J151" s="323"/>
      <c r="K151" s="324" t="s">
        <v>22</v>
      </c>
      <c r="L151" s="325">
        <v>6449049.71</v>
      </c>
    </row>
    <row r="152" spans="1:12" ht="51" x14ac:dyDescent="0.3">
      <c r="A152" s="319" t="s">
        <v>83</v>
      </c>
      <c r="B152" s="320" t="s">
        <v>865</v>
      </c>
      <c r="C152" s="320" t="s">
        <v>39</v>
      </c>
      <c r="D152" s="320" t="s">
        <v>730</v>
      </c>
      <c r="E152" s="321" t="s">
        <v>41</v>
      </c>
      <c r="F152" s="322" t="s">
        <v>28</v>
      </c>
      <c r="G152" s="322"/>
      <c r="H152" s="321" t="s">
        <v>27</v>
      </c>
      <c r="I152" s="323">
        <v>50325</v>
      </c>
      <c r="J152" s="323"/>
      <c r="K152" s="324" t="s">
        <v>22</v>
      </c>
      <c r="L152" s="325">
        <v>6398724.71</v>
      </c>
    </row>
    <row r="153" spans="1:12" ht="61.2" x14ac:dyDescent="0.3">
      <c r="A153" s="319" t="s">
        <v>83</v>
      </c>
      <c r="B153" s="320" t="s">
        <v>865</v>
      </c>
      <c r="C153" s="320" t="s">
        <v>39</v>
      </c>
      <c r="D153" s="320" t="s">
        <v>731</v>
      </c>
      <c r="E153" s="321" t="s">
        <v>41</v>
      </c>
      <c r="F153" s="322" t="s">
        <v>28</v>
      </c>
      <c r="G153" s="322"/>
      <c r="H153" s="321" t="s">
        <v>27</v>
      </c>
      <c r="I153" s="323">
        <v>48267</v>
      </c>
      <c r="J153" s="323"/>
      <c r="K153" s="324" t="s">
        <v>22</v>
      </c>
      <c r="L153" s="325">
        <v>6350457.71</v>
      </c>
    </row>
    <row r="154" spans="1:12" ht="51" x14ac:dyDescent="0.3">
      <c r="A154" s="319" t="s">
        <v>83</v>
      </c>
      <c r="B154" s="320" t="s">
        <v>865</v>
      </c>
      <c r="C154" s="320" t="s">
        <v>39</v>
      </c>
      <c r="D154" s="320" t="s">
        <v>732</v>
      </c>
      <c r="E154" s="321" t="s">
        <v>41</v>
      </c>
      <c r="F154" s="322" t="s">
        <v>28</v>
      </c>
      <c r="G154" s="322"/>
      <c r="H154" s="321" t="s">
        <v>27</v>
      </c>
      <c r="I154" s="323">
        <v>49826</v>
      </c>
      <c r="J154" s="323"/>
      <c r="K154" s="324" t="s">
        <v>22</v>
      </c>
      <c r="L154" s="325">
        <v>6300631.71</v>
      </c>
    </row>
    <row r="155" spans="1:12" ht="51" x14ac:dyDescent="0.3">
      <c r="A155" s="319" t="s">
        <v>83</v>
      </c>
      <c r="B155" s="320" t="s">
        <v>865</v>
      </c>
      <c r="C155" s="320" t="s">
        <v>39</v>
      </c>
      <c r="D155" s="320" t="s">
        <v>866</v>
      </c>
      <c r="E155" s="321" t="s">
        <v>41</v>
      </c>
      <c r="F155" s="322" t="s">
        <v>28</v>
      </c>
      <c r="G155" s="322"/>
      <c r="H155" s="321" t="s">
        <v>27</v>
      </c>
      <c r="I155" s="323">
        <v>50257.59</v>
      </c>
      <c r="J155" s="323"/>
      <c r="K155" s="324" t="s">
        <v>22</v>
      </c>
      <c r="L155" s="325">
        <v>6250374.1200000001</v>
      </c>
    </row>
    <row r="156" spans="1:12" ht="51" x14ac:dyDescent="0.3">
      <c r="A156" s="319" t="s">
        <v>83</v>
      </c>
      <c r="B156" s="320" t="s">
        <v>865</v>
      </c>
      <c r="C156" s="320" t="s">
        <v>39</v>
      </c>
      <c r="D156" s="320" t="s">
        <v>867</v>
      </c>
      <c r="E156" s="321" t="s">
        <v>41</v>
      </c>
      <c r="F156" s="322" t="s">
        <v>28</v>
      </c>
      <c r="G156" s="322"/>
      <c r="H156" s="321" t="s">
        <v>27</v>
      </c>
      <c r="I156" s="323">
        <v>51975.8</v>
      </c>
      <c r="J156" s="323"/>
      <c r="K156" s="324" t="s">
        <v>22</v>
      </c>
      <c r="L156" s="325">
        <v>6198398.3200000003</v>
      </c>
    </row>
    <row r="157" spans="1:12" ht="51" x14ac:dyDescent="0.3">
      <c r="A157" s="319" t="s">
        <v>83</v>
      </c>
      <c r="B157" s="320" t="s">
        <v>865</v>
      </c>
      <c r="C157" s="320" t="s">
        <v>39</v>
      </c>
      <c r="D157" s="320" t="s">
        <v>868</v>
      </c>
      <c r="E157" s="321" t="s">
        <v>41</v>
      </c>
      <c r="F157" s="322" t="s">
        <v>28</v>
      </c>
      <c r="G157" s="322"/>
      <c r="H157" s="321" t="s">
        <v>27</v>
      </c>
      <c r="I157" s="323">
        <v>49776.9</v>
      </c>
      <c r="J157" s="323"/>
      <c r="K157" s="324" t="s">
        <v>22</v>
      </c>
      <c r="L157" s="325">
        <v>6148621.4199999999</v>
      </c>
    </row>
    <row r="158" spans="1:12" ht="51" x14ac:dyDescent="0.3">
      <c r="A158" s="319" t="s">
        <v>83</v>
      </c>
      <c r="B158" s="320" t="s">
        <v>865</v>
      </c>
      <c r="C158" s="320" t="s">
        <v>39</v>
      </c>
      <c r="D158" s="320" t="s">
        <v>869</v>
      </c>
      <c r="E158" s="321" t="s">
        <v>41</v>
      </c>
      <c r="F158" s="322" t="s">
        <v>28</v>
      </c>
      <c r="G158" s="322"/>
      <c r="H158" s="321" t="s">
        <v>27</v>
      </c>
      <c r="I158" s="323">
        <v>48471.88</v>
      </c>
      <c r="J158" s="323"/>
      <c r="K158" s="324" t="s">
        <v>22</v>
      </c>
      <c r="L158" s="325">
        <v>6100149.54</v>
      </c>
    </row>
    <row r="159" spans="1:12" ht="51" x14ac:dyDescent="0.3">
      <c r="A159" s="319" t="s">
        <v>83</v>
      </c>
      <c r="B159" s="320" t="s">
        <v>865</v>
      </c>
      <c r="C159" s="320" t="s">
        <v>39</v>
      </c>
      <c r="D159" s="320" t="s">
        <v>870</v>
      </c>
      <c r="E159" s="321" t="s">
        <v>41</v>
      </c>
      <c r="F159" s="322" t="s">
        <v>28</v>
      </c>
      <c r="G159" s="322"/>
      <c r="H159" s="321" t="s">
        <v>27</v>
      </c>
      <c r="I159" s="323">
        <v>49071.21</v>
      </c>
      <c r="J159" s="323"/>
      <c r="K159" s="324" t="s">
        <v>22</v>
      </c>
      <c r="L159" s="325">
        <v>6051078.3300000001</v>
      </c>
    </row>
    <row r="160" spans="1:12" ht="61.2" x14ac:dyDescent="0.3">
      <c r="A160" s="319" t="s">
        <v>83</v>
      </c>
      <c r="B160" s="320" t="s">
        <v>865</v>
      </c>
      <c r="C160" s="320" t="s">
        <v>39</v>
      </c>
      <c r="D160" s="320" t="s">
        <v>871</v>
      </c>
      <c r="E160" s="321" t="s">
        <v>41</v>
      </c>
      <c r="F160" s="322" t="s">
        <v>28</v>
      </c>
      <c r="G160" s="322"/>
      <c r="H160" s="321" t="s">
        <v>27</v>
      </c>
      <c r="I160" s="323">
        <v>49364.73</v>
      </c>
      <c r="J160" s="323"/>
      <c r="K160" s="324" t="s">
        <v>22</v>
      </c>
      <c r="L160" s="325">
        <v>6001713.5999999996</v>
      </c>
    </row>
    <row r="161" spans="1:12" ht="51" x14ac:dyDescent="0.3">
      <c r="A161" s="319" t="s">
        <v>83</v>
      </c>
      <c r="B161" s="320" t="s">
        <v>865</v>
      </c>
      <c r="C161" s="320" t="s">
        <v>39</v>
      </c>
      <c r="D161" s="320" t="s">
        <v>872</v>
      </c>
      <c r="E161" s="321" t="s">
        <v>41</v>
      </c>
      <c r="F161" s="322" t="s">
        <v>28</v>
      </c>
      <c r="G161" s="322"/>
      <c r="H161" s="321" t="s">
        <v>27</v>
      </c>
      <c r="I161" s="323">
        <v>40494.480000000003</v>
      </c>
      <c r="J161" s="323"/>
      <c r="K161" s="324" t="s">
        <v>22</v>
      </c>
      <c r="L161" s="325">
        <v>5961219.1200000001</v>
      </c>
    </row>
    <row r="162" spans="1:12" ht="51" x14ac:dyDescent="0.3">
      <c r="A162" s="319" t="s">
        <v>83</v>
      </c>
      <c r="B162" s="320" t="s">
        <v>865</v>
      </c>
      <c r="C162" s="320" t="s">
        <v>39</v>
      </c>
      <c r="D162" s="320" t="s">
        <v>873</v>
      </c>
      <c r="E162" s="321" t="s">
        <v>41</v>
      </c>
      <c r="F162" s="322" t="s">
        <v>28</v>
      </c>
      <c r="G162" s="322"/>
      <c r="H162" s="321" t="s">
        <v>27</v>
      </c>
      <c r="I162" s="323">
        <v>40494.480000000003</v>
      </c>
      <c r="J162" s="323"/>
      <c r="K162" s="324" t="s">
        <v>22</v>
      </c>
      <c r="L162" s="325">
        <v>5920724.6399999997</v>
      </c>
    </row>
    <row r="163" spans="1:12" ht="51" x14ac:dyDescent="0.3">
      <c r="A163" s="319" t="s">
        <v>83</v>
      </c>
      <c r="B163" s="320" t="s">
        <v>865</v>
      </c>
      <c r="C163" s="320" t="s">
        <v>39</v>
      </c>
      <c r="D163" s="320" t="s">
        <v>874</v>
      </c>
      <c r="E163" s="321" t="s">
        <v>41</v>
      </c>
      <c r="F163" s="322" t="s">
        <v>28</v>
      </c>
      <c r="G163" s="322"/>
      <c r="H163" s="321" t="s">
        <v>27</v>
      </c>
      <c r="I163" s="323">
        <v>80988.97</v>
      </c>
      <c r="J163" s="323"/>
      <c r="K163" s="324" t="s">
        <v>22</v>
      </c>
      <c r="L163" s="325">
        <v>5839735.6699999999</v>
      </c>
    </row>
    <row r="164" spans="1:12" ht="51" x14ac:dyDescent="0.3">
      <c r="A164" s="319" t="s">
        <v>83</v>
      </c>
      <c r="B164" s="320" t="s">
        <v>865</v>
      </c>
      <c r="C164" s="320" t="s">
        <v>39</v>
      </c>
      <c r="D164" s="320" t="s">
        <v>734</v>
      </c>
      <c r="E164" s="321" t="s">
        <v>41</v>
      </c>
      <c r="F164" s="322" t="s">
        <v>28</v>
      </c>
      <c r="G164" s="322"/>
      <c r="H164" s="321" t="s">
        <v>27</v>
      </c>
      <c r="I164" s="323">
        <v>17826</v>
      </c>
      <c r="J164" s="323"/>
      <c r="K164" s="324" t="s">
        <v>22</v>
      </c>
      <c r="L164" s="325">
        <v>5821909.6699999999</v>
      </c>
    </row>
    <row r="165" spans="1:12" ht="51" x14ac:dyDescent="0.3">
      <c r="A165" s="319" t="s">
        <v>83</v>
      </c>
      <c r="B165" s="320" t="s">
        <v>865</v>
      </c>
      <c r="C165" s="320" t="s">
        <v>39</v>
      </c>
      <c r="D165" s="320" t="s">
        <v>735</v>
      </c>
      <c r="E165" s="321" t="s">
        <v>41</v>
      </c>
      <c r="F165" s="322" t="s">
        <v>28</v>
      </c>
      <c r="G165" s="322"/>
      <c r="H165" s="321" t="s">
        <v>27</v>
      </c>
      <c r="I165" s="323">
        <v>20750</v>
      </c>
      <c r="J165" s="323"/>
      <c r="K165" s="324" t="s">
        <v>22</v>
      </c>
      <c r="L165" s="325">
        <v>5801159.6699999999</v>
      </c>
    </row>
    <row r="166" spans="1:12" ht="61.2" x14ac:dyDescent="0.3">
      <c r="A166" s="319" t="s">
        <v>83</v>
      </c>
      <c r="B166" s="320" t="s">
        <v>865</v>
      </c>
      <c r="C166" s="320" t="s">
        <v>39</v>
      </c>
      <c r="D166" s="320" t="s">
        <v>733</v>
      </c>
      <c r="E166" s="321" t="s">
        <v>41</v>
      </c>
      <c r="F166" s="322" t="s">
        <v>28</v>
      </c>
      <c r="G166" s="322"/>
      <c r="H166" s="321" t="s">
        <v>27</v>
      </c>
      <c r="I166" s="323">
        <v>37684</v>
      </c>
      <c r="J166" s="323"/>
      <c r="K166" s="324" t="s">
        <v>22</v>
      </c>
      <c r="L166" s="325">
        <v>5763475.6699999999</v>
      </c>
    </row>
    <row r="167" spans="1:12" ht="51" x14ac:dyDescent="0.3">
      <c r="A167" s="319" t="s">
        <v>83</v>
      </c>
      <c r="B167" s="320" t="s">
        <v>875</v>
      </c>
      <c r="C167" s="320" t="s">
        <v>39</v>
      </c>
      <c r="D167" s="320" t="s">
        <v>251</v>
      </c>
      <c r="E167" s="321" t="s">
        <v>41</v>
      </c>
      <c r="F167" s="322" t="s">
        <v>28</v>
      </c>
      <c r="G167" s="322"/>
      <c r="H167" s="321" t="s">
        <v>27</v>
      </c>
      <c r="I167" s="323">
        <v>6996</v>
      </c>
      <c r="J167" s="323"/>
      <c r="K167" s="324" t="s">
        <v>22</v>
      </c>
      <c r="L167" s="325">
        <v>5756479.6699999999</v>
      </c>
    </row>
    <row r="168" spans="1:12" ht="51" hidden="1" x14ac:dyDescent="0.3">
      <c r="A168" s="319" t="s">
        <v>98</v>
      </c>
      <c r="B168" s="320" t="s">
        <v>535</v>
      </c>
      <c r="C168" s="320" t="s">
        <v>536</v>
      </c>
      <c r="D168" s="320" t="s">
        <v>281</v>
      </c>
      <c r="E168" s="321" t="s">
        <v>27</v>
      </c>
      <c r="F168" s="322" t="s">
        <v>28</v>
      </c>
      <c r="G168" s="322"/>
      <c r="H168" s="321" t="s">
        <v>27</v>
      </c>
      <c r="I168" s="323">
        <v>24616</v>
      </c>
      <c r="J168" s="323"/>
      <c r="K168" s="324" t="s">
        <v>22</v>
      </c>
      <c r="L168" s="325">
        <v>5731863.6699999999</v>
      </c>
    </row>
    <row r="169" spans="1:12" ht="51" hidden="1" x14ac:dyDescent="0.3">
      <c r="A169" s="319" t="s">
        <v>98</v>
      </c>
      <c r="B169" s="320" t="s">
        <v>189</v>
      </c>
      <c r="C169" s="320" t="s">
        <v>190</v>
      </c>
      <c r="D169" s="320" t="s">
        <v>191</v>
      </c>
      <c r="E169" s="321" t="s">
        <v>27</v>
      </c>
      <c r="F169" s="327">
        <v>37254.239999999998</v>
      </c>
      <c r="G169" s="327"/>
      <c r="H169" s="321" t="s">
        <v>27</v>
      </c>
      <c r="I169" s="328" t="s">
        <v>28</v>
      </c>
      <c r="J169" s="328"/>
      <c r="K169" s="324" t="s">
        <v>22</v>
      </c>
      <c r="L169" s="325">
        <v>5769117.9100000001</v>
      </c>
    </row>
    <row r="170" spans="1:12" ht="61.2" hidden="1" x14ac:dyDescent="0.3">
      <c r="A170" s="319" t="s">
        <v>98</v>
      </c>
      <c r="B170" s="320" t="s">
        <v>386</v>
      </c>
      <c r="C170" s="320" t="s">
        <v>387</v>
      </c>
      <c r="D170" s="320" t="s">
        <v>388</v>
      </c>
      <c r="E170" s="321" t="s">
        <v>27</v>
      </c>
      <c r="F170" s="327">
        <v>3378.62</v>
      </c>
      <c r="G170" s="327"/>
      <c r="H170" s="321" t="s">
        <v>27</v>
      </c>
      <c r="I170" s="328" t="s">
        <v>28</v>
      </c>
      <c r="J170" s="328"/>
      <c r="K170" s="324" t="s">
        <v>22</v>
      </c>
      <c r="L170" s="325">
        <v>5772496.5300000003</v>
      </c>
    </row>
    <row r="171" spans="1:12" ht="51" x14ac:dyDescent="0.3">
      <c r="A171" s="319" t="s">
        <v>98</v>
      </c>
      <c r="B171" s="320" t="s">
        <v>876</v>
      </c>
      <c r="C171" s="320" t="s">
        <v>39</v>
      </c>
      <c r="D171" s="320" t="s">
        <v>190</v>
      </c>
      <c r="E171" s="321" t="s">
        <v>41</v>
      </c>
      <c r="F171" s="322" t="s">
        <v>28</v>
      </c>
      <c r="G171" s="322"/>
      <c r="H171" s="321" t="s">
        <v>27</v>
      </c>
      <c r="I171" s="323">
        <v>37254.239999999998</v>
      </c>
      <c r="J171" s="323"/>
      <c r="K171" s="324" t="s">
        <v>22</v>
      </c>
      <c r="L171" s="325">
        <v>5735242.29</v>
      </c>
    </row>
    <row r="172" spans="1:12" ht="61.2" x14ac:dyDescent="0.3">
      <c r="A172" s="319" t="s">
        <v>98</v>
      </c>
      <c r="B172" s="320" t="s">
        <v>877</v>
      </c>
      <c r="C172" s="320" t="s">
        <v>39</v>
      </c>
      <c r="D172" s="320" t="s">
        <v>387</v>
      </c>
      <c r="E172" s="321" t="s">
        <v>41</v>
      </c>
      <c r="F172" s="322" t="s">
        <v>28</v>
      </c>
      <c r="G172" s="322"/>
      <c r="H172" s="321" t="s">
        <v>27</v>
      </c>
      <c r="I172" s="323">
        <v>3378.62</v>
      </c>
      <c r="J172" s="323"/>
      <c r="K172" s="324" t="s">
        <v>22</v>
      </c>
      <c r="L172" s="325">
        <v>5731863.6699999999</v>
      </c>
    </row>
    <row r="173" spans="1:12" ht="51" x14ac:dyDescent="0.3">
      <c r="A173" s="319" t="s">
        <v>98</v>
      </c>
      <c r="B173" s="320" t="s">
        <v>878</v>
      </c>
      <c r="C173" s="320" t="s">
        <v>39</v>
      </c>
      <c r="D173" s="320" t="s">
        <v>799</v>
      </c>
      <c r="E173" s="321" t="s">
        <v>41</v>
      </c>
      <c r="F173" s="322" t="s">
        <v>28</v>
      </c>
      <c r="G173" s="322"/>
      <c r="H173" s="321" t="s">
        <v>27</v>
      </c>
      <c r="I173" s="323">
        <v>28454</v>
      </c>
      <c r="J173" s="323"/>
      <c r="K173" s="324" t="s">
        <v>22</v>
      </c>
      <c r="L173" s="325">
        <v>5703409.6699999999</v>
      </c>
    </row>
    <row r="174" spans="1:12" ht="61.2" x14ac:dyDescent="0.3">
      <c r="A174" s="319" t="s">
        <v>98</v>
      </c>
      <c r="B174" s="320" t="s">
        <v>878</v>
      </c>
      <c r="C174" s="320" t="s">
        <v>39</v>
      </c>
      <c r="D174" s="320" t="s">
        <v>743</v>
      </c>
      <c r="E174" s="321" t="s">
        <v>41</v>
      </c>
      <c r="F174" s="322" t="s">
        <v>28</v>
      </c>
      <c r="G174" s="322"/>
      <c r="H174" s="321" t="s">
        <v>27</v>
      </c>
      <c r="I174" s="323">
        <v>89895</v>
      </c>
      <c r="J174" s="323"/>
      <c r="K174" s="324" t="s">
        <v>22</v>
      </c>
      <c r="L174" s="325">
        <v>5613514.6699999999</v>
      </c>
    </row>
    <row r="175" spans="1:12" ht="61.2" hidden="1" x14ac:dyDescent="0.3">
      <c r="A175" s="319" t="s">
        <v>98</v>
      </c>
      <c r="B175" s="320" t="s">
        <v>692</v>
      </c>
      <c r="C175" s="320" t="s">
        <v>298</v>
      </c>
      <c r="D175" s="320" t="s">
        <v>296</v>
      </c>
      <c r="E175" s="321" t="s">
        <v>27</v>
      </c>
      <c r="F175" s="322" t="s">
        <v>28</v>
      </c>
      <c r="G175" s="322"/>
      <c r="H175" s="321" t="s">
        <v>27</v>
      </c>
      <c r="I175" s="323">
        <v>18280.75</v>
      </c>
      <c r="J175" s="323"/>
      <c r="K175" s="324" t="s">
        <v>22</v>
      </c>
      <c r="L175" s="325">
        <v>5595233.9199999999</v>
      </c>
    </row>
    <row r="176" spans="1:12" ht="51" x14ac:dyDescent="0.3">
      <c r="A176" s="319" t="s">
        <v>98</v>
      </c>
      <c r="B176" s="320" t="s">
        <v>879</v>
      </c>
      <c r="C176" s="320" t="s">
        <v>39</v>
      </c>
      <c r="D176" s="320" t="s">
        <v>824</v>
      </c>
      <c r="E176" s="321" t="s">
        <v>41</v>
      </c>
      <c r="F176" s="322" t="s">
        <v>28</v>
      </c>
      <c r="G176" s="322"/>
      <c r="H176" s="321" t="s">
        <v>27</v>
      </c>
      <c r="I176" s="323">
        <v>48891</v>
      </c>
      <c r="J176" s="323"/>
      <c r="K176" s="324" t="s">
        <v>22</v>
      </c>
      <c r="L176" s="325">
        <v>5546342.9199999999</v>
      </c>
    </row>
    <row r="177" spans="1:12" ht="51" x14ac:dyDescent="0.3">
      <c r="A177" s="319" t="s">
        <v>98</v>
      </c>
      <c r="B177" s="320" t="s">
        <v>879</v>
      </c>
      <c r="C177" s="320" t="s">
        <v>39</v>
      </c>
      <c r="D177" s="320" t="s">
        <v>825</v>
      </c>
      <c r="E177" s="321" t="s">
        <v>41</v>
      </c>
      <c r="F177" s="322" t="s">
        <v>28</v>
      </c>
      <c r="G177" s="322"/>
      <c r="H177" s="321" t="s">
        <v>27</v>
      </c>
      <c r="I177" s="323">
        <v>47080</v>
      </c>
      <c r="J177" s="323"/>
      <c r="K177" s="324" t="s">
        <v>22</v>
      </c>
      <c r="L177" s="325">
        <v>5499262.9199999999</v>
      </c>
    </row>
    <row r="178" spans="1:12" ht="51" x14ac:dyDescent="0.3">
      <c r="A178" s="319" t="s">
        <v>98</v>
      </c>
      <c r="B178" s="320" t="s">
        <v>879</v>
      </c>
      <c r="C178" s="320" t="s">
        <v>39</v>
      </c>
      <c r="D178" s="320" t="s">
        <v>826</v>
      </c>
      <c r="E178" s="321" t="s">
        <v>41</v>
      </c>
      <c r="F178" s="322" t="s">
        <v>28</v>
      </c>
      <c r="G178" s="322"/>
      <c r="H178" s="321" t="s">
        <v>27</v>
      </c>
      <c r="I178" s="323">
        <v>47145</v>
      </c>
      <c r="J178" s="323"/>
      <c r="K178" s="324" t="s">
        <v>22</v>
      </c>
      <c r="L178" s="325">
        <v>5452117.9199999999</v>
      </c>
    </row>
    <row r="179" spans="1:12" ht="51" x14ac:dyDescent="0.3">
      <c r="A179" s="319" t="s">
        <v>98</v>
      </c>
      <c r="B179" s="320" t="s">
        <v>879</v>
      </c>
      <c r="C179" s="320" t="s">
        <v>39</v>
      </c>
      <c r="D179" s="320" t="s">
        <v>827</v>
      </c>
      <c r="E179" s="321" t="s">
        <v>41</v>
      </c>
      <c r="F179" s="322" t="s">
        <v>28</v>
      </c>
      <c r="G179" s="322"/>
      <c r="H179" s="321" t="s">
        <v>27</v>
      </c>
      <c r="I179" s="323">
        <v>47675</v>
      </c>
      <c r="J179" s="323"/>
      <c r="K179" s="324" t="s">
        <v>22</v>
      </c>
      <c r="L179" s="325">
        <v>5404442.9199999999</v>
      </c>
    </row>
    <row r="180" spans="1:12" ht="61.2" x14ac:dyDescent="0.3">
      <c r="A180" s="319" t="s">
        <v>98</v>
      </c>
      <c r="B180" s="320" t="s">
        <v>880</v>
      </c>
      <c r="C180" s="320" t="s">
        <v>39</v>
      </c>
      <c r="D180" s="320" t="s">
        <v>737</v>
      </c>
      <c r="E180" s="321" t="s">
        <v>41</v>
      </c>
      <c r="F180" s="322" t="s">
        <v>28</v>
      </c>
      <c r="G180" s="322"/>
      <c r="H180" s="321" t="s">
        <v>27</v>
      </c>
      <c r="I180" s="323">
        <v>18820</v>
      </c>
      <c r="J180" s="323"/>
      <c r="K180" s="324" t="s">
        <v>22</v>
      </c>
      <c r="L180" s="325">
        <v>5385622.9199999999</v>
      </c>
    </row>
    <row r="181" spans="1:12" ht="61.2" x14ac:dyDescent="0.3">
      <c r="A181" s="319" t="s">
        <v>98</v>
      </c>
      <c r="B181" s="320" t="s">
        <v>880</v>
      </c>
      <c r="C181" s="320" t="s">
        <v>39</v>
      </c>
      <c r="D181" s="320" t="s">
        <v>746</v>
      </c>
      <c r="E181" s="321" t="s">
        <v>41</v>
      </c>
      <c r="F181" s="322" t="s">
        <v>28</v>
      </c>
      <c r="G181" s="322"/>
      <c r="H181" s="321" t="s">
        <v>27</v>
      </c>
      <c r="I181" s="323">
        <v>18695</v>
      </c>
      <c r="J181" s="323"/>
      <c r="K181" s="324" t="s">
        <v>22</v>
      </c>
      <c r="L181" s="325">
        <v>5366927.92</v>
      </c>
    </row>
    <row r="182" spans="1:12" ht="61.2" x14ac:dyDescent="0.3">
      <c r="A182" s="319" t="s">
        <v>98</v>
      </c>
      <c r="B182" s="320" t="s">
        <v>880</v>
      </c>
      <c r="C182" s="320" t="s">
        <v>39</v>
      </c>
      <c r="D182" s="320" t="s">
        <v>746</v>
      </c>
      <c r="E182" s="321" t="s">
        <v>41</v>
      </c>
      <c r="F182" s="322" t="s">
        <v>28</v>
      </c>
      <c r="G182" s="322"/>
      <c r="H182" s="321" t="s">
        <v>27</v>
      </c>
      <c r="I182" s="323">
        <v>9245</v>
      </c>
      <c r="J182" s="323"/>
      <c r="K182" s="324" t="s">
        <v>22</v>
      </c>
      <c r="L182" s="325">
        <v>5357682.92</v>
      </c>
    </row>
    <row r="183" spans="1:12" ht="61.2" x14ac:dyDescent="0.3">
      <c r="A183" s="319" t="s">
        <v>98</v>
      </c>
      <c r="B183" s="320" t="s">
        <v>880</v>
      </c>
      <c r="C183" s="320" t="s">
        <v>39</v>
      </c>
      <c r="D183" s="320" t="s">
        <v>751</v>
      </c>
      <c r="E183" s="321" t="s">
        <v>41</v>
      </c>
      <c r="F183" s="322" t="s">
        <v>28</v>
      </c>
      <c r="G183" s="322"/>
      <c r="H183" s="321" t="s">
        <v>27</v>
      </c>
      <c r="I183" s="323">
        <v>8175</v>
      </c>
      <c r="J183" s="323"/>
      <c r="K183" s="324" t="s">
        <v>22</v>
      </c>
      <c r="L183" s="325">
        <v>5349507.92</v>
      </c>
    </row>
    <row r="184" spans="1:12" ht="61.2" x14ac:dyDescent="0.3">
      <c r="A184" s="319" t="s">
        <v>98</v>
      </c>
      <c r="B184" s="320" t="s">
        <v>880</v>
      </c>
      <c r="C184" s="320" t="s">
        <v>39</v>
      </c>
      <c r="D184" s="320" t="s">
        <v>751</v>
      </c>
      <c r="E184" s="321" t="s">
        <v>41</v>
      </c>
      <c r="F184" s="322" t="s">
        <v>28</v>
      </c>
      <c r="G184" s="322"/>
      <c r="H184" s="321" t="s">
        <v>27</v>
      </c>
      <c r="I184" s="323">
        <v>27940</v>
      </c>
      <c r="J184" s="323"/>
      <c r="K184" s="324" t="s">
        <v>22</v>
      </c>
      <c r="L184" s="325">
        <v>5321567.92</v>
      </c>
    </row>
    <row r="185" spans="1:12" ht="61.2" x14ac:dyDescent="0.3">
      <c r="A185" s="319" t="s">
        <v>98</v>
      </c>
      <c r="B185" s="320" t="s">
        <v>880</v>
      </c>
      <c r="C185" s="320" t="s">
        <v>39</v>
      </c>
      <c r="D185" s="320" t="s">
        <v>751</v>
      </c>
      <c r="E185" s="321" t="s">
        <v>41</v>
      </c>
      <c r="F185" s="322" t="s">
        <v>28</v>
      </c>
      <c r="G185" s="322"/>
      <c r="H185" s="321" t="s">
        <v>27</v>
      </c>
      <c r="I185" s="323">
        <v>15620</v>
      </c>
      <c r="J185" s="323"/>
      <c r="K185" s="324" t="s">
        <v>22</v>
      </c>
      <c r="L185" s="325">
        <v>5305947.92</v>
      </c>
    </row>
    <row r="186" spans="1:12" ht="61.2" x14ac:dyDescent="0.3">
      <c r="A186" s="319" t="s">
        <v>98</v>
      </c>
      <c r="B186" s="320" t="s">
        <v>880</v>
      </c>
      <c r="C186" s="320" t="s">
        <v>39</v>
      </c>
      <c r="D186" s="320" t="s">
        <v>751</v>
      </c>
      <c r="E186" s="321" t="s">
        <v>41</v>
      </c>
      <c r="F186" s="322" t="s">
        <v>28</v>
      </c>
      <c r="G186" s="322"/>
      <c r="H186" s="321" t="s">
        <v>27</v>
      </c>
      <c r="I186" s="323">
        <v>14755</v>
      </c>
      <c r="J186" s="323"/>
      <c r="K186" s="324" t="s">
        <v>22</v>
      </c>
      <c r="L186" s="325">
        <v>5291192.92</v>
      </c>
    </row>
    <row r="187" spans="1:12" ht="61.2" x14ac:dyDescent="0.3">
      <c r="A187" s="319" t="s">
        <v>98</v>
      </c>
      <c r="B187" s="320" t="s">
        <v>880</v>
      </c>
      <c r="C187" s="320" t="s">
        <v>39</v>
      </c>
      <c r="D187" s="320" t="s">
        <v>295</v>
      </c>
      <c r="E187" s="321" t="s">
        <v>41</v>
      </c>
      <c r="F187" s="322" t="s">
        <v>28</v>
      </c>
      <c r="G187" s="322"/>
      <c r="H187" s="321" t="s">
        <v>27</v>
      </c>
      <c r="I187" s="323">
        <v>3615</v>
      </c>
      <c r="J187" s="323"/>
      <c r="K187" s="324" t="s">
        <v>22</v>
      </c>
      <c r="L187" s="325">
        <v>5287577.92</v>
      </c>
    </row>
    <row r="188" spans="1:12" ht="61.2" x14ac:dyDescent="0.3">
      <c r="A188" s="319" t="s">
        <v>98</v>
      </c>
      <c r="B188" s="320" t="s">
        <v>880</v>
      </c>
      <c r="C188" s="320" t="s">
        <v>39</v>
      </c>
      <c r="D188" s="320" t="s">
        <v>295</v>
      </c>
      <c r="E188" s="321" t="s">
        <v>41</v>
      </c>
      <c r="F188" s="322" t="s">
        <v>28</v>
      </c>
      <c r="G188" s="322"/>
      <c r="H188" s="321" t="s">
        <v>27</v>
      </c>
      <c r="I188" s="323">
        <v>6575</v>
      </c>
      <c r="J188" s="323"/>
      <c r="K188" s="324" t="s">
        <v>22</v>
      </c>
      <c r="L188" s="325">
        <v>5281002.92</v>
      </c>
    </row>
    <row r="189" spans="1:12" ht="51" x14ac:dyDescent="0.3">
      <c r="A189" s="319" t="s">
        <v>98</v>
      </c>
      <c r="B189" s="320" t="s">
        <v>881</v>
      </c>
      <c r="C189" s="320" t="s">
        <v>39</v>
      </c>
      <c r="D189" s="320" t="s">
        <v>767</v>
      </c>
      <c r="E189" s="321" t="s">
        <v>41</v>
      </c>
      <c r="F189" s="322" t="s">
        <v>28</v>
      </c>
      <c r="G189" s="322"/>
      <c r="H189" s="321" t="s">
        <v>27</v>
      </c>
      <c r="I189" s="323">
        <v>41277.5</v>
      </c>
      <c r="J189" s="323"/>
      <c r="K189" s="324" t="s">
        <v>22</v>
      </c>
      <c r="L189" s="325">
        <v>5239725.42</v>
      </c>
    </row>
    <row r="190" spans="1:12" ht="51" x14ac:dyDescent="0.3">
      <c r="A190" s="319" t="s">
        <v>98</v>
      </c>
      <c r="B190" s="320" t="s">
        <v>881</v>
      </c>
      <c r="C190" s="320" t="s">
        <v>39</v>
      </c>
      <c r="D190" s="320" t="s">
        <v>882</v>
      </c>
      <c r="E190" s="321" t="s">
        <v>41</v>
      </c>
      <c r="F190" s="322" t="s">
        <v>28</v>
      </c>
      <c r="G190" s="322"/>
      <c r="H190" s="321" t="s">
        <v>27</v>
      </c>
      <c r="I190" s="323">
        <v>3910.51</v>
      </c>
      <c r="J190" s="323"/>
      <c r="K190" s="324" t="s">
        <v>22</v>
      </c>
      <c r="L190" s="325">
        <v>5235814.91</v>
      </c>
    </row>
    <row r="191" spans="1:12" ht="61.2" x14ac:dyDescent="0.3">
      <c r="A191" s="319" t="s">
        <v>98</v>
      </c>
      <c r="B191" s="320" t="s">
        <v>881</v>
      </c>
      <c r="C191" s="320" t="s">
        <v>39</v>
      </c>
      <c r="D191" s="320" t="s">
        <v>770</v>
      </c>
      <c r="E191" s="321" t="s">
        <v>41</v>
      </c>
      <c r="F191" s="322" t="s">
        <v>28</v>
      </c>
      <c r="G191" s="322"/>
      <c r="H191" s="321" t="s">
        <v>27</v>
      </c>
      <c r="I191" s="323">
        <v>30600</v>
      </c>
      <c r="J191" s="323"/>
      <c r="K191" s="324" t="s">
        <v>22</v>
      </c>
      <c r="L191" s="325">
        <v>5205214.91</v>
      </c>
    </row>
    <row r="192" spans="1:12" ht="51" x14ac:dyDescent="0.3">
      <c r="A192" s="319" t="s">
        <v>98</v>
      </c>
      <c r="B192" s="320" t="s">
        <v>881</v>
      </c>
      <c r="C192" s="320" t="s">
        <v>39</v>
      </c>
      <c r="D192" s="320" t="s">
        <v>765</v>
      </c>
      <c r="E192" s="321" t="s">
        <v>41</v>
      </c>
      <c r="F192" s="322" t="s">
        <v>28</v>
      </c>
      <c r="G192" s="322"/>
      <c r="H192" s="321" t="s">
        <v>27</v>
      </c>
      <c r="I192" s="323">
        <v>7300</v>
      </c>
      <c r="J192" s="323"/>
      <c r="K192" s="324" t="s">
        <v>22</v>
      </c>
      <c r="L192" s="325">
        <v>5197914.91</v>
      </c>
    </row>
    <row r="193" spans="1:12" ht="51" x14ac:dyDescent="0.3">
      <c r="A193" s="319" t="s">
        <v>98</v>
      </c>
      <c r="B193" s="320" t="s">
        <v>881</v>
      </c>
      <c r="C193" s="320" t="s">
        <v>39</v>
      </c>
      <c r="D193" s="320" t="s">
        <v>808</v>
      </c>
      <c r="E193" s="321" t="s">
        <v>41</v>
      </c>
      <c r="F193" s="322" t="s">
        <v>28</v>
      </c>
      <c r="G193" s="322"/>
      <c r="H193" s="321" t="s">
        <v>27</v>
      </c>
      <c r="I193" s="323">
        <v>14600</v>
      </c>
      <c r="J193" s="323"/>
      <c r="K193" s="324" t="s">
        <v>22</v>
      </c>
      <c r="L193" s="325">
        <v>5183314.91</v>
      </c>
    </row>
    <row r="194" spans="1:12" ht="51" x14ac:dyDescent="0.3">
      <c r="A194" s="319" t="s">
        <v>98</v>
      </c>
      <c r="B194" s="320" t="s">
        <v>881</v>
      </c>
      <c r="C194" s="320" t="s">
        <v>39</v>
      </c>
      <c r="D194" s="320" t="s">
        <v>808</v>
      </c>
      <c r="E194" s="321" t="s">
        <v>41</v>
      </c>
      <c r="F194" s="322" t="s">
        <v>28</v>
      </c>
      <c r="G194" s="322"/>
      <c r="H194" s="321" t="s">
        <v>27</v>
      </c>
      <c r="I194" s="323">
        <v>7300</v>
      </c>
      <c r="J194" s="323"/>
      <c r="K194" s="324" t="s">
        <v>22</v>
      </c>
      <c r="L194" s="325">
        <v>5176014.91</v>
      </c>
    </row>
    <row r="195" spans="1:12" ht="51" x14ac:dyDescent="0.3">
      <c r="A195" s="319" t="s">
        <v>98</v>
      </c>
      <c r="B195" s="320" t="s">
        <v>881</v>
      </c>
      <c r="C195" s="320" t="s">
        <v>39</v>
      </c>
      <c r="D195" s="320" t="s">
        <v>810</v>
      </c>
      <c r="E195" s="321" t="s">
        <v>41</v>
      </c>
      <c r="F195" s="322" t="s">
        <v>28</v>
      </c>
      <c r="G195" s="322"/>
      <c r="H195" s="321" t="s">
        <v>27</v>
      </c>
      <c r="I195" s="323">
        <v>48330</v>
      </c>
      <c r="J195" s="323"/>
      <c r="K195" s="324" t="s">
        <v>22</v>
      </c>
      <c r="L195" s="325">
        <v>5127684.91</v>
      </c>
    </row>
    <row r="196" spans="1:12" ht="51" x14ac:dyDescent="0.3">
      <c r="A196" s="319" t="s">
        <v>98</v>
      </c>
      <c r="B196" s="320" t="s">
        <v>881</v>
      </c>
      <c r="C196" s="320" t="s">
        <v>39</v>
      </c>
      <c r="D196" s="320" t="s">
        <v>811</v>
      </c>
      <c r="E196" s="321" t="s">
        <v>41</v>
      </c>
      <c r="F196" s="322" t="s">
        <v>28</v>
      </c>
      <c r="G196" s="322"/>
      <c r="H196" s="321" t="s">
        <v>27</v>
      </c>
      <c r="I196" s="323">
        <v>48891</v>
      </c>
      <c r="J196" s="323"/>
      <c r="K196" s="324" t="s">
        <v>22</v>
      </c>
      <c r="L196" s="325">
        <v>5078793.91</v>
      </c>
    </row>
    <row r="197" spans="1:12" ht="51" x14ac:dyDescent="0.3">
      <c r="A197" s="319" t="s">
        <v>98</v>
      </c>
      <c r="B197" s="320" t="s">
        <v>881</v>
      </c>
      <c r="C197" s="320" t="s">
        <v>39</v>
      </c>
      <c r="D197" s="320" t="s">
        <v>793</v>
      </c>
      <c r="E197" s="321" t="s">
        <v>41</v>
      </c>
      <c r="F197" s="322" t="s">
        <v>28</v>
      </c>
      <c r="G197" s="322"/>
      <c r="H197" s="321" t="s">
        <v>27</v>
      </c>
      <c r="I197" s="323">
        <v>47394</v>
      </c>
      <c r="J197" s="323"/>
      <c r="K197" s="324" t="s">
        <v>22</v>
      </c>
      <c r="L197" s="325">
        <v>5031399.91</v>
      </c>
    </row>
    <row r="198" spans="1:12" ht="51" x14ac:dyDescent="0.3">
      <c r="A198" s="319" t="s">
        <v>98</v>
      </c>
      <c r="B198" s="320" t="s">
        <v>881</v>
      </c>
      <c r="C198" s="320" t="s">
        <v>39</v>
      </c>
      <c r="D198" s="320" t="s">
        <v>794</v>
      </c>
      <c r="E198" s="321" t="s">
        <v>41</v>
      </c>
      <c r="F198" s="322" t="s">
        <v>28</v>
      </c>
      <c r="G198" s="322"/>
      <c r="H198" s="321" t="s">
        <v>27</v>
      </c>
      <c r="I198" s="323">
        <v>47394</v>
      </c>
      <c r="J198" s="323"/>
      <c r="K198" s="324" t="s">
        <v>22</v>
      </c>
      <c r="L198" s="325">
        <v>4984005.91</v>
      </c>
    </row>
    <row r="199" spans="1:12" ht="51" x14ac:dyDescent="0.3">
      <c r="A199" s="319" t="s">
        <v>98</v>
      </c>
      <c r="B199" s="320" t="s">
        <v>881</v>
      </c>
      <c r="C199" s="320" t="s">
        <v>39</v>
      </c>
      <c r="D199" s="320" t="s">
        <v>755</v>
      </c>
      <c r="E199" s="321" t="s">
        <v>41</v>
      </c>
      <c r="F199" s="322" t="s">
        <v>28</v>
      </c>
      <c r="G199" s="322"/>
      <c r="H199" s="321" t="s">
        <v>27</v>
      </c>
      <c r="I199" s="323">
        <v>48392</v>
      </c>
      <c r="J199" s="323"/>
      <c r="K199" s="324" t="s">
        <v>22</v>
      </c>
      <c r="L199" s="325">
        <v>4935613.91</v>
      </c>
    </row>
    <row r="200" spans="1:12" ht="51" x14ac:dyDescent="0.3">
      <c r="A200" s="319" t="s">
        <v>98</v>
      </c>
      <c r="B200" s="320" t="s">
        <v>881</v>
      </c>
      <c r="C200" s="320" t="s">
        <v>39</v>
      </c>
      <c r="D200" s="320" t="s">
        <v>756</v>
      </c>
      <c r="E200" s="321" t="s">
        <v>41</v>
      </c>
      <c r="F200" s="322" t="s">
        <v>28</v>
      </c>
      <c r="G200" s="322"/>
      <c r="H200" s="321" t="s">
        <v>27</v>
      </c>
      <c r="I200" s="323">
        <v>47394</v>
      </c>
      <c r="J200" s="323"/>
      <c r="K200" s="324" t="s">
        <v>22</v>
      </c>
      <c r="L200" s="325">
        <v>4888219.91</v>
      </c>
    </row>
    <row r="201" spans="1:12" ht="51" x14ac:dyDescent="0.3">
      <c r="A201" s="319" t="s">
        <v>98</v>
      </c>
      <c r="B201" s="320" t="s">
        <v>881</v>
      </c>
      <c r="C201" s="320" t="s">
        <v>39</v>
      </c>
      <c r="D201" s="320" t="s">
        <v>757</v>
      </c>
      <c r="E201" s="321" t="s">
        <v>41</v>
      </c>
      <c r="F201" s="322" t="s">
        <v>28</v>
      </c>
      <c r="G201" s="322"/>
      <c r="H201" s="321" t="s">
        <v>27</v>
      </c>
      <c r="I201" s="323">
        <v>48891</v>
      </c>
      <c r="J201" s="323"/>
      <c r="K201" s="324" t="s">
        <v>22</v>
      </c>
      <c r="L201" s="325">
        <v>4839328.91</v>
      </c>
    </row>
    <row r="202" spans="1:12" ht="51" x14ac:dyDescent="0.3">
      <c r="A202" s="319" t="s">
        <v>98</v>
      </c>
      <c r="B202" s="320" t="s">
        <v>881</v>
      </c>
      <c r="C202" s="320" t="s">
        <v>39</v>
      </c>
      <c r="D202" s="320" t="s">
        <v>812</v>
      </c>
      <c r="E202" s="321" t="s">
        <v>41</v>
      </c>
      <c r="F202" s="322" t="s">
        <v>28</v>
      </c>
      <c r="G202" s="322"/>
      <c r="H202" s="321" t="s">
        <v>27</v>
      </c>
      <c r="I202" s="323">
        <v>48018</v>
      </c>
      <c r="J202" s="323"/>
      <c r="K202" s="324" t="s">
        <v>22</v>
      </c>
      <c r="L202" s="325">
        <v>4791310.91</v>
      </c>
    </row>
    <row r="203" spans="1:12" ht="51" x14ac:dyDescent="0.3">
      <c r="A203" s="319" t="s">
        <v>98</v>
      </c>
      <c r="B203" s="320" t="s">
        <v>881</v>
      </c>
      <c r="C203" s="320" t="s">
        <v>39</v>
      </c>
      <c r="D203" s="320" t="s">
        <v>813</v>
      </c>
      <c r="E203" s="321" t="s">
        <v>41</v>
      </c>
      <c r="F203" s="322" t="s">
        <v>28</v>
      </c>
      <c r="G203" s="322"/>
      <c r="H203" s="321" t="s">
        <v>27</v>
      </c>
      <c r="I203" s="323">
        <v>47675</v>
      </c>
      <c r="J203" s="323"/>
      <c r="K203" s="324" t="s">
        <v>22</v>
      </c>
      <c r="L203" s="325">
        <v>4743635.91</v>
      </c>
    </row>
    <row r="204" spans="1:12" ht="51" x14ac:dyDescent="0.3">
      <c r="A204" s="319" t="s">
        <v>98</v>
      </c>
      <c r="B204" s="320" t="s">
        <v>881</v>
      </c>
      <c r="C204" s="320" t="s">
        <v>39</v>
      </c>
      <c r="D204" s="320" t="s">
        <v>795</v>
      </c>
      <c r="E204" s="321" t="s">
        <v>41</v>
      </c>
      <c r="F204" s="322" t="s">
        <v>28</v>
      </c>
      <c r="G204" s="322"/>
      <c r="H204" s="321" t="s">
        <v>27</v>
      </c>
      <c r="I204" s="323">
        <v>48392</v>
      </c>
      <c r="J204" s="323"/>
      <c r="K204" s="324" t="s">
        <v>22</v>
      </c>
      <c r="L204" s="325">
        <v>4695243.91</v>
      </c>
    </row>
    <row r="205" spans="1:12" ht="51" x14ac:dyDescent="0.3">
      <c r="A205" s="319" t="s">
        <v>98</v>
      </c>
      <c r="B205" s="320" t="s">
        <v>881</v>
      </c>
      <c r="C205" s="320" t="s">
        <v>39</v>
      </c>
      <c r="D205" s="320" t="s">
        <v>786</v>
      </c>
      <c r="E205" s="321" t="s">
        <v>41</v>
      </c>
      <c r="F205" s="322" t="s">
        <v>28</v>
      </c>
      <c r="G205" s="322"/>
      <c r="H205" s="321" t="s">
        <v>27</v>
      </c>
      <c r="I205" s="323">
        <v>47675</v>
      </c>
      <c r="J205" s="323"/>
      <c r="K205" s="324" t="s">
        <v>22</v>
      </c>
      <c r="L205" s="325">
        <v>4647568.91</v>
      </c>
    </row>
    <row r="206" spans="1:12" ht="51" x14ac:dyDescent="0.3">
      <c r="A206" s="319" t="s">
        <v>98</v>
      </c>
      <c r="B206" s="320" t="s">
        <v>881</v>
      </c>
      <c r="C206" s="320" t="s">
        <v>39</v>
      </c>
      <c r="D206" s="320" t="s">
        <v>796</v>
      </c>
      <c r="E206" s="321" t="s">
        <v>41</v>
      </c>
      <c r="F206" s="322" t="s">
        <v>28</v>
      </c>
      <c r="G206" s="322"/>
      <c r="H206" s="321" t="s">
        <v>27</v>
      </c>
      <c r="I206" s="323">
        <v>47145</v>
      </c>
      <c r="J206" s="323"/>
      <c r="K206" s="324" t="s">
        <v>22</v>
      </c>
      <c r="L206" s="325">
        <v>4600423.91</v>
      </c>
    </row>
    <row r="207" spans="1:12" ht="51" x14ac:dyDescent="0.3">
      <c r="A207" s="319" t="s">
        <v>98</v>
      </c>
      <c r="B207" s="320" t="s">
        <v>881</v>
      </c>
      <c r="C207" s="320" t="s">
        <v>39</v>
      </c>
      <c r="D207" s="320" t="s">
        <v>787</v>
      </c>
      <c r="E207" s="321" t="s">
        <v>41</v>
      </c>
      <c r="F207" s="322" t="s">
        <v>28</v>
      </c>
      <c r="G207" s="322"/>
      <c r="H207" s="321" t="s">
        <v>27</v>
      </c>
      <c r="I207" s="323">
        <v>47706</v>
      </c>
      <c r="J207" s="323"/>
      <c r="K207" s="324" t="s">
        <v>22</v>
      </c>
      <c r="L207" s="325">
        <v>4552717.91</v>
      </c>
    </row>
    <row r="208" spans="1:12" ht="51" x14ac:dyDescent="0.3">
      <c r="A208" s="319" t="s">
        <v>98</v>
      </c>
      <c r="B208" s="320" t="s">
        <v>881</v>
      </c>
      <c r="C208" s="320" t="s">
        <v>39</v>
      </c>
      <c r="D208" s="320" t="s">
        <v>788</v>
      </c>
      <c r="E208" s="321" t="s">
        <v>41</v>
      </c>
      <c r="F208" s="322" t="s">
        <v>28</v>
      </c>
      <c r="G208" s="322"/>
      <c r="H208" s="321" t="s">
        <v>27</v>
      </c>
      <c r="I208" s="323">
        <v>48330</v>
      </c>
      <c r="J208" s="323"/>
      <c r="K208" s="324" t="s">
        <v>22</v>
      </c>
      <c r="L208" s="325">
        <v>4504387.91</v>
      </c>
    </row>
    <row r="209" spans="1:12" ht="51" x14ac:dyDescent="0.3">
      <c r="A209" s="319" t="s">
        <v>98</v>
      </c>
      <c r="B209" s="320" t="s">
        <v>881</v>
      </c>
      <c r="C209" s="320" t="s">
        <v>39</v>
      </c>
      <c r="D209" s="320" t="s">
        <v>797</v>
      </c>
      <c r="E209" s="321" t="s">
        <v>41</v>
      </c>
      <c r="F209" s="322" t="s">
        <v>28</v>
      </c>
      <c r="G209" s="322"/>
      <c r="H209" s="321" t="s">
        <v>27</v>
      </c>
      <c r="I209" s="323">
        <v>47394</v>
      </c>
      <c r="J209" s="323"/>
      <c r="K209" s="324" t="s">
        <v>22</v>
      </c>
      <c r="L209" s="325">
        <v>4456993.91</v>
      </c>
    </row>
    <row r="210" spans="1:12" ht="51" x14ac:dyDescent="0.3">
      <c r="A210" s="319" t="s">
        <v>98</v>
      </c>
      <c r="B210" s="320" t="s">
        <v>881</v>
      </c>
      <c r="C210" s="320" t="s">
        <v>39</v>
      </c>
      <c r="D210" s="320" t="s">
        <v>789</v>
      </c>
      <c r="E210" s="321" t="s">
        <v>41</v>
      </c>
      <c r="F210" s="322" t="s">
        <v>28</v>
      </c>
      <c r="G210" s="322"/>
      <c r="H210" s="321" t="s">
        <v>27</v>
      </c>
      <c r="I210" s="323">
        <v>47955</v>
      </c>
      <c r="J210" s="323"/>
      <c r="K210" s="324" t="s">
        <v>22</v>
      </c>
      <c r="L210" s="325">
        <v>4409038.91</v>
      </c>
    </row>
    <row r="211" spans="1:12" ht="51" x14ac:dyDescent="0.3">
      <c r="A211" s="319" t="s">
        <v>98</v>
      </c>
      <c r="B211" s="320" t="s">
        <v>881</v>
      </c>
      <c r="C211" s="320" t="s">
        <v>39</v>
      </c>
      <c r="D211" s="320" t="s">
        <v>790</v>
      </c>
      <c r="E211" s="321" t="s">
        <v>41</v>
      </c>
      <c r="F211" s="322" t="s">
        <v>28</v>
      </c>
      <c r="G211" s="322"/>
      <c r="H211" s="321" t="s">
        <v>27</v>
      </c>
      <c r="I211" s="323">
        <v>47394</v>
      </c>
      <c r="J211" s="323"/>
      <c r="K211" s="324" t="s">
        <v>22</v>
      </c>
      <c r="L211" s="325">
        <v>4361644.91</v>
      </c>
    </row>
    <row r="212" spans="1:12" ht="51" x14ac:dyDescent="0.3">
      <c r="A212" s="319" t="s">
        <v>98</v>
      </c>
      <c r="B212" s="320" t="s">
        <v>881</v>
      </c>
      <c r="C212" s="320" t="s">
        <v>39</v>
      </c>
      <c r="D212" s="320" t="s">
        <v>758</v>
      </c>
      <c r="E212" s="321" t="s">
        <v>41</v>
      </c>
      <c r="F212" s="322" t="s">
        <v>28</v>
      </c>
      <c r="G212" s="322"/>
      <c r="H212" s="321" t="s">
        <v>27</v>
      </c>
      <c r="I212" s="323">
        <v>47394</v>
      </c>
      <c r="J212" s="323"/>
      <c r="K212" s="324" t="s">
        <v>22</v>
      </c>
      <c r="L212" s="325">
        <v>4314250.91</v>
      </c>
    </row>
    <row r="213" spans="1:12" ht="51" x14ac:dyDescent="0.3">
      <c r="A213" s="319" t="s">
        <v>98</v>
      </c>
      <c r="B213" s="320" t="s">
        <v>881</v>
      </c>
      <c r="C213" s="320" t="s">
        <v>39</v>
      </c>
      <c r="D213" s="320" t="s">
        <v>759</v>
      </c>
      <c r="E213" s="321" t="s">
        <v>41</v>
      </c>
      <c r="F213" s="322" t="s">
        <v>28</v>
      </c>
      <c r="G213" s="322"/>
      <c r="H213" s="321" t="s">
        <v>27</v>
      </c>
      <c r="I213" s="323">
        <v>47399</v>
      </c>
      <c r="J213" s="323"/>
      <c r="K213" s="324" t="s">
        <v>22</v>
      </c>
      <c r="L213" s="325">
        <v>4266851.91</v>
      </c>
    </row>
    <row r="214" spans="1:12" ht="51" x14ac:dyDescent="0.3">
      <c r="A214" s="319" t="s">
        <v>98</v>
      </c>
      <c r="B214" s="320" t="s">
        <v>881</v>
      </c>
      <c r="C214" s="320" t="s">
        <v>39</v>
      </c>
      <c r="D214" s="320" t="s">
        <v>744</v>
      </c>
      <c r="E214" s="321" t="s">
        <v>41</v>
      </c>
      <c r="F214" s="322" t="s">
        <v>28</v>
      </c>
      <c r="G214" s="322"/>
      <c r="H214" s="321" t="s">
        <v>27</v>
      </c>
      <c r="I214" s="323">
        <v>158376</v>
      </c>
      <c r="J214" s="323"/>
      <c r="K214" s="324" t="s">
        <v>22</v>
      </c>
      <c r="L214" s="325">
        <v>4108475.91</v>
      </c>
    </row>
    <row r="215" spans="1:12" ht="51" x14ac:dyDescent="0.3">
      <c r="A215" s="319" t="s">
        <v>98</v>
      </c>
      <c r="B215" s="320" t="s">
        <v>881</v>
      </c>
      <c r="C215" s="320" t="s">
        <v>39</v>
      </c>
      <c r="D215" s="320" t="s">
        <v>760</v>
      </c>
      <c r="E215" s="321" t="s">
        <v>41</v>
      </c>
      <c r="F215" s="322" t="s">
        <v>28</v>
      </c>
      <c r="G215" s="322"/>
      <c r="H215" s="321" t="s">
        <v>27</v>
      </c>
      <c r="I215" s="323">
        <v>79188</v>
      </c>
      <c r="J215" s="323"/>
      <c r="K215" s="324" t="s">
        <v>22</v>
      </c>
      <c r="L215" s="325">
        <v>4029287.91</v>
      </c>
    </row>
    <row r="216" spans="1:12" ht="51" x14ac:dyDescent="0.3">
      <c r="A216" s="319" t="s">
        <v>98</v>
      </c>
      <c r="B216" s="320" t="s">
        <v>881</v>
      </c>
      <c r="C216" s="320" t="s">
        <v>39</v>
      </c>
      <c r="D216" s="320" t="s">
        <v>791</v>
      </c>
      <c r="E216" s="321" t="s">
        <v>41</v>
      </c>
      <c r="F216" s="322" t="s">
        <v>28</v>
      </c>
      <c r="G216" s="322"/>
      <c r="H216" s="321" t="s">
        <v>27</v>
      </c>
      <c r="I216" s="323">
        <v>39594</v>
      </c>
      <c r="J216" s="323"/>
      <c r="K216" s="324" t="s">
        <v>22</v>
      </c>
      <c r="L216" s="325">
        <v>3989693.91</v>
      </c>
    </row>
    <row r="217" spans="1:12" ht="51" x14ac:dyDescent="0.3">
      <c r="A217" s="319" t="s">
        <v>98</v>
      </c>
      <c r="B217" s="320" t="s">
        <v>881</v>
      </c>
      <c r="C217" s="320" t="s">
        <v>39</v>
      </c>
      <c r="D217" s="320" t="s">
        <v>798</v>
      </c>
      <c r="E217" s="321" t="s">
        <v>41</v>
      </c>
      <c r="F217" s="322" t="s">
        <v>28</v>
      </c>
      <c r="G217" s="322"/>
      <c r="H217" s="321" t="s">
        <v>27</v>
      </c>
      <c r="I217" s="323">
        <v>30023</v>
      </c>
      <c r="J217" s="323"/>
      <c r="K217" s="324" t="s">
        <v>22</v>
      </c>
      <c r="L217" s="325">
        <v>3959670.91</v>
      </c>
    </row>
    <row r="218" spans="1:12" hidden="1" x14ac:dyDescent="0.3">
      <c r="A218" s="330" t="s">
        <v>105</v>
      </c>
      <c r="B218" s="330"/>
      <c r="C218" s="330"/>
      <c r="D218" s="330"/>
      <c r="E218" s="331">
        <v>6036071.3700000001</v>
      </c>
      <c r="F218" s="331"/>
      <c r="G218" s="331"/>
      <c r="H218" s="331">
        <v>4897552.5199999996</v>
      </c>
      <c r="I218" s="331"/>
      <c r="J218" s="331"/>
      <c r="K218" s="332" t="s">
        <v>22</v>
      </c>
      <c r="L218" s="333">
        <v>3959670.91</v>
      </c>
    </row>
    <row r="220" spans="1:12" x14ac:dyDescent="0.3">
      <c r="J220" s="1">
        <f>SUBTOTAL(9,I5:J217)</f>
        <v>4840123.9399999995</v>
      </c>
    </row>
  </sheetData>
  <autoFilter ref="A1:L218" xr:uid="{00392FDA-CFB2-4F00-B0DB-AEAF87280B7D}">
    <filterColumn colId="1">
      <filters>
        <filter val="Вимога-накладна ІБ00-000261 від 03.04.2025 10:00:00_x000a_Списаны ТМЦ"/>
        <filter val="Вимога-накладна ІБ00-000292 від 29.04.2025 16:25:11_x000a_Списаны ТМЦ"/>
        <filter val="Вимога-накладна ІБ00-000293 від 29.04.2025 16:30:53_x000a_Списаны ТМЦ"/>
        <filter val="Вимога-накладна ІБ00-000319 від 30.04.2025 23:59:43_x000a_Списаны ТМЦ"/>
        <filter val="Вимога-накладна ІБ00-000339 від 30.04.2025 11:00:00_x000a_Списаны ТМЦ"/>
        <filter val="Вимога-накладна ІБ00-000341 від 30.04.2025 11:00:00_x000a_Списаны ТМЦ"/>
        <filter val="Вимога-накладна ІБ00-000344 від 30.04.2025 11:00:00_x000a_Списаны ТМЦ"/>
        <filter val="Вимога-накладна ІБ00-000353 від 30.04.2025 20:00:00_x000a_Списаны ТМЦ"/>
        <filter val="Вимога-накладна ІБ00-000354 від 30.04.2025 2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442">
    <mergeCell ref="F217:G217"/>
    <mergeCell ref="I217:J217"/>
    <mergeCell ref="A218:D218"/>
    <mergeCell ref="E218:G218"/>
    <mergeCell ref="H218:J218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4555-297F-4576-9AE6-52F0A28B09BC}">
  <sheetPr filterMode="1"/>
  <dimension ref="A1:L15"/>
  <sheetViews>
    <sheetView workbookViewId="0">
      <selection activeCell="J15" sqref="J15"/>
    </sheetView>
  </sheetViews>
  <sheetFormatPr defaultRowHeight="14.4" x14ac:dyDescent="0.3"/>
  <cols>
    <col min="2" max="4" width="25.33203125" customWidth="1"/>
  </cols>
  <sheetData>
    <row r="1" spans="1:12" x14ac:dyDescent="0.3">
      <c r="A1" s="334" t="s">
        <v>14</v>
      </c>
      <c r="B1" s="335" t="s">
        <v>15</v>
      </c>
      <c r="C1" s="335" t="s">
        <v>16</v>
      </c>
      <c r="D1" s="336" t="s">
        <v>17</v>
      </c>
      <c r="E1" s="337" t="s">
        <v>18</v>
      </c>
      <c r="F1" s="337"/>
      <c r="G1" s="337"/>
      <c r="H1" s="338" t="s">
        <v>19</v>
      </c>
      <c r="I1" s="338"/>
      <c r="J1" s="338"/>
      <c r="K1" s="335" t="s">
        <v>20</v>
      </c>
      <c r="L1" s="335"/>
    </row>
    <row r="2" spans="1:12" hidden="1" x14ac:dyDescent="0.3">
      <c r="A2" s="339"/>
      <c r="B2" s="340"/>
      <c r="C2" s="340"/>
      <c r="D2" s="341"/>
      <c r="E2" s="342" t="s">
        <v>21</v>
      </c>
      <c r="F2" s="343"/>
      <c r="G2" s="343"/>
      <c r="H2" s="344" t="s">
        <v>21</v>
      </c>
      <c r="I2" s="345"/>
      <c r="J2" s="345"/>
      <c r="K2" s="339"/>
      <c r="L2" s="346"/>
    </row>
    <row r="3" spans="1:12" ht="51" hidden="1" x14ac:dyDescent="0.3">
      <c r="A3" s="347" t="s">
        <v>23</v>
      </c>
      <c r="B3" s="348" t="s">
        <v>223</v>
      </c>
      <c r="C3" s="348" t="s">
        <v>224</v>
      </c>
      <c r="D3" s="348" t="s">
        <v>205</v>
      </c>
      <c r="E3" s="349" t="s">
        <v>27</v>
      </c>
      <c r="F3" s="350">
        <v>15585.52</v>
      </c>
      <c r="G3" s="350"/>
      <c r="H3" s="349" t="s">
        <v>27</v>
      </c>
      <c r="I3" s="351" t="s">
        <v>28</v>
      </c>
      <c r="J3" s="351"/>
      <c r="K3" s="352" t="s">
        <v>22</v>
      </c>
      <c r="L3" s="353">
        <v>81969.38</v>
      </c>
    </row>
    <row r="4" spans="1:12" ht="61.2" hidden="1" x14ac:dyDescent="0.3">
      <c r="A4" s="347" t="s">
        <v>23</v>
      </c>
      <c r="B4" s="348" t="s">
        <v>223</v>
      </c>
      <c r="C4" s="348" t="s">
        <v>225</v>
      </c>
      <c r="D4" s="348" t="s">
        <v>207</v>
      </c>
      <c r="E4" s="349" t="s">
        <v>27</v>
      </c>
      <c r="F4" s="350">
        <v>23543.72</v>
      </c>
      <c r="G4" s="350"/>
      <c r="H4" s="349" t="s">
        <v>27</v>
      </c>
      <c r="I4" s="351" t="s">
        <v>28</v>
      </c>
      <c r="J4" s="351"/>
      <c r="K4" s="352" t="s">
        <v>22</v>
      </c>
      <c r="L4" s="353">
        <v>105513.1</v>
      </c>
    </row>
    <row r="5" spans="1:12" ht="61.2" hidden="1" x14ac:dyDescent="0.3">
      <c r="A5" s="347" t="s">
        <v>23</v>
      </c>
      <c r="B5" s="348" t="s">
        <v>223</v>
      </c>
      <c r="C5" s="348" t="s">
        <v>226</v>
      </c>
      <c r="D5" s="348" t="s">
        <v>208</v>
      </c>
      <c r="E5" s="349" t="s">
        <v>27</v>
      </c>
      <c r="F5" s="350">
        <v>43583.91</v>
      </c>
      <c r="G5" s="350"/>
      <c r="H5" s="349" t="s">
        <v>27</v>
      </c>
      <c r="I5" s="351" t="s">
        <v>28</v>
      </c>
      <c r="J5" s="351"/>
      <c r="K5" s="352" t="s">
        <v>22</v>
      </c>
      <c r="L5" s="353">
        <v>149097.01</v>
      </c>
    </row>
    <row r="6" spans="1:12" ht="51" hidden="1" x14ac:dyDescent="0.3">
      <c r="A6" s="347" t="s">
        <v>23</v>
      </c>
      <c r="B6" s="348" t="s">
        <v>223</v>
      </c>
      <c r="C6" s="348" t="s">
        <v>227</v>
      </c>
      <c r="D6" s="348" t="s">
        <v>210</v>
      </c>
      <c r="E6" s="349" t="s">
        <v>27</v>
      </c>
      <c r="F6" s="350">
        <v>1047.1099999999999</v>
      </c>
      <c r="G6" s="350"/>
      <c r="H6" s="349" t="s">
        <v>27</v>
      </c>
      <c r="I6" s="351" t="s">
        <v>28</v>
      </c>
      <c r="J6" s="351"/>
      <c r="K6" s="352" t="s">
        <v>22</v>
      </c>
      <c r="L6" s="353">
        <v>150144.12</v>
      </c>
    </row>
    <row r="7" spans="1:12" ht="61.2" hidden="1" x14ac:dyDescent="0.3">
      <c r="A7" s="347" t="s">
        <v>98</v>
      </c>
      <c r="B7" s="348" t="s">
        <v>883</v>
      </c>
      <c r="C7" s="348" t="s">
        <v>884</v>
      </c>
      <c r="D7" s="348" t="s">
        <v>225</v>
      </c>
      <c r="E7" s="349" t="s">
        <v>27</v>
      </c>
      <c r="F7" s="354" t="s">
        <v>28</v>
      </c>
      <c r="G7" s="354"/>
      <c r="H7" s="349" t="s">
        <v>27</v>
      </c>
      <c r="I7" s="355">
        <v>19619.77</v>
      </c>
      <c r="J7" s="355"/>
      <c r="K7" s="352" t="s">
        <v>22</v>
      </c>
      <c r="L7" s="353">
        <v>130524.35</v>
      </c>
    </row>
    <row r="8" spans="1:12" ht="61.2" hidden="1" x14ac:dyDescent="0.3">
      <c r="A8" s="347" t="s">
        <v>98</v>
      </c>
      <c r="B8" s="348" t="s">
        <v>687</v>
      </c>
      <c r="C8" s="348" t="s">
        <v>688</v>
      </c>
      <c r="D8" s="348" t="s">
        <v>110</v>
      </c>
      <c r="E8" s="349" t="s">
        <v>27</v>
      </c>
      <c r="F8" s="350">
        <v>32786.43</v>
      </c>
      <c r="G8" s="350"/>
      <c r="H8" s="349" t="s">
        <v>27</v>
      </c>
      <c r="I8" s="351" t="s">
        <v>28</v>
      </c>
      <c r="J8" s="351"/>
      <c r="K8" s="352" t="s">
        <v>22</v>
      </c>
      <c r="L8" s="353">
        <v>163310.78</v>
      </c>
    </row>
    <row r="9" spans="1:12" ht="51" hidden="1" x14ac:dyDescent="0.3">
      <c r="A9" s="347" t="s">
        <v>98</v>
      </c>
      <c r="B9" s="348" t="s">
        <v>197</v>
      </c>
      <c r="C9" s="348" t="s">
        <v>198</v>
      </c>
      <c r="D9" s="348" t="s">
        <v>199</v>
      </c>
      <c r="E9" s="349" t="s">
        <v>27</v>
      </c>
      <c r="F9" s="350">
        <v>8491.5</v>
      </c>
      <c r="G9" s="350"/>
      <c r="H9" s="349" t="s">
        <v>27</v>
      </c>
      <c r="I9" s="351" t="s">
        <v>28</v>
      </c>
      <c r="J9" s="351"/>
      <c r="K9" s="352" t="s">
        <v>22</v>
      </c>
      <c r="L9" s="353">
        <v>171802.28</v>
      </c>
    </row>
    <row r="10" spans="1:12" ht="51" x14ac:dyDescent="0.3">
      <c r="A10" s="347" t="s">
        <v>98</v>
      </c>
      <c r="B10" s="348" t="s">
        <v>885</v>
      </c>
      <c r="C10" s="348" t="s">
        <v>39</v>
      </c>
      <c r="D10" s="348" t="s">
        <v>688</v>
      </c>
      <c r="E10" s="349" t="s">
        <v>41</v>
      </c>
      <c r="F10" s="354" t="s">
        <v>28</v>
      </c>
      <c r="G10" s="354"/>
      <c r="H10" s="349" t="s">
        <v>27</v>
      </c>
      <c r="I10" s="355">
        <v>21021.57</v>
      </c>
      <c r="J10" s="355"/>
      <c r="K10" s="352" t="s">
        <v>22</v>
      </c>
      <c r="L10" s="353">
        <v>150780.71</v>
      </c>
    </row>
    <row r="11" spans="1:12" ht="51" x14ac:dyDescent="0.3">
      <c r="A11" s="347" t="s">
        <v>98</v>
      </c>
      <c r="B11" s="348" t="s">
        <v>885</v>
      </c>
      <c r="C11" s="348" t="s">
        <v>39</v>
      </c>
      <c r="D11" s="348" t="s">
        <v>688</v>
      </c>
      <c r="E11" s="349" t="s">
        <v>41</v>
      </c>
      <c r="F11" s="354" t="s">
        <v>28</v>
      </c>
      <c r="G11" s="354"/>
      <c r="H11" s="349" t="s">
        <v>27</v>
      </c>
      <c r="I11" s="355">
        <v>11764.86</v>
      </c>
      <c r="J11" s="355"/>
      <c r="K11" s="352" t="s">
        <v>22</v>
      </c>
      <c r="L11" s="353">
        <v>139015.85</v>
      </c>
    </row>
    <row r="12" spans="1:12" ht="51" x14ac:dyDescent="0.3">
      <c r="A12" s="347" t="s">
        <v>98</v>
      </c>
      <c r="B12" s="348" t="s">
        <v>886</v>
      </c>
      <c r="C12" s="348" t="s">
        <v>39</v>
      </c>
      <c r="D12" s="348" t="s">
        <v>198</v>
      </c>
      <c r="E12" s="349" t="s">
        <v>41</v>
      </c>
      <c r="F12" s="354" t="s">
        <v>28</v>
      </c>
      <c r="G12" s="354"/>
      <c r="H12" s="349" t="s">
        <v>27</v>
      </c>
      <c r="I12" s="355">
        <v>8491.5</v>
      </c>
      <c r="J12" s="355"/>
      <c r="K12" s="352" t="s">
        <v>22</v>
      </c>
      <c r="L12" s="353">
        <v>130524.35</v>
      </c>
    </row>
    <row r="13" spans="1:12" hidden="1" x14ac:dyDescent="0.3">
      <c r="A13" s="356" t="s">
        <v>105</v>
      </c>
      <c r="B13" s="356"/>
      <c r="C13" s="356"/>
      <c r="D13" s="356"/>
      <c r="E13" s="357">
        <v>125038.19</v>
      </c>
      <c r="F13" s="357"/>
      <c r="G13" s="357"/>
      <c r="H13" s="357">
        <v>60897.7</v>
      </c>
      <c r="I13" s="357"/>
      <c r="J13" s="357"/>
      <c r="K13" s="358" t="s">
        <v>22</v>
      </c>
      <c r="L13" s="359">
        <v>130524.35</v>
      </c>
    </row>
    <row r="15" spans="1:12" x14ac:dyDescent="0.3">
      <c r="J15" s="1">
        <f>SUBTOTAL(9,I10:J12)</f>
        <v>41277.93</v>
      </c>
    </row>
  </sheetData>
  <autoFilter ref="A1:L13" xr:uid="{1FBF2810-2C50-4940-919D-2C27BA8056CA}">
    <filterColumn colId="1">
      <filters>
        <filter val="Вимога-накладна ІБ00-000336 від 30.04.2025 11:00:00_x000a_Списаны ТМЦ"/>
        <filter val="Вимога-накладна ІБ00-000352 від 30.04.2025 2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2">
    <mergeCell ref="A13:D13"/>
    <mergeCell ref="E13:G13"/>
    <mergeCell ref="H13:J13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C254-2E66-425C-AEAD-A61A7F4C2E65}">
  <sheetPr filterMode="1"/>
  <dimension ref="A1:L210"/>
  <sheetViews>
    <sheetView topLeftCell="A202" workbookViewId="0">
      <selection activeCell="J210" sqref="J210"/>
    </sheetView>
  </sheetViews>
  <sheetFormatPr defaultRowHeight="14.4" x14ac:dyDescent="0.3"/>
  <cols>
    <col min="2" max="4" width="25.33203125" customWidth="1"/>
    <col min="10" max="10" width="11.33203125" bestFit="1" customWidth="1"/>
  </cols>
  <sheetData>
    <row r="1" spans="1:12" x14ac:dyDescent="0.3">
      <c r="A1" s="360" t="s">
        <v>14</v>
      </c>
      <c r="B1" s="361" t="s">
        <v>15</v>
      </c>
      <c r="C1" s="361" t="s">
        <v>16</v>
      </c>
      <c r="D1" s="362" t="s">
        <v>17</v>
      </c>
      <c r="E1" s="363" t="s">
        <v>18</v>
      </c>
      <c r="F1" s="363"/>
      <c r="G1" s="363"/>
      <c r="H1" s="364" t="s">
        <v>19</v>
      </c>
      <c r="I1" s="364"/>
      <c r="J1" s="364"/>
      <c r="K1" s="361" t="s">
        <v>20</v>
      </c>
      <c r="L1" s="361"/>
    </row>
    <row r="2" spans="1:12" hidden="1" x14ac:dyDescent="0.3">
      <c r="A2" s="365"/>
      <c r="B2" s="366"/>
      <c r="C2" s="366"/>
      <c r="D2" s="367"/>
      <c r="E2" s="368" t="s">
        <v>21</v>
      </c>
      <c r="F2" s="369"/>
      <c r="G2" s="369"/>
      <c r="H2" s="370" t="s">
        <v>21</v>
      </c>
      <c r="I2" s="371"/>
      <c r="J2" s="371"/>
      <c r="K2" s="365"/>
      <c r="L2" s="372"/>
    </row>
    <row r="3" spans="1:12" ht="61.2" hidden="1" x14ac:dyDescent="0.3">
      <c r="A3" s="373" t="s">
        <v>23</v>
      </c>
      <c r="B3" s="374" t="s">
        <v>887</v>
      </c>
      <c r="C3" s="374" t="s">
        <v>888</v>
      </c>
      <c r="D3" s="374" t="s">
        <v>889</v>
      </c>
      <c r="E3" s="375" t="s">
        <v>27</v>
      </c>
      <c r="F3" s="376">
        <v>20700</v>
      </c>
      <c r="G3" s="376"/>
      <c r="H3" s="375" t="s">
        <v>58</v>
      </c>
      <c r="I3" s="377" t="s">
        <v>28</v>
      </c>
      <c r="J3" s="377"/>
      <c r="K3" s="378" t="s">
        <v>22</v>
      </c>
      <c r="L3" s="379">
        <v>7452605.7599999998</v>
      </c>
    </row>
    <row r="4" spans="1:12" ht="51" hidden="1" x14ac:dyDescent="0.3">
      <c r="A4" s="373" t="s">
        <v>23</v>
      </c>
      <c r="B4" s="374" t="s">
        <v>219</v>
      </c>
      <c r="C4" s="374" t="s">
        <v>220</v>
      </c>
      <c r="D4" s="374" t="s">
        <v>173</v>
      </c>
      <c r="E4" s="375" t="s">
        <v>27</v>
      </c>
      <c r="F4" s="376">
        <v>3801</v>
      </c>
      <c r="G4" s="376"/>
      <c r="H4" s="375" t="s">
        <v>27</v>
      </c>
      <c r="I4" s="377" t="s">
        <v>28</v>
      </c>
      <c r="J4" s="377"/>
      <c r="K4" s="378" t="s">
        <v>22</v>
      </c>
      <c r="L4" s="379">
        <v>7456406.7599999998</v>
      </c>
    </row>
    <row r="5" spans="1:12" ht="51" hidden="1" x14ac:dyDescent="0.3">
      <c r="A5" s="373" t="s">
        <v>23</v>
      </c>
      <c r="B5" s="374" t="s">
        <v>219</v>
      </c>
      <c r="C5" s="374" t="s">
        <v>221</v>
      </c>
      <c r="D5" s="374" t="s">
        <v>218</v>
      </c>
      <c r="E5" s="375" t="s">
        <v>27</v>
      </c>
      <c r="F5" s="376">
        <v>17800</v>
      </c>
      <c r="G5" s="376"/>
      <c r="H5" s="375" t="s">
        <v>27</v>
      </c>
      <c r="I5" s="377" t="s">
        <v>28</v>
      </c>
      <c r="J5" s="377"/>
      <c r="K5" s="378" t="s">
        <v>22</v>
      </c>
      <c r="L5" s="379">
        <v>7474206.7599999998</v>
      </c>
    </row>
    <row r="6" spans="1:12" ht="51" hidden="1" x14ac:dyDescent="0.3">
      <c r="A6" s="373" t="s">
        <v>23</v>
      </c>
      <c r="B6" s="374" t="s">
        <v>174</v>
      </c>
      <c r="C6" s="374" t="s">
        <v>175</v>
      </c>
      <c r="D6" s="374" t="s">
        <v>176</v>
      </c>
      <c r="E6" s="375" t="s">
        <v>27</v>
      </c>
      <c r="F6" s="376">
        <v>27724.19</v>
      </c>
      <c r="G6" s="376"/>
      <c r="H6" s="375" t="s">
        <v>27</v>
      </c>
      <c r="I6" s="377" t="s">
        <v>28</v>
      </c>
      <c r="J6" s="377"/>
      <c r="K6" s="378" t="s">
        <v>22</v>
      </c>
      <c r="L6" s="379">
        <v>7501930.9500000002</v>
      </c>
    </row>
    <row r="7" spans="1:12" ht="61.2" hidden="1" x14ac:dyDescent="0.3">
      <c r="A7" s="373" t="s">
        <v>23</v>
      </c>
      <c r="B7" s="374" t="s">
        <v>656</v>
      </c>
      <c r="C7" s="374" t="s">
        <v>657</v>
      </c>
      <c r="D7" s="374" t="s">
        <v>108</v>
      </c>
      <c r="E7" s="375" t="s">
        <v>27</v>
      </c>
      <c r="F7" s="376">
        <v>2604.12</v>
      </c>
      <c r="G7" s="376"/>
      <c r="H7" s="375" t="s">
        <v>27</v>
      </c>
      <c r="I7" s="377" t="s">
        <v>28</v>
      </c>
      <c r="J7" s="377"/>
      <c r="K7" s="378" t="s">
        <v>22</v>
      </c>
      <c r="L7" s="379">
        <v>7504535.0700000003</v>
      </c>
    </row>
    <row r="8" spans="1:12" ht="61.2" hidden="1" x14ac:dyDescent="0.3">
      <c r="A8" s="373" t="s">
        <v>23</v>
      </c>
      <c r="B8" s="374" t="s">
        <v>611</v>
      </c>
      <c r="C8" s="374" t="s">
        <v>237</v>
      </c>
      <c r="D8" s="374" t="s">
        <v>612</v>
      </c>
      <c r="E8" s="375" t="s">
        <v>27</v>
      </c>
      <c r="F8" s="380" t="s">
        <v>28</v>
      </c>
      <c r="G8" s="380"/>
      <c r="H8" s="375" t="s">
        <v>27</v>
      </c>
      <c r="I8" s="381">
        <v>682.22</v>
      </c>
      <c r="J8" s="381"/>
      <c r="K8" s="378" t="s">
        <v>22</v>
      </c>
      <c r="L8" s="379">
        <v>7503852.8499999996</v>
      </c>
    </row>
    <row r="9" spans="1:12" ht="61.2" hidden="1" x14ac:dyDescent="0.3">
      <c r="A9" s="373" t="s">
        <v>23</v>
      </c>
      <c r="B9" s="374" t="s">
        <v>658</v>
      </c>
      <c r="C9" s="374" t="s">
        <v>657</v>
      </c>
      <c r="D9" s="374" t="s">
        <v>108</v>
      </c>
      <c r="E9" s="375" t="s">
        <v>27</v>
      </c>
      <c r="F9" s="376">
        <v>22825</v>
      </c>
      <c r="G9" s="376"/>
      <c r="H9" s="375" t="s">
        <v>27</v>
      </c>
      <c r="I9" s="377" t="s">
        <v>28</v>
      </c>
      <c r="J9" s="377"/>
      <c r="K9" s="378" t="s">
        <v>22</v>
      </c>
      <c r="L9" s="379">
        <v>7526677.8499999996</v>
      </c>
    </row>
    <row r="10" spans="1:12" ht="51" hidden="1" x14ac:dyDescent="0.3">
      <c r="A10" s="373" t="s">
        <v>128</v>
      </c>
      <c r="B10" s="374" t="s">
        <v>243</v>
      </c>
      <c r="C10" s="374" t="s">
        <v>244</v>
      </c>
      <c r="D10" s="374" t="s">
        <v>240</v>
      </c>
      <c r="E10" s="375" t="s">
        <v>27</v>
      </c>
      <c r="F10" s="376">
        <v>61886</v>
      </c>
      <c r="G10" s="376"/>
      <c r="H10" s="375" t="s">
        <v>27</v>
      </c>
      <c r="I10" s="377" t="s">
        <v>28</v>
      </c>
      <c r="J10" s="377"/>
      <c r="K10" s="378" t="s">
        <v>22</v>
      </c>
      <c r="L10" s="379">
        <v>7588563.8499999996</v>
      </c>
    </row>
    <row r="11" spans="1:12" ht="51" x14ac:dyDescent="0.3">
      <c r="A11" s="373" t="s">
        <v>37</v>
      </c>
      <c r="B11" s="374" t="s">
        <v>890</v>
      </c>
      <c r="C11" s="374" t="s">
        <v>39</v>
      </c>
      <c r="D11" s="374" t="s">
        <v>175</v>
      </c>
      <c r="E11" s="375" t="s">
        <v>41</v>
      </c>
      <c r="F11" s="380" t="s">
        <v>28</v>
      </c>
      <c r="G11" s="380"/>
      <c r="H11" s="375" t="s">
        <v>27</v>
      </c>
      <c r="I11" s="382">
        <v>13791.5</v>
      </c>
      <c r="J11" s="382"/>
      <c r="K11" s="378" t="s">
        <v>22</v>
      </c>
      <c r="L11" s="379">
        <v>7574772.3499999996</v>
      </c>
    </row>
    <row r="12" spans="1:12" ht="51" x14ac:dyDescent="0.3">
      <c r="A12" s="373" t="s">
        <v>37</v>
      </c>
      <c r="B12" s="374" t="s">
        <v>890</v>
      </c>
      <c r="C12" s="374" t="s">
        <v>39</v>
      </c>
      <c r="D12" s="374" t="s">
        <v>175</v>
      </c>
      <c r="E12" s="375" t="s">
        <v>41</v>
      </c>
      <c r="F12" s="380" t="s">
        <v>28</v>
      </c>
      <c r="G12" s="380"/>
      <c r="H12" s="375" t="s">
        <v>27</v>
      </c>
      <c r="I12" s="382">
        <v>27724.19</v>
      </c>
      <c r="J12" s="382"/>
      <c r="K12" s="378" t="s">
        <v>22</v>
      </c>
      <c r="L12" s="379">
        <v>7547048.1600000001</v>
      </c>
    </row>
    <row r="13" spans="1:12" ht="51" x14ac:dyDescent="0.3">
      <c r="A13" s="373" t="s">
        <v>37</v>
      </c>
      <c r="B13" s="374" t="s">
        <v>890</v>
      </c>
      <c r="C13" s="374" t="s">
        <v>39</v>
      </c>
      <c r="D13" s="374" t="s">
        <v>657</v>
      </c>
      <c r="E13" s="375" t="s">
        <v>41</v>
      </c>
      <c r="F13" s="380" t="s">
        <v>28</v>
      </c>
      <c r="G13" s="380"/>
      <c r="H13" s="375" t="s">
        <v>27</v>
      </c>
      <c r="I13" s="382">
        <v>2604.12</v>
      </c>
      <c r="J13" s="382"/>
      <c r="K13" s="378" t="s">
        <v>22</v>
      </c>
      <c r="L13" s="379">
        <v>7544444.04</v>
      </c>
    </row>
    <row r="14" spans="1:12" ht="51" x14ac:dyDescent="0.3">
      <c r="A14" s="373" t="s">
        <v>37</v>
      </c>
      <c r="B14" s="374" t="s">
        <v>890</v>
      </c>
      <c r="C14" s="374" t="s">
        <v>39</v>
      </c>
      <c r="D14" s="374" t="s">
        <v>160</v>
      </c>
      <c r="E14" s="375" t="s">
        <v>41</v>
      </c>
      <c r="F14" s="380" t="s">
        <v>28</v>
      </c>
      <c r="G14" s="380"/>
      <c r="H14" s="375" t="s">
        <v>27</v>
      </c>
      <c r="I14" s="382">
        <v>6197.47</v>
      </c>
      <c r="J14" s="382"/>
      <c r="K14" s="378" t="s">
        <v>22</v>
      </c>
      <c r="L14" s="379">
        <v>7538246.5700000003</v>
      </c>
    </row>
    <row r="15" spans="1:12" ht="51" x14ac:dyDescent="0.3">
      <c r="A15" s="373" t="s">
        <v>37</v>
      </c>
      <c r="B15" s="374" t="s">
        <v>890</v>
      </c>
      <c r="C15" s="374" t="s">
        <v>39</v>
      </c>
      <c r="D15" s="374" t="s">
        <v>891</v>
      </c>
      <c r="E15" s="375" t="s">
        <v>41</v>
      </c>
      <c r="F15" s="380" t="s">
        <v>28</v>
      </c>
      <c r="G15" s="380"/>
      <c r="H15" s="375" t="s">
        <v>27</v>
      </c>
      <c r="I15" s="382">
        <v>89578.34</v>
      </c>
      <c r="J15" s="382"/>
      <c r="K15" s="378" t="s">
        <v>22</v>
      </c>
      <c r="L15" s="379">
        <v>7448668.2300000004</v>
      </c>
    </row>
    <row r="16" spans="1:12" ht="51" x14ac:dyDescent="0.3">
      <c r="A16" s="373" t="s">
        <v>37</v>
      </c>
      <c r="B16" s="374" t="s">
        <v>890</v>
      </c>
      <c r="C16" s="374" t="s">
        <v>39</v>
      </c>
      <c r="D16" s="374" t="s">
        <v>892</v>
      </c>
      <c r="E16" s="375" t="s">
        <v>41</v>
      </c>
      <c r="F16" s="380" t="s">
        <v>28</v>
      </c>
      <c r="G16" s="380"/>
      <c r="H16" s="375" t="s">
        <v>27</v>
      </c>
      <c r="I16" s="382">
        <v>2026.92</v>
      </c>
      <c r="J16" s="382"/>
      <c r="K16" s="378" t="s">
        <v>22</v>
      </c>
      <c r="L16" s="379">
        <v>7446641.3099999996</v>
      </c>
    </row>
    <row r="17" spans="1:12" ht="51" x14ac:dyDescent="0.3">
      <c r="A17" s="373" t="s">
        <v>37</v>
      </c>
      <c r="B17" s="374" t="s">
        <v>890</v>
      </c>
      <c r="C17" s="374" t="s">
        <v>39</v>
      </c>
      <c r="D17" s="374" t="s">
        <v>893</v>
      </c>
      <c r="E17" s="375" t="s">
        <v>41</v>
      </c>
      <c r="F17" s="380" t="s">
        <v>28</v>
      </c>
      <c r="G17" s="380"/>
      <c r="H17" s="375" t="s">
        <v>27</v>
      </c>
      <c r="I17" s="382">
        <v>74720.81</v>
      </c>
      <c r="J17" s="382"/>
      <c r="K17" s="378" t="s">
        <v>22</v>
      </c>
      <c r="L17" s="379">
        <v>7371920.5</v>
      </c>
    </row>
    <row r="18" spans="1:12" ht="51" x14ac:dyDescent="0.3">
      <c r="A18" s="373" t="s">
        <v>37</v>
      </c>
      <c r="B18" s="374" t="s">
        <v>890</v>
      </c>
      <c r="C18" s="374" t="s">
        <v>39</v>
      </c>
      <c r="D18" s="374" t="s">
        <v>894</v>
      </c>
      <c r="E18" s="375" t="s">
        <v>41</v>
      </c>
      <c r="F18" s="380" t="s">
        <v>28</v>
      </c>
      <c r="G18" s="380"/>
      <c r="H18" s="375" t="s">
        <v>27</v>
      </c>
      <c r="I18" s="382">
        <v>4725.57</v>
      </c>
      <c r="J18" s="382"/>
      <c r="K18" s="378" t="s">
        <v>22</v>
      </c>
      <c r="L18" s="379">
        <v>7367194.9299999997</v>
      </c>
    </row>
    <row r="19" spans="1:12" ht="61.2" x14ac:dyDescent="0.3">
      <c r="A19" s="373" t="s">
        <v>37</v>
      </c>
      <c r="B19" s="374" t="s">
        <v>890</v>
      </c>
      <c r="C19" s="374" t="s">
        <v>39</v>
      </c>
      <c r="D19" s="374" t="s">
        <v>895</v>
      </c>
      <c r="E19" s="375" t="s">
        <v>41</v>
      </c>
      <c r="F19" s="380" t="s">
        <v>28</v>
      </c>
      <c r="G19" s="380"/>
      <c r="H19" s="375" t="s">
        <v>27</v>
      </c>
      <c r="I19" s="381">
        <v>65</v>
      </c>
      <c r="J19" s="381"/>
      <c r="K19" s="378" t="s">
        <v>22</v>
      </c>
      <c r="L19" s="379">
        <v>7367129.9299999997</v>
      </c>
    </row>
    <row r="20" spans="1:12" ht="51" x14ac:dyDescent="0.3">
      <c r="A20" s="373" t="s">
        <v>37</v>
      </c>
      <c r="B20" s="374" t="s">
        <v>896</v>
      </c>
      <c r="C20" s="374" t="s">
        <v>39</v>
      </c>
      <c r="D20" s="374" t="s">
        <v>897</v>
      </c>
      <c r="E20" s="375" t="s">
        <v>41</v>
      </c>
      <c r="F20" s="380" t="s">
        <v>28</v>
      </c>
      <c r="G20" s="380"/>
      <c r="H20" s="375" t="s">
        <v>27</v>
      </c>
      <c r="I20" s="381">
        <v>333.33</v>
      </c>
      <c r="J20" s="381"/>
      <c r="K20" s="378" t="s">
        <v>22</v>
      </c>
      <c r="L20" s="379">
        <v>7366796.5999999996</v>
      </c>
    </row>
    <row r="21" spans="1:12" ht="51" x14ac:dyDescent="0.3">
      <c r="A21" s="373" t="s">
        <v>37</v>
      </c>
      <c r="B21" s="374" t="s">
        <v>896</v>
      </c>
      <c r="C21" s="374" t="s">
        <v>39</v>
      </c>
      <c r="D21" s="374" t="s">
        <v>898</v>
      </c>
      <c r="E21" s="375" t="s">
        <v>41</v>
      </c>
      <c r="F21" s="380" t="s">
        <v>28</v>
      </c>
      <c r="G21" s="380"/>
      <c r="H21" s="375" t="s">
        <v>27</v>
      </c>
      <c r="I21" s="381">
        <v>198.1</v>
      </c>
      <c r="J21" s="381"/>
      <c r="K21" s="378" t="s">
        <v>22</v>
      </c>
      <c r="L21" s="379">
        <v>7366598.5</v>
      </c>
    </row>
    <row r="22" spans="1:12" ht="51" x14ac:dyDescent="0.3">
      <c r="A22" s="373" t="s">
        <v>37</v>
      </c>
      <c r="B22" s="374" t="s">
        <v>896</v>
      </c>
      <c r="C22" s="374" t="s">
        <v>39</v>
      </c>
      <c r="D22" s="374" t="s">
        <v>899</v>
      </c>
      <c r="E22" s="375" t="s">
        <v>41</v>
      </c>
      <c r="F22" s="380" t="s">
        <v>28</v>
      </c>
      <c r="G22" s="380"/>
      <c r="H22" s="375" t="s">
        <v>27</v>
      </c>
      <c r="I22" s="381">
        <v>558</v>
      </c>
      <c r="J22" s="381"/>
      <c r="K22" s="378" t="s">
        <v>22</v>
      </c>
      <c r="L22" s="379">
        <v>7366040.5</v>
      </c>
    </row>
    <row r="23" spans="1:12" ht="51" x14ac:dyDescent="0.3">
      <c r="A23" s="373" t="s">
        <v>37</v>
      </c>
      <c r="B23" s="374" t="s">
        <v>896</v>
      </c>
      <c r="C23" s="374" t="s">
        <v>39</v>
      </c>
      <c r="D23" s="374" t="s">
        <v>900</v>
      </c>
      <c r="E23" s="375" t="s">
        <v>41</v>
      </c>
      <c r="F23" s="380" t="s">
        <v>28</v>
      </c>
      <c r="G23" s="380"/>
      <c r="H23" s="375" t="s">
        <v>27</v>
      </c>
      <c r="I23" s="381">
        <v>91.25</v>
      </c>
      <c r="J23" s="381"/>
      <c r="K23" s="378" t="s">
        <v>22</v>
      </c>
      <c r="L23" s="379">
        <v>7365949.25</v>
      </c>
    </row>
    <row r="24" spans="1:12" ht="51" hidden="1" x14ac:dyDescent="0.3">
      <c r="A24" s="373" t="s">
        <v>54</v>
      </c>
      <c r="B24" s="374" t="s">
        <v>252</v>
      </c>
      <c r="C24" s="374" t="s">
        <v>253</v>
      </c>
      <c r="D24" s="374" t="s">
        <v>248</v>
      </c>
      <c r="E24" s="375" t="s">
        <v>27</v>
      </c>
      <c r="F24" s="376">
        <v>6996</v>
      </c>
      <c r="G24" s="376"/>
      <c r="H24" s="375" t="s">
        <v>27</v>
      </c>
      <c r="I24" s="377" t="s">
        <v>28</v>
      </c>
      <c r="J24" s="377"/>
      <c r="K24" s="378" t="s">
        <v>22</v>
      </c>
      <c r="L24" s="379">
        <v>7372945.25</v>
      </c>
    </row>
    <row r="25" spans="1:12" ht="51" hidden="1" x14ac:dyDescent="0.3">
      <c r="A25" s="373" t="s">
        <v>256</v>
      </c>
      <c r="B25" s="374" t="s">
        <v>260</v>
      </c>
      <c r="C25" s="374" t="s">
        <v>261</v>
      </c>
      <c r="D25" s="374" t="s">
        <v>258</v>
      </c>
      <c r="E25" s="375" t="s">
        <v>27</v>
      </c>
      <c r="F25" s="376">
        <v>93793.919999999998</v>
      </c>
      <c r="G25" s="376"/>
      <c r="H25" s="375" t="s">
        <v>27</v>
      </c>
      <c r="I25" s="377" t="s">
        <v>28</v>
      </c>
      <c r="J25" s="377"/>
      <c r="K25" s="378" t="s">
        <v>22</v>
      </c>
      <c r="L25" s="379">
        <v>7466739.1699999999</v>
      </c>
    </row>
    <row r="26" spans="1:12" ht="51" hidden="1" x14ac:dyDescent="0.3">
      <c r="A26" s="373" t="s">
        <v>67</v>
      </c>
      <c r="B26" s="374" t="s">
        <v>901</v>
      </c>
      <c r="C26" s="374" t="s">
        <v>902</v>
      </c>
      <c r="D26" s="374" t="s">
        <v>903</v>
      </c>
      <c r="E26" s="375" t="s">
        <v>27</v>
      </c>
      <c r="F26" s="376">
        <v>15593.2</v>
      </c>
      <c r="G26" s="376"/>
      <c r="H26" s="375" t="s">
        <v>58</v>
      </c>
      <c r="I26" s="377" t="s">
        <v>28</v>
      </c>
      <c r="J26" s="377"/>
      <c r="K26" s="378" t="s">
        <v>22</v>
      </c>
      <c r="L26" s="379">
        <v>7482332.3700000001</v>
      </c>
    </row>
    <row r="27" spans="1:12" ht="51" hidden="1" x14ac:dyDescent="0.3">
      <c r="A27" s="373" t="s">
        <v>67</v>
      </c>
      <c r="B27" s="374" t="s">
        <v>901</v>
      </c>
      <c r="C27" s="374" t="s">
        <v>904</v>
      </c>
      <c r="D27" s="374" t="s">
        <v>903</v>
      </c>
      <c r="E27" s="375" t="s">
        <v>27</v>
      </c>
      <c r="F27" s="376">
        <v>8881.74</v>
      </c>
      <c r="G27" s="376"/>
      <c r="H27" s="375" t="s">
        <v>58</v>
      </c>
      <c r="I27" s="377" t="s">
        <v>28</v>
      </c>
      <c r="J27" s="377"/>
      <c r="K27" s="378" t="s">
        <v>22</v>
      </c>
      <c r="L27" s="379">
        <v>7491214.1100000003</v>
      </c>
    </row>
    <row r="28" spans="1:12" ht="51" hidden="1" x14ac:dyDescent="0.3">
      <c r="A28" s="373" t="s">
        <v>67</v>
      </c>
      <c r="B28" s="374" t="s">
        <v>901</v>
      </c>
      <c r="C28" s="374" t="s">
        <v>905</v>
      </c>
      <c r="D28" s="374" t="s">
        <v>903</v>
      </c>
      <c r="E28" s="375" t="s">
        <v>27</v>
      </c>
      <c r="F28" s="376">
        <v>18064.2</v>
      </c>
      <c r="G28" s="376"/>
      <c r="H28" s="375" t="s">
        <v>58</v>
      </c>
      <c r="I28" s="377" t="s">
        <v>28</v>
      </c>
      <c r="J28" s="377"/>
      <c r="K28" s="378" t="s">
        <v>22</v>
      </c>
      <c r="L28" s="379">
        <v>7509278.3099999996</v>
      </c>
    </row>
    <row r="29" spans="1:12" ht="51" hidden="1" x14ac:dyDescent="0.3">
      <c r="A29" s="373" t="s">
        <v>67</v>
      </c>
      <c r="B29" s="374" t="s">
        <v>901</v>
      </c>
      <c r="C29" s="374" t="s">
        <v>906</v>
      </c>
      <c r="D29" s="374" t="s">
        <v>903</v>
      </c>
      <c r="E29" s="375" t="s">
        <v>27</v>
      </c>
      <c r="F29" s="376">
        <v>13392.43</v>
      </c>
      <c r="G29" s="376"/>
      <c r="H29" s="375" t="s">
        <v>58</v>
      </c>
      <c r="I29" s="377" t="s">
        <v>28</v>
      </c>
      <c r="J29" s="377"/>
      <c r="K29" s="378" t="s">
        <v>22</v>
      </c>
      <c r="L29" s="379">
        <v>7522670.7400000002</v>
      </c>
    </row>
    <row r="30" spans="1:12" ht="51" hidden="1" x14ac:dyDescent="0.3">
      <c r="A30" s="373" t="s">
        <v>67</v>
      </c>
      <c r="B30" s="374" t="s">
        <v>901</v>
      </c>
      <c r="C30" s="374" t="s">
        <v>907</v>
      </c>
      <c r="D30" s="374" t="s">
        <v>903</v>
      </c>
      <c r="E30" s="375" t="s">
        <v>27</v>
      </c>
      <c r="F30" s="376">
        <v>10593.45</v>
      </c>
      <c r="G30" s="376"/>
      <c r="H30" s="375" t="s">
        <v>58</v>
      </c>
      <c r="I30" s="377" t="s">
        <v>28</v>
      </c>
      <c r="J30" s="377"/>
      <c r="K30" s="378" t="s">
        <v>22</v>
      </c>
      <c r="L30" s="379">
        <v>7533264.1900000004</v>
      </c>
    </row>
    <row r="31" spans="1:12" ht="51" hidden="1" x14ac:dyDescent="0.3">
      <c r="A31" s="373" t="s">
        <v>67</v>
      </c>
      <c r="B31" s="374" t="s">
        <v>901</v>
      </c>
      <c r="C31" s="374" t="s">
        <v>908</v>
      </c>
      <c r="D31" s="374" t="s">
        <v>903</v>
      </c>
      <c r="E31" s="375" t="s">
        <v>27</v>
      </c>
      <c r="F31" s="376">
        <v>10781.4</v>
      </c>
      <c r="G31" s="376"/>
      <c r="H31" s="375" t="s">
        <v>58</v>
      </c>
      <c r="I31" s="377" t="s">
        <v>28</v>
      </c>
      <c r="J31" s="377"/>
      <c r="K31" s="378" t="s">
        <v>22</v>
      </c>
      <c r="L31" s="379">
        <v>7544045.5899999999</v>
      </c>
    </row>
    <row r="32" spans="1:12" ht="51" hidden="1" x14ac:dyDescent="0.3">
      <c r="A32" s="373" t="s">
        <v>67</v>
      </c>
      <c r="B32" s="374" t="s">
        <v>901</v>
      </c>
      <c r="C32" s="374" t="s">
        <v>909</v>
      </c>
      <c r="D32" s="374" t="s">
        <v>903</v>
      </c>
      <c r="E32" s="375" t="s">
        <v>27</v>
      </c>
      <c r="F32" s="376">
        <v>6623.4</v>
      </c>
      <c r="G32" s="376"/>
      <c r="H32" s="375" t="s">
        <v>58</v>
      </c>
      <c r="I32" s="377" t="s">
        <v>28</v>
      </c>
      <c r="J32" s="377"/>
      <c r="K32" s="378" t="s">
        <v>22</v>
      </c>
      <c r="L32" s="379">
        <v>7550668.9900000002</v>
      </c>
    </row>
    <row r="33" spans="1:12" ht="51" hidden="1" x14ac:dyDescent="0.3">
      <c r="A33" s="373" t="s">
        <v>67</v>
      </c>
      <c r="B33" s="374" t="s">
        <v>901</v>
      </c>
      <c r="C33" s="374" t="s">
        <v>910</v>
      </c>
      <c r="D33" s="374" t="s">
        <v>903</v>
      </c>
      <c r="E33" s="375" t="s">
        <v>27</v>
      </c>
      <c r="F33" s="376">
        <v>12605.25</v>
      </c>
      <c r="G33" s="376"/>
      <c r="H33" s="375" t="s">
        <v>58</v>
      </c>
      <c r="I33" s="377" t="s">
        <v>28</v>
      </c>
      <c r="J33" s="377"/>
      <c r="K33" s="378" t="s">
        <v>22</v>
      </c>
      <c r="L33" s="379">
        <v>7563274.2400000002</v>
      </c>
    </row>
    <row r="34" spans="1:12" ht="51" hidden="1" x14ac:dyDescent="0.3">
      <c r="A34" s="373" t="s">
        <v>67</v>
      </c>
      <c r="B34" s="374" t="s">
        <v>901</v>
      </c>
      <c r="C34" s="374" t="s">
        <v>911</v>
      </c>
      <c r="D34" s="374" t="s">
        <v>903</v>
      </c>
      <c r="E34" s="375" t="s">
        <v>27</v>
      </c>
      <c r="F34" s="376">
        <v>3930.15</v>
      </c>
      <c r="G34" s="376"/>
      <c r="H34" s="375" t="s">
        <v>58</v>
      </c>
      <c r="I34" s="377" t="s">
        <v>28</v>
      </c>
      <c r="J34" s="377"/>
      <c r="K34" s="378" t="s">
        <v>22</v>
      </c>
      <c r="L34" s="379">
        <v>7567204.3899999997</v>
      </c>
    </row>
    <row r="35" spans="1:12" ht="61.2" hidden="1" x14ac:dyDescent="0.3">
      <c r="A35" s="373" t="s">
        <v>67</v>
      </c>
      <c r="B35" s="374" t="s">
        <v>912</v>
      </c>
      <c r="C35" s="374" t="s">
        <v>913</v>
      </c>
      <c r="D35" s="374" t="s">
        <v>914</v>
      </c>
      <c r="E35" s="375" t="s">
        <v>27</v>
      </c>
      <c r="F35" s="376">
        <v>206517.5</v>
      </c>
      <c r="G35" s="376"/>
      <c r="H35" s="375" t="s">
        <v>58</v>
      </c>
      <c r="I35" s="377" t="s">
        <v>28</v>
      </c>
      <c r="J35" s="377"/>
      <c r="K35" s="378" t="s">
        <v>22</v>
      </c>
      <c r="L35" s="379">
        <v>7773721.8899999997</v>
      </c>
    </row>
    <row r="36" spans="1:12" ht="51" hidden="1" x14ac:dyDescent="0.3">
      <c r="A36" s="373" t="s">
        <v>67</v>
      </c>
      <c r="B36" s="374" t="s">
        <v>270</v>
      </c>
      <c r="C36" s="374" t="s">
        <v>162</v>
      </c>
      <c r="D36" s="374" t="s">
        <v>138</v>
      </c>
      <c r="E36" s="375" t="s">
        <v>27</v>
      </c>
      <c r="F36" s="376">
        <v>65028.39</v>
      </c>
      <c r="G36" s="376"/>
      <c r="H36" s="375" t="s">
        <v>27</v>
      </c>
      <c r="I36" s="377" t="s">
        <v>28</v>
      </c>
      <c r="J36" s="377"/>
      <c r="K36" s="378" t="s">
        <v>22</v>
      </c>
      <c r="L36" s="379">
        <v>7838750.2800000003</v>
      </c>
    </row>
    <row r="37" spans="1:12" ht="51" hidden="1" x14ac:dyDescent="0.3">
      <c r="A37" s="373" t="s">
        <v>71</v>
      </c>
      <c r="B37" s="374" t="s">
        <v>915</v>
      </c>
      <c r="C37" s="374" t="s">
        <v>916</v>
      </c>
      <c r="D37" s="374" t="s">
        <v>917</v>
      </c>
      <c r="E37" s="375" t="s">
        <v>27</v>
      </c>
      <c r="F37" s="376">
        <v>36994.199999999997</v>
      </c>
      <c r="G37" s="376"/>
      <c r="H37" s="375" t="s">
        <v>58</v>
      </c>
      <c r="I37" s="377" t="s">
        <v>28</v>
      </c>
      <c r="J37" s="377"/>
      <c r="K37" s="378" t="s">
        <v>22</v>
      </c>
      <c r="L37" s="379">
        <v>7875744.4800000004</v>
      </c>
    </row>
    <row r="38" spans="1:12" ht="51" hidden="1" x14ac:dyDescent="0.3">
      <c r="A38" s="373" t="s">
        <v>71</v>
      </c>
      <c r="B38" s="374" t="s">
        <v>915</v>
      </c>
      <c r="C38" s="374" t="s">
        <v>918</v>
      </c>
      <c r="D38" s="374" t="s">
        <v>917</v>
      </c>
      <c r="E38" s="375" t="s">
        <v>27</v>
      </c>
      <c r="F38" s="376">
        <v>9034.92</v>
      </c>
      <c r="G38" s="376"/>
      <c r="H38" s="375" t="s">
        <v>58</v>
      </c>
      <c r="I38" s="377" t="s">
        <v>28</v>
      </c>
      <c r="J38" s="377"/>
      <c r="K38" s="378" t="s">
        <v>22</v>
      </c>
      <c r="L38" s="379">
        <v>7884779.4000000004</v>
      </c>
    </row>
    <row r="39" spans="1:12" ht="51" hidden="1" x14ac:dyDescent="0.3">
      <c r="A39" s="373" t="s">
        <v>71</v>
      </c>
      <c r="B39" s="374" t="s">
        <v>919</v>
      </c>
      <c r="C39" s="374" t="s">
        <v>920</v>
      </c>
      <c r="D39" s="374" t="s">
        <v>917</v>
      </c>
      <c r="E39" s="375" t="s">
        <v>27</v>
      </c>
      <c r="F39" s="376">
        <v>12357.8</v>
      </c>
      <c r="G39" s="376"/>
      <c r="H39" s="375" t="s">
        <v>58</v>
      </c>
      <c r="I39" s="377" t="s">
        <v>28</v>
      </c>
      <c r="J39" s="377"/>
      <c r="K39" s="378" t="s">
        <v>22</v>
      </c>
      <c r="L39" s="379">
        <v>7897137.2000000002</v>
      </c>
    </row>
    <row r="40" spans="1:12" ht="51" hidden="1" x14ac:dyDescent="0.3">
      <c r="A40" s="373" t="s">
        <v>71</v>
      </c>
      <c r="B40" s="374" t="s">
        <v>915</v>
      </c>
      <c r="C40" s="374" t="s">
        <v>920</v>
      </c>
      <c r="D40" s="374" t="s">
        <v>917</v>
      </c>
      <c r="E40" s="375" t="s">
        <v>27</v>
      </c>
      <c r="F40" s="376">
        <v>20412.400000000001</v>
      </c>
      <c r="G40" s="376"/>
      <c r="H40" s="375" t="s">
        <v>58</v>
      </c>
      <c r="I40" s="377" t="s">
        <v>28</v>
      </c>
      <c r="J40" s="377"/>
      <c r="K40" s="378" t="s">
        <v>22</v>
      </c>
      <c r="L40" s="379">
        <v>7917549.5999999996</v>
      </c>
    </row>
    <row r="41" spans="1:12" ht="51" hidden="1" x14ac:dyDescent="0.3">
      <c r="A41" s="373" t="s">
        <v>71</v>
      </c>
      <c r="B41" s="374" t="s">
        <v>921</v>
      </c>
      <c r="C41" s="374" t="s">
        <v>922</v>
      </c>
      <c r="D41" s="374" t="s">
        <v>923</v>
      </c>
      <c r="E41" s="375" t="s">
        <v>27</v>
      </c>
      <c r="F41" s="376">
        <v>36994.199999999997</v>
      </c>
      <c r="G41" s="376"/>
      <c r="H41" s="375" t="s">
        <v>58</v>
      </c>
      <c r="I41" s="377" t="s">
        <v>28</v>
      </c>
      <c r="J41" s="377"/>
      <c r="K41" s="378" t="s">
        <v>22</v>
      </c>
      <c r="L41" s="379">
        <v>7954543.7999999998</v>
      </c>
    </row>
    <row r="42" spans="1:12" ht="51" hidden="1" x14ac:dyDescent="0.3">
      <c r="A42" s="373" t="s">
        <v>71</v>
      </c>
      <c r="B42" s="374" t="s">
        <v>921</v>
      </c>
      <c r="C42" s="374" t="s">
        <v>924</v>
      </c>
      <c r="D42" s="374" t="s">
        <v>923</v>
      </c>
      <c r="E42" s="375" t="s">
        <v>27</v>
      </c>
      <c r="F42" s="376">
        <v>9034.92</v>
      </c>
      <c r="G42" s="376"/>
      <c r="H42" s="375" t="s">
        <v>58</v>
      </c>
      <c r="I42" s="377" t="s">
        <v>28</v>
      </c>
      <c r="J42" s="377"/>
      <c r="K42" s="378" t="s">
        <v>22</v>
      </c>
      <c r="L42" s="379">
        <v>7963578.7199999997</v>
      </c>
    </row>
    <row r="43" spans="1:12" ht="51" hidden="1" x14ac:dyDescent="0.3">
      <c r="A43" s="373" t="s">
        <v>71</v>
      </c>
      <c r="B43" s="374" t="s">
        <v>925</v>
      </c>
      <c r="C43" s="374" t="s">
        <v>926</v>
      </c>
      <c r="D43" s="374" t="s">
        <v>923</v>
      </c>
      <c r="E43" s="375" t="s">
        <v>27</v>
      </c>
      <c r="F43" s="376">
        <v>12357.8</v>
      </c>
      <c r="G43" s="376"/>
      <c r="H43" s="375" t="s">
        <v>58</v>
      </c>
      <c r="I43" s="377" t="s">
        <v>28</v>
      </c>
      <c r="J43" s="377"/>
      <c r="K43" s="378" t="s">
        <v>22</v>
      </c>
      <c r="L43" s="379">
        <v>7975936.5199999996</v>
      </c>
    </row>
    <row r="44" spans="1:12" ht="51" hidden="1" x14ac:dyDescent="0.3">
      <c r="A44" s="373" t="s">
        <v>71</v>
      </c>
      <c r="B44" s="374" t="s">
        <v>921</v>
      </c>
      <c r="C44" s="374" t="s">
        <v>926</v>
      </c>
      <c r="D44" s="374" t="s">
        <v>923</v>
      </c>
      <c r="E44" s="375" t="s">
        <v>27</v>
      </c>
      <c r="F44" s="376">
        <v>20412.400000000001</v>
      </c>
      <c r="G44" s="376"/>
      <c r="H44" s="375" t="s">
        <v>58</v>
      </c>
      <c r="I44" s="377" t="s">
        <v>28</v>
      </c>
      <c r="J44" s="377"/>
      <c r="K44" s="378" t="s">
        <v>22</v>
      </c>
      <c r="L44" s="379">
        <v>7996348.9199999999</v>
      </c>
    </row>
    <row r="45" spans="1:12" ht="51" hidden="1" x14ac:dyDescent="0.3">
      <c r="A45" s="373" t="s">
        <v>452</v>
      </c>
      <c r="B45" s="374" t="s">
        <v>927</v>
      </c>
      <c r="C45" s="374" t="s">
        <v>928</v>
      </c>
      <c r="D45" s="374" t="s">
        <v>929</v>
      </c>
      <c r="E45" s="375" t="s">
        <v>27</v>
      </c>
      <c r="F45" s="376">
        <v>11873.92</v>
      </c>
      <c r="G45" s="376"/>
      <c r="H45" s="375" t="s">
        <v>58</v>
      </c>
      <c r="I45" s="377" t="s">
        <v>28</v>
      </c>
      <c r="J45" s="377"/>
      <c r="K45" s="378" t="s">
        <v>22</v>
      </c>
      <c r="L45" s="379">
        <v>8008222.8399999999</v>
      </c>
    </row>
    <row r="46" spans="1:12" ht="51" hidden="1" x14ac:dyDescent="0.3">
      <c r="A46" s="373" t="s">
        <v>452</v>
      </c>
      <c r="B46" s="374" t="s">
        <v>927</v>
      </c>
      <c r="C46" s="374" t="s">
        <v>930</v>
      </c>
      <c r="D46" s="374" t="s">
        <v>929</v>
      </c>
      <c r="E46" s="375" t="s">
        <v>27</v>
      </c>
      <c r="F46" s="376">
        <v>7342.65</v>
      </c>
      <c r="G46" s="376"/>
      <c r="H46" s="375" t="s">
        <v>58</v>
      </c>
      <c r="I46" s="377" t="s">
        <v>28</v>
      </c>
      <c r="J46" s="377"/>
      <c r="K46" s="378" t="s">
        <v>22</v>
      </c>
      <c r="L46" s="379">
        <v>8015565.4900000002</v>
      </c>
    </row>
    <row r="47" spans="1:12" ht="61.2" hidden="1" x14ac:dyDescent="0.3">
      <c r="A47" s="373" t="s">
        <v>452</v>
      </c>
      <c r="B47" s="374" t="s">
        <v>927</v>
      </c>
      <c r="C47" s="374" t="s">
        <v>931</v>
      </c>
      <c r="D47" s="374" t="s">
        <v>929</v>
      </c>
      <c r="E47" s="375" t="s">
        <v>27</v>
      </c>
      <c r="F47" s="376">
        <v>2319.8000000000002</v>
      </c>
      <c r="G47" s="376"/>
      <c r="H47" s="375" t="s">
        <v>58</v>
      </c>
      <c r="I47" s="377" t="s">
        <v>28</v>
      </c>
      <c r="J47" s="377"/>
      <c r="K47" s="378" t="s">
        <v>22</v>
      </c>
      <c r="L47" s="379">
        <v>8017885.29</v>
      </c>
    </row>
    <row r="48" spans="1:12" ht="51" hidden="1" x14ac:dyDescent="0.3">
      <c r="A48" s="373" t="s">
        <v>452</v>
      </c>
      <c r="B48" s="374" t="s">
        <v>927</v>
      </c>
      <c r="C48" s="374" t="s">
        <v>932</v>
      </c>
      <c r="D48" s="374" t="s">
        <v>929</v>
      </c>
      <c r="E48" s="375" t="s">
        <v>27</v>
      </c>
      <c r="F48" s="376">
        <v>8610.7199999999993</v>
      </c>
      <c r="G48" s="376"/>
      <c r="H48" s="375" t="s">
        <v>58</v>
      </c>
      <c r="I48" s="377" t="s">
        <v>28</v>
      </c>
      <c r="J48" s="377"/>
      <c r="K48" s="378" t="s">
        <v>22</v>
      </c>
      <c r="L48" s="379">
        <v>8026496.0099999998</v>
      </c>
    </row>
    <row r="49" spans="1:12" ht="51" hidden="1" x14ac:dyDescent="0.3">
      <c r="A49" s="373" t="s">
        <v>452</v>
      </c>
      <c r="B49" s="374" t="s">
        <v>927</v>
      </c>
      <c r="C49" s="374" t="s">
        <v>932</v>
      </c>
      <c r="D49" s="374" t="s">
        <v>929</v>
      </c>
      <c r="E49" s="375" t="s">
        <v>27</v>
      </c>
      <c r="F49" s="383">
        <v>217.45</v>
      </c>
      <c r="G49" s="383"/>
      <c r="H49" s="375" t="s">
        <v>58</v>
      </c>
      <c r="I49" s="377" t="s">
        <v>28</v>
      </c>
      <c r="J49" s="377"/>
      <c r="K49" s="378" t="s">
        <v>22</v>
      </c>
      <c r="L49" s="379">
        <v>8026713.46</v>
      </c>
    </row>
    <row r="50" spans="1:12" ht="51" hidden="1" x14ac:dyDescent="0.3">
      <c r="A50" s="373" t="s">
        <v>452</v>
      </c>
      <c r="B50" s="374" t="s">
        <v>927</v>
      </c>
      <c r="C50" s="374" t="s">
        <v>933</v>
      </c>
      <c r="D50" s="374" t="s">
        <v>929</v>
      </c>
      <c r="E50" s="375" t="s">
        <v>27</v>
      </c>
      <c r="F50" s="376">
        <v>4189.5</v>
      </c>
      <c r="G50" s="376"/>
      <c r="H50" s="375" t="s">
        <v>58</v>
      </c>
      <c r="I50" s="377" t="s">
        <v>28</v>
      </c>
      <c r="J50" s="377"/>
      <c r="K50" s="378" t="s">
        <v>22</v>
      </c>
      <c r="L50" s="379">
        <v>8030902.96</v>
      </c>
    </row>
    <row r="51" spans="1:12" ht="61.2" hidden="1" x14ac:dyDescent="0.3">
      <c r="A51" s="373" t="s">
        <v>452</v>
      </c>
      <c r="B51" s="374" t="s">
        <v>927</v>
      </c>
      <c r="C51" s="374" t="s">
        <v>931</v>
      </c>
      <c r="D51" s="374" t="s">
        <v>929</v>
      </c>
      <c r="E51" s="375" t="s">
        <v>27</v>
      </c>
      <c r="F51" s="383">
        <v>798.83</v>
      </c>
      <c r="G51" s="383"/>
      <c r="H51" s="375" t="s">
        <v>58</v>
      </c>
      <c r="I51" s="377" t="s">
        <v>28</v>
      </c>
      <c r="J51" s="377"/>
      <c r="K51" s="378" t="s">
        <v>22</v>
      </c>
      <c r="L51" s="379">
        <v>8031701.79</v>
      </c>
    </row>
    <row r="52" spans="1:12" ht="51" x14ac:dyDescent="0.3">
      <c r="A52" s="373" t="s">
        <v>83</v>
      </c>
      <c r="B52" s="374" t="s">
        <v>934</v>
      </c>
      <c r="C52" s="374" t="s">
        <v>39</v>
      </c>
      <c r="D52" s="374" t="s">
        <v>657</v>
      </c>
      <c r="E52" s="375" t="s">
        <v>41</v>
      </c>
      <c r="F52" s="380" t="s">
        <v>28</v>
      </c>
      <c r="G52" s="380"/>
      <c r="H52" s="375" t="s">
        <v>27</v>
      </c>
      <c r="I52" s="382">
        <v>6909.75</v>
      </c>
      <c r="J52" s="382"/>
      <c r="K52" s="378" t="s">
        <v>22</v>
      </c>
      <c r="L52" s="379">
        <v>8024792.04</v>
      </c>
    </row>
    <row r="53" spans="1:12" ht="51" x14ac:dyDescent="0.3">
      <c r="A53" s="373" t="s">
        <v>83</v>
      </c>
      <c r="B53" s="374" t="s">
        <v>934</v>
      </c>
      <c r="C53" s="374" t="s">
        <v>39</v>
      </c>
      <c r="D53" s="374" t="s">
        <v>657</v>
      </c>
      <c r="E53" s="375" t="s">
        <v>41</v>
      </c>
      <c r="F53" s="380" t="s">
        <v>28</v>
      </c>
      <c r="G53" s="380"/>
      <c r="H53" s="375" t="s">
        <v>27</v>
      </c>
      <c r="I53" s="382">
        <v>15915.25</v>
      </c>
      <c r="J53" s="382"/>
      <c r="K53" s="378" t="s">
        <v>22</v>
      </c>
      <c r="L53" s="379">
        <v>8008876.79</v>
      </c>
    </row>
    <row r="54" spans="1:12" ht="51" x14ac:dyDescent="0.3">
      <c r="A54" s="373" t="s">
        <v>83</v>
      </c>
      <c r="B54" s="374" t="s">
        <v>934</v>
      </c>
      <c r="C54" s="374" t="s">
        <v>39</v>
      </c>
      <c r="D54" s="374" t="s">
        <v>891</v>
      </c>
      <c r="E54" s="375" t="s">
        <v>41</v>
      </c>
      <c r="F54" s="380" t="s">
        <v>28</v>
      </c>
      <c r="G54" s="380"/>
      <c r="H54" s="375" t="s">
        <v>27</v>
      </c>
      <c r="I54" s="382">
        <v>8397.9699999999993</v>
      </c>
      <c r="J54" s="382"/>
      <c r="K54" s="378" t="s">
        <v>22</v>
      </c>
      <c r="L54" s="379">
        <v>8000478.8200000003</v>
      </c>
    </row>
    <row r="55" spans="1:12" ht="51" x14ac:dyDescent="0.3">
      <c r="A55" s="373" t="s">
        <v>83</v>
      </c>
      <c r="B55" s="374" t="s">
        <v>934</v>
      </c>
      <c r="C55" s="374" t="s">
        <v>39</v>
      </c>
      <c r="D55" s="374" t="s">
        <v>935</v>
      </c>
      <c r="E55" s="375" t="s">
        <v>41</v>
      </c>
      <c r="F55" s="380" t="s">
        <v>28</v>
      </c>
      <c r="G55" s="380"/>
      <c r="H55" s="375" t="s">
        <v>27</v>
      </c>
      <c r="I55" s="382">
        <v>7104.05</v>
      </c>
      <c r="J55" s="382"/>
      <c r="K55" s="378" t="s">
        <v>22</v>
      </c>
      <c r="L55" s="379">
        <v>7993374.7699999996</v>
      </c>
    </row>
    <row r="56" spans="1:12" ht="51" x14ac:dyDescent="0.3">
      <c r="A56" s="373" t="s">
        <v>83</v>
      </c>
      <c r="B56" s="374" t="s">
        <v>934</v>
      </c>
      <c r="C56" s="374" t="s">
        <v>39</v>
      </c>
      <c r="D56" s="374" t="s">
        <v>244</v>
      </c>
      <c r="E56" s="375" t="s">
        <v>41</v>
      </c>
      <c r="F56" s="380" t="s">
        <v>28</v>
      </c>
      <c r="G56" s="380"/>
      <c r="H56" s="375" t="s">
        <v>27</v>
      </c>
      <c r="I56" s="382">
        <v>61886</v>
      </c>
      <c r="J56" s="382"/>
      <c r="K56" s="378" t="s">
        <v>22</v>
      </c>
      <c r="L56" s="379">
        <v>7931488.7699999996</v>
      </c>
    </row>
    <row r="57" spans="1:12" ht="51" x14ac:dyDescent="0.3">
      <c r="A57" s="373" t="s">
        <v>83</v>
      </c>
      <c r="B57" s="374" t="s">
        <v>934</v>
      </c>
      <c r="C57" s="374" t="s">
        <v>39</v>
      </c>
      <c r="D57" s="374" t="s">
        <v>253</v>
      </c>
      <c r="E57" s="375" t="s">
        <v>41</v>
      </c>
      <c r="F57" s="380" t="s">
        <v>28</v>
      </c>
      <c r="G57" s="380"/>
      <c r="H57" s="375" t="s">
        <v>27</v>
      </c>
      <c r="I57" s="382">
        <v>6996</v>
      </c>
      <c r="J57" s="382"/>
      <c r="K57" s="378" t="s">
        <v>22</v>
      </c>
      <c r="L57" s="379">
        <v>7924492.7699999996</v>
      </c>
    </row>
    <row r="58" spans="1:12" ht="51" x14ac:dyDescent="0.3">
      <c r="A58" s="373" t="s">
        <v>83</v>
      </c>
      <c r="B58" s="374" t="s">
        <v>934</v>
      </c>
      <c r="C58" s="374" t="s">
        <v>39</v>
      </c>
      <c r="D58" s="374" t="s">
        <v>261</v>
      </c>
      <c r="E58" s="375" t="s">
        <v>41</v>
      </c>
      <c r="F58" s="380" t="s">
        <v>28</v>
      </c>
      <c r="G58" s="380"/>
      <c r="H58" s="375" t="s">
        <v>27</v>
      </c>
      <c r="I58" s="382">
        <v>8597.7800000000007</v>
      </c>
      <c r="J58" s="382"/>
      <c r="K58" s="378" t="s">
        <v>22</v>
      </c>
      <c r="L58" s="379">
        <v>7915894.9900000002</v>
      </c>
    </row>
    <row r="59" spans="1:12" ht="51" x14ac:dyDescent="0.3">
      <c r="A59" s="373" t="s">
        <v>83</v>
      </c>
      <c r="B59" s="374" t="s">
        <v>934</v>
      </c>
      <c r="C59" s="374" t="s">
        <v>39</v>
      </c>
      <c r="D59" s="374" t="s">
        <v>261</v>
      </c>
      <c r="E59" s="375" t="s">
        <v>41</v>
      </c>
      <c r="F59" s="380" t="s">
        <v>28</v>
      </c>
      <c r="G59" s="380"/>
      <c r="H59" s="375" t="s">
        <v>27</v>
      </c>
      <c r="I59" s="382">
        <v>64483.32</v>
      </c>
      <c r="J59" s="382"/>
      <c r="K59" s="378" t="s">
        <v>22</v>
      </c>
      <c r="L59" s="379">
        <v>7851411.6699999999</v>
      </c>
    </row>
    <row r="60" spans="1:12" ht="51" x14ac:dyDescent="0.3">
      <c r="A60" s="373" t="s">
        <v>83</v>
      </c>
      <c r="B60" s="374" t="s">
        <v>934</v>
      </c>
      <c r="C60" s="374" t="s">
        <v>39</v>
      </c>
      <c r="D60" s="374" t="s">
        <v>893</v>
      </c>
      <c r="E60" s="375" t="s">
        <v>41</v>
      </c>
      <c r="F60" s="380" t="s">
        <v>28</v>
      </c>
      <c r="G60" s="380"/>
      <c r="H60" s="375" t="s">
        <v>27</v>
      </c>
      <c r="I60" s="382">
        <v>6540.55</v>
      </c>
      <c r="J60" s="382"/>
      <c r="K60" s="378" t="s">
        <v>22</v>
      </c>
      <c r="L60" s="379">
        <v>7844871.1200000001</v>
      </c>
    </row>
    <row r="61" spans="1:12" ht="51" x14ac:dyDescent="0.3">
      <c r="A61" s="373" t="s">
        <v>83</v>
      </c>
      <c r="B61" s="374" t="s">
        <v>934</v>
      </c>
      <c r="C61" s="374" t="s">
        <v>39</v>
      </c>
      <c r="D61" s="374" t="s">
        <v>936</v>
      </c>
      <c r="E61" s="375" t="s">
        <v>41</v>
      </c>
      <c r="F61" s="380" t="s">
        <v>28</v>
      </c>
      <c r="G61" s="380"/>
      <c r="H61" s="375" t="s">
        <v>27</v>
      </c>
      <c r="I61" s="381">
        <v>793.47</v>
      </c>
      <c r="J61" s="381"/>
      <c r="K61" s="378" t="s">
        <v>22</v>
      </c>
      <c r="L61" s="379">
        <v>7844077.6500000004</v>
      </c>
    </row>
    <row r="62" spans="1:12" ht="51" x14ac:dyDescent="0.3">
      <c r="A62" s="373" t="s">
        <v>83</v>
      </c>
      <c r="B62" s="374" t="s">
        <v>934</v>
      </c>
      <c r="C62" s="374" t="s">
        <v>39</v>
      </c>
      <c r="D62" s="374" t="s">
        <v>894</v>
      </c>
      <c r="E62" s="375" t="s">
        <v>41</v>
      </c>
      <c r="F62" s="380" t="s">
        <v>28</v>
      </c>
      <c r="G62" s="380"/>
      <c r="H62" s="375" t="s">
        <v>27</v>
      </c>
      <c r="I62" s="382">
        <v>6320.16</v>
      </c>
      <c r="J62" s="382"/>
      <c r="K62" s="378" t="s">
        <v>22</v>
      </c>
      <c r="L62" s="379">
        <v>7837757.4900000002</v>
      </c>
    </row>
    <row r="63" spans="1:12" ht="61.2" x14ac:dyDescent="0.3">
      <c r="A63" s="373" t="s">
        <v>83</v>
      </c>
      <c r="B63" s="374" t="s">
        <v>937</v>
      </c>
      <c r="C63" s="374" t="s">
        <v>39</v>
      </c>
      <c r="D63" s="374" t="s">
        <v>895</v>
      </c>
      <c r="E63" s="375" t="s">
        <v>41</v>
      </c>
      <c r="F63" s="380" t="s">
        <v>28</v>
      </c>
      <c r="G63" s="380"/>
      <c r="H63" s="375" t="s">
        <v>27</v>
      </c>
      <c r="I63" s="381">
        <v>130</v>
      </c>
      <c r="J63" s="381"/>
      <c r="K63" s="378" t="s">
        <v>22</v>
      </c>
      <c r="L63" s="379">
        <v>7837627.4900000002</v>
      </c>
    </row>
    <row r="64" spans="1:12" ht="51" x14ac:dyDescent="0.3">
      <c r="A64" s="373" t="s">
        <v>83</v>
      </c>
      <c r="B64" s="374" t="s">
        <v>937</v>
      </c>
      <c r="C64" s="374" t="s">
        <v>39</v>
      </c>
      <c r="D64" s="374" t="s">
        <v>162</v>
      </c>
      <c r="E64" s="375" t="s">
        <v>41</v>
      </c>
      <c r="F64" s="380" t="s">
        <v>28</v>
      </c>
      <c r="G64" s="380"/>
      <c r="H64" s="375" t="s">
        <v>27</v>
      </c>
      <c r="I64" s="382">
        <v>65028.39</v>
      </c>
      <c r="J64" s="382"/>
      <c r="K64" s="378" t="s">
        <v>22</v>
      </c>
      <c r="L64" s="379">
        <v>7772599.0999999996</v>
      </c>
    </row>
    <row r="65" spans="1:12" ht="51" x14ac:dyDescent="0.3">
      <c r="A65" s="373" t="s">
        <v>83</v>
      </c>
      <c r="B65" s="374" t="s">
        <v>937</v>
      </c>
      <c r="C65" s="374" t="s">
        <v>39</v>
      </c>
      <c r="D65" s="374" t="s">
        <v>261</v>
      </c>
      <c r="E65" s="375" t="s">
        <v>41</v>
      </c>
      <c r="F65" s="380" t="s">
        <v>28</v>
      </c>
      <c r="G65" s="380"/>
      <c r="H65" s="375" t="s">
        <v>27</v>
      </c>
      <c r="I65" s="382">
        <v>8206.9699999999993</v>
      </c>
      <c r="J65" s="382"/>
      <c r="K65" s="378" t="s">
        <v>22</v>
      </c>
      <c r="L65" s="379">
        <v>7764392.1299999999</v>
      </c>
    </row>
    <row r="66" spans="1:12" ht="51" x14ac:dyDescent="0.3">
      <c r="A66" s="373" t="s">
        <v>83</v>
      </c>
      <c r="B66" s="374" t="s">
        <v>937</v>
      </c>
      <c r="C66" s="374" t="s">
        <v>39</v>
      </c>
      <c r="D66" s="374" t="s">
        <v>261</v>
      </c>
      <c r="E66" s="375" t="s">
        <v>41</v>
      </c>
      <c r="F66" s="380" t="s">
        <v>28</v>
      </c>
      <c r="G66" s="380"/>
      <c r="H66" s="375" t="s">
        <v>27</v>
      </c>
      <c r="I66" s="382">
        <v>5862.12</v>
      </c>
      <c r="J66" s="382"/>
      <c r="K66" s="378" t="s">
        <v>22</v>
      </c>
      <c r="L66" s="379">
        <v>7758530.0099999998</v>
      </c>
    </row>
    <row r="67" spans="1:12" ht="51" x14ac:dyDescent="0.3">
      <c r="A67" s="373" t="s">
        <v>83</v>
      </c>
      <c r="B67" s="374" t="s">
        <v>937</v>
      </c>
      <c r="C67" s="374" t="s">
        <v>39</v>
      </c>
      <c r="D67" s="374" t="s">
        <v>261</v>
      </c>
      <c r="E67" s="375" t="s">
        <v>41</v>
      </c>
      <c r="F67" s="380" t="s">
        <v>28</v>
      </c>
      <c r="G67" s="380"/>
      <c r="H67" s="375" t="s">
        <v>27</v>
      </c>
      <c r="I67" s="382">
        <v>6643.73</v>
      </c>
      <c r="J67" s="382"/>
      <c r="K67" s="378" t="s">
        <v>22</v>
      </c>
      <c r="L67" s="379">
        <v>7751886.2800000003</v>
      </c>
    </row>
    <row r="68" spans="1:12" ht="51" x14ac:dyDescent="0.3">
      <c r="A68" s="373" t="s">
        <v>83</v>
      </c>
      <c r="B68" s="374" t="s">
        <v>937</v>
      </c>
      <c r="C68" s="374" t="s">
        <v>39</v>
      </c>
      <c r="D68" s="374" t="s">
        <v>647</v>
      </c>
      <c r="E68" s="375" t="s">
        <v>41</v>
      </c>
      <c r="F68" s="380" t="s">
        <v>28</v>
      </c>
      <c r="G68" s="380"/>
      <c r="H68" s="375" t="s">
        <v>27</v>
      </c>
      <c r="I68" s="382">
        <v>18794.919999999998</v>
      </c>
      <c r="J68" s="382"/>
      <c r="K68" s="378" t="s">
        <v>22</v>
      </c>
      <c r="L68" s="379">
        <v>7733091.3600000003</v>
      </c>
    </row>
    <row r="69" spans="1:12" ht="51" x14ac:dyDescent="0.3">
      <c r="A69" s="373" t="s">
        <v>83</v>
      </c>
      <c r="B69" s="374" t="s">
        <v>937</v>
      </c>
      <c r="C69" s="374" t="s">
        <v>39</v>
      </c>
      <c r="D69" s="374" t="s">
        <v>894</v>
      </c>
      <c r="E69" s="375" t="s">
        <v>41</v>
      </c>
      <c r="F69" s="380" t="s">
        <v>28</v>
      </c>
      <c r="G69" s="380"/>
      <c r="H69" s="375" t="s">
        <v>27</v>
      </c>
      <c r="I69" s="382">
        <v>1646.57</v>
      </c>
      <c r="J69" s="382"/>
      <c r="K69" s="378" t="s">
        <v>22</v>
      </c>
      <c r="L69" s="379">
        <v>7731444.79</v>
      </c>
    </row>
    <row r="70" spans="1:12" ht="61.2" x14ac:dyDescent="0.3">
      <c r="A70" s="373" t="s">
        <v>83</v>
      </c>
      <c r="B70" s="374" t="s">
        <v>938</v>
      </c>
      <c r="C70" s="374" t="s">
        <v>39</v>
      </c>
      <c r="D70" s="374" t="s">
        <v>939</v>
      </c>
      <c r="E70" s="375" t="s">
        <v>41</v>
      </c>
      <c r="F70" s="380" t="s">
        <v>28</v>
      </c>
      <c r="G70" s="380"/>
      <c r="H70" s="375" t="s">
        <v>27</v>
      </c>
      <c r="I70" s="382">
        <v>4888.91</v>
      </c>
      <c r="J70" s="382"/>
      <c r="K70" s="378" t="s">
        <v>22</v>
      </c>
      <c r="L70" s="379">
        <v>7726555.8799999999</v>
      </c>
    </row>
    <row r="71" spans="1:12" ht="61.2" x14ac:dyDescent="0.3">
      <c r="A71" s="373" t="s">
        <v>83</v>
      </c>
      <c r="B71" s="374" t="s">
        <v>938</v>
      </c>
      <c r="C71" s="374" t="s">
        <v>39</v>
      </c>
      <c r="D71" s="374" t="s">
        <v>940</v>
      </c>
      <c r="E71" s="375" t="s">
        <v>41</v>
      </c>
      <c r="F71" s="380" t="s">
        <v>28</v>
      </c>
      <c r="G71" s="380"/>
      <c r="H71" s="375" t="s">
        <v>27</v>
      </c>
      <c r="I71" s="382">
        <v>2632.11</v>
      </c>
      <c r="J71" s="382"/>
      <c r="K71" s="378" t="s">
        <v>22</v>
      </c>
      <c r="L71" s="379">
        <v>7723923.7699999996</v>
      </c>
    </row>
    <row r="72" spans="1:12" ht="51" x14ac:dyDescent="0.3">
      <c r="A72" s="373" t="s">
        <v>83</v>
      </c>
      <c r="B72" s="374" t="s">
        <v>938</v>
      </c>
      <c r="C72" s="374" t="s">
        <v>39</v>
      </c>
      <c r="D72" s="374" t="s">
        <v>941</v>
      </c>
      <c r="E72" s="375" t="s">
        <v>41</v>
      </c>
      <c r="F72" s="380" t="s">
        <v>28</v>
      </c>
      <c r="G72" s="380"/>
      <c r="H72" s="375" t="s">
        <v>27</v>
      </c>
      <c r="I72" s="382">
        <v>3144.17</v>
      </c>
      <c r="J72" s="382"/>
      <c r="K72" s="378" t="s">
        <v>22</v>
      </c>
      <c r="L72" s="379">
        <v>7720779.5999999996</v>
      </c>
    </row>
    <row r="73" spans="1:12" ht="51" x14ac:dyDescent="0.3">
      <c r="A73" s="373" t="s">
        <v>83</v>
      </c>
      <c r="B73" s="374" t="s">
        <v>938</v>
      </c>
      <c r="C73" s="374" t="s">
        <v>39</v>
      </c>
      <c r="D73" s="374" t="s">
        <v>942</v>
      </c>
      <c r="E73" s="375" t="s">
        <v>41</v>
      </c>
      <c r="F73" s="380" t="s">
        <v>28</v>
      </c>
      <c r="G73" s="380"/>
      <c r="H73" s="375" t="s">
        <v>27</v>
      </c>
      <c r="I73" s="382">
        <v>3173.62</v>
      </c>
      <c r="J73" s="382"/>
      <c r="K73" s="378" t="s">
        <v>22</v>
      </c>
      <c r="L73" s="379">
        <v>7717605.9800000004</v>
      </c>
    </row>
    <row r="74" spans="1:12" ht="61.2" x14ac:dyDescent="0.3">
      <c r="A74" s="373" t="s">
        <v>83</v>
      </c>
      <c r="B74" s="374" t="s">
        <v>938</v>
      </c>
      <c r="C74" s="374" t="s">
        <v>39</v>
      </c>
      <c r="D74" s="374" t="s">
        <v>943</v>
      </c>
      <c r="E74" s="375" t="s">
        <v>41</v>
      </c>
      <c r="F74" s="380" t="s">
        <v>28</v>
      </c>
      <c r="G74" s="380"/>
      <c r="H74" s="375" t="s">
        <v>27</v>
      </c>
      <c r="I74" s="382">
        <v>31294.34</v>
      </c>
      <c r="J74" s="382"/>
      <c r="K74" s="378" t="s">
        <v>22</v>
      </c>
      <c r="L74" s="379">
        <v>7686311.6399999997</v>
      </c>
    </row>
    <row r="75" spans="1:12" ht="51" x14ac:dyDescent="0.3">
      <c r="A75" s="373" t="s">
        <v>83</v>
      </c>
      <c r="B75" s="374" t="s">
        <v>938</v>
      </c>
      <c r="C75" s="374" t="s">
        <v>39</v>
      </c>
      <c r="D75" s="374" t="s">
        <v>944</v>
      </c>
      <c r="E75" s="375" t="s">
        <v>41</v>
      </c>
      <c r="F75" s="380" t="s">
        <v>28</v>
      </c>
      <c r="G75" s="380"/>
      <c r="H75" s="375" t="s">
        <v>27</v>
      </c>
      <c r="I75" s="382">
        <v>20480.75</v>
      </c>
      <c r="J75" s="382"/>
      <c r="K75" s="378" t="s">
        <v>22</v>
      </c>
      <c r="L75" s="379">
        <v>7665830.8899999997</v>
      </c>
    </row>
    <row r="76" spans="1:12" ht="51" x14ac:dyDescent="0.3">
      <c r="A76" s="373" t="s">
        <v>83</v>
      </c>
      <c r="B76" s="374" t="s">
        <v>938</v>
      </c>
      <c r="C76" s="374" t="s">
        <v>39</v>
      </c>
      <c r="D76" s="374" t="s">
        <v>945</v>
      </c>
      <c r="E76" s="375" t="s">
        <v>41</v>
      </c>
      <c r="F76" s="380" t="s">
        <v>28</v>
      </c>
      <c r="G76" s="380"/>
      <c r="H76" s="375" t="s">
        <v>27</v>
      </c>
      <c r="I76" s="382">
        <v>7830.61</v>
      </c>
      <c r="J76" s="382"/>
      <c r="K76" s="378" t="s">
        <v>22</v>
      </c>
      <c r="L76" s="379">
        <v>7658000.2800000003</v>
      </c>
    </row>
    <row r="77" spans="1:12" ht="51" x14ac:dyDescent="0.3">
      <c r="A77" s="373" t="s">
        <v>83</v>
      </c>
      <c r="B77" s="374" t="s">
        <v>938</v>
      </c>
      <c r="C77" s="374" t="s">
        <v>39</v>
      </c>
      <c r="D77" s="374" t="s">
        <v>946</v>
      </c>
      <c r="E77" s="375" t="s">
        <v>41</v>
      </c>
      <c r="F77" s="380" t="s">
        <v>28</v>
      </c>
      <c r="G77" s="380"/>
      <c r="H77" s="375" t="s">
        <v>27</v>
      </c>
      <c r="I77" s="381">
        <v>81.38</v>
      </c>
      <c r="J77" s="381"/>
      <c r="K77" s="378" t="s">
        <v>22</v>
      </c>
      <c r="L77" s="379">
        <v>7657918.9000000004</v>
      </c>
    </row>
    <row r="78" spans="1:12" ht="61.2" x14ac:dyDescent="0.3">
      <c r="A78" s="373" t="s">
        <v>83</v>
      </c>
      <c r="B78" s="374" t="s">
        <v>938</v>
      </c>
      <c r="C78" s="374" t="s">
        <v>39</v>
      </c>
      <c r="D78" s="374" t="s">
        <v>947</v>
      </c>
      <c r="E78" s="375" t="s">
        <v>41</v>
      </c>
      <c r="F78" s="380" t="s">
        <v>28</v>
      </c>
      <c r="G78" s="380"/>
      <c r="H78" s="375" t="s">
        <v>27</v>
      </c>
      <c r="I78" s="382">
        <v>8704.25</v>
      </c>
      <c r="J78" s="382"/>
      <c r="K78" s="378" t="s">
        <v>22</v>
      </c>
      <c r="L78" s="379">
        <v>7649214.6500000004</v>
      </c>
    </row>
    <row r="79" spans="1:12" ht="61.2" x14ac:dyDescent="0.3">
      <c r="A79" s="373" t="s">
        <v>83</v>
      </c>
      <c r="B79" s="374" t="s">
        <v>938</v>
      </c>
      <c r="C79" s="374" t="s">
        <v>39</v>
      </c>
      <c r="D79" s="374" t="s">
        <v>948</v>
      </c>
      <c r="E79" s="375" t="s">
        <v>41</v>
      </c>
      <c r="F79" s="380" t="s">
        <v>28</v>
      </c>
      <c r="G79" s="380"/>
      <c r="H79" s="375" t="s">
        <v>27</v>
      </c>
      <c r="I79" s="382">
        <v>78933.16</v>
      </c>
      <c r="J79" s="382"/>
      <c r="K79" s="378" t="s">
        <v>22</v>
      </c>
      <c r="L79" s="379">
        <v>7570281.4900000002</v>
      </c>
    </row>
    <row r="80" spans="1:12" ht="51" x14ac:dyDescent="0.3">
      <c r="A80" s="373" t="s">
        <v>83</v>
      </c>
      <c r="B80" s="374" t="s">
        <v>938</v>
      </c>
      <c r="C80" s="374" t="s">
        <v>39</v>
      </c>
      <c r="D80" s="374" t="s">
        <v>949</v>
      </c>
      <c r="E80" s="375" t="s">
        <v>41</v>
      </c>
      <c r="F80" s="380" t="s">
        <v>28</v>
      </c>
      <c r="G80" s="380"/>
      <c r="H80" s="375" t="s">
        <v>27</v>
      </c>
      <c r="I80" s="382">
        <v>14968.92</v>
      </c>
      <c r="J80" s="382"/>
      <c r="K80" s="378" t="s">
        <v>22</v>
      </c>
      <c r="L80" s="379">
        <v>7555312.5700000003</v>
      </c>
    </row>
    <row r="81" spans="1:12" ht="51" x14ac:dyDescent="0.3">
      <c r="A81" s="373" t="s">
        <v>83</v>
      </c>
      <c r="B81" s="374" t="s">
        <v>938</v>
      </c>
      <c r="C81" s="374" t="s">
        <v>39</v>
      </c>
      <c r="D81" s="374" t="s">
        <v>950</v>
      </c>
      <c r="E81" s="375" t="s">
        <v>41</v>
      </c>
      <c r="F81" s="380" t="s">
        <v>28</v>
      </c>
      <c r="G81" s="380"/>
      <c r="H81" s="375" t="s">
        <v>27</v>
      </c>
      <c r="I81" s="382">
        <v>8996.67</v>
      </c>
      <c r="J81" s="382"/>
      <c r="K81" s="378" t="s">
        <v>22</v>
      </c>
      <c r="L81" s="379">
        <v>7546315.9000000004</v>
      </c>
    </row>
    <row r="82" spans="1:12" ht="61.2" x14ac:dyDescent="0.3">
      <c r="A82" s="373" t="s">
        <v>83</v>
      </c>
      <c r="B82" s="374" t="s">
        <v>938</v>
      </c>
      <c r="C82" s="374" t="s">
        <v>39</v>
      </c>
      <c r="D82" s="374" t="s">
        <v>951</v>
      </c>
      <c r="E82" s="375" t="s">
        <v>41</v>
      </c>
      <c r="F82" s="380" t="s">
        <v>28</v>
      </c>
      <c r="G82" s="380"/>
      <c r="H82" s="375" t="s">
        <v>27</v>
      </c>
      <c r="I82" s="382">
        <v>67843.33</v>
      </c>
      <c r="J82" s="382"/>
      <c r="K82" s="378" t="s">
        <v>22</v>
      </c>
      <c r="L82" s="379">
        <v>7478472.5700000003</v>
      </c>
    </row>
    <row r="83" spans="1:12" ht="51" x14ac:dyDescent="0.3">
      <c r="A83" s="373" t="s">
        <v>83</v>
      </c>
      <c r="B83" s="374" t="s">
        <v>938</v>
      </c>
      <c r="C83" s="374" t="s">
        <v>39</v>
      </c>
      <c r="D83" s="374" t="s">
        <v>952</v>
      </c>
      <c r="E83" s="375" t="s">
        <v>41</v>
      </c>
      <c r="F83" s="380" t="s">
        <v>28</v>
      </c>
      <c r="G83" s="380"/>
      <c r="H83" s="375" t="s">
        <v>27</v>
      </c>
      <c r="I83" s="382">
        <v>36064.39</v>
      </c>
      <c r="J83" s="382"/>
      <c r="K83" s="378" t="s">
        <v>22</v>
      </c>
      <c r="L83" s="379">
        <v>7442408.1799999997</v>
      </c>
    </row>
    <row r="84" spans="1:12" ht="51" x14ac:dyDescent="0.3">
      <c r="A84" s="373" t="s">
        <v>83</v>
      </c>
      <c r="B84" s="374" t="s">
        <v>938</v>
      </c>
      <c r="C84" s="374" t="s">
        <v>39</v>
      </c>
      <c r="D84" s="374" t="s">
        <v>953</v>
      </c>
      <c r="E84" s="375" t="s">
        <v>41</v>
      </c>
      <c r="F84" s="380" t="s">
        <v>28</v>
      </c>
      <c r="G84" s="380"/>
      <c r="H84" s="375" t="s">
        <v>27</v>
      </c>
      <c r="I84" s="382">
        <v>5365</v>
      </c>
      <c r="J84" s="382"/>
      <c r="K84" s="378" t="s">
        <v>22</v>
      </c>
      <c r="L84" s="379">
        <v>7437043.1799999997</v>
      </c>
    </row>
    <row r="85" spans="1:12" ht="61.2" x14ac:dyDescent="0.3">
      <c r="A85" s="373" t="s">
        <v>83</v>
      </c>
      <c r="B85" s="374" t="s">
        <v>938</v>
      </c>
      <c r="C85" s="374" t="s">
        <v>39</v>
      </c>
      <c r="D85" s="374" t="s">
        <v>954</v>
      </c>
      <c r="E85" s="375" t="s">
        <v>41</v>
      </c>
      <c r="F85" s="380" t="s">
        <v>28</v>
      </c>
      <c r="G85" s="380"/>
      <c r="H85" s="375" t="s">
        <v>27</v>
      </c>
      <c r="I85" s="382">
        <v>19500</v>
      </c>
      <c r="J85" s="382"/>
      <c r="K85" s="378" t="s">
        <v>22</v>
      </c>
      <c r="L85" s="379">
        <v>7417543.1799999997</v>
      </c>
    </row>
    <row r="86" spans="1:12" ht="51" x14ac:dyDescent="0.3">
      <c r="A86" s="373" t="s">
        <v>83</v>
      </c>
      <c r="B86" s="374" t="s">
        <v>938</v>
      </c>
      <c r="C86" s="374" t="s">
        <v>39</v>
      </c>
      <c r="D86" s="374" t="s">
        <v>942</v>
      </c>
      <c r="E86" s="375" t="s">
        <v>41</v>
      </c>
      <c r="F86" s="380" t="s">
        <v>28</v>
      </c>
      <c r="G86" s="380"/>
      <c r="H86" s="375" t="s">
        <v>27</v>
      </c>
      <c r="I86" s="382">
        <v>10551.63</v>
      </c>
      <c r="J86" s="382"/>
      <c r="K86" s="378" t="s">
        <v>22</v>
      </c>
      <c r="L86" s="379">
        <v>7406991.5499999998</v>
      </c>
    </row>
    <row r="87" spans="1:12" ht="51" x14ac:dyDescent="0.3">
      <c r="A87" s="373" t="s">
        <v>83</v>
      </c>
      <c r="B87" s="374" t="s">
        <v>938</v>
      </c>
      <c r="C87" s="374" t="s">
        <v>39</v>
      </c>
      <c r="D87" s="374" t="s">
        <v>955</v>
      </c>
      <c r="E87" s="375" t="s">
        <v>41</v>
      </c>
      <c r="F87" s="380" t="s">
        <v>28</v>
      </c>
      <c r="G87" s="380"/>
      <c r="H87" s="375" t="s">
        <v>27</v>
      </c>
      <c r="I87" s="382">
        <v>9222.5</v>
      </c>
      <c r="J87" s="382"/>
      <c r="K87" s="378" t="s">
        <v>22</v>
      </c>
      <c r="L87" s="379">
        <v>7397769.0499999998</v>
      </c>
    </row>
    <row r="88" spans="1:12" ht="51" x14ac:dyDescent="0.3">
      <c r="A88" s="373" t="s">
        <v>83</v>
      </c>
      <c r="B88" s="374" t="s">
        <v>938</v>
      </c>
      <c r="C88" s="374" t="s">
        <v>39</v>
      </c>
      <c r="D88" s="374" t="s">
        <v>956</v>
      </c>
      <c r="E88" s="375" t="s">
        <v>41</v>
      </c>
      <c r="F88" s="380" t="s">
        <v>28</v>
      </c>
      <c r="G88" s="380"/>
      <c r="H88" s="375" t="s">
        <v>27</v>
      </c>
      <c r="I88" s="382">
        <v>19927.34</v>
      </c>
      <c r="J88" s="382"/>
      <c r="K88" s="378" t="s">
        <v>22</v>
      </c>
      <c r="L88" s="379">
        <v>7377841.71</v>
      </c>
    </row>
    <row r="89" spans="1:12" ht="51" x14ac:dyDescent="0.3">
      <c r="A89" s="373" t="s">
        <v>83</v>
      </c>
      <c r="B89" s="374" t="s">
        <v>938</v>
      </c>
      <c r="C89" s="374" t="s">
        <v>39</v>
      </c>
      <c r="D89" s="374" t="s">
        <v>957</v>
      </c>
      <c r="E89" s="375" t="s">
        <v>41</v>
      </c>
      <c r="F89" s="380" t="s">
        <v>28</v>
      </c>
      <c r="G89" s="380"/>
      <c r="H89" s="375" t="s">
        <v>27</v>
      </c>
      <c r="I89" s="382">
        <v>39053.480000000003</v>
      </c>
      <c r="J89" s="382"/>
      <c r="K89" s="378" t="s">
        <v>22</v>
      </c>
      <c r="L89" s="379">
        <v>7338788.2300000004</v>
      </c>
    </row>
    <row r="90" spans="1:12" ht="51" x14ac:dyDescent="0.3">
      <c r="A90" s="373" t="s">
        <v>83</v>
      </c>
      <c r="B90" s="374" t="s">
        <v>938</v>
      </c>
      <c r="C90" s="374" t="s">
        <v>39</v>
      </c>
      <c r="D90" s="374" t="s">
        <v>957</v>
      </c>
      <c r="E90" s="375" t="s">
        <v>41</v>
      </c>
      <c r="F90" s="380" t="s">
        <v>28</v>
      </c>
      <c r="G90" s="380"/>
      <c r="H90" s="375" t="s">
        <v>27</v>
      </c>
      <c r="I90" s="382">
        <v>104037.98</v>
      </c>
      <c r="J90" s="382"/>
      <c r="K90" s="378" t="s">
        <v>22</v>
      </c>
      <c r="L90" s="379">
        <v>7234750.25</v>
      </c>
    </row>
    <row r="91" spans="1:12" ht="51" x14ac:dyDescent="0.3">
      <c r="A91" s="373" t="s">
        <v>83</v>
      </c>
      <c r="B91" s="374" t="s">
        <v>938</v>
      </c>
      <c r="C91" s="374" t="s">
        <v>39</v>
      </c>
      <c r="D91" s="374" t="s">
        <v>958</v>
      </c>
      <c r="E91" s="375" t="s">
        <v>41</v>
      </c>
      <c r="F91" s="380" t="s">
        <v>28</v>
      </c>
      <c r="G91" s="380"/>
      <c r="H91" s="375" t="s">
        <v>27</v>
      </c>
      <c r="I91" s="382">
        <v>1398.96</v>
      </c>
      <c r="J91" s="382"/>
      <c r="K91" s="378" t="s">
        <v>22</v>
      </c>
      <c r="L91" s="379">
        <v>7233351.29</v>
      </c>
    </row>
    <row r="92" spans="1:12" ht="61.2" x14ac:dyDescent="0.3">
      <c r="A92" s="373" t="s">
        <v>83</v>
      </c>
      <c r="B92" s="374" t="s">
        <v>938</v>
      </c>
      <c r="C92" s="374" t="s">
        <v>39</v>
      </c>
      <c r="D92" s="374" t="s">
        <v>948</v>
      </c>
      <c r="E92" s="375" t="s">
        <v>41</v>
      </c>
      <c r="F92" s="380" t="s">
        <v>28</v>
      </c>
      <c r="G92" s="380"/>
      <c r="H92" s="375" t="s">
        <v>27</v>
      </c>
      <c r="I92" s="382">
        <v>35525</v>
      </c>
      <c r="J92" s="382"/>
      <c r="K92" s="378" t="s">
        <v>22</v>
      </c>
      <c r="L92" s="379">
        <v>7197826.29</v>
      </c>
    </row>
    <row r="93" spans="1:12" ht="51" x14ac:dyDescent="0.3">
      <c r="A93" s="373" t="s">
        <v>83</v>
      </c>
      <c r="B93" s="374" t="s">
        <v>938</v>
      </c>
      <c r="C93" s="374" t="s">
        <v>39</v>
      </c>
      <c r="D93" s="374" t="s">
        <v>959</v>
      </c>
      <c r="E93" s="375" t="s">
        <v>41</v>
      </c>
      <c r="F93" s="380" t="s">
        <v>28</v>
      </c>
      <c r="G93" s="380"/>
      <c r="H93" s="375" t="s">
        <v>27</v>
      </c>
      <c r="I93" s="382">
        <v>193916.9</v>
      </c>
      <c r="J93" s="382"/>
      <c r="K93" s="378" t="s">
        <v>22</v>
      </c>
      <c r="L93" s="379">
        <v>7003909.3899999997</v>
      </c>
    </row>
    <row r="94" spans="1:12" ht="51" x14ac:dyDescent="0.3">
      <c r="A94" s="373" t="s">
        <v>83</v>
      </c>
      <c r="B94" s="374" t="s">
        <v>938</v>
      </c>
      <c r="C94" s="374" t="s">
        <v>39</v>
      </c>
      <c r="D94" s="374" t="s">
        <v>956</v>
      </c>
      <c r="E94" s="375" t="s">
        <v>41</v>
      </c>
      <c r="F94" s="380" t="s">
        <v>28</v>
      </c>
      <c r="G94" s="380"/>
      <c r="H94" s="375" t="s">
        <v>27</v>
      </c>
      <c r="I94" s="382">
        <v>21639.4</v>
      </c>
      <c r="J94" s="382"/>
      <c r="K94" s="378" t="s">
        <v>22</v>
      </c>
      <c r="L94" s="379">
        <v>6982269.9900000002</v>
      </c>
    </row>
    <row r="95" spans="1:12" ht="51" x14ac:dyDescent="0.3">
      <c r="A95" s="373" t="s">
        <v>83</v>
      </c>
      <c r="B95" s="374" t="s">
        <v>938</v>
      </c>
      <c r="C95" s="374" t="s">
        <v>39</v>
      </c>
      <c r="D95" s="374" t="s">
        <v>960</v>
      </c>
      <c r="E95" s="375" t="s">
        <v>41</v>
      </c>
      <c r="F95" s="380" t="s">
        <v>28</v>
      </c>
      <c r="G95" s="380"/>
      <c r="H95" s="375" t="s">
        <v>27</v>
      </c>
      <c r="I95" s="382">
        <v>111986.01</v>
      </c>
      <c r="J95" s="382"/>
      <c r="K95" s="378" t="s">
        <v>22</v>
      </c>
      <c r="L95" s="379">
        <v>6870283.9800000004</v>
      </c>
    </row>
    <row r="96" spans="1:12" ht="51" x14ac:dyDescent="0.3">
      <c r="A96" s="373" t="s">
        <v>83</v>
      </c>
      <c r="B96" s="374" t="s">
        <v>938</v>
      </c>
      <c r="C96" s="374" t="s">
        <v>39</v>
      </c>
      <c r="D96" s="374" t="s">
        <v>944</v>
      </c>
      <c r="E96" s="375" t="s">
        <v>41</v>
      </c>
      <c r="F96" s="380" t="s">
        <v>28</v>
      </c>
      <c r="G96" s="380"/>
      <c r="H96" s="375" t="s">
        <v>27</v>
      </c>
      <c r="I96" s="382">
        <v>71206.990000000005</v>
      </c>
      <c r="J96" s="382"/>
      <c r="K96" s="378" t="s">
        <v>22</v>
      </c>
      <c r="L96" s="379">
        <v>6799076.9900000002</v>
      </c>
    </row>
    <row r="97" spans="1:12" ht="51" x14ac:dyDescent="0.3">
      <c r="A97" s="373" t="s">
        <v>83</v>
      </c>
      <c r="B97" s="374" t="s">
        <v>938</v>
      </c>
      <c r="C97" s="374" t="s">
        <v>39</v>
      </c>
      <c r="D97" s="374" t="s">
        <v>961</v>
      </c>
      <c r="E97" s="375" t="s">
        <v>41</v>
      </c>
      <c r="F97" s="380" t="s">
        <v>28</v>
      </c>
      <c r="G97" s="380"/>
      <c r="H97" s="375" t="s">
        <v>27</v>
      </c>
      <c r="I97" s="382">
        <v>8707.25</v>
      </c>
      <c r="J97" s="382"/>
      <c r="K97" s="378" t="s">
        <v>22</v>
      </c>
      <c r="L97" s="379">
        <v>6790369.7400000002</v>
      </c>
    </row>
    <row r="98" spans="1:12" ht="51" x14ac:dyDescent="0.3">
      <c r="A98" s="373" t="s">
        <v>83</v>
      </c>
      <c r="B98" s="374" t="s">
        <v>938</v>
      </c>
      <c r="C98" s="374" t="s">
        <v>39</v>
      </c>
      <c r="D98" s="374" t="s">
        <v>961</v>
      </c>
      <c r="E98" s="375" t="s">
        <v>41</v>
      </c>
      <c r="F98" s="380" t="s">
        <v>28</v>
      </c>
      <c r="G98" s="380"/>
      <c r="H98" s="375" t="s">
        <v>27</v>
      </c>
      <c r="I98" s="382">
        <v>234269.29</v>
      </c>
      <c r="J98" s="382"/>
      <c r="K98" s="378" t="s">
        <v>22</v>
      </c>
      <c r="L98" s="379">
        <v>6556100.4500000002</v>
      </c>
    </row>
    <row r="99" spans="1:12" ht="51" x14ac:dyDescent="0.3">
      <c r="A99" s="373" t="s">
        <v>83</v>
      </c>
      <c r="B99" s="374" t="s">
        <v>938</v>
      </c>
      <c r="C99" s="374" t="s">
        <v>39</v>
      </c>
      <c r="D99" s="374" t="s">
        <v>962</v>
      </c>
      <c r="E99" s="375" t="s">
        <v>41</v>
      </c>
      <c r="F99" s="380" t="s">
        <v>28</v>
      </c>
      <c r="G99" s="380"/>
      <c r="H99" s="375" t="s">
        <v>27</v>
      </c>
      <c r="I99" s="382">
        <v>27120</v>
      </c>
      <c r="J99" s="382"/>
      <c r="K99" s="378" t="s">
        <v>22</v>
      </c>
      <c r="L99" s="379">
        <v>6528980.4500000002</v>
      </c>
    </row>
    <row r="100" spans="1:12" ht="51" x14ac:dyDescent="0.3">
      <c r="A100" s="373" t="s">
        <v>83</v>
      </c>
      <c r="B100" s="374" t="s">
        <v>938</v>
      </c>
      <c r="C100" s="374" t="s">
        <v>39</v>
      </c>
      <c r="D100" s="374" t="s">
        <v>962</v>
      </c>
      <c r="E100" s="375" t="s">
        <v>41</v>
      </c>
      <c r="F100" s="380" t="s">
        <v>28</v>
      </c>
      <c r="G100" s="380"/>
      <c r="H100" s="375" t="s">
        <v>27</v>
      </c>
      <c r="I100" s="382">
        <v>181380</v>
      </c>
      <c r="J100" s="382"/>
      <c r="K100" s="378" t="s">
        <v>22</v>
      </c>
      <c r="L100" s="379">
        <v>6347600.4500000002</v>
      </c>
    </row>
    <row r="101" spans="1:12" ht="51" x14ac:dyDescent="0.3">
      <c r="A101" s="373" t="s">
        <v>83</v>
      </c>
      <c r="B101" s="374" t="s">
        <v>938</v>
      </c>
      <c r="C101" s="374" t="s">
        <v>39</v>
      </c>
      <c r="D101" s="374" t="s">
        <v>963</v>
      </c>
      <c r="E101" s="375" t="s">
        <v>41</v>
      </c>
      <c r="F101" s="380" t="s">
        <v>28</v>
      </c>
      <c r="G101" s="380"/>
      <c r="H101" s="375" t="s">
        <v>27</v>
      </c>
      <c r="I101" s="382">
        <v>16464.78</v>
      </c>
      <c r="J101" s="382"/>
      <c r="K101" s="378" t="s">
        <v>22</v>
      </c>
      <c r="L101" s="379">
        <v>6331135.6699999999</v>
      </c>
    </row>
    <row r="102" spans="1:12" ht="51" x14ac:dyDescent="0.3">
      <c r="A102" s="373" t="s">
        <v>83</v>
      </c>
      <c r="B102" s="374" t="s">
        <v>938</v>
      </c>
      <c r="C102" s="374" t="s">
        <v>39</v>
      </c>
      <c r="D102" s="374" t="s">
        <v>964</v>
      </c>
      <c r="E102" s="375" t="s">
        <v>41</v>
      </c>
      <c r="F102" s="380" t="s">
        <v>28</v>
      </c>
      <c r="G102" s="380"/>
      <c r="H102" s="375" t="s">
        <v>27</v>
      </c>
      <c r="I102" s="382">
        <v>24408.12</v>
      </c>
      <c r="J102" s="382"/>
      <c r="K102" s="378" t="s">
        <v>22</v>
      </c>
      <c r="L102" s="379">
        <v>6306727.5499999998</v>
      </c>
    </row>
    <row r="103" spans="1:12" ht="51" x14ac:dyDescent="0.3">
      <c r="A103" s="373" t="s">
        <v>83</v>
      </c>
      <c r="B103" s="374" t="s">
        <v>938</v>
      </c>
      <c r="C103" s="374" t="s">
        <v>39</v>
      </c>
      <c r="D103" s="374" t="s">
        <v>965</v>
      </c>
      <c r="E103" s="375" t="s">
        <v>41</v>
      </c>
      <c r="F103" s="380" t="s">
        <v>28</v>
      </c>
      <c r="G103" s="380"/>
      <c r="H103" s="375" t="s">
        <v>27</v>
      </c>
      <c r="I103" s="382">
        <v>27852.400000000001</v>
      </c>
      <c r="J103" s="382"/>
      <c r="K103" s="378" t="s">
        <v>22</v>
      </c>
      <c r="L103" s="379">
        <v>6278875.1500000004</v>
      </c>
    </row>
    <row r="104" spans="1:12" ht="51" x14ac:dyDescent="0.3">
      <c r="A104" s="373" t="s">
        <v>83</v>
      </c>
      <c r="B104" s="374" t="s">
        <v>938</v>
      </c>
      <c r="C104" s="374" t="s">
        <v>39</v>
      </c>
      <c r="D104" s="374" t="s">
        <v>966</v>
      </c>
      <c r="E104" s="375" t="s">
        <v>41</v>
      </c>
      <c r="F104" s="380" t="s">
        <v>28</v>
      </c>
      <c r="G104" s="380"/>
      <c r="H104" s="375" t="s">
        <v>27</v>
      </c>
      <c r="I104" s="382">
        <v>2381.4</v>
      </c>
      <c r="J104" s="382"/>
      <c r="K104" s="378" t="s">
        <v>22</v>
      </c>
      <c r="L104" s="379">
        <v>6276493.75</v>
      </c>
    </row>
    <row r="105" spans="1:12" ht="51" x14ac:dyDescent="0.3">
      <c r="A105" s="373" t="s">
        <v>83</v>
      </c>
      <c r="B105" s="374" t="s">
        <v>938</v>
      </c>
      <c r="C105" s="374" t="s">
        <v>39</v>
      </c>
      <c r="D105" s="374" t="s">
        <v>967</v>
      </c>
      <c r="E105" s="375" t="s">
        <v>41</v>
      </c>
      <c r="F105" s="380" t="s">
        <v>28</v>
      </c>
      <c r="G105" s="380"/>
      <c r="H105" s="375" t="s">
        <v>27</v>
      </c>
      <c r="I105" s="382">
        <v>14094.53</v>
      </c>
      <c r="J105" s="382"/>
      <c r="K105" s="378" t="s">
        <v>22</v>
      </c>
      <c r="L105" s="379">
        <v>6262399.2199999997</v>
      </c>
    </row>
    <row r="106" spans="1:12" ht="51" x14ac:dyDescent="0.3">
      <c r="A106" s="373" t="s">
        <v>83</v>
      </c>
      <c r="B106" s="374" t="s">
        <v>938</v>
      </c>
      <c r="C106" s="374" t="s">
        <v>39</v>
      </c>
      <c r="D106" s="374" t="s">
        <v>968</v>
      </c>
      <c r="E106" s="375" t="s">
        <v>41</v>
      </c>
      <c r="F106" s="380" t="s">
        <v>28</v>
      </c>
      <c r="G106" s="380"/>
      <c r="H106" s="375" t="s">
        <v>27</v>
      </c>
      <c r="I106" s="382">
        <v>26994.94</v>
      </c>
      <c r="J106" s="382"/>
      <c r="K106" s="378" t="s">
        <v>22</v>
      </c>
      <c r="L106" s="379">
        <v>6235404.2800000003</v>
      </c>
    </row>
    <row r="107" spans="1:12" ht="51" x14ac:dyDescent="0.3">
      <c r="A107" s="373" t="s">
        <v>83</v>
      </c>
      <c r="B107" s="374" t="s">
        <v>938</v>
      </c>
      <c r="C107" s="374" t="s">
        <v>39</v>
      </c>
      <c r="D107" s="374" t="s">
        <v>969</v>
      </c>
      <c r="E107" s="375" t="s">
        <v>41</v>
      </c>
      <c r="F107" s="380" t="s">
        <v>28</v>
      </c>
      <c r="G107" s="380"/>
      <c r="H107" s="375" t="s">
        <v>27</v>
      </c>
      <c r="I107" s="382">
        <v>6318.87</v>
      </c>
      <c r="J107" s="382"/>
      <c r="K107" s="378" t="s">
        <v>22</v>
      </c>
      <c r="L107" s="379">
        <v>6229085.4100000001</v>
      </c>
    </row>
    <row r="108" spans="1:12" ht="51" x14ac:dyDescent="0.3">
      <c r="A108" s="373" t="s">
        <v>83</v>
      </c>
      <c r="B108" s="374" t="s">
        <v>938</v>
      </c>
      <c r="C108" s="374" t="s">
        <v>39</v>
      </c>
      <c r="D108" s="374" t="s">
        <v>970</v>
      </c>
      <c r="E108" s="375" t="s">
        <v>41</v>
      </c>
      <c r="F108" s="380" t="s">
        <v>28</v>
      </c>
      <c r="G108" s="380"/>
      <c r="H108" s="375" t="s">
        <v>27</v>
      </c>
      <c r="I108" s="382">
        <v>5839.46</v>
      </c>
      <c r="J108" s="382"/>
      <c r="K108" s="378" t="s">
        <v>22</v>
      </c>
      <c r="L108" s="379">
        <v>6223245.9500000002</v>
      </c>
    </row>
    <row r="109" spans="1:12" ht="51" x14ac:dyDescent="0.3">
      <c r="A109" s="373" t="s">
        <v>83</v>
      </c>
      <c r="B109" s="374" t="s">
        <v>938</v>
      </c>
      <c r="C109" s="374" t="s">
        <v>39</v>
      </c>
      <c r="D109" s="374" t="s">
        <v>971</v>
      </c>
      <c r="E109" s="375" t="s">
        <v>41</v>
      </c>
      <c r="F109" s="380" t="s">
        <v>28</v>
      </c>
      <c r="G109" s="380"/>
      <c r="H109" s="375" t="s">
        <v>27</v>
      </c>
      <c r="I109" s="382">
        <v>5787.95</v>
      </c>
      <c r="J109" s="382"/>
      <c r="K109" s="378" t="s">
        <v>22</v>
      </c>
      <c r="L109" s="379">
        <v>6217458</v>
      </c>
    </row>
    <row r="110" spans="1:12" ht="51" x14ac:dyDescent="0.3">
      <c r="A110" s="373" t="s">
        <v>83</v>
      </c>
      <c r="B110" s="374" t="s">
        <v>938</v>
      </c>
      <c r="C110" s="374" t="s">
        <v>39</v>
      </c>
      <c r="D110" s="374" t="s">
        <v>972</v>
      </c>
      <c r="E110" s="375" t="s">
        <v>41</v>
      </c>
      <c r="F110" s="380" t="s">
        <v>28</v>
      </c>
      <c r="G110" s="380"/>
      <c r="H110" s="375" t="s">
        <v>27</v>
      </c>
      <c r="I110" s="382">
        <v>10276.200000000001</v>
      </c>
      <c r="J110" s="382"/>
      <c r="K110" s="378" t="s">
        <v>22</v>
      </c>
      <c r="L110" s="379">
        <v>6207181.7999999998</v>
      </c>
    </row>
    <row r="111" spans="1:12" ht="51" x14ac:dyDescent="0.3">
      <c r="A111" s="373" t="s">
        <v>83</v>
      </c>
      <c r="B111" s="374" t="s">
        <v>938</v>
      </c>
      <c r="C111" s="374" t="s">
        <v>39</v>
      </c>
      <c r="D111" s="374" t="s">
        <v>973</v>
      </c>
      <c r="E111" s="375" t="s">
        <v>41</v>
      </c>
      <c r="F111" s="380" t="s">
        <v>28</v>
      </c>
      <c r="G111" s="380"/>
      <c r="H111" s="375" t="s">
        <v>27</v>
      </c>
      <c r="I111" s="382">
        <v>13446.11</v>
      </c>
      <c r="J111" s="382"/>
      <c r="K111" s="378" t="s">
        <v>22</v>
      </c>
      <c r="L111" s="379">
        <v>6193735.6900000004</v>
      </c>
    </row>
    <row r="112" spans="1:12" ht="61.2" hidden="1" x14ac:dyDescent="0.3">
      <c r="A112" s="373" t="s">
        <v>98</v>
      </c>
      <c r="B112" s="374" t="s">
        <v>645</v>
      </c>
      <c r="C112" s="374" t="s">
        <v>646</v>
      </c>
      <c r="D112" s="374" t="s">
        <v>647</v>
      </c>
      <c r="E112" s="375" t="s">
        <v>27</v>
      </c>
      <c r="F112" s="380" t="s">
        <v>28</v>
      </c>
      <c r="G112" s="380"/>
      <c r="H112" s="375" t="s">
        <v>27</v>
      </c>
      <c r="I112" s="382">
        <v>37390.080000000002</v>
      </c>
      <c r="J112" s="382"/>
      <c r="K112" s="378" t="s">
        <v>22</v>
      </c>
      <c r="L112" s="379">
        <v>6156345.6100000003</v>
      </c>
    </row>
    <row r="113" spans="1:12" ht="51" hidden="1" x14ac:dyDescent="0.3">
      <c r="A113" s="373" t="s">
        <v>98</v>
      </c>
      <c r="B113" s="374" t="s">
        <v>974</v>
      </c>
      <c r="C113" s="374" t="s">
        <v>975</v>
      </c>
      <c r="D113" s="374" t="s">
        <v>976</v>
      </c>
      <c r="E113" s="375" t="s">
        <v>27</v>
      </c>
      <c r="F113" s="376">
        <v>2312.3000000000002</v>
      </c>
      <c r="G113" s="376"/>
      <c r="H113" s="375" t="s">
        <v>977</v>
      </c>
      <c r="I113" s="377" t="s">
        <v>28</v>
      </c>
      <c r="J113" s="377"/>
      <c r="K113" s="378" t="s">
        <v>22</v>
      </c>
      <c r="L113" s="379">
        <v>6158657.9100000001</v>
      </c>
    </row>
    <row r="114" spans="1:12" ht="61.2" hidden="1" x14ac:dyDescent="0.3">
      <c r="A114" s="373" t="s">
        <v>98</v>
      </c>
      <c r="B114" s="374" t="s">
        <v>648</v>
      </c>
      <c r="C114" s="374" t="s">
        <v>649</v>
      </c>
      <c r="D114" s="374" t="s">
        <v>540</v>
      </c>
      <c r="E114" s="375" t="s">
        <v>27</v>
      </c>
      <c r="F114" s="376">
        <v>1423.79</v>
      </c>
      <c r="G114" s="376"/>
      <c r="H114" s="375" t="s">
        <v>27</v>
      </c>
      <c r="I114" s="377" t="s">
        <v>28</v>
      </c>
      <c r="J114" s="377"/>
      <c r="K114" s="378" t="s">
        <v>22</v>
      </c>
      <c r="L114" s="379">
        <v>6160081.7000000002</v>
      </c>
    </row>
    <row r="115" spans="1:12" ht="61.2" hidden="1" x14ac:dyDescent="0.3">
      <c r="A115" s="373" t="s">
        <v>98</v>
      </c>
      <c r="B115" s="374" t="s">
        <v>648</v>
      </c>
      <c r="C115" s="374" t="s">
        <v>244</v>
      </c>
      <c r="D115" s="374" t="s">
        <v>246</v>
      </c>
      <c r="E115" s="375" t="s">
        <v>27</v>
      </c>
      <c r="F115" s="376">
        <v>11252</v>
      </c>
      <c r="G115" s="376"/>
      <c r="H115" s="375" t="s">
        <v>27</v>
      </c>
      <c r="I115" s="377" t="s">
        <v>28</v>
      </c>
      <c r="J115" s="377"/>
      <c r="K115" s="378" t="s">
        <v>22</v>
      </c>
      <c r="L115" s="379">
        <v>6171333.7000000002</v>
      </c>
    </row>
    <row r="116" spans="1:12" ht="61.2" hidden="1" x14ac:dyDescent="0.3">
      <c r="A116" s="373" t="s">
        <v>98</v>
      </c>
      <c r="B116" s="374" t="s">
        <v>648</v>
      </c>
      <c r="C116" s="374" t="s">
        <v>253</v>
      </c>
      <c r="D116" s="374" t="s">
        <v>255</v>
      </c>
      <c r="E116" s="375" t="s">
        <v>27</v>
      </c>
      <c r="F116" s="376">
        <v>9328</v>
      </c>
      <c r="G116" s="376"/>
      <c r="H116" s="375" t="s">
        <v>27</v>
      </c>
      <c r="I116" s="377" t="s">
        <v>28</v>
      </c>
      <c r="J116" s="377"/>
      <c r="K116" s="378" t="s">
        <v>22</v>
      </c>
      <c r="L116" s="379">
        <v>6180661.7000000002</v>
      </c>
    </row>
    <row r="117" spans="1:12" ht="61.2" hidden="1" x14ac:dyDescent="0.3">
      <c r="A117" s="373" t="s">
        <v>98</v>
      </c>
      <c r="B117" s="374" t="s">
        <v>648</v>
      </c>
      <c r="C117" s="374" t="s">
        <v>261</v>
      </c>
      <c r="D117" s="374" t="s">
        <v>263</v>
      </c>
      <c r="E117" s="375" t="s">
        <v>27</v>
      </c>
      <c r="F117" s="376">
        <v>3908.08</v>
      </c>
      <c r="G117" s="376"/>
      <c r="H117" s="375" t="s">
        <v>27</v>
      </c>
      <c r="I117" s="377" t="s">
        <v>28</v>
      </c>
      <c r="J117" s="377"/>
      <c r="K117" s="378" t="s">
        <v>22</v>
      </c>
      <c r="L117" s="379">
        <v>6184569.7800000003</v>
      </c>
    </row>
    <row r="118" spans="1:12" ht="61.2" hidden="1" x14ac:dyDescent="0.3">
      <c r="A118" s="373" t="s">
        <v>98</v>
      </c>
      <c r="B118" s="374" t="s">
        <v>648</v>
      </c>
      <c r="C118" s="374" t="s">
        <v>647</v>
      </c>
      <c r="D118" s="374" t="s">
        <v>646</v>
      </c>
      <c r="E118" s="375" t="s">
        <v>27</v>
      </c>
      <c r="F118" s="376">
        <v>24971.11</v>
      </c>
      <c r="G118" s="376"/>
      <c r="H118" s="375" t="s">
        <v>27</v>
      </c>
      <c r="I118" s="377" t="s">
        <v>28</v>
      </c>
      <c r="J118" s="377"/>
      <c r="K118" s="378" t="s">
        <v>22</v>
      </c>
      <c r="L118" s="379">
        <v>6209540.8899999997</v>
      </c>
    </row>
    <row r="119" spans="1:12" ht="61.2" hidden="1" x14ac:dyDescent="0.3">
      <c r="A119" s="373" t="s">
        <v>98</v>
      </c>
      <c r="B119" s="374" t="s">
        <v>648</v>
      </c>
      <c r="C119" s="374" t="s">
        <v>650</v>
      </c>
      <c r="D119" s="374" t="s">
        <v>283</v>
      </c>
      <c r="E119" s="375" t="s">
        <v>27</v>
      </c>
      <c r="F119" s="376">
        <v>8205.33</v>
      </c>
      <c r="G119" s="376"/>
      <c r="H119" s="375" t="s">
        <v>27</v>
      </c>
      <c r="I119" s="377" t="s">
        <v>28</v>
      </c>
      <c r="J119" s="377"/>
      <c r="K119" s="378" t="s">
        <v>22</v>
      </c>
      <c r="L119" s="379">
        <v>6217746.2199999997</v>
      </c>
    </row>
    <row r="120" spans="1:12" ht="61.2" hidden="1" x14ac:dyDescent="0.3">
      <c r="A120" s="373" t="s">
        <v>98</v>
      </c>
      <c r="B120" s="374" t="s">
        <v>648</v>
      </c>
      <c r="C120" s="374" t="s">
        <v>651</v>
      </c>
      <c r="D120" s="374" t="s">
        <v>652</v>
      </c>
      <c r="E120" s="375" t="s">
        <v>27</v>
      </c>
      <c r="F120" s="376">
        <v>7387.5</v>
      </c>
      <c r="G120" s="376"/>
      <c r="H120" s="375" t="s">
        <v>27</v>
      </c>
      <c r="I120" s="377" t="s">
        <v>28</v>
      </c>
      <c r="J120" s="377"/>
      <c r="K120" s="378" t="s">
        <v>22</v>
      </c>
      <c r="L120" s="379">
        <v>6225133.7199999997</v>
      </c>
    </row>
    <row r="121" spans="1:12" ht="51" hidden="1" x14ac:dyDescent="0.3">
      <c r="A121" s="373" t="s">
        <v>98</v>
      </c>
      <c r="B121" s="374" t="s">
        <v>159</v>
      </c>
      <c r="C121" s="374" t="s">
        <v>160</v>
      </c>
      <c r="D121" s="374" t="s">
        <v>161</v>
      </c>
      <c r="E121" s="375" t="s">
        <v>27</v>
      </c>
      <c r="F121" s="376">
        <v>5035.45</v>
      </c>
      <c r="G121" s="376"/>
      <c r="H121" s="375" t="s">
        <v>27</v>
      </c>
      <c r="I121" s="377" t="s">
        <v>28</v>
      </c>
      <c r="J121" s="377"/>
      <c r="K121" s="378" t="s">
        <v>22</v>
      </c>
      <c r="L121" s="379">
        <v>6230169.1699999999</v>
      </c>
    </row>
    <row r="122" spans="1:12" ht="51" hidden="1" x14ac:dyDescent="0.3">
      <c r="A122" s="373" t="s">
        <v>98</v>
      </c>
      <c r="B122" s="374" t="s">
        <v>159</v>
      </c>
      <c r="C122" s="374" t="s">
        <v>162</v>
      </c>
      <c r="D122" s="374" t="s">
        <v>137</v>
      </c>
      <c r="E122" s="375" t="s">
        <v>27</v>
      </c>
      <c r="F122" s="376">
        <v>3941.11</v>
      </c>
      <c r="G122" s="376"/>
      <c r="H122" s="375" t="s">
        <v>27</v>
      </c>
      <c r="I122" s="377" t="s">
        <v>28</v>
      </c>
      <c r="J122" s="377"/>
      <c r="K122" s="378" t="s">
        <v>22</v>
      </c>
      <c r="L122" s="379">
        <v>6234110.2800000003</v>
      </c>
    </row>
    <row r="123" spans="1:12" ht="61.2" hidden="1" x14ac:dyDescent="0.3">
      <c r="A123" s="373" t="s">
        <v>98</v>
      </c>
      <c r="B123" s="374" t="s">
        <v>883</v>
      </c>
      <c r="C123" s="374" t="s">
        <v>884</v>
      </c>
      <c r="D123" s="374" t="s">
        <v>225</v>
      </c>
      <c r="E123" s="375" t="s">
        <v>27</v>
      </c>
      <c r="F123" s="376">
        <v>19619.77</v>
      </c>
      <c r="G123" s="376"/>
      <c r="H123" s="375" t="s">
        <v>27</v>
      </c>
      <c r="I123" s="377" t="s">
        <v>28</v>
      </c>
      <c r="J123" s="377"/>
      <c r="K123" s="378" t="s">
        <v>22</v>
      </c>
      <c r="L123" s="379">
        <v>6253730.0499999998</v>
      </c>
    </row>
    <row r="124" spans="1:12" ht="61.2" hidden="1" x14ac:dyDescent="0.3">
      <c r="A124" s="373" t="s">
        <v>98</v>
      </c>
      <c r="B124" s="374" t="s">
        <v>689</v>
      </c>
      <c r="C124" s="374" t="s">
        <v>690</v>
      </c>
      <c r="D124" s="374" t="s">
        <v>110</v>
      </c>
      <c r="E124" s="375" t="s">
        <v>27</v>
      </c>
      <c r="F124" s="376">
        <v>23977.83</v>
      </c>
      <c r="G124" s="376"/>
      <c r="H124" s="375" t="s">
        <v>27</v>
      </c>
      <c r="I124" s="377" t="s">
        <v>28</v>
      </c>
      <c r="J124" s="377"/>
      <c r="K124" s="378" t="s">
        <v>22</v>
      </c>
      <c r="L124" s="379">
        <v>6277707.8799999999</v>
      </c>
    </row>
    <row r="125" spans="1:12" ht="51" x14ac:dyDescent="0.3">
      <c r="A125" s="373" t="s">
        <v>98</v>
      </c>
      <c r="B125" s="374" t="s">
        <v>978</v>
      </c>
      <c r="C125" s="374" t="s">
        <v>39</v>
      </c>
      <c r="D125" s="374" t="s">
        <v>916</v>
      </c>
      <c r="E125" s="375" t="s">
        <v>41</v>
      </c>
      <c r="F125" s="380" t="s">
        <v>28</v>
      </c>
      <c r="G125" s="380"/>
      <c r="H125" s="375" t="s">
        <v>27</v>
      </c>
      <c r="I125" s="382">
        <v>36994.199999999997</v>
      </c>
      <c r="J125" s="382"/>
      <c r="K125" s="378" t="s">
        <v>22</v>
      </c>
      <c r="L125" s="379">
        <v>6240713.6799999997</v>
      </c>
    </row>
    <row r="126" spans="1:12" ht="51" x14ac:dyDescent="0.3">
      <c r="A126" s="373" t="s">
        <v>98</v>
      </c>
      <c r="B126" s="374" t="s">
        <v>978</v>
      </c>
      <c r="C126" s="374" t="s">
        <v>39</v>
      </c>
      <c r="D126" s="374" t="s">
        <v>918</v>
      </c>
      <c r="E126" s="375" t="s">
        <v>41</v>
      </c>
      <c r="F126" s="380" t="s">
        <v>28</v>
      </c>
      <c r="G126" s="380"/>
      <c r="H126" s="375" t="s">
        <v>27</v>
      </c>
      <c r="I126" s="382">
        <v>9034.92</v>
      </c>
      <c r="J126" s="382"/>
      <c r="K126" s="378" t="s">
        <v>22</v>
      </c>
      <c r="L126" s="379">
        <v>6231678.7599999998</v>
      </c>
    </row>
    <row r="127" spans="1:12" ht="51" x14ac:dyDescent="0.3">
      <c r="A127" s="373" t="s">
        <v>98</v>
      </c>
      <c r="B127" s="374" t="s">
        <v>978</v>
      </c>
      <c r="C127" s="374" t="s">
        <v>39</v>
      </c>
      <c r="D127" s="374" t="s">
        <v>924</v>
      </c>
      <c r="E127" s="375" t="s">
        <v>41</v>
      </c>
      <c r="F127" s="380" t="s">
        <v>28</v>
      </c>
      <c r="G127" s="380"/>
      <c r="H127" s="375" t="s">
        <v>27</v>
      </c>
      <c r="I127" s="382">
        <v>9034.92</v>
      </c>
      <c r="J127" s="382"/>
      <c r="K127" s="378" t="s">
        <v>22</v>
      </c>
      <c r="L127" s="379">
        <v>6222643.8399999999</v>
      </c>
    </row>
    <row r="128" spans="1:12" ht="51" x14ac:dyDescent="0.3">
      <c r="A128" s="373" t="s">
        <v>98</v>
      </c>
      <c r="B128" s="374" t="s">
        <v>978</v>
      </c>
      <c r="C128" s="374" t="s">
        <v>39</v>
      </c>
      <c r="D128" s="374" t="s">
        <v>922</v>
      </c>
      <c r="E128" s="375" t="s">
        <v>41</v>
      </c>
      <c r="F128" s="380" t="s">
        <v>28</v>
      </c>
      <c r="G128" s="380"/>
      <c r="H128" s="375" t="s">
        <v>27</v>
      </c>
      <c r="I128" s="382">
        <v>36994.199999999997</v>
      </c>
      <c r="J128" s="382"/>
      <c r="K128" s="378" t="s">
        <v>22</v>
      </c>
      <c r="L128" s="379">
        <v>6185649.6399999997</v>
      </c>
    </row>
    <row r="129" spans="1:12" ht="51" x14ac:dyDescent="0.3">
      <c r="A129" s="373" t="s">
        <v>98</v>
      </c>
      <c r="B129" s="374" t="s">
        <v>978</v>
      </c>
      <c r="C129" s="374" t="s">
        <v>39</v>
      </c>
      <c r="D129" s="374" t="s">
        <v>920</v>
      </c>
      <c r="E129" s="375" t="s">
        <v>41</v>
      </c>
      <c r="F129" s="380" t="s">
        <v>28</v>
      </c>
      <c r="G129" s="380"/>
      <c r="H129" s="375" t="s">
        <v>27</v>
      </c>
      <c r="I129" s="382">
        <v>32770.199999999997</v>
      </c>
      <c r="J129" s="382"/>
      <c r="K129" s="378" t="s">
        <v>22</v>
      </c>
      <c r="L129" s="379">
        <v>6152879.4400000004</v>
      </c>
    </row>
    <row r="130" spans="1:12" ht="51" x14ac:dyDescent="0.3">
      <c r="A130" s="373" t="s">
        <v>98</v>
      </c>
      <c r="B130" s="374" t="s">
        <v>978</v>
      </c>
      <c r="C130" s="374" t="s">
        <v>39</v>
      </c>
      <c r="D130" s="374" t="s">
        <v>926</v>
      </c>
      <c r="E130" s="375" t="s">
        <v>41</v>
      </c>
      <c r="F130" s="380" t="s">
        <v>28</v>
      </c>
      <c r="G130" s="380"/>
      <c r="H130" s="375" t="s">
        <v>27</v>
      </c>
      <c r="I130" s="382">
        <v>32770.199999999997</v>
      </c>
      <c r="J130" s="382"/>
      <c r="K130" s="378" t="s">
        <v>22</v>
      </c>
      <c r="L130" s="379">
        <v>6120109.2400000002</v>
      </c>
    </row>
    <row r="131" spans="1:12" ht="61.2" x14ac:dyDescent="0.3">
      <c r="A131" s="373" t="s">
        <v>98</v>
      </c>
      <c r="B131" s="374" t="s">
        <v>978</v>
      </c>
      <c r="C131" s="374" t="s">
        <v>39</v>
      </c>
      <c r="D131" s="374" t="s">
        <v>913</v>
      </c>
      <c r="E131" s="375" t="s">
        <v>41</v>
      </c>
      <c r="F131" s="380" t="s">
        <v>28</v>
      </c>
      <c r="G131" s="380"/>
      <c r="H131" s="375" t="s">
        <v>27</v>
      </c>
      <c r="I131" s="382">
        <v>206517.5</v>
      </c>
      <c r="J131" s="382"/>
      <c r="K131" s="378" t="s">
        <v>22</v>
      </c>
      <c r="L131" s="379">
        <v>5913591.7400000002</v>
      </c>
    </row>
    <row r="132" spans="1:12" ht="51" x14ac:dyDescent="0.3">
      <c r="A132" s="373" t="s">
        <v>98</v>
      </c>
      <c r="B132" s="374" t="s">
        <v>979</v>
      </c>
      <c r="C132" s="374" t="s">
        <v>39</v>
      </c>
      <c r="D132" s="374" t="s">
        <v>160</v>
      </c>
      <c r="E132" s="375" t="s">
        <v>41</v>
      </c>
      <c r="F132" s="380" t="s">
        <v>28</v>
      </c>
      <c r="G132" s="380"/>
      <c r="H132" s="375" t="s">
        <v>27</v>
      </c>
      <c r="I132" s="382">
        <v>5035.45</v>
      </c>
      <c r="J132" s="382"/>
      <c r="K132" s="378" t="s">
        <v>22</v>
      </c>
      <c r="L132" s="379">
        <v>5908556.29</v>
      </c>
    </row>
    <row r="133" spans="1:12" ht="51" x14ac:dyDescent="0.3">
      <c r="A133" s="373" t="s">
        <v>98</v>
      </c>
      <c r="B133" s="374" t="s">
        <v>979</v>
      </c>
      <c r="C133" s="374" t="s">
        <v>39</v>
      </c>
      <c r="D133" s="374" t="s">
        <v>649</v>
      </c>
      <c r="E133" s="375" t="s">
        <v>41</v>
      </c>
      <c r="F133" s="380" t="s">
        <v>28</v>
      </c>
      <c r="G133" s="380"/>
      <c r="H133" s="375" t="s">
        <v>27</v>
      </c>
      <c r="I133" s="382">
        <v>1423.79</v>
      </c>
      <c r="J133" s="382"/>
      <c r="K133" s="378" t="s">
        <v>22</v>
      </c>
      <c r="L133" s="379">
        <v>5907132.5</v>
      </c>
    </row>
    <row r="134" spans="1:12" ht="51" x14ac:dyDescent="0.3">
      <c r="A134" s="373" t="s">
        <v>98</v>
      </c>
      <c r="B134" s="374" t="s">
        <v>979</v>
      </c>
      <c r="C134" s="374" t="s">
        <v>39</v>
      </c>
      <c r="D134" s="374" t="s">
        <v>244</v>
      </c>
      <c r="E134" s="375" t="s">
        <v>41</v>
      </c>
      <c r="F134" s="380" t="s">
        <v>28</v>
      </c>
      <c r="G134" s="380"/>
      <c r="H134" s="375" t="s">
        <v>27</v>
      </c>
      <c r="I134" s="382">
        <v>10126.799999999999</v>
      </c>
      <c r="J134" s="382"/>
      <c r="K134" s="378" t="s">
        <v>22</v>
      </c>
      <c r="L134" s="379">
        <v>5897005.7000000002</v>
      </c>
    </row>
    <row r="135" spans="1:12" ht="51" x14ac:dyDescent="0.3">
      <c r="A135" s="373" t="s">
        <v>98</v>
      </c>
      <c r="B135" s="374" t="s">
        <v>979</v>
      </c>
      <c r="C135" s="374" t="s">
        <v>39</v>
      </c>
      <c r="D135" s="374" t="s">
        <v>244</v>
      </c>
      <c r="E135" s="375" t="s">
        <v>41</v>
      </c>
      <c r="F135" s="380" t="s">
        <v>28</v>
      </c>
      <c r="G135" s="380"/>
      <c r="H135" s="375" t="s">
        <v>27</v>
      </c>
      <c r="I135" s="382">
        <v>1125.2</v>
      </c>
      <c r="J135" s="382"/>
      <c r="K135" s="378" t="s">
        <v>22</v>
      </c>
      <c r="L135" s="379">
        <v>5895880.5</v>
      </c>
    </row>
    <row r="136" spans="1:12" ht="51" x14ac:dyDescent="0.3">
      <c r="A136" s="373" t="s">
        <v>98</v>
      </c>
      <c r="B136" s="374" t="s">
        <v>979</v>
      </c>
      <c r="C136" s="374" t="s">
        <v>39</v>
      </c>
      <c r="D136" s="374" t="s">
        <v>253</v>
      </c>
      <c r="E136" s="375" t="s">
        <v>41</v>
      </c>
      <c r="F136" s="380" t="s">
        <v>28</v>
      </c>
      <c r="G136" s="380"/>
      <c r="H136" s="375" t="s">
        <v>27</v>
      </c>
      <c r="I136" s="382">
        <v>7928.8</v>
      </c>
      <c r="J136" s="382"/>
      <c r="K136" s="378" t="s">
        <v>22</v>
      </c>
      <c r="L136" s="379">
        <v>5887951.7000000002</v>
      </c>
    </row>
    <row r="137" spans="1:12" ht="51" x14ac:dyDescent="0.3">
      <c r="A137" s="373" t="s">
        <v>98</v>
      </c>
      <c r="B137" s="374" t="s">
        <v>979</v>
      </c>
      <c r="C137" s="374" t="s">
        <v>39</v>
      </c>
      <c r="D137" s="374" t="s">
        <v>647</v>
      </c>
      <c r="E137" s="375" t="s">
        <v>41</v>
      </c>
      <c r="F137" s="380" t="s">
        <v>28</v>
      </c>
      <c r="G137" s="380"/>
      <c r="H137" s="375" t="s">
        <v>27</v>
      </c>
      <c r="I137" s="382">
        <v>24971.11</v>
      </c>
      <c r="J137" s="382"/>
      <c r="K137" s="378" t="s">
        <v>22</v>
      </c>
      <c r="L137" s="379">
        <v>5862980.5899999999</v>
      </c>
    </row>
    <row r="138" spans="1:12" ht="51" x14ac:dyDescent="0.3">
      <c r="A138" s="373" t="s">
        <v>98</v>
      </c>
      <c r="B138" s="374" t="s">
        <v>979</v>
      </c>
      <c r="C138" s="374" t="s">
        <v>39</v>
      </c>
      <c r="D138" s="374" t="s">
        <v>162</v>
      </c>
      <c r="E138" s="375" t="s">
        <v>41</v>
      </c>
      <c r="F138" s="380" t="s">
        <v>28</v>
      </c>
      <c r="G138" s="380"/>
      <c r="H138" s="375" t="s">
        <v>27</v>
      </c>
      <c r="I138" s="382">
        <v>3941.11</v>
      </c>
      <c r="J138" s="382"/>
      <c r="K138" s="378" t="s">
        <v>22</v>
      </c>
      <c r="L138" s="379">
        <v>5859039.4800000004</v>
      </c>
    </row>
    <row r="139" spans="1:12" ht="51" x14ac:dyDescent="0.3">
      <c r="A139" s="373" t="s">
        <v>98</v>
      </c>
      <c r="B139" s="374" t="s">
        <v>979</v>
      </c>
      <c r="C139" s="374" t="s">
        <v>39</v>
      </c>
      <c r="D139" s="374" t="s">
        <v>650</v>
      </c>
      <c r="E139" s="375" t="s">
        <v>41</v>
      </c>
      <c r="F139" s="380" t="s">
        <v>28</v>
      </c>
      <c r="G139" s="380"/>
      <c r="H139" s="375" t="s">
        <v>27</v>
      </c>
      <c r="I139" s="382">
        <v>4102.67</v>
      </c>
      <c r="J139" s="382"/>
      <c r="K139" s="378" t="s">
        <v>22</v>
      </c>
      <c r="L139" s="379">
        <v>5854936.8099999996</v>
      </c>
    </row>
    <row r="140" spans="1:12" ht="51" x14ac:dyDescent="0.3">
      <c r="A140" s="373" t="s">
        <v>98</v>
      </c>
      <c r="B140" s="374" t="s">
        <v>979</v>
      </c>
      <c r="C140" s="374" t="s">
        <v>39</v>
      </c>
      <c r="D140" s="374" t="s">
        <v>253</v>
      </c>
      <c r="E140" s="375" t="s">
        <v>41</v>
      </c>
      <c r="F140" s="380" t="s">
        <v>28</v>
      </c>
      <c r="G140" s="380"/>
      <c r="H140" s="375" t="s">
        <v>27</v>
      </c>
      <c r="I140" s="382">
        <v>1399.2</v>
      </c>
      <c r="J140" s="382"/>
      <c r="K140" s="378" t="s">
        <v>22</v>
      </c>
      <c r="L140" s="379">
        <v>5853537.6100000003</v>
      </c>
    </row>
    <row r="141" spans="1:12" ht="51" x14ac:dyDescent="0.3">
      <c r="A141" s="373" t="s">
        <v>98</v>
      </c>
      <c r="B141" s="374" t="s">
        <v>979</v>
      </c>
      <c r="C141" s="374" t="s">
        <v>39</v>
      </c>
      <c r="D141" s="374" t="s">
        <v>261</v>
      </c>
      <c r="E141" s="375" t="s">
        <v>41</v>
      </c>
      <c r="F141" s="380" t="s">
        <v>28</v>
      </c>
      <c r="G141" s="380"/>
      <c r="H141" s="375" t="s">
        <v>27</v>
      </c>
      <c r="I141" s="382">
        <v>3908.08</v>
      </c>
      <c r="J141" s="382"/>
      <c r="K141" s="378" t="s">
        <v>22</v>
      </c>
      <c r="L141" s="379">
        <v>5849629.5300000003</v>
      </c>
    </row>
    <row r="142" spans="1:12" ht="51" x14ac:dyDescent="0.3">
      <c r="A142" s="373" t="s">
        <v>98</v>
      </c>
      <c r="B142" s="374" t="s">
        <v>979</v>
      </c>
      <c r="C142" s="374" t="s">
        <v>39</v>
      </c>
      <c r="D142" s="374" t="s">
        <v>650</v>
      </c>
      <c r="E142" s="375" t="s">
        <v>41</v>
      </c>
      <c r="F142" s="380" t="s">
        <v>28</v>
      </c>
      <c r="G142" s="380"/>
      <c r="H142" s="375" t="s">
        <v>27</v>
      </c>
      <c r="I142" s="382">
        <v>4102.66</v>
      </c>
      <c r="J142" s="382"/>
      <c r="K142" s="378" t="s">
        <v>22</v>
      </c>
      <c r="L142" s="379">
        <v>5845526.8700000001</v>
      </c>
    </row>
    <row r="143" spans="1:12" ht="51" x14ac:dyDescent="0.3">
      <c r="A143" s="373" t="s">
        <v>98</v>
      </c>
      <c r="B143" s="374" t="s">
        <v>979</v>
      </c>
      <c r="C143" s="374" t="s">
        <v>39</v>
      </c>
      <c r="D143" s="374" t="s">
        <v>651</v>
      </c>
      <c r="E143" s="375" t="s">
        <v>41</v>
      </c>
      <c r="F143" s="380" t="s">
        <v>28</v>
      </c>
      <c r="G143" s="380"/>
      <c r="H143" s="375" t="s">
        <v>27</v>
      </c>
      <c r="I143" s="382">
        <v>7387.5</v>
      </c>
      <c r="J143" s="382"/>
      <c r="K143" s="378" t="s">
        <v>22</v>
      </c>
      <c r="L143" s="379">
        <v>5838139.3700000001</v>
      </c>
    </row>
    <row r="144" spans="1:12" ht="51" x14ac:dyDescent="0.3">
      <c r="A144" s="373" t="s">
        <v>98</v>
      </c>
      <c r="B144" s="374" t="s">
        <v>979</v>
      </c>
      <c r="C144" s="374" t="s">
        <v>39</v>
      </c>
      <c r="D144" s="374" t="s">
        <v>975</v>
      </c>
      <c r="E144" s="375" t="s">
        <v>41</v>
      </c>
      <c r="F144" s="380" t="s">
        <v>28</v>
      </c>
      <c r="G144" s="380"/>
      <c r="H144" s="375" t="s">
        <v>27</v>
      </c>
      <c r="I144" s="382">
        <v>2312.3000000000002</v>
      </c>
      <c r="J144" s="382"/>
      <c r="K144" s="378" t="s">
        <v>22</v>
      </c>
      <c r="L144" s="379">
        <v>5835827.0700000003</v>
      </c>
    </row>
    <row r="145" spans="1:12" ht="61.2" x14ac:dyDescent="0.3">
      <c r="A145" s="373" t="s">
        <v>98</v>
      </c>
      <c r="B145" s="374" t="s">
        <v>979</v>
      </c>
      <c r="C145" s="374" t="s">
        <v>39</v>
      </c>
      <c r="D145" s="374" t="s">
        <v>980</v>
      </c>
      <c r="E145" s="375" t="s">
        <v>41</v>
      </c>
      <c r="F145" s="380" t="s">
        <v>28</v>
      </c>
      <c r="G145" s="380"/>
      <c r="H145" s="375" t="s">
        <v>27</v>
      </c>
      <c r="I145" s="382">
        <v>3101.92</v>
      </c>
      <c r="J145" s="382"/>
      <c r="K145" s="378" t="s">
        <v>22</v>
      </c>
      <c r="L145" s="379">
        <v>5832725.1500000004</v>
      </c>
    </row>
    <row r="146" spans="1:12" ht="61.2" x14ac:dyDescent="0.3">
      <c r="A146" s="373" t="s">
        <v>98</v>
      </c>
      <c r="B146" s="374" t="s">
        <v>979</v>
      </c>
      <c r="C146" s="374" t="s">
        <v>39</v>
      </c>
      <c r="D146" s="374" t="s">
        <v>980</v>
      </c>
      <c r="E146" s="375" t="s">
        <v>41</v>
      </c>
      <c r="F146" s="380" t="s">
        <v>28</v>
      </c>
      <c r="G146" s="380"/>
      <c r="H146" s="375" t="s">
        <v>27</v>
      </c>
      <c r="I146" s="382">
        <v>3101.92</v>
      </c>
      <c r="J146" s="382"/>
      <c r="K146" s="378" t="s">
        <v>22</v>
      </c>
      <c r="L146" s="379">
        <v>5829623.2300000004</v>
      </c>
    </row>
    <row r="147" spans="1:12" ht="61.2" x14ac:dyDescent="0.3">
      <c r="A147" s="373" t="s">
        <v>98</v>
      </c>
      <c r="B147" s="374" t="s">
        <v>981</v>
      </c>
      <c r="C147" s="374" t="s">
        <v>39</v>
      </c>
      <c r="D147" s="374" t="s">
        <v>982</v>
      </c>
      <c r="E147" s="375" t="s">
        <v>41</v>
      </c>
      <c r="F147" s="380" t="s">
        <v>28</v>
      </c>
      <c r="G147" s="380"/>
      <c r="H147" s="375" t="s">
        <v>27</v>
      </c>
      <c r="I147" s="382">
        <v>6042</v>
      </c>
      <c r="J147" s="382"/>
      <c r="K147" s="378" t="s">
        <v>22</v>
      </c>
      <c r="L147" s="379">
        <v>5823581.2300000004</v>
      </c>
    </row>
    <row r="148" spans="1:12" ht="51" x14ac:dyDescent="0.3">
      <c r="A148" s="373" t="s">
        <v>98</v>
      </c>
      <c r="B148" s="374" t="s">
        <v>981</v>
      </c>
      <c r="C148" s="374" t="s">
        <v>39</v>
      </c>
      <c r="D148" s="374" t="s">
        <v>953</v>
      </c>
      <c r="E148" s="375" t="s">
        <v>41</v>
      </c>
      <c r="F148" s="380" t="s">
        <v>28</v>
      </c>
      <c r="G148" s="380"/>
      <c r="H148" s="375" t="s">
        <v>27</v>
      </c>
      <c r="I148" s="382">
        <v>14065</v>
      </c>
      <c r="J148" s="382"/>
      <c r="K148" s="378" t="s">
        <v>22</v>
      </c>
      <c r="L148" s="379">
        <v>5809516.2300000004</v>
      </c>
    </row>
    <row r="149" spans="1:12" ht="61.2" x14ac:dyDescent="0.3">
      <c r="A149" s="373" t="s">
        <v>98</v>
      </c>
      <c r="B149" s="374" t="s">
        <v>981</v>
      </c>
      <c r="C149" s="374" t="s">
        <v>39</v>
      </c>
      <c r="D149" s="374" t="s">
        <v>983</v>
      </c>
      <c r="E149" s="375" t="s">
        <v>41</v>
      </c>
      <c r="F149" s="380" t="s">
        <v>28</v>
      </c>
      <c r="G149" s="380"/>
      <c r="H149" s="375" t="s">
        <v>27</v>
      </c>
      <c r="I149" s="381">
        <v>540.71</v>
      </c>
      <c r="J149" s="381"/>
      <c r="K149" s="378" t="s">
        <v>22</v>
      </c>
      <c r="L149" s="379">
        <v>5808975.5199999996</v>
      </c>
    </row>
    <row r="150" spans="1:12" ht="51" x14ac:dyDescent="0.3">
      <c r="A150" s="373" t="s">
        <v>98</v>
      </c>
      <c r="B150" s="374" t="s">
        <v>981</v>
      </c>
      <c r="C150" s="374" t="s">
        <v>39</v>
      </c>
      <c r="D150" s="374" t="s">
        <v>984</v>
      </c>
      <c r="E150" s="375" t="s">
        <v>41</v>
      </c>
      <c r="F150" s="380" t="s">
        <v>28</v>
      </c>
      <c r="G150" s="380"/>
      <c r="H150" s="375" t="s">
        <v>27</v>
      </c>
      <c r="I150" s="382">
        <v>12581.95</v>
      </c>
      <c r="J150" s="382"/>
      <c r="K150" s="378" t="s">
        <v>22</v>
      </c>
      <c r="L150" s="379">
        <v>5796393.5700000003</v>
      </c>
    </row>
    <row r="151" spans="1:12" ht="51" x14ac:dyDescent="0.3">
      <c r="A151" s="373" t="s">
        <v>98</v>
      </c>
      <c r="B151" s="374" t="s">
        <v>981</v>
      </c>
      <c r="C151" s="374" t="s">
        <v>39</v>
      </c>
      <c r="D151" s="374" t="s">
        <v>985</v>
      </c>
      <c r="E151" s="375" t="s">
        <v>41</v>
      </c>
      <c r="F151" s="380" t="s">
        <v>28</v>
      </c>
      <c r="G151" s="380"/>
      <c r="H151" s="375" t="s">
        <v>27</v>
      </c>
      <c r="I151" s="382">
        <v>170486.27</v>
      </c>
      <c r="J151" s="382"/>
      <c r="K151" s="378" t="s">
        <v>22</v>
      </c>
      <c r="L151" s="379">
        <v>5625907.2999999998</v>
      </c>
    </row>
    <row r="152" spans="1:12" ht="51" x14ac:dyDescent="0.3">
      <c r="A152" s="373" t="s">
        <v>98</v>
      </c>
      <c r="B152" s="374" t="s">
        <v>981</v>
      </c>
      <c r="C152" s="374" t="s">
        <v>39</v>
      </c>
      <c r="D152" s="374" t="s">
        <v>942</v>
      </c>
      <c r="E152" s="375" t="s">
        <v>41</v>
      </c>
      <c r="F152" s="380" t="s">
        <v>28</v>
      </c>
      <c r="G152" s="380"/>
      <c r="H152" s="375" t="s">
        <v>27</v>
      </c>
      <c r="I152" s="382">
        <v>7974.75</v>
      </c>
      <c r="J152" s="382"/>
      <c r="K152" s="378" t="s">
        <v>22</v>
      </c>
      <c r="L152" s="379">
        <v>5617932.5499999998</v>
      </c>
    </row>
    <row r="153" spans="1:12" ht="51" x14ac:dyDescent="0.3">
      <c r="A153" s="373" t="s">
        <v>98</v>
      </c>
      <c r="B153" s="374" t="s">
        <v>981</v>
      </c>
      <c r="C153" s="374" t="s">
        <v>39</v>
      </c>
      <c r="D153" s="374" t="s">
        <v>955</v>
      </c>
      <c r="E153" s="375" t="s">
        <v>41</v>
      </c>
      <c r="F153" s="380" t="s">
        <v>28</v>
      </c>
      <c r="G153" s="380"/>
      <c r="H153" s="375" t="s">
        <v>27</v>
      </c>
      <c r="I153" s="382">
        <v>2658.25</v>
      </c>
      <c r="J153" s="382"/>
      <c r="K153" s="378" t="s">
        <v>22</v>
      </c>
      <c r="L153" s="379">
        <v>5615274.2999999998</v>
      </c>
    </row>
    <row r="154" spans="1:12" ht="51" x14ac:dyDescent="0.3">
      <c r="A154" s="373" t="s">
        <v>98</v>
      </c>
      <c r="B154" s="374" t="s">
        <v>981</v>
      </c>
      <c r="C154" s="374" t="s">
        <v>39</v>
      </c>
      <c r="D154" s="374" t="s">
        <v>956</v>
      </c>
      <c r="E154" s="375" t="s">
        <v>41</v>
      </c>
      <c r="F154" s="380" t="s">
        <v>28</v>
      </c>
      <c r="G154" s="380"/>
      <c r="H154" s="375" t="s">
        <v>27</v>
      </c>
      <c r="I154" s="382">
        <v>9009.4</v>
      </c>
      <c r="J154" s="382"/>
      <c r="K154" s="378" t="s">
        <v>22</v>
      </c>
      <c r="L154" s="379">
        <v>5606264.9000000004</v>
      </c>
    </row>
    <row r="155" spans="1:12" ht="51" x14ac:dyDescent="0.3">
      <c r="A155" s="373" t="s">
        <v>98</v>
      </c>
      <c r="B155" s="374" t="s">
        <v>981</v>
      </c>
      <c r="C155" s="374" t="s">
        <v>39</v>
      </c>
      <c r="D155" s="374" t="s">
        <v>960</v>
      </c>
      <c r="E155" s="375" t="s">
        <v>41</v>
      </c>
      <c r="F155" s="380" t="s">
        <v>28</v>
      </c>
      <c r="G155" s="380"/>
      <c r="H155" s="375" t="s">
        <v>27</v>
      </c>
      <c r="I155" s="382">
        <v>1403.33</v>
      </c>
      <c r="J155" s="382"/>
      <c r="K155" s="378" t="s">
        <v>22</v>
      </c>
      <c r="L155" s="379">
        <v>5604861.5700000003</v>
      </c>
    </row>
    <row r="156" spans="1:12" ht="51" x14ac:dyDescent="0.3">
      <c r="A156" s="373" t="s">
        <v>98</v>
      </c>
      <c r="B156" s="374" t="s">
        <v>981</v>
      </c>
      <c r="C156" s="374" t="s">
        <v>39</v>
      </c>
      <c r="D156" s="374" t="s">
        <v>944</v>
      </c>
      <c r="E156" s="375" t="s">
        <v>41</v>
      </c>
      <c r="F156" s="380" t="s">
        <v>28</v>
      </c>
      <c r="G156" s="380"/>
      <c r="H156" s="375" t="s">
        <v>27</v>
      </c>
      <c r="I156" s="382">
        <v>39954.25</v>
      </c>
      <c r="J156" s="382"/>
      <c r="K156" s="378" t="s">
        <v>22</v>
      </c>
      <c r="L156" s="379">
        <v>5564907.3200000003</v>
      </c>
    </row>
    <row r="157" spans="1:12" ht="61.2" x14ac:dyDescent="0.3">
      <c r="A157" s="373" t="s">
        <v>98</v>
      </c>
      <c r="B157" s="374" t="s">
        <v>981</v>
      </c>
      <c r="C157" s="374" t="s">
        <v>39</v>
      </c>
      <c r="D157" s="374" t="s">
        <v>947</v>
      </c>
      <c r="E157" s="375" t="s">
        <v>41</v>
      </c>
      <c r="F157" s="380" t="s">
        <v>28</v>
      </c>
      <c r="G157" s="380"/>
      <c r="H157" s="375" t="s">
        <v>27</v>
      </c>
      <c r="I157" s="382">
        <v>5009.84</v>
      </c>
      <c r="J157" s="382"/>
      <c r="K157" s="378" t="s">
        <v>22</v>
      </c>
      <c r="L157" s="379">
        <v>5559897.4800000004</v>
      </c>
    </row>
    <row r="158" spans="1:12" ht="61.2" x14ac:dyDescent="0.3">
      <c r="A158" s="373" t="s">
        <v>98</v>
      </c>
      <c r="B158" s="374" t="s">
        <v>981</v>
      </c>
      <c r="C158" s="374" t="s">
        <v>39</v>
      </c>
      <c r="D158" s="374" t="s">
        <v>947</v>
      </c>
      <c r="E158" s="375" t="s">
        <v>41</v>
      </c>
      <c r="F158" s="380" t="s">
        <v>28</v>
      </c>
      <c r="G158" s="380"/>
      <c r="H158" s="375" t="s">
        <v>27</v>
      </c>
      <c r="I158" s="381">
        <v>139.94</v>
      </c>
      <c r="J158" s="381"/>
      <c r="K158" s="378" t="s">
        <v>22</v>
      </c>
      <c r="L158" s="379">
        <v>5559757.54</v>
      </c>
    </row>
    <row r="159" spans="1:12" ht="51" x14ac:dyDescent="0.3">
      <c r="A159" s="373" t="s">
        <v>98</v>
      </c>
      <c r="B159" s="374" t="s">
        <v>981</v>
      </c>
      <c r="C159" s="374" t="s">
        <v>39</v>
      </c>
      <c r="D159" s="374" t="s">
        <v>958</v>
      </c>
      <c r="E159" s="375" t="s">
        <v>41</v>
      </c>
      <c r="F159" s="380" t="s">
        <v>28</v>
      </c>
      <c r="G159" s="380"/>
      <c r="H159" s="375" t="s">
        <v>27</v>
      </c>
      <c r="I159" s="382">
        <v>203016.86</v>
      </c>
      <c r="J159" s="382"/>
      <c r="K159" s="378" t="s">
        <v>22</v>
      </c>
      <c r="L159" s="379">
        <v>5356740.68</v>
      </c>
    </row>
    <row r="160" spans="1:12" ht="61.2" x14ac:dyDescent="0.3">
      <c r="A160" s="373" t="s">
        <v>98</v>
      </c>
      <c r="B160" s="374" t="s">
        <v>981</v>
      </c>
      <c r="C160" s="374" t="s">
        <v>39</v>
      </c>
      <c r="D160" s="374" t="s">
        <v>948</v>
      </c>
      <c r="E160" s="375" t="s">
        <v>41</v>
      </c>
      <c r="F160" s="380" t="s">
        <v>28</v>
      </c>
      <c r="G160" s="380"/>
      <c r="H160" s="375" t="s">
        <v>27</v>
      </c>
      <c r="I160" s="382">
        <v>4093.83</v>
      </c>
      <c r="J160" s="382"/>
      <c r="K160" s="378" t="s">
        <v>22</v>
      </c>
      <c r="L160" s="379">
        <v>5352646.8499999996</v>
      </c>
    </row>
    <row r="161" spans="1:12" ht="51" x14ac:dyDescent="0.3">
      <c r="A161" s="373" t="s">
        <v>98</v>
      </c>
      <c r="B161" s="374" t="s">
        <v>981</v>
      </c>
      <c r="C161" s="374" t="s">
        <v>39</v>
      </c>
      <c r="D161" s="374" t="s">
        <v>963</v>
      </c>
      <c r="E161" s="375" t="s">
        <v>41</v>
      </c>
      <c r="F161" s="380" t="s">
        <v>28</v>
      </c>
      <c r="G161" s="380"/>
      <c r="H161" s="375" t="s">
        <v>27</v>
      </c>
      <c r="I161" s="382">
        <v>11001.64</v>
      </c>
      <c r="J161" s="382"/>
      <c r="K161" s="378" t="s">
        <v>22</v>
      </c>
      <c r="L161" s="379">
        <v>5341645.21</v>
      </c>
    </row>
    <row r="162" spans="1:12" ht="61.2" x14ac:dyDescent="0.3">
      <c r="A162" s="373" t="s">
        <v>98</v>
      </c>
      <c r="B162" s="374" t="s">
        <v>986</v>
      </c>
      <c r="C162" s="374" t="s">
        <v>39</v>
      </c>
      <c r="D162" s="374" t="s">
        <v>884</v>
      </c>
      <c r="E162" s="375" t="s">
        <v>41</v>
      </c>
      <c r="F162" s="380" t="s">
        <v>28</v>
      </c>
      <c r="G162" s="380"/>
      <c r="H162" s="375" t="s">
        <v>27</v>
      </c>
      <c r="I162" s="382">
        <v>19619.77</v>
      </c>
      <c r="J162" s="382"/>
      <c r="K162" s="378" t="s">
        <v>22</v>
      </c>
      <c r="L162" s="379">
        <v>5322025.4400000004</v>
      </c>
    </row>
    <row r="163" spans="1:12" ht="51" x14ac:dyDescent="0.3">
      <c r="A163" s="373" t="s">
        <v>98</v>
      </c>
      <c r="B163" s="374" t="s">
        <v>987</v>
      </c>
      <c r="C163" s="374" t="s">
        <v>39</v>
      </c>
      <c r="D163" s="374" t="s">
        <v>690</v>
      </c>
      <c r="E163" s="375" t="s">
        <v>41</v>
      </c>
      <c r="F163" s="380" t="s">
        <v>28</v>
      </c>
      <c r="G163" s="380"/>
      <c r="H163" s="375" t="s">
        <v>27</v>
      </c>
      <c r="I163" s="382">
        <v>23977.83</v>
      </c>
      <c r="J163" s="382"/>
      <c r="K163" s="378" t="s">
        <v>22</v>
      </c>
      <c r="L163" s="379">
        <v>5298047.6100000003</v>
      </c>
    </row>
    <row r="164" spans="1:12" ht="51" x14ac:dyDescent="0.3">
      <c r="A164" s="373" t="s">
        <v>98</v>
      </c>
      <c r="B164" s="374" t="s">
        <v>988</v>
      </c>
      <c r="C164" s="374" t="s">
        <v>39</v>
      </c>
      <c r="D164" s="374" t="s">
        <v>985</v>
      </c>
      <c r="E164" s="375" t="s">
        <v>41</v>
      </c>
      <c r="F164" s="380" t="s">
        <v>28</v>
      </c>
      <c r="G164" s="380"/>
      <c r="H164" s="375" t="s">
        <v>27</v>
      </c>
      <c r="I164" s="382">
        <v>126676.6</v>
      </c>
      <c r="J164" s="382"/>
      <c r="K164" s="378" t="s">
        <v>22</v>
      </c>
      <c r="L164" s="379">
        <v>5171371.01</v>
      </c>
    </row>
    <row r="165" spans="1:12" ht="61.2" x14ac:dyDescent="0.3">
      <c r="A165" s="373" t="s">
        <v>98</v>
      </c>
      <c r="B165" s="374" t="s">
        <v>988</v>
      </c>
      <c r="C165" s="374" t="s">
        <v>39</v>
      </c>
      <c r="D165" s="374" t="s">
        <v>888</v>
      </c>
      <c r="E165" s="375" t="s">
        <v>41</v>
      </c>
      <c r="F165" s="380" t="s">
        <v>28</v>
      </c>
      <c r="G165" s="380"/>
      <c r="H165" s="375" t="s">
        <v>27</v>
      </c>
      <c r="I165" s="382">
        <v>20700</v>
      </c>
      <c r="J165" s="382"/>
      <c r="K165" s="378" t="s">
        <v>22</v>
      </c>
      <c r="L165" s="379">
        <v>5150671.01</v>
      </c>
    </row>
    <row r="166" spans="1:12" ht="61.2" x14ac:dyDescent="0.3">
      <c r="A166" s="373" t="s">
        <v>98</v>
      </c>
      <c r="B166" s="374" t="s">
        <v>988</v>
      </c>
      <c r="C166" s="374" t="s">
        <v>39</v>
      </c>
      <c r="D166" s="374" t="s">
        <v>954</v>
      </c>
      <c r="E166" s="375" t="s">
        <v>41</v>
      </c>
      <c r="F166" s="380" t="s">
        <v>28</v>
      </c>
      <c r="G166" s="380"/>
      <c r="H166" s="375" t="s">
        <v>27</v>
      </c>
      <c r="I166" s="382">
        <v>64800</v>
      </c>
      <c r="J166" s="382"/>
      <c r="K166" s="378" t="s">
        <v>22</v>
      </c>
      <c r="L166" s="379">
        <v>5085871.01</v>
      </c>
    </row>
    <row r="167" spans="1:12" ht="61.2" x14ac:dyDescent="0.3">
      <c r="A167" s="373" t="s">
        <v>98</v>
      </c>
      <c r="B167" s="374" t="s">
        <v>989</v>
      </c>
      <c r="C167" s="374" t="s">
        <v>39</v>
      </c>
      <c r="D167" s="374" t="s">
        <v>982</v>
      </c>
      <c r="E167" s="375" t="s">
        <v>41</v>
      </c>
      <c r="F167" s="380" t="s">
        <v>28</v>
      </c>
      <c r="G167" s="380"/>
      <c r="H167" s="375" t="s">
        <v>27</v>
      </c>
      <c r="I167" s="382">
        <v>7208</v>
      </c>
      <c r="J167" s="382"/>
      <c r="K167" s="378" t="s">
        <v>22</v>
      </c>
      <c r="L167" s="379">
        <v>5078663.01</v>
      </c>
    </row>
    <row r="168" spans="1:12" ht="61.2" x14ac:dyDescent="0.3">
      <c r="A168" s="373" t="s">
        <v>98</v>
      </c>
      <c r="B168" s="374" t="s">
        <v>989</v>
      </c>
      <c r="C168" s="374" t="s">
        <v>39</v>
      </c>
      <c r="D168" s="374" t="s">
        <v>990</v>
      </c>
      <c r="E168" s="375" t="s">
        <v>41</v>
      </c>
      <c r="F168" s="380" t="s">
        <v>28</v>
      </c>
      <c r="G168" s="380"/>
      <c r="H168" s="375" t="s">
        <v>27</v>
      </c>
      <c r="I168" s="382">
        <v>10118.5</v>
      </c>
      <c r="J168" s="382"/>
      <c r="K168" s="378" t="s">
        <v>22</v>
      </c>
      <c r="L168" s="379">
        <v>5068544.51</v>
      </c>
    </row>
    <row r="169" spans="1:12" ht="51" x14ac:dyDescent="0.3">
      <c r="A169" s="373" t="s">
        <v>98</v>
      </c>
      <c r="B169" s="374" t="s">
        <v>989</v>
      </c>
      <c r="C169" s="374" t="s">
        <v>39</v>
      </c>
      <c r="D169" s="374" t="s">
        <v>991</v>
      </c>
      <c r="E169" s="375" t="s">
        <v>41</v>
      </c>
      <c r="F169" s="380" t="s">
        <v>28</v>
      </c>
      <c r="G169" s="380"/>
      <c r="H169" s="375" t="s">
        <v>27</v>
      </c>
      <c r="I169" s="382">
        <v>1943.67</v>
      </c>
      <c r="J169" s="382"/>
      <c r="K169" s="378" t="s">
        <v>22</v>
      </c>
      <c r="L169" s="379">
        <v>5066600.84</v>
      </c>
    </row>
    <row r="170" spans="1:12" ht="51" x14ac:dyDescent="0.3">
      <c r="A170" s="373" t="s">
        <v>98</v>
      </c>
      <c r="B170" s="374" t="s">
        <v>989</v>
      </c>
      <c r="C170" s="374" t="s">
        <v>39</v>
      </c>
      <c r="D170" s="374" t="s">
        <v>992</v>
      </c>
      <c r="E170" s="375" t="s">
        <v>41</v>
      </c>
      <c r="F170" s="380" t="s">
        <v>28</v>
      </c>
      <c r="G170" s="380"/>
      <c r="H170" s="375" t="s">
        <v>27</v>
      </c>
      <c r="I170" s="382">
        <v>33503.29</v>
      </c>
      <c r="J170" s="382"/>
      <c r="K170" s="378" t="s">
        <v>22</v>
      </c>
      <c r="L170" s="379">
        <v>5033097.55</v>
      </c>
    </row>
    <row r="171" spans="1:12" ht="61.2" x14ac:dyDescent="0.3">
      <c r="A171" s="373" t="s">
        <v>98</v>
      </c>
      <c r="B171" s="374" t="s">
        <v>989</v>
      </c>
      <c r="C171" s="374" t="s">
        <v>39</v>
      </c>
      <c r="D171" s="374" t="s">
        <v>939</v>
      </c>
      <c r="E171" s="375" t="s">
        <v>41</v>
      </c>
      <c r="F171" s="380" t="s">
        <v>28</v>
      </c>
      <c r="G171" s="380"/>
      <c r="H171" s="375" t="s">
        <v>27</v>
      </c>
      <c r="I171" s="381">
        <v>532.77</v>
      </c>
      <c r="J171" s="381"/>
      <c r="K171" s="378" t="s">
        <v>22</v>
      </c>
      <c r="L171" s="379">
        <v>5032564.78</v>
      </c>
    </row>
    <row r="172" spans="1:12" ht="51" x14ac:dyDescent="0.3">
      <c r="A172" s="373" t="s">
        <v>98</v>
      </c>
      <c r="B172" s="374" t="s">
        <v>989</v>
      </c>
      <c r="C172" s="374" t="s">
        <v>39</v>
      </c>
      <c r="D172" s="374" t="s">
        <v>959</v>
      </c>
      <c r="E172" s="375" t="s">
        <v>41</v>
      </c>
      <c r="F172" s="380" t="s">
        <v>28</v>
      </c>
      <c r="G172" s="380"/>
      <c r="H172" s="375" t="s">
        <v>27</v>
      </c>
      <c r="I172" s="382">
        <v>37235.919999999998</v>
      </c>
      <c r="J172" s="382"/>
      <c r="K172" s="378" t="s">
        <v>22</v>
      </c>
      <c r="L172" s="379">
        <v>4995328.8600000003</v>
      </c>
    </row>
    <row r="173" spans="1:12" ht="61.2" x14ac:dyDescent="0.3">
      <c r="A173" s="373" t="s">
        <v>98</v>
      </c>
      <c r="B173" s="374" t="s">
        <v>989</v>
      </c>
      <c r="C173" s="374" t="s">
        <v>39</v>
      </c>
      <c r="D173" s="374" t="s">
        <v>947</v>
      </c>
      <c r="E173" s="375" t="s">
        <v>41</v>
      </c>
      <c r="F173" s="380" t="s">
        <v>28</v>
      </c>
      <c r="G173" s="380"/>
      <c r="H173" s="375" t="s">
        <v>27</v>
      </c>
      <c r="I173" s="381">
        <v>811.65</v>
      </c>
      <c r="J173" s="381"/>
      <c r="K173" s="378" t="s">
        <v>22</v>
      </c>
      <c r="L173" s="379">
        <v>4994517.21</v>
      </c>
    </row>
    <row r="174" spans="1:12" ht="61.2" x14ac:dyDescent="0.3">
      <c r="A174" s="373" t="s">
        <v>98</v>
      </c>
      <c r="B174" s="374" t="s">
        <v>989</v>
      </c>
      <c r="C174" s="374" t="s">
        <v>39</v>
      </c>
      <c r="D174" s="374" t="s">
        <v>993</v>
      </c>
      <c r="E174" s="375" t="s">
        <v>41</v>
      </c>
      <c r="F174" s="380" t="s">
        <v>28</v>
      </c>
      <c r="G174" s="380"/>
      <c r="H174" s="375" t="s">
        <v>27</v>
      </c>
      <c r="I174" s="381">
        <v>649.16999999999996</v>
      </c>
      <c r="J174" s="381"/>
      <c r="K174" s="378" t="s">
        <v>22</v>
      </c>
      <c r="L174" s="379">
        <v>4993868.04</v>
      </c>
    </row>
    <row r="175" spans="1:12" ht="61.2" x14ac:dyDescent="0.3">
      <c r="A175" s="373" t="s">
        <v>98</v>
      </c>
      <c r="B175" s="374" t="s">
        <v>989</v>
      </c>
      <c r="C175" s="374" t="s">
        <v>39</v>
      </c>
      <c r="D175" s="374" t="s">
        <v>951</v>
      </c>
      <c r="E175" s="375" t="s">
        <v>41</v>
      </c>
      <c r="F175" s="380" t="s">
        <v>28</v>
      </c>
      <c r="G175" s="380"/>
      <c r="H175" s="375" t="s">
        <v>27</v>
      </c>
      <c r="I175" s="382">
        <v>16428.810000000001</v>
      </c>
      <c r="J175" s="382"/>
      <c r="K175" s="378" t="s">
        <v>22</v>
      </c>
      <c r="L175" s="379">
        <v>4977439.2300000004</v>
      </c>
    </row>
    <row r="176" spans="1:12" ht="61.2" x14ac:dyDescent="0.3">
      <c r="A176" s="373" t="s">
        <v>98</v>
      </c>
      <c r="B176" s="374" t="s">
        <v>989</v>
      </c>
      <c r="C176" s="374" t="s">
        <v>39</v>
      </c>
      <c r="D176" s="374" t="s">
        <v>954</v>
      </c>
      <c r="E176" s="375" t="s">
        <v>41</v>
      </c>
      <c r="F176" s="380" t="s">
        <v>28</v>
      </c>
      <c r="G176" s="380"/>
      <c r="H176" s="375" t="s">
        <v>27</v>
      </c>
      <c r="I176" s="382">
        <v>39300</v>
      </c>
      <c r="J176" s="382"/>
      <c r="K176" s="378" t="s">
        <v>22</v>
      </c>
      <c r="L176" s="379">
        <v>4938139.2300000004</v>
      </c>
    </row>
    <row r="177" spans="1:12" ht="51" x14ac:dyDescent="0.3">
      <c r="A177" s="373" t="s">
        <v>98</v>
      </c>
      <c r="B177" s="374" t="s">
        <v>989</v>
      </c>
      <c r="C177" s="374" t="s">
        <v>39</v>
      </c>
      <c r="D177" s="374" t="s">
        <v>959</v>
      </c>
      <c r="E177" s="375" t="s">
        <v>41</v>
      </c>
      <c r="F177" s="380" t="s">
        <v>28</v>
      </c>
      <c r="G177" s="380"/>
      <c r="H177" s="375" t="s">
        <v>27</v>
      </c>
      <c r="I177" s="382">
        <v>29498.58</v>
      </c>
      <c r="J177" s="382"/>
      <c r="K177" s="378" t="s">
        <v>22</v>
      </c>
      <c r="L177" s="379">
        <v>4908640.6500000004</v>
      </c>
    </row>
    <row r="178" spans="1:12" ht="51" x14ac:dyDescent="0.3">
      <c r="A178" s="373" t="s">
        <v>98</v>
      </c>
      <c r="B178" s="374" t="s">
        <v>989</v>
      </c>
      <c r="C178" s="374" t="s">
        <v>39</v>
      </c>
      <c r="D178" s="374" t="s">
        <v>994</v>
      </c>
      <c r="E178" s="375" t="s">
        <v>41</v>
      </c>
      <c r="F178" s="380" t="s">
        <v>28</v>
      </c>
      <c r="G178" s="380"/>
      <c r="H178" s="375" t="s">
        <v>27</v>
      </c>
      <c r="I178" s="382">
        <v>37114.39</v>
      </c>
      <c r="J178" s="382"/>
      <c r="K178" s="378" t="s">
        <v>22</v>
      </c>
      <c r="L178" s="379">
        <v>4871526.26</v>
      </c>
    </row>
    <row r="179" spans="1:12" ht="51" x14ac:dyDescent="0.3">
      <c r="A179" s="373" t="s">
        <v>98</v>
      </c>
      <c r="B179" s="374" t="s">
        <v>989</v>
      </c>
      <c r="C179" s="374" t="s">
        <v>39</v>
      </c>
      <c r="D179" s="374" t="s">
        <v>942</v>
      </c>
      <c r="E179" s="375" t="s">
        <v>41</v>
      </c>
      <c r="F179" s="380" t="s">
        <v>28</v>
      </c>
      <c r="G179" s="380"/>
      <c r="H179" s="375" t="s">
        <v>27</v>
      </c>
      <c r="I179" s="382">
        <v>2929.5</v>
      </c>
      <c r="J179" s="382"/>
      <c r="K179" s="378" t="s">
        <v>22</v>
      </c>
      <c r="L179" s="379">
        <v>4868596.76</v>
      </c>
    </row>
    <row r="180" spans="1:12" ht="51" x14ac:dyDescent="0.3">
      <c r="A180" s="373" t="s">
        <v>98</v>
      </c>
      <c r="B180" s="374" t="s">
        <v>989</v>
      </c>
      <c r="C180" s="374" t="s">
        <v>39</v>
      </c>
      <c r="D180" s="374" t="s">
        <v>995</v>
      </c>
      <c r="E180" s="375" t="s">
        <v>41</v>
      </c>
      <c r="F180" s="380" t="s">
        <v>28</v>
      </c>
      <c r="G180" s="380"/>
      <c r="H180" s="375" t="s">
        <v>27</v>
      </c>
      <c r="I180" s="382">
        <v>1030.75</v>
      </c>
      <c r="J180" s="382"/>
      <c r="K180" s="378" t="s">
        <v>22</v>
      </c>
      <c r="L180" s="379">
        <v>4867566.01</v>
      </c>
    </row>
    <row r="181" spans="1:12" ht="51" x14ac:dyDescent="0.3">
      <c r="A181" s="373" t="s">
        <v>98</v>
      </c>
      <c r="B181" s="374" t="s">
        <v>989</v>
      </c>
      <c r="C181" s="374" t="s">
        <v>39</v>
      </c>
      <c r="D181" s="374" t="s">
        <v>955</v>
      </c>
      <c r="E181" s="375" t="s">
        <v>41</v>
      </c>
      <c r="F181" s="380" t="s">
        <v>28</v>
      </c>
      <c r="G181" s="380"/>
      <c r="H181" s="375" t="s">
        <v>27</v>
      </c>
      <c r="I181" s="382">
        <v>5018.12</v>
      </c>
      <c r="J181" s="382"/>
      <c r="K181" s="378" t="s">
        <v>22</v>
      </c>
      <c r="L181" s="379">
        <v>4862547.8899999997</v>
      </c>
    </row>
    <row r="182" spans="1:12" ht="51" x14ac:dyDescent="0.3">
      <c r="A182" s="373" t="s">
        <v>98</v>
      </c>
      <c r="B182" s="374" t="s">
        <v>989</v>
      </c>
      <c r="C182" s="374" t="s">
        <v>39</v>
      </c>
      <c r="D182" s="374" t="s">
        <v>956</v>
      </c>
      <c r="E182" s="375" t="s">
        <v>41</v>
      </c>
      <c r="F182" s="380" t="s">
        <v>28</v>
      </c>
      <c r="G182" s="380"/>
      <c r="H182" s="375" t="s">
        <v>27</v>
      </c>
      <c r="I182" s="382">
        <v>17176.8</v>
      </c>
      <c r="J182" s="382"/>
      <c r="K182" s="378" t="s">
        <v>22</v>
      </c>
      <c r="L182" s="379">
        <v>4845371.09</v>
      </c>
    </row>
    <row r="183" spans="1:12" ht="51" x14ac:dyDescent="0.3">
      <c r="A183" s="373" t="s">
        <v>98</v>
      </c>
      <c r="B183" s="374" t="s">
        <v>989</v>
      </c>
      <c r="C183" s="374" t="s">
        <v>39</v>
      </c>
      <c r="D183" s="374" t="s">
        <v>944</v>
      </c>
      <c r="E183" s="375" t="s">
        <v>41</v>
      </c>
      <c r="F183" s="380" t="s">
        <v>28</v>
      </c>
      <c r="G183" s="380"/>
      <c r="H183" s="375" t="s">
        <v>27</v>
      </c>
      <c r="I183" s="382">
        <v>19025.84</v>
      </c>
      <c r="J183" s="382"/>
      <c r="K183" s="378" t="s">
        <v>22</v>
      </c>
      <c r="L183" s="379">
        <v>4826345.25</v>
      </c>
    </row>
    <row r="184" spans="1:12" ht="51" x14ac:dyDescent="0.3">
      <c r="A184" s="373" t="s">
        <v>98</v>
      </c>
      <c r="B184" s="374" t="s">
        <v>989</v>
      </c>
      <c r="C184" s="374" t="s">
        <v>39</v>
      </c>
      <c r="D184" s="374" t="s">
        <v>958</v>
      </c>
      <c r="E184" s="375" t="s">
        <v>41</v>
      </c>
      <c r="F184" s="380" t="s">
        <v>28</v>
      </c>
      <c r="G184" s="380"/>
      <c r="H184" s="375" t="s">
        <v>27</v>
      </c>
      <c r="I184" s="382">
        <v>77502.3</v>
      </c>
      <c r="J184" s="382"/>
      <c r="K184" s="378" t="s">
        <v>22</v>
      </c>
      <c r="L184" s="379">
        <v>4748842.95</v>
      </c>
    </row>
    <row r="185" spans="1:12" ht="51" x14ac:dyDescent="0.3">
      <c r="A185" s="373" t="s">
        <v>98</v>
      </c>
      <c r="B185" s="374" t="s">
        <v>989</v>
      </c>
      <c r="C185" s="374" t="s">
        <v>39</v>
      </c>
      <c r="D185" s="374" t="s">
        <v>963</v>
      </c>
      <c r="E185" s="375" t="s">
        <v>41</v>
      </c>
      <c r="F185" s="380" t="s">
        <v>28</v>
      </c>
      <c r="G185" s="380"/>
      <c r="H185" s="375" t="s">
        <v>27</v>
      </c>
      <c r="I185" s="382">
        <v>5500.82</v>
      </c>
      <c r="J185" s="382"/>
      <c r="K185" s="378" t="s">
        <v>22</v>
      </c>
      <c r="L185" s="379">
        <v>4743342.13</v>
      </c>
    </row>
    <row r="186" spans="1:12" ht="51" x14ac:dyDescent="0.3">
      <c r="A186" s="373" t="s">
        <v>98</v>
      </c>
      <c r="B186" s="374" t="s">
        <v>996</v>
      </c>
      <c r="C186" s="374" t="s">
        <v>39</v>
      </c>
      <c r="D186" s="374" t="s">
        <v>220</v>
      </c>
      <c r="E186" s="375" t="s">
        <v>41</v>
      </c>
      <c r="F186" s="380" t="s">
        <v>28</v>
      </c>
      <c r="G186" s="380"/>
      <c r="H186" s="375" t="s">
        <v>27</v>
      </c>
      <c r="I186" s="382">
        <v>3801</v>
      </c>
      <c r="J186" s="382"/>
      <c r="K186" s="378" t="s">
        <v>22</v>
      </c>
      <c r="L186" s="379">
        <v>4739541.13</v>
      </c>
    </row>
    <row r="187" spans="1:12" ht="51" x14ac:dyDescent="0.3">
      <c r="A187" s="373" t="s">
        <v>98</v>
      </c>
      <c r="B187" s="374" t="s">
        <v>997</v>
      </c>
      <c r="C187" s="374" t="s">
        <v>39</v>
      </c>
      <c r="D187" s="374" t="s">
        <v>998</v>
      </c>
      <c r="E187" s="375" t="s">
        <v>41</v>
      </c>
      <c r="F187" s="380" t="s">
        <v>28</v>
      </c>
      <c r="G187" s="380"/>
      <c r="H187" s="375" t="s">
        <v>27</v>
      </c>
      <c r="I187" s="382">
        <v>10563.13</v>
      </c>
      <c r="J187" s="382"/>
      <c r="K187" s="378" t="s">
        <v>22</v>
      </c>
      <c r="L187" s="379">
        <v>4728978</v>
      </c>
    </row>
    <row r="188" spans="1:12" ht="51" x14ac:dyDescent="0.3">
      <c r="A188" s="373" t="s">
        <v>98</v>
      </c>
      <c r="B188" s="374" t="s">
        <v>997</v>
      </c>
      <c r="C188" s="374" t="s">
        <v>39</v>
      </c>
      <c r="D188" s="374" t="s">
        <v>999</v>
      </c>
      <c r="E188" s="375" t="s">
        <v>41</v>
      </c>
      <c r="F188" s="380" t="s">
        <v>28</v>
      </c>
      <c r="G188" s="380"/>
      <c r="H188" s="375" t="s">
        <v>27</v>
      </c>
      <c r="I188" s="382">
        <v>26106.75</v>
      </c>
      <c r="J188" s="382"/>
      <c r="K188" s="378" t="s">
        <v>22</v>
      </c>
      <c r="L188" s="379">
        <v>4702871.25</v>
      </c>
    </row>
    <row r="189" spans="1:12" ht="51" x14ac:dyDescent="0.3">
      <c r="A189" s="373" t="s">
        <v>98</v>
      </c>
      <c r="B189" s="374" t="s">
        <v>997</v>
      </c>
      <c r="C189" s="374" t="s">
        <v>39</v>
      </c>
      <c r="D189" s="374" t="s">
        <v>953</v>
      </c>
      <c r="E189" s="375" t="s">
        <v>41</v>
      </c>
      <c r="F189" s="380" t="s">
        <v>28</v>
      </c>
      <c r="G189" s="380"/>
      <c r="H189" s="375" t="s">
        <v>27</v>
      </c>
      <c r="I189" s="382">
        <v>51591</v>
      </c>
      <c r="J189" s="382"/>
      <c r="K189" s="378" t="s">
        <v>22</v>
      </c>
      <c r="L189" s="379">
        <v>4651280.25</v>
      </c>
    </row>
    <row r="190" spans="1:12" ht="51" x14ac:dyDescent="0.3">
      <c r="A190" s="373" t="s">
        <v>98</v>
      </c>
      <c r="B190" s="374" t="s">
        <v>997</v>
      </c>
      <c r="C190" s="374" t="s">
        <v>39</v>
      </c>
      <c r="D190" s="374" t="s">
        <v>1000</v>
      </c>
      <c r="E190" s="375" t="s">
        <v>41</v>
      </c>
      <c r="F190" s="380" t="s">
        <v>28</v>
      </c>
      <c r="G190" s="380"/>
      <c r="H190" s="375" t="s">
        <v>27</v>
      </c>
      <c r="I190" s="382">
        <v>8689.08</v>
      </c>
      <c r="J190" s="382"/>
      <c r="K190" s="378" t="s">
        <v>22</v>
      </c>
      <c r="L190" s="379">
        <v>4642591.17</v>
      </c>
    </row>
    <row r="191" spans="1:12" ht="51" x14ac:dyDescent="0.3">
      <c r="A191" s="373" t="s">
        <v>98</v>
      </c>
      <c r="B191" s="374" t="s">
        <v>997</v>
      </c>
      <c r="C191" s="374" t="s">
        <v>39</v>
      </c>
      <c r="D191" s="374" t="s">
        <v>1001</v>
      </c>
      <c r="E191" s="375" t="s">
        <v>41</v>
      </c>
      <c r="F191" s="380" t="s">
        <v>28</v>
      </c>
      <c r="G191" s="380"/>
      <c r="H191" s="375" t="s">
        <v>27</v>
      </c>
      <c r="I191" s="382">
        <v>1303.3599999999999</v>
      </c>
      <c r="J191" s="382"/>
      <c r="K191" s="378" t="s">
        <v>22</v>
      </c>
      <c r="L191" s="379">
        <v>4641287.8099999996</v>
      </c>
    </row>
    <row r="192" spans="1:12" ht="51" x14ac:dyDescent="0.3">
      <c r="A192" s="373" t="s">
        <v>98</v>
      </c>
      <c r="B192" s="374" t="s">
        <v>997</v>
      </c>
      <c r="C192" s="374" t="s">
        <v>39</v>
      </c>
      <c r="D192" s="374" t="s">
        <v>1002</v>
      </c>
      <c r="E192" s="375" t="s">
        <v>41</v>
      </c>
      <c r="F192" s="380" t="s">
        <v>28</v>
      </c>
      <c r="G192" s="380"/>
      <c r="H192" s="375" t="s">
        <v>27</v>
      </c>
      <c r="I192" s="382">
        <v>5533.5</v>
      </c>
      <c r="J192" s="382"/>
      <c r="K192" s="378" t="s">
        <v>22</v>
      </c>
      <c r="L192" s="379">
        <v>4635754.3099999996</v>
      </c>
    </row>
    <row r="193" spans="1:12" ht="51" x14ac:dyDescent="0.3">
      <c r="A193" s="373" t="s">
        <v>98</v>
      </c>
      <c r="B193" s="374" t="s">
        <v>997</v>
      </c>
      <c r="C193" s="374" t="s">
        <v>39</v>
      </c>
      <c r="D193" s="374" t="s">
        <v>957</v>
      </c>
      <c r="E193" s="375" t="s">
        <v>41</v>
      </c>
      <c r="F193" s="380" t="s">
        <v>28</v>
      </c>
      <c r="G193" s="380"/>
      <c r="H193" s="375" t="s">
        <v>27</v>
      </c>
      <c r="I193" s="382">
        <v>19840.68</v>
      </c>
      <c r="J193" s="382"/>
      <c r="K193" s="378" t="s">
        <v>22</v>
      </c>
      <c r="L193" s="379">
        <v>4615913.63</v>
      </c>
    </row>
    <row r="194" spans="1:12" ht="51" x14ac:dyDescent="0.3">
      <c r="A194" s="373" t="s">
        <v>98</v>
      </c>
      <c r="B194" s="374" t="s">
        <v>997</v>
      </c>
      <c r="C194" s="374" t="s">
        <v>39</v>
      </c>
      <c r="D194" s="374" t="s">
        <v>1003</v>
      </c>
      <c r="E194" s="375" t="s">
        <v>41</v>
      </c>
      <c r="F194" s="380" t="s">
        <v>28</v>
      </c>
      <c r="G194" s="380"/>
      <c r="H194" s="375" t="s">
        <v>27</v>
      </c>
      <c r="I194" s="382">
        <v>19899.259999999998</v>
      </c>
      <c r="J194" s="382"/>
      <c r="K194" s="378" t="s">
        <v>22</v>
      </c>
      <c r="L194" s="379">
        <v>4596014.37</v>
      </c>
    </row>
    <row r="195" spans="1:12" ht="51" x14ac:dyDescent="0.3">
      <c r="A195" s="373" t="s">
        <v>98</v>
      </c>
      <c r="B195" s="374" t="s">
        <v>997</v>
      </c>
      <c r="C195" s="374" t="s">
        <v>39</v>
      </c>
      <c r="D195" s="374" t="s">
        <v>958</v>
      </c>
      <c r="E195" s="375" t="s">
        <v>41</v>
      </c>
      <c r="F195" s="380" t="s">
        <v>28</v>
      </c>
      <c r="G195" s="380"/>
      <c r="H195" s="375" t="s">
        <v>27</v>
      </c>
      <c r="I195" s="382">
        <v>26915.96</v>
      </c>
      <c r="J195" s="382"/>
      <c r="K195" s="378" t="s">
        <v>22</v>
      </c>
      <c r="L195" s="379">
        <v>4569098.41</v>
      </c>
    </row>
    <row r="196" spans="1:12" ht="61.2" x14ac:dyDescent="0.3">
      <c r="A196" s="373" t="s">
        <v>98</v>
      </c>
      <c r="B196" s="374" t="s">
        <v>997</v>
      </c>
      <c r="C196" s="374" t="s">
        <v>39</v>
      </c>
      <c r="D196" s="374" t="s">
        <v>993</v>
      </c>
      <c r="E196" s="375" t="s">
        <v>41</v>
      </c>
      <c r="F196" s="380" t="s">
        <v>28</v>
      </c>
      <c r="G196" s="380"/>
      <c r="H196" s="375" t="s">
        <v>27</v>
      </c>
      <c r="I196" s="382">
        <v>4612.49</v>
      </c>
      <c r="J196" s="382"/>
      <c r="K196" s="378" t="s">
        <v>22</v>
      </c>
      <c r="L196" s="379">
        <v>4564485.92</v>
      </c>
    </row>
    <row r="197" spans="1:12" ht="61.2" x14ac:dyDescent="0.3">
      <c r="A197" s="373" t="s">
        <v>98</v>
      </c>
      <c r="B197" s="374" t="s">
        <v>997</v>
      </c>
      <c r="C197" s="374" t="s">
        <v>39</v>
      </c>
      <c r="D197" s="374" t="s">
        <v>1004</v>
      </c>
      <c r="E197" s="375" t="s">
        <v>41</v>
      </c>
      <c r="F197" s="380" t="s">
        <v>28</v>
      </c>
      <c r="G197" s="380"/>
      <c r="H197" s="375" t="s">
        <v>27</v>
      </c>
      <c r="I197" s="382">
        <v>75405.84</v>
      </c>
      <c r="J197" s="382"/>
      <c r="K197" s="378" t="s">
        <v>22</v>
      </c>
      <c r="L197" s="379">
        <v>4489080.08</v>
      </c>
    </row>
    <row r="198" spans="1:12" ht="51" x14ac:dyDescent="0.3">
      <c r="A198" s="373" t="s">
        <v>98</v>
      </c>
      <c r="B198" s="374" t="s">
        <v>997</v>
      </c>
      <c r="C198" s="374" t="s">
        <v>39</v>
      </c>
      <c r="D198" s="374" t="s">
        <v>995</v>
      </c>
      <c r="E198" s="375" t="s">
        <v>41</v>
      </c>
      <c r="F198" s="380" t="s">
        <v>28</v>
      </c>
      <c r="G198" s="380"/>
      <c r="H198" s="375" t="s">
        <v>27</v>
      </c>
      <c r="I198" s="382">
        <v>4204.38</v>
      </c>
      <c r="J198" s="382"/>
      <c r="K198" s="378" t="s">
        <v>22</v>
      </c>
      <c r="L198" s="379">
        <v>4484875.7</v>
      </c>
    </row>
    <row r="199" spans="1:12" ht="51" x14ac:dyDescent="0.3">
      <c r="A199" s="373" t="s">
        <v>98</v>
      </c>
      <c r="B199" s="374" t="s">
        <v>997</v>
      </c>
      <c r="C199" s="374" t="s">
        <v>39</v>
      </c>
      <c r="D199" s="374" t="s">
        <v>955</v>
      </c>
      <c r="E199" s="375" t="s">
        <v>41</v>
      </c>
      <c r="F199" s="380" t="s">
        <v>28</v>
      </c>
      <c r="G199" s="380"/>
      <c r="H199" s="375" t="s">
        <v>27</v>
      </c>
      <c r="I199" s="382">
        <v>1329.13</v>
      </c>
      <c r="J199" s="382"/>
      <c r="K199" s="378" t="s">
        <v>22</v>
      </c>
      <c r="L199" s="379">
        <v>4483546.57</v>
      </c>
    </row>
    <row r="200" spans="1:12" ht="51" x14ac:dyDescent="0.3">
      <c r="A200" s="373" t="s">
        <v>98</v>
      </c>
      <c r="B200" s="374" t="s">
        <v>997</v>
      </c>
      <c r="C200" s="374" t="s">
        <v>39</v>
      </c>
      <c r="D200" s="374" t="s">
        <v>956</v>
      </c>
      <c r="E200" s="375" t="s">
        <v>41</v>
      </c>
      <c r="F200" s="380" t="s">
        <v>28</v>
      </c>
      <c r="G200" s="380"/>
      <c r="H200" s="375" t="s">
        <v>27</v>
      </c>
      <c r="I200" s="382">
        <v>9009.4</v>
      </c>
      <c r="J200" s="382"/>
      <c r="K200" s="378" t="s">
        <v>22</v>
      </c>
      <c r="L200" s="379">
        <v>4474537.17</v>
      </c>
    </row>
    <row r="201" spans="1:12" ht="51" x14ac:dyDescent="0.3">
      <c r="A201" s="373" t="s">
        <v>98</v>
      </c>
      <c r="B201" s="374" t="s">
        <v>997</v>
      </c>
      <c r="C201" s="374" t="s">
        <v>39</v>
      </c>
      <c r="D201" s="374" t="s">
        <v>960</v>
      </c>
      <c r="E201" s="375" t="s">
        <v>41</v>
      </c>
      <c r="F201" s="380" t="s">
        <v>28</v>
      </c>
      <c r="G201" s="380"/>
      <c r="H201" s="375" t="s">
        <v>27</v>
      </c>
      <c r="I201" s="382">
        <v>1375.27</v>
      </c>
      <c r="J201" s="382"/>
      <c r="K201" s="378" t="s">
        <v>22</v>
      </c>
      <c r="L201" s="379">
        <v>4473161.9000000004</v>
      </c>
    </row>
    <row r="202" spans="1:12" ht="51" x14ac:dyDescent="0.3">
      <c r="A202" s="373" t="s">
        <v>98</v>
      </c>
      <c r="B202" s="374" t="s">
        <v>997</v>
      </c>
      <c r="C202" s="374" t="s">
        <v>39</v>
      </c>
      <c r="D202" s="374" t="s">
        <v>944</v>
      </c>
      <c r="E202" s="375" t="s">
        <v>41</v>
      </c>
      <c r="F202" s="380" t="s">
        <v>28</v>
      </c>
      <c r="G202" s="380"/>
      <c r="H202" s="375" t="s">
        <v>27</v>
      </c>
      <c r="I202" s="382">
        <v>54671.3</v>
      </c>
      <c r="J202" s="382"/>
      <c r="K202" s="378" t="s">
        <v>22</v>
      </c>
      <c r="L202" s="379">
        <v>4418490.5999999996</v>
      </c>
    </row>
    <row r="203" spans="1:12" ht="61.2" x14ac:dyDescent="0.3">
      <c r="A203" s="373" t="s">
        <v>98</v>
      </c>
      <c r="B203" s="374" t="s">
        <v>997</v>
      </c>
      <c r="C203" s="374" t="s">
        <v>39</v>
      </c>
      <c r="D203" s="374" t="s">
        <v>947</v>
      </c>
      <c r="E203" s="375" t="s">
        <v>41</v>
      </c>
      <c r="F203" s="380" t="s">
        <v>28</v>
      </c>
      <c r="G203" s="380"/>
      <c r="H203" s="375" t="s">
        <v>27</v>
      </c>
      <c r="I203" s="382">
        <v>11167.18</v>
      </c>
      <c r="J203" s="382"/>
      <c r="K203" s="378" t="s">
        <v>22</v>
      </c>
      <c r="L203" s="379">
        <v>4407323.42</v>
      </c>
    </row>
    <row r="204" spans="1:12" ht="61.2" x14ac:dyDescent="0.3">
      <c r="A204" s="373" t="s">
        <v>98</v>
      </c>
      <c r="B204" s="374" t="s">
        <v>997</v>
      </c>
      <c r="C204" s="374" t="s">
        <v>39</v>
      </c>
      <c r="D204" s="374" t="s">
        <v>947</v>
      </c>
      <c r="E204" s="375" t="s">
        <v>41</v>
      </c>
      <c r="F204" s="380" t="s">
        <v>28</v>
      </c>
      <c r="G204" s="380"/>
      <c r="H204" s="375" t="s">
        <v>27</v>
      </c>
      <c r="I204" s="382">
        <v>10607.43</v>
      </c>
      <c r="J204" s="382"/>
      <c r="K204" s="378" t="s">
        <v>22</v>
      </c>
      <c r="L204" s="379">
        <v>4396715.99</v>
      </c>
    </row>
    <row r="205" spans="1:12" ht="51" x14ac:dyDescent="0.3">
      <c r="A205" s="373" t="s">
        <v>98</v>
      </c>
      <c r="B205" s="374" t="s">
        <v>997</v>
      </c>
      <c r="C205" s="374" t="s">
        <v>39</v>
      </c>
      <c r="D205" s="374" t="s">
        <v>962</v>
      </c>
      <c r="E205" s="375" t="s">
        <v>41</v>
      </c>
      <c r="F205" s="380" t="s">
        <v>28</v>
      </c>
      <c r="G205" s="380"/>
      <c r="H205" s="375" t="s">
        <v>27</v>
      </c>
      <c r="I205" s="382">
        <v>185730</v>
      </c>
      <c r="J205" s="382"/>
      <c r="K205" s="378" t="s">
        <v>22</v>
      </c>
      <c r="L205" s="379">
        <v>4210985.99</v>
      </c>
    </row>
    <row r="206" spans="1:12" ht="51" x14ac:dyDescent="0.3">
      <c r="A206" s="373" t="s">
        <v>98</v>
      </c>
      <c r="B206" s="374" t="s">
        <v>997</v>
      </c>
      <c r="C206" s="374" t="s">
        <v>39</v>
      </c>
      <c r="D206" s="374" t="s">
        <v>963</v>
      </c>
      <c r="E206" s="375" t="s">
        <v>41</v>
      </c>
      <c r="F206" s="380" t="s">
        <v>28</v>
      </c>
      <c r="G206" s="380"/>
      <c r="H206" s="375" t="s">
        <v>27</v>
      </c>
      <c r="I206" s="382">
        <v>13186.89</v>
      </c>
      <c r="J206" s="382"/>
      <c r="K206" s="378" t="s">
        <v>22</v>
      </c>
      <c r="L206" s="379">
        <v>4197799.0999999996</v>
      </c>
    </row>
    <row r="207" spans="1:12" ht="61.2" hidden="1" x14ac:dyDescent="0.3">
      <c r="A207" s="373" t="s">
        <v>98</v>
      </c>
      <c r="B207" s="374" t="s">
        <v>1005</v>
      </c>
      <c r="C207" s="374" t="s">
        <v>39</v>
      </c>
      <c r="D207" s="374" t="s">
        <v>939</v>
      </c>
      <c r="E207" s="375" t="s">
        <v>41</v>
      </c>
      <c r="F207" s="380" t="s">
        <v>28</v>
      </c>
      <c r="G207" s="380"/>
      <c r="H207" s="375" t="s">
        <v>27</v>
      </c>
      <c r="I207" s="384">
        <v>-0.01</v>
      </c>
      <c r="J207" s="384"/>
      <c r="K207" s="378" t="s">
        <v>22</v>
      </c>
      <c r="L207" s="379">
        <v>4197799.1100000003</v>
      </c>
    </row>
    <row r="208" spans="1:12" hidden="1" x14ac:dyDescent="0.3">
      <c r="A208" s="385" t="s">
        <v>105</v>
      </c>
      <c r="B208" s="385"/>
      <c r="C208" s="385"/>
      <c r="D208" s="385"/>
      <c r="E208" s="386">
        <v>944455.12</v>
      </c>
      <c r="F208" s="386"/>
      <c r="G208" s="386"/>
      <c r="H208" s="386">
        <v>4178561.77</v>
      </c>
      <c r="I208" s="386"/>
      <c r="J208" s="386"/>
      <c r="K208" s="387" t="s">
        <v>22</v>
      </c>
      <c r="L208" s="388">
        <v>4197799.1100000003</v>
      </c>
    </row>
    <row r="210" spans="10:10" x14ac:dyDescent="0.3">
      <c r="J210" s="1">
        <f>SUBTOTAL(9,I11:J206)</f>
        <v>4140489.4799999995</v>
      </c>
    </row>
  </sheetData>
  <autoFilter ref="A1:L208" xr:uid="{A5DFF997-D8C4-4220-8AAD-7E13AB9E551E}">
    <filterColumn colId="1">
      <filters>
        <filter val="Вимога-накладна ІБ00-000257 від 03.04.2025 17:41:32_x000a_Списаны ТМЦ"/>
        <filter val="Вимога-накладна ІБ00-000279 від 29.04.2025 14:42:28_x000a_Списаны ТМЦ"/>
        <filter val="Вимога-накладна ІБ00-000280 від 29.04.2025 15:04:51_x000a_Списаны ТМЦ"/>
        <filter val="Вимога-накладна ІБ00-000294 від 29.04.2025 16:36:57_x000a_Списаны ТМЦ"/>
        <filter val="Вимога-накладна ІБ00-000321 від 30.04.2025 10:00:00_x000a_Списаны ТМЦ"/>
        <filter val="Вимога-накладна ІБ00-000331 від 30.04.2025 10:00:00_x000a_Списаны ТМЦ"/>
        <filter val="Вимога-накладна ІБ00-000332 від 30.04.2025 16:37:10_x000a_Списаны ТМЦ"/>
        <filter val="Вимога-накладна ІБ00-000333 від 30.04.2025 10:00:00_x000a_Списаны ТМЦ"/>
        <filter val="Вимога-накладна ІБ00-000334 від 30.04.2025 11:00:00_x000a_Списаны ТМЦ"/>
        <filter val="Вимога-накладна ІБ00-000335 від 30.04.2025 11:00:00_x000a_Списаны ТМЦ"/>
        <filter val="Вимога-накладна ІБ00-000343 від 30.04.2025 11:00:00_x000a_Списаны ТМЦ"/>
        <filter val="Вимога-накладна ІБ00-000349 від 30.04.2025 20:00:00_x000a_Списаны ТМЦ"/>
        <filter val="Списання товарів ІБ00-000197 від 03.04.2025 17:41:33_x000a_Списаны ТМЦ"/>
        <filter val="Списання товарів ІБ00-000255 від 30.04.2025 2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422">
    <mergeCell ref="A208:D208"/>
    <mergeCell ref="E208:G208"/>
    <mergeCell ref="H208:J208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АПК</vt:lpstr>
      <vt:lpstr>Генплан благоустрій</vt:lpstr>
      <vt:lpstr>Генплан митний склад</vt:lpstr>
      <vt:lpstr>Генплан підпірна стінка</vt:lpstr>
      <vt:lpstr>Глобине-2</vt:lpstr>
      <vt:lpstr>Котельна</vt:lpstr>
      <vt:lpstr>Насосна Градирня</vt:lpstr>
      <vt:lpstr>Підготовчі роботи та тимчасові </vt:lpstr>
      <vt:lpstr>Пожежений резервуар</vt:lpstr>
      <vt:lpstr>зберігання в бігбегах</vt:lpstr>
      <vt:lpstr>СВОД</vt:lpstr>
      <vt:lpstr>зберігання розчинника</vt:lpstr>
      <vt:lpstr>СПК</vt:lpstr>
      <vt:lpstr>Транспортна галерея</vt:lpstr>
      <vt:lpstr>Цех екстракції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2025-05-22T06:18:22Z</dcterms:modified>
</cp:coreProperties>
</file>
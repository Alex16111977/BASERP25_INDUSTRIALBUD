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Общая\PL\PL по компании\2025\Аперель_25\Данные для PL\Строительство_апрель\"/>
    </mc:Choice>
  </mc:AlternateContent>
  <xr:revisionPtr revIDLastSave="0" documentId="13_ncr:1_{6C35AE46-3D37-4487-84AB-903B89E27CBC}" xr6:coauthVersionLast="45" xr6:coauthVersionMax="45" xr10:uidLastSave="{00000000-0000-0000-0000-000000000000}"/>
  <bookViews>
    <workbookView xWindow="-108" yWindow="-108" windowWidth="23256" windowHeight="12600" tabRatio="833" xr2:uid="{00000000-000D-0000-FFFF-FFFF00000000}"/>
  </bookViews>
  <sheets>
    <sheet name="Свод" sheetId="1" r:id="rId1"/>
    <sheet name="АПК (Глобине)" sheetId="2" r:id="rId2"/>
    <sheet name="Генплан митний склад" sheetId="3" r:id="rId3"/>
    <sheet name="Глобине-2" sheetId="4" r:id="rId4"/>
    <sheet name="Котельна (Глобине)" sheetId="5" r:id="rId5"/>
    <sheet name="Насосна Градирня" sheetId="6" r:id="rId6"/>
    <sheet name="Підготовчі роботи" sheetId="7" r:id="rId7"/>
    <sheet name="Пожежений резервуар" sheetId="8" r:id="rId8"/>
    <sheet name="Пункт фасування" sheetId="9" r:id="rId9"/>
    <sheet name="зберігання розчинника" sheetId="10" r:id="rId10"/>
    <sheet name="СПК (Глобине)" sheetId="12" r:id="rId11"/>
    <sheet name="Цех екстракції" sheetId="13" r:id="rId12"/>
  </sheets>
  <definedNames>
    <definedName name="_xlnm._FilterDatabase" localSheetId="1" hidden="1">'АПК (Глобине)'!$A$1:$L$31</definedName>
    <definedName name="_xlnm._FilterDatabase" localSheetId="3" hidden="1">'Глобине-2'!$A$1:$L$173</definedName>
    <definedName name="_xlnm._FilterDatabase" localSheetId="9" hidden="1">'зберігання розчинника'!$A$1:$L$11</definedName>
    <definedName name="_xlnm._FilterDatabase" localSheetId="4" hidden="1">'Котельна (Глобине)'!$A$1:$L$31</definedName>
    <definedName name="_xlnm._FilterDatabase" localSheetId="5" hidden="1">'Насосна Градирня'!$A$1:$L$16</definedName>
    <definedName name="_xlnm._FilterDatabase" localSheetId="6" hidden="1">'Підготовчі роботи'!$A$1:$L$11</definedName>
    <definedName name="_xlnm._FilterDatabase" localSheetId="7" hidden="1">'Пожежений резервуар'!$A$1:$L$13</definedName>
    <definedName name="_xlnm._FilterDatabase" localSheetId="8" hidden="1">'Пункт фасування'!$A$1:$L$20</definedName>
    <definedName name="_xlnm._FilterDatabase" localSheetId="10" hidden="1">'СПК (Глобине)'!$A$1:$L$50</definedName>
    <definedName name="_xlnm._FilterDatabase" localSheetId="11" hidden="1">'Цех екстракції'!$A$1:$L$34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3" i="1" l="1"/>
  <c r="C12" i="1"/>
  <c r="C11" i="1"/>
  <c r="C10" i="1"/>
  <c r="C9" i="1"/>
  <c r="C8" i="1"/>
  <c r="C7" i="1"/>
  <c r="C6" i="1"/>
  <c r="C5" i="1"/>
  <c r="C4" i="1"/>
  <c r="C3" i="1"/>
  <c r="C2" i="1"/>
  <c r="J36" i="13"/>
  <c r="J52" i="12"/>
  <c r="J13" i="10"/>
  <c r="J22" i="9"/>
  <c r="J15" i="8"/>
  <c r="J14" i="7"/>
  <c r="J18" i="6"/>
  <c r="J33" i="5"/>
  <c r="J175" i="4"/>
  <c r="J33" i="2"/>
</calcChain>
</file>

<file path=xl/sharedStrings.xml><?xml version="1.0" encoding="utf-8"?>
<sst xmlns="http://schemas.openxmlformats.org/spreadsheetml/2006/main" count="3010" uniqueCount="403">
  <si>
    <t>АПК (Глобине)</t>
  </si>
  <si>
    <t>Генплан митний склад (Глобине)</t>
  </si>
  <si>
    <t>Глобине-2</t>
  </si>
  <si>
    <t>Котельна (Глобине)</t>
  </si>
  <si>
    <t>Насосна Градирня (Глобине)</t>
  </si>
  <si>
    <t>Підготовчі роботи та тимчасові споруди (Глобине)</t>
  </si>
  <si>
    <t>Пожежений резервуар (Глобине)</t>
  </si>
  <si>
    <t>Пункт фасування та зберігання в бігбегах (Глобине)</t>
  </si>
  <si>
    <t>Резервуар для зберігання розчинника(Глобине)</t>
  </si>
  <si>
    <t>СПК (Глобине)</t>
  </si>
  <si>
    <t>Цех екстракції (Глобине)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</si>
  <si>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</si>
  <si>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</si>
  <si>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</si>
  <si>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</si>
  <si>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</si>
  <si>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</si>
  <si>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</si>
  <si>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</si>
  <si>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Д</t>
  </si>
  <si>
    <t>18.04.2025</t>
  </si>
  <si>
    <t>Переміщення товарів ІБ00-000343 від 18.04.2025 11:05:00
Перемещение ТМЦ</t>
  </si>
  <si>
    <t>Обл. НДС
Круг відрізний 230*2.5*22 увігнутий
Надходження товарів і послуг ІБ00-001740 від 18.04.2025 11:00:00
АПК (Глобине)</t>
  </si>
  <si>
    <t>Обл. НДС
Круг відрізний 230*2.5*22 увігнутий
Надходження товарів і послуг ІБ00-001740 від 18.04.2025 11:00:00
Глобине-2</t>
  </si>
  <si>
    <t>221</t>
  </si>
  <si>
    <t xml:space="preserve"> </t>
  </si>
  <si>
    <t>29.04.2025</t>
  </si>
  <si>
    <t>Передача малоцінних активів в експлуатацію ІБ00-000171 від 29.04.2025 14:26:22
Списание стоимости малоценных активов</t>
  </si>
  <si>
    <t>Обл. НДС
Виробничий (Глобине-2)
Глобине-2
Амортизація ОЗ загальновиробничого призначення</t>
  </si>
  <si>
    <t>Обл. НДС
Валик 48*180 мм
Надходження товарів і послуг ІБ00-001198 від 21.03.2025 19:26:08
АПК (Глобине)</t>
  </si>
  <si>
    <t>231</t>
  </si>
  <si>
    <t>Обл. НДС
Взуття чоловіче SEVEN SAFETY S1FUR"  р.42
Надходження товарів і послуг ІБ00-001048 від 10.03.2025 20:00:27
АПК (Глобине)</t>
  </si>
  <si>
    <t>Обл. НДС
Взуття чоловіче SEVEN SAFETY S1FUR"  р.43
Надходження товарів і послуг ІБ00-001048 від 10.03.2025 20:00:27
АПК (Глобине)</t>
  </si>
  <si>
    <t>Обл. НДС
Вилка пряма з з/к,ІР44
Надходження товарів і послуг ІБ00-000748 від 25.02.2025 18:19:56
АПК (Глобине)</t>
  </si>
  <si>
    <t>Обл. НДС
Електроди "Моноліт РЦ" 3 мм 2,5кг
Надходження товарів і послуг ІБ00-001431 від 31.03.2025 11:59:59
АПК (Глобине)</t>
  </si>
  <si>
    <t>Обл. НДС
Електроди "Моноліт РЦ" 4 мм уп. 5,0 кг
Надходження товарів і послуг ІБ00-001431 від 31.03.2025 11:59:59
АПК (Глобине)</t>
  </si>
  <si>
    <t>Обл. НДС
Електроди д. 4 мм "Моноліт РЦ" (5 кг) (Україна)
Надходження товарів і послуг ІБ00-001198 від 21.03.2025 19:26:08
АПК (Глобине)</t>
  </si>
  <si>
    <t>Обл. НДС
Жилет світловідбиваючий помаранч.
Надходження товарів і послуг ІБ00-001049 від 10.03.2025 20:00:28
АПК (Глобине)</t>
  </si>
  <si>
    <t>Обл. НДС
Касета-розетка 3гн., з/к з кришками ОМЕГА ІР44 16А
Надходження товарів і послуг ІБ00-000748 від 25.02.2025 18:19:56
АПК (Глобине)</t>
  </si>
  <si>
    <t>Обл. НДС
Перчатки зварюв.червоні(краги)
Надходження товарів і послуг ІБ00-000976 від 07.03.2025 19:00:34
АПК (Глобине)</t>
  </si>
  <si>
    <t>Обл. НДС
Рукавиці трикотажні з ПВХ
Надходження товарів і послуг ІБ00-001431 від 31.03.2025 11:59:59
АПК (Глобине)</t>
  </si>
  <si>
    <t>Обл. НДС
Рукавички скло/камінь черв з рифл гум надол  р.10
Надходження товарів і послуг ІБ00-001431 від 31.03.2025 11:59:59
АПК (Глобине)</t>
  </si>
  <si>
    <t>Обл. НДС
Рукавички трикотажні чорні ТМ Vulkan LUX, р.10
Надходження товарів і послуг ІБ00-001198 від 21.03.2025 19:26:08
АПК (Глобине)</t>
  </si>
  <si>
    <t>Обл. НДС
Рулетка  5 м*19 мм 
Надходження товарів і послуг ІБ00-001198 від 21.03.2025 19:26:08
АПК (Глобине)</t>
  </si>
  <si>
    <t>Обл. НДС
Ручка для валика
Надходження товарів і послуг ІБ00-001198 від 21.03.2025 19:26:08
АПК (Глобине)</t>
  </si>
  <si>
    <t>Обл. НДС
Шнур відбивочний буд.(пластм.корпус) - 30м
Надходження товарів і послуг ІБ00-001045 від 12.03.2025 18:45:21
АПК (Глобине)</t>
  </si>
  <si>
    <t>Обл. НДС
Шпатель  80 мм 
Надходження товарів і послуг ІБ00-001198 від 21.03.2025 19:26:08
АПК (Глобине)</t>
  </si>
  <si>
    <t>Обл. НДС
Шпатель 150
Надходження товарів і послуг ІБ00-001198 від 21.03.2025 19:26:08
АПК (Глобине)</t>
  </si>
  <si>
    <t>Обл. НДС
Скотч  300 м
Надходження товарів і послуг ІБ00-001198 від 21.03.2025 19:26:08
АПК (Глобине)</t>
  </si>
  <si>
    <t>Обл. НДС
Ножиці д/труб 0-42мм
Надходження товарів і послуг ІБ00-001386 від 28.03.2025 20:00:18
АПК (Глобине)</t>
  </si>
  <si>
    <t>30.04.2025</t>
  </si>
  <si>
    <t>Переміщення товарів ІБ00-000380 від 30.04.2025 11:05:00
Перемещение ТМЦ</t>
  </si>
  <si>
    <t>Обл. НДС
Дюбель-цвях 4,5х40  
Надходження товарів і послуг ІБ00-001908 від 30.04.2025 11:00:00
АПК (Глобине)</t>
  </si>
  <si>
    <t>Обл. НДС
Дюбель-цвях 4,5х40  
Надходження товарів і послуг ІБ00-001908 від 30.04.2025 11:00:00
Глобине-2</t>
  </si>
  <si>
    <t>Передача малоцінних активів в експлуатацію ІБ00-000213 від 30.04.2025 20:00:00
Списание стоимости малоценных активов</t>
  </si>
  <si>
    <t>Обл. НДС
Круг відрізний по металу 125*1,6*22,2
Надходження товарів і послуг ІБ00-001198 від 21.03.2025 19:26:08
АПК (Глобине)</t>
  </si>
  <si>
    <t>Обл. НДС
Круг відрізний  230*2,5*22
Надходження товарів і послуг ІБ00-001198 від 21.03.2025 19:26:08
АПК (Глобине)</t>
  </si>
  <si>
    <t>Передача малоцінних активів в експлуатацію ІБ00-000197 від 30.04.2025 23:59:27
Списание стоимости малоценных активов</t>
  </si>
  <si>
    <t>Обл. НДС
Краги зварювальника
Надходження товарів і послуг ІБ00-001198 від 21.03.2025 19:26:08
АПК (Глобине)</t>
  </si>
  <si>
    <t>Обороти за період та сальдо на кінець</t>
  </si>
  <si>
    <t>03.04.2025</t>
  </si>
  <si>
    <t>Передача малоцінних активів в експлуатацію ІБ00-000149 від 03.04.2025 17:41:40
Списание стоимости малоценных активов</t>
  </si>
  <si>
    <t>Обл. НДС
Замок навісний
Надходження товарів і послуг ІБ00-001368 від 28.03.2025 20:00:05
Генплан митний склад (Глобине)</t>
  </si>
  <si>
    <t>Передача малоцінних активів в експлуатацію ІБ00-000150 від 03.04.2025 17:41:42
Списание стоимости малоценных активов</t>
  </si>
  <si>
    <t>Обл. НДС
Шланг напірн Д=50мм бухта 20м
Надходження товарів і послуг ІБ00-000542 від 16.02.2024 10:08:26
Глобине-2</t>
  </si>
  <si>
    <t>Обл. НДС
Провід ПВС 3*1,5 бухта 100м
Надходження товарів і послуг ІБ00-004399 від 19.09.2024 18:10:36
Глобине-2</t>
  </si>
  <si>
    <t>Обл. НДС
Костюм "Віват" р.104-108/170-176
Надходження товарів і послуг ІБ00-005042 від 02.10.2024 10:00:00
Глобине-2</t>
  </si>
  <si>
    <t>Передача малоцінних активів в експлуатацію ІБ00-000155 від 03.04.2025 17:41:54
Списание стоимости малоценных активов</t>
  </si>
  <si>
    <t>Обл. НДС
Кабель КГ 3*25+1*10
Надходження товарів і послуг ІБ00-005782 від 05.11.2024 20:00:07
Глобине-2</t>
  </si>
  <si>
    <t>09.04.2025</t>
  </si>
  <si>
    <t>Надходження товарів і послуг ІБ00-001613 від 09.04.2025 11:00:00
Оприходованы ТМЦ</t>
  </si>
  <si>
    <t>Обл. НДС
Рівень 2000мм Spirit магнітний
Надходження товарів і послуг ІБ00-001613 від 09.04.2025 11:00:00
Глобине-2</t>
  </si>
  <si>
    <t>Лук'ян Михайло Федорович ФОП
22/08-24-1 от 22.08.2024 (РАХУНКИ)_Глобине-2
Рахунок на оплату постачальника ІБ00-001318 від 09.04.2025 23:59:59</t>
  </si>
  <si>
    <t>631</t>
  </si>
  <si>
    <t>Обл. НДС
Шнур каменяра 1,3 мм*100 м
Надходження товарів і послуг ІБ00-001613 від 09.04.2025 11:00:00
Глобине-2</t>
  </si>
  <si>
    <t>Обл. НДС
Бита Рh2 51мм 
Надходження товарів і послуг ІБ00-001613 від 09.04.2025 11:00:00
Глобине-2</t>
  </si>
  <si>
    <t>Обл. НДС
Подовжувач і магнітний для біт М8*65 д/6гр.гл
Надходження товарів і послуг ІБ00-001613 від 09.04.2025 11:00:00
Глобине-2</t>
  </si>
  <si>
    <t>Обл. НДС
Рулетка 10 м*25 мм
Надходження товарів і послуг ІБ00-001613 від 09.04.2025 11:00:00
Глобине-2</t>
  </si>
  <si>
    <t>Обл. НДС
Свердло 13,0мм HSS TiN
Надходження товарів і послуг ІБ00-001613 від 09.04.2025 11:00:00
Глобине-2</t>
  </si>
  <si>
    <t>Обл. НДС
Наколінники гумові 
Надходження товарів і послуг ІБ00-001613 від 09.04.2025 11:00:00
Глобине-2</t>
  </si>
  <si>
    <t>Переміщення товарів ІБ00-000323 від 09.04.2025 11:05:00
Перемещение ТМЦ</t>
  </si>
  <si>
    <t>Обл. НДС
Рівень 2000мм Spirit магнітний
Надходження товарів і послуг ІБ00-001613 від 09.04.2025 11:00:00
Котельна (Глобине)</t>
  </si>
  <si>
    <t>Обл. НДС
Шнур каменяра 1,3 мм*100 м
Надходження товарів і послуг ІБ00-001613 від 09.04.2025 11:00:00
Котельна (Глобине)</t>
  </si>
  <si>
    <t>Обл. НДС
Бита Рh2 51мм 
Надходження товарів і послуг ІБ00-001613 від 09.04.2025 11:00:00
Котельна (Глобине)</t>
  </si>
  <si>
    <t>Обл. НДС
Подовжувач і магнітний для біт М8*65 д/6гр.гл
Надходження товарів і послуг ІБ00-001613 від 09.04.2025 11:00:00
Котельна (Глобине)</t>
  </si>
  <si>
    <t>Обл. НДС
Рулетка 10 м*25 мм
Надходження товарів і послуг ІБ00-001613 від 09.04.2025 11:00:00
Котельна (Глобине)</t>
  </si>
  <si>
    <t>Переміщення товарів ІБ00-000325 від 09.04.2025 11:05:00
Перемещение ТМЦ</t>
  </si>
  <si>
    <t>Обл. НДС
Свердло 13,0мм HSS TiN
Надходження товарів і послуг ІБ00-001613 від 09.04.2025 11:00:00
Цех екстракції (Глобине)</t>
  </si>
  <si>
    <t>Обл. НДС
Наколінники гумові 
Надходження товарів і послуг ІБ00-001613 від 09.04.2025 11:00:00
Цех екстракції (Глобине)</t>
  </si>
  <si>
    <t>10.04.2025</t>
  </si>
  <si>
    <t>Переміщення товарів ІБ00-000313 від 10.04.2025 15:00:00
Перемещение ТМЦ</t>
  </si>
  <si>
    <t>Обл. НДС
Автоматичний вимикач 1р В 16А 6кА
Надходження товарів і послуг ІБ00-004458 від 23.09.2024 18:22:19
Глобине-2</t>
  </si>
  <si>
    <t>Обл. НДС
Автоматичний вимикач 1р В 16А 6кА
Надходження товарів і послуг ІБ00-004458 від 23.09.2024 18:22:19
Молоко Вітчизни</t>
  </si>
  <si>
    <t>Обл. НДС
Автоматичний вимикач 1р С 25А 6кА
Надходження товарів і послуг ІБ00-004458 від 23.09.2024 18:22:19
Глобине-2</t>
  </si>
  <si>
    <t>Обл. НДС
Автоматичний вимикач 1р С 25А 6кА
Надходження товарів і послуг ІБ00-004458 від 23.09.2024 18:22:19
Молоко Вітчизни</t>
  </si>
  <si>
    <t>Обл. НДС
Автоматичний вимикач 1р С 40А 6кА
Надходження товарів і послуг ІБ00-004458 від 23.09.2024 18:22:19
Глобине-2</t>
  </si>
  <si>
    <t>Обл. НДС
Автоматичний вимикач 1р С 40А 6кА
Надходження товарів і послуг ІБ00-004458 від 23.09.2024 18:22:19
Молоко Вітчизни</t>
  </si>
  <si>
    <t>Обл. НДС
Бур 12*250*310
Надходження товарів і послуг ІБ00-004231 від 12.09.2024 18:41:34
Глобине-2</t>
  </si>
  <si>
    <t>Обл. НДС
Бур 12*250*310
Надходження товарів і послуг ІБ00-004231 від 12.09.2024 18:41:34
Молоко Вітчизни</t>
  </si>
  <si>
    <t>Обл. НДС
Бур 16*250*310мм  SDS Plus 
Надходження товарів і послуг ІБ00-000579 від 16.02.2024 18:08:40
Глобине-2</t>
  </si>
  <si>
    <t>Обл. НДС
Бур 16*250*310мм  SDS Plus 
Надходження товарів і послуг ІБ00-000579 від 16.02.2024 18:08:40
Молоко Вітчизни</t>
  </si>
  <si>
    <t>Обл. НДС
Відбивач плівковий А4 білий
Надходження товарів і послуг ІБ00-005586 від 15.10.2024 22:00:12
Глобине-2</t>
  </si>
  <si>
    <t>Обл. НДС
Відбивач плівковий А4 білий
Надходження товарів і послуг ІБ00-005586 від 15.10.2024 22:00:12
Молоко Вітчизни</t>
  </si>
  <si>
    <t>Обл. НДС
Відро будівельне 15 л
Надходження товарів і послуг ІБ00-004231 від 12.09.2024 18:41:34
Глобине-2</t>
  </si>
  <si>
    <t>Обл. НДС
Відро будівельне 15 л
Надходження товарів і послуг ІБ00-004231 від 12.09.2024 18:41:34
Молоко Вітчизни</t>
  </si>
  <si>
    <t>Обл. НДС
Відро будівельне 20 л
Надходження товарів і послуг ІБ00-001026 від 05.03.2024 18:27:30
Глобине-2</t>
  </si>
  <si>
    <t>Обл. НДС
Відро будівельне 20 л
Надходження товарів і послуг ІБ00-001026 від 05.03.2024 18:27:30
Молоко Вітчизни</t>
  </si>
  <si>
    <t>Обл. НДС
Вставка зі штуч.хутра в чол.чоботи р.41-42
Надходження товарів і послуг ІБ00-004231 від 12.09.2024 18:41:34
Глобине-2</t>
  </si>
  <si>
    <t>Обл. НДС
Вставка зі штуч.хутра в чол.чоботи р.41-42
Надходження товарів і послуг ІБ00-004231 від 12.09.2024 18:41:34
Молоко Вітчизни</t>
  </si>
  <si>
    <t>Обл. НДС
Вставка зі штуч.хутра в чол.чоботи р.45-46
Надходження товарів і послуг ІБ00-004231 від 12.09.2024 18:41:34
Глобине-2</t>
  </si>
  <si>
    <t>Обл. НДС
Вставка зі штуч.хутра в чол.чоботи р.45-46
Надходження товарів і послуг ІБ00-004231 від 12.09.2024 18:41:34
Молоко Вітчизни</t>
  </si>
  <si>
    <t>Обл. НДС
Держак д/лопати 1,2 м
Надходження товарів і послуг ІБ00-004231 від 12.09.2024 18:41:34
Глобине-2</t>
  </si>
  <si>
    <t>Обл. НДС
Держак д/лопати 1,2 м
Надходження товарів і послуг ІБ00-004231 від 12.09.2024 18:41:34
Молоко Вітчизни</t>
  </si>
  <si>
    <t>Обл. НДС
Диск пильний 190*30 24 зуб.
Надходження товарів і послуг ІБ00-004231 від 12.09.2024 18:41:34
Глобине-2</t>
  </si>
  <si>
    <t>Обл. НДС
Диск пильний 190*30 24 зуб.
Надходження товарів і послуг ІБ00-004231 від 12.09.2024 18:41:34
Молоко Вітчизни</t>
  </si>
  <si>
    <t>Обл. НДС
Змазка ТАД-17 1л в коробку передач трансміс 80W90
Надходження товарів і послуг ІБ00-004228 від 12.09.2024 18:41:20
Глобине-2</t>
  </si>
  <si>
    <t>Обл. НДС
Змазка ТАД-17 1л в коробку передач трансміс 80W90
Надходження товарів і послуг ІБ00-004228 від 12.09.2024 18:41:20
Молоко Вітчизни</t>
  </si>
  <si>
    <t>Обл. НДС
Каністра  20 л
Надходження товарів і послуг ІБ00-004224 від 13.09.2024 18:23:07
Глобине-2</t>
  </si>
  <si>
    <t>Обл. НДС
Каністра  20 л
Надходження товарів і послуг ІБ00-004224 від 13.09.2024 18:23:07
Молоко Вітчизни</t>
  </si>
  <si>
    <t>Обл. НДС
Кошма пожежна 2м*2 м (брезент вогнетривкий)
Надходження товарів і послуг ІБ00-001221 від 21.03.2024 18:10:31
Глобине-2</t>
  </si>
  <si>
    <t>Обл. НДС
Кошма пожежна 2м*2 м (брезент вогнетривкий)
Надходження товарів і послуг ІБ00-001221 від 21.03.2024 18:10:31
Молоко Вітчизни</t>
  </si>
  <si>
    <t>Обл. НДС
Кувалда 6 кг з ручкою
Надходження товарів і послуг ІБ00-004231 від 12.09.2024 18:41:34
Глобине-2</t>
  </si>
  <si>
    <t>Обл. НДС
Кувалда 6 кг з ручкою
Надходження товарів і послуг ІБ00-004231 від 12.09.2024 18:41:34
Молоко Вітчизни</t>
  </si>
  <si>
    <t>Обл. НДС
Лом будівельний, 1,5 м
Надходження товарів і послуг ІБ00-004231 від 12.09.2024 18:41:34
Глобине-2</t>
  </si>
  <si>
    <t>Обл. НДС
Лом будівельний, 1,5 м
Надходження товарів і послуг ІБ00-004231 від 12.09.2024 18:41:34
Молоко Вітчизни</t>
  </si>
  <si>
    <t>Обл. НДС
Молоток  1000 гр.
Надходження товарів і послуг ІБ00-004231 від 12.09.2024 18:41:34
Глобине-2</t>
  </si>
  <si>
    <t>Обл. НДС
Молоток  1000 гр.
Надходження товарів і послуг ІБ00-004231 від 12.09.2024 18:41:34
Молоко Вітчизни</t>
  </si>
  <si>
    <t>Обл. НДС
Напівмаска сіра ТПЕ+АBS, кріплення на голові в 4-х точ.
Надходження товарів і послуг 00000004097 від 01.12.2020 08:00:00
Глобине-2</t>
  </si>
  <si>
    <t>Обл. НДС
Напівмаска сіра ТПЕ+АBS, кріплення на голові в 4-х точ.
Надходження товарів і послуг 00000004097 від 01.12.2020 08:00:00
Молоко Вітчизни</t>
  </si>
  <si>
    <t>Обл. НДС
Олива моторна напівсинтетична 2Т 1л
Надходження товарів і послуг ІБ00-000786 від 21.02.2024 23:54:39
Глобине-2</t>
  </si>
  <si>
    <t>Обл. НДС
Олива моторна напівсинтетична 2Т 1л
Надходження товарів і послуг ІБ00-000786 від 21.02.2024 23:54:39
Молоко Вітчизни</t>
  </si>
  <si>
    <t>Обл. НДС
Рукавички трикотажні 
Надходження товарів і послуг ІБ00-004231 від 12.09.2024 18:41:34
Глобине-2</t>
  </si>
  <si>
    <t>Обл. НДС
Рукавички трикотажні 
Надходження товарів і послуг ІБ00-004231 від 12.09.2024 18:41:34
Молоко Вітчизни</t>
  </si>
  <si>
    <t>Обл. НДС
Строп СТП 3,0/4000 (5911)
Надходження товарів і послуг ІБ00-004231 від 12.09.2024 18:41:34
Глобине-2</t>
  </si>
  <si>
    <t>Обл. НДС
Строп СТП 3,0/4000 (5911)
Надходження товарів і послуг ІБ00-004231 від 12.09.2024 18:41:34
Молоко Вітчизни</t>
  </si>
  <si>
    <t>Обл. НДС
Чоботи гумові чол.42 р
Надходження товарів і послуг ІБ00-004231 від 12.09.2024 18:41:34
Глобине-2</t>
  </si>
  <si>
    <t>Обл. НДС
Чоботи гумові чол.42 р
Надходження товарів і послуг ІБ00-004231 від 12.09.2024 18:41:34
Молоко Вітчизни</t>
  </si>
  <si>
    <t>Обл. НДС
Чоботи ПВХ "Люкс" чоловічі р.45
Надходження товарів і послуг ІБ00-004231 від 12.09.2024 18:41:34
Глобине-2</t>
  </si>
  <si>
    <t>Обл. НДС
Чоботи ПВХ "Люкс" чоловічі р.45
Надходження товарів і послуг ІБ00-004231 від 12.09.2024 18:41:34
Молоко Вітчизни</t>
  </si>
  <si>
    <t>11.04.2025</t>
  </si>
  <si>
    <t>Надходження товарів і послуг ІБ00-001614 від 11.04.2025 11:00:00
Оприходованы ТМЦ</t>
  </si>
  <si>
    <t>Обл. НДС
Окуляри захисні
Надходження товарів і послуг ІБ00-001614 від 11.04.2025 11:00:00
Глобине-2</t>
  </si>
  <si>
    <t>Лук'ян Михайло Федорович ФОП
22/08-24-1 от 22.08.2024 (РАХУНКИ)_Глобине-2
Рахунок на оплату постачальника ІБ00-001319 від 10.04.2025 22:56:53</t>
  </si>
  <si>
    <t>Обл. НДС
Фреза алмазна торцева 125*22,23
Надходження товарів і послуг ІБ00-001614 від 11.04.2025 11:00:00
Глобине-2</t>
  </si>
  <si>
    <t>Обл. НДС
Круг алмазний 125 бетон, граніт сегмент ВРЕ ЕСО
Надходження товарів і послуг ІБ00-001614 від 11.04.2025 11:00:00
Глобине-2</t>
  </si>
  <si>
    <t>Обл. НДС
Круг алмаз 230мм "BOSCH" граніт.мрамор.бетон.цегла
Надходження товарів і послуг ІБ00-001614 від 11.04.2025 11:00:00
Глобине-2</t>
  </si>
  <si>
    <t>Обл. НДС
Круг відрізний  125*1,6*22
Надходження товарів і послуг ІБ00-001614 від 11.04.2025 11:00:00
Глобине-2</t>
  </si>
  <si>
    <t>Обл. НДС
Круг відрізний 230*2.5*22 увігнутий
Надходження товарів і послуг ІБ00-001614 від 11.04.2025 11:00:00
Глобине-2</t>
  </si>
  <si>
    <t>Обл. НДС
Круг зачисний по металу 125*6,0*22,23 AKSOR
Надходження товарів і послуг ІБ00-001614 від 11.04.2025 11:00:00
Глобине-2</t>
  </si>
  <si>
    <t>Надходження товарів і послуг ІБ00-001740 від 18.04.2025 11:00:00
Оприходованы ТМЦ</t>
  </si>
  <si>
    <t>Обл. НДС
Вилка пряма з з/к,ІР44
Надходження товарів і послуг ІБ00-001740 від 18.04.2025 11:00:00
Глобине-2</t>
  </si>
  <si>
    <t>Лук'ян Михайло Федорович ФОП
22/08-24-1 от 22.08.2024 (РАХУНКИ)_Глобине-2
Рахунок на оплату постачальника ІБ00-001400 від 18.04.2025 18:10:00</t>
  </si>
  <si>
    <t>Обл. НДС
Касета-розетка 3гн, з/к з кришками Омега ІР44  16А
Надходження товарів і послуг ІБ00-001740 від 18.04.2025 11:00:00
Глобине-2</t>
  </si>
  <si>
    <t>Обл. НДС
Провід ПВС 3*2,5 бухта 100м 
Надходження товарів і послуг ІБ00-001740 від 18.04.2025 11:00:00
Глобине-2</t>
  </si>
  <si>
    <t>Обл. НДС
Електроди "Моноліт РЦ" 3 мм 2,5кг
Надходження товарів і послуг ІБ00-001740 від 18.04.2025 11:00:00
Глобине-2</t>
  </si>
  <si>
    <t>Обл. НДС
Електроди "Моноліт РЦ" 4 мм уп. 5,0 кг
Надходження товарів і послуг ІБ00-001740 від 18.04.2025 11:00:00
Глобине-2</t>
  </si>
  <si>
    <t>Обл. НДС
Маска зварювальника
Надходження товарів і послуг ІБ00-001740 від 18.04.2025 11:00:00
Глобине-2</t>
  </si>
  <si>
    <t>Обл. НДС
Рулетка 10 м*25 мм
Надходження товарів і послуг ІБ00-001740 від 18.04.2025 11:00:00
Глобине-2</t>
  </si>
  <si>
    <t>Обл. НДС
Рукавиці трикотажні з ПВХ чорні 7клас розм 10
Надходження товарів і послуг ІБ00-001740 від 18.04.2025 11:00:00
Глобине-2</t>
  </si>
  <si>
    <t>Обл. НДС
Перчатки зварюв.червоні(краги)
Надходження товарів і послуг ІБ00-001740 від 18.04.2025 11:00:00
Глобине-2</t>
  </si>
  <si>
    <t>Обл. НДС
Змазка компресорна 1л ISO100
Надходження товарів і послуг ІБ00-001740 від 18.04.2025 11:00:00
Глобине-2</t>
  </si>
  <si>
    <t>Переміщення товарів ІБ00-000340 від 18.04.2025 11:05:00
Перемещение ТМЦ</t>
  </si>
  <si>
    <t>Обл. НДС
Вилка пряма з з/к,ІР44
Надходження товарів і послуг ІБ00-001740 від 18.04.2025 11:00:00
СПК (Глобине)</t>
  </si>
  <si>
    <t>Обл. НДС
Касета-розетка 3гн, з/к з кришками Омега ІР44  16А
Надходження товарів і послуг ІБ00-001740 від 18.04.2025 11:00:00
СПК (Глобине)</t>
  </si>
  <si>
    <t>Обл. НДС
Провід ПВС 3*2,5 бухта 100м 
Надходження товарів і послуг ІБ00-001740 від 18.04.2025 11:00:00
СПК (Глобине)</t>
  </si>
  <si>
    <t>Обл. НДС
Електроди "Моноліт РЦ" 3 мм 2,5кг
Надходження товарів і послуг ІБ00-001740 від 18.04.2025 11:00:00
СПК (Глобине)</t>
  </si>
  <si>
    <t>Обл. НДС
Електроди "Моноліт РЦ" 4 мм уп. 5,0 кг
Надходження товарів і послуг ІБ00-001740 від 18.04.2025 11:00:00
СПК (Глобине)</t>
  </si>
  <si>
    <t>Обл. НДС
Маска зварювальника
Надходження товарів і послуг ІБ00-001740 від 18.04.2025 11:00:00
СПК (Глобине)</t>
  </si>
  <si>
    <t>Обл. НДС
Рулетка 10 м*25 мм
Надходження товарів і послуг ІБ00-001740 від 18.04.2025 11:00:00
СПК (Глобине)</t>
  </si>
  <si>
    <t>Обл. НДС
Рукавиці трикотажні з ПВХ чорні 7клас розм 10
Надходження товарів і послуг ІБ00-001740 від 18.04.2025 11:00:00
СПК (Глобине)</t>
  </si>
  <si>
    <t>Обл. НДС
Перчатки зварюв.червоні(краги)
Надходження товарів і послуг ІБ00-001740 від 18.04.2025 11:00:00
СПК (Глобине)</t>
  </si>
  <si>
    <t>Обл. НДС
Круг відрізний 230*2.5*22 увігнутий
Надходження товарів і послуг ІБ00-001614 від 11.04.2025 11:00:00
СПК (Глобине)</t>
  </si>
  <si>
    <t>Обл. НДС
Змазка компресорна 1л ISO100
Надходження товарів і послуг ІБ00-001740 від 18.04.2025 11:00:00
СПК (Глобине)</t>
  </si>
  <si>
    <t>Переміщення товарів ІБ00-000341 від 18.04.2025 11:05:00
Перемещение ТМЦ</t>
  </si>
  <si>
    <t>Обл. НДС
Вилка пряма з з/к,ІР44
Надходження товарів і послуг ІБ00-001740 від 18.04.2025 11:00:00
Резервуарний парк соєвої меляси (Глобине)</t>
  </si>
  <si>
    <t>Обл. НДС
Касета-розетка 3гн, з/к з кришками Омега ІР44  16А
Надходження товарів і послуг ІБ00-001740 від 18.04.2025 11:00:00
Резервуарний парк соєвої меляси (Глобине)</t>
  </si>
  <si>
    <t>Обл. НДС
Провід ПВС 3*2,5 бухта 100м 
Надходження товарів і послуг ІБ00-001740 від 18.04.2025 11:00:00
Резервуарний парк соєвої меляси (Глобине)</t>
  </si>
  <si>
    <t>Обл. НДС
Круг відрізний 230*2.5*22 увігнутий
Надходження товарів і послуг ІБ00-001614 від 11.04.2025 11:00:00
Резервуарний парк соєвої меляси (Глобине)</t>
  </si>
  <si>
    <t>Переміщення товарів ІБ00-000342 від 18.04.2025 11:05:00
Перемещение ТМЦ</t>
  </si>
  <si>
    <t>Обл. НДС
Вилка пряма з з/к,ІР44
Надходження товарів і послуг ІБ00-001740 від 18.04.2025 11:00:00
Пожежений резервуар (Глобине)</t>
  </si>
  <si>
    <t>Обл. НДС
Касета-розетка 3гн, з/к з кришками Омега ІР44  16А
Надходження товарів і послуг ІБ00-001740 від 18.04.2025 11:00:00
Пожежений резервуар (Глобине)</t>
  </si>
  <si>
    <t>Обл. НДС
Провід ПВС 3*2,5 бухта 100м 
Надходження товарів і послуг ІБ00-001740 від 18.04.2025 11:00:00
Пожежений резервуар (Глобине)</t>
  </si>
  <si>
    <t>Обл. НДС
Круг відрізний 230*2.5*22 увігнутий
Надходження товарів і послуг ІБ00-001740 від 18.04.2025 11:00:00
Пожежений резервуар (Глобине)</t>
  </si>
  <si>
    <t>Передача малоцінних активів в експлуатацію ІБ00-000172 від 29.04.2025 14:26:48
Списание стоимости малоценных активов</t>
  </si>
  <si>
    <t>Передача малоцінних активів в експлуатацію ІБ00-000177 від 29.04.2025 15:51:31
Списание стоимости малоценных активов</t>
  </si>
  <si>
    <t>Передача малоцінних активів в експлуатацію ІБ00-000181 від 29.04.2025 16:49:38
Списание стоимости малоценных активов</t>
  </si>
  <si>
    <t>Обл. НДС
Алкотестер-Алкометр 8,0
Надходження товарів і послуг ІБ00-001529 від 12.03.2025 11:00:00
Глобине-2</t>
  </si>
  <si>
    <t>Передача малоцінних активів в експлуатацію ІБ00-000195 від 30.04.2025 00:00:00
Списание стоимости малоценных активов</t>
  </si>
  <si>
    <t>Обл. НДС
Мундштук до алкотестера АТ-818
Надходження товарів і послуг ІБ00-001529 від 12.03.2025 11:00:00
Глобине-2</t>
  </si>
  <si>
    <t>Передача малоцінних активів в експлуатацію ІБ00-000211 від 30.04.2025 10:00:00
Списание стоимости малоценных активов</t>
  </si>
  <si>
    <t>Переміщення товарів ІБ00-000400 від 30.04.2025 10:00:00
Перемещение ТМЦ</t>
  </si>
  <si>
    <t>Обл. НДС
Провід ПВС 3*1,5 бухта 100м
Надходження товарів і послуг ІБ00-004399 від 19.09.2024 18:10:36
Цех екстракції (Глобине)</t>
  </si>
  <si>
    <t>205</t>
  </si>
  <si>
    <t>Надходження товарів і послуг ІБ00-001908 від 30.04.2025 11:00:00
Оприходованы ТМЦ</t>
  </si>
  <si>
    <t>Обл. НДС
Шнур поліамідний 16мм/разрив 6000кг
Надходження товарів і послуг ІБ00-001908 від 30.04.2025 11:00:00
Глобине-2</t>
  </si>
  <si>
    <t>Лук'ян Михайло Федорович ФОП
22/08-24-1 от 22.08.2024 (РАХУНКИ)_Глобине-2
Рахунок на оплату постачальника ІБ00-001591 від 30.04.2025 10:00:00</t>
  </si>
  <si>
    <t>Обл. НДС
Щітка по металу
Надходження товарів і послуг ІБ00-001908 від 30.04.2025 11:00:00
Глобине-2</t>
  </si>
  <si>
    <t>Обл. НДС
Валик 25см ROMA фасадний
Надходження товарів і послуг ІБ00-001908 від 30.04.2025 11:00:00
Глобине-2</t>
  </si>
  <si>
    <t>Обл. НДС
Ручка для валика 25 см
Надходження товарів і послуг ІБ00-001908 від 30.04.2025 11:00:00
Глобине-2</t>
  </si>
  <si>
    <t>Обл. НДС
Розчинник УС Нефрас 0,94 л/ 0,70 кг
Надходження товарів і послуг ІБ00-001908 від 30.04.2025 11:00:00
Глобине-2</t>
  </si>
  <si>
    <t>Обл. НДС
Круг зачисний по металу 125х6,0х22 
Надходження товарів і послуг ІБ00-001908 від 30.04.2025 11:00:00
Глобине-2</t>
  </si>
  <si>
    <t>Обл. НДС
Круг відрізний  125*1,6*22
Надходження товарів і послуг ІБ00-001908 від 30.04.2025 11:00:00
Глобине-2</t>
  </si>
  <si>
    <t>Обл. НДС
Рукавички скло/камінь червон
Надходження товарів і послуг ІБ00-001908 від 30.04.2025 11:00:00
Глобине-2</t>
  </si>
  <si>
    <t>Обл. НДС
Електроди "Моноліт РЦ" 4 мм уп. 5,0 кг
Надходження товарів і послуг ІБ00-001908 від 30.04.2025 11:00:00
Глобине-2</t>
  </si>
  <si>
    <t>Обл. НДС
Автовимикач ВА47-29М 3р 40А
Надходження товарів і послуг ІБ00-001908 від 30.04.2025 11:00:00
Глобине-2</t>
  </si>
  <si>
    <t>Обл. НДС
Авт.вим. ВА47-29 ІЕК 3-пол.С 63А
Надходження товарів і послуг ІБ00-001908 від 30.04.2025 11:00:00
Глобине-2</t>
  </si>
  <si>
    <t>Обл. НДС
Автовимикач ВА47-29М 3р 25А
Надходження товарів і послуг ІБ00-001908 від 30.04.2025 11:00:00
Глобине-2</t>
  </si>
  <si>
    <t>Обл. НДС
Перетворювач іржі 0,94 л/0,9 кг
Надходження товарів і послуг ІБ00-001908 від 30.04.2025 11:00:00
Глобине-2</t>
  </si>
  <si>
    <t>Обл. НДС
Перехідник з 3/4" на 1/2"
Надходження товарів і послуг ІБ00-001908 від 30.04.2025 11:00:00
Глобине-2</t>
  </si>
  <si>
    <t>Обл. НДС
Валик мультиколор 10 см
Надходження товарів і послуг ІБ00-001908 від 30.04.2025 11:00:00
Глобине-2</t>
  </si>
  <si>
    <t>Обл. НДС
Ручка для валика 10 см
Надходження товарів і послуг ІБ00-001908 від 30.04.2025 11:00:00
Глобине-2</t>
  </si>
  <si>
    <t>Обл. НДС
Ванночка для валика
Надходження товарів і послуг ІБ00-001908 від 30.04.2025 11:00:00
Глобине-2</t>
  </si>
  <si>
    <t>Обл. НДС
Пензель*50
Надходження товарів і послуг ІБ00-001908 від 30.04.2025 11:00:00
Глобине-2</t>
  </si>
  <si>
    <t>Обл. НДС
Штекер байонетний  400 А
Надходження товарів і послуг ІБ00-001908 від 30.04.2025 11:00:00
Глобине-2</t>
  </si>
  <si>
    <t>Обл. НДС
Кабель КГ 1*16 зварювальний 160А (м)
Надходження товарів і послуг ІБ00-001908 від 30.04.2025 11:00:00
Глобине-2</t>
  </si>
  <si>
    <t>Обл. НДС
Тримач електродів DE-2200  200А
Надходження товарів і послуг ІБ00-001908 від 30.04.2025 11:00:00
Глобине-2</t>
  </si>
  <si>
    <t>Обл. НДС
Затискач маси прищіпка МК-250 А
Надходження товарів і послуг ІБ00-001908 від 30.04.2025 11:00:00
Глобине-2</t>
  </si>
  <si>
    <t>Обл. НДС
Ганчір'я х/б
Надходження товарів і послуг ІБ00-001908 від 30.04.2025 11:00:00
Глобине-2</t>
  </si>
  <si>
    <t>Обл. НДС
Розчинник Уайт-спіріт 10 л 
Надходження товарів і послуг ІБ00-001908 від 30.04.2025 11:00:00
Глобине-2</t>
  </si>
  <si>
    <t>Переміщення товарів ІБ00-000378 від 30.04.2025 11:05:00
Перемещение ТМЦ</t>
  </si>
  <si>
    <t>Обл. НДС
Шнур поліамідний 16мм/разрив 6000кг
Надходження товарів і послуг ІБ00-001908 від 30.04.2025 11:00:00
СПК (Глобине)</t>
  </si>
  <si>
    <t>Обл. НДС
Розчинник УС Нефрас 0,94 л/ 0,70 кг
Надходження товарів і послуг ІБ00-001908 від 30.04.2025 11:00:00
СПК (Глобине)</t>
  </si>
  <si>
    <t>Обл. НДС
Круг зачисний по металу 125х6,0х22 
Надходження товарів і послуг ІБ00-001908 від 30.04.2025 11:00:00
СПК (Глобине)</t>
  </si>
  <si>
    <t>Обл. НДС
Круг відрізний  125*1,6*22
Надходження товарів і послуг ІБ00-001908 від 30.04.2025 11:00:00
СПК (Глобине)</t>
  </si>
  <si>
    <t>Обл. НДС
Автовимикач ВА47-29М 3р 40А
Надходження товарів і послуг ІБ00-001908 від 30.04.2025 11:00:00
СПК (Глобине)</t>
  </si>
  <si>
    <t>Обл. НДС
Авт.вим. ВА47-29 ІЕК 3-пол.С 63А
Надходження товарів і послуг ІБ00-001908 від 30.04.2025 11:00:00
СПК (Глобине)</t>
  </si>
  <si>
    <t>Обл. НДС
Автовимикач ВА47-29М 3р 25А
Надходження товарів і послуг ІБ00-001908 від 30.04.2025 11:00:00
СПК (Глобине)</t>
  </si>
  <si>
    <t>Обл. НДС
Перетворювач іржі 0,94 л/0,9 кг
Надходження товарів і послуг ІБ00-001908 від 30.04.2025 11:00:00
СПК (Глобине)</t>
  </si>
  <si>
    <t>Переміщення товарів ІБ00-000379 від 30.04.2025 11:05:00
Перемещение ТМЦ</t>
  </si>
  <si>
    <t>Обл. НДС
Електроди "Моноліт РЦ" 4 мм уп. 5,0 кг
Надходження товарів і послуг ІБ00-001908 від 30.04.2025 11:00:00
Резервуарний парк соєвої меляси (Глобине)</t>
  </si>
  <si>
    <t>Обл. НДС
Валик мультиколор 10 см
Надходження товарів і послуг ІБ00-001908 від 30.04.2025 11:00:00
Резервуарний парк соєвої меляси (Глобине)</t>
  </si>
  <si>
    <t>Обл. НДС
Ручка для валика 10 см
Надходження товарів і послуг ІБ00-001908 від 30.04.2025 11:00:00
Резервуарний парк соєвої меляси (Глобине)</t>
  </si>
  <si>
    <t>Обл. НДС
Ванночка для валика
Надходження товарів і послуг ІБ00-001908 від 30.04.2025 11:00:00
Резервуарний парк соєвої меляси (Глобине)</t>
  </si>
  <si>
    <t>Обл. НДС
Пензель*50
Надходження товарів і послуг ІБ00-001908 від 30.04.2025 11:00:00
Резервуарний парк соєвої меляси (Глобине)</t>
  </si>
  <si>
    <t>Обл. НДС
Штекер байонетний  400 А
Надходження товарів і послуг ІБ00-001908 від 30.04.2025 11:00:00
Резервуарний парк соєвої меляси (Глобине)</t>
  </si>
  <si>
    <t>Обл. НДС
Кабель КГ 1*16 зварювальний 160А (м)
Надходження товарів і послуг ІБ00-001908 від 30.04.2025 11:00:00
Резервуарний парк соєвої меляси (Глобине)</t>
  </si>
  <si>
    <t>Обл. НДС
Тримач електродів DE-2200  200А
Надходження товарів і послуг ІБ00-001908 від 30.04.2025 11:00:00
Резервуарний парк соєвої меляси (Глобине)</t>
  </si>
  <si>
    <t>Обл. НДС
Затискач маси прищіпка МК-250 А
Надходження товарів і послуг ІБ00-001908 від 30.04.2025 11:00:00
Резервуарний парк соєвої меляси (Глобине)</t>
  </si>
  <si>
    <t>Обл. НДС
Розчинник Уайт-спіріт 10 л 
Надходження товарів і послуг ІБ00-001908 від 30.04.2025 11:00:00
Резервуарний парк соєвої меляси (Глобине)</t>
  </si>
  <si>
    <t>Переміщення товарів ІБ00-000381 від 30.04.2025 11:05:00
Перемещение ТМЦ</t>
  </si>
  <si>
    <t>Обл. НДС
Перехідник з 3/4" на 1/2"
Надходження товарів і послуг ІБ00-001908 від 30.04.2025 11:00:00
Цех екстракції (Глобине)</t>
  </si>
  <si>
    <t>Обл. НДС
Ганчір'я х/б
Надходження товарів і послуг ІБ00-001908 від 30.04.2025 11:00:00
Цех екстракції (Глобине)</t>
  </si>
  <si>
    <t>Передача малоцінних активів в експлуатацію ІБ00-000215 від 30.04.2025 20:00:00
Списание стоимости малоценных активов</t>
  </si>
  <si>
    <t>Передача малоцінних активів в експлуатацію ІБ00-000217 від 30.04.2025 20:00:00
Списание стоимости малоценных активов</t>
  </si>
  <si>
    <t>Передача малоцінних активів в експлуатацію ІБ00-000219 від 30.04.2025 23:50:00
Списание стоимости малоценных активов</t>
  </si>
  <si>
    <t>Передача малоцінних активів в експлуатацію ІБ00-000200 від 30.04.2025 23:59:36
Списание стоимости малоценных активов</t>
  </si>
  <si>
    <t>01.04.2025</t>
  </si>
  <si>
    <t>Надходження товарів і послуг ІБ00-001609 від 01.04.2025 23:10:30
Оприходованы ТМЦ</t>
  </si>
  <si>
    <t>Обл. НДС
Костюм "Віват" р.104-108/170-176
Надходження товарів і послуг ІБ00-001609 від 01.04.2025 23:10:30
Котельна (Глобине)</t>
  </si>
  <si>
    <t>БРАВО-СП ТОВ
РАХУНКИ_Глобине-2
Рахунок на оплату постачальника ІБ00-001317 від 31.03.2025 10:00:00</t>
  </si>
  <si>
    <t>Передача малоцінних активів в експлуатацію ІБ00-000146 від 03.04.2025 17:41:29
Списание стоимости малоценных активов</t>
  </si>
  <si>
    <t>Обл. НДС
Круг алмазний по бетону Turbo 230
Надходження товарів і послуг ІБ00-001198 від 21.03.2025 19:26:08
Котельна (Глобине)</t>
  </si>
  <si>
    <t>Обл. НДС
Маска "малярська пелюстка"
Надходження товарів і послуг ІБ00-001046 від 12.03.2025 18:45:25
Котельна (Глобине)</t>
  </si>
  <si>
    <t>Обл. НДС
Стрейч-плівка 23 мікрон 200м (190м), брутто 2,3 кг
Надходження товарів і послуг ІБ00-001198 від 21.03.2025 19:26:08
Котельна (Глобине)</t>
  </si>
  <si>
    <t>Обл. НДС
Шпатель  80 мм 
Надходження товарів і послуг ІБ00-001198 від 21.03.2025 19:26:08
Котельна (Глобине)</t>
  </si>
  <si>
    <t>Обл. НДС
Шпатель 150
Надходження товарів і послуг ІБ00-001198 від 21.03.2025 19:26:08
Котельна (Глобине)</t>
  </si>
  <si>
    <t>Обл. НДС
Рукавички трикотажні чорні ТМ Vulkan LUX, р.10
Надходження товарів і послуг ІБ00-001198 від 21.03.2025 19:26:08
Котельна (Глобине)</t>
  </si>
  <si>
    <t>Обл. НДС
Круг відрізний  230*2,5*22
Надходження товарів і послуг ІБ00-001198 від 21.03.2025 19:26:08
Котельна (Глобине)</t>
  </si>
  <si>
    <t>Передача малоцінних активів в експлуатацію ІБ00-000152 від 03.04.2025 17:41:46
Списание стоимости малоценных активов</t>
  </si>
  <si>
    <t>Обл. НДС
Скотч  300 м
Надходження товарів і послуг ІБ00-001198 від 21.03.2025 19:26:08
Котельна (Глобине)</t>
  </si>
  <si>
    <t>Обл. НДС
Рукавиці трикотажні з ПВХ
Надходження товарів і послуг ІБ00-001431 від 31.03.2025 11:59:59
Котельна (Глобине)</t>
  </si>
  <si>
    <t>Обл. НДС
Рукавички скло/камінь черв з рифл гум надол  р.10
Надходження товарів і послуг ІБ00-001431 від 31.03.2025 11:59:59
Котельна (Глобине)</t>
  </si>
  <si>
    <t>Передача малоцінних активів в експлуатацію ІБ00-000179 від 29.04.2025 16:19:37
Списание стоимости малоценных активов</t>
  </si>
  <si>
    <t>Обл. НДС
Распіратор FFP2  з клапаном
Надходження товарів і послуг ІБ00-001431 від 31.03.2025 11:59:59
Котельна (Глобине)</t>
  </si>
  <si>
    <t>Передача малоцінних активів в експлуатацію ІБ00-000204 від 30.04.2025 10:00:00
Списание стоимости малоценных активов</t>
  </si>
  <si>
    <t>Обл. НДС
Головка удлинен 3/4"  30мм
Надходження товарів і послуг ІБ00-001375 від 28.03.2025 20:00:12
Котельна (Глобине)</t>
  </si>
  <si>
    <t>Передача малоцінних активів в експлуатацію ІБ00-000205 від 30.04.2025 10:00:00
Списание стоимости малоценных активов</t>
  </si>
  <si>
    <t>Обл. НДС
Патрон монтаж. 6,8*11 мм червоні
Надходження товарів і послуг ІБ00-000506 від 04.02.2025 17:50:27
Котельна (Глобине)</t>
  </si>
  <si>
    <t>Передача малоцінних активів в експлуатацію ІБ00-000207 від 30.04.2025 10:00:00
Списание стоимости малоценных активов</t>
  </si>
  <si>
    <t>Передача малоцінних активів в експлуатацію ІБ00-000208 від 30.04.2025 23:59:48
Списание стоимости малоценных активов</t>
  </si>
  <si>
    <t>Обл. НДС
Черевики з метноском р 43
Надходження товарів і послуг ІБ00-001202 від 14.03.2025 17:51:05
Котельна (Глобине)</t>
  </si>
  <si>
    <t>Надходження товарів і послуг ІБ00-001610 від 01.04.2025 23:10:31
Оприходованы ТМЦ</t>
  </si>
  <si>
    <t>Обл. НДС
Костюм "Віват" р.104-108/170-176
Надходження товарів і послуг ІБ00-001610 від 01.04.2025 23:10:31
Насосна Градирня (Глобине)</t>
  </si>
  <si>
    <t>04.04.2025</t>
  </si>
  <si>
    <t>Надходження товарів і послуг ІБ00-001433 від 04.04.2025 11:24:02
Оприходованы ТМЦ</t>
  </si>
  <si>
    <t>Обл. НДС
Валик малярний
Надходження товарів і послуг ІБ00-001433 від 04.04.2025 11:24:02
Насосна Градирня (Глобине)</t>
  </si>
  <si>
    <t>АЛЬЦЕСТ ПАТ
Рахунки_Глобине-2
Рахунок на оплату постачальника ІБ00-001134 від 03.04.2025 10:00:00</t>
  </si>
  <si>
    <t>Обл. НДС
Ручка для валика 6х100
Надходження товарів і послуг ІБ00-001433 від 04.04.2025 11:24:02
Насосна Градирня (Глобине)</t>
  </si>
  <si>
    <t>Обл. НДС
Пензель флейцевий
Надходження товарів і послуг ІБ00-001433 від 04.04.2025 11:24:02
Насосна Градирня (Глобине)</t>
  </si>
  <si>
    <t>Передача малоцінних активів в експлуатацію ІБ00-000196 від 30.04.2025 23:59:24
Списание стоимости малоценных активов</t>
  </si>
  <si>
    <t>Передача малоцінних активів в експлуатацію ІБ00-000198 від 30.04.2025 23:59:30
Списание стоимости малоценных активов</t>
  </si>
  <si>
    <t>Обл. НДС
Рукавиці трикотажні з ПВХ
Надходження товарів і послуг ІБ00-001431 від 31.03.2025 11:59:59
Насосна Градирня (Глобине)</t>
  </si>
  <si>
    <t>Обл. НДС
Рукавички скло/камінь черв з рифл гум надол  р.10
Надходження товарів і послуг ІБ00-001431 від 31.03.2025 11:59:59
Насосна Градирня (Глобине)</t>
  </si>
  <si>
    <t>Передача малоцінних активів в експлуатацію ІБ00-000199 від 30.04.2025 23:59:35
Списание стоимости малоценных активов</t>
  </si>
  <si>
    <t>Обл. НДС
Пензель 50мм
Надходження товарів і послуг ІБ00-001431 від 31.03.2025 11:59:59
Насосна Градирня (Глобине)</t>
  </si>
  <si>
    <t>Обл. НДС
Пензель плаский Євро 80мм пластик.ручка
Надходження товарів і послуг ІБ00-001198 від 21.03.2025 19:26:08
Насосна Градирня (Глобине)</t>
  </si>
  <si>
    <t>Обл. НДС
Распіратор FFP2  з клапаном
Надходження товарів і послуг ІБ00-001431 від 31.03.2025 11:59:59
Насосна Градирня (Глобине)</t>
  </si>
  <si>
    <t>Надходження товарів і послуг ІБ00-001800 від 01.04.2025 11:00:00
Оприходованы ТМЦ (Зачет аванса поставщику)</t>
  </si>
  <si>
    <t>Обл. НДС
Замок навісний
Надходження товарів і послуг ІБ00-001800 від 01.04.2025 11:00:00
Підготовчі роботи та тимчасові споруди (Глобине)</t>
  </si>
  <si>
    <t>Дудкін О.В. ФОП
РАХУНКИ_Глобине-2
Рахунок на оплату постачальника ІБ00-004787 від 01.11.2024 20:00:52</t>
  </si>
  <si>
    <t>Передача малоцінних активів в експлуатацію ІБ00-000210 від 30.04.2025 10:59:54
Списание стоимости малоценных активов</t>
  </si>
  <si>
    <t>Обл. НДС
Cвітильник стельовий світлодіодний ENERLIGHT 40Вт 4000К
Надходження товарів і послуг ІБ00-005751 від 01.11.2024 19:58:27
Підготовчі роботи та тимчасові споруди (Глобине)</t>
  </si>
  <si>
    <t>Обл. НДС
Вилка пряма з з/к,ІР44
Надходження товарів і послуг ІБ00-001198 від 21.03.2025 19:26:08
Підготовчі роботи та тимчасові споруди (Глобине)</t>
  </si>
  <si>
    <t>Обл. НДС
Ізоляційна стрічка 0,18*0,19мм, 20 м
Надходження товарів і послуг ІБ00-001198 від 21.03.2025 19:26:08
Підготовчі роботи та тимчасові споруди (Глобине)</t>
  </si>
  <si>
    <t>Обл. НДС
Касета-розетка 3гн, з/к з кришками Омега ІР44  16А
Надходження товарів і послуг ІБ00-001198 від 21.03.2025 19:26:08
Підготовчі роботи та тимчасові споруди (Глобине)</t>
  </si>
  <si>
    <t>Обл. НДС
Світильник лінійний світлодіод ІР65 36W 6500K (1.2m) SLIM
Надходження товарів і послуг ІБ00-005751 від 01.11.2024 19:58:27
Підготовчі роботи та тимчасові споруди (Глобине)</t>
  </si>
  <si>
    <t>Передача малоцінних активів в експлуатацію ІБ00-000203 від 30.04.2025 10:00:00
Списание стоимости малоценных активов</t>
  </si>
  <si>
    <t>Обл. НДС
Електрод плазменний до Р80
Надходження товарів і послуг ІБ00-001295 від 28.03.2025 18:00:01
Пожежений резервуар (Глобине)</t>
  </si>
  <si>
    <t>Обл. НДС
Сопло до плазмотрону Р-80-1,7
Надходження товарів і послуг ІБ00-001295 від 28.03.2025 18:00:01
Пожежений резервуар (Глобине)</t>
  </si>
  <si>
    <t>Передача малоцінних активів в експлуатацію ІБ00-000151 від 03.04.2025 16:36:23
Списание стоимости малоценных активов</t>
  </si>
  <si>
    <t>Обл. НДС
Електроди "Моноліт РЦ" 4 мм уп. 5,0 кг
Надходження товарів і послуг ІБ00-000711 від 18.02.2025 20:00:44
Пункт фасування та зберігання в бігбегах (Глобине)</t>
  </si>
  <si>
    <t>Обл. НДС
Краги зварювальника
Надходження товарів і послуг ІБ00-001198 від 21.03.2025 19:26:08
Пункт фасування та зберігання в бігбегах (Глобине)</t>
  </si>
  <si>
    <t>Обл. НДС
Круг відрізний  230*2,5*22
Надходження товарів і послуг ІБ00-001198 від 21.03.2025 19:26:08
Пункт фасування та зберігання в бігбегах (Глобине)</t>
  </si>
  <si>
    <t>Обл. НДС
Круг відрізний по металу 125*1,6*22,2
Надходження товарів і послуг ІБ00-001198 від 21.03.2025 19:26:08
Пункт фасування та зберігання в бігбегах (Глобине)</t>
  </si>
  <si>
    <t>Обл. НДС
Рукавички трикотажні чорні ТМ Vulkan LUX, р.10
Надходження товарів і послуг ІБ00-001198 від 21.03.2025 19:26:08
Пункт фасування та зберігання в бігбегах (Глобине)</t>
  </si>
  <si>
    <t>Обл. НДС
Рулетка  5 м*19 мм 
Надходження товарів і послуг ІБ00-001198 від 21.03.2025 19:26:08
Пункт фасування та зберігання в бігбегах (Глобине)</t>
  </si>
  <si>
    <t>Обл. НДС
Щітка чашкова 65мм для УШМ, М14 гофров дріт
Надходження товарів і послуг ІБ00-001198 від 21.03.2025 19:26:08
Пункт фасування та зберігання в бігбегах (Глобине)</t>
  </si>
  <si>
    <t>Надходження товарів і послуг ІБ00-001713 від 09.04.2025 12:59:59
Оприходованы ТМЦ</t>
  </si>
  <si>
    <t>Обл. НДС
Жилет сигнальний 
Надходження товарів і послуг ІБ00-001713 від 09.04.2025 12:59:59
Пункт фасування та зберігання в бігбегах (Глобине)</t>
  </si>
  <si>
    <t>БРАВО-СП ТОВ
РАХУНКИ_Глобине-2
Рахунок на оплату постачальника ІБ00-001397 від 08.04.2025 23:12:01</t>
  </si>
  <si>
    <t>Надходження товарів і послуг ІБ00-001714 від 10.04.2025 11:00:00
Оприходованы ТМЦ</t>
  </si>
  <si>
    <t>Обл. НДС
Костюм зварювальника брезент. ОП з посиленнями р.104-108/170-176
Надходження товарів і послуг ІБ00-001714 від 10.04.2025 11:00:00
Пункт фасування та зберігання в бігбегах (Глобине)</t>
  </si>
  <si>
    <t>Передача малоцінних активів в експлуатацію ІБ00-000178 від 29.04.2025 16:06:39
Списание стоимости малоценных активов</t>
  </si>
  <si>
    <t>Обл. НДС
Рукавиці трикотажні з ПВХ
Надходження товарів і послуг ІБ00-001431 від 31.03.2025 11:59:59
Пункт фасування та зберігання в бігбегах (Глобине)</t>
  </si>
  <si>
    <t>Обл. НДС
Рукавички скло/камінь черв з рифл гум надол  р.10
Надходження товарів і послуг ІБ00-001431 від 31.03.2025 11:59:59
Пункт фасування та зберігання в бігбегах (Глобине)</t>
  </si>
  <si>
    <t>Обл. НДС
Ручка для валика
Надходження товарів і послуг ІБ00-001198 від 21.03.2025 19:26:08
Пункт фасування та зберігання в бігбегах (Глобине)</t>
  </si>
  <si>
    <t>Обл. НДС
Валик 48*180 мм
Надходження товарів і послуг ІБ00-001198 від 21.03.2025 19:26:08
Пункт фасування та зберігання в бігбегах (Глобине)</t>
  </si>
  <si>
    <t>Передача малоцінних активів в експлуатацію ІБ00-000201 від 30.04.2025 10:00:00
Списание стоимости малоценных активов</t>
  </si>
  <si>
    <t>Обл. НДС
Електроди "Моноліт РЦ" ф3 мм уп/2,5кг
Надходження товарів і послуг ІБ00-000976 від 07.03.2025 19:00:34
Пункт фасування та зберігання в бігбегах (Глобине)</t>
  </si>
  <si>
    <t>Обл. НДС
Скотч 48 ммх100 м.п.
Надходження товарів і послуг ІБ00-000748 від 25.02.2025 18:19:56
Пункт фасування та зберігання в бігбегах (Глобине)</t>
  </si>
  <si>
    <t>Передача малоцінних активів в експлуатацію ІБ00-000202 від 30.04.2025 10:00:00
Списание стоимости малоценных активов</t>
  </si>
  <si>
    <t>Обл. НДС
Електроди д. 4 мм "Моноліт РЦ" (5 кг) (Україна)
Надходження товарів і послуг ІБ00-001198 від 21.03.2025 19:26:08
Пункт фасування та зберігання в бігбегах (Глобине)</t>
  </si>
  <si>
    <t>Передача малоцінних активів в експлуатацію ІБ00-000153 від 03.04.2025 17:41:52
Списание стоимости малоценных активов</t>
  </si>
  <si>
    <t>Обл. НДС
Краги зварювальника
Надходження товарів і послуг ІБ00-001198 від 21.03.2025 19:26:08
Резервуар для зберігання розчинника(Глобине)</t>
  </si>
  <si>
    <t>Обл. НДС
Щітка торцева з плет.провол. 125 мм, М14
Надходження товарів і послуг ІБ00-000976 від 07.03.2025 19:00:34
Резервуар для зберігання розчинника(Глобине)</t>
  </si>
  <si>
    <t>Обл. НДС
Круг відрізний  230*2,5*22
Надходження товарів і послуг ІБ00-001198 від 21.03.2025 19:26:08
Резервуар для зберігання розчинника(Глобине)</t>
  </si>
  <si>
    <t>Обл. НДС
Круг відрізний по металу 125*1,6*22,2
Надходження товарів і послуг ІБ00-001198 від 21.03.2025 19:26:08
Резервуар для зберігання розчинника(Глобине)</t>
  </si>
  <si>
    <t>Обл. НДС
Електроди д. 4 мм "Моноліт РЦ" (5 кг) (Україна)
Надходження товарів і послуг ІБ00-001198 від 21.03.2025 19:26:08
Резервуар для зберігання розчинника(Глобине)</t>
  </si>
  <si>
    <t>Обл. НДС
Чоботи ПВХ чоловічі р.42 з мет. носком S5
Надходження товарів і послуг ІБ00-000643 від 21.02.2025 18:25:39
Резервуар для зберігання розчинника(Глобине)</t>
  </si>
  <si>
    <t>Обл. НДС
Чоботи ПВХ чоловічі р.43 з мет. носком S5
Надходження товарів і послуг ІБ00-000643 від 21.02.2025 18:25:39
Резервуар для зберігання розчинника(Глобине)</t>
  </si>
  <si>
    <t>Передача малоцінних активів в експлуатацію ІБ00-000173 від 29.04.2025 14:35:31
Списание стоимости малоценных активов</t>
  </si>
  <si>
    <t>16.04.2025</t>
  </si>
  <si>
    <t>Надходження товарів і послуг ІБ00-001715 від 16.04.2025 11:00:00
Оприходованы ТМЦ</t>
  </si>
  <si>
    <t>Обл. НДС
Електроди "Моноліт РЦ" 4 мм уп. 5,0 кг
Надходження товарів і послуг ІБ00-001715 від 16.04.2025 11:00:00
СПК (Глобине)</t>
  </si>
  <si>
    <t>Лук'ян Михайло Федорович ФОП
22/08-24-1 от 22.08.2024 (РАХУНКИ)_Глобине-2
Рахунок на оплату постачальника ІБ00-001398 від 15.04.2025 18:30:58</t>
  </si>
  <si>
    <t>Обл. НДС
Різак пропан 142П 6/9 500мм товщ різа 100мм
Надходження товарів і послуг ІБ00-001715 від 16.04.2025 11:00:00
СПК (Глобине)</t>
  </si>
  <si>
    <t>Обл. НДС
Рукав кисневий 9*3 20 атм
Надходження товарів і послуг ІБ00-001715 від 16.04.2025 11:00:00
СПК (Глобине)</t>
  </si>
  <si>
    <t>Обл. НДС
Рукав пропан (ацетилен) 9*3
Надходження товарів і послуг ІБ00-001715 від 16.04.2025 11:00:00
СПК (Глобине)</t>
  </si>
  <si>
    <t>Обл. НДС
Редуктор БКО-50ДМ 6/9мм кисень
Надходження товарів і послуг ІБ00-001715 від 16.04.2025 11:00:00
СПК (Глобине)</t>
  </si>
  <si>
    <t>Обл. НДС
Редуктор  БПО 5 ДМ ф9
Надходження товарів і послуг ІБ00-001715 від 16.04.2025 11:00:00
СПК (Глобине)</t>
  </si>
  <si>
    <t>Обл. НДС
Хомут 10-16 для шланга
Надходження товарів і послуг ІБ00-001715 від 16.04.2025 11:00:00
СПК (Глобине)</t>
  </si>
  <si>
    <t>Обл. НДС
Прокладка вхідного штуцера БКО АР УР
Надходження товарів і послуг ІБ00-001715 від 16.04.2025 11:00:00
СПК (Глобине)</t>
  </si>
  <si>
    <t>Обл. НДС
Прокладка вхідного штуцера БПО
Надходження товарів і послуг ІБ00-001715 від 16.04.2025 11:00:00
СПК (Глобине)</t>
  </si>
  <si>
    <t>Надходження товарів і послуг ІБ00-001827 від 18.04.2025 11:00:00
Оприходованы ТМЦ</t>
  </si>
  <si>
    <t>Обл. НДС
Каска захисна "Універсал" помаранчева
Надходження товарів і послуг ІБ00-001827 від 18.04.2025 11:00:00
СПК (Глобине)</t>
  </si>
  <si>
    <t>БРАВО-СП ТОВ
РАХУНКИ_Глобине-2
Рахунок на оплату постачальника ІБ00-001472 від 18.04.2025 18:10:16</t>
  </si>
  <si>
    <t>Надходження товарів і послуг ІБ00-001828 від 18.04.2025 11:00:00
Оприходованы ТМЦ</t>
  </si>
  <si>
    <t>Обл. НДС
Жилет сигнальний 
Надходження товарів і послуг ІБ00-001828 від 18.04.2025 11:00:00
СПК (Глобине)</t>
  </si>
  <si>
    <t>23.04.2025</t>
  </si>
  <si>
    <t>Надходження товарів і послуг ІБ00-001845 від 23.04.2025 11:00:00
Оприходованы ТМЦ</t>
  </si>
  <si>
    <t>Обл. НДС
Вилка з/з, 16А, каучук, пряма (ІР 44)
Надходження товарів і послуг ІБ00-001845 від 23.04.2025 11:00:00
СПК (Глобине)</t>
  </si>
  <si>
    <t>СКАЙ-ЕНЕРДЖИ
Рахунки_Глобине-2
Рахунок на оплату постачальника ІБ00-001470 від 17.04.2025 18:06:32</t>
  </si>
  <si>
    <t>Обл. НДС
Провід ПВС 3*2,5 (м)
Надходження товарів і послуг ІБ00-001845 від 23.04.2025 11:00:00
СПК (Глобине)</t>
  </si>
  <si>
    <t>Обл. НДС
Рулетка  5 м*19 мм 
Надходження товарів і послуг ІБ00-001845 від 23.04.2025 11:00:00
СПК (Глобине)</t>
  </si>
  <si>
    <t>Обл. НДС
Колодка 3 гнізда з з/к
Надходження товарів і послуг ІБ00-001845 від 23.04.2025 11:00:00
СПК (Глобине)</t>
  </si>
  <si>
    <t>Обл. НДС
Рулетка 10 м*25 мм
Надходження товарів і послуг ІБ00-001845 від 23.04.2025 11:00:00
СПК (Глобине)</t>
  </si>
  <si>
    <t>Обл. НДС
Рівень 100 см
Надходження товарів і послуг ІБ00-001845 від 23.04.2025 11:00:00
СПК (Глобине)</t>
  </si>
  <si>
    <t>Обл. НДС
Лом будівельний, 1,4 м
Надходження товарів і послуг ІБ00-001845 від 23.04.2025 11:00:00
СПК (Глобине)</t>
  </si>
  <si>
    <t>Обл. НДС
Маска зварювальника "Хамелеон" МС-3500
Надходження товарів і послуг ІБ00-001845 від 23.04.2025 11:00:00
СПК (Глобине)</t>
  </si>
  <si>
    <t>Обл. НДС
Кувалда 3 кг з ручкою
Надходження товарів і послуг ІБ00-001845 від 23.04.2025 11:00:00
СПК (Глобине)</t>
  </si>
  <si>
    <t>Обл. НДС
Електродотримач DE 2400 (400A)
Надходження товарів і послуг ІБ00-001845 від 23.04.2025 11:00:00
СПК (Глобине)</t>
  </si>
  <si>
    <t>24.04.2025</t>
  </si>
  <si>
    <t>Надходження товарів і послуг ІБ00-001821 від 24.04.2025 11:00:00
Оприходованы ТМЦ</t>
  </si>
  <si>
    <t>Обл. НДС
Рівень 100 см
Надходження товарів і послуг ІБ00-001821 від 24.04.2025 11:00:00
СПК (Глобине)</t>
  </si>
  <si>
    <t>Обл. НДС
Молоток  500 гр.
Надходження товарів і послуг ІБ00-001821 від 24.04.2025 11:00:00
СПК (Глобине)</t>
  </si>
  <si>
    <t>25.04.2025</t>
  </si>
  <si>
    <t>Надходження товарів і послуг ІБ00-001847 від 25.04.2025 11:00:00
Оприходованы ТМЦ</t>
  </si>
  <si>
    <t>Обл. НДС
Кабель АВВГ 3х16+1*10
Надходження товарів і послуг ІБ00-001847 від 25.04.2025 11:00:00
СПК (Глобине)</t>
  </si>
  <si>
    <t>Обл. НДС
Кабель звар. КГ 1*25 250А
Надходження товарів і послуг ІБ00-001847 від 25.04.2025 11:00:00
СПК (Глобине)</t>
  </si>
  <si>
    <t>Передача малоцінних активів в експлуатацію ІБ00-000180 від 29.04.2025 16:32:22
Списание стоимости малоценных активов</t>
  </si>
  <si>
    <t>Обл. НДС
Касета-розетка 3гн, з/к з кришками Омега ІР44  16А
Надходження товарів і послуг ІБ00-000506 від 04.02.2025 17:50:27
СПК (Глобине)</t>
  </si>
  <si>
    <t>Передача малоцінних активів в експлуатацію ІБ00-000218 від 30.04.2025 20:00:00
Списание стоимости малоценных активов</t>
  </si>
  <si>
    <t>Обл. НДС
Взуття чоловіче SEVEN SAFETY р.39
Надходження товарів і послуг ІБ00-005439 від 04.11.2024 17:12:48
СПК (Глобине)</t>
  </si>
  <si>
    <t>Обл. НДС
Взуття чоловіче SEVEN SAFETY р.41
Надходження товарів і послуг ІБ00-005439 від 04.11.2024 17:12:48
СПК (Глобине)</t>
  </si>
  <si>
    <t>Передача малоцінних активів в експлуатацію ІБ00-000147 від 03.04.2025 17:41:34
Списание стоимости малоценных активов</t>
  </si>
  <si>
    <t>Обл. НДС
Фіксатор Стілець 50/8-24
Надходження товарів і послуг ІБ00-005325 від 04.10.2024 18:41:27
Цех екстракції (Глобине)</t>
  </si>
  <si>
    <t>Обл. НДС
Фіксатор Стілець 50/8-24
Надходження товарів і послуг ІБ00-001338 від 10.03.2025 20:00:39
Цех екстракції (Глобине)</t>
  </si>
  <si>
    <t>Обл. НДС
Строп СТП-3,0/4000
Надходження товарів і послуг ІБ00-001294 від 26.03.2025 22:32:01
Цех екстракції (Глобине)</t>
  </si>
  <si>
    <t>Передача малоцінних активів в експлуатацію ІБ00-000154 від 03.04.2025 17:41:53
Списание стоимости малоценных активов</t>
  </si>
  <si>
    <t>Обл. НДС
Строп СТП-5,0/5000
Надходження товарів і послуг ІБ00-001294 від 26.03.2025 22:32:01
Цех екстракції (Глобине)</t>
  </si>
  <si>
    <t>Надходження товарів і послуг ІБ00-001434 від 04.04.2025 11:24:02
Оприходованы ТМЦ</t>
  </si>
  <si>
    <t>Обл. НДС
Головка ударна 3/4"  30мм
Надходження товарів і послуг ІБ00-001434 від 04.04.2025 11:24:02
Цех екстракції (Глобине)</t>
  </si>
  <si>
    <t>АЛЬЦЕСТ ПАТ
Рахунки_Глобине-2
Рахунок на оплату постачальника ІБ00-001135 від 31.03.2025 10:59:59</t>
  </si>
  <si>
    <t>Обл. НДС
Головка ударна 3/4"  32мм
Надходження товарів і послуг ІБ00-001434 від 04.04.2025 11:24:02
Цех екстракції (Глобине)</t>
  </si>
  <si>
    <t>Надходження товарів і послуг ІБ00-001503 від 04.04.2025 23:24:48
Оприходованы ТМЦ</t>
  </si>
  <si>
    <t>Обл. НДС
Головка торцева ударна 3/4" 13 мм 
Надходження товарів і послуг ІБ00-001503 від 04.04.2025 23:24:48
Цех екстракції (Глобине)</t>
  </si>
  <si>
    <t>Надходження товарів і послуг ІБ00-001646 від 11.04.2025 11:00:00
Оприходованы ТМЦ</t>
  </si>
  <si>
    <t>Обл. НДС
Скоба такелажна G-210  1-1/8"9,5 тн
Надходження товарів і послуг ІБ00-001646 від 11.04.2025 11:00:00
Цех екстракції (Глобине)</t>
  </si>
  <si>
    <t>ЛОАД-ТЕХ ТОВ
Договір поставки № 2353 від 25.06.2021 р.Глобине2
Рахунок на оплату постачальника ІБ00-001336 від 11.04.2025 20:51:55</t>
  </si>
  <si>
    <t>Обл. НДС
Скоба такелажна G-210  1-1/2" 17,0 тн
Надходження товарів і послуг ІБ00-001646 від 11.04.2025 11:00:00
Цех екстракції (Глобине)</t>
  </si>
  <si>
    <t>Надходження товарів і послуг ІБ00-001747 від 18.04.2025 11:00:00
Оприходованы ТМЦ</t>
  </si>
  <si>
    <t>Обл. НДС
Строп СТП-8,0/4500
Надходження товарів і послуг ІБ00-001747 від 18.04.2025 11:00:00
Цех екстракції (Глобине)</t>
  </si>
  <si>
    <t>ЛОАД-ТЕХ ТОВ
Договір поставки № 2353 від 25.06.2021 р.Глобине2
Рахунок на оплату постачальника ІБ00-001403 від 14.04.2025 18:04:25</t>
  </si>
  <si>
    <t>Передача малоцінних активів в експлуатацію ІБ00-000174 від 29.04.2025 14:58:13
Списание стоимости малоценных активов</t>
  </si>
  <si>
    <t>Обл. НДС
Рукавиці трикотажні з ПВХ
Надходження товарів і послуг ІБ00-001431 від 31.03.2025 11:59:59
Цех екстракції (Глобине)</t>
  </si>
  <si>
    <t>Обл. НДС
Рукавички скло/камінь черв з рифл гум надол  р.10
Надходження товарів і послуг ІБ00-001431 від 31.03.2025 11:59:59
Цех екстракції (Глобине)</t>
  </si>
  <si>
    <t>Обл. НДС
Круг алмазний 230*22,2 мм Turbо-сегментний
Надходження товарів і послуг ІБ00-001508 від 20.03.2025 11:00:00
Цех екстракції (Глобине)</t>
  </si>
  <si>
    <t>Передача малоцінних активів в експлуатацію ІБ00-000175 від 29.04.2025 15:08:52
Списание стоимости малоценных активов</t>
  </si>
  <si>
    <t>Обл. НДС
Круг алмазний 400*20/25,4*10*3,2мм 
Надходження товарів і послуг ІБ00-001508 від 20.03.2025 11:00:00
Цех екстракції (Глобине)</t>
  </si>
  <si>
    <t>Передача малоцінних активів в експлуатацію ІБ00-000176 від 29.04.2025 15:48:00
Списание стоимости малоценных активов</t>
  </si>
  <si>
    <t>Передача малоцінних активів в експлуатацію ІБ00-000209 від 30.04.2025 10:00:00
Списание стоимости малоценных активов</t>
  </si>
  <si>
    <t>Обл. НДС
Фіксатор Стілець 50/8-24
Надходження товарів і послуг ІБ00-001337 від 13.03.2025 18:55:28
Цех екстракції (Глобине)</t>
  </si>
  <si>
    <t>Передача малоцінних активів в експлуатацію ІБ00-000214 від 30.04.2025 20:00:00
Списание стоимости малоценных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</si>
</sst>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21"/>
      <name val="Arial"/>
    </font>
    <font>
      <sz val="10"/>
      <color indexed="21"/>
      <name val="Arial"/>
    </font>
    <font>
      <sz val="8"/>
      <name val="Arial"/>
    </font>
    <font>
      <b/>
      <sz val="10"/>
      <color indexed="2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0"/>
      </left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/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/>
      <top/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/>
      <right/>
      <top/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/>
      <bottom style="thin">
        <color indexed="60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12">
    <xf numFmtId="0" fontId="0" fillId="0" borderId="0" xfId="0"/>
    <xf numFmtId="0" fontId="2" fillId="2" borderId="1" xfId="1" applyNumberFormat="1" applyFont="1" applyFill="1" applyBorder="1" applyAlignment="1">
      <alignment vertical="top" wrapText="1" indent="1"/>
    </xf>
    <xf numFmtId="0" fontId="3" fillId="2" borderId="2" xfId="2" applyNumberFormat="1" applyFont="1" applyFill="1" applyBorder="1" applyAlignment="1">
      <alignment vertical="top"/>
    </xf>
    <xf numFmtId="0" fontId="3" fillId="2" borderId="3" xfId="2" applyNumberFormat="1" applyFont="1" applyFill="1" applyBorder="1" applyAlignment="1">
      <alignment vertical="top"/>
    </xf>
    <xf numFmtId="0" fontId="3" fillId="2" borderId="4" xfId="2" applyNumberFormat="1" applyFont="1" applyFill="1" applyBorder="1" applyAlignment="1">
      <alignment vertical="top"/>
    </xf>
    <xf numFmtId="0" fontId="3" fillId="2" borderId="3" xfId="2" applyNumberFormat="1" applyFont="1" applyFill="1" applyBorder="1" applyAlignment="1">
      <alignment horizontal="center" vertical="top"/>
    </xf>
    <xf numFmtId="0" fontId="3" fillId="2" borderId="5" xfId="2" applyNumberFormat="1" applyFont="1" applyFill="1" applyBorder="1" applyAlignment="1">
      <alignment horizontal="center" vertical="top"/>
    </xf>
    <xf numFmtId="0" fontId="3" fillId="2" borderId="6" xfId="2" applyNumberFormat="1" applyFont="1" applyFill="1" applyBorder="1" applyAlignment="1">
      <alignment vertical="top"/>
    </xf>
    <xf numFmtId="0" fontId="3" fillId="2" borderId="7" xfId="2" applyNumberFormat="1" applyFont="1" applyFill="1" applyBorder="1" applyAlignment="1">
      <alignment vertical="top"/>
    </xf>
    <xf numFmtId="0" fontId="3" fillId="2" borderId="8" xfId="2" applyNumberFormat="1" applyFont="1" applyFill="1" applyBorder="1" applyAlignment="1">
      <alignment vertical="top"/>
    </xf>
    <xf numFmtId="0" fontId="3" fillId="2" borderId="5" xfId="2" applyNumberFormat="1" applyFont="1" applyFill="1" applyBorder="1" applyAlignment="1">
      <alignment vertical="top"/>
    </xf>
    <xf numFmtId="0" fontId="3" fillId="2" borderId="9" xfId="2" applyNumberFormat="1" applyFont="1" applyFill="1" applyBorder="1" applyAlignment="1">
      <alignment vertical="top"/>
    </xf>
    <xf numFmtId="0" fontId="3" fillId="2" borderId="9" xfId="2" applyNumberFormat="1" applyFont="1" applyFill="1" applyBorder="1" applyAlignment="1">
      <alignment vertical="top"/>
    </xf>
    <xf numFmtId="0" fontId="3" fillId="2" borderId="10" xfId="2" applyNumberFormat="1" applyFont="1" applyFill="1" applyBorder="1" applyAlignment="1">
      <alignment vertical="top"/>
    </xf>
    <xf numFmtId="0" fontId="3" fillId="2" borderId="11" xfId="2" applyNumberFormat="1" applyFont="1" applyFill="1" applyBorder="1" applyAlignment="1">
      <alignment vertical="top"/>
    </xf>
    <xf numFmtId="0" fontId="4" fillId="0" borderId="1" xfId="2" applyNumberFormat="1" applyFont="1" applyBorder="1" applyAlignment="1">
      <alignment vertical="top"/>
    </xf>
    <xf numFmtId="0" fontId="4" fillId="0" borderId="1" xfId="2" applyNumberFormat="1" applyFont="1" applyBorder="1" applyAlignment="1">
      <alignment vertical="top" wrapText="1"/>
    </xf>
    <xf numFmtId="0" fontId="4" fillId="0" borderId="1" xfId="2" applyNumberFormat="1" applyFont="1" applyBorder="1" applyAlignment="1">
      <alignment horizontal="left" vertical="top"/>
    </xf>
    <xf numFmtId="4" fontId="4" fillId="0" borderId="1" xfId="2" applyNumberFormat="1" applyFont="1" applyBorder="1" applyAlignment="1">
      <alignment horizontal="right" vertical="top" wrapText="1"/>
    </xf>
    <xf numFmtId="0" fontId="4" fillId="0" borderId="13" xfId="2" applyNumberFormat="1" applyFont="1" applyBorder="1" applyAlignment="1">
      <alignment horizontal="right" vertical="top" wrapText="1"/>
    </xf>
    <xf numFmtId="0" fontId="4" fillId="0" borderId="12" xfId="2" applyNumberFormat="1" applyFont="1" applyBorder="1" applyAlignment="1">
      <alignment horizontal="center" vertical="top"/>
    </xf>
    <xf numFmtId="4" fontId="4" fillId="0" borderId="13" xfId="2" applyNumberFormat="1" applyFont="1" applyBorder="1" applyAlignment="1">
      <alignment horizontal="right" vertical="top" wrapText="1"/>
    </xf>
    <xf numFmtId="0" fontId="4" fillId="0" borderId="1" xfId="2" applyNumberFormat="1" applyFont="1" applyBorder="1" applyAlignment="1">
      <alignment horizontal="right" vertical="top" wrapText="1"/>
    </xf>
    <xf numFmtId="2" fontId="4" fillId="0" borderId="13" xfId="2" applyNumberFormat="1" applyFont="1" applyBorder="1" applyAlignment="1">
      <alignment horizontal="right" vertical="top" wrapText="1"/>
    </xf>
    <xf numFmtId="4" fontId="4" fillId="0" borderId="13" xfId="2" applyNumberFormat="1" applyFont="1" applyBorder="1" applyAlignment="1">
      <alignment horizontal="right" vertical="top" wrapText="1"/>
    </xf>
    <xf numFmtId="2" fontId="4" fillId="0" borderId="1" xfId="2" applyNumberFormat="1" applyFont="1" applyBorder="1" applyAlignment="1">
      <alignment horizontal="right" vertical="top" wrapText="1"/>
    </xf>
    <xf numFmtId="0" fontId="5" fillId="2" borderId="1" xfId="2" applyNumberFormat="1" applyFont="1" applyFill="1" applyBorder="1" applyAlignment="1">
      <alignment vertical="top"/>
    </xf>
    <xf numFmtId="4" fontId="5" fillId="2" borderId="1" xfId="2" applyNumberFormat="1" applyFont="1" applyFill="1" applyBorder="1" applyAlignment="1">
      <alignment horizontal="right" vertical="top" wrapText="1"/>
    </xf>
    <xf numFmtId="0" fontId="5" fillId="2" borderId="12" xfId="2" applyNumberFormat="1" applyFont="1" applyFill="1" applyBorder="1" applyAlignment="1">
      <alignment horizontal="center" vertical="top"/>
    </xf>
    <xf numFmtId="4" fontId="5" fillId="2" borderId="13" xfId="2" applyNumberFormat="1" applyFont="1" applyFill="1" applyBorder="1" applyAlignment="1">
      <alignment horizontal="right" vertical="top" wrapText="1"/>
    </xf>
    <xf numFmtId="0" fontId="3" fillId="2" borderId="2" xfId="3" applyNumberFormat="1" applyFont="1" applyFill="1" applyBorder="1" applyAlignment="1">
      <alignment vertical="top"/>
    </xf>
    <xf numFmtId="0" fontId="3" fillId="2" borderId="3" xfId="3" applyNumberFormat="1" applyFont="1" applyFill="1" applyBorder="1" applyAlignment="1">
      <alignment vertical="top"/>
    </xf>
    <xf numFmtId="0" fontId="3" fillId="2" borderId="4" xfId="3" applyNumberFormat="1" applyFont="1" applyFill="1" applyBorder="1" applyAlignment="1">
      <alignment vertical="top"/>
    </xf>
    <xf numFmtId="0" fontId="3" fillId="2" borderId="3" xfId="3" applyNumberFormat="1" applyFont="1" applyFill="1" applyBorder="1" applyAlignment="1">
      <alignment horizontal="center" vertical="top"/>
    </xf>
    <xf numFmtId="0" fontId="3" fillId="2" borderId="5" xfId="3" applyNumberFormat="1" applyFont="1" applyFill="1" applyBorder="1" applyAlignment="1">
      <alignment horizontal="center" vertical="top"/>
    </xf>
    <xf numFmtId="0" fontId="3" fillId="2" borderId="6" xfId="3" applyNumberFormat="1" applyFont="1" applyFill="1" applyBorder="1" applyAlignment="1">
      <alignment vertical="top"/>
    </xf>
    <xf numFmtId="0" fontId="3" fillId="2" borderId="7" xfId="3" applyNumberFormat="1" applyFont="1" applyFill="1" applyBorder="1" applyAlignment="1">
      <alignment vertical="top"/>
    </xf>
    <xf numFmtId="0" fontId="3" fillId="2" borderId="8" xfId="3" applyNumberFormat="1" applyFont="1" applyFill="1" applyBorder="1" applyAlignment="1">
      <alignment vertical="top"/>
    </xf>
    <xf numFmtId="0" fontId="3" fillId="2" borderId="5" xfId="3" applyNumberFormat="1" applyFont="1" applyFill="1" applyBorder="1" applyAlignment="1">
      <alignment vertical="top"/>
    </xf>
    <xf numFmtId="0" fontId="3" fillId="2" borderId="9" xfId="3" applyNumberFormat="1" applyFont="1" applyFill="1" applyBorder="1" applyAlignment="1">
      <alignment vertical="top"/>
    </xf>
    <xf numFmtId="0" fontId="3" fillId="2" borderId="9" xfId="3" applyNumberFormat="1" applyFont="1" applyFill="1" applyBorder="1" applyAlignment="1">
      <alignment vertical="top"/>
    </xf>
    <xf numFmtId="0" fontId="3" fillId="2" borderId="10" xfId="3" applyNumberFormat="1" applyFont="1" applyFill="1" applyBorder="1" applyAlignment="1">
      <alignment vertical="top"/>
    </xf>
    <xf numFmtId="0" fontId="3" fillId="2" borderId="11" xfId="3" applyNumberFormat="1" applyFont="1" applyFill="1" applyBorder="1" applyAlignment="1">
      <alignment vertical="top"/>
    </xf>
    <xf numFmtId="0" fontId="4" fillId="0" borderId="1" xfId="3" applyNumberFormat="1" applyFont="1" applyBorder="1" applyAlignment="1">
      <alignment vertical="top"/>
    </xf>
    <xf numFmtId="0" fontId="4" fillId="0" borderId="1" xfId="3" applyNumberFormat="1" applyFont="1" applyBorder="1" applyAlignment="1">
      <alignment vertical="top" wrapText="1"/>
    </xf>
    <xf numFmtId="0" fontId="4" fillId="0" borderId="1" xfId="3" applyNumberFormat="1" applyFont="1" applyBorder="1" applyAlignment="1">
      <alignment horizontal="left" vertical="top"/>
    </xf>
    <xf numFmtId="0" fontId="4" fillId="0" borderId="1" xfId="3" applyNumberFormat="1" applyFont="1" applyBorder="1" applyAlignment="1">
      <alignment horizontal="right" vertical="top" wrapText="1"/>
    </xf>
    <xf numFmtId="2" fontId="4" fillId="0" borderId="13" xfId="3" applyNumberFormat="1" applyFont="1" applyBorder="1" applyAlignment="1">
      <alignment horizontal="right" vertical="top" wrapText="1"/>
    </xf>
    <xf numFmtId="0" fontId="4" fillId="0" borderId="12" xfId="3" applyNumberFormat="1" applyFont="1" applyBorder="1" applyAlignment="1">
      <alignment horizontal="center" vertical="top"/>
    </xf>
    <xf numFmtId="0" fontId="4" fillId="0" borderId="13" xfId="3" applyNumberFormat="1" applyFont="1" applyBorder="1" applyAlignment="1">
      <alignment horizontal="right" vertical="top" wrapText="1"/>
    </xf>
    <xf numFmtId="0" fontId="5" fillId="2" borderId="1" xfId="3" applyNumberFormat="1" applyFont="1" applyFill="1" applyBorder="1" applyAlignment="1">
      <alignment vertical="top"/>
    </xf>
    <xf numFmtId="2" fontId="5" fillId="2" borderId="1" xfId="3" applyNumberFormat="1" applyFont="1" applyFill="1" applyBorder="1" applyAlignment="1">
      <alignment horizontal="right" vertical="top" wrapText="1"/>
    </xf>
    <xf numFmtId="0" fontId="5" fillId="2" borderId="12" xfId="3" applyNumberFormat="1" applyFont="1" applyFill="1" applyBorder="1" applyAlignment="1">
      <alignment horizontal="center" vertical="top"/>
    </xf>
    <xf numFmtId="2" fontId="5" fillId="2" borderId="13" xfId="3" applyNumberFormat="1" applyFont="1" applyFill="1" applyBorder="1" applyAlignment="1">
      <alignment horizontal="right" vertical="top" wrapText="1"/>
    </xf>
    <xf numFmtId="0" fontId="3" fillId="2" borderId="2" xfId="4" applyNumberFormat="1" applyFont="1" applyFill="1" applyBorder="1" applyAlignment="1">
      <alignment vertical="top"/>
    </xf>
    <xf numFmtId="0" fontId="3" fillId="2" borderId="3" xfId="4" applyNumberFormat="1" applyFont="1" applyFill="1" applyBorder="1" applyAlignment="1">
      <alignment vertical="top"/>
    </xf>
    <xf numFmtId="0" fontId="3" fillId="2" borderId="4" xfId="4" applyNumberFormat="1" applyFont="1" applyFill="1" applyBorder="1" applyAlignment="1">
      <alignment vertical="top"/>
    </xf>
    <xf numFmtId="0" fontId="3" fillId="2" borderId="3" xfId="4" applyNumberFormat="1" applyFont="1" applyFill="1" applyBorder="1" applyAlignment="1">
      <alignment horizontal="center" vertical="top"/>
    </xf>
    <xf numFmtId="0" fontId="3" fillId="2" borderId="5" xfId="4" applyNumberFormat="1" applyFont="1" applyFill="1" applyBorder="1" applyAlignment="1">
      <alignment horizontal="center" vertical="top"/>
    </xf>
    <xf numFmtId="0" fontId="3" fillId="2" borderId="6" xfId="4" applyNumberFormat="1" applyFont="1" applyFill="1" applyBorder="1" applyAlignment="1">
      <alignment vertical="top"/>
    </xf>
    <xf numFmtId="0" fontId="3" fillId="2" borderId="7" xfId="4" applyNumberFormat="1" applyFont="1" applyFill="1" applyBorder="1" applyAlignment="1">
      <alignment vertical="top"/>
    </xf>
    <xf numFmtId="0" fontId="3" fillId="2" borderId="8" xfId="4" applyNumberFormat="1" applyFont="1" applyFill="1" applyBorder="1" applyAlignment="1">
      <alignment vertical="top"/>
    </xf>
    <xf numFmtId="0" fontId="3" fillId="2" borderId="5" xfId="4" applyNumberFormat="1" applyFont="1" applyFill="1" applyBorder="1" applyAlignment="1">
      <alignment vertical="top"/>
    </xf>
    <xf numFmtId="0" fontId="3" fillId="2" borderId="9" xfId="4" applyNumberFormat="1" applyFont="1" applyFill="1" applyBorder="1" applyAlignment="1">
      <alignment vertical="top"/>
    </xf>
    <xf numFmtId="0" fontId="3" fillId="2" borderId="9" xfId="4" applyNumberFormat="1" applyFont="1" applyFill="1" applyBorder="1" applyAlignment="1">
      <alignment vertical="top"/>
    </xf>
    <xf numFmtId="0" fontId="3" fillId="2" borderId="10" xfId="4" applyNumberFormat="1" applyFont="1" applyFill="1" applyBorder="1" applyAlignment="1">
      <alignment vertical="top"/>
    </xf>
    <xf numFmtId="0" fontId="3" fillId="2" borderId="11" xfId="4" applyNumberFormat="1" applyFont="1" applyFill="1" applyBorder="1" applyAlignment="1">
      <alignment vertical="top"/>
    </xf>
    <xf numFmtId="0" fontId="4" fillId="0" borderId="1" xfId="4" applyNumberFormat="1" applyFont="1" applyBorder="1" applyAlignment="1">
      <alignment vertical="top"/>
    </xf>
    <xf numFmtId="0" fontId="4" fillId="0" borderId="1" xfId="4" applyNumberFormat="1" applyFont="1" applyBorder="1" applyAlignment="1">
      <alignment vertical="top" wrapText="1"/>
    </xf>
    <xf numFmtId="0" fontId="4" fillId="0" borderId="1" xfId="4" applyNumberFormat="1" applyFont="1" applyBorder="1" applyAlignment="1">
      <alignment horizontal="left" vertical="top"/>
    </xf>
    <xf numFmtId="0" fontId="4" fillId="0" borderId="1" xfId="4" applyNumberFormat="1" applyFont="1" applyBorder="1" applyAlignment="1">
      <alignment horizontal="right" vertical="top" wrapText="1"/>
    </xf>
    <xf numFmtId="2" fontId="4" fillId="0" borderId="13" xfId="4" applyNumberFormat="1" applyFont="1" applyBorder="1" applyAlignment="1">
      <alignment horizontal="right" vertical="top" wrapText="1"/>
    </xf>
    <xf numFmtId="0" fontId="4" fillId="0" borderId="12" xfId="4" applyNumberFormat="1" applyFont="1" applyBorder="1" applyAlignment="1">
      <alignment horizontal="center" vertical="top"/>
    </xf>
    <xf numFmtId="4" fontId="4" fillId="0" borderId="13" xfId="4" applyNumberFormat="1" applyFont="1" applyBorder="1" applyAlignment="1">
      <alignment horizontal="right" vertical="top" wrapText="1"/>
    </xf>
    <xf numFmtId="4" fontId="4" fillId="0" borderId="13" xfId="4" applyNumberFormat="1" applyFont="1" applyBorder="1" applyAlignment="1">
      <alignment horizontal="right" vertical="top" wrapText="1"/>
    </xf>
    <xf numFmtId="4" fontId="4" fillId="0" borderId="1" xfId="4" applyNumberFormat="1" applyFont="1" applyBorder="1" applyAlignment="1">
      <alignment horizontal="right" vertical="top" wrapText="1"/>
    </xf>
    <xf numFmtId="0" fontId="4" fillId="0" borderId="13" xfId="4" applyNumberFormat="1" applyFont="1" applyBorder="1" applyAlignment="1">
      <alignment horizontal="right" vertical="top" wrapText="1"/>
    </xf>
    <xf numFmtId="2" fontId="4" fillId="0" borderId="1" xfId="4" applyNumberFormat="1" applyFont="1" applyBorder="1" applyAlignment="1">
      <alignment horizontal="right" vertical="top" wrapText="1"/>
    </xf>
    <xf numFmtId="0" fontId="5" fillId="2" borderId="1" xfId="4" applyNumberFormat="1" applyFont="1" applyFill="1" applyBorder="1" applyAlignment="1">
      <alignment vertical="top"/>
    </xf>
    <xf numFmtId="4" fontId="5" fillId="2" borderId="1" xfId="4" applyNumberFormat="1" applyFont="1" applyFill="1" applyBorder="1" applyAlignment="1">
      <alignment horizontal="right" vertical="top" wrapText="1"/>
    </xf>
    <xf numFmtId="0" fontId="5" fillId="2" borderId="12" xfId="4" applyNumberFormat="1" applyFont="1" applyFill="1" applyBorder="1" applyAlignment="1">
      <alignment horizontal="center" vertical="top"/>
    </xf>
    <xf numFmtId="4" fontId="5" fillId="2" borderId="13" xfId="4" applyNumberFormat="1" applyFont="1" applyFill="1" applyBorder="1" applyAlignment="1">
      <alignment horizontal="right" vertical="top" wrapText="1"/>
    </xf>
    <xf numFmtId="0" fontId="3" fillId="2" borderId="2" xfId="5" applyNumberFormat="1" applyFont="1" applyFill="1" applyBorder="1" applyAlignment="1">
      <alignment vertical="top"/>
    </xf>
    <xf numFmtId="0" fontId="3" fillId="2" borderId="3" xfId="5" applyNumberFormat="1" applyFont="1" applyFill="1" applyBorder="1" applyAlignment="1">
      <alignment vertical="top"/>
    </xf>
    <xf numFmtId="0" fontId="3" fillId="2" borderId="4" xfId="5" applyNumberFormat="1" applyFont="1" applyFill="1" applyBorder="1" applyAlignment="1">
      <alignment vertical="top"/>
    </xf>
    <xf numFmtId="0" fontId="3" fillId="2" borderId="3" xfId="5" applyNumberFormat="1" applyFont="1" applyFill="1" applyBorder="1" applyAlignment="1">
      <alignment horizontal="center" vertical="top"/>
    </xf>
    <xf numFmtId="0" fontId="3" fillId="2" borderId="5" xfId="5" applyNumberFormat="1" applyFont="1" applyFill="1" applyBorder="1" applyAlignment="1">
      <alignment horizontal="center" vertical="top"/>
    </xf>
    <xf numFmtId="0" fontId="3" fillId="2" borderId="6" xfId="5" applyNumberFormat="1" applyFont="1" applyFill="1" applyBorder="1" applyAlignment="1">
      <alignment vertical="top"/>
    </xf>
    <xf numFmtId="0" fontId="3" fillId="2" borderId="7" xfId="5" applyNumberFormat="1" applyFont="1" applyFill="1" applyBorder="1" applyAlignment="1">
      <alignment vertical="top"/>
    </xf>
    <xf numFmtId="0" fontId="3" fillId="2" borderId="8" xfId="5" applyNumberFormat="1" applyFont="1" applyFill="1" applyBorder="1" applyAlignment="1">
      <alignment vertical="top"/>
    </xf>
    <xf numFmtId="0" fontId="3" fillId="2" borderId="5" xfId="5" applyNumberFormat="1" applyFont="1" applyFill="1" applyBorder="1" applyAlignment="1">
      <alignment vertical="top"/>
    </xf>
    <xf numFmtId="0" fontId="3" fillId="2" borderId="9" xfId="5" applyNumberFormat="1" applyFont="1" applyFill="1" applyBorder="1" applyAlignment="1">
      <alignment vertical="top"/>
    </xf>
    <xf numFmtId="0" fontId="3" fillId="2" borderId="9" xfId="5" applyNumberFormat="1" applyFont="1" applyFill="1" applyBorder="1" applyAlignment="1">
      <alignment vertical="top"/>
    </xf>
    <xf numFmtId="0" fontId="3" fillId="2" borderId="10" xfId="5" applyNumberFormat="1" applyFont="1" applyFill="1" applyBorder="1" applyAlignment="1">
      <alignment vertical="top"/>
    </xf>
    <xf numFmtId="0" fontId="3" fillId="2" borderId="11" xfId="5" applyNumberFormat="1" applyFont="1" applyFill="1" applyBorder="1" applyAlignment="1">
      <alignment vertical="top"/>
    </xf>
    <xf numFmtId="0" fontId="4" fillId="0" borderId="1" xfId="5" applyNumberFormat="1" applyFont="1" applyBorder="1" applyAlignment="1">
      <alignment vertical="top"/>
    </xf>
    <xf numFmtId="0" fontId="4" fillId="0" borderId="1" xfId="5" applyNumberFormat="1" applyFont="1" applyBorder="1" applyAlignment="1">
      <alignment vertical="top" wrapText="1"/>
    </xf>
    <xf numFmtId="0" fontId="4" fillId="0" borderId="1" xfId="5" applyNumberFormat="1" applyFont="1" applyBorder="1" applyAlignment="1">
      <alignment horizontal="left" vertical="top"/>
    </xf>
    <xf numFmtId="4" fontId="4" fillId="0" borderId="1" xfId="5" applyNumberFormat="1" applyFont="1" applyBorder="1" applyAlignment="1">
      <alignment horizontal="right" vertical="top" wrapText="1"/>
    </xf>
    <xf numFmtId="0" fontId="4" fillId="0" borderId="13" xfId="5" applyNumberFormat="1" applyFont="1" applyBorder="1" applyAlignment="1">
      <alignment horizontal="right" vertical="top" wrapText="1"/>
    </xf>
    <xf numFmtId="0" fontId="4" fillId="0" borderId="12" xfId="5" applyNumberFormat="1" applyFont="1" applyBorder="1" applyAlignment="1">
      <alignment horizontal="center" vertical="top"/>
    </xf>
    <xf numFmtId="4" fontId="4" fillId="0" borderId="13" xfId="5" applyNumberFormat="1" applyFont="1" applyBorder="1" applyAlignment="1">
      <alignment horizontal="right" vertical="top" wrapText="1"/>
    </xf>
    <xf numFmtId="0" fontId="4" fillId="0" borderId="1" xfId="5" applyNumberFormat="1" applyFont="1" applyBorder="1" applyAlignment="1">
      <alignment horizontal="right" vertical="top" wrapText="1"/>
    </xf>
    <xf numFmtId="4" fontId="4" fillId="0" borderId="13" xfId="5" applyNumberFormat="1" applyFont="1" applyBorder="1" applyAlignment="1">
      <alignment horizontal="right" vertical="top" wrapText="1"/>
    </xf>
    <xf numFmtId="2" fontId="4" fillId="0" borderId="13" xfId="5" applyNumberFormat="1" applyFont="1" applyBorder="1" applyAlignment="1">
      <alignment horizontal="right" vertical="top" wrapText="1"/>
    </xf>
    <xf numFmtId="2" fontId="4" fillId="0" borderId="1" xfId="5" applyNumberFormat="1" applyFont="1" applyBorder="1" applyAlignment="1">
      <alignment horizontal="right" vertical="top" wrapText="1"/>
    </xf>
    <xf numFmtId="0" fontId="5" fillId="2" borderId="1" xfId="5" applyNumberFormat="1" applyFont="1" applyFill="1" applyBorder="1" applyAlignment="1">
      <alignment vertical="top"/>
    </xf>
    <xf numFmtId="4" fontId="5" fillId="2" borderId="1" xfId="5" applyNumberFormat="1" applyFont="1" applyFill="1" applyBorder="1" applyAlignment="1">
      <alignment horizontal="right" vertical="top" wrapText="1"/>
    </xf>
    <xf numFmtId="0" fontId="5" fillId="2" borderId="12" xfId="5" applyNumberFormat="1" applyFont="1" applyFill="1" applyBorder="1" applyAlignment="1">
      <alignment horizontal="center" vertical="top"/>
    </xf>
    <xf numFmtId="4" fontId="5" fillId="2" borderId="13" xfId="5" applyNumberFormat="1" applyFont="1" applyFill="1" applyBorder="1" applyAlignment="1">
      <alignment horizontal="right" vertical="top" wrapText="1"/>
    </xf>
    <xf numFmtId="0" fontId="3" fillId="2" borderId="2" xfId="6" applyNumberFormat="1" applyFont="1" applyFill="1" applyBorder="1" applyAlignment="1">
      <alignment vertical="top"/>
    </xf>
    <xf numFmtId="0" fontId="3" fillId="2" borderId="3" xfId="6" applyNumberFormat="1" applyFont="1" applyFill="1" applyBorder="1" applyAlignment="1">
      <alignment vertical="top"/>
    </xf>
    <xf numFmtId="0" fontId="3" fillId="2" borderId="4" xfId="6" applyNumberFormat="1" applyFont="1" applyFill="1" applyBorder="1" applyAlignment="1">
      <alignment vertical="top"/>
    </xf>
    <xf numFmtId="0" fontId="3" fillId="2" borderId="3" xfId="6" applyNumberFormat="1" applyFont="1" applyFill="1" applyBorder="1" applyAlignment="1">
      <alignment horizontal="center" vertical="top"/>
    </xf>
    <xf numFmtId="0" fontId="3" fillId="2" borderId="5" xfId="6" applyNumberFormat="1" applyFont="1" applyFill="1" applyBorder="1" applyAlignment="1">
      <alignment horizontal="center" vertical="top"/>
    </xf>
    <xf numFmtId="0" fontId="3" fillId="2" borderId="6" xfId="6" applyNumberFormat="1" applyFont="1" applyFill="1" applyBorder="1" applyAlignment="1">
      <alignment vertical="top"/>
    </xf>
    <xf numFmtId="0" fontId="3" fillId="2" borderId="7" xfId="6" applyNumberFormat="1" applyFont="1" applyFill="1" applyBorder="1" applyAlignment="1">
      <alignment vertical="top"/>
    </xf>
    <xf numFmtId="0" fontId="3" fillId="2" borderId="8" xfId="6" applyNumberFormat="1" applyFont="1" applyFill="1" applyBorder="1" applyAlignment="1">
      <alignment vertical="top"/>
    </xf>
    <xf numFmtId="0" fontId="3" fillId="2" borderId="5" xfId="6" applyNumberFormat="1" applyFont="1" applyFill="1" applyBorder="1" applyAlignment="1">
      <alignment vertical="top"/>
    </xf>
    <xf numFmtId="0" fontId="3" fillId="2" borderId="9" xfId="6" applyNumberFormat="1" applyFont="1" applyFill="1" applyBorder="1" applyAlignment="1">
      <alignment vertical="top"/>
    </xf>
    <xf numFmtId="0" fontId="3" fillId="2" borderId="9" xfId="6" applyNumberFormat="1" applyFont="1" applyFill="1" applyBorder="1" applyAlignment="1">
      <alignment vertical="top"/>
    </xf>
    <xf numFmtId="0" fontId="3" fillId="2" borderId="10" xfId="6" applyNumberFormat="1" applyFont="1" applyFill="1" applyBorder="1" applyAlignment="1">
      <alignment vertical="top"/>
    </xf>
    <xf numFmtId="0" fontId="3" fillId="2" borderId="11" xfId="6" applyNumberFormat="1" applyFont="1" applyFill="1" applyBorder="1" applyAlignment="1">
      <alignment vertical="top"/>
    </xf>
    <xf numFmtId="0" fontId="4" fillId="0" borderId="1" xfId="6" applyNumberFormat="1" applyFont="1" applyBorder="1" applyAlignment="1">
      <alignment vertical="top"/>
    </xf>
    <xf numFmtId="0" fontId="4" fillId="0" borderId="1" xfId="6" applyNumberFormat="1" applyFont="1" applyBorder="1" applyAlignment="1">
      <alignment vertical="top" wrapText="1"/>
    </xf>
    <xf numFmtId="0" fontId="4" fillId="0" borderId="1" xfId="6" applyNumberFormat="1" applyFont="1" applyBorder="1" applyAlignment="1">
      <alignment horizontal="left" vertical="top"/>
    </xf>
    <xf numFmtId="4" fontId="4" fillId="0" borderId="1" xfId="6" applyNumberFormat="1" applyFont="1" applyBorder="1" applyAlignment="1">
      <alignment horizontal="right" vertical="top" wrapText="1"/>
    </xf>
    <xf numFmtId="0" fontId="4" fillId="0" borderId="13" xfId="6" applyNumberFormat="1" applyFont="1" applyBorder="1" applyAlignment="1">
      <alignment horizontal="right" vertical="top" wrapText="1"/>
    </xf>
    <xf numFmtId="0" fontId="4" fillId="0" borderId="12" xfId="6" applyNumberFormat="1" applyFont="1" applyBorder="1" applyAlignment="1">
      <alignment horizontal="center" vertical="top"/>
    </xf>
    <xf numFmtId="4" fontId="4" fillId="0" borderId="13" xfId="6" applyNumberFormat="1" applyFont="1" applyBorder="1" applyAlignment="1">
      <alignment horizontal="right" vertical="top" wrapText="1"/>
    </xf>
    <xf numFmtId="2" fontId="4" fillId="0" borderId="1" xfId="6" applyNumberFormat="1" applyFont="1" applyBorder="1" applyAlignment="1">
      <alignment horizontal="right" vertical="top" wrapText="1"/>
    </xf>
    <xf numFmtId="0" fontId="4" fillId="0" borderId="1" xfId="6" applyNumberFormat="1" applyFont="1" applyBorder="1" applyAlignment="1">
      <alignment horizontal="right" vertical="top" wrapText="1"/>
    </xf>
    <xf numFmtId="4" fontId="4" fillId="0" borderId="13" xfId="6" applyNumberFormat="1" applyFont="1" applyBorder="1" applyAlignment="1">
      <alignment horizontal="right" vertical="top" wrapText="1"/>
    </xf>
    <xf numFmtId="2" fontId="4" fillId="0" borderId="13" xfId="6" applyNumberFormat="1" applyFont="1" applyBorder="1" applyAlignment="1">
      <alignment horizontal="right" vertical="top" wrapText="1"/>
    </xf>
    <xf numFmtId="2" fontId="4" fillId="0" borderId="13" xfId="6" applyNumberFormat="1" applyFont="1" applyBorder="1" applyAlignment="1">
      <alignment horizontal="right" vertical="top" wrapText="1"/>
    </xf>
    <xf numFmtId="0" fontId="4" fillId="0" borderId="13" xfId="6" applyNumberFormat="1" applyFont="1" applyBorder="1" applyAlignment="1">
      <alignment horizontal="right" vertical="top" wrapText="1"/>
    </xf>
    <xf numFmtId="0" fontId="5" fillId="2" borderId="1" xfId="6" applyNumberFormat="1" applyFont="1" applyFill="1" applyBorder="1" applyAlignment="1">
      <alignment vertical="top"/>
    </xf>
    <xf numFmtId="4" fontId="5" fillId="2" borderId="1" xfId="6" applyNumberFormat="1" applyFont="1" applyFill="1" applyBorder="1" applyAlignment="1">
      <alignment horizontal="right" vertical="top" wrapText="1"/>
    </xf>
    <xf numFmtId="0" fontId="5" fillId="2" borderId="12" xfId="6" applyNumberFormat="1" applyFont="1" applyFill="1" applyBorder="1" applyAlignment="1">
      <alignment horizontal="center" vertical="top"/>
    </xf>
    <xf numFmtId="2" fontId="5" fillId="2" borderId="13" xfId="6" applyNumberFormat="1" applyFont="1" applyFill="1" applyBorder="1" applyAlignment="1">
      <alignment horizontal="right" vertical="top" wrapText="1"/>
    </xf>
    <xf numFmtId="0" fontId="3" fillId="2" borderId="2" xfId="7" applyNumberFormat="1" applyFont="1" applyFill="1" applyBorder="1" applyAlignment="1">
      <alignment vertical="top"/>
    </xf>
    <xf numFmtId="0" fontId="3" fillId="2" borderId="3" xfId="7" applyNumberFormat="1" applyFont="1" applyFill="1" applyBorder="1" applyAlignment="1">
      <alignment vertical="top"/>
    </xf>
    <xf numFmtId="0" fontId="3" fillId="2" borderId="4" xfId="7" applyNumberFormat="1" applyFont="1" applyFill="1" applyBorder="1" applyAlignment="1">
      <alignment vertical="top"/>
    </xf>
    <xf numFmtId="0" fontId="3" fillId="2" borderId="3" xfId="7" applyNumberFormat="1" applyFont="1" applyFill="1" applyBorder="1" applyAlignment="1">
      <alignment horizontal="center" vertical="top"/>
    </xf>
    <xf numFmtId="0" fontId="3" fillId="2" borderId="5" xfId="7" applyNumberFormat="1" applyFont="1" applyFill="1" applyBorder="1" applyAlignment="1">
      <alignment horizontal="center" vertical="top"/>
    </xf>
    <xf numFmtId="0" fontId="3" fillId="2" borderId="6" xfId="7" applyNumberFormat="1" applyFont="1" applyFill="1" applyBorder="1" applyAlignment="1">
      <alignment vertical="top"/>
    </xf>
    <xf numFmtId="0" fontId="3" fillId="2" borderId="7" xfId="7" applyNumberFormat="1" applyFont="1" applyFill="1" applyBorder="1" applyAlignment="1">
      <alignment vertical="top"/>
    </xf>
    <xf numFmtId="0" fontId="3" fillId="2" borderId="8" xfId="7" applyNumberFormat="1" applyFont="1" applyFill="1" applyBorder="1" applyAlignment="1">
      <alignment vertical="top"/>
    </xf>
    <xf numFmtId="0" fontId="3" fillId="2" borderId="5" xfId="7" applyNumberFormat="1" applyFont="1" applyFill="1" applyBorder="1" applyAlignment="1">
      <alignment vertical="top"/>
    </xf>
    <xf numFmtId="0" fontId="3" fillId="2" borderId="9" xfId="7" applyNumberFormat="1" applyFont="1" applyFill="1" applyBorder="1" applyAlignment="1">
      <alignment vertical="top"/>
    </xf>
    <xf numFmtId="0" fontId="3" fillId="2" borderId="9" xfId="7" applyNumberFormat="1" applyFont="1" applyFill="1" applyBorder="1" applyAlignment="1">
      <alignment vertical="top"/>
    </xf>
    <xf numFmtId="0" fontId="3" fillId="2" borderId="10" xfId="7" applyNumberFormat="1" applyFont="1" applyFill="1" applyBorder="1" applyAlignment="1">
      <alignment vertical="top"/>
    </xf>
    <xf numFmtId="0" fontId="3" fillId="2" borderId="11" xfId="7" applyNumberFormat="1" applyFont="1" applyFill="1" applyBorder="1" applyAlignment="1">
      <alignment vertical="top"/>
    </xf>
    <xf numFmtId="0" fontId="4" fillId="0" borderId="1" xfId="7" applyNumberFormat="1" applyFont="1" applyBorder="1" applyAlignment="1">
      <alignment vertical="top"/>
    </xf>
    <xf numFmtId="0" fontId="4" fillId="0" borderId="1" xfId="7" applyNumberFormat="1" applyFont="1" applyBorder="1" applyAlignment="1">
      <alignment vertical="top" wrapText="1"/>
    </xf>
    <xf numFmtId="0" fontId="4" fillId="0" borderId="1" xfId="7" applyNumberFormat="1" applyFont="1" applyBorder="1" applyAlignment="1">
      <alignment horizontal="left" vertical="top"/>
    </xf>
    <xf numFmtId="2" fontId="4" fillId="0" borderId="1" xfId="7" applyNumberFormat="1" applyFont="1" applyBorder="1" applyAlignment="1">
      <alignment horizontal="right" vertical="top" wrapText="1"/>
    </xf>
    <xf numFmtId="0" fontId="4" fillId="0" borderId="13" xfId="7" applyNumberFormat="1" applyFont="1" applyBorder="1" applyAlignment="1">
      <alignment horizontal="right" vertical="top" wrapText="1"/>
    </xf>
    <xf numFmtId="0" fontId="4" fillId="0" borderId="12" xfId="7" applyNumberFormat="1" applyFont="1" applyBorder="1" applyAlignment="1">
      <alignment horizontal="center" vertical="top"/>
    </xf>
    <xf numFmtId="4" fontId="4" fillId="0" borderId="13" xfId="7" applyNumberFormat="1" applyFont="1" applyBorder="1" applyAlignment="1">
      <alignment horizontal="right" vertical="top" wrapText="1"/>
    </xf>
    <xf numFmtId="0" fontId="4" fillId="0" borderId="1" xfId="7" applyNumberFormat="1" applyFont="1" applyBorder="1" applyAlignment="1">
      <alignment horizontal="right" vertical="top" wrapText="1"/>
    </xf>
    <xf numFmtId="2" fontId="4" fillId="0" borderId="13" xfId="7" applyNumberFormat="1" applyFont="1" applyBorder="1" applyAlignment="1">
      <alignment horizontal="right" vertical="top" wrapText="1"/>
    </xf>
    <xf numFmtId="4" fontId="4" fillId="0" borderId="13" xfId="7" applyNumberFormat="1" applyFont="1" applyBorder="1" applyAlignment="1">
      <alignment horizontal="right" vertical="top" wrapText="1"/>
    </xf>
    <xf numFmtId="2" fontId="4" fillId="0" borderId="13" xfId="7" applyNumberFormat="1" applyFont="1" applyBorder="1" applyAlignment="1">
      <alignment horizontal="right" vertical="top" wrapText="1"/>
    </xf>
    <xf numFmtId="0" fontId="4" fillId="0" borderId="13" xfId="7" applyNumberFormat="1" applyFont="1" applyBorder="1" applyAlignment="1">
      <alignment horizontal="right" vertical="top" wrapText="1"/>
    </xf>
    <xf numFmtId="0" fontId="5" fillId="2" borderId="1" xfId="7" applyNumberFormat="1" applyFont="1" applyFill="1" applyBorder="1" applyAlignment="1">
      <alignment vertical="top"/>
    </xf>
    <xf numFmtId="2" fontId="5" fillId="2" borderId="1" xfId="7" applyNumberFormat="1" applyFont="1" applyFill="1" applyBorder="1" applyAlignment="1">
      <alignment horizontal="right" vertical="top" wrapText="1"/>
    </xf>
    <xf numFmtId="4" fontId="5" fillId="2" borderId="1" xfId="7" applyNumberFormat="1" applyFont="1" applyFill="1" applyBorder="1" applyAlignment="1">
      <alignment horizontal="right" vertical="top" wrapText="1"/>
    </xf>
    <xf numFmtId="0" fontId="5" fillId="2" borderId="12" xfId="7" applyNumberFormat="1" applyFont="1" applyFill="1" applyBorder="1" applyAlignment="1">
      <alignment horizontal="center" vertical="top"/>
    </xf>
    <xf numFmtId="2" fontId="5" fillId="2" borderId="13" xfId="7" applyNumberFormat="1" applyFont="1" applyFill="1" applyBorder="1" applyAlignment="1">
      <alignment horizontal="right" vertical="top" wrapText="1"/>
    </xf>
    <xf numFmtId="0" fontId="3" fillId="2" borderId="2" xfId="8" applyNumberFormat="1" applyFont="1" applyFill="1" applyBorder="1" applyAlignment="1">
      <alignment vertical="top"/>
    </xf>
    <xf numFmtId="0" fontId="3" fillId="2" borderId="3" xfId="8" applyNumberFormat="1" applyFont="1" applyFill="1" applyBorder="1" applyAlignment="1">
      <alignment vertical="top"/>
    </xf>
    <xf numFmtId="0" fontId="3" fillId="2" borderId="4" xfId="8" applyNumberFormat="1" applyFont="1" applyFill="1" applyBorder="1" applyAlignment="1">
      <alignment vertical="top"/>
    </xf>
    <xf numFmtId="0" fontId="3" fillId="2" borderId="3" xfId="8" applyNumberFormat="1" applyFont="1" applyFill="1" applyBorder="1" applyAlignment="1">
      <alignment horizontal="center" vertical="top"/>
    </xf>
    <xf numFmtId="0" fontId="3" fillId="2" borderId="5" xfId="8" applyNumberFormat="1" applyFont="1" applyFill="1" applyBorder="1" applyAlignment="1">
      <alignment horizontal="center" vertical="top"/>
    </xf>
    <xf numFmtId="0" fontId="3" fillId="2" borderId="6" xfId="8" applyNumberFormat="1" applyFont="1" applyFill="1" applyBorder="1" applyAlignment="1">
      <alignment vertical="top"/>
    </xf>
    <xf numFmtId="0" fontId="3" fillId="2" borderId="7" xfId="8" applyNumberFormat="1" applyFont="1" applyFill="1" applyBorder="1" applyAlignment="1">
      <alignment vertical="top"/>
    </xf>
    <xf numFmtId="0" fontId="3" fillId="2" borderId="8" xfId="8" applyNumberFormat="1" applyFont="1" applyFill="1" applyBorder="1" applyAlignment="1">
      <alignment vertical="top"/>
    </xf>
    <xf numFmtId="0" fontId="3" fillId="2" borderId="5" xfId="8" applyNumberFormat="1" applyFont="1" applyFill="1" applyBorder="1" applyAlignment="1">
      <alignment vertical="top"/>
    </xf>
    <xf numFmtId="0" fontId="3" fillId="2" borderId="9" xfId="8" applyNumberFormat="1" applyFont="1" applyFill="1" applyBorder="1" applyAlignment="1">
      <alignment vertical="top"/>
    </xf>
    <xf numFmtId="0" fontId="3" fillId="2" borderId="9" xfId="8" applyNumberFormat="1" applyFont="1" applyFill="1" applyBorder="1" applyAlignment="1">
      <alignment vertical="top"/>
    </xf>
    <xf numFmtId="0" fontId="3" fillId="2" borderId="10" xfId="8" applyNumberFormat="1" applyFont="1" applyFill="1" applyBorder="1" applyAlignment="1">
      <alignment vertical="top"/>
    </xf>
    <xf numFmtId="0" fontId="3" fillId="2" borderId="11" xfId="8" applyNumberFormat="1" applyFont="1" applyFill="1" applyBorder="1" applyAlignment="1">
      <alignment vertical="top"/>
    </xf>
    <xf numFmtId="0" fontId="4" fillId="0" borderId="1" xfId="8" applyNumberFormat="1" applyFont="1" applyBorder="1" applyAlignment="1">
      <alignment vertical="top"/>
    </xf>
    <xf numFmtId="0" fontId="4" fillId="0" borderId="1" xfId="8" applyNumberFormat="1" applyFont="1" applyBorder="1" applyAlignment="1">
      <alignment vertical="top" wrapText="1"/>
    </xf>
    <xf numFmtId="0" fontId="4" fillId="0" borderId="1" xfId="8" applyNumberFormat="1" applyFont="1" applyBorder="1" applyAlignment="1">
      <alignment horizontal="left" vertical="top"/>
    </xf>
    <xf numFmtId="2" fontId="4" fillId="0" borderId="1" xfId="8" applyNumberFormat="1" applyFont="1" applyBorder="1" applyAlignment="1">
      <alignment horizontal="right" vertical="top" wrapText="1"/>
    </xf>
    <xf numFmtId="0" fontId="4" fillId="0" borderId="13" xfId="8" applyNumberFormat="1" applyFont="1" applyBorder="1" applyAlignment="1">
      <alignment horizontal="right" vertical="top" wrapText="1"/>
    </xf>
    <xf numFmtId="0" fontId="4" fillId="0" borderId="12" xfId="8" applyNumberFormat="1" applyFont="1" applyBorder="1" applyAlignment="1">
      <alignment horizontal="center" vertical="top"/>
    </xf>
    <xf numFmtId="4" fontId="4" fillId="0" borderId="13" xfId="8" applyNumberFormat="1" applyFont="1" applyBorder="1" applyAlignment="1">
      <alignment horizontal="right" vertical="top" wrapText="1"/>
    </xf>
    <xf numFmtId="4" fontId="4" fillId="0" borderId="1" xfId="8" applyNumberFormat="1" applyFont="1" applyBorder="1" applyAlignment="1">
      <alignment horizontal="right" vertical="top" wrapText="1"/>
    </xf>
    <xf numFmtId="0" fontId="4" fillId="0" borderId="1" xfId="8" applyNumberFormat="1" applyFont="1" applyBorder="1" applyAlignment="1">
      <alignment horizontal="right" vertical="top" wrapText="1"/>
    </xf>
    <xf numFmtId="2" fontId="4" fillId="0" borderId="13" xfId="8" applyNumberFormat="1" applyFont="1" applyBorder="1" applyAlignment="1">
      <alignment horizontal="right" vertical="top" wrapText="1"/>
    </xf>
    <xf numFmtId="4" fontId="4" fillId="0" borderId="13" xfId="8" applyNumberFormat="1" applyFont="1" applyBorder="1" applyAlignment="1">
      <alignment horizontal="right" vertical="top" wrapText="1"/>
    </xf>
    <xf numFmtId="0" fontId="4" fillId="0" borderId="13" xfId="8" applyNumberFormat="1" applyFont="1" applyBorder="1" applyAlignment="1">
      <alignment horizontal="right" vertical="top" wrapText="1"/>
    </xf>
    <xf numFmtId="0" fontId="5" fillId="2" borderId="1" xfId="8" applyNumberFormat="1" applyFont="1" applyFill="1" applyBorder="1" applyAlignment="1">
      <alignment vertical="top"/>
    </xf>
    <xf numFmtId="4" fontId="5" fillId="2" borderId="1" xfId="8" applyNumberFormat="1" applyFont="1" applyFill="1" applyBorder="1" applyAlignment="1">
      <alignment horizontal="right" vertical="top" wrapText="1"/>
    </xf>
    <xf numFmtId="0" fontId="5" fillId="2" borderId="12" xfId="8" applyNumberFormat="1" applyFont="1" applyFill="1" applyBorder="1" applyAlignment="1">
      <alignment horizontal="center" vertical="top"/>
    </xf>
    <xf numFmtId="2" fontId="5" fillId="2" borderId="13" xfId="8" applyNumberFormat="1" applyFont="1" applyFill="1" applyBorder="1" applyAlignment="1">
      <alignment horizontal="right" vertical="top" wrapText="1"/>
    </xf>
    <xf numFmtId="0" fontId="3" fillId="2" borderId="2" xfId="9" applyNumberFormat="1" applyFont="1" applyFill="1" applyBorder="1" applyAlignment="1">
      <alignment vertical="top"/>
    </xf>
    <xf numFmtId="0" fontId="3" fillId="2" borderId="3" xfId="9" applyNumberFormat="1" applyFont="1" applyFill="1" applyBorder="1" applyAlignment="1">
      <alignment vertical="top"/>
    </xf>
    <xf numFmtId="0" fontId="3" fillId="2" borderId="4" xfId="9" applyNumberFormat="1" applyFont="1" applyFill="1" applyBorder="1" applyAlignment="1">
      <alignment vertical="top"/>
    </xf>
    <xf numFmtId="0" fontId="3" fillId="2" borderId="3" xfId="9" applyNumberFormat="1" applyFont="1" applyFill="1" applyBorder="1" applyAlignment="1">
      <alignment horizontal="center" vertical="top"/>
    </xf>
    <xf numFmtId="0" fontId="3" fillId="2" borderId="5" xfId="9" applyNumberFormat="1" applyFont="1" applyFill="1" applyBorder="1" applyAlignment="1">
      <alignment horizontal="center" vertical="top"/>
    </xf>
    <xf numFmtId="0" fontId="3" fillId="2" borderId="6" xfId="9" applyNumberFormat="1" applyFont="1" applyFill="1" applyBorder="1" applyAlignment="1">
      <alignment vertical="top"/>
    </xf>
    <xf numFmtId="0" fontId="3" fillId="2" borderId="7" xfId="9" applyNumberFormat="1" applyFont="1" applyFill="1" applyBorder="1" applyAlignment="1">
      <alignment vertical="top"/>
    </xf>
    <xf numFmtId="0" fontId="3" fillId="2" borderId="8" xfId="9" applyNumberFormat="1" applyFont="1" applyFill="1" applyBorder="1" applyAlignment="1">
      <alignment vertical="top"/>
    </xf>
    <xf numFmtId="0" fontId="3" fillId="2" borderId="5" xfId="9" applyNumberFormat="1" applyFont="1" applyFill="1" applyBorder="1" applyAlignment="1">
      <alignment vertical="top"/>
    </xf>
    <xf numFmtId="0" fontId="3" fillId="2" borderId="9" xfId="9" applyNumberFormat="1" applyFont="1" applyFill="1" applyBorder="1" applyAlignment="1">
      <alignment vertical="top"/>
    </xf>
    <xf numFmtId="0" fontId="3" fillId="2" borderId="9" xfId="9" applyNumberFormat="1" applyFont="1" applyFill="1" applyBorder="1" applyAlignment="1">
      <alignment vertical="top"/>
    </xf>
    <xf numFmtId="0" fontId="3" fillId="2" borderId="10" xfId="9" applyNumberFormat="1" applyFont="1" applyFill="1" applyBorder="1" applyAlignment="1">
      <alignment vertical="top"/>
    </xf>
    <xf numFmtId="0" fontId="3" fillId="2" borderId="11" xfId="9" applyNumberFormat="1" applyFont="1" applyFill="1" applyBorder="1" applyAlignment="1">
      <alignment vertical="top"/>
    </xf>
    <xf numFmtId="0" fontId="4" fillId="0" borderId="1" xfId="9" applyNumberFormat="1" applyFont="1" applyBorder="1" applyAlignment="1">
      <alignment vertical="top"/>
    </xf>
    <xf numFmtId="0" fontId="4" fillId="0" borderId="1" xfId="9" applyNumberFormat="1" applyFont="1" applyBorder="1" applyAlignment="1">
      <alignment vertical="top" wrapText="1"/>
    </xf>
    <xf numFmtId="0" fontId="4" fillId="0" borderId="1" xfId="9" applyNumberFormat="1" applyFont="1" applyBorder="1" applyAlignment="1">
      <alignment horizontal="left" vertical="top"/>
    </xf>
    <xf numFmtId="0" fontId="4" fillId="0" borderId="1" xfId="9" applyNumberFormat="1" applyFont="1" applyBorder="1" applyAlignment="1">
      <alignment horizontal="right" vertical="top" wrapText="1"/>
    </xf>
    <xf numFmtId="4" fontId="4" fillId="0" borderId="13" xfId="9" applyNumberFormat="1" applyFont="1" applyBorder="1" applyAlignment="1">
      <alignment horizontal="right" vertical="top" wrapText="1"/>
    </xf>
    <xf numFmtId="0" fontId="4" fillId="0" borderId="12" xfId="9" applyNumberFormat="1" applyFont="1" applyBorder="1" applyAlignment="1">
      <alignment horizontal="center" vertical="top"/>
    </xf>
    <xf numFmtId="4" fontId="4" fillId="0" borderId="13" xfId="9" applyNumberFormat="1" applyFont="1" applyBorder="1" applyAlignment="1">
      <alignment horizontal="right" vertical="top" wrapText="1"/>
    </xf>
    <xf numFmtId="2" fontId="4" fillId="0" borderId="13" xfId="9" applyNumberFormat="1" applyFont="1" applyBorder="1" applyAlignment="1">
      <alignment horizontal="right" vertical="top" wrapText="1"/>
    </xf>
    <xf numFmtId="4" fontId="4" fillId="0" borderId="1" xfId="9" applyNumberFormat="1" applyFont="1" applyBorder="1" applyAlignment="1">
      <alignment horizontal="right" vertical="top" wrapText="1"/>
    </xf>
    <xf numFmtId="0" fontId="4" fillId="0" borderId="13" xfId="9" applyNumberFormat="1" applyFont="1" applyBorder="1" applyAlignment="1">
      <alignment horizontal="right" vertical="top" wrapText="1"/>
    </xf>
    <xf numFmtId="0" fontId="5" fillId="2" borderId="1" xfId="9" applyNumberFormat="1" applyFont="1" applyFill="1" applyBorder="1" applyAlignment="1">
      <alignment vertical="top"/>
    </xf>
    <xf numFmtId="4" fontId="5" fillId="2" borderId="1" xfId="9" applyNumberFormat="1" applyFont="1" applyFill="1" applyBorder="1" applyAlignment="1">
      <alignment horizontal="right" vertical="top" wrapText="1"/>
    </xf>
    <xf numFmtId="0" fontId="5" fillId="2" borderId="12" xfId="9" applyNumberFormat="1" applyFont="1" applyFill="1" applyBorder="1" applyAlignment="1">
      <alignment horizontal="center" vertical="top"/>
    </xf>
    <xf numFmtId="4" fontId="5" fillId="2" borderId="13" xfId="9" applyNumberFormat="1" applyFont="1" applyFill="1" applyBorder="1" applyAlignment="1">
      <alignment horizontal="right" vertical="top" wrapText="1"/>
    </xf>
    <xf numFmtId="0" fontId="3" fillId="2" borderId="2" xfId="10" applyNumberFormat="1" applyFont="1" applyFill="1" applyBorder="1" applyAlignment="1">
      <alignment vertical="top"/>
    </xf>
    <xf numFmtId="0" fontId="3" fillId="2" borderId="3" xfId="10" applyNumberFormat="1" applyFont="1" applyFill="1" applyBorder="1" applyAlignment="1">
      <alignment vertical="top"/>
    </xf>
    <xf numFmtId="0" fontId="3" fillId="2" borderId="4" xfId="10" applyNumberFormat="1" applyFont="1" applyFill="1" applyBorder="1" applyAlignment="1">
      <alignment vertical="top"/>
    </xf>
    <xf numFmtId="0" fontId="3" fillId="2" borderId="3" xfId="10" applyNumberFormat="1" applyFont="1" applyFill="1" applyBorder="1" applyAlignment="1">
      <alignment horizontal="center" vertical="top"/>
    </xf>
    <xf numFmtId="0" fontId="3" fillId="2" borderId="5" xfId="10" applyNumberFormat="1" applyFont="1" applyFill="1" applyBorder="1" applyAlignment="1">
      <alignment horizontal="center" vertical="top"/>
    </xf>
    <xf numFmtId="0" fontId="3" fillId="2" borderId="6" xfId="10" applyNumberFormat="1" applyFont="1" applyFill="1" applyBorder="1" applyAlignment="1">
      <alignment vertical="top"/>
    </xf>
    <xf numFmtId="0" fontId="3" fillId="2" borderId="7" xfId="10" applyNumberFormat="1" applyFont="1" applyFill="1" applyBorder="1" applyAlignment="1">
      <alignment vertical="top"/>
    </xf>
    <xf numFmtId="0" fontId="3" fillId="2" borderId="8" xfId="10" applyNumberFormat="1" applyFont="1" applyFill="1" applyBorder="1" applyAlignment="1">
      <alignment vertical="top"/>
    </xf>
    <xf numFmtId="0" fontId="3" fillId="2" borderId="5" xfId="10" applyNumberFormat="1" applyFont="1" applyFill="1" applyBorder="1" applyAlignment="1">
      <alignment vertical="top"/>
    </xf>
    <xf numFmtId="0" fontId="3" fillId="2" borderId="9" xfId="10" applyNumberFormat="1" applyFont="1" applyFill="1" applyBorder="1" applyAlignment="1">
      <alignment vertical="top"/>
    </xf>
    <xf numFmtId="0" fontId="3" fillId="2" borderId="9" xfId="10" applyNumberFormat="1" applyFont="1" applyFill="1" applyBorder="1" applyAlignment="1">
      <alignment vertical="top"/>
    </xf>
    <xf numFmtId="0" fontId="3" fillId="2" borderId="10" xfId="10" applyNumberFormat="1" applyFont="1" applyFill="1" applyBorder="1" applyAlignment="1">
      <alignment vertical="top"/>
    </xf>
    <xf numFmtId="0" fontId="3" fillId="2" borderId="11" xfId="10" applyNumberFormat="1" applyFont="1" applyFill="1" applyBorder="1" applyAlignment="1">
      <alignment vertical="top"/>
    </xf>
    <xf numFmtId="0" fontId="4" fillId="0" borderId="1" xfId="10" applyNumberFormat="1" applyFont="1" applyBorder="1" applyAlignment="1">
      <alignment vertical="top"/>
    </xf>
    <xf numFmtId="0" fontId="4" fillId="0" borderId="1" xfId="10" applyNumberFormat="1" applyFont="1" applyBorder="1" applyAlignment="1">
      <alignment vertical="top" wrapText="1"/>
    </xf>
    <xf numFmtId="0" fontId="4" fillId="0" borderId="1" xfId="10" applyNumberFormat="1" applyFont="1" applyBorder="1" applyAlignment="1">
      <alignment horizontal="left" vertical="top"/>
    </xf>
    <xf numFmtId="0" fontId="4" fillId="0" borderId="1" xfId="10" applyNumberFormat="1" applyFont="1" applyBorder="1" applyAlignment="1">
      <alignment horizontal="right" vertical="top" wrapText="1"/>
    </xf>
    <xf numFmtId="2" fontId="4" fillId="0" borderId="13" xfId="10" applyNumberFormat="1" applyFont="1" applyBorder="1" applyAlignment="1">
      <alignment horizontal="right" vertical="top" wrapText="1"/>
    </xf>
    <xf numFmtId="0" fontId="4" fillId="0" borderId="12" xfId="10" applyNumberFormat="1" applyFont="1" applyBorder="1" applyAlignment="1">
      <alignment horizontal="center" vertical="top"/>
    </xf>
    <xf numFmtId="4" fontId="4" fillId="0" borderId="13" xfId="10" applyNumberFormat="1" applyFont="1" applyBorder="1" applyAlignment="1">
      <alignment horizontal="right" vertical="top" wrapText="1"/>
    </xf>
    <xf numFmtId="4" fontId="4" fillId="0" borderId="13" xfId="10" applyNumberFormat="1" applyFont="1" applyBorder="1" applyAlignment="1">
      <alignment horizontal="right" vertical="top" wrapText="1"/>
    </xf>
    <xf numFmtId="2" fontId="4" fillId="0" borderId="13" xfId="10" applyNumberFormat="1" applyFont="1" applyBorder="1" applyAlignment="1">
      <alignment horizontal="right" vertical="top" wrapText="1"/>
    </xf>
    <xf numFmtId="0" fontId="4" fillId="0" borderId="13" xfId="10" applyNumberFormat="1" applyFont="1" applyBorder="1" applyAlignment="1">
      <alignment horizontal="right" vertical="top" wrapText="1"/>
    </xf>
    <xf numFmtId="0" fontId="5" fillId="2" borderId="1" xfId="10" applyNumberFormat="1" applyFont="1" applyFill="1" applyBorder="1" applyAlignment="1">
      <alignment vertical="top"/>
    </xf>
    <xf numFmtId="2" fontId="5" fillId="2" borderId="1" xfId="10" applyNumberFormat="1" applyFont="1" applyFill="1" applyBorder="1" applyAlignment="1">
      <alignment horizontal="right" vertical="top" wrapText="1"/>
    </xf>
    <xf numFmtId="4" fontId="5" fillId="2" borderId="1" xfId="10" applyNumberFormat="1" applyFont="1" applyFill="1" applyBorder="1" applyAlignment="1">
      <alignment horizontal="right" vertical="top" wrapText="1"/>
    </xf>
    <xf numFmtId="0" fontId="5" fillId="2" borderId="12" xfId="10" applyNumberFormat="1" applyFont="1" applyFill="1" applyBorder="1" applyAlignment="1">
      <alignment horizontal="center" vertical="top"/>
    </xf>
    <xf numFmtId="2" fontId="5" fillId="2" borderId="13" xfId="10" applyNumberFormat="1" applyFont="1" applyFill="1" applyBorder="1" applyAlignment="1">
      <alignment horizontal="right" vertical="top" wrapText="1"/>
    </xf>
    <xf numFmtId="0" fontId="3" fillId="2" borderId="2" xfId="11" applyNumberFormat="1" applyFont="1" applyFill="1" applyBorder="1" applyAlignment="1">
      <alignment vertical="top"/>
    </xf>
    <xf numFmtId="0" fontId="3" fillId="2" borderId="3" xfId="11" applyNumberFormat="1" applyFont="1" applyFill="1" applyBorder="1" applyAlignment="1">
      <alignment vertical="top"/>
    </xf>
    <xf numFmtId="0" fontId="3" fillId="2" borderId="4" xfId="11" applyNumberFormat="1" applyFont="1" applyFill="1" applyBorder="1" applyAlignment="1">
      <alignment vertical="top"/>
    </xf>
    <xf numFmtId="0" fontId="3" fillId="2" borderId="3" xfId="11" applyNumberFormat="1" applyFont="1" applyFill="1" applyBorder="1" applyAlignment="1">
      <alignment horizontal="center" vertical="top"/>
    </xf>
    <xf numFmtId="0" fontId="3" fillId="2" borderId="5" xfId="11" applyNumberFormat="1" applyFont="1" applyFill="1" applyBorder="1" applyAlignment="1">
      <alignment horizontal="center" vertical="top"/>
    </xf>
    <xf numFmtId="0" fontId="3" fillId="2" borderId="6" xfId="11" applyNumberFormat="1" applyFont="1" applyFill="1" applyBorder="1" applyAlignment="1">
      <alignment vertical="top"/>
    </xf>
    <xf numFmtId="0" fontId="3" fillId="2" borderId="7" xfId="11" applyNumberFormat="1" applyFont="1" applyFill="1" applyBorder="1" applyAlignment="1">
      <alignment vertical="top"/>
    </xf>
    <xf numFmtId="0" fontId="3" fillId="2" borderId="8" xfId="11" applyNumberFormat="1" applyFont="1" applyFill="1" applyBorder="1" applyAlignment="1">
      <alignment vertical="top"/>
    </xf>
    <xf numFmtId="0" fontId="3" fillId="2" borderId="5" xfId="11" applyNumberFormat="1" applyFont="1" applyFill="1" applyBorder="1" applyAlignment="1">
      <alignment vertical="top"/>
    </xf>
    <xf numFmtId="0" fontId="3" fillId="2" borderId="9" xfId="11" applyNumberFormat="1" applyFont="1" applyFill="1" applyBorder="1" applyAlignment="1">
      <alignment vertical="top"/>
    </xf>
    <xf numFmtId="0" fontId="3" fillId="2" borderId="9" xfId="11" applyNumberFormat="1" applyFont="1" applyFill="1" applyBorder="1" applyAlignment="1">
      <alignment vertical="top"/>
    </xf>
    <xf numFmtId="0" fontId="3" fillId="2" borderId="10" xfId="11" applyNumberFormat="1" applyFont="1" applyFill="1" applyBorder="1" applyAlignment="1">
      <alignment vertical="top"/>
    </xf>
    <xf numFmtId="0" fontId="3" fillId="2" borderId="11" xfId="11" applyNumberFormat="1" applyFont="1" applyFill="1" applyBorder="1" applyAlignment="1">
      <alignment vertical="top"/>
    </xf>
    <xf numFmtId="0" fontId="4" fillId="0" borderId="1" xfId="11" applyNumberFormat="1" applyFont="1" applyBorder="1" applyAlignment="1">
      <alignment vertical="top"/>
    </xf>
    <xf numFmtId="0" fontId="4" fillId="0" borderId="1" xfId="11" applyNumberFormat="1" applyFont="1" applyBorder="1" applyAlignment="1">
      <alignment vertical="top" wrapText="1"/>
    </xf>
    <xf numFmtId="0" fontId="4" fillId="0" borderId="1" xfId="11" applyNumberFormat="1" applyFont="1" applyBorder="1" applyAlignment="1">
      <alignment horizontal="left" vertical="top"/>
    </xf>
    <xf numFmtId="4" fontId="4" fillId="0" borderId="1" xfId="11" applyNumberFormat="1" applyFont="1" applyBorder="1" applyAlignment="1">
      <alignment horizontal="right" vertical="top" wrapText="1"/>
    </xf>
    <xf numFmtId="0" fontId="4" fillId="0" borderId="13" xfId="11" applyNumberFormat="1" applyFont="1" applyBorder="1" applyAlignment="1">
      <alignment horizontal="right" vertical="top" wrapText="1"/>
    </xf>
    <xf numFmtId="0" fontId="4" fillId="0" borderId="12" xfId="11" applyNumberFormat="1" applyFont="1" applyBorder="1" applyAlignment="1">
      <alignment horizontal="center" vertical="top"/>
    </xf>
    <xf numFmtId="4" fontId="4" fillId="0" borderId="13" xfId="11" applyNumberFormat="1" applyFont="1" applyBorder="1" applyAlignment="1">
      <alignment horizontal="right" vertical="top" wrapText="1"/>
    </xf>
    <xf numFmtId="2" fontId="4" fillId="0" borderId="1" xfId="11" applyNumberFormat="1" applyFont="1" applyBorder="1" applyAlignment="1">
      <alignment horizontal="right" vertical="top" wrapText="1"/>
    </xf>
    <xf numFmtId="0" fontId="4" fillId="0" borderId="1" xfId="11" applyNumberFormat="1" applyFont="1" applyBorder="1" applyAlignment="1">
      <alignment horizontal="right" vertical="top" wrapText="1"/>
    </xf>
    <xf numFmtId="2" fontId="4" fillId="0" borderId="13" xfId="11" applyNumberFormat="1" applyFont="1" applyBorder="1" applyAlignment="1">
      <alignment horizontal="right" vertical="top" wrapText="1"/>
    </xf>
    <xf numFmtId="4" fontId="4" fillId="0" borderId="13" xfId="11" applyNumberFormat="1" applyFont="1" applyBorder="1" applyAlignment="1">
      <alignment horizontal="right" vertical="top" wrapText="1"/>
    </xf>
    <xf numFmtId="0" fontId="5" fillId="2" borderId="1" xfId="11" applyNumberFormat="1" applyFont="1" applyFill="1" applyBorder="1" applyAlignment="1">
      <alignment vertical="top"/>
    </xf>
    <xf numFmtId="4" fontId="5" fillId="2" borderId="1" xfId="11" applyNumberFormat="1" applyFont="1" applyFill="1" applyBorder="1" applyAlignment="1">
      <alignment horizontal="right" vertical="top" wrapText="1"/>
    </xf>
    <xf numFmtId="0" fontId="5" fillId="2" borderId="12" xfId="11" applyNumberFormat="1" applyFont="1" applyFill="1" applyBorder="1" applyAlignment="1">
      <alignment horizontal="center" vertical="top"/>
    </xf>
    <xf numFmtId="4" fontId="5" fillId="2" borderId="13" xfId="11" applyNumberFormat="1" applyFont="1" applyFill="1" applyBorder="1" applyAlignment="1">
      <alignment horizontal="right" vertical="top" wrapText="1"/>
    </xf>
    <xf numFmtId="0" fontId="3" fillId="2" borderId="2" xfId="12" applyNumberFormat="1" applyFont="1" applyFill="1" applyBorder="1" applyAlignment="1">
      <alignment vertical="top"/>
    </xf>
    <xf numFmtId="0" fontId="3" fillId="2" borderId="3" xfId="12" applyNumberFormat="1" applyFont="1" applyFill="1" applyBorder="1" applyAlignment="1">
      <alignment vertical="top"/>
    </xf>
    <xf numFmtId="0" fontId="3" fillId="2" borderId="4" xfId="12" applyNumberFormat="1" applyFont="1" applyFill="1" applyBorder="1" applyAlignment="1">
      <alignment vertical="top"/>
    </xf>
    <xf numFmtId="0" fontId="3" fillId="2" borderId="3" xfId="12" applyNumberFormat="1" applyFont="1" applyFill="1" applyBorder="1" applyAlignment="1">
      <alignment horizontal="center" vertical="top"/>
    </xf>
    <xf numFmtId="0" fontId="3" fillId="2" borderId="5" xfId="12" applyNumberFormat="1" applyFont="1" applyFill="1" applyBorder="1" applyAlignment="1">
      <alignment horizontal="center" vertical="top"/>
    </xf>
    <xf numFmtId="0" fontId="3" fillId="2" borderId="6" xfId="12" applyNumberFormat="1" applyFont="1" applyFill="1" applyBorder="1" applyAlignment="1">
      <alignment vertical="top"/>
    </xf>
    <xf numFmtId="0" fontId="3" fillId="2" borderId="7" xfId="12" applyNumberFormat="1" applyFont="1" applyFill="1" applyBorder="1" applyAlignment="1">
      <alignment vertical="top"/>
    </xf>
    <xf numFmtId="0" fontId="3" fillId="2" borderId="8" xfId="12" applyNumberFormat="1" applyFont="1" applyFill="1" applyBorder="1" applyAlignment="1">
      <alignment vertical="top"/>
    </xf>
    <xf numFmtId="0" fontId="3" fillId="2" borderId="5" xfId="12" applyNumberFormat="1" applyFont="1" applyFill="1" applyBorder="1" applyAlignment="1">
      <alignment vertical="top"/>
    </xf>
    <xf numFmtId="0" fontId="3" fillId="2" borderId="9" xfId="12" applyNumberFormat="1" applyFont="1" applyFill="1" applyBorder="1" applyAlignment="1">
      <alignment vertical="top"/>
    </xf>
    <xf numFmtId="0" fontId="3" fillId="2" borderId="9" xfId="12" applyNumberFormat="1" applyFont="1" applyFill="1" applyBorder="1" applyAlignment="1">
      <alignment vertical="top"/>
    </xf>
    <xf numFmtId="0" fontId="3" fillId="2" borderId="10" xfId="12" applyNumberFormat="1" applyFont="1" applyFill="1" applyBorder="1" applyAlignment="1">
      <alignment vertical="top"/>
    </xf>
    <xf numFmtId="0" fontId="3" fillId="2" borderId="11" xfId="12" applyNumberFormat="1" applyFont="1" applyFill="1" applyBorder="1" applyAlignment="1">
      <alignment vertical="top"/>
    </xf>
    <xf numFmtId="0" fontId="4" fillId="0" borderId="1" xfId="12" applyNumberFormat="1" applyFont="1" applyBorder="1" applyAlignment="1">
      <alignment vertical="top"/>
    </xf>
    <xf numFmtId="0" fontId="4" fillId="0" borderId="1" xfId="12" applyNumberFormat="1" applyFont="1" applyBorder="1" applyAlignment="1">
      <alignment vertical="top" wrapText="1"/>
    </xf>
    <xf numFmtId="0" fontId="4" fillId="0" borderId="1" xfId="12" applyNumberFormat="1" applyFont="1" applyBorder="1" applyAlignment="1">
      <alignment horizontal="left" vertical="top"/>
    </xf>
    <xf numFmtId="0" fontId="4" fillId="0" borderId="1" xfId="12" applyNumberFormat="1" applyFont="1" applyBorder="1" applyAlignment="1">
      <alignment horizontal="right" vertical="top" wrapText="1"/>
    </xf>
    <xf numFmtId="4" fontId="4" fillId="0" borderId="13" xfId="12" applyNumberFormat="1" applyFont="1" applyBorder="1" applyAlignment="1">
      <alignment horizontal="right" vertical="top" wrapText="1"/>
    </xf>
    <xf numFmtId="0" fontId="4" fillId="0" borderId="12" xfId="12" applyNumberFormat="1" applyFont="1" applyBorder="1" applyAlignment="1">
      <alignment horizontal="center" vertical="top"/>
    </xf>
    <xf numFmtId="4" fontId="4" fillId="0" borderId="13" xfId="12" applyNumberFormat="1" applyFont="1" applyBorder="1" applyAlignment="1">
      <alignment horizontal="right" vertical="top" wrapText="1"/>
    </xf>
    <xf numFmtId="2" fontId="4" fillId="0" borderId="13" xfId="12" applyNumberFormat="1" applyFont="1" applyBorder="1" applyAlignment="1">
      <alignment horizontal="right" vertical="top" wrapText="1"/>
    </xf>
    <xf numFmtId="2" fontId="4" fillId="0" borderId="1" xfId="12" applyNumberFormat="1" applyFont="1" applyBorder="1" applyAlignment="1">
      <alignment horizontal="right" vertical="top" wrapText="1"/>
    </xf>
    <xf numFmtId="0" fontId="4" fillId="0" borderId="13" xfId="12" applyNumberFormat="1" applyFont="1" applyBorder="1" applyAlignment="1">
      <alignment horizontal="right" vertical="top" wrapText="1"/>
    </xf>
    <xf numFmtId="4" fontId="4" fillId="0" borderId="1" xfId="12" applyNumberFormat="1" applyFont="1" applyBorder="1" applyAlignment="1">
      <alignment horizontal="right" vertical="top" wrapText="1"/>
    </xf>
    <xf numFmtId="0" fontId="5" fillId="2" borderId="1" xfId="12" applyNumberFormat="1" applyFont="1" applyFill="1" applyBorder="1" applyAlignment="1">
      <alignment vertical="top"/>
    </xf>
    <xf numFmtId="4" fontId="5" fillId="2" borderId="1" xfId="12" applyNumberFormat="1" applyFont="1" applyFill="1" applyBorder="1" applyAlignment="1">
      <alignment horizontal="right" vertical="top" wrapText="1"/>
    </xf>
    <xf numFmtId="0" fontId="5" fillId="2" borderId="12" xfId="12" applyNumberFormat="1" applyFont="1" applyFill="1" applyBorder="1" applyAlignment="1">
      <alignment horizontal="center" vertical="top"/>
    </xf>
    <xf numFmtId="4" fontId="5" fillId="2" borderId="13" xfId="12" applyNumberFormat="1" applyFont="1" applyFill="1" applyBorder="1" applyAlignment="1">
      <alignment horizontal="right" vertical="top" wrapText="1"/>
    </xf>
    <xf numFmtId="4" fontId="0" fillId="0" borderId="0" xfId="0" applyNumberFormat="1"/>
    <xf numFmtId="2" fontId="5" fillId="2" borderId="1" xfId="3" applyNumberFormat="1" applyFont="1" applyFill="1" applyBorder="1" applyAlignment="1">
      <alignment vertical="top" wrapText="1"/>
    </xf>
  </cellXfs>
  <cellStyles count="13">
    <cellStyle name="Обычный" xfId="0" builtinId="0"/>
    <cellStyle name="Обычный_Sheet1" xfId="1" xr:uid="{B04CDD7E-4FBD-4C34-B0DA-46B6AD07ACDE}"/>
    <cellStyle name="Обычный_АПК (Глобине)" xfId="2" xr:uid="{D2EF60ED-ECCD-4F04-AC55-B1AFE083605E}"/>
    <cellStyle name="Обычный_Генплан митний склад" xfId="3" xr:uid="{E1343AB1-D3F2-44E5-958C-3B379AEB810B}"/>
    <cellStyle name="Обычный_Глобине-2" xfId="4" xr:uid="{26044098-C0C3-4B3F-AFC8-1CA5AA1EF48B}"/>
    <cellStyle name="Обычный_зберігання розчинника" xfId="10" xr:uid="{22B9111A-3DF0-469A-9A23-52B5A30CF376}"/>
    <cellStyle name="Обычный_Котельна (Глобине)" xfId="5" xr:uid="{98FD1540-CA0B-4518-A434-F1EACC151455}"/>
    <cellStyle name="Обычный_Насосна Градирня" xfId="6" xr:uid="{A5A45BA0-E10E-4A5C-8712-9927E245E792}"/>
    <cellStyle name="Обычный_Підготовчі роботи" xfId="7" xr:uid="{CB623B57-495B-41AA-8B57-7C15189C9A8C}"/>
    <cellStyle name="Обычный_Пожежений резервуар" xfId="8" xr:uid="{14987C17-14E0-4B7D-9B5D-93868F065F4D}"/>
    <cellStyle name="Обычный_Пункт фасування" xfId="9" xr:uid="{695D3967-536C-4224-946C-7CC93E21CB8A}"/>
    <cellStyle name="Обычный_СПК (Глобине)" xfId="11" xr:uid="{A55F6690-07EC-4F23-A439-39F2A6C23FCA}"/>
    <cellStyle name="Обычный_Цех екстракції" xfId="12" xr:uid="{B8ABDE03-F0BF-4AA7-9F24-E1F0B12CA1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3"/>
  <sheetViews>
    <sheetView tabSelected="1" workbookViewId="0">
      <selection activeCell="C13" sqref="C13"/>
    </sheetView>
  </sheetViews>
  <sheetFormatPr defaultRowHeight="14.4" x14ac:dyDescent="0.3"/>
  <cols>
    <col min="1" max="1" width="5.5546875" customWidth="1"/>
    <col min="2" max="2" width="37.21875" bestFit="1" customWidth="1"/>
    <col min="3" max="3" width="9.88671875" bestFit="1" customWidth="1"/>
  </cols>
  <sheetData>
    <row r="1" spans="2:3" x14ac:dyDescent="0.3">
      <c r="C1" s="310"/>
    </row>
    <row r="2" spans="2:3" x14ac:dyDescent="0.3">
      <c r="B2" s="1" t="s">
        <v>0</v>
      </c>
      <c r="C2" s="310">
        <f>'АПК (Глобине)'!J33*1.2</f>
        <v>29397.779999999995</v>
      </c>
    </row>
    <row r="3" spans="2:3" x14ac:dyDescent="0.3">
      <c r="B3" s="1" t="s">
        <v>1</v>
      </c>
      <c r="C3" s="310">
        <f>'Генплан митний склад'!H4*1.2</f>
        <v>936</v>
      </c>
    </row>
    <row r="4" spans="2:3" x14ac:dyDescent="0.3">
      <c r="B4" s="1" t="s">
        <v>2</v>
      </c>
      <c r="C4" s="310">
        <f>'Глобине-2'!J175*1.2</f>
        <v>108930.09600000002</v>
      </c>
    </row>
    <row r="5" spans="2:3" x14ac:dyDescent="0.3">
      <c r="B5" s="1" t="s">
        <v>3</v>
      </c>
      <c r="C5" s="310">
        <f>'Котельна (Глобине)'!J33*1.2</f>
        <v>16948.955999999998</v>
      </c>
    </row>
    <row r="6" spans="2:3" x14ac:dyDescent="0.3">
      <c r="B6" s="1" t="s">
        <v>4</v>
      </c>
      <c r="C6" s="310">
        <f>'Насосна Градирня'!J18*1.2</f>
        <v>5066.16</v>
      </c>
    </row>
    <row r="7" spans="2:3" x14ac:dyDescent="0.3">
      <c r="B7" s="1" t="s">
        <v>5</v>
      </c>
      <c r="C7" s="310">
        <f>'Підготовчі роботи'!J14*1.2</f>
        <v>5357.04</v>
      </c>
    </row>
    <row r="8" spans="2:3" x14ac:dyDescent="0.3">
      <c r="B8" s="1" t="s">
        <v>6</v>
      </c>
      <c r="C8" s="310">
        <f>'Пожежений резервуар'!J15*1.2</f>
        <v>9787.4399999999987</v>
      </c>
    </row>
    <row r="9" spans="2:3" x14ac:dyDescent="0.3">
      <c r="B9" s="1" t="s">
        <v>7</v>
      </c>
      <c r="C9" s="310">
        <f>'Пункт фасування'!J22*1.2</f>
        <v>9197.0639999999985</v>
      </c>
    </row>
    <row r="10" spans="2:3" x14ac:dyDescent="0.3">
      <c r="B10" s="1" t="s">
        <v>8</v>
      </c>
      <c r="C10" s="310">
        <f>'зберігання розчинника'!J13*1.2</f>
        <v>7070.0400000000009</v>
      </c>
    </row>
    <row r="11" spans="2:3" x14ac:dyDescent="0.3">
      <c r="B11" s="1" t="s">
        <v>9</v>
      </c>
      <c r="C11" s="310">
        <f>'СПК (Глобине)'!J52*1.2</f>
        <v>3034.1279999999992</v>
      </c>
    </row>
    <row r="12" spans="2:3" x14ac:dyDescent="0.3">
      <c r="B12" s="1" t="s">
        <v>10</v>
      </c>
      <c r="C12" s="310">
        <f>'Цех екстракції'!J36*1.2</f>
        <v>28695.779999999995</v>
      </c>
    </row>
    <row r="13" spans="2:3" x14ac:dyDescent="0.3">
      <c r="C13" s="310">
        <f>SUM(C2:C12)</f>
        <v>224420.48400000003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39385-0320-448D-823E-00A31FE1B2B0}">
  <sheetPr filterMode="1"/>
  <dimension ref="A1:L33"/>
  <sheetViews>
    <sheetView topLeftCell="A28" workbookViewId="0">
      <selection activeCell="J33" sqref="J33"/>
    </sheetView>
  </sheetViews>
  <sheetFormatPr defaultRowHeight="14.4" x14ac:dyDescent="0.3"/>
  <cols>
    <col min="2" max="4" width="15.6640625" customWidth="1"/>
  </cols>
  <sheetData>
    <row r="1" spans="1:12" x14ac:dyDescent="0.3">
      <c r="A1" s="2" t="s">
        <v>11</v>
      </c>
      <c r="B1" s="3" t="s">
        <v>12</v>
      </c>
      <c r="C1" s="3" t="s">
        <v>13</v>
      </c>
      <c r="D1" s="4" t="s">
        <v>14</v>
      </c>
      <c r="E1" s="5" t="s">
        <v>15</v>
      </c>
      <c r="F1" s="5"/>
      <c r="G1" s="5"/>
      <c r="H1" s="6" t="s">
        <v>16</v>
      </c>
      <c r="I1" s="6"/>
      <c r="J1" s="6"/>
      <c r="K1" s="3" t="s">
        <v>17</v>
      </c>
      <c r="L1" s="3"/>
    </row>
    <row r="2" spans="1:12" hidden="1" x14ac:dyDescent="0.3">
      <c r="A2" s="7"/>
      <c r="B2" s="8"/>
      <c r="C2" s="8"/>
      <c r="D2" s="9"/>
      <c r="E2" s="10" t="s">
        <v>18</v>
      </c>
      <c r="F2" s="11"/>
      <c r="G2" s="11"/>
      <c r="H2" s="12" t="s">
        <v>18</v>
      </c>
      <c r="I2" s="13"/>
      <c r="J2" s="13"/>
      <c r="K2" s="7"/>
      <c r="L2" s="14"/>
    </row>
    <row r="3" spans="1:12" ht="81.599999999999994" hidden="1" x14ac:dyDescent="0.3">
      <c r="A3" s="15" t="s">
        <v>20</v>
      </c>
      <c r="B3" s="16" t="s">
        <v>21</v>
      </c>
      <c r="C3" s="16" t="s">
        <v>22</v>
      </c>
      <c r="D3" s="16" t="s">
        <v>23</v>
      </c>
      <c r="E3" s="17" t="s">
        <v>24</v>
      </c>
      <c r="F3" s="18">
        <v>1410</v>
      </c>
      <c r="G3" s="18"/>
      <c r="H3" s="17" t="s">
        <v>24</v>
      </c>
      <c r="I3" s="19" t="s">
        <v>25</v>
      </c>
      <c r="J3" s="19"/>
      <c r="K3" s="20" t="s">
        <v>19</v>
      </c>
      <c r="L3" s="21">
        <v>31808.05</v>
      </c>
    </row>
    <row r="4" spans="1:12" ht="71.400000000000006" x14ac:dyDescent="0.3">
      <c r="A4" s="15" t="s">
        <v>26</v>
      </c>
      <c r="B4" s="16" t="s">
        <v>27</v>
      </c>
      <c r="C4" s="16" t="s">
        <v>28</v>
      </c>
      <c r="D4" s="16" t="s">
        <v>29</v>
      </c>
      <c r="E4" s="17" t="s">
        <v>30</v>
      </c>
      <c r="F4" s="22" t="s">
        <v>25</v>
      </c>
      <c r="G4" s="22"/>
      <c r="H4" s="17" t="s">
        <v>24</v>
      </c>
      <c r="I4" s="23">
        <v>61.7</v>
      </c>
      <c r="J4" s="23"/>
      <c r="K4" s="20" t="s">
        <v>19</v>
      </c>
      <c r="L4" s="21">
        <v>31746.35</v>
      </c>
    </row>
    <row r="5" spans="1:12" ht="91.8" x14ac:dyDescent="0.3">
      <c r="A5" s="15" t="s">
        <v>26</v>
      </c>
      <c r="B5" s="16" t="s">
        <v>27</v>
      </c>
      <c r="C5" s="16" t="s">
        <v>28</v>
      </c>
      <c r="D5" s="16" t="s">
        <v>31</v>
      </c>
      <c r="E5" s="17" t="s">
        <v>30</v>
      </c>
      <c r="F5" s="22" t="s">
        <v>25</v>
      </c>
      <c r="G5" s="22"/>
      <c r="H5" s="17" t="s">
        <v>24</v>
      </c>
      <c r="I5" s="23">
        <v>813</v>
      </c>
      <c r="J5" s="23"/>
      <c r="K5" s="20" t="s">
        <v>19</v>
      </c>
      <c r="L5" s="21">
        <v>30933.35</v>
      </c>
    </row>
    <row r="6" spans="1:12" ht="91.8" x14ac:dyDescent="0.3">
      <c r="A6" s="15" t="s">
        <v>26</v>
      </c>
      <c r="B6" s="16" t="s">
        <v>27</v>
      </c>
      <c r="C6" s="16" t="s">
        <v>28</v>
      </c>
      <c r="D6" s="16" t="s">
        <v>32</v>
      </c>
      <c r="E6" s="17" t="s">
        <v>30</v>
      </c>
      <c r="F6" s="22" t="s">
        <v>25</v>
      </c>
      <c r="G6" s="22"/>
      <c r="H6" s="17" t="s">
        <v>24</v>
      </c>
      <c r="I6" s="23">
        <v>813</v>
      </c>
      <c r="J6" s="23"/>
      <c r="K6" s="20" t="s">
        <v>19</v>
      </c>
      <c r="L6" s="21">
        <v>30120.35</v>
      </c>
    </row>
    <row r="7" spans="1:12" ht="81.599999999999994" x14ac:dyDescent="0.3">
      <c r="A7" s="15" t="s">
        <v>26</v>
      </c>
      <c r="B7" s="16" t="s">
        <v>27</v>
      </c>
      <c r="C7" s="16" t="s">
        <v>28</v>
      </c>
      <c r="D7" s="16" t="s">
        <v>33</v>
      </c>
      <c r="E7" s="17" t="s">
        <v>30</v>
      </c>
      <c r="F7" s="22" t="s">
        <v>25</v>
      </c>
      <c r="G7" s="22"/>
      <c r="H7" s="17" t="s">
        <v>24</v>
      </c>
      <c r="I7" s="23">
        <v>537.5</v>
      </c>
      <c r="J7" s="23"/>
      <c r="K7" s="20" t="s">
        <v>19</v>
      </c>
      <c r="L7" s="21">
        <v>29582.85</v>
      </c>
    </row>
    <row r="8" spans="1:12" ht="81.599999999999994" x14ac:dyDescent="0.3">
      <c r="A8" s="15" t="s">
        <v>26</v>
      </c>
      <c r="B8" s="16" t="s">
        <v>27</v>
      </c>
      <c r="C8" s="16" t="s">
        <v>28</v>
      </c>
      <c r="D8" s="16" t="s">
        <v>34</v>
      </c>
      <c r="E8" s="17" t="s">
        <v>30</v>
      </c>
      <c r="F8" s="22" t="s">
        <v>25</v>
      </c>
      <c r="G8" s="22"/>
      <c r="H8" s="17" t="s">
        <v>24</v>
      </c>
      <c r="I8" s="24">
        <v>2524</v>
      </c>
      <c r="J8" s="24"/>
      <c r="K8" s="20" t="s">
        <v>19</v>
      </c>
      <c r="L8" s="21">
        <v>27058.85</v>
      </c>
    </row>
    <row r="9" spans="1:12" ht="81.599999999999994" x14ac:dyDescent="0.3">
      <c r="A9" s="15" t="s">
        <v>26</v>
      </c>
      <c r="B9" s="16" t="s">
        <v>27</v>
      </c>
      <c r="C9" s="16" t="s">
        <v>28</v>
      </c>
      <c r="D9" s="16" t="s">
        <v>35</v>
      </c>
      <c r="E9" s="17" t="s">
        <v>30</v>
      </c>
      <c r="F9" s="22" t="s">
        <v>25</v>
      </c>
      <c r="G9" s="22"/>
      <c r="H9" s="17" t="s">
        <v>24</v>
      </c>
      <c r="I9" s="24">
        <v>3042.25</v>
      </c>
      <c r="J9" s="24"/>
      <c r="K9" s="20" t="s">
        <v>19</v>
      </c>
      <c r="L9" s="21">
        <v>24016.6</v>
      </c>
    </row>
    <row r="10" spans="1:12" ht="91.8" x14ac:dyDescent="0.3">
      <c r="A10" s="15" t="s">
        <v>26</v>
      </c>
      <c r="B10" s="16" t="s">
        <v>27</v>
      </c>
      <c r="C10" s="16" t="s">
        <v>28</v>
      </c>
      <c r="D10" s="16" t="s">
        <v>36</v>
      </c>
      <c r="E10" s="17" t="s">
        <v>30</v>
      </c>
      <c r="F10" s="22" t="s">
        <v>25</v>
      </c>
      <c r="G10" s="22"/>
      <c r="H10" s="17" t="s">
        <v>24</v>
      </c>
      <c r="I10" s="24">
        <v>1825.35</v>
      </c>
      <c r="J10" s="24"/>
      <c r="K10" s="20" t="s">
        <v>19</v>
      </c>
      <c r="L10" s="21">
        <v>22191.25</v>
      </c>
    </row>
    <row r="11" spans="1:12" ht="91.8" x14ac:dyDescent="0.3">
      <c r="A11" s="15" t="s">
        <v>26</v>
      </c>
      <c r="B11" s="16" t="s">
        <v>27</v>
      </c>
      <c r="C11" s="16" t="s">
        <v>28</v>
      </c>
      <c r="D11" s="16" t="s">
        <v>37</v>
      </c>
      <c r="E11" s="17" t="s">
        <v>30</v>
      </c>
      <c r="F11" s="22" t="s">
        <v>25</v>
      </c>
      <c r="G11" s="22"/>
      <c r="H11" s="17" t="s">
        <v>24</v>
      </c>
      <c r="I11" s="24">
        <v>2669.28</v>
      </c>
      <c r="J11" s="24"/>
      <c r="K11" s="20" t="s">
        <v>19</v>
      </c>
      <c r="L11" s="21">
        <v>19521.97</v>
      </c>
    </row>
    <row r="12" spans="1:12" ht="91.8" x14ac:dyDescent="0.3">
      <c r="A12" s="15" t="s">
        <v>26</v>
      </c>
      <c r="B12" s="16" t="s">
        <v>27</v>
      </c>
      <c r="C12" s="16" t="s">
        <v>28</v>
      </c>
      <c r="D12" s="16" t="s">
        <v>38</v>
      </c>
      <c r="E12" s="17" t="s">
        <v>30</v>
      </c>
      <c r="F12" s="22" t="s">
        <v>25</v>
      </c>
      <c r="G12" s="22"/>
      <c r="H12" s="17" t="s">
        <v>24</v>
      </c>
      <c r="I12" s="24">
        <v>2232</v>
      </c>
      <c r="J12" s="24"/>
      <c r="K12" s="20" t="s">
        <v>19</v>
      </c>
      <c r="L12" s="21">
        <v>17289.97</v>
      </c>
    </row>
    <row r="13" spans="1:12" ht="81.599999999999994" x14ac:dyDescent="0.3">
      <c r="A13" s="15" t="s">
        <v>26</v>
      </c>
      <c r="B13" s="16" t="s">
        <v>27</v>
      </c>
      <c r="C13" s="16" t="s">
        <v>28</v>
      </c>
      <c r="D13" s="16" t="s">
        <v>39</v>
      </c>
      <c r="E13" s="17" t="s">
        <v>30</v>
      </c>
      <c r="F13" s="22" t="s">
        <v>25</v>
      </c>
      <c r="G13" s="22"/>
      <c r="H13" s="17" t="s">
        <v>24</v>
      </c>
      <c r="I13" s="23">
        <v>758.4</v>
      </c>
      <c r="J13" s="23"/>
      <c r="K13" s="20" t="s">
        <v>19</v>
      </c>
      <c r="L13" s="21">
        <v>16531.57</v>
      </c>
    </row>
    <row r="14" spans="1:12" ht="81.599999999999994" x14ac:dyDescent="0.3">
      <c r="A14" s="15" t="s">
        <v>26</v>
      </c>
      <c r="B14" s="16" t="s">
        <v>27</v>
      </c>
      <c r="C14" s="16" t="s">
        <v>28</v>
      </c>
      <c r="D14" s="16" t="s">
        <v>40</v>
      </c>
      <c r="E14" s="17" t="s">
        <v>30</v>
      </c>
      <c r="F14" s="22" t="s">
        <v>25</v>
      </c>
      <c r="G14" s="22"/>
      <c r="H14" s="17" t="s">
        <v>24</v>
      </c>
      <c r="I14" s="23">
        <v>294</v>
      </c>
      <c r="J14" s="23"/>
      <c r="K14" s="20" t="s">
        <v>19</v>
      </c>
      <c r="L14" s="21">
        <v>16237.57</v>
      </c>
    </row>
    <row r="15" spans="1:12" ht="91.8" x14ac:dyDescent="0.3">
      <c r="A15" s="15" t="s">
        <v>26</v>
      </c>
      <c r="B15" s="16" t="s">
        <v>27</v>
      </c>
      <c r="C15" s="16" t="s">
        <v>28</v>
      </c>
      <c r="D15" s="16" t="s">
        <v>41</v>
      </c>
      <c r="E15" s="17" t="s">
        <v>30</v>
      </c>
      <c r="F15" s="22" t="s">
        <v>25</v>
      </c>
      <c r="G15" s="22"/>
      <c r="H15" s="17" t="s">
        <v>24</v>
      </c>
      <c r="I15" s="23">
        <v>151</v>
      </c>
      <c r="J15" s="23"/>
      <c r="K15" s="20" t="s">
        <v>19</v>
      </c>
      <c r="L15" s="21">
        <v>16086.57</v>
      </c>
    </row>
    <row r="16" spans="1:12" ht="91.8" x14ac:dyDescent="0.3">
      <c r="A16" s="15" t="s">
        <v>26</v>
      </c>
      <c r="B16" s="16" t="s">
        <v>27</v>
      </c>
      <c r="C16" s="16" t="s">
        <v>28</v>
      </c>
      <c r="D16" s="16" t="s">
        <v>42</v>
      </c>
      <c r="E16" s="17" t="s">
        <v>30</v>
      </c>
      <c r="F16" s="22" t="s">
        <v>25</v>
      </c>
      <c r="G16" s="22"/>
      <c r="H16" s="17" t="s">
        <v>24</v>
      </c>
      <c r="I16" s="23">
        <v>294</v>
      </c>
      <c r="J16" s="23"/>
      <c r="K16" s="20" t="s">
        <v>19</v>
      </c>
      <c r="L16" s="21">
        <v>15792.57</v>
      </c>
    </row>
    <row r="17" spans="1:12" ht="71.400000000000006" x14ac:dyDescent="0.3">
      <c r="A17" s="15" t="s">
        <v>26</v>
      </c>
      <c r="B17" s="16" t="s">
        <v>27</v>
      </c>
      <c r="C17" s="16" t="s">
        <v>28</v>
      </c>
      <c r="D17" s="16" t="s">
        <v>43</v>
      </c>
      <c r="E17" s="17" t="s">
        <v>30</v>
      </c>
      <c r="F17" s="22" t="s">
        <v>25</v>
      </c>
      <c r="G17" s="22"/>
      <c r="H17" s="17" t="s">
        <v>24</v>
      </c>
      <c r="I17" s="23">
        <v>191.7</v>
      </c>
      <c r="J17" s="23"/>
      <c r="K17" s="20" t="s">
        <v>19</v>
      </c>
      <c r="L17" s="21">
        <v>15600.87</v>
      </c>
    </row>
    <row r="18" spans="1:12" ht="71.400000000000006" x14ac:dyDescent="0.3">
      <c r="A18" s="15" t="s">
        <v>26</v>
      </c>
      <c r="B18" s="16" t="s">
        <v>27</v>
      </c>
      <c r="C18" s="16" t="s">
        <v>28</v>
      </c>
      <c r="D18" s="16" t="s">
        <v>44</v>
      </c>
      <c r="E18" s="17" t="s">
        <v>30</v>
      </c>
      <c r="F18" s="22" t="s">
        <v>25</v>
      </c>
      <c r="G18" s="22"/>
      <c r="H18" s="17" t="s">
        <v>24</v>
      </c>
      <c r="I18" s="23">
        <v>136.5</v>
      </c>
      <c r="J18" s="23"/>
      <c r="K18" s="20" t="s">
        <v>19</v>
      </c>
      <c r="L18" s="21">
        <v>15464.37</v>
      </c>
    </row>
    <row r="19" spans="1:12" ht="91.8" x14ac:dyDescent="0.3">
      <c r="A19" s="15" t="s">
        <v>26</v>
      </c>
      <c r="B19" s="16" t="s">
        <v>27</v>
      </c>
      <c r="C19" s="16" t="s">
        <v>28</v>
      </c>
      <c r="D19" s="16" t="s">
        <v>45</v>
      </c>
      <c r="E19" s="17" t="s">
        <v>30</v>
      </c>
      <c r="F19" s="22" t="s">
        <v>25</v>
      </c>
      <c r="G19" s="22"/>
      <c r="H19" s="17" t="s">
        <v>24</v>
      </c>
      <c r="I19" s="23">
        <v>301.55</v>
      </c>
      <c r="J19" s="23"/>
      <c r="K19" s="20" t="s">
        <v>19</v>
      </c>
      <c r="L19" s="21">
        <v>15162.82</v>
      </c>
    </row>
    <row r="20" spans="1:12" ht="71.400000000000006" x14ac:dyDescent="0.3">
      <c r="A20" s="15" t="s">
        <v>26</v>
      </c>
      <c r="B20" s="16" t="s">
        <v>27</v>
      </c>
      <c r="C20" s="16" t="s">
        <v>28</v>
      </c>
      <c r="D20" s="16" t="s">
        <v>46</v>
      </c>
      <c r="E20" s="17" t="s">
        <v>30</v>
      </c>
      <c r="F20" s="22" t="s">
        <v>25</v>
      </c>
      <c r="G20" s="22"/>
      <c r="H20" s="17" t="s">
        <v>24</v>
      </c>
      <c r="I20" s="23">
        <v>100</v>
      </c>
      <c r="J20" s="23"/>
      <c r="K20" s="20" t="s">
        <v>19</v>
      </c>
      <c r="L20" s="21">
        <v>15062.82</v>
      </c>
    </row>
    <row r="21" spans="1:12" ht="71.400000000000006" x14ac:dyDescent="0.3">
      <c r="A21" s="15" t="s">
        <v>26</v>
      </c>
      <c r="B21" s="16" t="s">
        <v>27</v>
      </c>
      <c r="C21" s="16" t="s">
        <v>28</v>
      </c>
      <c r="D21" s="16" t="s">
        <v>47</v>
      </c>
      <c r="E21" s="17" t="s">
        <v>30</v>
      </c>
      <c r="F21" s="22" t="s">
        <v>25</v>
      </c>
      <c r="G21" s="22"/>
      <c r="H21" s="17" t="s">
        <v>24</v>
      </c>
      <c r="I21" s="23">
        <v>93.6</v>
      </c>
      <c r="J21" s="23"/>
      <c r="K21" s="20" t="s">
        <v>19</v>
      </c>
      <c r="L21" s="21">
        <v>14969.22</v>
      </c>
    </row>
    <row r="22" spans="1:12" ht="71.400000000000006" x14ac:dyDescent="0.3">
      <c r="A22" s="15" t="s">
        <v>26</v>
      </c>
      <c r="B22" s="16" t="s">
        <v>27</v>
      </c>
      <c r="C22" s="16" t="s">
        <v>28</v>
      </c>
      <c r="D22" s="16" t="s">
        <v>48</v>
      </c>
      <c r="E22" s="17" t="s">
        <v>30</v>
      </c>
      <c r="F22" s="22" t="s">
        <v>25</v>
      </c>
      <c r="G22" s="22"/>
      <c r="H22" s="17" t="s">
        <v>24</v>
      </c>
      <c r="I22" s="23">
        <v>64.2</v>
      </c>
      <c r="J22" s="23"/>
      <c r="K22" s="20" t="s">
        <v>19</v>
      </c>
      <c r="L22" s="21">
        <v>14905.02</v>
      </c>
    </row>
    <row r="23" spans="1:12" ht="71.400000000000006" x14ac:dyDescent="0.3">
      <c r="A23" s="15" t="s">
        <v>26</v>
      </c>
      <c r="B23" s="16" t="s">
        <v>27</v>
      </c>
      <c r="C23" s="16" t="s">
        <v>28</v>
      </c>
      <c r="D23" s="16" t="s">
        <v>49</v>
      </c>
      <c r="E23" s="17" t="s">
        <v>30</v>
      </c>
      <c r="F23" s="22" t="s">
        <v>25</v>
      </c>
      <c r="G23" s="22"/>
      <c r="H23" s="17" t="s">
        <v>24</v>
      </c>
      <c r="I23" s="23">
        <v>210</v>
      </c>
      <c r="J23" s="23"/>
      <c r="K23" s="20" t="s">
        <v>19</v>
      </c>
      <c r="L23" s="21">
        <v>14695.02</v>
      </c>
    </row>
    <row r="24" spans="1:12" ht="71.400000000000006" hidden="1" x14ac:dyDescent="0.3">
      <c r="A24" s="15" t="s">
        <v>50</v>
      </c>
      <c r="B24" s="16" t="s">
        <v>51</v>
      </c>
      <c r="C24" s="16" t="s">
        <v>52</v>
      </c>
      <c r="D24" s="16" t="s">
        <v>53</v>
      </c>
      <c r="E24" s="17" t="s">
        <v>24</v>
      </c>
      <c r="F24" s="25">
        <v>543.1</v>
      </c>
      <c r="G24" s="25"/>
      <c r="H24" s="17" t="s">
        <v>24</v>
      </c>
      <c r="I24" s="19" t="s">
        <v>25</v>
      </c>
      <c r="J24" s="19"/>
      <c r="K24" s="20" t="s">
        <v>19</v>
      </c>
      <c r="L24" s="21">
        <v>15238.12</v>
      </c>
    </row>
    <row r="25" spans="1:12" ht="71.400000000000006" x14ac:dyDescent="0.3">
      <c r="A25" s="15" t="s">
        <v>50</v>
      </c>
      <c r="B25" s="16" t="s">
        <v>54</v>
      </c>
      <c r="C25" s="16" t="s">
        <v>28</v>
      </c>
      <c r="D25" s="16" t="s">
        <v>52</v>
      </c>
      <c r="E25" s="17" t="s">
        <v>30</v>
      </c>
      <c r="F25" s="22" t="s">
        <v>25</v>
      </c>
      <c r="G25" s="22"/>
      <c r="H25" s="17" t="s">
        <v>24</v>
      </c>
      <c r="I25" s="23">
        <v>543.1</v>
      </c>
      <c r="J25" s="23"/>
      <c r="K25" s="20" t="s">
        <v>19</v>
      </c>
      <c r="L25" s="21">
        <v>14695.02</v>
      </c>
    </row>
    <row r="26" spans="1:12" ht="81.599999999999994" x14ac:dyDescent="0.3">
      <c r="A26" s="15" t="s">
        <v>50</v>
      </c>
      <c r="B26" s="16" t="s">
        <v>54</v>
      </c>
      <c r="C26" s="16" t="s">
        <v>28</v>
      </c>
      <c r="D26" s="16" t="s">
        <v>35</v>
      </c>
      <c r="E26" s="17" t="s">
        <v>30</v>
      </c>
      <c r="F26" s="22" t="s">
        <v>25</v>
      </c>
      <c r="G26" s="22"/>
      <c r="H26" s="17" t="s">
        <v>24</v>
      </c>
      <c r="I26" s="24">
        <v>3042.25</v>
      </c>
      <c r="J26" s="24"/>
      <c r="K26" s="20" t="s">
        <v>19</v>
      </c>
      <c r="L26" s="21">
        <v>11652.77</v>
      </c>
    </row>
    <row r="27" spans="1:12" ht="81.599999999999994" x14ac:dyDescent="0.3">
      <c r="A27" s="15" t="s">
        <v>50</v>
      </c>
      <c r="B27" s="16" t="s">
        <v>54</v>
      </c>
      <c r="C27" s="16" t="s">
        <v>28</v>
      </c>
      <c r="D27" s="16" t="s">
        <v>55</v>
      </c>
      <c r="E27" s="17" t="s">
        <v>30</v>
      </c>
      <c r="F27" s="22" t="s">
        <v>25</v>
      </c>
      <c r="G27" s="22"/>
      <c r="H27" s="17" t="s">
        <v>24</v>
      </c>
      <c r="I27" s="23">
        <v>145.25</v>
      </c>
      <c r="J27" s="23"/>
      <c r="K27" s="20" t="s">
        <v>19</v>
      </c>
      <c r="L27" s="21">
        <v>11507.52</v>
      </c>
    </row>
    <row r="28" spans="1:12" ht="81.599999999999994" x14ac:dyDescent="0.3">
      <c r="A28" s="15" t="s">
        <v>50</v>
      </c>
      <c r="B28" s="16" t="s">
        <v>54</v>
      </c>
      <c r="C28" s="16" t="s">
        <v>28</v>
      </c>
      <c r="D28" s="16" t="s">
        <v>56</v>
      </c>
      <c r="E28" s="17" t="s">
        <v>30</v>
      </c>
      <c r="F28" s="22" t="s">
        <v>25</v>
      </c>
      <c r="G28" s="22"/>
      <c r="H28" s="17" t="s">
        <v>24</v>
      </c>
      <c r="I28" s="24">
        <v>1061</v>
      </c>
      <c r="J28" s="24"/>
      <c r="K28" s="20" t="s">
        <v>19</v>
      </c>
      <c r="L28" s="21">
        <v>10446.52</v>
      </c>
    </row>
    <row r="29" spans="1:12" ht="71.400000000000006" x14ac:dyDescent="0.3">
      <c r="A29" s="15" t="s">
        <v>50</v>
      </c>
      <c r="B29" s="16" t="s">
        <v>57</v>
      </c>
      <c r="C29" s="16" t="s">
        <v>28</v>
      </c>
      <c r="D29" s="16" t="s">
        <v>58</v>
      </c>
      <c r="E29" s="17" t="s">
        <v>30</v>
      </c>
      <c r="F29" s="22" t="s">
        <v>25</v>
      </c>
      <c r="G29" s="22"/>
      <c r="H29" s="17" t="s">
        <v>24</v>
      </c>
      <c r="I29" s="23">
        <v>257.89999999999998</v>
      </c>
      <c r="J29" s="23"/>
      <c r="K29" s="20" t="s">
        <v>19</v>
      </c>
      <c r="L29" s="21">
        <v>10188.620000000001</v>
      </c>
    </row>
    <row r="30" spans="1:12" ht="91.8" x14ac:dyDescent="0.3">
      <c r="A30" s="15" t="s">
        <v>50</v>
      </c>
      <c r="B30" s="16" t="s">
        <v>57</v>
      </c>
      <c r="C30" s="16" t="s">
        <v>28</v>
      </c>
      <c r="D30" s="16" t="s">
        <v>37</v>
      </c>
      <c r="E30" s="17" t="s">
        <v>30</v>
      </c>
      <c r="F30" s="22" t="s">
        <v>25</v>
      </c>
      <c r="G30" s="22"/>
      <c r="H30" s="17" t="s">
        <v>24</v>
      </c>
      <c r="I30" s="24">
        <v>2335.62</v>
      </c>
      <c r="J30" s="24"/>
      <c r="K30" s="20" t="s">
        <v>19</v>
      </c>
      <c r="L30" s="21">
        <v>7853</v>
      </c>
    </row>
    <row r="31" spans="1:12" hidden="1" x14ac:dyDescent="0.3">
      <c r="A31" s="26" t="s">
        <v>59</v>
      </c>
      <c r="B31" s="26"/>
      <c r="C31" s="26"/>
      <c r="D31" s="26"/>
      <c r="E31" s="27">
        <v>1953.1</v>
      </c>
      <c r="F31" s="27"/>
      <c r="G31" s="27"/>
      <c r="H31" s="27">
        <v>24498.15</v>
      </c>
      <c r="I31" s="27"/>
      <c r="J31" s="27"/>
      <c r="K31" s="28" t="s">
        <v>19</v>
      </c>
      <c r="L31" s="29">
        <v>7853</v>
      </c>
    </row>
    <row r="33" spans="10:10" x14ac:dyDescent="0.3">
      <c r="J33" s="310">
        <f>SUBTOTAL(9,I4:J30)</f>
        <v>24498.149999999998</v>
      </c>
    </row>
  </sheetData>
  <autoFilter ref="A1:L31" xr:uid="{E6278B82-FCF9-4E57-814F-74D6AC0ED71B}">
    <filterColumn colId="1">
      <filters>
        <filter val="Передача малоцінних активів в експлуатацію ІБ00-000171 від 29.04.2025 14:26:22_x000a_Списание стоимости малоценных активов"/>
        <filter val="Передача малоцінних активів в експлуатацію ІБ00-000197 від 30.04.2025 23:59:27_x000a_Списание стоимости малоценных активов"/>
        <filter val="Передача малоцінних активів в експлуатацію ІБ00-000213 від 30.04.2025 20:00:00_x000a_Списание стоимости малоценных активов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68">
    <mergeCell ref="A31:D31"/>
    <mergeCell ref="E31:G31"/>
    <mergeCell ref="H31:J31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12B25-10AE-46B3-895F-4A2D5E0FB1FC}">
  <dimension ref="A1:L4"/>
  <sheetViews>
    <sheetView workbookViewId="0">
      <selection activeCell="H4" sqref="H4:J4"/>
    </sheetView>
  </sheetViews>
  <sheetFormatPr defaultRowHeight="14.4" x14ac:dyDescent="0.3"/>
  <cols>
    <col min="2" max="4" width="18" customWidth="1"/>
  </cols>
  <sheetData>
    <row r="1" spans="1:12" x14ac:dyDescent="0.3">
      <c r="A1" s="30" t="s">
        <v>11</v>
      </c>
      <c r="B1" s="31" t="s">
        <v>12</v>
      </c>
      <c r="C1" s="31" t="s">
        <v>13</v>
      </c>
      <c r="D1" s="32" t="s">
        <v>14</v>
      </c>
      <c r="E1" s="33" t="s">
        <v>15</v>
      </c>
      <c r="F1" s="33"/>
      <c r="G1" s="33"/>
      <c r="H1" s="34" t="s">
        <v>16</v>
      </c>
      <c r="I1" s="34"/>
      <c r="J1" s="34"/>
      <c r="K1" s="31" t="s">
        <v>17</v>
      </c>
      <c r="L1" s="31"/>
    </row>
    <row r="2" spans="1:12" x14ac:dyDescent="0.3">
      <c r="A2" s="35"/>
      <c r="B2" s="36"/>
      <c r="C2" s="36"/>
      <c r="D2" s="37"/>
      <c r="E2" s="38" t="s">
        <v>18</v>
      </c>
      <c r="F2" s="39"/>
      <c r="G2" s="39"/>
      <c r="H2" s="40" t="s">
        <v>18</v>
      </c>
      <c r="I2" s="41"/>
      <c r="J2" s="41"/>
      <c r="K2" s="35"/>
      <c r="L2" s="42"/>
    </row>
    <row r="3" spans="1:12" ht="71.400000000000006" x14ac:dyDescent="0.3">
      <c r="A3" s="43" t="s">
        <v>60</v>
      </c>
      <c r="B3" s="44" t="s">
        <v>61</v>
      </c>
      <c r="C3" s="44" t="s">
        <v>28</v>
      </c>
      <c r="D3" s="44" t="s">
        <v>62</v>
      </c>
      <c r="E3" s="45" t="s">
        <v>30</v>
      </c>
      <c r="F3" s="46" t="s">
        <v>25</v>
      </c>
      <c r="G3" s="46"/>
      <c r="H3" s="45" t="s">
        <v>24</v>
      </c>
      <c r="I3" s="47">
        <v>780</v>
      </c>
      <c r="J3" s="47"/>
      <c r="K3" s="48"/>
      <c r="L3" s="49"/>
    </row>
    <row r="4" spans="1:12" x14ac:dyDescent="0.3">
      <c r="A4" s="50" t="s">
        <v>59</v>
      </c>
      <c r="B4" s="50"/>
      <c r="C4" s="50"/>
      <c r="D4" s="50"/>
      <c r="E4" s="51">
        <v>0</v>
      </c>
      <c r="F4" s="51"/>
      <c r="G4" s="51"/>
      <c r="H4" s="311">
        <v>780</v>
      </c>
      <c r="I4" s="311"/>
      <c r="J4" s="311"/>
      <c r="K4" s="52"/>
      <c r="L4" s="53">
        <v>0</v>
      </c>
    </row>
  </sheetData>
  <mergeCells count="13">
    <mergeCell ref="A4:D4"/>
    <mergeCell ref="E4:G4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ADFC5-7BE2-4ADA-9177-1F71A6956996}">
  <sheetPr filterMode="1"/>
  <dimension ref="A1:L175"/>
  <sheetViews>
    <sheetView topLeftCell="A168" workbookViewId="0">
      <selection activeCell="J175" sqref="J175"/>
    </sheetView>
  </sheetViews>
  <sheetFormatPr defaultRowHeight="14.4" x14ac:dyDescent="0.3"/>
  <cols>
    <col min="2" max="4" width="25.5546875" customWidth="1"/>
  </cols>
  <sheetData>
    <row r="1" spans="1:12" x14ac:dyDescent="0.3">
      <c r="A1" s="54" t="s">
        <v>11</v>
      </c>
      <c r="B1" s="55" t="s">
        <v>12</v>
      </c>
      <c r="C1" s="55" t="s">
        <v>13</v>
      </c>
      <c r="D1" s="56" t="s">
        <v>14</v>
      </c>
      <c r="E1" s="57" t="s">
        <v>15</v>
      </c>
      <c r="F1" s="57"/>
      <c r="G1" s="57"/>
      <c r="H1" s="58" t="s">
        <v>16</v>
      </c>
      <c r="I1" s="58"/>
      <c r="J1" s="58"/>
      <c r="K1" s="55" t="s">
        <v>17</v>
      </c>
      <c r="L1" s="55"/>
    </row>
    <row r="2" spans="1:12" hidden="1" x14ac:dyDescent="0.3">
      <c r="A2" s="59"/>
      <c r="B2" s="60"/>
      <c r="C2" s="60"/>
      <c r="D2" s="61"/>
      <c r="E2" s="62" t="s">
        <v>18</v>
      </c>
      <c r="F2" s="63"/>
      <c r="G2" s="63"/>
      <c r="H2" s="64" t="s">
        <v>18</v>
      </c>
      <c r="I2" s="65"/>
      <c r="J2" s="65"/>
      <c r="K2" s="59"/>
      <c r="L2" s="66"/>
    </row>
    <row r="3" spans="1:12" ht="51" x14ac:dyDescent="0.3">
      <c r="A3" s="67" t="s">
        <v>60</v>
      </c>
      <c r="B3" s="68" t="s">
        <v>63</v>
      </c>
      <c r="C3" s="68" t="s">
        <v>28</v>
      </c>
      <c r="D3" s="68" t="s">
        <v>64</v>
      </c>
      <c r="E3" s="69" t="s">
        <v>30</v>
      </c>
      <c r="F3" s="70" t="s">
        <v>25</v>
      </c>
      <c r="G3" s="70"/>
      <c r="H3" s="69" t="s">
        <v>24</v>
      </c>
      <c r="I3" s="71">
        <v>797.15</v>
      </c>
      <c r="J3" s="71"/>
      <c r="K3" s="72" t="s">
        <v>19</v>
      </c>
      <c r="L3" s="73">
        <v>66366.45</v>
      </c>
    </row>
    <row r="4" spans="1:12" ht="51" x14ac:dyDescent="0.3">
      <c r="A4" s="67" t="s">
        <v>60</v>
      </c>
      <c r="B4" s="68" t="s">
        <v>63</v>
      </c>
      <c r="C4" s="68" t="s">
        <v>28</v>
      </c>
      <c r="D4" s="68" t="s">
        <v>65</v>
      </c>
      <c r="E4" s="69" t="s">
        <v>30</v>
      </c>
      <c r="F4" s="70" t="s">
        <v>25</v>
      </c>
      <c r="G4" s="70"/>
      <c r="H4" s="69" t="s">
        <v>24</v>
      </c>
      <c r="I4" s="74">
        <v>2312.3000000000002</v>
      </c>
      <c r="J4" s="74"/>
      <c r="K4" s="72" t="s">
        <v>19</v>
      </c>
      <c r="L4" s="73">
        <v>64054.15</v>
      </c>
    </row>
    <row r="5" spans="1:12" ht="51" x14ac:dyDescent="0.3">
      <c r="A5" s="67" t="s">
        <v>60</v>
      </c>
      <c r="B5" s="68" t="s">
        <v>63</v>
      </c>
      <c r="C5" s="68" t="s">
        <v>28</v>
      </c>
      <c r="D5" s="68" t="s">
        <v>66</v>
      </c>
      <c r="E5" s="69" t="s">
        <v>30</v>
      </c>
      <c r="F5" s="70" t="s">
        <v>25</v>
      </c>
      <c r="G5" s="70"/>
      <c r="H5" s="69" t="s">
        <v>24</v>
      </c>
      <c r="I5" s="74">
        <v>1477.5</v>
      </c>
      <c r="J5" s="74"/>
      <c r="K5" s="72" t="s">
        <v>19</v>
      </c>
      <c r="L5" s="73">
        <v>62576.65</v>
      </c>
    </row>
    <row r="6" spans="1:12" ht="51" x14ac:dyDescent="0.3">
      <c r="A6" s="67" t="s">
        <v>60</v>
      </c>
      <c r="B6" s="68" t="s">
        <v>67</v>
      </c>
      <c r="C6" s="68" t="s">
        <v>28</v>
      </c>
      <c r="D6" s="68" t="s">
        <v>68</v>
      </c>
      <c r="E6" s="69" t="s">
        <v>30</v>
      </c>
      <c r="F6" s="70" t="s">
        <v>25</v>
      </c>
      <c r="G6" s="70"/>
      <c r="H6" s="69" t="s">
        <v>24</v>
      </c>
      <c r="I6" s="74">
        <v>25507.200000000001</v>
      </c>
      <c r="J6" s="74"/>
      <c r="K6" s="72" t="s">
        <v>19</v>
      </c>
      <c r="L6" s="73">
        <v>37069.449999999997</v>
      </c>
    </row>
    <row r="7" spans="1:12" ht="51" hidden="1" x14ac:dyDescent="0.3">
      <c r="A7" s="67" t="s">
        <v>69</v>
      </c>
      <c r="B7" s="68" t="s">
        <v>70</v>
      </c>
      <c r="C7" s="68" t="s">
        <v>71</v>
      </c>
      <c r="D7" s="68" t="s">
        <v>72</v>
      </c>
      <c r="E7" s="69" t="s">
        <v>24</v>
      </c>
      <c r="F7" s="75">
        <v>3143.1</v>
      </c>
      <c r="G7" s="75"/>
      <c r="H7" s="69" t="s">
        <v>73</v>
      </c>
      <c r="I7" s="76" t="s">
        <v>25</v>
      </c>
      <c r="J7" s="76"/>
      <c r="K7" s="72" t="s">
        <v>19</v>
      </c>
      <c r="L7" s="73">
        <v>40212.550000000003</v>
      </c>
    </row>
    <row r="8" spans="1:12" ht="51" hidden="1" x14ac:dyDescent="0.3">
      <c r="A8" s="67" t="s">
        <v>69</v>
      </c>
      <c r="B8" s="68" t="s">
        <v>70</v>
      </c>
      <c r="C8" s="68" t="s">
        <v>74</v>
      </c>
      <c r="D8" s="68" t="s">
        <v>72</v>
      </c>
      <c r="E8" s="69" t="s">
        <v>24</v>
      </c>
      <c r="F8" s="75">
        <v>1683</v>
      </c>
      <c r="G8" s="75"/>
      <c r="H8" s="69" t="s">
        <v>73</v>
      </c>
      <c r="I8" s="76" t="s">
        <v>25</v>
      </c>
      <c r="J8" s="76"/>
      <c r="K8" s="72" t="s">
        <v>19</v>
      </c>
      <c r="L8" s="73">
        <v>41895.550000000003</v>
      </c>
    </row>
    <row r="9" spans="1:12" ht="51" hidden="1" x14ac:dyDescent="0.3">
      <c r="A9" s="67" t="s">
        <v>69</v>
      </c>
      <c r="B9" s="68" t="s">
        <v>70</v>
      </c>
      <c r="C9" s="68" t="s">
        <v>75</v>
      </c>
      <c r="D9" s="68" t="s">
        <v>72</v>
      </c>
      <c r="E9" s="69" t="s">
        <v>24</v>
      </c>
      <c r="F9" s="77">
        <v>190.5</v>
      </c>
      <c r="G9" s="77"/>
      <c r="H9" s="69" t="s">
        <v>73</v>
      </c>
      <c r="I9" s="76" t="s">
        <v>25</v>
      </c>
      <c r="J9" s="76"/>
      <c r="K9" s="72" t="s">
        <v>19</v>
      </c>
      <c r="L9" s="73">
        <v>42086.05</v>
      </c>
    </row>
    <row r="10" spans="1:12" ht="61.2" hidden="1" x14ac:dyDescent="0.3">
      <c r="A10" s="67" t="s">
        <v>69</v>
      </c>
      <c r="B10" s="68" t="s">
        <v>70</v>
      </c>
      <c r="C10" s="68" t="s">
        <v>76</v>
      </c>
      <c r="D10" s="68" t="s">
        <v>72</v>
      </c>
      <c r="E10" s="69" t="s">
        <v>24</v>
      </c>
      <c r="F10" s="77">
        <v>204.25</v>
      </c>
      <c r="G10" s="77"/>
      <c r="H10" s="69" t="s">
        <v>73</v>
      </c>
      <c r="I10" s="76" t="s">
        <v>25</v>
      </c>
      <c r="J10" s="76"/>
      <c r="K10" s="72" t="s">
        <v>19</v>
      </c>
      <c r="L10" s="73">
        <v>42290.3</v>
      </c>
    </row>
    <row r="11" spans="1:12" ht="51" hidden="1" x14ac:dyDescent="0.3">
      <c r="A11" s="67" t="s">
        <v>69</v>
      </c>
      <c r="B11" s="68" t="s">
        <v>70</v>
      </c>
      <c r="C11" s="68" t="s">
        <v>77</v>
      </c>
      <c r="D11" s="68" t="s">
        <v>72</v>
      </c>
      <c r="E11" s="69" t="s">
        <v>24</v>
      </c>
      <c r="F11" s="77">
        <v>990.75</v>
      </c>
      <c r="G11" s="77"/>
      <c r="H11" s="69" t="s">
        <v>73</v>
      </c>
      <c r="I11" s="76" t="s">
        <v>25</v>
      </c>
      <c r="J11" s="76"/>
      <c r="K11" s="72" t="s">
        <v>19</v>
      </c>
      <c r="L11" s="73">
        <v>43281.05</v>
      </c>
    </row>
    <row r="12" spans="1:12" ht="51" hidden="1" x14ac:dyDescent="0.3">
      <c r="A12" s="67" t="s">
        <v>69</v>
      </c>
      <c r="B12" s="68" t="s">
        <v>70</v>
      </c>
      <c r="C12" s="68" t="s">
        <v>78</v>
      </c>
      <c r="D12" s="68" t="s">
        <v>72</v>
      </c>
      <c r="E12" s="69" t="s">
        <v>24</v>
      </c>
      <c r="F12" s="77">
        <v>687.6</v>
      </c>
      <c r="G12" s="77"/>
      <c r="H12" s="69" t="s">
        <v>73</v>
      </c>
      <c r="I12" s="76" t="s">
        <v>25</v>
      </c>
      <c r="J12" s="76"/>
      <c r="K12" s="72" t="s">
        <v>19</v>
      </c>
      <c r="L12" s="73">
        <v>43968.65</v>
      </c>
    </row>
    <row r="13" spans="1:12" ht="51" hidden="1" x14ac:dyDescent="0.3">
      <c r="A13" s="67" t="s">
        <v>69</v>
      </c>
      <c r="B13" s="68" t="s">
        <v>70</v>
      </c>
      <c r="C13" s="68" t="s">
        <v>79</v>
      </c>
      <c r="D13" s="68" t="s">
        <v>72</v>
      </c>
      <c r="E13" s="69" t="s">
        <v>24</v>
      </c>
      <c r="F13" s="75">
        <v>1263.4000000000001</v>
      </c>
      <c r="G13" s="75"/>
      <c r="H13" s="69" t="s">
        <v>73</v>
      </c>
      <c r="I13" s="76" t="s">
        <v>25</v>
      </c>
      <c r="J13" s="76"/>
      <c r="K13" s="72" t="s">
        <v>19</v>
      </c>
      <c r="L13" s="73">
        <v>45232.05</v>
      </c>
    </row>
    <row r="14" spans="1:12" ht="51" hidden="1" x14ac:dyDescent="0.3">
      <c r="A14" s="67" t="s">
        <v>69</v>
      </c>
      <c r="B14" s="68" t="s">
        <v>80</v>
      </c>
      <c r="C14" s="68" t="s">
        <v>81</v>
      </c>
      <c r="D14" s="68" t="s">
        <v>71</v>
      </c>
      <c r="E14" s="69" t="s">
        <v>24</v>
      </c>
      <c r="F14" s="70" t="s">
        <v>25</v>
      </c>
      <c r="G14" s="70"/>
      <c r="H14" s="69" t="s">
        <v>24</v>
      </c>
      <c r="I14" s="74">
        <v>3143.1</v>
      </c>
      <c r="J14" s="74"/>
      <c r="K14" s="72" t="s">
        <v>19</v>
      </c>
      <c r="L14" s="73">
        <v>42088.95</v>
      </c>
    </row>
    <row r="15" spans="1:12" ht="51" hidden="1" x14ac:dyDescent="0.3">
      <c r="A15" s="67" t="s">
        <v>69</v>
      </c>
      <c r="B15" s="68" t="s">
        <v>80</v>
      </c>
      <c r="C15" s="68" t="s">
        <v>82</v>
      </c>
      <c r="D15" s="68" t="s">
        <v>74</v>
      </c>
      <c r="E15" s="69" t="s">
        <v>24</v>
      </c>
      <c r="F15" s="70" t="s">
        <v>25</v>
      </c>
      <c r="G15" s="70"/>
      <c r="H15" s="69" t="s">
        <v>24</v>
      </c>
      <c r="I15" s="74">
        <v>1683</v>
      </c>
      <c r="J15" s="74"/>
      <c r="K15" s="72" t="s">
        <v>19</v>
      </c>
      <c r="L15" s="73">
        <v>40405.949999999997</v>
      </c>
    </row>
    <row r="16" spans="1:12" ht="51" hidden="1" x14ac:dyDescent="0.3">
      <c r="A16" s="67" t="s">
        <v>69</v>
      </c>
      <c r="B16" s="68" t="s">
        <v>80</v>
      </c>
      <c r="C16" s="68" t="s">
        <v>83</v>
      </c>
      <c r="D16" s="68" t="s">
        <v>75</v>
      </c>
      <c r="E16" s="69" t="s">
        <v>24</v>
      </c>
      <c r="F16" s="70" t="s">
        <v>25</v>
      </c>
      <c r="G16" s="70"/>
      <c r="H16" s="69" t="s">
        <v>24</v>
      </c>
      <c r="I16" s="71">
        <v>190.5</v>
      </c>
      <c r="J16" s="71"/>
      <c r="K16" s="72" t="s">
        <v>19</v>
      </c>
      <c r="L16" s="73">
        <v>40215.449999999997</v>
      </c>
    </row>
    <row r="17" spans="1:12" ht="61.2" hidden="1" x14ac:dyDescent="0.3">
      <c r="A17" s="67" t="s">
        <v>69</v>
      </c>
      <c r="B17" s="68" t="s">
        <v>80</v>
      </c>
      <c r="C17" s="68" t="s">
        <v>84</v>
      </c>
      <c r="D17" s="68" t="s">
        <v>76</v>
      </c>
      <c r="E17" s="69" t="s">
        <v>24</v>
      </c>
      <c r="F17" s="70" t="s">
        <v>25</v>
      </c>
      <c r="G17" s="70"/>
      <c r="H17" s="69" t="s">
        <v>24</v>
      </c>
      <c r="I17" s="71">
        <v>204.25</v>
      </c>
      <c r="J17" s="71"/>
      <c r="K17" s="72" t="s">
        <v>19</v>
      </c>
      <c r="L17" s="73">
        <v>40011.199999999997</v>
      </c>
    </row>
    <row r="18" spans="1:12" ht="51" hidden="1" x14ac:dyDescent="0.3">
      <c r="A18" s="67" t="s">
        <v>69</v>
      </c>
      <c r="B18" s="68" t="s">
        <v>80</v>
      </c>
      <c r="C18" s="68" t="s">
        <v>85</v>
      </c>
      <c r="D18" s="68" t="s">
        <v>77</v>
      </c>
      <c r="E18" s="69" t="s">
        <v>24</v>
      </c>
      <c r="F18" s="70" t="s">
        <v>25</v>
      </c>
      <c r="G18" s="70"/>
      <c r="H18" s="69" t="s">
        <v>24</v>
      </c>
      <c r="I18" s="71">
        <v>990.75</v>
      </c>
      <c r="J18" s="71"/>
      <c r="K18" s="72" t="s">
        <v>19</v>
      </c>
      <c r="L18" s="73">
        <v>39020.449999999997</v>
      </c>
    </row>
    <row r="19" spans="1:12" ht="51" hidden="1" x14ac:dyDescent="0.3">
      <c r="A19" s="67" t="s">
        <v>69</v>
      </c>
      <c r="B19" s="68" t="s">
        <v>86</v>
      </c>
      <c r="C19" s="68" t="s">
        <v>87</v>
      </c>
      <c r="D19" s="68" t="s">
        <v>78</v>
      </c>
      <c r="E19" s="69" t="s">
        <v>24</v>
      </c>
      <c r="F19" s="70" t="s">
        <v>25</v>
      </c>
      <c r="G19" s="70"/>
      <c r="H19" s="69" t="s">
        <v>24</v>
      </c>
      <c r="I19" s="71">
        <v>687.6</v>
      </c>
      <c r="J19" s="71"/>
      <c r="K19" s="72" t="s">
        <v>19</v>
      </c>
      <c r="L19" s="73">
        <v>38332.85</v>
      </c>
    </row>
    <row r="20" spans="1:12" ht="51" hidden="1" x14ac:dyDescent="0.3">
      <c r="A20" s="67" t="s">
        <v>69</v>
      </c>
      <c r="B20" s="68" t="s">
        <v>86</v>
      </c>
      <c r="C20" s="68" t="s">
        <v>88</v>
      </c>
      <c r="D20" s="68" t="s">
        <v>79</v>
      </c>
      <c r="E20" s="69" t="s">
        <v>24</v>
      </c>
      <c r="F20" s="70" t="s">
        <v>25</v>
      </c>
      <c r="G20" s="70"/>
      <c r="H20" s="69" t="s">
        <v>24</v>
      </c>
      <c r="I20" s="74">
        <v>1263.4000000000001</v>
      </c>
      <c r="J20" s="74"/>
      <c r="K20" s="72" t="s">
        <v>19</v>
      </c>
      <c r="L20" s="73">
        <v>37069.449999999997</v>
      </c>
    </row>
    <row r="21" spans="1:12" ht="61.2" hidden="1" x14ac:dyDescent="0.3">
      <c r="A21" s="67" t="s">
        <v>89</v>
      </c>
      <c r="B21" s="68" t="s">
        <v>90</v>
      </c>
      <c r="C21" s="68" t="s">
        <v>91</v>
      </c>
      <c r="D21" s="68" t="s">
        <v>92</v>
      </c>
      <c r="E21" s="69" t="s">
        <v>24</v>
      </c>
      <c r="F21" s="77">
        <v>682.27</v>
      </c>
      <c r="G21" s="77"/>
      <c r="H21" s="69" t="s">
        <v>24</v>
      </c>
      <c r="I21" s="76" t="s">
        <v>25</v>
      </c>
      <c r="J21" s="76"/>
      <c r="K21" s="72" t="s">
        <v>19</v>
      </c>
      <c r="L21" s="73">
        <v>37751.72</v>
      </c>
    </row>
    <row r="22" spans="1:12" ht="61.2" hidden="1" x14ac:dyDescent="0.3">
      <c r="A22" s="67" t="s">
        <v>89</v>
      </c>
      <c r="B22" s="68" t="s">
        <v>90</v>
      </c>
      <c r="C22" s="68" t="s">
        <v>93</v>
      </c>
      <c r="D22" s="68" t="s">
        <v>94</v>
      </c>
      <c r="E22" s="69" t="s">
        <v>24</v>
      </c>
      <c r="F22" s="77">
        <v>660.56</v>
      </c>
      <c r="G22" s="77"/>
      <c r="H22" s="69" t="s">
        <v>24</v>
      </c>
      <c r="I22" s="76" t="s">
        <v>25</v>
      </c>
      <c r="J22" s="76"/>
      <c r="K22" s="72" t="s">
        <v>19</v>
      </c>
      <c r="L22" s="73">
        <v>38412.28</v>
      </c>
    </row>
    <row r="23" spans="1:12" ht="61.2" hidden="1" x14ac:dyDescent="0.3">
      <c r="A23" s="67" t="s">
        <v>89</v>
      </c>
      <c r="B23" s="68" t="s">
        <v>90</v>
      </c>
      <c r="C23" s="68" t="s">
        <v>95</v>
      </c>
      <c r="D23" s="68" t="s">
        <v>96</v>
      </c>
      <c r="E23" s="69" t="s">
        <v>24</v>
      </c>
      <c r="F23" s="77">
        <v>156.4</v>
      </c>
      <c r="G23" s="77"/>
      <c r="H23" s="69" t="s">
        <v>24</v>
      </c>
      <c r="I23" s="76" t="s">
        <v>25</v>
      </c>
      <c r="J23" s="76"/>
      <c r="K23" s="72" t="s">
        <v>19</v>
      </c>
      <c r="L23" s="73">
        <v>38568.68</v>
      </c>
    </row>
    <row r="24" spans="1:12" ht="51" hidden="1" x14ac:dyDescent="0.3">
      <c r="A24" s="67" t="s">
        <v>89</v>
      </c>
      <c r="B24" s="68" t="s">
        <v>90</v>
      </c>
      <c r="C24" s="68" t="s">
        <v>97</v>
      </c>
      <c r="D24" s="68" t="s">
        <v>98</v>
      </c>
      <c r="E24" s="69" t="s">
        <v>24</v>
      </c>
      <c r="F24" s="77">
        <v>726.45</v>
      </c>
      <c r="G24" s="77"/>
      <c r="H24" s="69" t="s">
        <v>24</v>
      </c>
      <c r="I24" s="76" t="s">
        <v>25</v>
      </c>
      <c r="J24" s="76"/>
      <c r="K24" s="72" t="s">
        <v>19</v>
      </c>
      <c r="L24" s="73">
        <v>39295.129999999997</v>
      </c>
    </row>
    <row r="25" spans="1:12" ht="51" hidden="1" x14ac:dyDescent="0.3">
      <c r="A25" s="67" t="s">
        <v>89</v>
      </c>
      <c r="B25" s="68" t="s">
        <v>90</v>
      </c>
      <c r="C25" s="68" t="s">
        <v>99</v>
      </c>
      <c r="D25" s="68" t="s">
        <v>100</v>
      </c>
      <c r="E25" s="69" t="s">
        <v>24</v>
      </c>
      <c r="F25" s="77">
        <v>342.9</v>
      </c>
      <c r="G25" s="77"/>
      <c r="H25" s="69" t="s">
        <v>24</v>
      </c>
      <c r="I25" s="76" t="s">
        <v>25</v>
      </c>
      <c r="J25" s="76"/>
      <c r="K25" s="72" t="s">
        <v>19</v>
      </c>
      <c r="L25" s="73">
        <v>39638.03</v>
      </c>
    </row>
    <row r="26" spans="1:12" ht="51" hidden="1" x14ac:dyDescent="0.3">
      <c r="A26" s="67" t="s">
        <v>89</v>
      </c>
      <c r="B26" s="68" t="s">
        <v>90</v>
      </c>
      <c r="C26" s="68" t="s">
        <v>101</v>
      </c>
      <c r="D26" s="68" t="s">
        <v>102</v>
      </c>
      <c r="E26" s="69" t="s">
        <v>24</v>
      </c>
      <c r="F26" s="77">
        <v>800</v>
      </c>
      <c r="G26" s="77"/>
      <c r="H26" s="69" t="s">
        <v>24</v>
      </c>
      <c r="I26" s="76" t="s">
        <v>25</v>
      </c>
      <c r="J26" s="76"/>
      <c r="K26" s="72" t="s">
        <v>19</v>
      </c>
      <c r="L26" s="73">
        <v>40438.03</v>
      </c>
    </row>
    <row r="27" spans="1:12" ht="51" hidden="1" x14ac:dyDescent="0.3">
      <c r="A27" s="67" t="s">
        <v>89</v>
      </c>
      <c r="B27" s="68" t="s">
        <v>90</v>
      </c>
      <c r="C27" s="68" t="s">
        <v>103</v>
      </c>
      <c r="D27" s="68" t="s">
        <v>104</v>
      </c>
      <c r="E27" s="69" t="s">
        <v>24</v>
      </c>
      <c r="F27" s="77">
        <v>310.64999999999998</v>
      </c>
      <c r="G27" s="77"/>
      <c r="H27" s="69" t="s">
        <v>24</v>
      </c>
      <c r="I27" s="76" t="s">
        <v>25</v>
      </c>
      <c r="J27" s="76"/>
      <c r="K27" s="72" t="s">
        <v>19</v>
      </c>
      <c r="L27" s="73">
        <v>40748.68</v>
      </c>
    </row>
    <row r="28" spans="1:12" ht="51" hidden="1" x14ac:dyDescent="0.3">
      <c r="A28" s="67" t="s">
        <v>89</v>
      </c>
      <c r="B28" s="68" t="s">
        <v>90</v>
      </c>
      <c r="C28" s="68" t="s">
        <v>105</v>
      </c>
      <c r="D28" s="68" t="s">
        <v>106</v>
      </c>
      <c r="E28" s="69" t="s">
        <v>24</v>
      </c>
      <c r="F28" s="77">
        <v>385.05</v>
      </c>
      <c r="G28" s="77"/>
      <c r="H28" s="69" t="s">
        <v>24</v>
      </c>
      <c r="I28" s="76" t="s">
        <v>25</v>
      </c>
      <c r="J28" s="76"/>
      <c r="K28" s="72" t="s">
        <v>19</v>
      </c>
      <c r="L28" s="73">
        <v>41133.730000000003</v>
      </c>
    </row>
    <row r="29" spans="1:12" ht="61.2" hidden="1" x14ac:dyDescent="0.3">
      <c r="A29" s="67" t="s">
        <v>89</v>
      </c>
      <c r="B29" s="68" t="s">
        <v>90</v>
      </c>
      <c r="C29" s="68" t="s">
        <v>107</v>
      </c>
      <c r="D29" s="68" t="s">
        <v>108</v>
      </c>
      <c r="E29" s="69" t="s">
        <v>24</v>
      </c>
      <c r="F29" s="77">
        <v>185</v>
      </c>
      <c r="G29" s="77"/>
      <c r="H29" s="69" t="s">
        <v>24</v>
      </c>
      <c r="I29" s="76" t="s">
        <v>25</v>
      </c>
      <c r="J29" s="76"/>
      <c r="K29" s="72" t="s">
        <v>19</v>
      </c>
      <c r="L29" s="73">
        <v>41318.730000000003</v>
      </c>
    </row>
    <row r="30" spans="1:12" ht="61.2" hidden="1" x14ac:dyDescent="0.3">
      <c r="A30" s="67" t="s">
        <v>89</v>
      </c>
      <c r="B30" s="68" t="s">
        <v>90</v>
      </c>
      <c r="C30" s="68" t="s">
        <v>109</v>
      </c>
      <c r="D30" s="68" t="s">
        <v>110</v>
      </c>
      <c r="E30" s="69" t="s">
        <v>24</v>
      </c>
      <c r="F30" s="77">
        <v>185</v>
      </c>
      <c r="G30" s="77"/>
      <c r="H30" s="69" t="s">
        <v>24</v>
      </c>
      <c r="I30" s="76" t="s">
        <v>25</v>
      </c>
      <c r="J30" s="76"/>
      <c r="K30" s="72" t="s">
        <v>19</v>
      </c>
      <c r="L30" s="73">
        <v>41503.730000000003</v>
      </c>
    </row>
    <row r="31" spans="1:12" ht="51" hidden="1" x14ac:dyDescent="0.3">
      <c r="A31" s="67" t="s">
        <v>89</v>
      </c>
      <c r="B31" s="68" t="s">
        <v>90</v>
      </c>
      <c r="C31" s="68" t="s">
        <v>111</v>
      </c>
      <c r="D31" s="68" t="s">
        <v>112</v>
      </c>
      <c r="E31" s="69" t="s">
        <v>24</v>
      </c>
      <c r="F31" s="77">
        <v>324</v>
      </c>
      <c r="G31" s="77"/>
      <c r="H31" s="69" t="s">
        <v>24</v>
      </c>
      <c r="I31" s="76" t="s">
        <v>25</v>
      </c>
      <c r="J31" s="76"/>
      <c r="K31" s="72" t="s">
        <v>19</v>
      </c>
      <c r="L31" s="73">
        <v>41827.730000000003</v>
      </c>
    </row>
    <row r="32" spans="1:12" ht="51" hidden="1" x14ac:dyDescent="0.3">
      <c r="A32" s="67" t="s">
        <v>89</v>
      </c>
      <c r="B32" s="68" t="s">
        <v>90</v>
      </c>
      <c r="C32" s="68" t="s">
        <v>113</v>
      </c>
      <c r="D32" s="68" t="s">
        <v>114</v>
      </c>
      <c r="E32" s="69" t="s">
        <v>24</v>
      </c>
      <c r="F32" s="77">
        <v>545.70000000000005</v>
      </c>
      <c r="G32" s="77"/>
      <c r="H32" s="69" t="s">
        <v>24</v>
      </c>
      <c r="I32" s="76" t="s">
        <v>25</v>
      </c>
      <c r="J32" s="76"/>
      <c r="K32" s="72" t="s">
        <v>19</v>
      </c>
      <c r="L32" s="73">
        <v>42373.43</v>
      </c>
    </row>
    <row r="33" spans="1:12" ht="61.2" hidden="1" x14ac:dyDescent="0.3">
      <c r="A33" s="67" t="s">
        <v>89</v>
      </c>
      <c r="B33" s="68" t="s">
        <v>90</v>
      </c>
      <c r="C33" s="68" t="s">
        <v>115</v>
      </c>
      <c r="D33" s="68" t="s">
        <v>116</v>
      </c>
      <c r="E33" s="69" t="s">
        <v>24</v>
      </c>
      <c r="F33" s="77">
        <v>248</v>
      </c>
      <c r="G33" s="77"/>
      <c r="H33" s="69" t="s">
        <v>24</v>
      </c>
      <c r="I33" s="76" t="s">
        <v>25</v>
      </c>
      <c r="J33" s="76"/>
      <c r="K33" s="72" t="s">
        <v>19</v>
      </c>
      <c r="L33" s="73">
        <v>42621.43</v>
      </c>
    </row>
    <row r="34" spans="1:12" ht="51" hidden="1" x14ac:dyDescent="0.3">
      <c r="A34" s="67" t="s">
        <v>89</v>
      </c>
      <c r="B34" s="68" t="s">
        <v>90</v>
      </c>
      <c r="C34" s="68" t="s">
        <v>117</v>
      </c>
      <c r="D34" s="68" t="s">
        <v>118</v>
      </c>
      <c r="E34" s="69" t="s">
        <v>24</v>
      </c>
      <c r="F34" s="77">
        <v>849</v>
      </c>
      <c r="G34" s="77"/>
      <c r="H34" s="69" t="s">
        <v>24</v>
      </c>
      <c r="I34" s="76" t="s">
        <v>25</v>
      </c>
      <c r="J34" s="76"/>
      <c r="K34" s="72" t="s">
        <v>19</v>
      </c>
      <c r="L34" s="73">
        <v>43470.43</v>
      </c>
    </row>
    <row r="35" spans="1:12" ht="61.2" hidden="1" x14ac:dyDescent="0.3">
      <c r="A35" s="67" t="s">
        <v>89</v>
      </c>
      <c r="B35" s="68" t="s">
        <v>90</v>
      </c>
      <c r="C35" s="68" t="s">
        <v>119</v>
      </c>
      <c r="D35" s="68" t="s">
        <v>120</v>
      </c>
      <c r="E35" s="69" t="s">
        <v>24</v>
      </c>
      <c r="F35" s="77">
        <v>883.35</v>
      </c>
      <c r="G35" s="77"/>
      <c r="H35" s="69" t="s">
        <v>24</v>
      </c>
      <c r="I35" s="76" t="s">
        <v>25</v>
      </c>
      <c r="J35" s="76"/>
      <c r="K35" s="72" t="s">
        <v>19</v>
      </c>
      <c r="L35" s="73">
        <v>44353.78</v>
      </c>
    </row>
    <row r="36" spans="1:12" ht="51" hidden="1" x14ac:dyDescent="0.3">
      <c r="A36" s="67" t="s">
        <v>89</v>
      </c>
      <c r="B36" s="68" t="s">
        <v>90</v>
      </c>
      <c r="C36" s="68" t="s">
        <v>121</v>
      </c>
      <c r="D36" s="68" t="s">
        <v>122</v>
      </c>
      <c r="E36" s="69" t="s">
        <v>24</v>
      </c>
      <c r="F36" s="75">
        <v>1508.35</v>
      </c>
      <c r="G36" s="75"/>
      <c r="H36" s="69" t="s">
        <v>24</v>
      </c>
      <c r="I36" s="76" t="s">
        <v>25</v>
      </c>
      <c r="J36" s="76"/>
      <c r="K36" s="72" t="s">
        <v>19</v>
      </c>
      <c r="L36" s="73">
        <v>45862.13</v>
      </c>
    </row>
    <row r="37" spans="1:12" ht="51" hidden="1" x14ac:dyDescent="0.3">
      <c r="A37" s="67" t="s">
        <v>89</v>
      </c>
      <c r="B37" s="68" t="s">
        <v>90</v>
      </c>
      <c r="C37" s="68" t="s">
        <v>123</v>
      </c>
      <c r="D37" s="68" t="s">
        <v>124</v>
      </c>
      <c r="E37" s="69" t="s">
        <v>24</v>
      </c>
      <c r="F37" s="77">
        <v>838</v>
      </c>
      <c r="G37" s="77"/>
      <c r="H37" s="69" t="s">
        <v>24</v>
      </c>
      <c r="I37" s="76" t="s">
        <v>25</v>
      </c>
      <c r="J37" s="76"/>
      <c r="K37" s="72" t="s">
        <v>19</v>
      </c>
      <c r="L37" s="73">
        <v>46700.13</v>
      </c>
    </row>
    <row r="38" spans="1:12" ht="51" hidden="1" x14ac:dyDescent="0.3">
      <c r="A38" s="67" t="s">
        <v>89</v>
      </c>
      <c r="B38" s="68" t="s">
        <v>90</v>
      </c>
      <c r="C38" s="68" t="s">
        <v>125</v>
      </c>
      <c r="D38" s="68" t="s">
        <v>126</v>
      </c>
      <c r="E38" s="69" t="s">
        <v>24</v>
      </c>
      <c r="F38" s="75">
        <v>1800.3</v>
      </c>
      <c r="G38" s="75"/>
      <c r="H38" s="69" t="s">
        <v>24</v>
      </c>
      <c r="I38" s="76" t="s">
        <v>25</v>
      </c>
      <c r="J38" s="76"/>
      <c r="K38" s="72" t="s">
        <v>19</v>
      </c>
      <c r="L38" s="73">
        <v>48500.43</v>
      </c>
    </row>
    <row r="39" spans="1:12" ht="71.400000000000006" hidden="1" x14ac:dyDescent="0.3">
      <c r="A39" s="67" t="s">
        <v>89</v>
      </c>
      <c r="B39" s="68" t="s">
        <v>90</v>
      </c>
      <c r="C39" s="68" t="s">
        <v>127</v>
      </c>
      <c r="D39" s="68" t="s">
        <v>128</v>
      </c>
      <c r="E39" s="69" t="s">
        <v>24</v>
      </c>
      <c r="F39" s="77">
        <v>472</v>
      </c>
      <c r="G39" s="77"/>
      <c r="H39" s="69" t="s">
        <v>24</v>
      </c>
      <c r="I39" s="76" t="s">
        <v>25</v>
      </c>
      <c r="J39" s="76"/>
      <c r="K39" s="72" t="s">
        <v>19</v>
      </c>
      <c r="L39" s="73">
        <v>48972.43</v>
      </c>
    </row>
    <row r="40" spans="1:12" ht="61.2" hidden="1" x14ac:dyDescent="0.3">
      <c r="A40" s="67" t="s">
        <v>89</v>
      </c>
      <c r="B40" s="68" t="s">
        <v>90</v>
      </c>
      <c r="C40" s="68" t="s">
        <v>129</v>
      </c>
      <c r="D40" s="68" t="s">
        <v>130</v>
      </c>
      <c r="E40" s="69" t="s">
        <v>24</v>
      </c>
      <c r="F40" s="77">
        <v>138.5</v>
      </c>
      <c r="G40" s="77"/>
      <c r="H40" s="69" t="s">
        <v>24</v>
      </c>
      <c r="I40" s="76" t="s">
        <v>25</v>
      </c>
      <c r="J40" s="76"/>
      <c r="K40" s="72" t="s">
        <v>19</v>
      </c>
      <c r="L40" s="73">
        <v>49110.93</v>
      </c>
    </row>
    <row r="41" spans="1:12" ht="51" hidden="1" x14ac:dyDescent="0.3">
      <c r="A41" s="67" t="s">
        <v>89</v>
      </c>
      <c r="B41" s="68" t="s">
        <v>90</v>
      </c>
      <c r="C41" s="68" t="s">
        <v>131</v>
      </c>
      <c r="D41" s="68" t="s">
        <v>132</v>
      </c>
      <c r="E41" s="69" t="s">
        <v>24</v>
      </c>
      <c r="F41" s="77">
        <v>735</v>
      </c>
      <c r="G41" s="77"/>
      <c r="H41" s="69" t="s">
        <v>24</v>
      </c>
      <c r="I41" s="76" t="s">
        <v>25</v>
      </c>
      <c r="J41" s="76"/>
      <c r="K41" s="72" t="s">
        <v>19</v>
      </c>
      <c r="L41" s="73">
        <v>49845.93</v>
      </c>
    </row>
    <row r="42" spans="1:12" ht="51" hidden="1" x14ac:dyDescent="0.3">
      <c r="A42" s="67" t="s">
        <v>89</v>
      </c>
      <c r="B42" s="68" t="s">
        <v>90</v>
      </c>
      <c r="C42" s="68" t="s">
        <v>133</v>
      </c>
      <c r="D42" s="68" t="s">
        <v>134</v>
      </c>
      <c r="E42" s="69" t="s">
        <v>24</v>
      </c>
      <c r="F42" s="77">
        <v>496.1</v>
      </c>
      <c r="G42" s="77"/>
      <c r="H42" s="69" t="s">
        <v>24</v>
      </c>
      <c r="I42" s="76" t="s">
        <v>25</v>
      </c>
      <c r="J42" s="76"/>
      <c r="K42" s="72" t="s">
        <v>19</v>
      </c>
      <c r="L42" s="73">
        <v>50342.03</v>
      </c>
    </row>
    <row r="43" spans="1:12" ht="51" hidden="1" x14ac:dyDescent="0.3">
      <c r="A43" s="67" t="s">
        <v>89</v>
      </c>
      <c r="B43" s="68" t="s">
        <v>90</v>
      </c>
      <c r="C43" s="68" t="s">
        <v>135</v>
      </c>
      <c r="D43" s="68" t="s">
        <v>136</v>
      </c>
      <c r="E43" s="69" t="s">
        <v>24</v>
      </c>
      <c r="F43" s="77">
        <v>636.70000000000005</v>
      </c>
      <c r="G43" s="77"/>
      <c r="H43" s="69" t="s">
        <v>24</v>
      </c>
      <c r="I43" s="76" t="s">
        <v>25</v>
      </c>
      <c r="J43" s="76"/>
      <c r="K43" s="72" t="s">
        <v>19</v>
      </c>
      <c r="L43" s="73">
        <v>50978.73</v>
      </c>
    </row>
    <row r="44" spans="1:12" ht="51" hidden="1" x14ac:dyDescent="0.3">
      <c r="A44" s="67" t="s">
        <v>89</v>
      </c>
      <c r="B44" s="68" t="s">
        <v>90</v>
      </c>
      <c r="C44" s="68" t="s">
        <v>137</v>
      </c>
      <c r="D44" s="68" t="s">
        <v>138</v>
      </c>
      <c r="E44" s="69" t="s">
        <v>24</v>
      </c>
      <c r="F44" s="77">
        <v>636.70000000000005</v>
      </c>
      <c r="G44" s="77"/>
      <c r="H44" s="69" t="s">
        <v>24</v>
      </c>
      <c r="I44" s="76" t="s">
        <v>25</v>
      </c>
      <c r="J44" s="76"/>
      <c r="K44" s="72" t="s">
        <v>19</v>
      </c>
      <c r="L44" s="73">
        <v>51615.43</v>
      </c>
    </row>
    <row r="45" spans="1:12" ht="51" hidden="1" x14ac:dyDescent="0.3">
      <c r="A45" s="67" t="s">
        <v>139</v>
      </c>
      <c r="B45" s="68" t="s">
        <v>140</v>
      </c>
      <c r="C45" s="68" t="s">
        <v>141</v>
      </c>
      <c r="D45" s="68" t="s">
        <v>142</v>
      </c>
      <c r="E45" s="69" t="s">
        <v>24</v>
      </c>
      <c r="F45" s="75">
        <v>1917</v>
      </c>
      <c r="G45" s="75"/>
      <c r="H45" s="69" t="s">
        <v>73</v>
      </c>
      <c r="I45" s="76" t="s">
        <v>25</v>
      </c>
      <c r="J45" s="76"/>
      <c r="K45" s="72" t="s">
        <v>19</v>
      </c>
      <c r="L45" s="73">
        <v>53532.43</v>
      </c>
    </row>
    <row r="46" spans="1:12" ht="51" hidden="1" x14ac:dyDescent="0.3">
      <c r="A46" s="67" t="s">
        <v>139</v>
      </c>
      <c r="B46" s="68" t="s">
        <v>140</v>
      </c>
      <c r="C46" s="68" t="s">
        <v>143</v>
      </c>
      <c r="D46" s="68" t="s">
        <v>142</v>
      </c>
      <c r="E46" s="69" t="s">
        <v>24</v>
      </c>
      <c r="F46" s="75">
        <v>2728.05</v>
      </c>
      <c r="G46" s="75"/>
      <c r="H46" s="69" t="s">
        <v>73</v>
      </c>
      <c r="I46" s="76" t="s">
        <v>25</v>
      </c>
      <c r="J46" s="76"/>
      <c r="K46" s="72" t="s">
        <v>19</v>
      </c>
      <c r="L46" s="73">
        <v>56260.480000000003</v>
      </c>
    </row>
    <row r="47" spans="1:12" ht="61.2" hidden="1" x14ac:dyDescent="0.3">
      <c r="A47" s="67" t="s">
        <v>139</v>
      </c>
      <c r="B47" s="68" t="s">
        <v>140</v>
      </c>
      <c r="C47" s="68" t="s">
        <v>144</v>
      </c>
      <c r="D47" s="68" t="s">
        <v>142</v>
      </c>
      <c r="E47" s="69" t="s">
        <v>24</v>
      </c>
      <c r="F47" s="77">
        <v>639.75</v>
      </c>
      <c r="G47" s="77"/>
      <c r="H47" s="69" t="s">
        <v>73</v>
      </c>
      <c r="I47" s="76" t="s">
        <v>25</v>
      </c>
      <c r="J47" s="76"/>
      <c r="K47" s="72" t="s">
        <v>19</v>
      </c>
      <c r="L47" s="73">
        <v>56900.23</v>
      </c>
    </row>
    <row r="48" spans="1:12" ht="61.2" hidden="1" x14ac:dyDescent="0.3">
      <c r="A48" s="67" t="s">
        <v>139</v>
      </c>
      <c r="B48" s="68" t="s">
        <v>140</v>
      </c>
      <c r="C48" s="68" t="s">
        <v>145</v>
      </c>
      <c r="D48" s="68" t="s">
        <v>142</v>
      </c>
      <c r="E48" s="69" t="s">
        <v>24</v>
      </c>
      <c r="F48" s="75">
        <v>1598.85</v>
      </c>
      <c r="G48" s="75"/>
      <c r="H48" s="69" t="s">
        <v>73</v>
      </c>
      <c r="I48" s="76" t="s">
        <v>25</v>
      </c>
      <c r="J48" s="76"/>
      <c r="K48" s="72" t="s">
        <v>19</v>
      </c>
      <c r="L48" s="73">
        <v>58499.08</v>
      </c>
    </row>
    <row r="49" spans="1:12" ht="51" hidden="1" x14ac:dyDescent="0.3">
      <c r="A49" s="67" t="s">
        <v>139</v>
      </c>
      <c r="B49" s="68" t="s">
        <v>140</v>
      </c>
      <c r="C49" s="68" t="s">
        <v>146</v>
      </c>
      <c r="D49" s="68" t="s">
        <v>142</v>
      </c>
      <c r="E49" s="69" t="s">
        <v>24</v>
      </c>
      <c r="F49" s="77">
        <v>726.25</v>
      </c>
      <c r="G49" s="77"/>
      <c r="H49" s="69" t="s">
        <v>73</v>
      </c>
      <c r="I49" s="76" t="s">
        <v>25</v>
      </c>
      <c r="J49" s="76"/>
      <c r="K49" s="72" t="s">
        <v>19</v>
      </c>
      <c r="L49" s="73">
        <v>59225.33</v>
      </c>
    </row>
    <row r="50" spans="1:12" ht="51" hidden="1" x14ac:dyDescent="0.3">
      <c r="A50" s="67" t="s">
        <v>139</v>
      </c>
      <c r="B50" s="68" t="s">
        <v>140</v>
      </c>
      <c r="C50" s="68" t="s">
        <v>147</v>
      </c>
      <c r="D50" s="68" t="s">
        <v>142</v>
      </c>
      <c r="E50" s="69" t="s">
        <v>24</v>
      </c>
      <c r="F50" s="75">
        <v>2820</v>
      </c>
      <c r="G50" s="75"/>
      <c r="H50" s="69" t="s">
        <v>73</v>
      </c>
      <c r="I50" s="76" t="s">
        <v>25</v>
      </c>
      <c r="J50" s="76"/>
      <c r="K50" s="72" t="s">
        <v>19</v>
      </c>
      <c r="L50" s="73">
        <v>62045.33</v>
      </c>
    </row>
    <row r="51" spans="1:12" ht="61.2" hidden="1" x14ac:dyDescent="0.3">
      <c r="A51" s="67" t="s">
        <v>139</v>
      </c>
      <c r="B51" s="68" t="s">
        <v>140</v>
      </c>
      <c r="C51" s="68" t="s">
        <v>148</v>
      </c>
      <c r="D51" s="68" t="s">
        <v>142</v>
      </c>
      <c r="E51" s="69" t="s">
        <v>24</v>
      </c>
      <c r="F51" s="77">
        <v>439</v>
      </c>
      <c r="G51" s="77"/>
      <c r="H51" s="69" t="s">
        <v>73</v>
      </c>
      <c r="I51" s="76" t="s">
        <v>25</v>
      </c>
      <c r="J51" s="76"/>
      <c r="K51" s="72" t="s">
        <v>19</v>
      </c>
      <c r="L51" s="73">
        <v>62484.33</v>
      </c>
    </row>
    <row r="52" spans="1:12" ht="51" hidden="1" x14ac:dyDescent="0.3">
      <c r="A52" s="67" t="s">
        <v>20</v>
      </c>
      <c r="B52" s="68" t="s">
        <v>149</v>
      </c>
      <c r="C52" s="68" t="s">
        <v>150</v>
      </c>
      <c r="D52" s="68" t="s">
        <v>151</v>
      </c>
      <c r="E52" s="69" t="s">
        <v>24</v>
      </c>
      <c r="F52" s="77">
        <v>591.25</v>
      </c>
      <c r="G52" s="77"/>
      <c r="H52" s="69" t="s">
        <v>73</v>
      </c>
      <c r="I52" s="76" t="s">
        <v>25</v>
      </c>
      <c r="J52" s="76"/>
      <c r="K52" s="72" t="s">
        <v>19</v>
      </c>
      <c r="L52" s="73">
        <v>63075.58</v>
      </c>
    </row>
    <row r="53" spans="1:12" ht="61.2" hidden="1" x14ac:dyDescent="0.3">
      <c r="A53" s="67" t="s">
        <v>20</v>
      </c>
      <c r="B53" s="68" t="s">
        <v>149</v>
      </c>
      <c r="C53" s="68" t="s">
        <v>152</v>
      </c>
      <c r="D53" s="68" t="s">
        <v>151</v>
      </c>
      <c r="E53" s="69" t="s">
        <v>24</v>
      </c>
      <c r="F53" s="75">
        <v>2455.1999999999998</v>
      </c>
      <c r="G53" s="75"/>
      <c r="H53" s="69" t="s">
        <v>73</v>
      </c>
      <c r="I53" s="76" t="s">
        <v>25</v>
      </c>
      <c r="J53" s="76"/>
      <c r="K53" s="72" t="s">
        <v>19</v>
      </c>
      <c r="L53" s="73">
        <v>65530.78</v>
      </c>
    </row>
    <row r="54" spans="1:12" ht="51" hidden="1" x14ac:dyDescent="0.3">
      <c r="A54" s="67" t="s">
        <v>20</v>
      </c>
      <c r="B54" s="68" t="s">
        <v>149</v>
      </c>
      <c r="C54" s="68" t="s">
        <v>153</v>
      </c>
      <c r="D54" s="68" t="s">
        <v>151</v>
      </c>
      <c r="E54" s="69" t="s">
        <v>24</v>
      </c>
      <c r="F54" s="75">
        <v>13384.35</v>
      </c>
      <c r="G54" s="75"/>
      <c r="H54" s="69" t="s">
        <v>73</v>
      </c>
      <c r="I54" s="76" t="s">
        <v>25</v>
      </c>
      <c r="J54" s="76"/>
      <c r="K54" s="72" t="s">
        <v>19</v>
      </c>
      <c r="L54" s="73">
        <v>78915.13</v>
      </c>
    </row>
    <row r="55" spans="1:12" ht="51" hidden="1" x14ac:dyDescent="0.3">
      <c r="A55" s="67" t="s">
        <v>20</v>
      </c>
      <c r="B55" s="68" t="s">
        <v>149</v>
      </c>
      <c r="C55" s="68" t="s">
        <v>154</v>
      </c>
      <c r="D55" s="68" t="s">
        <v>151</v>
      </c>
      <c r="E55" s="69" t="s">
        <v>24</v>
      </c>
      <c r="F55" s="75">
        <v>2524</v>
      </c>
      <c r="G55" s="75"/>
      <c r="H55" s="69" t="s">
        <v>73</v>
      </c>
      <c r="I55" s="76" t="s">
        <v>25</v>
      </c>
      <c r="J55" s="76"/>
      <c r="K55" s="72" t="s">
        <v>19</v>
      </c>
      <c r="L55" s="73">
        <v>81439.13</v>
      </c>
    </row>
    <row r="56" spans="1:12" ht="61.2" hidden="1" x14ac:dyDescent="0.3">
      <c r="A56" s="67" t="s">
        <v>20</v>
      </c>
      <c r="B56" s="68" t="s">
        <v>149</v>
      </c>
      <c r="C56" s="68" t="s">
        <v>155</v>
      </c>
      <c r="D56" s="68" t="s">
        <v>151</v>
      </c>
      <c r="E56" s="69" t="s">
        <v>24</v>
      </c>
      <c r="F56" s="75">
        <v>12169</v>
      </c>
      <c r="G56" s="75"/>
      <c r="H56" s="69" t="s">
        <v>73</v>
      </c>
      <c r="I56" s="76" t="s">
        <v>25</v>
      </c>
      <c r="J56" s="76"/>
      <c r="K56" s="72" t="s">
        <v>19</v>
      </c>
      <c r="L56" s="73">
        <v>93608.13</v>
      </c>
    </row>
    <row r="57" spans="1:12" ht="51" hidden="1" x14ac:dyDescent="0.3">
      <c r="A57" s="67" t="s">
        <v>20</v>
      </c>
      <c r="B57" s="68" t="s">
        <v>149</v>
      </c>
      <c r="C57" s="68" t="s">
        <v>156</v>
      </c>
      <c r="D57" s="68" t="s">
        <v>151</v>
      </c>
      <c r="E57" s="69" t="s">
        <v>24</v>
      </c>
      <c r="F57" s="75">
        <v>1916.7</v>
      </c>
      <c r="G57" s="75"/>
      <c r="H57" s="69" t="s">
        <v>73</v>
      </c>
      <c r="I57" s="76" t="s">
        <v>25</v>
      </c>
      <c r="J57" s="76"/>
      <c r="K57" s="72" t="s">
        <v>19</v>
      </c>
      <c r="L57" s="73">
        <v>95524.83</v>
      </c>
    </row>
    <row r="58" spans="1:12" ht="51" hidden="1" x14ac:dyDescent="0.3">
      <c r="A58" s="67" t="s">
        <v>20</v>
      </c>
      <c r="B58" s="68" t="s">
        <v>149</v>
      </c>
      <c r="C58" s="68" t="s">
        <v>157</v>
      </c>
      <c r="D58" s="68" t="s">
        <v>151</v>
      </c>
      <c r="E58" s="69" t="s">
        <v>24</v>
      </c>
      <c r="F58" s="77">
        <v>198.15</v>
      </c>
      <c r="G58" s="77"/>
      <c r="H58" s="69" t="s">
        <v>73</v>
      </c>
      <c r="I58" s="76" t="s">
        <v>25</v>
      </c>
      <c r="J58" s="76"/>
      <c r="K58" s="72" t="s">
        <v>19</v>
      </c>
      <c r="L58" s="73">
        <v>95722.98</v>
      </c>
    </row>
    <row r="59" spans="1:12" ht="61.2" hidden="1" x14ac:dyDescent="0.3">
      <c r="A59" s="67" t="s">
        <v>20</v>
      </c>
      <c r="B59" s="68" t="s">
        <v>149</v>
      </c>
      <c r="C59" s="68" t="s">
        <v>158</v>
      </c>
      <c r="D59" s="68" t="s">
        <v>151</v>
      </c>
      <c r="E59" s="69" t="s">
        <v>24</v>
      </c>
      <c r="F59" s="75">
        <v>1470</v>
      </c>
      <c r="G59" s="75"/>
      <c r="H59" s="69" t="s">
        <v>73</v>
      </c>
      <c r="I59" s="76" t="s">
        <v>25</v>
      </c>
      <c r="J59" s="76"/>
      <c r="K59" s="72" t="s">
        <v>19</v>
      </c>
      <c r="L59" s="73">
        <v>97192.98</v>
      </c>
    </row>
    <row r="60" spans="1:12" ht="51" hidden="1" x14ac:dyDescent="0.3">
      <c r="A60" s="67" t="s">
        <v>20</v>
      </c>
      <c r="B60" s="68" t="s">
        <v>149</v>
      </c>
      <c r="C60" s="68" t="s">
        <v>159</v>
      </c>
      <c r="D60" s="68" t="s">
        <v>151</v>
      </c>
      <c r="E60" s="69" t="s">
        <v>24</v>
      </c>
      <c r="F60" s="77">
        <v>644.75</v>
      </c>
      <c r="G60" s="77"/>
      <c r="H60" s="69" t="s">
        <v>73</v>
      </c>
      <c r="I60" s="76" t="s">
        <v>25</v>
      </c>
      <c r="J60" s="76"/>
      <c r="K60" s="72" t="s">
        <v>19</v>
      </c>
      <c r="L60" s="73">
        <v>97837.73</v>
      </c>
    </row>
    <row r="61" spans="1:12" ht="51" hidden="1" x14ac:dyDescent="0.3">
      <c r="A61" s="67" t="s">
        <v>20</v>
      </c>
      <c r="B61" s="68" t="s">
        <v>149</v>
      </c>
      <c r="C61" s="68" t="s">
        <v>23</v>
      </c>
      <c r="D61" s="68" t="s">
        <v>151</v>
      </c>
      <c r="E61" s="69" t="s">
        <v>24</v>
      </c>
      <c r="F61" s="75">
        <v>5640</v>
      </c>
      <c r="G61" s="75"/>
      <c r="H61" s="69" t="s">
        <v>73</v>
      </c>
      <c r="I61" s="76" t="s">
        <v>25</v>
      </c>
      <c r="J61" s="76"/>
      <c r="K61" s="72" t="s">
        <v>19</v>
      </c>
      <c r="L61" s="73">
        <v>103477.73</v>
      </c>
    </row>
    <row r="62" spans="1:12" ht="51" hidden="1" x14ac:dyDescent="0.3">
      <c r="A62" s="67" t="s">
        <v>20</v>
      </c>
      <c r="B62" s="68" t="s">
        <v>149</v>
      </c>
      <c r="C62" s="68" t="s">
        <v>160</v>
      </c>
      <c r="D62" s="68" t="s">
        <v>151</v>
      </c>
      <c r="E62" s="69" t="s">
        <v>24</v>
      </c>
      <c r="F62" s="77">
        <v>328.5</v>
      </c>
      <c r="G62" s="77"/>
      <c r="H62" s="69" t="s">
        <v>73</v>
      </c>
      <c r="I62" s="76" t="s">
        <v>25</v>
      </c>
      <c r="J62" s="76"/>
      <c r="K62" s="72" t="s">
        <v>19</v>
      </c>
      <c r="L62" s="73">
        <v>103806.23</v>
      </c>
    </row>
    <row r="63" spans="1:12" ht="51" hidden="1" x14ac:dyDescent="0.3">
      <c r="A63" s="67" t="s">
        <v>20</v>
      </c>
      <c r="B63" s="68" t="s">
        <v>161</v>
      </c>
      <c r="C63" s="68" t="s">
        <v>162</v>
      </c>
      <c r="D63" s="68" t="s">
        <v>150</v>
      </c>
      <c r="E63" s="69" t="s">
        <v>24</v>
      </c>
      <c r="F63" s="70" t="s">
        <v>25</v>
      </c>
      <c r="G63" s="70"/>
      <c r="H63" s="69" t="s">
        <v>24</v>
      </c>
      <c r="I63" s="71">
        <v>53.75</v>
      </c>
      <c r="J63" s="71"/>
      <c r="K63" s="72" t="s">
        <v>19</v>
      </c>
      <c r="L63" s="73">
        <v>103752.48</v>
      </c>
    </row>
    <row r="64" spans="1:12" ht="61.2" hidden="1" x14ac:dyDescent="0.3">
      <c r="A64" s="67" t="s">
        <v>20</v>
      </c>
      <c r="B64" s="68" t="s">
        <v>161</v>
      </c>
      <c r="C64" s="68" t="s">
        <v>163</v>
      </c>
      <c r="D64" s="68" t="s">
        <v>152</v>
      </c>
      <c r="E64" s="69" t="s">
        <v>24</v>
      </c>
      <c r="F64" s="70" t="s">
        <v>25</v>
      </c>
      <c r="G64" s="70"/>
      <c r="H64" s="69" t="s">
        <v>24</v>
      </c>
      <c r="I64" s="71">
        <v>223.2</v>
      </c>
      <c r="J64" s="71"/>
      <c r="K64" s="72" t="s">
        <v>19</v>
      </c>
      <c r="L64" s="73">
        <v>103529.28</v>
      </c>
    </row>
    <row r="65" spans="1:12" ht="51" hidden="1" x14ac:dyDescent="0.3">
      <c r="A65" s="67" t="s">
        <v>20</v>
      </c>
      <c r="B65" s="68" t="s">
        <v>161</v>
      </c>
      <c r="C65" s="68" t="s">
        <v>164</v>
      </c>
      <c r="D65" s="68" t="s">
        <v>153</v>
      </c>
      <c r="E65" s="69" t="s">
        <v>24</v>
      </c>
      <c r="F65" s="70" t="s">
        <v>25</v>
      </c>
      <c r="G65" s="70"/>
      <c r="H65" s="69" t="s">
        <v>24</v>
      </c>
      <c r="I65" s="74">
        <v>4461.45</v>
      </c>
      <c r="J65" s="74"/>
      <c r="K65" s="72" t="s">
        <v>19</v>
      </c>
      <c r="L65" s="73">
        <v>99067.83</v>
      </c>
    </row>
    <row r="66" spans="1:12" ht="51" hidden="1" x14ac:dyDescent="0.3">
      <c r="A66" s="67" t="s">
        <v>20</v>
      </c>
      <c r="B66" s="68" t="s">
        <v>161</v>
      </c>
      <c r="C66" s="68" t="s">
        <v>165</v>
      </c>
      <c r="D66" s="68" t="s">
        <v>154</v>
      </c>
      <c r="E66" s="69" t="s">
        <v>24</v>
      </c>
      <c r="F66" s="70" t="s">
        <v>25</v>
      </c>
      <c r="G66" s="70"/>
      <c r="H66" s="69" t="s">
        <v>24</v>
      </c>
      <c r="I66" s="74">
        <v>2524</v>
      </c>
      <c r="J66" s="74"/>
      <c r="K66" s="72" t="s">
        <v>19</v>
      </c>
      <c r="L66" s="73">
        <v>96543.83</v>
      </c>
    </row>
    <row r="67" spans="1:12" ht="61.2" hidden="1" x14ac:dyDescent="0.3">
      <c r="A67" s="67" t="s">
        <v>20</v>
      </c>
      <c r="B67" s="68" t="s">
        <v>161</v>
      </c>
      <c r="C67" s="68" t="s">
        <v>166</v>
      </c>
      <c r="D67" s="68" t="s">
        <v>155</v>
      </c>
      <c r="E67" s="69" t="s">
        <v>24</v>
      </c>
      <c r="F67" s="70" t="s">
        <v>25</v>
      </c>
      <c r="G67" s="70"/>
      <c r="H67" s="69" t="s">
        <v>24</v>
      </c>
      <c r="I67" s="74">
        <v>12169</v>
      </c>
      <c r="J67" s="74"/>
      <c r="K67" s="72" t="s">
        <v>19</v>
      </c>
      <c r="L67" s="73">
        <v>84374.83</v>
      </c>
    </row>
    <row r="68" spans="1:12" ht="51" hidden="1" x14ac:dyDescent="0.3">
      <c r="A68" s="67" t="s">
        <v>20</v>
      </c>
      <c r="B68" s="68" t="s">
        <v>161</v>
      </c>
      <c r="C68" s="68" t="s">
        <v>167</v>
      </c>
      <c r="D68" s="68" t="s">
        <v>156</v>
      </c>
      <c r="E68" s="69" t="s">
        <v>24</v>
      </c>
      <c r="F68" s="70" t="s">
        <v>25</v>
      </c>
      <c r="G68" s="70"/>
      <c r="H68" s="69" t="s">
        <v>24</v>
      </c>
      <c r="I68" s="74">
        <v>1916.7</v>
      </c>
      <c r="J68" s="74"/>
      <c r="K68" s="72" t="s">
        <v>19</v>
      </c>
      <c r="L68" s="73">
        <v>82458.13</v>
      </c>
    </row>
    <row r="69" spans="1:12" ht="51" hidden="1" x14ac:dyDescent="0.3">
      <c r="A69" s="67" t="s">
        <v>20</v>
      </c>
      <c r="B69" s="68" t="s">
        <v>161</v>
      </c>
      <c r="C69" s="68" t="s">
        <v>168</v>
      </c>
      <c r="D69" s="68" t="s">
        <v>157</v>
      </c>
      <c r="E69" s="69" t="s">
        <v>24</v>
      </c>
      <c r="F69" s="70" t="s">
        <v>25</v>
      </c>
      <c r="G69" s="70"/>
      <c r="H69" s="69" t="s">
        <v>24</v>
      </c>
      <c r="I69" s="71">
        <v>198.15</v>
      </c>
      <c r="J69" s="71"/>
      <c r="K69" s="72" t="s">
        <v>19</v>
      </c>
      <c r="L69" s="73">
        <v>82259.98</v>
      </c>
    </row>
    <row r="70" spans="1:12" ht="61.2" hidden="1" x14ac:dyDescent="0.3">
      <c r="A70" s="67" t="s">
        <v>20</v>
      </c>
      <c r="B70" s="68" t="s">
        <v>161</v>
      </c>
      <c r="C70" s="68" t="s">
        <v>169</v>
      </c>
      <c r="D70" s="68" t="s">
        <v>158</v>
      </c>
      <c r="E70" s="69" t="s">
        <v>24</v>
      </c>
      <c r="F70" s="70" t="s">
        <v>25</v>
      </c>
      <c r="G70" s="70"/>
      <c r="H70" s="69" t="s">
        <v>24</v>
      </c>
      <c r="I70" s="74">
        <v>1470</v>
      </c>
      <c r="J70" s="74"/>
      <c r="K70" s="72" t="s">
        <v>19</v>
      </c>
      <c r="L70" s="73">
        <v>80789.98</v>
      </c>
    </row>
    <row r="71" spans="1:12" ht="51" hidden="1" x14ac:dyDescent="0.3">
      <c r="A71" s="67" t="s">
        <v>20</v>
      </c>
      <c r="B71" s="68" t="s">
        <v>161</v>
      </c>
      <c r="C71" s="68" t="s">
        <v>170</v>
      </c>
      <c r="D71" s="68" t="s">
        <v>159</v>
      </c>
      <c r="E71" s="69" t="s">
        <v>24</v>
      </c>
      <c r="F71" s="70" t="s">
        <v>25</v>
      </c>
      <c r="G71" s="70"/>
      <c r="H71" s="69" t="s">
        <v>24</v>
      </c>
      <c r="I71" s="71">
        <v>644.75</v>
      </c>
      <c r="J71" s="71"/>
      <c r="K71" s="72" t="s">
        <v>19</v>
      </c>
      <c r="L71" s="73">
        <v>80145.23</v>
      </c>
    </row>
    <row r="72" spans="1:12" ht="51" hidden="1" x14ac:dyDescent="0.3">
      <c r="A72" s="67" t="s">
        <v>20</v>
      </c>
      <c r="B72" s="68" t="s">
        <v>161</v>
      </c>
      <c r="C72" s="68" t="s">
        <v>171</v>
      </c>
      <c r="D72" s="68" t="s">
        <v>147</v>
      </c>
      <c r="E72" s="69" t="s">
        <v>24</v>
      </c>
      <c r="F72" s="70" t="s">
        <v>25</v>
      </c>
      <c r="G72" s="70"/>
      <c r="H72" s="69" t="s">
        <v>24</v>
      </c>
      <c r="I72" s="74">
        <v>1410</v>
      </c>
      <c r="J72" s="74"/>
      <c r="K72" s="72" t="s">
        <v>19</v>
      </c>
      <c r="L72" s="73">
        <v>78735.23</v>
      </c>
    </row>
    <row r="73" spans="1:12" ht="51" hidden="1" x14ac:dyDescent="0.3">
      <c r="A73" s="67" t="s">
        <v>20</v>
      </c>
      <c r="B73" s="68" t="s">
        <v>161</v>
      </c>
      <c r="C73" s="68" t="s">
        <v>172</v>
      </c>
      <c r="D73" s="68" t="s">
        <v>160</v>
      </c>
      <c r="E73" s="69" t="s">
        <v>24</v>
      </c>
      <c r="F73" s="70" t="s">
        <v>25</v>
      </c>
      <c r="G73" s="70"/>
      <c r="H73" s="69" t="s">
        <v>24</v>
      </c>
      <c r="I73" s="71">
        <v>328.5</v>
      </c>
      <c r="J73" s="71"/>
      <c r="K73" s="72" t="s">
        <v>19</v>
      </c>
      <c r="L73" s="73">
        <v>78406.73</v>
      </c>
    </row>
    <row r="74" spans="1:12" ht="61.2" hidden="1" x14ac:dyDescent="0.3">
      <c r="A74" s="67" t="s">
        <v>20</v>
      </c>
      <c r="B74" s="68" t="s">
        <v>173</v>
      </c>
      <c r="C74" s="68" t="s">
        <v>174</v>
      </c>
      <c r="D74" s="68" t="s">
        <v>150</v>
      </c>
      <c r="E74" s="69" t="s">
        <v>24</v>
      </c>
      <c r="F74" s="70" t="s">
        <v>25</v>
      </c>
      <c r="G74" s="70"/>
      <c r="H74" s="69" t="s">
        <v>24</v>
      </c>
      <c r="I74" s="71">
        <v>268.75</v>
      </c>
      <c r="J74" s="71"/>
      <c r="K74" s="72" t="s">
        <v>19</v>
      </c>
      <c r="L74" s="73">
        <v>78137.98</v>
      </c>
    </row>
    <row r="75" spans="1:12" ht="71.400000000000006" hidden="1" x14ac:dyDescent="0.3">
      <c r="A75" s="67" t="s">
        <v>20</v>
      </c>
      <c r="B75" s="68" t="s">
        <v>173</v>
      </c>
      <c r="C75" s="68" t="s">
        <v>175</v>
      </c>
      <c r="D75" s="68" t="s">
        <v>152</v>
      </c>
      <c r="E75" s="69" t="s">
        <v>24</v>
      </c>
      <c r="F75" s="70" t="s">
        <v>25</v>
      </c>
      <c r="G75" s="70"/>
      <c r="H75" s="69" t="s">
        <v>24</v>
      </c>
      <c r="I75" s="74">
        <v>1116</v>
      </c>
      <c r="J75" s="74"/>
      <c r="K75" s="72" t="s">
        <v>19</v>
      </c>
      <c r="L75" s="73">
        <v>77021.98</v>
      </c>
    </row>
    <row r="76" spans="1:12" ht="61.2" hidden="1" x14ac:dyDescent="0.3">
      <c r="A76" s="67" t="s">
        <v>20</v>
      </c>
      <c r="B76" s="68" t="s">
        <v>173</v>
      </c>
      <c r="C76" s="68" t="s">
        <v>176</v>
      </c>
      <c r="D76" s="68" t="s">
        <v>153</v>
      </c>
      <c r="E76" s="69" t="s">
        <v>24</v>
      </c>
      <c r="F76" s="70" t="s">
        <v>25</v>
      </c>
      <c r="G76" s="70"/>
      <c r="H76" s="69" t="s">
        <v>24</v>
      </c>
      <c r="I76" s="74">
        <v>4461.45</v>
      </c>
      <c r="J76" s="74"/>
      <c r="K76" s="72" t="s">
        <v>19</v>
      </c>
      <c r="L76" s="73">
        <v>72560.53</v>
      </c>
    </row>
    <row r="77" spans="1:12" ht="61.2" hidden="1" x14ac:dyDescent="0.3">
      <c r="A77" s="67" t="s">
        <v>20</v>
      </c>
      <c r="B77" s="68" t="s">
        <v>173</v>
      </c>
      <c r="C77" s="68" t="s">
        <v>177</v>
      </c>
      <c r="D77" s="68" t="s">
        <v>147</v>
      </c>
      <c r="E77" s="69" t="s">
        <v>24</v>
      </c>
      <c r="F77" s="70" t="s">
        <v>25</v>
      </c>
      <c r="G77" s="70"/>
      <c r="H77" s="69" t="s">
        <v>24</v>
      </c>
      <c r="I77" s="74">
        <v>1410</v>
      </c>
      <c r="J77" s="74"/>
      <c r="K77" s="72" t="s">
        <v>19</v>
      </c>
      <c r="L77" s="73">
        <v>71150.53</v>
      </c>
    </row>
    <row r="78" spans="1:12" ht="51" hidden="1" x14ac:dyDescent="0.3">
      <c r="A78" s="67" t="s">
        <v>20</v>
      </c>
      <c r="B78" s="68" t="s">
        <v>178</v>
      </c>
      <c r="C78" s="68" t="s">
        <v>179</v>
      </c>
      <c r="D78" s="68" t="s">
        <v>150</v>
      </c>
      <c r="E78" s="69" t="s">
        <v>24</v>
      </c>
      <c r="F78" s="70" t="s">
        <v>25</v>
      </c>
      <c r="G78" s="70"/>
      <c r="H78" s="69" t="s">
        <v>24</v>
      </c>
      <c r="I78" s="71">
        <v>268.75</v>
      </c>
      <c r="J78" s="71"/>
      <c r="K78" s="72" t="s">
        <v>19</v>
      </c>
      <c r="L78" s="73">
        <v>70881.78</v>
      </c>
    </row>
    <row r="79" spans="1:12" ht="61.2" hidden="1" x14ac:dyDescent="0.3">
      <c r="A79" s="67" t="s">
        <v>20</v>
      </c>
      <c r="B79" s="68" t="s">
        <v>178</v>
      </c>
      <c r="C79" s="68" t="s">
        <v>180</v>
      </c>
      <c r="D79" s="68" t="s">
        <v>152</v>
      </c>
      <c r="E79" s="69" t="s">
        <v>24</v>
      </c>
      <c r="F79" s="70" t="s">
        <v>25</v>
      </c>
      <c r="G79" s="70"/>
      <c r="H79" s="69" t="s">
        <v>24</v>
      </c>
      <c r="I79" s="74">
        <v>1116</v>
      </c>
      <c r="J79" s="74"/>
      <c r="K79" s="72" t="s">
        <v>19</v>
      </c>
      <c r="L79" s="73">
        <v>69765.78</v>
      </c>
    </row>
    <row r="80" spans="1:12" ht="51" hidden="1" x14ac:dyDescent="0.3">
      <c r="A80" s="67" t="s">
        <v>20</v>
      </c>
      <c r="B80" s="68" t="s">
        <v>178</v>
      </c>
      <c r="C80" s="68" t="s">
        <v>181</v>
      </c>
      <c r="D80" s="68" t="s">
        <v>153</v>
      </c>
      <c r="E80" s="69" t="s">
        <v>24</v>
      </c>
      <c r="F80" s="70" t="s">
        <v>25</v>
      </c>
      <c r="G80" s="70"/>
      <c r="H80" s="69" t="s">
        <v>24</v>
      </c>
      <c r="I80" s="74">
        <v>4461.45</v>
      </c>
      <c r="J80" s="74"/>
      <c r="K80" s="72" t="s">
        <v>19</v>
      </c>
      <c r="L80" s="73">
        <v>65304.33</v>
      </c>
    </row>
    <row r="81" spans="1:12" ht="51" hidden="1" x14ac:dyDescent="0.3">
      <c r="A81" s="67" t="s">
        <v>20</v>
      </c>
      <c r="B81" s="68" t="s">
        <v>178</v>
      </c>
      <c r="C81" s="68" t="s">
        <v>182</v>
      </c>
      <c r="D81" s="68" t="s">
        <v>23</v>
      </c>
      <c r="E81" s="69" t="s">
        <v>24</v>
      </c>
      <c r="F81" s="70" t="s">
        <v>25</v>
      </c>
      <c r="G81" s="70"/>
      <c r="H81" s="69" t="s">
        <v>24</v>
      </c>
      <c r="I81" s="74">
        <v>1410</v>
      </c>
      <c r="J81" s="74"/>
      <c r="K81" s="72" t="s">
        <v>19</v>
      </c>
      <c r="L81" s="73">
        <v>63894.33</v>
      </c>
    </row>
    <row r="82" spans="1:12" ht="51" hidden="1" x14ac:dyDescent="0.3">
      <c r="A82" s="67" t="s">
        <v>20</v>
      </c>
      <c r="B82" s="68" t="s">
        <v>21</v>
      </c>
      <c r="C82" s="68" t="s">
        <v>22</v>
      </c>
      <c r="D82" s="68" t="s">
        <v>23</v>
      </c>
      <c r="E82" s="69" t="s">
        <v>24</v>
      </c>
      <c r="F82" s="70" t="s">
        <v>25</v>
      </c>
      <c r="G82" s="70"/>
      <c r="H82" s="69" t="s">
        <v>24</v>
      </c>
      <c r="I82" s="74">
        <v>1410</v>
      </c>
      <c r="J82" s="74"/>
      <c r="K82" s="72" t="s">
        <v>19</v>
      </c>
      <c r="L82" s="73">
        <v>62484.33</v>
      </c>
    </row>
    <row r="83" spans="1:12" ht="51" x14ac:dyDescent="0.3">
      <c r="A83" s="67" t="s">
        <v>26</v>
      </c>
      <c r="B83" s="68" t="s">
        <v>183</v>
      </c>
      <c r="C83" s="68" t="s">
        <v>28</v>
      </c>
      <c r="D83" s="68" t="s">
        <v>66</v>
      </c>
      <c r="E83" s="69" t="s">
        <v>30</v>
      </c>
      <c r="F83" s="70" t="s">
        <v>25</v>
      </c>
      <c r="G83" s="70"/>
      <c r="H83" s="69" t="s">
        <v>24</v>
      </c>
      <c r="I83" s="74">
        <v>2955</v>
      </c>
      <c r="J83" s="74"/>
      <c r="K83" s="72" t="s">
        <v>19</v>
      </c>
      <c r="L83" s="73">
        <v>59529.33</v>
      </c>
    </row>
    <row r="84" spans="1:12" ht="51" x14ac:dyDescent="0.3">
      <c r="A84" s="67" t="s">
        <v>26</v>
      </c>
      <c r="B84" s="68" t="s">
        <v>184</v>
      </c>
      <c r="C84" s="68" t="s">
        <v>28</v>
      </c>
      <c r="D84" s="68" t="s">
        <v>97</v>
      </c>
      <c r="E84" s="69" t="s">
        <v>30</v>
      </c>
      <c r="F84" s="70" t="s">
        <v>25</v>
      </c>
      <c r="G84" s="70"/>
      <c r="H84" s="69" t="s">
        <v>24</v>
      </c>
      <c r="I84" s="71">
        <v>726.45</v>
      </c>
      <c r="J84" s="71"/>
      <c r="K84" s="72" t="s">
        <v>19</v>
      </c>
      <c r="L84" s="73">
        <v>58802.879999999997</v>
      </c>
    </row>
    <row r="85" spans="1:12" ht="51" x14ac:dyDescent="0.3">
      <c r="A85" s="67" t="s">
        <v>26</v>
      </c>
      <c r="B85" s="68" t="s">
        <v>184</v>
      </c>
      <c r="C85" s="68" t="s">
        <v>28</v>
      </c>
      <c r="D85" s="68" t="s">
        <v>99</v>
      </c>
      <c r="E85" s="69" t="s">
        <v>30</v>
      </c>
      <c r="F85" s="70" t="s">
        <v>25</v>
      </c>
      <c r="G85" s="70"/>
      <c r="H85" s="69" t="s">
        <v>24</v>
      </c>
      <c r="I85" s="71">
        <v>342.9</v>
      </c>
      <c r="J85" s="71"/>
      <c r="K85" s="72" t="s">
        <v>19</v>
      </c>
      <c r="L85" s="73">
        <v>58459.98</v>
      </c>
    </row>
    <row r="86" spans="1:12" ht="51" x14ac:dyDescent="0.3">
      <c r="A86" s="67" t="s">
        <v>26</v>
      </c>
      <c r="B86" s="68" t="s">
        <v>184</v>
      </c>
      <c r="C86" s="68" t="s">
        <v>28</v>
      </c>
      <c r="D86" s="68" t="s">
        <v>101</v>
      </c>
      <c r="E86" s="69" t="s">
        <v>30</v>
      </c>
      <c r="F86" s="70" t="s">
        <v>25</v>
      </c>
      <c r="G86" s="70"/>
      <c r="H86" s="69" t="s">
        <v>24</v>
      </c>
      <c r="I86" s="71">
        <v>800</v>
      </c>
      <c r="J86" s="71"/>
      <c r="K86" s="72" t="s">
        <v>19</v>
      </c>
      <c r="L86" s="73">
        <v>57659.98</v>
      </c>
    </row>
    <row r="87" spans="1:12" ht="51" x14ac:dyDescent="0.3">
      <c r="A87" s="67" t="s">
        <v>26</v>
      </c>
      <c r="B87" s="68" t="s">
        <v>184</v>
      </c>
      <c r="C87" s="68" t="s">
        <v>28</v>
      </c>
      <c r="D87" s="68" t="s">
        <v>103</v>
      </c>
      <c r="E87" s="69" t="s">
        <v>30</v>
      </c>
      <c r="F87" s="70" t="s">
        <v>25</v>
      </c>
      <c r="G87" s="70"/>
      <c r="H87" s="69" t="s">
        <v>24</v>
      </c>
      <c r="I87" s="71">
        <v>310.64999999999998</v>
      </c>
      <c r="J87" s="71"/>
      <c r="K87" s="72" t="s">
        <v>19</v>
      </c>
      <c r="L87" s="73">
        <v>57349.33</v>
      </c>
    </row>
    <row r="88" spans="1:12" ht="51" x14ac:dyDescent="0.3">
      <c r="A88" s="67" t="s">
        <v>26</v>
      </c>
      <c r="B88" s="68" t="s">
        <v>184</v>
      </c>
      <c r="C88" s="68" t="s">
        <v>28</v>
      </c>
      <c r="D88" s="68" t="s">
        <v>105</v>
      </c>
      <c r="E88" s="69" t="s">
        <v>30</v>
      </c>
      <c r="F88" s="70" t="s">
        <v>25</v>
      </c>
      <c r="G88" s="70"/>
      <c r="H88" s="69" t="s">
        <v>24</v>
      </c>
      <c r="I88" s="71">
        <v>385.05</v>
      </c>
      <c r="J88" s="71"/>
      <c r="K88" s="72" t="s">
        <v>19</v>
      </c>
      <c r="L88" s="73">
        <v>56964.28</v>
      </c>
    </row>
    <row r="89" spans="1:12" ht="51" x14ac:dyDescent="0.3">
      <c r="A89" s="67" t="s">
        <v>26</v>
      </c>
      <c r="B89" s="68" t="s">
        <v>184</v>
      </c>
      <c r="C89" s="68" t="s">
        <v>28</v>
      </c>
      <c r="D89" s="68" t="s">
        <v>146</v>
      </c>
      <c r="E89" s="69" t="s">
        <v>30</v>
      </c>
      <c r="F89" s="70" t="s">
        <v>25</v>
      </c>
      <c r="G89" s="70"/>
      <c r="H89" s="69" t="s">
        <v>24</v>
      </c>
      <c r="I89" s="71">
        <v>726.25</v>
      </c>
      <c r="J89" s="71"/>
      <c r="K89" s="72" t="s">
        <v>19</v>
      </c>
      <c r="L89" s="73">
        <v>56238.03</v>
      </c>
    </row>
    <row r="90" spans="1:12" ht="51" x14ac:dyDescent="0.3">
      <c r="A90" s="67" t="s">
        <v>26</v>
      </c>
      <c r="B90" s="68" t="s">
        <v>184</v>
      </c>
      <c r="C90" s="68" t="s">
        <v>28</v>
      </c>
      <c r="D90" s="68" t="s">
        <v>23</v>
      </c>
      <c r="E90" s="69" t="s">
        <v>30</v>
      </c>
      <c r="F90" s="70" t="s">
        <v>25</v>
      </c>
      <c r="G90" s="70"/>
      <c r="H90" s="69" t="s">
        <v>24</v>
      </c>
      <c r="I90" s="74">
        <v>1128</v>
      </c>
      <c r="J90" s="74"/>
      <c r="K90" s="72" t="s">
        <v>19</v>
      </c>
      <c r="L90" s="73">
        <v>55110.03</v>
      </c>
    </row>
    <row r="91" spans="1:12" ht="61.2" x14ac:dyDescent="0.3">
      <c r="A91" s="67" t="s">
        <v>26</v>
      </c>
      <c r="B91" s="68" t="s">
        <v>184</v>
      </c>
      <c r="C91" s="68" t="s">
        <v>28</v>
      </c>
      <c r="D91" s="68" t="s">
        <v>148</v>
      </c>
      <c r="E91" s="69" t="s">
        <v>30</v>
      </c>
      <c r="F91" s="70" t="s">
        <v>25</v>
      </c>
      <c r="G91" s="70"/>
      <c r="H91" s="69" t="s">
        <v>24</v>
      </c>
      <c r="I91" s="71">
        <v>439</v>
      </c>
      <c r="J91" s="71"/>
      <c r="K91" s="72" t="s">
        <v>19</v>
      </c>
      <c r="L91" s="73">
        <v>54671.03</v>
      </c>
    </row>
    <row r="92" spans="1:12" ht="51" x14ac:dyDescent="0.3">
      <c r="A92" s="67" t="s">
        <v>26</v>
      </c>
      <c r="B92" s="68" t="s">
        <v>184</v>
      </c>
      <c r="C92" s="68" t="s">
        <v>28</v>
      </c>
      <c r="D92" s="68" t="s">
        <v>121</v>
      </c>
      <c r="E92" s="69" t="s">
        <v>30</v>
      </c>
      <c r="F92" s="70" t="s">
        <v>25</v>
      </c>
      <c r="G92" s="70"/>
      <c r="H92" s="69" t="s">
        <v>24</v>
      </c>
      <c r="I92" s="74">
        <v>1508.35</v>
      </c>
      <c r="J92" s="74"/>
      <c r="K92" s="72" t="s">
        <v>19</v>
      </c>
      <c r="L92" s="73">
        <v>53162.68</v>
      </c>
    </row>
    <row r="93" spans="1:12" ht="61.2" x14ac:dyDescent="0.3">
      <c r="A93" s="67" t="s">
        <v>26</v>
      </c>
      <c r="B93" s="68" t="s">
        <v>185</v>
      </c>
      <c r="C93" s="68" t="s">
        <v>28</v>
      </c>
      <c r="D93" s="68" t="s">
        <v>91</v>
      </c>
      <c r="E93" s="69" t="s">
        <v>30</v>
      </c>
      <c r="F93" s="70" t="s">
        <v>25</v>
      </c>
      <c r="G93" s="70"/>
      <c r="H93" s="69" t="s">
        <v>24</v>
      </c>
      <c r="I93" s="71">
        <v>682.27</v>
      </c>
      <c r="J93" s="71"/>
      <c r="K93" s="72" t="s">
        <v>19</v>
      </c>
      <c r="L93" s="73">
        <v>52480.41</v>
      </c>
    </row>
    <row r="94" spans="1:12" ht="61.2" x14ac:dyDescent="0.3">
      <c r="A94" s="67" t="s">
        <v>26</v>
      </c>
      <c r="B94" s="68" t="s">
        <v>185</v>
      </c>
      <c r="C94" s="68" t="s">
        <v>28</v>
      </c>
      <c r="D94" s="68" t="s">
        <v>93</v>
      </c>
      <c r="E94" s="69" t="s">
        <v>30</v>
      </c>
      <c r="F94" s="70" t="s">
        <v>25</v>
      </c>
      <c r="G94" s="70"/>
      <c r="H94" s="69" t="s">
        <v>24</v>
      </c>
      <c r="I94" s="71">
        <v>660.56</v>
      </c>
      <c r="J94" s="71"/>
      <c r="K94" s="72" t="s">
        <v>19</v>
      </c>
      <c r="L94" s="73">
        <v>51819.85</v>
      </c>
    </row>
    <row r="95" spans="1:12" ht="61.2" x14ac:dyDescent="0.3">
      <c r="A95" s="67" t="s">
        <v>26</v>
      </c>
      <c r="B95" s="68" t="s">
        <v>185</v>
      </c>
      <c r="C95" s="68" t="s">
        <v>28</v>
      </c>
      <c r="D95" s="68" t="s">
        <v>95</v>
      </c>
      <c r="E95" s="69" t="s">
        <v>30</v>
      </c>
      <c r="F95" s="70" t="s">
        <v>25</v>
      </c>
      <c r="G95" s="70"/>
      <c r="H95" s="69" t="s">
        <v>24</v>
      </c>
      <c r="I95" s="71">
        <v>156.4</v>
      </c>
      <c r="J95" s="71"/>
      <c r="K95" s="72" t="s">
        <v>19</v>
      </c>
      <c r="L95" s="73">
        <v>51663.45</v>
      </c>
    </row>
    <row r="96" spans="1:12" ht="51" x14ac:dyDescent="0.3">
      <c r="A96" s="67" t="s">
        <v>26</v>
      </c>
      <c r="B96" s="68" t="s">
        <v>185</v>
      </c>
      <c r="C96" s="68" t="s">
        <v>28</v>
      </c>
      <c r="D96" s="68" t="s">
        <v>186</v>
      </c>
      <c r="E96" s="69" t="s">
        <v>30</v>
      </c>
      <c r="F96" s="70" t="s">
        <v>25</v>
      </c>
      <c r="G96" s="70"/>
      <c r="H96" s="69" t="s">
        <v>24</v>
      </c>
      <c r="I96" s="74">
        <v>1490</v>
      </c>
      <c r="J96" s="74"/>
      <c r="K96" s="72" t="s">
        <v>19</v>
      </c>
      <c r="L96" s="73">
        <v>50173.45</v>
      </c>
    </row>
    <row r="97" spans="1:12" ht="61.2" x14ac:dyDescent="0.3">
      <c r="A97" s="67" t="s">
        <v>26</v>
      </c>
      <c r="B97" s="68" t="s">
        <v>185</v>
      </c>
      <c r="C97" s="68" t="s">
        <v>28</v>
      </c>
      <c r="D97" s="68" t="s">
        <v>107</v>
      </c>
      <c r="E97" s="69" t="s">
        <v>30</v>
      </c>
      <c r="F97" s="70" t="s">
        <v>25</v>
      </c>
      <c r="G97" s="70"/>
      <c r="H97" s="69" t="s">
        <v>24</v>
      </c>
      <c r="I97" s="71">
        <v>185</v>
      </c>
      <c r="J97" s="71"/>
      <c r="K97" s="72" t="s">
        <v>19</v>
      </c>
      <c r="L97" s="73">
        <v>49988.45</v>
      </c>
    </row>
    <row r="98" spans="1:12" ht="61.2" x14ac:dyDescent="0.3">
      <c r="A98" s="67" t="s">
        <v>26</v>
      </c>
      <c r="B98" s="68" t="s">
        <v>185</v>
      </c>
      <c r="C98" s="68" t="s">
        <v>28</v>
      </c>
      <c r="D98" s="68" t="s">
        <v>109</v>
      </c>
      <c r="E98" s="69" t="s">
        <v>30</v>
      </c>
      <c r="F98" s="70" t="s">
        <v>25</v>
      </c>
      <c r="G98" s="70"/>
      <c r="H98" s="69" t="s">
        <v>24</v>
      </c>
      <c r="I98" s="71">
        <v>185</v>
      </c>
      <c r="J98" s="71"/>
      <c r="K98" s="72" t="s">
        <v>19</v>
      </c>
      <c r="L98" s="73">
        <v>49803.45</v>
      </c>
    </row>
    <row r="99" spans="1:12" ht="51" x14ac:dyDescent="0.3">
      <c r="A99" s="67" t="s">
        <v>26</v>
      </c>
      <c r="B99" s="68" t="s">
        <v>185</v>
      </c>
      <c r="C99" s="68" t="s">
        <v>28</v>
      </c>
      <c r="D99" s="68" t="s">
        <v>111</v>
      </c>
      <c r="E99" s="69" t="s">
        <v>30</v>
      </c>
      <c r="F99" s="70" t="s">
        <v>25</v>
      </c>
      <c r="G99" s="70"/>
      <c r="H99" s="69" t="s">
        <v>24</v>
      </c>
      <c r="I99" s="71">
        <v>324</v>
      </c>
      <c r="J99" s="71"/>
      <c r="K99" s="72" t="s">
        <v>19</v>
      </c>
      <c r="L99" s="73">
        <v>49479.45</v>
      </c>
    </row>
    <row r="100" spans="1:12" ht="51" x14ac:dyDescent="0.3">
      <c r="A100" s="67" t="s">
        <v>26</v>
      </c>
      <c r="B100" s="68" t="s">
        <v>185</v>
      </c>
      <c r="C100" s="68" t="s">
        <v>28</v>
      </c>
      <c r="D100" s="68" t="s">
        <v>113</v>
      </c>
      <c r="E100" s="69" t="s">
        <v>30</v>
      </c>
      <c r="F100" s="70" t="s">
        <v>25</v>
      </c>
      <c r="G100" s="70"/>
      <c r="H100" s="69" t="s">
        <v>24</v>
      </c>
      <c r="I100" s="71">
        <v>545.70000000000005</v>
      </c>
      <c r="J100" s="71"/>
      <c r="K100" s="72" t="s">
        <v>19</v>
      </c>
      <c r="L100" s="73">
        <v>48933.75</v>
      </c>
    </row>
    <row r="101" spans="1:12" ht="61.2" x14ac:dyDescent="0.3">
      <c r="A101" s="67" t="s">
        <v>26</v>
      </c>
      <c r="B101" s="68" t="s">
        <v>185</v>
      </c>
      <c r="C101" s="68" t="s">
        <v>28</v>
      </c>
      <c r="D101" s="68" t="s">
        <v>115</v>
      </c>
      <c r="E101" s="69" t="s">
        <v>30</v>
      </c>
      <c r="F101" s="70" t="s">
        <v>25</v>
      </c>
      <c r="G101" s="70"/>
      <c r="H101" s="69" t="s">
        <v>24</v>
      </c>
      <c r="I101" s="71">
        <v>248</v>
      </c>
      <c r="J101" s="71"/>
      <c r="K101" s="72" t="s">
        <v>19</v>
      </c>
      <c r="L101" s="73">
        <v>48685.75</v>
      </c>
    </row>
    <row r="102" spans="1:12" ht="51" x14ac:dyDescent="0.3">
      <c r="A102" s="67" t="s">
        <v>26</v>
      </c>
      <c r="B102" s="68" t="s">
        <v>185</v>
      </c>
      <c r="C102" s="68" t="s">
        <v>28</v>
      </c>
      <c r="D102" s="68" t="s">
        <v>117</v>
      </c>
      <c r="E102" s="69" t="s">
        <v>30</v>
      </c>
      <c r="F102" s="70" t="s">
        <v>25</v>
      </c>
      <c r="G102" s="70"/>
      <c r="H102" s="69" t="s">
        <v>24</v>
      </c>
      <c r="I102" s="71">
        <v>849</v>
      </c>
      <c r="J102" s="71"/>
      <c r="K102" s="72" t="s">
        <v>19</v>
      </c>
      <c r="L102" s="73">
        <v>47836.75</v>
      </c>
    </row>
    <row r="103" spans="1:12" ht="71.400000000000006" x14ac:dyDescent="0.3">
      <c r="A103" s="67" t="s">
        <v>26</v>
      </c>
      <c r="B103" s="68" t="s">
        <v>185</v>
      </c>
      <c r="C103" s="68" t="s">
        <v>28</v>
      </c>
      <c r="D103" s="68" t="s">
        <v>127</v>
      </c>
      <c r="E103" s="69" t="s">
        <v>30</v>
      </c>
      <c r="F103" s="70" t="s">
        <v>25</v>
      </c>
      <c r="G103" s="70"/>
      <c r="H103" s="69" t="s">
        <v>24</v>
      </c>
      <c r="I103" s="71">
        <v>472</v>
      </c>
      <c r="J103" s="71"/>
      <c r="K103" s="72" t="s">
        <v>19</v>
      </c>
      <c r="L103" s="73">
        <v>47364.75</v>
      </c>
    </row>
    <row r="104" spans="1:12" ht="51" x14ac:dyDescent="0.3">
      <c r="A104" s="67" t="s">
        <v>26</v>
      </c>
      <c r="B104" s="68" t="s">
        <v>185</v>
      </c>
      <c r="C104" s="68" t="s">
        <v>28</v>
      </c>
      <c r="D104" s="68" t="s">
        <v>141</v>
      </c>
      <c r="E104" s="69" t="s">
        <v>30</v>
      </c>
      <c r="F104" s="70" t="s">
        <v>25</v>
      </c>
      <c r="G104" s="70"/>
      <c r="H104" s="69" t="s">
        <v>24</v>
      </c>
      <c r="I104" s="74">
        <v>1917</v>
      </c>
      <c r="J104" s="74"/>
      <c r="K104" s="72" t="s">
        <v>19</v>
      </c>
      <c r="L104" s="73">
        <v>45447.75</v>
      </c>
    </row>
    <row r="105" spans="1:12" ht="51" x14ac:dyDescent="0.3">
      <c r="A105" s="67" t="s">
        <v>26</v>
      </c>
      <c r="B105" s="68" t="s">
        <v>185</v>
      </c>
      <c r="C105" s="68" t="s">
        <v>28</v>
      </c>
      <c r="D105" s="68" t="s">
        <v>131</v>
      </c>
      <c r="E105" s="69" t="s">
        <v>30</v>
      </c>
      <c r="F105" s="70" t="s">
        <v>25</v>
      </c>
      <c r="G105" s="70"/>
      <c r="H105" s="69" t="s">
        <v>24</v>
      </c>
      <c r="I105" s="71">
        <v>735</v>
      </c>
      <c r="J105" s="71"/>
      <c r="K105" s="72" t="s">
        <v>19</v>
      </c>
      <c r="L105" s="73">
        <v>44712.75</v>
      </c>
    </row>
    <row r="106" spans="1:12" ht="51" x14ac:dyDescent="0.3">
      <c r="A106" s="67" t="s">
        <v>26</v>
      </c>
      <c r="B106" s="68" t="s">
        <v>185</v>
      </c>
      <c r="C106" s="68" t="s">
        <v>28</v>
      </c>
      <c r="D106" s="68" t="s">
        <v>135</v>
      </c>
      <c r="E106" s="69" t="s">
        <v>30</v>
      </c>
      <c r="F106" s="70" t="s">
        <v>25</v>
      </c>
      <c r="G106" s="70"/>
      <c r="H106" s="69" t="s">
        <v>24</v>
      </c>
      <c r="I106" s="71">
        <v>636.70000000000005</v>
      </c>
      <c r="J106" s="71"/>
      <c r="K106" s="72" t="s">
        <v>19</v>
      </c>
      <c r="L106" s="73">
        <v>44076.05</v>
      </c>
    </row>
    <row r="107" spans="1:12" ht="51" x14ac:dyDescent="0.3">
      <c r="A107" s="67" t="s">
        <v>26</v>
      </c>
      <c r="B107" s="68" t="s">
        <v>185</v>
      </c>
      <c r="C107" s="68" t="s">
        <v>28</v>
      </c>
      <c r="D107" s="68" t="s">
        <v>137</v>
      </c>
      <c r="E107" s="69" t="s">
        <v>30</v>
      </c>
      <c r="F107" s="70" t="s">
        <v>25</v>
      </c>
      <c r="G107" s="70"/>
      <c r="H107" s="69" t="s">
        <v>24</v>
      </c>
      <c r="I107" s="71">
        <v>636.70000000000005</v>
      </c>
      <c r="J107" s="71"/>
      <c r="K107" s="72" t="s">
        <v>19</v>
      </c>
      <c r="L107" s="73">
        <v>43439.35</v>
      </c>
    </row>
    <row r="108" spans="1:12" ht="51" x14ac:dyDescent="0.3">
      <c r="A108" s="67" t="s">
        <v>26</v>
      </c>
      <c r="B108" s="68" t="s">
        <v>185</v>
      </c>
      <c r="C108" s="68" t="s">
        <v>28</v>
      </c>
      <c r="D108" s="68" t="s">
        <v>123</v>
      </c>
      <c r="E108" s="69" t="s">
        <v>30</v>
      </c>
      <c r="F108" s="70" t="s">
        <v>25</v>
      </c>
      <c r="G108" s="70"/>
      <c r="H108" s="69" t="s">
        <v>24</v>
      </c>
      <c r="I108" s="71">
        <v>838</v>
      </c>
      <c r="J108" s="71"/>
      <c r="K108" s="72" t="s">
        <v>19</v>
      </c>
      <c r="L108" s="73">
        <v>42601.35</v>
      </c>
    </row>
    <row r="109" spans="1:12" ht="61.2" x14ac:dyDescent="0.3">
      <c r="A109" s="67" t="s">
        <v>50</v>
      </c>
      <c r="B109" s="68" t="s">
        <v>187</v>
      </c>
      <c r="C109" s="68" t="s">
        <v>28</v>
      </c>
      <c r="D109" s="68" t="s">
        <v>144</v>
      </c>
      <c r="E109" s="69" t="s">
        <v>30</v>
      </c>
      <c r="F109" s="70" t="s">
        <v>25</v>
      </c>
      <c r="G109" s="70"/>
      <c r="H109" s="69" t="s">
        <v>24</v>
      </c>
      <c r="I109" s="71">
        <v>639.75</v>
      </c>
      <c r="J109" s="71"/>
      <c r="K109" s="72" t="s">
        <v>19</v>
      </c>
      <c r="L109" s="73">
        <v>41961.599999999999</v>
      </c>
    </row>
    <row r="110" spans="1:12" ht="51" x14ac:dyDescent="0.3">
      <c r="A110" s="67" t="s">
        <v>50</v>
      </c>
      <c r="B110" s="68" t="s">
        <v>187</v>
      </c>
      <c r="C110" s="68" t="s">
        <v>28</v>
      </c>
      <c r="D110" s="68" t="s">
        <v>23</v>
      </c>
      <c r="E110" s="69" t="s">
        <v>30</v>
      </c>
      <c r="F110" s="70" t="s">
        <v>25</v>
      </c>
      <c r="G110" s="70"/>
      <c r="H110" s="69" t="s">
        <v>24</v>
      </c>
      <c r="I110" s="74">
        <v>1692</v>
      </c>
      <c r="J110" s="74"/>
      <c r="K110" s="72" t="s">
        <v>19</v>
      </c>
      <c r="L110" s="73">
        <v>40269.599999999999</v>
      </c>
    </row>
    <row r="111" spans="1:12" ht="51" x14ac:dyDescent="0.3">
      <c r="A111" s="67" t="s">
        <v>50</v>
      </c>
      <c r="B111" s="68" t="s">
        <v>187</v>
      </c>
      <c r="C111" s="68" t="s">
        <v>28</v>
      </c>
      <c r="D111" s="68" t="s">
        <v>125</v>
      </c>
      <c r="E111" s="69" t="s">
        <v>30</v>
      </c>
      <c r="F111" s="70" t="s">
        <v>25</v>
      </c>
      <c r="G111" s="70"/>
      <c r="H111" s="69" t="s">
        <v>24</v>
      </c>
      <c r="I111" s="74">
        <v>1800.3</v>
      </c>
      <c r="J111" s="74"/>
      <c r="K111" s="72" t="s">
        <v>19</v>
      </c>
      <c r="L111" s="73">
        <v>38469.300000000003</v>
      </c>
    </row>
    <row r="112" spans="1:12" ht="51" x14ac:dyDescent="0.3">
      <c r="A112" s="67" t="s">
        <v>50</v>
      </c>
      <c r="B112" s="68" t="s">
        <v>187</v>
      </c>
      <c r="C112" s="68" t="s">
        <v>28</v>
      </c>
      <c r="D112" s="68" t="s">
        <v>188</v>
      </c>
      <c r="E112" s="69" t="s">
        <v>30</v>
      </c>
      <c r="F112" s="70" t="s">
        <v>25</v>
      </c>
      <c r="G112" s="70"/>
      <c r="H112" s="69" t="s">
        <v>24</v>
      </c>
      <c r="I112" s="71">
        <v>399</v>
      </c>
      <c r="J112" s="71"/>
      <c r="K112" s="72" t="s">
        <v>19</v>
      </c>
      <c r="L112" s="73">
        <v>38070.300000000003</v>
      </c>
    </row>
    <row r="113" spans="1:12" ht="51" x14ac:dyDescent="0.3">
      <c r="A113" s="67" t="s">
        <v>50</v>
      </c>
      <c r="B113" s="68" t="s">
        <v>187</v>
      </c>
      <c r="C113" s="68" t="s">
        <v>28</v>
      </c>
      <c r="D113" s="68" t="s">
        <v>143</v>
      </c>
      <c r="E113" s="69" t="s">
        <v>30</v>
      </c>
      <c r="F113" s="70" t="s">
        <v>25</v>
      </c>
      <c r="G113" s="70"/>
      <c r="H113" s="69" t="s">
        <v>24</v>
      </c>
      <c r="I113" s="74">
        <v>2728.05</v>
      </c>
      <c r="J113" s="74"/>
      <c r="K113" s="72" t="s">
        <v>19</v>
      </c>
      <c r="L113" s="73">
        <v>35342.25</v>
      </c>
    </row>
    <row r="114" spans="1:12" ht="51" x14ac:dyDescent="0.3">
      <c r="A114" s="67" t="s">
        <v>50</v>
      </c>
      <c r="B114" s="68" t="s">
        <v>187</v>
      </c>
      <c r="C114" s="68" t="s">
        <v>28</v>
      </c>
      <c r="D114" s="68" t="s">
        <v>66</v>
      </c>
      <c r="E114" s="69" t="s">
        <v>30</v>
      </c>
      <c r="F114" s="70" t="s">
        <v>25</v>
      </c>
      <c r="G114" s="70"/>
      <c r="H114" s="69" t="s">
        <v>24</v>
      </c>
      <c r="I114" s="74">
        <v>1477.5</v>
      </c>
      <c r="J114" s="74"/>
      <c r="K114" s="72" t="s">
        <v>19</v>
      </c>
      <c r="L114" s="73">
        <v>33864.75</v>
      </c>
    </row>
    <row r="115" spans="1:12" ht="51" x14ac:dyDescent="0.3">
      <c r="A115" s="67" t="s">
        <v>50</v>
      </c>
      <c r="B115" s="68" t="s">
        <v>189</v>
      </c>
      <c r="C115" s="68" t="s">
        <v>28</v>
      </c>
      <c r="D115" s="68" t="s">
        <v>64</v>
      </c>
      <c r="E115" s="69" t="s">
        <v>30</v>
      </c>
      <c r="F115" s="70" t="s">
        <v>25</v>
      </c>
      <c r="G115" s="70"/>
      <c r="H115" s="69" t="s">
        <v>24</v>
      </c>
      <c r="I115" s="74">
        <v>7174.35</v>
      </c>
      <c r="J115" s="74"/>
      <c r="K115" s="72" t="s">
        <v>19</v>
      </c>
      <c r="L115" s="73">
        <v>26690.400000000001</v>
      </c>
    </row>
    <row r="116" spans="1:12" ht="51" x14ac:dyDescent="0.3">
      <c r="A116" s="67" t="s">
        <v>50</v>
      </c>
      <c r="B116" s="68" t="s">
        <v>189</v>
      </c>
      <c r="C116" s="68" t="s">
        <v>28</v>
      </c>
      <c r="D116" s="68" t="s">
        <v>66</v>
      </c>
      <c r="E116" s="69" t="s">
        <v>30</v>
      </c>
      <c r="F116" s="70" t="s">
        <v>25</v>
      </c>
      <c r="G116" s="70"/>
      <c r="H116" s="69" t="s">
        <v>24</v>
      </c>
      <c r="I116" s="74">
        <v>4432.5</v>
      </c>
      <c r="J116" s="74"/>
      <c r="K116" s="72" t="s">
        <v>19</v>
      </c>
      <c r="L116" s="73">
        <v>22257.9</v>
      </c>
    </row>
    <row r="117" spans="1:12" ht="51" hidden="1" x14ac:dyDescent="0.3">
      <c r="A117" s="67" t="s">
        <v>50</v>
      </c>
      <c r="B117" s="68" t="s">
        <v>190</v>
      </c>
      <c r="C117" s="68" t="s">
        <v>191</v>
      </c>
      <c r="D117" s="68" t="s">
        <v>65</v>
      </c>
      <c r="E117" s="69" t="s">
        <v>192</v>
      </c>
      <c r="F117" s="70" t="s">
        <v>25</v>
      </c>
      <c r="G117" s="70"/>
      <c r="H117" s="69" t="s">
        <v>24</v>
      </c>
      <c r="I117" s="74">
        <v>2312.3000000000002</v>
      </c>
      <c r="J117" s="74"/>
      <c r="K117" s="72" t="s">
        <v>19</v>
      </c>
      <c r="L117" s="73">
        <v>19945.599999999999</v>
      </c>
    </row>
    <row r="118" spans="1:12" ht="61.2" hidden="1" x14ac:dyDescent="0.3">
      <c r="A118" s="67" t="s">
        <v>50</v>
      </c>
      <c r="B118" s="68" t="s">
        <v>193</v>
      </c>
      <c r="C118" s="68" t="s">
        <v>194</v>
      </c>
      <c r="D118" s="68" t="s">
        <v>195</v>
      </c>
      <c r="E118" s="69" t="s">
        <v>24</v>
      </c>
      <c r="F118" s="75">
        <v>5650</v>
      </c>
      <c r="G118" s="75"/>
      <c r="H118" s="69" t="s">
        <v>73</v>
      </c>
      <c r="I118" s="76" t="s">
        <v>25</v>
      </c>
      <c r="J118" s="76"/>
      <c r="K118" s="72" t="s">
        <v>19</v>
      </c>
      <c r="L118" s="73">
        <v>25595.599999999999</v>
      </c>
    </row>
    <row r="119" spans="1:12" ht="51" hidden="1" x14ac:dyDescent="0.3">
      <c r="A119" s="67" t="s">
        <v>50</v>
      </c>
      <c r="B119" s="68" t="s">
        <v>193</v>
      </c>
      <c r="C119" s="68" t="s">
        <v>196</v>
      </c>
      <c r="D119" s="68" t="s">
        <v>195</v>
      </c>
      <c r="E119" s="69" t="s">
        <v>24</v>
      </c>
      <c r="F119" s="77">
        <v>367</v>
      </c>
      <c r="G119" s="77"/>
      <c r="H119" s="69" t="s">
        <v>73</v>
      </c>
      <c r="I119" s="76" t="s">
        <v>25</v>
      </c>
      <c r="J119" s="76"/>
      <c r="K119" s="72" t="s">
        <v>19</v>
      </c>
      <c r="L119" s="73">
        <v>25962.6</v>
      </c>
    </row>
    <row r="120" spans="1:12" ht="51" hidden="1" x14ac:dyDescent="0.3">
      <c r="A120" s="67" t="s">
        <v>50</v>
      </c>
      <c r="B120" s="68" t="s">
        <v>193</v>
      </c>
      <c r="C120" s="68" t="s">
        <v>197</v>
      </c>
      <c r="D120" s="68" t="s">
        <v>195</v>
      </c>
      <c r="E120" s="69" t="s">
        <v>24</v>
      </c>
      <c r="F120" s="77">
        <v>392</v>
      </c>
      <c r="G120" s="77"/>
      <c r="H120" s="69" t="s">
        <v>73</v>
      </c>
      <c r="I120" s="76" t="s">
        <v>25</v>
      </c>
      <c r="J120" s="76"/>
      <c r="K120" s="72" t="s">
        <v>19</v>
      </c>
      <c r="L120" s="73">
        <v>26354.6</v>
      </c>
    </row>
    <row r="121" spans="1:12" ht="51" hidden="1" x14ac:dyDescent="0.3">
      <c r="A121" s="67" t="s">
        <v>50</v>
      </c>
      <c r="B121" s="68" t="s">
        <v>193</v>
      </c>
      <c r="C121" s="68" t="s">
        <v>198</v>
      </c>
      <c r="D121" s="68" t="s">
        <v>195</v>
      </c>
      <c r="E121" s="69" t="s">
        <v>24</v>
      </c>
      <c r="F121" s="77">
        <v>591</v>
      </c>
      <c r="G121" s="77"/>
      <c r="H121" s="69" t="s">
        <v>73</v>
      </c>
      <c r="I121" s="76" t="s">
        <v>25</v>
      </c>
      <c r="J121" s="76"/>
      <c r="K121" s="72" t="s">
        <v>19</v>
      </c>
      <c r="L121" s="73">
        <v>26945.599999999999</v>
      </c>
    </row>
    <row r="122" spans="1:12" ht="61.2" hidden="1" x14ac:dyDescent="0.3">
      <c r="A122" s="67" t="s">
        <v>50</v>
      </c>
      <c r="B122" s="68" t="s">
        <v>193</v>
      </c>
      <c r="C122" s="68" t="s">
        <v>199</v>
      </c>
      <c r="D122" s="68" t="s">
        <v>195</v>
      </c>
      <c r="E122" s="69" t="s">
        <v>24</v>
      </c>
      <c r="F122" s="75">
        <v>2402</v>
      </c>
      <c r="G122" s="75"/>
      <c r="H122" s="69" t="s">
        <v>73</v>
      </c>
      <c r="I122" s="76" t="s">
        <v>25</v>
      </c>
      <c r="J122" s="76"/>
      <c r="K122" s="72" t="s">
        <v>19</v>
      </c>
      <c r="L122" s="73">
        <v>29347.599999999999</v>
      </c>
    </row>
    <row r="123" spans="1:12" ht="61.2" hidden="1" x14ac:dyDescent="0.3">
      <c r="A123" s="67" t="s">
        <v>50</v>
      </c>
      <c r="B123" s="68" t="s">
        <v>193</v>
      </c>
      <c r="C123" s="68" t="s">
        <v>200</v>
      </c>
      <c r="D123" s="68" t="s">
        <v>195</v>
      </c>
      <c r="E123" s="69" t="s">
        <v>24</v>
      </c>
      <c r="F123" s="75">
        <v>1756</v>
      </c>
      <c r="G123" s="75"/>
      <c r="H123" s="69" t="s">
        <v>73</v>
      </c>
      <c r="I123" s="76" t="s">
        <v>25</v>
      </c>
      <c r="J123" s="76"/>
      <c r="K123" s="72" t="s">
        <v>19</v>
      </c>
      <c r="L123" s="73">
        <v>31103.599999999999</v>
      </c>
    </row>
    <row r="124" spans="1:12" ht="51" hidden="1" x14ac:dyDescent="0.3">
      <c r="A124" s="67" t="s">
        <v>50</v>
      </c>
      <c r="B124" s="68" t="s">
        <v>193</v>
      </c>
      <c r="C124" s="68" t="s">
        <v>201</v>
      </c>
      <c r="D124" s="68" t="s">
        <v>195</v>
      </c>
      <c r="E124" s="69" t="s">
        <v>24</v>
      </c>
      <c r="F124" s="75">
        <v>2905</v>
      </c>
      <c r="G124" s="75"/>
      <c r="H124" s="69" t="s">
        <v>73</v>
      </c>
      <c r="I124" s="76" t="s">
        <v>25</v>
      </c>
      <c r="J124" s="76"/>
      <c r="K124" s="72" t="s">
        <v>19</v>
      </c>
      <c r="L124" s="73">
        <v>34008.6</v>
      </c>
    </row>
    <row r="125" spans="1:12" ht="51" hidden="1" x14ac:dyDescent="0.3">
      <c r="A125" s="67" t="s">
        <v>50</v>
      </c>
      <c r="B125" s="68" t="s">
        <v>193</v>
      </c>
      <c r="C125" s="68" t="s">
        <v>202</v>
      </c>
      <c r="D125" s="68" t="s">
        <v>195</v>
      </c>
      <c r="E125" s="69" t="s">
        <v>24</v>
      </c>
      <c r="F125" s="75">
        <v>1132.5</v>
      </c>
      <c r="G125" s="75"/>
      <c r="H125" s="69" t="s">
        <v>73</v>
      </c>
      <c r="I125" s="76" t="s">
        <v>25</v>
      </c>
      <c r="J125" s="76"/>
      <c r="K125" s="72" t="s">
        <v>19</v>
      </c>
      <c r="L125" s="73">
        <v>35141.1</v>
      </c>
    </row>
    <row r="126" spans="1:12" ht="61.2" hidden="1" x14ac:dyDescent="0.3">
      <c r="A126" s="67" t="s">
        <v>50</v>
      </c>
      <c r="B126" s="68" t="s">
        <v>193</v>
      </c>
      <c r="C126" s="68" t="s">
        <v>203</v>
      </c>
      <c r="D126" s="68" t="s">
        <v>195</v>
      </c>
      <c r="E126" s="69" t="s">
        <v>24</v>
      </c>
      <c r="F126" s="75">
        <v>6084.5</v>
      </c>
      <c r="G126" s="75"/>
      <c r="H126" s="69" t="s">
        <v>73</v>
      </c>
      <c r="I126" s="76" t="s">
        <v>25</v>
      </c>
      <c r="J126" s="76"/>
      <c r="K126" s="72" t="s">
        <v>19</v>
      </c>
      <c r="L126" s="73">
        <v>41225.599999999999</v>
      </c>
    </row>
    <row r="127" spans="1:12" ht="51" hidden="1" x14ac:dyDescent="0.3">
      <c r="A127" s="67" t="s">
        <v>50</v>
      </c>
      <c r="B127" s="68" t="s">
        <v>193</v>
      </c>
      <c r="C127" s="68" t="s">
        <v>204</v>
      </c>
      <c r="D127" s="68" t="s">
        <v>195</v>
      </c>
      <c r="E127" s="69" t="s">
        <v>24</v>
      </c>
      <c r="F127" s="77">
        <v>254.05</v>
      </c>
      <c r="G127" s="77"/>
      <c r="H127" s="69" t="s">
        <v>73</v>
      </c>
      <c r="I127" s="76" t="s">
        <v>25</v>
      </c>
      <c r="J127" s="76"/>
      <c r="K127" s="72" t="s">
        <v>19</v>
      </c>
      <c r="L127" s="73">
        <v>41479.65</v>
      </c>
    </row>
    <row r="128" spans="1:12" ht="51" hidden="1" x14ac:dyDescent="0.3">
      <c r="A128" s="67" t="s">
        <v>50</v>
      </c>
      <c r="B128" s="68" t="s">
        <v>193</v>
      </c>
      <c r="C128" s="68" t="s">
        <v>205</v>
      </c>
      <c r="D128" s="68" t="s">
        <v>195</v>
      </c>
      <c r="E128" s="69" t="s">
        <v>24</v>
      </c>
      <c r="F128" s="77">
        <v>289.3</v>
      </c>
      <c r="G128" s="77"/>
      <c r="H128" s="69" t="s">
        <v>73</v>
      </c>
      <c r="I128" s="76" t="s">
        <v>25</v>
      </c>
      <c r="J128" s="76"/>
      <c r="K128" s="72" t="s">
        <v>19</v>
      </c>
      <c r="L128" s="73">
        <v>41768.949999999997</v>
      </c>
    </row>
    <row r="129" spans="1:12" ht="51" hidden="1" x14ac:dyDescent="0.3">
      <c r="A129" s="67" t="s">
        <v>50</v>
      </c>
      <c r="B129" s="68" t="s">
        <v>193</v>
      </c>
      <c r="C129" s="68" t="s">
        <v>206</v>
      </c>
      <c r="D129" s="68" t="s">
        <v>195</v>
      </c>
      <c r="E129" s="69" t="s">
        <v>24</v>
      </c>
      <c r="F129" s="75">
        <v>2427.5</v>
      </c>
      <c r="G129" s="75"/>
      <c r="H129" s="69" t="s">
        <v>73</v>
      </c>
      <c r="I129" s="76" t="s">
        <v>25</v>
      </c>
      <c r="J129" s="76"/>
      <c r="K129" s="72" t="s">
        <v>19</v>
      </c>
      <c r="L129" s="73">
        <v>44196.45</v>
      </c>
    </row>
    <row r="130" spans="1:12" ht="51" hidden="1" x14ac:dyDescent="0.3">
      <c r="A130" s="67" t="s">
        <v>50</v>
      </c>
      <c r="B130" s="68" t="s">
        <v>193</v>
      </c>
      <c r="C130" s="68" t="s">
        <v>207</v>
      </c>
      <c r="D130" s="68" t="s">
        <v>195</v>
      </c>
      <c r="E130" s="69" t="s">
        <v>24</v>
      </c>
      <c r="F130" s="77">
        <v>608</v>
      </c>
      <c r="G130" s="77"/>
      <c r="H130" s="69" t="s">
        <v>73</v>
      </c>
      <c r="I130" s="76" t="s">
        <v>25</v>
      </c>
      <c r="J130" s="76"/>
      <c r="K130" s="72" t="s">
        <v>19</v>
      </c>
      <c r="L130" s="73">
        <v>44804.45</v>
      </c>
    </row>
    <row r="131" spans="1:12" ht="51" hidden="1" x14ac:dyDescent="0.3">
      <c r="A131" s="67" t="s">
        <v>50</v>
      </c>
      <c r="B131" s="68" t="s">
        <v>193</v>
      </c>
      <c r="C131" s="68" t="s">
        <v>208</v>
      </c>
      <c r="D131" s="68" t="s">
        <v>195</v>
      </c>
      <c r="E131" s="69" t="s">
        <v>24</v>
      </c>
      <c r="F131" s="77">
        <v>996.75</v>
      </c>
      <c r="G131" s="77"/>
      <c r="H131" s="69" t="s">
        <v>73</v>
      </c>
      <c r="I131" s="76" t="s">
        <v>25</v>
      </c>
      <c r="J131" s="76"/>
      <c r="K131" s="72" t="s">
        <v>19</v>
      </c>
      <c r="L131" s="73">
        <v>45801.2</v>
      </c>
    </row>
    <row r="132" spans="1:12" ht="51" hidden="1" x14ac:dyDescent="0.3">
      <c r="A132" s="67" t="s">
        <v>50</v>
      </c>
      <c r="B132" s="68" t="s">
        <v>193</v>
      </c>
      <c r="C132" s="68" t="s">
        <v>53</v>
      </c>
      <c r="D132" s="68" t="s">
        <v>195</v>
      </c>
      <c r="E132" s="69" t="s">
        <v>24</v>
      </c>
      <c r="F132" s="77">
        <v>543.1</v>
      </c>
      <c r="G132" s="77"/>
      <c r="H132" s="69" t="s">
        <v>73</v>
      </c>
      <c r="I132" s="76" t="s">
        <v>25</v>
      </c>
      <c r="J132" s="76"/>
      <c r="K132" s="72" t="s">
        <v>19</v>
      </c>
      <c r="L132" s="73">
        <v>46344.3</v>
      </c>
    </row>
    <row r="133" spans="1:12" ht="51" hidden="1" x14ac:dyDescent="0.3">
      <c r="A133" s="67" t="s">
        <v>50</v>
      </c>
      <c r="B133" s="68" t="s">
        <v>193</v>
      </c>
      <c r="C133" s="68" t="s">
        <v>209</v>
      </c>
      <c r="D133" s="68" t="s">
        <v>195</v>
      </c>
      <c r="E133" s="69" t="s">
        <v>24</v>
      </c>
      <c r="F133" s="77">
        <v>195</v>
      </c>
      <c r="G133" s="77"/>
      <c r="H133" s="69" t="s">
        <v>73</v>
      </c>
      <c r="I133" s="76" t="s">
        <v>25</v>
      </c>
      <c r="J133" s="76"/>
      <c r="K133" s="72" t="s">
        <v>19</v>
      </c>
      <c r="L133" s="73">
        <v>46539.3</v>
      </c>
    </row>
    <row r="134" spans="1:12" ht="51" hidden="1" x14ac:dyDescent="0.3">
      <c r="A134" s="67" t="s">
        <v>50</v>
      </c>
      <c r="B134" s="68" t="s">
        <v>193</v>
      </c>
      <c r="C134" s="68" t="s">
        <v>210</v>
      </c>
      <c r="D134" s="68" t="s">
        <v>195</v>
      </c>
      <c r="E134" s="69" t="s">
        <v>24</v>
      </c>
      <c r="F134" s="77">
        <v>238.8</v>
      </c>
      <c r="G134" s="77"/>
      <c r="H134" s="69" t="s">
        <v>73</v>
      </c>
      <c r="I134" s="76" t="s">
        <v>25</v>
      </c>
      <c r="J134" s="76"/>
      <c r="K134" s="72" t="s">
        <v>19</v>
      </c>
      <c r="L134" s="73">
        <v>46778.1</v>
      </c>
    </row>
    <row r="135" spans="1:12" ht="51" hidden="1" x14ac:dyDescent="0.3">
      <c r="A135" s="67" t="s">
        <v>50</v>
      </c>
      <c r="B135" s="68" t="s">
        <v>193</v>
      </c>
      <c r="C135" s="68" t="s">
        <v>211</v>
      </c>
      <c r="D135" s="68" t="s">
        <v>195</v>
      </c>
      <c r="E135" s="69" t="s">
        <v>24</v>
      </c>
      <c r="F135" s="77">
        <v>198.15</v>
      </c>
      <c r="G135" s="77"/>
      <c r="H135" s="69" t="s">
        <v>73</v>
      </c>
      <c r="I135" s="76" t="s">
        <v>25</v>
      </c>
      <c r="J135" s="76"/>
      <c r="K135" s="72" t="s">
        <v>19</v>
      </c>
      <c r="L135" s="73">
        <v>46976.25</v>
      </c>
    </row>
    <row r="136" spans="1:12" ht="51" hidden="1" x14ac:dyDescent="0.3">
      <c r="A136" s="67" t="s">
        <v>50</v>
      </c>
      <c r="B136" s="68" t="s">
        <v>193</v>
      </c>
      <c r="C136" s="68" t="s">
        <v>212</v>
      </c>
      <c r="D136" s="68" t="s">
        <v>195</v>
      </c>
      <c r="E136" s="69" t="s">
        <v>24</v>
      </c>
      <c r="F136" s="77">
        <v>228.9</v>
      </c>
      <c r="G136" s="77"/>
      <c r="H136" s="69" t="s">
        <v>73</v>
      </c>
      <c r="I136" s="76" t="s">
        <v>25</v>
      </c>
      <c r="J136" s="76"/>
      <c r="K136" s="72" t="s">
        <v>19</v>
      </c>
      <c r="L136" s="73">
        <v>47205.15</v>
      </c>
    </row>
    <row r="137" spans="1:12" ht="51" hidden="1" x14ac:dyDescent="0.3">
      <c r="A137" s="67" t="s">
        <v>50</v>
      </c>
      <c r="B137" s="68" t="s">
        <v>193</v>
      </c>
      <c r="C137" s="68" t="s">
        <v>213</v>
      </c>
      <c r="D137" s="68" t="s">
        <v>195</v>
      </c>
      <c r="E137" s="69" t="s">
        <v>24</v>
      </c>
      <c r="F137" s="77">
        <v>447.2</v>
      </c>
      <c r="G137" s="77"/>
      <c r="H137" s="69" t="s">
        <v>73</v>
      </c>
      <c r="I137" s="76" t="s">
        <v>25</v>
      </c>
      <c r="J137" s="76"/>
      <c r="K137" s="72" t="s">
        <v>19</v>
      </c>
      <c r="L137" s="73">
        <v>47652.35</v>
      </c>
    </row>
    <row r="138" spans="1:12" ht="61.2" hidden="1" x14ac:dyDescent="0.3">
      <c r="A138" s="67" t="s">
        <v>50</v>
      </c>
      <c r="B138" s="68" t="s">
        <v>193</v>
      </c>
      <c r="C138" s="68" t="s">
        <v>214</v>
      </c>
      <c r="D138" s="68" t="s">
        <v>195</v>
      </c>
      <c r="E138" s="69" t="s">
        <v>24</v>
      </c>
      <c r="F138" s="75">
        <v>1892.25</v>
      </c>
      <c r="G138" s="75"/>
      <c r="H138" s="69" t="s">
        <v>73</v>
      </c>
      <c r="I138" s="76" t="s">
        <v>25</v>
      </c>
      <c r="J138" s="76"/>
      <c r="K138" s="72" t="s">
        <v>19</v>
      </c>
      <c r="L138" s="73">
        <v>49544.6</v>
      </c>
    </row>
    <row r="139" spans="1:12" ht="51" hidden="1" x14ac:dyDescent="0.3">
      <c r="A139" s="67" t="s">
        <v>50</v>
      </c>
      <c r="B139" s="68" t="s">
        <v>193</v>
      </c>
      <c r="C139" s="68" t="s">
        <v>215</v>
      </c>
      <c r="D139" s="68" t="s">
        <v>195</v>
      </c>
      <c r="E139" s="69" t="s">
        <v>24</v>
      </c>
      <c r="F139" s="77">
        <v>514.35</v>
      </c>
      <c r="G139" s="77"/>
      <c r="H139" s="69" t="s">
        <v>73</v>
      </c>
      <c r="I139" s="76" t="s">
        <v>25</v>
      </c>
      <c r="J139" s="76"/>
      <c r="K139" s="72" t="s">
        <v>19</v>
      </c>
      <c r="L139" s="73">
        <v>50058.95</v>
      </c>
    </row>
    <row r="140" spans="1:12" ht="51" hidden="1" x14ac:dyDescent="0.3">
      <c r="A140" s="67" t="s">
        <v>50</v>
      </c>
      <c r="B140" s="68" t="s">
        <v>193</v>
      </c>
      <c r="C140" s="68" t="s">
        <v>216</v>
      </c>
      <c r="D140" s="68" t="s">
        <v>195</v>
      </c>
      <c r="E140" s="69" t="s">
        <v>24</v>
      </c>
      <c r="F140" s="77">
        <v>299.2</v>
      </c>
      <c r="G140" s="77"/>
      <c r="H140" s="69" t="s">
        <v>73</v>
      </c>
      <c r="I140" s="76" t="s">
        <v>25</v>
      </c>
      <c r="J140" s="76"/>
      <c r="K140" s="72" t="s">
        <v>19</v>
      </c>
      <c r="L140" s="73">
        <v>50358.15</v>
      </c>
    </row>
    <row r="141" spans="1:12" ht="51" hidden="1" x14ac:dyDescent="0.3">
      <c r="A141" s="67" t="s">
        <v>50</v>
      </c>
      <c r="B141" s="68" t="s">
        <v>193</v>
      </c>
      <c r="C141" s="68" t="s">
        <v>217</v>
      </c>
      <c r="D141" s="68" t="s">
        <v>195</v>
      </c>
      <c r="E141" s="69" t="s">
        <v>24</v>
      </c>
      <c r="F141" s="77">
        <v>400</v>
      </c>
      <c r="G141" s="77"/>
      <c r="H141" s="69" t="s">
        <v>73</v>
      </c>
      <c r="I141" s="76" t="s">
        <v>25</v>
      </c>
      <c r="J141" s="76"/>
      <c r="K141" s="72" t="s">
        <v>19</v>
      </c>
      <c r="L141" s="73">
        <v>50758.15</v>
      </c>
    </row>
    <row r="142" spans="1:12" ht="51" hidden="1" x14ac:dyDescent="0.3">
      <c r="A142" s="67" t="s">
        <v>50</v>
      </c>
      <c r="B142" s="68" t="s">
        <v>193</v>
      </c>
      <c r="C142" s="68" t="s">
        <v>218</v>
      </c>
      <c r="D142" s="68" t="s">
        <v>195</v>
      </c>
      <c r="E142" s="69" t="s">
        <v>24</v>
      </c>
      <c r="F142" s="75">
        <v>5241.5</v>
      </c>
      <c r="G142" s="75"/>
      <c r="H142" s="69" t="s">
        <v>73</v>
      </c>
      <c r="I142" s="76" t="s">
        <v>25</v>
      </c>
      <c r="J142" s="76"/>
      <c r="K142" s="72" t="s">
        <v>19</v>
      </c>
      <c r="L142" s="73">
        <v>55999.65</v>
      </c>
    </row>
    <row r="143" spans="1:12" ht="61.2" hidden="1" x14ac:dyDescent="0.3">
      <c r="A143" s="67" t="s">
        <v>50</v>
      </c>
      <c r="B143" s="68" t="s">
        <v>219</v>
      </c>
      <c r="C143" s="68" t="s">
        <v>220</v>
      </c>
      <c r="D143" s="68" t="s">
        <v>194</v>
      </c>
      <c r="E143" s="69" t="s">
        <v>24</v>
      </c>
      <c r="F143" s="70" t="s">
        <v>25</v>
      </c>
      <c r="G143" s="70"/>
      <c r="H143" s="69" t="s">
        <v>24</v>
      </c>
      <c r="I143" s="74">
        <v>5650</v>
      </c>
      <c r="J143" s="74"/>
      <c r="K143" s="72" t="s">
        <v>19</v>
      </c>
      <c r="L143" s="73">
        <v>50349.65</v>
      </c>
    </row>
    <row r="144" spans="1:12" ht="61.2" hidden="1" x14ac:dyDescent="0.3">
      <c r="A144" s="67" t="s">
        <v>50</v>
      </c>
      <c r="B144" s="68" t="s">
        <v>219</v>
      </c>
      <c r="C144" s="68" t="s">
        <v>221</v>
      </c>
      <c r="D144" s="68" t="s">
        <v>199</v>
      </c>
      <c r="E144" s="69" t="s">
        <v>24</v>
      </c>
      <c r="F144" s="70" t="s">
        <v>25</v>
      </c>
      <c r="G144" s="70"/>
      <c r="H144" s="69" t="s">
        <v>24</v>
      </c>
      <c r="I144" s="74">
        <v>2402</v>
      </c>
      <c r="J144" s="74"/>
      <c r="K144" s="72" t="s">
        <v>19</v>
      </c>
      <c r="L144" s="73">
        <v>47947.65</v>
      </c>
    </row>
    <row r="145" spans="1:12" ht="61.2" hidden="1" x14ac:dyDescent="0.3">
      <c r="A145" s="67" t="s">
        <v>50</v>
      </c>
      <c r="B145" s="68" t="s">
        <v>219</v>
      </c>
      <c r="C145" s="68" t="s">
        <v>222</v>
      </c>
      <c r="D145" s="68" t="s">
        <v>200</v>
      </c>
      <c r="E145" s="69" t="s">
        <v>24</v>
      </c>
      <c r="F145" s="70" t="s">
        <v>25</v>
      </c>
      <c r="G145" s="70"/>
      <c r="H145" s="69" t="s">
        <v>24</v>
      </c>
      <c r="I145" s="74">
        <v>1756</v>
      </c>
      <c r="J145" s="74"/>
      <c r="K145" s="72" t="s">
        <v>19</v>
      </c>
      <c r="L145" s="73">
        <v>46191.65</v>
      </c>
    </row>
    <row r="146" spans="1:12" ht="51" hidden="1" x14ac:dyDescent="0.3">
      <c r="A146" s="67" t="s">
        <v>50</v>
      </c>
      <c r="B146" s="68" t="s">
        <v>219</v>
      </c>
      <c r="C146" s="68" t="s">
        <v>223</v>
      </c>
      <c r="D146" s="68" t="s">
        <v>201</v>
      </c>
      <c r="E146" s="69" t="s">
        <v>24</v>
      </c>
      <c r="F146" s="70" t="s">
        <v>25</v>
      </c>
      <c r="G146" s="70"/>
      <c r="H146" s="69" t="s">
        <v>24</v>
      </c>
      <c r="I146" s="74">
        <v>2905</v>
      </c>
      <c r="J146" s="74"/>
      <c r="K146" s="72" t="s">
        <v>19</v>
      </c>
      <c r="L146" s="73">
        <v>43286.65</v>
      </c>
    </row>
    <row r="147" spans="1:12" ht="51" hidden="1" x14ac:dyDescent="0.3">
      <c r="A147" s="67" t="s">
        <v>50</v>
      </c>
      <c r="B147" s="68" t="s">
        <v>219</v>
      </c>
      <c r="C147" s="68" t="s">
        <v>224</v>
      </c>
      <c r="D147" s="68" t="s">
        <v>204</v>
      </c>
      <c r="E147" s="69" t="s">
        <v>24</v>
      </c>
      <c r="F147" s="70" t="s">
        <v>25</v>
      </c>
      <c r="G147" s="70"/>
      <c r="H147" s="69" t="s">
        <v>24</v>
      </c>
      <c r="I147" s="71">
        <v>254.05</v>
      </c>
      <c r="J147" s="71"/>
      <c r="K147" s="72" t="s">
        <v>19</v>
      </c>
      <c r="L147" s="73">
        <v>43032.6</v>
      </c>
    </row>
    <row r="148" spans="1:12" ht="51" hidden="1" x14ac:dyDescent="0.3">
      <c r="A148" s="67" t="s">
        <v>50</v>
      </c>
      <c r="B148" s="68" t="s">
        <v>219</v>
      </c>
      <c r="C148" s="68" t="s">
        <v>225</v>
      </c>
      <c r="D148" s="68" t="s">
        <v>205</v>
      </c>
      <c r="E148" s="69" t="s">
        <v>24</v>
      </c>
      <c r="F148" s="70" t="s">
        <v>25</v>
      </c>
      <c r="G148" s="70"/>
      <c r="H148" s="69" t="s">
        <v>24</v>
      </c>
      <c r="I148" s="71">
        <v>289.3</v>
      </c>
      <c r="J148" s="71"/>
      <c r="K148" s="72" t="s">
        <v>19</v>
      </c>
      <c r="L148" s="73">
        <v>42743.3</v>
      </c>
    </row>
    <row r="149" spans="1:12" ht="51" hidden="1" x14ac:dyDescent="0.3">
      <c r="A149" s="67" t="s">
        <v>50</v>
      </c>
      <c r="B149" s="68" t="s">
        <v>219</v>
      </c>
      <c r="C149" s="68" t="s">
        <v>226</v>
      </c>
      <c r="D149" s="68" t="s">
        <v>206</v>
      </c>
      <c r="E149" s="69" t="s">
        <v>24</v>
      </c>
      <c r="F149" s="70" t="s">
        <v>25</v>
      </c>
      <c r="G149" s="70"/>
      <c r="H149" s="69" t="s">
        <v>24</v>
      </c>
      <c r="I149" s="74">
        <v>2427.5</v>
      </c>
      <c r="J149" s="74"/>
      <c r="K149" s="72" t="s">
        <v>19</v>
      </c>
      <c r="L149" s="73">
        <v>40315.800000000003</v>
      </c>
    </row>
    <row r="150" spans="1:12" ht="51" hidden="1" x14ac:dyDescent="0.3">
      <c r="A150" s="67" t="s">
        <v>50</v>
      </c>
      <c r="B150" s="68" t="s">
        <v>219</v>
      </c>
      <c r="C150" s="68" t="s">
        <v>227</v>
      </c>
      <c r="D150" s="68" t="s">
        <v>207</v>
      </c>
      <c r="E150" s="69" t="s">
        <v>24</v>
      </c>
      <c r="F150" s="70" t="s">
        <v>25</v>
      </c>
      <c r="G150" s="70"/>
      <c r="H150" s="69" t="s">
        <v>24</v>
      </c>
      <c r="I150" s="71">
        <v>608</v>
      </c>
      <c r="J150" s="71"/>
      <c r="K150" s="72" t="s">
        <v>19</v>
      </c>
      <c r="L150" s="73">
        <v>39707.800000000003</v>
      </c>
    </row>
    <row r="151" spans="1:12" ht="71.400000000000006" hidden="1" x14ac:dyDescent="0.3">
      <c r="A151" s="67" t="s">
        <v>50</v>
      </c>
      <c r="B151" s="68" t="s">
        <v>228</v>
      </c>
      <c r="C151" s="68" t="s">
        <v>229</v>
      </c>
      <c r="D151" s="68" t="s">
        <v>203</v>
      </c>
      <c r="E151" s="69" t="s">
        <v>24</v>
      </c>
      <c r="F151" s="70" t="s">
        <v>25</v>
      </c>
      <c r="G151" s="70"/>
      <c r="H151" s="69" t="s">
        <v>24</v>
      </c>
      <c r="I151" s="74">
        <v>6084.5</v>
      </c>
      <c r="J151" s="74"/>
      <c r="K151" s="72" t="s">
        <v>19</v>
      </c>
      <c r="L151" s="73">
        <v>33623.300000000003</v>
      </c>
    </row>
    <row r="152" spans="1:12" ht="61.2" hidden="1" x14ac:dyDescent="0.3">
      <c r="A152" s="67" t="s">
        <v>50</v>
      </c>
      <c r="B152" s="68" t="s">
        <v>228</v>
      </c>
      <c r="C152" s="68" t="s">
        <v>230</v>
      </c>
      <c r="D152" s="68" t="s">
        <v>209</v>
      </c>
      <c r="E152" s="69" t="s">
        <v>24</v>
      </c>
      <c r="F152" s="70" t="s">
        <v>25</v>
      </c>
      <c r="G152" s="70"/>
      <c r="H152" s="69" t="s">
        <v>24</v>
      </c>
      <c r="I152" s="71">
        <v>195</v>
      </c>
      <c r="J152" s="71"/>
      <c r="K152" s="72" t="s">
        <v>19</v>
      </c>
      <c r="L152" s="73">
        <v>33428.300000000003</v>
      </c>
    </row>
    <row r="153" spans="1:12" ht="61.2" hidden="1" x14ac:dyDescent="0.3">
      <c r="A153" s="67" t="s">
        <v>50</v>
      </c>
      <c r="B153" s="68" t="s">
        <v>228</v>
      </c>
      <c r="C153" s="68" t="s">
        <v>231</v>
      </c>
      <c r="D153" s="68" t="s">
        <v>210</v>
      </c>
      <c r="E153" s="69" t="s">
        <v>24</v>
      </c>
      <c r="F153" s="70" t="s">
        <v>25</v>
      </c>
      <c r="G153" s="70"/>
      <c r="H153" s="69" t="s">
        <v>24</v>
      </c>
      <c r="I153" s="71">
        <v>238.8</v>
      </c>
      <c r="J153" s="71"/>
      <c r="K153" s="72" t="s">
        <v>19</v>
      </c>
      <c r="L153" s="73">
        <v>33189.5</v>
      </c>
    </row>
    <row r="154" spans="1:12" ht="61.2" hidden="1" x14ac:dyDescent="0.3">
      <c r="A154" s="67" t="s">
        <v>50</v>
      </c>
      <c r="B154" s="68" t="s">
        <v>228</v>
      </c>
      <c r="C154" s="68" t="s">
        <v>232</v>
      </c>
      <c r="D154" s="68" t="s">
        <v>211</v>
      </c>
      <c r="E154" s="69" t="s">
        <v>24</v>
      </c>
      <c r="F154" s="70" t="s">
        <v>25</v>
      </c>
      <c r="G154" s="70"/>
      <c r="H154" s="69" t="s">
        <v>24</v>
      </c>
      <c r="I154" s="71">
        <v>198.15</v>
      </c>
      <c r="J154" s="71"/>
      <c r="K154" s="72" t="s">
        <v>19</v>
      </c>
      <c r="L154" s="73">
        <v>32991.35</v>
      </c>
    </row>
    <row r="155" spans="1:12" ht="61.2" hidden="1" x14ac:dyDescent="0.3">
      <c r="A155" s="67" t="s">
        <v>50</v>
      </c>
      <c r="B155" s="68" t="s">
        <v>228</v>
      </c>
      <c r="C155" s="68" t="s">
        <v>233</v>
      </c>
      <c r="D155" s="68" t="s">
        <v>212</v>
      </c>
      <c r="E155" s="69" t="s">
        <v>24</v>
      </c>
      <c r="F155" s="70" t="s">
        <v>25</v>
      </c>
      <c r="G155" s="70"/>
      <c r="H155" s="69" t="s">
        <v>24</v>
      </c>
      <c r="I155" s="71">
        <v>228.9</v>
      </c>
      <c r="J155" s="71"/>
      <c r="K155" s="72" t="s">
        <v>19</v>
      </c>
      <c r="L155" s="73">
        <v>32762.45</v>
      </c>
    </row>
    <row r="156" spans="1:12" ht="61.2" hidden="1" x14ac:dyDescent="0.3">
      <c r="A156" s="67" t="s">
        <v>50</v>
      </c>
      <c r="B156" s="68" t="s">
        <v>228</v>
      </c>
      <c r="C156" s="68" t="s">
        <v>234</v>
      </c>
      <c r="D156" s="68" t="s">
        <v>213</v>
      </c>
      <c r="E156" s="69" t="s">
        <v>24</v>
      </c>
      <c r="F156" s="70" t="s">
        <v>25</v>
      </c>
      <c r="G156" s="70"/>
      <c r="H156" s="69" t="s">
        <v>24</v>
      </c>
      <c r="I156" s="71">
        <v>447.2</v>
      </c>
      <c r="J156" s="71"/>
      <c r="K156" s="72" t="s">
        <v>19</v>
      </c>
      <c r="L156" s="73">
        <v>32315.25</v>
      </c>
    </row>
    <row r="157" spans="1:12" ht="71.400000000000006" hidden="1" x14ac:dyDescent="0.3">
      <c r="A157" s="67" t="s">
        <v>50</v>
      </c>
      <c r="B157" s="68" t="s">
        <v>228</v>
      </c>
      <c r="C157" s="68" t="s">
        <v>235</v>
      </c>
      <c r="D157" s="68" t="s">
        <v>214</v>
      </c>
      <c r="E157" s="69" t="s">
        <v>24</v>
      </c>
      <c r="F157" s="70" t="s">
        <v>25</v>
      </c>
      <c r="G157" s="70"/>
      <c r="H157" s="69" t="s">
        <v>24</v>
      </c>
      <c r="I157" s="74">
        <v>1892.25</v>
      </c>
      <c r="J157" s="74"/>
      <c r="K157" s="72" t="s">
        <v>19</v>
      </c>
      <c r="L157" s="73">
        <v>30423</v>
      </c>
    </row>
    <row r="158" spans="1:12" ht="61.2" hidden="1" x14ac:dyDescent="0.3">
      <c r="A158" s="67" t="s">
        <v>50</v>
      </c>
      <c r="B158" s="68" t="s">
        <v>228</v>
      </c>
      <c r="C158" s="68" t="s">
        <v>236</v>
      </c>
      <c r="D158" s="68" t="s">
        <v>215</v>
      </c>
      <c r="E158" s="69" t="s">
        <v>24</v>
      </c>
      <c r="F158" s="70" t="s">
        <v>25</v>
      </c>
      <c r="G158" s="70"/>
      <c r="H158" s="69" t="s">
        <v>24</v>
      </c>
      <c r="I158" s="71">
        <v>514.35</v>
      </c>
      <c r="J158" s="71"/>
      <c r="K158" s="72" t="s">
        <v>19</v>
      </c>
      <c r="L158" s="73">
        <v>29908.65</v>
      </c>
    </row>
    <row r="159" spans="1:12" ht="61.2" hidden="1" x14ac:dyDescent="0.3">
      <c r="A159" s="67" t="s">
        <v>50</v>
      </c>
      <c r="B159" s="68" t="s">
        <v>228</v>
      </c>
      <c r="C159" s="68" t="s">
        <v>237</v>
      </c>
      <c r="D159" s="68" t="s">
        <v>216</v>
      </c>
      <c r="E159" s="69" t="s">
        <v>24</v>
      </c>
      <c r="F159" s="70" t="s">
        <v>25</v>
      </c>
      <c r="G159" s="70"/>
      <c r="H159" s="69" t="s">
        <v>24</v>
      </c>
      <c r="I159" s="71">
        <v>299.2</v>
      </c>
      <c r="J159" s="71"/>
      <c r="K159" s="72" t="s">
        <v>19</v>
      </c>
      <c r="L159" s="73">
        <v>29609.45</v>
      </c>
    </row>
    <row r="160" spans="1:12" ht="61.2" hidden="1" x14ac:dyDescent="0.3">
      <c r="A160" s="67" t="s">
        <v>50</v>
      </c>
      <c r="B160" s="68" t="s">
        <v>228</v>
      </c>
      <c r="C160" s="68" t="s">
        <v>238</v>
      </c>
      <c r="D160" s="68" t="s">
        <v>218</v>
      </c>
      <c r="E160" s="69" t="s">
        <v>24</v>
      </c>
      <c r="F160" s="70" t="s">
        <v>25</v>
      </c>
      <c r="G160" s="70"/>
      <c r="H160" s="69" t="s">
        <v>24</v>
      </c>
      <c r="I160" s="74">
        <v>5241.5</v>
      </c>
      <c r="J160" s="74"/>
      <c r="K160" s="72" t="s">
        <v>19</v>
      </c>
      <c r="L160" s="73">
        <v>24367.95</v>
      </c>
    </row>
    <row r="161" spans="1:12" ht="51" hidden="1" x14ac:dyDescent="0.3">
      <c r="A161" s="67" t="s">
        <v>50</v>
      </c>
      <c r="B161" s="68" t="s">
        <v>51</v>
      </c>
      <c r="C161" s="68" t="s">
        <v>52</v>
      </c>
      <c r="D161" s="68" t="s">
        <v>53</v>
      </c>
      <c r="E161" s="69" t="s">
        <v>24</v>
      </c>
      <c r="F161" s="70" t="s">
        <v>25</v>
      </c>
      <c r="G161" s="70"/>
      <c r="H161" s="69" t="s">
        <v>24</v>
      </c>
      <c r="I161" s="71">
        <v>543.1</v>
      </c>
      <c r="J161" s="71"/>
      <c r="K161" s="72" t="s">
        <v>19</v>
      </c>
      <c r="L161" s="73">
        <v>23824.85</v>
      </c>
    </row>
    <row r="162" spans="1:12" ht="51" hidden="1" x14ac:dyDescent="0.3">
      <c r="A162" s="67" t="s">
        <v>50</v>
      </c>
      <c r="B162" s="68" t="s">
        <v>239</v>
      </c>
      <c r="C162" s="68" t="s">
        <v>240</v>
      </c>
      <c r="D162" s="68" t="s">
        <v>208</v>
      </c>
      <c r="E162" s="69" t="s">
        <v>24</v>
      </c>
      <c r="F162" s="70" t="s">
        <v>25</v>
      </c>
      <c r="G162" s="70"/>
      <c r="H162" s="69" t="s">
        <v>24</v>
      </c>
      <c r="I162" s="71">
        <v>996.75</v>
      </c>
      <c r="J162" s="71"/>
      <c r="K162" s="72" t="s">
        <v>19</v>
      </c>
      <c r="L162" s="73">
        <v>22828.1</v>
      </c>
    </row>
    <row r="163" spans="1:12" ht="51" hidden="1" x14ac:dyDescent="0.3">
      <c r="A163" s="67" t="s">
        <v>50</v>
      </c>
      <c r="B163" s="68" t="s">
        <v>239</v>
      </c>
      <c r="C163" s="68" t="s">
        <v>241</v>
      </c>
      <c r="D163" s="68" t="s">
        <v>217</v>
      </c>
      <c r="E163" s="69" t="s">
        <v>24</v>
      </c>
      <c r="F163" s="70" t="s">
        <v>25</v>
      </c>
      <c r="G163" s="70"/>
      <c r="H163" s="69" t="s">
        <v>24</v>
      </c>
      <c r="I163" s="71">
        <v>400</v>
      </c>
      <c r="J163" s="71"/>
      <c r="K163" s="72" t="s">
        <v>19</v>
      </c>
      <c r="L163" s="73">
        <v>22428.1</v>
      </c>
    </row>
    <row r="164" spans="1:12" ht="51" x14ac:dyDescent="0.3">
      <c r="A164" s="67" t="s">
        <v>50</v>
      </c>
      <c r="B164" s="68" t="s">
        <v>242</v>
      </c>
      <c r="C164" s="68" t="s">
        <v>28</v>
      </c>
      <c r="D164" s="68" t="s">
        <v>197</v>
      </c>
      <c r="E164" s="69" t="s">
        <v>30</v>
      </c>
      <c r="F164" s="70" t="s">
        <v>25</v>
      </c>
      <c r="G164" s="70"/>
      <c r="H164" s="69" t="s">
        <v>24</v>
      </c>
      <c r="I164" s="71">
        <v>392</v>
      </c>
      <c r="J164" s="71"/>
      <c r="K164" s="72" t="s">
        <v>19</v>
      </c>
      <c r="L164" s="73">
        <v>22036.1</v>
      </c>
    </row>
    <row r="165" spans="1:12" ht="61.2" x14ac:dyDescent="0.3">
      <c r="A165" s="67" t="s">
        <v>50</v>
      </c>
      <c r="B165" s="68" t="s">
        <v>242</v>
      </c>
      <c r="C165" s="68" t="s">
        <v>28</v>
      </c>
      <c r="D165" s="68" t="s">
        <v>129</v>
      </c>
      <c r="E165" s="69" t="s">
        <v>30</v>
      </c>
      <c r="F165" s="70" t="s">
        <v>25</v>
      </c>
      <c r="G165" s="70"/>
      <c r="H165" s="69" t="s">
        <v>24</v>
      </c>
      <c r="I165" s="71">
        <v>138.5</v>
      </c>
      <c r="J165" s="71"/>
      <c r="K165" s="72" t="s">
        <v>19</v>
      </c>
      <c r="L165" s="73">
        <v>21897.599999999999</v>
      </c>
    </row>
    <row r="166" spans="1:12" ht="51" x14ac:dyDescent="0.3">
      <c r="A166" s="67" t="s">
        <v>50</v>
      </c>
      <c r="B166" s="68" t="s">
        <v>242</v>
      </c>
      <c r="C166" s="68" t="s">
        <v>28</v>
      </c>
      <c r="D166" s="68" t="s">
        <v>196</v>
      </c>
      <c r="E166" s="69" t="s">
        <v>30</v>
      </c>
      <c r="F166" s="70" t="s">
        <v>25</v>
      </c>
      <c r="G166" s="70"/>
      <c r="H166" s="69" t="s">
        <v>24</v>
      </c>
      <c r="I166" s="71">
        <v>367</v>
      </c>
      <c r="J166" s="71"/>
      <c r="K166" s="72" t="s">
        <v>19</v>
      </c>
      <c r="L166" s="73">
        <v>21530.6</v>
      </c>
    </row>
    <row r="167" spans="1:12" ht="51" x14ac:dyDescent="0.3">
      <c r="A167" s="67" t="s">
        <v>50</v>
      </c>
      <c r="B167" s="68" t="s">
        <v>242</v>
      </c>
      <c r="C167" s="68" t="s">
        <v>28</v>
      </c>
      <c r="D167" s="68" t="s">
        <v>65</v>
      </c>
      <c r="E167" s="69" t="s">
        <v>30</v>
      </c>
      <c r="F167" s="70" t="s">
        <v>25</v>
      </c>
      <c r="G167" s="70"/>
      <c r="H167" s="69" t="s">
        <v>24</v>
      </c>
      <c r="I167" s="74">
        <v>13873.8</v>
      </c>
      <c r="J167" s="74"/>
      <c r="K167" s="72" t="s">
        <v>19</v>
      </c>
      <c r="L167" s="73">
        <v>7656.8</v>
      </c>
    </row>
    <row r="168" spans="1:12" ht="51" x14ac:dyDescent="0.3">
      <c r="A168" s="67" t="s">
        <v>50</v>
      </c>
      <c r="B168" s="68" t="s">
        <v>243</v>
      </c>
      <c r="C168" s="68" t="s">
        <v>28</v>
      </c>
      <c r="D168" s="68" t="s">
        <v>202</v>
      </c>
      <c r="E168" s="69" t="s">
        <v>30</v>
      </c>
      <c r="F168" s="70" t="s">
        <v>25</v>
      </c>
      <c r="G168" s="70"/>
      <c r="H168" s="69" t="s">
        <v>24</v>
      </c>
      <c r="I168" s="74">
        <v>1132.5</v>
      </c>
      <c r="J168" s="74"/>
      <c r="K168" s="72" t="s">
        <v>19</v>
      </c>
      <c r="L168" s="73">
        <v>6524.3</v>
      </c>
    </row>
    <row r="169" spans="1:12" ht="51" x14ac:dyDescent="0.3">
      <c r="A169" s="67" t="s">
        <v>50</v>
      </c>
      <c r="B169" s="68" t="s">
        <v>243</v>
      </c>
      <c r="C169" s="68" t="s">
        <v>28</v>
      </c>
      <c r="D169" s="68" t="s">
        <v>198</v>
      </c>
      <c r="E169" s="69" t="s">
        <v>30</v>
      </c>
      <c r="F169" s="70" t="s">
        <v>25</v>
      </c>
      <c r="G169" s="70"/>
      <c r="H169" s="69" t="s">
        <v>24</v>
      </c>
      <c r="I169" s="71">
        <v>591</v>
      </c>
      <c r="J169" s="71"/>
      <c r="K169" s="72" t="s">
        <v>19</v>
      </c>
      <c r="L169" s="73">
        <v>5933.3</v>
      </c>
    </row>
    <row r="170" spans="1:12" ht="51" x14ac:dyDescent="0.3">
      <c r="A170" s="67" t="s">
        <v>50</v>
      </c>
      <c r="B170" s="68" t="s">
        <v>244</v>
      </c>
      <c r="C170" s="68" t="s">
        <v>28</v>
      </c>
      <c r="D170" s="68" t="s">
        <v>66</v>
      </c>
      <c r="E170" s="69" t="s">
        <v>30</v>
      </c>
      <c r="F170" s="70" t="s">
        <v>25</v>
      </c>
      <c r="G170" s="70"/>
      <c r="H170" s="69" t="s">
        <v>24</v>
      </c>
      <c r="I170" s="74">
        <v>1477.5</v>
      </c>
      <c r="J170" s="74"/>
      <c r="K170" s="72" t="s">
        <v>19</v>
      </c>
      <c r="L170" s="73">
        <v>4455.8</v>
      </c>
    </row>
    <row r="171" spans="1:12" ht="61.2" x14ac:dyDescent="0.3">
      <c r="A171" s="67" t="s">
        <v>50</v>
      </c>
      <c r="B171" s="68" t="s">
        <v>245</v>
      </c>
      <c r="C171" s="68" t="s">
        <v>28</v>
      </c>
      <c r="D171" s="68" t="s">
        <v>119</v>
      </c>
      <c r="E171" s="69" t="s">
        <v>30</v>
      </c>
      <c r="F171" s="70" t="s">
        <v>25</v>
      </c>
      <c r="G171" s="70"/>
      <c r="H171" s="69" t="s">
        <v>24</v>
      </c>
      <c r="I171" s="71">
        <v>883.35</v>
      </c>
      <c r="J171" s="71"/>
      <c r="K171" s="72" t="s">
        <v>19</v>
      </c>
      <c r="L171" s="73">
        <v>3572.45</v>
      </c>
    </row>
    <row r="172" spans="1:12" ht="61.2" x14ac:dyDescent="0.3">
      <c r="A172" s="67" t="s">
        <v>50</v>
      </c>
      <c r="B172" s="68" t="s">
        <v>245</v>
      </c>
      <c r="C172" s="68" t="s">
        <v>28</v>
      </c>
      <c r="D172" s="68" t="s">
        <v>145</v>
      </c>
      <c r="E172" s="69" t="s">
        <v>30</v>
      </c>
      <c r="F172" s="70" t="s">
        <v>25</v>
      </c>
      <c r="G172" s="70"/>
      <c r="H172" s="69" t="s">
        <v>24</v>
      </c>
      <c r="I172" s="74">
        <v>1598.85</v>
      </c>
      <c r="J172" s="74"/>
      <c r="K172" s="72" t="s">
        <v>19</v>
      </c>
      <c r="L172" s="73">
        <v>1973.6</v>
      </c>
    </row>
    <row r="173" spans="1:12" hidden="1" x14ac:dyDescent="0.3">
      <c r="A173" s="78" t="s">
        <v>59</v>
      </c>
      <c r="B173" s="78"/>
      <c r="C173" s="78"/>
      <c r="D173" s="78"/>
      <c r="E173" s="79">
        <v>110953.43</v>
      </c>
      <c r="F173" s="79"/>
      <c r="G173" s="79"/>
      <c r="H173" s="79">
        <v>176143.43</v>
      </c>
      <c r="I173" s="79"/>
      <c r="J173" s="79"/>
      <c r="K173" s="80" t="s">
        <v>19</v>
      </c>
      <c r="L173" s="81">
        <v>1973.6</v>
      </c>
    </row>
    <row r="175" spans="1:12" x14ac:dyDescent="0.3">
      <c r="J175" s="310">
        <f>SUBTOTAL(9,I3:J172)</f>
        <v>90775.080000000016</v>
      </c>
    </row>
  </sheetData>
  <autoFilter ref="A1:L173" xr:uid="{A5004BC0-0B4F-4723-B65B-9E4738E9D52E}">
    <filterColumn colId="1">
      <filters>
        <filter val="Передача малоцінних активів в експлуатацію ІБ00-000150 від 03.04.2025 17:41:42_x000a_Списание стоимости малоценных активов"/>
        <filter val="Передача малоцінних активів в експлуатацію ІБ00-000155 від 03.04.2025 17:41:54_x000a_Списание стоимости малоценных активов"/>
        <filter val="Передача малоцінних активів в експлуатацію ІБ00-000172 від 29.04.2025 14:26:48_x000a_Списание стоимости малоценных активов"/>
        <filter val="Передача малоцінних активів в експлуатацію ІБ00-000177 від 29.04.2025 15:51:31_x000a_Списание стоимости малоценных активов"/>
        <filter val="Передача малоцінних активів в експлуатацію ІБ00-000181 від 29.04.2025 16:49:38_x000a_Списание стоимости малоценных активов"/>
        <filter val="Передача малоцінних активів в експлуатацію ІБ00-000195 від 30.04.2025 00:00:00_x000a_Списание стоимости малоценных активов"/>
        <filter val="Передача малоцінних активів в експлуатацію ІБ00-000200 від 30.04.2025 23:59:36_x000a_Списание стоимости малоценных активов"/>
        <filter val="Передача малоцінних активів в експлуатацію ІБ00-000211 від 30.04.2025 10:00:00_x000a_Списание стоимости малоценных активов"/>
        <filter val="Передача малоцінних активів в експлуатацію ІБ00-000215 від 30.04.2025 20:00:00_x000a_Списание стоимости малоценных активов"/>
        <filter val="Передача малоцінних активів в експлуатацію ІБ00-000217 від 30.04.2025 20:00:00_x000a_Списание стоимости малоценных активов"/>
        <filter val="Передача малоцінних активів в експлуатацію ІБ00-000219 від 30.04.2025 23:50:00_x000a_Списание стоимости малоценных активов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352">
    <mergeCell ref="F172:G172"/>
    <mergeCell ref="I172:J172"/>
    <mergeCell ref="A173:D173"/>
    <mergeCell ref="E173:G173"/>
    <mergeCell ref="H173:J173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60BF7-5177-437F-89FE-7AC7B4F450EF}">
  <sheetPr filterMode="1"/>
  <dimension ref="A1:L33"/>
  <sheetViews>
    <sheetView topLeftCell="A26" workbookViewId="0">
      <selection activeCell="J33" sqref="J33"/>
    </sheetView>
  </sheetViews>
  <sheetFormatPr defaultRowHeight="14.4" x14ac:dyDescent="0.3"/>
  <cols>
    <col min="2" max="4" width="24.33203125" customWidth="1"/>
  </cols>
  <sheetData>
    <row r="1" spans="1:12" x14ac:dyDescent="0.3">
      <c r="A1" s="82" t="s">
        <v>11</v>
      </c>
      <c r="B1" s="83" t="s">
        <v>12</v>
      </c>
      <c r="C1" s="83" t="s">
        <v>13</v>
      </c>
      <c r="D1" s="84" t="s">
        <v>14</v>
      </c>
      <c r="E1" s="85" t="s">
        <v>15</v>
      </c>
      <c r="F1" s="85"/>
      <c r="G1" s="85"/>
      <c r="H1" s="86" t="s">
        <v>16</v>
      </c>
      <c r="I1" s="86"/>
      <c r="J1" s="86"/>
      <c r="K1" s="83" t="s">
        <v>17</v>
      </c>
      <c r="L1" s="83"/>
    </row>
    <row r="2" spans="1:12" hidden="1" x14ac:dyDescent="0.3">
      <c r="A2" s="87"/>
      <c r="B2" s="88"/>
      <c r="C2" s="88"/>
      <c r="D2" s="89"/>
      <c r="E2" s="90" t="s">
        <v>18</v>
      </c>
      <c r="F2" s="91"/>
      <c r="G2" s="91"/>
      <c r="H2" s="92" t="s">
        <v>18</v>
      </c>
      <c r="I2" s="93"/>
      <c r="J2" s="93"/>
      <c r="K2" s="87"/>
      <c r="L2" s="94"/>
    </row>
    <row r="3" spans="1:12" ht="61.2" hidden="1" x14ac:dyDescent="0.3">
      <c r="A3" s="95" t="s">
        <v>246</v>
      </c>
      <c r="B3" s="96" t="s">
        <v>247</v>
      </c>
      <c r="C3" s="96" t="s">
        <v>248</v>
      </c>
      <c r="D3" s="96" t="s">
        <v>249</v>
      </c>
      <c r="E3" s="97" t="s">
        <v>24</v>
      </c>
      <c r="F3" s="98">
        <v>3045</v>
      </c>
      <c r="G3" s="98"/>
      <c r="H3" s="97" t="s">
        <v>73</v>
      </c>
      <c r="I3" s="99" t="s">
        <v>25</v>
      </c>
      <c r="J3" s="99"/>
      <c r="K3" s="100" t="s">
        <v>19</v>
      </c>
      <c r="L3" s="101">
        <v>17957.2</v>
      </c>
    </row>
    <row r="4" spans="1:12" ht="71.400000000000006" x14ac:dyDescent="0.3">
      <c r="A4" s="95" t="s">
        <v>60</v>
      </c>
      <c r="B4" s="96" t="s">
        <v>250</v>
      </c>
      <c r="C4" s="96" t="s">
        <v>28</v>
      </c>
      <c r="D4" s="96" t="s">
        <v>251</v>
      </c>
      <c r="E4" s="97" t="s">
        <v>30</v>
      </c>
      <c r="F4" s="102" t="s">
        <v>25</v>
      </c>
      <c r="G4" s="102"/>
      <c r="H4" s="97" t="s">
        <v>24</v>
      </c>
      <c r="I4" s="103">
        <v>1065.9000000000001</v>
      </c>
      <c r="J4" s="103"/>
      <c r="K4" s="100" t="s">
        <v>19</v>
      </c>
      <c r="L4" s="101">
        <v>16891.3</v>
      </c>
    </row>
    <row r="5" spans="1:12" ht="61.2" x14ac:dyDescent="0.3">
      <c r="A5" s="95" t="s">
        <v>60</v>
      </c>
      <c r="B5" s="96" t="s">
        <v>250</v>
      </c>
      <c r="C5" s="96" t="s">
        <v>28</v>
      </c>
      <c r="D5" s="96" t="s">
        <v>252</v>
      </c>
      <c r="E5" s="97" t="s">
        <v>30</v>
      </c>
      <c r="F5" s="102" t="s">
        <v>25</v>
      </c>
      <c r="G5" s="102"/>
      <c r="H5" s="97" t="s">
        <v>24</v>
      </c>
      <c r="I5" s="104">
        <v>222.5</v>
      </c>
      <c r="J5" s="104"/>
      <c r="K5" s="100" t="s">
        <v>19</v>
      </c>
      <c r="L5" s="101">
        <v>16668.8</v>
      </c>
    </row>
    <row r="6" spans="1:12" ht="71.400000000000006" x14ac:dyDescent="0.3">
      <c r="A6" s="95" t="s">
        <v>60</v>
      </c>
      <c r="B6" s="96" t="s">
        <v>250</v>
      </c>
      <c r="C6" s="96" t="s">
        <v>28</v>
      </c>
      <c r="D6" s="96" t="s">
        <v>253</v>
      </c>
      <c r="E6" s="97" t="s">
        <v>30</v>
      </c>
      <c r="F6" s="102" t="s">
        <v>25</v>
      </c>
      <c r="G6" s="102"/>
      <c r="H6" s="97" t="s">
        <v>24</v>
      </c>
      <c r="I6" s="104">
        <v>193.35</v>
      </c>
      <c r="J6" s="104"/>
      <c r="K6" s="100" t="s">
        <v>19</v>
      </c>
      <c r="L6" s="101">
        <v>16475.45</v>
      </c>
    </row>
    <row r="7" spans="1:12" ht="61.2" x14ac:dyDescent="0.3">
      <c r="A7" s="95" t="s">
        <v>60</v>
      </c>
      <c r="B7" s="96" t="s">
        <v>250</v>
      </c>
      <c r="C7" s="96" t="s">
        <v>28</v>
      </c>
      <c r="D7" s="96" t="s">
        <v>254</v>
      </c>
      <c r="E7" s="97" t="s">
        <v>30</v>
      </c>
      <c r="F7" s="102" t="s">
        <v>25</v>
      </c>
      <c r="G7" s="102"/>
      <c r="H7" s="97" t="s">
        <v>24</v>
      </c>
      <c r="I7" s="104">
        <v>100</v>
      </c>
      <c r="J7" s="104"/>
      <c r="K7" s="100" t="s">
        <v>19</v>
      </c>
      <c r="L7" s="101">
        <v>16375.45</v>
      </c>
    </row>
    <row r="8" spans="1:12" ht="61.2" x14ac:dyDescent="0.3">
      <c r="A8" s="95" t="s">
        <v>60</v>
      </c>
      <c r="B8" s="96" t="s">
        <v>250</v>
      </c>
      <c r="C8" s="96" t="s">
        <v>28</v>
      </c>
      <c r="D8" s="96" t="s">
        <v>255</v>
      </c>
      <c r="E8" s="97" t="s">
        <v>30</v>
      </c>
      <c r="F8" s="102" t="s">
        <v>25</v>
      </c>
      <c r="G8" s="102"/>
      <c r="H8" s="97" t="s">
        <v>24</v>
      </c>
      <c r="I8" s="104">
        <v>93.6</v>
      </c>
      <c r="J8" s="104"/>
      <c r="K8" s="100" t="s">
        <v>19</v>
      </c>
      <c r="L8" s="101">
        <v>16281.85</v>
      </c>
    </row>
    <row r="9" spans="1:12" ht="71.400000000000006" x14ac:dyDescent="0.3">
      <c r="A9" s="95" t="s">
        <v>60</v>
      </c>
      <c r="B9" s="96" t="s">
        <v>250</v>
      </c>
      <c r="C9" s="96" t="s">
        <v>28</v>
      </c>
      <c r="D9" s="96" t="s">
        <v>256</v>
      </c>
      <c r="E9" s="97" t="s">
        <v>30</v>
      </c>
      <c r="F9" s="102" t="s">
        <v>25</v>
      </c>
      <c r="G9" s="102"/>
      <c r="H9" s="97" t="s">
        <v>24</v>
      </c>
      <c r="I9" s="104">
        <v>294</v>
      </c>
      <c r="J9" s="104"/>
      <c r="K9" s="100" t="s">
        <v>19</v>
      </c>
      <c r="L9" s="101">
        <v>15987.85</v>
      </c>
    </row>
    <row r="10" spans="1:12" ht="61.2" x14ac:dyDescent="0.3">
      <c r="A10" s="95" t="s">
        <v>60</v>
      </c>
      <c r="B10" s="96" t="s">
        <v>250</v>
      </c>
      <c r="C10" s="96" t="s">
        <v>28</v>
      </c>
      <c r="D10" s="96" t="s">
        <v>257</v>
      </c>
      <c r="E10" s="97" t="s">
        <v>30</v>
      </c>
      <c r="F10" s="102" t="s">
        <v>25</v>
      </c>
      <c r="G10" s="102"/>
      <c r="H10" s="97" t="s">
        <v>24</v>
      </c>
      <c r="I10" s="104">
        <v>530.5</v>
      </c>
      <c r="J10" s="104"/>
      <c r="K10" s="100" t="s">
        <v>19</v>
      </c>
      <c r="L10" s="101">
        <v>15457.35</v>
      </c>
    </row>
    <row r="11" spans="1:12" ht="61.2" x14ac:dyDescent="0.3">
      <c r="A11" s="95" t="s">
        <v>60</v>
      </c>
      <c r="B11" s="96" t="s">
        <v>258</v>
      </c>
      <c r="C11" s="96" t="s">
        <v>28</v>
      </c>
      <c r="D11" s="96" t="s">
        <v>259</v>
      </c>
      <c r="E11" s="97" t="s">
        <v>30</v>
      </c>
      <c r="F11" s="102" t="s">
        <v>25</v>
      </c>
      <c r="G11" s="102"/>
      <c r="H11" s="97" t="s">
        <v>24</v>
      </c>
      <c r="I11" s="104">
        <v>64.2</v>
      </c>
      <c r="J11" s="104"/>
      <c r="K11" s="100" t="s">
        <v>19</v>
      </c>
      <c r="L11" s="101">
        <v>15393.15</v>
      </c>
    </row>
    <row r="12" spans="1:12" ht="61.2" x14ac:dyDescent="0.3">
      <c r="A12" s="95" t="s">
        <v>60</v>
      </c>
      <c r="B12" s="96" t="s">
        <v>258</v>
      </c>
      <c r="C12" s="96" t="s">
        <v>28</v>
      </c>
      <c r="D12" s="96" t="s">
        <v>257</v>
      </c>
      <c r="E12" s="97" t="s">
        <v>30</v>
      </c>
      <c r="F12" s="102" t="s">
        <v>25</v>
      </c>
      <c r="G12" s="102"/>
      <c r="H12" s="97" t="s">
        <v>24</v>
      </c>
      <c r="I12" s="104">
        <v>530.5</v>
      </c>
      <c r="J12" s="104"/>
      <c r="K12" s="100" t="s">
        <v>19</v>
      </c>
      <c r="L12" s="101">
        <v>14862.65</v>
      </c>
    </row>
    <row r="13" spans="1:12" ht="61.2" x14ac:dyDescent="0.3">
      <c r="A13" s="95" t="s">
        <v>60</v>
      </c>
      <c r="B13" s="96" t="s">
        <v>258</v>
      </c>
      <c r="C13" s="96" t="s">
        <v>28</v>
      </c>
      <c r="D13" s="96" t="s">
        <v>260</v>
      </c>
      <c r="E13" s="97" t="s">
        <v>30</v>
      </c>
      <c r="F13" s="102" t="s">
        <v>25</v>
      </c>
      <c r="G13" s="102"/>
      <c r="H13" s="97" t="s">
        <v>24</v>
      </c>
      <c r="I13" s="104">
        <v>294</v>
      </c>
      <c r="J13" s="104"/>
      <c r="K13" s="100" t="s">
        <v>19</v>
      </c>
      <c r="L13" s="101">
        <v>14568.65</v>
      </c>
    </row>
    <row r="14" spans="1:12" ht="71.400000000000006" x14ac:dyDescent="0.3">
      <c r="A14" s="95" t="s">
        <v>60</v>
      </c>
      <c r="B14" s="96" t="s">
        <v>258</v>
      </c>
      <c r="C14" s="96" t="s">
        <v>28</v>
      </c>
      <c r="D14" s="96" t="s">
        <v>261</v>
      </c>
      <c r="E14" s="97" t="s">
        <v>30</v>
      </c>
      <c r="F14" s="102" t="s">
        <v>25</v>
      </c>
      <c r="G14" s="102"/>
      <c r="H14" s="97" t="s">
        <v>24</v>
      </c>
      <c r="I14" s="104">
        <v>151</v>
      </c>
      <c r="J14" s="104"/>
      <c r="K14" s="100" t="s">
        <v>19</v>
      </c>
      <c r="L14" s="101">
        <v>14417.65</v>
      </c>
    </row>
    <row r="15" spans="1:12" ht="61.2" hidden="1" x14ac:dyDescent="0.3">
      <c r="A15" s="95" t="s">
        <v>69</v>
      </c>
      <c r="B15" s="96" t="s">
        <v>80</v>
      </c>
      <c r="C15" s="96" t="s">
        <v>81</v>
      </c>
      <c r="D15" s="96" t="s">
        <v>71</v>
      </c>
      <c r="E15" s="97" t="s">
        <v>24</v>
      </c>
      <c r="F15" s="98">
        <v>3143.1</v>
      </c>
      <c r="G15" s="98"/>
      <c r="H15" s="97" t="s">
        <v>24</v>
      </c>
      <c r="I15" s="99" t="s">
        <v>25</v>
      </c>
      <c r="J15" s="99"/>
      <c r="K15" s="100" t="s">
        <v>19</v>
      </c>
      <c r="L15" s="101">
        <v>17560.75</v>
      </c>
    </row>
    <row r="16" spans="1:12" ht="61.2" hidden="1" x14ac:dyDescent="0.3">
      <c r="A16" s="95" t="s">
        <v>69</v>
      </c>
      <c r="B16" s="96" t="s">
        <v>80</v>
      </c>
      <c r="C16" s="96" t="s">
        <v>82</v>
      </c>
      <c r="D16" s="96" t="s">
        <v>74</v>
      </c>
      <c r="E16" s="97" t="s">
        <v>24</v>
      </c>
      <c r="F16" s="98">
        <v>1683</v>
      </c>
      <c r="G16" s="98"/>
      <c r="H16" s="97" t="s">
        <v>24</v>
      </c>
      <c r="I16" s="99" t="s">
        <v>25</v>
      </c>
      <c r="J16" s="99"/>
      <c r="K16" s="100" t="s">
        <v>19</v>
      </c>
      <c r="L16" s="101">
        <v>19243.75</v>
      </c>
    </row>
    <row r="17" spans="1:12" ht="61.2" hidden="1" x14ac:dyDescent="0.3">
      <c r="A17" s="95" t="s">
        <v>69</v>
      </c>
      <c r="B17" s="96" t="s">
        <v>80</v>
      </c>
      <c r="C17" s="96" t="s">
        <v>83</v>
      </c>
      <c r="D17" s="96" t="s">
        <v>75</v>
      </c>
      <c r="E17" s="97" t="s">
        <v>24</v>
      </c>
      <c r="F17" s="105">
        <v>190.5</v>
      </c>
      <c r="G17" s="105"/>
      <c r="H17" s="97" t="s">
        <v>24</v>
      </c>
      <c r="I17" s="99" t="s">
        <v>25</v>
      </c>
      <c r="J17" s="99"/>
      <c r="K17" s="100" t="s">
        <v>19</v>
      </c>
      <c r="L17" s="101">
        <v>19434.25</v>
      </c>
    </row>
    <row r="18" spans="1:12" ht="71.400000000000006" hidden="1" x14ac:dyDescent="0.3">
      <c r="A18" s="95" t="s">
        <v>69</v>
      </c>
      <c r="B18" s="96" t="s">
        <v>80</v>
      </c>
      <c r="C18" s="96" t="s">
        <v>84</v>
      </c>
      <c r="D18" s="96" t="s">
        <v>76</v>
      </c>
      <c r="E18" s="97" t="s">
        <v>24</v>
      </c>
      <c r="F18" s="105">
        <v>204.25</v>
      </c>
      <c r="G18" s="105"/>
      <c r="H18" s="97" t="s">
        <v>24</v>
      </c>
      <c r="I18" s="99" t="s">
        <v>25</v>
      </c>
      <c r="J18" s="99"/>
      <c r="K18" s="100" t="s">
        <v>19</v>
      </c>
      <c r="L18" s="101">
        <v>19638.5</v>
      </c>
    </row>
    <row r="19" spans="1:12" ht="61.2" hidden="1" x14ac:dyDescent="0.3">
      <c r="A19" s="95" t="s">
        <v>69</v>
      </c>
      <c r="B19" s="96" t="s">
        <v>80</v>
      </c>
      <c r="C19" s="96" t="s">
        <v>85</v>
      </c>
      <c r="D19" s="96" t="s">
        <v>77</v>
      </c>
      <c r="E19" s="97" t="s">
        <v>24</v>
      </c>
      <c r="F19" s="105">
        <v>990.75</v>
      </c>
      <c r="G19" s="105"/>
      <c r="H19" s="97" t="s">
        <v>24</v>
      </c>
      <c r="I19" s="99" t="s">
        <v>25</v>
      </c>
      <c r="J19" s="99"/>
      <c r="K19" s="100" t="s">
        <v>19</v>
      </c>
      <c r="L19" s="101">
        <v>20629.25</v>
      </c>
    </row>
    <row r="20" spans="1:12" ht="61.2" x14ac:dyDescent="0.3">
      <c r="A20" s="95" t="s">
        <v>26</v>
      </c>
      <c r="B20" s="96" t="s">
        <v>262</v>
      </c>
      <c r="C20" s="96" t="s">
        <v>28</v>
      </c>
      <c r="D20" s="96" t="s">
        <v>263</v>
      </c>
      <c r="E20" s="97" t="s">
        <v>30</v>
      </c>
      <c r="F20" s="102" t="s">
        <v>25</v>
      </c>
      <c r="G20" s="102"/>
      <c r="H20" s="97" t="s">
        <v>24</v>
      </c>
      <c r="I20" s="104">
        <v>167</v>
      </c>
      <c r="J20" s="104"/>
      <c r="K20" s="100" t="s">
        <v>19</v>
      </c>
      <c r="L20" s="101">
        <v>20462.25</v>
      </c>
    </row>
    <row r="21" spans="1:12" ht="61.2" x14ac:dyDescent="0.3">
      <c r="A21" s="95" t="s">
        <v>26</v>
      </c>
      <c r="B21" s="96" t="s">
        <v>262</v>
      </c>
      <c r="C21" s="96" t="s">
        <v>28</v>
      </c>
      <c r="D21" s="96" t="s">
        <v>85</v>
      </c>
      <c r="E21" s="97" t="s">
        <v>30</v>
      </c>
      <c r="F21" s="102" t="s">
        <v>25</v>
      </c>
      <c r="G21" s="102"/>
      <c r="H21" s="97" t="s">
        <v>24</v>
      </c>
      <c r="I21" s="104">
        <v>396.3</v>
      </c>
      <c r="J21" s="104"/>
      <c r="K21" s="100" t="s">
        <v>19</v>
      </c>
      <c r="L21" s="101">
        <v>20065.95</v>
      </c>
    </row>
    <row r="22" spans="1:12" ht="61.2" x14ac:dyDescent="0.3">
      <c r="A22" s="95" t="s">
        <v>26</v>
      </c>
      <c r="B22" s="96" t="s">
        <v>262</v>
      </c>
      <c r="C22" s="96" t="s">
        <v>28</v>
      </c>
      <c r="D22" s="96" t="s">
        <v>82</v>
      </c>
      <c r="E22" s="97" t="s">
        <v>30</v>
      </c>
      <c r="F22" s="102" t="s">
        <v>25</v>
      </c>
      <c r="G22" s="102"/>
      <c r="H22" s="97" t="s">
        <v>24</v>
      </c>
      <c r="I22" s="104">
        <v>504.9</v>
      </c>
      <c r="J22" s="104"/>
      <c r="K22" s="100" t="s">
        <v>19</v>
      </c>
      <c r="L22" s="101">
        <v>19561.05</v>
      </c>
    </row>
    <row r="23" spans="1:12" ht="61.2" x14ac:dyDescent="0.3">
      <c r="A23" s="95" t="s">
        <v>50</v>
      </c>
      <c r="B23" s="96" t="s">
        <v>264</v>
      </c>
      <c r="C23" s="96" t="s">
        <v>28</v>
      </c>
      <c r="D23" s="96" t="s">
        <v>83</v>
      </c>
      <c r="E23" s="97" t="s">
        <v>30</v>
      </c>
      <c r="F23" s="102" t="s">
        <v>25</v>
      </c>
      <c r="G23" s="102"/>
      <c r="H23" s="97" t="s">
        <v>24</v>
      </c>
      <c r="I23" s="104">
        <v>190.5</v>
      </c>
      <c r="J23" s="104"/>
      <c r="K23" s="100" t="s">
        <v>19</v>
      </c>
      <c r="L23" s="101">
        <v>19370.55</v>
      </c>
    </row>
    <row r="24" spans="1:12" ht="61.2" x14ac:dyDescent="0.3">
      <c r="A24" s="95" t="s">
        <v>50</v>
      </c>
      <c r="B24" s="96" t="s">
        <v>264</v>
      </c>
      <c r="C24" s="96" t="s">
        <v>28</v>
      </c>
      <c r="D24" s="96" t="s">
        <v>265</v>
      </c>
      <c r="E24" s="97" t="s">
        <v>30</v>
      </c>
      <c r="F24" s="102" t="s">
        <v>25</v>
      </c>
      <c r="G24" s="102"/>
      <c r="H24" s="97" t="s">
        <v>24</v>
      </c>
      <c r="I24" s="104">
        <v>804.05</v>
      </c>
      <c r="J24" s="104"/>
      <c r="K24" s="100" t="s">
        <v>19</v>
      </c>
      <c r="L24" s="101">
        <v>18566.5</v>
      </c>
    </row>
    <row r="25" spans="1:12" ht="61.2" x14ac:dyDescent="0.3">
      <c r="A25" s="95" t="s">
        <v>50</v>
      </c>
      <c r="B25" s="96" t="s">
        <v>264</v>
      </c>
      <c r="C25" s="96" t="s">
        <v>28</v>
      </c>
      <c r="D25" s="96" t="s">
        <v>81</v>
      </c>
      <c r="E25" s="97" t="s">
        <v>30</v>
      </c>
      <c r="F25" s="102" t="s">
        <v>25</v>
      </c>
      <c r="G25" s="102"/>
      <c r="H25" s="97" t="s">
        <v>24</v>
      </c>
      <c r="I25" s="103">
        <v>1571.55</v>
      </c>
      <c r="J25" s="103"/>
      <c r="K25" s="100" t="s">
        <v>19</v>
      </c>
      <c r="L25" s="101">
        <v>16994.95</v>
      </c>
    </row>
    <row r="26" spans="1:12" ht="61.2" x14ac:dyDescent="0.3">
      <c r="A26" s="95" t="s">
        <v>50</v>
      </c>
      <c r="B26" s="96" t="s">
        <v>264</v>
      </c>
      <c r="C26" s="96" t="s">
        <v>28</v>
      </c>
      <c r="D26" s="96" t="s">
        <v>85</v>
      </c>
      <c r="E26" s="97" t="s">
        <v>30</v>
      </c>
      <c r="F26" s="102" t="s">
        <v>25</v>
      </c>
      <c r="G26" s="102"/>
      <c r="H26" s="97" t="s">
        <v>24</v>
      </c>
      <c r="I26" s="104">
        <v>594.45000000000005</v>
      </c>
      <c r="J26" s="104"/>
      <c r="K26" s="100" t="s">
        <v>19</v>
      </c>
      <c r="L26" s="101">
        <v>16400.5</v>
      </c>
    </row>
    <row r="27" spans="1:12" ht="61.2" x14ac:dyDescent="0.3">
      <c r="A27" s="95" t="s">
        <v>50</v>
      </c>
      <c r="B27" s="96" t="s">
        <v>266</v>
      </c>
      <c r="C27" s="96" t="s">
        <v>28</v>
      </c>
      <c r="D27" s="96" t="s">
        <v>267</v>
      </c>
      <c r="E27" s="97" t="s">
        <v>30</v>
      </c>
      <c r="F27" s="102" t="s">
        <v>25</v>
      </c>
      <c r="G27" s="102"/>
      <c r="H27" s="97" t="s">
        <v>24</v>
      </c>
      <c r="I27" s="103">
        <v>3591.68</v>
      </c>
      <c r="J27" s="103"/>
      <c r="K27" s="100" t="s">
        <v>19</v>
      </c>
      <c r="L27" s="101">
        <v>12808.82</v>
      </c>
    </row>
    <row r="28" spans="1:12" ht="71.400000000000006" x14ac:dyDescent="0.3">
      <c r="A28" s="95" t="s">
        <v>50</v>
      </c>
      <c r="B28" s="96" t="s">
        <v>268</v>
      </c>
      <c r="C28" s="96" t="s">
        <v>28</v>
      </c>
      <c r="D28" s="96" t="s">
        <v>84</v>
      </c>
      <c r="E28" s="97" t="s">
        <v>30</v>
      </c>
      <c r="F28" s="102" t="s">
        <v>25</v>
      </c>
      <c r="G28" s="102"/>
      <c r="H28" s="97" t="s">
        <v>24</v>
      </c>
      <c r="I28" s="104">
        <v>204.25</v>
      </c>
      <c r="J28" s="104"/>
      <c r="K28" s="100" t="s">
        <v>19</v>
      </c>
      <c r="L28" s="101">
        <v>12604.57</v>
      </c>
    </row>
    <row r="29" spans="1:12" ht="61.2" x14ac:dyDescent="0.3">
      <c r="A29" s="95" t="s">
        <v>50</v>
      </c>
      <c r="B29" s="96" t="s">
        <v>268</v>
      </c>
      <c r="C29" s="96" t="s">
        <v>28</v>
      </c>
      <c r="D29" s="96" t="s">
        <v>81</v>
      </c>
      <c r="E29" s="97" t="s">
        <v>30</v>
      </c>
      <c r="F29" s="102" t="s">
        <v>25</v>
      </c>
      <c r="G29" s="102"/>
      <c r="H29" s="97" t="s">
        <v>24</v>
      </c>
      <c r="I29" s="103">
        <v>1571.55</v>
      </c>
      <c r="J29" s="103"/>
      <c r="K29" s="100" t="s">
        <v>19</v>
      </c>
      <c r="L29" s="101">
        <v>11033.02</v>
      </c>
    </row>
    <row r="30" spans="1:12" ht="61.2" x14ac:dyDescent="0.3">
      <c r="A30" s="95" t="s">
        <v>50</v>
      </c>
      <c r="B30" s="96" t="s">
        <v>269</v>
      </c>
      <c r="C30" s="96" t="s">
        <v>28</v>
      </c>
      <c r="D30" s="96" t="s">
        <v>270</v>
      </c>
      <c r="E30" s="97" t="s">
        <v>30</v>
      </c>
      <c r="F30" s="102" t="s">
        <v>25</v>
      </c>
      <c r="G30" s="102"/>
      <c r="H30" s="97" t="s">
        <v>24</v>
      </c>
      <c r="I30" s="104">
        <v>988.35</v>
      </c>
      <c r="J30" s="104"/>
      <c r="K30" s="100" t="s">
        <v>19</v>
      </c>
      <c r="L30" s="101">
        <v>10044.67</v>
      </c>
    </row>
    <row r="31" spans="1:12" hidden="1" x14ac:dyDescent="0.3">
      <c r="A31" s="106" t="s">
        <v>59</v>
      </c>
      <c r="B31" s="106"/>
      <c r="C31" s="106"/>
      <c r="D31" s="106"/>
      <c r="E31" s="107">
        <v>9256.6</v>
      </c>
      <c r="F31" s="107"/>
      <c r="G31" s="107"/>
      <c r="H31" s="107">
        <v>14124.13</v>
      </c>
      <c r="I31" s="107"/>
      <c r="J31" s="107"/>
      <c r="K31" s="108" t="s">
        <v>19</v>
      </c>
      <c r="L31" s="109">
        <v>10044.67</v>
      </c>
    </row>
    <row r="33" spans="10:10" x14ac:dyDescent="0.3">
      <c r="J33" s="310">
        <f>SUBTOTAL(9,I4:J30)</f>
        <v>14124.13</v>
      </c>
    </row>
  </sheetData>
  <autoFilter ref="A1:L31" xr:uid="{741715E0-EAA7-4244-8DA9-9A75C0AB16E4}">
    <filterColumn colId="1">
      <filters>
        <filter val="Передача малоцінних активів в експлуатацію ІБ00-000146 від 03.04.2025 17:41:29_x000a_Списание стоимости малоценных активов"/>
        <filter val="Передача малоцінних активів в експлуатацію ІБ00-000152 від 03.04.2025 17:41:46_x000a_Списание стоимости малоценных активов"/>
        <filter val="Передача малоцінних активів в експлуатацію ІБ00-000179 від 29.04.2025 16:19:37_x000a_Списание стоимости малоценных активов"/>
        <filter val="Передача малоцінних активів в експлуатацію ІБ00-000204 від 30.04.2025 10:00:00_x000a_Списание стоимости малоценных активов"/>
        <filter val="Передача малоцінних активів в експлуатацію ІБ00-000205 від 30.04.2025 10:00:00_x000a_Списание стоимости малоценных активов"/>
        <filter val="Передача малоцінних активів в експлуатацію ІБ00-000207 від 30.04.2025 10:00:00_x000a_Списание стоимости малоценных активов"/>
        <filter val="Передача малоцінних активів в експлуатацію ІБ00-000208 від 30.04.2025 23:59:48_x000a_Списание стоимости малоценных активов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68">
    <mergeCell ref="A31:D31"/>
    <mergeCell ref="E31:G31"/>
    <mergeCell ref="H31:J31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B8987-9A19-4F05-BB4E-3B1B77CC34D7}">
  <sheetPr filterMode="1"/>
  <dimension ref="A1:L18"/>
  <sheetViews>
    <sheetView topLeftCell="A11" workbookViewId="0">
      <selection activeCell="H23" sqref="H23"/>
    </sheetView>
  </sheetViews>
  <sheetFormatPr defaultRowHeight="14.4" x14ac:dyDescent="0.3"/>
  <cols>
    <col min="2" max="4" width="25.5546875" customWidth="1"/>
  </cols>
  <sheetData>
    <row r="1" spans="1:12" x14ac:dyDescent="0.3">
      <c r="A1" s="110" t="s">
        <v>11</v>
      </c>
      <c r="B1" s="111" t="s">
        <v>12</v>
      </c>
      <c r="C1" s="111" t="s">
        <v>13</v>
      </c>
      <c r="D1" s="112" t="s">
        <v>14</v>
      </c>
      <c r="E1" s="113" t="s">
        <v>15</v>
      </c>
      <c r="F1" s="113"/>
      <c r="G1" s="113"/>
      <c r="H1" s="114" t="s">
        <v>16</v>
      </c>
      <c r="I1" s="114"/>
      <c r="J1" s="114"/>
      <c r="K1" s="111" t="s">
        <v>17</v>
      </c>
      <c r="L1" s="111"/>
    </row>
    <row r="2" spans="1:12" hidden="1" x14ac:dyDescent="0.3">
      <c r="A2" s="115"/>
      <c r="B2" s="116"/>
      <c r="C2" s="116"/>
      <c r="D2" s="117"/>
      <c r="E2" s="118" t="s">
        <v>18</v>
      </c>
      <c r="F2" s="119"/>
      <c r="G2" s="119"/>
      <c r="H2" s="120" t="s">
        <v>18</v>
      </c>
      <c r="I2" s="121"/>
      <c r="J2" s="121"/>
      <c r="K2" s="115"/>
      <c r="L2" s="122"/>
    </row>
    <row r="3" spans="1:12" ht="51" hidden="1" x14ac:dyDescent="0.3">
      <c r="A3" s="123" t="s">
        <v>246</v>
      </c>
      <c r="B3" s="124" t="s">
        <v>271</v>
      </c>
      <c r="C3" s="124" t="s">
        <v>272</v>
      </c>
      <c r="D3" s="124" t="s">
        <v>249</v>
      </c>
      <c r="E3" s="125" t="s">
        <v>24</v>
      </c>
      <c r="F3" s="126">
        <v>3045</v>
      </c>
      <c r="G3" s="126"/>
      <c r="H3" s="125" t="s">
        <v>73</v>
      </c>
      <c r="I3" s="127" t="s">
        <v>25</v>
      </c>
      <c r="J3" s="127"/>
      <c r="K3" s="128" t="s">
        <v>19</v>
      </c>
      <c r="L3" s="129">
        <v>3963.8</v>
      </c>
    </row>
    <row r="4" spans="1:12" ht="51" hidden="1" x14ac:dyDescent="0.3">
      <c r="A4" s="123" t="s">
        <v>273</v>
      </c>
      <c r="B4" s="124" t="s">
        <v>274</v>
      </c>
      <c r="C4" s="124" t="s">
        <v>275</v>
      </c>
      <c r="D4" s="124" t="s">
        <v>276</v>
      </c>
      <c r="E4" s="125" t="s">
        <v>24</v>
      </c>
      <c r="F4" s="130">
        <v>110.25</v>
      </c>
      <c r="G4" s="130"/>
      <c r="H4" s="125" t="s">
        <v>73</v>
      </c>
      <c r="I4" s="127" t="s">
        <v>25</v>
      </c>
      <c r="J4" s="127"/>
      <c r="K4" s="128" t="s">
        <v>19</v>
      </c>
      <c r="L4" s="129">
        <v>4074.05</v>
      </c>
    </row>
    <row r="5" spans="1:12" ht="51" hidden="1" x14ac:dyDescent="0.3">
      <c r="A5" s="123" t="s">
        <v>273</v>
      </c>
      <c r="B5" s="124" t="s">
        <v>274</v>
      </c>
      <c r="C5" s="124" t="s">
        <v>277</v>
      </c>
      <c r="D5" s="124" t="s">
        <v>276</v>
      </c>
      <c r="E5" s="125" t="s">
        <v>24</v>
      </c>
      <c r="F5" s="130">
        <v>75.75</v>
      </c>
      <c r="G5" s="130"/>
      <c r="H5" s="125" t="s">
        <v>73</v>
      </c>
      <c r="I5" s="127" t="s">
        <v>25</v>
      </c>
      <c r="J5" s="127"/>
      <c r="K5" s="128" t="s">
        <v>19</v>
      </c>
      <c r="L5" s="129">
        <v>4149.8</v>
      </c>
    </row>
    <row r="6" spans="1:12" ht="51" hidden="1" x14ac:dyDescent="0.3">
      <c r="A6" s="123" t="s">
        <v>273</v>
      </c>
      <c r="B6" s="124" t="s">
        <v>274</v>
      </c>
      <c r="C6" s="124" t="s">
        <v>278</v>
      </c>
      <c r="D6" s="124" t="s">
        <v>276</v>
      </c>
      <c r="E6" s="125" t="s">
        <v>24</v>
      </c>
      <c r="F6" s="130">
        <v>72</v>
      </c>
      <c r="G6" s="130"/>
      <c r="H6" s="125" t="s">
        <v>73</v>
      </c>
      <c r="I6" s="127" t="s">
        <v>25</v>
      </c>
      <c r="J6" s="127"/>
      <c r="K6" s="128" t="s">
        <v>19</v>
      </c>
      <c r="L6" s="129">
        <v>4221.8</v>
      </c>
    </row>
    <row r="7" spans="1:12" ht="51" x14ac:dyDescent="0.3">
      <c r="A7" s="123" t="s">
        <v>50</v>
      </c>
      <c r="B7" s="124" t="s">
        <v>279</v>
      </c>
      <c r="C7" s="124" t="s">
        <v>28</v>
      </c>
      <c r="D7" s="124" t="s">
        <v>272</v>
      </c>
      <c r="E7" s="125" t="s">
        <v>30</v>
      </c>
      <c r="F7" s="131" t="s">
        <v>25</v>
      </c>
      <c r="G7" s="131"/>
      <c r="H7" s="125" t="s">
        <v>24</v>
      </c>
      <c r="I7" s="132">
        <v>3045</v>
      </c>
      <c r="J7" s="132"/>
      <c r="K7" s="128" t="s">
        <v>19</v>
      </c>
      <c r="L7" s="129">
        <v>1176.8</v>
      </c>
    </row>
    <row r="8" spans="1:12" ht="51" x14ac:dyDescent="0.3">
      <c r="A8" s="123" t="s">
        <v>50</v>
      </c>
      <c r="B8" s="124" t="s">
        <v>280</v>
      </c>
      <c r="C8" s="124" t="s">
        <v>28</v>
      </c>
      <c r="D8" s="124" t="s">
        <v>281</v>
      </c>
      <c r="E8" s="125" t="s">
        <v>30</v>
      </c>
      <c r="F8" s="131" t="s">
        <v>25</v>
      </c>
      <c r="G8" s="131"/>
      <c r="H8" s="125" t="s">
        <v>24</v>
      </c>
      <c r="I8" s="133">
        <v>294</v>
      </c>
      <c r="J8" s="133"/>
      <c r="K8" s="128" t="s">
        <v>19</v>
      </c>
      <c r="L8" s="134">
        <v>882.8</v>
      </c>
    </row>
    <row r="9" spans="1:12" ht="61.2" x14ac:dyDescent="0.3">
      <c r="A9" s="123" t="s">
        <v>50</v>
      </c>
      <c r="B9" s="124" t="s">
        <v>280</v>
      </c>
      <c r="C9" s="124" t="s">
        <v>28</v>
      </c>
      <c r="D9" s="124" t="s">
        <v>282</v>
      </c>
      <c r="E9" s="125" t="s">
        <v>30</v>
      </c>
      <c r="F9" s="131" t="s">
        <v>25</v>
      </c>
      <c r="G9" s="131"/>
      <c r="H9" s="125" t="s">
        <v>24</v>
      </c>
      <c r="I9" s="133">
        <v>151</v>
      </c>
      <c r="J9" s="133"/>
      <c r="K9" s="128" t="s">
        <v>19</v>
      </c>
      <c r="L9" s="134">
        <v>731.8</v>
      </c>
    </row>
    <row r="10" spans="1:12" ht="51" x14ac:dyDescent="0.3">
      <c r="A10" s="123" t="s">
        <v>50</v>
      </c>
      <c r="B10" s="124" t="s">
        <v>280</v>
      </c>
      <c r="C10" s="124" t="s">
        <v>28</v>
      </c>
      <c r="D10" s="124" t="s">
        <v>277</v>
      </c>
      <c r="E10" s="125" t="s">
        <v>30</v>
      </c>
      <c r="F10" s="131" t="s">
        <v>25</v>
      </c>
      <c r="G10" s="131"/>
      <c r="H10" s="125" t="s">
        <v>24</v>
      </c>
      <c r="I10" s="133">
        <v>75.75</v>
      </c>
      <c r="J10" s="133"/>
      <c r="K10" s="128" t="s">
        <v>19</v>
      </c>
      <c r="L10" s="134">
        <v>656.05</v>
      </c>
    </row>
    <row r="11" spans="1:12" ht="51" x14ac:dyDescent="0.3">
      <c r="A11" s="123" t="s">
        <v>50</v>
      </c>
      <c r="B11" s="124" t="s">
        <v>280</v>
      </c>
      <c r="C11" s="124" t="s">
        <v>28</v>
      </c>
      <c r="D11" s="124" t="s">
        <v>275</v>
      </c>
      <c r="E11" s="125" t="s">
        <v>30</v>
      </c>
      <c r="F11" s="131" t="s">
        <v>25</v>
      </c>
      <c r="G11" s="131"/>
      <c r="H11" s="125" t="s">
        <v>24</v>
      </c>
      <c r="I11" s="133">
        <v>110.25</v>
      </c>
      <c r="J11" s="133"/>
      <c r="K11" s="128" t="s">
        <v>19</v>
      </c>
      <c r="L11" s="134">
        <v>545.79999999999995</v>
      </c>
    </row>
    <row r="12" spans="1:12" ht="51" x14ac:dyDescent="0.3">
      <c r="A12" s="123" t="s">
        <v>50</v>
      </c>
      <c r="B12" s="124" t="s">
        <v>283</v>
      </c>
      <c r="C12" s="124" t="s">
        <v>28</v>
      </c>
      <c r="D12" s="124" t="s">
        <v>284</v>
      </c>
      <c r="E12" s="125" t="s">
        <v>30</v>
      </c>
      <c r="F12" s="131" t="s">
        <v>25</v>
      </c>
      <c r="G12" s="131"/>
      <c r="H12" s="125" t="s">
        <v>24</v>
      </c>
      <c r="I12" s="133">
        <v>136.80000000000001</v>
      </c>
      <c r="J12" s="133"/>
      <c r="K12" s="128" t="s">
        <v>19</v>
      </c>
      <c r="L12" s="134">
        <v>409</v>
      </c>
    </row>
    <row r="13" spans="1:12" ht="61.2" x14ac:dyDescent="0.3">
      <c r="A13" s="123" t="s">
        <v>50</v>
      </c>
      <c r="B13" s="124" t="s">
        <v>283</v>
      </c>
      <c r="C13" s="124" t="s">
        <v>28</v>
      </c>
      <c r="D13" s="124" t="s">
        <v>285</v>
      </c>
      <c r="E13" s="125" t="s">
        <v>30</v>
      </c>
      <c r="F13" s="131" t="s">
        <v>25</v>
      </c>
      <c r="G13" s="131"/>
      <c r="H13" s="125" t="s">
        <v>24</v>
      </c>
      <c r="I13" s="133">
        <v>170</v>
      </c>
      <c r="J13" s="133"/>
      <c r="K13" s="128" t="s">
        <v>19</v>
      </c>
      <c r="L13" s="134">
        <v>239</v>
      </c>
    </row>
    <row r="14" spans="1:12" ht="51" x14ac:dyDescent="0.3">
      <c r="A14" s="123" t="s">
        <v>50</v>
      </c>
      <c r="B14" s="124" t="s">
        <v>283</v>
      </c>
      <c r="C14" s="124" t="s">
        <v>28</v>
      </c>
      <c r="D14" s="124" t="s">
        <v>278</v>
      </c>
      <c r="E14" s="125" t="s">
        <v>30</v>
      </c>
      <c r="F14" s="131" t="s">
        <v>25</v>
      </c>
      <c r="G14" s="131"/>
      <c r="H14" s="125" t="s">
        <v>24</v>
      </c>
      <c r="I14" s="133">
        <v>72</v>
      </c>
      <c r="J14" s="133"/>
      <c r="K14" s="128" t="s">
        <v>19</v>
      </c>
      <c r="L14" s="134">
        <v>167</v>
      </c>
    </row>
    <row r="15" spans="1:12" ht="51" x14ac:dyDescent="0.3">
      <c r="A15" s="123" t="s">
        <v>50</v>
      </c>
      <c r="B15" s="124" t="s">
        <v>283</v>
      </c>
      <c r="C15" s="124" t="s">
        <v>28</v>
      </c>
      <c r="D15" s="124" t="s">
        <v>286</v>
      </c>
      <c r="E15" s="125" t="s">
        <v>30</v>
      </c>
      <c r="F15" s="131" t="s">
        <v>25</v>
      </c>
      <c r="G15" s="131"/>
      <c r="H15" s="125" t="s">
        <v>24</v>
      </c>
      <c r="I15" s="133">
        <v>167</v>
      </c>
      <c r="J15" s="133"/>
      <c r="K15" s="128"/>
      <c r="L15" s="135"/>
    </row>
    <row r="16" spans="1:12" hidden="1" x14ac:dyDescent="0.3">
      <c r="A16" s="136" t="s">
        <v>59</v>
      </c>
      <c r="B16" s="136"/>
      <c r="C16" s="136"/>
      <c r="D16" s="136"/>
      <c r="E16" s="137">
        <v>3303</v>
      </c>
      <c r="F16" s="137"/>
      <c r="G16" s="137"/>
      <c r="H16" s="137">
        <v>4221.8</v>
      </c>
      <c r="I16" s="137"/>
      <c r="J16" s="137"/>
      <c r="K16" s="138"/>
      <c r="L16" s="139">
        <v>0</v>
      </c>
    </row>
    <row r="18" spans="10:10" x14ac:dyDescent="0.3">
      <c r="J18" s="310">
        <f>SUBTOTAL(9,I7:J15)</f>
        <v>4221.8</v>
      </c>
    </row>
  </sheetData>
  <autoFilter ref="A1:L16" xr:uid="{EA22D511-DD97-4961-B0F1-9430F45B055D}">
    <filterColumn colId="1">
      <filters>
        <filter val="Передача малоцінних активів в експлуатацію ІБ00-000196 від 30.04.2025 23:59:24_x000a_Списание стоимости малоценных активов"/>
        <filter val="Передача малоцінних активів в експлуатацію ІБ00-000198 від 30.04.2025 23:59:30_x000a_Списание стоимости малоценных активов"/>
        <filter val="Передача малоцінних активів в експлуатацію ІБ00-000199 від 30.04.2025 23:59:35_x000a_Списание стоимости малоценных активов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38">
    <mergeCell ref="A16:D16"/>
    <mergeCell ref="E16:G16"/>
    <mergeCell ref="H16:J16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02570-B30E-4A60-94DC-D9CAD05FEA11}">
  <sheetPr filterMode="1"/>
  <dimension ref="A1:L14"/>
  <sheetViews>
    <sheetView topLeftCell="A7" workbookViewId="0">
      <selection activeCell="J14" sqref="J14"/>
    </sheetView>
  </sheetViews>
  <sheetFormatPr defaultRowHeight="14.4" x14ac:dyDescent="0.3"/>
  <cols>
    <col min="2" max="4" width="32.5546875" customWidth="1"/>
  </cols>
  <sheetData>
    <row r="1" spans="1:12" x14ac:dyDescent="0.3">
      <c r="A1" s="140" t="s">
        <v>11</v>
      </c>
      <c r="B1" s="141" t="s">
        <v>12</v>
      </c>
      <c r="C1" s="141" t="s">
        <v>13</v>
      </c>
      <c r="D1" s="142" t="s">
        <v>14</v>
      </c>
      <c r="E1" s="143" t="s">
        <v>15</v>
      </c>
      <c r="F1" s="143"/>
      <c r="G1" s="143"/>
      <c r="H1" s="144" t="s">
        <v>16</v>
      </c>
      <c r="I1" s="144"/>
      <c r="J1" s="144"/>
      <c r="K1" s="141" t="s">
        <v>17</v>
      </c>
      <c r="L1" s="141"/>
    </row>
    <row r="2" spans="1:12" hidden="1" x14ac:dyDescent="0.3">
      <c r="A2" s="145"/>
      <c r="B2" s="146"/>
      <c r="C2" s="146"/>
      <c r="D2" s="147"/>
      <c r="E2" s="148" t="s">
        <v>18</v>
      </c>
      <c r="F2" s="149"/>
      <c r="G2" s="149"/>
      <c r="H2" s="150" t="s">
        <v>18</v>
      </c>
      <c r="I2" s="151"/>
      <c r="J2" s="151"/>
      <c r="K2" s="145"/>
      <c r="L2" s="152"/>
    </row>
    <row r="3" spans="1:12" ht="61.2" hidden="1" x14ac:dyDescent="0.3">
      <c r="A3" s="153" t="s">
        <v>246</v>
      </c>
      <c r="B3" s="154" t="s">
        <v>287</v>
      </c>
      <c r="C3" s="154" t="s">
        <v>288</v>
      </c>
      <c r="D3" s="154" t="s">
        <v>289</v>
      </c>
      <c r="E3" s="155" t="s">
        <v>24</v>
      </c>
      <c r="F3" s="156">
        <v>260</v>
      </c>
      <c r="G3" s="156"/>
      <c r="H3" s="155" t="s">
        <v>73</v>
      </c>
      <c r="I3" s="157" t="s">
        <v>25</v>
      </c>
      <c r="J3" s="157"/>
      <c r="K3" s="158" t="s">
        <v>19</v>
      </c>
      <c r="L3" s="159">
        <v>4264.2</v>
      </c>
    </row>
    <row r="4" spans="1:12" ht="61.2" hidden="1" x14ac:dyDescent="0.3">
      <c r="A4" s="153" t="s">
        <v>246</v>
      </c>
      <c r="B4" s="154" t="s">
        <v>287</v>
      </c>
      <c r="C4" s="154" t="s">
        <v>288</v>
      </c>
      <c r="D4" s="154" t="s">
        <v>289</v>
      </c>
      <c r="E4" s="155" t="s">
        <v>24</v>
      </c>
      <c r="F4" s="156">
        <v>200</v>
      </c>
      <c r="G4" s="156"/>
      <c r="H4" s="155" t="s">
        <v>73</v>
      </c>
      <c r="I4" s="157" t="s">
        <v>25</v>
      </c>
      <c r="J4" s="157"/>
      <c r="K4" s="158" t="s">
        <v>19</v>
      </c>
      <c r="L4" s="159">
        <v>4464.2</v>
      </c>
    </row>
    <row r="5" spans="1:12" ht="71.400000000000006" x14ac:dyDescent="0.3">
      <c r="A5" s="153" t="s">
        <v>50</v>
      </c>
      <c r="B5" s="154" t="s">
        <v>290</v>
      </c>
      <c r="C5" s="154" t="s">
        <v>28</v>
      </c>
      <c r="D5" s="154" t="s">
        <v>291</v>
      </c>
      <c r="E5" s="155" t="s">
        <v>30</v>
      </c>
      <c r="F5" s="160" t="s">
        <v>25</v>
      </c>
      <c r="G5" s="160"/>
      <c r="H5" s="155" t="s">
        <v>24</v>
      </c>
      <c r="I5" s="161">
        <v>445.6</v>
      </c>
      <c r="J5" s="161"/>
      <c r="K5" s="158" t="s">
        <v>19</v>
      </c>
      <c r="L5" s="159">
        <v>4018.6</v>
      </c>
    </row>
    <row r="6" spans="1:12" ht="61.2" x14ac:dyDescent="0.3">
      <c r="A6" s="153" t="s">
        <v>50</v>
      </c>
      <c r="B6" s="154" t="s">
        <v>290</v>
      </c>
      <c r="C6" s="154" t="s">
        <v>28</v>
      </c>
      <c r="D6" s="154" t="s">
        <v>292</v>
      </c>
      <c r="E6" s="155" t="s">
        <v>30</v>
      </c>
      <c r="F6" s="160" t="s">
        <v>25</v>
      </c>
      <c r="G6" s="160"/>
      <c r="H6" s="155" t="s">
        <v>24</v>
      </c>
      <c r="I6" s="161">
        <v>430</v>
      </c>
      <c r="J6" s="161"/>
      <c r="K6" s="158" t="s">
        <v>19</v>
      </c>
      <c r="L6" s="159">
        <v>3588.6</v>
      </c>
    </row>
    <row r="7" spans="1:12" ht="61.2" x14ac:dyDescent="0.3">
      <c r="A7" s="153" t="s">
        <v>50</v>
      </c>
      <c r="B7" s="154" t="s">
        <v>290</v>
      </c>
      <c r="C7" s="154" t="s">
        <v>28</v>
      </c>
      <c r="D7" s="154" t="s">
        <v>288</v>
      </c>
      <c r="E7" s="155" t="s">
        <v>30</v>
      </c>
      <c r="F7" s="160" t="s">
        <v>25</v>
      </c>
      <c r="G7" s="160"/>
      <c r="H7" s="155" t="s">
        <v>24</v>
      </c>
      <c r="I7" s="161">
        <v>460</v>
      </c>
      <c r="J7" s="161"/>
      <c r="K7" s="158" t="s">
        <v>19</v>
      </c>
      <c r="L7" s="159">
        <v>3128.6</v>
      </c>
    </row>
    <row r="8" spans="1:12" ht="61.2" x14ac:dyDescent="0.3">
      <c r="A8" s="153" t="s">
        <v>50</v>
      </c>
      <c r="B8" s="154" t="s">
        <v>290</v>
      </c>
      <c r="C8" s="154" t="s">
        <v>28</v>
      </c>
      <c r="D8" s="154" t="s">
        <v>293</v>
      </c>
      <c r="E8" s="155" t="s">
        <v>30</v>
      </c>
      <c r="F8" s="160" t="s">
        <v>25</v>
      </c>
      <c r="G8" s="160"/>
      <c r="H8" s="155" t="s">
        <v>24</v>
      </c>
      <c r="I8" s="161">
        <v>201.9</v>
      </c>
      <c r="J8" s="161"/>
      <c r="K8" s="158" t="s">
        <v>19</v>
      </c>
      <c r="L8" s="159">
        <v>2926.7</v>
      </c>
    </row>
    <row r="9" spans="1:12" ht="71.400000000000006" x14ac:dyDescent="0.3">
      <c r="A9" s="153" t="s">
        <v>50</v>
      </c>
      <c r="B9" s="154" t="s">
        <v>290</v>
      </c>
      <c r="C9" s="154" t="s">
        <v>28</v>
      </c>
      <c r="D9" s="154" t="s">
        <v>294</v>
      </c>
      <c r="E9" s="155" t="s">
        <v>30</v>
      </c>
      <c r="F9" s="160" t="s">
        <v>25</v>
      </c>
      <c r="G9" s="160"/>
      <c r="H9" s="155" t="s">
        <v>24</v>
      </c>
      <c r="I9" s="162">
        <v>2232</v>
      </c>
      <c r="J9" s="162"/>
      <c r="K9" s="158" t="s">
        <v>19</v>
      </c>
      <c r="L9" s="163">
        <v>694.7</v>
      </c>
    </row>
    <row r="10" spans="1:12" ht="71.400000000000006" x14ac:dyDescent="0.3">
      <c r="A10" s="153" t="s">
        <v>50</v>
      </c>
      <c r="B10" s="154" t="s">
        <v>290</v>
      </c>
      <c r="C10" s="154" t="s">
        <v>28</v>
      </c>
      <c r="D10" s="154" t="s">
        <v>295</v>
      </c>
      <c r="E10" s="155" t="s">
        <v>30</v>
      </c>
      <c r="F10" s="160" t="s">
        <v>25</v>
      </c>
      <c r="G10" s="160"/>
      <c r="H10" s="155" t="s">
        <v>24</v>
      </c>
      <c r="I10" s="161">
        <v>694.7</v>
      </c>
      <c r="J10" s="161"/>
      <c r="K10" s="158"/>
      <c r="L10" s="164"/>
    </row>
    <row r="11" spans="1:12" hidden="1" x14ac:dyDescent="0.3">
      <c r="A11" s="165" t="s">
        <v>59</v>
      </c>
      <c r="B11" s="165"/>
      <c r="C11" s="165"/>
      <c r="D11" s="165"/>
      <c r="E11" s="166">
        <v>460</v>
      </c>
      <c r="F11" s="166"/>
      <c r="G11" s="166"/>
      <c r="H11" s="167">
        <v>4464.2</v>
      </c>
      <c r="I11" s="167"/>
      <c r="J11" s="167"/>
      <c r="K11" s="168"/>
      <c r="L11" s="169">
        <v>0</v>
      </c>
    </row>
    <row r="14" spans="1:12" x14ac:dyDescent="0.3">
      <c r="J14" s="310">
        <f>SUBTOTAL(9,I5:J10)</f>
        <v>4464.2</v>
      </c>
    </row>
  </sheetData>
  <autoFilter ref="A1:L11" xr:uid="{0AB50533-45A2-4489-AE81-43766A492557}">
    <filterColumn colId="1">
      <filters>
        <filter val="Передача малоцінних активів в експлуатацію ІБ00-000210 від 30.04.2025 10:59:54_x000a_Списание стоимости малоценных активов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28">
    <mergeCell ref="E11:G11"/>
    <mergeCell ref="H11:J11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D1:D2"/>
    <mergeCell ref="E1:G1"/>
    <mergeCell ref="H1:J1"/>
    <mergeCell ref="K1:L2"/>
    <mergeCell ref="F2:G2"/>
    <mergeCell ref="I2:J2"/>
    <mergeCell ref="F10:G10"/>
    <mergeCell ref="I10:J10"/>
    <mergeCell ref="A11:D11"/>
    <mergeCell ref="F3:G3"/>
    <mergeCell ref="I3:J3"/>
    <mergeCell ref="A1:A2"/>
    <mergeCell ref="B1:B2"/>
    <mergeCell ref="C1:C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B1C3F-D005-463B-A218-A35B19E8DE2F}">
  <sheetPr filterMode="1"/>
  <dimension ref="A1:L15"/>
  <sheetViews>
    <sheetView topLeftCell="A7" workbookViewId="0">
      <selection activeCell="J16" sqref="J16"/>
    </sheetView>
  </sheetViews>
  <sheetFormatPr defaultRowHeight="14.4" x14ac:dyDescent="0.3"/>
  <cols>
    <col min="2" max="4" width="24.6640625" customWidth="1"/>
  </cols>
  <sheetData>
    <row r="1" spans="1:12" x14ac:dyDescent="0.3">
      <c r="A1" s="170" t="s">
        <v>11</v>
      </c>
      <c r="B1" s="171" t="s">
        <v>12</v>
      </c>
      <c r="C1" s="171" t="s">
        <v>13</v>
      </c>
      <c r="D1" s="172" t="s">
        <v>14</v>
      </c>
      <c r="E1" s="173" t="s">
        <v>15</v>
      </c>
      <c r="F1" s="173"/>
      <c r="G1" s="173"/>
      <c r="H1" s="174" t="s">
        <v>16</v>
      </c>
      <c r="I1" s="174"/>
      <c r="J1" s="174"/>
      <c r="K1" s="171" t="s">
        <v>17</v>
      </c>
      <c r="L1" s="171"/>
    </row>
    <row r="2" spans="1:12" hidden="1" x14ac:dyDescent="0.3">
      <c r="A2" s="175"/>
      <c r="B2" s="176"/>
      <c r="C2" s="176"/>
      <c r="D2" s="177"/>
      <c r="E2" s="178" t="s">
        <v>18</v>
      </c>
      <c r="F2" s="179"/>
      <c r="G2" s="179"/>
      <c r="H2" s="180" t="s">
        <v>18</v>
      </c>
      <c r="I2" s="181"/>
      <c r="J2" s="181"/>
      <c r="K2" s="175"/>
      <c r="L2" s="182"/>
    </row>
    <row r="3" spans="1:12" ht="51" hidden="1" x14ac:dyDescent="0.3">
      <c r="A3" s="183" t="s">
        <v>20</v>
      </c>
      <c r="B3" s="184" t="s">
        <v>178</v>
      </c>
      <c r="C3" s="184" t="s">
        <v>179</v>
      </c>
      <c r="D3" s="184" t="s">
        <v>150</v>
      </c>
      <c r="E3" s="185" t="s">
        <v>24</v>
      </c>
      <c r="F3" s="186">
        <v>268.75</v>
      </c>
      <c r="G3" s="186"/>
      <c r="H3" s="185" t="s">
        <v>24</v>
      </c>
      <c r="I3" s="187" t="s">
        <v>25</v>
      </c>
      <c r="J3" s="187"/>
      <c r="K3" s="188" t="s">
        <v>19</v>
      </c>
      <c r="L3" s="189">
        <v>1168.75</v>
      </c>
    </row>
    <row r="4" spans="1:12" ht="61.2" hidden="1" x14ac:dyDescent="0.3">
      <c r="A4" s="183" t="s">
        <v>20</v>
      </c>
      <c r="B4" s="184" t="s">
        <v>178</v>
      </c>
      <c r="C4" s="184" t="s">
        <v>180</v>
      </c>
      <c r="D4" s="184" t="s">
        <v>152</v>
      </c>
      <c r="E4" s="185" t="s">
        <v>24</v>
      </c>
      <c r="F4" s="190">
        <v>1116</v>
      </c>
      <c r="G4" s="190"/>
      <c r="H4" s="185" t="s">
        <v>24</v>
      </c>
      <c r="I4" s="187" t="s">
        <v>25</v>
      </c>
      <c r="J4" s="187"/>
      <c r="K4" s="188" t="s">
        <v>19</v>
      </c>
      <c r="L4" s="189">
        <v>2284.75</v>
      </c>
    </row>
    <row r="5" spans="1:12" ht="51" hidden="1" x14ac:dyDescent="0.3">
      <c r="A5" s="183" t="s">
        <v>20</v>
      </c>
      <c r="B5" s="184" t="s">
        <v>178</v>
      </c>
      <c r="C5" s="184" t="s">
        <v>181</v>
      </c>
      <c r="D5" s="184" t="s">
        <v>153</v>
      </c>
      <c r="E5" s="185" t="s">
        <v>24</v>
      </c>
      <c r="F5" s="190">
        <v>4461.45</v>
      </c>
      <c r="G5" s="190"/>
      <c r="H5" s="185" t="s">
        <v>24</v>
      </c>
      <c r="I5" s="187" t="s">
        <v>25</v>
      </c>
      <c r="J5" s="187"/>
      <c r="K5" s="188" t="s">
        <v>19</v>
      </c>
      <c r="L5" s="189">
        <v>6746.2</v>
      </c>
    </row>
    <row r="6" spans="1:12" ht="51" hidden="1" x14ac:dyDescent="0.3">
      <c r="A6" s="183" t="s">
        <v>20</v>
      </c>
      <c r="B6" s="184" t="s">
        <v>178</v>
      </c>
      <c r="C6" s="184" t="s">
        <v>182</v>
      </c>
      <c r="D6" s="184" t="s">
        <v>23</v>
      </c>
      <c r="E6" s="185" t="s">
        <v>24</v>
      </c>
      <c r="F6" s="190">
        <v>1410</v>
      </c>
      <c r="G6" s="190"/>
      <c r="H6" s="185" t="s">
        <v>24</v>
      </c>
      <c r="I6" s="187" t="s">
        <v>25</v>
      </c>
      <c r="J6" s="187"/>
      <c r="K6" s="188" t="s">
        <v>19</v>
      </c>
      <c r="L6" s="189">
        <v>8156.2</v>
      </c>
    </row>
    <row r="7" spans="1:12" ht="51" x14ac:dyDescent="0.3">
      <c r="A7" s="183" t="s">
        <v>50</v>
      </c>
      <c r="B7" s="184" t="s">
        <v>296</v>
      </c>
      <c r="C7" s="184" t="s">
        <v>28</v>
      </c>
      <c r="D7" s="184" t="s">
        <v>179</v>
      </c>
      <c r="E7" s="185" t="s">
        <v>30</v>
      </c>
      <c r="F7" s="191" t="s">
        <v>25</v>
      </c>
      <c r="G7" s="191"/>
      <c r="H7" s="185" t="s">
        <v>24</v>
      </c>
      <c r="I7" s="192">
        <v>268.75</v>
      </c>
      <c r="J7" s="192"/>
      <c r="K7" s="188" t="s">
        <v>19</v>
      </c>
      <c r="L7" s="189">
        <v>7887.45</v>
      </c>
    </row>
    <row r="8" spans="1:12" ht="51" x14ac:dyDescent="0.3">
      <c r="A8" s="183" t="s">
        <v>50</v>
      </c>
      <c r="B8" s="184" t="s">
        <v>296</v>
      </c>
      <c r="C8" s="184" t="s">
        <v>28</v>
      </c>
      <c r="D8" s="184" t="s">
        <v>297</v>
      </c>
      <c r="E8" s="185" t="s">
        <v>30</v>
      </c>
      <c r="F8" s="191" t="s">
        <v>25</v>
      </c>
      <c r="G8" s="191"/>
      <c r="H8" s="185" t="s">
        <v>24</v>
      </c>
      <c r="I8" s="192">
        <v>470</v>
      </c>
      <c r="J8" s="192"/>
      <c r="K8" s="188" t="s">
        <v>19</v>
      </c>
      <c r="L8" s="189">
        <v>7417.45</v>
      </c>
    </row>
    <row r="9" spans="1:12" ht="61.2" x14ac:dyDescent="0.3">
      <c r="A9" s="183" t="s">
        <v>50</v>
      </c>
      <c r="B9" s="184" t="s">
        <v>296</v>
      </c>
      <c r="C9" s="184" t="s">
        <v>28</v>
      </c>
      <c r="D9" s="184" t="s">
        <v>180</v>
      </c>
      <c r="E9" s="185" t="s">
        <v>30</v>
      </c>
      <c r="F9" s="191" t="s">
        <v>25</v>
      </c>
      <c r="G9" s="191"/>
      <c r="H9" s="185" t="s">
        <v>24</v>
      </c>
      <c r="I9" s="193">
        <v>1116</v>
      </c>
      <c r="J9" s="193"/>
      <c r="K9" s="188" t="s">
        <v>19</v>
      </c>
      <c r="L9" s="189">
        <v>6301.45</v>
      </c>
    </row>
    <row r="10" spans="1:12" ht="51" x14ac:dyDescent="0.3">
      <c r="A10" s="183" t="s">
        <v>50</v>
      </c>
      <c r="B10" s="184" t="s">
        <v>296</v>
      </c>
      <c r="C10" s="184" t="s">
        <v>28</v>
      </c>
      <c r="D10" s="184" t="s">
        <v>182</v>
      </c>
      <c r="E10" s="185" t="s">
        <v>30</v>
      </c>
      <c r="F10" s="191" t="s">
        <v>25</v>
      </c>
      <c r="G10" s="191"/>
      <c r="H10" s="185" t="s">
        <v>24</v>
      </c>
      <c r="I10" s="193">
        <v>1410</v>
      </c>
      <c r="J10" s="193"/>
      <c r="K10" s="188" t="s">
        <v>19</v>
      </c>
      <c r="L10" s="189">
        <v>4891.45</v>
      </c>
    </row>
    <row r="11" spans="1:12" ht="51" x14ac:dyDescent="0.3">
      <c r="A11" s="183" t="s">
        <v>50</v>
      </c>
      <c r="B11" s="184" t="s">
        <v>296</v>
      </c>
      <c r="C11" s="184" t="s">
        <v>28</v>
      </c>
      <c r="D11" s="184" t="s">
        <v>298</v>
      </c>
      <c r="E11" s="185" t="s">
        <v>30</v>
      </c>
      <c r="F11" s="191" t="s">
        <v>25</v>
      </c>
      <c r="G11" s="191"/>
      <c r="H11" s="185" t="s">
        <v>24</v>
      </c>
      <c r="I11" s="192">
        <v>430</v>
      </c>
      <c r="J11" s="192"/>
      <c r="K11" s="188" t="s">
        <v>19</v>
      </c>
      <c r="L11" s="189">
        <v>4461.45</v>
      </c>
    </row>
    <row r="12" spans="1:12" ht="51" x14ac:dyDescent="0.3">
      <c r="A12" s="183" t="s">
        <v>50</v>
      </c>
      <c r="B12" s="184" t="s">
        <v>296</v>
      </c>
      <c r="C12" s="184" t="s">
        <v>28</v>
      </c>
      <c r="D12" s="184" t="s">
        <v>181</v>
      </c>
      <c r="E12" s="185" t="s">
        <v>30</v>
      </c>
      <c r="F12" s="191" t="s">
        <v>25</v>
      </c>
      <c r="G12" s="191"/>
      <c r="H12" s="185" t="s">
        <v>24</v>
      </c>
      <c r="I12" s="193">
        <v>4461.45</v>
      </c>
      <c r="J12" s="193"/>
      <c r="K12" s="188"/>
      <c r="L12" s="194"/>
    </row>
    <row r="13" spans="1:12" hidden="1" x14ac:dyDescent="0.3">
      <c r="A13" s="195" t="s">
        <v>59</v>
      </c>
      <c r="B13" s="195"/>
      <c r="C13" s="195"/>
      <c r="D13" s="195"/>
      <c r="E13" s="196">
        <v>7256.2</v>
      </c>
      <c r="F13" s="196"/>
      <c r="G13" s="196"/>
      <c r="H13" s="196">
        <v>8156.2</v>
      </c>
      <c r="I13" s="196"/>
      <c r="J13" s="196"/>
      <c r="K13" s="197"/>
      <c r="L13" s="198">
        <v>0</v>
      </c>
    </row>
    <row r="15" spans="1:12" x14ac:dyDescent="0.3">
      <c r="J15">
        <f>SUBTOTAL(9,I7:J12)</f>
        <v>8156.2</v>
      </c>
    </row>
  </sheetData>
  <autoFilter ref="A1:L13" xr:uid="{DAEBFE32-C867-49DE-8B75-B2ECAA4FDEB0}">
    <filterColumn colId="1">
      <filters>
        <filter val="Передача малоцінних активів в експлуатацію ІБ00-000203 від 30.04.2025 10:00:00_x000a_Списание стоимости малоценных активов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32">
    <mergeCell ref="A13:D13"/>
    <mergeCell ref="E13:G13"/>
    <mergeCell ref="H13:J13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AD74C-5865-4A30-8064-2358BBF3D15E}">
  <sheetPr filterMode="1"/>
  <dimension ref="A1:L22"/>
  <sheetViews>
    <sheetView topLeftCell="A15" workbookViewId="0">
      <selection activeCell="J22" sqref="J22"/>
    </sheetView>
  </sheetViews>
  <sheetFormatPr defaultRowHeight="14.4" x14ac:dyDescent="0.3"/>
  <cols>
    <col min="2" max="4" width="29.5546875" customWidth="1"/>
  </cols>
  <sheetData>
    <row r="1" spans="1:12" x14ac:dyDescent="0.3">
      <c r="A1" s="199" t="s">
        <v>11</v>
      </c>
      <c r="B1" s="200" t="s">
        <v>12</v>
      </c>
      <c r="C1" s="200" t="s">
        <v>13</v>
      </c>
      <c r="D1" s="201" t="s">
        <v>14</v>
      </c>
      <c r="E1" s="202" t="s">
        <v>15</v>
      </c>
      <c r="F1" s="202"/>
      <c r="G1" s="202"/>
      <c r="H1" s="203" t="s">
        <v>16</v>
      </c>
      <c r="I1" s="203"/>
      <c r="J1" s="203"/>
      <c r="K1" s="200" t="s">
        <v>17</v>
      </c>
      <c r="L1" s="200"/>
    </row>
    <row r="2" spans="1:12" hidden="1" x14ac:dyDescent="0.3">
      <c r="A2" s="204"/>
      <c r="B2" s="205"/>
      <c r="C2" s="205"/>
      <c r="D2" s="206"/>
      <c r="E2" s="207" t="s">
        <v>18</v>
      </c>
      <c r="F2" s="208"/>
      <c r="G2" s="208"/>
      <c r="H2" s="209" t="s">
        <v>18</v>
      </c>
      <c r="I2" s="210"/>
      <c r="J2" s="210"/>
      <c r="K2" s="204"/>
      <c r="L2" s="211"/>
    </row>
    <row r="3" spans="1:12" ht="61.2" x14ac:dyDescent="0.3">
      <c r="A3" s="212" t="s">
        <v>60</v>
      </c>
      <c r="B3" s="213" t="s">
        <v>299</v>
      </c>
      <c r="C3" s="213" t="s">
        <v>28</v>
      </c>
      <c r="D3" s="213" t="s">
        <v>300</v>
      </c>
      <c r="E3" s="214" t="s">
        <v>30</v>
      </c>
      <c r="F3" s="215" t="s">
        <v>25</v>
      </c>
      <c r="G3" s="215"/>
      <c r="H3" s="214" t="s">
        <v>24</v>
      </c>
      <c r="I3" s="216">
        <v>1216.9000000000001</v>
      </c>
      <c r="J3" s="216"/>
      <c r="K3" s="217" t="s">
        <v>19</v>
      </c>
      <c r="L3" s="218">
        <v>54112.25</v>
      </c>
    </row>
    <row r="4" spans="1:12" ht="61.2" x14ac:dyDescent="0.3">
      <c r="A4" s="212" t="s">
        <v>60</v>
      </c>
      <c r="B4" s="213" t="s">
        <v>299</v>
      </c>
      <c r="C4" s="213" t="s">
        <v>28</v>
      </c>
      <c r="D4" s="213" t="s">
        <v>301</v>
      </c>
      <c r="E4" s="214" t="s">
        <v>30</v>
      </c>
      <c r="F4" s="215" t="s">
        <v>25</v>
      </c>
      <c r="G4" s="215"/>
      <c r="H4" s="214" t="s">
        <v>24</v>
      </c>
      <c r="I4" s="219">
        <v>257.89999999999998</v>
      </c>
      <c r="J4" s="219"/>
      <c r="K4" s="217" t="s">
        <v>19</v>
      </c>
      <c r="L4" s="218">
        <v>53854.35</v>
      </c>
    </row>
    <row r="5" spans="1:12" ht="61.2" x14ac:dyDescent="0.3">
      <c r="A5" s="212" t="s">
        <v>60</v>
      </c>
      <c r="B5" s="213" t="s">
        <v>299</v>
      </c>
      <c r="C5" s="213" t="s">
        <v>28</v>
      </c>
      <c r="D5" s="213" t="s">
        <v>302</v>
      </c>
      <c r="E5" s="214" t="s">
        <v>30</v>
      </c>
      <c r="F5" s="215" t="s">
        <v>25</v>
      </c>
      <c r="G5" s="215"/>
      <c r="H5" s="214" t="s">
        <v>24</v>
      </c>
      <c r="I5" s="219">
        <v>636.6</v>
      </c>
      <c r="J5" s="219"/>
      <c r="K5" s="217" t="s">
        <v>19</v>
      </c>
      <c r="L5" s="218">
        <v>53217.75</v>
      </c>
    </row>
    <row r="6" spans="1:12" ht="61.2" x14ac:dyDescent="0.3">
      <c r="A6" s="212" t="s">
        <v>60</v>
      </c>
      <c r="B6" s="213" t="s">
        <v>299</v>
      </c>
      <c r="C6" s="213" t="s">
        <v>28</v>
      </c>
      <c r="D6" s="213" t="s">
        <v>303</v>
      </c>
      <c r="E6" s="214" t="s">
        <v>30</v>
      </c>
      <c r="F6" s="215" t="s">
        <v>25</v>
      </c>
      <c r="G6" s="215"/>
      <c r="H6" s="214" t="s">
        <v>24</v>
      </c>
      <c r="I6" s="219">
        <v>145.25</v>
      </c>
      <c r="J6" s="219"/>
      <c r="K6" s="217" t="s">
        <v>19</v>
      </c>
      <c r="L6" s="218">
        <v>53072.5</v>
      </c>
    </row>
    <row r="7" spans="1:12" ht="71.400000000000006" x14ac:dyDescent="0.3">
      <c r="A7" s="212" t="s">
        <v>60</v>
      </c>
      <c r="B7" s="213" t="s">
        <v>299</v>
      </c>
      <c r="C7" s="213" t="s">
        <v>28</v>
      </c>
      <c r="D7" s="213" t="s">
        <v>304</v>
      </c>
      <c r="E7" s="214" t="s">
        <v>30</v>
      </c>
      <c r="F7" s="215" t="s">
        <v>25</v>
      </c>
      <c r="G7" s="215"/>
      <c r="H7" s="214" t="s">
        <v>24</v>
      </c>
      <c r="I7" s="219">
        <v>294</v>
      </c>
      <c r="J7" s="219"/>
      <c r="K7" s="217" t="s">
        <v>19</v>
      </c>
      <c r="L7" s="218">
        <v>52778.5</v>
      </c>
    </row>
    <row r="8" spans="1:12" ht="61.2" x14ac:dyDescent="0.3">
      <c r="A8" s="212" t="s">
        <v>60</v>
      </c>
      <c r="B8" s="213" t="s">
        <v>299</v>
      </c>
      <c r="C8" s="213" t="s">
        <v>28</v>
      </c>
      <c r="D8" s="213" t="s">
        <v>305</v>
      </c>
      <c r="E8" s="214" t="s">
        <v>30</v>
      </c>
      <c r="F8" s="215" t="s">
        <v>25</v>
      </c>
      <c r="G8" s="215"/>
      <c r="H8" s="214" t="s">
        <v>24</v>
      </c>
      <c r="I8" s="219">
        <v>95.85</v>
      </c>
      <c r="J8" s="219"/>
      <c r="K8" s="217" t="s">
        <v>19</v>
      </c>
      <c r="L8" s="218">
        <v>52682.65</v>
      </c>
    </row>
    <row r="9" spans="1:12" ht="71.400000000000006" x14ac:dyDescent="0.3">
      <c r="A9" s="212" t="s">
        <v>60</v>
      </c>
      <c r="B9" s="213" t="s">
        <v>299</v>
      </c>
      <c r="C9" s="213" t="s">
        <v>28</v>
      </c>
      <c r="D9" s="213" t="s">
        <v>306</v>
      </c>
      <c r="E9" s="214" t="s">
        <v>30</v>
      </c>
      <c r="F9" s="215" t="s">
        <v>25</v>
      </c>
      <c r="G9" s="215"/>
      <c r="H9" s="214" t="s">
        <v>24</v>
      </c>
      <c r="I9" s="219">
        <v>625</v>
      </c>
      <c r="J9" s="219"/>
      <c r="K9" s="217" t="s">
        <v>19</v>
      </c>
      <c r="L9" s="218">
        <v>52057.65</v>
      </c>
    </row>
    <row r="10" spans="1:12" ht="61.2" hidden="1" x14ac:dyDescent="0.3">
      <c r="A10" s="212" t="s">
        <v>69</v>
      </c>
      <c r="B10" s="213" t="s">
        <v>307</v>
      </c>
      <c r="C10" s="213" t="s">
        <v>308</v>
      </c>
      <c r="D10" s="213" t="s">
        <v>309</v>
      </c>
      <c r="E10" s="214" t="s">
        <v>24</v>
      </c>
      <c r="F10" s="220">
        <v>3336.6</v>
      </c>
      <c r="G10" s="220"/>
      <c r="H10" s="214" t="s">
        <v>73</v>
      </c>
      <c r="I10" s="221" t="s">
        <v>25</v>
      </c>
      <c r="J10" s="221"/>
      <c r="K10" s="217" t="s">
        <v>19</v>
      </c>
      <c r="L10" s="218">
        <v>55394.25</v>
      </c>
    </row>
    <row r="11" spans="1:12" ht="71.400000000000006" hidden="1" x14ac:dyDescent="0.3">
      <c r="A11" s="212" t="s">
        <v>89</v>
      </c>
      <c r="B11" s="213" t="s">
        <v>310</v>
      </c>
      <c r="C11" s="213" t="s">
        <v>311</v>
      </c>
      <c r="D11" s="213" t="s">
        <v>309</v>
      </c>
      <c r="E11" s="214" t="s">
        <v>24</v>
      </c>
      <c r="F11" s="220">
        <v>2582.5</v>
      </c>
      <c r="G11" s="220"/>
      <c r="H11" s="214" t="s">
        <v>73</v>
      </c>
      <c r="I11" s="221" t="s">
        <v>25</v>
      </c>
      <c r="J11" s="221"/>
      <c r="K11" s="217" t="s">
        <v>19</v>
      </c>
      <c r="L11" s="218">
        <v>57976.75</v>
      </c>
    </row>
    <row r="12" spans="1:12" ht="61.2" x14ac:dyDescent="0.3">
      <c r="A12" s="212" t="s">
        <v>26</v>
      </c>
      <c r="B12" s="213" t="s">
        <v>312</v>
      </c>
      <c r="C12" s="213" t="s">
        <v>28</v>
      </c>
      <c r="D12" s="213" t="s">
        <v>302</v>
      </c>
      <c r="E12" s="214" t="s">
        <v>30</v>
      </c>
      <c r="F12" s="215" t="s">
        <v>25</v>
      </c>
      <c r="G12" s="215"/>
      <c r="H12" s="214" t="s">
        <v>24</v>
      </c>
      <c r="I12" s="219">
        <v>424.4</v>
      </c>
      <c r="J12" s="219"/>
      <c r="K12" s="217" t="s">
        <v>19</v>
      </c>
      <c r="L12" s="218">
        <v>57552.35</v>
      </c>
    </row>
    <row r="13" spans="1:12" ht="61.2" x14ac:dyDescent="0.3">
      <c r="A13" s="212" t="s">
        <v>26</v>
      </c>
      <c r="B13" s="213" t="s">
        <v>312</v>
      </c>
      <c r="C13" s="213" t="s">
        <v>28</v>
      </c>
      <c r="D13" s="213" t="s">
        <v>313</v>
      </c>
      <c r="E13" s="214" t="s">
        <v>30</v>
      </c>
      <c r="F13" s="215" t="s">
        <v>25</v>
      </c>
      <c r="G13" s="215"/>
      <c r="H13" s="214" t="s">
        <v>24</v>
      </c>
      <c r="I13" s="219">
        <v>294</v>
      </c>
      <c r="J13" s="219"/>
      <c r="K13" s="217" t="s">
        <v>19</v>
      </c>
      <c r="L13" s="218">
        <v>57258.35</v>
      </c>
    </row>
    <row r="14" spans="1:12" ht="71.400000000000006" x14ac:dyDescent="0.3">
      <c r="A14" s="212" t="s">
        <v>26</v>
      </c>
      <c r="B14" s="213" t="s">
        <v>312</v>
      </c>
      <c r="C14" s="213" t="s">
        <v>28</v>
      </c>
      <c r="D14" s="213" t="s">
        <v>314</v>
      </c>
      <c r="E14" s="214" t="s">
        <v>30</v>
      </c>
      <c r="F14" s="215" t="s">
        <v>25</v>
      </c>
      <c r="G14" s="215"/>
      <c r="H14" s="214" t="s">
        <v>24</v>
      </c>
      <c r="I14" s="219">
        <v>151</v>
      </c>
      <c r="J14" s="219"/>
      <c r="K14" s="217" t="s">
        <v>19</v>
      </c>
      <c r="L14" s="218">
        <v>57107.35</v>
      </c>
    </row>
    <row r="15" spans="1:12" ht="61.2" x14ac:dyDescent="0.3">
      <c r="A15" s="212" t="s">
        <v>26</v>
      </c>
      <c r="B15" s="213" t="s">
        <v>312</v>
      </c>
      <c r="C15" s="213" t="s">
        <v>28</v>
      </c>
      <c r="D15" s="213" t="s">
        <v>315</v>
      </c>
      <c r="E15" s="214" t="s">
        <v>30</v>
      </c>
      <c r="F15" s="215" t="s">
        <v>25</v>
      </c>
      <c r="G15" s="215"/>
      <c r="H15" s="214" t="s">
        <v>24</v>
      </c>
      <c r="I15" s="219">
        <v>136.5</v>
      </c>
      <c r="J15" s="219"/>
      <c r="K15" s="217" t="s">
        <v>19</v>
      </c>
      <c r="L15" s="218">
        <v>56970.85</v>
      </c>
    </row>
    <row r="16" spans="1:12" ht="61.2" x14ac:dyDescent="0.3">
      <c r="A16" s="212" t="s">
        <v>26</v>
      </c>
      <c r="B16" s="213" t="s">
        <v>312</v>
      </c>
      <c r="C16" s="213" t="s">
        <v>28</v>
      </c>
      <c r="D16" s="213" t="s">
        <v>316</v>
      </c>
      <c r="E16" s="214" t="s">
        <v>30</v>
      </c>
      <c r="F16" s="215" t="s">
        <v>25</v>
      </c>
      <c r="G16" s="215"/>
      <c r="H16" s="214" t="s">
        <v>24</v>
      </c>
      <c r="I16" s="219">
        <v>61.7</v>
      </c>
      <c r="J16" s="219"/>
      <c r="K16" s="217" t="s">
        <v>19</v>
      </c>
      <c r="L16" s="218">
        <v>56909.15</v>
      </c>
    </row>
    <row r="17" spans="1:12" ht="61.2" x14ac:dyDescent="0.3">
      <c r="A17" s="212" t="s">
        <v>50</v>
      </c>
      <c r="B17" s="213" t="s">
        <v>317</v>
      </c>
      <c r="C17" s="213" t="s">
        <v>28</v>
      </c>
      <c r="D17" s="213" t="s">
        <v>318</v>
      </c>
      <c r="E17" s="214" t="s">
        <v>30</v>
      </c>
      <c r="F17" s="215" t="s">
        <v>25</v>
      </c>
      <c r="G17" s="215"/>
      <c r="H17" s="214" t="s">
        <v>24</v>
      </c>
      <c r="I17" s="216">
        <v>2276</v>
      </c>
      <c r="J17" s="216"/>
      <c r="K17" s="217" t="s">
        <v>19</v>
      </c>
      <c r="L17" s="218">
        <v>54633.15</v>
      </c>
    </row>
    <row r="18" spans="1:12" ht="61.2" x14ac:dyDescent="0.3">
      <c r="A18" s="212" t="s">
        <v>50</v>
      </c>
      <c r="B18" s="213" t="s">
        <v>317</v>
      </c>
      <c r="C18" s="213" t="s">
        <v>28</v>
      </c>
      <c r="D18" s="213" t="s">
        <v>319</v>
      </c>
      <c r="E18" s="214" t="s">
        <v>30</v>
      </c>
      <c r="F18" s="215" t="s">
        <v>25</v>
      </c>
      <c r="G18" s="215"/>
      <c r="H18" s="214" t="s">
        <v>24</v>
      </c>
      <c r="I18" s="219">
        <v>75.599999999999994</v>
      </c>
      <c r="J18" s="219"/>
      <c r="K18" s="217" t="s">
        <v>19</v>
      </c>
      <c r="L18" s="218">
        <v>54557.55</v>
      </c>
    </row>
    <row r="19" spans="1:12" ht="71.400000000000006" x14ac:dyDescent="0.3">
      <c r="A19" s="212" t="s">
        <v>50</v>
      </c>
      <c r="B19" s="213" t="s">
        <v>320</v>
      </c>
      <c r="C19" s="213" t="s">
        <v>28</v>
      </c>
      <c r="D19" s="213" t="s">
        <v>321</v>
      </c>
      <c r="E19" s="214" t="s">
        <v>30</v>
      </c>
      <c r="F19" s="215" t="s">
        <v>25</v>
      </c>
      <c r="G19" s="215"/>
      <c r="H19" s="214" t="s">
        <v>24</v>
      </c>
      <c r="I19" s="219">
        <v>973.52</v>
      </c>
      <c r="J19" s="219"/>
      <c r="K19" s="217" t="s">
        <v>19</v>
      </c>
      <c r="L19" s="218">
        <v>53584.03</v>
      </c>
    </row>
    <row r="20" spans="1:12" hidden="1" x14ac:dyDescent="0.3">
      <c r="A20" s="222" t="s">
        <v>59</v>
      </c>
      <c r="B20" s="222"/>
      <c r="C20" s="222"/>
      <c r="D20" s="222"/>
      <c r="E20" s="223">
        <v>5919.1</v>
      </c>
      <c r="F20" s="223"/>
      <c r="G20" s="223"/>
      <c r="H20" s="223">
        <v>7664.22</v>
      </c>
      <c r="I20" s="223"/>
      <c r="J20" s="223"/>
      <c r="K20" s="224" t="s">
        <v>19</v>
      </c>
      <c r="L20" s="225">
        <v>53584.03</v>
      </c>
    </row>
    <row r="22" spans="1:12" x14ac:dyDescent="0.3">
      <c r="J22" s="310">
        <f>SUBTOTAL(9,I3:J19)</f>
        <v>7664.2199999999993</v>
      </c>
    </row>
  </sheetData>
  <autoFilter ref="A1:L20" xr:uid="{CA012A3A-F0E3-4007-8267-104FE326C781}">
    <filterColumn colId="1">
      <filters>
        <filter val="Передача малоцінних активів в експлуатацію ІБ00-000151 від 03.04.2025 16:36:23_x000a_Списание стоимости малоценных активов"/>
        <filter val="Передача малоцінних активів в експлуатацію ІБ00-000178 від 29.04.2025 16:06:39_x000a_Списание стоимости малоценных активов"/>
        <filter val="Передача малоцінних активів в експлуатацію ІБ00-000201 від 30.04.2025 10:00:00_x000a_Списание стоимости малоценных активов"/>
        <filter val="Передача малоцінних активів в експлуатацію ІБ00-000202 від 30.04.2025 10:00:00_x000a_Списание стоимости малоценных активов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46">
    <mergeCell ref="F19:G19"/>
    <mergeCell ref="I19:J19"/>
    <mergeCell ref="A20:D20"/>
    <mergeCell ref="E20:G20"/>
    <mergeCell ref="H20:J20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FD9B7-F9A8-4EDC-A7E0-0C45F8C6588A}">
  <sheetPr filterMode="1"/>
  <dimension ref="A1:L13"/>
  <sheetViews>
    <sheetView topLeftCell="A7" workbookViewId="0">
      <selection activeCell="J13" sqref="J13"/>
    </sheetView>
  </sheetViews>
  <sheetFormatPr defaultRowHeight="14.4" x14ac:dyDescent="0.3"/>
  <cols>
    <col min="2" max="4" width="22.77734375" customWidth="1"/>
  </cols>
  <sheetData>
    <row r="1" spans="1:12" x14ac:dyDescent="0.3">
      <c r="A1" s="226" t="s">
        <v>11</v>
      </c>
      <c r="B1" s="227" t="s">
        <v>12</v>
      </c>
      <c r="C1" s="227" t="s">
        <v>13</v>
      </c>
      <c r="D1" s="228" t="s">
        <v>14</v>
      </c>
      <c r="E1" s="229" t="s">
        <v>15</v>
      </c>
      <c r="F1" s="229"/>
      <c r="G1" s="229"/>
      <c r="H1" s="230" t="s">
        <v>16</v>
      </c>
      <c r="I1" s="230"/>
      <c r="J1" s="230"/>
      <c r="K1" s="227" t="s">
        <v>17</v>
      </c>
      <c r="L1" s="227"/>
    </row>
    <row r="2" spans="1:12" hidden="1" x14ac:dyDescent="0.3">
      <c r="A2" s="231"/>
      <c r="B2" s="232"/>
      <c r="C2" s="232"/>
      <c r="D2" s="233"/>
      <c r="E2" s="234" t="s">
        <v>18</v>
      </c>
      <c r="F2" s="235"/>
      <c r="G2" s="235"/>
      <c r="H2" s="236" t="s">
        <v>18</v>
      </c>
      <c r="I2" s="237"/>
      <c r="J2" s="237"/>
      <c r="K2" s="231"/>
      <c r="L2" s="238"/>
    </row>
    <row r="3" spans="1:12" ht="71.400000000000006" x14ac:dyDescent="0.3">
      <c r="A3" s="239" t="s">
        <v>60</v>
      </c>
      <c r="B3" s="240" t="s">
        <v>322</v>
      </c>
      <c r="C3" s="240" t="s">
        <v>28</v>
      </c>
      <c r="D3" s="240" t="s">
        <v>323</v>
      </c>
      <c r="E3" s="241" t="s">
        <v>30</v>
      </c>
      <c r="F3" s="242" t="s">
        <v>25</v>
      </c>
      <c r="G3" s="242"/>
      <c r="H3" s="241" t="s">
        <v>24</v>
      </c>
      <c r="I3" s="243">
        <v>257.89999999999998</v>
      </c>
      <c r="J3" s="243"/>
      <c r="K3" s="244" t="s">
        <v>19</v>
      </c>
      <c r="L3" s="245">
        <v>5633.8</v>
      </c>
    </row>
    <row r="4" spans="1:12" ht="81.599999999999994" x14ac:dyDescent="0.3">
      <c r="A4" s="239" t="s">
        <v>60</v>
      </c>
      <c r="B4" s="240" t="s">
        <v>322</v>
      </c>
      <c r="C4" s="240" t="s">
        <v>28</v>
      </c>
      <c r="D4" s="240" t="s">
        <v>324</v>
      </c>
      <c r="E4" s="241" t="s">
        <v>30</v>
      </c>
      <c r="F4" s="242" t="s">
        <v>25</v>
      </c>
      <c r="G4" s="242"/>
      <c r="H4" s="241" t="s">
        <v>24</v>
      </c>
      <c r="I4" s="246">
        <v>1285.5</v>
      </c>
      <c r="J4" s="246"/>
      <c r="K4" s="244" t="s">
        <v>19</v>
      </c>
      <c r="L4" s="245">
        <v>4348.3</v>
      </c>
    </row>
    <row r="5" spans="1:12" ht="71.400000000000006" x14ac:dyDescent="0.3">
      <c r="A5" s="239" t="s">
        <v>60</v>
      </c>
      <c r="B5" s="240" t="s">
        <v>322</v>
      </c>
      <c r="C5" s="240" t="s">
        <v>28</v>
      </c>
      <c r="D5" s="240" t="s">
        <v>325</v>
      </c>
      <c r="E5" s="241" t="s">
        <v>30</v>
      </c>
      <c r="F5" s="242" t="s">
        <v>25</v>
      </c>
      <c r="G5" s="242"/>
      <c r="H5" s="241" t="s">
        <v>24</v>
      </c>
      <c r="I5" s="243">
        <v>530.5</v>
      </c>
      <c r="J5" s="243"/>
      <c r="K5" s="244" t="s">
        <v>19</v>
      </c>
      <c r="L5" s="245">
        <v>3817.8</v>
      </c>
    </row>
    <row r="6" spans="1:12" ht="81.599999999999994" x14ac:dyDescent="0.3">
      <c r="A6" s="239" t="s">
        <v>60</v>
      </c>
      <c r="B6" s="240" t="s">
        <v>322</v>
      </c>
      <c r="C6" s="240" t="s">
        <v>28</v>
      </c>
      <c r="D6" s="240" t="s">
        <v>326</v>
      </c>
      <c r="E6" s="241" t="s">
        <v>30</v>
      </c>
      <c r="F6" s="242" t="s">
        <v>25</v>
      </c>
      <c r="G6" s="242"/>
      <c r="H6" s="241" t="s">
        <v>24</v>
      </c>
      <c r="I6" s="243">
        <v>145.25</v>
      </c>
      <c r="J6" s="243"/>
      <c r="K6" s="244" t="s">
        <v>19</v>
      </c>
      <c r="L6" s="245">
        <v>3672.55</v>
      </c>
    </row>
    <row r="7" spans="1:12" ht="81.599999999999994" x14ac:dyDescent="0.3">
      <c r="A7" s="239" t="s">
        <v>60</v>
      </c>
      <c r="B7" s="240" t="s">
        <v>322</v>
      </c>
      <c r="C7" s="240" t="s">
        <v>28</v>
      </c>
      <c r="D7" s="240" t="s">
        <v>327</v>
      </c>
      <c r="E7" s="241" t="s">
        <v>30</v>
      </c>
      <c r="F7" s="242" t="s">
        <v>25</v>
      </c>
      <c r="G7" s="242"/>
      <c r="H7" s="241" t="s">
        <v>24</v>
      </c>
      <c r="I7" s="246">
        <v>1825.35</v>
      </c>
      <c r="J7" s="246"/>
      <c r="K7" s="244" t="s">
        <v>19</v>
      </c>
      <c r="L7" s="245">
        <v>1847.2</v>
      </c>
    </row>
    <row r="8" spans="1:12" ht="81.599999999999994" x14ac:dyDescent="0.3">
      <c r="A8" s="239" t="s">
        <v>60</v>
      </c>
      <c r="B8" s="240" t="s">
        <v>322</v>
      </c>
      <c r="C8" s="240" t="s">
        <v>28</v>
      </c>
      <c r="D8" s="240" t="s">
        <v>328</v>
      </c>
      <c r="E8" s="241" t="s">
        <v>30</v>
      </c>
      <c r="F8" s="242" t="s">
        <v>25</v>
      </c>
      <c r="G8" s="242"/>
      <c r="H8" s="241" t="s">
        <v>24</v>
      </c>
      <c r="I8" s="243">
        <v>658.35</v>
      </c>
      <c r="J8" s="243"/>
      <c r="K8" s="244" t="s">
        <v>19</v>
      </c>
      <c r="L8" s="245">
        <v>1188.8499999999999</v>
      </c>
    </row>
    <row r="9" spans="1:12" ht="81.599999999999994" x14ac:dyDescent="0.3">
      <c r="A9" s="239" t="s">
        <v>60</v>
      </c>
      <c r="B9" s="240" t="s">
        <v>322</v>
      </c>
      <c r="C9" s="240" t="s">
        <v>28</v>
      </c>
      <c r="D9" s="240" t="s">
        <v>329</v>
      </c>
      <c r="E9" s="241" t="s">
        <v>30</v>
      </c>
      <c r="F9" s="242" t="s">
        <v>25</v>
      </c>
      <c r="G9" s="242"/>
      <c r="H9" s="241" t="s">
        <v>24</v>
      </c>
      <c r="I9" s="243">
        <v>658.35</v>
      </c>
      <c r="J9" s="243"/>
      <c r="K9" s="244" t="s">
        <v>19</v>
      </c>
      <c r="L9" s="247">
        <v>530.5</v>
      </c>
    </row>
    <row r="10" spans="1:12" ht="71.400000000000006" x14ac:dyDescent="0.3">
      <c r="A10" s="239" t="s">
        <v>26</v>
      </c>
      <c r="B10" s="240" t="s">
        <v>330</v>
      </c>
      <c r="C10" s="240" t="s">
        <v>28</v>
      </c>
      <c r="D10" s="240" t="s">
        <v>325</v>
      </c>
      <c r="E10" s="241" t="s">
        <v>30</v>
      </c>
      <c r="F10" s="242" t="s">
        <v>25</v>
      </c>
      <c r="G10" s="242"/>
      <c r="H10" s="241" t="s">
        <v>24</v>
      </c>
      <c r="I10" s="243">
        <v>530.5</v>
      </c>
      <c r="J10" s="243"/>
      <c r="K10" s="244"/>
      <c r="L10" s="248"/>
    </row>
    <row r="11" spans="1:12" hidden="1" x14ac:dyDescent="0.3">
      <c r="A11" s="249" t="s">
        <v>59</v>
      </c>
      <c r="B11" s="249"/>
      <c r="C11" s="249"/>
      <c r="D11" s="249"/>
      <c r="E11" s="250">
        <v>0</v>
      </c>
      <c r="F11" s="250"/>
      <c r="G11" s="250"/>
      <c r="H11" s="251">
        <v>5891.7</v>
      </c>
      <c r="I11" s="251"/>
      <c r="J11" s="251"/>
      <c r="K11" s="252"/>
      <c r="L11" s="253">
        <v>0</v>
      </c>
    </row>
    <row r="13" spans="1:12" x14ac:dyDescent="0.3">
      <c r="J13" s="310">
        <f>SUBTOTAL(9,I3:J10)</f>
        <v>5891.7000000000007</v>
      </c>
    </row>
  </sheetData>
  <autoFilter ref="A1:L11" xr:uid="{6ABB01F2-F60A-4CA5-A579-F43311F70C98}">
    <filterColumn colId="1">
      <customFilters>
        <customFilter operator="notEqual" val=" "/>
      </custom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28">
    <mergeCell ref="F10:G10"/>
    <mergeCell ref="I10:J10"/>
    <mergeCell ref="A11:D11"/>
    <mergeCell ref="E11:G11"/>
    <mergeCell ref="H11:J11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18451-75B0-426A-AFFB-3982F68C69D4}">
  <sheetPr filterMode="1"/>
  <dimension ref="A1:L52"/>
  <sheetViews>
    <sheetView workbookViewId="0">
      <selection activeCell="J52" sqref="J52"/>
    </sheetView>
  </sheetViews>
  <sheetFormatPr defaultRowHeight="14.4" x14ac:dyDescent="0.3"/>
  <cols>
    <col min="2" max="4" width="24.88671875" customWidth="1"/>
  </cols>
  <sheetData>
    <row r="1" spans="1:12" x14ac:dyDescent="0.3">
      <c r="A1" s="254" t="s">
        <v>11</v>
      </c>
      <c r="B1" s="255" t="s">
        <v>12</v>
      </c>
      <c r="C1" s="255" t="s">
        <v>13</v>
      </c>
      <c r="D1" s="256" t="s">
        <v>14</v>
      </c>
      <c r="E1" s="257" t="s">
        <v>15</v>
      </c>
      <c r="F1" s="257"/>
      <c r="G1" s="257"/>
      <c r="H1" s="258" t="s">
        <v>16</v>
      </c>
      <c r="I1" s="258"/>
      <c r="J1" s="258"/>
      <c r="K1" s="255" t="s">
        <v>17</v>
      </c>
      <c r="L1" s="255"/>
    </row>
    <row r="2" spans="1:12" hidden="1" x14ac:dyDescent="0.3">
      <c r="A2" s="259"/>
      <c r="B2" s="260"/>
      <c r="C2" s="260"/>
      <c r="D2" s="261"/>
      <c r="E2" s="262" t="s">
        <v>18</v>
      </c>
      <c r="F2" s="263"/>
      <c r="G2" s="263"/>
      <c r="H2" s="264" t="s">
        <v>18</v>
      </c>
      <c r="I2" s="265"/>
      <c r="J2" s="265"/>
      <c r="K2" s="259"/>
      <c r="L2" s="266"/>
    </row>
    <row r="3" spans="1:12" ht="61.2" hidden="1" x14ac:dyDescent="0.3">
      <c r="A3" s="267" t="s">
        <v>331</v>
      </c>
      <c r="B3" s="268" t="s">
        <v>332</v>
      </c>
      <c r="C3" s="268" t="s">
        <v>333</v>
      </c>
      <c r="D3" s="268" t="s">
        <v>334</v>
      </c>
      <c r="E3" s="269" t="s">
        <v>24</v>
      </c>
      <c r="F3" s="270">
        <v>17500</v>
      </c>
      <c r="G3" s="270"/>
      <c r="H3" s="269" t="s">
        <v>73</v>
      </c>
      <c r="I3" s="271" t="s">
        <v>25</v>
      </c>
      <c r="J3" s="271"/>
      <c r="K3" s="272" t="s">
        <v>19</v>
      </c>
      <c r="L3" s="273">
        <v>38540.07</v>
      </c>
    </row>
    <row r="4" spans="1:12" ht="61.2" hidden="1" x14ac:dyDescent="0.3">
      <c r="A4" s="267" t="s">
        <v>331</v>
      </c>
      <c r="B4" s="268" t="s">
        <v>332</v>
      </c>
      <c r="C4" s="268" t="s">
        <v>335</v>
      </c>
      <c r="D4" s="268" t="s">
        <v>334</v>
      </c>
      <c r="E4" s="269" t="s">
        <v>24</v>
      </c>
      <c r="F4" s="270">
        <v>2771.1</v>
      </c>
      <c r="G4" s="270"/>
      <c r="H4" s="269" t="s">
        <v>73</v>
      </c>
      <c r="I4" s="271" t="s">
        <v>25</v>
      </c>
      <c r="J4" s="271"/>
      <c r="K4" s="272" t="s">
        <v>19</v>
      </c>
      <c r="L4" s="273">
        <v>41311.17</v>
      </c>
    </row>
    <row r="5" spans="1:12" ht="61.2" hidden="1" x14ac:dyDescent="0.3">
      <c r="A5" s="267" t="s">
        <v>331</v>
      </c>
      <c r="B5" s="268" t="s">
        <v>332</v>
      </c>
      <c r="C5" s="268" t="s">
        <v>336</v>
      </c>
      <c r="D5" s="268" t="s">
        <v>334</v>
      </c>
      <c r="E5" s="269" t="s">
        <v>24</v>
      </c>
      <c r="F5" s="270">
        <v>3256</v>
      </c>
      <c r="G5" s="270"/>
      <c r="H5" s="269" t="s">
        <v>73</v>
      </c>
      <c r="I5" s="271" t="s">
        <v>25</v>
      </c>
      <c r="J5" s="271"/>
      <c r="K5" s="272" t="s">
        <v>19</v>
      </c>
      <c r="L5" s="273">
        <v>44567.17</v>
      </c>
    </row>
    <row r="6" spans="1:12" ht="61.2" hidden="1" x14ac:dyDescent="0.3">
      <c r="A6" s="267" t="s">
        <v>331</v>
      </c>
      <c r="B6" s="268" t="s">
        <v>332</v>
      </c>
      <c r="C6" s="268" t="s">
        <v>337</v>
      </c>
      <c r="D6" s="268" t="s">
        <v>334</v>
      </c>
      <c r="E6" s="269" t="s">
        <v>24</v>
      </c>
      <c r="F6" s="270">
        <v>3424</v>
      </c>
      <c r="G6" s="270"/>
      <c r="H6" s="269" t="s">
        <v>73</v>
      </c>
      <c r="I6" s="271" t="s">
        <v>25</v>
      </c>
      <c r="J6" s="271"/>
      <c r="K6" s="272" t="s">
        <v>19</v>
      </c>
      <c r="L6" s="273">
        <v>47991.17</v>
      </c>
    </row>
    <row r="7" spans="1:12" ht="61.2" hidden="1" x14ac:dyDescent="0.3">
      <c r="A7" s="267" t="s">
        <v>331</v>
      </c>
      <c r="B7" s="268" t="s">
        <v>332</v>
      </c>
      <c r="C7" s="268" t="s">
        <v>338</v>
      </c>
      <c r="D7" s="268" t="s">
        <v>334</v>
      </c>
      <c r="E7" s="269" t="s">
        <v>24</v>
      </c>
      <c r="F7" s="270">
        <v>2391.6999999999998</v>
      </c>
      <c r="G7" s="270"/>
      <c r="H7" s="269" t="s">
        <v>73</v>
      </c>
      <c r="I7" s="271" t="s">
        <v>25</v>
      </c>
      <c r="J7" s="271"/>
      <c r="K7" s="272" t="s">
        <v>19</v>
      </c>
      <c r="L7" s="273">
        <v>50382.87</v>
      </c>
    </row>
    <row r="8" spans="1:12" ht="61.2" hidden="1" x14ac:dyDescent="0.3">
      <c r="A8" s="267" t="s">
        <v>331</v>
      </c>
      <c r="B8" s="268" t="s">
        <v>332</v>
      </c>
      <c r="C8" s="268" t="s">
        <v>339</v>
      </c>
      <c r="D8" s="268" t="s">
        <v>334</v>
      </c>
      <c r="E8" s="269" t="s">
        <v>24</v>
      </c>
      <c r="F8" s="270">
        <v>1458.9</v>
      </c>
      <c r="G8" s="270"/>
      <c r="H8" s="269" t="s">
        <v>73</v>
      </c>
      <c r="I8" s="271" t="s">
        <v>25</v>
      </c>
      <c r="J8" s="271"/>
      <c r="K8" s="272" t="s">
        <v>19</v>
      </c>
      <c r="L8" s="273">
        <v>51841.77</v>
      </c>
    </row>
    <row r="9" spans="1:12" ht="61.2" hidden="1" x14ac:dyDescent="0.3">
      <c r="A9" s="267" t="s">
        <v>331</v>
      </c>
      <c r="B9" s="268" t="s">
        <v>332</v>
      </c>
      <c r="C9" s="268" t="s">
        <v>340</v>
      </c>
      <c r="D9" s="268" t="s">
        <v>334</v>
      </c>
      <c r="E9" s="269" t="s">
        <v>24</v>
      </c>
      <c r="F9" s="274">
        <v>108</v>
      </c>
      <c r="G9" s="274"/>
      <c r="H9" s="269" t="s">
        <v>73</v>
      </c>
      <c r="I9" s="271" t="s">
        <v>25</v>
      </c>
      <c r="J9" s="271"/>
      <c r="K9" s="272" t="s">
        <v>19</v>
      </c>
      <c r="L9" s="273">
        <v>51949.77</v>
      </c>
    </row>
    <row r="10" spans="1:12" ht="61.2" hidden="1" x14ac:dyDescent="0.3">
      <c r="A10" s="267" t="s">
        <v>331</v>
      </c>
      <c r="B10" s="268" t="s">
        <v>332</v>
      </c>
      <c r="C10" s="268" t="s">
        <v>341</v>
      </c>
      <c r="D10" s="268" t="s">
        <v>334</v>
      </c>
      <c r="E10" s="269" t="s">
        <v>24</v>
      </c>
      <c r="F10" s="274">
        <v>137.5</v>
      </c>
      <c r="G10" s="274"/>
      <c r="H10" s="269" t="s">
        <v>73</v>
      </c>
      <c r="I10" s="271" t="s">
        <v>25</v>
      </c>
      <c r="J10" s="271"/>
      <c r="K10" s="272" t="s">
        <v>19</v>
      </c>
      <c r="L10" s="273">
        <v>52087.27</v>
      </c>
    </row>
    <row r="11" spans="1:12" ht="61.2" hidden="1" x14ac:dyDescent="0.3">
      <c r="A11" s="267" t="s">
        <v>331</v>
      </c>
      <c r="B11" s="268" t="s">
        <v>332</v>
      </c>
      <c r="C11" s="268" t="s">
        <v>342</v>
      </c>
      <c r="D11" s="268" t="s">
        <v>334</v>
      </c>
      <c r="E11" s="269" t="s">
        <v>24</v>
      </c>
      <c r="F11" s="274">
        <v>143</v>
      </c>
      <c r="G11" s="274"/>
      <c r="H11" s="269" t="s">
        <v>73</v>
      </c>
      <c r="I11" s="271" t="s">
        <v>25</v>
      </c>
      <c r="J11" s="271"/>
      <c r="K11" s="272" t="s">
        <v>19</v>
      </c>
      <c r="L11" s="273">
        <v>52230.27</v>
      </c>
    </row>
    <row r="12" spans="1:12" ht="61.2" hidden="1" x14ac:dyDescent="0.3">
      <c r="A12" s="267" t="s">
        <v>20</v>
      </c>
      <c r="B12" s="268" t="s">
        <v>343</v>
      </c>
      <c r="C12" s="268" t="s">
        <v>344</v>
      </c>
      <c r="D12" s="268" t="s">
        <v>345</v>
      </c>
      <c r="E12" s="269" t="s">
        <v>24</v>
      </c>
      <c r="F12" s="270">
        <v>1428.3</v>
      </c>
      <c r="G12" s="270"/>
      <c r="H12" s="269" t="s">
        <v>73</v>
      </c>
      <c r="I12" s="271" t="s">
        <v>25</v>
      </c>
      <c r="J12" s="271"/>
      <c r="K12" s="272" t="s">
        <v>19</v>
      </c>
      <c r="L12" s="273">
        <v>53658.57</v>
      </c>
    </row>
    <row r="13" spans="1:12" ht="51" hidden="1" x14ac:dyDescent="0.3">
      <c r="A13" s="267" t="s">
        <v>20</v>
      </c>
      <c r="B13" s="268" t="s">
        <v>346</v>
      </c>
      <c r="C13" s="268" t="s">
        <v>347</v>
      </c>
      <c r="D13" s="268" t="s">
        <v>345</v>
      </c>
      <c r="E13" s="269" t="s">
        <v>24</v>
      </c>
      <c r="F13" s="270">
        <v>2502.4499999999998</v>
      </c>
      <c r="G13" s="270"/>
      <c r="H13" s="269" t="s">
        <v>73</v>
      </c>
      <c r="I13" s="271" t="s">
        <v>25</v>
      </c>
      <c r="J13" s="271"/>
      <c r="K13" s="272" t="s">
        <v>19</v>
      </c>
      <c r="L13" s="273">
        <v>56161.02</v>
      </c>
    </row>
    <row r="14" spans="1:12" ht="51" hidden="1" x14ac:dyDescent="0.3">
      <c r="A14" s="267" t="s">
        <v>20</v>
      </c>
      <c r="B14" s="268" t="s">
        <v>161</v>
      </c>
      <c r="C14" s="268" t="s">
        <v>162</v>
      </c>
      <c r="D14" s="268" t="s">
        <v>150</v>
      </c>
      <c r="E14" s="269" t="s">
        <v>24</v>
      </c>
      <c r="F14" s="274">
        <v>53.75</v>
      </c>
      <c r="G14" s="274"/>
      <c r="H14" s="269" t="s">
        <v>24</v>
      </c>
      <c r="I14" s="271" t="s">
        <v>25</v>
      </c>
      <c r="J14" s="271"/>
      <c r="K14" s="272" t="s">
        <v>19</v>
      </c>
      <c r="L14" s="273">
        <v>56214.77</v>
      </c>
    </row>
    <row r="15" spans="1:12" ht="61.2" hidden="1" x14ac:dyDescent="0.3">
      <c r="A15" s="267" t="s">
        <v>20</v>
      </c>
      <c r="B15" s="268" t="s">
        <v>161</v>
      </c>
      <c r="C15" s="268" t="s">
        <v>163</v>
      </c>
      <c r="D15" s="268" t="s">
        <v>152</v>
      </c>
      <c r="E15" s="269" t="s">
        <v>24</v>
      </c>
      <c r="F15" s="274">
        <v>223.2</v>
      </c>
      <c r="G15" s="274"/>
      <c r="H15" s="269" t="s">
        <v>24</v>
      </c>
      <c r="I15" s="271" t="s">
        <v>25</v>
      </c>
      <c r="J15" s="271"/>
      <c r="K15" s="272" t="s">
        <v>19</v>
      </c>
      <c r="L15" s="273">
        <v>56437.97</v>
      </c>
    </row>
    <row r="16" spans="1:12" ht="51" hidden="1" x14ac:dyDescent="0.3">
      <c r="A16" s="267" t="s">
        <v>20</v>
      </c>
      <c r="B16" s="268" t="s">
        <v>161</v>
      </c>
      <c r="C16" s="268" t="s">
        <v>164</v>
      </c>
      <c r="D16" s="268" t="s">
        <v>153</v>
      </c>
      <c r="E16" s="269" t="s">
        <v>24</v>
      </c>
      <c r="F16" s="270">
        <v>4461.45</v>
      </c>
      <c r="G16" s="270"/>
      <c r="H16" s="269" t="s">
        <v>24</v>
      </c>
      <c r="I16" s="271" t="s">
        <v>25</v>
      </c>
      <c r="J16" s="271"/>
      <c r="K16" s="272" t="s">
        <v>19</v>
      </c>
      <c r="L16" s="273">
        <v>60899.42</v>
      </c>
    </row>
    <row r="17" spans="1:12" ht="51" hidden="1" x14ac:dyDescent="0.3">
      <c r="A17" s="267" t="s">
        <v>20</v>
      </c>
      <c r="B17" s="268" t="s">
        <v>161</v>
      </c>
      <c r="C17" s="268" t="s">
        <v>165</v>
      </c>
      <c r="D17" s="268" t="s">
        <v>154</v>
      </c>
      <c r="E17" s="269" t="s">
        <v>24</v>
      </c>
      <c r="F17" s="270">
        <v>2524</v>
      </c>
      <c r="G17" s="270"/>
      <c r="H17" s="269" t="s">
        <v>24</v>
      </c>
      <c r="I17" s="271" t="s">
        <v>25</v>
      </c>
      <c r="J17" s="271"/>
      <c r="K17" s="272" t="s">
        <v>19</v>
      </c>
      <c r="L17" s="273">
        <v>63423.42</v>
      </c>
    </row>
    <row r="18" spans="1:12" ht="61.2" hidden="1" x14ac:dyDescent="0.3">
      <c r="A18" s="267" t="s">
        <v>20</v>
      </c>
      <c r="B18" s="268" t="s">
        <v>161</v>
      </c>
      <c r="C18" s="268" t="s">
        <v>166</v>
      </c>
      <c r="D18" s="268" t="s">
        <v>155</v>
      </c>
      <c r="E18" s="269" t="s">
        <v>24</v>
      </c>
      <c r="F18" s="270">
        <v>12169</v>
      </c>
      <c r="G18" s="270"/>
      <c r="H18" s="269" t="s">
        <v>24</v>
      </c>
      <c r="I18" s="271" t="s">
        <v>25</v>
      </c>
      <c r="J18" s="271"/>
      <c r="K18" s="272" t="s">
        <v>19</v>
      </c>
      <c r="L18" s="273">
        <v>75592.42</v>
      </c>
    </row>
    <row r="19" spans="1:12" ht="51" hidden="1" x14ac:dyDescent="0.3">
      <c r="A19" s="267" t="s">
        <v>20</v>
      </c>
      <c r="B19" s="268" t="s">
        <v>161</v>
      </c>
      <c r="C19" s="268" t="s">
        <v>167</v>
      </c>
      <c r="D19" s="268" t="s">
        <v>156</v>
      </c>
      <c r="E19" s="269" t="s">
        <v>24</v>
      </c>
      <c r="F19" s="270">
        <v>1916.7</v>
      </c>
      <c r="G19" s="270"/>
      <c r="H19" s="269" t="s">
        <v>24</v>
      </c>
      <c r="I19" s="271" t="s">
        <v>25</v>
      </c>
      <c r="J19" s="271"/>
      <c r="K19" s="272" t="s">
        <v>19</v>
      </c>
      <c r="L19" s="273">
        <v>77509.119999999995</v>
      </c>
    </row>
    <row r="20" spans="1:12" ht="51" hidden="1" x14ac:dyDescent="0.3">
      <c r="A20" s="267" t="s">
        <v>20</v>
      </c>
      <c r="B20" s="268" t="s">
        <v>161</v>
      </c>
      <c r="C20" s="268" t="s">
        <v>168</v>
      </c>
      <c r="D20" s="268" t="s">
        <v>157</v>
      </c>
      <c r="E20" s="269" t="s">
        <v>24</v>
      </c>
      <c r="F20" s="274">
        <v>198.15</v>
      </c>
      <c r="G20" s="274"/>
      <c r="H20" s="269" t="s">
        <v>24</v>
      </c>
      <c r="I20" s="271" t="s">
        <v>25</v>
      </c>
      <c r="J20" s="271"/>
      <c r="K20" s="272" t="s">
        <v>19</v>
      </c>
      <c r="L20" s="273">
        <v>77707.27</v>
      </c>
    </row>
    <row r="21" spans="1:12" ht="61.2" hidden="1" x14ac:dyDescent="0.3">
      <c r="A21" s="267" t="s">
        <v>20</v>
      </c>
      <c r="B21" s="268" t="s">
        <v>161</v>
      </c>
      <c r="C21" s="268" t="s">
        <v>169</v>
      </c>
      <c r="D21" s="268" t="s">
        <v>158</v>
      </c>
      <c r="E21" s="269" t="s">
        <v>24</v>
      </c>
      <c r="F21" s="270">
        <v>1470</v>
      </c>
      <c r="G21" s="270"/>
      <c r="H21" s="269" t="s">
        <v>24</v>
      </c>
      <c r="I21" s="271" t="s">
        <v>25</v>
      </c>
      <c r="J21" s="271"/>
      <c r="K21" s="272" t="s">
        <v>19</v>
      </c>
      <c r="L21" s="273">
        <v>79177.27</v>
      </c>
    </row>
    <row r="22" spans="1:12" ht="51" hidden="1" x14ac:dyDescent="0.3">
      <c r="A22" s="267" t="s">
        <v>20</v>
      </c>
      <c r="B22" s="268" t="s">
        <v>161</v>
      </c>
      <c r="C22" s="268" t="s">
        <v>170</v>
      </c>
      <c r="D22" s="268" t="s">
        <v>159</v>
      </c>
      <c r="E22" s="269" t="s">
        <v>24</v>
      </c>
      <c r="F22" s="274">
        <v>644.75</v>
      </c>
      <c r="G22" s="274"/>
      <c r="H22" s="269" t="s">
        <v>24</v>
      </c>
      <c r="I22" s="271" t="s">
        <v>25</v>
      </c>
      <c r="J22" s="271"/>
      <c r="K22" s="272" t="s">
        <v>19</v>
      </c>
      <c r="L22" s="273">
        <v>79822.02</v>
      </c>
    </row>
    <row r="23" spans="1:12" ht="51" hidden="1" x14ac:dyDescent="0.3">
      <c r="A23" s="267" t="s">
        <v>20</v>
      </c>
      <c r="B23" s="268" t="s">
        <v>161</v>
      </c>
      <c r="C23" s="268" t="s">
        <v>171</v>
      </c>
      <c r="D23" s="268" t="s">
        <v>147</v>
      </c>
      <c r="E23" s="269" t="s">
        <v>24</v>
      </c>
      <c r="F23" s="270">
        <v>1410</v>
      </c>
      <c r="G23" s="270"/>
      <c r="H23" s="269" t="s">
        <v>24</v>
      </c>
      <c r="I23" s="271" t="s">
        <v>25</v>
      </c>
      <c r="J23" s="271"/>
      <c r="K23" s="272" t="s">
        <v>19</v>
      </c>
      <c r="L23" s="273">
        <v>81232.02</v>
      </c>
    </row>
    <row r="24" spans="1:12" ht="51" hidden="1" x14ac:dyDescent="0.3">
      <c r="A24" s="267" t="s">
        <v>20</v>
      </c>
      <c r="B24" s="268" t="s">
        <v>161</v>
      </c>
      <c r="C24" s="268" t="s">
        <v>172</v>
      </c>
      <c r="D24" s="268" t="s">
        <v>160</v>
      </c>
      <c r="E24" s="269" t="s">
        <v>24</v>
      </c>
      <c r="F24" s="274">
        <v>328.5</v>
      </c>
      <c r="G24" s="274"/>
      <c r="H24" s="269" t="s">
        <v>24</v>
      </c>
      <c r="I24" s="271" t="s">
        <v>25</v>
      </c>
      <c r="J24" s="271"/>
      <c r="K24" s="272" t="s">
        <v>19</v>
      </c>
      <c r="L24" s="273">
        <v>81560.52</v>
      </c>
    </row>
    <row r="25" spans="1:12" ht="61.2" hidden="1" x14ac:dyDescent="0.3">
      <c r="A25" s="267" t="s">
        <v>348</v>
      </c>
      <c r="B25" s="268" t="s">
        <v>349</v>
      </c>
      <c r="C25" s="268" t="s">
        <v>350</v>
      </c>
      <c r="D25" s="268" t="s">
        <v>351</v>
      </c>
      <c r="E25" s="269" t="s">
        <v>24</v>
      </c>
      <c r="F25" s="274">
        <v>108.4</v>
      </c>
      <c r="G25" s="274"/>
      <c r="H25" s="269" t="s">
        <v>73</v>
      </c>
      <c r="I25" s="271" t="s">
        <v>25</v>
      </c>
      <c r="J25" s="271"/>
      <c r="K25" s="272" t="s">
        <v>19</v>
      </c>
      <c r="L25" s="273">
        <v>81668.92</v>
      </c>
    </row>
    <row r="26" spans="1:12" ht="51" hidden="1" x14ac:dyDescent="0.3">
      <c r="A26" s="267" t="s">
        <v>348</v>
      </c>
      <c r="B26" s="268" t="s">
        <v>349</v>
      </c>
      <c r="C26" s="268" t="s">
        <v>352</v>
      </c>
      <c r="D26" s="268" t="s">
        <v>351</v>
      </c>
      <c r="E26" s="269" t="s">
        <v>24</v>
      </c>
      <c r="F26" s="270">
        <v>3212</v>
      </c>
      <c r="G26" s="270"/>
      <c r="H26" s="269" t="s">
        <v>73</v>
      </c>
      <c r="I26" s="271" t="s">
        <v>25</v>
      </c>
      <c r="J26" s="271"/>
      <c r="K26" s="272" t="s">
        <v>19</v>
      </c>
      <c r="L26" s="273">
        <v>84880.92</v>
      </c>
    </row>
    <row r="27" spans="1:12" ht="51" hidden="1" x14ac:dyDescent="0.3">
      <c r="A27" s="267" t="s">
        <v>348</v>
      </c>
      <c r="B27" s="268" t="s">
        <v>349</v>
      </c>
      <c r="C27" s="268" t="s">
        <v>353</v>
      </c>
      <c r="D27" s="268" t="s">
        <v>351</v>
      </c>
      <c r="E27" s="269" t="s">
        <v>24</v>
      </c>
      <c r="F27" s="274">
        <v>158.4</v>
      </c>
      <c r="G27" s="274"/>
      <c r="H27" s="269" t="s">
        <v>73</v>
      </c>
      <c r="I27" s="271" t="s">
        <v>25</v>
      </c>
      <c r="J27" s="271"/>
      <c r="K27" s="272" t="s">
        <v>19</v>
      </c>
      <c r="L27" s="273">
        <v>85039.32</v>
      </c>
    </row>
    <row r="28" spans="1:12" ht="51" hidden="1" x14ac:dyDescent="0.3">
      <c r="A28" s="267" t="s">
        <v>348</v>
      </c>
      <c r="B28" s="268" t="s">
        <v>349</v>
      </c>
      <c r="C28" s="268" t="s">
        <v>354</v>
      </c>
      <c r="D28" s="268" t="s">
        <v>351</v>
      </c>
      <c r="E28" s="269" t="s">
        <v>24</v>
      </c>
      <c r="F28" s="274">
        <v>448</v>
      </c>
      <c r="G28" s="274"/>
      <c r="H28" s="269" t="s">
        <v>73</v>
      </c>
      <c r="I28" s="271" t="s">
        <v>25</v>
      </c>
      <c r="J28" s="271"/>
      <c r="K28" s="272" t="s">
        <v>19</v>
      </c>
      <c r="L28" s="273">
        <v>85487.32</v>
      </c>
    </row>
    <row r="29" spans="1:12" ht="51" hidden="1" x14ac:dyDescent="0.3">
      <c r="A29" s="267" t="s">
        <v>348</v>
      </c>
      <c r="B29" s="268" t="s">
        <v>349</v>
      </c>
      <c r="C29" s="268" t="s">
        <v>355</v>
      </c>
      <c r="D29" s="268" t="s">
        <v>351</v>
      </c>
      <c r="E29" s="269" t="s">
        <v>24</v>
      </c>
      <c r="F29" s="274">
        <v>475.2</v>
      </c>
      <c r="G29" s="274"/>
      <c r="H29" s="269" t="s">
        <v>73</v>
      </c>
      <c r="I29" s="271" t="s">
        <v>25</v>
      </c>
      <c r="J29" s="271"/>
      <c r="K29" s="272" t="s">
        <v>19</v>
      </c>
      <c r="L29" s="273">
        <v>85962.52</v>
      </c>
    </row>
    <row r="30" spans="1:12" ht="51" hidden="1" x14ac:dyDescent="0.3">
      <c r="A30" s="267" t="s">
        <v>348</v>
      </c>
      <c r="B30" s="268" t="s">
        <v>349</v>
      </c>
      <c r="C30" s="268" t="s">
        <v>356</v>
      </c>
      <c r="D30" s="268" t="s">
        <v>351</v>
      </c>
      <c r="E30" s="269" t="s">
        <v>24</v>
      </c>
      <c r="F30" s="274">
        <v>287.5</v>
      </c>
      <c r="G30" s="274"/>
      <c r="H30" s="269" t="s">
        <v>73</v>
      </c>
      <c r="I30" s="271" t="s">
        <v>25</v>
      </c>
      <c r="J30" s="271"/>
      <c r="K30" s="272" t="s">
        <v>19</v>
      </c>
      <c r="L30" s="273">
        <v>86250.02</v>
      </c>
    </row>
    <row r="31" spans="1:12" ht="51" hidden="1" x14ac:dyDescent="0.3">
      <c r="A31" s="267" t="s">
        <v>348</v>
      </c>
      <c r="B31" s="268" t="s">
        <v>349</v>
      </c>
      <c r="C31" s="268" t="s">
        <v>357</v>
      </c>
      <c r="D31" s="268" t="s">
        <v>351</v>
      </c>
      <c r="E31" s="269" t="s">
        <v>24</v>
      </c>
      <c r="F31" s="274">
        <v>936</v>
      </c>
      <c r="G31" s="274"/>
      <c r="H31" s="269" t="s">
        <v>73</v>
      </c>
      <c r="I31" s="271" t="s">
        <v>25</v>
      </c>
      <c r="J31" s="271"/>
      <c r="K31" s="272" t="s">
        <v>19</v>
      </c>
      <c r="L31" s="273">
        <v>87186.02</v>
      </c>
    </row>
    <row r="32" spans="1:12" ht="61.2" hidden="1" x14ac:dyDescent="0.3">
      <c r="A32" s="267" t="s">
        <v>348</v>
      </c>
      <c r="B32" s="268" t="s">
        <v>349</v>
      </c>
      <c r="C32" s="268" t="s">
        <v>358</v>
      </c>
      <c r="D32" s="268" t="s">
        <v>351</v>
      </c>
      <c r="E32" s="269" t="s">
        <v>24</v>
      </c>
      <c r="F32" s="274">
        <v>590.5</v>
      </c>
      <c r="G32" s="274"/>
      <c r="H32" s="269" t="s">
        <v>73</v>
      </c>
      <c r="I32" s="271" t="s">
        <v>25</v>
      </c>
      <c r="J32" s="271"/>
      <c r="K32" s="272" t="s">
        <v>19</v>
      </c>
      <c r="L32" s="273">
        <v>87776.52</v>
      </c>
    </row>
    <row r="33" spans="1:12" ht="51" hidden="1" x14ac:dyDescent="0.3">
      <c r="A33" s="267" t="s">
        <v>348</v>
      </c>
      <c r="B33" s="268" t="s">
        <v>349</v>
      </c>
      <c r="C33" s="268" t="s">
        <v>359</v>
      </c>
      <c r="D33" s="268" t="s">
        <v>351</v>
      </c>
      <c r="E33" s="269" t="s">
        <v>24</v>
      </c>
      <c r="F33" s="270">
        <v>1412</v>
      </c>
      <c r="G33" s="270"/>
      <c r="H33" s="269" t="s">
        <v>73</v>
      </c>
      <c r="I33" s="271" t="s">
        <v>25</v>
      </c>
      <c r="J33" s="271"/>
      <c r="K33" s="272" t="s">
        <v>19</v>
      </c>
      <c r="L33" s="273">
        <v>89188.52</v>
      </c>
    </row>
    <row r="34" spans="1:12" ht="51" hidden="1" x14ac:dyDescent="0.3">
      <c r="A34" s="267" t="s">
        <v>348</v>
      </c>
      <c r="B34" s="268" t="s">
        <v>349</v>
      </c>
      <c r="C34" s="268" t="s">
        <v>360</v>
      </c>
      <c r="D34" s="268" t="s">
        <v>351</v>
      </c>
      <c r="E34" s="269" t="s">
        <v>24</v>
      </c>
      <c r="F34" s="270">
        <v>3612</v>
      </c>
      <c r="G34" s="270"/>
      <c r="H34" s="269" t="s">
        <v>73</v>
      </c>
      <c r="I34" s="271" t="s">
        <v>25</v>
      </c>
      <c r="J34" s="271"/>
      <c r="K34" s="272" t="s">
        <v>19</v>
      </c>
      <c r="L34" s="273">
        <v>92800.52</v>
      </c>
    </row>
    <row r="35" spans="1:12" ht="51" hidden="1" x14ac:dyDescent="0.3">
      <c r="A35" s="267" t="s">
        <v>361</v>
      </c>
      <c r="B35" s="268" t="s">
        <v>362</v>
      </c>
      <c r="C35" s="268" t="s">
        <v>363</v>
      </c>
      <c r="D35" s="268" t="s">
        <v>351</v>
      </c>
      <c r="E35" s="269" t="s">
        <v>24</v>
      </c>
      <c r="F35" s="274">
        <v>287.5</v>
      </c>
      <c r="G35" s="274"/>
      <c r="H35" s="269" t="s">
        <v>73</v>
      </c>
      <c r="I35" s="271" t="s">
        <v>25</v>
      </c>
      <c r="J35" s="271"/>
      <c r="K35" s="272" t="s">
        <v>19</v>
      </c>
      <c r="L35" s="273">
        <v>93088.02</v>
      </c>
    </row>
    <row r="36" spans="1:12" ht="51" hidden="1" x14ac:dyDescent="0.3">
      <c r="A36" s="267" t="s">
        <v>361</v>
      </c>
      <c r="B36" s="268" t="s">
        <v>362</v>
      </c>
      <c r="C36" s="268" t="s">
        <v>364</v>
      </c>
      <c r="D36" s="268" t="s">
        <v>351</v>
      </c>
      <c r="E36" s="269" t="s">
        <v>24</v>
      </c>
      <c r="F36" s="274">
        <v>611.70000000000005</v>
      </c>
      <c r="G36" s="274"/>
      <c r="H36" s="269" t="s">
        <v>73</v>
      </c>
      <c r="I36" s="271" t="s">
        <v>25</v>
      </c>
      <c r="J36" s="271"/>
      <c r="K36" s="272" t="s">
        <v>19</v>
      </c>
      <c r="L36" s="273">
        <v>93699.72</v>
      </c>
    </row>
    <row r="37" spans="1:12" ht="51" hidden="1" x14ac:dyDescent="0.3">
      <c r="A37" s="267" t="s">
        <v>365</v>
      </c>
      <c r="B37" s="268" t="s">
        <v>366</v>
      </c>
      <c r="C37" s="268" t="s">
        <v>367</v>
      </c>
      <c r="D37" s="268" t="s">
        <v>351</v>
      </c>
      <c r="E37" s="269" t="s">
        <v>24</v>
      </c>
      <c r="F37" s="270">
        <v>2580</v>
      </c>
      <c r="G37" s="270"/>
      <c r="H37" s="269" t="s">
        <v>73</v>
      </c>
      <c r="I37" s="271" t="s">
        <v>25</v>
      </c>
      <c r="J37" s="271"/>
      <c r="K37" s="272" t="s">
        <v>19</v>
      </c>
      <c r="L37" s="273">
        <v>96279.72</v>
      </c>
    </row>
    <row r="38" spans="1:12" ht="51" hidden="1" x14ac:dyDescent="0.3">
      <c r="A38" s="267" t="s">
        <v>365</v>
      </c>
      <c r="B38" s="268" t="s">
        <v>366</v>
      </c>
      <c r="C38" s="268" t="s">
        <v>368</v>
      </c>
      <c r="D38" s="268" t="s">
        <v>351</v>
      </c>
      <c r="E38" s="269" t="s">
        <v>24</v>
      </c>
      <c r="F38" s="270">
        <v>11970</v>
      </c>
      <c r="G38" s="270"/>
      <c r="H38" s="269" t="s">
        <v>73</v>
      </c>
      <c r="I38" s="271" t="s">
        <v>25</v>
      </c>
      <c r="J38" s="271"/>
      <c r="K38" s="272" t="s">
        <v>19</v>
      </c>
      <c r="L38" s="273">
        <v>108249.72</v>
      </c>
    </row>
    <row r="39" spans="1:12" ht="61.2" x14ac:dyDescent="0.3">
      <c r="A39" s="267" t="s">
        <v>26</v>
      </c>
      <c r="B39" s="268" t="s">
        <v>369</v>
      </c>
      <c r="C39" s="268" t="s">
        <v>28</v>
      </c>
      <c r="D39" s="268" t="s">
        <v>370</v>
      </c>
      <c r="E39" s="269" t="s">
        <v>30</v>
      </c>
      <c r="F39" s="275" t="s">
        <v>25</v>
      </c>
      <c r="G39" s="275"/>
      <c r="H39" s="269" t="s">
        <v>24</v>
      </c>
      <c r="I39" s="276">
        <v>198.4</v>
      </c>
      <c r="J39" s="276"/>
      <c r="K39" s="272" t="s">
        <v>19</v>
      </c>
      <c r="L39" s="273">
        <v>108051.32</v>
      </c>
    </row>
    <row r="40" spans="1:12" ht="61.2" hidden="1" x14ac:dyDescent="0.3">
      <c r="A40" s="267" t="s">
        <v>50</v>
      </c>
      <c r="B40" s="268" t="s">
        <v>219</v>
      </c>
      <c r="C40" s="268" t="s">
        <v>220</v>
      </c>
      <c r="D40" s="268" t="s">
        <v>194</v>
      </c>
      <c r="E40" s="269" t="s">
        <v>24</v>
      </c>
      <c r="F40" s="270">
        <v>5650</v>
      </c>
      <c r="G40" s="270"/>
      <c r="H40" s="269" t="s">
        <v>24</v>
      </c>
      <c r="I40" s="271" t="s">
        <v>25</v>
      </c>
      <c r="J40" s="271"/>
      <c r="K40" s="272" t="s">
        <v>19</v>
      </c>
      <c r="L40" s="273">
        <v>113701.32</v>
      </c>
    </row>
    <row r="41" spans="1:12" ht="61.2" hidden="1" x14ac:dyDescent="0.3">
      <c r="A41" s="267" t="s">
        <v>50</v>
      </c>
      <c r="B41" s="268" t="s">
        <v>219</v>
      </c>
      <c r="C41" s="268" t="s">
        <v>221</v>
      </c>
      <c r="D41" s="268" t="s">
        <v>199</v>
      </c>
      <c r="E41" s="269" t="s">
        <v>24</v>
      </c>
      <c r="F41" s="270">
        <v>2402</v>
      </c>
      <c r="G41" s="270"/>
      <c r="H41" s="269" t="s">
        <v>24</v>
      </c>
      <c r="I41" s="271" t="s">
        <v>25</v>
      </c>
      <c r="J41" s="271"/>
      <c r="K41" s="272" t="s">
        <v>19</v>
      </c>
      <c r="L41" s="273">
        <v>116103.32</v>
      </c>
    </row>
    <row r="42" spans="1:12" ht="61.2" hidden="1" x14ac:dyDescent="0.3">
      <c r="A42" s="267" t="s">
        <v>50</v>
      </c>
      <c r="B42" s="268" t="s">
        <v>219</v>
      </c>
      <c r="C42" s="268" t="s">
        <v>222</v>
      </c>
      <c r="D42" s="268" t="s">
        <v>200</v>
      </c>
      <c r="E42" s="269" t="s">
        <v>24</v>
      </c>
      <c r="F42" s="270">
        <v>1756</v>
      </c>
      <c r="G42" s="270"/>
      <c r="H42" s="269" t="s">
        <v>24</v>
      </c>
      <c r="I42" s="271" t="s">
        <v>25</v>
      </c>
      <c r="J42" s="271"/>
      <c r="K42" s="272" t="s">
        <v>19</v>
      </c>
      <c r="L42" s="273">
        <v>117859.32</v>
      </c>
    </row>
    <row r="43" spans="1:12" ht="51" hidden="1" x14ac:dyDescent="0.3">
      <c r="A43" s="267" t="s">
        <v>50</v>
      </c>
      <c r="B43" s="268" t="s">
        <v>219</v>
      </c>
      <c r="C43" s="268" t="s">
        <v>223</v>
      </c>
      <c r="D43" s="268" t="s">
        <v>201</v>
      </c>
      <c r="E43" s="269" t="s">
        <v>24</v>
      </c>
      <c r="F43" s="270">
        <v>2905</v>
      </c>
      <c r="G43" s="270"/>
      <c r="H43" s="269" t="s">
        <v>24</v>
      </c>
      <c r="I43" s="271" t="s">
        <v>25</v>
      </c>
      <c r="J43" s="271"/>
      <c r="K43" s="272" t="s">
        <v>19</v>
      </c>
      <c r="L43" s="273">
        <v>120764.32</v>
      </c>
    </row>
    <row r="44" spans="1:12" ht="51" hidden="1" x14ac:dyDescent="0.3">
      <c r="A44" s="267" t="s">
        <v>50</v>
      </c>
      <c r="B44" s="268" t="s">
        <v>219</v>
      </c>
      <c r="C44" s="268" t="s">
        <v>224</v>
      </c>
      <c r="D44" s="268" t="s">
        <v>204</v>
      </c>
      <c r="E44" s="269" t="s">
        <v>24</v>
      </c>
      <c r="F44" s="274">
        <v>254.05</v>
      </c>
      <c r="G44" s="274"/>
      <c r="H44" s="269" t="s">
        <v>24</v>
      </c>
      <c r="I44" s="271" t="s">
        <v>25</v>
      </c>
      <c r="J44" s="271"/>
      <c r="K44" s="272" t="s">
        <v>19</v>
      </c>
      <c r="L44" s="273">
        <v>121018.37</v>
      </c>
    </row>
    <row r="45" spans="1:12" ht="51" hidden="1" x14ac:dyDescent="0.3">
      <c r="A45" s="267" t="s">
        <v>50</v>
      </c>
      <c r="B45" s="268" t="s">
        <v>219</v>
      </c>
      <c r="C45" s="268" t="s">
        <v>225</v>
      </c>
      <c r="D45" s="268" t="s">
        <v>205</v>
      </c>
      <c r="E45" s="269" t="s">
        <v>24</v>
      </c>
      <c r="F45" s="274">
        <v>289.3</v>
      </c>
      <c r="G45" s="274"/>
      <c r="H45" s="269" t="s">
        <v>24</v>
      </c>
      <c r="I45" s="271" t="s">
        <v>25</v>
      </c>
      <c r="J45" s="271"/>
      <c r="K45" s="272" t="s">
        <v>19</v>
      </c>
      <c r="L45" s="273">
        <v>121307.67</v>
      </c>
    </row>
    <row r="46" spans="1:12" ht="51" hidden="1" x14ac:dyDescent="0.3">
      <c r="A46" s="267" t="s">
        <v>50</v>
      </c>
      <c r="B46" s="268" t="s">
        <v>219</v>
      </c>
      <c r="C46" s="268" t="s">
        <v>226</v>
      </c>
      <c r="D46" s="268" t="s">
        <v>206</v>
      </c>
      <c r="E46" s="269" t="s">
        <v>24</v>
      </c>
      <c r="F46" s="270">
        <v>2427.5</v>
      </c>
      <c r="G46" s="270"/>
      <c r="H46" s="269" t="s">
        <v>24</v>
      </c>
      <c r="I46" s="271" t="s">
        <v>25</v>
      </c>
      <c r="J46" s="271"/>
      <c r="K46" s="272" t="s">
        <v>19</v>
      </c>
      <c r="L46" s="273">
        <v>123735.17</v>
      </c>
    </row>
    <row r="47" spans="1:12" ht="51" hidden="1" x14ac:dyDescent="0.3">
      <c r="A47" s="267" t="s">
        <v>50</v>
      </c>
      <c r="B47" s="268" t="s">
        <v>219</v>
      </c>
      <c r="C47" s="268" t="s">
        <v>227</v>
      </c>
      <c r="D47" s="268" t="s">
        <v>207</v>
      </c>
      <c r="E47" s="269" t="s">
        <v>24</v>
      </c>
      <c r="F47" s="274">
        <v>608</v>
      </c>
      <c r="G47" s="274"/>
      <c r="H47" s="269" t="s">
        <v>24</v>
      </c>
      <c r="I47" s="271" t="s">
        <v>25</v>
      </c>
      <c r="J47" s="271"/>
      <c r="K47" s="272" t="s">
        <v>19</v>
      </c>
      <c r="L47" s="273">
        <v>124343.17</v>
      </c>
    </row>
    <row r="48" spans="1:12" ht="61.2" x14ac:dyDescent="0.3">
      <c r="A48" s="267" t="s">
        <v>50</v>
      </c>
      <c r="B48" s="268" t="s">
        <v>371</v>
      </c>
      <c r="C48" s="268" t="s">
        <v>28</v>
      </c>
      <c r="D48" s="268" t="s">
        <v>372</v>
      </c>
      <c r="E48" s="269" t="s">
        <v>30</v>
      </c>
      <c r="F48" s="275" t="s">
        <v>25</v>
      </c>
      <c r="G48" s="275"/>
      <c r="H48" s="269" t="s">
        <v>24</v>
      </c>
      <c r="I48" s="276">
        <v>776.68</v>
      </c>
      <c r="J48" s="276"/>
      <c r="K48" s="272" t="s">
        <v>19</v>
      </c>
      <c r="L48" s="273">
        <v>123566.49</v>
      </c>
    </row>
    <row r="49" spans="1:12" ht="61.2" x14ac:dyDescent="0.3">
      <c r="A49" s="267" t="s">
        <v>50</v>
      </c>
      <c r="B49" s="268" t="s">
        <v>371</v>
      </c>
      <c r="C49" s="268" t="s">
        <v>28</v>
      </c>
      <c r="D49" s="268" t="s">
        <v>373</v>
      </c>
      <c r="E49" s="269" t="s">
        <v>30</v>
      </c>
      <c r="F49" s="275" t="s">
        <v>25</v>
      </c>
      <c r="G49" s="275"/>
      <c r="H49" s="269" t="s">
        <v>24</v>
      </c>
      <c r="I49" s="277">
        <v>1553.36</v>
      </c>
      <c r="J49" s="277"/>
      <c r="K49" s="272" t="s">
        <v>19</v>
      </c>
      <c r="L49" s="273">
        <v>122013.13</v>
      </c>
    </row>
    <row r="50" spans="1:12" hidden="1" x14ac:dyDescent="0.3">
      <c r="A50" s="278" t="s">
        <v>59</v>
      </c>
      <c r="B50" s="278"/>
      <c r="C50" s="278"/>
      <c r="D50" s="278"/>
      <c r="E50" s="279">
        <v>103501.5</v>
      </c>
      <c r="F50" s="279"/>
      <c r="G50" s="279"/>
      <c r="H50" s="279">
        <v>2528.44</v>
      </c>
      <c r="I50" s="279"/>
      <c r="J50" s="279"/>
      <c r="K50" s="280" t="s">
        <v>19</v>
      </c>
      <c r="L50" s="281">
        <v>122013.13</v>
      </c>
    </row>
    <row r="52" spans="1:12" x14ac:dyDescent="0.3">
      <c r="J52" s="310">
        <f>SUBTOTAL(9,I39:J49)</f>
        <v>2528.4399999999996</v>
      </c>
    </row>
  </sheetData>
  <autoFilter ref="A1:L50" xr:uid="{4EF3AB70-5482-4501-AC92-FCA9B0366939}">
    <filterColumn colId="1">
      <filters>
        <filter val="Передача малоцінних активів в експлуатацію ІБ00-000180 від 29.04.2025 16:32:22_x000a_Списание стоимости малоценных активов"/>
        <filter val="Передача малоцінних активів в експлуатацію ІБ00-000218 від 30.04.2025 20:00:00_x000a_Списание стоимости малоценных активов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106">
    <mergeCell ref="F49:G49"/>
    <mergeCell ref="I49:J49"/>
    <mergeCell ref="A50:D50"/>
    <mergeCell ref="E50:G50"/>
    <mergeCell ref="H50:J50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49045-639B-4029-8CEB-1165F72D19CD}">
  <sheetPr filterMode="1"/>
  <dimension ref="A1:L36"/>
  <sheetViews>
    <sheetView topLeftCell="A26" workbookViewId="0">
      <selection activeCell="J36" sqref="J36"/>
    </sheetView>
  </sheetViews>
  <sheetFormatPr defaultRowHeight="14.4" x14ac:dyDescent="0.3"/>
  <cols>
    <col min="2" max="4" width="30.5546875" customWidth="1"/>
  </cols>
  <sheetData>
    <row r="1" spans="1:12" x14ac:dyDescent="0.3">
      <c r="A1" s="282" t="s">
        <v>11</v>
      </c>
      <c r="B1" s="283" t="s">
        <v>12</v>
      </c>
      <c r="C1" s="283" t="s">
        <v>13</v>
      </c>
      <c r="D1" s="284" t="s">
        <v>14</v>
      </c>
      <c r="E1" s="285" t="s">
        <v>15</v>
      </c>
      <c r="F1" s="285"/>
      <c r="G1" s="285"/>
      <c r="H1" s="286" t="s">
        <v>16</v>
      </c>
      <c r="I1" s="286"/>
      <c r="J1" s="286"/>
      <c r="K1" s="283" t="s">
        <v>17</v>
      </c>
      <c r="L1" s="283"/>
    </row>
    <row r="2" spans="1:12" hidden="1" x14ac:dyDescent="0.3">
      <c r="A2" s="287"/>
      <c r="B2" s="288"/>
      <c r="C2" s="288"/>
      <c r="D2" s="289"/>
      <c r="E2" s="290" t="s">
        <v>18</v>
      </c>
      <c r="F2" s="291"/>
      <c r="G2" s="291"/>
      <c r="H2" s="292" t="s">
        <v>18</v>
      </c>
      <c r="I2" s="293"/>
      <c r="J2" s="293"/>
      <c r="K2" s="287"/>
      <c r="L2" s="294"/>
    </row>
    <row r="3" spans="1:12" ht="51" x14ac:dyDescent="0.3">
      <c r="A3" s="295" t="s">
        <v>60</v>
      </c>
      <c r="B3" s="296" t="s">
        <v>374</v>
      </c>
      <c r="C3" s="296" t="s">
        <v>28</v>
      </c>
      <c r="D3" s="296" t="s">
        <v>375</v>
      </c>
      <c r="E3" s="297" t="s">
        <v>30</v>
      </c>
      <c r="F3" s="298" t="s">
        <v>25</v>
      </c>
      <c r="G3" s="298"/>
      <c r="H3" s="297" t="s">
        <v>24</v>
      </c>
      <c r="I3" s="299">
        <v>1660</v>
      </c>
      <c r="J3" s="299"/>
      <c r="K3" s="300" t="s">
        <v>19</v>
      </c>
      <c r="L3" s="301">
        <v>17277.900000000001</v>
      </c>
    </row>
    <row r="4" spans="1:12" ht="51" x14ac:dyDescent="0.3">
      <c r="A4" s="295" t="s">
        <v>60</v>
      </c>
      <c r="B4" s="296" t="s">
        <v>374</v>
      </c>
      <c r="C4" s="296" t="s">
        <v>28</v>
      </c>
      <c r="D4" s="296" t="s">
        <v>376</v>
      </c>
      <c r="E4" s="297" t="s">
        <v>30</v>
      </c>
      <c r="F4" s="298" t="s">
        <v>25</v>
      </c>
      <c r="G4" s="298"/>
      <c r="H4" s="297" t="s">
        <v>24</v>
      </c>
      <c r="I4" s="302">
        <v>348.5</v>
      </c>
      <c r="J4" s="302"/>
      <c r="K4" s="300" t="s">
        <v>19</v>
      </c>
      <c r="L4" s="301">
        <v>16929.400000000001</v>
      </c>
    </row>
    <row r="5" spans="1:12" ht="51" x14ac:dyDescent="0.3">
      <c r="A5" s="295" t="s">
        <v>60</v>
      </c>
      <c r="B5" s="296" t="s">
        <v>374</v>
      </c>
      <c r="C5" s="296" t="s">
        <v>28</v>
      </c>
      <c r="D5" s="296" t="s">
        <v>377</v>
      </c>
      <c r="E5" s="297" t="s">
        <v>30</v>
      </c>
      <c r="F5" s="298" t="s">
        <v>25</v>
      </c>
      <c r="G5" s="298"/>
      <c r="H5" s="297" t="s">
        <v>24</v>
      </c>
      <c r="I5" s="299">
        <v>1426.48</v>
      </c>
      <c r="J5" s="299"/>
      <c r="K5" s="300" t="s">
        <v>19</v>
      </c>
      <c r="L5" s="301">
        <v>15502.92</v>
      </c>
    </row>
    <row r="6" spans="1:12" ht="51" x14ac:dyDescent="0.3">
      <c r="A6" s="295" t="s">
        <v>60</v>
      </c>
      <c r="B6" s="296" t="s">
        <v>378</v>
      </c>
      <c r="C6" s="296" t="s">
        <v>28</v>
      </c>
      <c r="D6" s="296" t="s">
        <v>379</v>
      </c>
      <c r="E6" s="297" t="s">
        <v>30</v>
      </c>
      <c r="F6" s="298" t="s">
        <v>25</v>
      </c>
      <c r="G6" s="298"/>
      <c r="H6" s="297" t="s">
        <v>24</v>
      </c>
      <c r="I6" s="299">
        <v>2824.32</v>
      </c>
      <c r="J6" s="299"/>
      <c r="K6" s="300" t="s">
        <v>19</v>
      </c>
      <c r="L6" s="301">
        <v>12678.6</v>
      </c>
    </row>
    <row r="7" spans="1:12" ht="51" hidden="1" x14ac:dyDescent="0.3">
      <c r="A7" s="295" t="s">
        <v>273</v>
      </c>
      <c r="B7" s="296" t="s">
        <v>380</v>
      </c>
      <c r="C7" s="296" t="s">
        <v>381</v>
      </c>
      <c r="D7" s="296" t="s">
        <v>382</v>
      </c>
      <c r="E7" s="297" t="s">
        <v>24</v>
      </c>
      <c r="F7" s="303">
        <v>522</v>
      </c>
      <c r="G7" s="303"/>
      <c r="H7" s="297" t="s">
        <v>73</v>
      </c>
      <c r="I7" s="304" t="s">
        <v>25</v>
      </c>
      <c r="J7" s="304"/>
      <c r="K7" s="300" t="s">
        <v>19</v>
      </c>
      <c r="L7" s="301">
        <v>13200.6</v>
      </c>
    </row>
    <row r="8" spans="1:12" ht="51" hidden="1" x14ac:dyDescent="0.3">
      <c r="A8" s="295" t="s">
        <v>273</v>
      </c>
      <c r="B8" s="296" t="s">
        <v>380</v>
      </c>
      <c r="C8" s="296" t="s">
        <v>383</v>
      </c>
      <c r="D8" s="296" t="s">
        <v>382</v>
      </c>
      <c r="E8" s="297" t="s">
        <v>24</v>
      </c>
      <c r="F8" s="303">
        <v>174</v>
      </c>
      <c r="G8" s="303"/>
      <c r="H8" s="297" t="s">
        <v>73</v>
      </c>
      <c r="I8" s="304" t="s">
        <v>25</v>
      </c>
      <c r="J8" s="304"/>
      <c r="K8" s="300" t="s">
        <v>19</v>
      </c>
      <c r="L8" s="301">
        <v>13374.6</v>
      </c>
    </row>
    <row r="9" spans="1:12" ht="51" hidden="1" x14ac:dyDescent="0.3">
      <c r="A9" s="295" t="s">
        <v>273</v>
      </c>
      <c r="B9" s="296" t="s">
        <v>384</v>
      </c>
      <c r="C9" s="296" t="s">
        <v>385</v>
      </c>
      <c r="D9" s="296" t="s">
        <v>382</v>
      </c>
      <c r="E9" s="297" t="s">
        <v>24</v>
      </c>
      <c r="F9" s="303">
        <v>931.5</v>
      </c>
      <c r="G9" s="303"/>
      <c r="H9" s="297" t="s">
        <v>73</v>
      </c>
      <c r="I9" s="304" t="s">
        <v>25</v>
      </c>
      <c r="J9" s="304"/>
      <c r="K9" s="300" t="s">
        <v>19</v>
      </c>
      <c r="L9" s="301">
        <v>14306.1</v>
      </c>
    </row>
    <row r="10" spans="1:12" ht="51" hidden="1" x14ac:dyDescent="0.3">
      <c r="A10" s="295" t="s">
        <v>69</v>
      </c>
      <c r="B10" s="296" t="s">
        <v>86</v>
      </c>
      <c r="C10" s="296" t="s">
        <v>87</v>
      </c>
      <c r="D10" s="296" t="s">
        <v>78</v>
      </c>
      <c r="E10" s="297" t="s">
        <v>24</v>
      </c>
      <c r="F10" s="303">
        <v>687.6</v>
      </c>
      <c r="G10" s="303"/>
      <c r="H10" s="297" t="s">
        <v>24</v>
      </c>
      <c r="I10" s="304" t="s">
        <v>25</v>
      </c>
      <c r="J10" s="304"/>
      <c r="K10" s="300" t="s">
        <v>19</v>
      </c>
      <c r="L10" s="301">
        <v>14993.7</v>
      </c>
    </row>
    <row r="11" spans="1:12" ht="51" hidden="1" x14ac:dyDescent="0.3">
      <c r="A11" s="295" t="s">
        <v>69</v>
      </c>
      <c r="B11" s="296" t="s">
        <v>86</v>
      </c>
      <c r="C11" s="296" t="s">
        <v>88</v>
      </c>
      <c r="D11" s="296" t="s">
        <v>79</v>
      </c>
      <c r="E11" s="297" t="s">
        <v>24</v>
      </c>
      <c r="F11" s="305">
        <v>1263.4000000000001</v>
      </c>
      <c r="G11" s="305"/>
      <c r="H11" s="297" t="s">
        <v>24</v>
      </c>
      <c r="I11" s="304" t="s">
        <v>25</v>
      </c>
      <c r="J11" s="304"/>
      <c r="K11" s="300" t="s">
        <v>19</v>
      </c>
      <c r="L11" s="301">
        <v>16257.1</v>
      </c>
    </row>
    <row r="12" spans="1:12" ht="51" hidden="1" x14ac:dyDescent="0.3">
      <c r="A12" s="295" t="s">
        <v>139</v>
      </c>
      <c r="B12" s="296" t="s">
        <v>386</v>
      </c>
      <c r="C12" s="296" t="s">
        <v>387</v>
      </c>
      <c r="D12" s="296" t="s">
        <v>388</v>
      </c>
      <c r="E12" s="297" t="s">
        <v>24</v>
      </c>
      <c r="F12" s="305">
        <v>1572.48</v>
      </c>
      <c r="G12" s="305"/>
      <c r="H12" s="297" t="s">
        <v>73</v>
      </c>
      <c r="I12" s="304" t="s">
        <v>25</v>
      </c>
      <c r="J12" s="304"/>
      <c r="K12" s="300" t="s">
        <v>19</v>
      </c>
      <c r="L12" s="301">
        <v>17829.580000000002</v>
      </c>
    </row>
    <row r="13" spans="1:12" ht="51" hidden="1" x14ac:dyDescent="0.3">
      <c r="A13" s="295" t="s">
        <v>139</v>
      </c>
      <c r="B13" s="296" t="s">
        <v>386</v>
      </c>
      <c r="C13" s="296" t="s">
        <v>389</v>
      </c>
      <c r="D13" s="296" t="s">
        <v>388</v>
      </c>
      <c r="E13" s="297" t="s">
        <v>24</v>
      </c>
      <c r="F13" s="305">
        <v>4004.48</v>
      </c>
      <c r="G13" s="305"/>
      <c r="H13" s="297" t="s">
        <v>73</v>
      </c>
      <c r="I13" s="304" t="s">
        <v>25</v>
      </c>
      <c r="J13" s="304"/>
      <c r="K13" s="300" t="s">
        <v>19</v>
      </c>
      <c r="L13" s="301">
        <v>21834.06</v>
      </c>
    </row>
    <row r="14" spans="1:12" ht="51" hidden="1" x14ac:dyDescent="0.3">
      <c r="A14" s="295" t="s">
        <v>20</v>
      </c>
      <c r="B14" s="296" t="s">
        <v>390</v>
      </c>
      <c r="C14" s="296" t="s">
        <v>391</v>
      </c>
      <c r="D14" s="296" t="s">
        <v>392</v>
      </c>
      <c r="E14" s="297" t="s">
        <v>24</v>
      </c>
      <c r="F14" s="305">
        <v>5085.04</v>
      </c>
      <c r="G14" s="305"/>
      <c r="H14" s="297" t="s">
        <v>73</v>
      </c>
      <c r="I14" s="304" t="s">
        <v>25</v>
      </c>
      <c r="J14" s="304"/>
      <c r="K14" s="300" t="s">
        <v>19</v>
      </c>
      <c r="L14" s="301">
        <v>26919.1</v>
      </c>
    </row>
    <row r="15" spans="1:12" ht="51" x14ac:dyDescent="0.3">
      <c r="A15" s="295" t="s">
        <v>26</v>
      </c>
      <c r="B15" s="296" t="s">
        <v>393</v>
      </c>
      <c r="C15" s="296" t="s">
        <v>28</v>
      </c>
      <c r="D15" s="296" t="s">
        <v>394</v>
      </c>
      <c r="E15" s="297" t="s">
        <v>30</v>
      </c>
      <c r="F15" s="298" t="s">
        <v>25</v>
      </c>
      <c r="G15" s="298"/>
      <c r="H15" s="297" t="s">
        <v>24</v>
      </c>
      <c r="I15" s="302">
        <v>294</v>
      </c>
      <c r="J15" s="302"/>
      <c r="K15" s="300" t="s">
        <v>19</v>
      </c>
      <c r="L15" s="301">
        <v>26625.1</v>
      </c>
    </row>
    <row r="16" spans="1:12" ht="61.2" x14ac:dyDescent="0.3">
      <c r="A16" s="295" t="s">
        <v>26</v>
      </c>
      <c r="B16" s="296" t="s">
        <v>393</v>
      </c>
      <c r="C16" s="296" t="s">
        <v>28</v>
      </c>
      <c r="D16" s="296" t="s">
        <v>395</v>
      </c>
      <c r="E16" s="297" t="s">
        <v>30</v>
      </c>
      <c r="F16" s="298" t="s">
        <v>25</v>
      </c>
      <c r="G16" s="298"/>
      <c r="H16" s="297" t="s">
        <v>24</v>
      </c>
      <c r="I16" s="302">
        <v>151</v>
      </c>
      <c r="J16" s="302"/>
      <c r="K16" s="300" t="s">
        <v>19</v>
      </c>
      <c r="L16" s="301">
        <v>26474.1</v>
      </c>
    </row>
    <row r="17" spans="1:12" ht="51" x14ac:dyDescent="0.3">
      <c r="A17" s="295" t="s">
        <v>26</v>
      </c>
      <c r="B17" s="296" t="s">
        <v>393</v>
      </c>
      <c r="C17" s="296" t="s">
        <v>28</v>
      </c>
      <c r="D17" s="296" t="s">
        <v>376</v>
      </c>
      <c r="E17" s="297" t="s">
        <v>30</v>
      </c>
      <c r="F17" s="298" t="s">
        <v>25</v>
      </c>
      <c r="G17" s="298"/>
      <c r="H17" s="297" t="s">
        <v>24</v>
      </c>
      <c r="I17" s="299">
        <v>2665</v>
      </c>
      <c r="J17" s="299"/>
      <c r="K17" s="300" t="s">
        <v>19</v>
      </c>
      <c r="L17" s="301">
        <v>23809.1</v>
      </c>
    </row>
    <row r="18" spans="1:12" ht="61.2" x14ac:dyDescent="0.3">
      <c r="A18" s="295" t="s">
        <v>26</v>
      </c>
      <c r="B18" s="296" t="s">
        <v>393</v>
      </c>
      <c r="C18" s="296" t="s">
        <v>28</v>
      </c>
      <c r="D18" s="296" t="s">
        <v>396</v>
      </c>
      <c r="E18" s="297" t="s">
        <v>30</v>
      </c>
      <c r="F18" s="298" t="s">
        <v>25</v>
      </c>
      <c r="G18" s="298"/>
      <c r="H18" s="297" t="s">
        <v>24</v>
      </c>
      <c r="I18" s="299">
        <v>1065.9000000000001</v>
      </c>
      <c r="J18" s="299"/>
      <c r="K18" s="300" t="s">
        <v>19</v>
      </c>
      <c r="L18" s="301">
        <v>22743.200000000001</v>
      </c>
    </row>
    <row r="19" spans="1:12" ht="51" x14ac:dyDescent="0.3">
      <c r="A19" s="295" t="s">
        <v>26</v>
      </c>
      <c r="B19" s="296" t="s">
        <v>397</v>
      </c>
      <c r="C19" s="296" t="s">
        <v>28</v>
      </c>
      <c r="D19" s="296" t="s">
        <v>376</v>
      </c>
      <c r="E19" s="297" t="s">
        <v>30</v>
      </c>
      <c r="F19" s="298" t="s">
        <v>25</v>
      </c>
      <c r="G19" s="298"/>
      <c r="H19" s="297" t="s">
        <v>24</v>
      </c>
      <c r="I19" s="299">
        <v>2132</v>
      </c>
      <c r="J19" s="299"/>
      <c r="K19" s="300" t="s">
        <v>19</v>
      </c>
      <c r="L19" s="301">
        <v>20611.2</v>
      </c>
    </row>
    <row r="20" spans="1:12" ht="51" x14ac:dyDescent="0.3">
      <c r="A20" s="295" t="s">
        <v>26</v>
      </c>
      <c r="B20" s="296" t="s">
        <v>397</v>
      </c>
      <c r="C20" s="296" t="s">
        <v>28</v>
      </c>
      <c r="D20" s="296" t="s">
        <v>398</v>
      </c>
      <c r="E20" s="297" t="s">
        <v>30</v>
      </c>
      <c r="F20" s="298" t="s">
        <v>25</v>
      </c>
      <c r="G20" s="298"/>
      <c r="H20" s="297" t="s">
        <v>24</v>
      </c>
      <c r="I20" s="302">
        <v>593.54</v>
      </c>
      <c r="J20" s="302"/>
      <c r="K20" s="300" t="s">
        <v>19</v>
      </c>
      <c r="L20" s="301">
        <v>20017.66</v>
      </c>
    </row>
    <row r="21" spans="1:12" ht="51" x14ac:dyDescent="0.3">
      <c r="A21" s="295" t="s">
        <v>26</v>
      </c>
      <c r="B21" s="296" t="s">
        <v>399</v>
      </c>
      <c r="C21" s="296" t="s">
        <v>28</v>
      </c>
      <c r="D21" s="296" t="s">
        <v>385</v>
      </c>
      <c r="E21" s="297" t="s">
        <v>30</v>
      </c>
      <c r="F21" s="298" t="s">
        <v>25</v>
      </c>
      <c r="G21" s="298"/>
      <c r="H21" s="297" t="s">
        <v>24</v>
      </c>
      <c r="I21" s="302">
        <v>931.5</v>
      </c>
      <c r="J21" s="302"/>
      <c r="K21" s="300" t="s">
        <v>19</v>
      </c>
      <c r="L21" s="301">
        <v>19086.16</v>
      </c>
    </row>
    <row r="22" spans="1:12" ht="51" x14ac:dyDescent="0.3">
      <c r="A22" s="295" t="s">
        <v>26</v>
      </c>
      <c r="B22" s="296" t="s">
        <v>399</v>
      </c>
      <c r="C22" s="296" t="s">
        <v>28</v>
      </c>
      <c r="D22" s="296" t="s">
        <v>381</v>
      </c>
      <c r="E22" s="297" t="s">
        <v>30</v>
      </c>
      <c r="F22" s="298" t="s">
        <v>25</v>
      </c>
      <c r="G22" s="298"/>
      <c r="H22" s="297" t="s">
        <v>24</v>
      </c>
      <c r="I22" s="302">
        <v>522</v>
      </c>
      <c r="J22" s="302"/>
      <c r="K22" s="300" t="s">
        <v>19</v>
      </c>
      <c r="L22" s="301">
        <v>18564.16</v>
      </c>
    </row>
    <row r="23" spans="1:12" ht="51" x14ac:dyDescent="0.3">
      <c r="A23" s="295" t="s">
        <v>26</v>
      </c>
      <c r="B23" s="296" t="s">
        <v>399</v>
      </c>
      <c r="C23" s="296" t="s">
        <v>28</v>
      </c>
      <c r="D23" s="296" t="s">
        <v>383</v>
      </c>
      <c r="E23" s="297" t="s">
        <v>30</v>
      </c>
      <c r="F23" s="298" t="s">
        <v>25</v>
      </c>
      <c r="G23" s="298"/>
      <c r="H23" s="297" t="s">
        <v>24</v>
      </c>
      <c r="I23" s="302">
        <v>174</v>
      </c>
      <c r="J23" s="302"/>
      <c r="K23" s="300" t="s">
        <v>19</v>
      </c>
      <c r="L23" s="301">
        <v>18390.16</v>
      </c>
    </row>
    <row r="24" spans="1:12" ht="51" x14ac:dyDescent="0.3">
      <c r="A24" s="295" t="s">
        <v>26</v>
      </c>
      <c r="B24" s="296" t="s">
        <v>399</v>
      </c>
      <c r="C24" s="296" t="s">
        <v>28</v>
      </c>
      <c r="D24" s="296" t="s">
        <v>398</v>
      </c>
      <c r="E24" s="297" t="s">
        <v>30</v>
      </c>
      <c r="F24" s="298" t="s">
        <v>25</v>
      </c>
      <c r="G24" s="298"/>
      <c r="H24" s="297" t="s">
        <v>24</v>
      </c>
      <c r="I24" s="299">
        <v>2374.16</v>
      </c>
      <c r="J24" s="299"/>
      <c r="K24" s="300" t="s">
        <v>19</v>
      </c>
      <c r="L24" s="301">
        <v>16016</v>
      </c>
    </row>
    <row r="25" spans="1:12" ht="51" x14ac:dyDescent="0.3">
      <c r="A25" s="295" t="s">
        <v>26</v>
      </c>
      <c r="B25" s="296" t="s">
        <v>399</v>
      </c>
      <c r="C25" s="296" t="s">
        <v>28</v>
      </c>
      <c r="D25" s="296" t="s">
        <v>88</v>
      </c>
      <c r="E25" s="297" t="s">
        <v>30</v>
      </c>
      <c r="F25" s="298" t="s">
        <v>25</v>
      </c>
      <c r="G25" s="298"/>
      <c r="H25" s="297" t="s">
        <v>24</v>
      </c>
      <c r="I25" s="299">
        <v>1263.4000000000001</v>
      </c>
      <c r="J25" s="299"/>
      <c r="K25" s="300" t="s">
        <v>19</v>
      </c>
      <c r="L25" s="301">
        <v>14752.6</v>
      </c>
    </row>
    <row r="26" spans="1:12" ht="51" x14ac:dyDescent="0.3">
      <c r="A26" s="295" t="s">
        <v>26</v>
      </c>
      <c r="B26" s="296" t="s">
        <v>399</v>
      </c>
      <c r="C26" s="296" t="s">
        <v>28</v>
      </c>
      <c r="D26" s="296" t="s">
        <v>87</v>
      </c>
      <c r="E26" s="297" t="s">
        <v>30</v>
      </c>
      <c r="F26" s="298" t="s">
        <v>25</v>
      </c>
      <c r="G26" s="298"/>
      <c r="H26" s="297" t="s">
        <v>24</v>
      </c>
      <c r="I26" s="302">
        <v>687.6</v>
      </c>
      <c r="J26" s="302"/>
      <c r="K26" s="300" t="s">
        <v>19</v>
      </c>
      <c r="L26" s="301">
        <v>14065</v>
      </c>
    </row>
    <row r="27" spans="1:12" ht="51" x14ac:dyDescent="0.3">
      <c r="A27" s="295" t="s">
        <v>50</v>
      </c>
      <c r="B27" s="296" t="s">
        <v>400</v>
      </c>
      <c r="C27" s="296" t="s">
        <v>28</v>
      </c>
      <c r="D27" s="296" t="s">
        <v>376</v>
      </c>
      <c r="E27" s="297" t="s">
        <v>30</v>
      </c>
      <c r="F27" s="298" t="s">
        <v>25</v>
      </c>
      <c r="G27" s="298"/>
      <c r="H27" s="297" t="s">
        <v>24</v>
      </c>
      <c r="I27" s="299">
        <v>1353</v>
      </c>
      <c r="J27" s="299"/>
      <c r="K27" s="300" t="s">
        <v>19</v>
      </c>
      <c r="L27" s="301">
        <v>12712</v>
      </c>
    </row>
    <row r="28" spans="1:12" ht="51" x14ac:dyDescent="0.3">
      <c r="A28" s="295" t="s">
        <v>50</v>
      </c>
      <c r="B28" s="296" t="s">
        <v>400</v>
      </c>
      <c r="C28" s="296" t="s">
        <v>28</v>
      </c>
      <c r="D28" s="296" t="s">
        <v>401</v>
      </c>
      <c r="E28" s="297" t="s">
        <v>30</v>
      </c>
      <c r="F28" s="298" t="s">
        <v>25</v>
      </c>
      <c r="G28" s="298"/>
      <c r="H28" s="297" t="s">
        <v>24</v>
      </c>
      <c r="I28" s="302">
        <v>697</v>
      </c>
      <c r="J28" s="302"/>
      <c r="K28" s="300" t="s">
        <v>19</v>
      </c>
      <c r="L28" s="301">
        <v>12015</v>
      </c>
    </row>
    <row r="29" spans="1:12" ht="51" hidden="1" x14ac:dyDescent="0.3">
      <c r="A29" s="295" t="s">
        <v>50</v>
      </c>
      <c r="B29" s="296" t="s">
        <v>239</v>
      </c>
      <c r="C29" s="296" t="s">
        <v>240</v>
      </c>
      <c r="D29" s="296" t="s">
        <v>208</v>
      </c>
      <c r="E29" s="297" t="s">
        <v>24</v>
      </c>
      <c r="F29" s="303">
        <v>996.75</v>
      </c>
      <c r="G29" s="303"/>
      <c r="H29" s="297" t="s">
        <v>24</v>
      </c>
      <c r="I29" s="304" t="s">
        <v>25</v>
      </c>
      <c r="J29" s="304"/>
      <c r="K29" s="300" t="s">
        <v>19</v>
      </c>
      <c r="L29" s="301">
        <v>13011.75</v>
      </c>
    </row>
    <row r="30" spans="1:12" ht="51" hidden="1" x14ac:dyDescent="0.3">
      <c r="A30" s="295" t="s">
        <v>50</v>
      </c>
      <c r="B30" s="296" t="s">
        <v>239</v>
      </c>
      <c r="C30" s="296" t="s">
        <v>241</v>
      </c>
      <c r="D30" s="296" t="s">
        <v>217</v>
      </c>
      <c r="E30" s="297" t="s">
        <v>24</v>
      </c>
      <c r="F30" s="303">
        <v>400</v>
      </c>
      <c r="G30" s="303"/>
      <c r="H30" s="297" t="s">
        <v>24</v>
      </c>
      <c r="I30" s="304" t="s">
        <v>25</v>
      </c>
      <c r="J30" s="304"/>
      <c r="K30" s="300" t="s">
        <v>19</v>
      </c>
      <c r="L30" s="301">
        <v>13411.75</v>
      </c>
    </row>
    <row r="31" spans="1:12" ht="51" x14ac:dyDescent="0.3">
      <c r="A31" s="295" t="s">
        <v>50</v>
      </c>
      <c r="B31" s="296" t="s">
        <v>402</v>
      </c>
      <c r="C31" s="296" t="s">
        <v>28</v>
      </c>
      <c r="D31" s="296" t="s">
        <v>241</v>
      </c>
      <c r="E31" s="297" t="s">
        <v>30</v>
      </c>
      <c r="F31" s="298" t="s">
        <v>25</v>
      </c>
      <c r="G31" s="298"/>
      <c r="H31" s="297" t="s">
        <v>24</v>
      </c>
      <c r="I31" s="302">
        <v>400</v>
      </c>
      <c r="J31" s="302"/>
      <c r="K31" s="300" t="s">
        <v>19</v>
      </c>
      <c r="L31" s="301">
        <v>13011.75</v>
      </c>
    </row>
    <row r="32" spans="1:12" ht="51" x14ac:dyDescent="0.3">
      <c r="A32" s="295" t="s">
        <v>50</v>
      </c>
      <c r="B32" s="296" t="s">
        <v>402</v>
      </c>
      <c r="C32" s="296" t="s">
        <v>28</v>
      </c>
      <c r="D32" s="296" t="s">
        <v>240</v>
      </c>
      <c r="E32" s="297" t="s">
        <v>30</v>
      </c>
      <c r="F32" s="298" t="s">
        <v>25</v>
      </c>
      <c r="G32" s="298"/>
      <c r="H32" s="297" t="s">
        <v>24</v>
      </c>
      <c r="I32" s="302">
        <v>996.75</v>
      </c>
      <c r="J32" s="302"/>
      <c r="K32" s="300" t="s">
        <v>19</v>
      </c>
      <c r="L32" s="301">
        <v>12015</v>
      </c>
    </row>
    <row r="33" spans="1:12" ht="51" x14ac:dyDescent="0.3">
      <c r="A33" s="295" t="s">
        <v>50</v>
      </c>
      <c r="B33" s="296" t="s">
        <v>402</v>
      </c>
      <c r="C33" s="296" t="s">
        <v>28</v>
      </c>
      <c r="D33" s="296" t="s">
        <v>401</v>
      </c>
      <c r="E33" s="297" t="s">
        <v>30</v>
      </c>
      <c r="F33" s="298" t="s">
        <v>25</v>
      </c>
      <c r="G33" s="298"/>
      <c r="H33" s="297" t="s">
        <v>24</v>
      </c>
      <c r="I33" s="299">
        <v>1353</v>
      </c>
      <c r="J33" s="299"/>
      <c r="K33" s="300" t="s">
        <v>19</v>
      </c>
      <c r="L33" s="301">
        <v>10662</v>
      </c>
    </row>
    <row r="34" spans="1:12" hidden="1" x14ac:dyDescent="0.3">
      <c r="A34" s="306" t="s">
        <v>59</v>
      </c>
      <c r="B34" s="306"/>
      <c r="C34" s="306"/>
      <c r="D34" s="306"/>
      <c r="E34" s="307">
        <v>15637.25</v>
      </c>
      <c r="F34" s="307"/>
      <c r="G34" s="307"/>
      <c r="H34" s="307">
        <v>23913.15</v>
      </c>
      <c r="I34" s="307"/>
      <c r="J34" s="307"/>
      <c r="K34" s="308" t="s">
        <v>19</v>
      </c>
      <c r="L34" s="309">
        <v>10662</v>
      </c>
    </row>
    <row r="36" spans="1:12" x14ac:dyDescent="0.3">
      <c r="J36" s="310">
        <f>SUBTOTAL(9,I3:J33)</f>
        <v>23913.149999999998</v>
      </c>
    </row>
  </sheetData>
  <autoFilter ref="A1:L34" xr:uid="{89C73840-EFF7-420E-9954-6BF4B41804AF}">
    <filterColumn colId="1">
      <filters>
        <filter val="Передача малоцінних активів в експлуатацію ІБ00-000147 від 03.04.2025 17:41:34_x000a_Списание стоимости малоценных активов"/>
        <filter val="Передача малоцінних активів в експлуатацію ІБ00-000154 від 03.04.2025 17:41:53_x000a_Списание стоимости малоценных активов"/>
        <filter val="Передача малоцінних активів в експлуатацію ІБ00-000174 від 29.04.2025 14:58:13_x000a_Списание стоимости малоценных активов"/>
        <filter val="Передача малоцінних активів в експлуатацію ІБ00-000175 від 29.04.2025 15:08:52_x000a_Списание стоимости малоценных активов"/>
        <filter val="Передача малоцінних активів в експлуатацію ІБ00-000176 від 29.04.2025 15:48:00_x000a_Списание стоимости малоценных активов"/>
        <filter val="Передача малоцінних активів в експлуатацію ІБ00-000209 від 30.04.2025 10:00:00_x000a_Списание стоимости малоценных активов"/>
        <filter val="Передача малоцінних активів в експлуатацію ІБ00-000214 від 30.04.2025 20:00:00_x000a_Списание стоимости малоценных активов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74">
    <mergeCell ref="A34:D34"/>
    <mergeCell ref="E34:G34"/>
    <mergeCell ref="H34:J34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Свод</vt:lpstr>
      <vt:lpstr>АПК (Глобине)</vt:lpstr>
      <vt:lpstr>Генплан митний склад</vt:lpstr>
      <vt:lpstr>Глобине-2</vt:lpstr>
      <vt:lpstr>Котельна (Глобине)</vt:lpstr>
      <vt:lpstr>Насосна Градирня</vt:lpstr>
      <vt:lpstr>Підготовчі роботи</vt:lpstr>
      <vt:lpstr>Пожежений резервуар</vt:lpstr>
      <vt:lpstr>Пункт фасування</vt:lpstr>
      <vt:lpstr>зберігання розчинника</vt:lpstr>
      <vt:lpstr>СПК (Глобине)</vt:lpstr>
      <vt:lpstr>Цех екстракції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2015-06-05T18:17:20Z</dcterms:created>
  <dcterms:modified xsi:type="dcterms:W3CDTF">2025-05-21T14:08:07Z</dcterms:modified>
</cp:coreProperties>
</file>
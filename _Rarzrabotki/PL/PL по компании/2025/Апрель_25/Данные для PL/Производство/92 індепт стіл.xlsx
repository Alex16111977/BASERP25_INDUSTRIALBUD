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Общая\PL\PL по компании\2025\Аперель_25\Данные для PL\Производство\"/>
    </mc:Choice>
  </mc:AlternateContent>
  <xr:revisionPtr revIDLastSave="0" documentId="13_ncr:1_{978F2BF6-0CE7-4081-9564-2BAA82B5C29F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47" i="1" l="1"/>
  <c r="N41" i="1"/>
  <c r="N21" i="1"/>
  <c r="N13" i="1"/>
</calcChain>
</file>

<file path=xl/sharedStrings.xml><?xml version="1.0" encoding="utf-8"?>
<sst xmlns="http://schemas.openxmlformats.org/spreadsheetml/2006/main" count="315" uniqueCount="97">
  <si>
    <t>ТОВ "ІНДЕПТ СТІЛ"</t>
  </si>
  <si>
    <t>Картка рахунку 92 за Квітень 2025 р.</t>
  </si>
  <si>
    <t>Виведені дані:</t>
  </si>
  <si>
    <t>БО (дані бухгалтерського обліку)</t>
  </si>
  <si>
    <t>Відбір:</t>
  </si>
  <si>
    <t>Підрозділи Заповнено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</si>
  <si>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</si>
  <si>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</si>
  <si>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</si>
  <si>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</si>
  <si>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</si>
  <si>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</si>
  <si>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</si>
  <si>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</si>
  <si>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</si>
  <si>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01.04.2025</t>
  </si>
  <si>
    <t>Надходження товарів і послуг СТ00-000550 від 01.04.2025 10:00:00
Услуги</t>
  </si>
  <si>
    <t>&lt;...&gt;
Виробничий (Цех металоконструкцій)
Другие затраты общехозяйственного назначения</t>
  </si>
  <si>
    <t>НОВА ПОШТА
825920 от 20.09.2024
Рахунок на оплату постачальника СТ00-000247 від 31.03.2025 23:59:59</t>
  </si>
  <si>
    <t>92</t>
  </si>
  <si>
    <t>631</t>
  </si>
  <si>
    <t xml:space="preserve"> </t>
  </si>
  <si>
    <t>Надходження товарів і послуг СТ00-000885 від 01.04.2025 23:11:27
Услуги (Зачет аванса поставщику)</t>
  </si>
  <si>
    <t>&lt;...&gt;
Виробничий (Цех металоконструкцій)
Загальні корпоративні витрати</t>
  </si>
  <si>
    <t>МЕРЕЖА ПП
111
Рахунок на оплату постачальника СТ00-000185 від 01.03.2025 18:15:04</t>
  </si>
  <si>
    <t>09.04.2025</t>
  </si>
  <si>
    <t>Списання з банківського рахунку 00000025090 від 09.04.2025 18:47:40
Прочее списание денежных средств</t>
  </si>
  <si>
    <t>&lt;...&gt;
Адміністративний відділ
Плата за расчетно-кассовое обслуживание и другие услуги банков</t>
  </si>
  <si>
    <t>ІндептСтіл в АТ ОТП Банк
Комиссия банков и др.платежи по РКО</t>
  </si>
  <si>
    <t>311</t>
  </si>
  <si>
    <t>10.04.2025</t>
  </si>
  <si>
    <t>Списання з банківського рахунку 00000025194 від 10.04.2025 17:15:29
Прочее списание денежных средств</t>
  </si>
  <si>
    <t>Надходження товарів і послуг СТ00-000696 від 10.04.2025 22:56:59
Услуги</t>
  </si>
  <si>
    <t>НОВА ПОШТА
825920 от 20.09.2024
Рахунок на оплату постачальника СТ00-000297 від 10.04.2025 22:56:55</t>
  </si>
  <si>
    <t>15.04.2025</t>
  </si>
  <si>
    <t>Списання з банківського рахунку 00000025439 від 15.04.2025 00:00:00
Прочее списание денежных средств</t>
  </si>
  <si>
    <t>ІндептСтіл в АТ ОТП Банк
&lt;...&gt;</t>
  </si>
  <si>
    <t>Списання з банківського рахунку 00000025444 від 15.04.2025 00:00:00
Прочее списание денежных средств</t>
  </si>
  <si>
    <t>17.04.2025</t>
  </si>
  <si>
    <t>Списання з банківського рахунку 00000025655 від 17.04.2025 17:07:03
Прочее списание денежных средств</t>
  </si>
  <si>
    <t>ІндептСтіл в АТ ОТП Банк
Прочие услуги банка</t>
  </si>
  <si>
    <t>Списання з банківського рахунку 00000025656 від 17.04.2025 17:07:17
Прочее списание денежных средств</t>
  </si>
  <si>
    <t>20.04.2025</t>
  </si>
  <si>
    <t>Надходження товарів і послуг СТ00-000775 від 20.04.2025 12:00:01
Услуги</t>
  </si>
  <si>
    <t>НОВА ПОШТА
825920 от 20.09.2024
Рахунок на оплату постачальника СТ00-000317 від 20.04.2025 12:00:00</t>
  </si>
  <si>
    <t>22.04.2025</t>
  </si>
  <si>
    <t>Надходження товарів і послуг СТ00-000812 від 22.04.2025 00:00:00
Услуги</t>
  </si>
  <si>
    <t>&lt;...&gt;
Адміністративний відділ
Загальні корпоративні витрати</t>
  </si>
  <si>
    <t>Центр сертифiкацiї ключiв "Україна" ТОВ
111 
Рахунок на оплату постачальника СТ00-000313 від 15.04.2025 18:31:00</t>
  </si>
  <si>
    <t>30.04.2025</t>
  </si>
  <si>
    <t>Списання з банківського рахунку 00000026393 від 30.04.2025 00:00:00
Прочее списание денежных средств</t>
  </si>
  <si>
    <t>Зарплата (із зовнішніх програм) СТ00-000006 від 30.04.2025 13:05:00
Отражение зарплаты в учете</t>
  </si>
  <si>
    <t>&lt;...&gt;
Адміністративний відділ
Витрати на оплату праці апарату управління підприємством (адміністративні)</t>
  </si>
  <si>
    <t>Аксенчіков Сергій Олександрович</t>
  </si>
  <si>
    <t>665</t>
  </si>
  <si>
    <t>ЕСВ ФОТ (работники)
Начисление ЕСВ работодателями (22 %)</t>
  </si>
  <si>
    <t>651</t>
  </si>
  <si>
    <t>ЕСВ ФОТ (инвалиды)
Начисление ЕСВ работодателями инвалидам (8,41 %)</t>
  </si>
  <si>
    <t>Бреус Віталій Григорович</t>
  </si>
  <si>
    <t>661</t>
  </si>
  <si>
    <t>Стецюк Тетяна Леонідівна</t>
  </si>
  <si>
    <t>Стонога Олександр Сергійович</t>
  </si>
  <si>
    <t>Парнєва Олена Вікторівна</t>
  </si>
  <si>
    <t>Чуб Владислав Володимирович</t>
  </si>
  <si>
    <t>Шишкіна Людмила Григорівна</t>
  </si>
  <si>
    <t>Грушко Лариса Вікторівна</t>
  </si>
  <si>
    <t>Воронцова Ольга Марківна</t>
  </si>
  <si>
    <t>Пономаренко Олександр Вікторович</t>
  </si>
  <si>
    <t>Скрипник Сергій Павлович</t>
  </si>
  <si>
    <t>Гриценко Олександр Вікторович</t>
  </si>
  <si>
    <t>Бутенко Матвій Анатолійович</t>
  </si>
  <si>
    <t>Надходження товарів і послуг СТ00-000896 від 30.04.2025 17:00:00
Услуги</t>
  </si>
  <si>
    <t>НОВА ПОШТА
825920 от 20.09.2024
Рахунок на оплату постачальника СТ00-000346 від 30.04.2025 23:59:20</t>
  </si>
  <si>
    <t>Списання товарів СТ00-000065 від 30.04.2025 17:00:00
Списаны ТМЦ</t>
  </si>
  <si>
    <t>Обл. НДС
Вода питна
Надходження товарів і послуг СТ00-000712 від 08.04.2025 23:12:00
СТІЛ Основной склад</t>
  </si>
  <si>
    <t>209</t>
  </si>
  <si>
    <t>Обл. НДС
Вода питна
Надходження товарів і послуг СТ00-000711 від 16.04.2025 17:38:11
СТІЛ Основной склад</t>
  </si>
  <si>
    <t>Обл. НДС
Вода питна
Надходження товарів і послуг СТ00-000773 від 24.04.2025 12:24:15
СТІЛ Основной склад</t>
  </si>
  <si>
    <t>Списання з банківського рахунку 00000026253 від 30.04.2025 18:06:20
Прочее списание денежных средств</t>
  </si>
  <si>
    <t>Списання з банківського рахунку 00000026260 від 30.04.2025 18:12:28
Прочее списание денежных средств</t>
  </si>
  <si>
    <t>Списання з банківського рахунку 00000026254 від 30.04.2025 18:14:38
Прочее списание денежных средств</t>
  </si>
  <si>
    <t>Надходження товарів і послуг СТ00-000813 від 30.04.2025 18:54:58
Услуги</t>
  </si>
  <si>
    <t>Пікульський М.М. ФОП
рахунки
Рахунок на оплату постачальника СТ00-000329 від 30.04.2025 18:54:57</t>
  </si>
  <si>
    <t>Надходження товарів і послуг СТ00-000871 від 30.04.2025 23:59:18
Услуги (Зачет аванса поставщику)</t>
  </si>
  <si>
    <t>&lt;...&gt;
Виробничий (Цех металоконструкцій)
Інші витрати господарської діяльності</t>
  </si>
  <si>
    <t>ЄМАРКЕТ УКРАЇНА ТОВ
Договір
Рахунок на оплату постачальника СТ00-000166 від 28.02.2025 23:59:08</t>
  </si>
  <si>
    <t>Надходження товарів і послуг СТ00-000872 від 30.04.2025 23:59:19
Услуги (Зачет аванса поставщику)</t>
  </si>
  <si>
    <t>ЄМАРКЕТ УКРАЇНА ТОВ
Договір
Рахунок на оплату постачальника СТ00-000308 від 11.04.2025 20:52:06</t>
  </si>
  <si>
    <t>Надходження товарів і послуг СТ00-000884 від 30.04.2025 23:59:41
Услуги</t>
  </si>
  <si>
    <t>ЛАЙФСЕЛЛ ТОВ
Договір№  205870084 від 24.01.2025_РАХ
Рахунок на оплату постачальника СТ00-000355 від 30.04.2025 23:59:40</t>
  </si>
  <si>
    <t>Надходження товарів і послуг СТ00-000886 від 30.04.2025 23:59:42
Услуги (Зачет аванса поставщику)</t>
  </si>
  <si>
    <t>МЕРЕЖА ПП
111
Рахунок на оплату постачальника СТ00-000316 від 01.04.2025 23:11:02</t>
  </si>
  <si>
    <t>Обороти за період та сальдо на кінець</t>
  </si>
  <si>
    <t>лютий</t>
  </si>
  <si>
    <t>ключ</t>
  </si>
  <si>
    <t>без пдв</t>
  </si>
  <si>
    <t>Обслуговування комп’ютерної техніки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</si>
</sst>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b/>
      <sz val="10"/>
      <color rgb="FF003F2F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center" vertical="top"/>
    </xf>
    <xf numFmtId="0" fontId="3" fillId="0" borderId="15" xfId="0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5" fillId="3" borderId="13" xfId="0" applyFont="1" applyFill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4" fontId="3" fillId="0" borderId="12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2" fontId="3" fillId="0" borderId="12" xfId="0" applyNumberFormat="1" applyFont="1" applyBorder="1" applyAlignment="1">
      <alignment horizontal="right" vertical="top" wrapText="1"/>
    </xf>
    <xf numFmtId="0" fontId="5" fillId="3" borderId="12" xfId="0" applyFont="1" applyFill="1" applyBorder="1" applyAlignment="1">
      <alignment horizontal="left" vertical="top"/>
    </xf>
    <xf numFmtId="4" fontId="5" fillId="3" borderId="12" xfId="0" applyNumberFormat="1" applyFont="1" applyFill="1" applyBorder="1" applyAlignment="1">
      <alignment horizontal="right" vertical="top" wrapText="1"/>
    </xf>
    <xf numFmtId="2" fontId="5" fillId="3" borderId="12" xfId="0" applyNumberFormat="1" applyFont="1" applyFill="1" applyBorder="1" applyAlignment="1">
      <alignment horizontal="right" vertical="top" wrapText="1"/>
    </xf>
    <xf numFmtId="2" fontId="5" fillId="3" borderId="14" xfId="0" applyNumberFormat="1" applyFont="1" applyFill="1" applyBorder="1" applyAlignment="1">
      <alignment horizontal="right" vertical="top" wrapText="1"/>
    </xf>
    <xf numFmtId="0" fontId="4" fillId="3" borderId="12" xfId="0" applyFont="1" applyFill="1" applyBorder="1" applyAlignment="1">
      <alignment vertical="top"/>
    </xf>
    <xf numFmtId="2" fontId="4" fillId="3" borderId="14" xfId="0" applyNumberFormat="1" applyFont="1" applyFill="1" applyBorder="1" applyAlignment="1">
      <alignment vertical="top" wrapText="1"/>
    </xf>
    <xf numFmtId="2" fontId="3" fillId="0" borderId="16" xfId="0" applyNumberFormat="1" applyFont="1" applyBorder="1" applyAlignment="1">
      <alignment horizontal="right" vertical="top" wrapText="1"/>
    </xf>
    <xf numFmtId="4" fontId="3" fillId="0" borderId="16" xfId="0" applyNumberFormat="1" applyFont="1" applyBorder="1" applyAlignment="1">
      <alignment horizontal="right" vertical="top" wrapText="1"/>
    </xf>
    <xf numFmtId="0" fontId="3" fillId="0" borderId="0" xfId="0" applyFont="1"/>
    <xf numFmtId="2" fontId="3" fillId="4" borderId="12" xfId="0" applyNumberFormat="1" applyFont="1" applyFill="1" applyBorder="1" applyAlignment="1">
      <alignment horizontal="right" vertical="top" wrapText="1"/>
    </xf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S53"/>
  <sheetViews>
    <sheetView tabSelected="1" topLeftCell="A31" workbookViewId="0">
      <selection activeCell="T16" sqref="T16"/>
    </sheetView>
  </sheetViews>
  <sheetFormatPr defaultColWidth="10.42578125" defaultRowHeight="13.8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19" ht="13.8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9" ht="13.8" customHeigh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9" s="1" customFormat="1" ht="13.8" customHeight="1" x14ac:dyDescent="0.2"/>
    <row r="4" spans="1:19" ht="13.8" customHeight="1" x14ac:dyDescent="0.2">
      <c r="A4" s="13" t="s">
        <v>2</v>
      </c>
      <c r="B4" s="13"/>
      <c r="C4" s="13" t="s">
        <v>3</v>
      </c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9" s="1" customFormat="1" ht="13.8" customHeight="1" x14ac:dyDescent="0.2"/>
    <row r="6" spans="1:19" ht="13.8" customHeight="1" x14ac:dyDescent="0.2">
      <c r="A6" s="13" t="s">
        <v>4</v>
      </c>
      <c r="B6" s="13"/>
      <c r="C6" s="13" t="s">
        <v>5</v>
      </c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9" s="1" customFormat="1" ht="13.8" customHeight="1" x14ac:dyDescent="0.2"/>
    <row r="8" spans="1:19" ht="13.8" customHeight="1" x14ac:dyDescent="0.2">
      <c r="A8" s="14" t="s">
        <v>6</v>
      </c>
      <c r="B8" s="16" t="s">
        <v>7</v>
      </c>
      <c r="C8" s="16"/>
      <c r="D8" s="16" t="s">
        <v>8</v>
      </c>
      <c r="E8" s="19" t="s">
        <v>9</v>
      </c>
      <c r="F8" s="21" t="s">
        <v>10</v>
      </c>
      <c r="G8" s="21"/>
      <c r="H8" s="21"/>
      <c r="I8" s="22" t="s">
        <v>11</v>
      </c>
      <c r="J8" s="22"/>
      <c r="K8" s="22"/>
      <c r="L8" s="16" t="s">
        <v>12</v>
      </c>
      <c r="M8" s="16"/>
      <c r="N8" s="16"/>
    </row>
    <row r="9" spans="1:19" ht="13.8" customHeight="1" x14ac:dyDescent="0.2">
      <c r="A9" s="15"/>
      <c r="B9" s="15"/>
      <c r="C9" s="17"/>
      <c r="D9" s="18"/>
      <c r="E9" s="20"/>
      <c r="F9" s="2" t="s">
        <v>13</v>
      </c>
      <c r="G9" s="23"/>
      <c r="H9" s="23"/>
      <c r="I9" s="3" t="s">
        <v>13</v>
      </c>
      <c r="J9" s="24"/>
      <c r="K9" s="24"/>
      <c r="L9" s="15"/>
      <c r="M9" s="20"/>
      <c r="N9" s="17"/>
    </row>
    <row r="10" spans="1:19" ht="13.8" customHeight="1" x14ac:dyDescent="0.2">
      <c r="A10" s="33" t="s">
        <v>14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4"/>
      <c r="M10" s="34">
        <v>0</v>
      </c>
      <c r="N10" s="34"/>
    </row>
    <row r="11" spans="1:19" ht="13.8" customHeight="1" outlineLevel="1" x14ac:dyDescent="0.2">
      <c r="A11" s="5" t="s">
        <v>15</v>
      </c>
      <c r="B11" s="25" t="s">
        <v>16</v>
      </c>
      <c r="C11" s="25"/>
      <c r="D11" s="6" t="s">
        <v>17</v>
      </c>
      <c r="E11" s="6" t="s">
        <v>18</v>
      </c>
      <c r="F11" s="5" t="s">
        <v>19</v>
      </c>
      <c r="G11" s="26">
        <v>3581.04</v>
      </c>
      <c r="H11" s="26"/>
      <c r="I11" s="5" t="s">
        <v>20</v>
      </c>
      <c r="J11" s="27" t="s">
        <v>21</v>
      </c>
      <c r="K11" s="27"/>
      <c r="L11" s="7"/>
      <c r="M11" s="8"/>
      <c r="N11" s="9"/>
    </row>
    <row r="12" spans="1:19" ht="13.8" customHeight="1" outlineLevel="1" x14ac:dyDescent="0.2">
      <c r="A12" s="5" t="s">
        <v>15</v>
      </c>
      <c r="B12" s="25" t="s">
        <v>22</v>
      </c>
      <c r="C12" s="25"/>
      <c r="D12" s="6" t="s">
        <v>23</v>
      </c>
      <c r="E12" s="6" t="s">
        <v>24</v>
      </c>
      <c r="F12" s="5" t="s">
        <v>19</v>
      </c>
      <c r="G12" s="28">
        <v>925</v>
      </c>
      <c r="H12" s="28"/>
      <c r="I12" s="5" t="s">
        <v>20</v>
      </c>
      <c r="J12" s="27" t="s">
        <v>21</v>
      </c>
      <c r="K12" s="27"/>
      <c r="L12" s="7"/>
      <c r="M12" s="8"/>
      <c r="N12" s="9" t="s">
        <v>93</v>
      </c>
      <c r="S12" s="39">
        <v>-50</v>
      </c>
    </row>
    <row r="13" spans="1:19" ht="13.8" customHeight="1" outlineLevel="1" x14ac:dyDescent="0.2">
      <c r="A13" s="5" t="s">
        <v>25</v>
      </c>
      <c r="B13" s="25" t="s">
        <v>26</v>
      </c>
      <c r="C13" s="25"/>
      <c r="D13" s="6" t="s">
        <v>27</v>
      </c>
      <c r="E13" s="6" t="s">
        <v>28</v>
      </c>
      <c r="F13" s="5" t="s">
        <v>19</v>
      </c>
      <c r="G13" s="38">
        <v>50</v>
      </c>
      <c r="H13" s="38"/>
      <c r="I13" s="5" t="s">
        <v>29</v>
      </c>
      <c r="J13" s="27" t="s">
        <v>21</v>
      </c>
      <c r="K13" s="27"/>
      <c r="L13" s="7"/>
      <c r="M13" s="8"/>
      <c r="N13" s="35">
        <f>G13+G14+G16+G17+G23+G44+G45+G46</f>
        <v>1908.84</v>
      </c>
      <c r="S13" s="39">
        <v>-116.28</v>
      </c>
    </row>
    <row r="14" spans="1:19" ht="13.8" customHeight="1" outlineLevel="1" x14ac:dyDescent="0.2">
      <c r="A14" s="5" t="s">
        <v>30</v>
      </c>
      <c r="B14" s="25" t="s">
        <v>31</v>
      </c>
      <c r="C14" s="25"/>
      <c r="D14" s="6" t="s">
        <v>27</v>
      </c>
      <c r="E14" s="6" t="s">
        <v>28</v>
      </c>
      <c r="F14" s="5" t="s">
        <v>19</v>
      </c>
      <c r="G14" s="38">
        <v>116.28</v>
      </c>
      <c r="H14" s="38"/>
      <c r="I14" s="5" t="s">
        <v>29</v>
      </c>
      <c r="J14" s="27" t="s">
        <v>21</v>
      </c>
      <c r="K14" s="27"/>
      <c r="L14" s="7"/>
      <c r="M14" s="8"/>
      <c r="N14" s="9"/>
      <c r="S14" s="39">
        <v>-5.14</v>
      </c>
    </row>
    <row r="15" spans="1:19" ht="13.8" customHeight="1" outlineLevel="1" x14ac:dyDescent="0.2">
      <c r="A15" s="5" t="s">
        <v>30</v>
      </c>
      <c r="B15" s="25" t="s">
        <v>32</v>
      </c>
      <c r="C15" s="25"/>
      <c r="D15" s="6" t="s">
        <v>17</v>
      </c>
      <c r="E15" s="6" t="s">
        <v>33</v>
      </c>
      <c r="F15" s="5" t="s">
        <v>19</v>
      </c>
      <c r="G15" s="26">
        <v>1774.29</v>
      </c>
      <c r="H15" s="26"/>
      <c r="I15" s="5" t="s">
        <v>20</v>
      </c>
      <c r="J15" s="27" t="s">
        <v>21</v>
      </c>
      <c r="K15" s="27"/>
      <c r="L15" s="7"/>
      <c r="M15" s="8"/>
      <c r="N15" s="9"/>
      <c r="S15" s="39">
        <v>-499.09</v>
      </c>
    </row>
    <row r="16" spans="1:19" ht="13.8" customHeight="1" outlineLevel="1" x14ac:dyDescent="0.2">
      <c r="A16" s="5" t="s">
        <v>34</v>
      </c>
      <c r="B16" s="25" t="s">
        <v>35</v>
      </c>
      <c r="C16" s="25"/>
      <c r="D16" s="6" t="s">
        <v>27</v>
      </c>
      <c r="E16" s="6" t="s">
        <v>36</v>
      </c>
      <c r="F16" s="5" t="s">
        <v>19</v>
      </c>
      <c r="G16" s="38">
        <v>5.14</v>
      </c>
      <c r="H16" s="38"/>
      <c r="I16" s="5" t="s">
        <v>29</v>
      </c>
      <c r="J16" s="27" t="s">
        <v>21</v>
      </c>
      <c r="K16" s="27"/>
      <c r="L16" s="7"/>
      <c r="M16" s="8"/>
      <c r="N16" s="9"/>
      <c r="S16">
        <v>-12</v>
      </c>
    </row>
    <row r="17" spans="1:19" ht="13.8" customHeight="1" outlineLevel="1" x14ac:dyDescent="0.2">
      <c r="A17" s="5" t="s">
        <v>34</v>
      </c>
      <c r="B17" s="25" t="s">
        <v>37</v>
      </c>
      <c r="C17" s="25"/>
      <c r="D17" s="6" t="s">
        <v>27</v>
      </c>
      <c r="E17" s="6" t="s">
        <v>36</v>
      </c>
      <c r="F17" s="5" t="s">
        <v>19</v>
      </c>
      <c r="G17" s="38">
        <v>499.09</v>
      </c>
      <c r="H17" s="38"/>
      <c r="I17" s="5" t="s">
        <v>29</v>
      </c>
      <c r="J17" s="27" t="s">
        <v>21</v>
      </c>
      <c r="K17" s="27"/>
      <c r="L17" s="7"/>
      <c r="M17" s="8"/>
      <c r="N17" s="9"/>
      <c r="S17">
        <v>-24</v>
      </c>
    </row>
    <row r="18" spans="1:19" ht="13.8" customHeight="1" outlineLevel="1" x14ac:dyDescent="0.2">
      <c r="A18" s="5" t="s">
        <v>38</v>
      </c>
      <c r="B18" s="25" t="s">
        <v>39</v>
      </c>
      <c r="C18" s="25"/>
      <c r="D18" s="6" t="s">
        <v>27</v>
      </c>
      <c r="E18" s="6" t="s">
        <v>40</v>
      </c>
      <c r="F18" s="5" t="s">
        <v>19</v>
      </c>
      <c r="G18" s="26">
        <v>1500</v>
      </c>
      <c r="H18" s="26"/>
      <c r="I18" s="5" t="s">
        <v>29</v>
      </c>
      <c r="J18" s="27" t="s">
        <v>21</v>
      </c>
      <c r="K18" s="27"/>
      <c r="L18" s="7"/>
      <c r="M18" s="8"/>
      <c r="N18" s="9"/>
      <c r="S18">
        <v>-12</v>
      </c>
    </row>
    <row r="19" spans="1:19" ht="13.8" customHeight="1" outlineLevel="1" x14ac:dyDescent="0.2">
      <c r="A19" s="5" t="s">
        <v>38</v>
      </c>
      <c r="B19" s="25" t="s">
        <v>41</v>
      </c>
      <c r="C19" s="25"/>
      <c r="D19" s="6" t="s">
        <v>27</v>
      </c>
      <c r="E19" s="6" t="s">
        <v>40</v>
      </c>
      <c r="F19" s="5" t="s">
        <v>19</v>
      </c>
      <c r="G19" s="26">
        <v>6000</v>
      </c>
      <c r="H19" s="26"/>
      <c r="I19" s="5" t="s">
        <v>29</v>
      </c>
      <c r="J19" s="27" t="s">
        <v>21</v>
      </c>
      <c r="K19" s="27"/>
      <c r="L19" s="7"/>
      <c r="M19" s="8"/>
      <c r="N19" s="9"/>
      <c r="S19">
        <v>-700.56</v>
      </c>
    </row>
    <row r="20" spans="1:19" ht="13.8" customHeight="1" outlineLevel="1" x14ac:dyDescent="0.2">
      <c r="A20" s="5" t="s">
        <v>42</v>
      </c>
      <c r="B20" s="25" t="s">
        <v>43</v>
      </c>
      <c r="C20" s="25"/>
      <c r="D20" s="6" t="s">
        <v>17</v>
      </c>
      <c r="E20" s="6" t="s">
        <v>44</v>
      </c>
      <c r="F20" s="5" t="s">
        <v>19</v>
      </c>
      <c r="G20" s="26">
        <v>5035.42</v>
      </c>
      <c r="H20" s="26"/>
      <c r="I20" s="5" t="s">
        <v>20</v>
      </c>
      <c r="J20" s="27" t="s">
        <v>21</v>
      </c>
      <c r="K20" s="27"/>
      <c r="L20" s="7"/>
      <c r="M20" s="8"/>
      <c r="N20" s="9"/>
      <c r="S20">
        <v>-15</v>
      </c>
    </row>
    <row r="21" spans="1:19" ht="13.8" customHeight="1" outlineLevel="1" x14ac:dyDescent="0.2">
      <c r="A21" s="5" t="s">
        <v>45</v>
      </c>
      <c r="B21" s="25" t="s">
        <v>46</v>
      </c>
      <c r="C21" s="25"/>
      <c r="D21" s="6" t="s">
        <v>47</v>
      </c>
      <c r="E21" s="6" t="s">
        <v>48</v>
      </c>
      <c r="F21" s="5" t="s">
        <v>19</v>
      </c>
      <c r="G21" s="26">
        <v>1140</v>
      </c>
      <c r="H21" s="26"/>
      <c r="I21" s="5" t="s">
        <v>20</v>
      </c>
      <c r="J21" s="27" t="s">
        <v>21</v>
      </c>
      <c r="K21" s="27"/>
      <c r="L21" s="7"/>
      <c r="M21" s="8"/>
      <c r="N21" s="36">
        <f>G21+G22</f>
        <v>1155</v>
      </c>
      <c r="O21" s="37" t="s">
        <v>94</v>
      </c>
      <c r="S21" s="39">
        <v>-3.68</v>
      </c>
    </row>
    <row r="22" spans="1:19" ht="13.8" customHeight="1" outlineLevel="1" x14ac:dyDescent="0.2">
      <c r="A22" s="5" t="s">
        <v>45</v>
      </c>
      <c r="B22" s="25" t="s">
        <v>46</v>
      </c>
      <c r="C22" s="25"/>
      <c r="D22" s="6" t="s">
        <v>47</v>
      </c>
      <c r="E22" s="6" t="s">
        <v>48</v>
      </c>
      <c r="F22" s="5" t="s">
        <v>19</v>
      </c>
      <c r="G22" s="28">
        <v>15</v>
      </c>
      <c r="H22" s="28"/>
      <c r="I22" s="5" t="s">
        <v>20</v>
      </c>
      <c r="J22" s="27" t="s">
        <v>21</v>
      </c>
      <c r="K22" s="27"/>
      <c r="L22" s="7"/>
      <c r="M22" s="8"/>
      <c r="N22" s="9"/>
      <c r="S22" s="39">
        <v>-528.30999999999995</v>
      </c>
    </row>
    <row r="23" spans="1:19" ht="13.8" customHeight="1" outlineLevel="1" x14ac:dyDescent="0.2">
      <c r="A23" s="5" t="s">
        <v>49</v>
      </c>
      <c r="B23" s="25" t="s">
        <v>50</v>
      </c>
      <c r="C23" s="25"/>
      <c r="D23" s="6" t="s">
        <v>27</v>
      </c>
      <c r="E23" s="6" t="s">
        <v>28</v>
      </c>
      <c r="F23" s="5" t="s">
        <v>19</v>
      </c>
      <c r="G23" s="28">
        <v>700.56</v>
      </c>
      <c r="H23" s="28"/>
      <c r="I23" s="5" t="s">
        <v>29</v>
      </c>
      <c r="J23" s="27" t="s">
        <v>21</v>
      </c>
      <c r="K23" s="27"/>
      <c r="L23" s="7"/>
      <c r="M23" s="8"/>
      <c r="N23" s="9"/>
      <c r="S23" s="39">
        <v>-5.78</v>
      </c>
    </row>
    <row r="24" spans="1:19" ht="13.8" customHeight="1" outlineLevel="1" x14ac:dyDescent="0.2">
      <c r="A24" s="5" t="s">
        <v>49</v>
      </c>
      <c r="B24" s="25" t="s">
        <v>51</v>
      </c>
      <c r="C24" s="25"/>
      <c r="D24" s="6" t="s">
        <v>52</v>
      </c>
      <c r="E24" s="6" t="s">
        <v>53</v>
      </c>
      <c r="F24" s="5" t="s">
        <v>19</v>
      </c>
      <c r="G24" s="26">
        <v>2500</v>
      </c>
      <c r="H24" s="26"/>
      <c r="I24" s="5" t="s">
        <v>54</v>
      </c>
      <c r="J24" s="27" t="s">
        <v>21</v>
      </c>
      <c r="K24" s="27"/>
      <c r="L24" s="7"/>
      <c r="M24" s="8"/>
      <c r="N24" s="9"/>
    </row>
    <row r="25" spans="1:19" ht="13.8" customHeight="1" outlineLevel="1" x14ac:dyDescent="0.2">
      <c r="A25" s="5" t="s">
        <v>49</v>
      </c>
      <c r="B25" s="25" t="s">
        <v>51</v>
      </c>
      <c r="C25" s="25"/>
      <c r="D25" s="6" t="s">
        <v>52</v>
      </c>
      <c r="E25" s="6" t="s">
        <v>55</v>
      </c>
      <c r="F25" s="5" t="s">
        <v>19</v>
      </c>
      <c r="G25" s="26">
        <v>22400</v>
      </c>
      <c r="H25" s="26"/>
      <c r="I25" s="5" t="s">
        <v>56</v>
      </c>
      <c r="J25" s="27" t="s">
        <v>21</v>
      </c>
      <c r="K25" s="27"/>
      <c r="L25" s="7"/>
      <c r="M25" s="8"/>
      <c r="N25" s="9"/>
    </row>
    <row r="26" spans="1:19" ht="13.8" customHeight="1" outlineLevel="1" x14ac:dyDescent="0.2">
      <c r="A26" s="5" t="s">
        <v>49</v>
      </c>
      <c r="B26" s="25" t="s">
        <v>51</v>
      </c>
      <c r="C26" s="25"/>
      <c r="D26" s="6" t="s">
        <v>52</v>
      </c>
      <c r="E26" s="6" t="s">
        <v>57</v>
      </c>
      <c r="F26" s="5" t="s">
        <v>19</v>
      </c>
      <c r="G26" s="28">
        <v>536.13</v>
      </c>
      <c r="H26" s="28"/>
      <c r="I26" s="5" t="s">
        <v>56</v>
      </c>
      <c r="J26" s="27" t="s">
        <v>21</v>
      </c>
      <c r="K26" s="27"/>
      <c r="L26" s="7"/>
      <c r="M26" s="8"/>
      <c r="N26" s="9"/>
    </row>
    <row r="27" spans="1:19" ht="13.8" customHeight="1" outlineLevel="1" x14ac:dyDescent="0.2">
      <c r="A27" s="5" t="s">
        <v>49</v>
      </c>
      <c r="B27" s="25" t="s">
        <v>51</v>
      </c>
      <c r="C27" s="25"/>
      <c r="D27" s="6" t="s">
        <v>52</v>
      </c>
      <c r="E27" s="6" t="s">
        <v>58</v>
      </c>
      <c r="F27" s="5" t="s">
        <v>19</v>
      </c>
      <c r="G27" s="26">
        <v>13400</v>
      </c>
      <c r="H27" s="26"/>
      <c r="I27" s="5" t="s">
        <v>59</v>
      </c>
      <c r="J27" s="27" t="s">
        <v>21</v>
      </c>
      <c r="K27" s="27"/>
      <c r="L27" s="7"/>
      <c r="M27" s="8"/>
      <c r="N27" s="9"/>
    </row>
    <row r="28" spans="1:19" ht="13.8" customHeight="1" outlineLevel="1" x14ac:dyDescent="0.2">
      <c r="A28" s="5" t="s">
        <v>49</v>
      </c>
      <c r="B28" s="25" t="s">
        <v>51</v>
      </c>
      <c r="C28" s="25"/>
      <c r="D28" s="6" t="s">
        <v>52</v>
      </c>
      <c r="E28" s="6" t="s">
        <v>60</v>
      </c>
      <c r="F28" s="5" t="s">
        <v>19</v>
      </c>
      <c r="G28" s="26">
        <v>13500</v>
      </c>
      <c r="H28" s="26"/>
      <c r="I28" s="5" t="s">
        <v>59</v>
      </c>
      <c r="J28" s="27" t="s">
        <v>21</v>
      </c>
      <c r="K28" s="27"/>
      <c r="L28" s="7"/>
      <c r="M28" s="8"/>
      <c r="N28" s="9"/>
    </row>
    <row r="29" spans="1:19" ht="13.8" customHeight="1" outlineLevel="1" x14ac:dyDescent="0.2">
      <c r="A29" s="5" t="s">
        <v>49</v>
      </c>
      <c r="B29" s="25" t="s">
        <v>51</v>
      </c>
      <c r="C29" s="25"/>
      <c r="D29" s="6" t="s">
        <v>52</v>
      </c>
      <c r="E29" s="6" t="s">
        <v>61</v>
      </c>
      <c r="F29" s="5" t="s">
        <v>19</v>
      </c>
      <c r="G29" s="28">
        <v>914.77</v>
      </c>
      <c r="H29" s="28"/>
      <c r="I29" s="5" t="s">
        <v>59</v>
      </c>
      <c r="J29" s="27" t="s">
        <v>21</v>
      </c>
      <c r="K29" s="27"/>
      <c r="L29" s="7"/>
      <c r="M29" s="8"/>
      <c r="N29" s="9"/>
    </row>
    <row r="30" spans="1:19" ht="13.8" customHeight="1" outlineLevel="1" x14ac:dyDescent="0.2">
      <c r="A30" s="5" t="s">
        <v>49</v>
      </c>
      <c r="B30" s="25" t="s">
        <v>51</v>
      </c>
      <c r="C30" s="25"/>
      <c r="D30" s="6" t="s">
        <v>52</v>
      </c>
      <c r="E30" s="6" t="s">
        <v>62</v>
      </c>
      <c r="F30" s="5" t="s">
        <v>19</v>
      </c>
      <c r="G30" s="26">
        <v>2125</v>
      </c>
      <c r="H30" s="26"/>
      <c r="I30" s="5" t="s">
        <v>59</v>
      </c>
      <c r="J30" s="27" t="s">
        <v>21</v>
      </c>
      <c r="K30" s="27"/>
      <c r="L30" s="7"/>
      <c r="M30" s="8"/>
      <c r="N30" s="9"/>
    </row>
    <row r="31" spans="1:19" ht="13.8" customHeight="1" outlineLevel="1" x14ac:dyDescent="0.2">
      <c r="A31" s="5" t="s">
        <v>49</v>
      </c>
      <c r="B31" s="25" t="s">
        <v>51</v>
      </c>
      <c r="C31" s="25"/>
      <c r="D31" s="6" t="s">
        <v>52</v>
      </c>
      <c r="E31" s="6" t="s">
        <v>63</v>
      </c>
      <c r="F31" s="5" t="s">
        <v>19</v>
      </c>
      <c r="G31" s="26">
        <v>2125</v>
      </c>
      <c r="H31" s="26"/>
      <c r="I31" s="5" t="s">
        <v>59</v>
      </c>
      <c r="J31" s="27" t="s">
        <v>21</v>
      </c>
      <c r="K31" s="27"/>
      <c r="L31" s="7"/>
      <c r="M31" s="8"/>
      <c r="N31" s="9"/>
    </row>
    <row r="32" spans="1:19" ht="13.8" customHeight="1" outlineLevel="1" x14ac:dyDescent="0.2">
      <c r="A32" s="5" t="s">
        <v>49</v>
      </c>
      <c r="B32" s="25" t="s">
        <v>51</v>
      </c>
      <c r="C32" s="25"/>
      <c r="D32" s="6" t="s">
        <v>52</v>
      </c>
      <c r="E32" s="6" t="s">
        <v>64</v>
      </c>
      <c r="F32" s="5" t="s">
        <v>19</v>
      </c>
      <c r="G32" s="26">
        <v>1812.5</v>
      </c>
      <c r="H32" s="26"/>
      <c r="I32" s="5" t="s">
        <v>59</v>
      </c>
      <c r="J32" s="27" t="s">
        <v>21</v>
      </c>
      <c r="K32" s="27"/>
      <c r="L32" s="7"/>
      <c r="M32" s="8"/>
      <c r="N32" s="9"/>
    </row>
    <row r="33" spans="1:16" ht="13.8" customHeight="1" outlineLevel="1" x14ac:dyDescent="0.2">
      <c r="A33" s="5" t="s">
        <v>49</v>
      </c>
      <c r="B33" s="25" t="s">
        <v>51</v>
      </c>
      <c r="C33" s="25"/>
      <c r="D33" s="6" t="s">
        <v>52</v>
      </c>
      <c r="E33" s="6" t="s">
        <v>65</v>
      </c>
      <c r="F33" s="5" t="s">
        <v>19</v>
      </c>
      <c r="G33" s="26">
        <v>12000</v>
      </c>
      <c r="H33" s="26"/>
      <c r="I33" s="5" t="s">
        <v>59</v>
      </c>
      <c r="J33" s="27" t="s">
        <v>21</v>
      </c>
      <c r="K33" s="27"/>
      <c r="L33" s="7"/>
      <c r="M33" s="8"/>
      <c r="N33" s="9"/>
    </row>
    <row r="34" spans="1:16" ht="13.8" customHeight="1" outlineLevel="1" x14ac:dyDescent="0.2">
      <c r="A34" s="5" t="s">
        <v>49</v>
      </c>
      <c r="B34" s="25" t="s">
        <v>51</v>
      </c>
      <c r="C34" s="25"/>
      <c r="D34" s="6" t="s">
        <v>52</v>
      </c>
      <c r="E34" s="6" t="s">
        <v>66</v>
      </c>
      <c r="F34" s="5" t="s">
        <v>19</v>
      </c>
      <c r="G34" s="26">
        <v>2125</v>
      </c>
      <c r="H34" s="26"/>
      <c r="I34" s="5" t="s">
        <v>59</v>
      </c>
      <c r="J34" s="27" t="s">
        <v>21</v>
      </c>
      <c r="K34" s="27"/>
      <c r="L34" s="7"/>
      <c r="M34" s="8"/>
      <c r="N34" s="9"/>
    </row>
    <row r="35" spans="1:16" ht="13.8" customHeight="1" outlineLevel="1" x14ac:dyDescent="0.2">
      <c r="A35" s="5" t="s">
        <v>49</v>
      </c>
      <c r="B35" s="25" t="s">
        <v>51</v>
      </c>
      <c r="C35" s="25"/>
      <c r="D35" s="6" t="s">
        <v>52</v>
      </c>
      <c r="E35" s="6" t="s">
        <v>67</v>
      </c>
      <c r="F35" s="5" t="s">
        <v>19</v>
      </c>
      <c r="G35" s="26">
        <v>13500</v>
      </c>
      <c r="H35" s="26"/>
      <c r="I35" s="5" t="s">
        <v>59</v>
      </c>
      <c r="J35" s="27" t="s">
        <v>21</v>
      </c>
      <c r="K35" s="27"/>
      <c r="L35" s="7"/>
      <c r="M35" s="8"/>
      <c r="N35" s="9"/>
    </row>
    <row r="36" spans="1:16" ht="13.8" customHeight="1" outlineLevel="1" x14ac:dyDescent="0.2">
      <c r="A36" s="5" t="s">
        <v>49</v>
      </c>
      <c r="B36" s="25" t="s">
        <v>51</v>
      </c>
      <c r="C36" s="25"/>
      <c r="D36" s="6" t="s">
        <v>52</v>
      </c>
      <c r="E36" s="6" t="s">
        <v>68</v>
      </c>
      <c r="F36" s="5" t="s">
        <v>19</v>
      </c>
      <c r="G36" s="26">
        <v>13500</v>
      </c>
      <c r="H36" s="26"/>
      <c r="I36" s="5" t="s">
        <v>59</v>
      </c>
      <c r="J36" s="27" t="s">
        <v>21</v>
      </c>
      <c r="K36" s="27"/>
      <c r="L36" s="7"/>
      <c r="M36" s="8"/>
      <c r="N36" s="9"/>
    </row>
    <row r="37" spans="1:16" ht="13.8" customHeight="1" outlineLevel="1" x14ac:dyDescent="0.2">
      <c r="A37" s="5" t="s">
        <v>49</v>
      </c>
      <c r="B37" s="25" t="s">
        <v>51</v>
      </c>
      <c r="C37" s="25"/>
      <c r="D37" s="6" t="s">
        <v>52</v>
      </c>
      <c r="E37" s="6" t="s">
        <v>69</v>
      </c>
      <c r="F37" s="5" t="s">
        <v>19</v>
      </c>
      <c r="G37" s="26">
        <v>11590.91</v>
      </c>
      <c r="H37" s="26"/>
      <c r="I37" s="5" t="s">
        <v>59</v>
      </c>
      <c r="J37" s="27" t="s">
        <v>21</v>
      </c>
      <c r="K37" s="27"/>
      <c r="L37" s="7"/>
      <c r="M37" s="8"/>
      <c r="N37" s="9"/>
    </row>
    <row r="38" spans="1:16" ht="13.8" customHeight="1" outlineLevel="1" x14ac:dyDescent="0.2">
      <c r="A38" s="5" t="s">
        <v>49</v>
      </c>
      <c r="B38" s="25" t="s">
        <v>51</v>
      </c>
      <c r="C38" s="25"/>
      <c r="D38" s="6" t="s">
        <v>52</v>
      </c>
      <c r="E38" s="6" t="s">
        <v>70</v>
      </c>
      <c r="F38" s="5" t="s">
        <v>19</v>
      </c>
      <c r="G38" s="26">
        <v>10800</v>
      </c>
      <c r="H38" s="26"/>
      <c r="I38" s="5" t="s">
        <v>59</v>
      </c>
      <c r="J38" s="27" t="s">
        <v>21</v>
      </c>
      <c r="K38" s="27"/>
      <c r="L38" s="7"/>
      <c r="M38" s="8"/>
      <c r="N38" s="9"/>
    </row>
    <row r="39" spans="1:16" ht="13.8" customHeight="1" outlineLevel="1" x14ac:dyDescent="0.2">
      <c r="A39" s="5" t="s">
        <v>49</v>
      </c>
      <c r="B39" s="25" t="s">
        <v>51</v>
      </c>
      <c r="C39" s="25"/>
      <c r="D39" s="6" t="s">
        <v>52</v>
      </c>
      <c r="E39" s="6" t="s">
        <v>53</v>
      </c>
      <c r="F39" s="5" t="s">
        <v>19</v>
      </c>
      <c r="G39" s="26">
        <v>10800</v>
      </c>
      <c r="H39" s="26"/>
      <c r="I39" s="5" t="s">
        <v>59</v>
      </c>
      <c r="J39" s="27" t="s">
        <v>21</v>
      </c>
      <c r="K39" s="27"/>
      <c r="L39" s="7"/>
      <c r="M39" s="8"/>
      <c r="N39" s="9"/>
    </row>
    <row r="40" spans="1:16" ht="13.8" customHeight="1" outlineLevel="1" x14ac:dyDescent="0.2">
      <c r="A40" s="5" t="s">
        <v>49</v>
      </c>
      <c r="B40" s="25" t="s">
        <v>71</v>
      </c>
      <c r="C40" s="25"/>
      <c r="D40" s="6" t="s">
        <v>17</v>
      </c>
      <c r="E40" s="6" t="s">
        <v>72</v>
      </c>
      <c r="F40" s="5" t="s">
        <v>19</v>
      </c>
      <c r="G40" s="26">
        <v>3321.74</v>
      </c>
      <c r="H40" s="26"/>
      <c r="I40" s="5" t="s">
        <v>20</v>
      </c>
      <c r="J40" s="27" t="s">
        <v>21</v>
      </c>
      <c r="K40" s="27"/>
      <c r="L40" s="7"/>
      <c r="M40" s="8"/>
      <c r="N40" s="9"/>
    </row>
    <row r="41" spans="1:16" ht="13.8" customHeight="1" outlineLevel="1" x14ac:dyDescent="0.2">
      <c r="A41" s="5" t="s">
        <v>49</v>
      </c>
      <c r="B41" s="25" t="s">
        <v>73</v>
      </c>
      <c r="C41" s="25"/>
      <c r="D41" s="6" t="s">
        <v>23</v>
      </c>
      <c r="E41" s="6" t="s">
        <v>74</v>
      </c>
      <c r="F41" s="5" t="s">
        <v>19</v>
      </c>
      <c r="G41" s="28">
        <v>980</v>
      </c>
      <c r="H41" s="28"/>
      <c r="I41" s="5" t="s">
        <v>75</v>
      </c>
      <c r="J41" s="27" t="s">
        <v>21</v>
      </c>
      <c r="K41" s="27"/>
      <c r="L41" s="7"/>
      <c r="M41" s="8"/>
      <c r="N41" s="35">
        <f>G41+G42+G43</f>
        <v>2940</v>
      </c>
    </row>
    <row r="42" spans="1:16" ht="13.8" customHeight="1" outlineLevel="1" x14ac:dyDescent="0.2">
      <c r="A42" s="5" t="s">
        <v>49</v>
      </c>
      <c r="B42" s="25" t="s">
        <v>73</v>
      </c>
      <c r="C42" s="25"/>
      <c r="D42" s="6" t="s">
        <v>23</v>
      </c>
      <c r="E42" s="6" t="s">
        <v>76</v>
      </c>
      <c r="F42" s="5" t="s">
        <v>19</v>
      </c>
      <c r="G42" s="28">
        <v>980</v>
      </c>
      <c r="H42" s="28"/>
      <c r="I42" s="5" t="s">
        <v>75</v>
      </c>
      <c r="J42" s="27" t="s">
        <v>21</v>
      </c>
      <c r="K42" s="27"/>
      <c r="L42" s="7"/>
      <c r="M42" s="8"/>
      <c r="N42" s="9"/>
    </row>
    <row r="43" spans="1:16" ht="13.8" customHeight="1" outlineLevel="1" x14ac:dyDescent="0.2">
      <c r="A43" s="5" t="s">
        <v>49</v>
      </c>
      <c r="B43" s="25" t="s">
        <v>73</v>
      </c>
      <c r="C43" s="25"/>
      <c r="D43" s="6" t="s">
        <v>23</v>
      </c>
      <c r="E43" s="6" t="s">
        <v>77</v>
      </c>
      <c r="F43" s="5" t="s">
        <v>19</v>
      </c>
      <c r="G43" s="28">
        <v>980</v>
      </c>
      <c r="H43" s="28"/>
      <c r="I43" s="5" t="s">
        <v>75</v>
      </c>
      <c r="J43" s="27" t="s">
        <v>21</v>
      </c>
      <c r="K43" s="27"/>
      <c r="L43" s="7"/>
      <c r="M43" s="8"/>
      <c r="N43" s="9"/>
    </row>
    <row r="44" spans="1:16" ht="13.8" customHeight="1" outlineLevel="1" x14ac:dyDescent="0.2">
      <c r="A44" s="5" t="s">
        <v>49</v>
      </c>
      <c r="B44" s="25" t="s">
        <v>78</v>
      </c>
      <c r="C44" s="25"/>
      <c r="D44" s="6" t="s">
        <v>27</v>
      </c>
      <c r="E44" s="6" t="s">
        <v>28</v>
      </c>
      <c r="F44" s="5" t="s">
        <v>19</v>
      </c>
      <c r="G44" s="38">
        <v>3.68</v>
      </c>
      <c r="H44" s="38"/>
      <c r="I44" s="5" t="s">
        <v>29</v>
      </c>
      <c r="J44" s="27" t="s">
        <v>21</v>
      </c>
      <c r="K44" s="27"/>
      <c r="L44" s="7"/>
      <c r="M44" s="8"/>
      <c r="N44" s="9"/>
    </row>
    <row r="45" spans="1:16" ht="13.8" customHeight="1" outlineLevel="1" x14ac:dyDescent="0.2">
      <c r="A45" s="5" t="s">
        <v>49</v>
      </c>
      <c r="B45" s="25" t="s">
        <v>79</v>
      </c>
      <c r="C45" s="25"/>
      <c r="D45" s="6" t="s">
        <v>27</v>
      </c>
      <c r="E45" s="6" t="s">
        <v>28</v>
      </c>
      <c r="F45" s="5" t="s">
        <v>19</v>
      </c>
      <c r="G45" s="38">
        <v>528.30999999999995</v>
      </c>
      <c r="H45" s="38"/>
      <c r="I45" s="5" t="s">
        <v>29</v>
      </c>
      <c r="J45" s="27" t="s">
        <v>21</v>
      </c>
      <c r="K45" s="27"/>
      <c r="L45" s="7"/>
      <c r="M45" s="8"/>
      <c r="N45" s="9"/>
    </row>
    <row r="46" spans="1:16" ht="13.8" customHeight="1" outlineLevel="1" x14ac:dyDescent="0.2">
      <c r="A46" s="5" t="s">
        <v>49</v>
      </c>
      <c r="B46" s="25" t="s">
        <v>80</v>
      </c>
      <c r="C46" s="25"/>
      <c r="D46" s="6" t="s">
        <v>27</v>
      </c>
      <c r="E46" s="6" t="s">
        <v>28</v>
      </c>
      <c r="F46" s="5" t="s">
        <v>19</v>
      </c>
      <c r="G46" s="38">
        <v>5.78</v>
      </c>
      <c r="H46" s="38"/>
      <c r="I46" s="5" t="s">
        <v>29</v>
      </c>
      <c r="J46" s="27" t="s">
        <v>21</v>
      </c>
      <c r="K46" s="27"/>
      <c r="L46" s="7"/>
      <c r="M46" s="8"/>
      <c r="N46" s="9"/>
    </row>
    <row r="47" spans="1:16" ht="13.8" customHeight="1" outlineLevel="1" x14ac:dyDescent="0.2">
      <c r="A47" s="5" t="s">
        <v>49</v>
      </c>
      <c r="B47" s="25" t="s">
        <v>81</v>
      </c>
      <c r="C47" s="25"/>
      <c r="D47" s="6" t="s">
        <v>47</v>
      </c>
      <c r="E47" s="6" t="s">
        <v>82</v>
      </c>
      <c r="F47" s="5" t="s">
        <v>19</v>
      </c>
      <c r="G47" s="26">
        <v>3370.5</v>
      </c>
      <c r="H47" s="26"/>
      <c r="I47" s="5" t="s">
        <v>20</v>
      </c>
      <c r="J47" s="27" t="s">
        <v>21</v>
      </c>
      <c r="K47" s="27"/>
      <c r="L47" s="7"/>
      <c r="M47" s="8"/>
      <c r="N47" s="36">
        <f>G47</f>
        <v>3370.5</v>
      </c>
      <c r="O47" s="37" t="s">
        <v>95</v>
      </c>
      <c r="P47" s="37" t="s">
        <v>96</v>
      </c>
    </row>
    <row r="48" spans="1:16" ht="13.8" customHeight="1" outlineLevel="1" x14ac:dyDescent="0.2">
      <c r="A48" s="5" t="s">
        <v>49</v>
      </c>
      <c r="B48" s="25" t="s">
        <v>83</v>
      </c>
      <c r="C48" s="25"/>
      <c r="D48" s="6" t="s">
        <v>84</v>
      </c>
      <c r="E48" s="6" t="s">
        <v>85</v>
      </c>
      <c r="F48" s="5" t="s">
        <v>19</v>
      </c>
      <c r="G48" s="28">
        <v>85</v>
      </c>
      <c r="H48" s="28"/>
      <c r="I48" s="5" t="s">
        <v>20</v>
      </c>
      <c r="J48" s="27" t="s">
        <v>21</v>
      </c>
      <c r="K48" s="27"/>
      <c r="L48" s="7"/>
      <c r="M48" s="8"/>
      <c r="N48" s="9"/>
    </row>
    <row r="49" spans="1:14" ht="13.8" customHeight="1" outlineLevel="1" x14ac:dyDescent="0.2">
      <c r="A49" s="5" t="s">
        <v>49</v>
      </c>
      <c r="B49" s="25" t="s">
        <v>86</v>
      </c>
      <c r="C49" s="25"/>
      <c r="D49" s="6" t="s">
        <v>84</v>
      </c>
      <c r="E49" s="6" t="s">
        <v>87</v>
      </c>
      <c r="F49" s="5" t="s">
        <v>19</v>
      </c>
      <c r="G49" s="28">
        <v>976.42</v>
      </c>
      <c r="H49" s="28"/>
      <c r="I49" s="5" t="s">
        <v>20</v>
      </c>
      <c r="J49" s="27" t="s">
        <v>21</v>
      </c>
      <c r="K49" s="27"/>
      <c r="L49" s="7"/>
      <c r="M49" s="8"/>
      <c r="N49" s="9"/>
    </row>
    <row r="50" spans="1:14" ht="13.8" customHeight="1" outlineLevel="1" x14ac:dyDescent="0.2">
      <c r="A50" s="5" t="s">
        <v>49</v>
      </c>
      <c r="B50" s="25" t="s">
        <v>88</v>
      </c>
      <c r="C50" s="25"/>
      <c r="D50" s="6" t="s">
        <v>17</v>
      </c>
      <c r="E50" s="6" t="s">
        <v>89</v>
      </c>
      <c r="F50" s="5" t="s">
        <v>19</v>
      </c>
      <c r="G50" s="28">
        <v>439.23</v>
      </c>
      <c r="H50" s="28"/>
      <c r="I50" s="5" t="s">
        <v>20</v>
      </c>
      <c r="J50" s="27" t="s">
        <v>21</v>
      </c>
      <c r="K50" s="27"/>
      <c r="L50" s="7"/>
      <c r="M50" s="8"/>
      <c r="N50" s="9"/>
    </row>
    <row r="51" spans="1:14" ht="13.8" customHeight="1" outlineLevel="1" x14ac:dyDescent="0.2">
      <c r="A51" s="5" t="s">
        <v>49</v>
      </c>
      <c r="B51" s="25" t="s">
        <v>88</v>
      </c>
      <c r="C51" s="25"/>
      <c r="D51" s="6" t="s">
        <v>17</v>
      </c>
      <c r="E51" s="6" t="s">
        <v>89</v>
      </c>
      <c r="F51" s="5" t="s">
        <v>19</v>
      </c>
      <c r="G51" s="28">
        <v>32.94</v>
      </c>
      <c r="H51" s="28"/>
      <c r="I51" s="5" t="s">
        <v>20</v>
      </c>
      <c r="J51" s="27" t="s">
        <v>21</v>
      </c>
      <c r="K51" s="27"/>
      <c r="L51" s="7"/>
      <c r="M51" s="8"/>
      <c r="N51" s="9"/>
    </row>
    <row r="52" spans="1:14" ht="13.8" customHeight="1" outlineLevel="1" x14ac:dyDescent="0.2">
      <c r="A52" s="5" t="s">
        <v>49</v>
      </c>
      <c r="B52" s="25" t="s">
        <v>90</v>
      </c>
      <c r="C52" s="25"/>
      <c r="D52" s="6" t="s">
        <v>23</v>
      </c>
      <c r="E52" s="6" t="s">
        <v>91</v>
      </c>
      <c r="F52" s="5" t="s">
        <v>19</v>
      </c>
      <c r="G52" s="28">
        <v>925</v>
      </c>
      <c r="H52" s="28"/>
      <c r="I52" s="5" t="s">
        <v>20</v>
      </c>
      <c r="J52" s="27" t="s">
        <v>21</v>
      </c>
      <c r="K52" s="27"/>
      <c r="L52" s="7"/>
      <c r="M52" s="8"/>
      <c r="N52" s="9"/>
    </row>
    <row r="53" spans="1:14" ht="13.8" customHeight="1" x14ac:dyDescent="0.2">
      <c r="A53" s="29" t="s">
        <v>92</v>
      </c>
      <c r="B53" s="29"/>
      <c r="C53" s="29"/>
      <c r="D53" s="29"/>
      <c r="E53" s="29"/>
      <c r="F53" s="30">
        <v>167599.73000000001</v>
      </c>
      <c r="G53" s="30"/>
      <c r="H53" s="30"/>
      <c r="I53" s="31">
        <v>0</v>
      </c>
      <c r="J53" s="31"/>
      <c r="K53" s="31"/>
      <c r="L53" s="10"/>
      <c r="M53" s="32">
        <v>0</v>
      </c>
      <c r="N53" s="32"/>
    </row>
  </sheetData>
  <mergeCells count="145">
    <mergeCell ref="B52:C52"/>
    <mergeCell ref="G52:H52"/>
    <mergeCell ref="J52:K52"/>
    <mergeCell ref="A53:E53"/>
    <mergeCell ref="F53:H53"/>
    <mergeCell ref="I53:K53"/>
    <mergeCell ref="M53:N53"/>
    <mergeCell ref="B49:C49"/>
    <mergeCell ref="G49:H49"/>
    <mergeCell ref="J49:K49"/>
    <mergeCell ref="B50:C50"/>
    <mergeCell ref="G50:H50"/>
    <mergeCell ref="J50:K50"/>
    <mergeCell ref="B51:C51"/>
    <mergeCell ref="G51:H51"/>
    <mergeCell ref="J51:K51"/>
    <mergeCell ref="B46:C46"/>
    <mergeCell ref="G46:H46"/>
    <mergeCell ref="J46:K46"/>
    <mergeCell ref="B47:C47"/>
    <mergeCell ref="G47:H47"/>
    <mergeCell ref="J47:K47"/>
    <mergeCell ref="B48:C48"/>
    <mergeCell ref="G48:H48"/>
    <mergeCell ref="J48:K48"/>
    <mergeCell ref="B43:C43"/>
    <mergeCell ref="G43:H43"/>
    <mergeCell ref="J43:K43"/>
    <mergeCell ref="B44:C44"/>
    <mergeCell ref="G44:H44"/>
    <mergeCell ref="J44:K44"/>
    <mergeCell ref="B45:C45"/>
    <mergeCell ref="G45:H45"/>
    <mergeCell ref="J45:K45"/>
    <mergeCell ref="B40:C40"/>
    <mergeCell ref="G40:H40"/>
    <mergeCell ref="J40:K40"/>
    <mergeCell ref="B41:C41"/>
    <mergeCell ref="G41:H41"/>
    <mergeCell ref="J41:K41"/>
    <mergeCell ref="B42:C42"/>
    <mergeCell ref="G42:H42"/>
    <mergeCell ref="J42:K42"/>
    <mergeCell ref="B37:C37"/>
    <mergeCell ref="G37:H37"/>
    <mergeCell ref="J37:K37"/>
    <mergeCell ref="B38:C38"/>
    <mergeCell ref="G38:H38"/>
    <mergeCell ref="J38:K38"/>
    <mergeCell ref="B39:C39"/>
    <mergeCell ref="G39:H39"/>
    <mergeCell ref="J39:K39"/>
    <mergeCell ref="B34:C34"/>
    <mergeCell ref="G34:H34"/>
    <mergeCell ref="J34:K34"/>
    <mergeCell ref="B35:C35"/>
    <mergeCell ref="G35:H35"/>
    <mergeCell ref="J35:K35"/>
    <mergeCell ref="B36:C36"/>
    <mergeCell ref="G36:H36"/>
    <mergeCell ref="J36:K36"/>
    <mergeCell ref="B31:C31"/>
    <mergeCell ref="G31:H31"/>
    <mergeCell ref="J31:K31"/>
    <mergeCell ref="B32:C32"/>
    <mergeCell ref="G32:H32"/>
    <mergeCell ref="J32:K32"/>
    <mergeCell ref="B33:C33"/>
    <mergeCell ref="G33:H33"/>
    <mergeCell ref="J33:K33"/>
    <mergeCell ref="B28:C28"/>
    <mergeCell ref="G28:H28"/>
    <mergeCell ref="J28:K28"/>
    <mergeCell ref="B29:C29"/>
    <mergeCell ref="G29:H29"/>
    <mergeCell ref="J29:K29"/>
    <mergeCell ref="B30:C30"/>
    <mergeCell ref="G30:H30"/>
    <mergeCell ref="J30:K30"/>
    <mergeCell ref="B25:C25"/>
    <mergeCell ref="G25:H25"/>
    <mergeCell ref="J25:K25"/>
    <mergeCell ref="B26:C26"/>
    <mergeCell ref="G26:H26"/>
    <mergeCell ref="J26:K26"/>
    <mergeCell ref="B27:C27"/>
    <mergeCell ref="G27:H27"/>
    <mergeCell ref="J27:K27"/>
    <mergeCell ref="B22:C22"/>
    <mergeCell ref="G22:H22"/>
    <mergeCell ref="J22:K22"/>
    <mergeCell ref="B23:C23"/>
    <mergeCell ref="G23:H23"/>
    <mergeCell ref="J23:K23"/>
    <mergeCell ref="B24:C24"/>
    <mergeCell ref="G24:H24"/>
    <mergeCell ref="J24:K24"/>
    <mergeCell ref="B19:C19"/>
    <mergeCell ref="G19:H19"/>
    <mergeCell ref="J19:K19"/>
    <mergeCell ref="B20:C20"/>
    <mergeCell ref="G20:H20"/>
    <mergeCell ref="J20:K20"/>
    <mergeCell ref="B21:C21"/>
    <mergeCell ref="G21:H21"/>
    <mergeCell ref="J21:K21"/>
    <mergeCell ref="B16:C16"/>
    <mergeCell ref="G16:H16"/>
    <mergeCell ref="J16:K16"/>
    <mergeCell ref="B17:C17"/>
    <mergeCell ref="G17:H17"/>
    <mergeCell ref="J17:K17"/>
    <mergeCell ref="B18:C18"/>
    <mergeCell ref="G18:H18"/>
    <mergeCell ref="J18:K18"/>
    <mergeCell ref="B13:C13"/>
    <mergeCell ref="G13:H13"/>
    <mergeCell ref="J13:K13"/>
    <mergeCell ref="B14:C14"/>
    <mergeCell ref="G14:H14"/>
    <mergeCell ref="J14:K14"/>
    <mergeCell ref="B15:C15"/>
    <mergeCell ref="G15:H15"/>
    <mergeCell ref="J15:K15"/>
    <mergeCell ref="B11:C11"/>
    <mergeCell ref="G11:H11"/>
    <mergeCell ref="J11:K11"/>
    <mergeCell ref="B12:C12"/>
    <mergeCell ref="G12:H12"/>
    <mergeCell ref="J12:K12"/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</mergeCells>
  <pageMargins left="0.19685039370078741" right="0.19685039370078741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a.biehisheva</cp:lastModifiedBy>
  <dcterms:modified xsi:type="dcterms:W3CDTF">2025-05-15T13:41:19Z</dcterms:modified>
</cp:coreProperties>
</file>
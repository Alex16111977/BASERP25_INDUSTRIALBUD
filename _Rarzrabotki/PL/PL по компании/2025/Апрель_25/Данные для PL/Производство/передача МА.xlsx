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Общая\PL\PL по компании\2025\Аперель_25\Данные для PL\Производство\"/>
    </mc:Choice>
  </mc:AlternateContent>
  <xr:revisionPtr revIDLastSave="0" documentId="13_ncr:1_{06D19837-ED9F-4F8C-8CD7-3D31425AAA29}" xr6:coauthVersionLast="45" xr6:coauthVersionMax="45" xr10:uidLastSave="{00000000-0000-0000-0000-000000000000}"/>
  <bookViews>
    <workbookView xWindow="-108" yWindow="-108" windowWidth="23256" windowHeight="12600" xr2:uid="{00000000-000D-0000-FFFF-FFFF00000000}"/>
  </bookViews>
  <sheets>
    <sheet name="TDSheet" sheetId="1" r:id="rId1"/>
  </sheets>
  <definedNames>
    <definedName name="_xlnm._FilterDatabase" localSheetId="0" hidden="1">TDSheet!$A$1:$H$61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61" i="1" l="1"/>
</calcChain>
</file>

<file path=xl/sharedStrings.xml><?xml version="1.0" encoding="utf-8"?>
<sst xmlns="http://schemas.openxmlformats.org/spreadsheetml/2006/main" count="438" uniqueCount="177">
  <si>
    <t>Дата</t>
  </si>
  <si>
    <t>Номер</t>
  </si>
  <si>
    <t>Склад</t>
  </si>
  <si>
    <t>Підрозділ</t>
  </si>
  <si>
    <t>Організація</t>
  </si>
  <si>
    <t>Відповідальний</t>
  </si>
  <si>
    <t>Акт</t>
  </si>
  <si>
    <t>Коментар</t>
  </si>
  <si>
    <t>29.04.2025 14:26:22</t>
  </si>
  <si>
    <t>ІБ00-000171</t>
  </si>
  <si>
    <t>АПК (Глобине)</t>
  </si>
  <si>
    <t>Виробничий (Глобине-2)</t>
  </si>
  <si>
    <t>ТОВ "ІНДАСТРІАЛБУД"</t>
  </si>
  <si>
    <t>Хлань Елена</t>
  </si>
  <si>
    <t>ІБ00-000165</t>
  </si>
  <si>
    <t>30.04.2025 23:59:27</t>
  </si>
  <si>
    <t>ІБ00-000197</t>
  </si>
  <si>
    <t>ІБ00-000185</t>
  </si>
  <si>
    <t>30.04.2025 20:00:00</t>
  </si>
  <si>
    <t>ІБ00-000213</t>
  </si>
  <si>
    <t>ІБ00-000189</t>
  </si>
  <si>
    <t>03.04.2025 17:41:40</t>
  </si>
  <si>
    <t>ІБ00-000149</t>
  </si>
  <si>
    <t>Генплан митний склад (Глобине)</t>
  </si>
  <si>
    <t>ІБ00-000141</t>
  </si>
  <si>
    <t>03.04.2025 17:41:42</t>
  </si>
  <si>
    <t>ІБ00-000150</t>
  </si>
  <si>
    <t>Глобине-2</t>
  </si>
  <si>
    <t>ІБ00-000147</t>
  </si>
  <si>
    <t>03.04.2025 17:41:54</t>
  </si>
  <si>
    <t>ІБ00-000155</t>
  </si>
  <si>
    <t>ІБ00-000145</t>
  </si>
  <si>
    <t>29.04.2025 14:26:48</t>
  </si>
  <si>
    <t>ІБ00-000172</t>
  </si>
  <si>
    <t>29.04.2025 15:51:31</t>
  </si>
  <si>
    <t>ІБ00-000177</t>
  </si>
  <si>
    <t>ІБ00-000151</t>
  </si>
  <si>
    <t>29.04.2025 16:49:38</t>
  </si>
  <si>
    <t>ІБ00-000181</t>
  </si>
  <si>
    <t>ІБ00-000160</t>
  </si>
  <si>
    <t>30.04.2025 00:00:00</t>
  </si>
  <si>
    <t>ІБ00-000195</t>
  </si>
  <si>
    <t>ІБ00-000164</t>
  </si>
  <si>
    <t>30.04.2025 23:59:36</t>
  </si>
  <si>
    <t>ІБ00-000200</t>
  </si>
  <si>
    <t>ІБ00-000176</t>
  </si>
  <si>
    <t>30.04.2025 10:00:00</t>
  </si>
  <si>
    <t>ІБ00-000211</t>
  </si>
  <si>
    <t>ІБ00-000215</t>
  </si>
  <si>
    <t>ІБ00-000217</t>
  </si>
  <si>
    <t>30.04.2025 23:50:00</t>
  </si>
  <si>
    <t>ІБ00-000219</t>
  </si>
  <si>
    <t>30.04.2025 23:59:00</t>
  </si>
  <si>
    <t>ІБ00-000190</t>
  </si>
  <si>
    <t>Головний офіс(ЦО)_Адмін</t>
  </si>
  <si>
    <t>Адміністративний відділ</t>
  </si>
  <si>
    <t>25.04.2025 12:38:40</t>
  </si>
  <si>
    <t>ІБ00-000170</t>
  </si>
  <si>
    <t>Катеринопіль МХП</t>
  </si>
  <si>
    <t>Виробничий (Катеринопіль МХП)</t>
  </si>
  <si>
    <t>Акт ІБ00-000149</t>
  </si>
  <si>
    <t>30.04.2025 14:35:13</t>
  </si>
  <si>
    <t>ІБ00-000186</t>
  </si>
  <si>
    <t>Акт ІБ00-000166</t>
  </si>
  <si>
    <t>03.04.2025 17:41:29</t>
  </si>
  <si>
    <t>ІБ00-000146</t>
  </si>
  <si>
    <t>Котельна (Глобине)</t>
  </si>
  <si>
    <t>ІБ00-000131</t>
  </si>
  <si>
    <t>03.04.2025 17:41:46</t>
  </si>
  <si>
    <t>ІБ00-000152</t>
  </si>
  <si>
    <t>29.04.2025 16:19:37</t>
  </si>
  <si>
    <t>ІБ00-000179</t>
  </si>
  <si>
    <t>ІБ00-000157</t>
  </si>
  <si>
    <t>ІБ00-000204</t>
  </si>
  <si>
    <t>ІБ00-000162</t>
  </si>
  <si>
    <t>ІБ00-000205</t>
  </si>
  <si>
    <t>ІБ00-000168</t>
  </si>
  <si>
    <t>ІБ00-000207</t>
  </si>
  <si>
    <t>30.04.2025 23:59:48</t>
  </si>
  <si>
    <t>ІБ00-000208</t>
  </si>
  <si>
    <t>01.04.2025 23:11:20</t>
  </si>
  <si>
    <t>ІБ00-000182</t>
  </si>
  <si>
    <t>Молоко Вітчизни</t>
  </si>
  <si>
    <t>Виробничий (Молоко Вітчизни)</t>
  </si>
  <si>
    <t>01.04.2025 23:11:22</t>
  </si>
  <si>
    <t>ІБ00-000183</t>
  </si>
  <si>
    <t>30.04.2025 23:59:24</t>
  </si>
  <si>
    <t>ІБ00-000196</t>
  </si>
  <si>
    <t>Насосна Градирня (Глобине)</t>
  </si>
  <si>
    <t>30.04.2025 23:59:30</t>
  </si>
  <si>
    <t>ІБ00-000198</t>
  </si>
  <si>
    <t>30.04.2025 23:59:35</t>
  </si>
  <si>
    <t>ІБ00-000199</t>
  </si>
  <si>
    <t>30.04.2025 10:59:54</t>
  </si>
  <si>
    <t>ІБ00-000210</t>
  </si>
  <si>
    <t>Підготовчі роботи та тимчасові споруди (Глобине)</t>
  </si>
  <si>
    <t>ІБ00-000203</t>
  </si>
  <si>
    <t>Пожежений резервуар (Глобине)</t>
  </si>
  <si>
    <t>03.04.2025 16:36:23</t>
  </si>
  <si>
    <t>Пункт фасування та зберігання в бігбегах (Глобине)</t>
  </si>
  <si>
    <t>ІБ00-000135</t>
  </si>
  <si>
    <t>29.04.2025 16:06:39</t>
  </si>
  <si>
    <t>ІБ00-000178</t>
  </si>
  <si>
    <t>ІБ00-000201</t>
  </si>
  <si>
    <t>ІБ00-000202</t>
  </si>
  <si>
    <t>ІБ00-000174</t>
  </si>
  <si>
    <t>03.04.2025 17:41:52</t>
  </si>
  <si>
    <t>ІБ00-000153</t>
  </si>
  <si>
    <t>Резервуар для зберігання розчинника(Глобине)</t>
  </si>
  <si>
    <t>29.04.2025 14:35:31</t>
  </si>
  <si>
    <t>ІБ00-000173</t>
  </si>
  <si>
    <t>ІБ00-000154</t>
  </si>
  <si>
    <t>02.04.2025 18:11:14</t>
  </si>
  <si>
    <t>ІБ00-000148</t>
  </si>
  <si>
    <t>Ретал ГПУ</t>
  </si>
  <si>
    <t>Виробничий (Ретал ГПУ)</t>
  </si>
  <si>
    <t>ІБ00-000136</t>
  </si>
  <si>
    <t>02.04.2025 18:11:27</t>
  </si>
  <si>
    <t>ІБ00-000169</t>
  </si>
  <si>
    <t>Склад обслуговування техніки</t>
  </si>
  <si>
    <t>Склад обслуживания техники</t>
  </si>
  <si>
    <t>Шишкіна Людмила</t>
  </si>
  <si>
    <t>29.04.2025 16:32:22</t>
  </si>
  <si>
    <t>ІБ00-000180</t>
  </si>
  <si>
    <t>СПК (Глобине)</t>
  </si>
  <si>
    <t>ІБ00-000218</t>
  </si>
  <si>
    <t>07.04.2025 11:02:39</t>
  </si>
  <si>
    <t>СТ00-000030</t>
  </si>
  <si>
    <t>СТІЛ МХП</t>
  </si>
  <si>
    <t>Виробничий (Цех металоконструкцій)</t>
  </si>
  <si>
    <t>ТОВ "ІНДЕПТ СТІЛ"</t>
  </si>
  <si>
    <t>Стецюк Татьяна</t>
  </si>
  <si>
    <t>МХП №9</t>
  </si>
  <si>
    <t>01.04.2025 22:00:00</t>
  </si>
  <si>
    <t>СТ00-000031</t>
  </si>
  <si>
    <t>МХП пункт відвантаження №1</t>
  </si>
  <si>
    <t>08.04.2025 23:11:41</t>
  </si>
  <si>
    <t>СТ00-000032</t>
  </si>
  <si>
    <t>МХП №10 (олійно екстраційний)</t>
  </si>
  <si>
    <t>09.04.2025 23:59:59</t>
  </si>
  <si>
    <t>СТ00-000034</t>
  </si>
  <si>
    <t>МХП пункт відвантаження №2</t>
  </si>
  <si>
    <t>02.04.2025 12:12:11</t>
  </si>
  <si>
    <t>СТ00-000028</t>
  </si>
  <si>
    <t>СТІЛ Основной склад</t>
  </si>
  <si>
    <t>використано на дракон</t>
  </si>
  <si>
    <t>03.04.2025 17:41:34</t>
  </si>
  <si>
    <t>Цех екстракції (Глобине)</t>
  </si>
  <si>
    <t>ІБ00-000144</t>
  </si>
  <si>
    <t>03.04.2025 17:41:53</t>
  </si>
  <si>
    <t>29.04.2025 14:58:13</t>
  </si>
  <si>
    <t>29.04.2025 15:08:52</t>
  </si>
  <si>
    <t>ІБ00-000175</t>
  </si>
  <si>
    <t>ІБ00-000161</t>
  </si>
  <si>
    <t>29.04.2025 15:48:00</t>
  </si>
  <si>
    <t>ІБ00-000209</t>
  </si>
  <si>
    <t>ІБ00-000214</t>
  </si>
  <si>
    <t>07.04.2025 11:25:22</t>
  </si>
  <si>
    <t>Цех_МШП</t>
  </si>
  <si>
    <t>Виробничий (МХП)</t>
  </si>
  <si>
    <t>МХП №9 (олійно екстраційний)</t>
  </si>
  <si>
    <t>01.04.2025 22:00:02</t>
  </si>
  <si>
    <t>ІБ00-000156</t>
  </si>
  <si>
    <t>МХП Пункт відвантаження №1</t>
  </si>
  <si>
    <t>08.04.2025 23:11:43</t>
  </si>
  <si>
    <t>МХП №10(олійно екстраційний)</t>
  </si>
  <si>
    <t>ІБ00-000159</t>
  </si>
  <si>
    <t>24.04.2025 00:00:00</t>
  </si>
  <si>
    <t>ІБ00-000212</t>
  </si>
  <si>
    <t>Виробничий (Цех МД ВООЗ ЕМС)</t>
  </si>
  <si>
    <t>емс мала</t>
  </si>
  <si>
    <t>мшп</t>
  </si>
  <si>
    <t>ремінь клиновий</t>
  </si>
  <si>
    <t>катеринопіль</t>
  </si>
  <si>
    <t>ВООЗ ЕМС</t>
  </si>
  <si>
    <t>мхп</t>
  </si>
  <si>
    <t>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</si>
</sst>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name val="Arial"/>
    </font>
    <font>
      <sz val="10"/>
      <color rgb="FF4D4D4D"/>
      <name val="Arial"/>
      <family val="2"/>
      <charset val="204"/>
    </font>
    <font>
      <sz val="8"/>
      <color rgb="FF333333"/>
      <name val="Arial"/>
      <family val="2"/>
    </font>
    <font>
      <sz val="8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0" fillId="4" borderId="0" xfId="0" applyFill="1"/>
    <xf numFmtId="0" fontId="3" fillId="0" borderId="0" xfId="0" applyFont="1"/>
    <xf numFmtId="0" fontId="3" fillId="4" borderId="0" xfId="0" applyFont="1" applyFill="1"/>
    <xf numFmtId="0" fontId="0" fillId="0" borderId="0" xfId="0" applyFill="1"/>
    <xf numFmtId="0" fontId="3" fillId="0" borderId="0" xfId="0" applyFont="1" applyFill="1"/>
  </cellXfs>
  <cellStyles count="1">
    <cellStyle name="Обычный" xfId="0" builtinId="0"/>
  </cellStyles>
  <dxfs count="1">
    <dxf>
      <fill>
        <patternFill patternType="solid">
          <fgColor rgb="FFFFFFFF"/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  <pageSetUpPr autoPageBreaks="0"/>
  </sheetPr>
  <dimension ref="A1:K61"/>
  <sheetViews>
    <sheetView tabSelected="1" topLeftCell="B1" zoomScale="110" zoomScaleNormal="110" workbookViewId="0">
      <selection activeCell="G64" sqref="G64:H64"/>
    </sheetView>
  </sheetViews>
  <sheetFormatPr defaultColWidth="10.42578125" defaultRowHeight="11.4" customHeight="1" x14ac:dyDescent="0.2"/>
  <cols>
    <col min="1" max="1" width="29.140625" style="1" customWidth="1"/>
    <col min="2" max="2" width="17.42578125" style="1" customWidth="1"/>
    <col min="3" max="3" width="22.140625" style="1" customWidth="1"/>
    <col min="4" max="4" width="37.28515625" style="1" customWidth="1"/>
    <col min="5" max="8" width="22.140625" style="1" customWidth="1"/>
    <col min="10" max="10" width="16.5703125" customWidth="1"/>
  </cols>
  <sheetData>
    <row r="1" spans="1:8" ht="13.0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5" customFormat="1" ht="10.95" hidden="1" customHeight="1" x14ac:dyDescent="0.2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/>
      <c r="H2" s="4" t="s">
        <v>14</v>
      </c>
    </row>
    <row r="3" spans="1:8" s="5" customFormat="1" ht="10.95" hidden="1" customHeight="1" x14ac:dyDescent="0.2">
      <c r="A3" s="4" t="s">
        <v>15</v>
      </c>
      <c r="B3" s="4" t="s">
        <v>16</v>
      </c>
      <c r="C3" s="4" t="s">
        <v>10</v>
      </c>
      <c r="D3" s="4" t="s">
        <v>11</v>
      </c>
      <c r="E3" s="4" t="s">
        <v>12</v>
      </c>
      <c r="F3" s="4" t="s">
        <v>13</v>
      </c>
      <c r="G3" s="4"/>
      <c r="H3" s="4" t="s">
        <v>17</v>
      </c>
    </row>
    <row r="4" spans="1:8" s="5" customFormat="1" ht="10.95" hidden="1" customHeight="1" x14ac:dyDescent="0.2">
      <c r="A4" s="4" t="s">
        <v>18</v>
      </c>
      <c r="B4" s="4" t="s">
        <v>19</v>
      </c>
      <c r="C4" s="4" t="s">
        <v>10</v>
      </c>
      <c r="D4" s="4" t="s">
        <v>11</v>
      </c>
      <c r="E4" s="4" t="s">
        <v>12</v>
      </c>
      <c r="F4" s="4" t="s">
        <v>13</v>
      </c>
      <c r="G4" s="4"/>
      <c r="H4" s="4" t="s">
        <v>20</v>
      </c>
    </row>
    <row r="5" spans="1:8" s="5" customFormat="1" ht="10.95" hidden="1" customHeight="1" x14ac:dyDescent="0.2">
      <c r="A5" s="4" t="s">
        <v>21</v>
      </c>
      <c r="B5" s="4" t="s">
        <v>22</v>
      </c>
      <c r="C5" s="4" t="s">
        <v>23</v>
      </c>
      <c r="D5" s="4" t="s">
        <v>11</v>
      </c>
      <c r="E5" s="4" t="s">
        <v>12</v>
      </c>
      <c r="F5" s="4" t="s">
        <v>13</v>
      </c>
      <c r="G5" s="4"/>
      <c r="H5" s="4" t="s">
        <v>24</v>
      </c>
    </row>
    <row r="6" spans="1:8" s="5" customFormat="1" ht="10.95" hidden="1" customHeight="1" x14ac:dyDescent="0.2">
      <c r="A6" s="4" t="s">
        <v>25</v>
      </c>
      <c r="B6" s="4" t="s">
        <v>26</v>
      </c>
      <c r="C6" s="4" t="s">
        <v>27</v>
      </c>
      <c r="D6" s="4" t="s">
        <v>11</v>
      </c>
      <c r="E6" s="4" t="s">
        <v>12</v>
      </c>
      <c r="F6" s="4" t="s">
        <v>13</v>
      </c>
      <c r="G6" s="4"/>
      <c r="H6" s="4" t="s">
        <v>28</v>
      </c>
    </row>
    <row r="7" spans="1:8" s="5" customFormat="1" ht="10.95" hidden="1" customHeight="1" x14ac:dyDescent="0.2">
      <c r="A7" s="4" t="s">
        <v>29</v>
      </c>
      <c r="B7" s="4" t="s">
        <v>30</v>
      </c>
      <c r="C7" s="4" t="s">
        <v>27</v>
      </c>
      <c r="D7" s="4" t="s">
        <v>11</v>
      </c>
      <c r="E7" s="4" t="s">
        <v>12</v>
      </c>
      <c r="F7" s="4" t="s">
        <v>13</v>
      </c>
      <c r="G7" s="4"/>
      <c r="H7" s="4" t="s">
        <v>31</v>
      </c>
    </row>
    <row r="8" spans="1:8" s="5" customFormat="1" ht="10.95" hidden="1" customHeight="1" x14ac:dyDescent="0.2">
      <c r="A8" s="4" t="s">
        <v>32</v>
      </c>
      <c r="B8" s="4" t="s">
        <v>33</v>
      </c>
      <c r="C8" s="4" t="s">
        <v>27</v>
      </c>
      <c r="D8" s="4" t="s">
        <v>11</v>
      </c>
      <c r="E8" s="4" t="s">
        <v>12</v>
      </c>
      <c r="F8" s="4" t="s">
        <v>13</v>
      </c>
      <c r="G8" s="4"/>
      <c r="H8" s="4" t="s">
        <v>14</v>
      </c>
    </row>
    <row r="9" spans="1:8" s="5" customFormat="1" ht="10.95" hidden="1" customHeight="1" x14ac:dyDescent="0.2">
      <c r="A9" s="4" t="s">
        <v>34</v>
      </c>
      <c r="B9" s="4" t="s">
        <v>35</v>
      </c>
      <c r="C9" s="4" t="s">
        <v>27</v>
      </c>
      <c r="D9" s="4" t="s">
        <v>11</v>
      </c>
      <c r="E9" s="4" t="s">
        <v>12</v>
      </c>
      <c r="F9" s="4" t="s">
        <v>13</v>
      </c>
      <c r="G9" s="4"/>
      <c r="H9" s="4" t="s">
        <v>36</v>
      </c>
    </row>
    <row r="10" spans="1:8" s="5" customFormat="1" ht="10.95" hidden="1" customHeight="1" x14ac:dyDescent="0.2">
      <c r="A10" s="4" t="s">
        <v>37</v>
      </c>
      <c r="B10" s="4" t="s">
        <v>38</v>
      </c>
      <c r="C10" s="4" t="s">
        <v>27</v>
      </c>
      <c r="D10" s="4" t="s">
        <v>11</v>
      </c>
      <c r="E10" s="4" t="s">
        <v>12</v>
      </c>
      <c r="F10" s="4" t="s">
        <v>13</v>
      </c>
      <c r="G10" s="4"/>
      <c r="H10" s="4" t="s">
        <v>39</v>
      </c>
    </row>
    <row r="11" spans="1:8" s="5" customFormat="1" ht="10.95" hidden="1" customHeight="1" x14ac:dyDescent="0.2">
      <c r="A11" s="4" t="s">
        <v>40</v>
      </c>
      <c r="B11" s="4" t="s">
        <v>41</v>
      </c>
      <c r="C11" s="4" t="s">
        <v>27</v>
      </c>
      <c r="D11" s="4" t="s">
        <v>11</v>
      </c>
      <c r="E11" s="4" t="s">
        <v>12</v>
      </c>
      <c r="F11" s="4" t="s">
        <v>13</v>
      </c>
      <c r="G11" s="4"/>
      <c r="H11" s="4" t="s">
        <v>42</v>
      </c>
    </row>
    <row r="12" spans="1:8" s="5" customFormat="1" ht="10.95" hidden="1" customHeight="1" x14ac:dyDescent="0.2">
      <c r="A12" s="4" t="s">
        <v>43</v>
      </c>
      <c r="B12" s="4" t="s">
        <v>44</v>
      </c>
      <c r="C12" s="4" t="s">
        <v>27</v>
      </c>
      <c r="D12" s="4" t="s">
        <v>11</v>
      </c>
      <c r="E12" s="4" t="s">
        <v>12</v>
      </c>
      <c r="F12" s="4" t="s">
        <v>13</v>
      </c>
      <c r="G12" s="4"/>
      <c r="H12" s="4" t="s">
        <v>45</v>
      </c>
    </row>
    <row r="13" spans="1:8" s="5" customFormat="1" ht="10.95" hidden="1" customHeight="1" x14ac:dyDescent="0.2">
      <c r="A13" s="4" t="s">
        <v>46</v>
      </c>
      <c r="B13" s="4" t="s">
        <v>47</v>
      </c>
      <c r="C13" s="4" t="s">
        <v>27</v>
      </c>
      <c r="D13" s="4" t="s">
        <v>11</v>
      </c>
      <c r="E13" s="4" t="s">
        <v>12</v>
      </c>
      <c r="F13" s="4" t="s">
        <v>13</v>
      </c>
      <c r="G13" s="4"/>
      <c r="H13" s="4" t="s">
        <v>38</v>
      </c>
    </row>
    <row r="14" spans="1:8" s="5" customFormat="1" ht="10.95" hidden="1" customHeight="1" x14ac:dyDescent="0.2">
      <c r="A14" s="4" t="s">
        <v>18</v>
      </c>
      <c r="B14" s="4" t="s">
        <v>48</v>
      </c>
      <c r="C14" s="4" t="s">
        <v>27</v>
      </c>
      <c r="D14" s="4" t="s">
        <v>11</v>
      </c>
      <c r="E14" s="4" t="s">
        <v>12</v>
      </c>
      <c r="F14" s="4" t="s">
        <v>13</v>
      </c>
      <c r="G14" s="4"/>
      <c r="H14" s="4" t="s">
        <v>41</v>
      </c>
    </row>
    <row r="15" spans="1:8" s="5" customFormat="1" ht="10.95" hidden="1" customHeight="1" x14ac:dyDescent="0.2">
      <c r="A15" s="4" t="s">
        <v>18</v>
      </c>
      <c r="B15" s="4" t="s">
        <v>49</v>
      </c>
      <c r="C15" s="4" t="s">
        <v>27</v>
      </c>
      <c r="D15" s="4" t="s">
        <v>11</v>
      </c>
      <c r="E15" s="4" t="s">
        <v>12</v>
      </c>
      <c r="F15" s="4" t="s">
        <v>13</v>
      </c>
      <c r="G15" s="4"/>
      <c r="H15" s="4" t="s">
        <v>41</v>
      </c>
    </row>
    <row r="16" spans="1:8" s="5" customFormat="1" ht="10.95" hidden="1" customHeight="1" x14ac:dyDescent="0.2">
      <c r="A16" s="4" t="s">
        <v>50</v>
      </c>
      <c r="B16" s="4" t="s">
        <v>51</v>
      </c>
      <c r="C16" s="4" t="s">
        <v>27</v>
      </c>
      <c r="D16" s="4" t="s">
        <v>11</v>
      </c>
      <c r="E16" s="4" t="s">
        <v>12</v>
      </c>
      <c r="F16" s="4" t="s">
        <v>13</v>
      </c>
      <c r="G16" s="4"/>
      <c r="H16" s="4" t="s">
        <v>44</v>
      </c>
    </row>
    <row r="17" spans="1:10" s="5" customFormat="1" ht="10.95" hidden="1" customHeight="1" x14ac:dyDescent="0.2">
      <c r="A17" s="4" t="s">
        <v>52</v>
      </c>
      <c r="B17" s="4" t="s">
        <v>53</v>
      </c>
      <c r="C17" s="4" t="s">
        <v>54</v>
      </c>
      <c r="D17" s="4" t="s">
        <v>55</v>
      </c>
      <c r="E17" s="4" t="s">
        <v>12</v>
      </c>
      <c r="F17" s="4" t="s">
        <v>13</v>
      </c>
      <c r="G17" s="4"/>
      <c r="H17" s="4"/>
    </row>
    <row r="18" spans="1:10" s="5" customFormat="1" ht="10.95" hidden="1" customHeight="1" x14ac:dyDescent="0.2">
      <c r="A18" s="4" t="s">
        <v>56</v>
      </c>
      <c r="B18" s="4" t="s">
        <v>57</v>
      </c>
      <c r="C18" s="4" t="s">
        <v>58</v>
      </c>
      <c r="D18" s="4" t="s">
        <v>59</v>
      </c>
      <c r="E18" s="4" t="s">
        <v>12</v>
      </c>
      <c r="F18" s="4" t="s">
        <v>13</v>
      </c>
      <c r="G18" s="4"/>
      <c r="H18" s="4" t="s">
        <v>60</v>
      </c>
      <c r="J18" s="7"/>
    </row>
    <row r="19" spans="1:10" s="5" customFormat="1" ht="10.95" hidden="1" customHeight="1" x14ac:dyDescent="0.2">
      <c r="A19" s="4" t="s">
        <v>61</v>
      </c>
      <c r="B19" s="4" t="s">
        <v>62</v>
      </c>
      <c r="C19" s="4" t="s">
        <v>58</v>
      </c>
      <c r="D19" s="4" t="s">
        <v>59</v>
      </c>
      <c r="E19" s="4" t="s">
        <v>12</v>
      </c>
      <c r="F19" s="4" t="s">
        <v>13</v>
      </c>
      <c r="G19" s="4"/>
      <c r="H19" s="4" t="s">
        <v>63</v>
      </c>
    </row>
    <row r="20" spans="1:10" s="5" customFormat="1" ht="10.95" hidden="1" customHeight="1" x14ac:dyDescent="0.2">
      <c r="A20" s="4" t="s">
        <v>64</v>
      </c>
      <c r="B20" s="4" t="s">
        <v>65</v>
      </c>
      <c r="C20" s="4" t="s">
        <v>66</v>
      </c>
      <c r="D20" s="4" t="s">
        <v>11</v>
      </c>
      <c r="E20" s="4" t="s">
        <v>12</v>
      </c>
      <c r="F20" s="4" t="s">
        <v>13</v>
      </c>
      <c r="G20" s="4"/>
      <c r="H20" s="4" t="s">
        <v>67</v>
      </c>
    </row>
    <row r="21" spans="1:10" s="5" customFormat="1" ht="10.95" hidden="1" customHeight="1" x14ac:dyDescent="0.2">
      <c r="A21" s="4" t="s">
        <v>68</v>
      </c>
      <c r="B21" s="4" t="s">
        <v>69</v>
      </c>
      <c r="C21" s="4" t="s">
        <v>66</v>
      </c>
      <c r="D21" s="4" t="s">
        <v>11</v>
      </c>
      <c r="E21" s="4" t="s">
        <v>12</v>
      </c>
      <c r="F21" s="4" t="s">
        <v>13</v>
      </c>
      <c r="G21" s="4"/>
      <c r="H21" s="4" t="s">
        <v>65</v>
      </c>
    </row>
    <row r="22" spans="1:10" s="5" customFormat="1" ht="10.95" hidden="1" customHeight="1" x14ac:dyDescent="0.2">
      <c r="A22" s="4" t="s">
        <v>70</v>
      </c>
      <c r="B22" s="4" t="s">
        <v>71</v>
      </c>
      <c r="C22" s="4" t="s">
        <v>66</v>
      </c>
      <c r="D22" s="4" t="s">
        <v>11</v>
      </c>
      <c r="E22" s="4" t="s">
        <v>12</v>
      </c>
      <c r="F22" s="4" t="s">
        <v>13</v>
      </c>
      <c r="G22" s="4"/>
      <c r="H22" s="4" t="s">
        <v>72</v>
      </c>
    </row>
    <row r="23" spans="1:10" s="5" customFormat="1" ht="10.95" hidden="1" customHeight="1" x14ac:dyDescent="0.2">
      <c r="A23" s="4" t="s">
        <v>46</v>
      </c>
      <c r="B23" s="4" t="s">
        <v>73</v>
      </c>
      <c r="C23" s="4" t="s">
        <v>66</v>
      </c>
      <c r="D23" s="4" t="s">
        <v>11</v>
      </c>
      <c r="E23" s="4" t="s">
        <v>12</v>
      </c>
      <c r="F23" s="4" t="s">
        <v>13</v>
      </c>
      <c r="G23" s="4"/>
      <c r="H23" s="4" t="s">
        <v>74</v>
      </c>
    </row>
    <row r="24" spans="1:10" s="5" customFormat="1" ht="10.95" hidden="1" customHeight="1" x14ac:dyDescent="0.2">
      <c r="A24" s="4" t="s">
        <v>46</v>
      </c>
      <c r="B24" s="4" t="s">
        <v>75</v>
      </c>
      <c r="C24" s="4" t="s">
        <v>66</v>
      </c>
      <c r="D24" s="4" t="s">
        <v>11</v>
      </c>
      <c r="E24" s="4" t="s">
        <v>12</v>
      </c>
      <c r="F24" s="4" t="s">
        <v>13</v>
      </c>
      <c r="G24" s="4"/>
      <c r="H24" s="4" t="s">
        <v>76</v>
      </c>
    </row>
    <row r="25" spans="1:10" s="5" customFormat="1" ht="10.95" hidden="1" customHeight="1" x14ac:dyDescent="0.2">
      <c r="A25" s="4" t="s">
        <v>46</v>
      </c>
      <c r="B25" s="4" t="s">
        <v>77</v>
      </c>
      <c r="C25" s="4" t="s">
        <v>66</v>
      </c>
      <c r="D25" s="4" t="s">
        <v>11</v>
      </c>
      <c r="E25" s="4" t="s">
        <v>12</v>
      </c>
      <c r="F25" s="4" t="s">
        <v>13</v>
      </c>
      <c r="G25" s="4"/>
      <c r="H25" s="4" t="s">
        <v>62</v>
      </c>
    </row>
    <row r="26" spans="1:10" s="5" customFormat="1" ht="10.95" hidden="1" customHeight="1" x14ac:dyDescent="0.2">
      <c r="A26" s="4" t="s">
        <v>78</v>
      </c>
      <c r="B26" s="4" t="s">
        <v>79</v>
      </c>
      <c r="C26" s="4" t="s">
        <v>66</v>
      </c>
      <c r="D26" s="4" t="s">
        <v>11</v>
      </c>
      <c r="E26" s="4" t="s">
        <v>12</v>
      </c>
      <c r="F26" s="4" t="s">
        <v>13</v>
      </c>
      <c r="G26" s="4"/>
      <c r="H26" s="4" t="s">
        <v>33</v>
      </c>
    </row>
    <row r="27" spans="1:10" s="5" customFormat="1" ht="10.95" hidden="1" customHeight="1" x14ac:dyDescent="0.2">
      <c r="A27" s="4" t="s">
        <v>80</v>
      </c>
      <c r="B27" s="4" t="s">
        <v>81</v>
      </c>
      <c r="C27" s="4" t="s">
        <v>82</v>
      </c>
      <c r="D27" s="4" t="s">
        <v>83</v>
      </c>
      <c r="E27" s="4" t="s">
        <v>12</v>
      </c>
      <c r="F27" s="4" t="s">
        <v>13</v>
      </c>
      <c r="G27" s="4"/>
      <c r="H27" s="4"/>
    </row>
    <row r="28" spans="1:10" s="5" customFormat="1" ht="10.95" hidden="1" customHeight="1" x14ac:dyDescent="0.2">
      <c r="A28" s="4" t="s">
        <v>84</v>
      </c>
      <c r="B28" s="4" t="s">
        <v>85</v>
      </c>
      <c r="C28" s="4" t="s">
        <v>82</v>
      </c>
      <c r="D28" s="4" t="s">
        <v>83</v>
      </c>
      <c r="E28" s="4" t="s">
        <v>12</v>
      </c>
      <c r="F28" s="4" t="s">
        <v>13</v>
      </c>
      <c r="G28" s="4"/>
      <c r="H28" s="4"/>
    </row>
    <row r="29" spans="1:10" s="5" customFormat="1" ht="10.95" hidden="1" customHeight="1" x14ac:dyDescent="0.2">
      <c r="A29" s="4" t="s">
        <v>86</v>
      </c>
      <c r="B29" s="4" t="s">
        <v>87</v>
      </c>
      <c r="C29" s="4" t="s">
        <v>88</v>
      </c>
      <c r="D29" s="4" t="s">
        <v>11</v>
      </c>
      <c r="E29" s="4" t="s">
        <v>12</v>
      </c>
      <c r="F29" s="4" t="s">
        <v>13</v>
      </c>
      <c r="G29" s="4"/>
      <c r="H29" s="4" t="s">
        <v>42</v>
      </c>
    </row>
    <row r="30" spans="1:10" s="5" customFormat="1" ht="10.95" hidden="1" customHeight="1" x14ac:dyDescent="0.2">
      <c r="A30" s="4" t="s">
        <v>89</v>
      </c>
      <c r="B30" s="4" t="s">
        <v>90</v>
      </c>
      <c r="C30" s="4" t="s">
        <v>88</v>
      </c>
      <c r="D30" s="4" t="s">
        <v>11</v>
      </c>
      <c r="E30" s="4" t="s">
        <v>12</v>
      </c>
      <c r="F30" s="4" t="s">
        <v>13</v>
      </c>
      <c r="G30" s="4"/>
      <c r="H30" s="4" t="s">
        <v>35</v>
      </c>
    </row>
    <row r="31" spans="1:10" s="5" customFormat="1" ht="10.95" hidden="1" customHeight="1" x14ac:dyDescent="0.2">
      <c r="A31" s="4" t="s">
        <v>91</v>
      </c>
      <c r="B31" s="4" t="s">
        <v>92</v>
      </c>
      <c r="C31" s="4" t="s">
        <v>88</v>
      </c>
      <c r="D31" s="4" t="s">
        <v>11</v>
      </c>
      <c r="E31" s="4" t="s">
        <v>12</v>
      </c>
      <c r="F31" s="4" t="s">
        <v>13</v>
      </c>
      <c r="G31" s="4"/>
      <c r="H31" s="4" t="s">
        <v>45</v>
      </c>
    </row>
    <row r="32" spans="1:10" s="5" customFormat="1" ht="10.95" hidden="1" customHeight="1" x14ac:dyDescent="0.2">
      <c r="A32" s="4" t="s">
        <v>93</v>
      </c>
      <c r="B32" s="4" t="s">
        <v>94</v>
      </c>
      <c r="C32" s="4" t="s">
        <v>95</v>
      </c>
      <c r="D32" s="4" t="s">
        <v>11</v>
      </c>
      <c r="E32" s="4" t="s">
        <v>12</v>
      </c>
      <c r="F32" s="4" t="s">
        <v>13</v>
      </c>
      <c r="G32" s="4"/>
      <c r="H32" s="4" t="s">
        <v>38</v>
      </c>
    </row>
    <row r="33" spans="1:11" s="5" customFormat="1" ht="10.95" hidden="1" customHeight="1" x14ac:dyDescent="0.2">
      <c r="A33" s="4" t="s">
        <v>46</v>
      </c>
      <c r="B33" s="4" t="s">
        <v>96</v>
      </c>
      <c r="C33" s="4" t="s">
        <v>97</v>
      </c>
      <c r="D33" s="4" t="s">
        <v>11</v>
      </c>
      <c r="E33" s="4" t="s">
        <v>12</v>
      </c>
      <c r="F33" s="4" t="s">
        <v>13</v>
      </c>
      <c r="G33" s="4"/>
      <c r="H33" s="4" t="s">
        <v>57</v>
      </c>
    </row>
    <row r="34" spans="1:11" s="5" customFormat="1" ht="10.95" hidden="1" customHeight="1" x14ac:dyDescent="0.2">
      <c r="A34" s="4" t="s">
        <v>98</v>
      </c>
      <c r="B34" s="4" t="s">
        <v>36</v>
      </c>
      <c r="C34" s="4" t="s">
        <v>99</v>
      </c>
      <c r="D34" s="4" t="s">
        <v>11</v>
      </c>
      <c r="E34" s="4" t="s">
        <v>12</v>
      </c>
      <c r="F34" s="4" t="s">
        <v>13</v>
      </c>
      <c r="G34" s="4"/>
      <c r="H34" s="4" t="s">
        <v>100</v>
      </c>
    </row>
    <row r="35" spans="1:11" s="5" customFormat="1" ht="10.95" hidden="1" customHeight="1" x14ac:dyDescent="0.2">
      <c r="A35" s="4" t="s">
        <v>101</v>
      </c>
      <c r="B35" s="4" t="s">
        <v>102</v>
      </c>
      <c r="C35" s="4" t="s">
        <v>99</v>
      </c>
      <c r="D35" s="4" t="s">
        <v>11</v>
      </c>
      <c r="E35" s="4" t="s">
        <v>12</v>
      </c>
      <c r="F35" s="4" t="s">
        <v>13</v>
      </c>
      <c r="G35" s="4"/>
      <c r="H35" s="4" t="s">
        <v>72</v>
      </c>
    </row>
    <row r="36" spans="1:11" s="5" customFormat="1" ht="10.95" hidden="1" customHeight="1" x14ac:dyDescent="0.2">
      <c r="A36" s="4" t="s">
        <v>46</v>
      </c>
      <c r="B36" s="4" t="s">
        <v>103</v>
      </c>
      <c r="C36" s="4" t="s">
        <v>99</v>
      </c>
      <c r="D36" s="4" t="s">
        <v>11</v>
      </c>
      <c r="E36" s="4" t="s">
        <v>12</v>
      </c>
      <c r="F36" s="4" t="s">
        <v>13</v>
      </c>
      <c r="G36" s="4"/>
      <c r="H36" s="4" t="s">
        <v>45</v>
      </c>
    </row>
    <row r="37" spans="1:11" s="5" customFormat="1" ht="10.95" hidden="1" customHeight="1" x14ac:dyDescent="0.2">
      <c r="A37" s="4" t="s">
        <v>46</v>
      </c>
      <c r="B37" s="4" t="s">
        <v>104</v>
      </c>
      <c r="C37" s="4" t="s">
        <v>99</v>
      </c>
      <c r="D37" s="4" t="s">
        <v>11</v>
      </c>
      <c r="E37" s="4" t="s">
        <v>12</v>
      </c>
      <c r="F37" s="4" t="s">
        <v>13</v>
      </c>
      <c r="G37" s="4"/>
      <c r="H37" s="4" t="s">
        <v>105</v>
      </c>
    </row>
    <row r="38" spans="1:11" s="5" customFormat="1" ht="10.95" hidden="1" customHeight="1" x14ac:dyDescent="0.2">
      <c r="A38" s="4" t="s">
        <v>106</v>
      </c>
      <c r="B38" s="4" t="s">
        <v>107</v>
      </c>
      <c r="C38" s="4" t="s">
        <v>108</v>
      </c>
      <c r="D38" s="4" t="s">
        <v>11</v>
      </c>
      <c r="E38" s="4" t="s">
        <v>12</v>
      </c>
      <c r="F38" s="4" t="s">
        <v>13</v>
      </c>
      <c r="G38" s="4"/>
      <c r="H38" s="4" t="s">
        <v>31</v>
      </c>
    </row>
    <row r="39" spans="1:11" s="5" customFormat="1" ht="10.95" hidden="1" customHeight="1" x14ac:dyDescent="0.2">
      <c r="A39" s="4" t="s">
        <v>109</v>
      </c>
      <c r="B39" s="4" t="s">
        <v>110</v>
      </c>
      <c r="C39" s="4" t="s">
        <v>108</v>
      </c>
      <c r="D39" s="4" t="s">
        <v>11</v>
      </c>
      <c r="E39" s="4" t="s">
        <v>12</v>
      </c>
      <c r="F39" s="4" t="s">
        <v>13</v>
      </c>
      <c r="G39" s="4"/>
      <c r="H39" s="4" t="s">
        <v>111</v>
      </c>
    </row>
    <row r="40" spans="1:11" s="5" customFormat="1" ht="10.95" hidden="1" customHeight="1" x14ac:dyDescent="0.2">
      <c r="A40" s="4" t="s">
        <v>112</v>
      </c>
      <c r="B40" s="4" t="s">
        <v>113</v>
      </c>
      <c r="C40" s="4" t="s">
        <v>114</v>
      </c>
      <c r="D40" s="4" t="s">
        <v>115</v>
      </c>
      <c r="E40" s="4" t="s">
        <v>12</v>
      </c>
      <c r="F40" s="4" t="s">
        <v>13</v>
      </c>
      <c r="G40" s="4"/>
      <c r="H40" s="4" t="s">
        <v>116</v>
      </c>
    </row>
    <row r="41" spans="1:11" s="5" customFormat="1" ht="10.95" hidden="1" customHeight="1" x14ac:dyDescent="0.2">
      <c r="A41" s="4" t="s">
        <v>117</v>
      </c>
      <c r="B41" s="4" t="s">
        <v>118</v>
      </c>
      <c r="C41" s="4" t="s">
        <v>119</v>
      </c>
      <c r="D41" s="4" t="s">
        <v>120</v>
      </c>
      <c r="E41" s="4" t="s">
        <v>12</v>
      </c>
      <c r="F41" s="4" t="s">
        <v>121</v>
      </c>
      <c r="G41" s="4"/>
      <c r="H41" s="4"/>
    </row>
    <row r="42" spans="1:11" s="5" customFormat="1" ht="10.95" hidden="1" customHeight="1" x14ac:dyDescent="0.2">
      <c r="A42" s="4" t="s">
        <v>122</v>
      </c>
      <c r="B42" s="4" t="s">
        <v>123</v>
      </c>
      <c r="C42" s="4" t="s">
        <v>124</v>
      </c>
      <c r="D42" s="4" t="s">
        <v>11</v>
      </c>
      <c r="E42" s="4" t="s">
        <v>12</v>
      </c>
      <c r="F42" s="4" t="s">
        <v>13</v>
      </c>
      <c r="G42" s="4"/>
      <c r="H42" s="4" t="s">
        <v>107</v>
      </c>
    </row>
    <row r="43" spans="1:11" s="5" customFormat="1" ht="10.95" hidden="1" customHeight="1" x14ac:dyDescent="0.2">
      <c r="A43" s="4" t="s">
        <v>18</v>
      </c>
      <c r="B43" s="4" t="s">
        <v>125</v>
      </c>
      <c r="C43" s="4" t="s">
        <v>124</v>
      </c>
      <c r="D43" s="4" t="s">
        <v>11</v>
      </c>
      <c r="E43" s="4" t="s">
        <v>12</v>
      </c>
      <c r="F43" s="4" t="s">
        <v>13</v>
      </c>
      <c r="G43" s="4"/>
      <c r="H43" s="4" t="s">
        <v>41</v>
      </c>
    </row>
    <row r="44" spans="1:11" ht="10.95" customHeight="1" x14ac:dyDescent="0.2">
      <c r="A44" s="3" t="s">
        <v>126</v>
      </c>
      <c r="B44" s="3" t="s">
        <v>127</v>
      </c>
      <c r="C44" s="3" t="s">
        <v>128</v>
      </c>
      <c r="D44" s="3" t="s">
        <v>129</v>
      </c>
      <c r="E44" s="3" t="s">
        <v>130</v>
      </c>
      <c r="F44" s="3" t="s">
        <v>131</v>
      </c>
      <c r="G44" s="3"/>
      <c r="H44" s="3" t="s">
        <v>132</v>
      </c>
      <c r="I44">
        <v>19046.54</v>
      </c>
      <c r="J44" s="6" t="s">
        <v>171</v>
      </c>
      <c r="K44" s="6" t="s">
        <v>173</v>
      </c>
    </row>
    <row r="45" spans="1:11" ht="10.95" customHeight="1" x14ac:dyDescent="0.2">
      <c r="A45" s="3" t="s">
        <v>133</v>
      </c>
      <c r="B45" s="3" t="s">
        <v>134</v>
      </c>
      <c r="C45" s="3" t="s">
        <v>128</v>
      </c>
      <c r="D45" s="3" t="s">
        <v>129</v>
      </c>
      <c r="E45" s="3" t="s">
        <v>130</v>
      </c>
      <c r="F45" s="3" t="s">
        <v>131</v>
      </c>
      <c r="G45" s="3"/>
      <c r="H45" s="3" t="s">
        <v>135</v>
      </c>
      <c r="I45">
        <v>25106.07</v>
      </c>
      <c r="J45" s="6" t="s">
        <v>171</v>
      </c>
      <c r="K45" s="6" t="s">
        <v>173</v>
      </c>
    </row>
    <row r="46" spans="1:11" ht="10.95" customHeight="1" x14ac:dyDescent="0.2">
      <c r="A46" s="3" t="s">
        <v>136</v>
      </c>
      <c r="B46" s="3" t="s">
        <v>137</v>
      </c>
      <c r="C46" s="3" t="s">
        <v>128</v>
      </c>
      <c r="D46" s="3" t="s">
        <v>129</v>
      </c>
      <c r="E46" s="3" t="s">
        <v>130</v>
      </c>
      <c r="F46" s="3" t="s">
        <v>131</v>
      </c>
      <c r="G46" s="3"/>
      <c r="H46" s="3" t="s">
        <v>138</v>
      </c>
      <c r="I46">
        <v>6289.36</v>
      </c>
      <c r="J46" s="6" t="s">
        <v>171</v>
      </c>
      <c r="K46" s="6" t="s">
        <v>173</v>
      </c>
    </row>
    <row r="47" spans="1:11" ht="10.95" customHeight="1" x14ac:dyDescent="0.2">
      <c r="A47" s="3" t="s">
        <v>139</v>
      </c>
      <c r="B47" s="3" t="s">
        <v>140</v>
      </c>
      <c r="C47" s="3" t="s">
        <v>128</v>
      </c>
      <c r="D47" s="3" t="s">
        <v>129</v>
      </c>
      <c r="E47" s="3" t="s">
        <v>130</v>
      </c>
      <c r="F47" s="3" t="s">
        <v>131</v>
      </c>
      <c r="G47" s="3"/>
      <c r="H47" s="3" t="s">
        <v>141</v>
      </c>
      <c r="I47">
        <v>15230.79</v>
      </c>
      <c r="J47" s="6" t="s">
        <v>171</v>
      </c>
      <c r="K47" s="6" t="s">
        <v>173</v>
      </c>
    </row>
    <row r="48" spans="1:11" ht="10.95" customHeight="1" x14ac:dyDescent="0.2">
      <c r="A48" s="3" t="s">
        <v>142</v>
      </c>
      <c r="B48" s="3" t="s">
        <v>143</v>
      </c>
      <c r="C48" s="3" t="s">
        <v>144</v>
      </c>
      <c r="D48" s="3" t="s">
        <v>129</v>
      </c>
      <c r="E48" s="3" t="s">
        <v>130</v>
      </c>
      <c r="F48" s="3" t="s">
        <v>131</v>
      </c>
      <c r="G48" s="3"/>
      <c r="H48" s="3" t="s">
        <v>145</v>
      </c>
      <c r="I48">
        <v>216.67</v>
      </c>
      <c r="J48" s="6" t="s">
        <v>172</v>
      </c>
      <c r="K48" s="6" t="s">
        <v>176</v>
      </c>
    </row>
    <row r="49" spans="1:11" s="5" customFormat="1" ht="10.95" hidden="1" customHeight="1" x14ac:dyDescent="0.2">
      <c r="A49" s="4" t="s">
        <v>146</v>
      </c>
      <c r="B49" s="4" t="s">
        <v>28</v>
      </c>
      <c r="C49" s="4" t="s">
        <v>147</v>
      </c>
      <c r="D49" s="4" t="s">
        <v>11</v>
      </c>
      <c r="E49" s="4" t="s">
        <v>12</v>
      </c>
      <c r="F49" s="4" t="s">
        <v>13</v>
      </c>
      <c r="G49" s="4"/>
      <c r="H49" s="4" t="s">
        <v>148</v>
      </c>
    </row>
    <row r="50" spans="1:11" s="5" customFormat="1" ht="10.95" hidden="1" customHeight="1" x14ac:dyDescent="0.2">
      <c r="A50" s="4" t="s">
        <v>149</v>
      </c>
      <c r="B50" s="4" t="s">
        <v>111</v>
      </c>
      <c r="C50" s="4" t="s">
        <v>147</v>
      </c>
      <c r="D50" s="4" t="s">
        <v>11</v>
      </c>
      <c r="E50" s="4" t="s">
        <v>12</v>
      </c>
      <c r="F50" s="4" t="s">
        <v>13</v>
      </c>
      <c r="G50" s="4"/>
      <c r="H50" s="4" t="s">
        <v>31</v>
      </c>
    </row>
    <row r="51" spans="1:11" s="5" customFormat="1" ht="10.95" hidden="1" customHeight="1" x14ac:dyDescent="0.2">
      <c r="A51" s="4" t="s">
        <v>150</v>
      </c>
      <c r="B51" s="4" t="s">
        <v>105</v>
      </c>
      <c r="C51" s="4" t="s">
        <v>147</v>
      </c>
      <c r="D51" s="4" t="s">
        <v>11</v>
      </c>
      <c r="E51" s="4" t="s">
        <v>12</v>
      </c>
      <c r="F51" s="4" t="s">
        <v>13</v>
      </c>
      <c r="G51" s="4"/>
      <c r="H51" s="4" t="s">
        <v>26</v>
      </c>
    </row>
    <row r="52" spans="1:11" s="5" customFormat="1" ht="10.95" hidden="1" customHeight="1" x14ac:dyDescent="0.2">
      <c r="A52" s="4" t="s">
        <v>151</v>
      </c>
      <c r="B52" s="4" t="s">
        <v>152</v>
      </c>
      <c r="C52" s="4" t="s">
        <v>147</v>
      </c>
      <c r="D52" s="4" t="s">
        <v>11</v>
      </c>
      <c r="E52" s="4" t="s">
        <v>12</v>
      </c>
      <c r="F52" s="4" t="s">
        <v>13</v>
      </c>
      <c r="G52" s="4"/>
      <c r="H52" s="4" t="s">
        <v>153</v>
      </c>
    </row>
    <row r="53" spans="1:11" s="5" customFormat="1" ht="10.95" hidden="1" customHeight="1" x14ac:dyDescent="0.2">
      <c r="A53" s="4" t="s">
        <v>154</v>
      </c>
      <c r="B53" s="4" t="s">
        <v>45</v>
      </c>
      <c r="C53" s="4" t="s">
        <v>147</v>
      </c>
      <c r="D53" s="4" t="s">
        <v>11</v>
      </c>
      <c r="E53" s="4" t="s">
        <v>12</v>
      </c>
      <c r="F53" s="4" t="s">
        <v>13</v>
      </c>
      <c r="G53" s="4"/>
      <c r="H53" s="4" t="s">
        <v>36</v>
      </c>
    </row>
    <row r="54" spans="1:11" s="5" customFormat="1" ht="10.95" hidden="1" customHeight="1" x14ac:dyDescent="0.2">
      <c r="A54" s="4" t="s">
        <v>46</v>
      </c>
      <c r="B54" s="4" t="s">
        <v>155</v>
      </c>
      <c r="C54" s="4" t="s">
        <v>147</v>
      </c>
      <c r="D54" s="4" t="s">
        <v>11</v>
      </c>
      <c r="E54" s="4" t="s">
        <v>12</v>
      </c>
      <c r="F54" s="4" t="s">
        <v>13</v>
      </c>
      <c r="G54" s="4"/>
      <c r="H54" s="4" t="s">
        <v>33</v>
      </c>
    </row>
    <row r="55" spans="1:11" s="5" customFormat="1" ht="10.95" hidden="1" customHeight="1" x14ac:dyDescent="0.2">
      <c r="A55" s="4" t="s">
        <v>18</v>
      </c>
      <c r="B55" s="4" t="s">
        <v>156</v>
      </c>
      <c r="C55" s="4" t="s">
        <v>147</v>
      </c>
      <c r="D55" s="4" t="s">
        <v>11</v>
      </c>
      <c r="E55" s="4" t="s">
        <v>12</v>
      </c>
      <c r="F55" s="4" t="s">
        <v>13</v>
      </c>
      <c r="G55" s="4"/>
      <c r="H55" s="4" t="s">
        <v>41</v>
      </c>
    </row>
    <row r="56" spans="1:11" ht="10.95" customHeight="1" x14ac:dyDescent="0.2">
      <c r="A56" s="3" t="s">
        <v>157</v>
      </c>
      <c r="B56" s="3" t="s">
        <v>31</v>
      </c>
      <c r="C56" s="3" t="s">
        <v>158</v>
      </c>
      <c r="D56" s="3" t="s">
        <v>159</v>
      </c>
      <c r="E56" s="3" t="s">
        <v>12</v>
      </c>
      <c r="F56" s="3" t="s">
        <v>131</v>
      </c>
      <c r="G56" s="3"/>
      <c r="H56" s="3" t="s">
        <v>160</v>
      </c>
      <c r="I56" s="8">
        <v>6483.5</v>
      </c>
      <c r="J56" s="9" t="s">
        <v>171</v>
      </c>
      <c r="K56" s="6" t="s">
        <v>173</v>
      </c>
    </row>
    <row r="57" spans="1:11" ht="10.95" customHeight="1" x14ac:dyDescent="0.2">
      <c r="A57" s="3" t="s">
        <v>161</v>
      </c>
      <c r="B57" s="3" t="s">
        <v>162</v>
      </c>
      <c r="C57" s="3" t="s">
        <v>158</v>
      </c>
      <c r="D57" s="3" t="s">
        <v>159</v>
      </c>
      <c r="E57" s="3" t="s">
        <v>12</v>
      </c>
      <c r="F57" s="3" t="s">
        <v>131</v>
      </c>
      <c r="G57" s="3"/>
      <c r="H57" s="3" t="s">
        <v>163</v>
      </c>
      <c r="I57" s="8">
        <v>9823.3700000000008</v>
      </c>
      <c r="J57" s="9" t="s">
        <v>171</v>
      </c>
      <c r="K57" s="6" t="s">
        <v>173</v>
      </c>
    </row>
    <row r="58" spans="1:11" ht="10.95" customHeight="1" x14ac:dyDescent="0.2">
      <c r="A58" s="3" t="s">
        <v>164</v>
      </c>
      <c r="B58" s="3" t="s">
        <v>72</v>
      </c>
      <c r="C58" s="3" t="s">
        <v>158</v>
      </c>
      <c r="D58" s="3" t="s">
        <v>159</v>
      </c>
      <c r="E58" s="3" t="s">
        <v>12</v>
      </c>
      <c r="F58" s="3" t="s">
        <v>131</v>
      </c>
      <c r="G58" s="3"/>
      <c r="H58" s="3" t="s">
        <v>165</v>
      </c>
      <c r="I58" s="8">
        <v>1224.48</v>
      </c>
      <c r="J58" s="9" t="s">
        <v>171</v>
      </c>
      <c r="K58" s="6" t="s">
        <v>173</v>
      </c>
    </row>
    <row r="59" spans="1:11" ht="10.95" customHeight="1" x14ac:dyDescent="0.2">
      <c r="A59" s="3" t="s">
        <v>139</v>
      </c>
      <c r="B59" s="3" t="s">
        <v>166</v>
      </c>
      <c r="C59" s="3" t="s">
        <v>158</v>
      </c>
      <c r="D59" s="3" t="s">
        <v>159</v>
      </c>
      <c r="E59" s="3" t="s">
        <v>12</v>
      </c>
      <c r="F59" s="3" t="s">
        <v>131</v>
      </c>
      <c r="G59" s="3"/>
      <c r="H59" s="3" t="s">
        <v>141</v>
      </c>
      <c r="I59" s="8">
        <v>4700.21</v>
      </c>
      <c r="J59" s="9" t="s">
        <v>171</v>
      </c>
      <c r="K59" s="6" t="s">
        <v>173</v>
      </c>
    </row>
    <row r="60" spans="1:11" ht="10.95" customHeight="1" x14ac:dyDescent="0.2">
      <c r="A60" s="3" t="s">
        <v>167</v>
      </c>
      <c r="B60" s="3" t="s">
        <v>168</v>
      </c>
      <c r="C60" s="3" t="s">
        <v>158</v>
      </c>
      <c r="D60" s="3" t="s">
        <v>169</v>
      </c>
      <c r="E60" s="3" t="s">
        <v>12</v>
      </c>
      <c r="F60" s="3" t="s">
        <v>131</v>
      </c>
      <c r="G60" s="3"/>
      <c r="H60" s="3" t="s">
        <v>170</v>
      </c>
      <c r="I60" s="8">
        <v>43427.99</v>
      </c>
      <c r="J60" s="9" t="s">
        <v>171</v>
      </c>
      <c r="K60" s="6" t="s">
        <v>174</v>
      </c>
    </row>
    <row r="61" spans="1:11" ht="11.4" hidden="1" customHeight="1" x14ac:dyDescent="0.2">
      <c r="I61">
        <f>I56+I57+I58+I59</f>
        <v>22231.56</v>
      </c>
      <c r="J61" s="6" t="s">
        <v>175</v>
      </c>
    </row>
  </sheetData>
  <autoFilter ref="A1:H61" xr:uid="{0B8D2851-0BB2-400E-8FC2-6130829FA95D}">
    <filterColumn colId="3">
      <colorFilter dxfId="0"/>
    </filterColumn>
  </autoFilter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a.biehisheva</cp:lastModifiedBy>
  <dcterms:modified xsi:type="dcterms:W3CDTF">2025-05-15T07:15:30Z</dcterms:modified>
</cp:coreProperties>
</file>
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Общая\PL\PL по компании\2025\Аперель_25\Данные для PL\Производство\"/>
    </mc:Choice>
  </mc:AlternateContent>
  <xr:revisionPtr revIDLastSave="0" documentId="13_ncr:1_{C6C2B16E-F691-410A-8A40-773BED49CCAA}" xr6:coauthVersionLast="45" xr6:coauthVersionMax="45" xr10:uidLastSave="{00000000-0000-0000-0000-000000000000}"/>
  <bookViews>
    <workbookView xWindow="-108" yWindow="-108" windowWidth="23256" windowHeight="12600" xr2:uid="{00000000-000D-0000-FFFF-FFFF00000000}"/>
  </bookViews>
  <sheets>
    <sheet name="TDSheet" sheetId="1" r:id="rId1"/>
  </sheets>
  <definedNames>
    <definedName name="_xlnm._FilterDatabase" localSheetId="0" hidden="1">TDSheet!$A$12:$N$521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9" i="1" l="1"/>
  <c r="R8" i="1"/>
  <c r="R6" i="1"/>
  <c r="R4" i="1"/>
  <c r="R2" i="1"/>
  <c r="O8" i="1"/>
</calcChain>
</file>

<file path=xl/sharedStrings.xml><?xml version="1.0" encoding="utf-8"?>
<sst xmlns="http://schemas.openxmlformats.org/spreadsheetml/2006/main" count="4081" uniqueCount="586">
  <si>
    <t>ТОВ "ІНДАСТРІАЛБУД"</t>
  </si>
  <si>
    <t>Картка рахунку 231 за Квітень 2025 р.</t>
  </si>
  <si>
    <t>Виведені дані:</t>
  </si>
  <si>
    <t>БО (дані бухгалтерського обліку)</t>
  </si>
  <si>
    <t>Відбір:</t>
  </si>
  <si>
    <t>Підрозділи Дорівнює "Виробничий (Цех МД ВООЗ ЕМС)"</t>
  </si>
  <si>
    <t>Період</t>
  </si>
  <si>
    <t>Документ</t>
  </si>
  <si>
    <t>Аналітика Дт</t>
  </si>
  <si>
    <t>Аналітика Кт</t>
  </si>
  <si>
    <t>Дебет</t>
  </si>
  <si>
    <t>Кредит</t>
  </si>
  <si>
    <t>Поточне сальдо</t>
  </si>
  <si>
    <t>Рахунок</t>
  </si>
  <si>
    <t>Сальдо на початок</t>
  </si>
  <si>
    <t>01.04.2025</t>
  </si>
  <si>
    <t>Надходження товарів і послуг ІБ00-001488 від 01.04.2025 18:03:54
Услуги</t>
  </si>
  <si>
    <t>Обл. НДС
Виробничий (Цех МД ВООЗ ЕМС)
Цех МД ВООЗ ЕМС
Послуги транспортно-експедиційні</t>
  </si>
  <si>
    <t>ІНДЕП ТРАНС ТОВ
дог. 20.07.22 від 20.07.2022 РАХУНКИ_МД ВООЗ ЄМС
Рахунок на оплату постачальника ІБ00-001160 від 01.04.2025 18:03:53</t>
  </si>
  <si>
    <t>231</t>
  </si>
  <si>
    <t>631</t>
  </si>
  <si>
    <t xml:space="preserve"> </t>
  </si>
  <si>
    <t>Д</t>
  </si>
  <si>
    <t>03.04.2025</t>
  </si>
  <si>
    <t>Надходження товарів і послуг ІБ00-001515 від 03.04.2025 10:00:00
Услуги</t>
  </si>
  <si>
    <t>ІНДЕП ТРАНС ТОВ
дог. 20.07.22 від 20.07.2022 РАХУНКИ_МД ВООЗ ЄМС
Рахунок на оплату постачальника ІБ00-001194 від 03.04.2025 08:00:00</t>
  </si>
  <si>
    <t>Надходження товарів і послуг ІБ00-001764 від 03.04.2025 11:00:00
Услуги</t>
  </si>
  <si>
    <t>ІНДЕП ТРАНС ТОВ
дог. 20.07.22 від 20.07.2022 РАХУНКИ_МД ВООЗ ЄМС
Рахунок на оплату постачальника ІБ00-001409 від 03.04.2025 10:00:00</t>
  </si>
  <si>
    <t>Надходження товарів і послуг ІБ00-001516 від 03.04.2025 17:41:49
Услуги</t>
  </si>
  <si>
    <t>ІНДЕП ТРАНС ТОВ
дог. 20.07.22 від 20.07.2022 РАХУНКИ_МД ВООЗ ЄМС
Рахунок на оплату постачальника ІБ00-001195 від 03.04.2025 17:41:48</t>
  </si>
  <si>
    <t>Надходження товарів і послуг ІБ00-001517 від 03.04.2025 17:41:51
Услуги</t>
  </si>
  <si>
    <t>ІНДЕП ТРАНС ТОВ
дог. 20.07.22 від 20.07.2022 РАХУНКИ_МД ВООЗ ЄМС
Рахунок на оплату постачальника ІБ00-001196 від 03.04.2025 17:41:50</t>
  </si>
  <si>
    <t>07.04.2025</t>
  </si>
  <si>
    <t>Надходження товарів і послуг ІБ00-001761 від 07.04.2025 11:00:00
Услуги</t>
  </si>
  <si>
    <t>ІНДЕП ТРАНС ТОВ
дог. 20.07.22 від 20.07.2022 РАХУНКИ_МД ВООЗ ЄМС
Рахунок на оплату постачальника ІБ00-001209 від 07.04.2025 00:00:00</t>
  </si>
  <si>
    <t>Надходження товарів і послуг ІБ00-001765 від 07.04.2025 11:00:00
Услуги</t>
  </si>
  <si>
    <t>ІНДЕП ТРАНС ТОВ
дог. 20.07.22 від 20.07.2022 РАХУНКИ_МД ВООЗ ЄМС
Рахунок на оплату постачальника ІБ00-001211 від 07.04.2025 20:00:19</t>
  </si>
  <si>
    <t>Надходження товарів і послуг ІБ00-001518 від 07.04.2025 20:00:13
Услуги</t>
  </si>
  <si>
    <t>ІНДЕП ТРАНС ТОВ
дог. 20.07.22 від 20.07.2022 РАХУНКИ_МД ВООЗ ЄМС
Рахунок на оплату постачальника ІБ00-001197 від 07.04.2025 20:00:12</t>
  </si>
  <si>
    <t>08.04.2025</t>
  </si>
  <si>
    <t>Надходження товарів і послуг ІБ00-001770 від 08.04.2025 11:00:00
Услуги</t>
  </si>
  <si>
    <t>ІНДЕП ТРАНС ТОВ
дог. 20.07.22 від 20.07.2022 РАХУНКИ_МД ВООЗ ЄМС
Рахунок на оплату постачальника ІБ00-001414 від 08.04.2025 10:00:00</t>
  </si>
  <si>
    <t>Надходження товарів і послуг ІБ00-001603 від 08.04.2025 23:11:51
Услуги</t>
  </si>
  <si>
    <t>Обл. НДС
Виробничий (Цех МД ВООЗ ЕМС)
Цех МД ВООЗ ЕМС
Прямі виробничі витрати на придбання робіт, послуг</t>
  </si>
  <si>
    <t>Шишенко Тетяна Володимирівна ФОП
РАХУНКИ_ МД ВООЗ ЕМС
Рахунок на оплату постачальника ІБ00-001287 від 08.04.2025 23:11:37</t>
  </si>
  <si>
    <t>09.04.2025</t>
  </si>
  <si>
    <t>Надходження товарів і послуг ІБ00-001762 від 09.04.2025 11:00:00
Услуги</t>
  </si>
  <si>
    <t>ІНДЕП ТРАНС ТОВ
дог. 20.07.22 від 20.07.2022 РАХУНКИ_МД ВООЗ ЄМС
Рахунок на оплату постачальника ІБ00-001342 від 09.04.2025 23:59:59</t>
  </si>
  <si>
    <t>Надходження товарів і послуг ІБ00-001763 від 09.04.2025 11:00:00
Услуги</t>
  </si>
  <si>
    <t>ІНДЕП ТРАНС ТОВ
дог. 20.07.22 від 20.07.2022 РАХУНКИ_МД ВООЗ ЄМС
Рахунок на оплату постачальника ІБ00-001343 від 09.04.2025 23:59:59</t>
  </si>
  <si>
    <t>14.04.2025</t>
  </si>
  <si>
    <t>Надходження товарів і послуг ІБ00-001767 від 14.04.2025 11:00:00
Услуги</t>
  </si>
  <si>
    <t>ІНДЕП ТРАНС ТОВ
дог. 20.07.22 від 20.07.2022 РАХУНКИ_МД ВООЗ ЄМС
Рахунок на оплату постачальника ІБ00-001411 від 14.04.2025 18:04:26</t>
  </si>
  <si>
    <t>Надходження товарів і послуг ІБ00-001768 від 14.04.2025 11:00:00
Услуги</t>
  </si>
  <si>
    <t>ІНДЕП ТРАНС ТОВ
дог. 20.07.22 від 20.07.2022 РАХУНКИ_МД ВООЗ ЄМС
Рахунок на оплату постачальника ІБ00-001412 від 14.04.2025 10:00:00</t>
  </si>
  <si>
    <t>Надходження товарів і послуг ІБ00-001769 від 14.04.2025 11:00:00
Услуги</t>
  </si>
  <si>
    <t>ІНДЕП ТРАНС ТОВ
дог. 20.07.22 від 20.07.2022 РАХУНКИ_МД ВООЗ ЄМС
Рахунок на оплату постачальника ІБ00-001413 від 14.04.2025 10:00:00</t>
  </si>
  <si>
    <t>Надходження товарів і послуг ІБ00-001771 від 14.04.2025 11:00:00
Услуги</t>
  </si>
  <si>
    <t>ІНДЕП ТРАНС ТОВ
дог. 20.07.22 від 20.07.2022 РАХУНКИ_МД ВООЗ ЄМС
Рахунок на оплату постачальника ІБ00-001344 від 14.04.2025 18:04:12</t>
  </si>
  <si>
    <t>Надходження товарів і послуг ІБ00-001772 від 14.04.2025 11:00:00
Услуги</t>
  </si>
  <si>
    <t>ІНДЕП ТРАНС ТОВ
дог. 20.07.22 від 20.07.2022 РАХУНКИ_МД ВООЗ ЄМС
Рахунок на оплату постачальника ІБ00-001415 від 14.04.2025 10:00:00</t>
  </si>
  <si>
    <t>Надходження товарів і послуг ІБ00-001773 від 14.04.2025 11:00:00
Услуги</t>
  </si>
  <si>
    <t>ІНДЕП ТРАНС ТОВ
дог. 20.07.22 від 20.07.2022 РАХУНКИ_МД ВООЗ ЄМС
Рахунок на оплату постачальника ІБ00-001416 від 14.04.2025 10:00:00</t>
  </si>
  <si>
    <t>15.04.2025</t>
  </si>
  <si>
    <t>Надходження товарів і послуг ІБ00-001878 від 15.04.2025 11:00:00
Услуги</t>
  </si>
  <si>
    <t>ІНДЕП ТРАНС ТОВ
дог. 20.07.22 від 20.07.2022 РАХУНКИ_МД ВООЗ ЄМС
Рахунок на оплату постачальника ІБ00-001542 від 15.04.2025 18:31:09</t>
  </si>
  <si>
    <t>Надходження товарів і послуг ІБ00-001879 від 15.04.2025 11:00:00
Услуги</t>
  </si>
  <si>
    <t>ІНДЕП ТРАНС ТОВ
дог. 20.07.22 від 20.07.2022 РАХУНКИ_МД ВООЗ ЄМС
Рахунок на оплату постачальника ІБ00-001483 від 15.04.2025 18:31:05</t>
  </si>
  <si>
    <t>Надходження товарів і послуг ІБ00-001880 від 15.04.2025 11:00:00
Услуги</t>
  </si>
  <si>
    <t>ІНДЕП ТРАНС ТОВ
дог. 20.07.22 від 20.07.2022 РАХУНКИ_МД ВООЗ ЄМС
Рахунок на оплату постачальника ІБ00-001482 від 15.04.2025 18:31:04</t>
  </si>
  <si>
    <t>Надходження товарів і послуг ІБ00-001987 від 15.04.2025 11:00:00
Услуги</t>
  </si>
  <si>
    <t>ІНДЕП ТРАНС ТОВ
дог. 20.07.22 від 20.07.2022 РАХУНКИ_МД ВООЗ ЄМС
Рахунок на оплату постачальника ІБ00-001618 від 15.04.2025 18:31:12</t>
  </si>
  <si>
    <t>16.04.2025</t>
  </si>
  <si>
    <t>Надходження товарів і послуг ІБ00-001863 від 16.04.2025 11:00:00
Услуги</t>
  </si>
  <si>
    <t>ІНДЕП ТРАНС ТОВ
дог. 20.07.22 від 20.07.2022 РАХУНКИ_МД ВООЗ ЄМС
Рахунок на оплату постачальника ІБ00-001480 від 16.04.2025 17:38:55</t>
  </si>
  <si>
    <t>Надходження товарів і послуг ІБ00-002039 від 16.04.2025 17:38:59
Услуги</t>
  </si>
  <si>
    <t>ПЕРША ПОКРІВЕЛЬНА ГІЛЬДІЯ ТОВ
РАХУНКИ_МД ВООЗ ЕМС
Рахунок на оплату постачальника ІБ00-001649 від 08.04.2025 23:12:08</t>
  </si>
  <si>
    <t>Надходження товарів і послуг ІБ00-002041 від 16.04.2025 17:39:00
Услуги</t>
  </si>
  <si>
    <t>ПЕРША ПОКРІВЕЛЬНА ГІЛЬДІЯ ТОВ
РАХУНКИ_МД ВООЗ ЕМС
Рахунок на оплату постачальника ІБ00-001650 від 09.04.2025 00:00:00</t>
  </si>
  <si>
    <t>Надходження товарів і послуг ІБ00-002048 від 16.04.2025 17:39:01
Услуги (Зачет аванса поставщику)</t>
  </si>
  <si>
    <t>ПЕРША ПОКРІВЕЛЬНА ГІЛЬДІЯ ТОВ
РАХУНКИ_МД ВООЗ ЕМС
Рахунок на оплату постачальника ІБ00-001226 від 07.04.2025 20:00:22</t>
  </si>
  <si>
    <t>17.04.2025</t>
  </si>
  <si>
    <t>Надходження товарів і послуг ІБ00-001862 від 17.04.2025 11:00:00
Услуги</t>
  </si>
  <si>
    <t>ІНДЕП ТРАНС ТОВ
дог. 20.07.22 від 20.07.2022 РАХУНКИ_МД ВООЗ ЄМС
Рахунок на оплату постачальника ІБ00-001531 від 17.04.2025 18:06:38</t>
  </si>
  <si>
    <t>Надходження товарів і послуг ІБ00-001943 від 17.04.2025 11:00:00
Услуги</t>
  </si>
  <si>
    <t>ІНДЕП ТРАНС ТОВ
дог. 20.07.22 від 20.07.2022 РАХУНКИ_МД ВООЗ ЄМС
Рахунок на оплату постачальника ІБ00-001608 від 17.04.2025 18:06:42</t>
  </si>
  <si>
    <t>18.04.2025</t>
  </si>
  <si>
    <t>Надходження товарів і послуг ІБ00-001864 від 18.04.2025 11:00:00
Услуги</t>
  </si>
  <si>
    <t>ІНДЕП ТРАНС ТОВ
дог. 20.07.22 від 20.07.2022 РАХУНКИ_МД ВООЗ ЄМС
Рахунок на оплату постачальника ІБ00-001532 від 18.04.2025 18:10:18</t>
  </si>
  <si>
    <t>Надходження товарів і послуг ІБ00-001944 від 18.04.2025 11:00:00
Услуги</t>
  </si>
  <si>
    <t>ІНДЕП ТРАНС ТОВ
дог. 20.07.22 від 20.07.2022 РАХУНКИ_МД ВООЗ ЄМС
Рахунок на оплату постачальника ІБ00-001609 від 18.04.2025 18:10:23</t>
  </si>
  <si>
    <t>23.04.2025</t>
  </si>
  <si>
    <t>Вимога-накладна ІБ00-000326 від 23.04.2025 00:00:00
Списаны ТМЦ</t>
  </si>
  <si>
    <t>Обл. НДС
Виробничий (Цех МД ВООЗ ЕМС)
Цех МД ВООЗ ЕМС
Прямі материальні виробничі витрати крім зворотніх відходів</t>
  </si>
  <si>
    <t>Обл. НДС
EKOBOARD 100*610*1250 мм 12.2 м2 1/36
Надходження товарів і послуг ІБ00-000796 від 03.03.2025 18:08:47
Цех_ВООЗ (ЕМС)</t>
  </si>
  <si>
    <t>205</t>
  </si>
  <si>
    <t>Обл. НДС
EKOBOARD 50*610*1250 мм 12.2 м2 1/36
Надходження товарів і послуг ІБ00-001348 від 28.03.2025 18:00:07
Цех_ВООЗ (ЕМС)</t>
  </si>
  <si>
    <t>Обл. НДС
Автомат введення резерву  2п 63A 
Надходження товарів і послуг ІБ00-001357 від 14.03.2025 17:51:14
Цех_ВООЗ (ЕМС)</t>
  </si>
  <si>
    <t>Обл. НДС
Автоматичний вимикач  1 п 10А  
Надходження товарів і послуг ІБ00-006453 від 01.12.2024 18:01:29
Цех_ВООЗ (ЕМС)</t>
  </si>
  <si>
    <t>Обл. НДС
Автоматичний вимикач  1 п 10А  
Надходження товарів і послуг ІБ00-006464 від 24.12.2024 18:38:29
Цех_ВООЗ (ЕМС)</t>
  </si>
  <si>
    <t>Обл. НДС
Автоматичний вимикач  1 п 16А  С
Надходження товарів і послуг ІБ00-006453 від 01.12.2024 18:01:29
Цех_ВООЗ (ЕМС)</t>
  </si>
  <si>
    <t>Обл. НДС
Автоматичний вимикач  1 п 16А  С
Надходження товарів і послуг ІБ00-006464 від 24.12.2024 18:38:29
Цех_ВООЗ (ЕМС)</t>
  </si>
  <si>
    <t>Обл. НДС
Автоматичний вимикач  1 п 25А  C e mcb stand 45 1 c25 1p 25A C 4.5KA
Надходження товарів і послуг ІБ00-006464 від 24.12.2024 18:38:29
Цех_ВООЗ (ЕМС)</t>
  </si>
  <si>
    <t>Обл. НДС
Автоматичний вимикач  3 п 50А  
Надходження товарів і послуг ІБ00-001211 від 24.03.2025 17:30:32
Цех_ВООЗ (ЕМС)</t>
  </si>
  <si>
    <t>Обл. НДС
Болт М12*60  DIN 933 з шест.голівкою цб
Надходження товарів і послуг ІБ00-001139 від 19.03.2025 17:35:50
Цех_ВООЗ (ЕМС)</t>
  </si>
  <si>
    <t>Обл. НДС
Болт М12*90  DIN 933 оц
Надходження товарів і послуг ІБ00-001139 від 19.03.2025 17:35:50
Цех_ВООЗ (ЕМС)</t>
  </si>
  <si>
    <t>Обл. НДС
Болт М16*60  DIN 933 оц. 5,8
Надходження товарів і послуг ІБ00-001555 від 10.04.2025 22:56:36
Цех_ВООЗ (ЕМС)</t>
  </si>
  <si>
    <t>Обл. НДС
Болт М16*90
Надходження товарів і послуг ІБ00-001139 від 19.03.2025 17:35:50
Цех_ВООЗ (ЕМС)</t>
  </si>
  <si>
    <t>Обл. НДС
Болт М16*90  DIN 933 з шест.голівкою цб
Надходження товарів і послуг ІБ00-000583 від 14.02.2025 18:35:26
Цех_ВООЗ (ЕМС)</t>
  </si>
  <si>
    <t>Обл. НДС
Болт М20*200 
Надходження товарів і послуг ІБ00-001555 від 10.04.2025 22:56:36
Цех_ВООЗ (ЕМС)</t>
  </si>
  <si>
    <t>Обл. НДС
Болт М24*200
Надходження товарів і послуг ІБ00-000583 від 14.02.2025 18:35:26
Цех_ВООЗ (ЕМС)</t>
  </si>
  <si>
    <t>Обл. НДС
Брус 20*100*6000
Надходження товарів і послуг ІБ00-001741 від 17.04.2025 18:06:17
Цех_ВООЗ (ЕМС)</t>
  </si>
  <si>
    <t>Обл. НДС
Брус 50*25*3
Надходження товарів і послуг ІБ00-001741 від 17.04.2025 18:06:17
Цех_ВООЗ (ЕМС)</t>
  </si>
  <si>
    <t>Обл. НДС
Брус 50*50*3,0
Надходження товарів і послуг ІБ00-001741 від 17.04.2025 18:06:17
Цех_ВООЗ (ЕМС)</t>
  </si>
  <si>
    <t>Обл. НДС
Вагонка ПВХ Біла матова 0,25х6 м (8мм)
Надходження товарів і послуг ІБ00-001246 від 26.03.2025 22:31:46
Цех_ВООЗ (ЕМС)</t>
  </si>
  <si>
    <t>Обл. НДС
ВВГнг 3х1,5 кабель
Надходження товарів і послуг ІБ00-000831 від 04.03.2025 17:40:15
Цех_ВООЗ (ЕМС)</t>
  </si>
  <si>
    <t>Обл. НДС
ВВГнг 3х1,5 кабель
Надходження товарів і послуг ІБ00-000965 від 12.03.2025 18:45:04
Цех_ВООЗ (ЕМС)</t>
  </si>
  <si>
    <t>Обл. НДС
ВВГнг 3х2,5 кабель
Надходження товарів і послуг ІБ00-000831 від 04.03.2025 17:40:15
Цех_ВООЗ (ЕМС)</t>
  </si>
  <si>
    <t>Обл. НДС
ВВГнг 3х4 кабель
Надходження товарів і послуг ІБ00-005766 від 25.11.2024 14:55:52
Цех_ВООЗ (ЕМС)</t>
  </si>
  <si>
    <t>Обл. НДС
ВВГнг 3х4 кабель
Надходження товарів і послуг ІБ00-000831 від 04.03.2025 17:40:15
Цех_ВООЗ (ЕМС)</t>
  </si>
  <si>
    <t>Обл. НДС
ВВГнг 3х4 кабель
Надходження товарів і послуг ІБ00-000965 від 12.03.2025 18:45:04
Цех_ВООЗ (ЕМС)</t>
  </si>
  <si>
    <t>Обл. НДС
ВВГнг 3х6 кабель
Надходження товарів і послуг ІБ00-001211 від 24.03.2025 17:30:32
Цех_ВООЗ (ЕМС)</t>
  </si>
  <si>
    <t>Обл. НДС
Вентилятор Домовент 100С1 (14Вт, 94 м куб/год.)
Надходження товарів і послуг ІБ00-000831 від 04.03.2025 17:40:15
Цех_ВООЗ (ЕМС)</t>
  </si>
  <si>
    <t>Обл. НДС
Вилка переносна 7023 32А 220В 2Р+Е ІР44
Надходження товарів і послуг ІБ00-000845 від 05.03.2025 18:37:43
Цех_ВООЗ (ЕМС)</t>
  </si>
  <si>
    <t>Обл. НДС
Вилка переносна 7023 32А 220В 2Р+Е ІР44
Надходження товарів і послуг ІБ00-001005 від 12.03.2025 18:45:10
Цех_ВООЗ (ЕМС)</t>
  </si>
  <si>
    <t>Обл. НДС
Вилка портативна 32А
Надходження товарів і послуг ІБ00-001477 від 04.04.2025 23:24:42
Цех_ВООЗ (ЕМС)</t>
  </si>
  <si>
    <t>Обл. НДС
Вилка пряма 16 А
Надходження товарів і послуг ІБ00-000845 від 05.03.2025 18:37:43
Цех_ВООЗ (ЕМС)</t>
  </si>
  <si>
    <t>Обл. НДС
Вимикач  диференц струму з захистом16А С 10мА
Надходження товарів і послуг ІБ00-000831 від 04.03.2025 17:40:15
Цех_ВООЗ (ЕМС)</t>
  </si>
  <si>
    <t>Обл. НДС
Вимикач 1-клавішний
Надходження товарів і послуг ІБ00-000831 від 04.03.2025 17:40:15
Цех_ВООЗ (ЕМС)</t>
  </si>
  <si>
    <t>Обл. НДС
Вимикач 1-клавішний
Надходження товарів і послуг ІБ00-001007 від 11.03.2025 19:00:03
Цех_ВООЗ (ЕМС)</t>
  </si>
  <si>
    <t>Обл. НДС
Вимикач 2-клавішний
Надходження товарів і послуг ІБ00-000831 від 04.03.2025 17:40:15
Цех_ВООЗ (ЕМС)</t>
  </si>
  <si>
    <t>Обл. НДС
Витяжка купольна
Надходження товарів і послуг ІБ00-000825 від 06.03.2025 12:31:01
Цех_ВООЗ (ЕМС)</t>
  </si>
  <si>
    <t>Обл. НДС
Відвід d 110 мм 45"
Надходження товарів і послуг ІБ00-000989 від 13.03.2025 18:54:27
Цех_ВООЗ (ЕМС)</t>
  </si>
  <si>
    <t>Обл. НДС
Відвід d 50 мм 87*30"
Надходження товарів і послуг ІБ00-001116 від 18.03.2025 23:12:17
Цех_ВООЗ (ЕМС)</t>
  </si>
  <si>
    <t>Обл. НДС
Відвід D=110 мм, 87 30
Надходження товарів і послуг ІБ00-001116 від 18.03.2025 23:12:17
Цех_ВООЗ (ЕМС)</t>
  </si>
  <si>
    <t>Обл. НДС
Відвід D=32 мм, 87° 30 ' 3917400090
Надходження товарів і послуг ІБ00-000989 від 13.03.2025 18:54:27
Цех_ВООЗ (ЕМС)</t>
  </si>
  <si>
    <t>Обл. НДС
Відвід D=50 mm 45
Надходження товарів і послуг ІБ00-001002 від 14.03.2025 13:53:57
Цех_ВООЗ (ЕМС)</t>
  </si>
  <si>
    <t>Обл. НДС
Відро з кришкою 20л
Надходження товарів і послуг ІБ00-000957 від 12.03.2025 18:44:59
Цех_ВООЗ (ЕМС)</t>
  </si>
  <si>
    <t>Обл. НДС
Вікно металопластикове
Надходження товарів і послуг ІБ00-005245 від 23.10.2024 18:16:45
Цех_ВООЗ (ЕМС)</t>
  </si>
  <si>
    <t>Обл. НДС
Вішалка підлогова
Надходження товарів і послуг ІБ00-000958 від 09.03.2025 18:00:01
Цех_ВООЗ (ЕМС)</t>
  </si>
  <si>
    <t>Обл. НДС
Вішалка підлогова
Надходження товарів і послуг ІБ00-000957 від 12.03.2025 18:44:59
Цех_ВООЗ (ЕМС)</t>
  </si>
  <si>
    <t>Обл. НДС
Вогнебіозахист 1кг
Надходження товарів і послуг ІБ00-000585 від 19.02.2025 15:03:23
Цех_ВООЗ (ЕМС)</t>
  </si>
  <si>
    <t>Обл. НДС
Вогнегасник порошковий ОП3 3 кг
Надходження товарів і послуг ІБ00-004427 від 26.09.2024 18:44:30
Цех_ВООЗ (ЕМС)</t>
  </si>
  <si>
    <t>Обл. НДС
Водонагрівач Atlantic GC 1004424D B14 TBR, 100л
Надходження товарів і послуг ІБ00-001002 від 14.03.2025 13:53:57
Цех_ВООЗ (ЕМС)</t>
  </si>
  <si>
    <t>Обл. НДС
Гайка М12  DIN 934  цб
Надходження товарів і послуг ІБ00-001139 від 19.03.2025 17:35:50
Цех_ВООЗ (ЕМС)</t>
  </si>
  <si>
    <t>Обл. НДС
Гайка М16
Надходження товарів і послуг ІБ00-000583 від 14.02.2025 18:35:26
Цех_ВООЗ (ЕМС)</t>
  </si>
  <si>
    <t>Обл. НДС
Гайка М16
Надходження товарів і послуг ІБ00-000584 від 14.02.2025 18:35:28
Цех_ВООЗ (ЕМС)</t>
  </si>
  <si>
    <t>Обл. НДС
Гайка М20  DIN 934
Надходження товарів і послуг ІБ00-001555 від 10.04.2025 22:56:36
Цех_ВООЗ (ЕМС)</t>
  </si>
  <si>
    <t>Обл. НДС
Гайка М24  DIN 934
Надходження товарів і послуг ІБ00-000583 від 14.02.2025 18:35:26
Цех_ВООЗ (ЕМС)</t>
  </si>
  <si>
    <t>Обл. НДС
Гайка М48 DIN934
Надходження товарів і послуг ІБ00-000583 від 14.02.2025 18:35:26
Цех_ВООЗ (ЕМС)</t>
  </si>
  <si>
    <t>Обл. НДС
Гвинт 4,8х60
Надходження товарів і послуг ІБ00-001175 від 24.03.2025 17:30:23
Цех_ВООЗ (ЕМС)</t>
  </si>
  <si>
    <t>Обл. НДС
Генератор 
Надходження товарів і послуг ІБ00-001477 від 04.04.2025 23:24:42
Цех_ВООЗ (ЕМС)</t>
  </si>
  <si>
    <t>Обл. НДС
Геотекстиль 200г/м2
Надходження товарів і послуг ІБ00-001246 від 26.03.2025 22:31:46
Цех_ВООЗ (ЕМС)</t>
  </si>
  <si>
    <t>Обл. НДС
Гнучка труба 1 1/2х40/50
Надходження товарів і послуг ІБ00-000704 від 03.03.2025 15:13:22
Цех_ВООЗ (ЕМС)</t>
  </si>
  <si>
    <t>Обл. НДС
Гнучка труба для унітаза 500мм
Надходження товарів і послуг ІБ00-001112 від 18.03.2025 23:12:14
Цех_ВООЗ (ЕМС)</t>
  </si>
  <si>
    <t>Обл. НДС
Гнучка труба для унітаза 600мм
Надходження товарів і послуг ІБ00-000990 від 13.03.2025 18:54:29
Цех_ВООЗ (ЕМС)</t>
  </si>
  <si>
    <t>Обл. НДС
Гнучкий шланг 1/8 х1\2 НВ довжина 50 см
Надходження товарів і послуг ІБ00-001112 від 18.03.2025 23:12:14
Цех_ВООЗ (ЕМС)</t>
  </si>
  <si>
    <t>Обл. НДС
Гнучкий шланг 1\2 ВВ довжина 100 см
Надходження товарів і послуг ІБ00-000989 від 13.03.2025 18:54:27
Цех_ВООЗ (ЕМС)</t>
  </si>
  <si>
    <t>Обл. НДС
Гнучкий шланг, 1 / 2 "ВВ, довжина 50 см 4009220000
Надходження товарів і послуг ІБ00-000989 від 13.03.2025 18:54:27
Цех_ВООЗ (ЕМС)</t>
  </si>
  <si>
    <t>Обл. НДС
Гнучкий шланг, 1 / 2" ВВ, довжина 30 см
Надходження товарів і послуг ІБ00-000989 від 13.03.2025 18:54:27
Цех_ВООЗ (ЕМС)</t>
  </si>
  <si>
    <t>Обл. НДС
Гратка вентиляційна пластик
Надходження товарів і послуг ІБ00-000831 від 04.03.2025 17:40:15
Цех_ВООЗ (ЕМС)</t>
  </si>
  <si>
    <t>Обл. НДС
Грунт 10кг
Надходження товарів і послуг ІБ00-000835 від 06.03.2025 14:46:33
Цех_ВООЗ (ЕМС)</t>
  </si>
  <si>
    <t>Обл. НДС
Грунт ГФ-021 сірий
Надходження товарів і послуг ІБ00-001275 від 27.03.2025 10:00:00
Цех_ВООЗ (ЕМС)</t>
  </si>
  <si>
    <t>Обл. НДС
Двері вхідні металеві 
Надходження товарів і послуг ІБ00-000837 від 27.02.2025 21:38:55
Цех_ВООЗ (ЕМС)</t>
  </si>
  <si>
    <t>Обл. НДС
Дверцята 100*100 ревізійні пластик
Надходження товарів і послуг ІБ00-005323 від 25.10.2024 18:30:36
Цех_ВООЗ (ЕМС)</t>
  </si>
  <si>
    <t>Обл. НДС
Держак ринви ПВХ Profil 90 білий
Надходження товарів і послуг ІБ00-003861 від 30.08.2024 23:59:59
Цех_ВООЗ (ЕМС)</t>
  </si>
  <si>
    <t>Обл. НДС
Держак ринви ПВХ Profil 90 білий
Надходження товарів і послуг ІБ00-004875 від 10.10.2024 18:57:37
Цех_ВООЗ (ЕМС)</t>
  </si>
  <si>
    <t>Обл. НДС
Держак труби металевий L-160  90 білий
Надходження товарів і послуг ІБ00-003861 від 30.08.2024 23:59:59
Цех_ВООЗ (ЕМС)</t>
  </si>
  <si>
    <t>Обл. НДС
Держак труби металевий L-160  90 білий
Надходження товарів і послуг ІБ00-004875 від 10.10.2024 18:57:37
Цех_ВООЗ (ЕМС)</t>
  </si>
  <si>
    <t>Обл. НДС
Дзеркало з поличкою 
Надходження товарів і послуг ІБ00-001267 від 31.03.2025 09:31:05
Цех_ВООЗ (ЕМС)</t>
  </si>
  <si>
    <t>Обл. НДС
Диван 1200х630х700 мм
Надходження товарів і послуг ІБ00-001185 від 25.03.2025 12:01:15
Цех_ВООЗ (ЕМС)</t>
  </si>
  <si>
    <t>Обл. НДС
Диспенсер рідкого мила
Надходження товарів і послуг ІБ00-000773 від 03.03.2025 18:08:34
Цех_ВООЗ (ЕМС)</t>
  </si>
  <si>
    <t>Обл. НДС
Диспенсер рушників
Надходження товарів і послуг ІБ00-000773 від 03.03.2025 18:08:34
Цех_ВООЗ (ЕМС)</t>
  </si>
  <si>
    <t>Обл. НДС
Диспенсер туалетного папіру
Надходження товарів і послуг ІБ00-000773 від 03.03.2025 18:08:34
Цех_ВООЗ (ЕМС)</t>
  </si>
  <si>
    <t>Обл. НДС
Дошка обрізна 20*100 (6 м)
Надходження товарів і послуг ІБ00-000249 від 20.01.2025 18:00:37
Цех_ВООЗ (ЕМС)</t>
  </si>
  <si>
    <t>Обл. НДС
Дріт ПВЗ  1*6 
Надходження товарів і послуг ІБ00-000831 від 04.03.2025 17:40:15
Цех_ВООЗ (ЕМС)</t>
  </si>
  <si>
    <t>Обл. НДС
Дріт ПВС  2* 2,5
Надходження товарів і послуг ІБ00-001211 від 24.03.2025 17:30:32
Цех_ВООЗ (ЕМС)</t>
  </si>
  <si>
    <t>Обл. НДС
Дріт ПВС  3* 2,5
Надходження товарів і послуг ІБ00-001359 від 01.04.2025 18:03:36
Цех_ВООЗ (ЕМС)</t>
  </si>
  <si>
    <t>Обл. НДС
Душовий бокс 90х90х215
Надходження товарів і послуг ІБ00-000826 від 05.03.2025 18:37:34
Цех_ВООЗ (ЕМС)</t>
  </si>
  <si>
    <t>Обл. НДС
Електрична поверхня
Надходження товарів і послуг ІБ00-000822 від 06.03.2025 12:12:40
Цех_ВООЗ (ЕМС)</t>
  </si>
  <si>
    <t>Обл. НДС
Електричний болер O "Profi VM 080 D400-1-M, 80 л,
Надходження товарів і послуг ІБ00-000989 від 13.03.2025 18:54:27
Цех_ВООЗ (ЕМС)</t>
  </si>
  <si>
    <t>Обл. НДС
Електричний водонагрівач O`Pro Slim PC 30, 30л
Надходження товарів і послуг ІБ00-000989 від 13.03.2025 18:54:27
Цех_ВООЗ (ЕМС)</t>
  </si>
  <si>
    <t>Обл. НДС
Електрочайник 
Надходження товарів і послуг ІБ00-000822 від 06.03.2025 12:12:40
Цех_ВООЗ (ЕМС)</t>
  </si>
  <si>
    <t>Обл. НДС
Ємність 1500л харчова
Надходження товарів і послуг ІБ00-000987 від 01.03.2025 18:16:27
Цех_ВООЗ (ЕМС)</t>
  </si>
  <si>
    <t>Обл. НДС
З'єднувач PP-R D=20 mm. х1\2  В  сірий
Надходження товарів і послуг ІБ00-006467 від 26.12.2024 19:01:10
Цех_ВООЗ (ЕМС)</t>
  </si>
  <si>
    <t>Обл. НДС
З'єднувач PP-R D=20 mm. х1\2 Н сірий
Надходження товарів і послуг ІБ00-000989 від 13.03.2025 18:54:27
Цех_ВООЗ (ЕМС)</t>
  </si>
  <si>
    <t>Обл. НДС
З'єднувач ринви Profil 90 білий
Надходження товарів і послуг ІБ00-000796 від 03.03.2025 18:08:47
Цех_ВООЗ (ЕМС)</t>
  </si>
  <si>
    <t>Обл. НДС
З'єднувач труби Profil 90 білий
Надходження товарів і послуг ІБ00-001246 від 26.03.2025 22:31:46
Цех_ВООЗ (ЕМС)</t>
  </si>
  <si>
    <t>Обл. НДС
З’єднання з амереканкою РР-R D=20 ммх1/2 В
Надходження товарів і послуг ІБ00-000989 від 13.03.2025 18:54:27
Цех_ВООЗ (ЕМС)</t>
  </si>
  <si>
    <t>Обл. НДС
З’єднання з амереканкою РР-R D=20 ммх1/2 Н
Надходження товарів і послуг ІБ00-005017 від 01.10.2024 10:00:00
Цех_ВООЗ (ЕМС)</t>
  </si>
  <si>
    <t>Обл. НДС
З’єднання з амереканкою РР-R D=20 ммх1/2 Н
Надходження товарів і послуг ІБ00-000989 від 13.03.2025 18:54:27
Цех_ВООЗ (ЕМС)</t>
  </si>
  <si>
    <t>Обл. НДС
З’єднувач ВЕНТС 812 204х60/d125
Надходження товарів і послуг ІБ00-000825 від 06.03.2025 12:31:01
Цех_ВООЗ (ЕМС)</t>
  </si>
  <si>
    <t>Обл. НДС
Заглушка D=110 мм
Надходження товарів і послуг ІБ00-000989 від 13.03.2025 18:54:27
Цех_ВООЗ (ЕМС)</t>
  </si>
  <si>
    <t>Обл. НДС
Заглушка на плінтус
Надходження товарів і послуг ІБ00-001108 від 13.03.2025 18:55:07
Цех_ВООЗ (ЕМС)</t>
  </si>
  <si>
    <t>Обл. НДС
Заклепка 4,0*10 п=50 (10000) RAL9010
Надходження товарів і послуг ІБ00-000635 від 24.02.2025 23:35:01
Цех_ВООЗ (ЕМС)</t>
  </si>
  <si>
    <t>Обл. НДС
Замок навісний
Надходження товарів і послуг ІБ00-001268 від 27.03.2025 18:14:44
Цех_ВООЗ (ЕМС)</t>
  </si>
  <si>
    <t>Обл. НДС
Захист від перенапруги D63
Надходження товарів і послуг ІБ00-001357 від 14.03.2025 17:51:14
Цех_ВООЗ (ЕМС)</t>
  </si>
  <si>
    <t>Обл. НДС
Змазка 10W 40, 1л чотирьохтактне
Надходження товарів і послуг ІБ00-001709 від 17.04.2025 18:06:15
Цех_ВООЗ (ЕМС)</t>
  </si>
  <si>
    <t>Обл. НДС
Змащувач для труб GEBEX LUB 200ml GEB SAS
Надходження товарів і послуг ІБ00-006467 від 26.12.2024 19:01:10
Цех_ВООЗ (ЕМС)</t>
  </si>
  <si>
    <t>Обл. НДС
Змішувач  для умивальника, хром
Надходження товарів і послуг ІБ00-000990 від 13.03.2025 18:54:29
Цех_ВООЗ (ЕМС)</t>
  </si>
  <si>
    <t>Обл. НДС
Камінь бетонний прямий рядовий БР 100.20.8
Надходження товарів і послуг ІБ00-001244 від 27.03.2025 18:14:31
Цех_ВООЗ (ЕМС)</t>
  </si>
  <si>
    <t>Обл. НДС
Канал Д 100/1 1010
Надходження товарів і послуг ІБ00-000831 від 04.03.2025 17:40:15
Цех_ВООЗ (ЕМС)</t>
  </si>
  <si>
    <t>Обл. НДС
Канал плоский ВЕНТС 204х60/2
Надходження товарів і послуг ІБ00-000825 від 06.03.2025 12:31:01
Цех_ВООЗ (ЕМС)</t>
  </si>
  <si>
    <t>Обл. НДС
Килимок 80х120
Надходження товарів і послуг ІБ00-001267 від 31.03.2025 09:31:05
Цех_ВООЗ (ЕМС)</t>
  </si>
  <si>
    <t>Обл. НДС
Кільце бетонне КС-15-9
Надходження товарів і послуг ІБ00-001244 від 27.03.2025 18:14:31
Цех_ВООЗ (ЕМС)</t>
  </si>
  <si>
    <t>Обл. НДС
Клапан зворотній 1/2*
Надходження товарів і послуг ІБ00-000989 від 13.03.2025 18:54:27
Цех_ВООЗ (ЕМС)</t>
  </si>
  <si>
    <t>Обл. НДС
Клей для ковроліну та лінолеум 13кг
Надходження товарів і послуг ІБ00-000835 від 06.03.2025 14:46:33
Цех_ВООЗ (ЕМС)</t>
  </si>
  <si>
    <t>Обл. НДС
Клема з'єднувальна WGn-2
Надходження товарів і послуг ІБ00-005393 від 01.10.2024 18:37:38
Цех_ВООЗ (ЕМС)</t>
  </si>
  <si>
    <t>Обл. НДС
Клема з'єднувальна WGn-3
Надходження товарів і послуг ІБ00-005393 від 01.10.2024 18:37:38
Цех_ВООЗ (ЕМС)</t>
  </si>
  <si>
    <t>Обл. НДС
Клема з'єднувальна WGn-5
Надходження товарів і послуг ІБ00-003567 від 20.08.2024 18:51:37
Цех_ВООЗ (ЕМС)</t>
  </si>
  <si>
    <t>Обл. НДС
Клема з'єднувальна WGn-5
Надходження товарів і послуг ІБ00-005393 від 01.10.2024 18:37:38
Цех_ВООЗ (ЕМС)</t>
  </si>
  <si>
    <t>Обл. НДС
Коліно Profil 75 біле
Надходження товарів і послуг ІБ00-000796 від 03.03.2025 18:08:47
Цех_ВООЗ (ЕМС)</t>
  </si>
  <si>
    <t>Обл. НДС
Коліно горизонтальне 90 ВЕНТС 204х60
Надходження товарів і послуг ІБ00-000825 від 06.03.2025 12:31:01
Цех_ВООЗ (ЕМС)</t>
  </si>
  <si>
    <t>Обл. НДС
Коліно з’єднувальне 90 ВЕНТС 204х60/d150 823
Надходження товарів і послуг ІБ00-000825 від 06.03.2025 12:31:01
Цех_ВООЗ (ЕМС)</t>
  </si>
  <si>
    <t>Обл. НДС
Коліно каналізаційне зовнішнє  110х87 Valrom
Надходження товарів і послуг ІБ00-001350 від 31.03.2025 20:59:59
Цех_ВООЗ (ЕМС)</t>
  </si>
  <si>
    <t>Обл. НДС
Коліно ПЕ 25х90 затискне
Надходження товарів і послуг ІБ00-001350 від 31.03.2025 20:59:59
Цех_ВООЗ (ЕМС)</t>
  </si>
  <si>
    <t>Обл. НДС
Комплект (гайка+ніпель) для місткості для води, 1" 3925908000
Надходження товарів і послуг ІБ00-000989 від 13.03.2025 18:54:27
Цех_ВООЗ (ЕМС)</t>
  </si>
  <si>
    <t>Обл. НДС
Комплект для підключення змішувача PP-R D=20 мм х1\2 сірий
Надходження товарів і послуг ІБ00-000989 від 13.03.2025 18:54:27
Цех_ВООЗ (ЕМС)</t>
  </si>
  <si>
    <t>Обл. НДС
Комплект для теплої підлоги №4
Надходження товарів і послуг ІБ00-000845 від 05.03.2025 18:37:43
Цех_ВООЗ (ЕМС)</t>
  </si>
  <si>
    <t>Обл. НДС
Комплект для фіксації хомутів (шуруп, гайка, дюбель), М8х90 мм
Надходження товарів і послуг ІБ00-001116 від 18.03.2025 23:12:17
Цех_ВООЗ (ЕМС)</t>
  </si>
  <si>
    <t>Обл. НДС
Комплект кріплення труб 104-112 мм
Надходження товарів і послуг ІБ00-000989 від 13.03.2025 18:54:27
Цех_ВООЗ (ЕМС)</t>
  </si>
  <si>
    <t>Обл. НДС
Комплект кріплення труб 31-37мм 1"
Надходження товарів і послуг ІБ00-000989 від 13.03.2025 18:54:27
Цех_ВООЗ (ЕМС)</t>
  </si>
  <si>
    <t>Обл. НДС
Комплект кріплення труб 47-52мм 1 1/2"
Надходження товарів і послуг ІБ00-001116 від 18.03.2025 23:12:17
Цех_ВООЗ (ЕМС)</t>
  </si>
  <si>
    <t>Обл. НДС
Кондиціонер Wild Wind WWT-AC-07H/KC
Надходження товарів і послуг ІБ00-000772 від 03.03.2025 18:08:32
Цех_ВООЗ (ЕМС)</t>
  </si>
  <si>
    <t>Обл. НДС
Коробка монтажна 65*45
Надходження товарів і послуг ІБ00-006357 від 20.12.2024 18:17:45
Цех_ВООЗ (ЕМС)</t>
  </si>
  <si>
    <t>Обл. НДС
Коробка монтажна 65*45
Надходження товарів і послуг ІБ00-000831 від 04.03.2025 17:40:15
Цех_ВООЗ (ЕМС)</t>
  </si>
  <si>
    <t>Обл. НДС
Коробка під автомат накл.36 SU FAR(F96)(10)
Надходження товарів і послуг ІБ00-000831 від 04.03.2025 17:40:15
Цех_ВООЗ (ЕМС)</t>
  </si>
  <si>
    <t>Обл. НДС
Коробка під автомат накл.9 SU FAR(F88)(30)
Надходження товарів і послуг ІБ00-001355 від 18.03.2025 23:12:57
Цех_ВООЗ (ЕМС)</t>
  </si>
  <si>
    <t>Обл. НДС
Коробка під автомат накл.9 SU FAR(F88)(30)
Надходження товарів і послуг ІБ00-001211 від 24.03.2025 17:30:32
Цех_ВООЗ (ЕМС)</t>
  </si>
  <si>
    <t>Обл. НДС
Коробка розподільча 100х100х45
Надходження товарів і послуг ІБ00-006453 від 01.12.2024 18:01:29
Цех_ВООЗ (ЕМС)</t>
  </si>
  <si>
    <t>Обл. НДС
Коробка розподільча 100х100х45
Надходження товарів і послуг ІБ00-006464 від 24.12.2024 18:38:29
Цех_ВООЗ (ЕМС)</t>
  </si>
  <si>
    <t>Обл. НДС
Коробка розподільча 100х100х45
Надходження товарів і послуг ІБ00-000845 від 05.03.2025 18:37:43
Цех_ВООЗ (ЕМС)</t>
  </si>
  <si>
    <t>Обл. НДС
Коробка установча (гіпсокартон) 68 Кова-Електро синя/зелена
Надходження товарів і послуг ІБ00-001246 від 26.03.2025 22:31:46
Цех_ВООЗ (ЕМС)</t>
  </si>
  <si>
    <t>Обл. НДС
Кран вентильний для сантехприладів 1/2 х3/4 ALBERTONI
Надходження товарів і послуг ІБ00-001002 від 14.03.2025 13:53:57
Цех_ВООЗ (ЕМС)</t>
  </si>
  <si>
    <t>Обл. НДС
Кран кульовий 3В 1/2", "метелик" 8481808100
Надходження товарів і послуг ІБ00-000989 від 13.03.2025 18:54:27
Цех_ВООЗ (ЕМС)</t>
  </si>
  <si>
    <t>Обл. НДС
Кран кульовий(вода) з дренажем 1 ВВ
Надходження товарів і послуг ІБ00-000700 від 12.02.2025 18:03:23
Цех_ВООЗ (ЕМС)</t>
  </si>
  <si>
    <t>Обл. НДС
Кріплення умивальника до стіни (з ексцентриками і болт.8х120мм )
Надходження товарів і послуг ІБ00-000990 від 13.03.2025 18:54:29
Цех_ВООЗ (ЕМС)</t>
  </si>
  <si>
    <t>Обл. НДС
Кріплення унітазу до підлоги (з декор.ковпачками і шурупами 6х100мм)
Надходження товарів і послуг ІБ00-001112 від 18.03.2025 23:12:14
Цех_ВООЗ (ЕМС)</t>
  </si>
  <si>
    <t>Обл. НДС
Крісло чорне
Надходження товарів і послуг ІБ00-001178 від 24.03.2025 17:30:25
Цех_ВООЗ (ЕМС)</t>
  </si>
  <si>
    <t>Обл. НДС
Круг 18 мм
Надходження товарів і послуг ІБ00-001119 від 19.03.2025 17:35:15
Цех_ВООЗ (ЕМС)</t>
  </si>
  <si>
    <t>Обл. НДС
Кут  для плінтуса вн
Надходження товарів і послуг ІБ00-001108 від 13.03.2025 18:55:07
Цех_ВООЗ (ЕМС)</t>
  </si>
  <si>
    <t>Обл. НДС
Кутник
Авансовий звіт ІБ00-000049 від 17.03.2025 11:25:28
Цех_ВООЗ (ЕМС)</t>
  </si>
  <si>
    <t>Обл. НДС
Кутник  декоративний 30х30
Надходження товарів і послуг ІБ00-000700 від 12.02.2025 18:03:23
Цех_ВООЗ (ЕМС)</t>
  </si>
  <si>
    <t>Обл. НДС
Кутник  декоративний 50х50
Надходження товарів і послуг ІБ00-000700 від 12.02.2025 18:03:23
Цех_ВООЗ (ЕМС)</t>
  </si>
  <si>
    <t>Обл. НДС
Кутник 32х32х3 ст.3пс 6м
Надходження товарів і послуг ІБ00-000556 від 12.02.2025 18:02:52
Цех_ВООЗ (ЕМС)</t>
  </si>
  <si>
    <t>Обл. НДС
Кутник 32х32х3 ст.3пс 6м
Надходження товарів і послуг ІБ00-001042 від 17.03.2025 15:47:20
Цех_ВООЗ (ЕМС)</t>
  </si>
  <si>
    <t>Обл. НДС
Куточок 90 PP-R D=20 mm сірий
Надходження товарів і послуг ІБ00-006211 від 13.12.2024 19:00:30
Цех_ВООЗ (ЕМС)</t>
  </si>
  <si>
    <t>Обл. НДС
Куточок 90 PP-R D=20 mm сірий
Надходження товарів і послуг ІБ00-006467 від 26.12.2024 19:01:10
Цех_ВООЗ (ЕМС)</t>
  </si>
  <si>
    <t>Обл. НДС
Куточок 90 PP-R D=20 mm сірий
Надходження товарів і послуг ІБ00-006468 від 26.12.2024 19:01:12
Цех_ВООЗ (ЕМС)</t>
  </si>
  <si>
    <t>Обл. НДС
Куточок 90 PP-R D=20 mm сірий
Надходження товарів і послуг ІБ00-000989 від 13.03.2025 18:54:27
Цех_ВООЗ (ЕМС)</t>
  </si>
  <si>
    <t>Обл. НДС
Кухня
Надходження товарів і послуг ІБ00-001210 від 07.03.2025 20:00:22
Цех_ВООЗ (ЕМС)</t>
  </si>
  <si>
    <t>Обл. НДС
Лавка зі спинкою
Надходження товарів і послуг ІБ00-000824 від 06.03.2025 12:20:47
Цех_ВООЗ (ЕМС)</t>
  </si>
  <si>
    <t>Обл. НДС
Лампа світлодіодна LED E27 15W 220
Надходження товарів і послуг ІБ00-000831 від 04.03.2025 17:40:15
Цех_ВООЗ (ЕМС)</t>
  </si>
  <si>
    <t>Обл. НДС
Лампа світлодіодна LED E27 15W 220
Надходження товарів і послуг ІБ00-001104 від 17.03.2025 17:20:24
Цех_ВООЗ (ЕМС)</t>
  </si>
  <si>
    <t>Обл. НДС
Лист 14 (г.к.) (1,5х6) imp ((1,5*6,0) S235JR)
Надходження товарів і послуг ІБ00-000551 від 14.02.2025 18:35:11
Цех_ВООЗ (ЕМС)</t>
  </si>
  <si>
    <t>Обл. НДС
Лист 3 (г.к)  (1,5х6) ((1,5*6,0) 1-3 сп/пс)
Надходження товарів і послуг ІБ00-000556 від 12.02.2025 18:02:52
Цех_ВООЗ (ЕМС)</t>
  </si>
  <si>
    <t>Обл. НДС
Лист 4 (г.к)  (1,5х6) ((1,5*6,0) 14637 3сп5)
Надходження товарів і послуг ІБ00-000556 від 12.02.2025 18:02:52
Цех_ВООЗ (ЕМС)</t>
  </si>
  <si>
    <t>Обл. НДС
Лист 5 мм
Надходження товарів і послуг ІБ00-000556 від 12.02.2025 18:02:52
Цех_ВООЗ (ЕМС)</t>
  </si>
  <si>
    <t>Обл. НДС
Лист 6 (г.к)  (1,5х6) ((1,5*6,0) 14637 3сп5)
Надходження товарів і послуг ІБ00-001041 від 17.03.2025 15:42:01
Цех_ВООЗ (ЕМС)</t>
  </si>
  <si>
    <t>Обл. НДС
Лист 8 (г.к)  (1,5х6) ((1,5*6,0) 14637 3сп5)
Надходження товарів і послуг ІБ00-000556 від 12.02.2025 18:02:52
Цех_ВООЗ (ЕМС)</t>
  </si>
  <si>
    <t>Обл. НДС
лист ПВЛ 406х1250х2500 мм
Надходження товарів і послуг ІБ00-000552 від 12.02.2025 18:02:50
Цех_ВООЗ (ЕМС)</t>
  </si>
  <si>
    <t>Обл. НДС
Лист ПВЛ 506
Надходження товарів і послуг ІБ00-001043 від 17.03.2025 16:02:50
Цех_ВООЗ (ЕМС)</t>
  </si>
  <si>
    <t>Обл. НДС
Лист рівний
Надходження товарів і послуг ІБ00-000966 від 01.03.2025 18:16:21
Цех_ВООЗ (ЕМС)</t>
  </si>
  <si>
    <t>Обл. НДС
Ліжко 800х2000 
Надходження товарів і послуг ІБ00-000969 від 13.03.2025 14:54:50
Цех_ВООЗ (ЕМС)</t>
  </si>
  <si>
    <t>Обл. НДС
Лійка ліва 90 біла
Надходження товарів і послуг ІБ00-000796 від 03.03.2025 18:08:47
Цех_ВООЗ (ЕМС)</t>
  </si>
  <si>
    <t>Обл. НДС
Лійка права 90 біла
Надходження товарів і послуг ІБ00-000796 від 03.03.2025 18:08:47
Цех_ВООЗ (ЕМС)</t>
  </si>
  <si>
    <t>Обл. НДС
Лінолеум
Надходження товарів і послуг ІБ00-000835 від 06.03.2025 14:46:33
Цех_ВООЗ (ЕМС)</t>
  </si>
  <si>
    <t>Обл. НДС
Люк 73*5
Надходження товарів і послуг ІБ00-000706 від 03.03.2025 15:17:29
Цех_ВООЗ (ЕМС)</t>
  </si>
  <si>
    <t>Обл. НДС
Матрац 800*2000*200
Надходження товарів і послуг ІБ00-000767 від 04.03.2025 12:51:51
Цех_ВООЗ (ЕМС)</t>
  </si>
  <si>
    <t>Обл. НДС
Мембрана дахова
Надходження товарів і послуг ІБ00-000796 від 03.03.2025 18:08:47
Цех_ВООЗ (ЕМС)</t>
  </si>
  <si>
    <t>Обл. НДС
мембрана пароізоляційна 75 кв.м
Авансовий звіт ІБ00-000049 від 17.03.2025 11:25:28
Цех_ВООЗ (ЕМС)</t>
  </si>
  <si>
    <t>Обл. НДС
мембрана пароізоляційна 75 кв.м
Надходження товарів і послуг ІБ00-001776 від 22.04.2025 18:28:21
Цех_ВООЗ (ЕМС)</t>
  </si>
  <si>
    <t>Обл. НДС
Металопластикова конструкція
Надходження товарів і послуг ІБ00-000775 від 04.03.2025 15:33:12
Цех_ВООЗ (ЕМС)</t>
  </si>
  <si>
    <t>Обл. НДС
Мікрохвильова піч 
Надходження товарів і послуг ІБ00-000823 від 06.03.2025 12:17:04
Цех_ВООЗ (ЕМС)</t>
  </si>
  <si>
    <t>Обл. НДС
Муфта ПЕ 25 затискна
Надходження товарів і послуг ІБ00-001350 від 31.03.2025 20:59:59
Цех_ВООЗ (ЕМС)</t>
  </si>
  <si>
    <t>Обл. НДС
Муфта, PP-R, D=20 мм, сіра 3917400090
Надходження товарів і послуг ІБ00-006211 від 13.12.2024 19:00:30
Цех_ВООЗ (ЕМС)</t>
  </si>
  <si>
    <t>Обл. НДС
Насосна станція
Надходження товарів і послуг ІБ00-000708 від 03.03.2025 15:27:20
Цех_ВООЗ (ЕМС)</t>
  </si>
  <si>
    <t>Обл. НДС
Ніпель латунний, 1\2"
Надходження товарів і послуг ІБ00-000989 від 13.03.2025 18:54:27
Цех_ВООЗ (ЕМС)</t>
  </si>
  <si>
    <t>Обл. НДС
Обвідне коліно PP-R D=20 mm сірий
Надходження товарів і послуг ІБ00-000989 від 13.03.2025 18:54:27
Цех_ВООЗ (ЕМС)</t>
  </si>
  <si>
    <t>Обл. НДС
Обігрівач керамічний TeploCeramic TC395 (беж) 
Надходження товарів і послуг ІБ00-000834 від 03.03.2025 18:09:03
Цех_ВООЗ (ЕМС)</t>
  </si>
  <si>
    <t>Обл. НДС
Олива моторна  
Надходження товарів і послуг ІБ00-001477 від 04.04.2025 23:24:42
Цех_ВООЗ (ЕМС)</t>
  </si>
  <si>
    <t>Обл. НДС
ОСП  Кроно Україна 10*1250*2500 мм
Надходження товарів і послуг ІБ00-000163 від 15.01.2025 22:00:02
Цех_ВООЗ (ЕМС)</t>
  </si>
  <si>
    <t>Обл. НДС
Оцинкована решітка 1000х1000
Надходження товарів і послуг ІБ00-000771 від 03.03.2025 18:08:30
Цех_ВООЗ (ЕМС)</t>
  </si>
  <si>
    <t>Обл. НДС
Панель ПВХ 250ммх7ммх6000мм
Надходження товарів і послуг ІБ00-006102 від 06.12.2024 18:14:43
Цех_ВООЗ (ЕМС)</t>
  </si>
  <si>
    <t>Обл. НДС
Панель ПВХ 250ммх7ммх6000мм
Надходження товарів і послуг ІБ00-006103 від 06.12.2024 18:14:45
Цех_ВООЗ (ЕМС)</t>
  </si>
  <si>
    <t>Обл. НДС
Панель ПВХ 250ммх7ммх6000мм
Надходження товарів і послуг ІБ00-006106 від 06.12.2024 18:14:47
Цех_ВООЗ (ЕМС)</t>
  </si>
  <si>
    <t>Обл. НДС
Панель ПВХ 250ммх7ммх6000мм
Надходження товарів і послуг ІБ00-000796 від 03.03.2025 18:08:47
Цех_ВООЗ (ЕМС)</t>
  </si>
  <si>
    <t>Обл. НДС
Перехід ексцентричний D=110/50 мм 
Надходження товарів і послуг ІБ00-000989 від 13.03.2025 18:54:27
Цех_ВООЗ (ЕМС)</t>
  </si>
  <si>
    <t>Обл. НДС
Перехід ексцентричний D=110/50 мм 
Надходження товарів і послуг ІБ00-001116 від 18.03.2025 23:12:17
Цех_ВООЗ (ЕМС)</t>
  </si>
  <si>
    <t>Обл. НДС
Перехідник  D=25мм*1/2 B
Надходження товарів і послуг ІБ00-000989 від 13.03.2025 18:54:27
Цех_ВООЗ (ЕМС)</t>
  </si>
  <si>
    <t>Обл. НДС
Перехідник гумовий О50/32
Надходження товарів і послуг ІБ00-001116 від 18.03.2025 23:12:17
Цех_ВООЗ (ЕМС)</t>
  </si>
  <si>
    <t>Обл. НДС
Перехідник латунний 3В 1* 1\2
Надходження товарів і послуг ІБ00-000989 від 13.03.2025 18:54:27
Цех_ВООЗ (ЕМС)</t>
  </si>
  <si>
    <t>Обл. НДС
Перехідник латунний 3В 3\4* 1\2
Надходження товарів і послуг ІБ00-000989 від 13.03.2025 18:54:27
Цех_ВООЗ (ЕМС)</t>
  </si>
  <si>
    <t>Обл. НДС
Петля виточена d=16мм (для хвіртки)
Надходження товарів і послуг ІБ00-000700 від 12.02.2025 18:03:23
Цех_ВООЗ (ЕМС)</t>
  </si>
  <si>
    <t>Обл. НДС
Петля виточена d=20мм (для воріт)
Надходження товарів і послуг ІБ00-000700 від 12.02.2025 18:03:23
Цех_ВООЗ (ЕМС)</t>
  </si>
  <si>
    <t>Обл. НДС
Пінополістерол (100мм) XPS ПСЕ-40 1,2х6 (уп 4шт)
Надходження товарів і послуг ІБ00-000844 від 05.03.2025 18:37:40
Цех_ВООЗ (ЕМС)</t>
  </si>
  <si>
    <t>Обл. НДС
Пінополістерол (50мм)  1,0х5 
Надходження товарів і послуг ІБ00-000844 від 05.03.2025 18:37:40
Цех_ВООЗ (ЕМС)</t>
  </si>
  <si>
    <t>Обл. НДС
Пісок
Надходження товарів і послуг ІБ00-001244 від 27.03.2025 18:14:31
Цех_ВООЗ (ЕМС)</t>
  </si>
  <si>
    <t>Обл. НДС
Пластина настінна ВЕНТС 204х60 для плоских каналів
Надходження товарів і послуг ІБ00-000825 від 06.03.2025 12:31:01
Цех_ВООЗ (ЕМС)</t>
  </si>
  <si>
    <t>Обл. НДС
Плита OSB-3 10х1250*2500 (шт)
Надходження товарів і послуг ІБ00-001107 від 14.03.2025 17:50:50
Цех_ВООЗ (ЕМС)</t>
  </si>
  <si>
    <t>Обл. НДС
Плита OSB-3 10х1250*2500 (шт)
Надходження товарів і послуг ІБ00-001106 від 17.03.2025 17:20:26
Цех_ВООЗ (ЕМС)</t>
  </si>
  <si>
    <t>Обл. НДС
Плита OSB-3 10х1250*2500 (шт)
Надходження товарів і послуг ІБ00-001349 від 28.03.2025 18:00:09
Цех_ВООЗ (ЕМС)</t>
  </si>
  <si>
    <t>Обл. НДС
Плитка тротуарна
Надходження товарів і послуг ІБ00-001242 від 27.03.2025 18:14:27
Цех_ВООЗ (ЕМС)</t>
  </si>
  <si>
    <t>Обл. НДС
Плівка гідроізоляційна підпокрів 75кв м
Надходження товарів і послуг ІБ00-000163 від 15.01.2025 22:00:02
Цех_ВООЗ (ЕМС)</t>
  </si>
  <si>
    <t>Обл. НДС
Плівка гідроізоляційна підпокрів 75кв м
Надходження товарів і послуг ІБ00-000796 від 03.03.2025 18:08:47
Цех_ВООЗ (ЕМС)</t>
  </si>
  <si>
    <t>Обл. НДС
Плівка пароізоляційна срібна, 75 м2
Надходження товарів і послуг ІБ00-005994 від 28.11.2024 18:28:22
Цех_ВООЗ (ЕМС)</t>
  </si>
  <si>
    <t>Обл. НДС
Плівка пароізоляційна срібна, 75 м2
Надходження товарів і послуг ІБ00-000796 від 03.03.2025 18:08:47
Цех_ВООЗ (ЕМС)</t>
  </si>
  <si>
    <t>Обл. НДС
Плінтус
Надходження товарів і послуг ІБ00-000835 від 06.03.2025 14:46:33
Цех_ВООЗ (ЕМС)</t>
  </si>
  <si>
    <t>Обл. НДС
Плінтус на стільницю 3м
Надходження товарів і послуг ІБ00-001108 від 13.03.2025 18:55:07
Цех_ВООЗ (ЕМС)</t>
  </si>
  <si>
    <t>Обл. НДС
ПН 15 плита днища
Надходження товарів і послуг ІБ00-001244 від 27.03.2025 18:14:31
Цех_ВООЗ (ЕМС)</t>
  </si>
  <si>
    <t>Обл. НДС
Покривало протипожежне
Надходження товарів і послуг ІБ00-001586 від 10.04.2025 22:56:43
Цех_ВООЗ (ЕМС)</t>
  </si>
  <si>
    <t>Обл. НДС
Покрівельно-ущільнювальна алюминиевая стрічка 100мм x 10м
Авансовий звіт ІБ00-000049 від 17.03.2025 11:25:28
Цех_ВООЗ (ЕМС)</t>
  </si>
  <si>
    <t>Обл. НДС
Портландемент СЕМ І 42,5R
Надходження товарів і послуг ІБ00-000957 від 12.03.2025 18:44:59
Цех_ВООЗ (ЕМС)</t>
  </si>
  <si>
    <t>Обл. НДС
ПП-15 кришка колодязя
Надходження товарів і послуг ІБ00-001244 від 27.03.2025 18:14:31
Цех_ВООЗ (ЕМС)</t>
  </si>
  <si>
    <t>Обл. НДС
Пральна машина
Надходження товарів і послуг ІБ00-000911 від 10.03.2025 17:56:16
Цех_ВООЗ (ЕМС)</t>
  </si>
  <si>
    <t>Обл. НДС
Провід ПВС 3*4
Надходження товарів і послуг ІБ00-000831 від 04.03.2025 17:40:15
Цех_ВООЗ (ЕМС)</t>
  </si>
  <si>
    <t>Обл. НДС
Прокладка для унітазу D=90/110мм
Надходження товарів і послуг ІБ00-000989 від 13.03.2025 18:54:27
Цех_ВООЗ (ЕМС)</t>
  </si>
  <si>
    <t>Обл. НДС
Профіль АП 005  2,7 м
Надходження товарів і послуг ІБ00-000704 від 03.03.2025 15:13:22
Цех_ВООЗ (ЕМС)</t>
  </si>
  <si>
    <t>Обл. НДС
Профіль з гумовой вставкой срібло 
Надходження товарів і послуг ІБ00-000700 від 12.02.2025 18:03:23
Цех_ВООЗ (ЕМС)</t>
  </si>
  <si>
    <t>Обл. НДС
Профіль ПС-10 поліестер трапецієпод. РЕ 45*9003*АМ
Надходження товарів і послуг ІБ00-001641 від 10.04.2025 22:57:01
Цех_ВООЗ (ЕМС)</t>
  </si>
  <si>
    <t>Обл. НДС
Профнастил ПК-18
Надходження товарів і послуг ІБ00-000966 від 01.03.2025 18:16:21
Цех_ВООЗ (ЕМС)</t>
  </si>
  <si>
    <t>Обл. НДС
Профнастил ПС-10
Надходження товарів і послуг ІБ00-000966 від 01.03.2025 18:16:21
Цех_ВООЗ (ЕМС)</t>
  </si>
  <si>
    <t>Обл. НДС
Рамка 1-постова
Надходження товарів і послуг ІБ00-000831 від 04.03.2025 17:40:15
Цех_ВООЗ (ЕМС)</t>
  </si>
  <si>
    <t>Обл. НДС
Рамка 2-постова
Надходження товарів і послуг ІБ00-001007 від 11.03.2025 19:00:03
Цех_ВООЗ (ЕМС)</t>
  </si>
  <si>
    <t>Обл. НДС
Редукція каналізаційна 50х25
Авансовий звіт ІБ00-000064 від 21.03.2025 09:38:43
Цех_ВООЗ (ЕМС)</t>
  </si>
  <si>
    <t>Обл. НДС
Рейка 20х100х6000
Надходження товарів і послуг ІБ00-001606 від 14.04.2025 18:04:01
Цех_ВООЗ (ЕМС)</t>
  </si>
  <si>
    <t>Обл. НДС
Рейка 50*50*3000
Надходження товарів і послуг ІБ00-000585 від 19.02.2025 15:03:23
Цех_ВООЗ (ЕМС)</t>
  </si>
  <si>
    <t>Обл. НДС
Ринва біла 90 мм L=3 м
Надходження товарів і послуг ІБ00-000796 від 03.03.2025 18:08:47
Цех_ВООЗ (ЕМС)</t>
  </si>
  <si>
    <t>Обл. НДС
Розетка з з/к, Schneider Electrik Asfora, біл.
Надходження товарів і послуг ІБ00-000831 від 04.03.2025 17:40:15
Цех_ВООЗ (ЕМС)</t>
  </si>
  <si>
    <t>Обл. НДС
Розетка з з/к, Schneider Electrik Asfora, біл.
Надходження товарів і послуг ІБ00-001007 від 11.03.2025 19:00:03
Цех_ВООЗ (ЕМС)</t>
  </si>
  <si>
    <t>Обл. НДС
Розетка з кришкою з заземл.конт. з шторк. ІР44, білий, Asfora, SCHNEIDER ELECTRIC
Надходження товарів і послуг ІБ00-000831 від 04.03.2025 17:40:15
Цех_ВООЗ (ЕМС)</t>
  </si>
  <si>
    <t>Обл. НДС
Розетка з кришкою з заземл.конт. з шторк. ІР44, білий, Asfora, SCHNEIDER ELECTRIC
Надходження товарів і послуг ІБ00-001007 від 11.03.2025 19:00:03
Цех_ВООЗ (ЕМС)</t>
  </si>
  <si>
    <t>Обл. НДС
Розетка подвійна з з/к
Надходження товарів і послуг ІБ00-000831 від 04.03.2025 17:40:15
Цех_ВООЗ (ЕМС)</t>
  </si>
  <si>
    <t>Обл. НДС
Розетка стаціонарна наружна 7123 32А 220В 2Р+Е ІР44
Надходження товарів і послуг ІБ00-000845 від 05.03.2025 18:37:43
Цех_ВООЗ (ЕМС)</t>
  </si>
  <si>
    <t>Обл. НДС
Розетка стаціонарна наружна 7123 32А 220В 2Р+Е ІР44
Надходження товарів і послуг ІБ00-001005 від 12.03.2025 18:45:10
Цех_ВООЗ (ЕМС)</t>
  </si>
  <si>
    <t>Обл. НДС
Розетка стаціонарна наружна 7123 32А 220В 2Р+Е ІР44
Надходження товарів і послуг ІБ00-001099 від 17.03.2025 17:20:18
Цех_ВООЗ (ЕМС)</t>
  </si>
  <si>
    <t>Обл. НДС
Розчинник "White Spirit"
Надходження товарів і послуг ІБ00-000173 від 17.01.2025 19:00:02
Цех_ВООЗ (ЕМС)</t>
  </si>
  <si>
    <t>Обл. НДС
Саморіз  4,2*25
Надходження товарів і послуг ІБ00-001175 від 24.03.2025 17:30:23
Цех_ВООЗ (ЕМС)</t>
  </si>
  <si>
    <t>Обл. НДС
Саморіз  5,5*70
Надходження товарів і послуг ІБ00-001175 від 24.03.2025 17:30:23
Цех_ВООЗ (ЕМС)</t>
  </si>
  <si>
    <t>Обл. НДС
Саморіз 3,5х25 для гіпсокартону по дереву фосф 250шт
Надходження товарів і послуг ІБ00-001467 від 07.04.2025 19:59:48
Цех_ВООЗ (ЕМС)</t>
  </si>
  <si>
    <t>Обл. НДС
Саморіз 4,8*19
Надходження товарів і послуг ІБ00-000136 від 16.01.2025 17:55:08
Цех_ВООЗ (ЕМС)</t>
  </si>
  <si>
    <t>Обл. НДС
Саморіз 4,8х35 по дереву
Надходження товарів і послуг ІБ00-000557 від 11.02.2025 20:00:02
Цех_ВООЗ (ЕМС)</t>
  </si>
  <si>
    <t>Обл. НДС
Саморіз 4,8х35 по дереву
Надходження товарів і послуг ІБ00-001317 від 31.03.2025 20:59:59
Цех_ВООЗ (ЕМС)</t>
  </si>
  <si>
    <t>Обл. НДС
Саморіз покрівельний по металу 4,8x19 мм 100 шт RAL 7024
Надходження товарів і послуг ІБ00-001003 від 13.03.2025 18:54:32
Цех_ВООЗ (ЕМС)</t>
  </si>
  <si>
    <t>Обл. НДС
Сантехнічна редукція 50х32
Надходження товарів і послуг ІБ00-000021 від 08.01.2025 13:03:41
Цех_ВООЗ (ЕМС)</t>
  </si>
  <si>
    <t>Обл. НДС
Світильник LED 36W/6500К 595*595
Надходження товарів і послуг ІБ00-000831 від 04.03.2025 17:40:15
Цех_ВООЗ (ЕМС)</t>
  </si>
  <si>
    <t>Обл. НДС
Світильник LED 36W/6500К 595*595
Надходження товарів і послуг ІБ00-001004 від 12.03.2025 18:45:08
Цех_ВООЗ (ЕМС)</t>
  </si>
  <si>
    <t>Обл. НДС
Світильник LED L-PRS-1265-18 12W 6500К .накл.
Надходження товарів і послуг ІБ00-000831 від 04.03.2025 17:40:15
Цех_ВООЗ (ЕМС)</t>
  </si>
  <si>
    <t>Обл. НДС
Світильник LED Luxray 12 Вт
Авансовий звіт ІБ00-000049 від 17.03.2025 11:25:28
Цех_ВООЗ (ЕМС)</t>
  </si>
  <si>
    <t>Обл. НДС
Світильник аварійний
Надходження товарів і послуг ІБ00-000845 від 05.03.2025 18:37:43
Цех_ВООЗ (ЕМС)</t>
  </si>
  <si>
    <t>Обл. НДС
Світильник аварійний
Надходження товарів і послуг ІБ00-000854 від 07.03.2025 11:17:08
Цех_ВООЗ (ЕМС)</t>
  </si>
  <si>
    <t>Обл. НДС
Світильник накладний з вимикачем(бра)
Надходження товарів і послуг ІБ00-001104 від 17.03.2025 17:20:24
Цех_ВООЗ (ЕМС)</t>
  </si>
  <si>
    <t>Обл. НДС
Світильник НПП  1101 коло 100W-E27 ІР65
Надходження товарів і послуг ІБ00-001211 від 24.03.2025 17:30:32
Цех_ВООЗ (ЕМС)</t>
  </si>
  <si>
    <t>Обл. НДС
Світильник стінний
Надходження товарів і послуг ІБ00-000831 від 04.03.2025 17:40:15
Цех_ВООЗ (ЕМС)</t>
  </si>
  <si>
    <t>Обл. НДС
Світлодіод акс.Рамка накладного монтажу до LED Panel
Надходження товарів і послуг ІБ00-000831 від 04.03.2025 17:40:15
Цех_ВООЗ (ЕМС)</t>
  </si>
  <si>
    <t>Обл. НДС
Світлодіод акс.Рамка накладного монтажу до LED Panel
Надходження товарів і послуг ІБ00-001036 від 14.03.2025 17:49:55
Цех_ВООЗ (ЕМС)</t>
  </si>
  <si>
    <t>Обл. НДС
Сендвіч
Надходження товарів і послуг ІБ00-000701 від 03.03.2025 15:00:17
Цех_ВООЗ (ЕМС)</t>
  </si>
  <si>
    <t>Обл. НДС
Силова розетка стаціонарна  380В 32А
Надходження товарів і послуг ІБ00-000905 від 10.03.2025 17:56:08
Цех_ВООЗ (ЕМС)</t>
  </si>
  <si>
    <t>Обл. НДС
Сифон для д/піддону
Надходження товарів і послуг ІБ00-000704 від 03.03.2025 15:13:22
Цех_ВООЗ (ЕМС)</t>
  </si>
  <si>
    <t>Обл. НДС
Сифон для мийки бутилоч Д=1 1/4"х32мм 
Надходження товарів і послуг ІБ00-000989 від 13.03.2025 18:54:27
Цех_ВООЗ (ЕМС)</t>
  </si>
  <si>
    <t>Обл. НДС
Сифон для умив."Waterstal" 1 1/2 з гнуч.трубкою
Надходження товарів і послуг ІБ00-001002 від 14.03.2025 13:53:57
Цех_ВООЗ (ЕМС)</t>
  </si>
  <si>
    <t>Обл. НДС
Сповіщувач пожежний димовий СПД-3,4
Надходження товарів і послуг ІБ00-000770 від 03.03.2025 18:08:28
Цех_ВООЗ (ЕМС)</t>
  </si>
  <si>
    <t>Обл. НДС
Стелаж СТ -4/1 М уп
Надходження товарів і послуг ІБ00-001461 від 04.04.2025 23:24:32
Цех_ВООЗ (ЕМС)</t>
  </si>
  <si>
    <t>Обл. НДС
Стелаж СТ -4/1 М уп
Надходження товарів і послуг ІБ00-001462 від 04.04.2025 23:24:34
Цех_ВООЗ (ЕМС)</t>
  </si>
  <si>
    <t>Обл. НДС
Стіл
Надходження товарів і послуг ІБ00-001232 від 27.03.2025 13:09:36
Цех_ВООЗ (ЕМС)</t>
  </si>
  <si>
    <t>Обл. НДС
Стіл обідній
Надходження товарів і послуг ІБ00-000704 від 03.03.2025 15:13:22
Цех_ВООЗ (ЕМС)</t>
  </si>
  <si>
    <t>Обл. НДС
Стілець Новий Стиль Jack
Надходження товарів і послуг ІБ00-001178 від 24.03.2025 17:30:25
Цех_ВООЗ (ЕМС)</t>
  </si>
  <si>
    <t>Обл. НДС
Стілець обідній
Надходження товарів і послуг ІБ00-000908 від 10.03.2025 17:56:11
Цех_ВООЗ (ЕМС)</t>
  </si>
  <si>
    <t>Обл. НДС
Стопор дверний
Надходження товарів і послуг ІБ00-001267 від 31.03.2025 09:31:05
Цех_ВООЗ (ЕМС)</t>
  </si>
  <si>
    <t>Обл. НДС
Стрічка бутилкаучукова 150мм (5м)
Надходження товарів і послуг ІБ00-001776 від 22.04.2025 18:28:21
Цех_ВООЗ (ЕМС)</t>
  </si>
  <si>
    <t>Обл. НДС
Суміш бетонна 25 кг
Надходження товарів і послуг ІБ00-000706 від 03.03.2025 15:17:29
Цех_ВООЗ (ЕМС)</t>
  </si>
  <si>
    <t>Обл. НДС
Терморегулятор terneo rtp
Надходження товарів і послуг ІБ00-000095 від 14.01.2025 18:05:15
Цех_ВООЗ (ЕМС)</t>
  </si>
  <si>
    <t>Обл. НДС
Терморегулятор terneo rtp
Надходження товарів і послуг ІБ00-000845 від 05.03.2025 18:37:43
Цех_ВООЗ (ЕМС)</t>
  </si>
  <si>
    <t>Обл. НДС
Тримач плоских каналів ВЕНТС 204х60
Надходження товарів і послуг ІБ00-000825 від 06.03.2025 12:31:01
Цех_ВООЗ (ЕМС)</t>
  </si>
  <si>
    <t>Обл. НДС
Трійник D=110 mm 87 30
Надходження товарів і послуг ІБ00-000989 від 13.03.2025 18:54:27
Цех_ВООЗ (ЕМС)</t>
  </si>
  <si>
    <t>Обл. НДС
Трійник D=110 мм, 45°
Надходження товарів і послуг ІБ00-001405 від 02.04.2025 18:08:56
Цех_ВООЗ (ЕМС)</t>
  </si>
  <si>
    <t>Обл. НДС
Трійник D=32 мм, 87"30' 3917400090
Надходження товарів і послуг ІБ00-000989 від 13.03.2025 18:54:27
Цех_ВООЗ (ЕМС)</t>
  </si>
  <si>
    <t>Обл. НДС
Трійник D=50 mm 45*
Надходження товарів і послуг ІБ00-001116 від 18.03.2025 23:12:17
Цех_ВООЗ (ЕМС)</t>
  </si>
  <si>
    <t>Обл. НДС
Трійник D=50 mm 87* 30
Надходження товарів і послуг ІБ00-001116 від 18.03.2025 23:12:17
Цех_ВООЗ (ЕМС)</t>
  </si>
  <si>
    <t>Обл. НДС
Трійник PP-R D=20 mm. сірий
Надходження товарів і послуг ІБ00-000989 від 13.03.2025 18:54:27
Цех_ВООЗ (ЕМС)</t>
  </si>
  <si>
    <t>Обл. НДС
Трійник PP-R D=20 mm. х1\2 Н сірий
Надходження товарів і послуг ІБ00-000989 від 13.03.2025 18:54:27
Цех_ВООЗ (ЕМС)</t>
  </si>
  <si>
    <t>Обл. НДС
Трійник, PP-R, D = 20 мм x 1/2", В, сірий 3917400090
Надходження товарів і послуг ІБ00-001002 від 14.03.2025 13:53:57
Цех_ВООЗ (ЕМС)</t>
  </si>
  <si>
    <t>Обл. НДС
труба 100х100х3 мм; ст. 1-3 пс; 12 м
Надходження товарів і послуг ІБ00-000556 від 12.02.2025 18:02:52
Цех_ВООЗ (ЕМС)</t>
  </si>
  <si>
    <t>Обл. НДС
Труба 40х20х1,8
Надходження товарів і послуг ІБ00-000944 від 01.03.2025 18:16:12
Цех_ВООЗ (ЕМС)</t>
  </si>
  <si>
    <t>Обл. НДС
Труба 40х20х3 мм; ст. 1-3пс; 6 м
Надходження товарів і послуг ІБ00-000556 від 12.02.2025 18:02:52
Цех_ВООЗ (ЕМС)</t>
  </si>
  <si>
    <t>Обл. НДС
Труба 40х25х2
Надходження товарів і послуг ІБ00-001043 від 17.03.2025 16:02:50
Цех_ВООЗ (ЕМС)</t>
  </si>
  <si>
    <t>Обл. НДС
Труба 40х40х1,8 
Надходження товарів і послуг ІБ00-000944 від 01.03.2025 18:16:12
Цех_ВООЗ (ЕМС)</t>
  </si>
  <si>
    <t>Обл. НДС
Труба 40х40х3 (6,05-S235/S275)
Надходження товарів і послуг ІБ00-000556 від 12.02.2025 18:02:52
Цех_ВООЗ (ЕМС)</t>
  </si>
  <si>
    <t>Обл. НДС
Труба 40х40х3 (6,05-S235/S275)
Надходження товарів і послуг ІБ00-001043 від 17.03.2025 16:02:50
Цех_ВООЗ (ЕМС)</t>
  </si>
  <si>
    <t>Обл. НДС
Труба 50х25х2
Надходження товарів і послуг ІБ00-000556 від 12.02.2025 18:02:52
Цех_ВООЗ (ЕМС)</t>
  </si>
  <si>
    <t>Обл. НДС
Труба 50х25х2
Надходження товарів і послуг ІБ00-000554 від 14.02.2025 18:35:16
Цех_ВООЗ (ЕМС)</t>
  </si>
  <si>
    <t>Обл. НДС
Труба 50х25х2
Надходження товарів і послуг ІБ00-000944 від 01.03.2025 18:16:12
Цех_ВООЗ (ЕМС)</t>
  </si>
  <si>
    <t>Обл. НДС
Труба 50х25х2
Надходження товарів і послуг ІБ00-001538 від 09.04.2025 11:00:00
Цех_ВООЗ (ЕМС)</t>
  </si>
  <si>
    <t>Обл. НДС
Труба 50х25х3
Надходження товарів і послуг ІБ00-001538 від 09.04.2025 11:00:00
Цех_ВООЗ (ЕМС)</t>
  </si>
  <si>
    <t>Обл. НДС
Труба 50х30х2
Надходження товарів і послуг ІБ00-000944 від 01.03.2025 18:16:12
Цех_ВООЗ (ЕМС)</t>
  </si>
  <si>
    <t>Обл. НДС
труба 50х50х2 мм 6 м
Надходження товарів і послуг ІБ00-000556 від 12.02.2025 18:02:52
Цех_ВООЗ (ЕМС)</t>
  </si>
  <si>
    <t>Обл. НДС
труба 50х50х2 мм; ст. 1-3пс/S235JR; 6 м
Надходження товарів і послуг ІБ00-000944 від 01.03.2025 18:16:12
Цех_ВООЗ (ЕМС)</t>
  </si>
  <si>
    <t>Обл. НДС
труба 50х50х2 мм; ст. 1-3пс/S235JR; 6 м
Надходження товарів і послуг ІБ00-001043 від 17.03.2025 16:02:50
Цех_ВООЗ (ЕМС)</t>
  </si>
  <si>
    <t>Обл. НДС
труба 50х50х3 мм 6 м
Надходження товарів і послуг ІБ00-000944 від 01.03.2025 18:16:12
Цех_ВООЗ (ЕМС)</t>
  </si>
  <si>
    <t>Обл. НДС
Труба 50х50х4 (6,05- 8940:2019 08кп/1-3пс)
Надходження товарів і послуг ІБ00-001043 від 17.03.2025 16:02:50
Цех_ВООЗ (ЕМС)</t>
  </si>
  <si>
    <t>Обл. НДС
труба 50х50х4 мм 6 м
Надходження товарів і послуг ІБ00-000552 від 12.02.2025 18:02:50
Цех_ВООЗ (ЕМС)</t>
  </si>
  <si>
    <t>Обл. НДС
Труба 60х60х2
Надходження товарів і послуг ІБ00-000944 від 01.03.2025 18:16:12
Цех_ВООЗ (ЕМС)</t>
  </si>
  <si>
    <t>Обл. НДС
Труба водостічна 75 мм L=3 м біла
Надходження товарів і послуг ІБ00-000796 від 03.03.2025 18:08:47
Цех_ВООЗ (ЕМС)</t>
  </si>
  <si>
    <t>Обл. НДС
Труба ДУ 40*3,0 ст.1-3 пс; 6 м
Надходження товарів і послуг ІБ00-001468 від 04.04.2025 23:24:37
Цех_ВООЗ (ЕМС)</t>
  </si>
  <si>
    <t>Обл. НДС
Труба каналізаційна 110х3,2х1000мм зовн
Надходження товарів і послуг ІБ00-000989 від 13.03.2025 18:54:27
Цех_ВООЗ (ЕМС)</t>
  </si>
  <si>
    <t>Обл. НДС
Труба каналізаційна 110х3,2х2000мм
Надходження товарів і послуг ІБ00-000989 від 13.03.2025 18:54:27
Цех_ВООЗ (ЕМС)</t>
  </si>
  <si>
    <t>Обл. НДС
Труба каналізаційна 110х3,2х3000мм
Надходження товарів і послуг ІБ00-000989 від 13.03.2025 18:54:27
Цех_ВООЗ (ЕМС)</t>
  </si>
  <si>
    <t>Обл. НДС
Труба ПВХ гнучка гофр. д.20мм, 220Н 5/см пог. стандартна з протяжкою, сірий колір
Надходження товарів і послуг ІБ00-000831 від 04.03.2025 17:40:15
Цех_ВООЗ (ЕМС)</t>
  </si>
  <si>
    <t>Обл. НДС
Труба ПВХ гнучка гофр. д.20мм, 220Н 5/см пог. стандартна з протяжкою, сірий колір
Надходження товарів і послуг ІБ00-001039 від 14.03.2025 17:49:58
Цех_ВООЗ (ЕМС)</t>
  </si>
  <si>
    <t>Обл. НДС
Труба ПЕ ф25
Надходження товарів і послуг ІБ00-001350 від 31.03.2025 20:59:59
Цех_ВООЗ (ЕМС)</t>
  </si>
  <si>
    <t>Обл. НДС
Труба поліетиленова РЕHD PE100, SDR13,6 р=12,5, d 25 мм
Надходження товарів і послуг ІБ00-001116 від 18.03.2025 23:12:17
Цех_ВООЗ (ЕМС)</t>
  </si>
  <si>
    <t>Обл. НДС
Труба поліетиленова РЕHD PE100, SDR17, PN10, d 32 мм, 391721100
Надходження товарів і послуг ІБ00-000989 від 13.03.2025 18:54:27
Цех_ВООЗ (ЕМС)</t>
  </si>
  <si>
    <t>Обл. НДС
Труба поліпропіленова каналізаційна d=110  мм І=1000 мм
Надходження товарів і послуг ІБ00-001002 від 14.03.2025 13:53:57
Цех_ВООЗ (ЕМС)</t>
  </si>
  <si>
    <t>Обл. НДС
Труба поліпропіленова каналізаційна d=32  мм І=1000 мм
Надходження товарів і послуг ІБ00-000989 від 13.03.2025 18:54:27
Цех_ВООЗ (ЕМС)</t>
  </si>
  <si>
    <t>Обл. НДС
Труба поліпропіленова каналізаційна d=32  мм І=2000 мм
Надходження товарів і послуг ІБ00-000989 від 13.03.2025 18:54:27
Цех_ВООЗ (ЕМС)</t>
  </si>
  <si>
    <t>Обл. НДС
Труба поліпропіленова каналізаційна d=32  мм І=500 мм
Надходження товарів і послуг ІБ00-000989 від 13.03.2025 18:54:27
Цех_ВООЗ (ЕМС)</t>
  </si>
  <si>
    <t>Обл. НДС
Труба поліпропіленова каналізаційна d=50  мм І=1000 мм
Надходження товарів і послуг ІБ00-001116 від 18.03.2025 23:12:17
Цех_ВООЗ (ЕМС)</t>
  </si>
  <si>
    <t>Обл. НДС
Труба поліпропіленова каналізаційна d=50  мм І=2000 мм
Надходження товарів і послуг ІБ00-001116 від 18.03.2025 23:12:17
Цех_ВООЗ (ЕМС)</t>
  </si>
  <si>
    <t>Обл. НДС
Труба поліпропіленова каналізаційна d=50  мм І=500 мм
Надходження товарів і послуг ІБ00-001116 від 18.03.2025 23:12:17
Цех_ВООЗ (ЕМС)</t>
  </si>
  <si>
    <t>Обл. НДС
Труба поліпропіленова, PP-R/F, RN 20бар, 20 мм сіра
Надходження товарів і послуг ІБ00-006468 від 26.12.2024 19:01:12
Цех_ВООЗ (ЕМС)</t>
  </si>
  <si>
    <t>Обл. НДС
Труба поліпропіленова, PP-R/F, RN 20бар, 20 мм сіра
Надходження товарів і послуг ІБ00-000989 від 13.03.2025 18:54:27
Цех_ВООЗ (ЕМС)</t>
  </si>
  <si>
    <t>Обл. НДС
Труба профільна 30х20х2
Надходження товарів і послуг ІБ00-000944 від 01.03.2025 18:16:12
Цех_ВООЗ (ЕМС)</t>
  </si>
  <si>
    <t>Обл. НДС
Умивальник 
Надходження товарів і послуг ІБ00-000990 від 13.03.2025 18:54:29
Цех_ВООЗ (ЕМС)</t>
  </si>
  <si>
    <t>Обл. НДС
Універсальний шуруп 5,0х70 потай
Надходження товарів і послуг ІБ00-000557 від 11.02.2025 20:00:02
Цех_ВООЗ (ЕМС)</t>
  </si>
  <si>
    <t>Обл. НДС
Універсальний шуруп 5,0х90 потай
Надходження товарів і послуг ІБ00-000853 від 06.03.2025 20:05:54
Цех_ВООЗ (ЕМС)</t>
  </si>
  <si>
    <t>Обл. НДС
Універсальний шуруп 5,0х90 потай
Надходження товарів і послуг ІБ00-001133 від 19.03.2025 17:35:33
Цех_ВООЗ (ЕМС)</t>
  </si>
  <si>
    <t>Обл. НДС
Унітаз-Компакт підлоговий
Надходження товарів і послуг ІБ00-000990 від 13.03.2025 18:54:29
Цех_ВООЗ (ЕМС)</t>
  </si>
  <si>
    <t>Обл. НДС
Фітинги із пластмаси
Авансовий звіт ІБ00-000064 від 21.03.2025 09:38:43
Цех_ВООЗ (ЕМС)</t>
  </si>
  <si>
    <t>Обл. НДС
Фланець пластиковий ВЕНТС ФК 125 з квадратною поастиною
Надходження товарів і послуг ІБ00-000825 від 06.03.2025 12:31:01
Цех_ВООЗ (ЕМС)</t>
  </si>
  <si>
    <t>Обл. НДС
Фум стрічка "Стандартна", рулон 19 мм * 0,075 мм - 10 метров
Надходження товарів і послуг ІБ00-006467 від 26.12.2024 19:01:10
Цех_ВООЗ (ЕМС)</t>
  </si>
  <si>
    <t>Обл. НДС
Фум стрічка "Стандартна", рулон 19 мм * 0,075 мм - 10 метров
Надходження товарів і послуг ІБ00-006468 від 26.12.2024 19:01:12
Цех_ВООЗ (ЕМС)</t>
  </si>
  <si>
    <t>Обл. НДС
Фум стрічка "Стандартна", рулон 19 мм * 0,075 мм - 10 метров
Надходження товарів і послуг ІБ00-001116 від 18.03.2025 23:12:17
Цех_ВООЗ (ЕМС)</t>
  </si>
  <si>
    <t>Обл. НДС
Холодильник  
Надходження товарів і послуг ІБ00-000822 від 06.03.2025 12:12:40
Цех_ВООЗ (ЕМС)</t>
  </si>
  <si>
    <t>Обл. НДС
Хомут для труб  PP-R одинарний D=20 mm
Надходження товарів і послуг ІБ00-000989 від 13.03.2025 18:54:27
Цех_ВООЗ (ЕМС)</t>
  </si>
  <si>
    <t>Обл. НДС
Хрестовина одноплощинна D=110 мм, 87° 30 ', фітинг 3917400090
Надходження товарів і послуг ІБ00-001116 від 18.03.2025 23:12:17
Цех_ВООЗ (ЕМС)</t>
  </si>
  <si>
    <t>Обл. НДС
Цементно-стружкова плита  3200*1250*20 мм
Надходження товарів і послуг ІБ00-000792 від 04.03.2025 17:40:09
Цех_ВООЗ (ЕМС)</t>
  </si>
  <si>
    <t>Обл. НДС
Шайба М12  DIN125 цб
Надходження товарів і послуг ІБ00-001139 від 19.03.2025 17:35:50
Цех_ВООЗ (ЕМС)</t>
  </si>
  <si>
    <t>Обл. НДС
Шайба М16  DIN125 цб
Надходження товарів і послуг ІБ00-000583 від 14.02.2025 18:35:26
Цех_ВООЗ (ЕМС)</t>
  </si>
  <si>
    <t>Обл. НДС
Шайба пруж М16  DIN127 цб
Надходження товарів і послуг ІБ00-000583 від 14.02.2025 18:35:26
Цех_ВООЗ (ЕМС)</t>
  </si>
  <si>
    <t>Обл. НДС
Шайба пружин.М12 DIN127
Надходження товарів і послуг ІБ00-001139 від 19.03.2025 17:35:50
Цех_ВООЗ (ЕМС)</t>
  </si>
  <si>
    <t>Обл. НДС
Шафа для одягу ШО-300/1 -2
Надходження товарів і послуг ІБ00-001461 від 04.04.2025 23:24:32
Цех_ВООЗ (ЕМС)</t>
  </si>
  <si>
    <t>Обл. НДС
Шафа розпашна 900х2045х500
Надходження товарів і послуг ІБ00-000854 від 07.03.2025 11:17:08
Цех_ВООЗ (ЕМС)</t>
  </si>
  <si>
    <t>Обл. НДС
Шафа ШМ-М
Надходження товарів і послуг ІБ00-001117 від 14.03.2025 17:50:52
Цех_ВООЗ (ЕМС)</t>
  </si>
  <si>
    <t>Обл. НДС
Шафа ШМ-М-М
Надходження товарів і послуг ІБ00-001117 від 14.03.2025 17:50:52
Цех_ВООЗ (ЕМС)</t>
  </si>
  <si>
    <t>Обл. НДС
Шафа- пенал для вітальні КШ-26
Надходження товарів і послуг ІБ00-001164 від 21.03.2025 19:25:55
Цех_ВООЗ (ЕМС)</t>
  </si>
  <si>
    <t>Обл. НДС
Шина нульова 6*9
Надходження товарів і послуг ІБ00-000845 від 05.03.2025 18:37:43
Цех_ВООЗ (ЕМС)</t>
  </si>
  <si>
    <t>Обл. НДС
Шина нульова на DIN рейку 10 отв
Надходження товарів і послуг ІБ00-001099 від 17.03.2025 17:20:18
Цех_ВООЗ (ЕМС)</t>
  </si>
  <si>
    <t>Обл. НДС
Шнур зварювальний 1121 CN 4мм
Надходження товарів і послуг ІБ00-000864 від 07.03.2025 19:00:01
Цех_ВООЗ (ЕМС)</t>
  </si>
  <si>
    <t>Обл. НДС
Шнур зварювальний 1133 CN 4мм
Надходження товарів і послуг ІБ00-000956 від 11.03.2025 18:27:12
Цех_ВООЗ (ЕМС)</t>
  </si>
  <si>
    <t>Обл. НДС
Шпаклівка по дереву 1,5 кг
Надходження товарів і послуг ІБ00-001495 від 08.04.2025 23:10:47
Цех_ВООЗ (ЕМС)</t>
  </si>
  <si>
    <t>Обл. НДС
Шпилька  М48 DIN975
Надходження товарів і послуг ІБ00-000673 від 26.02.2025 18:00:17
Цех_ВООЗ (ЕМС)</t>
  </si>
  <si>
    <t>Обл. НДС
Штаба 40х4 (6м)
Надходження товарів і послуг ІБ00-001119 від 19.03.2025 17:35:15
Цех_ВООЗ (ЕМС)</t>
  </si>
  <si>
    <t>Обл. НДС
Шуруп 4,2х19
Надходження товарів і послуг ІБ00-001652 від 15.04.2025 18:30:33
Цех_ВООЗ (ЕМС)</t>
  </si>
  <si>
    <t>Обл. НДС
Шуруп 4,5х45
Надходження товарів і послуг ІБ00-000136 від 16.01.2025 17:55:08
Цех_ВООЗ (ЕМС)</t>
  </si>
  <si>
    <t>Обл. НДС
Шуруп 4,5х70
Надходження товарів і послуг ІБ00-001175 від 24.03.2025 17:30:23
Цех_ВООЗ (ЕМС)</t>
  </si>
  <si>
    <t>Обл. НДС
Шуруп 4,5х70
Надходження товарів і послуг ІБ00-001543 від 10.04.2025 22:56:17
Цех_ВООЗ (ЕМС)</t>
  </si>
  <si>
    <t>Обл. НДС
Шуруп г/к по дереву 3,5*35 мм
Надходження товарів і послуг ІБ00-000852 від 06.03.2025 20:05:51
Цех_ВООЗ (ЕМС)</t>
  </si>
  <si>
    <t>Обл. НДС
Шуруп г/к по дереву 3,5*35 мм
Надходження товарів і послуг ІБ00-001003 від 13.03.2025 18:54:32
Цех_ВООЗ (ЕМС)</t>
  </si>
  <si>
    <t>Обл. НДС
Шуруп універсальний, потайна головка, 4,0х50 (уп. 200 шт)
Авансовий звіт ІБ00-000298 від 16.12.2024 18:00:29
Цех_ВООЗ (ЕМС)</t>
  </si>
  <si>
    <t>Обл. НДС
Щебінь 5-20
Надходження товарів і послуг ІБ00-001244 від 27.03.2025 18:14:31
Цех_ВООЗ (ЕМС)</t>
  </si>
  <si>
    <t>Обл. НДС
Щебінь гранітний 5-20
Надходження товарів і послуг ІБ00-001243 від 27.03.2025 18:14:29
Цех_ВООЗ (ЕМС)</t>
  </si>
  <si>
    <t>Обл. НДС
Щиток пластик. 6 мод.зовн.устан.
Надходження товарів і послуг ІБ00-000845 від 05.03.2025 18:37:43
Цех_ВООЗ (ЕМС)</t>
  </si>
  <si>
    <t>24.04.2025</t>
  </si>
  <si>
    <t>Передача малоцінних активів в експлуатацію ІБ00-000212 від 24.04.2025 00:00:00
Списание стоимости малоценных активов</t>
  </si>
  <si>
    <t>Обл. НДС
Біта  РZ2  50мм 
Надходження товарів і послуг ІБ00-006212 від 13.12.2024 19:00:31
Цех_МШП</t>
  </si>
  <si>
    <t>221</t>
  </si>
  <si>
    <t>Обл. НДС
Біта РZ 2*50 мм
Надходження товарів і послуг ІБ00-000018 від 08.01.2025 12:06:19
Цех_МШП</t>
  </si>
  <si>
    <t>Обл. НДС
Біта РZ 2*51 мм
Надходження товарів і послуг ІБ00-004586 від 01.10.2024 17:34:54
Цех_МШП</t>
  </si>
  <si>
    <t>Обл. НДС
Біта РZ 2*51 мм
Надходження товарів і послуг ІБ00-004923 від 14.10.2024 18:18:23
Цех_МШП</t>
  </si>
  <si>
    <t>Обл. НДС
Біта РZ3x25
Надходження товарів і послуг ІБ00-001782 від 23.04.2025 21:45:04
Цех_МШП</t>
  </si>
  <si>
    <t>Обл. НДС
Біта РZ3x50
Надходження товарів і послуг ІБ00-000159 від 21.01.2025 17:18:01
Цех_МШП</t>
  </si>
  <si>
    <t>Обл. НДС
Біта РZ3x50
Надходження товарів і послуг ІБ00-001782 від 23.04.2025 21:45:04
Цех_МШП</t>
  </si>
  <si>
    <t>Обл. НДС
Біта РН 2*50 мм 
Надходження товарів і послуг ІБ00-000159 від 21.01.2025 17:18:01
Цех_МШП</t>
  </si>
  <si>
    <t>Обл. НДС
Вилка пряма з зазем.
Надходження товарів і послуг ІБ00-003100 від 31.07.2024 18:47:51
Цех_МШП</t>
  </si>
  <si>
    <t>Обл. НДС
Відрізний диск Standard Inox 230x1,9мм арт.2608601514
Надходження товарів і послуг ІБ00-001161 від 21.03.2025 19:25:49
Цех_МШП</t>
  </si>
  <si>
    <t>Обл. НДС
Відрізний диск Standard Inox 230x1,9мм арт.2608601514
Надходження товарів і послуг ІБ00-001687 від 17.04.2025 18:06:03
Цех_МШП</t>
  </si>
  <si>
    <t>Обл. НДС
Ганчір'я х/б
Надходження товарів і послуг ІБ00-000048 від 13.01.2025 11:13:50
Цех_МШП</t>
  </si>
  <si>
    <t>Обл. НДС
Ганчірка для підлоги
Надходження товарів і послуг ІБ00-000322 від 29.01.2025 18:00:15
Цех_МШП</t>
  </si>
  <si>
    <t>Обл. НДС
Герметик акрил SOUDAL 280 мл.
Надходження товарів і послуг ІБ00-006305 від 18.12.2024 18:00:18
Цех_МШП</t>
  </si>
  <si>
    <t>Обл. НДС
Герметик акрил SOUDAL 280 мл.
Надходження товарів і послуг ІБ00-000159 від 21.01.2025 17:18:01
Цех_МШП</t>
  </si>
  <si>
    <t>Обл. НДС
Герметик силіконовий санітарний Mounter (білий) 280 мл
Надходження товарів і послуг ІБ00-005715 від 19.11.2024 17:51:14
Цех_МШП</t>
  </si>
  <si>
    <t>Обл. НДС
Герметик силіконовий санітарний Mounter (білий) 280 мл
Надходження товарів і послуг ІБ00-001406 від 03.04.2025 17:41:13
Цех_МШП</t>
  </si>
  <si>
    <t>Обл. НДС
Губка абразивна шліфувальна Р120 100*68*27мм 
Надходження товарів і послуг ІБ00-002685 від 16.07.2024 17:33:21
Цех_МШП</t>
  </si>
  <si>
    <t>Обл. НДС
Губка кухонка 
Надходження товарів і послуг ІБ00-000902 від 10.03.2025 17:56:07
Цех_МШП</t>
  </si>
  <si>
    <t>Обл. НДС
Губка кухонка 
Надходження товарів і послуг ІБ00-001248 від 27.03.2025 18:14:35
Цех_МШП</t>
  </si>
  <si>
    <t>Обл. НДС
Дріт 1,2 мм
Надходження товарів і послуг ІБ00-000662 від 26.02.2025 18:00:02
Цех_МШП</t>
  </si>
  <si>
    <t>Обл. НДС
Дріт стал.н/в терм/обр д.0,8 мм 
Надходження товарів і послуг ІБ00-000764 від 03.03.2025 18:08:15
Цех_МШП</t>
  </si>
  <si>
    <t>Обл. НДС
Електроди "Моноліт РЦ" ф3 мм уп/2,5кг
Надходження товарів і послуг ІБ00-001160 від 18.03.2025 23:12:37
Цех_МШП</t>
  </si>
  <si>
    <t>Обл. НДС
Емаль акрилова 400 мл
Надходження товарів і послуг ІБ00-000764 від 03.03.2025 18:08:15
Цех_МШП</t>
  </si>
  <si>
    <t>Обл. НДС
Емаль акрилова 400 мл
Надходження товарів і послуг ІБ00-001058 від 17.03.2025 17:20:04
Цех_МШП</t>
  </si>
  <si>
    <t>Обл. НДС
Жилка муляра 100м*1мм
Надходження товарів і послуг ІБ00-004621 від 03.10.2024 17:49:04
Цех_МШП</t>
  </si>
  <si>
    <t>Обл. НДС
Засіб д/миття посуду: рідина FAIRY 1л, лимон
Надходження товарів і послуг ІБ00-004813 від 09.10.2024 18:36:47
Цех_МШП</t>
  </si>
  <si>
    <t>Обл. НДС
Засіб для миття плит
Надходження товарів і послуг ІБ00-001351 від 31.03.2025 20:59:59
Цех_МШП</t>
  </si>
  <si>
    <t>Обл. НДС
Засіб для миття скла
Надходження товарів і послуг ІБ00-001351 від 31.03.2025 20:59:59
Цех_МШП</t>
  </si>
  <si>
    <t>Обл. НДС
Засіб для миття унітазу
Надходження товарів і послуг ІБ00-001351 від 31.03.2025 20:59:59
Цех_МШП</t>
  </si>
  <si>
    <t>Обл. НДС
Ізоляційна стрічка 0,13*19 20 м чорна
Надходження товарів і послуг ІБ00-001101 від 17.03.2025 17:20:19
Цех_МШП</t>
  </si>
  <si>
    <t>Обл. НДС
Ізоляційна стрічка 0,13*19 20 м чорна
Надходження товарів і послуг ІБ00-001523 від 08.04.2025 23:11:20
Цех_МШП</t>
  </si>
  <si>
    <t>Обл. НДС
Ізоляційна стрічка ПВХ велика
Надходження товарів і послуг ІБ00-002748 від 18.07.2024 18:00:10
Цех_МШП</t>
  </si>
  <si>
    <t>Обл. НДС
Ізоляційна стрічка ПВХ велика
Надходження товарів і послуг ІБ00-003569 від 20.08.2024 18:51:39
Цех_МШП</t>
  </si>
  <si>
    <t>Обл. НДС
Кабельна стяжка 8х500
Надходження товарів і послуг ІБ00-001782 від 23.04.2025 21:45:04
Цех_МШП</t>
  </si>
  <si>
    <t>Обл. НДС
Кабельний роз'єм  10-25 (штекер)
Надходження товарів і послуг ІБ00-003504 від 19.08.2024 20:01:04
Цех_МШП</t>
  </si>
  <si>
    <t>Обл. НДС
Клей "Рідкі цвяхи", білий Fast Fix, 280 мл
Надходження товарів і послуг ІБ00-001406 від 03.04.2025 17:41:13
Цех_МШП</t>
  </si>
  <si>
    <t>Обл. НДС
Клей-піна, 800 мл
Надходження товарів і послуг ІБ00-006114 від 09.12.2024 18:21:27
Цех_МШП</t>
  </si>
  <si>
    <t>Обл. НДС
Крейда маркувальна воскова, біла, 2 шт.
Надходження товарів і послуг ІБ00-000527 від 13.02.2025 18:04:48
Цех_МШП</t>
  </si>
  <si>
    <t>Обл. НДС
Крейда маркувальна воскова, біла, 2 шт.
Надходження товарів і послуг ІБ00-000961 від 06.03.2025 22:00:08
Цех_МШП</t>
  </si>
  <si>
    <t>Обл. НДС
Крейда маркувальна воскова, біла, 2 шт.
Надходження товарів і послуг ІБ00-001229 від 25.03.2025 17:56:33
Цех_МШП</t>
  </si>
  <si>
    <t>Обл. НДС
Крейда маркувальна воскова, біла, 2 шт.
Надходження товарів і послуг ІБ00-001743 від 16.04.2025 17:38:47
Цех_МШП</t>
  </si>
  <si>
    <t>Обл. НДС
Круг відрізний по металу 125*1,6
Надходження товарів і послуг ІБ00-005442 від 08.10.2024 22:00:22
Цех_МШП</t>
  </si>
  <si>
    <t>Обл. НДС
Круг відрізний по металу 125*1,6
Надходження товарів і послуг ІБ00-004524 від 30.10.2024 12:00:00
Цех_МШП</t>
  </si>
  <si>
    <t>Обл. НДС
Круг відрізний по металу 125*1,6
Надходження товарів і послуг ІБ00-005744 від 20.11.2024 18:10:57
Цех_МШП</t>
  </si>
  <si>
    <t>Обл. НДС
Круг відрізний по металу 125*1,6
Надходження товарів і послуг ІБ00-000078 від 14.01.2025 10:00:00
Цех_МШП</t>
  </si>
  <si>
    <t>Обл. НДС
Круг пелюст 125*22
Надходження товарів і послуг ІБ00-001141 від 13.03.2025 18:55:15
Цех_МШП</t>
  </si>
  <si>
    <t>Обл. НДС
Леза 18 мм 
Надходження товарів і послуг ІБ00-006323 від 20.12.2024 18:17:30
Цех_МШП</t>
  </si>
  <si>
    <t>Обл. НДС
Леза 18 мм 
Надходження товарів і послуг ІБ00-000018 від 08.01.2025 12:06:19
Цех_МШП</t>
  </si>
  <si>
    <t>Обл. НДС
Леза 18 мм 
Надходження товарів і послуг ІБ00-000073 від 14.01.2025 18:04:50
Цех_МШП</t>
  </si>
  <si>
    <t>Обл. НДС
Леза 25 мм 
Надходження товарів і послуг ІБ00-000073 від 14.01.2025 18:04:50
Цех_МШП</t>
  </si>
  <si>
    <t>Обл. НДС
Леза до ножів, 25 мм, 10 шт
Надходження товарів і послуг ІБ00-001351 від 31.03.2025 20:59:59
Цех_МШП</t>
  </si>
  <si>
    <t>Обл. НДС
Леза змінні 18 мм Hardy 0550-201018 уп 10шт.
Надходження товарів і послуг ІБ00-004061 від 12.09.2024 15:16:33
Цех_МШП</t>
  </si>
  <si>
    <t>Обл. НДС
Леза змінні 18 мм Hardy 0550-201018 уп 10шт.
Надходження товарів і послуг ІБ00-001009 від 13.03.2025 18:54:38
Цех_МШП</t>
  </si>
  <si>
    <t>Обл. НДС
Леза сегм.відламні 18мм (10шт)
Надходження товарів і послуг ІБ00-001496 від 08.04.2025 23:10:48
Цех_МШП</t>
  </si>
  <si>
    <t>Обл. НДС
Окуляри захисні прозорі
Надходження товарів і послуг ІБ00-001161 від 21.03.2025 19:25:49
Цех_МШП</t>
  </si>
  <si>
    <t>Обл. НДС
Окуляри захисні прозорі
Надходження товарів і послуг ІБ00-001687 від 17.04.2025 18:06:03
Цех_МШП</t>
  </si>
  <si>
    <t>Обл. НДС
Олівці столярні
Надходження товарів і послуг ІБ00-001058 від 17.03.2025 17:20:04
Цех_МШП</t>
  </si>
  <si>
    <t>Обл. НДС
Очисник для піни  500 мл
Надходження товарів і послуг ІБ00-000159 від 21.01.2025 17:18:01
Цех_МШП</t>
  </si>
  <si>
    <t>Обл. НДС
Очисник для піни  500 мл
Надходження товарів і послуг ІБ00-000707 від 03.03.2025 15:23:22
Цех_МШП</t>
  </si>
  <si>
    <t>Обл. НДС
Очисник для піни  500 мл
Надходження товарів і послуг ІБ00-001058 від 17.03.2025 17:20:04
Цех_МШП</t>
  </si>
  <si>
    <t>Обл. НДС
Очисник для піни  500 мл
Надходження товарів і послуг ІБ00-001351 від 31.03.2025 20:59:59
Цех_МШП</t>
  </si>
  <si>
    <t>Обл. НДС
пильне полотно 26105
Надходження товарів і послуг ІБ00-004586 від 01.10.2024 17:34:54
Цех_МШП</t>
  </si>
  <si>
    <t>Обл. НДС
Рукавиці, пар. 
Надходження товарів і послуг ІБ00-000707 від 03.03.2025 15:23:22
Цех_МШП</t>
  </si>
  <si>
    <t>Обл. НДС
Рукавиці, пар. 
Надходження товарів і послуг ІБ00-000791 від 04.03.2025 17:40:06
Цех_МШП</t>
  </si>
  <si>
    <t>Обл. НДС
Рулетка  3 м*19 мм 
Надходження товарів і послуг ІБ00-005810 від 25.11.2024 17:49:44
Цех_МШП</t>
  </si>
  <si>
    <t>Обл. НДС
Рулетка  5 м*19 мм прогумований корпус
Надходження товарів і послуг ІБ00-000019 від 08.01.2025 12:27:05
Цех_МШП</t>
  </si>
  <si>
    <t>Обл. НДС
Рулетка  5 м*25 мм 
Надходження товарів і послуг ІБ00-000527 від 13.02.2025 18:04:48
Цех_МШП</t>
  </si>
  <si>
    <t>Обл. НДС
Свердло 4,0мм HSS TiN
Надходження товарів і послуг ІБ00-001213 від 24.03.2025 17:30:35
Цех_МШП</t>
  </si>
  <si>
    <t>Обл. НДС
Свердло 4,0мм HSS TiN
Надходження товарів і послуг ІБ00-001496 від 08.04.2025 23:10:48
Цех_МШП</t>
  </si>
  <si>
    <t>Обл. НДС
Свердло 6,0мм HSS TiN
Надходження товарів і послуг ІБ00-005122 від 18.10.2024 22:21:31
Цех_МШП</t>
  </si>
  <si>
    <t>Обл. НДС
Свердло 6,0мм HSS TiN
Надходження товарів і послуг ІБ00-004524 від 30.10.2024 12:00:00
Цех_МШП</t>
  </si>
  <si>
    <t>Обл. НДС
Свердло 6,0мм HSS TiN
Надходження товарів і послуг ІБ00-005508 від 08.11.2024 11:41:54
Цех_МШП</t>
  </si>
  <si>
    <t>Обл. НДС
Свердло по металу  4,0х75мм
Надходження товарів і послуг ІБ00-004059 від 12.09.2024 14:49:41
Цех_МШП</t>
  </si>
  <si>
    <t>Обл. НДС
Свердло по металу 4,0мм 
Надходження товарів і послуг ІБ00-002850 від 24.07.2024 17:53:01
Цех_МШП</t>
  </si>
  <si>
    <t>Обл. НДС
Свердло по металу 4,0мм 
Надходження товарів і послуг ІБ00-006288 від 18.12.2024 18:00:07
Цех_МШП</t>
  </si>
  <si>
    <t>Обл. НДС
Свердло по металу 4,0мм 
Надходження товарів і послуг ІБ00-000159 від 21.01.2025 17:18:01
Цех_МШП</t>
  </si>
  <si>
    <t>Обл. НДС
Свердло по металу 4,0мм 
Надходження товарів і послуг ІБ00-000791 від 04.03.2025 17:40:06
Цех_МШП</t>
  </si>
  <si>
    <t>Обл. НДС
Свердло по металу 5,0 HSS Cobalt
Надходження товарів і послуг ІБ00-000159 від 21.01.2025 17:18:01
Цех_МШП</t>
  </si>
  <si>
    <t>Обл. НДС
Силікон універс.прозорий  280 мл
Надходження товарів і послуг ІБ00-001141 від 13.03.2025 18:55:15
Цех_МШП</t>
  </si>
  <si>
    <t>Обл. НДС
Скоба для степлера тимА10мм  1000шт/уп
Надходження товарів і послуг ІБ00-003685 від 28.08.2024 17:38:23
Цех_МШП</t>
  </si>
  <si>
    <t>Обл. НДС
Скоба для степлера тимА10мм  1000шт/уп
Надходження товарів і послуг ІБ00-003785 від 03.09.2024 17:34:37
Цех_МШП</t>
  </si>
  <si>
    <t>Обл. НДС
Скоба для степлера тимА10мм  1000шт/уп
Надходження товарів і послуг ІБ00-004057 від 05.09.2024 17:49:14
Цех_МШП</t>
  </si>
  <si>
    <t>Обл. НДС
Скоба для степлера тимА10мм  1000шт/уп
Надходження товарів і послуг ІБ00-004061 від 12.09.2024 15:16:33
Цех_МШП</t>
  </si>
  <si>
    <t>Обл. НДС
Скоба для степлера тимА10мм  1000шт/уп
Надходження товарів і послуг ІБ00-004198 від 17.09.2024 18:15:05
Цех_МШП</t>
  </si>
  <si>
    <t>Обл. НДС
Стрічка малярна , 50мм*50м
Надходження товарів і послуг ІБ00-000662 від 26.02.2025 18:00:02
Цех_МШП</t>
  </si>
  <si>
    <t>Обл. НДС
Стрічка малярна жовта, 38мм*40м
Надходження товарів і послуг ІБ00-004813 від 09.10.2024 18:36:47
Цех_МШП</t>
  </si>
  <si>
    <t>Обл. НДС
Стрічка малярна жовта, 38мм*40м
Надходження товарів і послуг ІБ00-000662 від 26.02.2025 18:00:02
Цех_МШП</t>
  </si>
  <si>
    <t>Обл. НДС
Стрічка малярна жовта, 38мм*40м
Надходження товарів і послуг ІБ00-001141 від 13.03.2025 18:55:15
Цех_МШП</t>
  </si>
  <si>
    <t>Обл. НДС
Стрічка малярна, 72мм*20м
Надходження товарів і послуг ІБ00-005993 від 04.12.2024 17:28:58
Цех_МШП</t>
  </si>
  <si>
    <t>Обл. НДС
Хомут 8-12
Надходження товарів і послуг ІБ00-006213 від 13.12.2024 19:00:35
Цех_МШП</t>
  </si>
  <si>
    <t>Обл. НДС
Хомут стяжний оцинк.сталь 10-16 мм
Надходження товарів і послуг ІБ00-006213 від 13.12.2024 19:00:35
Цех_МШП</t>
  </si>
  <si>
    <t>Обл. НДС
Хомут стяжний оцинк.сталь 12-20 мм
Надходження товарів і послуг ІБ00-004229 від 12.09.2024 18:41:27
Цех_МШП</t>
  </si>
  <si>
    <t>Обл. НДС
Хомут стяжний оцинк.сталь 12-20 мм
Надходження товарів і послуг ІБ00-006213 від 13.12.2024 19:00:35
Цех_МШП</t>
  </si>
  <si>
    <t>Обл. НДС
Шліфшкурка GIPEX 115мм Р-100 жовта
Надходження товарів і послуг ІБ00-004777 від 08.10.2024 18:02:54
Цех_МШП</t>
  </si>
  <si>
    <t>Обл. НДС
Шліфшкурка GIPEX 115мм Р-120 жовта
Надходження товарів і послуг ІБ00-005122 від 18.10.2024 22:21:31
Цех_МШП</t>
  </si>
  <si>
    <t>Надходження товарів і послуг ІБ00-001942 від 24.04.2025 11:00:00
Услуги</t>
  </si>
  <si>
    <t>ІНДЕП ТРАНС ТОВ
дог. 20.07.22 від 20.07.2022 РАХУНКИ_МД ВООЗ ЄМС
Рахунок на оплату постачальника ІБ00-001607 від 24.04.2025 18:46:21</t>
  </si>
  <si>
    <t>28.04.2025</t>
  </si>
  <si>
    <t>Надходження товарів і послуг ІБ00-001939 від 28.04.2025 11:00:00
Услуги</t>
  </si>
  <si>
    <t>ІНДЕП ТРАНС ТОВ
дог. 20.07.22 від 20.07.2022 РАХУНКИ_МД ВООЗ ЄМС
Рахунок на оплату постачальника ІБ00-001604 від 28.04.2025 18:51:02</t>
  </si>
  <si>
    <t>Надходження товарів і послуг ІБ00-001941 від 28.04.2025 11:00:00
Услуги</t>
  </si>
  <si>
    <t>ІНДЕП ТРАНС ТОВ
дог. 20.07.22 від 20.07.2022 РАХУНКИ_МД ВООЗ ЄМС
Рахунок на оплату постачальника ІБ00-001606 від 28.04.2025 18:51:04</t>
  </si>
  <si>
    <t>29.04.2025</t>
  </si>
  <si>
    <t>Надходження товарів і послуг ІБ00-002037 від 29.04.2025 18:09:44
Услуги</t>
  </si>
  <si>
    <t>ПЕРША ПОКРІВЕЛЬНА ГІЛЬДІЯ ТОВ
РАХУНКИ_МД ВООЗ ЕМС
Рахунок на оплату постачальника ІБ00-001648 від 29.04.2025 00:00:00</t>
  </si>
  <si>
    <t>30.04.2025</t>
  </si>
  <si>
    <t>Вимога-накладна ІБ00-000305 від 30.04.2025 18:55:26
Списаны ТМЦ</t>
  </si>
  <si>
    <t>Закриття місяця ІБ00-000004 від 30.04.2025 23:58:59
Корректировка стоимости списания</t>
  </si>
  <si>
    <t>Закриття місяця ІБ00-000004 від 30.04.2025 23:58:59
Корректировка выпуска продукции (услуг)</t>
  </si>
  <si>
    <t>Обл. НДС
Цех МД ВООЗ ЕМС
&lt;...&gt;</t>
  </si>
  <si>
    <t>Обл. НДС
Виробничий (Цех МД ВООЗ ЕМС)
Цех МД ВООЗ ЕМС
&lt;...&gt;</t>
  </si>
  <si>
    <t>901</t>
  </si>
  <si>
    <t>Надходження товарів і послуг ІБ00-002043 від 30.04.2025 23:59:59
Услуги</t>
  </si>
  <si>
    <t>ПЕРША ПОКРІВЕЛЬНА ГІЛЬДІЯ ТОВ
РАХУНКИ_МД ВООЗ ЕМС
Рахунок на оплату постачальника ІБ00-001651 від 30.04.2025 23:59:59</t>
  </si>
  <si>
    <t>Обороти за період та сальдо на кінець</t>
  </si>
  <si>
    <t>строй мат</t>
  </si>
  <si>
    <t>мшп</t>
  </si>
  <si>
    <t>перша гільд</t>
  </si>
  <si>
    <t>транс</t>
  </si>
  <si>
    <t>шишенко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</si>
</sst>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8"/>
      <name val="Arial"/>
    </font>
    <font>
      <b/>
      <sz val="10"/>
      <name val="Arial"/>
      <family val="2"/>
      <charset val="204"/>
    </font>
    <font>
      <b/>
      <sz val="12"/>
      <name val="Arial"/>
      <family val="2"/>
      <charset val="204"/>
    </font>
    <font>
      <sz val="8"/>
      <name val="Arial"/>
      <family val="2"/>
      <charset val="204"/>
    </font>
    <font>
      <sz val="10"/>
      <color rgb="FF003F2F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color rgb="FF003F2F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D6E5CB"/>
        <bgColor auto="1"/>
      </patternFill>
    </fill>
    <fill>
      <patternFill patternType="solid">
        <fgColor rgb="FFE4F0DD"/>
        <bgColor auto="1"/>
      </patternFill>
    </fill>
  </fills>
  <borders count="22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/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/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0A0A0"/>
      </left>
      <right/>
      <top/>
      <bottom/>
      <diagonal/>
    </border>
    <border>
      <left/>
      <right style="thin">
        <color rgb="FFA0A0A0"/>
      </right>
      <top/>
      <bottom/>
      <diagonal/>
    </border>
    <border>
      <left style="thin">
        <color rgb="FFA0A0A0"/>
      </left>
      <right style="thin">
        <color rgb="FFA0A0A0"/>
      </right>
      <top/>
      <bottom/>
      <diagonal/>
    </border>
    <border>
      <left/>
      <right style="thin">
        <color rgb="FFA0A0A0"/>
      </right>
      <top style="thin">
        <color rgb="FFA0A0A0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left"/>
    </xf>
    <xf numFmtId="0" fontId="4" fillId="2" borderId="8" xfId="0" applyFont="1" applyFill="1" applyBorder="1" applyAlignment="1">
      <alignment horizontal="center" vertical="top"/>
    </xf>
    <xf numFmtId="0" fontId="4" fillId="3" borderId="13" xfId="0" applyFont="1" applyFill="1" applyBorder="1" applyAlignment="1">
      <alignment horizontal="center" vertical="top"/>
    </xf>
    <xf numFmtId="0" fontId="3" fillId="0" borderId="12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center" vertical="top"/>
    </xf>
    <xf numFmtId="0" fontId="3" fillId="0" borderId="13" xfId="0" applyFont="1" applyBorder="1" applyAlignment="1">
      <alignment horizontal="center" vertical="top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6" fillId="3" borderId="13" xfId="0" applyFont="1" applyFill="1" applyBorder="1" applyAlignment="1">
      <alignment horizontal="center" vertical="top"/>
    </xf>
    <xf numFmtId="1" fontId="0" fillId="0" borderId="0" xfId="0" applyNumberFormat="1" applyAlignment="1">
      <alignment horizontal="left"/>
    </xf>
    <xf numFmtId="1" fontId="4" fillId="2" borderId="10" xfId="0" applyNumberFormat="1" applyFont="1" applyFill="1" applyBorder="1" applyAlignment="1">
      <alignment horizontal="left" vertical="top"/>
    </xf>
    <xf numFmtId="1" fontId="3" fillId="0" borderId="12" xfId="0" applyNumberFormat="1" applyFont="1" applyBorder="1" applyAlignment="1">
      <alignment horizontal="left" vertical="top"/>
    </xf>
    <xf numFmtId="1" fontId="4" fillId="2" borderId="9" xfId="0" applyNumberFormat="1" applyFont="1" applyFill="1" applyBorder="1" applyAlignment="1">
      <alignment horizontal="left" vertical="top"/>
    </xf>
    <xf numFmtId="0" fontId="4" fillId="2" borderId="21" xfId="0" applyFont="1" applyFill="1" applyBorder="1" applyAlignment="1">
      <alignment horizontal="center" vertical="top"/>
    </xf>
    <xf numFmtId="0" fontId="4" fillId="2" borderId="10" xfId="0" applyFont="1" applyFill="1" applyBorder="1" applyAlignment="1">
      <alignment horizontal="center" vertical="top"/>
    </xf>
    <xf numFmtId="0" fontId="4" fillId="2" borderId="11" xfId="0" applyFont="1" applyFill="1" applyBorder="1" applyAlignment="1">
      <alignment horizontal="center" vertical="top"/>
    </xf>
    <xf numFmtId="0" fontId="4" fillId="2" borderId="0" xfId="0" applyFont="1" applyFill="1" applyBorder="1" applyAlignment="1">
      <alignment horizontal="left" vertical="top"/>
    </xf>
    <xf numFmtId="1" fontId="4" fillId="2" borderId="0" xfId="0" applyNumberFormat="1" applyFont="1" applyFill="1" applyBorder="1" applyAlignment="1">
      <alignment horizontal="left" vertical="top"/>
    </xf>
    <xf numFmtId="0" fontId="3" fillId="0" borderId="0" xfId="0" applyFont="1"/>
    <xf numFmtId="0" fontId="4" fillId="3" borderId="12" xfId="0" applyFont="1" applyFill="1" applyBorder="1" applyAlignment="1">
      <alignment vertical="top"/>
    </xf>
    <xf numFmtId="0" fontId="3" fillId="0" borderId="12" xfId="0" applyFont="1" applyBorder="1" applyAlignment="1">
      <alignment horizontal="left" vertical="top" wrapText="1"/>
    </xf>
    <xf numFmtId="2" fontId="3" fillId="0" borderId="12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right" vertical="top" wrapText="1"/>
    </xf>
    <xf numFmtId="4" fontId="3" fillId="0" borderId="14" xfId="0" applyNumberFormat="1" applyFont="1" applyBorder="1" applyAlignment="1">
      <alignment horizontal="right" vertical="top" wrapText="1"/>
    </xf>
    <xf numFmtId="0" fontId="3" fillId="0" borderId="12" xfId="0" applyFont="1" applyBorder="1" applyAlignment="1">
      <alignment horizontal="right" vertical="top" wrapText="1"/>
    </xf>
    <xf numFmtId="4" fontId="5" fillId="0" borderId="14" xfId="0" applyNumberFormat="1" applyFont="1" applyBorder="1" applyAlignment="1">
      <alignment horizontal="right" vertical="top" wrapText="1"/>
    </xf>
    <xf numFmtId="4" fontId="3" fillId="0" borderId="12" xfId="0" applyNumberFormat="1" applyFont="1" applyBorder="1" applyAlignment="1">
      <alignment horizontal="right" vertical="top" wrapText="1"/>
    </xf>
    <xf numFmtId="0" fontId="6" fillId="3" borderId="12" xfId="0" applyFont="1" applyFill="1" applyBorder="1" applyAlignment="1">
      <alignment horizontal="left" vertical="top"/>
    </xf>
    <xf numFmtId="4" fontId="6" fillId="3" borderId="12" xfId="0" applyNumberFormat="1" applyFont="1" applyFill="1" applyBorder="1" applyAlignment="1">
      <alignment horizontal="right" vertical="top" wrapText="1"/>
    </xf>
    <xf numFmtId="2" fontId="6" fillId="3" borderId="14" xfId="0" applyNumberFormat="1" applyFont="1" applyFill="1" applyBorder="1" applyAlignment="1">
      <alignment horizontal="right" vertical="top" wrapText="1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4" fillId="2" borderId="2" xfId="0" applyFont="1" applyFill="1" applyBorder="1" applyAlignment="1">
      <alignment horizontal="left" vertical="top"/>
    </xf>
    <xf numFmtId="0" fontId="4" fillId="2" borderId="18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4" fillId="2" borderId="4" xfId="0" applyFont="1" applyFill="1" applyBorder="1" applyAlignment="1">
      <alignment horizontal="left" vertical="top"/>
    </xf>
    <xf numFmtId="0" fontId="4" fillId="2" borderId="19" xfId="0" applyFont="1" applyFill="1" applyBorder="1" applyAlignment="1">
      <alignment horizontal="left" vertical="top"/>
    </xf>
    <xf numFmtId="0" fontId="4" fillId="2" borderId="3" xfId="0" applyFont="1" applyFill="1" applyBorder="1" applyAlignment="1">
      <alignment horizontal="left" vertical="top"/>
    </xf>
    <xf numFmtId="0" fontId="4" fillId="2" borderId="20" xfId="0" applyFont="1" applyFill="1" applyBorder="1" applyAlignment="1">
      <alignment horizontal="left" vertical="top"/>
    </xf>
    <xf numFmtId="0" fontId="4" fillId="2" borderId="5" xfId="0" applyFont="1" applyFill="1" applyBorder="1" applyAlignment="1">
      <alignment horizontal="left" vertical="top"/>
    </xf>
    <xf numFmtId="0" fontId="4" fillId="2" borderId="7" xfId="0" applyFont="1" applyFill="1" applyBorder="1" applyAlignment="1">
      <alignment horizontal="left" vertical="top"/>
    </xf>
    <xf numFmtId="0" fontId="4" fillId="2" borderId="0" xfId="0" applyFont="1" applyFill="1" applyBorder="1" applyAlignment="1">
      <alignment horizontal="left" vertical="top"/>
    </xf>
    <xf numFmtId="0" fontId="4" fillId="2" borderId="6" xfId="0" applyFont="1" applyFill="1" applyBorder="1" applyAlignment="1">
      <alignment horizontal="left" vertical="top"/>
    </xf>
    <xf numFmtId="0" fontId="4" fillId="2" borderId="8" xfId="0" applyFont="1" applyFill="1" applyBorder="1" applyAlignment="1">
      <alignment horizontal="center" vertical="top"/>
    </xf>
    <xf numFmtId="0" fontId="4" fillId="2" borderId="9" xfId="0" applyFont="1" applyFill="1" applyBorder="1" applyAlignment="1">
      <alignment horizontal="center" vertical="top"/>
    </xf>
    <xf numFmtId="0" fontId="4" fillId="2" borderId="10" xfId="0" applyFont="1" applyFill="1" applyBorder="1" applyAlignment="1">
      <alignment horizontal="left" vertical="top"/>
    </xf>
    <xf numFmtId="0" fontId="4" fillId="2" borderId="11" xfId="0" applyFont="1" applyFill="1" applyBorder="1" applyAlignment="1">
      <alignment horizontal="left" vertical="top"/>
    </xf>
    <xf numFmtId="2" fontId="4" fillId="3" borderId="14" xfId="0" applyNumberFormat="1" applyFont="1" applyFill="1" applyBorder="1" applyAlignment="1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  <pageSetUpPr autoPageBreaks="0" fitToPage="1"/>
  </sheetPr>
  <dimension ref="A1:T521"/>
  <sheetViews>
    <sheetView tabSelected="1" topLeftCell="A212" workbookViewId="0">
      <selection activeCell="O8" sqref="O8"/>
    </sheetView>
  </sheetViews>
  <sheetFormatPr defaultColWidth="10.42578125" defaultRowHeight="11.4" customHeight="1" outlineLevelRow="1" x14ac:dyDescent="0.2"/>
  <cols>
    <col min="1" max="1" width="11.7109375" style="1" customWidth="1"/>
    <col min="2" max="2" width="7" style="1" customWidth="1"/>
    <col min="3" max="3" width="12.85546875" style="1" customWidth="1"/>
    <col min="4" max="5" width="19.85546875" style="1" customWidth="1"/>
    <col min="6" max="6" width="8.140625" style="11" customWidth="1"/>
    <col min="7" max="7" width="4.7109375" style="1" customWidth="1"/>
    <col min="8" max="8" width="14" style="1" customWidth="1"/>
    <col min="9" max="9" width="8.140625" style="11" customWidth="1"/>
    <col min="10" max="10" width="4.7109375" style="1" customWidth="1"/>
    <col min="11" max="11" width="14" style="1" customWidth="1"/>
    <col min="12" max="12" width="3.42578125" style="1" customWidth="1"/>
    <col min="13" max="13" width="1.7109375" style="1" customWidth="1"/>
    <col min="14" max="14" width="14.7109375" style="1" customWidth="1"/>
  </cols>
  <sheetData>
    <row r="1" spans="1:20" ht="13.05" customHeight="1" x14ac:dyDescent="0.25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2" spans="1:20" ht="16.05" customHeight="1" x14ac:dyDescent="0.3">
      <c r="A2" s="33" t="s">
        <v>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R2">
        <f>S2*1.2</f>
        <v>2248998.8399999985</v>
      </c>
      <c r="S2">
        <v>1874165.6999999988</v>
      </c>
      <c r="T2" s="20" t="s">
        <v>581</v>
      </c>
    </row>
    <row r="3" spans="1:20" s="1" customFormat="1" ht="1.95" customHeight="1" x14ac:dyDescent="0.2">
      <c r="F3" s="11"/>
      <c r="I3" s="11"/>
    </row>
    <row r="4" spans="1:20" ht="10.95" customHeight="1" x14ac:dyDescent="0.2">
      <c r="A4" s="34" t="s">
        <v>2</v>
      </c>
      <c r="B4" s="34"/>
      <c r="C4" s="34" t="s">
        <v>3</v>
      </c>
      <c r="D4" s="34"/>
      <c r="E4" s="34"/>
      <c r="F4" s="34"/>
      <c r="G4" s="34"/>
      <c r="H4" s="34"/>
      <c r="I4" s="34"/>
      <c r="J4" s="34"/>
      <c r="K4" s="34"/>
      <c r="L4" s="34"/>
      <c r="M4" s="34"/>
      <c r="R4">
        <f>S4*1.2</f>
        <v>52040.520000000004</v>
      </c>
      <c r="S4">
        <v>43367.100000000006</v>
      </c>
      <c r="T4" s="20" t="s">
        <v>582</v>
      </c>
    </row>
    <row r="5" spans="1:20" s="1" customFormat="1" ht="1.95" customHeight="1" x14ac:dyDescent="0.2">
      <c r="F5" s="11"/>
      <c r="I5" s="11"/>
    </row>
    <row r="6" spans="1:20" ht="10.95" customHeight="1" x14ac:dyDescent="0.2">
      <c r="A6" s="34" t="s">
        <v>4</v>
      </c>
      <c r="B6" s="34"/>
      <c r="C6" s="34" t="s">
        <v>5</v>
      </c>
      <c r="D6" s="34"/>
      <c r="E6" s="34"/>
      <c r="F6" s="34"/>
      <c r="G6" s="34"/>
      <c r="H6" s="34"/>
      <c r="I6" s="34"/>
      <c r="J6" s="34"/>
      <c r="K6" s="34"/>
      <c r="L6" s="34"/>
      <c r="M6" s="34"/>
      <c r="R6">
        <f>S6*1.2</f>
        <v>33504.887999999999</v>
      </c>
      <c r="S6">
        <v>27920.739999999998</v>
      </c>
      <c r="T6" s="20" t="s">
        <v>583</v>
      </c>
    </row>
    <row r="7" spans="1:20" s="1" customFormat="1" ht="1.95" customHeight="1" x14ac:dyDescent="0.2">
      <c r="F7" s="11"/>
      <c r="I7" s="11"/>
    </row>
    <row r="8" spans="1:20" ht="13.05" customHeight="1" x14ac:dyDescent="0.2">
      <c r="A8" s="35" t="s">
        <v>6</v>
      </c>
      <c r="B8" s="38" t="s">
        <v>7</v>
      </c>
      <c r="C8" s="38"/>
      <c r="D8" s="38" t="s">
        <v>8</v>
      </c>
      <c r="E8" s="43" t="s">
        <v>9</v>
      </c>
      <c r="F8" s="46" t="s">
        <v>10</v>
      </c>
      <c r="G8" s="46"/>
      <c r="H8" s="46"/>
      <c r="I8" s="47" t="s">
        <v>11</v>
      </c>
      <c r="J8" s="47"/>
      <c r="K8" s="47"/>
      <c r="L8" s="38" t="s">
        <v>12</v>
      </c>
      <c r="M8" s="38"/>
      <c r="N8" s="38"/>
      <c r="O8">
        <f>SUBTOTAL(9,G13:H520)</f>
        <v>1874165.6999999988</v>
      </c>
      <c r="R8">
        <f>S8*1.2</f>
        <v>413100.01199999999</v>
      </c>
      <c r="S8">
        <v>344250.01</v>
      </c>
      <c r="T8" s="20" t="s">
        <v>584</v>
      </c>
    </row>
    <row r="9" spans="1:20" ht="13.05" customHeight="1" x14ac:dyDescent="0.2">
      <c r="A9" s="36"/>
      <c r="B9" s="36"/>
      <c r="C9" s="39"/>
      <c r="D9" s="41"/>
      <c r="E9" s="44"/>
      <c r="F9" s="2"/>
      <c r="G9" s="15"/>
      <c r="H9" s="15"/>
      <c r="I9" s="16"/>
      <c r="J9" s="17"/>
      <c r="K9" s="17"/>
      <c r="L9" s="36"/>
      <c r="M9" s="44"/>
      <c r="N9" s="39"/>
      <c r="R9">
        <f>S9</f>
        <v>11000</v>
      </c>
      <c r="S9">
        <v>11000</v>
      </c>
      <c r="T9" s="20" t="s">
        <v>585</v>
      </c>
    </row>
    <row r="10" spans="1:20" ht="13.05" customHeight="1" x14ac:dyDescent="0.2">
      <c r="A10" s="37"/>
      <c r="B10" s="37"/>
      <c r="C10" s="40"/>
      <c r="D10" s="42"/>
      <c r="E10" s="45"/>
      <c r="F10" s="14" t="s">
        <v>13</v>
      </c>
      <c r="G10" s="48"/>
      <c r="H10" s="48"/>
      <c r="I10" s="12" t="s">
        <v>13</v>
      </c>
      <c r="J10" s="49"/>
      <c r="K10" s="49"/>
      <c r="L10" s="37"/>
      <c r="M10" s="45"/>
      <c r="N10" s="40"/>
    </row>
    <row r="11" spans="1:20" ht="13.05" customHeight="1" x14ac:dyDescent="0.2">
      <c r="A11" s="18"/>
      <c r="B11" s="18"/>
      <c r="C11" s="18"/>
      <c r="D11" s="18"/>
      <c r="E11" s="18"/>
      <c r="F11" s="19"/>
      <c r="G11" s="18"/>
      <c r="H11" s="18"/>
      <c r="I11" s="19"/>
      <c r="J11" s="18"/>
      <c r="K11" s="18"/>
      <c r="L11" s="18"/>
      <c r="M11" s="18"/>
      <c r="N11" s="18"/>
    </row>
    <row r="12" spans="1:20" ht="13.05" customHeight="1" x14ac:dyDescent="0.2">
      <c r="A12" s="21" t="s">
        <v>14</v>
      </c>
      <c r="B12" s="21"/>
      <c r="C12" s="21"/>
      <c r="D12" s="21"/>
      <c r="E12" s="21"/>
      <c r="F12" s="14" t="s">
        <v>13</v>
      </c>
      <c r="G12" s="15"/>
      <c r="H12" s="15"/>
      <c r="I12" s="14" t="s">
        <v>13</v>
      </c>
      <c r="J12" s="17"/>
      <c r="K12" s="17"/>
      <c r="L12" s="3"/>
      <c r="M12" s="50">
        <v>0</v>
      </c>
      <c r="N12" s="50"/>
    </row>
    <row r="13" spans="1:20" ht="100.05" hidden="1" customHeight="1" outlineLevel="1" x14ac:dyDescent="0.2">
      <c r="A13" s="4" t="s">
        <v>15</v>
      </c>
      <c r="B13" s="22" t="s">
        <v>16</v>
      </c>
      <c r="C13" s="22"/>
      <c r="D13" s="5" t="s">
        <v>17</v>
      </c>
      <c r="E13" s="5" t="s">
        <v>18</v>
      </c>
      <c r="F13" s="13" t="s">
        <v>19</v>
      </c>
      <c r="G13" s="28">
        <v>36666.67</v>
      </c>
      <c r="H13" s="28"/>
      <c r="I13" s="13">
        <v>631</v>
      </c>
      <c r="J13" s="24" t="s">
        <v>21</v>
      </c>
      <c r="K13" s="24"/>
      <c r="L13" s="6" t="s">
        <v>22</v>
      </c>
      <c r="M13" s="25">
        <v>36666.67</v>
      </c>
      <c r="N13" s="25"/>
    </row>
    <row r="14" spans="1:20" ht="100.05" hidden="1" customHeight="1" outlineLevel="1" x14ac:dyDescent="0.2">
      <c r="A14" s="4" t="s">
        <v>23</v>
      </c>
      <c r="B14" s="22" t="s">
        <v>24</v>
      </c>
      <c r="C14" s="22"/>
      <c r="D14" s="5" t="s">
        <v>17</v>
      </c>
      <c r="E14" s="5" t="s">
        <v>25</v>
      </c>
      <c r="F14" s="13" t="s">
        <v>19</v>
      </c>
      <c r="G14" s="28">
        <v>1375</v>
      </c>
      <c r="H14" s="28"/>
      <c r="I14" s="13">
        <v>631</v>
      </c>
      <c r="J14" s="24" t="s">
        <v>21</v>
      </c>
      <c r="K14" s="24"/>
      <c r="L14" s="6" t="s">
        <v>22</v>
      </c>
      <c r="M14" s="25">
        <v>38041.67</v>
      </c>
      <c r="N14" s="25"/>
    </row>
    <row r="15" spans="1:20" ht="100.05" hidden="1" customHeight="1" outlineLevel="1" x14ac:dyDescent="0.2">
      <c r="A15" s="4" t="s">
        <v>23</v>
      </c>
      <c r="B15" s="22" t="s">
        <v>26</v>
      </c>
      <c r="C15" s="22"/>
      <c r="D15" s="5" t="s">
        <v>17</v>
      </c>
      <c r="E15" s="5" t="s">
        <v>27</v>
      </c>
      <c r="F15" s="13" t="s">
        <v>19</v>
      </c>
      <c r="G15" s="28">
        <v>36666.67</v>
      </c>
      <c r="H15" s="28"/>
      <c r="I15" s="13">
        <v>631</v>
      </c>
      <c r="J15" s="24" t="s">
        <v>21</v>
      </c>
      <c r="K15" s="24"/>
      <c r="L15" s="6" t="s">
        <v>22</v>
      </c>
      <c r="M15" s="25">
        <v>74708.34</v>
      </c>
      <c r="N15" s="25"/>
    </row>
    <row r="16" spans="1:20" ht="100.05" hidden="1" customHeight="1" outlineLevel="1" x14ac:dyDescent="0.2">
      <c r="A16" s="4" t="s">
        <v>23</v>
      </c>
      <c r="B16" s="22" t="s">
        <v>28</v>
      </c>
      <c r="C16" s="22"/>
      <c r="D16" s="5" t="s">
        <v>17</v>
      </c>
      <c r="E16" s="5" t="s">
        <v>29</v>
      </c>
      <c r="F16" s="13" t="s">
        <v>19</v>
      </c>
      <c r="G16" s="28">
        <v>36666.67</v>
      </c>
      <c r="H16" s="28"/>
      <c r="I16" s="13" t="s">
        <v>20</v>
      </c>
      <c r="J16" s="24" t="s">
        <v>21</v>
      </c>
      <c r="K16" s="24"/>
      <c r="L16" s="6" t="s">
        <v>22</v>
      </c>
      <c r="M16" s="25">
        <v>111375.01</v>
      </c>
      <c r="N16" s="25"/>
    </row>
    <row r="17" spans="1:14" ht="100.05" hidden="1" customHeight="1" outlineLevel="1" x14ac:dyDescent="0.2">
      <c r="A17" s="4" t="s">
        <v>23</v>
      </c>
      <c r="B17" s="22" t="s">
        <v>30</v>
      </c>
      <c r="C17" s="22"/>
      <c r="D17" s="5" t="s">
        <v>17</v>
      </c>
      <c r="E17" s="5" t="s">
        <v>31</v>
      </c>
      <c r="F17" s="13" t="s">
        <v>19</v>
      </c>
      <c r="G17" s="28">
        <v>3333.33</v>
      </c>
      <c r="H17" s="28"/>
      <c r="I17" s="13" t="s">
        <v>20</v>
      </c>
      <c r="J17" s="24" t="s">
        <v>21</v>
      </c>
      <c r="K17" s="24"/>
      <c r="L17" s="6" t="s">
        <v>22</v>
      </c>
      <c r="M17" s="25">
        <v>114708.34</v>
      </c>
      <c r="N17" s="25"/>
    </row>
    <row r="18" spans="1:14" ht="100.05" hidden="1" customHeight="1" outlineLevel="1" x14ac:dyDescent="0.2">
      <c r="A18" s="4" t="s">
        <v>32</v>
      </c>
      <c r="B18" s="22" t="s">
        <v>33</v>
      </c>
      <c r="C18" s="22"/>
      <c r="D18" s="5" t="s">
        <v>17</v>
      </c>
      <c r="E18" s="5" t="s">
        <v>34</v>
      </c>
      <c r="F18" s="13" t="s">
        <v>19</v>
      </c>
      <c r="G18" s="28">
        <v>1666.67</v>
      </c>
      <c r="H18" s="28"/>
      <c r="I18" s="13" t="s">
        <v>20</v>
      </c>
      <c r="J18" s="24" t="s">
        <v>21</v>
      </c>
      <c r="K18" s="24"/>
      <c r="L18" s="6" t="s">
        <v>22</v>
      </c>
      <c r="M18" s="25">
        <v>116375.01</v>
      </c>
      <c r="N18" s="25"/>
    </row>
    <row r="19" spans="1:14" ht="100.05" hidden="1" customHeight="1" outlineLevel="1" x14ac:dyDescent="0.2">
      <c r="A19" s="4" t="s">
        <v>32</v>
      </c>
      <c r="B19" s="22" t="s">
        <v>35</v>
      </c>
      <c r="C19" s="22"/>
      <c r="D19" s="5" t="s">
        <v>17</v>
      </c>
      <c r="E19" s="5" t="s">
        <v>36</v>
      </c>
      <c r="F19" s="13" t="s">
        <v>19</v>
      </c>
      <c r="G19" s="28">
        <v>4583.33</v>
      </c>
      <c r="H19" s="28"/>
      <c r="I19" s="13" t="s">
        <v>20</v>
      </c>
      <c r="J19" s="24" t="s">
        <v>21</v>
      </c>
      <c r="K19" s="24"/>
      <c r="L19" s="6" t="s">
        <v>22</v>
      </c>
      <c r="M19" s="25">
        <v>120958.34</v>
      </c>
      <c r="N19" s="25"/>
    </row>
    <row r="20" spans="1:14" ht="100.05" hidden="1" customHeight="1" outlineLevel="1" x14ac:dyDescent="0.2">
      <c r="A20" s="4" t="s">
        <v>32</v>
      </c>
      <c r="B20" s="22" t="s">
        <v>37</v>
      </c>
      <c r="C20" s="22"/>
      <c r="D20" s="5" t="s">
        <v>17</v>
      </c>
      <c r="E20" s="5" t="s">
        <v>38</v>
      </c>
      <c r="F20" s="13" t="s">
        <v>19</v>
      </c>
      <c r="G20" s="28">
        <v>4166.67</v>
      </c>
      <c r="H20" s="28"/>
      <c r="I20" s="13" t="s">
        <v>20</v>
      </c>
      <c r="J20" s="24" t="s">
        <v>21</v>
      </c>
      <c r="K20" s="24"/>
      <c r="L20" s="6" t="s">
        <v>22</v>
      </c>
      <c r="M20" s="25">
        <v>125125.01</v>
      </c>
      <c r="N20" s="25"/>
    </row>
    <row r="21" spans="1:14" ht="100.05" hidden="1" customHeight="1" outlineLevel="1" x14ac:dyDescent="0.2">
      <c r="A21" s="4" t="s">
        <v>39</v>
      </c>
      <c r="B21" s="22" t="s">
        <v>40</v>
      </c>
      <c r="C21" s="22"/>
      <c r="D21" s="5" t="s">
        <v>17</v>
      </c>
      <c r="E21" s="5" t="s">
        <v>41</v>
      </c>
      <c r="F21" s="13" t="s">
        <v>19</v>
      </c>
      <c r="G21" s="23">
        <v>833.33</v>
      </c>
      <c r="H21" s="23"/>
      <c r="I21" s="13" t="s">
        <v>20</v>
      </c>
      <c r="J21" s="24" t="s">
        <v>21</v>
      </c>
      <c r="K21" s="24"/>
      <c r="L21" s="6" t="s">
        <v>22</v>
      </c>
      <c r="M21" s="25">
        <v>125958.34</v>
      </c>
      <c r="N21" s="25"/>
    </row>
    <row r="22" spans="1:14" ht="88.95" hidden="1" customHeight="1" outlineLevel="1" x14ac:dyDescent="0.2">
      <c r="A22" s="4" t="s">
        <v>39</v>
      </c>
      <c r="B22" s="22" t="s">
        <v>42</v>
      </c>
      <c r="C22" s="22"/>
      <c r="D22" s="5" t="s">
        <v>43</v>
      </c>
      <c r="E22" s="5" t="s">
        <v>44</v>
      </c>
      <c r="F22" s="13" t="s">
        <v>19</v>
      </c>
      <c r="G22" s="28">
        <v>11000</v>
      </c>
      <c r="H22" s="28"/>
      <c r="I22" s="13" t="s">
        <v>20</v>
      </c>
      <c r="J22" s="24" t="s">
        <v>21</v>
      </c>
      <c r="K22" s="24"/>
      <c r="L22" s="6" t="s">
        <v>22</v>
      </c>
      <c r="M22" s="25">
        <v>136958.34</v>
      </c>
      <c r="N22" s="25"/>
    </row>
    <row r="23" spans="1:14" ht="100.05" hidden="1" customHeight="1" outlineLevel="1" x14ac:dyDescent="0.2">
      <c r="A23" s="4" t="s">
        <v>45</v>
      </c>
      <c r="B23" s="22" t="s">
        <v>46</v>
      </c>
      <c r="C23" s="22"/>
      <c r="D23" s="5" t="s">
        <v>17</v>
      </c>
      <c r="E23" s="5" t="s">
        <v>47</v>
      </c>
      <c r="F23" s="13" t="s">
        <v>19</v>
      </c>
      <c r="G23" s="23">
        <v>833.33</v>
      </c>
      <c r="H23" s="23"/>
      <c r="I23" s="13" t="s">
        <v>20</v>
      </c>
      <c r="J23" s="24" t="s">
        <v>21</v>
      </c>
      <c r="K23" s="24"/>
      <c r="L23" s="6" t="s">
        <v>22</v>
      </c>
      <c r="M23" s="25">
        <v>137791.67000000001</v>
      </c>
      <c r="N23" s="25"/>
    </row>
    <row r="24" spans="1:14" ht="100.05" hidden="1" customHeight="1" outlineLevel="1" x14ac:dyDescent="0.2">
      <c r="A24" s="4" t="s">
        <v>45</v>
      </c>
      <c r="B24" s="22" t="s">
        <v>48</v>
      </c>
      <c r="C24" s="22"/>
      <c r="D24" s="5" t="s">
        <v>17</v>
      </c>
      <c r="E24" s="5" t="s">
        <v>49</v>
      </c>
      <c r="F24" s="13" t="s">
        <v>19</v>
      </c>
      <c r="G24" s="28">
        <v>3208.33</v>
      </c>
      <c r="H24" s="28"/>
      <c r="I24" s="13" t="s">
        <v>20</v>
      </c>
      <c r="J24" s="24" t="s">
        <v>21</v>
      </c>
      <c r="K24" s="24"/>
      <c r="L24" s="6" t="s">
        <v>22</v>
      </c>
      <c r="M24" s="25">
        <v>141000</v>
      </c>
      <c r="N24" s="25"/>
    </row>
    <row r="25" spans="1:14" ht="100.05" hidden="1" customHeight="1" outlineLevel="1" x14ac:dyDescent="0.2">
      <c r="A25" s="4" t="s">
        <v>50</v>
      </c>
      <c r="B25" s="22" t="s">
        <v>51</v>
      </c>
      <c r="C25" s="22"/>
      <c r="D25" s="5" t="s">
        <v>17</v>
      </c>
      <c r="E25" s="5" t="s">
        <v>52</v>
      </c>
      <c r="F25" s="13" t="s">
        <v>19</v>
      </c>
      <c r="G25" s="28">
        <v>24166.67</v>
      </c>
      <c r="H25" s="28"/>
      <c r="I25" s="13" t="s">
        <v>20</v>
      </c>
      <c r="J25" s="24" t="s">
        <v>21</v>
      </c>
      <c r="K25" s="24"/>
      <c r="L25" s="6" t="s">
        <v>22</v>
      </c>
      <c r="M25" s="25">
        <v>165166.67000000001</v>
      </c>
      <c r="N25" s="25"/>
    </row>
    <row r="26" spans="1:14" ht="100.05" hidden="1" customHeight="1" outlineLevel="1" x14ac:dyDescent="0.2">
      <c r="A26" s="4" t="s">
        <v>50</v>
      </c>
      <c r="B26" s="22" t="s">
        <v>53</v>
      </c>
      <c r="C26" s="22"/>
      <c r="D26" s="5" t="s">
        <v>17</v>
      </c>
      <c r="E26" s="5" t="s">
        <v>54</v>
      </c>
      <c r="F26" s="13" t="s">
        <v>19</v>
      </c>
      <c r="G26" s="28">
        <v>1375</v>
      </c>
      <c r="H26" s="28"/>
      <c r="I26" s="13" t="s">
        <v>20</v>
      </c>
      <c r="J26" s="24" t="s">
        <v>21</v>
      </c>
      <c r="K26" s="24"/>
      <c r="L26" s="6" t="s">
        <v>22</v>
      </c>
      <c r="M26" s="25">
        <v>166541.67000000001</v>
      </c>
      <c r="N26" s="25"/>
    </row>
    <row r="27" spans="1:14" ht="100.05" hidden="1" customHeight="1" outlineLevel="1" x14ac:dyDescent="0.2">
      <c r="A27" s="4" t="s">
        <v>50</v>
      </c>
      <c r="B27" s="22" t="s">
        <v>55</v>
      </c>
      <c r="C27" s="22"/>
      <c r="D27" s="5" t="s">
        <v>17</v>
      </c>
      <c r="E27" s="5" t="s">
        <v>56</v>
      </c>
      <c r="F27" s="13" t="s">
        <v>19</v>
      </c>
      <c r="G27" s="28">
        <v>1916.67</v>
      </c>
      <c r="H27" s="28"/>
      <c r="I27" s="13" t="s">
        <v>20</v>
      </c>
      <c r="J27" s="24" t="s">
        <v>21</v>
      </c>
      <c r="K27" s="24"/>
      <c r="L27" s="6" t="s">
        <v>22</v>
      </c>
      <c r="M27" s="25">
        <v>168458.34</v>
      </c>
      <c r="N27" s="25"/>
    </row>
    <row r="28" spans="1:14" ht="100.05" hidden="1" customHeight="1" outlineLevel="1" x14ac:dyDescent="0.2">
      <c r="A28" s="4" t="s">
        <v>50</v>
      </c>
      <c r="B28" s="22" t="s">
        <v>57</v>
      </c>
      <c r="C28" s="22"/>
      <c r="D28" s="5" t="s">
        <v>17</v>
      </c>
      <c r="E28" s="5" t="s">
        <v>58</v>
      </c>
      <c r="F28" s="13" t="s">
        <v>19</v>
      </c>
      <c r="G28" s="28">
        <v>5500</v>
      </c>
      <c r="H28" s="28"/>
      <c r="I28" s="13" t="s">
        <v>20</v>
      </c>
      <c r="J28" s="24" t="s">
        <v>21</v>
      </c>
      <c r="K28" s="24"/>
      <c r="L28" s="6" t="s">
        <v>22</v>
      </c>
      <c r="M28" s="25">
        <v>173958.34</v>
      </c>
      <c r="N28" s="25"/>
    </row>
    <row r="29" spans="1:14" ht="100.05" hidden="1" customHeight="1" outlineLevel="1" x14ac:dyDescent="0.2">
      <c r="A29" s="4" t="s">
        <v>50</v>
      </c>
      <c r="B29" s="22" t="s">
        <v>59</v>
      </c>
      <c r="C29" s="22"/>
      <c r="D29" s="5" t="s">
        <v>17</v>
      </c>
      <c r="E29" s="5" t="s">
        <v>60</v>
      </c>
      <c r="F29" s="13" t="s">
        <v>19</v>
      </c>
      <c r="G29" s="28">
        <v>1833.33</v>
      </c>
      <c r="H29" s="28"/>
      <c r="I29" s="13" t="s">
        <v>20</v>
      </c>
      <c r="J29" s="24" t="s">
        <v>21</v>
      </c>
      <c r="K29" s="24"/>
      <c r="L29" s="6" t="s">
        <v>22</v>
      </c>
      <c r="M29" s="25">
        <v>175791.67</v>
      </c>
      <c r="N29" s="25"/>
    </row>
    <row r="30" spans="1:14" ht="100.05" hidden="1" customHeight="1" outlineLevel="1" x14ac:dyDescent="0.2">
      <c r="A30" s="4" t="s">
        <v>50</v>
      </c>
      <c r="B30" s="22" t="s">
        <v>61</v>
      </c>
      <c r="C30" s="22"/>
      <c r="D30" s="5" t="s">
        <v>17</v>
      </c>
      <c r="E30" s="5" t="s">
        <v>62</v>
      </c>
      <c r="F30" s="13" t="s">
        <v>19</v>
      </c>
      <c r="G30" s="28">
        <v>1666.67</v>
      </c>
      <c r="H30" s="28"/>
      <c r="I30" s="13" t="s">
        <v>20</v>
      </c>
      <c r="J30" s="24" t="s">
        <v>21</v>
      </c>
      <c r="K30" s="24"/>
      <c r="L30" s="6" t="s">
        <v>22</v>
      </c>
      <c r="M30" s="25">
        <v>177458.34</v>
      </c>
      <c r="N30" s="25"/>
    </row>
    <row r="31" spans="1:14" ht="100.05" hidden="1" customHeight="1" outlineLevel="1" x14ac:dyDescent="0.2">
      <c r="A31" s="4" t="s">
        <v>63</v>
      </c>
      <c r="B31" s="22" t="s">
        <v>64</v>
      </c>
      <c r="C31" s="22"/>
      <c r="D31" s="5" t="s">
        <v>17</v>
      </c>
      <c r="E31" s="5" t="s">
        <v>65</v>
      </c>
      <c r="F31" s="13" t="s">
        <v>19</v>
      </c>
      <c r="G31" s="28">
        <v>1666.67</v>
      </c>
      <c r="H31" s="28"/>
      <c r="I31" s="13" t="s">
        <v>20</v>
      </c>
      <c r="J31" s="24" t="s">
        <v>21</v>
      </c>
      <c r="K31" s="24"/>
      <c r="L31" s="6" t="s">
        <v>22</v>
      </c>
      <c r="M31" s="25">
        <v>179125.01</v>
      </c>
      <c r="N31" s="25"/>
    </row>
    <row r="32" spans="1:14" ht="100.05" hidden="1" customHeight="1" outlineLevel="1" x14ac:dyDescent="0.2">
      <c r="A32" s="4" t="s">
        <v>63</v>
      </c>
      <c r="B32" s="22" t="s">
        <v>66</v>
      </c>
      <c r="C32" s="22"/>
      <c r="D32" s="5" t="s">
        <v>17</v>
      </c>
      <c r="E32" s="5" t="s">
        <v>67</v>
      </c>
      <c r="F32" s="13" t="s">
        <v>19</v>
      </c>
      <c r="G32" s="28">
        <v>40000</v>
      </c>
      <c r="H32" s="28"/>
      <c r="I32" s="13" t="s">
        <v>20</v>
      </c>
      <c r="J32" s="24" t="s">
        <v>21</v>
      </c>
      <c r="K32" s="24"/>
      <c r="L32" s="6" t="s">
        <v>22</v>
      </c>
      <c r="M32" s="25">
        <v>219125.01</v>
      </c>
      <c r="N32" s="25"/>
    </row>
    <row r="33" spans="1:14" ht="100.05" hidden="1" customHeight="1" outlineLevel="1" x14ac:dyDescent="0.2">
      <c r="A33" s="4" t="s">
        <v>63</v>
      </c>
      <c r="B33" s="22" t="s">
        <v>68</v>
      </c>
      <c r="C33" s="22"/>
      <c r="D33" s="5" t="s">
        <v>17</v>
      </c>
      <c r="E33" s="5" t="s">
        <v>69</v>
      </c>
      <c r="F33" s="13" t="s">
        <v>19</v>
      </c>
      <c r="G33" s="28">
        <v>40000</v>
      </c>
      <c r="H33" s="28"/>
      <c r="I33" s="13" t="s">
        <v>20</v>
      </c>
      <c r="J33" s="24" t="s">
        <v>21</v>
      </c>
      <c r="K33" s="24"/>
      <c r="L33" s="6" t="s">
        <v>22</v>
      </c>
      <c r="M33" s="25">
        <v>259125.01</v>
      </c>
      <c r="N33" s="25"/>
    </row>
    <row r="34" spans="1:14" ht="100.05" hidden="1" customHeight="1" outlineLevel="1" x14ac:dyDescent="0.2">
      <c r="A34" s="4" t="s">
        <v>63</v>
      </c>
      <c r="B34" s="22" t="s">
        <v>70</v>
      </c>
      <c r="C34" s="22"/>
      <c r="D34" s="5" t="s">
        <v>17</v>
      </c>
      <c r="E34" s="5" t="s">
        <v>71</v>
      </c>
      <c r="F34" s="13" t="s">
        <v>19</v>
      </c>
      <c r="G34" s="28">
        <v>40000</v>
      </c>
      <c r="H34" s="28"/>
      <c r="I34" s="13" t="s">
        <v>20</v>
      </c>
      <c r="J34" s="24" t="s">
        <v>21</v>
      </c>
      <c r="K34" s="24"/>
      <c r="L34" s="6" t="s">
        <v>22</v>
      </c>
      <c r="M34" s="25">
        <v>299125.01</v>
      </c>
      <c r="N34" s="25"/>
    </row>
    <row r="35" spans="1:14" ht="100.05" hidden="1" customHeight="1" outlineLevel="1" x14ac:dyDescent="0.2">
      <c r="A35" s="4" t="s">
        <v>72</v>
      </c>
      <c r="B35" s="22" t="s">
        <v>73</v>
      </c>
      <c r="C35" s="22"/>
      <c r="D35" s="5" t="s">
        <v>17</v>
      </c>
      <c r="E35" s="5" t="s">
        <v>74</v>
      </c>
      <c r="F35" s="13" t="s">
        <v>19</v>
      </c>
      <c r="G35" s="28">
        <v>2500</v>
      </c>
      <c r="H35" s="28"/>
      <c r="I35" s="13" t="s">
        <v>20</v>
      </c>
      <c r="J35" s="24" t="s">
        <v>21</v>
      </c>
      <c r="K35" s="24"/>
      <c r="L35" s="6" t="s">
        <v>22</v>
      </c>
      <c r="M35" s="25">
        <v>301625.01</v>
      </c>
      <c r="N35" s="25"/>
    </row>
    <row r="36" spans="1:14" ht="88.95" hidden="1" customHeight="1" outlineLevel="1" x14ac:dyDescent="0.2">
      <c r="A36" s="4" t="s">
        <v>72</v>
      </c>
      <c r="B36" s="22" t="s">
        <v>75</v>
      </c>
      <c r="C36" s="22"/>
      <c r="D36" s="5" t="s">
        <v>43</v>
      </c>
      <c r="E36" s="5" t="s">
        <v>76</v>
      </c>
      <c r="F36" s="13" t="s">
        <v>19</v>
      </c>
      <c r="G36" s="28">
        <v>5351.5</v>
      </c>
      <c r="H36" s="28"/>
      <c r="I36" s="13" t="s">
        <v>20</v>
      </c>
      <c r="J36" s="24" t="s">
        <v>21</v>
      </c>
      <c r="K36" s="24"/>
      <c r="L36" s="6" t="s">
        <v>22</v>
      </c>
      <c r="M36" s="25">
        <v>306976.51</v>
      </c>
      <c r="N36" s="25"/>
    </row>
    <row r="37" spans="1:14" ht="88.95" hidden="1" customHeight="1" outlineLevel="1" x14ac:dyDescent="0.2">
      <c r="A37" s="4" t="s">
        <v>72</v>
      </c>
      <c r="B37" s="22" t="s">
        <v>75</v>
      </c>
      <c r="C37" s="22"/>
      <c r="D37" s="5" t="s">
        <v>43</v>
      </c>
      <c r="E37" s="5" t="s">
        <v>76</v>
      </c>
      <c r="F37" s="13" t="s">
        <v>19</v>
      </c>
      <c r="G37" s="28">
        <v>2240.33</v>
      </c>
      <c r="H37" s="28"/>
      <c r="I37" s="13" t="s">
        <v>20</v>
      </c>
      <c r="J37" s="24" t="s">
        <v>21</v>
      </c>
      <c r="K37" s="24"/>
      <c r="L37" s="6" t="s">
        <v>22</v>
      </c>
      <c r="M37" s="25">
        <v>309216.84000000003</v>
      </c>
      <c r="N37" s="25"/>
    </row>
    <row r="38" spans="1:14" ht="88.95" hidden="1" customHeight="1" outlineLevel="1" x14ac:dyDescent="0.2">
      <c r="A38" s="4" t="s">
        <v>72</v>
      </c>
      <c r="B38" s="22" t="s">
        <v>77</v>
      </c>
      <c r="C38" s="22"/>
      <c r="D38" s="5" t="s">
        <v>43</v>
      </c>
      <c r="E38" s="5" t="s">
        <v>78</v>
      </c>
      <c r="F38" s="13" t="s">
        <v>19</v>
      </c>
      <c r="G38" s="28">
        <v>5351.5</v>
      </c>
      <c r="H38" s="28"/>
      <c r="I38" s="13" t="s">
        <v>20</v>
      </c>
      <c r="J38" s="24" t="s">
        <v>21</v>
      </c>
      <c r="K38" s="24"/>
      <c r="L38" s="6" t="s">
        <v>22</v>
      </c>
      <c r="M38" s="25">
        <v>314568.34000000003</v>
      </c>
      <c r="N38" s="25"/>
    </row>
    <row r="39" spans="1:14" ht="88.95" hidden="1" customHeight="1" outlineLevel="1" x14ac:dyDescent="0.2">
      <c r="A39" s="4" t="s">
        <v>72</v>
      </c>
      <c r="B39" s="22" t="s">
        <v>77</v>
      </c>
      <c r="C39" s="22"/>
      <c r="D39" s="5" t="s">
        <v>43</v>
      </c>
      <c r="E39" s="5" t="s">
        <v>78</v>
      </c>
      <c r="F39" s="13" t="s">
        <v>19</v>
      </c>
      <c r="G39" s="28">
        <v>2240.33</v>
      </c>
      <c r="H39" s="28"/>
      <c r="I39" s="13" t="s">
        <v>20</v>
      </c>
      <c r="J39" s="24" t="s">
        <v>21</v>
      </c>
      <c r="K39" s="24"/>
      <c r="L39" s="6" t="s">
        <v>22</v>
      </c>
      <c r="M39" s="25">
        <v>316808.67</v>
      </c>
      <c r="N39" s="25"/>
    </row>
    <row r="40" spans="1:14" ht="88.95" hidden="1" customHeight="1" outlineLevel="1" x14ac:dyDescent="0.2">
      <c r="A40" s="4" t="s">
        <v>72</v>
      </c>
      <c r="B40" s="22" t="s">
        <v>79</v>
      </c>
      <c r="C40" s="22"/>
      <c r="D40" s="5" t="s">
        <v>43</v>
      </c>
      <c r="E40" s="5" t="s">
        <v>80</v>
      </c>
      <c r="F40" s="13" t="s">
        <v>19</v>
      </c>
      <c r="G40" s="23">
        <v>869.58</v>
      </c>
      <c r="H40" s="23"/>
      <c r="I40" s="13" t="s">
        <v>20</v>
      </c>
      <c r="J40" s="24" t="s">
        <v>21</v>
      </c>
      <c r="K40" s="24"/>
      <c r="L40" s="6" t="s">
        <v>22</v>
      </c>
      <c r="M40" s="25">
        <v>317678.25</v>
      </c>
      <c r="N40" s="25"/>
    </row>
    <row r="41" spans="1:14" ht="100.05" hidden="1" customHeight="1" outlineLevel="1" x14ac:dyDescent="0.2">
      <c r="A41" s="4" t="s">
        <v>81</v>
      </c>
      <c r="B41" s="22" t="s">
        <v>82</v>
      </c>
      <c r="C41" s="22"/>
      <c r="D41" s="5" t="s">
        <v>17</v>
      </c>
      <c r="E41" s="5" t="s">
        <v>83</v>
      </c>
      <c r="F41" s="13" t="s">
        <v>19</v>
      </c>
      <c r="G41" s="28">
        <v>3333.33</v>
      </c>
      <c r="H41" s="28"/>
      <c r="I41" s="13" t="s">
        <v>20</v>
      </c>
      <c r="J41" s="24" t="s">
        <v>21</v>
      </c>
      <c r="K41" s="24"/>
      <c r="L41" s="6" t="s">
        <v>22</v>
      </c>
      <c r="M41" s="25">
        <v>321011.58</v>
      </c>
      <c r="N41" s="25"/>
    </row>
    <row r="42" spans="1:14" ht="100.05" hidden="1" customHeight="1" outlineLevel="1" x14ac:dyDescent="0.2">
      <c r="A42" s="4" t="s">
        <v>81</v>
      </c>
      <c r="B42" s="22" t="s">
        <v>82</v>
      </c>
      <c r="C42" s="22"/>
      <c r="D42" s="5" t="s">
        <v>17</v>
      </c>
      <c r="E42" s="5" t="s">
        <v>83</v>
      </c>
      <c r="F42" s="13" t="s">
        <v>19</v>
      </c>
      <c r="G42" s="28">
        <v>1666.67</v>
      </c>
      <c r="H42" s="28"/>
      <c r="I42" s="13" t="s">
        <v>20</v>
      </c>
      <c r="J42" s="24" t="s">
        <v>21</v>
      </c>
      <c r="K42" s="24"/>
      <c r="L42" s="6" t="s">
        <v>22</v>
      </c>
      <c r="M42" s="25">
        <v>322678.25</v>
      </c>
      <c r="N42" s="25"/>
    </row>
    <row r="43" spans="1:14" ht="100.05" hidden="1" customHeight="1" outlineLevel="1" x14ac:dyDescent="0.2">
      <c r="A43" s="4" t="s">
        <v>81</v>
      </c>
      <c r="B43" s="22" t="s">
        <v>82</v>
      </c>
      <c r="C43" s="22"/>
      <c r="D43" s="5" t="s">
        <v>17</v>
      </c>
      <c r="E43" s="5" t="s">
        <v>83</v>
      </c>
      <c r="F43" s="13" t="s">
        <v>19</v>
      </c>
      <c r="G43" s="28">
        <v>1375</v>
      </c>
      <c r="H43" s="28"/>
      <c r="I43" s="13" t="s">
        <v>20</v>
      </c>
      <c r="J43" s="24" t="s">
        <v>21</v>
      </c>
      <c r="K43" s="24"/>
      <c r="L43" s="6" t="s">
        <v>22</v>
      </c>
      <c r="M43" s="25">
        <v>324053.25</v>
      </c>
      <c r="N43" s="25"/>
    </row>
    <row r="44" spans="1:14" ht="100.05" hidden="1" customHeight="1" outlineLevel="1" x14ac:dyDescent="0.2">
      <c r="A44" s="4" t="s">
        <v>81</v>
      </c>
      <c r="B44" s="22" t="s">
        <v>84</v>
      </c>
      <c r="C44" s="22"/>
      <c r="D44" s="5" t="s">
        <v>17</v>
      </c>
      <c r="E44" s="5" t="s">
        <v>85</v>
      </c>
      <c r="F44" s="13" t="s">
        <v>19</v>
      </c>
      <c r="G44" s="28">
        <v>22916.67</v>
      </c>
      <c r="H44" s="28"/>
      <c r="I44" s="13" t="s">
        <v>20</v>
      </c>
      <c r="J44" s="24" t="s">
        <v>21</v>
      </c>
      <c r="K44" s="24"/>
      <c r="L44" s="6" t="s">
        <v>22</v>
      </c>
      <c r="M44" s="25">
        <v>346969.92</v>
      </c>
      <c r="N44" s="25"/>
    </row>
    <row r="45" spans="1:14" ht="100.05" hidden="1" customHeight="1" outlineLevel="1" x14ac:dyDescent="0.2">
      <c r="A45" s="4" t="s">
        <v>86</v>
      </c>
      <c r="B45" s="22" t="s">
        <v>87</v>
      </c>
      <c r="C45" s="22"/>
      <c r="D45" s="5" t="s">
        <v>17</v>
      </c>
      <c r="E45" s="5" t="s">
        <v>88</v>
      </c>
      <c r="F45" s="13" t="s">
        <v>19</v>
      </c>
      <c r="G45" s="28">
        <v>10000</v>
      </c>
      <c r="H45" s="28"/>
      <c r="I45" s="13" t="s">
        <v>20</v>
      </c>
      <c r="J45" s="24" t="s">
        <v>21</v>
      </c>
      <c r="K45" s="24"/>
      <c r="L45" s="6" t="s">
        <v>22</v>
      </c>
      <c r="M45" s="25">
        <v>356969.92</v>
      </c>
      <c r="N45" s="25"/>
    </row>
    <row r="46" spans="1:14" ht="100.05" hidden="1" customHeight="1" outlineLevel="1" x14ac:dyDescent="0.2">
      <c r="A46" s="4" t="s">
        <v>86</v>
      </c>
      <c r="B46" s="22" t="s">
        <v>89</v>
      </c>
      <c r="C46" s="22"/>
      <c r="D46" s="5" t="s">
        <v>17</v>
      </c>
      <c r="E46" s="5" t="s">
        <v>90</v>
      </c>
      <c r="F46" s="13" t="s">
        <v>19</v>
      </c>
      <c r="G46" s="28">
        <v>2750</v>
      </c>
      <c r="H46" s="28"/>
      <c r="I46" s="13" t="s">
        <v>20</v>
      </c>
      <c r="J46" s="24" t="s">
        <v>21</v>
      </c>
      <c r="K46" s="24"/>
      <c r="L46" s="6" t="s">
        <v>22</v>
      </c>
      <c r="M46" s="25">
        <v>359719.92</v>
      </c>
      <c r="N46" s="25"/>
    </row>
    <row r="47" spans="1:14" ht="100.05" customHeight="1" outlineLevel="1" x14ac:dyDescent="0.2">
      <c r="A47" s="4" t="s">
        <v>91</v>
      </c>
      <c r="B47" s="22" t="s">
        <v>92</v>
      </c>
      <c r="C47" s="22"/>
      <c r="D47" s="5" t="s">
        <v>93</v>
      </c>
      <c r="E47" s="5" t="s">
        <v>94</v>
      </c>
      <c r="F47" s="13" t="s">
        <v>19</v>
      </c>
      <c r="G47" s="28">
        <v>11049.9</v>
      </c>
      <c r="H47" s="28"/>
      <c r="I47" s="13">
        <v>205</v>
      </c>
      <c r="J47" s="24" t="s">
        <v>21</v>
      </c>
      <c r="K47" s="24"/>
      <c r="L47" s="6" t="s">
        <v>22</v>
      </c>
      <c r="M47" s="25">
        <v>370769.82</v>
      </c>
      <c r="N47" s="25"/>
    </row>
    <row r="48" spans="1:14" ht="100.05" customHeight="1" outlineLevel="1" x14ac:dyDescent="0.2">
      <c r="A48" s="4" t="s">
        <v>91</v>
      </c>
      <c r="B48" s="22" t="s">
        <v>92</v>
      </c>
      <c r="C48" s="22"/>
      <c r="D48" s="5" t="s">
        <v>93</v>
      </c>
      <c r="E48" s="5" t="s">
        <v>96</v>
      </c>
      <c r="F48" s="13" t="s">
        <v>19</v>
      </c>
      <c r="G48" s="28">
        <v>14733.33</v>
      </c>
      <c r="H48" s="28"/>
      <c r="I48" s="13">
        <v>205</v>
      </c>
      <c r="J48" s="24" t="s">
        <v>21</v>
      </c>
      <c r="K48" s="24"/>
      <c r="L48" s="6" t="s">
        <v>22</v>
      </c>
      <c r="M48" s="25">
        <v>385503.15</v>
      </c>
      <c r="N48" s="25"/>
    </row>
    <row r="49" spans="1:14" ht="88.95" customHeight="1" outlineLevel="1" x14ac:dyDescent="0.2">
      <c r="A49" s="4" t="s">
        <v>91</v>
      </c>
      <c r="B49" s="22" t="s">
        <v>92</v>
      </c>
      <c r="C49" s="22"/>
      <c r="D49" s="5" t="s">
        <v>93</v>
      </c>
      <c r="E49" s="5" t="s">
        <v>97</v>
      </c>
      <c r="F49" s="13" t="s">
        <v>19</v>
      </c>
      <c r="G49" s="28">
        <v>2184</v>
      </c>
      <c r="H49" s="28"/>
      <c r="I49" s="13">
        <v>205</v>
      </c>
      <c r="J49" s="24" t="s">
        <v>21</v>
      </c>
      <c r="K49" s="24"/>
      <c r="L49" s="6" t="s">
        <v>22</v>
      </c>
      <c r="M49" s="25">
        <v>387687.15</v>
      </c>
      <c r="N49" s="25"/>
    </row>
    <row r="50" spans="1:14" ht="88.95" customHeight="1" outlineLevel="1" x14ac:dyDescent="0.2">
      <c r="A50" s="4" t="s">
        <v>91</v>
      </c>
      <c r="B50" s="22" t="s">
        <v>92</v>
      </c>
      <c r="C50" s="22"/>
      <c r="D50" s="5" t="s">
        <v>93</v>
      </c>
      <c r="E50" s="5" t="s">
        <v>98</v>
      </c>
      <c r="F50" s="13" t="s">
        <v>19</v>
      </c>
      <c r="G50" s="23">
        <v>366.41</v>
      </c>
      <c r="H50" s="23"/>
      <c r="I50" s="13" t="s">
        <v>95</v>
      </c>
      <c r="J50" s="24" t="s">
        <v>21</v>
      </c>
      <c r="K50" s="24"/>
      <c r="L50" s="6" t="s">
        <v>22</v>
      </c>
      <c r="M50" s="25">
        <v>388053.56</v>
      </c>
      <c r="N50" s="25"/>
    </row>
    <row r="51" spans="1:14" ht="88.95" customHeight="1" outlineLevel="1" x14ac:dyDescent="0.2">
      <c r="A51" s="4" t="s">
        <v>91</v>
      </c>
      <c r="B51" s="22" t="s">
        <v>92</v>
      </c>
      <c r="C51" s="22"/>
      <c r="D51" s="5" t="s">
        <v>93</v>
      </c>
      <c r="E51" s="5" t="s">
        <v>99</v>
      </c>
      <c r="F51" s="13" t="s">
        <v>19</v>
      </c>
      <c r="G51" s="23">
        <v>105.7</v>
      </c>
      <c r="H51" s="23"/>
      <c r="I51" s="13" t="s">
        <v>95</v>
      </c>
      <c r="J51" s="24" t="s">
        <v>21</v>
      </c>
      <c r="K51" s="24"/>
      <c r="L51" s="6" t="s">
        <v>22</v>
      </c>
      <c r="M51" s="25">
        <v>388159.26</v>
      </c>
      <c r="N51" s="25"/>
    </row>
    <row r="52" spans="1:14" ht="88.95" customHeight="1" outlineLevel="1" x14ac:dyDescent="0.2">
      <c r="A52" s="4" t="s">
        <v>91</v>
      </c>
      <c r="B52" s="22" t="s">
        <v>92</v>
      </c>
      <c r="C52" s="22"/>
      <c r="D52" s="5" t="s">
        <v>93</v>
      </c>
      <c r="E52" s="5" t="s">
        <v>100</v>
      </c>
      <c r="F52" s="13" t="s">
        <v>19</v>
      </c>
      <c r="G52" s="23">
        <v>212.93</v>
      </c>
      <c r="H52" s="23"/>
      <c r="I52" s="13" t="s">
        <v>95</v>
      </c>
      <c r="J52" s="24" t="s">
        <v>21</v>
      </c>
      <c r="K52" s="24"/>
      <c r="L52" s="6" t="s">
        <v>22</v>
      </c>
      <c r="M52" s="25">
        <v>388372.19</v>
      </c>
      <c r="N52" s="25"/>
    </row>
    <row r="53" spans="1:14" ht="88.95" customHeight="1" outlineLevel="1" x14ac:dyDescent="0.2">
      <c r="A53" s="4" t="s">
        <v>91</v>
      </c>
      <c r="B53" s="22" t="s">
        <v>92</v>
      </c>
      <c r="C53" s="22"/>
      <c r="D53" s="5" t="s">
        <v>93</v>
      </c>
      <c r="E53" s="5" t="s">
        <v>101</v>
      </c>
      <c r="F53" s="13" t="s">
        <v>19</v>
      </c>
      <c r="G53" s="23">
        <v>214.99</v>
      </c>
      <c r="H53" s="23"/>
      <c r="I53" s="13" t="s">
        <v>95</v>
      </c>
      <c r="J53" s="24" t="s">
        <v>21</v>
      </c>
      <c r="K53" s="24"/>
      <c r="L53" s="6" t="s">
        <v>22</v>
      </c>
      <c r="M53" s="25">
        <v>388587.18</v>
      </c>
      <c r="N53" s="25"/>
    </row>
    <row r="54" spans="1:14" ht="111" customHeight="1" outlineLevel="1" x14ac:dyDescent="0.2">
      <c r="A54" s="4" t="s">
        <v>91</v>
      </c>
      <c r="B54" s="22" t="s">
        <v>92</v>
      </c>
      <c r="C54" s="22"/>
      <c r="D54" s="5" t="s">
        <v>93</v>
      </c>
      <c r="E54" s="5" t="s">
        <v>102</v>
      </c>
      <c r="F54" s="13" t="s">
        <v>19</v>
      </c>
      <c r="G54" s="23">
        <v>109.92</v>
      </c>
      <c r="H54" s="23"/>
      <c r="I54" s="13" t="s">
        <v>95</v>
      </c>
      <c r="J54" s="24" t="s">
        <v>21</v>
      </c>
      <c r="K54" s="24"/>
      <c r="L54" s="6" t="s">
        <v>22</v>
      </c>
      <c r="M54" s="25">
        <v>388697.1</v>
      </c>
      <c r="N54" s="25"/>
    </row>
    <row r="55" spans="1:14" ht="88.95" customHeight="1" outlineLevel="1" x14ac:dyDescent="0.2">
      <c r="A55" s="4" t="s">
        <v>91</v>
      </c>
      <c r="B55" s="22" t="s">
        <v>92</v>
      </c>
      <c r="C55" s="22"/>
      <c r="D55" s="5" t="s">
        <v>93</v>
      </c>
      <c r="E55" s="5" t="s">
        <v>103</v>
      </c>
      <c r="F55" s="13" t="s">
        <v>19</v>
      </c>
      <c r="G55" s="23">
        <v>445.39</v>
      </c>
      <c r="H55" s="23"/>
      <c r="I55" s="13" t="s">
        <v>95</v>
      </c>
      <c r="J55" s="24" t="s">
        <v>21</v>
      </c>
      <c r="K55" s="24"/>
      <c r="L55" s="6" t="s">
        <v>22</v>
      </c>
      <c r="M55" s="25">
        <v>389142.49</v>
      </c>
      <c r="N55" s="25"/>
    </row>
    <row r="56" spans="1:14" ht="88.95" customHeight="1" outlineLevel="1" x14ac:dyDescent="0.2">
      <c r="A56" s="4" t="s">
        <v>91</v>
      </c>
      <c r="B56" s="22" t="s">
        <v>92</v>
      </c>
      <c r="C56" s="22"/>
      <c r="D56" s="5" t="s">
        <v>93</v>
      </c>
      <c r="E56" s="5" t="s">
        <v>104</v>
      </c>
      <c r="F56" s="13" t="s">
        <v>19</v>
      </c>
      <c r="G56" s="23">
        <v>285.2</v>
      </c>
      <c r="H56" s="23"/>
      <c r="I56" s="13" t="s">
        <v>95</v>
      </c>
      <c r="J56" s="24" t="s">
        <v>21</v>
      </c>
      <c r="K56" s="24"/>
      <c r="L56" s="6" t="s">
        <v>22</v>
      </c>
      <c r="M56" s="25">
        <v>389427.69</v>
      </c>
      <c r="N56" s="25"/>
    </row>
    <row r="57" spans="1:14" ht="88.95" customHeight="1" outlineLevel="1" x14ac:dyDescent="0.2">
      <c r="A57" s="4" t="s">
        <v>91</v>
      </c>
      <c r="B57" s="22" t="s">
        <v>92</v>
      </c>
      <c r="C57" s="22"/>
      <c r="D57" s="5" t="s">
        <v>93</v>
      </c>
      <c r="E57" s="5" t="s">
        <v>105</v>
      </c>
      <c r="F57" s="13" t="s">
        <v>19</v>
      </c>
      <c r="G57" s="23">
        <v>171.2</v>
      </c>
      <c r="H57" s="23"/>
      <c r="I57" s="13" t="s">
        <v>95</v>
      </c>
      <c r="J57" s="24" t="s">
        <v>21</v>
      </c>
      <c r="K57" s="24"/>
      <c r="L57" s="6" t="s">
        <v>22</v>
      </c>
      <c r="M57" s="25">
        <v>389598.89</v>
      </c>
      <c r="N57" s="25"/>
    </row>
    <row r="58" spans="1:14" ht="88.95" customHeight="1" outlineLevel="1" x14ac:dyDescent="0.2">
      <c r="A58" s="4" t="s">
        <v>91</v>
      </c>
      <c r="B58" s="22" t="s">
        <v>92</v>
      </c>
      <c r="C58" s="22"/>
      <c r="D58" s="5" t="s">
        <v>93</v>
      </c>
      <c r="E58" s="5" t="s">
        <v>106</v>
      </c>
      <c r="F58" s="13" t="s">
        <v>19</v>
      </c>
      <c r="G58" s="23">
        <v>116.4</v>
      </c>
      <c r="H58" s="23"/>
      <c r="I58" s="13" t="s">
        <v>95</v>
      </c>
      <c r="J58" s="24" t="s">
        <v>21</v>
      </c>
      <c r="K58" s="24"/>
      <c r="L58" s="6" t="s">
        <v>22</v>
      </c>
      <c r="M58" s="25">
        <v>389715.29</v>
      </c>
      <c r="N58" s="25"/>
    </row>
    <row r="59" spans="1:14" ht="88.95" customHeight="1" outlineLevel="1" x14ac:dyDescent="0.2">
      <c r="A59" s="4" t="s">
        <v>91</v>
      </c>
      <c r="B59" s="22" t="s">
        <v>92</v>
      </c>
      <c r="C59" s="22"/>
      <c r="D59" s="5" t="s">
        <v>93</v>
      </c>
      <c r="E59" s="5" t="s">
        <v>107</v>
      </c>
      <c r="F59" s="13" t="s">
        <v>19</v>
      </c>
      <c r="G59" s="23">
        <v>246</v>
      </c>
      <c r="H59" s="23"/>
      <c r="I59" s="13" t="s">
        <v>95</v>
      </c>
      <c r="J59" s="24" t="s">
        <v>21</v>
      </c>
      <c r="K59" s="24"/>
      <c r="L59" s="6" t="s">
        <v>22</v>
      </c>
      <c r="M59" s="25">
        <v>389961.29</v>
      </c>
      <c r="N59" s="25"/>
    </row>
    <row r="60" spans="1:14" ht="88.95" customHeight="1" outlineLevel="1" x14ac:dyDescent="0.2">
      <c r="A60" s="4" t="s">
        <v>91</v>
      </c>
      <c r="B60" s="22" t="s">
        <v>92</v>
      </c>
      <c r="C60" s="22"/>
      <c r="D60" s="5" t="s">
        <v>93</v>
      </c>
      <c r="E60" s="5" t="s">
        <v>108</v>
      </c>
      <c r="F60" s="13" t="s">
        <v>19</v>
      </c>
      <c r="G60" s="23">
        <v>575</v>
      </c>
      <c r="H60" s="23"/>
      <c r="I60" s="13" t="s">
        <v>95</v>
      </c>
      <c r="J60" s="24" t="s">
        <v>21</v>
      </c>
      <c r="K60" s="24"/>
      <c r="L60" s="6" t="s">
        <v>22</v>
      </c>
      <c r="M60" s="25">
        <v>390536.29</v>
      </c>
      <c r="N60" s="25"/>
    </row>
    <row r="61" spans="1:14" ht="88.95" customHeight="1" outlineLevel="1" x14ac:dyDescent="0.2">
      <c r="A61" s="4" t="s">
        <v>91</v>
      </c>
      <c r="B61" s="22" t="s">
        <v>92</v>
      </c>
      <c r="C61" s="22"/>
      <c r="D61" s="5" t="s">
        <v>93</v>
      </c>
      <c r="E61" s="5" t="s">
        <v>109</v>
      </c>
      <c r="F61" s="13" t="s">
        <v>19</v>
      </c>
      <c r="G61" s="23">
        <v>240.66</v>
      </c>
      <c r="H61" s="23"/>
      <c r="I61" s="13" t="s">
        <v>95</v>
      </c>
      <c r="J61" s="24" t="s">
        <v>21</v>
      </c>
      <c r="K61" s="24"/>
      <c r="L61" s="6" t="s">
        <v>22</v>
      </c>
      <c r="M61" s="25">
        <v>390776.95</v>
      </c>
      <c r="N61" s="25"/>
    </row>
    <row r="62" spans="1:14" ht="88.95" customHeight="1" outlineLevel="1" x14ac:dyDescent="0.2">
      <c r="A62" s="4" t="s">
        <v>91</v>
      </c>
      <c r="B62" s="22" t="s">
        <v>92</v>
      </c>
      <c r="C62" s="22"/>
      <c r="D62" s="5" t="s">
        <v>93</v>
      </c>
      <c r="E62" s="5" t="s">
        <v>110</v>
      </c>
      <c r="F62" s="13" t="s">
        <v>19</v>
      </c>
      <c r="G62" s="28">
        <v>5125</v>
      </c>
      <c r="H62" s="28"/>
      <c r="I62" s="13" t="s">
        <v>95</v>
      </c>
      <c r="J62" s="24" t="s">
        <v>21</v>
      </c>
      <c r="K62" s="24"/>
      <c r="L62" s="6" t="s">
        <v>22</v>
      </c>
      <c r="M62" s="25">
        <v>395901.95</v>
      </c>
      <c r="N62" s="25"/>
    </row>
    <row r="63" spans="1:14" ht="88.95" customHeight="1" outlineLevel="1" x14ac:dyDescent="0.2">
      <c r="A63" s="4" t="s">
        <v>91</v>
      </c>
      <c r="B63" s="22" t="s">
        <v>92</v>
      </c>
      <c r="C63" s="22"/>
      <c r="D63" s="5" t="s">
        <v>93</v>
      </c>
      <c r="E63" s="5" t="s">
        <v>111</v>
      </c>
      <c r="F63" s="13" t="s">
        <v>19</v>
      </c>
      <c r="G63" s="28">
        <v>1427.72</v>
      </c>
      <c r="H63" s="28"/>
      <c r="I63" s="13" t="s">
        <v>95</v>
      </c>
      <c r="J63" s="24" t="s">
        <v>21</v>
      </c>
      <c r="K63" s="24"/>
      <c r="L63" s="6" t="s">
        <v>22</v>
      </c>
      <c r="M63" s="25">
        <v>397329.67</v>
      </c>
      <c r="N63" s="25"/>
    </row>
    <row r="64" spans="1:14" ht="88.95" customHeight="1" outlineLevel="1" x14ac:dyDescent="0.2">
      <c r="A64" s="4" t="s">
        <v>91</v>
      </c>
      <c r="B64" s="22" t="s">
        <v>92</v>
      </c>
      <c r="C64" s="22"/>
      <c r="D64" s="5" t="s">
        <v>93</v>
      </c>
      <c r="E64" s="5" t="s">
        <v>112</v>
      </c>
      <c r="F64" s="13" t="s">
        <v>19</v>
      </c>
      <c r="G64" s="23">
        <v>773.73</v>
      </c>
      <c r="H64" s="23"/>
      <c r="I64" s="13" t="s">
        <v>95</v>
      </c>
      <c r="J64" s="24" t="s">
        <v>21</v>
      </c>
      <c r="K64" s="24"/>
      <c r="L64" s="6" t="s">
        <v>22</v>
      </c>
      <c r="M64" s="25">
        <v>398103.4</v>
      </c>
      <c r="N64" s="25"/>
    </row>
    <row r="65" spans="1:14" ht="88.95" customHeight="1" outlineLevel="1" x14ac:dyDescent="0.2">
      <c r="A65" s="4" t="s">
        <v>91</v>
      </c>
      <c r="B65" s="22" t="s">
        <v>92</v>
      </c>
      <c r="C65" s="22"/>
      <c r="D65" s="5" t="s">
        <v>93</v>
      </c>
      <c r="E65" s="5" t="s">
        <v>113</v>
      </c>
      <c r="F65" s="13" t="s">
        <v>19</v>
      </c>
      <c r="G65" s="28">
        <v>11986.55</v>
      </c>
      <c r="H65" s="28"/>
      <c r="I65" s="13" t="s">
        <v>95</v>
      </c>
      <c r="J65" s="24" t="s">
        <v>21</v>
      </c>
      <c r="K65" s="24"/>
      <c r="L65" s="6" t="s">
        <v>22</v>
      </c>
      <c r="M65" s="25">
        <v>410089.95</v>
      </c>
      <c r="N65" s="25"/>
    </row>
    <row r="66" spans="1:14" ht="100.05" customHeight="1" outlineLevel="1" x14ac:dyDescent="0.2">
      <c r="A66" s="4" t="s">
        <v>91</v>
      </c>
      <c r="B66" s="22" t="s">
        <v>92</v>
      </c>
      <c r="C66" s="22"/>
      <c r="D66" s="5" t="s">
        <v>93</v>
      </c>
      <c r="E66" s="5" t="s">
        <v>114</v>
      </c>
      <c r="F66" s="13" t="s">
        <v>19</v>
      </c>
      <c r="G66" s="28">
        <v>1201.3900000000001</v>
      </c>
      <c r="H66" s="28"/>
      <c r="I66" s="13" t="s">
        <v>95</v>
      </c>
      <c r="J66" s="24" t="s">
        <v>21</v>
      </c>
      <c r="K66" s="24"/>
      <c r="L66" s="6" t="s">
        <v>22</v>
      </c>
      <c r="M66" s="25">
        <v>411291.34</v>
      </c>
      <c r="N66" s="25"/>
    </row>
    <row r="67" spans="1:14" ht="88.95" customHeight="1" outlineLevel="1" x14ac:dyDescent="0.2">
      <c r="A67" s="4" t="s">
        <v>91</v>
      </c>
      <c r="B67" s="22" t="s">
        <v>92</v>
      </c>
      <c r="C67" s="22"/>
      <c r="D67" s="5" t="s">
        <v>93</v>
      </c>
      <c r="E67" s="5" t="s">
        <v>115</v>
      </c>
      <c r="F67" s="13" t="s">
        <v>19</v>
      </c>
      <c r="G67" s="28">
        <v>5455.09</v>
      </c>
      <c r="H67" s="28"/>
      <c r="I67" s="13" t="s">
        <v>95</v>
      </c>
      <c r="J67" s="24" t="s">
        <v>21</v>
      </c>
      <c r="K67" s="24"/>
      <c r="L67" s="6" t="s">
        <v>22</v>
      </c>
      <c r="M67" s="25">
        <v>416746.43</v>
      </c>
      <c r="N67" s="25"/>
    </row>
    <row r="68" spans="1:14" ht="88.95" customHeight="1" outlineLevel="1" x14ac:dyDescent="0.2">
      <c r="A68" s="4" t="s">
        <v>91</v>
      </c>
      <c r="B68" s="22" t="s">
        <v>92</v>
      </c>
      <c r="C68" s="22"/>
      <c r="D68" s="5" t="s">
        <v>93</v>
      </c>
      <c r="E68" s="5" t="s">
        <v>116</v>
      </c>
      <c r="F68" s="13" t="s">
        <v>19</v>
      </c>
      <c r="G68" s="28">
        <v>1632</v>
      </c>
      <c r="H68" s="28"/>
      <c r="I68" s="13" t="s">
        <v>95</v>
      </c>
      <c r="J68" s="24" t="s">
        <v>21</v>
      </c>
      <c r="K68" s="24"/>
      <c r="L68" s="6" t="s">
        <v>22</v>
      </c>
      <c r="M68" s="25">
        <v>418378.43</v>
      </c>
      <c r="N68" s="25"/>
    </row>
    <row r="69" spans="1:14" ht="88.95" customHeight="1" outlineLevel="1" x14ac:dyDescent="0.2">
      <c r="A69" s="4" t="s">
        <v>91</v>
      </c>
      <c r="B69" s="22" t="s">
        <v>92</v>
      </c>
      <c r="C69" s="22"/>
      <c r="D69" s="5" t="s">
        <v>93</v>
      </c>
      <c r="E69" s="5" t="s">
        <v>117</v>
      </c>
      <c r="F69" s="13" t="s">
        <v>19</v>
      </c>
      <c r="G69" s="28">
        <v>18139.009999999998</v>
      </c>
      <c r="H69" s="28"/>
      <c r="I69" s="13" t="s">
        <v>95</v>
      </c>
      <c r="J69" s="24" t="s">
        <v>21</v>
      </c>
      <c r="K69" s="24"/>
      <c r="L69" s="6" t="s">
        <v>22</v>
      </c>
      <c r="M69" s="25">
        <v>436517.44</v>
      </c>
      <c r="N69" s="25"/>
    </row>
    <row r="70" spans="1:14" ht="88.95" customHeight="1" outlineLevel="1" x14ac:dyDescent="0.2">
      <c r="A70" s="4" t="s">
        <v>91</v>
      </c>
      <c r="B70" s="22" t="s">
        <v>92</v>
      </c>
      <c r="C70" s="22"/>
      <c r="D70" s="5" t="s">
        <v>93</v>
      </c>
      <c r="E70" s="5" t="s">
        <v>118</v>
      </c>
      <c r="F70" s="13" t="s">
        <v>19</v>
      </c>
      <c r="G70" s="28">
        <v>3799.3</v>
      </c>
      <c r="H70" s="28"/>
      <c r="I70" s="13" t="s">
        <v>95</v>
      </c>
      <c r="J70" s="24" t="s">
        <v>21</v>
      </c>
      <c r="K70" s="24"/>
      <c r="L70" s="6" t="s">
        <v>22</v>
      </c>
      <c r="M70" s="25">
        <v>440316.74</v>
      </c>
      <c r="N70" s="25"/>
    </row>
    <row r="71" spans="1:14" ht="88.95" customHeight="1" outlineLevel="1" x14ac:dyDescent="0.2">
      <c r="A71" s="4" t="s">
        <v>91</v>
      </c>
      <c r="B71" s="22" t="s">
        <v>92</v>
      </c>
      <c r="C71" s="22"/>
      <c r="D71" s="5" t="s">
        <v>93</v>
      </c>
      <c r="E71" s="5" t="s">
        <v>119</v>
      </c>
      <c r="F71" s="13" t="s">
        <v>19</v>
      </c>
      <c r="G71" s="28">
        <v>3838.87</v>
      </c>
      <c r="H71" s="28"/>
      <c r="I71" s="13" t="s">
        <v>95</v>
      </c>
      <c r="J71" s="24" t="s">
        <v>21</v>
      </c>
      <c r="K71" s="24"/>
      <c r="L71" s="6" t="s">
        <v>22</v>
      </c>
      <c r="M71" s="25">
        <v>444155.61</v>
      </c>
      <c r="N71" s="25"/>
    </row>
    <row r="72" spans="1:14" ht="88.95" customHeight="1" outlineLevel="1" x14ac:dyDescent="0.2">
      <c r="A72" s="4" t="s">
        <v>91</v>
      </c>
      <c r="B72" s="22" t="s">
        <v>92</v>
      </c>
      <c r="C72" s="22"/>
      <c r="D72" s="5" t="s">
        <v>93</v>
      </c>
      <c r="E72" s="5" t="s">
        <v>120</v>
      </c>
      <c r="F72" s="13" t="s">
        <v>19</v>
      </c>
      <c r="G72" s="28">
        <v>2100</v>
      </c>
      <c r="H72" s="28"/>
      <c r="I72" s="13" t="s">
        <v>95</v>
      </c>
      <c r="J72" s="24" t="s">
        <v>21</v>
      </c>
      <c r="K72" s="24"/>
      <c r="L72" s="6" t="s">
        <v>22</v>
      </c>
      <c r="M72" s="25">
        <v>446255.61</v>
      </c>
      <c r="N72" s="25"/>
    </row>
    <row r="73" spans="1:14" ht="88.95" customHeight="1" outlineLevel="1" x14ac:dyDescent="0.2">
      <c r="A73" s="4" t="s">
        <v>91</v>
      </c>
      <c r="B73" s="22" t="s">
        <v>92</v>
      </c>
      <c r="C73" s="22"/>
      <c r="D73" s="5" t="s">
        <v>93</v>
      </c>
      <c r="E73" s="5" t="s">
        <v>121</v>
      </c>
      <c r="F73" s="13" t="s">
        <v>19</v>
      </c>
      <c r="G73" s="23">
        <v>899.91</v>
      </c>
      <c r="H73" s="23"/>
      <c r="I73" s="13" t="s">
        <v>95</v>
      </c>
      <c r="J73" s="24" t="s">
        <v>21</v>
      </c>
      <c r="K73" s="24"/>
      <c r="L73" s="6" t="s">
        <v>22</v>
      </c>
      <c r="M73" s="25">
        <v>447155.52</v>
      </c>
      <c r="N73" s="25"/>
    </row>
    <row r="74" spans="1:14" ht="100.05" customHeight="1" outlineLevel="1" x14ac:dyDescent="0.2">
      <c r="A74" s="4" t="s">
        <v>91</v>
      </c>
      <c r="B74" s="22" t="s">
        <v>92</v>
      </c>
      <c r="C74" s="22"/>
      <c r="D74" s="5" t="s">
        <v>93</v>
      </c>
      <c r="E74" s="5" t="s">
        <v>122</v>
      </c>
      <c r="F74" s="13" t="s">
        <v>19</v>
      </c>
      <c r="G74" s="28">
        <v>2267.23</v>
      </c>
      <c r="H74" s="28"/>
      <c r="I74" s="13" t="s">
        <v>95</v>
      </c>
      <c r="J74" s="24" t="s">
        <v>21</v>
      </c>
      <c r="K74" s="24"/>
      <c r="L74" s="6" t="s">
        <v>22</v>
      </c>
      <c r="M74" s="25">
        <v>449422.75</v>
      </c>
      <c r="N74" s="25"/>
    </row>
    <row r="75" spans="1:14" ht="100.05" customHeight="1" outlineLevel="1" x14ac:dyDescent="0.2">
      <c r="A75" s="4" t="s">
        <v>91</v>
      </c>
      <c r="B75" s="22" t="s">
        <v>92</v>
      </c>
      <c r="C75" s="22"/>
      <c r="D75" s="5" t="s">
        <v>93</v>
      </c>
      <c r="E75" s="5" t="s">
        <v>123</v>
      </c>
      <c r="F75" s="13" t="s">
        <v>19</v>
      </c>
      <c r="G75" s="23">
        <v>138.76</v>
      </c>
      <c r="H75" s="23"/>
      <c r="I75" s="13" t="s">
        <v>95</v>
      </c>
      <c r="J75" s="24" t="s">
        <v>21</v>
      </c>
      <c r="K75" s="24"/>
      <c r="L75" s="6" t="s">
        <v>22</v>
      </c>
      <c r="M75" s="25">
        <v>449561.51</v>
      </c>
      <c r="N75" s="25"/>
    </row>
    <row r="76" spans="1:14" ht="100.05" customHeight="1" outlineLevel="1" x14ac:dyDescent="0.2">
      <c r="A76" s="4" t="s">
        <v>91</v>
      </c>
      <c r="B76" s="22" t="s">
        <v>92</v>
      </c>
      <c r="C76" s="22"/>
      <c r="D76" s="5" t="s">
        <v>93</v>
      </c>
      <c r="E76" s="5" t="s">
        <v>124</v>
      </c>
      <c r="F76" s="13" t="s">
        <v>19</v>
      </c>
      <c r="G76" s="23">
        <v>485.67</v>
      </c>
      <c r="H76" s="23"/>
      <c r="I76" s="13" t="s">
        <v>95</v>
      </c>
      <c r="J76" s="24" t="s">
        <v>21</v>
      </c>
      <c r="K76" s="24"/>
      <c r="L76" s="6" t="s">
        <v>22</v>
      </c>
      <c r="M76" s="25">
        <v>450047.18</v>
      </c>
      <c r="N76" s="25"/>
    </row>
    <row r="77" spans="1:14" ht="88.95" customHeight="1" outlineLevel="1" x14ac:dyDescent="0.2">
      <c r="A77" s="4" t="s">
        <v>91</v>
      </c>
      <c r="B77" s="22" t="s">
        <v>92</v>
      </c>
      <c r="C77" s="22"/>
      <c r="D77" s="5" t="s">
        <v>93</v>
      </c>
      <c r="E77" s="5" t="s">
        <v>125</v>
      </c>
      <c r="F77" s="13" t="s">
        <v>19</v>
      </c>
      <c r="G77" s="23">
        <v>310</v>
      </c>
      <c r="H77" s="23"/>
      <c r="I77" s="13" t="s">
        <v>95</v>
      </c>
      <c r="J77" s="24" t="s">
        <v>21</v>
      </c>
      <c r="K77" s="24"/>
      <c r="L77" s="6" t="s">
        <v>22</v>
      </c>
      <c r="M77" s="25">
        <v>450357.18</v>
      </c>
      <c r="N77" s="25"/>
    </row>
    <row r="78" spans="1:14" ht="88.95" customHeight="1" outlineLevel="1" x14ac:dyDescent="0.2">
      <c r="A78" s="4" t="s">
        <v>91</v>
      </c>
      <c r="B78" s="22" t="s">
        <v>92</v>
      </c>
      <c r="C78" s="22"/>
      <c r="D78" s="5" t="s">
        <v>93</v>
      </c>
      <c r="E78" s="5" t="s">
        <v>126</v>
      </c>
      <c r="F78" s="13" t="s">
        <v>19</v>
      </c>
      <c r="G78" s="23">
        <v>17.54</v>
      </c>
      <c r="H78" s="23"/>
      <c r="I78" s="13" t="s">
        <v>95</v>
      </c>
      <c r="J78" s="24" t="s">
        <v>21</v>
      </c>
      <c r="K78" s="24"/>
      <c r="L78" s="6" t="s">
        <v>22</v>
      </c>
      <c r="M78" s="25">
        <v>450374.72</v>
      </c>
      <c r="N78" s="25"/>
    </row>
    <row r="79" spans="1:14" ht="100.05" customHeight="1" outlineLevel="1" x14ac:dyDescent="0.2">
      <c r="A79" s="4" t="s">
        <v>91</v>
      </c>
      <c r="B79" s="22" t="s">
        <v>92</v>
      </c>
      <c r="C79" s="22"/>
      <c r="D79" s="5" t="s">
        <v>93</v>
      </c>
      <c r="E79" s="5" t="s">
        <v>127</v>
      </c>
      <c r="F79" s="13" t="s">
        <v>19</v>
      </c>
      <c r="G79" s="23">
        <v>418.34</v>
      </c>
      <c r="H79" s="23"/>
      <c r="I79" s="13" t="s">
        <v>95</v>
      </c>
      <c r="J79" s="24" t="s">
        <v>21</v>
      </c>
      <c r="K79" s="24"/>
      <c r="L79" s="6" t="s">
        <v>22</v>
      </c>
      <c r="M79" s="25">
        <v>450793.06</v>
      </c>
      <c r="N79" s="25"/>
    </row>
    <row r="80" spans="1:14" ht="88.95" customHeight="1" outlineLevel="1" x14ac:dyDescent="0.2">
      <c r="A80" s="4" t="s">
        <v>91</v>
      </c>
      <c r="B80" s="22" t="s">
        <v>92</v>
      </c>
      <c r="C80" s="22"/>
      <c r="D80" s="5" t="s">
        <v>93</v>
      </c>
      <c r="E80" s="5" t="s">
        <v>128</v>
      </c>
      <c r="F80" s="13" t="s">
        <v>19</v>
      </c>
      <c r="G80" s="23">
        <v>489.6</v>
      </c>
      <c r="H80" s="23"/>
      <c r="I80" s="13" t="s">
        <v>95</v>
      </c>
      <c r="J80" s="24" t="s">
        <v>21</v>
      </c>
      <c r="K80" s="24"/>
      <c r="L80" s="6" t="s">
        <v>22</v>
      </c>
      <c r="M80" s="25">
        <v>451282.66</v>
      </c>
      <c r="N80" s="25"/>
    </row>
    <row r="81" spans="1:14" ht="88.95" customHeight="1" outlineLevel="1" x14ac:dyDescent="0.2">
      <c r="A81" s="4" t="s">
        <v>91</v>
      </c>
      <c r="B81" s="22" t="s">
        <v>92</v>
      </c>
      <c r="C81" s="22"/>
      <c r="D81" s="5" t="s">
        <v>93</v>
      </c>
      <c r="E81" s="5" t="s">
        <v>129</v>
      </c>
      <c r="F81" s="13" t="s">
        <v>19</v>
      </c>
      <c r="G81" s="23">
        <v>408</v>
      </c>
      <c r="H81" s="23"/>
      <c r="I81" s="13" t="s">
        <v>95</v>
      </c>
      <c r="J81" s="24" t="s">
        <v>21</v>
      </c>
      <c r="K81" s="24"/>
      <c r="L81" s="6" t="s">
        <v>22</v>
      </c>
      <c r="M81" s="25">
        <v>451690.66</v>
      </c>
      <c r="N81" s="25"/>
    </row>
    <row r="82" spans="1:14" ht="88.95" customHeight="1" outlineLevel="1" x14ac:dyDescent="0.2">
      <c r="A82" s="4" t="s">
        <v>91</v>
      </c>
      <c r="B82" s="22" t="s">
        <v>92</v>
      </c>
      <c r="C82" s="22"/>
      <c r="D82" s="5" t="s">
        <v>93</v>
      </c>
      <c r="E82" s="5" t="s">
        <v>130</v>
      </c>
      <c r="F82" s="13" t="s">
        <v>19</v>
      </c>
      <c r="G82" s="23">
        <v>168.72</v>
      </c>
      <c r="H82" s="23"/>
      <c r="I82" s="13" t="s">
        <v>95</v>
      </c>
      <c r="J82" s="24" t="s">
        <v>21</v>
      </c>
      <c r="K82" s="24"/>
      <c r="L82" s="6" t="s">
        <v>22</v>
      </c>
      <c r="M82" s="25">
        <v>451859.38</v>
      </c>
      <c r="N82" s="25"/>
    </row>
    <row r="83" spans="1:14" ht="88.95" customHeight="1" outlineLevel="1" x14ac:dyDescent="0.2">
      <c r="A83" s="4" t="s">
        <v>91</v>
      </c>
      <c r="B83" s="22" t="s">
        <v>92</v>
      </c>
      <c r="C83" s="22"/>
      <c r="D83" s="5" t="s">
        <v>93</v>
      </c>
      <c r="E83" s="5" t="s">
        <v>131</v>
      </c>
      <c r="F83" s="13" t="s">
        <v>19</v>
      </c>
      <c r="G83" s="28">
        <v>2568.62</v>
      </c>
      <c r="H83" s="28"/>
      <c r="I83" s="13" t="s">
        <v>95</v>
      </c>
      <c r="J83" s="24" t="s">
        <v>21</v>
      </c>
      <c r="K83" s="24"/>
      <c r="L83" s="6" t="s">
        <v>22</v>
      </c>
      <c r="M83" s="25">
        <v>454428</v>
      </c>
      <c r="N83" s="25"/>
    </row>
    <row r="84" spans="1:14" ht="88.95" customHeight="1" outlineLevel="1" x14ac:dyDescent="0.2">
      <c r="A84" s="4" t="s">
        <v>91</v>
      </c>
      <c r="B84" s="22" t="s">
        <v>92</v>
      </c>
      <c r="C84" s="22"/>
      <c r="D84" s="5" t="s">
        <v>93</v>
      </c>
      <c r="E84" s="5" t="s">
        <v>132</v>
      </c>
      <c r="F84" s="13" t="s">
        <v>19</v>
      </c>
      <c r="G84" s="23">
        <v>324.70999999999998</v>
      </c>
      <c r="H84" s="23"/>
      <c r="I84" s="13" t="s">
        <v>95</v>
      </c>
      <c r="J84" s="24" t="s">
        <v>21</v>
      </c>
      <c r="K84" s="24"/>
      <c r="L84" s="6" t="s">
        <v>22</v>
      </c>
      <c r="M84" s="25">
        <v>454752.71</v>
      </c>
      <c r="N84" s="25"/>
    </row>
    <row r="85" spans="1:14" ht="88.95" customHeight="1" outlineLevel="1" x14ac:dyDescent="0.2">
      <c r="A85" s="4" t="s">
        <v>91</v>
      </c>
      <c r="B85" s="22" t="s">
        <v>92</v>
      </c>
      <c r="C85" s="22"/>
      <c r="D85" s="5" t="s">
        <v>93</v>
      </c>
      <c r="E85" s="5" t="s">
        <v>133</v>
      </c>
      <c r="F85" s="13" t="s">
        <v>19</v>
      </c>
      <c r="G85" s="23">
        <v>15.1</v>
      </c>
      <c r="H85" s="23"/>
      <c r="I85" s="13" t="s">
        <v>95</v>
      </c>
      <c r="J85" s="24" t="s">
        <v>21</v>
      </c>
      <c r="K85" s="24"/>
      <c r="L85" s="6" t="s">
        <v>22</v>
      </c>
      <c r="M85" s="25">
        <v>454767.81</v>
      </c>
      <c r="N85" s="25"/>
    </row>
    <row r="86" spans="1:14" ht="88.95" customHeight="1" outlineLevel="1" x14ac:dyDescent="0.2">
      <c r="A86" s="4" t="s">
        <v>91</v>
      </c>
      <c r="B86" s="22" t="s">
        <v>92</v>
      </c>
      <c r="C86" s="22"/>
      <c r="D86" s="5" t="s">
        <v>93</v>
      </c>
      <c r="E86" s="5" t="s">
        <v>134</v>
      </c>
      <c r="F86" s="13" t="s">
        <v>19</v>
      </c>
      <c r="G86" s="23">
        <v>58.8</v>
      </c>
      <c r="H86" s="23"/>
      <c r="I86" s="13" t="s">
        <v>95</v>
      </c>
      <c r="J86" s="24" t="s">
        <v>21</v>
      </c>
      <c r="K86" s="24"/>
      <c r="L86" s="6" t="s">
        <v>22</v>
      </c>
      <c r="M86" s="25">
        <v>454826.61</v>
      </c>
      <c r="N86" s="25"/>
    </row>
    <row r="87" spans="1:14" ht="88.95" customHeight="1" outlineLevel="1" x14ac:dyDescent="0.2">
      <c r="A87" s="4" t="s">
        <v>91</v>
      </c>
      <c r="B87" s="22" t="s">
        <v>92</v>
      </c>
      <c r="C87" s="22"/>
      <c r="D87" s="5" t="s">
        <v>93</v>
      </c>
      <c r="E87" s="5" t="s">
        <v>135</v>
      </c>
      <c r="F87" s="13" t="s">
        <v>19</v>
      </c>
      <c r="G87" s="23">
        <v>15.4</v>
      </c>
      <c r="H87" s="23"/>
      <c r="I87" s="13" t="s">
        <v>95</v>
      </c>
      <c r="J87" s="24" t="s">
        <v>21</v>
      </c>
      <c r="K87" s="24"/>
      <c r="L87" s="6" t="s">
        <v>22</v>
      </c>
      <c r="M87" s="25">
        <v>454842.01</v>
      </c>
      <c r="N87" s="25"/>
    </row>
    <row r="88" spans="1:14" ht="88.95" customHeight="1" outlineLevel="1" x14ac:dyDescent="0.2">
      <c r="A88" s="4" t="s">
        <v>91</v>
      </c>
      <c r="B88" s="22" t="s">
        <v>92</v>
      </c>
      <c r="C88" s="22"/>
      <c r="D88" s="5" t="s">
        <v>93</v>
      </c>
      <c r="E88" s="5" t="s">
        <v>136</v>
      </c>
      <c r="F88" s="13" t="s">
        <v>19</v>
      </c>
      <c r="G88" s="23">
        <v>15.5</v>
      </c>
      <c r="H88" s="23"/>
      <c r="I88" s="13" t="s">
        <v>95</v>
      </c>
      <c r="J88" s="24" t="s">
        <v>21</v>
      </c>
      <c r="K88" s="24"/>
      <c r="L88" s="6" t="s">
        <v>22</v>
      </c>
      <c r="M88" s="25">
        <v>454857.51</v>
      </c>
      <c r="N88" s="25"/>
    </row>
    <row r="89" spans="1:14" ht="88.95" customHeight="1" outlineLevel="1" x14ac:dyDescent="0.2">
      <c r="A89" s="4" t="s">
        <v>91</v>
      </c>
      <c r="B89" s="22" t="s">
        <v>92</v>
      </c>
      <c r="C89" s="22"/>
      <c r="D89" s="5" t="s">
        <v>93</v>
      </c>
      <c r="E89" s="5" t="s">
        <v>137</v>
      </c>
      <c r="F89" s="13" t="s">
        <v>19</v>
      </c>
      <c r="G89" s="28">
        <v>3178.66</v>
      </c>
      <c r="H89" s="28"/>
      <c r="I89" s="13" t="s">
        <v>95</v>
      </c>
      <c r="J89" s="24" t="s">
        <v>21</v>
      </c>
      <c r="K89" s="24"/>
      <c r="L89" s="6" t="s">
        <v>22</v>
      </c>
      <c r="M89" s="25">
        <v>458036.17</v>
      </c>
      <c r="N89" s="25"/>
    </row>
    <row r="90" spans="1:14" ht="88.95" customHeight="1" outlineLevel="1" x14ac:dyDescent="0.2">
      <c r="A90" s="4" t="s">
        <v>91</v>
      </c>
      <c r="B90" s="22" t="s">
        <v>92</v>
      </c>
      <c r="C90" s="22"/>
      <c r="D90" s="5" t="s">
        <v>93</v>
      </c>
      <c r="E90" s="5" t="s">
        <v>138</v>
      </c>
      <c r="F90" s="13" t="s">
        <v>19</v>
      </c>
      <c r="G90" s="28">
        <v>10804.86</v>
      </c>
      <c r="H90" s="28"/>
      <c r="I90" s="13" t="s">
        <v>95</v>
      </c>
      <c r="J90" s="24" t="s">
        <v>21</v>
      </c>
      <c r="K90" s="24"/>
      <c r="L90" s="6" t="s">
        <v>22</v>
      </c>
      <c r="M90" s="25">
        <v>468841.03</v>
      </c>
      <c r="N90" s="25"/>
    </row>
    <row r="91" spans="1:14" ht="88.95" customHeight="1" outlineLevel="1" x14ac:dyDescent="0.2">
      <c r="A91" s="4" t="s">
        <v>91</v>
      </c>
      <c r="B91" s="22" t="s">
        <v>92</v>
      </c>
      <c r="C91" s="22"/>
      <c r="D91" s="5" t="s">
        <v>93</v>
      </c>
      <c r="E91" s="5" t="s">
        <v>139</v>
      </c>
      <c r="F91" s="13" t="s">
        <v>19</v>
      </c>
      <c r="G91" s="28">
        <v>1082.5</v>
      </c>
      <c r="H91" s="28"/>
      <c r="I91" s="13" t="s">
        <v>95</v>
      </c>
      <c r="J91" s="24" t="s">
        <v>21</v>
      </c>
      <c r="K91" s="24"/>
      <c r="L91" s="6" t="s">
        <v>22</v>
      </c>
      <c r="M91" s="25">
        <v>469923.53</v>
      </c>
      <c r="N91" s="25"/>
    </row>
    <row r="92" spans="1:14" ht="88.95" customHeight="1" outlineLevel="1" x14ac:dyDescent="0.2">
      <c r="A92" s="4" t="s">
        <v>91</v>
      </c>
      <c r="B92" s="22" t="s">
        <v>92</v>
      </c>
      <c r="C92" s="22"/>
      <c r="D92" s="5" t="s">
        <v>93</v>
      </c>
      <c r="E92" s="5" t="s">
        <v>140</v>
      </c>
      <c r="F92" s="13" t="s">
        <v>19</v>
      </c>
      <c r="G92" s="23">
        <v>935.4</v>
      </c>
      <c r="H92" s="23"/>
      <c r="I92" s="13" t="s">
        <v>95</v>
      </c>
      <c r="J92" s="24" t="s">
        <v>21</v>
      </c>
      <c r="K92" s="24"/>
      <c r="L92" s="6" t="s">
        <v>22</v>
      </c>
      <c r="M92" s="25">
        <v>470858.93</v>
      </c>
      <c r="N92" s="25"/>
    </row>
    <row r="93" spans="1:14" ht="88.95" customHeight="1" outlineLevel="1" x14ac:dyDescent="0.2">
      <c r="A93" s="4" t="s">
        <v>91</v>
      </c>
      <c r="B93" s="22" t="s">
        <v>92</v>
      </c>
      <c r="C93" s="22"/>
      <c r="D93" s="5" t="s">
        <v>93</v>
      </c>
      <c r="E93" s="5" t="s">
        <v>141</v>
      </c>
      <c r="F93" s="13" t="s">
        <v>19</v>
      </c>
      <c r="G93" s="28">
        <v>2153.27</v>
      </c>
      <c r="H93" s="28"/>
      <c r="I93" s="13" t="s">
        <v>95</v>
      </c>
      <c r="J93" s="24" t="s">
        <v>21</v>
      </c>
      <c r="K93" s="24"/>
      <c r="L93" s="6" t="s">
        <v>22</v>
      </c>
      <c r="M93" s="25">
        <v>473012.2</v>
      </c>
      <c r="N93" s="25"/>
    </row>
    <row r="94" spans="1:14" ht="88.95" customHeight="1" outlineLevel="1" x14ac:dyDescent="0.2">
      <c r="A94" s="4" t="s">
        <v>91</v>
      </c>
      <c r="B94" s="22" t="s">
        <v>92</v>
      </c>
      <c r="C94" s="22"/>
      <c r="D94" s="5" t="s">
        <v>93</v>
      </c>
      <c r="E94" s="5" t="s">
        <v>142</v>
      </c>
      <c r="F94" s="13" t="s">
        <v>19</v>
      </c>
      <c r="G94" s="23">
        <v>498</v>
      </c>
      <c r="H94" s="23"/>
      <c r="I94" s="13" t="s">
        <v>95</v>
      </c>
      <c r="J94" s="24" t="s">
        <v>21</v>
      </c>
      <c r="K94" s="24"/>
      <c r="L94" s="6" t="s">
        <v>22</v>
      </c>
      <c r="M94" s="25">
        <v>473510.2</v>
      </c>
      <c r="N94" s="25"/>
    </row>
    <row r="95" spans="1:14" ht="100.05" customHeight="1" outlineLevel="1" x14ac:dyDescent="0.2">
      <c r="A95" s="4" t="s">
        <v>91</v>
      </c>
      <c r="B95" s="22" t="s">
        <v>92</v>
      </c>
      <c r="C95" s="22"/>
      <c r="D95" s="5" t="s">
        <v>93</v>
      </c>
      <c r="E95" s="5" t="s">
        <v>143</v>
      </c>
      <c r="F95" s="13" t="s">
        <v>19</v>
      </c>
      <c r="G95" s="28">
        <v>5017.8999999999996</v>
      </c>
      <c r="H95" s="28"/>
      <c r="I95" s="13" t="s">
        <v>95</v>
      </c>
      <c r="J95" s="24" t="s">
        <v>21</v>
      </c>
      <c r="K95" s="24"/>
      <c r="L95" s="6" t="s">
        <v>22</v>
      </c>
      <c r="M95" s="25">
        <v>478528.1</v>
      </c>
      <c r="N95" s="25"/>
    </row>
    <row r="96" spans="1:14" ht="88.95" customHeight="1" outlineLevel="1" x14ac:dyDescent="0.2">
      <c r="A96" s="4" t="s">
        <v>91</v>
      </c>
      <c r="B96" s="22" t="s">
        <v>92</v>
      </c>
      <c r="C96" s="22"/>
      <c r="D96" s="5" t="s">
        <v>93</v>
      </c>
      <c r="E96" s="5" t="s">
        <v>144</v>
      </c>
      <c r="F96" s="13" t="s">
        <v>19</v>
      </c>
      <c r="G96" s="23">
        <v>138.75</v>
      </c>
      <c r="H96" s="23"/>
      <c r="I96" s="13" t="s">
        <v>95</v>
      </c>
      <c r="J96" s="24" t="s">
        <v>21</v>
      </c>
      <c r="K96" s="24"/>
      <c r="L96" s="6" t="s">
        <v>22</v>
      </c>
      <c r="M96" s="25">
        <v>478666.85</v>
      </c>
      <c r="N96" s="25"/>
    </row>
    <row r="97" spans="1:14" ht="88.95" customHeight="1" outlineLevel="1" x14ac:dyDescent="0.2">
      <c r="A97" s="4" t="s">
        <v>91</v>
      </c>
      <c r="B97" s="22" t="s">
        <v>92</v>
      </c>
      <c r="C97" s="22"/>
      <c r="D97" s="5" t="s">
        <v>93</v>
      </c>
      <c r="E97" s="5" t="s">
        <v>145</v>
      </c>
      <c r="F97" s="13" t="s">
        <v>19</v>
      </c>
      <c r="G97" s="23">
        <v>500</v>
      </c>
      <c r="H97" s="23"/>
      <c r="I97" s="13" t="s">
        <v>95</v>
      </c>
      <c r="J97" s="24" t="s">
        <v>21</v>
      </c>
      <c r="K97" s="24"/>
      <c r="L97" s="6" t="s">
        <v>22</v>
      </c>
      <c r="M97" s="25">
        <v>479166.85</v>
      </c>
      <c r="N97" s="25"/>
    </row>
    <row r="98" spans="1:14" ht="88.95" customHeight="1" outlineLevel="1" x14ac:dyDescent="0.2">
      <c r="A98" s="4" t="s">
        <v>91</v>
      </c>
      <c r="B98" s="22" t="s">
        <v>92</v>
      </c>
      <c r="C98" s="22"/>
      <c r="D98" s="5" t="s">
        <v>93</v>
      </c>
      <c r="E98" s="5" t="s">
        <v>146</v>
      </c>
      <c r="F98" s="13" t="s">
        <v>19</v>
      </c>
      <c r="G98" s="23">
        <v>60</v>
      </c>
      <c r="H98" s="23"/>
      <c r="I98" s="13" t="s">
        <v>95</v>
      </c>
      <c r="J98" s="24" t="s">
        <v>21</v>
      </c>
      <c r="K98" s="24"/>
      <c r="L98" s="6" t="s">
        <v>22</v>
      </c>
      <c r="M98" s="25">
        <v>479226.85</v>
      </c>
      <c r="N98" s="25"/>
    </row>
    <row r="99" spans="1:14" ht="88.95" customHeight="1" outlineLevel="1" x14ac:dyDescent="0.2">
      <c r="A99" s="4" t="s">
        <v>91</v>
      </c>
      <c r="B99" s="22" t="s">
        <v>92</v>
      </c>
      <c r="C99" s="22"/>
      <c r="D99" s="5" t="s">
        <v>93</v>
      </c>
      <c r="E99" s="5" t="s">
        <v>147</v>
      </c>
      <c r="F99" s="13" t="s">
        <v>19</v>
      </c>
      <c r="G99" s="23">
        <v>155.61000000000001</v>
      </c>
      <c r="H99" s="23"/>
      <c r="I99" s="13" t="s">
        <v>95</v>
      </c>
      <c r="J99" s="24" t="s">
        <v>21</v>
      </c>
      <c r="K99" s="24"/>
      <c r="L99" s="6" t="s">
        <v>22</v>
      </c>
      <c r="M99" s="25">
        <v>479382.46</v>
      </c>
      <c r="N99" s="25"/>
    </row>
    <row r="100" spans="1:14" ht="88.95" customHeight="1" outlineLevel="1" x14ac:dyDescent="0.2">
      <c r="A100" s="4" t="s">
        <v>91</v>
      </c>
      <c r="B100" s="22" t="s">
        <v>92</v>
      </c>
      <c r="C100" s="22"/>
      <c r="D100" s="5" t="s">
        <v>93</v>
      </c>
      <c r="E100" s="5" t="s">
        <v>148</v>
      </c>
      <c r="F100" s="13" t="s">
        <v>19</v>
      </c>
      <c r="G100" s="28">
        <v>1220</v>
      </c>
      <c r="H100" s="28"/>
      <c r="I100" s="13" t="s">
        <v>95</v>
      </c>
      <c r="J100" s="24" t="s">
        <v>21</v>
      </c>
      <c r="K100" s="24"/>
      <c r="L100" s="6" t="s">
        <v>22</v>
      </c>
      <c r="M100" s="25">
        <v>480602.46</v>
      </c>
      <c r="N100" s="25"/>
    </row>
    <row r="101" spans="1:14" ht="88.95" customHeight="1" outlineLevel="1" x14ac:dyDescent="0.2">
      <c r="A101" s="4" t="s">
        <v>91</v>
      </c>
      <c r="B101" s="22" t="s">
        <v>92</v>
      </c>
      <c r="C101" s="22"/>
      <c r="D101" s="5" t="s">
        <v>93</v>
      </c>
      <c r="E101" s="5" t="s">
        <v>149</v>
      </c>
      <c r="F101" s="13" t="s">
        <v>19</v>
      </c>
      <c r="G101" s="28">
        <v>5330</v>
      </c>
      <c r="H101" s="28"/>
      <c r="I101" s="13" t="s">
        <v>95</v>
      </c>
      <c r="J101" s="24" t="s">
        <v>21</v>
      </c>
      <c r="K101" s="24"/>
      <c r="L101" s="6" t="s">
        <v>22</v>
      </c>
      <c r="M101" s="25">
        <v>485932.46</v>
      </c>
      <c r="N101" s="25"/>
    </row>
    <row r="102" spans="1:14" ht="88.95" customHeight="1" outlineLevel="1" x14ac:dyDescent="0.2">
      <c r="A102" s="4" t="s">
        <v>91</v>
      </c>
      <c r="B102" s="22" t="s">
        <v>92</v>
      </c>
      <c r="C102" s="22"/>
      <c r="D102" s="5" t="s">
        <v>93</v>
      </c>
      <c r="E102" s="5" t="s">
        <v>150</v>
      </c>
      <c r="F102" s="13" t="s">
        <v>19</v>
      </c>
      <c r="G102" s="23">
        <v>246.3</v>
      </c>
      <c r="H102" s="23"/>
      <c r="I102" s="13" t="s">
        <v>95</v>
      </c>
      <c r="J102" s="24" t="s">
        <v>21</v>
      </c>
      <c r="K102" s="24"/>
      <c r="L102" s="6" t="s">
        <v>22</v>
      </c>
      <c r="M102" s="25">
        <v>486178.76</v>
      </c>
      <c r="N102" s="25"/>
    </row>
    <row r="103" spans="1:14" ht="88.95" customHeight="1" outlineLevel="1" x14ac:dyDescent="0.2">
      <c r="A103" s="4" t="s">
        <v>91</v>
      </c>
      <c r="B103" s="22" t="s">
        <v>92</v>
      </c>
      <c r="C103" s="22"/>
      <c r="D103" s="5" t="s">
        <v>93</v>
      </c>
      <c r="E103" s="5" t="s">
        <v>151</v>
      </c>
      <c r="F103" s="13" t="s">
        <v>19</v>
      </c>
      <c r="G103" s="28">
        <v>75666.67</v>
      </c>
      <c r="H103" s="28"/>
      <c r="I103" s="13" t="s">
        <v>95</v>
      </c>
      <c r="J103" s="24" t="s">
        <v>21</v>
      </c>
      <c r="K103" s="24"/>
      <c r="L103" s="6" t="s">
        <v>22</v>
      </c>
      <c r="M103" s="25">
        <v>561845.43000000005</v>
      </c>
      <c r="N103" s="25"/>
    </row>
    <row r="104" spans="1:14" ht="88.95" customHeight="1" outlineLevel="1" x14ac:dyDescent="0.2">
      <c r="A104" s="4" t="s">
        <v>91</v>
      </c>
      <c r="B104" s="22" t="s">
        <v>92</v>
      </c>
      <c r="C104" s="22"/>
      <c r="D104" s="5" t="s">
        <v>93</v>
      </c>
      <c r="E104" s="5" t="s">
        <v>152</v>
      </c>
      <c r="F104" s="13" t="s">
        <v>19</v>
      </c>
      <c r="G104" s="23">
        <v>126</v>
      </c>
      <c r="H104" s="23"/>
      <c r="I104" s="13" t="s">
        <v>95</v>
      </c>
      <c r="J104" s="24" t="s">
        <v>21</v>
      </c>
      <c r="K104" s="24"/>
      <c r="L104" s="6" t="s">
        <v>22</v>
      </c>
      <c r="M104" s="25">
        <v>561971.43000000005</v>
      </c>
      <c r="N104" s="25"/>
    </row>
    <row r="105" spans="1:14" ht="88.95" customHeight="1" outlineLevel="1" x14ac:dyDescent="0.2">
      <c r="A105" s="4" t="s">
        <v>91</v>
      </c>
      <c r="B105" s="22" t="s">
        <v>92</v>
      </c>
      <c r="C105" s="22"/>
      <c r="D105" s="5" t="s">
        <v>93</v>
      </c>
      <c r="E105" s="5" t="s">
        <v>153</v>
      </c>
      <c r="F105" s="13" t="s">
        <v>19</v>
      </c>
      <c r="G105" s="23">
        <v>124</v>
      </c>
      <c r="H105" s="23"/>
      <c r="I105" s="13" t="s">
        <v>95</v>
      </c>
      <c r="J105" s="24" t="s">
        <v>21</v>
      </c>
      <c r="K105" s="24"/>
      <c r="L105" s="6" t="s">
        <v>22</v>
      </c>
      <c r="M105" s="25">
        <v>562095.43000000005</v>
      </c>
      <c r="N105" s="25"/>
    </row>
    <row r="106" spans="1:14" ht="88.95" customHeight="1" outlineLevel="1" x14ac:dyDescent="0.2">
      <c r="A106" s="4" t="s">
        <v>91</v>
      </c>
      <c r="B106" s="22" t="s">
        <v>92</v>
      </c>
      <c r="C106" s="22"/>
      <c r="D106" s="5" t="s">
        <v>93</v>
      </c>
      <c r="E106" s="5" t="s">
        <v>154</v>
      </c>
      <c r="F106" s="13" t="s">
        <v>19</v>
      </c>
      <c r="G106" s="23">
        <v>131.19999999999999</v>
      </c>
      <c r="H106" s="23"/>
      <c r="I106" s="13" t="s">
        <v>95</v>
      </c>
      <c r="J106" s="24" t="s">
        <v>21</v>
      </c>
      <c r="K106" s="24"/>
      <c r="L106" s="6" t="s">
        <v>22</v>
      </c>
      <c r="M106" s="25">
        <v>562226.63</v>
      </c>
      <c r="N106" s="25"/>
    </row>
    <row r="107" spans="1:14" ht="88.95" customHeight="1" outlineLevel="1" x14ac:dyDescent="0.2">
      <c r="A107" s="4" t="s">
        <v>91</v>
      </c>
      <c r="B107" s="22" t="s">
        <v>92</v>
      </c>
      <c r="C107" s="22"/>
      <c r="D107" s="5" t="s">
        <v>93</v>
      </c>
      <c r="E107" s="5" t="s">
        <v>155</v>
      </c>
      <c r="F107" s="13" t="s">
        <v>19</v>
      </c>
      <c r="G107" s="23">
        <v>171.6</v>
      </c>
      <c r="H107" s="23"/>
      <c r="I107" s="13" t="s">
        <v>95</v>
      </c>
      <c r="J107" s="24" t="s">
        <v>21</v>
      </c>
      <c r="K107" s="24"/>
      <c r="L107" s="6" t="s">
        <v>22</v>
      </c>
      <c r="M107" s="25">
        <v>562398.23</v>
      </c>
      <c r="N107" s="25"/>
    </row>
    <row r="108" spans="1:14" ht="100.05" customHeight="1" outlineLevel="1" x14ac:dyDescent="0.2">
      <c r="A108" s="4" t="s">
        <v>91</v>
      </c>
      <c r="B108" s="22" t="s">
        <v>92</v>
      </c>
      <c r="C108" s="22"/>
      <c r="D108" s="5" t="s">
        <v>93</v>
      </c>
      <c r="E108" s="5" t="s">
        <v>156</v>
      </c>
      <c r="F108" s="13" t="s">
        <v>19</v>
      </c>
      <c r="G108" s="23">
        <v>144.80000000000001</v>
      </c>
      <c r="H108" s="23"/>
      <c r="I108" s="13" t="s">
        <v>95</v>
      </c>
      <c r="J108" s="24" t="s">
        <v>21</v>
      </c>
      <c r="K108" s="24"/>
      <c r="L108" s="6" t="s">
        <v>22</v>
      </c>
      <c r="M108" s="25">
        <v>562543.03</v>
      </c>
      <c r="N108" s="25"/>
    </row>
    <row r="109" spans="1:14" ht="88.95" customHeight="1" outlineLevel="1" x14ac:dyDescent="0.2">
      <c r="A109" s="4" t="s">
        <v>91</v>
      </c>
      <c r="B109" s="22" t="s">
        <v>92</v>
      </c>
      <c r="C109" s="22"/>
      <c r="D109" s="5" t="s">
        <v>93</v>
      </c>
      <c r="E109" s="5" t="s">
        <v>157</v>
      </c>
      <c r="F109" s="13" t="s">
        <v>19</v>
      </c>
      <c r="G109" s="23">
        <v>202.9</v>
      </c>
      <c r="H109" s="23"/>
      <c r="I109" s="13" t="s">
        <v>95</v>
      </c>
      <c r="J109" s="24" t="s">
        <v>21</v>
      </c>
      <c r="K109" s="24"/>
      <c r="L109" s="6" t="s">
        <v>22</v>
      </c>
      <c r="M109" s="25">
        <v>562745.93000000005</v>
      </c>
      <c r="N109" s="25"/>
    </row>
    <row r="110" spans="1:14" ht="100.05" customHeight="1" outlineLevel="1" x14ac:dyDescent="0.2">
      <c r="A110" s="4" t="s">
        <v>91</v>
      </c>
      <c r="B110" s="22" t="s">
        <v>92</v>
      </c>
      <c r="C110" s="22"/>
      <c r="D110" s="5" t="s">
        <v>93</v>
      </c>
      <c r="E110" s="5" t="s">
        <v>158</v>
      </c>
      <c r="F110" s="13" t="s">
        <v>19</v>
      </c>
      <c r="G110" s="28">
        <v>1645.2</v>
      </c>
      <c r="H110" s="28"/>
      <c r="I110" s="13" t="s">
        <v>95</v>
      </c>
      <c r="J110" s="24" t="s">
        <v>21</v>
      </c>
      <c r="K110" s="24"/>
      <c r="L110" s="6" t="s">
        <v>22</v>
      </c>
      <c r="M110" s="25">
        <v>564391.13</v>
      </c>
      <c r="N110" s="25"/>
    </row>
    <row r="111" spans="1:14" ht="88.95" customHeight="1" outlineLevel="1" x14ac:dyDescent="0.2">
      <c r="A111" s="4" t="s">
        <v>91</v>
      </c>
      <c r="B111" s="22" t="s">
        <v>92</v>
      </c>
      <c r="C111" s="22"/>
      <c r="D111" s="5" t="s">
        <v>93</v>
      </c>
      <c r="E111" s="5" t="s">
        <v>159</v>
      </c>
      <c r="F111" s="13" t="s">
        <v>19</v>
      </c>
      <c r="G111" s="28">
        <v>1051.8</v>
      </c>
      <c r="H111" s="28"/>
      <c r="I111" s="13" t="s">
        <v>95</v>
      </c>
      <c r="J111" s="24" t="s">
        <v>21</v>
      </c>
      <c r="K111" s="24"/>
      <c r="L111" s="6" t="s">
        <v>22</v>
      </c>
      <c r="M111" s="25">
        <v>565442.93000000005</v>
      </c>
      <c r="N111" s="25"/>
    </row>
    <row r="112" spans="1:14" ht="88.95" customHeight="1" outlineLevel="1" x14ac:dyDescent="0.2">
      <c r="A112" s="4" t="s">
        <v>91</v>
      </c>
      <c r="B112" s="22" t="s">
        <v>92</v>
      </c>
      <c r="C112" s="22"/>
      <c r="D112" s="5" t="s">
        <v>93</v>
      </c>
      <c r="E112" s="5" t="s">
        <v>160</v>
      </c>
      <c r="F112" s="13" t="s">
        <v>19</v>
      </c>
      <c r="G112" s="28">
        <v>1321.88</v>
      </c>
      <c r="H112" s="28"/>
      <c r="I112" s="13" t="s">
        <v>95</v>
      </c>
      <c r="J112" s="24" t="s">
        <v>21</v>
      </c>
      <c r="K112" s="24"/>
      <c r="L112" s="6" t="s">
        <v>22</v>
      </c>
      <c r="M112" s="25">
        <v>566764.81000000006</v>
      </c>
      <c r="N112" s="25"/>
    </row>
    <row r="113" spans="1:14" ht="88.95" customHeight="1" outlineLevel="1" x14ac:dyDescent="0.2">
      <c r="A113" s="4" t="s">
        <v>91</v>
      </c>
      <c r="B113" s="22" t="s">
        <v>92</v>
      </c>
      <c r="C113" s="22"/>
      <c r="D113" s="5" t="s">
        <v>93</v>
      </c>
      <c r="E113" s="5" t="s">
        <v>161</v>
      </c>
      <c r="F113" s="13" t="s">
        <v>19</v>
      </c>
      <c r="G113" s="28">
        <v>8670</v>
      </c>
      <c r="H113" s="28"/>
      <c r="I113" s="13" t="s">
        <v>95</v>
      </c>
      <c r="J113" s="24" t="s">
        <v>21</v>
      </c>
      <c r="K113" s="24"/>
      <c r="L113" s="6" t="s">
        <v>22</v>
      </c>
      <c r="M113" s="25">
        <v>575434.81000000006</v>
      </c>
      <c r="N113" s="25"/>
    </row>
    <row r="114" spans="1:14" ht="88.95" customHeight="1" outlineLevel="1" x14ac:dyDescent="0.2">
      <c r="A114" s="4" t="s">
        <v>91</v>
      </c>
      <c r="B114" s="22" t="s">
        <v>92</v>
      </c>
      <c r="C114" s="22"/>
      <c r="D114" s="5" t="s">
        <v>93</v>
      </c>
      <c r="E114" s="5" t="s">
        <v>162</v>
      </c>
      <c r="F114" s="13" t="s">
        <v>19</v>
      </c>
      <c r="G114" s="28">
        <v>4112.97</v>
      </c>
      <c r="H114" s="28"/>
      <c r="I114" s="13" t="s">
        <v>95</v>
      </c>
      <c r="J114" s="24" t="s">
        <v>21</v>
      </c>
      <c r="K114" s="24"/>
      <c r="L114" s="6" t="s">
        <v>22</v>
      </c>
      <c r="M114" s="25">
        <v>579547.78</v>
      </c>
      <c r="N114" s="25"/>
    </row>
    <row r="115" spans="1:14" ht="88.95" customHeight="1" outlineLevel="1" x14ac:dyDescent="0.2">
      <c r="A115" s="4" t="s">
        <v>91</v>
      </c>
      <c r="B115" s="22" t="s">
        <v>92</v>
      </c>
      <c r="C115" s="22"/>
      <c r="D115" s="5" t="s">
        <v>93</v>
      </c>
      <c r="E115" s="5" t="s">
        <v>163</v>
      </c>
      <c r="F115" s="13" t="s">
        <v>19</v>
      </c>
      <c r="G115" s="28">
        <v>16423.330000000002</v>
      </c>
      <c r="H115" s="28"/>
      <c r="I115" s="13" t="s">
        <v>95</v>
      </c>
      <c r="J115" s="24" t="s">
        <v>21</v>
      </c>
      <c r="K115" s="24"/>
      <c r="L115" s="6" t="s">
        <v>22</v>
      </c>
      <c r="M115" s="25">
        <v>595971.11</v>
      </c>
      <c r="N115" s="25"/>
    </row>
    <row r="116" spans="1:14" ht="88.95" customHeight="1" outlineLevel="1" x14ac:dyDescent="0.2">
      <c r="A116" s="4" t="s">
        <v>91</v>
      </c>
      <c r="B116" s="22" t="s">
        <v>92</v>
      </c>
      <c r="C116" s="22"/>
      <c r="D116" s="5" t="s">
        <v>93</v>
      </c>
      <c r="E116" s="5" t="s">
        <v>164</v>
      </c>
      <c r="F116" s="13" t="s">
        <v>19</v>
      </c>
      <c r="G116" s="28">
        <v>1911</v>
      </c>
      <c r="H116" s="28"/>
      <c r="I116" s="13" t="s">
        <v>95</v>
      </c>
      <c r="J116" s="24" t="s">
        <v>21</v>
      </c>
      <c r="K116" s="24"/>
      <c r="L116" s="6" t="s">
        <v>22</v>
      </c>
      <c r="M116" s="25">
        <v>597882.11</v>
      </c>
      <c r="N116" s="25"/>
    </row>
    <row r="117" spans="1:14" ht="88.95" customHeight="1" outlineLevel="1" x14ac:dyDescent="0.2">
      <c r="A117" s="4" t="s">
        <v>91</v>
      </c>
      <c r="B117" s="22" t="s">
        <v>92</v>
      </c>
      <c r="C117" s="22"/>
      <c r="D117" s="5" t="s">
        <v>93</v>
      </c>
      <c r="E117" s="5" t="s">
        <v>165</v>
      </c>
      <c r="F117" s="13" t="s">
        <v>19</v>
      </c>
      <c r="G117" s="28">
        <v>1575.1</v>
      </c>
      <c r="H117" s="28"/>
      <c r="I117" s="13" t="s">
        <v>95</v>
      </c>
      <c r="J117" s="24" t="s">
        <v>21</v>
      </c>
      <c r="K117" s="24"/>
      <c r="L117" s="6" t="s">
        <v>22</v>
      </c>
      <c r="M117" s="25">
        <v>599457.21</v>
      </c>
      <c r="N117" s="25"/>
    </row>
    <row r="118" spans="1:14" ht="88.95" customHeight="1" outlineLevel="1" x14ac:dyDescent="0.2">
      <c r="A118" s="4" t="s">
        <v>91</v>
      </c>
      <c r="B118" s="22" t="s">
        <v>92</v>
      </c>
      <c r="C118" s="22"/>
      <c r="D118" s="5" t="s">
        <v>93</v>
      </c>
      <c r="E118" s="5" t="s">
        <v>166</v>
      </c>
      <c r="F118" s="13" t="s">
        <v>19</v>
      </c>
      <c r="G118" s="28">
        <v>1050.1500000000001</v>
      </c>
      <c r="H118" s="28"/>
      <c r="I118" s="13" t="s">
        <v>95</v>
      </c>
      <c r="J118" s="24" t="s">
        <v>21</v>
      </c>
      <c r="K118" s="24"/>
      <c r="L118" s="6" t="s">
        <v>22</v>
      </c>
      <c r="M118" s="25">
        <v>600507.36</v>
      </c>
      <c r="N118" s="25"/>
    </row>
    <row r="119" spans="1:14" ht="100.05" customHeight="1" outlineLevel="1" x14ac:dyDescent="0.2">
      <c r="A119" s="4" t="s">
        <v>91</v>
      </c>
      <c r="B119" s="22" t="s">
        <v>92</v>
      </c>
      <c r="C119" s="22"/>
      <c r="D119" s="5" t="s">
        <v>93</v>
      </c>
      <c r="E119" s="5" t="s">
        <v>167</v>
      </c>
      <c r="F119" s="13" t="s">
        <v>19</v>
      </c>
      <c r="G119" s="23">
        <v>98.3</v>
      </c>
      <c r="H119" s="23"/>
      <c r="I119" s="13" t="s">
        <v>95</v>
      </c>
      <c r="J119" s="24" t="s">
        <v>21</v>
      </c>
      <c r="K119" s="24"/>
      <c r="L119" s="6" t="s">
        <v>22</v>
      </c>
      <c r="M119" s="25">
        <v>600605.66</v>
      </c>
      <c r="N119" s="25"/>
    </row>
    <row r="120" spans="1:14" ht="100.05" customHeight="1" outlineLevel="1" x14ac:dyDescent="0.2">
      <c r="A120" s="4" t="s">
        <v>91</v>
      </c>
      <c r="B120" s="22" t="s">
        <v>92</v>
      </c>
      <c r="C120" s="22"/>
      <c r="D120" s="5" t="s">
        <v>93</v>
      </c>
      <c r="E120" s="5" t="s">
        <v>168</v>
      </c>
      <c r="F120" s="13" t="s">
        <v>19</v>
      </c>
      <c r="G120" s="23">
        <v>688.07</v>
      </c>
      <c r="H120" s="23"/>
      <c r="I120" s="13" t="s">
        <v>95</v>
      </c>
      <c r="J120" s="24" t="s">
        <v>21</v>
      </c>
      <c r="K120" s="24"/>
      <c r="L120" s="6" t="s">
        <v>22</v>
      </c>
      <c r="M120" s="25">
        <v>601293.73</v>
      </c>
      <c r="N120" s="25"/>
    </row>
    <row r="121" spans="1:14" ht="88.95" customHeight="1" outlineLevel="1" x14ac:dyDescent="0.2">
      <c r="A121" s="4" t="s">
        <v>91</v>
      </c>
      <c r="B121" s="22" t="s">
        <v>92</v>
      </c>
      <c r="C121" s="22"/>
      <c r="D121" s="5" t="s">
        <v>93</v>
      </c>
      <c r="E121" s="5" t="s">
        <v>169</v>
      </c>
      <c r="F121" s="13" t="s">
        <v>19</v>
      </c>
      <c r="G121" s="28">
        <v>1068.55</v>
      </c>
      <c r="H121" s="28"/>
      <c r="I121" s="13" t="s">
        <v>95</v>
      </c>
      <c r="J121" s="24" t="s">
        <v>21</v>
      </c>
      <c r="K121" s="24"/>
      <c r="L121" s="6" t="s">
        <v>22</v>
      </c>
      <c r="M121" s="25">
        <v>602362.28</v>
      </c>
      <c r="N121" s="25"/>
    </row>
    <row r="122" spans="1:14" ht="88.95" customHeight="1" outlineLevel="1" x14ac:dyDescent="0.2">
      <c r="A122" s="4" t="s">
        <v>91</v>
      </c>
      <c r="B122" s="22" t="s">
        <v>92</v>
      </c>
      <c r="C122" s="22"/>
      <c r="D122" s="5" t="s">
        <v>93</v>
      </c>
      <c r="E122" s="5" t="s">
        <v>170</v>
      </c>
      <c r="F122" s="13" t="s">
        <v>19</v>
      </c>
      <c r="G122" s="28">
        <v>14030.83</v>
      </c>
      <c r="H122" s="28"/>
      <c r="I122" s="13" t="s">
        <v>95</v>
      </c>
      <c r="J122" s="24" t="s">
        <v>21</v>
      </c>
      <c r="K122" s="24"/>
      <c r="L122" s="6" t="s">
        <v>22</v>
      </c>
      <c r="M122" s="25">
        <v>616393.11</v>
      </c>
      <c r="N122" s="25"/>
    </row>
    <row r="123" spans="1:14" ht="88.95" customHeight="1" outlineLevel="1" x14ac:dyDescent="0.2">
      <c r="A123" s="4" t="s">
        <v>91</v>
      </c>
      <c r="B123" s="22" t="s">
        <v>92</v>
      </c>
      <c r="C123" s="22"/>
      <c r="D123" s="5" t="s">
        <v>93</v>
      </c>
      <c r="E123" s="5" t="s">
        <v>171</v>
      </c>
      <c r="F123" s="13" t="s">
        <v>19</v>
      </c>
      <c r="G123" s="23">
        <v>406.66</v>
      </c>
      <c r="H123" s="23"/>
      <c r="I123" s="13" t="s">
        <v>95</v>
      </c>
      <c r="J123" s="24" t="s">
        <v>21</v>
      </c>
      <c r="K123" s="24"/>
      <c r="L123" s="6" t="s">
        <v>22</v>
      </c>
      <c r="M123" s="25">
        <v>616799.77</v>
      </c>
      <c r="N123" s="25"/>
    </row>
    <row r="124" spans="1:14" ht="88.95" customHeight="1" outlineLevel="1" x14ac:dyDescent="0.2">
      <c r="A124" s="4" t="s">
        <v>91</v>
      </c>
      <c r="B124" s="22" t="s">
        <v>92</v>
      </c>
      <c r="C124" s="22"/>
      <c r="D124" s="5" t="s">
        <v>93</v>
      </c>
      <c r="E124" s="5" t="s">
        <v>172</v>
      </c>
      <c r="F124" s="13" t="s">
        <v>19</v>
      </c>
      <c r="G124" s="23">
        <v>674</v>
      </c>
      <c r="H124" s="23"/>
      <c r="I124" s="13" t="s">
        <v>95</v>
      </c>
      <c r="J124" s="24" t="s">
        <v>21</v>
      </c>
      <c r="K124" s="24"/>
      <c r="L124" s="6" t="s">
        <v>22</v>
      </c>
      <c r="M124" s="25">
        <v>617473.77</v>
      </c>
      <c r="N124" s="25"/>
    </row>
    <row r="125" spans="1:14" ht="88.95" customHeight="1" outlineLevel="1" x14ac:dyDescent="0.2">
      <c r="A125" s="4" t="s">
        <v>91</v>
      </c>
      <c r="B125" s="22" t="s">
        <v>92</v>
      </c>
      <c r="C125" s="22"/>
      <c r="D125" s="5" t="s">
        <v>93</v>
      </c>
      <c r="E125" s="5" t="s">
        <v>173</v>
      </c>
      <c r="F125" s="13" t="s">
        <v>19</v>
      </c>
      <c r="G125" s="23">
        <v>586.66</v>
      </c>
      <c r="H125" s="23"/>
      <c r="I125" s="13" t="s">
        <v>95</v>
      </c>
      <c r="J125" s="24" t="s">
        <v>21</v>
      </c>
      <c r="K125" s="24"/>
      <c r="L125" s="6" t="s">
        <v>22</v>
      </c>
      <c r="M125" s="25">
        <v>618060.43000000005</v>
      </c>
      <c r="N125" s="25"/>
    </row>
    <row r="126" spans="1:14" ht="88.95" customHeight="1" outlineLevel="1" x14ac:dyDescent="0.2">
      <c r="A126" s="4" t="s">
        <v>91</v>
      </c>
      <c r="B126" s="22" t="s">
        <v>92</v>
      </c>
      <c r="C126" s="22"/>
      <c r="D126" s="5" t="s">
        <v>93</v>
      </c>
      <c r="E126" s="5" t="s">
        <v>174</v>
      </c>
      <c r="F126" s="13" t="s">
        <v>19</v>
      </c>
      <c r="G126" s="28">
        <v>2402.5</v>
      </c>
      <c r="H126" s="28"/>
      <c r="I126" s="13" t="s">
        <v>95</v>
      </c>
      <c r="J126" s="24" t="s">
        <v>21</v>
      </c>
      <c r="K126" s="24"/>
      <c r="L126" s="6" t="s">
        <v>22</v>
      </c>
      <c r="M126" s="25">
        <v>620462.93000000005</v>
      </c>
      <c r="N126" s="25"/>
    </row>
    <row r="127" spans="1:14" ht="88.95" customHeight="1" outlineLevel="1" x14ac:dyDescent="0.2">
      <c r="A127" s="4" t="s">
        <v>91</v>
      </c>
      <c r="B127" s="22" t="s">
        <v>92</v>
      </c>
      <c r="C127" s="22"/>
      <c r="D127" s="5" t="s">
        <v>93</v>
      </c>
      <c r="E127" s="5" t="s">
        <v>175</v>
      </c>
      <c r="F127" s="13" t="s">
        <v>19</v>
      </c>
      <c r="G127" s="23">
        <v>195.86</v>
      </c>
      <c r="H127" s="23"/>
      <c r="I127" s="13" t="s">
        <v>95</v>
      </c>
      <c r="J127" s="24" t="s">
        <v>21</v>
      </c>
      <c r="K127" s="24"/>
      <c r="L127" s="6" t="s">
        <v>22</v>
      </c>
      <c r="M127" s="25">
        <v>620658.79</v>
      </c>
      <c r="N127" s="25"/>
    </row>
    <row r="128" spans="1:14" ht="88.95" customHeight="1" outlineLevel="1" x14ac:dyDescent="0.2">
      <c r="A128" s="4" t="s">
        <v>91</v>
      </c>
      <c r="B128" s="22" t="s">
        <v>92</v>
      </c>
      <c r="C128" s="22"/>
      <c r="D128" s="5" t="s">
        <v>93</v>
      </c>
      <c r="E128" s="5" t="s">
        <v>176</v>
      </c>
      <c r="F128" s="13" t="s">
        <v>19</v>
      </c>
      <c r="G128" s="23">
        <v>42.48</v>
      </c>
      <c r="H128" s="23"/>
      <c r="I128" s="13" t="s">
        <v>95</v>
      </c>
      <c r="J128" s="24" t="s">
        <v>21</v>
      </c>
      <c r="K128" s="24"/>
      <c r="L128" s="6" t="s">
        <v>22</v>
      </c>
      <c r="M128" s="25">
        <v>620701.27</v>
      </c>
      <c r="N128" s="25"/>
    </row>
    <row r="129" spans="1:14" ht="88.95" customHeight="1" outlineLevel="1" x14ac:dyDescent="0.2">
      <c r="A129" s="4" t="s">
        <v>91</v>
      </c>
      <c r="B129" s="22" t="s">
        <v>92</v>
      </c>
      <c r="C129" s="22"/>
      <c r="D129" s="5" t="s">
        <v>93</v>
      </c>
      <c r="E129" s="5" t="s">
        <v>177</v>
      </c>
      <c r="F129" s="13" t="s">
        <v>19</v>
      </c>
      <c r="G129" s="23">
        <v>45</v>
      </c>
      <c r="H129" s="23"/>
      <c r="I129" s="13" t="s">
        <v>95</v>
      </c>
      <c r="J129" s="24" t="s">
        <v>21</v>
      </c>
      <c r="K129" s="24"/>
      <c r="L129" s="6" t="s">
        <v>22</v>
      </c>
      <c r="M129" s="25">
        <v>620746.27</v>
      </c>
      <c r="N129" s="25"/>
    </row>
    <row r="130" spans="1:14" ht="88.95" customHeight="1" outlineLevel="1" x14ac:dyDescent="0.2">
      <c r="A130" s="4" t="s">
        <v>91</v>
      </c>
      <c r="B130" s="22" t="s">
        <v>92</v>
      </c>
      <c r="C130" s="22"/>
      <c r="D130" s="5" t="s">
        <v>93</v>
      </c>
      <c r="E130" s="5" t="s">
        <v>178</v>
      </c>
      <c r="F130" s="13" t="s">
        <v>19</v>
      </c>
      <c r="G130" s="28">
        <v>20707.5</v>
      </c>
      <c r="H130" s="28"/>
      <c r="I130" s="13" t="s">
        <v>95</v>
      </c>
      <c r="J130" s="24" t="s">
        <v>21</v>
      </c>
      <c r="K130" s="24"/>
      <c r="L130" s="6" t="s">
        <v>22</v>
      </c>
      <c r="M130" s="25">
        <v>641453.77</v>
      </c>
      <c r="N130" s="25"/>
    </row>
    <row r="131" spans="1:14" ht="88.95" customHeight="1" outlineLevel="1" x14ac:dyDescent="0.2">
      <c r="A131" s="4" t="s">
        <v>91</v>
      </c>
      <c r="B131" s="22" t="s">
        <v>92</v>
      </c>
      <c r="C131" s="22"/>
      <c r="D131" s="5" t="s">
        <v>93</v>
      </c>
      <c r="E131" s="5" t="s">
        <v>179</v>
      </c>
      <c r="F131" s="13" t="s">
        <v>19</v>
      </c>
      <c r="G131" s="28">
        <v>2759.83</v>
      </c>
      <c r="H131" s="28"/>
      <c r="I131" s="13" t="s">
        <v>95</v>
      </c>
      <c r="J131" s="24" t="s">
        <v>21</v>
      </c>
      <c r="K131" s="24"/>
      <c r="L131" s="6" t="s">
        <v>22</v>
      </c>
      <c r="M131" s="25">
        <v>644213.6</v>
      </c>
      <c r="N131" s="25"/>
    </row>
    <row r="132" spans="1:14" ht="100.05" customHeight="1" outlineLevel="1" x14ac:dyDescent="0.2">
      <c r="A132" s="4" t="s">
        <v>91</v>
      </c>
      <c r="B132" s="22" t="s">
        <v>92</v>
      </c>
      <c r="C132" s="22"/>
      <c r="D132" s="5" t="s">
        <v>93</v>
      </c>
      <c r="E132" s="5" t="s">
        <v>180</v>
      </c>
      <c r="F132" s="13" t="s">
        <v>19</v>
      </c>
      <c r="G132" s="28">
        <v>4634.1000000000004</v>
      </c>
      <c r="H132" s="28"/>
      <c r="I132" s="13" t="s">
        <v>95</v>
      </c>
      <c r="J132" s="24" t="s">
        <v>21</v>
      </c>
      <c r="K132" s="24"/>
      <c r="L132" s="6" t="s">
        <v>22</v>
      </c>
      <c r="M132" s="25">
        <v>648847.69999999995</v>
      </c>
      <c r="N132" s="25"/>
    </row>
    <row r="133" spans="1:14" ht="100.05" customHeight="1" outlineLevel="1" x14ac:dyDescent="0.2">
      <c r="A133" s="4" t="s">
        <v>91</v>
      </c>
      <c r="B133" s="22" t="s">
        <v>92</v>
      </c>
      <c r="C133" s="22"/>
      <c r="D133" s="5" t="s">
        <v>93</v>
      </c>
      <c r="E133" s="5" t="s">
        <v>181</v>
      </c>
      <c r="F133" s="13" t="s">
        <v>19</v>
      </c>
      <c r="G133" s="28">
        <v>3824.3</v>
      </c>
      <c r="H133" s="28"/>
      <c r="I133" s="13" t="s">
        <v>95</v>
      </c>
      <c r="J133" s="24" t="s">
        <v>21</v>
      </c>
      <c r="K133" s="24"/>
      <c r="L133" s="6" t="s">
        <v>22</v>
      </c>
      <c r="M133" s="25">
        <v>652672</v>
      </c>
      <c r="N133" s="25"/>
    </row>
    <row r="134" spans="1:14" ht="88.95" customHeight="1" outlineLevel="1" x14ac:dyDescent="0.2">
      <c r="A134" s="4" t="s">
        <v>91</v>
      </c>
      <c r="B134" s="22" t="s">
        <v>92</v>
      </c>
      <c r="C134" s="22"/>
      <c r="D134" s="5" t="s">
        <v>93</v>
      </c>
      <c r="E134" s="5" t="s">
        <v>182</v>
      </c>
      <c r="F134" s="13" t="s">
        <v>19</v>
      </c>
      <c r="G134" s="23">
        <v>842.37</v>
      </c>
      <c r="H134" s="23"/>
      <c r="I134" s="13" t="s">
        <v>95</v>
      </c>
      <c r="J134" s="24" t="s">
        <v>21</v>
      </c>
      <c r="K134" s="24"/>
      <c r="L134" s="6" t="s">
        <v>22</v>
      </c>
      <c r="M134" s="25">
        <v>653514.37</v>
      </c>
      <c r="N134" s="25"/>
    </row>
    <row r="135" spans="1:14" ht="88.95" customHeight="1" outlineLevel="1" x14ac:dyDescent="0.2">
      <c r="A135" s="4" t="s">
        <v>91</v>
      </c>
      <c r="B135" s="22" t="s">
        <v>92</v>
      </c>
      <c r="C135" s="22"/>
      <c r="D135" s="5" t="s">
        <v>93</v>
      </c>
      <c r="E135" s="5" t="s">
        <v>183</v>
      </c>
      <c r="F135" s="13" t="s">
        <v>19</v>
      </c>
      <c r="G135" s="28">
        <v>7833</v>
      </c>
      <c r="H135" s="28"/>
      <c r="I135" s="13" t="s">
        <v>95</v>
      </c>
      <c r="J135" s="24" t="s">
        <v>21</v>
      </c>
      <c r="K135" s="24"/>
      <c r="L135" s="6" t="s">
        <v>22</v>
      </c>
      <c r="M135" s="25">
        <v>661347.37</v>
      </c>
      <c r="N135" s="25"/>
    </row>
    <row r="136" spans="1:14" ht="88.95" customHeight="1" outlineLevel="1" x14ac:dyDescent="0.2">
      <c r="A136" s="4" t="s">
        <v>91</v>
      </c>
      <c r="B136" s="22" t="s">
        <v>92</v>
      </c>
      <c r="C136" s="22"/>
      <c r="D136" s="5" t="s">
        <v>93</v>
      </c>
      <c r="E136" s="5" t="s">
        <v>184</v>
      </c>
      <c r="F136" s="13" t="s">
        <v>19</v>
      </c>
      <c r="G136" s="23">
        <v>54</v>
      </c>
      <c r="H136" s="23"/>
      <c r="I136" s="13" t="s">
        <v>95</v>
      </c>
      <c r="J136" s="24" t="s">
        <v>21</v>
      </c>
      <c r="K136" s="24"/>
      <c r="L136" s="6" t="s">
        <v>22</v>
      </c>
      <c r="M136" s="25">
        <v>661401.37</v>
      </c>
      <c r="N136" s="25"/>
    </row>
    <row r="137" spans="1:14" ht="88.95" customHeight="1" outlineLevel="1" x14ac:dyDescent="0.2">
      <c r="A137" s="4" t="s">
        <v>91</v>
      </c>
      <c r="B137" s="22" t="s">
        <v>92</v>
      </c>
      <c r="C137" s="22"/>
      <c r="D137" s="5" t="s">
        <v>93</v>
      </c>
      <c r="E137" s="5" t="s">
        <v>185</v>
      </c>
      <c r="F137" s="13" t="s">
        <v>19</v>
      </c>
      <c r="G137" s="28">
        <v>1665.6</v>
      </c>
      <c r="H137" s="28"/>
      <c r="I137" s="13" t="s">
        <v>95</v>
      </c>
      <c r="J137" s="24" t="s">
        <v>21</v>
      </c>
      <c r="K137" s="24"/>
      <c r="L137" s="6" t="s">
        <v>22</v>
      </c>
      <c r="M137" s="25">
        <v>663066.97</v>
      </c>
      <c r="N137" s="25"/>
    </row>
    <row r="138" spans="1:14" ht="88.95" customHeight="1" outlineLevel="1" x14ac:dyDescent="0.2">
      <c r="A138" s="4" t="s">
        <v>91</v>
      </c>
      <c r="B138" s="22" t="s">
        <v>92</v>
      </c>
      <c r="C138" s="22"/>
      <c r="D138" s="5" t="s">
        <v>93</v>
      </c>
      <c r="E138" s="5" t="s">
        <v>186</v>
      </c>
      <c r="F138" s="13" t="s">
        <v>19</v>
      </c>
      <c r="G138" s="23">
        <v>912</v>
      </c>
      <c r="H138" s="23"/>
      <c r="I138" s="13" t="s">
        <v>95</v>
      </c>
      <c r="J138" s="24" t="s">
        <v>21</v>
      </c>
      <c r="K138" s="24"/>
      <c r="L138" s="6" t="s">
        <v>22</v>
      </c>
      <c r="M138" s="25">
        <v>663978.97</v>
      </c>
      <c r="N138" s="25"/>
    </row>
    <row r="139" spans="1:14" ht="88.95" customHeight="1" outlineLevel="1" x14ac:dyDescent="0.2">
      <c r="A139" s="4" t="s">
        <v>91</v>
      </c>
      <c r="B139" s="22" t="s">
        <v>92</v>
      </c>
      <c r="C139" s="22"/>
      <c r="D139" s="5" t="s">
        <v>93</v>
      </c>
      <c r="E139" s="5" t="s">
        <v>187</v>
      </c>
      <c r="F139" s="13" t="s">
        <v>19</v>
      </c>
      <c r="G139" s="23">
        <v>159.75</v>
      </c>
      <c r="H139" s="23"/>
      <c r="I139" s="13" t="s">
        <v>95</v>
      </c>
      <c r="J139" s="24" t="s">
        <v>21</v>
      </c>
      <c r="K139" s="24"/>
      <c r="L139" s="6" t="s">
        <v>22</v>
      </c>
      <c r="M139" s="25">
        <v>664138.72</v>
      </c>
      <c r="N139" s="25"/>
    </row>
    <row r="140" spans="1:14" ht="100.05" customHeight="1" outlineLevel="1" x14ac:dyDescent="0.2">
      <c r="A140" s="4" t="s">
        <v>91</v>
      </c>
      <c r="B140" s="22" t="s">
        <v>92</v>
      </c>
      <c r="C140" s="22"/>
      <c r="D140" s="5" t="s">
        <v>93</v>
      </c>
      <c r="E140" s="5" t="s">
        <v>188</v>
      </c>
      <c r="F140" s="13" t="s">
        <v>19</v>
      </c>
      <c r="G140" s="23">
        <v>301.2</v>
      </c>
      <c r="H140" s="23"/>
      <c r="I140" s="13" t="s">
        <v>95</v>
      </c>
      <c r="J140" s="24" t="s">
        <v>21</v>
      </c>
      <c r="K140" s="24"/>
      <c r="L140" s="6" t="s">
        <v>22</v>
      </c>
      <c r="M140" s="25">
        <v>664439.92000000004</v>
      </c>
      <c r="N140" s="25"/>
    </row>
    <row r="141" spans="1:14" ht="100.05" customHeight="1" outlineLevel="1" x14ac:dyDescent="0.2">
      <c r="A141" s="4" t="s">
        <v>91</v>
      </c>
      <c r="B141" s="22" t="s">
        <v>92</v>
      </c>
      <c r="C141" s="22"/>
      <c r="D141" s="5" t="s">
        <v>93</v>
      </c>
      <c r="E141" s="5" t="s">
        <v>189</v>
      </c>
      <c r="F141" s="13" t="s">
        <v>19</v>
      </c>
      <c r="G141" s="23">
        <v>247.8</v>
      </c>
      <c r="H141" s="23"/>
      <c r="I141" s="13" t="s">
        <v>95</v>
      </c>
      <c r="J141" s="24" t="s">
        <v>21</v>
      </c>
      <c r="K141" s="24"/>
      <c r="L141" s="6" t="s">
        <v>22</v>
      </c>
      <c r="M141" s="25">
        <v>664687.72</v>
      </c>
      <c r="N141" s="25"/>
    </row>
    <row r="142" spans="1:14" ht="100.05" customHeight="1" outlineLevel="1" x14ac:dyDescent="0.2">
      <c r="A142" s="4" t="s">
        <v>91</v>
      </c>
      <c r="B142" s="22" t="s">
        <v>92</v>
      </c>
      <c r="C142" s="22"/>
      <c r="D142" s="5" t="s">
        <v>93</v>
      </c>
      <c r="E142" s="5" t="s">
        <v>190</v>
      </c>
      <c r="F142" s="13" t="s">
        <v>19</v>
      </c>
      <c r="G142" s="23">
        <v>409.2</v>
      </c>
      <c r="H142" s="23"/>
      <c r="I142" s="13" t="s">
        <v>95</v>
      </c>
      <c r="J142" s="24" t="s">
        <v>21</v>
      </c>
      <c r="K142" s="24"/>
      <c r="L142" s="6" t="s">
        <v>22</v>
      </c>
      <c r="M142" s="25">
        <v>665096.92000000004</v>
      </c>
      <c r="N142" s="25"/>
    </row>
    <row r="143" spans="1:14" ht="88.95" customHeight="1" outlineLevel="1" x14ac:dyDescent="0.2">
      <c r="A143" s="4" t="s">
        <v>91</v>
      </c>
      <c r="B143" s="22" t="s">
        <v>92</v>
      </c>
      <c r="C143" s="22"/>
      <c r="D143" s="5" t="s">
        <v>93</v>
      </c>
      <c r="E143" s="5" t="s">
        <v>191</v>
      </c>
      <c r="F143" s="13" t="s">
        <v>19</v>
      </c>
      <c r="G143" s="23">
        <v>206.41</v>
      </c>
      <c r="H143" s="23"/>
      <c r="I143" s="13" t="s">
        <v>95</v>
      </c>
      <c r="J143" s="24" t="s">
        <v>21</v>
      </c>
      <c r="K143" s="24"/>
      <c r="L143" s="6" t="s">
        <v>22</v>
      </c>
      <c r="M143" s="25">
        <v>665303.32999999996</v>
      </c>
      <c r="N143" s="25"/>
    </row>
    <row r="144" spans="1:14" ht="88.95" customHeight="1" outlineLevel="1" x14ac:dyDescent="0.2">
      <c r="A144" s="4" t="s">
        <v>91</v>
      </c>
      <c r="B144" s="22" t="s">
        <v>92</v>
      </c>
      <c r="C144" s="22"/>
      <c r="D144" s="5" t="s">
        <v>93</v>
      </c>
      <c r="E144" s="5" t="s">
        <v>192</v>
      </c>
      <c r="F144" s="13" t="s">
        <v>19</v>
      </c>
      <c r="G144" s="23">
        <v>22.9</v>
      </c>
      <c r="H144" s="23"/>
      <c r="I144" s="13" t="s">
        <v>95</v>
      </c>
      <c r="J144" s="24" t="s">
        <v>21</v>
      </c>
      <c r="K144" s="24"/>
      <c r="L144" s="6" t="s">
        <v>22</v>
      </c>
      <c r="M144" s="25">
        <v>665326.23</v>
      </c>
      <c r="N144" s="25"/>
    </row>
    <row r="145" spans="1:14" ht="88.95" customHeight="1" outlineLevel="1" x14ac:dyDescent="0.2">
      <c r="A145" s="4" t="s">
        <v>91</v>
      </c>
      <c r="B145" s="22" t="s">
        <v>92</v>
      </c>
      <c r="C145" s="22"/>
      <c r="D145" s="5" t="s">
        <v>93</v>
      </c>
      <c r="E145" s="5" t="s">
        <v>193</v>
      </c>
      <c r="F145" s="13" t="s">
        <v>19</v>
      </c>
      <c r="G145" s="23">
        <v>869.4</v>
      </c>
      <c r="H145" s="23"/>
      <c r="I145" s="13" t="s">
        <v>95</v>
      </c>
      <c r="J145" s="24" t="s">
        <v>21</v>
      </c>
      <c r="K145" s="24"/>
      <c r="L145" s="6" t="s">
        <v>22</v>
      </c>
      <c r="M145" s="25">
        <v>666195.63</v>
      </c>
      <c r="N145" s="25"/>
    </row>
    <row r="146" spans="1:14" ht="88.95" customHeight="1" outlineLevel="1" x14ac:dyDescent="0.2">
      <c r="A146" s="4" t="s">
        <v>91</v>
      </c>
      <c r="B146" s="22" t="s">
        <v>92</v>
      </c>
      <c r="C146" s="22"/>
      <c r="D146" s="5" t="s">
        <v>93</v>
      </c>
      <c r="E146" s="5" t="s">
        <v>194</v>
      </c>
      <c r="F146" s="13" t="s">
        <v>19</v>
      </c>
      <c r="G146" s="23">
        <v>595.19000000000005</v>
      </c>
      <c r="H146" s="23"/>
      <c r="I146" s="13" t="s">
        <v>95</v>
      </c>
      <c r="J146" s="24" t="s">
        <v>21</v>
      </c>
      <c r="K146" s="24"/>
      <c r="L146" s="6" t="s">
        <v>22</v>
      </c>
      <c r="M146" s="25">
        <v>666790.81999999995</v>
      </c>
      <c r="N146" s="25"/>
    </row>
    <row r="147" spans="1:14" ht="88.95" customHeight="1" outlineLevel="1" x14ac:dyDescent="0.2">
      <c r="A147" s="4" t="s">
        <v>91</v>
      </c>
      <c r="B147" s="22" t="s">
        <v>92</v>
      </c>
      <c r="C147" s="22"/>
      <c r="D147" s="5" t="s">
        <v>93</v>
      </c>
      <c r="E147" s="5" t="s">
        <v>195</v>
      </c>
      <c r="F147" s="13" t="s">
        <v>19</v>
      </c>
      <c r="G147" s="23">
        <v>317</v>
      </c>
      <c r="H147" s="23"/>
      <c r="I147" s="13" t="s">
        <v>95</v>
      </c>
      <c r="J147" s="24" t="s">
        <v>21</v>
      </c>
      <c r="K147" s="24"/>
      <c r="L147" s="6" t="s">
        <v>22</v>
      </c>
      <c r="M147" s="25">
        <v>667107.81999999995</v>
      </c>
      <c r="N147" s="25"/>
    </row>
    <row r="148" spans="1:14" ht="88.95" customHeight="1" outlineLevel="1" x14ac:dyDescent="0.2">
      <c r="A148" s="4" t="s">
        <v>91</v>
      </c>
      <c r="B148" s="22" t="s">
        <v>92</v>
      </c>
      <c r="C148" s="22"/>
      <c r="D148" s="5" t="s">
        <v>93</v>
      </c>
      <c r="E148" s="5" t="s">
        <v>196</v>
      </c>
      <c r="F148" s="13" t="s">
        <v>19</v>
      </c>
      <c r="G148" s="28">
        <v>2106</v>
      </c>
      <c r="H148" s="28"/>
      <c r="I148" s="13" t="s">
        <v>95</v>
      </c>
      <c r="J148" s="24" t="s">
        <v>21</v>
      </c>
      <c r="K148" s="24"/>
      <c r="L148" s="6" t="s">
        <v>22</v>
      </c>
      <c r="M148" s="25">
        <v>669213.81999999995</v>
      </c>
      <c r="N148" s="25"/>
    </row>
    <row r="149" spans="1:14" ht="88.95" customHeight="1" outlineLevel="1" x14ac:dyDescent="0.2">
      <c r="A149" s="4" t="s">
        <v>91</v>
      </c>
      <c r="B149" s="22" t="s">
        <v>92</v>
      </c>
      <c r="C149" s="22"/>
      <c r="D149" s="5" t="s">
        <v>93</v>
      </c>
      <c r="E149" s="5" t="s">
        <v>197</v>
      </c>
      <c r="F149" s="13" t="s">
        <v>19</v>
      </c>
      <c r="G149" s="23">
        <v>182.5</v>
      </c>
      <c r="H149" s="23"/>
      <c r="I149" s="13" t="s">
        <v>95</v>
      </c>
      <c r="J149" s="24" t="s">
        <v>21</v>
      </c>
      <c r="K149" s="24"/>
      <c r="L149" s="6" t="s">
        <v>22</v>
      </c>
      <c r="M149" s="25">
        <v>669396.31999999995</v>
      </c>
      <c r="N149" s="25"/>
    </row>
    <row r="150" spans="1:14" ht="100.05" customHeight="1" outlineLevel="1" x14ac:dyDescent="0.2">
      <c r="A150" s="4" t="s">
        <v>91</v>
      </c>
      <c r="B150" s="22" t="s">
        <v>92</v>
      </c>
      <c r="C150" s="22"/>
      <c r="D150" s="5" t="s">
        <v>93</v>
      </c>
      <c r="E150" s="5" t="s">
        <v>198</v>
      </c>
      <c r="F150" s="13" t="s">
        <v>19</v>
      </c>
      <c r="G150" s="23">
        <v>96.2</v>
      </c>
      <c r="H150" s="23"/>
      <c r="I150" s="13" t="s">
        <v>95</v>
      </c>
      <c r="J150" s="24" t="s">
        <v>21</v>
      </c>
      <c r="K150" s="24"/>
      <c r="L150" s="6" t="s">
        <v>22</v>
      </c>
      <c r="M150" s="25">
        <v>669492.52</v>
      </c>
      <c r="N150" s="25"/>
    </row>
    <row r="151" spans="1:14" ht="88.95" customHeight="1" outlineLevel="1" x14ac:dyDescent="0.2">
      <c r="A151" s="4" t="s">
        <v>91</v>
      </c>
      <c r="B151" s="22" t="s">
        <v>92</v>
      </c>
      <c r="C151" s="22"/>
      <c r="D151" s="5" t="s">
        <v>93</v>
      </c>
      <c r="E151" s="5" t="s">
        <v>199</v>
      </c>
      <c r="F151" s="13" t="s">
        <v>19</v>
      </c>
      <c r="G151" s="28">
        <v>2330.8000000000002</v>
      </c>
      <c r="H151" s="28"/>
      <c r="I151" s="13" t="s">
        <v>95</v>
      </c>
      <c r="J151" s="24" t="s">
        <v>21</v>
      </c>
      <c r="K151" s="24"/>
      <c r="L151" s="6" t="s">
        <v>22</v>
      </c>
      <c r="M151" s="25">
        <v>671823.32</v>
      </c>
      <c r="N151" s="25"/>
    </row>
    <row r="152" spans="1:14" ht="100.05" customHeight="1" outlineLevel="1" x14ac:dyDescent="0.2">
      <c r="A152" s="4" t="s">
        <v>91</v>
      </c>
      <c r="B152" s="22" t="s">
        <v>92</v>
      </c>
      <c r="C152" s="22"/>
      <c r="D152" s="5" t="s">
        <v>93</v>
      </c>
      <c r="E152" s="5" t="s">
        <v>200</v>
      </c>
      <c r="F152" s="13" t="s">
        <v>19</v>
      </c>
      <c r="G152" s="23">
        <v>522.82000000000005</v>
      </c>
      <c r="H152" s="23"/>
      <c r="I152" s="13" t="s">
        <v>95</v>
      </c>
      <c r="J152" s="24" t="s">
        <v>21</v>
      </c>
      <c r="K152" s="24"/>
      <c r="L152" s="6" t="s">
        <v>22</v>
      </c>
      <c r="M152" s="25">
        <v>672346.14</v>
      </c>
      <c r="N152" s="25"/>
    </row>
    <row r="153" spans="1:14" ht="88.95" customHeight="1" outlineLevel="1" x14ac:dyDescent="0.2">
      <c r="A153" s="4" t="s">
        <v>91</v>
      </c>
      <c r="B153" s="22" t="s">
        <v>92</v>
      </c>
      <c r="C153" s="22"/>
      <c r="D153" s="5" t="s">
        <v>93</v>
      </c>
      <c r="E153" s="5" t="s">
        <v>201</v>
      </c>
      <c r="F153" s="13" t="s">
        <v>19</v>
      </c>
      <c r="G153" s="23">
        <v>515.62</v>
      </c>
      <c r="H153" s="23"/>
      <c r="I153" s="13" t="s">
        <v>95</v>
      </c>
      <c r="J153" s="24" t="s">
        <v>21</v>
      </c>
      <c r="K153" s="24"/>
      <c r="L153" s="6" t="s">
        <v>22</v>
      </c>
      <c r="M153" s="25">
        <v>672861.76</v>
      </c>
      <c r="N153" s="25"/>
    </row>
    <row r="154" spans="1:14" ht="88.95" customHeight="1" outlineLevel="1" x14ac:dyDescent="0.2">
      <c r="A154" s="4" t="s">
        <v>91</v>
      </c>
      <c r="B154" s="22" t="s">
        <v>92</v>
      </c>
      <c r="C154" s="22"/>
      <c r="D154" s="5" t="s">
        <v>93</v>
      </c>
      <c r="E154" s="5" t="s">
        <v>202</v>
      </c>
      <c r="F154" s="13" t="s">
        <v>19</v>
      </c>
      <c r="G154" s="23">
        <v>852.21</v>
      </c>
      <c r="H154" s="23"/>
      <c r="I154" s="13" t="s">
        <v>95</v>
      </c>
      <c r="J154" s="24" t="s">
        <v>21</v>
      </c>
      <c r="K154" s="24"/>
      <c r="L154" s="6" t="s">
        <v>22</v>
      </c>
      <c r="M154" s="25">
        <v>673713.97</v>
      </c>
      <c r="N154" s="25"/>
    </row>
    <row r="155" spans="1:14" ht="88.95" customHeight="1" outlineLevel="1" x14ac:dyDescent="0.2">
      <c r="A155" s="4" t="s">
        <v>91</v>
      </c>
      <c r="B155" s="22" t="s">
        <v>92</v>
      </c>
      <c r="C155" s="22"/>
      <c r="D155" s="5" t="s">
        <v>93</v>
      </c>
      <c r="E155" s="5" t="s">
        <v>203</v>
      </c>
      <c r="F155" s="13" t="s">
        <v>19</v>
      </c>
      <c r="G155" s="23">
        <v>357.03</v>
      </c>
      <c r="H155" s="23"/>
      <c r="I155" s="13" t="s">
        <v>95</v>
      </c>
      <c r="J155" s="24" t="s">
        <v>21</v>
      </c>
      <c r="K155" s="24"/>
      <c r="L155" s="6" t="s">
        <v>22</v>
      </c>
      <c r="M155" s="25">
        <v>674071</v>
      </c>
      <c r="N155" s="25"/>
    </row>
    <row r="156" spans="1:14" ht="88.95" customHeight="1" outlineLevel="1" x14ac:dyDescent="0.2">
      <c r="A156" s="4" t="s">
        <v>91</v>
      </c>
      <c r="B156" s="22" t="s">
        <v>92</v>
      </c>
      <c r="C156" s="22"/>
      <c r="D156" s="5" t="s">
        <v>93</v>
      </c>
      <c r="E156" s="5" t="s">
        <v>204</v>
      </c>
      <c r="F156" s="13" t="s">
        <v>19</v>
      </c>
      <c r="G156" s="28">
        <v>7122.77</v>
      </c>
      <c r="H156" s="28"/>
      <c r="I156" s="13" t="s">
        <v>95</v>
      </c>
      <c r="J156" s="24" t="s">
        <v>21</v>
      </c>
      <c r="K156" s="24"/>
      <c r="L156" s="6" t="s">
        <v>22</v>
      </c>
      <c r="M156" s="25">
        <v>681193.77</v>
      </c>
      <c r="N156" s="25"/>
    </row>
    <row r="157" spans="1:14" ht="88.95" customHeight="1" outlineLevel="1" x14ac:dyDescent="0.2">
      <c r="A157" s="4" t="s">
        <v>91</v>
      </c>
      <c r="B157" s="22" t="s">
        <v>92</v>
      </c>
      <c r="C157" s="22"/>
      <c r="D157" s="5" t="s">
        <v>93</v>
      </c>
      <c r="E157" s="5" t="s">
        <v>205</v>
      </c>
      <c r="F157" s="13" t="s">
        <v>19</v>
      </c>
      <c r="G157" s="23">
        <v>195.6</v>
      </c>
      <c r="H157" s="23"/>
      <c r="I157" s="13" t="s">
        <v>95</v>
      </c>
      <c r="J157" s="24" t="s">
        <v>21</v>
      </c>
      <c r="K157" s="24"/>
      <c r="L157" s="6" t="s">
        <v>22</v>
      </c>
      <c r="M157" s="25">
        <v>681389.37</v>
      </c>
      <c r="N157" s="25"/>
    </row>
    <row r="158" spans="1:14" ht="88.95" customHeight="1" outlineLevel="1" x14ac:dyDescent="0.2">
      <c r="A158" s="4" t="s">
        <v>91</v>
      </c>
      <c r="B158" s="22" t="s">
        <v>92</v>
      </c>
      <c r="C158" s="22"/>
      <c r="D158" s="5" t="s">
        <v>93</v>
      </c>
      <c r="E158" s="5" t="s">
        <v>206</v>
      </c>
      <c r="F158" s="13" t="s">
        <v>19</v>
      </c>
      <c r="G158" s="28">
        <v>32736</v>
      </c>
      <c r="H158" s="28"/>
      <c r="I158" s="13" t="s">
        <v>95</v>
      </c>
      <c r="J158" s="24" t="s">
        <v>21</v>
      </c>
      <c r="K158" s="24"/>
      <c r="L158" s="6" t="s">
        <v>22</v>
      </c>
      <c r="M158" s="25">
        <v>714125.37</v>
      </c>
      <c r="N158" s="25"/>
    </row>
    <row r="159" spans="1:14" ht="88.95" customHeight="1" outlineLevel="1" x14ac:dyDescent="0.2">
      <c r="A159" s="4" t="s">
        <v>91</v>
      </c>
      <c r="B159" s="22" t="s">
        <v>92</v>
      </c>
      <c r="C159" s="22"/>
      <c r="D159" s="5" t="s">
        <v>93</v>
      </c>
      <c r="E159" s="5" t="s">
        <v>207</v>
      </c>
      <c r="F159" s="13" t="s">
        <v>19</v>
      </c>
      <c r="G159" s="23">
        <v>393.34</v>
      </c>
      <c r="H159" s="23"/>
      <c r="I159" s="13" t="s">
        <v>95</v>
      </c>
      <c r="J159" s="24" t="s">
        <v>21</v>
      </c>
      <c r="K159" s="24"/>
      <c r="L159" s="6" t="s">
        <v>22</v>
      </c>
      <c r="M159" s="25">
        <v>714518.71</v>
      </c>
      <c r="N159" s="25"/>
    </row>
    <row r="160" spans="1:14" ht="88.95" customHeight="1" outlineLevel="1" x14ac:dyDescent="0.2">
      <c r="A160" s="4" t="s">
        <v>91</v>
      </c>
      <c r="B160" s="22" t="s">
        <v>92</v>
      </c>
      <c r="C160" s="22"/>
      <c r="D160" s="5" t="s">
        <v>93</v>
      </c>
      <c r="E160" s="5" t="s">
        <v>208</v>
      </c>
      <c r="F160" s="13" t="s">
        <v>19</v>
      </c>
      <c r="G160" s="23">
        <v>424.83</v>
      </c>
      <c r="H160" s="23"/>
      <c r="I160" s="13" t="s">
        <v>95</v>
      </c>
      <c r="J160" s="24" t="s">
        <v>21</v>
      </c>
      <c r="K160" s="24"/>
      <c r="L160" s="6" t="s">
        <v>22</v>
      </c>
      <c r="M160" s="25">
        <v>714943.54</v>
      </c>
      <c r="N160" s="25"/>
    </row>
    <row r="161" spans="1:14" ht="88.95" customHeight="1" outlineLevel="1" x14ac:dyDescent="0.2">
      <c r="A161" s="4" t="s">
        <v>91</v>
      </c>
      <c r="B161" s="22" t="s">
        <v>92</v>
      </c>
      <c r="C161" s="22"/>
      <c r="D161" s="5" t="s">
        <v>93</v>
      </c>
      <c r="E161" s="5" t="s">
        <v>209</v>
      </c>
      <c r="F161" s="13" t="s">
        <v>19</v>
      </c>
      <c r="G161" s="23">
        <v>99.62</v>
      </c>
      <c r="H161" s="23"/>
      <c r="I161" s="13" t="s">
        <v>95</v>
      </c>
      <c r="J161" s="24" t="s">
        <v>21</v>
      </c>
      <c r="K161" s="24"/>
      <c r="L161" s="6" t="s">
        <v>22</v>
      </c>
      <c r="M161" s="25">
        <v>715043.16</v>
      </c>
      <c r="N161" s="25"/>
    </row>
    <row r="162" spans="1:14" ht="88.95" customHeight="1" outlineLevel="1" x14ac:dyDescent="0.2">
      <c r="A162" s="4" t="s">
        <v>91</v>
      </c>
      <c r="B162" s="22" t="s">
        <v>92</v>
      </c>
      <c r="C162" s="22"/>
      <c r="D162" s="5" t="s">
        <v>93</v>
      </c>
      <c r="E162" s="5" t="s">
        <v>210</v>
      </c>
      <c r="F162" s="13" t="s">
        <v>19</v>
      </c>
      <c r="G162" s="23">
        <v>298.86</v>
      </c>
      <c r="H162" s="23"/>
      <c r="I162" s="13" t="s">
        <v>95</v>
      </c>
      <c r="J162" s="24" t="s">
        <v>21</v>
      </c>
      <c r="K162" s="24"/>
      <c r="L162" s="6" t="s">
        <v>22</v>
      </c>
      <c r="M162" s="25">
        <v>715342.02</v>
      </c>
      <c r="N162" s="25"/>
    </row>
    <row r="163" spans="1:14" ht="88.95" customHeight="1" outlineLevel="1" x14ac:dyDescent="0.2">
      <c r="A163" s="4" t="s">
        <v>91</v>
      </c>
      <c r="B163" s="22" t="s">
        <v>92</v>
      </c>
      <c r="C163" s="22"/>
      <c r="D163" s="5" t="s">
        <v>93</v>
      </c>
      <c r="E163" s="5" t="s">
        <v>211</v>
      </c>
      <c r="F163" s="13" t="s">
        <v>19</v>
      </c>
      <c r="G163" s="23">
        <v>660.12</v>
      </c>
      <c r="H163" s="23"/>
      <c r="I163" s="13" t="s">
        <v>95</v>
      </c>
      <c r="J163" s="24" t="s">
        <v>21</v>
      </c>
      <c r="K163" s="24"/>
      <c r="L163" s="6" t="s">
        <v>22</v>
      </c>
      <c r="M163" s="25">
        <v>716002.14</v>
      </c>
      <c r="N163" s="25"/>
    </row>
    <row r="164" spans="1:14" ht="88.95" customHeight="1" outlineLevel="1" x14ac:dyDescent="0.2">
      <c r="A164" s="4" t="s">
        <v>91</v>
      </c>
      <c r="B164" s="22" t="s">
        <v>92</v>
      </c>
      <c r="C164" s="22"/>
      <c r="D164" s="5" t="s">
        <v>93</v>
      </c>
      <c r="E164" s="5" t="s">
        <v>212</v>
      </c>
      <c r="F164" s="13" t="s">
        <v>19</v>
      </c>
      <c r="G164" s="23">
        <v>261.23</v>
      </c>
      <c r="H164" s="23"/>
      <c r="I164" s="13" t="s">
        <v>95</v>
      </c>
      <c r="J164" s="24" t="s">
        <v>21</v>
      </c>
      <c r="K164" s="24"/>
      <c r="L164" s="6" t="s">
        <v>22</v>
      </c>
      <c r="M164" s="25">
        <v>716263.37</v>
      </c>
      <c r="N164" s="25"/>
    </row>
    <row r="165" spans="1:14" ht="100.05" customHeight="1" outlineLevel="1" x14ac:dyDescent="0.2">
      <c r="A165" s="4" t="s">
        <v>91</v>
      </c>
      <c r="B165" s="22" t="s">
        <v>92</v>
      </c>
      <c r="C165" s="22"/>
      <c r="D165" s="5" t="s">
        <v>93</v>
      </c>
      <c r="E165" s="5" t="s">
        <v>213</v>
      </c>
      <c r="F165" s="13" t="s">
        <v>19</v>
      </c>
      <c r="G165" s="23">
        <v>246.67</v>
      </c>
      <c r="H165" s="23"/>
      <c r="I165" s="13" t="s">
        <v>95</v>
      </c>
      <c r="J165" s="24" t="s">
        <v>21</v>
      </c>
      <c r="K165" s="24"/>
      <c r="L165" s="6" t="s">
        <v>22</v>
      </c>
      <c r="M165" s="25">
        <v>716510.04</v>
      </c>
      <c r="N165" s="25"/>
    </row>
    <row r="166" spans="1:14" ht="100.05" customHeight="1" outlineLevel="1" x14ac:dyDescent="0.2">
      <c r="A166" s="4" t="s">
        <v>91</v>
      </c>
      <c r="B166" s="22" t="s">
        <v>92</v>
      </c>
      <c r="C166" s="22"/>
      <c r="D166" s="5" t="s">
        <v>93</v>
      </c>
      <c r="E166" s="5" t="s">
        <v>214</v>
      </c>
      <c r="F166" s="13" t="s">
        <v>19</v>
      </c>
      <c r="G166" s="23">
        <v>136</v>
      </c>
      <c r="H166" s="23"/>
      <c r="I166" s="13" t="s">
        <v>95</v>
      </c>
      <c r="J166" s="24" t="s">
        <v>21</v>
      </c>
      <c r="K166" s="24"/>
      <c r="L166" s="6" t="s">
        <v>22</v>
      </c>
      <c r="M166" s="25">
        <v>716646.04</v>
      </c>
      <c r="N166" s="25"/>
    </row>
    <row r="167" spans="1:14" ht="88.95" customHeight="1" outlineLevel="1" x14ac:dyDescent="0.2">
      <c r="A167" s="4" t="s">
        <v>91</v>
      </c>
      <c r="B167" s="22" t="s">
        <v>92</v>
      </c>
      <c r="C167" s="22"/>
      <c r="D167" s="5" t="s">
        <v>93</v>
      </c>
      <c r="E167" s="5" t="s">
        <v>215</v>
      </c>
      <c r="F167" s="13" t="s">
        <v>19</v>
      </c>
      <c r="G167" s="23">
        <v>90.33</v>
      </c>
      <c r="H167" s="23"/>
      <c r="I167" s="13" t="s">
        <v>95</v>
      </c>
      <c r="J167" s="24" t="s">
        <v>21</v>
      </c>
      <c r="K167" s="24"/>
      <c r="L167" s="6" t="s">
        <v>22</v>
      </c>
      <c r="M167" s="25">
        <v>716736.37</v>
      </c>
      <c r="N167" s="25"/>
    </row>
    <row r="168" spans="1:14" ht="111" customHeight="1" outlineLevel="1" x14ac:dyDescent="0.2">
      <c r="A168" s="4" t="s">
        <v>91</v>
      </c>
      <c r="B168" s="22" t="s">
        <v>92</v>
      </c>
      <c r="C168" s="22"/>
      <c r="D168" s="5" t="s">
        <v>93</v>
      </c>
      <c r="E168" s="5" t="s">
        <v>216</v>
      </c>
      <c r="F168" s="13" t="s">
        <v>19</v>
      </c>
      <c r="G168" s="23">
        <v>276.89999999999998</v>
      </c>
      <c r="H168" s="23"/>
      <c r="I168" s="13" t="s">
        <v>95</v>
      </c>
      <c r="J168" s="24" t="s">
        <v>21</v>
      </c>
      <c r="K168" s="24"/>
      <c r="L168" s="6" t="s">
        <v>22</v>
      </c>
      <c r="M168" s="25">
        <v>717013.27</v>
      </c>
      <c r="N168" s="25"/>
    </row>
    <row r="169" spans="1:14" ht="111" customHeight="1" outlineLevel="1" x14ac:dyDescent="0.2">
      <c r="A169" s="4" t="s">
        <v>91</v>
      </c>
      <c r="B169" s="22" t="s">
        <v>92</v>
      </c>
      <c r="C169" s="22"/>
      <c r="D169" s="5" t="s">
        <v>93</v>
      </c>
      <c r="E169" s="5" t="s">
        <v>217</v>
      </c>
      <c r="F169" s="13" t="s">
        <v>19</v>
      </c>
      <c r="G169" s="23">
        <v>121</v>
      </c>
      <c r="H169" s="23"/>
      <c r="I169" s="13" t="s">
        <v>95</v>
      </c>
      <c r="J169" s="24" t="s">
        <v>21</v>
      </c>
      <c r="K169" s="24"/>
      <c r="L169" s="6" t="s">
        <v>22</v>
      </c>
      <c r="M169" s="25">
        <v>717134.27</v>
      </c>
      <c r="N169" s="25"/>
    </row>
    <row r="170" spans="1:14" ht="88.95" customHeight="1" outlineLevel="1" x14ac:dyDescent="0.2">
      <c r="A170" s="4" t="s">
        <v>91</v>
      </c>
      <c r="B170" s="22" t="s">
        <v>92</v>
      </c>
      <c r="C170" s="22"/>
      <c r="D170" s="5" t="s">
        <v>93</v>
      </c>
      <c r="E170" s="5" t="s">
        <v>218</v>
      </c>
      <c r="F170" s="13" t="s">
        <v>19</v>
      </c>
      <c r="G170" s="28">
        <v>2475</v>
      </c>
      <c r="H170" s="28"/>
      <c r="I170" s="13" t="s">
        <v>95</v>
      </c>
      <c r="J170" s="24" t="s">
        <v>21</v>
      </c>
      <c r="K170" s="24"/>
      <c r="L170" s="6" t="s">
        <v>22</v>
      </c>
      <c r="M170" s="25">
        <v>719609.27</v>
      </c>
      <c r="N170" s="25"/>
    </row>
    <row r="171" spans="1:14" ht="111" customHeight="1" outlineLevel="1" x14ac:dyDescent="0.2">
      <c r="A171" s="4" t="s">
        <v>91</v>
      </c>
      <c r="B171" s="22" t="s">
        <v>92</v>
      </c>
      <c r="C171" s="22"/>
      <c r="D171" s="5" t="s">
        <v>93</v>
      </c>
      <c r="E171" s="5" t="s">
        <v>219</v>
      </c>
      <c r="F171" s="13" t="s">
        <v>19</v>
      </c>
      <c r="G171" s="23">
        <v>479.4</v>
      </c>
      <c r="H171" s="23"/>
      <c r="I171" s="13" t="s">
        <v>95</v>
      </c>
      <c r="J171" s="24" t="s">
        <v>21</v>
      </c>
      <c r="K171" s="24"/>
      <c r="L171" s="6" t="s">
        <v>22</v>
      </c>
      <c r="M171" s="25">
        <v>720088.67</v>
      </c>
      <c r="N171" s="25"/>
    </row>
    <row r="172" spans="1:14" ht="88.95" customHeight="1" outlineLevel="1" x14ac:dyDescent="0.2">
      <c r="A172" s="4" t="s">
        <v>91</v>
      </c>
      <c r="B172" s="22" t="s">
        <v>92</v>
      </c>
      <c r="C172" s="22"/>
      <c r="D172" s="5" t="s">
        <v>93</v>
      </c>
      <c r="E172" s="5" t="s">
        <v>220</v>
      </c>
      <c r="F172" s="13" t="s">
        <v>19</v>
      </c>
      <c r="G172" s="23">
        <v>372.4</v>
      </c>
      <c r="H172" s="23"/>
      <c r="I172" s="13" t="s">
        <v>95</v>
      </c>
      <c r="J172" s="24" t="s">
        <v>21</v>
      </c>
      <c r="K172" s="24"/>
      <c r="L172" s="6" t="s">
        <v>22</v>
      </c>
      <c r="M172" s="25">
        <v>720461.07</v>
      </c>
      <c r="N172" s="25"/>
    </row>
    <row r="173" spans="1:14" ht="88.95" customHeight="1" outlineLevel="1" x14ac:dyDescent="0.2">
      <c r="A173" s="4" t="s">
        <v>91</v>
      </c>
      <c r="B173" s="22" t="s">
        <v>92</v>
      </c>
      <c r="C173" s="22"/>
      <c r="D173" s="5" t="s">
        <v>93</v>
      </c>
      <c r="E173" s="5" t="s">
        <v>221</v>
      </c>
      <c r="F173" s="13" t="s">
        <v>19</v>
      </c>
      <c r="G173" s="23">
        <v>212</v>
      </c>
      <c r="H173" s="23"/>
      <c r="I173" s="13" t="s">
        <v>95</v>
      </c>
      <c r="J173" s="24" t="s">
        <v>21</v>
      </c>
      <c r="K173" s="24"/>
      <c r="L173" s="6" t="s">
        <v>22</v>
      </c>
      <c r="M173" s="25">
        <v>720673.07</v>
      </c>
      <c r="N173" s="25"/>
    </row>
    <row r="174" spans="1:14" ht="88.95" customHeight="1" outlineLevel="1" x14ac:dyDescent="0.2">
      <c r="A174" s="4" t="s">
        <v>91</v>
      </c>
      <c r="B174" s="22" t="s">
        <v>92</v>
      </c>
      <c r="C174" s="22"/>
      <c r="D174" s="5" t="s">
        <v>93</v>
      </c>
      <c r="E174" s="5" t="s">
        <v>222</v>
      </c>
      <c r="F174" s="13" t="s">
        <v>19</v>
      </c>
      <c r="G174" s="23">
        <v>199.2</v>
      </c>
      <c r="H174" s="23"/>
      <c r="I174" s="13" t="s">
        <v>95</v>
      </c>
      <c r="J174" s="24" t="s">
        <v>21</v>
      </c>
      <c r="K174" s="24"/>
      <c r="L174" s="6" t="s">
        <v>22</v>
      </c>
      <c r="M174" s="25">
        <v>720872.27</v>
      </c>
      <c r="N174" s="25"/>
    </row>
    <row r="175" spans="1:14" ht="88.95" customHeight="1" outlineLevel="1" x14ac:dyDescent="0.2">
      <c r="A175" s="4" t="s">
        <v>91</v>
      </c>
      <c r="B175" s="22" t="s">
        <v>92</v>
      </c>
      <c r="C175" s="22"/>
      <c r="D175" s="5" t="s">
        <v>93</v>
      </c>
      <c r="E175" s="5" t="s">
        <v>223</v>
      </c>
      <c r="F175" s="13" t="s">
        <v>19</v>
      </c>
      <c r="G175" s="28">
        <v>51996.67</v>
      </c>
      <c r="H175" s="28"/>
      <c r="I175" s="13" t="s">
        <v>95</v>
      </c>
      <c r="J175" s="24" t="s">
        <v>21</v>
      </c>
      <c r="K175" s="24"/>
      <c r="L175" s="6" t="s">
        <v>22</v>
      </c>
      <c r="M175" s="25">
        <v>772868.94</v>
      </c>
      <c r="N175" s="25"/>
    </row>
    <row r="176" spans="1:14" ht="88.95" customHeight="1" outlineLevel="1" x14ac:dyDescent="0.2">
      <c r="A176" s="4" t="s">
        <v>91</v>
      </c>
      <c r="B176" s="22" t="s">
        <v>92</v>
      </c>
      <c r="C176" s="22"/>
      <c r="D176" s="5" t="s">
        <v>93</v>
      </c>
      <c r="E176" s="5" t="s">
        <v>224</v>
      </c>
      <c r="F176" s="13" t="s">
        <v>19</v>
      </c>
      <c r="G176" s="23">
        <v>580.32000000000005</v>
      </c>
      <c r="H176" s="23"/>
      <c r="I176" s="13" t="s">
        <v>95</v>
      </c>
      <c r="J176" s="24" t="s">
        <v>21</v>
      </c>
      <c r="K176" s="24"/>
      <c r="L176" s="6" t="s">
        <v>22</v>
      </c>
      <c r="M176" s="25">
        <v>773449.26</v>
      </c>
      <c r="N176" s="25"/>
    </row>
    <row r="177" spans="1:14" ht="88.95" customHeight="1" outlineLevel="1" x14ac:dyDescent="0.2">
      <c r="A177" s="4" t="s">
        <v>91</v>
      </c>
      <c r="B177" s="22" t="s">
        <v>92</v>
      </c>
      <c r="C177" s="22"/>
      <c r="D177" s="5" t="s">
        <v>93</v>
      </c>
      <c r="E177" s="5" t="s">
        <v>225</v>
      </c>
      <c r="F177" s="13" t="s">
        <v>19</v>
      </c>
      <c r="G177" s="23">
        <v>31.92</v>
      </c>
      <c r="H177" s="23"/>
      <c r="I177" s="13" t="s">
        <v>95</v>
      </c>
      <c r="J177" s="24" t="s">
        <v>21</v>
      </c>
      <c r="K177" s="24"/>
      <c r="L177" s="6" t="s">
        <v>22</v>
      </c>
      <c r="M177" s="25">
        <v>773481.18</v>
      </c>
      <c r="N177" s="25"/>
    </row>
    <row r="178" spans="1:14" ht="100.05" customHeight="1" outlineLevel="1" x14ac:dyDescent="0.2">
      <c r="A178" s="4" t="s">
        <v>91</v>
      </c>
      <c r="B178" s="22" t="s">
        <v>92</v>
      </c>
      <c r="C178" s="22"/>
      <c r="D178" s="5" t="s">
        <v>93</v>
      </c>
      <c r="E178" s="5" t="s">
        <v>226</v>
      </c>
      <c r="F178" s="13" t="s">
        <v>19</v>
      </c>
      <c r="G178" s="23">
        <v>495.81</v>
      </c>
      <c r="H178" s="23"/>
      <c r="I178" s="13" t="s">
        <v>95</v>
      </c>
      <c r="J178" s="24" t="s">
        <v>21</v>
      </c>
      <c r="K178" s="24"/>
      <c r="L178" s="6" t="s">
        <v>22</v>
      </c>
      <c r="M178" s="25">
        <v>773976.99</v>
      </c>
      <c r="N178" s="25"/>
    </row>
    <row r="179" spans="1:14" ht="100.05" customHeight="1" outlineLevel="1" x14ac:dyDescent="0.2">
      <c r="A179" s="4" t="s">
        <v>91</v>
      </c>
      <c r="B179" s="22" t="s">
        <v>92</v>
      </c>
      <c r="C179" s="22"/>
      <c r="D179" s="5" t="s">
        <v>93</v>
      </c>
      <c r="E179" s="5" t="s">
        <v>227</v>
      </c>
      <c r="F179" s="13" t="s">
        <v>19</v>
      </c>
      <c r="G179" s="23">
        <v>171.34</v>
      </c>
      <c r="H179" s="23"/>
      <c r="I179" s="13" t="s">
        <v>95</v>
      </c>
      <c r="J179" s="24" t="s">
        <v>21</v>
      </c>
      <c r="K179" s="24"/>
      <c r="L179" s="6" t="s">
        <v>22</v>
      </c>
      <c r="M179" s="25">
        <v>774148.33</v>
      </c>
      <c r="N179" s="25"/>
    </row>
    <row r="180" spans="1:14" ht="100.05" customHeight="1" outlineLevel="1" x14ac:dyDescent="0.2">
      <c r="A180" s="4" t="s">
        <v>91</v>
      </c>
      <c r="B180" s="22" t="s">
        <v>92</v>
      </c>
      <c r="C180" s="22"/>
      <c r="D180" s="5" t="s">
        <v>93</v>
      </c>
      <c r="E180" s="5" t="s">
        <v>228</v>
      </c>
      <c r="F180" s="13" t="s">
        <v>19</v>
      </c>
      <c r="G180" s="23">
        <v>685.36</v>
      </c>
      <c r="H180" s="23"/>
      <c r="I180" s="13" t="s">
        <v>95</v>
      </c>
      <c r="J180" s="24" t="s">
        <v>21</v>
      </c>
      <c r="K180" s="24"/>
      <c r="L180" s="6" t="s">
        <v>22</v>
      </c>
      <c r="M180" s="25">
        <v>774833.69</v>
      </c>
      <c r="N180" s="25"/>
    </row>
    <row r="181" spans="1:14" ht="88.95" customHeight="1" outlineLevel="1" x14ac:dyDescent="0.2">
      <c r="A181" s="4" t="s">
        <v>91</v>
      </c>
      <c r="B181" s="22" t="s">
        <v>92</v>
      </c>
      <c r="C181" s="22"/>
      <c r="D181" s="5" t="s">
        <v>93</v>
      </c>
      <c r="E181" s="5" t="s">
        <v>229</v>
      </c>
      <c r="F181" s="13" t="s">
        <v>19</v>
      </c>
      <c r="G181" s="23">
        <v>28.89</v>
      </c>
      <c r="H181" s="23"/>
      <c r="I181" s="13" t="s">
        <v>95</v>
      </c>
      <c r="J181" s="24" t="s">
        <v>21</v>
      </c>
      <c r="K181" s="24"/>
      <c r="L181" s="6" t="s">
        <v>22</v>
      </c>
      <c r="M181" s="25">
        <v>774862.58</v>
      </c>
      <c r="N181" s="25"/>
    </row>
    <row r="182" spans="1:14" ht="88.95" customHeight="1" outlineLevel="1" x14ac:dyDescent="0.2">
      <c r="A182" s="4" t="s">
        <v>91</v>
      </c>
      <c r="B182" s="22" t="s">
        <v>92</v>
      </c>
      <c r="C182" s="22"/>
      <c r="D182" s="5" t="s">
        <v>93</v>
      </c>
      <c r="E182" s="5" t="s">
        <v>230</v>
      </c>
      <c r="F182" s="13" t="s">
        <v>19</v>
      </c>
      <c r="G182" s="23">
        <v>144.44999999999999</v>
      </c>
      <c r="H182" s="23"/>
      <c r="I182" s="13" t="s">
        <v>95</v>
      </c>
      <c r="J182" s="24" t="s">
        <v>21</v>
      </c>
      <c r="K182" s="24"/>
      <c r="L182" s="6" t="s">
        <v>22</v>
      </c>
      <c r="M182" s="25">
        <v>775007.03</v>
      </c>
      <c r="N182" s="25"/>
    </row>
    <row r="183" spans="1:14" ht="88.95" customHeight="1" outlineLevel="1" x14ac:dyDescent="0.2">
      <c r="A183" s="4" t="s">
        <v>91</v>
      </c>
      <c r="B183" s="22" t="s">
        <v>92</v>
      </c>
      <c r="C183" s="22"/>
      <c r="D183" s="5" t="s">
        <v>93</v>
      </c>
      <c r="E183" s="5" t="s">
        <v>231</v>
      </c>
      <c r="F183" s="13" t="s">
        <v>19</v>
      </c>
      <c r="G183" s="23">
        <v>51.98</v>
      </c>
      <c r="H183" s="23"/>
      <c r="I183" s="13" t="s">
        <v>95</v>
      </c>
      <c r="J183" s="24" t="s">
        <v>21</v>
      </c>
      <c r="K183" s="24"/>
      <c r="L183" s="6" t="s">
        <v>22</v>
      </c>
      <c r="M183" s="25">
        <v>775059.01</v>
      </c>
      <c r="N183" s="25"/>
    </row>
    <row r="184" spans="1:14" ht="111" customHeight="1" outlineLevel="1" x14ac:dyDescent="0.2">
      <c r="A184" s="4" t="s">
        <v>91</v>
      </c>
      <c r="B184" s="22" t="s">
        <v>92</v>
      </c>
      <c r="C184" s="22"/>
      <c r="D184" s="5" t="s">
        <v>93</v>
      </c>
      <c r="E184" s="5" t="s">
        <v>232</v>
      </c>
      <c r="F184" s="13" t="s">
        <v>19</v>
      </c>
      <c r="G184" s="23">
        <v>60</v>
      </c>
      <c r="H184" s="23"/>
      <c r="I184" s="13" t="s">
        <v>95</v>
      </c>
      <c r="J184" s="24" t="s">
        <v>21</v>
      </c>
      <c r="K184" s="24"/>
      <c r="L184" s="6" t="s">
        <v>22</v>
      </c>
      <c r="M184" s="25">
        <v>775119.01</v>
      </c>
      <c r="N184" s="25"/>
    </row>
    <row r="185" spans="1:14" ht="100.05" customHeight="1" outlineLevel="1" x14ac:dyDescent="0.2">
      <c r="A185" s="4" t="s">
        <v>91</v>
      </c>
      <c r="B185" s="22" t="s">
        <v>92</v>
      </c>
      <c r="C185" s="22"/>
      <c r="D185" s="5" t="s">
        <v>93</v>
      </c>
      <c r="E185" s="5" t="s">
        <v>233</v>
      </c>
      <c r="F185" s="13" t="s">
        <v>19</v>
      </c>
      <c r="G185" s="23">
        <v>216.7</v>
      </c>
      <c r="H185" s="23"/>
      <c r="I185" s="13" t="s">
        <v>95</v>
      </c>
      <c r="J185" s="24" t="s">
        <v>21</v>
      </c>
      <c r="K185" s="24"/>
      <c r="L185" s="6" t="s">
        <v>22</v>
      </c>
      <c r="M185" s="25">
        <v>775335.71</v>
      </c>
      <c r="N185" s="25"/>
    </row>
    <row r="186" spans="1:14" ht="100.05" customHeight="1" outlineLevel="1" x14ac:dyDescent="0.2">
      <c r="A186" s="4" t="s">
        <v>91</v>
      </c>
      <c r="B186" s="22" t="s">
        <v>92</v>
      </c>
      <c r="C186" s="22"/>
      <c r="D186" s="5" t="s">
        <v>93</v>
      </c>
      <c r="E186" s="5" t="s">
        <v>234</v>
      </c>
      <c r="F186" s="13" t="s">
        <v>19</v>
      </c>
      <c r="G186" s="28">
        <v>2503.8000000000002</v>
      </c>
      <c r="H186" s="28"/>
      <c r="I186" s="13" t="s">
        <v>95</v>
      </c>
      <c r="J186" s="24" t="s">
        <v>21</v>
      </c>
      <c r="K186" s="24"/>
      <c r="L186" s="6" t="s">
        <v>22</v>
      </c>
      <c r="M186" s="25">
        <v>777839.51</v>
      </c>
      <c r="N186" s="25"/>
    </row>
    <row r="187" spans="1:14" ht="88.95" customHeight="1" outlineLevel="1" x14ac:dyDescent="0.2">
      <c r="A187" s="4" t="s">
        <v>91</v>
      </c>
      <c r="B187" s="22" t="s">
        <v>92</v>
      </c>
      <c r="C187" s="22"/>
      <c r="D187" s="5" t="s">
        <v>93</v>
      </c>
      <c r="E187" s="5" t="s">
        <v>235</v>
      </c>
      <c r="F187" s="13" t="s">
        <v>19</v>
      </c>
      <c r="G187" s="23">
        <v>210</v>
      </c>
      <c r="H187" s="23"/>
      <c r="I187" s="13" t="s">
        <v>95</v>
      </c>
      <c r="J187" s="24" t="s">
        <v>21</v>
      </c>
      <c r="K187" s="24"/>
      <c r="L187" s="6" t="s">
        <v>22</v>
      </c>
      <c r="M187" s="25">
        <v>778049.51</v>
      </c>
      <c r="N187" s="25"/>
    </row>
    <row r="188" spans="1:14" ht="111" customHeight="1" outlineLevel="1" x14ac:dyDescent="0.2">
      <c r="A188" s="4" t="s">
        <v>91</v>
      </c>
      <c r="B188" s="22" t="s">
        <v>92</v>
      </c>
      <c r="C188" s="22"/>
      <c r="D188" s="5" t="s">
        <v>93</v>
      </c>
      <c r="E188" s="5" t="s">
        <v>236</v>
      </c>
      <c r="F188" s="13" t="s">
        <v>19</v>
      </c>
      <c r="G188" s="23">
        <v>80.400000000000006</v>
      </c>
      <c r="H188" s="23"/>
      <c r="I188" s="13" t="s">
        <v>95</v>
      </c>
      <c r="J188" s="24" t="s">
        <v>21</v>
      </c>
      <c r="K188" s="24"/>
      <c r="L188" s="6" t="s">
        <v>22</v>
      </c>
      <c r="M188" s="25">
        <v>778129.91</v>
      </c>
      <c r="N188" s="25"/>
    </row>
    <row r="189" spans="1:14" ht="111" customHeight="1" outlineLevel="1" x14ac:dyDescent="0.2">
      <c r="A189" s="4" t="s">
        <v>91</v>
      </c>
      <c r="B189" s="22" t="s">
        <v>92</v>
      </c>
      <c r="C189" s="22"/>
      <c r="D189" s="5" t="s">
        <v>93</v>
      </c>
      <c r="E189" s="5" t="s">
        <v>237</v>
      </c>
      <c r="F189" s="13" t="s">
        <v>19</v>
      </c>
      <c r="G189" s="23">
        <v>31.6</v>
      </c>
      <c r="H189" s="23"/>
      <c r="I189" s="13" t="s">
        <v>95</v>
      </c>
      <c r="J189" s="24" t="s">
        <v>21</v>
      </c>
      <c r="K189" s="24"/>
      <c r="L189" s="6" t="s">
        <v>22</v>
      </c>
      <c r="M189" s="25">
        <v>778161.51</v>
      </c>
      <c r="N189" s="25"/>
    </row>
    <row r="190" spans="1:14" ht="88.95" customHeight="1" outlineLevel="1" x14ac:dyDescent="0.2">
      <c r="A190" s="4" t="s">
        <v>91</v>
      </c>
      <c r="B190" s="22" t="s">
        <v>92</v>
      </c>
      <c r="C190" s="22"/>
      <c r="D190" s="5" t="s">
        <v>93</v>
      </c>
      <c r="E190" s="5" t="s">
        <v>238</v>
      </c>
      <c r="F190" s="13" t="s">
        <v>19</v>
      </c>
      <c r="G190" s="28">
        <v>4293.29</v>
      </c>
      <c r="H190" s="28"/>
      <c r="I190" s="13" t="s">
        <v>95</v>
      </c>
      <c r="J190" s="24" t="s">
        <v>21</v>
      </c>
      <c r="K190" s="24"/>
      <c r="L190" s="6" t="s">
        <v>22</v>
      </c>
      <c r="M190" s="25">
        <v>782454.8</v>
      </c>
      <c r="N190" s="25"/>
    </row>
    <row r="191" spans="1:14" ht="88.95" customHeight="1" outlineLevel="1" x14ac:dyDescent="0.2">
      <c r="A191" s="4" t="s">
        <v>91</v>
      </c>
      <c r="B191" s="22" t="s">
        <v>92</v>
      </c>
      <c r="C191" s="22"/>
      <c r="D191" s="5" t="s">
        <v>93</v>
      </c>
      <c r="E191" s="5" t="s">
        <v>239</v>
      </c>
      <c r="F191" s="13" t="s">
        <v>19</v>
      </c>
      <c r="G191" s="23">
        <v>538.04999999999995</v>
      </c>
      <c r="H191" s="23"/>
      <c r="I191" s="13" t="s">
        <v>95</v>
      </c>
      <c r="J191" s="24" t="s">
        <v>21</v>
      </c>
      <c r="K191" s="24"/>
      <c r="L191" s="6" t="s">
        <v>22</v>
      </c>
      <c r="M191" s="25">
        <v>782992.85</v>
      </c>
      <c r="N191" s="25"/>
    </row>
    <row r="192" spans="1:14" ht="88.95" customHeight="1" outlineLevel="1" x14ac:dyDescent="0.2">
      <c r="A192" s="4" t="s">
        <v>91</v>
      </c>
      <c r="B192" s="22" t="s">
        <v>92</v>
      </c>
      <c r="C192" s="22"/>
      <c r="D192" s="5" t="s">
        <v>93</v>
      </c>
      <c r="E192" s="5" t="s">
        <v>240</v>
      </c>
      <c r="F192" s="13" t="s">
        <v>19</v>
      </c>
      <c r="G192" s="23">
        <v>423.36</v>
      </c>
      <c r="H192" s="23"/>
      <c r="I192" s="13" t="s">
        <v>95</v>
      </c>
      <c r="J192" s="24" t="s">
        <v>21</v>
      </c>
      <c r="K192" s="24"/>
      <c r="L192" s="6" t="s">
        <v>22</v>
      </c>
      <c r="M192" s="25">
        <v>783416.21</v>
      </c>
      <c r="N192" s="25"/>
    </row>
    <row r="193" spans="1:14" ht="88.95" customHeight="1" outlineLevel="1" x14ac:dyDescent="0.2">
      <c r="A193" s="4" t="s">
        <v>91</v>
      </c>
      <c r="B193" s="22" t="s">
        <v>92</v>
      </c>
      <c r="C193" s="22"/>
      <c r="D193" s="5" t="s">
        <v>93</v>
      </c>
      <c r="E193" s="5" t="s">
        <v>241</v>
      </c>
      <c r="F193" s="13" t="s">
        <v>19</v>
      </c>
      <c r="G193" s="23">
        <v>80</v>
      </c>
      <c r="H193" s="23"/>
      <c r="I193" s="13" t="s">
        <v>95</v>
      </c>
      <c r="J193" s="24" t="s">
        <v>21</v>
      </c>
      <c r="K193" s="24"/>
      <c r="L193" s="6" t="s">
        <v>22</v>
      </c>
      <c r="M193" s="25">
        <v>783496.21</v>
      </c>
      <c r="N193" s="25"/>
    </row>
    <row r="194" spans="1:14" ht="88.95" customHeight="1" outlineLevel="1" x14ac:dyDescent="0.2">
      <c r="A194" s="4" t="s">
        <v>91</v>
      </c>
      <c r="B194" s="22" t="s">
        <v>92</v>
      </c>
      <c r="C194" s="22"/>
      <c r="D194" s="5" t="s">
        <v>93</v>
      </c>
      <c r="E194" s="5" t="s">
        <v>242</v>
      </c>
      <c r="F194" s="13" t="s">
        <v>19</v>
      </c>
      <c r="G194" s="28">
        <v>2585</v>
      </c>
      <c r="H194" s="28"/>
      <c r="I194" s="13" t="s">
        <v>95</v>
      </c>
      <c r="J194" s="24" t="s">
        <v>21</v>
      </c>
      <c r="K194" s="24"/>
      <c r="L194" s="6" t="s">
        <v>22</v>
      </c>
      <c r="M194" s="25">
        <v>786081.21</v>
      </c>
      <c r="N194" s="25"/>
    </row>
    <row r="195" spans="1:14" ht="88.95" customHeight="1" outlineLevel="1" x14ac:dyDescent="0.2">
      <c r="A195" s="4" t="s">
        <v>91</v>
      </c>
      <c r="B195" s="22" t="s">
        <v>92</v>
      </c>
      <c r="C195" s="22"/>
      <c r="D195" s="5" t="s">
        <v>93</v>
      </c>
      <c r="E195" s="5" t="s">
        <v>243</v>
      </c>
      <c r="F195" s="13" t="s">
        <v>19</v>
      </c>
      <c r="G195" s="28">
        <v>2380</v>
      </c>
      <c r="H195" s="28"/>
      <c r="I195" s="13" t="s">
        <v>95</v>
      </c>
      <c r="J195" s="24" t="s">
        <v>21</v>
      </c>
      <c r="K195" s="24"/>
      <c r="L195" s="6" t="s">
        <v>22</v>
      </c>
      <c r="M195" s="25">
        <v>788461.21</v>
      </c>
      <c r="N195" s="25"/>
    </row>
    <row r="196" spans="1:14" ht="88.95" customHeight="1" outlineLevel="1" x14ac:dyDescent="0.2">
      <c r="A196" s="4" t="s">
        <v>91</v>
      </c>
      <c r="B196" s="22" t="s">
        <v>92</v>
      </c>
      <c r="C196" s="22"/>
      <c r="D196" s="5" t="s">
        <v>93</v>
      </c>
      <c r="E196" s="5" t="s">
        <v>244</v>
      </c>
      <c r="F196" s="13" t="s">
        <v>19</v>
      </c>
      <c r="G196" s="28">
        <v>1293.92</v>
      </c>
      <c r="H196" s="28"/>
      <c r="I196" s="13" t="s">
        <v>95</v>
      </c>
      <c r="J196" s="24" t="s">
        <v>21</v>
      </c>
      <c r="K196" s="24"/>
      <c r="L196" s="6" t="s">
        <v>22</v>
      </c>
      <c r="M196" s="25">
        <v>789755.13</v>
      </c>
      <c r="N196" s="25"/>
    </row>
    <row r="197" spans="1:14" ht="88.95" customHeight="1" outlineLevel="1" x14ac:dyDescent="0.2">
      <c r="A197" s="4" t="s">
        <v>91</v>
      </c>
      <c r="B197" s="22" t="s">
        <v>92</v>
      </c>
      <c r="C197" s="22"/>
      <c r="D197" s="5" t="s">
        <v>93</v>
      </c>
      <c r="E197" s="5" t="s">
        <v>245</v>
      </c>
      <c r="F197" s="13" t="s">
        <v>19</v>
      </c>
      <c r="G197" s="23">
        <v>243.03</v>
      </c>
      <c r="H197" s="23"/>
      <c r="I197" s="13" t="s">
        <v>95</v>
      </c>
      <c r="J197" s="24" t="s">
        <v>21</v>
      </c>
      <c r="K197" s="24"/>
      <c r="L197" s="6" t="s">
        <v>22</v>
      </c>
      <c r="M197" s="25">
        <v>789998.16</v>
      </c>
      <c r="N197" s="25"/>
    </row>
    <row r="198" spans="1:14" ht="88.95" customHeight="1" outlineLevel="1" x14ac:dyDescent="0.2">
      <c r="A198" s="4" t="s">
        <v>91</v>
      </c>
      <c r="B198" s="22" t="s">
        <v>92</v>
      </c>
      <c r="C198" s="22"/>
      <c r="D198" s="5" t="s">
        <v>93</v>
      </c>
      <c r="E198" s="5" t="s">
        <v>246</v>
      </c>
      <c r="F198" s="13" t="s">
        <v>19</v>
      </c>
      <c r="G198" s="23">
        <v>16</v>
      </c>
      <c r="H198" s="23"/>
      <c r="I198" s="13" t="s">
        <v>95</v>
      </c>
      <c r="J198" s="24" t="s">
        <v>21</v>
      </c>
      <c r="K198" s="24"/>
      <c r="L198" s="6" t="s">
        <v>22</v>
      </c>
      <c r="M198" s="25">
        <v>790014.16</v>
      </c>
      <c r="N198" s="25"/>
    </row>
    <row r="199" spans="1:14" ht="88.95" customHeight="1" outlineLevel="1" x14ac:dyDescent="0.2">
      <c r="A199" s="4" t="s">
        <v>91</v>
      </c>
      <c r="B199" s="22" t="s">
        <v>92</v>
      </c>
      <c r="C199" s="22"/>
      <c r="D199" s="5" t="s">
        <v>93</v>
      </c>
      <c r="E199" s="5" t="s">
        <v>247</v>
      </c>
      <c r="F199" s="13" t="s">
        <v>19</v>
      </c>
      <c r="G199" s="23">
        <v>36.799999999999997</v>
      </c>
      <c r="H199" s="23"/>
      <c r="I199" s="13" t="s">
        <v>95</v>
      </c>
      <c r="J199" s="24" t="s">
        <v>21</v>
      </c>
      <c r="K199" s="24"/>
      <c r="L199" s="6" t="s">
        <v>22</v>
      </c>
      <c r="M199" s="25">
        <v>790050.96</v>
      </c>
      <c r="N199" s="25"/>
    </row>
    <row r="200" spans="1:14" ht="88.95" customHeight="1" outlineLevel="1" x14ac:dyDescent="0.2">
      <c r="A200" s="4" t="s">
        <v>91</v>
      </c>
      <c r="B200" s="22" t="s">
        <v>92</v>
      </c>
      <c r="C200" s="22"/>
      <c r="D200" s="5" t="s">
        <v>93</v>
      </c>
      <c r="E200" s="5" t="s">
        <v>248</v>
      </c>
      <c r="F200" s="13" t="s">
        <v>19</v>
      </c>
      <c r="G200" s="23">
        <v>36.799999999999997</v>
      </c>
      <c r="H200" s="23"/>
      <c r="I200" s="13" t="s">
        <v>95</v>
      </c>
      <c r="J200" s="24" t="s">
        <v>21</v>
      </c>
      <c r="K200" s="24"/>
      <c r="L200" s="6" t="s">
        <v>22</v>
      </c>
      <c r="M200" s="25">
        <v>790087.76</v>
      </c>
      <c r="N200" s="25"/>
    </row>
    <row r="201" spans="1:14" ht="88.95" customHeight="1" outlineLevel="1" x14ac:dyDescent="0.2">
      <c r="A201" s="4" t="s">
        <v>91</v>
      </c>
      <c r="B201" s="22" t="s">
        <v>92</v>
      </c>
      <c r="C201" s="22"/>
      <c r="D201" s="5" t="s">
        <v>93</v>
      </c>
      <c r="E201" s="5" t="s">
        <v>249</v>
      </c>
      <c r="F201" s="13" t="s">
        <v>19</v>
      </c>
      <c r="G201" s="23">
        <v>13.2</v>
      </c>
      <c r="H201" s="23"/>
      <c r="I201" s="13" t="s">
        <v>95</v>
      </c>
      <c r="J201" s="24" t="s">
        <v>21</v>
      </c>
      <c r="K201" s="24"/>
      <c r="L201" s="6" t="s">
        <v>22</v>
      </c>
      <c r="M201" s="25">
        <v>790100.96</v>
      </c>
      <c r="N201" s="25"/>
    </row>
    <row r="202" spans="1:14" ht="88.95" customHeight="1" outlineLevel="1" x14ac:dyDescent="0.2">
      <c r="A202" s="4" t="s">
        <v>91</v>
      </c>
      <c r="B202" s="22" t="s">
        <v>92</v>
      </c>
      <c r="C202" s="22"/>
      <c r="D202" s="5" t="s">
        <v>93</v>
      </c>
      <c r="E202" s="5" t="s">
        <v>250</v>
      </c>
      <c r="F202" s="13" t="s">
        <v>19</v>
      </c>
      <c r="G202" s="28">
        <v>16103</v>
      </c>
      <c r="H202" s="28"/>
      <c r="I202" s="13" t="s">
        <v>95</v>
      </c>
      <c r="J202" s="24" t="s">
        <v>21</v>
      </c>
      <c r="K202" s="24"/>
      <c r="L202" s="6" t="s">
        <v>22</v>
      </c>
      <c r="M202" s="25">
        <v>806203.96</v>
      </c>
      <c r="N202" s="25"/>
    </row>
    <row r="203" spans="1:14" ht="88.95" customHeight="1" outlineLevel="1" x14ac:dyDescent="0.2">
      <c r="A203" s="4" t="s">
        <v>91</v>
      </c>
      <c r="B203" s="22" t="s">
        <v>92</v>
      </c>
      <c r="C203" s="22"/>
      <c r="D203" s="5" t="s">
        <v>93</v>
      </c>
      <c r="E203" s="5" t="s">
        <v>251</v>
      </c>
      <c r="F203" s="13" t="s">
        <v>19</v>
      </c>
      <c r="G203" s="28">
        <v>6942.09</v>
      </c>
      <c r="H203" s="28"/>
      <c r="I203" s="13" t="s">
        <v>95</v>
      </c>
      <c r="J203" s="24" t="s">
        <v>21</v>
      </c>
      <c r="K203" s="24"/>
      <c r="L203" s="6" t="s">
        <v>22</v>
      </c>
      <c r="M203" s="25">
        <v>813146.05</v>
      </c>
      <c r="N203" s="25"/>
    </row>
    <row r="204" spans="1:14" ht="88.95" customHeight="1" outlineLevel="1" x14ac:dyDescent="0.2">
      <c r="A204" s="4" t="s">
        <v>91</v>
      </c>
      <c r="B204" s="22" t="s">
        <v>92</v>
      </c>
      <c r="C204" s="22"/>
      <c r="D204" s="5" t="s">
        <v>93</v>
      </c>
      <c r="E204" s="5" t="s">
        <v>252</v>
      </c>
      <c r="F204" s="13" t="s">
        <v>19</v>
      </c>
      <c r="G204" s="23">
        <v>47.16</v>
      </c>
      <c r="H204" s="23"/>
      <c r="I204" s="13" t="s">
        <v>95</v>
      </c>
      <c r="J204" s="24" t="s">
        <v>21</v>
      </c>
      <c r="K204" s="24"/>
      <c r="L204" s="6" t="s">
        <v>22</v>
      </c>
      <c r="M204" s="25">
        <v>813193.21</v>
      </c>
      <c r="N204" s="25"/>
    </row>
    <row r="205" spans="1:14" ht="88.95" customHeight="1" outlineLevel="1" x14ac:dyDescent="0.2">
      <c r="A205" s="4" t="s">
        <v>91</v>
      </c>
      <c r="B205" s="22" t="s">
        <v>92</v>
      </c>
      <c r="C205" s="22"/>
      <c r="D205" s="5" t="s">
        <v>93</v>
      </c>
      <c r="E205" s="5" t="s">
        <v>253</v>
      </c>
      <c r="F205" s="13" t="s">
        <v>19</v>
      </c>
      <c r="G205" s="23">
        <v>171.26</v>
      </c>
      <c r="H205" s="23"/>
      <c r="I205" s="13" t="s">
        <v>95</v>
      </c>
      <c r="J205" s="24" t="s">
        <v>21</v>
      </c>
      <c r="K205" s="24"/>
      <c r="L205" s="6" t="s">
        <v>22</v>
      </c>
      <c r="M205" s="25">
        <v>813364.47</v>
      </c>
      <c r="N205" s="25"/>
    </row>
    <row r="206" spans="1:14" ht="88.95" customHeight="1" outlineLevel="1" x14ac:dyDescent="0.2">
      <c r="A206" s="4" t="s">
        <v>91</v>
      </c>
      <c r="B206" s="22" t="s">
        <v>92</v>
      </c>
      <c r="C206" s="22"/>
      <c r="D206" s="5" t="s">
        <v>93</v>
      </c>
      <c r="E206" s="5" t="s">
        <v>254</v>
      </c>
      <c r="F206" s="13" t="s">
        <v>19</v>
      </c>
      <c r="G206" s="28">
        <v>2767.06</v>
      </c>
      <c r="H206" s="28"/>
      <c r="I206" s="13" t="s">
        <v>95</v>
      </c>
      <c r="J206" s="24" t="s">
        <v>21</v>
      </c>
      <c r="K206" s="24"/>
      <c r="L206" s="6" t="s">
        <v>22</v>
      </c>
      <c r="M206" s="25">
        <v>816131.53</v>
      </c>
      <c r="N206" s="25"/>
    </row>
    <row r="207" spans="1:14" ht="88.95" customHeight="1" outlineLevel="1" x14ac:dyDescent="0.2">
      <c r="A207" s="4" t="s">
        <v>91</v>
      </c>
      <c r="B207" s="22" t="s">
        <v>92</v>
      </c>
      <c r="C207" s="22"/>
      <c r="D207" s="5" t="s">
        <v>93</v>
      </c>
      <c r="E207" s="5" t="s">
        <v>255</v>
      </c>
      <c r="F207" s="13" t="s">
        <v>19</v>
      </c>
      <c r="G207" s="23">
        <v>959.48</v>
      </c>
      <c r="H207" s="23"/>
      <c r="I207" s="13" t="s">
        <v>95</v>
      </c>
      <c r="J207" s="24" t="s">
        <v>21</v>
      </c>
      <c r="K207" s="24"/>
      <c r="L207" s="6" t="s">
        <v>22</v>
      </c>
      <c r="M207" s="25">
        <v>817091.01</v>
      </c>
      <c r="N207" s="25"/>
    </row>
    <row r="208" spans="1:14" ht="88.95" customHeight="1" outlineLevel="1" x14ac:dyDescent="0.2">
      <c r="A208" s="4" t="s">
        <v>91</v>
      </c>
      <c r="B208" s="22" t="s">
        <v>92</v>
      </c>
      <c r="C208" s="22"/>
      <c r="D208" s="5" t="s">
        <v>93</v>
      </c>
      <c r="E208" s="5" t="s">
        <v>256</v>
      </c>
      <c r="F208" s="13" t="s">
        <v>19</v>
      </c>
      <c r="G208" s="28">
        <v>2802.28</v>
      </c>
      <c r="H208" s="28"/>
      <c r="I208" s="13" t="s">
        <v>95</v>
      </c>
      <c r="J208" s="24" t="s">
        <v>21</v>
      </c>
      <c r="K208" s="24"/>
      <c r="L208" s="6" t="s">
        <v>22</v>
      </c>
      <c r="M208" s="25">
        <v>819893.29</v>
      </c>
      <c r="N208" s="25"/>
    </row>
    <row r="209" spans="1:14" ht="88.95" customHeight="1" outlineLevel="1" x14ac:dyDescent="0.2">
      <c r="A209" s="4" t="s">
        <v>91</v>
      </c>
      <c r="B209" s="22" t="s">
        <v>92</v>
      </c>
      <c r="C209" s="22"/>
      <c r="D209" s="5" t="s">
        <v>93</v>
      </c>
      <c r="E209" s="5" t="s">
        <v>257</v>
      </c>
      <c r="F209" s="13" t="s">
        <v>19</v>
      </c>
      <c r="G209" s="23">
        <v>962.4</v>
      </c>
      <c r="H209" s="23"/>
      <c r="I209" s="13" t="s">
        <v>95</v>
      </c>
      <c r="J209" s="24" t="s">
        <v>21</v>
      </c>
      <c r="K209" s="24"/>
      <c r="L209" s="6" t="s">
        <v>22</v>
      </c>
      <c r="M209" s="25">
        <v>820855.69</v>
      </c>
      <c r="N209" s="25"/>
    </row>
    <row r="210" spans="1:14" ht="88.95" customHeight="1" outlineLevel="1" x14ac:dyDescent="0.2">
      <c r="A210" s="4" t="s">
        <v>91</v>
      </c>
      <c r="B210" s="22" t="s">
        <v>92</v>
      </c>
      <c r="C210" s="22"/>
      <c r="D210" s="5" t="s">
        <v>93</v>
      </c>
      <c r="E210" s="5" t="s">
        <v>258</v>
      </c>
      <c r="F210" s="13" t="s">
        <v>19</v>
      </c>
      <c r="G210" s="23">
        <v>791.44</v>
      </c>
      <c r="H210" s="23"/>
      <c r="I210" s="13" t="s">
        <v>95</v>
      </c>
      <c r="J210" s="24" t="s">
        <v>21</v>
      </c>
      <c r="K210" s="24"/>
      <c r="L210" s="6" t="s">
        <v>22</v>
      </c>
      <c r="M210" s="25">
        <v>821647.13</v>
      </c>
      <c r="N210" s="25"/>
    </row>
    <row r="211" spans="1:14" ht="88.95" customHeight="1" outlineLevel="1" x14ac:dyDescent="0.2">
      <c r="A211" s="4" t="s">
        <v>91</v>
      </c>
      <c r="B211" s="22" t="s">
        <v>92</v>
      </c>
      <c r="C211" s="22"/>
      <c r="D211" s="5" t="s">
        <v>93</v>
      </c>
      <c r="E211" s="5" t="s">
        <v>259</v>
      </c>
      <c r="F211" s="13" t="s">
        <v>19</v>
      </c>
      <c r="G211" s="28">
        <v>8972.9500000000007</v>
      </c>
      <c r="H211" s="28"/>
      <c r="I211" s="13" t="s">
        <v>95</v>
      </c>
      <c r="J211" s="24" t="s">
        <v>21</v>
      </c>
      <c r="K211" s="24"/>
      <c r="L211" s="6" t="s">
        <v>22</v>
      </c>
      <c r="M211" s="25">
        <v>830620.08</v>
      </c>
      <c r="N211" s="25"/>
    </row>
    <row r="212" spans="1:14" ht="88.95" customHeight="1" outlineLevel="1" x14ac:dyDescent="0.2">
      <c r="A212" s="4" t="s">
        <v>91</v>
      </c>
      <c r="B212" s="22" t="s">
        <v>92</v>
      </c>
      <c r="C212" s="22"/>
      <c r="D212" s="5" t="s">
        <v>93</v>
      </c>
      <c r="E212" s="5" t="s">
        <v>260</v>
      </c>
      <c r="F212" s="13" t="s">
        <v>19</v>
      </c>
      <c r="G212" s="28">
        <v>2445.67</v>
      </c>
      <c r="H212" s="28"/>
      <c r="I212" s="13" t="s">
        <v>95</v>
      </c>
      <c r="J212" s="24" t="s">
        <v>21</v>
      </c>
      <c r="K212" s="24"/>
      <c r="L212" s="6" t="s">
        <v>22</v>
      </c>
      <c r="M212" s="25">
        <v>833065.75</v>
      </c>
      <c r="N212" s="25"/>
    </row>
    <row r="213" spans="1:14" ht="88.95" customHeight="1" outlineLevel="1" x14ac:dyDescent="0.2">
      <c r="A213" s="4" t="s">
        <v>91</v>
      </c>
      <c r="B213" s="22" t="s">
        <v>92</v>
      </c>
      <c r="C213" s="22"/>
      <c r="D213" s="5" t="s">
        <v>93</v>
      </c>
      <c r="E213" s="5" t="s">
        <v>261</v>
      </c>
      <c r="F213" s="13" t="s">
        <v>19</v>
      </c>
      <c r="G213" s="28">
        <v>1972.7</v>
      </c>
      <c r="H213" s="28"/>
      <c r="I213" s="13" t="s">
        <v>95</v>
      </c>
      <c r="J213" s="24" t="s">
        <v>21</v>
      </c>
      <c r="K213" s="24"/>
      <c r="L213" s="6" t="s">
        <v>22</v>
      </c>
      <c r="M213" s="25">
        <v>835038.45</v>
      </c>
      <c r="N213" s="25"/>
    </row>
    <row r="214" spans="1:14" ht="88.95" customHeight="1" outlineLevel="1" x14ac:dyDescent="0.2">
      <c r="A214" s="4" t="s">
        <v>91</v>
      </c>
      <c r="B214" s="22" t="s">
        <v>92</v>
      </c>
      <c r="C214" s="22"/>
      <c r="D214" s="5" t="s">
        <v>93</v>
      </c>
      <c r="E214" s="5" t="s">
        <v>262</v>
      </c>
      <c r="F214" s="13" t="s">
        <v>19</v>
      </c>
      <c r="G214" s="28">
        <v>17227.810000000001</v>
      </c>
      <c r="H214" s="28"/>
      <c r="I214" s="13" t="s">
        <v>95</v>
      </c>
      <c r="J214" s="24" t="s">
        <v>21</v>
      </c>
      <c r="K214" s="24"/>
      <c r="L214" s="6" t="s">
        <v>22</v>
      </c>
      <c r="M214" s="25">
        <v>852266.26</v>
      </c>
      <c r="N214" s="25"/>
    </row>
    <row r="215" spans="1:14" ht="88.95" customHeight="1" outlineLevel="1" x14ac:dyDescent="0.2">
      <c r="A215" s="4" t="s">
        <v>91</v>
      </c>
      <c r="B215" s="22" t="s">
        <v>92</v>
      </c>
      <c r="C215" s="22"/>
      <c r="D215" s="5" t="s">
        <v>93</v>
      </c>
      <c r="E215" s="5" t="s">
        <v>263</v>
      </c>
      <c r="F215" s="13" t="s">
        <v>19</v>
      </c>
      <c r="G215" s="28">
        <v>16600</v>
      </c>
      <c r="H215" s="28"/>
      <c r="I215" s="13" t="s">
        <v>95</v>
      </c>
      <c r="J215" s="24" t="s">
        <v>21</v>
      </c>
      <c r="K215" s="24"/>
      <c r="L215" s="6" t="s">
        <v>22</v>
      </c>
      <c r="M215" s="25">
        <v>868866.26</v>
      </c>
      <c r="N215" s="25"/>
    </row>
    <row r="216" spans="1:14" ht="88.95" customHeight="1" outlineLevel="1" x14ac:dyDescent="0.2">
      <c r="A216" s="4" t="s">
        <v>91</v>
      </c>
      <c r="B216" s="22" t="s">
        <v>92</v>
      </c>
      <c r="C216" s="22"/>
      <c r="D216" s="5" t="s">
        <v>93</v>
      </c>
      <c r="E216" s="5" t="s">
        <v>264</v>
      </c>
      <c r="F216" s="13" t="s">
        <v>19</v>
      </c>
      <c r="G216" s="23">
        <v>308.11</v>
      </c>
      <c r="H216" s="23"/>
      <c r="I216" s="13" t="s">
        <v>95</v>
      </c>
      <c r="J216" s="24" t="s">
        <v>21</v>
      </c>
      <c r="K216" s="24"/>
      <c r="L216" s="6" t="s">
        <v>22</v>
      </c>
      <c r="M216" s="25">
        <v>869174.37</v>
      </c>
      <c r="N216" s="25"/>
    </row>
    <row r="217" spans="1:14" ht="88.95" customHeight="1" outlineLevel="1" x14ac:dyDescent="0.2">
      <c r="A217" s="4" t="s">
        <v>91</v>
      </c>
      <c r="B217" s="22" t="s">
        <v>92</v>
      </c>
      <c r="C217" s="22"/>
      <c r="D217" s="5" t="s">
        <v>93</v>
      </c>
      <c r="E217" s="5" t="s">
        <v>265</v>
      </c>
      <c r="F217" s="13" t="s">
        <v>19</v>
      </c>
      <c r="G217" s="23">
        <v>616.22</v>
      </c>
      <c r="H217" s="23"/>
      <c r="I217" s="13" t="s">
        <v>95</v>
      </c>
      <c r="J217" s="24" t="s">
        <v>21</v>
      </c>
      <c r="K217" s="24"/>
      <c r="L217" s="6" t="s">
        <v>22</v>
      </c>
      <c r="M217" s="25">
        <v>869790.59</v>
      </c>
      <c r="N217" s="25"/>
    </row>
    <row r="218" spans="1:14" ht="88.95" customHeight="1" outlineLevel="1" x14ac:dyDescent="0.2">
      <c r="A218" s="4" t="s">
        <v>91</v>
      </c>
      <c r="B218" s="22" t="s">
        <v>92</v>
      </c>
      <c r="C218" s="22"/>
      <c r="D218" s="5" t="s">
        <v>93</v>
      </c>
      <c r="E218" s="5" t="s">
        <v>266</v>
      </c>
      <c r="F218" s="13" t="s">
        <v>19</v>
      </c>
      <c r="G218" s="28">
        <v>130311.43</v>
      </c>
      <c r="H218" s="28"/>
      <c r="I218" s="13" t="s">
        <v>95</v>
      </c>
      <c r="J218" s="24" t="s">
        <v>21</v>
      </c>
      <c r="K218" s="24"/>
      <c r="L218" s="6" t="s">
        <v>22</v>
      </c>
      <c r="M218" s="25">
        <v>1000102.02</v>
      </c>
      <c r="N218" s="25"/>
    </row>
    <row r="219" spans="1:14" ht="88.95" customHeight="1" outlineLevel="1" x14ac:dyDescent="0.2">
      <c r="A219" s="4" t="s">
        <v>91</v>
      </c>
      <c r="B219" s="22" t="s">
        <v>92</v>
      </c>
      <c r="C219" s="22"/>
      <c r="D219" s="5" t="s">
        <v>93</v>
      </c>
      <c r="E219" s="5" t="s">
        <v>267</v>
      </c>
      <c r="F219" s="13" t="s">
        <v>19</v>
      </c>
      <c r="G219" s="23">
        <v>525</v>
      </c>
      <c r="H219" s="23"/>
      <c r="I219" s="13" t="s">
        <v>95</v>
      </c>
      <c r="J219" s="24" t="s">
        <v>21</v>
      </c>
      <c r="K219" s="24"/>
      <c r="L219" s="6" t="s">
        <v>22</v>
      </c>
      <c r="M219" s="25">
        <v>1000627.02</v>
      </c>
      <c r="N219" s="25"/>
    </row>
    <row r="220" spans="1:14" ht="88.95" customHeight="1" outlineLevel="1" x14ac:dyDescent="0.2">
      <c r="A220" s="4" t="s">
        <v>91</v>
      </c>
      <c r="B220" s="22" t="s">
        <v>92</v>
      </c>
      <c r="C220" s="22"/>
      <c r="D220" s="5" t="s">
        <v>93</v>
      </c>
      <c r="E220" s="5" t="s">
        <v>268</v>
      </c>
      <c r="F220" s="13" t="s">
        <v>19</v>
      </c>
      <c r="G220" s="28">
        <v>10960</v>
      </c>
      <c r="H220" s="28"/>
      <c r="I220" s="13" t="s">
        <v>95</v>
      </c>
      <c r="J220" s="24" t="s">
        <v>21</v>
      </c>
      <c r="K220" s="24"/>
      <c r="L220" s="6" t="s">
        <v>22</v>
      </c>
      <c r="M220" s="25">
        <v>1011587.02</v>
      </c>
      <c r="N220" s="25"/>
    </row>
    <row r="221" spans="1:14" ht="88.95" customHeight="1" outlineLevel="1" x14ac:dyDescent="0.2">
      <c r="A221" s="4" t="s">
        <v>91</v>
      </c>
      <c r="B221" s="22" t="s">
        <v>92</v>
      </c>
      <c r="C221" s="22"/>
      <c r="D221" s="5" t="s">
        <v>93</v>
      </c>
      <c r="E221" s="5" t="s">
        <v>269</v>
      </c>
      <c r="F221" s="13" t="s">
        <v>19</v>
      </c>
      <c r="G221" s="28">
        <v>6000</v>
      </c>
      <c r="H221" s="28"/>
      <c r="I221" s="13" t="s">
        <v>95</v>
      </c>
      <c r="J221" s="24" t="s">
        <v>21</v>
      </c>
      <c r="K221" s="24"/>
      <c r="L221" s="6" t="s">
        <v>22</v>
      </c>
      <c r="M221" s="25">
        <v>1017587.02</v>
      </c>
      <c r="N221" s="25"/>
    </row>
    <row r="222" spans="1:14" ht="88.95" customHeight="1" outlineLevel="1" x14ac:dyDescent="0.2">
      <c r="A222" s="4" t="s">
        <v>91</v>
      </c>
      <c r="B222" s="22" t="s">
        <v>92</v>
      </c>
      <c r="C222" s="22"/>
      <c r="D222" s="5" t="s">
        <v>93</v>
      </c>
      <c r="E222" s="5" t="s">
        <v>270</v>
      </c>
      <c r="F222" s="13" t="s">
        <v>19</v>
      </c>
      <c r="G222" s="28">
        <v>1368</v>
      </c>
      <c r="H222" s="28"/>
      <c r="I222" s="13" t="s">
        <v>95</v>
      </c>
      <c r="J222" s="24" t="s">
        <v>21</v>
      </c>
      <c r="K222" s="24"/>
      <c r="L222" s="6" t="s">
        <v>22</v>
      </c>
      <c r="M222" s="25">
        <v>1018955.02</v>
      </c>
      <c r="N222" s="25"/>
    </row>
    <row r="223" spans="1:14" ht="100.05" customHeight="1" outlineLevel="1" x14ac:dyDescent="0.2">
      <c r="A223" s="4" t="s">
        <v>91</v>
      </c>
      <c r="B223" s="22" t="s">
        <v>92</v>
      </c>
      <c r="C223" s="22"/>
      <c r="D223" s="5" t="s">
        <v>93</v>
      </c>
      <c r="E223" s="5" t="s">
        <v>271</v>
      </c>
      <c r="F223" s="13" t="s">
        <v>19</v>
      </c>
      <c r="G223" s="28">
        <v>1500</v>
      </c>
      <c r="H223" s="28"/>
      <c r="I223" s="13" t="s">
        <v>95</v>
      </c>
      <c r="J223" s="24" t="s">
        <v>21</v>
      </c>
      <c r="K223" s="24"/>
      <c r="L223" s="6" t="s">
        <v>22</v>
      </c>
      <c r="M223" s="25">
        <v>1020455.02</v>
      </c>
      <c r="N223" s="25"/>
    </row>
    <row r="224" spans="1:14" ht="88.95" customHeight="1" outlineLevel="1" x14ac:dyDescent="0.2">
      <c r="A224" s="4" t="s">
        <v>91</v>
      </c>
      <c r="B224" s="22" t="s">
        <v>92</v>
      </c>
      <c r="C224" s="22"/>
      <c r="D224" s="5" t="s">
        <v>93</v>
      </c>
      <c r="E224" s="5" t="s">
        <v>272</v>
      </c>
      <c r="F224" s="13" t="s">
        <v>19</v>
      </c>
      <c r="G224" s="28">
        <v>126894.6</v>
      </c>
      <c r="H224" s="28"/>
      <c r="I224" s="13" t="s">
        <v>95</v>
      </c>
      <c r="J224" s="24" t="s">
        <v>21</v>
      </c>
      <c r="K224" s="24"/>
      <c r="L224" s="6" t="s">
        <v>22</v>
      </c>
      <c r="M224" s="25">
        <v>1147349.6200000001</v>
      </c>
      <c r="N224" s="25"/>
    </row>
    <row r="225" spans="1:14" ht="88.95" customHeight="1" outlineLevel="1" x14ac:dyDescent="0.2">
      <c r="A225" s="4" t="s">
        <v>91</v>
      </c>
      <c r="B225" s="22" t="s">
        <v>92</v>
      </c>
      <c r="C225" s="22"/>
      <c r="D225" s="5" t="s">
        <v>93</v>
      </c>
      <c r="E225" s="5" t="s">
        <v>273</v>
      </c>
      <c r="F225" s="13" t="s">
        <v>19</v>
      </c>
      <c r="G225" s="28">
        <v>3627.9</v>
      </c>
      <c r="H225" s="28"/>
      <c r="I225" s="13" t="s">
        <v>95</v>
      </c>
      <c r="J225" s="24" t="s">
        <v>21</v>
      </c>
      <c r="K225" s="24"/>
      <c r="L225" s="6" t="s">
        <v>22</v>
      </c>
      <c r="M225" s="25">
        <v>1150977.52</v>
      </c>
      <c r="N225" s="25"/>
    </row>
    <row r="226" spans="1:14" ht="88.95" customHeight="1" outlineLevel="1" x14ac:dyDescent="0.2">
      <c r="A226" s="4" t="s">
        <v>91</v>
      </c>
      <c r="B226" s="22" t="s">
        <v>92</v>
      </c>
      <c r="C226" s="22"/>
      <c r="D226" s="5" t="s">
        <v>93</v>
      </c>
      <c r="E226" s="5" t="s">
        <v>274</v>
      </c>
      <c r="F226" s="13" t="s">
        <v>19</v>
      </c>
      <c r="G226" s="23">
        <v>101</v>
      </c>
      <c r="H226" s="23"/>
      <c r="I226" s="13" t="s">
        <v>95</v>
      </c>
      <c r="J226" s="24" t="s">
        <v>21</v>
      </c>
      <c r="K226" s="24"/>
      <c r="L226" s="6" t="s">
        <v>22</v>
      </c>
      <c r="M226" s="25">
        <v>1151078.52</v>
      </c>
      <c r="N226" s="25"/>
    </row>
    <row r="227" spans="1:14" ht="88.95" customHeight="1" outlineLevel="1" x14ac:dyDescent="0.2">
      <c r="A227" s="4" t="s">
        <v>91</v>
      </c>
      <c r="B227" s="22" t="s">
        <v>92</v>
      </c>
      <c r="C227" s="22"/>
      <c r="D227" s="5" t="s">
        <v>93</v>
      </c>
      <c r="E227" s="5" t="s">
        <v>275</v>
      </c>
      <c r="F227" s="13" t="s">
        <v>19</v>
      </c>
      <c r="G227" s="23">
        <v>87.3</v>
      </c>
      <c r="H227" s="23"/>
      <c r="I227" s="13" t="s">
        <v>95</v>
      </c>
      <c r="J227" s="24" t="s">
        <v>21</v>
      </c>
      <c r="K227" s="24"/>
      <c r="L227" s="6" t="s">
        <v>22</v>
      </c>
      <c r="M227" s="25">
        <v>1151165.82</v>
      </c>
      <c r="N227" s="25"/>
    </row>
    <row r="228" spans="1:14" ht="88.95" customHeight="1" outlineLevel="1" x14ac:dyDescent="0.2">
      <c r="A228" s="4" t="s">
        <v>91</v>
      </c>
      <c r="B228" s="22" t="s">
        <v>92</v>
      </c>
      <c r="C228" s="22"/>
      <c r="D228" s="5" t="s">
        <v>93</v>
      </c>
      <c r="E228" s="5" t="s">
        <v>276</v>
      </c>
      <c r="F228" s="13" t="s">
        <v>19</v>
      </c>
      <c r="G228" s="28">
        <v>6046</v>
      </c>
      <c r="H228" s="28"/>
      <c r="I228" s="13" t="s">
        <v>95</v>
      </c>
      <c r="J228" s="24" t="s">
        <v>21</v>
      </c>
      <c r="K228" s="24"/>
      <c r="L228" s="6" t="s">
        <v>22</v>
      </c>
      <c r="M228" s="25">
        <v>1157211.82</v>
      </c>
      <c r="N228" s="25"/>
    </row>
    <row r="229" spans="1:14" ht="88.95" customHeight="1" outlineLevel="1" x14ac:dyDescent="0.2">
      <c r="A229" s="4" t="s">
        <v>91</v>
      </c>
      <c r="B229" s="22" t="s">
        <v>92</v>
      </c>
      <c r="C229" s="22"/>
      <c r="D229" s="5" t="s">
        <v>93</v>
      </c>
      <c r="E229" s="5" t="s">
        <v>277</v>
      </c>
      <c r="F229" s="13" t="s">
        <v>19</v>
      </c>
      <c r="G229" s="23">
        <v>331.1</v>
      </c>
      <c r="H229" s="23"/>
      <c r="I229" s="13" t="s">
        <v>95</v>
      </c>
      <c r="J229" s="24" t="s">
        <v>21</v>
      </c>
      <c r="K229" s="24"/>
      <c r="L229" s="6" t="s">
        <v>22</v>
      </c>
      <c r="M229" s="25">
        <v>1157542.92</v>
      </c>
      <c r="N229" s="25"/>
    </row>
    <row r="230" spans="1:14" ht="88.95" customHeight="1" outlineLevel="1" x14ac:dyDescent="0.2">
      <c r="A230" s="4" t="s">
        <v>91</v>
      </c>
      <c r="B230" s="22" t="s">
        <v>92</v>
      </c>
      <c r="C230" s="22"/>
      <c r="D230" s="5" t="s">
        <v>93</v>
      </c>
      <c r="E230" s="5" t="s">
        <v>278</v>
      </c>
      <c r="F230" s="13" t="s">
        <v>19</v>
      </c>
      <c r="G230" s="23">
        <v>59.1</v>
      </c>
      <c r="H230" s="23"/>
      <c r="I230" s="13" t="s">
        <v>95</v>
      </c>
      <c r="J230" s="24" t="s">
        <v>21</v>
      </c>
      <c r="K230" s="24"/>
      <c r="L230" s="6" t="s">
        <v>22</v>
      </c>
      <c r="M230" s="25">
        <v>1157602.02</v>
      </c>
      <c r="N230" s="25"/>
    </row>
    <row r="231" spans="1:14" ht="100.05" customHeight="1" outlineLevel="1" x14ac:dyDescent="0.2">
      <c r="A231" s="4" t="s">
        <v>91</v>
      </c>
      <c r="B231" s="22" t="s">
        <v>92</v>
      </c>
      <c r="C231" s="22"/>
      <c r="D231" s="5" t="s">
        <v>93</v>
      </c>
      <c r="E231" s="5" t="s">
        <v>279</v>
      </c>
      <c r="F231" s="13" t="s">
        <v>19</v>
      </c>
      <c r="G231" s="28">
        <v>18071.2</v>
      </c>
      <c r="H231" s="28"/>
      <c r="I231" s="13" t="s">
        <v>95</v>
      </c>
      <c r="J231" s="24" t="s">
        <v>21</v>
      </c>
      <c r="K231" s="24"/>
      <c r="L231" s="6" t="s">
        <v>22</v>
      </c>
      <c r="M231" s="25">
        <v>1175673.22</v>
      </c>
      <c r="N231" s="25"/>
    </row>
    <row r="232" spans="1:14" ht="88.95" customHeight="1" outlineLevel="1" x14ac:dyDescent="0.2">
      <c r="A232" s="4" t="s">
        <v>91</v>
      </c>
      <c r="B232" s="22" t="s">
        <v>92</v>
      </c>
      <c r="C232" s="22"/>
      <c r="D232" s="5" t="s">
        <v>93</v>
      </c>
      <c r="E232" s="5" t="s">
        <v>280</v>
      </c>
      <c r="F232" s="13" t="s">
        <v>19</v>
      </c>
      <c r="G232" s="23">
        <v>148.33000000000001</v>
      </c>
      <c r="H232" s="23"/>
      <c r="I232" s="13" t="s">
        <v>95</v>
      </c>
      <c r="J232" s="24" t="s">
        <v>21</v>
      </c>
      <c r="K232" s="24"/>
      <c r="L232" s="6" t="s">
        <v>22</v>
      </c>
      <c r="M232" s="25">
        <v>1175821.55</v>
      </c>
      <c r="N232" s="25"/>
    </row>
    <row r="233" spans="1:14" ht="88.95" customHeight="1" outlineLevel="1" x14ac:dyDescent="0.2">
      <c r="A233" s="4" t="s">
        <v>91</v>
      </c>
      <c r="B233" s="22" t="s">
        <v>92</v>
      </c>
      <c r="C233" s="22"/>
      <c r="D233" s="5" t="s">
        <v>93</v>
      </c>
      <c r="E233" s="5" t="s">
        <v>281</v>
      </c>
      <c r="F233" s="13" t="s">
        <v>19</v>
      </c>
      <c r="G233" s="28">
        <v>1412.5</v>
      </c>
      <c r="H233" s="28"/>
      <c r="I233" s="13" t="s">
        <v>95</v>
      </c>
      <c r="J233" s="24" t="s">
        <v>21</v>
      </c>
      <c r="K233" s="24"/>
      <c r="L233" s="6" t="s">
        <v>22</v>
      </c>
      <c r="M233" s="25">
        <v>1177234.05</v>
      </c>
      <c r="N233" s="25"/>
    </row>
    <row r="234" spans="1:14" ht="88.95" customHeight="1" outlineLevel="1" x14ac:dyDescent="0.2">
      <c r="A234" s="4" t="s">
        <v>91</v>
      </c>
      <c r="B234" s="22" t="s">
        <v>92</v>
      </c>
      <c r="C234" s="22"/>
      <c r="D234" s="5" t="s">
        <v>93</v>
      </c>
      <c r="E234" s="5" t="s">
        <v>282</v>
      </c>
      <c r="F234" s="13" t="s">
        <v>19</v>
      </c>
      <c r="G234" s="28">
        <v>4916.67</v>
      </c>
      <c r="H234" s="28"/>
      <c r="I234" s="13" t="s">
        <v>95</v>
      </c>
      <c r="J234" s="24" t="s">
        <v>21</v>
      </c>
      <c r="K234" s="24"/>
      <c r="L234" s="6" t="s">
        <v>22</v>
      </c>
      <c r="M234" s="25">
        <v>1182150.72</v>
      </c>
      <c r="N234" s="25"/>
    </row>
    <row r="235" spans="1:14" ht="88.95" customHeight="1" outlineLevel="1" x14ac:dyDescent="0.2">
      <c r="A235" s="4" t="s">
        <v>91</v>
      </c>
      <c r="B235" s="22" t="s">
        <v>92</v>
      </c>
      <c r="C235" s="22"/>
      <c r="D235" s="5" t="s">
        <v>93</v>
      </c>
      <c r="E235" s="5" t="s">
        <v>283</v>
      </c>
      <c r="F235" s="13" t="s">
        <v>19</v>
      </c>
      <c r="G235" s="28">
        <v>1459.58</v>
      </c>
      <c r="H235" s="28"/>
      <c r="I235" s="13" t="s">
        <v>95</v>
      </c>
      <c r="J235" s="24" t="s">
        <v>21</v>
      </c>
      <c r="K235" s="24"/>
      <c r="L235" s="6" t="s">
        <v>22</v>
      </c>
      <c r="M235" s="25">
        <v>1183610.3</v>
      </c>
      <c r="N235" s="25"/>
    </row>
    <row r="236" spans="1:14" ht="88.95" customHeight="1" outlineLevel="1" x14ac:dyDescent="0.2">
      <c r="A236" s="4" t="s">
        <v>91</v>
      </c>
      <c r="B236" s="22" t="s">
        <v>92</v>
      </c>
      <c r="C236" s="22"/>
      <c r="D236" s="5" t="s">
        <v>93</v>
      </c>
      <c r="E236" s="5" t="s">
        <v>284</v>
      </c>
      <c r="F236" s="13" t="s">
        <v>19</v>
      </c>
      <c r="G236" s="28">
        <v>2825</v>
      </c>
      <c r="H236" s="28"/>
      <c r="I236" s="13" t="s">
        <v>95</v>
      </c>
      <c r="J236" s="24" t="s">
        <v>21</v>
      </c>
      <c r="K236" s="24"/>
      <c r="L236" s="6" t="s">
        <v>22</v>
      </c>
      <c r="M236" s="25">
        <v>1186435.3</v>
      </c>
      <c r="N236" s="25"/>
    </row>
    <row r="237" spans="1:14" ht="88.95" customHeight="1" outlineLevel="1" x14ac:dyDescent="0.2">
      <c r="A237" s="4" t="s">
        <v>91</v>
      </c>
      <c r="B237" s="22" t="s">
        <v>92</v>
      </c>
      <c r="C237" s="22"/>
      <c r="D237" s="5" t="s">
        <v>93</v>
      </c>
      <c r="E237" s="5" t="s">
        <v>285</v>
      </c>
      <c r="F237" s="13" t="s">
        <v>19</v>
      </c>
      <c r="G237" s="28">
        <v>11300</v>
      </c>
      <c r="H237" s="28"/>
      <c r="I237" s="13" t="s">
        <v>95</v>
      </c>
      <c r="J237" s="24" t="s">
        <v>21</v>
      </c>
      <c r="K237" s="24"/>
      <c r="L237" s="6" t="s">
        <v>22</v>
      </c>
      <c r="M237" s="25">
        <v>1197735.3</v>
      </c>
      <c r="N237" s="25"/>
    </row>
    <row r="238" spans="1:14" ht="88.95" customHeight="1" outlineLevel="1" x14ac:dyDescent="0.2">
      <c r="A238" s="4" t="s">
        <v>91</v>
      </c>
      <c r="B238" s="22" t="s">
        <v>92</v>
      </c>
      <c r="C238" s="22"/>
      <c r="D238" s="5" t="s">
        <v>93</v>
      </c>
      <c r="E238" s="5" t="s">
        <v>286</v>
      </c>
      <c r="F238" s="13" t="s">
        <v>19</v>
      </c>
      <c r="G238" s="28">
        <v>20864.73</v>
      </c>
      <c r="H238" s="28"/>
      <c r="I238" s="13" t="s">
        <v>95</v>
      </c>
      <c r="J238" s="24" t="s">
        <v>21</v>
      </c>
      <c r="K238" s="24"/>
      <c r="L238" s="6" t="s">
        <v>22</v>
      </c>
      <c r="M238" s="25">
        <v>1218600.03</v>
      </c>
      <c r="N238" s="25"/>
    </row>
    <row r="239" spans="1:14" ht="100.05" customHeight="1" outlineLevel="1" x14ac:dyDescent="0.2">
      <c r="A239" s="4" t="s">
        <v>91</v>
      </c>
      <c r="B239" s="22" t="s">
        <v>92</v>
      </c>
      <c r="C239" s="22"/>
      <c r="D239" s="5" t="s">
        <v>93</v>
      </c>
      <c r="E239" s="5" t="s">
        <v>287</v>
      </c>
      <c r="F239" s="13" t="s">
        <v>19</v>
      </c>
      <c r="G239" s="23">
        <v>77.2</v>
      </c>
      <c r="H239" s="23"/>
      <c r="I239" s="13" t="s">
        <v>95</v>
      </c>
      <c r="J239" s="24" t="s">
        <v>21</v>
      </c>
      <c r="K239" s="24"/>
      <c r="L239" s="6" t="s">
        <v>22</v>
      </c>
      <c r="M239" s="25">
        <v>1218677.23</v>
      </c>
      <c r="N239" s="25"/>
    </row>
    <row r="240" spans="1:14" ht="100.05" customHeight="1" outlineLevel="1" x14ac:dyDescent="0.2">
      <c r="A240" s="4" t="s">
        <v>91</v>
      </c>
      <c r="B240" s="22" t="s">
        <v>92</v>
      </c>
      <c r="C240" s="22"/>
      <c r="D240" s="5" t="s">
        <v>93</v>
      </c>
      <c r="E240" s="5" t="s">
        <v>288</v>
      </c>
      <c r="F240" s="13" t="s">
        <v>19</v>
      </c>
      <c r="G240" s="23">
        <v>38.6</v>
      </c>
      <c r="H240" s="23"/>
      <c r="I240" s="13" t="s">
        <v>95</v>
      </c>
      <c r="J240" s="24" t="s">
        <v>21</v>
      </c>
      <c r="K240" s="24"/>
      <c r="L240" s="6" t="s">
        <v>22</v>
      </c>
      <c r="M240" s="25">
        <v>1218715.83</v>
      </c>
      <c r="N240" s="25"/>
    </row>
    <row r="241" spans="1:14" ht="88.95" customHeight="1" outlineLevel="1" x14ac:dyDescent="0.2">
      <c r="A241" s="4" t="s">
        <v>91</v>
      </c>
      <c r="B241" s="22" t="s">
        <v>92</v>
      </c>
      <c r="C241" s="22"/>
      <c r="D241" s="5" t="s">
        <v>93</v>
      </c>
      <c r="E241" s="5" t="s">
        <v>289</v>
      </c>
      <c r="F241" s="13" t="s">
        <v>19</v>
      </c>
      <c r="G241" s="23">
        <v>94</v>
      </c>
      <c r="H241" s="23"/>
      <c r="I241" s="13" t="s">
        <v>95</v>
      </c>
      <c r="J241" s="24" t="s">
        <v>21</v>
      </c>
      <c r="K241" s="24"/>
      <c r="L241" s="6" t="s">
        <v>22</v>
      </c>
      <c r="M241" s="25">
        <v>1218809.83</v>
      </c>
      <c r="N241" s="25"/>
    </row>
    <row r="242" spans="1:14" ht="88.95" customHeight="1" outlineLevel="1" x14ac:dyDescent="0.2">
      <c r="A242" s="4" t="s">
        <v>91</v>
      </c>
      <c r="B242" s="22" t="s">
        <v>92</v>
      </c>
      <c r="C242" s="22"/>
      <c r="D242" s="5" t="s">
        <v>93</v>
      </c>
      <c r="E242" s="5" t="s">
        <v>290</v>
      </c>
      <c r="F242" s="13" t="s">
        <v>19</v>
      </c>
      <c r="G242" s="23">
        <v>23.6</v>
      </c>
      <c r="H242" s="23"/>
      <c r="I242" s="13" t="s">
        <v>95</v>
      </c>
      <c r="J242" s="24" t="s">
        <v>21</v>
      </c>
      <c r="K242" s="24"/>
      <c r="L242" s="6" t="s">
        <v>22</v>
      </c>
      <c r="M242" s="25">
        <v>1218833.43</v>
      </c>
      <c r="N242" s="25"/>
    </row>
    <row r="243" spans="1:14" ht="88.95" customHeight="1" outlineLevel="1" x14ac:dyDescent="0.2">
      <c r="A243" s="4" t="s">
        <v>91</v>
      </c>
      <c r="B243" s="22" t="s">
        <v>92</v>
      </c>
      <c r="C243" s="22"/>
      <c r="D243" s="5" t="s">
        <v>93</v>
      </c>
      <c r="E243" s="5" t="s">
        <v>291</v>
      </c>
      <c r="F243" s="13" t="s">
        <v>19</v>
      </c>
      <c r="G243" s="23">
        <v>111.7</v>
      </c>
      <c r="H243" s="23"/>
      <c r="I243" s="13" t="s">
        <v>95</v>
      </c>
      <c r="J243" s="24" t="s">
        <v>21</v>
      </c>
      <c r="K243" s="24"/>
      <c r="L243" s="6" t="s">
        <v>22</v>
      </c>
      <c r="M243" s="25">
        <v>1218945.1299999999</v>
      </c>
      <c r="N243" s="25"/>
    </row>
    <row r="244" spans="1:14" ht="88.95" customHeight="1" outlineLevel="1" x14ac:dyDescent="0.2">
      <c r="A244" s="4" t="s">
        <v>91</v>
      </c>
      <c r="B244" s="22" t="s">
        <v>92</v>
      </c>
      <c r="C244" s="22"/>
      <c r="D244" s="5" t="s">
        <v>93</v>
      </c>
      <c r="E244" s="5" t="s">
        <v>292</v>
      </c>
      <c r="F244" s="13" t="s">
        <v>19</v>
      </c>
      <c r="G244" s="23">
        <v>50.5</v>
      </c>
      <c r="H244" s="23"/>
      <c r="I244" s="13" t="s">
        <v>95</v>
      </c>
      <c r="J244" s="24" t="s">
        <v>21</v>
      </c>
      <c r="K244" s="24"/>
      <c r="L244" s="6" t="s">
        <v>22</v>
      </c>
      <c r="M244" s="25">
        <v>1218995.6299999999</v>
      </c>
      <c r="N244" s="25"/>
    </row>
    <row r="245" spans="1:14" ht="88.95" customHeight="1" outlineLevel="1" x14ac:dyDescent="0.2">
      <c r="A245" s="4" t="s">
        <v>91</v>
      </c>
      <c r="B245" s="22" t="s">
        <v>92</v>
      </c>
      <c r="C245" s="22"/>
      <c r="D245" s="5" t="s">
        <v>93</v>
      </c>
      <c r="E245" s="5" t="s">
        <v>293</v>
      </c>
      <c r="F245" s="13" t="s">
        <v>19</v>
      </c>
      <c r="G245" s="23">
        <v>245</v>
      </c>
      <c r="H245" s="23"/>
      <c r="I245" s="13" t="s">
        <v>95</v>
      </c>
      <c r="J245" s="24" t="s">
        <v>21</v>
      </c>
      <c r="K245" s="24"/>
      <c r="L245" s="6" t="s">
        <v>22</v>
      </c>
      <c r="M245" s="25">
        <v>1219240.6299999999</v>
      </c>
      <c r="N245" s="25"/>
    </row>
    <row r="246" spans="1:14" ht="88.95" customHeight="1" outlineLevel="1" x14ac:dyDescent="0.2">
      <c r="A246" s="4" t="s">
        <v>91</v>
      </c>
      <c r="B246" s="22" t="s">
        <v>92</v>
      </c>
      <c r="C246" s="22"/>
      <c r="D246" s="5" t="s">
        <v>93</v>
      </c>
      <c r="E246" s="5" t="s">
        <v>294</v>
      </c>
      <c r="F246" s="13" t="s">
        <v>19</v>
      </c>
      <c r="G246" s="23">
        <v>84</v>
      </c>
      <c r="H246" s="23"/>
      <c r="I246" s="13" t="s">
        <v>95</v>
      </c>
      <c r="J246" s="24" t="s">
        <v>21</v>
      </c>
      <c r="K246" s="24"/>
      <c r="L246" s="6" t="s">
        <v>22</v>
      </c>
      <c r="M246" s="25">
        <v>1219324.6299999999</v>
      </c>
      <c r="N246" s="25"/>
    </row>
    <row r="247" spans="1:14" ht="100.05" customHeight="1" outlineLevel="1" x14ac:dyDescent="0.2">
      <c r="A247" s="4" t="s">
        <v>91</v>
      </c>
      <c r="B247" s="22" t="s">
        <v>92</v>
      </c>
      <c r="C247" s="22"/>
      <c r="D247" s="5" t="s">
        <v>93</v>
      </c>
      <c r="E247" s="5" t="s">
        <v>295</v>
      </c>
      <c r="F247" s="13" t="s">
        <v>19</v>
      </c>
      <c r="G247" s="28">
        <v>12621.1</v>
      </c>
      <c r="H247" s="28"/>
      <c r="I247" s="13" t="s">
        <v>95</v>
      </c>
      <c r="J247" s="24" t="s">
        <v>21</v>
      </c>
      <c r="K247" s="24"/>
      <c r="L247" s="6" t="s">
        <v>22</v>
      </c>
      <c r="M247" s="25">
        <v>1231945.73</v>
      </c>
      <c r="N247" s="25"/>
    </row>
    <row r="248" spans="1:14" ht="88.95" customHeight="1" outlineLevel="1" x14ac:dyDescent="0.2">
      <c r="A248" s="4" t="s">
        <v>91</v>
      </c>
      <c r="B248" s="22" t="s">
        <v>92</v>
      </c>
      <c r="C248" s="22"/>
      <c r="D248" s="5" t="s">
        <v>93</v>
      </c>
      <c r="E248" s="5" t="s">
        <v>296</v>
      </c>
      <c r="F248" s="13" t="s">
        <v>19</v>
      </c>
      <c r="G248" s="28">
        <v>12629.5</v>
      </c>
      <c r="H248" s="28"/>
      <c r="I248" s="13" t="s">
        <v>95</v>
      </c>
      <c r="J248" s="24" t="s">
        <v>21</v>
      </c>
      <c r="K248" s="24"/>
      <c r="L248" s="6" t="s">
        <v>22</v>
      </c>
      <c r="M248" s="25">
        <v>1244575.23</v>
      </c>
      <c r="N248" s="25"/>
    </row>
    <row r="249" spans="1:14" ht="88.95" customHeight="1" outlineLevel="1" x14ac:dyDescent="0.2">
      <c r="A249" s="4" t="s">
        <v>91</v>
      </c>
      <c r="B249" s="22" t="s">
        <v>92</v>
      </c>
      <c r="C249" s="22"/>
      <c r="D249" s="5" t="s">
        <v>93</v>
      </c>
      <c r="E249" s="5" t="s">
        <v>297</v>
      </c>
      <c r="F249" s="13" t="s">
        <v>19</v>
      </c>
      <c r="G249" s="23">
        <v>133.80000000000001</v>
      </c>
      <c r="H249" s="23"/>
      <c r="I249" s="13" t="s">
        <v>95</v>
      </c>
      <c r="J249" s="24" t="s">
        <v>21</v>
      </c>
      <c r="K249" s="24"/>
      <c r="L249" s="6" t="s">
        <v>22</v>
      </c>
      <c r="M249" s="25">
        <v>1244709.03</v>
      </c>
      <c r="N249" s="25"/>
    </row>
    <row r="250" spans="1:14" ht="100.05" customHeight="1" outlineLevel="1" x14ac:dyDescent="0.2">
      <c r="A250" s="4" t="s">
        <v>91</v>
      </c>
      <c r="B250" s="22" t="s">
        <v>92</v>
      </c>
      <c r="C250" s="22"/>
      <c r="D250" s="5" t="s">
        <v>93</v>
      </c>
      <c r="E250" s="5" t="s">
        <v>298</v>
      </c>
      <c r="F250" s="13" t="s">
        <v>19</v>
      </c>
      <c r="G250" s="23">
        <v>91.65</v>
      </c>
      <c r="H250" s="23"/>
      <c r="I250" s="13" t="s">
        <v>95</v>
      </c>
      <c r="J250" s="24" t="s">
        <v>21</v>
      </c>
      <c r="K250" s="24"/>
      <c r="L250" s="6" t="s">
        <v>22</v>
      </c>
      <c r="M250" s="25">
        <v>1244800.68</v>
      </c>
      <c r="N250" s="25"/>
    </row>
    <row r="251" spans="1:14" ht="88.95" customHeight="1" outlineLevel="1" x14ac:dyDescent="0.2">
      <c r="A251" s="4" t="s">
        <v>91</v>
      </c>
      <c r="B251" s="22" t="s">
        <v>92</v>
      </c>
      <c r="C251" s="22"/>
      <c r="D251" s="5" t="s">
        <v>93</v>
      </c>
      <c r="E251" s="5" t="s">
        <v>299</v>
      </c>
      <c r="F251" s="13" t="s">
        <v>19</v>
      </c>
      <c r="G251" s="28">
        <v>18847.5</v>
      </c>
      <c r="H251" s="28"/>
      <c r="I251" s="13" t="s">
        <v>95</v>
      </c>
      <c r="J251" s="24" t="s">
        <v>21</v>
      </c>
      <c r="K251" s="24"/>
      <c r="L251" s="6" t="s">
        <v>22</v>
      </c>
      <c r="M251" s="25">
        <v>1263648.18</v>
      </c>
      <c r="N251" s="25"/>
    </row>
    <row r="252" spans="1:14" ht="88.95" customHeight="1" outlineLevel="1" x14ac:dyDescent="0.2">
      <c r="A252" s="4" t="s">
        <v>91</v>
      </c>
      <c r="B252" s="22" t="s">
        <v>92</v>
      </c>
      <c r="C252" s="22"/>
      <c r="D252" s="5" t="s">
        <v>93</v>
      </c>
      <c r="E252" s="5" t="s">
        <v>300</v>
      </c>
      <c r="F252" s="13" t="s">
        <v>19</v>
      </c>
      <c r="G252" s="28">
        <v>18847.5</v>
      </c>
      <c r="H252" s="28"/>
      <c r="I252" s="13" t="s">
        <v>95</v>
      </c>
      <c r="J252" s="24" t="s">
        <v>21</v>
      </c>
      <c r="K252" s="24"/>
      <c r="L252" s="6" t="s">
        <v>22</v>
      </c>
      <c r="M252" s="25">
        <v>1282495.68</v>
      </c>
      <c r="N252" s="25"/>
    </row>
    <row r="253" spans="1:14" ht="88.95" customHeight="1" outlineLevel="1" x14ac:dyDescent="0.2">
      <c r="A253" s="4" t="s">
        <v>91</v>
      </c>
      <c r="B253" s="22" t="s">
        <v>92</v>
      </c>
      <c r="C253" s="22"/>
      <c r="D253" s="5" t="s">
        <v>93</v>
      </c>
      <c r="E253" s="5" t="s">
        <v>301</v>
      </c>
      <c r="F253" s="13" t="s">
        <v>19</v>
      </c>
      <c r="G253" s="28">
        <v>2393.33</v>
      </c>
      <c r="H253" s="28"/>
      <c r="I253" s="13" t="s">
        <v>95</v>
      </c>
      <c r="J253" s="24" t="s">
        <v>21</v>
      </c>
      <c r="K253" s="24"/>
      <c r="L253" s="6" t="s">
        <v>22</v>
      </c>
      <c r="M253" s="25">
        <v>1284889.01</v>
      </c>
      <c r="N253" s="25"/>
    </row>
    <row r="254" spans="1:14" ht="88.95" customHeight="1" outlineLevel="1" x14ac:dyDescent="0.2">
      <c r="A254" s="4" t="s">
        <v>91</v>
      </c>
      <c r="B254" s="22" t="s">
        <v>92</v>
      </c>
      <c r="C254" s="22"/>
      <c r="D254" s="5" t="s">
        <v>93</v>
      </c>
      <c r="E254" s="5" t="s">
        <v>302</v>
      </c>
      <c r="F254" s="13" t="s">
        <v>19</v>
      </c>
      <c r="G254" s="28">
        <v>2841.74</v>
      </c>
      <c r="H254" s="28"/>
      <c r="I254" s="13" t="s">
        <v>95</v>
      </c>
      <c r="J254" s="24" t="s">
        <v>21</v>
      </c>
      <c r="K254" s="24"/>
      <c r="L254" s="6" t="s">
        <v>22</v>
      </c>
      <c r="M254" s="25">
        <v>1287730.75</v>
      </c>
      <c r="N254" s="25"/>
    </row>
    <row r="255" spans="1:14" ht="88.95" customHeight="1" outlineLevel="1" x14ac:dyDescent="0.2">
      <c r="A255" s="4" t="s">
        <v>91</v>
      </c>
      <c r="B255" s="22" t="s">
        <v>92</v>
      </c>
      <c r="C255" s="22"/>
      <c r="D255" s="5" t="s">
        <v>93</v>
      </c>
      <c r="E255" s="5" t="s">
        <v>303</v>
      </c>
      <c r="F255" s="13" t="s">
        <v>19</v>
      </c>
      <c r="G255" s="23">
        <v>774.01</v>
      </c>
      <c r="H255" s="23"/>
      <c r="I255" s="13" t="s">
        <v>95</v>
      </c>
      <c r="J255" s="24" t="s">
        <v>21</v>
      </c>
      <c r="K255" s="24"/>
      <c r="L255" s="6" t="s">
        <v>22</v>
      </c>
      <c r="M255" s="25">
        <v>1288504.76</v>
      </c>
      <c r="N255" s="25"/>
    </row>
    <row r="256" spans="1:14" ht="88.95" customHeight="1" outlineLevel="1" x14ac:dyDescent="0.2">
      <c r="A256" s="4" t="s">
        <v>91</v>
      </c>
      <c r="B256" s="22" t="s">
        <v>92</v>
      </c>
      <c r="C256" s="22"/>
      <c r="D256" s="5" t="s">
        <v>93</v>
      </c>
      <c r="E256" s="5" t="s">
        <v>304</v>
      </c>
      <c r="F256" s="13" t="s">
        <v>19</v>
      </c>
      <c r="G256" s="28">
        <v>4737.8999999999996</v>
      </c>
      <c r="H256" s="28"/>
      <c r="I256" s="13" t="s">
        <v>95</v>
      </c>
      <c r="J256" s="24" t="s">
        <v>21</v>
      </c>
      <c r="K256" s="24"/>
      <c r="L256" s="6" t="s">
        <v>22</v>
      </c>
      <c r="M256" s="25">
        <v>1293242.6599999999</v>
      </c>
      <c r="N256" s="25"/>
    </row>
    <row r="257" spans="1:14" ht="88.95" customHeight="1" outlineLevel="1" x14ac:dyDescent="0.2">
      <c r="A257" s="4" t="s">
        <v>91</v>
      </c>
      <c r="B257" s="22" t="s">
        <v>92</v>
      </c>
      <c r="C257" s="22"/>
      <c r="D257" s="5" t="s">
        <v>93</v>
      </c>
      <c r="E257" s="5" t="s">
        <v>305</v>
      </c>
      <c r="F257" s="13" t="s">
        <v>19</v>
      </c>
      <c r="G257" s="28">
        <v>1428.9</v>
      </c>
      <c r="H257" s="28"/>
      <c r="I257" s="13" t="s">
        <v>95</v>
      </c>
      <c r="J257" s="24" t="s">
        <v>21</v>
      </c>
      <c r="K257" s="24"/>
      <c r="L257" s="6" t="s">
        <v>22</v>
      </c>
      <c r="M257" s="25">
        <v>1294671.56</v>
      </c>
      <c r="N257" s="25"/>
    </row>
    <row r="258" spans="1:14" ht="88.95" customHeight="1" outlineLevel="1" x14ac:dyDescent="0.2">
      <c r="A258" s="4" t="s">
        <v>91</v>
      </c>
      <c r="B258" s="22" t="s">
        <v>92</v>
      </c>
      <c r="C258" s="22"/>
      <c r="D258" s="5" t="s">
        <v>93</v>
      </c>
      <c r="E258" s="5" t="s">
        <v>306</v>
      </c>
      <c r="F258" s="13" t="s">
        <v>19</v>
      </c>
      <c r="G258" s="28">
        <v>4737.8999999999996</v>
      </c>
      <c r="H258" s="28"/>
      <c r="I258" s="13" t="s">
        <v>95</v>
      </c>
      <c r="J258" s="24" t="s">
        <v>21</v>
      </c>
      <c r="K258" s="24"/>
      <c r="L258" s="6" t="s">
        <v>22</v>
      </c>
      <c r="M258" s="25">
        <v>1299409.46</v>
      </c>
      <c r="N258" s="25"/>
    </row>
    <row r="259" spans="1:14" ht="88.95" customHeight="1" outlineLevel="1" x14ac:dyDescent="0.2">
      <c r="A259" s="4" t="s">
        <v>91</v>
      </c>
      <c r="B259" s="22" t="s">
        <v>92</v>
      </c>
      <c r="C259" s="22"/>
      <c r="D259" s="5" t="s">
        <v>93</v>
      </c>
      <c r="E259" s="5" t="s">
        <v>307</v>
      </c>
      <c r="F259" s="13" t="s">
        <v>19</v>
      </c>
      <c r="G259" s="28">
        <v>14238</v>
      </c>
      <c r="H259" s="28"/>
      <c r="I259" s="13" t="s">
        <v>95</v>
      </c>
      <c r="J259" s="24" t="s">
        <v>21</v>
      </c>
      <c r="K259" s="24"/>
      <c r="L259" s="6" t="s">
        <v>22</v>
      </c>
      <c r="M259" s="25">
        <v>1313647.46</v>
      </c>
      <c r="N259" s="25"/>
    </row>
    <row r="260" spans="1:14" ht="88.95" customHeight="1" outlineLevel="1" x14ac:dyDescent="0.2">
      <c r="A260" s="4" t="s">
        <v>91</v>
      </c>
      <c r="B260" s="22" t="s">
        <v>92</v>
      </c>
      <c r="C260" s="22"/>
      <c r="D260" s="5" t="s">
        <v>93</v>
      </c>
      <c r="E260" s="5" t="s">
        <v>308</v>
      </c>
      <c r="F260" s="13" t="s">
        <v>19</v>
      </c>
      <c r="G260" s="28">
        <v>16464</v>
      </c>
      <c r="H260" s="28"/>
      <c r="I260" s="13" t="s">
        <v>95</v>
      </c>
      <c r="J260" s="24" t="s">
        <v>21</v>
      </c>
      <c r="K260" s="24"/>
      <c r="L260" s="6" t="s">
        <v>22</v>
      </c>
      <c r="M260" s="25">
        <v>1330111.46</v>
      </c>
      <c r="N260" s="25"/>
    </row>
    <row r="261" spans="1:14" ht="88.95" customHeight="1" outlineLevel="1" x14ac:dyDescent="0.2">
      <c r="A261" s="4" t="s">
        <v>91</v>
      </c>
      <c r="B261" s="22" t="s">
        <v>92</v>
      </c>
      <c r="C261" s="22"/>
      <c r="D261" s="5" t="s">
        <v>93</v>
      </c>
      <c r="E261" s="5" t="s">
        <v>309</v>
      </c>
      <c r="F261" s="13" t="s">
        <v>19</v>
      </c>
      <c r="G261" s="28">
        <v>3441.92</v>
      </c>
      <c r="H261" s="28"/>
      <c r="I261" s="13" t="s">
        <v>95</v>
      </c>
      <c r="J261" s="24" t="s">
        <v>21</v>
      </c>
      <c r="K261" s="24"/>
      <c r="L261" s="6" t="s">
        <v>22</v>
      </c>
      <c r="M261" s="25">
        <v>1333553.3799999999</v>
      </c>
      <c r="N261" s="25"/>
    </row>
    <row r="262" spans="1:14" ht="88.95" customHeight="1" outlineLevel="1" x14ac:dyDescent="0.2">
      <c r="A262" s="4" t="s">
        <v>91</v>
      </c>
      <c r="B262" s="22" t="s">
        <v>92</v>
      </c>
      <c r="C262" s="22"/>
      <c r="D262" s="5" t="s">
        <v>93</v>
      </c>
      <c r="E262" s="5" t="s">
        <v>310</v>
      </c>
      <c r="F262" s="13" t="s">
        <v>19</v>
      </c>
      <c r="G262" s="23">
        <v>530</v>
      </c>
      <c r="H262" s="23"/>
      <c r="I262" s="13" t="s">
        <v>95</v>
      </c>
      <c r="J262" s="24" t="s">
        <v>21</v>
      </c>
      <c r="K262" s="24"/>
      <c r="L262" s="6" t="s">
        <v>22</v>
      </c>
      <c r="M262" s="25">
        <v>1334083.3799999999</v>
      </c>
      <c r="N262" s="25"/>
    </row>
    <row r="263" spans="1:14" ht="88.95" customHeight="1" outlineLevel="1" x14ac:dyDescent="0.2">
      <c r="A263" s="4" t="s">
        <v>91</v>
      </c>
      <c r="B263" s="22" t="s">
        <v>92</v>
      </c>
      <c r="C263" s="22"/>
      <c r="D263" s="5" t="s">
        <v>93</v>
      </c>
      <c r="E263" s="5" t="s">
        <v>311</v>
      </c>
      <c r="F263" s="13" t="s">
        <v>19</v>
      </c>
      <c r="G263" s="23">
        <v>623</v>
      </c>
      <c r="H263" s="23"/>
      <c r="I263" s="13" t="s">
        <v>95</v>
      </c>
      <c r="J263" s="24" t="s">
        <v>21</v>
      </c>
      <c r="K263" s="24"/>
      <c r="L263" s="6" t="s">
        <v>22</v>
      </c>
      <c r="M263" s="25">
        <v>1334706.3799999999</v>
      </c>
      <c r="N263" s="25"/>
    </row>
    <row r="264" spans="1:14" ht="88.95" customHeight="1" outlineLevel="1" x14ac:dyDescent="0.2">
      <c r="A264" s="4" t="s">
        <v>91</v>
      </c>
      <c r="B264" s="22" t="s">
        <v>92</v>
      </c>
      <c r="C264" s="22"/>
      <c r="D264" s="5" t="s">
        <v>93</v>
      </c>
      <c r="E264" s="5" t="s">
        <v>312</v>
      </c>
      <c r="F264" s="13" t="s">
        <v>19</v>
      </c>
      <c r="G264" s="23">
        <v>705.8</v>
      </c>
      <c r="H264" s="23"/>
      <c r="I264" s="13" t="s">
        <v>95</v>
      </c>
      <c r="J264" s="24" t="s">
        <v>21</v>
      </c>
      <c r="K264" s="24"/>
      <c r="L264" s="6" t="s">
        <v>22</v>
      </c>
      <c r="M264" s="25">
        <v>1335412.18</v>
      </c>
      <c r="N264" s="25"/>
    </row>
    <row r="265" spans="1:14" ht="88.95" customHeight="1" outlineLevel="1" x14ac:dyDescent="0.2">
      <c r="A265" s="4" t="s">
        <v>91</v>
      </c>
      <c r="B265" s="22" t="s">
        <v>92</v>
      </c>
      <c r="C265" s="22"/>
      <c r="D265" s="5" t="s">
        <v>93</v>
      </c>
      <c r="E265" s="5" t="s">
        <v>313</v>
      </c>
      <c r="F265" s="13" t="s">
        <v>19</v>
      </c>
      <c r="G265" s="28">
        <v>3538.9</v>
      </c>
      <c r="H265" s="28"/>
      <c r="I265" s="13" t="s">
        <v>95</v>
      </c>
      <c r="J265" s="24" t="s">
        <v>21</v>
      </c>
      <c r="K265" s="24"/>
      <c r="L265" s="6" t="s">
        <v>22</v>
      </c>
      <c r="M265" s="25">
        <v>1338951.08</v>
      </c>
      <c r="N265" s="25"/>
    </row>
    <row r="266" spans="1:14" ht="88.95" customHeight="1" outlineLevel="1" x14ac:dyDescent="0.2">
      <c r="A266" s="4" t="s">
        <v>91</v>
      </c>
      <c r="B266" s="22" t="s">
        <v>92</v>
      </c>
      <c r="C266" s="22"/>
      <c r="D266" s="5" t="s">
        <v>93</v>
      </c>
      <c r="E266" s="5" t="s">
        <v>314</v>
      </c>
      <c r="F266" s="13" t="s">
        <v>19</v>
      </c>
      <c r="G266" s="28">
        <v>16665.830000000002</v>
      </c>
      <c r="H266" s="28"/>
      <c r="I266" s="13" t="s">
        <v>95</v>
      </c>
      <c r="J266" s="24" t="s">
        <v>21</v>
      </c>
      <c r="K266" s="24"/>
      <c r="L266" s="6" t="s">
        <v>22</v>
      </c>
      <c r="M266" s="25">
        <v>1355616.91</v>
      </c>
      <c r="N266" s="25"/>
    </row>
    <row r="267" spans="1:14" ht="88.95" customHeight="1" outlineLevel="1" x14ac:dyDescent="0.2">
      <c r="A267" s="4" t="s">
        <v>91</v>
      </c>
      <c r="B267" s="22" t="s">
        <v>92</v>
      </c>
      <c r="C267" s="22"/>
      <c r="D267" s="5" t="s">
        <v>93</v>
      </c>
      <c r="E267" s="5" t="s">
        <v>315</v>
      </c>
      <c r="F267" s="13" t="s">
        <v>19</v>
      </c>
      <c r="G267" s="23">
        <v>283.24</v>
      </c>
      <c r="H267" s="23"/>
      <c r="I267" s="13" t="s">
        <v>95</v>
      </c>
      <c r="J267" s="24" t="s">
        <v>21</v>
      </c>
      <c r="K267" s="24"/>
      <c r="L267" s="6" t="s">
        <v>22</v>
      </c>
      <c r="M267" s="25">
        <v>1355900.15</v>
      </c>
      <c r="N267" s="25"/>
    </row>
    <row r="268" spans="1:14" ht="88.95" customHeight="1" outlineLevel="1" x14ac:dyDescent="0.2">
      <c r="A268" s="4" t="s">
        <v>91</v>
      </c>
      <c r="B268" s="22" t="s">
        <v>92</v>
      </c>
      <c r="C268" s="22"/>
      <c r="D268" s="5" t="s">
        <v>93</v>
      </c>
      <c r="E268" s="5" t="s">
        <v>316</v>
      </c>
      <c r="F268" s="13" t="s">
        <v>19</v>
      </c>
      <c r="G268" s="23">
        <v>109.7</v>
      </c>
      <c r="H268" s="23"/>
      <c r="I268" s="13" t="s">
        <v>95</v>
      </c>
      <c r="J268" s="24" t="s">
        <v>21</v>
      </c>
      <c r="K268" s="24"/>
      <c r="L268" s="6" t="s">
        <v>22</v>
      </c>
      <c r="M268" s="25">
        <v>1356009.85</v>
      </c>
      <c r="N268" s="25"/>
    </row>
    <row r="269" spans="1:14" ht="88.95" customHeight="1" outlineLevel="1" x14ac:dyDescent="0.2">
      <c r="A269" s="4" t="s">
        <v>91</v>
      </c>
      <c r="B269" s="22" t="s">
        <v>92</v>
      </c>
      <c r="C269" s="22"/>
      <c r="D269" s="5" t="s">
        <v>93</v>
      </c>
      <c r="E269" s="5" t="s">
        <v>317</v>
      </c>
      <c r="F269" s="13" t="s">
        <v>19</v>
      </c>
      <c r="G269" s="23">
        <v>396</v>
      </c>
      <c r="H269" s="23"/>
      <c r="I269" s="13" t="s">
        <v>95</v>
      </c>
      <c r="J269" s="24" t="s">
        <v>21</v>
      </c>
      <c r="K269" s="24"/>
      <c r="L269" s="6" t="s">
        <v>22</v>
      </c>
      <c r="M269" s="25">
        <v>1356405.85</v>
      </c>
      <c r="N269" s="25"/>
    </row>
    <row r="270" spans="1:14" ht="88.95" customHeight="1" outlineLevel="1" x14ac:dyDescent="0.2">
      <c r="A270" s="4" t="s">
        <v>91</v>
      </c>
      <c r="B270" s="22" t="s">
        <v>92</v>
      </c>
      <c r="C270" s="22"/>
      <c r="D270" s="5" t="s">
        <v>93</v>
      </c>
      <c r="E270" s="5" t="s">
        <v>318</v>
      </c>
      <c r="F270" s="13" t="s">
        <v>19</v>
      </c>
      <c r="G270" s="28">
        <v>3220</v>
      </c>
      <c r="H270" s="28"/>
      <c r="I270" s="13" t="s">
        <v>95</v>
      </c>
      <c r="J270" s="24" t="s">
        <v>21</v>
      </c>
      <c r="K270" s="24"/>
      <c r="L270" s="6" t="s">
        <v>22</v>
      </c>
      <c r="M270" s="25">
        <v>1359625.85</v>
      </c>
      <c r="N270" s="25"/>
    </row>
    <row r="271" spans="1:14" ht="111" customHeight="1" outlineLevel="1" x14ac:dyDescent="0.2">
      <c r="A271" s="4" t="s">
        <v>91</v>
      </c>
      <c r="B271" s="22" t="s">
        <v>92</v>
      </c>
      <c r="C271" s="22"/>
      <c r="D271" s="5" t="s">
        <v>93</v>
      </c>
      <c r="E271" s="5" t="s">
        <v>319</v>
      </c>
      <c r="F271" s="13" t="s">
        <v>19</v>
      </c>
      <c r="G271" s="28">
        <v>19848.580000000002</v>
      </c>
      <c r="H271" s="28"/>
      <c r="I271" s="13" t="s">
        <v>95</v>
      </c>
      <c r="J271" s="24" t="s">
        <v>21</v>
      </c>
      <c r="K271" s="24"/>
      <c r="L271" s="6" t="s">
        <v>22</v>
      </c>
      <c r="M271" s="25">
        <v>1379474.43</v>
      </c>
      <c r="N271" s="25"/>
    </row>
    <row r="272" spans="1:14" ht="88.95" customHeight="1" outlineLevel="1" x14ac:dyDescent="0.2">
      <c r="A272" s="4" t="s">
        <v>91</v>
      </c>
      <c r="B272" s="22" t="s">
        <v>92</v>
      </c>
      <c r="C272" s="22"/>
      <c r="D272" s="5" t="s">
        <v>93</v>
      </c>
      <c r="E272" s="5" t="s">
        <v>320</v>
      </c>
      <c r="F272" s="13" t="s">
        <v>19</v>
      </c>
      <c r="G272" s="28">
        <v>31915.83</v>
      </c>
      <c r="H272" s="28"/>
      <c r="I272" s="13" t="s">
        <v>95</v>
      </c>
      <c r="J272" s="24" t="s">
        <v>21</v>
      </c>
      <c r="K272" s="24"/>
      <c r="L272" s="6" t="s">
        <v>22</v>
      </c>
      <c r="M272" s="25">
        <v>1411390.26</v>
      </c>
      <c r="N272" s="25"/>
    </row>
    <row r="273" spans="1:14" ht="88.95" customHeight="1" outlineLevel="1" x14ac:dyDescent="0.2">
      <c r="A273" s="4" t="s">
        <v>91</v>
      </c>
      <c r="B273" s="22" t="s">
        <v>92</v>
      </c>
      <c r="C273" s="22"/>
      <c r="D273" s="5" t="s">
        <v>93</v>
      </c>
      <c r="E273" s="5" t="s">
        <v>321</v>
      </c>
      <c r="F273" s="13" t="s">
        <v>19</v>
      </c>
      <c r="G273" s="28">
        <v>42369.85</v>
      </c>
      <c r="H273" s="28"/>
      <c r="I273" s="13" t="s">
        <v>95</v>
      </c>
      <c r="J273" s="24" t="s">
        <v>21</v>
      </c>
      <c r="K273" s="24"/>
      <c r="L273" s="6" t="s">
        <v>22</v>
      </c>
      <c r="M273" s="25">
        <v>1453760.11</v>
      </c>
      <c r="N273" s="25"/>
    </row>
    <row r="274" spans="1:14" ht="88.95" customHeight="1" outlineLevel="1" x14ac:dyDescent="0.2">
      <c r="A274" s="4" t="s">
        <v>91</v>
      </c>
      <c r="B274" s="22" t="s">
        <v>92</v>
      </c>
      <c r="C274" s="22"/>
      <c r="D274" s="5" t="s">
        <v>93</v>
      </c>
      <c r="E274" s="5" t="s">
        <v>322</v>
      </c>
      <c r="F274" s="13" t="s">
        <v>19</v>
      </c>
      <c r="G274" s="23">
        <v>55.2</v>
      </c>
      <c r="H274" s="23"/>
      <c r="I274" s="13" t="s">
        <v>95</v>
      </c>
      <c r="J274" s="24" t="s">
        <v>21</v>
      </c>
      <c r="K274" s="24"/>
      <c r="L274" s="6" t="s">
        <v>22</v>
      </c>
      <c r="M274" s="25">
        <v>1453815.31</v>
      </c>
      <c r="N274" s="25"/>
    </row>
    <row r="275" spans="1:14" ht="88.95" customHeight="1" outlineLevel="1" x14ac:dyDescent="0.2">
      <c r="A275" s="4" t="s">
        <v>91</v>
      </c>
      <c r="B275" s="22" t="s">
        <v>92</v>
      </c>
      <c r="C275" s="22"/>
      <c r="D275" s="5" t="s">
        <v>93</v>
      </c>
      <c r="E275" s="5" t="s">
        <v>323</v>
      </c>
      <c r="F275" s="13" t="s">
        <v>19</v>
      </c>
      <c r="G275" s="23">
        <v>46.86</v>
      </c>
      <c r="H275" s="23"/>
      <c r="I275" s="13" t="s">
        <v>95</v>
      </c>
      <c r="J275" s="24" t="s">
        <v>21</v>
      </c>
      <c r="K275" s="24"/>
      <c r="L275" s="6" t="s">
        <v>22</v>
      </c>
      <c r="M275" s="25">
        <v>1453862.17</v>
      </c>
      <c r="N275" s="25"/>
    </row>
    <row r="276" spans="1:14" ht="88.95" customHeight="1" outlineLevel="1" x14ac:dyDescent="0.2">
      <c r="A276" s="4" t="s">
        <v>91</v>
      </c>
      <c r="B276" s="22" t="s">
        <v>92</v>
      </c>
      <c r="C276" s="22"/>
      <c r="D276" s="5" t="s">
        <v>93</v>
      </c>
      <c r="E276" s="5" t="s">
        <v>324</v>
      </c>
      <c r="F276" s="13" t="s">
        <v>19</v>
      </c>
      <c r="G276" s="23">
        <v>55.25</v>
      </c>
      <c r="H276" s="23"/>
      <c r="I276" s="13" t="s">
        <v>95</v>
      </c>
      <c r="J276" s="24" t="s">
        <v>21</v>
      </c>
      <c r="K276" s="24"/>
      <c r="L276" s="6" t="s">
        <v>22</v>
      </c>
      <c r="M276" s="25">
        <v>1453917.42</v>
      </c>
      <c r="N276" s="25"/>
    </row>
    <row r="277" spans="1:14" ht="88.95" customHeight="1" outlineLevel="1" x14ac:dyDescent="0.2">
      <c r="A277" s="4" t="s">
        <v>91</v>
      </c>
      <c r="B277" s="22" t="s">
        <v>92</v>
      </c>
      <c r="C277" s="22"/>
      <c r="D277" s="5" t="s">
        <v>93</v>
      </c>
      <c r="E277" s="5" t="s">
        <v>325</v>
      </c>
      <c r="F277" s="13" t="s">
        <v>19</v>
      </c>
      <c r="G277" s="28">
        <v>1987.5</v>
      </c>
      <c r="H277" s="28"/>
      <c r="I277" s="13" t="s">
        <v>95</v>
      </c>
      <c r="J277" s="24" t="s">
        <v>21</v>
      </c>
      <c r="K277" s="24"/>
      <c r="L277" s="6" t="s">
        <v>22</v>
      </c>
      <c r="M277" s="25">
        <v>1455904.92</v>
      </c>
      <c r="N277" s="25"/>
    </row>
    <row r="278" spans="1:14" ht="88.95" customHeight="1" outlineLevel="1" x14ac:dyDescent="0.2">
      <c r="A278" s="4" t="s">
        <v>91</v>
      </c>
      <c r="B278" s="22" t="s">
        <v>92</v>
      </c>
      <c r="C278" s="22"/>
      <c r="D278" s="5" t="s">
        <v>93</v>
      </c>
      <c r="E278" s="5" t="s">
        <v>326</v>
      </c>
      <c r="F278" s="13" t="s">
        <v>19</v>
      </c>
      <c r="G278" s="28">
        <v>97207.2</v>
      </c>
      <c r="H278" s="28"/>
      <c r="I278" s="13" t="s">
        <v>95</v>
      </c>
      <c r="J278" s="24" t="s">
        <v>21</v>
      </c>
      <c r="K278" s="24"/>
      <c r="L278" s="6" t="s">
        <v>22</v>
      </c>
      <c r="M278" s="25">
        <v>1553112.12</v>
      </c>
      <c r="N278" s="25"/>
    </row>
    <row r="279" spans="1:14" ht="88.95" customHeight="1" outlineLevel="1" x14ac:dyDescent="0.2">
      <c r="A279" s="4" t="s">
        <v>91</v>
      </c>
      <c r="B279" s="22" t="s">
        <v>92</v>
      </c>
      <c r="C279" s="22"/>
      <c r="D279" s="5" t="s">
        <v>93</v>
      </c>
      <c r="E279" s="5" t="s">
        <v>327</v>
      </c>
      <c r="F279" s="13" t="s">
        <v>19</v>
      </c>
      <c r="G279" s="28">
        <v>1257.9000000000001</v>
      </c>
      <c r="H279" s="28"/>
      <c r="I279" s="13" t="s">
        <v>95</v>
      </c>
      <c r="J279" s="24" t="s">
        <v>21</v>
      </c>
      <c r="K279" s="24"/>
      <c r="L279" s="6" t="s">
        <v>22</v>
      </c>
      <c r="M279" s="25">
        <v>1554370.02</v>
      </c>
      <c r="N279" s="25"/>
    </row>
    <row r="280" spans="1:14" ht="100.05" customHeight="1" outlineLevel="1" x14ac:dyDescent="0.2">
      <c r="A280" s="4" t="s">
        <v>91</v>
      </c>
      <c r="B280" s="22" t="s">
        <v>92</v>
      </c>
      <c r="C280" s="22"/>
      <c r="D280" s="5" t="s">
        <v>93</v>
      </c>
      <c r="E280" s="5" t="s">
        <v>328</v>
      </c>
      <c r="F280" s="13" t="s">
        <v>19</v>
      </c>
      <c r="G280" s="23">
        <v>961.8</v>
      </c>
      <c r="H280" s="23"/>
      <c r="I280" s="13" t="s">
        <v>95</v>
      </c>
      <c r="J280" s="24" t="s">
        <v>21</v>
      </c>
      <c r="K280" s="24"/>
      <c r="L280" s="6" t="s">
        <v>22</v>
      </c>
      <c r="M280" s="25">
        <v>1555331.82</v>
      </c>
      <c r="N280" s="25"/>
    </row>
    <row r="281" spans="1:14" ht="100.05" customHeight="1" outlineLevel="1" x14ac:dyDescent="0.2">
      <c r="A281" s="4" t="s">
        <v>91</v>
      </c>
      <c r="B281" s="22" t="s">
        <v>92</v>
      </c>
      <c r="C281" s="22"/>
      <c r="D281" s="5" t="s">
        <v>93</v>
      </c>
      <c r="E281" s="5" t="s">
        <v>329</v>
      </c>
      <c r="F281" s="13" t="s">
        <v>19</v>
      </c>
      <c r="G281" s="23">
        <v>480.9</v>
      </c>
      <c r="H281" s="23"/>
      <c r="I281" s="13" t="s">
        <v>95</v>
      </c>
      <c r="J281" s="24" t="s">
        <v>21</v>
      </c>
      <c r="K281" s="24"/>
      <c r="L281" s="6" t="s">
        <v>22</v>
      </c>
      <c r="M281" s="25">
        <v>1555812.72</v>
      </c>
      <c r="N281" s="25"/>
    </row>
    <row r="282" spans="1:14" ht="111" customHeight="1" outlineLevel="1" x14ac:dyDescent="0.2">
      <c r="A282" s="4" t="s">
        <v>91</v>
      </c>
      <c r="B282" s="22" t="s">
        <v>92</v>
      </c>
      <c r="C282" s="22"/>
      <c r="D282" s="5" t="s">
        <v>93</v>
      </c>
      <c r="E282" s="5" t="s">
        <v>330</v>
      </c>
      <c r="F282" s="13" t="s">
        <v>19</v>
      </c>
      <c r="G282" s="23">
        <v>724.8</v>
      </c>
      <c r="H282" s="23"/>
      <c r="I282" s="13" t="s">
        <v>95</v>
      </c>
      <c r="J282" s="24" t="s">
        <v>21</v>
      </c>
      <c r="K282" s="24"/>
      <c r="L282" s="6" t="s">
        <v>22</v>
      </c>
      <c r="M282" s="25">
        <v>1556537.52</v>
      </c>
      <c r="N282" s="25"/>
    </row>
    <row r="283" spans="1:14" ht="111" customHeight="1" outlineLevel="1" x14ac:dyDescent="0.2">
      <c r="A283" s="4" t="s">
        <v>91</v>
      </c>
      <c r="B283" s="22" t="s">
        <v>92</v>
      </c>
      <c r="C283" s="22"/>
      <c r="D283" s="5" t="s">
        <v>93</v>
      </c>
      <c r="E283" s="5" t="s">
        <v>331</v>
      </c>
      <c r="F283" s="13" t="s">
        <v>19</v>
      </c>
      <c r="G283" s="23">
        <v>362.64</v>
      </c>
      <c r="H283" s="23"/>
      <c r="I283" s="13" t="s">
        <v>95</v>
      </c>
      <c r="J283" s="24" t="s">
        <v>21</v>
      </c>
      <c r="K283" s="24"/>
      <c r="L283" s="6" t="s">
        <v>22</v>
      </c>
      <c r="M283" s="25">
        <v>1556900.16</v>
      </c>
      <c r="N283" s="25"/>
    </row>
    <row r="284" spans="1:14" ht="88.95" customHeight="1" outlineLevel="1" x14ac:dyDescent="0.2">
      <c r="A284" s="4" t="s">
        <v>91</v>
      </c>
      <c r="B284" s="22" t="s">
        <v>92</v>
      </c>
      <c r="C284" s="22"/>
      <c r="D284" s="5" t="s">
        <v>93</v>
      </c>
      <c r="E284" s="5" t="s">
        <v>332</v>
      </c>
      <c r="F284" s="13" t="s">
        <v>19</v>
      </c>
      <c r="G284" s="28">
        <v>3160.08</v>
      </c>
      <c r="H284" s="28"/>
      <c r="I284" s="13" t="s">
        <v>95</v>
      </c>
      <c r="J284" s="24" t="s">
        <v>21</v>
      </c>
      <c r="K284" s="24"/>
      <c r="L284" s="6" t="s">
        <v>22</v>
      </c>
      <c r="M284" s="25">
        <v>1560060.24</v>
      </c>
      <c r="N284" s="25"/>
    </row>
    <row r="285" spans="1:14" ht="100.05" customHeight="1" outlineLevel="1" x14ac:dyDescent="0.2">
      <c r="A285" s="4" t="s">
        <v>91</v>
      </c>
      <c r="B285" s="22" t="s">
        <v>92</v>
      </c>
      <c r="C285" s="22"/>
      <c r="D285" s="5" t="s">
        <v>93</v>
      </c>
      <c r="E285" s="5" t="s">
        <v>333</v>
      </c>
      <c r="F285" s="13" t="s">
        <v>19</v>
      </c>
      <c r="G285" s="23">
        <v>283.07</v>
      </c>
      <c r="H285" s="23"/>
      <c r="I285" s="13" t="s">
        <v>95</v>
      </c>
      <c r="J285" s="24" t="s">
        <v>21</v>
      </c>
      <c r="K285" s="24"/>
      <c r="L285" s="6" t="s">
        <v>22</v>
      </c>
      <c r="M285" s="25">
        <v>1560343.31</v>
      </c>
      <c r="N285" s="25"/>
    </row>
    <row r="286" spans="1:14" ht="100.05" customHeight="1" outlineLevel="1" x14ac:dyDescent="0.2">
      <c r="A286" s="4" t="s">
        <v>91</v>
      </c>
      <c r="B286" s="22" t="s">
        <v>92</v>
      </c>
      <c r="C286" s="22"/>
      <c r="D286" s="5" t="s">
        <v>93</v>
      </c>
      <c r="E286" s="5" t="s">
        <v>334</v>
      </c>
      <c r="F286" s="13" t="s">
        <v>19</v>
      </c>
      <c r="G286" s="23">
        <v>566.14</v>
      </c>
      <c r="H286" s="23"/>
      <c r="I286" s="13" t="s">
        <v>95</v>
      </c>
      <c r="J286" s="24" t="s">
        <v>21</v>
      </c>
      <c r="K286" s="24"/>
      <c r="L286" s="6" t="s">
        <v>22</v>
      </c>
      <c r="M286" s="25">
        <v>1560909.45</v>
      </c>
      <c r="N286" s="25"/>
    </row>
    <row r="287" spans="1:14" ht="100.05" customHeight="1" outlineLevel="1" x14ac:dyDescent="0.2">
      <c r="A287" s="4" t="s">
        <v>91</v>
      </c>
      <c r="B287" s="22" t="s">
        <v>92</v>
      </c>
      <c r="C287" s="22"/>
      <c r="D287" s="5" t="s">
        <v>93</v>
      </c>
      <c r="E287" s="5" t="s">
        <v>335</v>
      </c>
      <c r="F287" s="13" t="s">
        <v>19</v>
      </c>
      <c r="G287" s="23">
        <v>188.71</v>
      </c>
      <c r="H287" s="23"/>
      <c r="I287" s="13" t="s">
        <v>95</v>
      </c>
      <c r="J287" s="24" t="s">
        <v>21</v>
      </c>
      <c r="K287" s="24"/>
      <c r="L287" s="6" t="s">
        <v>22</v>
      </c>
      <c r="M287" s="25">
        <v>1561098.16</v>
      </c>
      <c r="N287" s="25"/>
    </row>
    <row r="288" spans="1:14" ht="88.95" customHeight="1" outlineLevel="1" x14ac:dyDescent="0.2">
      <c r="A288" s="4" t="s">
        <v>91</v>
      </c>
      <c r="B288" s="22" t="s">
        <v>92</v>
      </c>
      <c r="C288" s="22"/>
      <c r="D288" s="5" t="s">
        <v>93</v>
      </c>
      <c r="E288" s="5" t="s">
        <v>336</v>
      </c>
      <c r="F288" s="13" t="s">
        <v>19</v>
      </c>
      <c r="G288" s="23">
        <v>666</v>
      </c>
      <c r="H288" s="23"/>
      <c r="I288" s="13" t="s">
        <v>95</v>
      </c>
      <c r="J288" s="24" t="s">
        <v>21</v>
      </c>
      <c r="K288" s="24"/>
      <c r="L288" s="6" t="s">
        <v>22</v>
      </c>
      <c r="M288" s="25">
        <v>1561764.16</v>
      </c>
      <c r="N288" s="25"/>
    </row>
    <row r="289" spans="1:14" ht="88.95" customHeight="1" outlineLevel="1" x14ac:dyDescent="0.2">
      <c r="A289" s="4" t="s">
        <v>91</v>
      </c>
      <c r="B289" s="22" t="s">
        <v>92</v>
      </c>
      <c r="C289" s="22"/>
      <c r="D289" s="5" t="s">
        <v>93</v>
      </c>
      <c r="E289" s="5" t="s">
        <v>337</v>
      </c>
      <c r="F289" s="13" t="s">
        <v>19</v>
      </c>
      <c r="G289" s="23">
        <v>95.76</v>
      </c>
      <c r="H289" s="23"/>
      <c r="I289" s="13" t="s">
        <v>95</v>
      </c>
      <c r="J289" s="24" t="s">
        <v>21</v>
      </c>
      <c r="K289" s="24"/>
      <c r="L289" s="6" t="s">
        <v>22</v>
      </c>
      <c r="M289" s="25">
        <v>1561859.92</v>
      </c>
      <c r="N289" s="25"/>
    </row>
    <row r="290" spans="1:14" ht="88.95" customHeight="1" outlineLevel="1" x14ac:dyDescent="0.2">
      <c r="A290" s="4" t="s">
        <v>91</v>
      </c>
      <c r="B290" s="22" t="s">
        <v>92</v>
      </c>
      <c r="C290" s="22"/>
      <c r="D290" s="5" t="s">
        <v>93</v>
      </c>
      <c r="E290" s="5" t="s">
        <v>338</v>
      </c>
      <c r="F290" s="13" t="s">
        <v>19</v>
      </c>
      <c r="G290" s="23">
        <v>666.52</v>
      </c>
      <c r="H290" s="23"/>
      <c r="I290" s="13" t="s">
        <v>95</v>
      </c>
      <c r="J290" s="24" t="s">
        <v>21</v>
      </c>
      <c r="K290" s="24"/>
      <c r="L290" s="6" t="s">
        <v>22</v>
      </c>
      <c r="M290" s="25">
        <v>1562526.44</v>
      </c>
      <c r="N290" s="25"/>
    </row>
    <row r="291" spans="1:14" ht="100.05" customHeight="1" outlineLevel="1" x14ac:dyDescent="0.2">
      <c r="A291" s="4" t="s">
        <v>91</v>
      </c>
      <c r="B291" s="22" t="s">
        <v>92</v>
      </c>
      <c r="C291" s="22"/>
      <c r="D291" s="5" t="s">
        <v>93</v>
      </c>
      <c r="E291" s="5" t="s">
        <v>339</v>
      </c>
      <c r="F291" s="13" t="s">
        <v>19</v>
      </c>
      <c r="G291" s="23">
        <v>125.21</v>
      </c>
      <c r="H291" s="23"/>
      <c r="I291" s="13" t="s">
        <v>95</v>
      </c>
      <c r="J291" s="24" t="s">
        <v>21</v>
      </c>
      <c r="K291" s="24"/>
      <c r="L291" s="6" t="s">
        <v>22</v>
      </c>
      <c r="M291" s="25">
        <v>1562651.65</v>
      </c>
      <c r="N291" s="25"/>
    </row>
    <row r="292" spans="1:14" ht="88.95" customHeight="1" outlineLevel="1" x14ac:dyDescent="0.2">
      <c r="A292" s="4" t="s">
        <v>91</v>
      </c>
      <c r="B292" s="22" t="s">
        <v>92</v>
      </c>
      <c r="C292" s="22"/>
      <c r="D292" s="5" t="s">
        <v>93</v>
      </c>
      <c r="E292" s="5" t="s">
        <v>340</v>
      </c>
      <c r="F292" s="13" t="s">
        <v>19</v>
      </c>
      <c r="G292" s="23">
        <v>755.55</v>
      </c>
      <c r="H292" s="23"/>
      <c r="I292" s="13" t="s">
        <v>95</v>
      </c>
      <c r="J292" s="24" t="s">
        <v>21</v>
      </c>
      <c r="K292" s="24"/>
      <c r="L292" s="6" t="s">
        <v>22</v>
      </c>
      <c r="M292" s="25">
        <v>1563407.2</v>
      </c>
      <c r="N292" s="25"/>
    </row>
    <row r="293" spans="1:14" ht="88.95" customHeight="1" outlineLevel="1" x14ac:dyDescent="0.2">
      <c r="A293" s="4" t="s">
        <v>91</v>
      </c>
      <c r="B293" s="22" t="s">
        <v>92</v>
      </c>
      <c r="C293" s="22"/>
      <c r="D293" s="5" t="s">
        <v>93</v>
      </c>
      <c r="E293" s="5" t="s">
        <v>341</v>
      </c>
      <c r="F293" s="13" t="s">
        <v>19</v>
      </c>
      <c r="G293" s="28">
        <v>1383.34</v>
      </c>
      <c r="H293" s="28"/>
      <c r="I293" s="13" t="s">
        <v>95</v>
      </c>
      <c r="J293" s="24" t="s">
        <v>21</v>
      </c>
      <c r="K293" s="24"/>
      <c r="L293" s="6" t="s">
        <v>22</v>
      </c>
      <c r="M293" s="25">
        <v>1564790.54</v>
      </c>
      <c r="N293" s="25"/>
    </row>
    <row r="294" spans="1:14" ht="88.95" customHeight="1" outlineLevel="1" x14ac:dyDescent="0.2">
      <c r="A294" s="4" t="s">
        <v>91</v>
      </c>
      <c r="B294" s="22" t="s">
        <v>92</v>
      </c>
      <c r="C294" s="22"/>
      <c r="D294" s="5" t="s">
        <v>93</v>
      </c>
      <c r="E294" s="5" t="s">
        <v>342</v>
      </c>
      <c r="F294" s="13" t="s">
        <v>19</v>
      </c>
      <c r="G294" s="23">
        <v>170.84</v>
      </c>
      <c r="H294" s="23"/>
      <c r="I294" s="13" t="s">
        <v>95</v>
      </c>
      <c r="J294" s="24" t="s">
        <v>21</v>
      </c>
      <c r="K294" s="24"/>
      <c r="L294" s="6" t="s">
        <v>22</v>
      </c>
      <c r="M294" s="25">
        <v>1564961.38</v>
      </c>
      <c r="N294" s="25"/>
    </row>
    <row r="295" spans="1:14" ht="100.05" customHeight="1" outlineLevel="1" x14ac:dyDescent="0.2">
      <c r="A295" s="4" t="s">
        <v>91</v>
      </c>
      <c r="B295" s="22" t="s">
        <v>92</v>
      </c>
      <c r="C295" s="22"/>
      <c r="D295" s="5" t="s">
        <v>93</v>
      </c>
      <c r="E295" s="5" t="s">
        <v>343</v>
      </c>
      <c r="F295" s="13" t="s">
        <v>19</v>
      </c>
      <c r="G295" s="28">
        <v>1364.99</v>
      </c>
      <c r="H295" s="28"/>
      <c r="I295" s="13" t="s">
        <v>95</v>
      </c>
      <c r="J295" s="24" t="s">
        <v>21</v>
      </c>
      <c r="K295" s="24"/>
      <c r="L295" s="6" t="s">
        <v>22</v>
      </c>
      <c r="M295" s="25">
        <v>1566326.37</v>
      </c>
      <c r="N295" s="25"/>
    </row>
    <row r="296" spans="1:14" ht="88.95" customHeight="1" outlineLevel="1" x14ac:dyDescent="0.2">
      <c r="A296" s="4" t="s">
        <v>91</v>
      </c>
      <c r="B296" s="22" t="s">
        <v>92</v>
      </c>
      <c r="C296" s="22"/>
      <c r="D296" s="5" t="s">
        <v>93</v>
      </c>
      <c r="E296" s="5" t="s">
        <v>344</v>
      </c>
      <c r="F296" s="13" t="s">
        <v>19</v>
      </c>
      <c r="G296" s="23">
        <v>28</v>
      </c>
      <c r="H296" s="23"/>
      <c r="I296" s="13" t="s">
        <v>95</v>
      </c>
      <c r="J296" s="24" t="s">
        <v>21</v>
      </c>
      <c r="K296" s="24"/>
      <c r="L296" s="6" t="s">
        <v>22</v>
      </c>
      <c r="M296" s="25">
        <v>1566354.37</v>
      </c>
      <c r="N296" s="25"/>
    </row>
    <row r="297" spans="1:14" ht="88.95" customHeight="1" outlineLevel="1" x14ac:dyDescent="0.2">
      <c r="A297" s="4" t="s">
        <v>91</v>
      </c>
      <c r="B297" s="22" t="s">
        <v>92</v>
      </c>
      <c r="C297" s="22"/>
      <c r="D297" s="5" t="s">
        <v>93</v>
      </c>
      <c r="E297" s="5" t="s">
        <v>345</v>
      </c>
      <c r="F297" s="13" t="s">
        <v>19</v>
      </c>
      <c r="G297" s="28">
        <v>6583.5</v>
      </c>
      <c r="H297" s="28"/>
      <c r="I297" s="13" t="s">
        <v>95</v>
      </c>
      <c r="J297" s="24" t="s">
        <v>21</v>
      </c>
      <c r="K297" s="24"/>
      <c r="L297" s="6" t="s">
        <v>22</v>
      </c>
      <c r="M297" s="25">
        <v>1572937.87</v>
      </c>
      <c r="N297" s="25"/>
    </row>
    <row r="298" spans="1:14" ht="88.95" customHeight="1" outlineLevel="1" x14ac:dyDescent="0.2">
      <c r="A298" s="4" t="s">
        <v>91</v>
      </c>
      <c r="B298" s="22" t="s">
        <v>92</v>
      </c>
      <c r="C298" s="22"/>
      <c r="D298" s="5" t="s">
        <v>93</v>
      </c>
      <c r="E298" s="5" t="s">
        <v>346</v>
      </c>
      <c r="F298" s="13" t="s">
        <v>19</v>
      </c>
      <c r="G298" s="28">
        <v>1197</v>
      </c>
      <c r="H298" s="28"/>
      <c r="I298" s="13" t="s">
        <v>95</v>
      </c>
      <c r="J298" s="24" t="s">
        <v>21</v>
      </c>
      <c r="K298" s="24"/>
      <c r="L298" s="6" t="s">
        <v>22</v>
      </c>
      <c r="M298" s="25">
        <v>1574134.87</v>
      </c>
      <c r="N298" s="25"/>
    </row>
    <row r="299" spans="1:14" ht="100.05" customHeight="1" outlineLevel="1" x14ac:dyDescent="0.2">
      <c r="A299" s="4" t="s">
        <v>91</v>
      </c>
      <c r="B299" s="22" t="s">
        <v>92</v>
      </c>
      <c r="C299" s="22"/>
      <c r="D299" s="5" t="s">
        <v>93</v>
      </c>
      <c r="E299" s="5" t="s">
        <v>347</v>
      </c>
      <c r="F299" s="13" t="s">
        <v>19</v>
      </c>
      <c r="G299" s="28">
        <v>1302.1300000000001</v>
      </c>
      <c r="H299" s="28"/>
      <c r="I299" s="13" t="s">
        <v>95</v>
      </c>
      <c r="J299" s="24" t="s">
        <v>21</v>
      </c>
      <c r="K299" s="24"/>
      <c r="L299" s="6" t="s">
        <v>22</v>
      </c>
      <c r="M299" s="25">
        <v>1575437</v>
      </c>
      <c r="N299" s="25"/>
    </row>
    <row r="300" spans="1:14" ht="88.95" customHeight="1" outlineLevel="1" x14ac:dyDescent="0.2">
      <c r="A300" s="4" t="s">
        <v>91</v>
      </c>
      <c r="B300" s="22" t="s">
        <v>92</v>
      </c>
      <c r="C300" s="22"/>
      <c r="D300" s="5" t="s">
        <v>93</v>
      </c>
      <c r="E300" s="5" t="s">
        <v>348</v>
      </c>
      <c r="F300" s="13" t="s">
        <v>19</v>
      </c>
      <c r="G300" s="23">
        <v>176</v>
      </c>
      <c r="H300" s="23"/>
      <c r="I300" s="13" t="s">
        <v>95</v>
      </c>
      <c r="J300" s="24" t="s">
        <v>21</v>
      </c>
      <c r="K300" s="24"/>
      <c r="L300" s="6" t="s">
        <v>22</v>
      </c>
      <c r="M300" s="25">
        <v>1575613</v>
      </c>
      <c r="N300" s="25"/>
    </row>
    <row r="301" spans="1:14" ht="88.95" customHeight="1" outlineLevel="1" x14ac:dyDescent="0.2">
      <c r="A301" s="4" t="s">
        <v>91</v>
      </c>
      <c r="B301" s="22" t="s">
        <v>92</v>
      </c>
      <c r="C301" s="22"/>
      <c r="D301" s="5" t="s">
        <v>93</v>
      </c>
      <c r="E301" s="5" t="s">
        <v>349</v>
      </c>
      <c r="F301" s="13" t="s">
        <v>19</v>
      </c>
      <c r="G301" s="23">
        <v>257.5</v>
      </c>
      <c r="H301" s="23"/>
      <c r="I301" s="13" t="s">
        <v>95</v>
      </c>
      <c r="J301" s="24" t="s">
        <v>21</v>
      </c>
      <c r="K301" s="24"/>
      <c r="L301" s="6" t="s">
        <v>22</v>
      </c>
      <c r="M301" s="25">
        <v>1575870.5</v>
      </c>
      <c r="N301" s="25"/>
    </row>
    <row r="302" spans="1:14" ht="88.95" customHeight="1" outlineLevel="1" x14ac:dyDescent="0.2">
      <c r="A302" s="4" t="s">
        <v>91</v>
      </c>
      <c r="B302" s="22" t="s">
        <v>92</v>
      </c>
      <c r="C302" s="22"/>
      <c r="D302" s="5" t="s">
        <v>93</v>
      </c>
      <c r="E302" s="5" t="s">
        <v>350</v>
      </c>
      <c r="F302" s="13" t="s">
        <v>19</v>
      </c>
      <c r="G302" s="23">
        <v>234.76</v>
      </c>
      <c r="H302" s="23"/>
      <c r="I302" s="13" t="s">
        <v>95</v>
      </c>
      <c r="J302" s="24" t="s">
        <v>21</v>
      </c>
      <c r="K302" s="24"/>
      <c r="L302" s="6" t="s">
        <v>22</v>
      </c>
      <c r="M302" s="25">
        <v>1576105.26</v>
      </c>
      <c r="N302" s="25"/>
    </row>
    <row r="303" spans="1:14" ht="88.95" customHeight="1" outlineLevel="1" x14ac:dyDescent="0.2">
      <c r="A303" s="4" t="s">
        <v>91</v>
      </c>
      <c r="B303" s="22" t="s">
        <v>92</v>
      </c>
      <c r="C303" s="22"/>
      <c r="D303" s="5" t="s">
        <v>93</v>
      </c>
      <c r="E303" s="5" t="s">
        <v>351</v>
      </c>
      <c r="F303" s="13" t="s">
        <v>19</v>
      </c>
      <c r="G303" s="28">
        <v>1676.88</v>
      </c>
      <c r="H303" s="28"/>
      <c r="I303" s="13" t="s">
        <v>95</v>
      </c>
      <c r="J303" s="24" t="s">
        <v>21</v>
      </c>
      <c r="K303" s="24"/>
      <c r="L303" s="6" t="s">
        <v>22</v>
      </c>
      <c r="M303" s="25">
        <v>1577782.14</v>
      </c>
      <c r="N303" s="25"/>
    </row>
    <row r="304" spans="1:14" ht="88.95" customHeight="1" outlineLevel="1" x14ac:dyDescent="0.2">
      <c r="A304" s="4" t="s">
        <v>91</v>
      </c>
      <c r="B304" s="22" t="s">
        <v>92</v>
      </c>
      <c r="C304" s="22"/>
      <c r="D304" s="5" t="s">
        <v>93</v>
      </c>
      <c r="E304" s="5" t="s">
        <v>352</v>
      </c>
      <c r="F304" s="13" t="s">
        <v>19</v>
      </c>
      <c r="G304" s="23">
        <v>358.44</v>
      </c>
      <c r="H304" s="23"/>
      <c r="I304" s="13" t="s">
        <v>95</v>
      </c>
      <c r="J304" s="24" t="s">
        <v>21</v>
      </c>
      <c r="K304" s="24"/>
      <c r="L304" s="6" t="s">
        <v>22</v>
      </c>
      <c r="M304" s="25">
        <v>1578140.58</v>
      </c>
      <c r="N304" s="25"/>
    </row>
    <row r="305" spans="1:14" ht="88.95" customHeight="1" outlineLevel="1" x14ac:dyDescent="0.2">
      <c r="A305" s="4" t="s">
        <v>91</v>
      </c>
      <c r="B305" s="22" t="s">
        <v>92</v>
      </c>
      <c r="C305" s="22"/>
      <c r="D305" s="5" t="s">
        <v>93</v>
      </c>
      <c r="E305" s="5" t="s">
        <v>353</v>
      </c>
      <c r="F305" s="13" t="s">
        <v>19</v>
      </c>
      <c r="G305" s="23">
        <v>179.22</v>
      </c>
      <c r="H305" s="23"/>
      <c r="I305" s="13" t="s">
        <v>95</v>
      </c>
      <c r="J305" s="24" t="s">
        <v>21</v>
      </c>
      <c r="K305" s="24"/>
      <c r="L305" s="6" t="s">
        <v>22</v>
      </c>
      <c r="M305" s="25">
        <v>1578319.8</v>
      </c>
      <c r="N305" s="25"/>
    </row>
    <row r="306" spans="1:14" ht="100.05" customHeight="1" outlineLevel="1" x14ac:dyDescent="0.2">
      <c r="A306" s="4" t="s">
        <v>91</v>
      </c>
      <c r="B306" s="22" t="s">
        <v>92</v>
      </c>
      <c r="C306" s="22"/>
      <c r="D306" s="5" t="s">
        <v>93</v>
      </c>
      <c r="E306" s="5" t="s">
        <v>354</v>
      </c>
      <c r="F306" s="13" t="s">
        <v>19</v>
      </c>
      <c r="G306" s="28">
        <v>2392.5</v>
      </c>
      <c r="H306" s="28"/>
      <c r="I306" s="13" t="s">
        <v>95</v>
      </c>
      <c r="J306" s="24" t="s">
        <v>21</v>
      </c>
      <c r="K306" s="24"/>
      <c r="L306" s="6" t="s">
        <v>22</v>
      </c>
      <c r="M306" s="25">
        <v>1580712.3</v>
      </c>
      <c r="N306" s="25"/>
    </row>
    <row r="307" spans="1:14" ht="100.05" customHeight="1" outlineLevel="1" x14ac:dyDescent="0.2">
      <c r="A307" s="4" t="s">
        <v>91</v>
      </c>
      <c r="B307" s="22" t="s">
        <v>92</v>
      </c>
      <c r="C307" s="22"/>
      <c r="D307" s="5" t="s">
        <v>93</v>
      </c>
      <c r="E307" s="5" t="s">
        <v>355</v>
      </c>
      <c r="F307" s="13" t="s">
        <v>19</v>
      </c>
      <c r="G307" s="23">
        <v>435</v>
      </c>
      <c r="H307" s="23"/>
      <c r="I307" s="13" t="s">
        <v>95</v>
      </c>
      <c r="J307" s="24" t="s">
        <v>21</v>
      </c>
      <c r="K307" s="24"/>
      <c r="L307" s="6" t="s">
        <v>22</v>
      </c>
      <c r="M307" s="25">
        <v>1581147.3</v>
      </c>
      <c r="N307" s="25"/>
    </row>
    <row r="308" spans="1:14" ht="88.95" customHeight="1" outlineLevel="1" x14ac:dyDescent="0.2">
      <c r="A308" s="4" t="s">
        <v>91</v>
      </c>
      <c r="B308" s="22" t="s">
        <v>92</v>
      </c>
      <c r="C308" s="22"/>
      <c r="D308" s="5" t="s">
        <v>93</v>
      </c>
      <c r="E308" s="5" t="s">
        <v>356</v>
      </c>
      <c r="F308" s="13" t="s">
        <v>19</v>
      </c>
      <c r="G308" s="28">
        <v>8450</v>
      </c>
      <c r="H308" s="28"/>
      <c r="I308" s="13" t="s">
        <v>95</v>
      </c>
      <c r="J308" s="24" t="s">
        <v>21</v>
      </c>
      <c r="K308" s="24"/>
      <c r="L308" s="6" t="s">
        <v>22</v>
      </c>
      <c r="M308" s="25">
        <v>1589597.3</v>
      </c>
      <c r="N308" s="25"/>
    </row>
    <row r="309" spans="1:14" ht="100.05" customHeight="1" outlineLevel="1" x14ac:dyDescent="0.2">
      <c r="A309" s="4" t="s">
        <v>91</v>
      </c>
      <c r="B309" s="22" t="s">
        <v>92</v>
      </c>
      <c r="C309" s="22"/>
      <c r="D309" s="5" t="s">
        <v>93</v>
      </c>
      <c r="E309" s="5" t="s">
        <v>357</v>
      </c>
      <c r="F309" s="13" t="s">
        <v>19</v>
      </c>
      <c r="G309" s="23">
        <v>212.67</v>
      </c>
      <c r="H309" s="23"/>
      <c r="I309" s="13" t="s">
        <v>95</v>
      </c>
      <c r="J309" s="24" t="s">
        <v>21</v>
      </c>
      <c r="K309" s="24"/>
      <c r="L309" s="6" t="s">
        <v>22</v>
      </c>
      <c r="M309" s="25">
        <v>1589809.97</v>
      </c>
      <c r="N309" s="25"/>
    </row>
    <row r="310" spans="1:14" ht="88.95" customHeight="1" outlineLevel="1" x14ac:dyDescent="0.2">
      <c r="A310" s="4" t="s">
        <v>91</v>
      </c>
      <c r="B310" s="22" t="s">
        <v>92</v>
      </c>
      <c r="C310" s="22"/>
      <c r="D310" s="5" t="s">
        <v>93</v>
      </c>
      <c r="E310" s="5" t="s">
        <v>358</v>
      </c>
      <c r="F310" s="13" t="s">
        <v>19</v>
      </c>
      <c r="G310" s="28">
        <v>1386</v>
      </c>
      <c r="H310" s="28"/>
      <c r="I310" s="13" t="s">
        <v>95</v>
      </c>
      <c r="J310" s="24" t="s">
        <v>21</v>
      </c>
      <c r="K310" s="24"/>
      <c r="L310" s="6" t="s">
        <v>22</v>
      </c>
      <c r="M310" s="25">
        <v>1591195.97</v>
      </c>
      <c r="N310" s="25"/>
    </row>
    <row r="311" spans="1:14" ht="100.05" customHeight="1" outlineLevel="1" x14ac:dyDescent="0.2">
      <c r="A311" s="4" t="s">
        <v>91</v>
      </c>
      <c r="B311" s="22" t="s">
        <v>92</v>
      </c>
      <c r="C311" s="22"/>
      <c r="D311" s="5" t="s">
        <v>93</v>
      </c>
      <c r="E311" s="5" t="s">
        <v>359</v>
      </c>
      <c r="F311" s="13" t="s">
        <v>19</v>
      </c>
      <c r="G311" s="23">
        <v>216.6</v>
      </c>
      <c r="H311" s="23"/>
      <c r="I311" s="13" t="s">
        <v>95</v>
      </c>
      <c r="J311" s="24" t="s">
        <v>21</v>
      </c>
      <c r="K311" s="24"/>
      <c r="L311" s="6" t="s">
        <v>22</v>
      </c>
      <c r="M311" s="25">
        <v>1591412.57</v>
      </c>
      <c r="N311" s="25"/>
    </row>
    <row r="312" spans="1:14" ht="100.05" customHeight="1" outlineLevel="1" x14ac:dyDescent="0.2">
      <c r="A312" s="4" t="s">
        <v>91</v>
      </c>
      <c r="B312" s="22" t="s">
        <v>92</v>
      </c>
      <c r="C312" s="22"/>
      <c r="D312" s="5" t="s">
        <v>93</v>
      </c>
      <c r="E312" s="5" t="s">
        <v>360</v>
      </c>
      <c r="F312" s="13" t="s">
        <v>19</v>
      </c>
      <c r="G312" s="23">
        <v>84.5</v>
      </c>
      <c r="H312" s="23"/>
      <c r="I312" s="13" t="s">
        <v>95</v>
      </c>
      <c r="J312" s="24" t="s">
        <v>21</v>
      </c>
      <c r="K312" s="24"/>
      <c r="L312" s="6" t="s">
        <v>22</v>
      </c>
      <c r="M312" s="25">
        <v>1591497.07</v>
      </c>
      <c r="N312" s="25"/>
    </row>
    <row r="313" spans="1:14" ht="100.05" customHeight="1" outlineLevel="1" x14ac:dyDescent="0.2">
      <c r="A313" s="4" t="s">
        <v>91</v>
      </c>
      <c r="B313" s="22" t="s">
        <v>92</v>
      </c>
      <c r="C313" s="22"/>
      <c r="D313" s="5" t="s">
        <v>93</v>
      </c>
      <c r="E313" s="5" t="s">
        <v>361</v>
      </c>
      <c r="F313" s="13" t="s">
        <v>19</v>
      </c>
      <c r="G313" s="28">
        <v>2861.3</v>
      </c>
      <c r="H313" s="28"/>
      <c r="I313" s="13" t="s">
        <v>95</v>
      </c>
      <c r="J313" s="24" t="s">
        <v>21</v>
      </c>
      <c r="K313" s="24"/>
      <c r="L313" s="6" t="s">
        <v>22</v>
      </c>
      <c r="M313" s="25">
        <v>1594358.37</v>
      </c>
      <c r="N313" s="25"/>
    </row>
    <row r="314" spans="1:14" ht="88.95" customHeight="1" outlineLevel="1" x14ac:dyDescent="0.2">
      <c r="A314" s="4" t="s">
        <v>91</v>
      </c>
      <c r="B314" s="22" t="s">
        <v>92</v>
      </c>
      <c r="C314" s="22"/>
      <c r="D314" s="5" t="s">
        <v>93</v>
      </c>
      <c r="E314" s="5" t="s">
        <v>362</v>
      </c>
      <c r="F314" s="13" t="s">
        <v>19</v>
      </c>
      <c r="G314" s="28">
        <v>2810</v>
      </c>
      <c r="H314" s="28"/>
      <c r="I314" s="13" t="s">
        <v>95</v>
      </c>
      <c r="J314" s="24" t="s">
        <v>21</v>
      </c>
      <c r="K314" s="24"/>
      <c r="L314" s="6" t="s">
        <v>22</v>
      </c>
      <c r="M314" s="25">
        <v>1597168.37</v>
      </c>
      <c r="N314" s="25"/>
    </row>
    <row r="315" spans="1:14" ht="88.95" customHeight="1" outlineLevel="1" x14ac:dyDescent="0.2">
      <c r="A315" s="4" t="s">
        <v>91</v>
      </c>
      <c r="B315" s="22" t="s">
        <v>92</v>
      </c>
      <c r="C315" s="22"/>
      <c r="D315" s="5" t="s">
        <v>93</v>
      </c>
      <c r="E315" s="5" t="s">
        <v>363</v>
      </c>
      <c r="F315" s="13" t="s">
        <v>19</v>
      </c>
      <c r="G315" s="28">
        <v>2810</v>
      </c>
      <c r="H315" s="28"/>
      <c r="I315" s="13" t="s">
        <v>95</v>
      </c>
      <c r="J315" s="24" t="s">
        <v>21</v>
      </c>
      <c r="K315" s="24"/>
      <c r="L315" s="6" t="s">
        <v>22</v>
      </c>
      <c r="M315" s="25">
        <v>1599978.37</v>
      </c>
      <c r="N315" s="25"/>
    </row>
    <row r="316" spans="1:14" ht="88.95" customHeight="1" outlineLevel="1" x14ac:dyDescent="0.2">
      <c r="A316" s="4" t="s">
        <v>91</v>
      </c>
      <c r="B316" s="22" t="s">
        <v>92</v>
      </c>
      <c r="C316" s="22"/>
      <c r="D316" s="5" t="s">
        <v>93</v>
      </c>
      <c r="E316" s="5" t="s">
        <v>364</v>
      </c>
      <c r="F316" s="13" t="s">
        <v>19</v>
      </c>
      <c r="G316" s="28">
        <v>4244.51</v>
      </c>
      <c r="H316" s="28"/>
      <c r="I316" s="13" t="s">
        <v>95</v>
      </c>
      <c r="J316" s="24" t="s">
        <v>21</v>
      </c>
      <c r="K316" s="24"/>
      <c r="L316" s="6" t="s">
        <v>22</v>
      </c>
      <c r="M316" s="25">
        <v>1604222.88</v>
      </c>
      <c r="N316" s="25"/>
    </row>
    <row r="317" spans="1:14" ht="88.95" customHeight="1" outlineLevel="1" x14ac:dyDescent="0.2">
      <c r="A317" s="4" t="s">
        <v>91</v>
      </c>
      <c r="B317" s="22" t="s">
        <v>92</v>
      </c>
      <c r="C317" s="22"/>
      <c r="D317" s="5" t="s">
        <v>93</v>
      </c>
      <c r="E317" s="5" t="s">
        <v>365</v>
      </c>
      <c r="F317" s="13" t="s">
        <v>19</v>
      </c>
      <c r="G317" s="28">
        <v>7570</v>
      </c>
      <c r="H317" s="28"/>
      <c r="I317" s="13" t="s">
        <v>95</v>
      </c>
      <c r="J317" s="24" t="s">
        <v>21</v>
      </c>
      <c r="K317" s="24"/>
      <c r="L317" s="6" t="s">
        <v>22</v>
      </c>
      <c r="M317" s="25">
        <v>1611792.88</v>
      </c>
      <c r="N317" s="25"/>
    </row>
    <row r="318" spans="1:14" ht="88.95" customHeight="1" outlineLevel="1" x14ac:dyDescent="0.2">
      <c r="A318" s="4" t="s">
        <v>91</v>
      </c>
      <c r="B318" s="22" t="s">
        <v>92</v>
      </c>
      <c r="C318" s="22"/>
      <c r="D318" s="5" t="s">
        <v>93</v>
      </c>
      <c r="E318" s="5" t="s">
        <v>366</v>
      </c>
      <c r="F318" s="13" t="s">
        <v>19</v>
      </c>
      <c r="G318" s="28">
        <v>2201.71</v>
      </c>
      <c r="H318" s="28"/>
      <c r="I318" s="13" t="s">
        <v>95</v>
      </c>
      <c r="J318" s="24" t="s">
        <v>21</v>
      </c>
      <c r="K318" s="24"/>
      <c r="L318" s="6" t="s">
        <v>22</v>
      </c>
      <c r="M318" s="25">
        <v>1613994.59</v>
      </c>
      <c r="N318" s="25"/>
    </row>
    <row r="319" spans="1:14" ht="88.95" customHeight="1" outlineLevel="1" x14ac:dyDescent="0.2">
      <c r="A319" s="4" t="s">
        <v>91</v>
      </c>
      <c r="B319" s="22" t="s">
        <v>92</v>
      </c>
      <c r="C319" s="22"/>
      <c r="D319" s="5" t="s">
        <v>93</v>
      </c>
      <c r="E319" s="5" t="s">
        <v>367</v>
      </c>
      <c r="F319" s="13" t="s">
        <v>19</v>
      </c>
      <c r="G319" s="28">
        <v>6836</v>
      </c>
      <c r="H319" s="28"/>
      <c r="I319" s="13" t="s">
        <v>95</v>
      </c>
      <c r="J319" s="24" t="s">
        <v>21</v>
      </c>
      <c r="K319" s="24"/>
      <c r="L319" s="6" t="s">
        <v>22</v>
      </c>
      <c r="M319" s="25">
        <v>1620830.59</v>
      </c>
      <c r="N319" s="25"/>
    </row>
    <row r="320" spans="1:14" ht="88.95" customHeight="1" outlineLevel="1" x14ac:dyDescent="0.2">
      <c r="A320" s="4" t="s">
        <v>91</v>
      </c>
      <c r="B320" s="22" t="s">
        <v>92</v>
      </c>
      <c r="C320" s="22"/>
      <c r="D320" s="5" t="s">
        <v>93</v>
      </c>
      <c r="E320" s="5" t="s">
        <v>368</v>
      </c>
      <c r="F320" s="13" t="s">
        <v>19</v>
      </c>
      <c r="G320" s="23">
        <v>466.69</v>
      </c>
      <c r="H320" s="23"/>
      <c r="I320" s="13" t="s">
        <v>95</v>
      </c>
      <c r="J320" s="24" t="s">
        <v>21</v>
      </c>
      <c r="K320" s="24"/>
      <c r="L320" s="6" t="s">
        <v>22</v>
      </c>
      <c r="M320" s="25">
        <v>1621297.28</v>
      </c>
      <c r="N320" s="25"/>
    </row>
    <row r="321" spans="1:14" ht="100.05" customHeight="1" outlineLevel="1" x14ac:dyDescent="0.2">
      <c r="A321" s="4" t="s">
        <v>91</v>
      </c>
      <c r="B321" s="22" t="s">
        <v>92</v>
      </c>
      <c r="C321" s="22"/>
      <c r="D321" s="5" t="s">
        <v>93</v>
      </c>
      <c r="E321" s="5" t="s">
        <v>369</v>
      </c>
      <c r="F321" s="13" t="s">
        <v>19</v>
      </c>
      <c r="G321" s="28">
        <v>1482.48</v>
      </c>
      <c r="H321" s="28"/>
      <c r="I321" s="13" t="s">
        <v>95</v>
      </c>
      <c r="J321" s="24" t="s">
        <v>21</v>
      </c>
      <c r="K321" s="24"/>
      <c r="L321" s="6" t="s">
        <v>22</v>
      </c>
      <c r="M321" s="25">
        <v>1622779.76</v>
      </c>
      <c r="N321" s="25"/>
    </row>
    <row r="322" spans="1:14" ht="88.95" customHeight="1" outlineLevel="1" x14ac:dyDescent="0.2">
      <c r="A322" s="4" t="s">
        <v>91</v>
      </c>
      <c r="B322" s="22" t="s">
        <v>92</v>
      </c>
      <c r="C322" s="22"/>
      <c r="D322" s="5" t="s">
        <v>93</v>
      </c>
      <c r="E322" s="5" t="s">
        <v>370</v>
      </c>
      <c r="F322" s="13" t="s">
        <v>19</v>
      </c>
      <c r="G322" s="23">
        <v>495</v>
      </c>
      <c r="H322" s="23"/>
      <c r="I322" s="13" t="s">
        <v>95</v>
      </c>
      <c r="J322" s="24" t="s">
        <v>21</v>
      </c>
      <c r="K322" s="24"/>
      <c r="L322" s="6" t="s">
        <v>22</v>
      </c>
      <c r="M322" s="25">
        <v>1623274.76</v>
      </c>
      <c r="N322" s="25"/>
    </row>
    <row r="323" spans="1:14" ht="88.95" customHeight="1" outlineLevel="1" x14ac:dyDescent="0.2">
      <c r="A323" s="4" t="s">
        <v>91</v>
      </c>
      <c r="B323" s="22" t="s">
        <v>92</v>
      </c>
      <c r="C323" s="22"/>
      <c r="D323" s="5" t="s">
        <v>93</v>
      </c>
      <c r="E323" s="5" t="s">
        <v>371</v>
      </c>
      <c r="F323" s="13" t="s">
        <v>19</v>
      </c>
      <c r="G323" s="28">
        <v>3889.22</v>
      </c>
      <c r="H323" s="28"/>
      <c r="I323" s="13" t="s">
        <v>95</v>
      </c>
      <c r="J323" s="24" t="s">
        <v>21</v>
      </c>
      <c r="K323" s="24"/>
      <c r="L323" s="6" t="s">
        <v>22</v>
      </c>
      <c r="M323" s="25">
        <v>1627163.98</v>
      </c>
      <c r="N323" s="25"/>
    </row>
    <row r="324" spans="1:14" ht="88.95" customHeight="1" outlineLevel="1" x14ac:dyDescent="0.2">
      <c r="A324" s="4" t="s">
        <v>91</v>
      </c>
      <c r="B324" s="22" t="s">
        <v>92</v>
      </c>
      <c r="C324" s="22"/>
      <c r="D324" s="5" t="s">
        <v>93</v>
      </c>
      <c r="E324" s="5" t="s">
        <v>372</v>
      </c>
      <c r="F324" s="13" t="s">
        <v>19</v>
      </c>
      <c r="G324" s="28">
        <v>5185.63</v>
      </c>
      <c r="H324" s="28"/>
      <c r="I324" s="13" t="s">
        <v>95</v>
      </c>
      <c r="J324" s="24" t="s">
        <v>21</v>
      </c>
      <c r="K324" s="24"/>
      <c r="L324" s="6" t="s">
        <v>22</v>
      </c>
      <c r="M324" s="25">
        <v>1632349.61</v>
      </c>
      <c r="N324" s="25"/>
    </row>
    <row r="325" spans="1:14" ht="88.95" customHeight="1" outlineLevel="1" x14ac:dyDescent="0.2">
      <c r="A325" s="4" t="s">
        <v>91</v>
      </c>
      <c r="B325" s="22" t="s">
        <v>92</v>
      </c>
      <c r="C325" s="22"/>
      <c r="D325" s="5" t="s">
        <v>93</v>
      </c>
      <c r="E325" s="5" t="s">
        <v>373</v>
      </c>
      <c r="F325" s="13" t="s">
        <v>19</v>
      </c>
      <c r="G325" s="23">
        <v>56.53</v>
      </c>
      <c r="H325" s="23"/>
      <c r="I325" s="13" t="s">
        <v>95</v>
      </c>
      <c r="J325" s="24" t="s">
        <v>21</v>
      </c>
      <c r="K325" s="24"/>
      <c r="L325" s="6" t="s">
        <v>22</v>
      </c>
      <c r="M325" s="25">
        <v>1632406.14</v>
      </c>
      <c r="N325" s="25"/>
    </row>
    <row r="326" spans="1:14" ht="88.95" customHeight="1" outlineLevel="1" x14ac:dyDescent="0.2">
      <c r="A326" s="4" t="s">
        <v>91</v>
      </c>
      <c r="B326" s="22" t="s">
        <v>92</v>
      </c>
      <c r="C326" s="22"/>
      <c r="D326" s="5" t="s">
        <v>93</v>
      </c>
      <c r="E326" s="5" t="s">
        <v>374</v>
      </c>
      <c r="F326" s="13" t="s">
        <v>19</v>
      </c>
      <c r="G326" s="23">
        <v>90.8</v>
      </c>
      <c r="H326" s="23"/>
      <c r="I326" s="13" t="s">
        <v>95</v>
      </c>
      <c r="J326" s="24" t="s">
        <v>21</v>
      </c>
      <c r="K326" s="24"/>
      <c r="L326" s="6" t="s">
        <v>22</v>
      </c>
      <c r="M326" s="25">
        <v>1632496.94</v>
      </c>
      <c r="N326" s="25"/>
    </row>
    <row r="327" spans="1:14" ht="88.95" customHeight="1" outlineLevel="1" x14ac:dyDescent="0.2">
      <c r="A327" s="4" t="s">
        <v>91</v>
      </c>
      <c r="B327" s="22" t="s">
        <v>92</v>
      </c>
      <c r="C327" s="22"/>
      <c r="D327" s="5" t="s">
        <v>93</v>
      </c>
      <c r="E327" s="5" t="s">
        <v>375</v>
      </c>
      <c r="F327" s="13" t="s">
        <v>19</v>
      </c>
      <c r="G327" s="23">
        <v>287</v>
      </c>
      <c r="H327" s="23"/>
      <c r="I327" s="13" t="s">
        <v>95</v>
      </c>
      <c r="J327" s="24" t="s">
        <v>21</v>
      </c>
      <c r="K327" s="24"/>
      <c r="L327" s="6" t="s">
        <v>22</v>
      </c>
      <c r="M327" s="25">
        <v>1632783.94</v>
      </c>
      <c r="N327" s="25"/>
    </row>
    <row r="328" spans="1:14" ht="88.95" customHeight="1" outlineLevel="1" x14ac:dyDescent="0.2">
      <c r="A328" s="4" t="s">
        <v>91</v>
      </c>
      <c r="B328" s="22" t="s">
        <v>92</v>
      </c>
      <c r="C328" s="22"/>
      <c r="D328" s="5" t="s">
        <v>93</v>
      </c>
      <c r="E328" s="5" t="s">
        <v>376</v>
      </c>
      <c r="F328" s="13" t="s">
        <v>19</v>
      </c>
      <c r="G328" s="23">
        <v>24.4</v>
      </c>
      <c r="H328" s="23"/>
      <c r="I328" s="13" t="s">
        <v>95</v>
      </c>
      <c r="J328" s="24" t="s">
        <v>21</v>
      </c>
      <c r="K328" s="24"/>
      <c r="L328" s="6" t="s">
        <v>22</v>
      </c>
      <c r="M328" s="25">
        <v>1632808.34</v>
      </c>
      <c r="N328" s="25"/>
    </row>
    <row r="329" spans="1:14" ht="88.95" customHeight="1" outlineLevel="1" x14ac:dyDescent="0.2">
      <c r="A329" s="4" t="s">
        <v>91</v>
      </c>
      <c r="B329" s="22" t="s">
        <v>92</v>
      </c>
      <c r="C329" s="22"/>
      <c r="D329" s="5" t="s">
        <v>93</v>
      </c>
      <c r="E329" s="5" t="s">
        <v>377</v>
      </c>
      <c r="F329" s="13" t="s">
        <v>19</v>
      </c>
      <c r="G329" s="23">
        <v>27.5</v>
      </c>
      <c r="H329" s="23"/>
      <c r="I329" s="13" t="s">
        <v>95</v>
      </c>
      <c r="J329" s="24" t="s">
        <v>21</v>
      </c>
      <c r="K329" s="24"/>
      <c r="L329" s="6" t="s">
        <v>22</v>
      </c>
      <c r="M329" s="25">
        <v>1632835.84</v>
      </c>
      <c r="N329" s="25"/>
    </row>
    <row r="330" spans="1:14" ht="88.95" customHeight="1" outlineLevel="1" x14ac:dyDescent="0.2">
      <c r="A330" s="4" t="s">
        <v>91</v>
      </c>
      <c r="B330" s="22" t="s">
        <v>92</v>
      </c>
      <c r="C330" s="22"/>
      <c r="D330" s="5" t="s">
        <v>93</v>
      </c>
      <c r="E330" s="5" t="s">
        <v>378</v>
      </c>
      <c r="F330" s="13" t="s">
        <v>19</v>
      </c>
      <c r="G330" s="23">
        <v>31.9</v>
      </c>
      <c r="H330" s="23"/>
      <c r="I330" s="13" t="s">
        <v>95</v>
      </c>
      <c r="J330" s="24" t="s">
        <v>21</v>
      </c>
      <c r="K330" s="24"/>
      <c r="L330" s="6" t="s">
        <v>22</v>
      </c>
      <c r="M330" s="25">
        <v>1632867.74</v>
      </c>
      <c r="N330" s="25"/>
    </row>
    <row r="331" spans="1:14" ht="88.95" customHeight="1" outlineLevel="1" x14ac:dyDescent="0.2">
      <c r="A331" s="4" t="s">
        <v>91</v>
      </c>
      <c r="B331" s="22" t="s">
        <v>92</v>
      </c>
      <c r="C331" s="22"/>
      <c r="D331" s="5" t="s">
        <v>93</v>
      </c>
      <c r="E331" s="5" t="s">
        <v>379</v>
      </c>
      <c r="F331" s="13" t="s">
        <v>19</v>
      </c>
      <c r="G331" s="23">
        <v>53.2</v>
      </c>
      <c r="H331" s="23"/>
      <c r="I331" s="13" t="s">
        <v>95</v>
      </c>
      <c r="J331" s="24" t="s">
        <v>21</v>
      </c>
      <c r="K331" s="24"/>
      <c r="L331" s="6" t="s">
        <v>22</v>
      </c>
      <c r="M331" s="25">
        <v>1632920.94</v>
      </c>
      <c r="N331" s="25"/>
    </row>
    <row r="332" spans="1:14" ht="88.95" customHeight="1" outlineLevel="1" x14ac:dyDescent="0.2">
      <c r="A332" s="4" t="s">
        <v>91</v>
      </c>
      <c r="B332" s="22" t="s">
        <v>92</v>
      </c>
      <c r="C332" s="22"/>
      <c r="D332" s="5" t="s">
        <v>93</v>
      </c>
      <c r="E332" s="5" t="s">
        <v>380</v>
      </c>
      <c r="F332" s="13" t="s">
        <v>19</v>
      </c>
      <c r="G332" s="23">
        <v>347</v>
      </c>
      <c r="H332" s="23"/>
      <c r="I332" s="13" t="s">
        <v>95</v>
      </c>
      <c r="J332" s="24" t="s">
        <v>21</v>
      </c>
      <c r="K332" s="24"/>
      <c r="L332" s="6" t="s">
        <v>22</v>
      </c>
      <c r="M332" s="25">
        <v>1633267.94</v>
      </c>
      <c r="N332" s="25"/>
    </row>
    <row r="333" spans="1:14" ht="100.05" customHeight="1" outlineLevel="1" x14ac:dyDescent="0.2">
      <c r="A333" s="4" t="s">
        <v>91</v>
      </c>
      <c r="B333" s="22" t="s">
        <v>92</v>
      </c>
      <c r="C333" s="22"/>
      <c r="D333" s="5" t="s">
        <v>93</v>
      </c>
      <c r="E333" s="5" t="s">
        <v>381</v>
      </c>
      <c r="F333" s="13" t="s">
        <v>19</v>
      </c>
      <c r="G333" s="23">
        <v>60.4</v>
      </c>
      <c r="H333" s="23"/>
      <c r="I333" s="13" t="s">
        <v>95</v>
      </c>
      <c r="J333" s="24" t="s">
        <v>21</v>
      </c>
      <c r="K333" s="24"/>
      <c r="L333" s="6" t="s">
        <v>22</v>
      </c>
      <c r="M333" s="25">
        <v>1633328.34</v>
      </c>
      <c r="N333" s="25"/>
    </row>
    <row r="334" spans="1:14" ht="88.95" customHeight="1" outlineLevel="1" x14ac:dyDescent="0.2">
      <c r="A334" s="4" t="s">
        <v>91</v>
      </c>
      <c r="B334" s="22" t="s">
        <v>92</v>
      </c>
      <c r="C334" s="22"/>
      <c r="D334" s="5" t="s">
        <v>93</v>
      </c>
      <c r="E334" s="5" t="s">
        <v>382</v>
      </c>
      <c r="F334" s="13" t="s">
        <v>19</v>
      </c>
      <c r="G334" s="28">
        <v>138997.17000000001</v>
      </c>
      <c r="H334" s="28"/>
      <c r="I334" s="13" t="s">
        <v>95</v>
      </c>
      <c r="J334" s="24" t="s">
        <v>21</v>
      </c>
      <c r="K334" s="24"/>
      <c r="L334" s="6" t="s">
        <v>22</v>
      </c>
      <c r="M334" s="25">
        <v>1772325.51</v>
      </c>
      <c r="N334" s="25"/>
    </row>
    <row r="335" spans="1:14" ht="88.95" customHeight="1" outlineLevel="1" x14ac:dyDescent="0.2">
      <c r="A335" s="4" t="s">
        <v>91</v>
      </c>
      <c r="B335" s="22" t="s">
        <v>92</v>
      </c>
      <c r="C335" s="22"/>
      <c r="D335" s="5" t="s">
        <v>93</v>
      </c>
      <c r="E335" s="5" t="s">
        <v>383</v>
      </c>
      <c r="F335" s="13" t="s">
        <v>19</v>
      </c>
      <c r="G335" s="28">
        <v>1901.36</v>
      </c>
      <c r="H335" s="28"/>
      <c r="I335" s="13" t="s">
        <v>95</v>
      </c>
      <c r="J335" s="24" t="s">
        <v>21</v>
      </c>
      <c r="K335" s="24"/>
      <c r="L335" s="6" t="s">
        <v>22</v>
      </c>
      <c r="M335" s="25">
        <v>1774226.87</v>
      </c>
      <c r="N335" s="25"/>
    </row>
    <row r="336" spans="1:14" ht="88.95" customHeight="1" outlineLevel="1" x14ac:dyDescent="0.2">
      <c r="A336" s="4" t="s">
        <v>91</v>
      </c>
      <c r="B336" s="22" t="s">
        <v>92</v>
      </c>
      <c r="C336" s="22"/>
      <c r="D336" s="5" t="s">
        <v>93</v>
      </c>
      <c r="E336" s="5" t="s">
        <v>384</v>
      </c>
      <c r="F336" s="13" t="s">
        <v>19</v>
      </c>
      <c r="G336" s="28">
        <v>6342.51</v>
      </c>
      <c r="H336" s="28"/>
      <c r="I336" s="13" t="s">
        <v>95</v>
      </c>
      <c r="J336" s="24" t="s">
        <v>21</v>
      </c>
      <c r="K336" s="24"/>
      <c r="L336" s="6" t="s">
        <v>22</v>
      </c>
      <c r="M336" s="25">
        <v>1780569.38</v>
      </c>
      <c r="N336" s="25"/>
    </row>
    <row r="337" spans="1:14" ht="88.95" customHeight="1" outlineLevel="1" x14ac:dyDescent="0.2">
      <c r="A337" s="4" t="s">
        <v>91</v>
      </c>
      <c r="B337" s="22" t="s">
        <v>92</v>
      </c>
      <c r="C337" s="22"/>
      <c r="D337" s="5" t="s">
        <v>93</v>
      </c>
      <c r="E337" s="5" t="s">
        <v>385</v>
      </c>
      <c r="F337" s="13" t="s">
        <v>19</v>
      </c>
      <c r="G337" s="28">
        <v>8414.11</v>
      </c>
      <c r="H337" s="28"/>
      <c r="I337" s="13" t="s">
        <v>95</v>
      </c>
      <c r="J337" s="24" t="s">
        <v>21</v>
      </c>
      <c r="K337" s="24"/>
      <c r="L337" s="6" t="s">
        <v>22</v>
      </c>
      <c r="M337" s="25">
        <v>1788983.49</v>
      </c>
      <c r="N337" s="25"/>
    </row>
    <row r="338" spans="1:14" ht="88.95" customHeight="1" outlineLevel="1" x14ac:dyDescent="0.2">
      <c r="A338" s="4" t="s">
        <v>91</v>
      </c>
      <c r="B338" s="22" t="s">
        <v>92</v>
      </c>
      <c r="C338" s="22"/>
      <c r="D338" s="5" t="s">
        <v>93</v>
      </c>
      <c r="E338" s="5" t="s">
        <v>386</v>
      </c>
      <c r="F338" s="13" t="s">
        <v>19</v>
      </c>
      <c r="G338" s="23">
        <v>992.8</v>
      </c>
      <c r="H338" s="23"/>
      <c r="I338" s="13" t="s">
        <v>95</v>
      </c>
      <c r="J338" s="24" t="s">
        <v>21</v>
      </c>
      <c r="K338" s="24"/>
      <c r="L338" s="6" t="s">
        <v>22</v>
      </c>
      <c r="M338" s="25">
        <v>1789976.29</v>
      </c>
      <c r="N338" s="25"/>
    </row>
    <row r="339" spans="1:14" ht="88.95" customHeight="1" outlineLevel="1" x14ac:dyDescent="0.2">
      <c r="A339" s="4" t="s">
        <v>91</v>
      </c>
      <c r="B339" s="22" t="s">
        <v>92</v>
      </c>
      <c r="C339" s="22"/>
      <c r="D339" s="5" t="s">
        <v>93</v>
      </c>
      <c r="E339" s="5" t="s">
        <v>387</v>
      </c>
      <c r="F339" s="13" t="s">
        <v>19</v>
      </c>
      <c r="G339" s="28">
        <v>8628.34</v>
      </c>
      <c r="H339" s="28"/>
      <c r="I339" s="13" t="s">
        <v>95</v>
      </c>
      <c r="J339" s="24" t="s">
        <v>21</v>
      </c>
      <c r="K339" s="24"/>
      <c r="L339" s="6" t="s">
        <v>22</v>
      </c>
      <c r="M339" s="25">
        <v>1798604.63</v>
      </c>
      <c r="N339" s="25"/>
    </row>
    <row r="340" spans="1:14" ht="88.95" customHeight="1" outlineLevel="1" x14ac:dyDescent="0.2">
      <c r="A340" s="4" t="s">
        <v>91</v>
      </c>
      <c r="B340" s="22" t="s">
        <v>92</v>
      </c>
      <c r="C340" s="22"/>
      <c r="D340" s="5" t="s">
        <v>93</v>
      </c>
      <c r="E340" s="5" t="s">
        <v>388</v>
      </c>
      <c r="F340" s="13" t="s">
        <v>19</v>
      </c>
      <c r="G340" s="23">
        <v>181.95</v>
      </c>
      <c r="H340" s="23"/>
      <c r="I340" s="13" t="s">
        <v>95</v>
      </c>
      <c r="J340" s="24" t="s">
        <v>21</v>
      </c>
      <c r="K340" s="24"/>
      <c r="L340" s="6" t="s">
        <v>22</v>
      </c>
      <c r="M340" s="25">
        <v>1798786.58</v>
      </c>
      <c r="N340" s="25"/>
    </row>
    <row r="341" spans="1:14" ht="88.95" customHeight="1" outlineLevel="1" x14ac:dyDescent="0.2">
      <c r="A341" s="4" t="s">
        <v>91</v>
      </c>
      <c r="B341" s="22" t="s">
        <v>92</v>
      </c>
      <c r="C341" s="22"/>
      <c r="D341" s="5" t="s">
        <v>93</v>
      </c>
      <c r="E341" s="5" t="s">
        <v>387</v>
      </c>
      <c r="F341" s="13" t="s">
        <v>19</v>
      </c>
      <c r="G341" s="28">
        <v>1511.37</v>
      </c>
      <c r="H341" s="28"/>
      <c r="I341" s="13" t="s">
        <v>95</v>
      </c>
      <c r="J341" s="24" t="s">
        <v>21</v>
      </c>
      <c r="K341" s="24"/>
      <c r="L341" s="6" t="s">
        <v>22</v>
      </c>
      <c r="M341" s="25">
        <v>1800297.95</v>
      </c>
      <c r="N341" s="25"/>
    </row>
    <row r="342" spans="1:14" ht="88.95" customHeight="1" outlineLevel="1" x14ac:dyDescent="0.2">
      <c r="A342" s="4" t="s">
        <v>91</v>
      </c>
      <c r="B342" s="22" t="s">
        <v>92</v>
      </c>
      <c r="C342" s="22"/>
      <c r="D342" s="5" t="s">
        <v>93</v>
      </c>
      <c r="E342" s="5" t="s">
        <v>389</v>
      </c>
      <c r="F342" s="13" t="s">
        <v>19</v>
      </c>
      <c r="G342" s="28">
        <v>1254.98</v>
      </c>
      <c r="H342" s="28"/>
      <c r="I342" s="13" t="s">
        <v>95</v>
      </c>
      <c r="J342" s="24" t="s">
        <v>21</v>
      </c>
      <c r="K342" s="24"/>
      <c r="L342" s="6" t="s">
        <v>22</v>
      </c>
      <c r="M342" s="25">
        <v>1801552.93</v>
      </c>
      <c r="N342" s="25"/>
    </row>
    <row r="343" spans="1:14" ht="88.95" customHeight="1" outlineLevel="1" x14ac:dyDescent="0.2">
      <c r="A343" s="4" t="s">
        <v>91</v>
      </c>
      <c r="B343" s="22" t="s">
        <v>92</v>
      </c>
      <c r="C343" s="22"/>
      <c r="D343" s="5" t="s">
        <v>93</v>
      </c>
      <c r="E343" s="5" t="s">
        <v>390</v>
      </c>
      <c r="F343" s="13" t="s">
        <v>19</v>
      </c>
      <c r="G343" s="28">
        <v>12747.78</v>
      </c>
      <c r="H343" s="28"/>
      <c r="I343" s="13" t="s">
        <v>95</v>
      </c>
      <c r="J343" s="24" t="s">
        <v>21</v>
      </c>
      <c r="K343" s="24"/>
      <c r="L343" s="6" t="s">
        <v>22</v>
      </c>
      <c r="M343" s="25">
        <v>1814300.71</v>
      </c>
      <c r="N343" s="25"/>
    </row>
    <row r="344" spans="1:14" ht="88.95" customHeight="1" outlineLevel="1" x14ac:dyDescent="0.2">
      <c r="A344" s="4" t="s">
        <v>91</v>
      </c>
      <c r="B344" s="22" t="s">
        <v>92</v>
      </c>
      <c r="C344" s="22"/>
      <c r="D344" s="5" t="s">
        <v>93</v>
      </c>
      <c r="E344" s="5" t="s">
        <v>391</v>
      </c>
      <c r="F344" s="13" t="s">
        <v>19</v>
      </c>
      <c r="G344" s="28">
        <v>2263.83</v>
      </c>
      <c r="H344" s="28"/>
      <c r="I344" s="13" t="s">
        <v>95</v>
      </c>
      <c r="J344" s="24" t="s">
        <v>21</v>
      </c>
      <c r="K344" s="24"/>
      <c r="L344" s="6" t="s">
        <v>22</v>
      </c>
      <c r="M344" s="25">
        <v>1816564.54</v>
      </c>
      <c r="N344" s="25"/>
    </row>
    <row r="345" spans="1:14" ht="88.95" customHeight="1" outlineLevel="1" x14ac:dyDescent="0.2">
      <c r="A345" s="4" t="s">
        <v>91</v>
      </c>
      <c r="B345" s="22" t="s">
        <v>92</v>
      </c>
      <c r="C345" s="22"/>
      <c r="D345" s="5" t="s">
        <v>93</v>
      </c>
      <c r="E345" s="5" t="s">
        <v>392</v>
      </c>
      <c r="F345" s="13" t="s">
        <v>19</v>
      </c>
      <c r="G345" s="28">
        <v>6302.98</v>
      </c>
      <c r="H345" s="28"/>
      <c r="I345" s="13" t="s">
        <v>95</v>
      </c>
      <c r="J345" s="24" t="s">
        <v>21</v>
      </c>
      <c r="K345" s="24"/>
      <c r="L345" s="6" t="s">
        <v>22</v>
      </c>
      <c r="M345" s="25">
        <v>1822867.52</v>
      </c>
      <c r="N345" s="25"/>
    </row>
    <row r="346" spans="1:14" ht="88.95" customHeight="1" outlineLevel="1" x14ac:dyDescent="0.2">
      <c r="A346" s="4" t="s">
        <v>91</v>
      </c>
      <c r="B346" s="22" t="s">
        <v>92</v>
      </c>
      <c r="C346" s="22"/>
      <c r="D346" s="5" t="s">
        <v>93</v>
      </c>
      <c r="E346" s="5" t="s">
        <v>393</v>
      </c>
      <c r="F346" s="13" t="s">
        <v>19</v>
      </c>
      <c r="G346" s="28">
        <v>1355.14</v>
      </c>
      <c r="H346" s="28"/>
      <c r="I346" s="13" t="s">
        <v>95</v>
      </c>
      <c r="J346" s="24" t="s">
        <v>21</v>
      </c>
      <c r="K346" s="24"/>
      <c r="L346" s="6" t="s">
        <v>22</v>
      </c>
      <c r="M346" s="25">
        <v>1824222.66</v>
      </c>
      <c r="N346" s="25"/>
    </row>
    <row r="347" spans="1:14" ht="88.95" customHeight="1" outlineLevel="1" x14ac:dyDescent="0.2">
      <c r="A347" s="4" t="s">
        <v>91</v>
      </c>
      <c r="B347" s="22" t="s">
        <v>92</v>
      </c>
      <c r="C347" s="22"/>
      <c r="D347" s="5" t="s">
        <v>93</v>
      </c>
      <c r="E347" s="5" t="s">
        <v>394</v>
      </c>
      <c r="F347" s="13" t="s">
        <v>19</v>
      </c>
      <c r="G347" s="23">
        <v>923.06</v>
      </c>
      <c r="H347" s="23"/>
      <c r="I347" s="13" t="s">
        <v>95</v>
      </c>
      <c r="J347" s="24" t="s">
        <v>21</v>
      </c>
      <c r="K347" s="24"/>
      <c r="L347" s="6" t="s">
        <v>22</v>
      </c>
      <c r="M347" s="25">
        <v>1825145.72</v>
      </c>
      <c r="N347" s="25"/>
    </row>
    <row r="348" spans="1:14" ht="88.95" customHeight="1" outlineLevel="1" x14ac:dyDescent="0.2">
      <c r="A348" s="4" t="s">
        <v>91</v>
      </c>
      <c r="B348" s="22" t="s">
        <v>92</v>
      </c>
      <c r="C348" s="22"/>
      <c r="D348" s="5" t="s">
        <v>93</v>
      </c>
      <c r="E348" s="5" t="s">
        <v>395</v>
      </c>
      <c r="F348" s="13" t="s">
        <v>19</v>
      </c>
      <c r="G348" s="28">
        <v>36444.699999999997</v>
      </c>
      <c r="H348" s="28"/>
      <c r="I348" s="13" t="s">
        <v>95</v>
      </c>
      <c r="J348" s="24" t="s">
        <v>21</v>
      </c>
      <c r="K348" s="24"/>
      <c r="L348" s="6" t="s">
        <v>22</v>
      </c>
      <c r="M348" s="25">
        <v>1861590.42</v>
      </c>
      <c r="N348" s="25"/>
    </row>
    <row r="349" spans="1:14" ht="88.95" customHeight="1" outlineLevel="1" x14ac:dyDescent="0.2">
      <c r="A349" s="4" t="s">
        <v>91</v>
      </c>
      <c r="B349" s="22" t="s">
        <v>92</v>
      </c>
      <c r="C349" s="22"/>
      <c r="D349" s="5" t="s">
        <v>93</v>
      </c>
      <c r="E349" s="5" t="s">
        <v>396</v>
      </c>
      <c r="F349" s="13" t="s">
        <v>19</v>
      </c>
      <c r="G349" s="28">
        <v>8389.2800000000007</v>
      </c>
      <c r="H349" s="28"/>
      <c r="I349" s="13" t="s">
        <v>95</v>
      </c>
      <c r="J349" s="24" t="s">
        <v>21</v>
      </c>
      <c r="K349" s="24"/>
      <c r="L349" s="6" t="s">
        <v>22</v>
      </c>
      <c r="M349" s="25">
        <v>1869979.7</v>
      </c>
      <c r="N349" s="25"/>
    </row>
    <row r="350" spans="1:14" ht="88.95" customHeight="1" outlineLevel="1" x14ac:dyDescent="0.2">
      <c r="A350" s="4" t="s">
        <v>91</v>
      </c>
      <c r="B350" s="22" t="s">
        <v>92</v>
      </c>
      <c r="C350" s="22"/>
      <c r="D350" s="5" t="s">
        <v>93</v>
      </c>
      <c r="E350" s="5" t="s">
        <v>397</v>
      </c>
      <c r="F350" s="13" t="s">
        <v>19</v>
      </c>
      <c r="G350" s="28">
        <v>69199.28</v>
      </c>
      <c r="H350" s="28"/>
      <c r="I350" s="13" t="s">
        <v>95</v>
      </c>
      <c r="J350" s="24" t="s">
        <v>21</v>
      </c>
      <c r="K350" s="24"/>
      <c r="L350" s="6" t="s">
        <v>22</v>
      </c>
      <c r="M350" s="25">
        <v>1939178.98</v>
      </c>
      <c r="N350" s="25"/>
    </row>
    <row r="351" spans="1:14" ht="88.95" customHeight="1" outlineLevel="1" x14ac:dyDescent="0.2">
      <c r="A351" s="4" t="s">
        <v>91</v>
      </c>
      <c r="B351" s="22" t="s">
        <v>92</v>
      </c>
      <c r="C351" s="22"/>
      <c r="D351" s="5" t="s">
        <v>93</v>
      </c>
      <c r="E351" s="5" t="s">
        <v>398</v>
      </c>
      <c r="F351" s="13" t="s">
        <v>19</v>
      </c>
      <c r="G351" s="28">
        <v>1507.47</v>
      </c>
      <c r="H351" s="28"/>
      <c r="I351" s="13" t="s">
        <v>95</v>
      </c>
      <c r="J351" s="24" t="s">
        <v>21</v>
      </c>
      <c r="K351" s="24"/>
      <c r="L351" s="6" t="s">
        <v>22</v>
      </c>
      <c r="M351" s="25">
        <v>1940686.45</v>
      </c>
      <c r="N351" s="25"/>
    </row>
    <row r="352" spans="1:14" ht="88.95" customHeight="1" outlineLevel="1" x14ac:dyDescent="0.2">
      <c r="A352" s="4" t="s">
        <v>91</v>
      </c>
      <c r="B352" s="22" t="s">
        <v>92</v>
      </c>
      <c r="C352" s="22"/>
      <c r="D352" s="5" t="s">
        <v>93</v>
      </c>
      <c r="E352" s="5" t="s">
        <v>399</v>
      </c>
      <c r="F352" s="13" t="s">
        <v>19</v>
      </c>
      <c r="G352" s="23">
        <v>411.32</v>
      </c>
      <c r="H352" s="23"/>
      <c r="I352" s="13" t="s">
        <v>95</v>
      </c>
      <c r="J352" s="24" t="s">
        <v>21</v>
      </c>
      <c r="K352" s="24"/>
      <c r="L352" s="6" t="s">
        <v>22</v>
      </c>
      <c r="M352" s="25">
        <v>1941097.77</v>
      </c>
      <c r="N352" s="25"/>
    </row>
    <row r="353" spans="1:14" ht="88.95" customHeight="1" outlineLevel="1" x14ac:dyDescent="0.2">
      <c r="A353" s="4" t="s">
        <v>91</v>
      </c>
      <c r="B353" s="22" t="s">
        <v>92</v>
      </c>
      <c r="C353" s="22"/>
      <c r="D353" s="5" t="s">
        <v>93</v>
      </c>
      <c r="E353" s="5" t="s">
        <v>400</v>
      </c>
      <c r="F353" s="13" t="s">
        <v>19</v>
      </c>
      <c r="G353" s="23">
        <v>166.46</v>
      </c>
      <c r="H353" s="23"/>
      <c r="I353" s="13" t="s">
        <v>95</v>
      </c>
      <c r="J353" s="24" t="s">
        <v>21</v>
      </c>
      <c r="K353" s="24"/>
      <c r="L353" s="6" t="s">
        <v>22</v>
      </c>
      <c r="M353" s="25">
        <v>1941264.23</v>
      </c>
      <c r="N353" s="25"/>
    </row>
    <row r="354" spans="1:14" ht="88.95" customHeight="1" outlineLevel="1" x14ac:dyDescent="0.2">
      <c r="A354" s="4" t="s">
        <v>91</v>
      </c>
      <c r="B354" s="22" t="s">
        <v>92</v>
      </c>
      <c r="C354" s="22"/>
      <c r="D354" s="5" t="s">
        <v>93</v>
      </c>
      <c r="E354" s="5" t="s">
        <v>401</v>
      </c>
      <c r="F354" s="13" t="s">
        <v>19</v>
      </c>
      <c r="G354" s="23">
        <v>113.19</v>
      </c>
      <c r="H354" s="23"/>
      <c r="I354" s="13" t="s">
        <v>95</v>
      </c>
      <c r="J354" s="24" t="s">
        <v>21</v>
      </c>
      <c r="K354" s="24"/>
      <c r="L354" s="6" t="s">
        <v>22</v>
      </c>
      <c r="M354" s="25">
        <v>1941377.42</v>
      </c>
      <c r="N354" s="25"/>
    </row>
    <row r="355" spans="1:14" ht="88.95" customHeight="1" outlineLevel="1" x14ac:dyDescent="0.2">
      <c r="A355" s="4" t="s">
        <v>91</v>
      </c>
      <c r="B355" s="22" t="s">
        <v>92</v>
      </c>
      <c r="C355" s="22"/>
      <c r="D355" s="5" t="s">
        <v>93</v>
      </c>
      <c r="E355" s="5" t="s">
        <v>402</v>
      </c>
      <c r="F355" s="13" t="s">
        <v>19</v>
      </c>
      <c r="G355" s="28">
        <v>1379.3</v>
      </c>
      <c r="H355" s="28"/>
      <c r="I355" s="13" t="s">
        <v>95</v>
      </c>
      <c r="J355" s="24" t="s">
        <v>21</v>
      </c>
      <c r="K355" s="24"/>
      <c r="L355" s="6" t="s">
        <v>22</v>
      </c>
      <c r="M355" s="25">
        <v>1942756.72</v>
      </c>
      <c r="N355" s="25"/>
    </row>
    <row r="356" spans="1:14" ht="88.95" customHeight="1" outlineLevel="1" x14ac:dyDescent="0.2">
      <c r="A356" s="4" t="s">
        <v>91</v>
      </c>
      <c r="B356" s="22" t="s">
        <v>92</v>
      </c>
      <c r="C356" s="22"/>
      <c r="D356" s="5" t="s">
        <v>93</v>
      </c>
      <c r="E356" s="5" t="s">
        <v>403</v>
      </c>
      <c r="F356" s="13" t="s">
        <v>19</v>
      </c>
      <c r="G356" s="23">
        <v>384</v>
      </c>
      <c r="H356" s="23"/>
      <c r="I356" s="13" t="s">
        <v>95</v>
      </c>
      <c r="J356" s="24" t="s">
        <v>21</v>
      </c>
      <c r="K356" s="24"/>
      <c r="L356" s="6" t="s">
        <v>22</v>
      </c>
      <c r="M356" s="25">
        <v>1943140.72</v>
      </c>
      <c r="N356" s="25"/>
    </row>
    <row r="357" spans="1:14" ht="88.95" customHeight="1" outlineLevel="1" x14ac:dyDescent="0.2">
      <c r="A357" s="4" t="s">
        <v>91</v>
      </c>
      <c r="B357" s="22" t="s">
        <v>92</v>
      </c>
      <c r="C357" s="22"/>
      <c r="D357" s="5" t="s">
        <v>93</v>
      </c>
      <c r="E357" s="5" t="s">
        <v>404</v>
      </c>
      <c r="F357" s="13" t="s">
        <v>19</v>
      </c>
      <c r="G357" s="23">
        <v>278.39999999999998</v>
      </c>
      <c r="H357" s="23"/>
      <c r="I357" s="13" t="s">
        <v>95</v>
      </c>
      <c r="J357" s="24" t="s">
        <v>21</v>
      </c>
      <c r="K357" s="24"/>
      <c r="L357" s="6" t="s">
        <v>22</v>
      </c>
      <c r="M357" s="25">
        <v>1943419.12</v>
      </c>
      <c r="N357" s="25"/>
    </row>
    <row r="358" spans="1:14" ht="88.95" customHeight="1" outlineLevel="1" x14ac:dyDescent="0.2">
      <c r="A358" s="4" t="s">
        <v>91</v>
      </c>
      <c r="B358" s="22" t="s">
        <v>92</v>
      </c>
      <c r="C358" s="22"/>
      <c r="D358" s="5" t="s">
        <v>93</v>
      </c>
      <c r="E358" s="5" t="s">
        <v>405</v>
      </c>
      <c r="F358" s="13" t="s">
        <v>19</v>
      </c>
      <c r="G358" s="23">
        <v>271</v>
      </c>
      <c r="H358" s="23"/>
      <c r="I358" s="13" t="s">
        <v>95</v>
      </c>
      <c r="J358" s="24" t="s">
        <v>21</v>
      </c>
      <c r="K358" s="24"/>
      <c r="L358" s="6" t="s">
        <v>22</v>
      </c>
      <c r="M358" s="25">
        <v>1943690.12</v>
      </c>
      <c r="N358" s="25"/>
    </row>
    <row r="359" spans="1:14" ht="88.95" customHeight="1" outlineLevel="1" x14ac:dyDescent="0.2">
      <c r="A359" s="4" t="s">
        <v>91</v>
      </c>
      <c r="B359" s="22" t="s">
        <v>92</v>
      </c>
      <c r="C359" s="22"/>
      <c r="D359" s="5" t="s">
        <v>93</v>
      </c>
      <c r="E359" s="5" t="s">
        <v>406</v>
      </c>
      <c r="F359" s="13" t="s">
        <v>19</v>
      </c>
      <c r="G359" s="28">
        <v>1207.2</v>
      </c>
      <c r="H359" s="28"/>
      <c r="I359" s="13" t="s">
        <v>95</v>
      </c>
      <c r="J359" s="24" t="s">
        <v>21</v>
      </c>
      <c r="K359" s="24"/>
      <c r="L359" s="6" t="s">
        <v>22</v>
      </c>
      <c r="M359" s="25">
        <v>1944897.32</v>
      </c>
      <c r="N359" s="25"/>
    </row>
    <row r="360" spans="1:14" ht="121.95" customHeight="1" outlineLevel="1" x14ac:dyDescent="0.2">
      <c r="A360" s="4" t="s">
        <v>91</v>
      </c>
      <c r="B360" s="22" t="s">
        <v>92</v>
      </c>
      <c r="C360" s="22"/>
      <c r="D360" s="5" t="s">
        <v>93</v>
      </c>
      <c r="E360" s="5" t="s">
        <v>407</v>
      </c>
      <c r="F360" s="13" t="s">
        <v>19</v>
      </c>
      <c r="G360" s="28">
        <v>3564</v>
      </c>
      <c r="H360" s="28"/>
      <c r="I360" s="13" t="s">
        <v>95</v>
      </c>
      <c r="J360" s="24" t="s">
        <v>21</v>
      </c>
      <c r="K360" s="24"/>
      <c r="L360" s="6" t="s">
        <v>22</v>
      </c>
      <c r="M360" s="25">
        <v>1948461.32</v>
      </c>
      <c r="N360" s="25"/>
    </row>
    <row r="361" spans="1:14" ht="121.95" customHeight="1" outlineLevel="1" x14ac:dyDescent="0.2">
      <c r="A361" s="4" t="s">
        <v>91</v>
      </c>
      <c r="B361" s="22" t="s">
        <v>92</v>
      </c>
      <c r="C361" s="22"/>
      <c r="D361" s="5" t="s">
        <v>93</v>
      </c>
      <c r="E361" s="5" t="s">
        <v>408</v>
      </c>
      <c r="F361" s="13" t="s">
        <v>19</v>
      </c>
      <c r="G361" s="23">
        <v>441.94</v>
      </c>
      <c r="H361" s="23"/>
      <c r="I361" s="13" t="s">
        <v>95</v>
      </c>
      <c r="J361" s="24" t="s">
        <v>21</v>
      </c>
      <c r="K361" s="24"/>
      <c r="L361" s="6" t="s">
        <v>22</v>
      </c>
      <c r="M361" s="25">
        <v>1948903.26</v>
      </c>
      <c r="N361" s="25"/>
    </row>
    <row r="362" spans="1:14" ht="88.95" customHeight="1" outlineLevel="1" x14ac:dyDescent="0.2">
      <c r="A362" s="4" t="s">
        <v>91</v>
      </c>
      <c r="B362" s="22" t="s">
        <v>92</v>
      </c>
      <c r="C362" s="22"/>
      <c r="D362" s="5" t="s">
        <v>93</v>
      </c>
      <c r="E362" s="5" t="s">
        <v>409</v>
      </c>
      <c r="F362" s="13" t="s">
        <v>19</v>
      </c>
      <c r="G362" s="23">
        <v>169.8</v>
      </c>
      <c r="H362" s="23"/>
      <c r="I362" s="13" t="s">
        <v>95</v>
      </c>
      <c r="J362" s="24" t="s">
        <v>21</v>
      </c>
      <c r="K362" s="24"/>
      <c r="L362" s="6" t="s">
        <v>22</v>
      </c>
      <c r="M362" s="25">
        <v>1949073.06</v>
      </c>
      <c r="N362" s="25"/>
    </row>
    <row r="363" spans="1:14" ht="100.05" customHeight="1" outlineLevel="1" x14ac:dyDescent="0.2">
      <c r="A363" s="4" t="s">
        <v>91</v>
      </c>
      <c r="B363" s="22" t="s">
        <v>92</v>
      </c>
      <c r="C363" s="22"/>
      <c r="D363" s="5" t="s">
        <v>93</v>
      </c>
      <c r="E363" s="5" t="s">
        <v>410</v>
      </c>
      <c r="F363" s="13" t="s">
        <v>19</v>
      </c>
      <c r="G363" s="23">
        <v>249.9</v>
      </c>
      <c r="H363" s="23"/>
      <c r="I363" s="13" t="s">
        <v>95</v>
      </c>
      <c r="J363" s="24" t="s">
        <v>21</v>
      </c>
      <c r="K363" s="24"/>
      <c r="L363" s="6" t="s">
        <v>22</v>
      </c>
      <c r="M363" s="25">
        <v>1949322.96</v>
      </c>
      <c r="N363" s="25"/>
    </row>
    <row r="364" spans="1:14" ht="111" customHeight="1" outlineLevel="1" x14ac:dyDescent="0.2">
      <c r="A364" s="4" t="s">
        <v>91</v>
      </c>
      <c r="B364" s="22" t="s">
        <v>92</v>
      </c>
      <c r="C364" s="22"/>
      <c r="D364" s="5" t="s">
        <v>93</v>
      </c>
      <c r="E364" s="5" t="s">
        <v>411</v>
      </c>
      <c r="F364" s="13" t="s">
        <v>19</v>
      </c>
      <c r="G364" s="23">
        <v>112.8</v>
      </c>
      <c r="H364" s="23"/>
      <c r="I364" s="13" t="s">
        <v>95</v>
      </c>
      <c r="J364" s="24" t="s">
        <v>21</v>
      </c>
      <c r="K364" s="24"/>
      <c r="L364" s="6" t="s">
        <v>22</v>
      </c>
      <c r="M364" s="25">
        <v>1949435.76</v>
      </c>
      <c r="N364" s="25"/>
    </row>
    <row r="365" spans="1:14" ht="111" customHeight="1" outlineLevel="1" x14ac:dyDescent="0.2">
      <c r="A365" s="4" t="s">
        <v>91</v>
      </c>
      <c r="B365" s="22" t="s">
        <v>92</v>
      </c>
      <c r="C365" s="22"/>
      <c r="D365" s="5" t="s">
        <v>93</v>
      </c>
      <c r="E365" s="5" t="s">
        <v>412</v>
      </c>
      <c r="F365" s="13" t="s">
        <v>19</v>
      </c>
      <c r="G365" s="23">
        <v>144.4</v>
      </c>
      <c r="H365" s="23"/>
      <c r="I365" s="13" t="s">
        <v>95</v>
      </c>
      <c r="J365" s="24" t="s">
        <v>21</v>
      </c>
      <c r="K365" s="24"/>
      <c r="L365" s="6" t="s">
        <v>22</v>
      </c>
      <c r="M365" s="25">
        <v>1949580.16</v>
      </c>
      <c r="N365" s="25"/>
    </row>
    <row r="366" spans="1:14" ht="111" customHeight="1" outlineLevel="1" x14ac:dyDescent="0.2">
      <c r="A366" s="4" t="s">
        <v>91</v>
      </c>
      <c r="B366" s="22" t="s">
        <v>92</v>
      </c>
      <c r="C366" s="22"/>
      <c r="D366" s="5" t="s">
        <v>93</v>
      </c>
      <c r="E366" s="5" t="s">
        <v>413</v>
      </c>
      <c r="F366" s="13" t="s">
        <v>19</v>
      </c>
      <c r="G366" s="23">
        <v>43.9</v>
      </c>
      <c r="H366" s="23"/>
      <c r="I366" s="13" t="s">
        <v>95</v>
      </c>
      <c r="J366" s="24" t="s">
        <v>21</v>
      </c>
      <c r="K366" s="24"/>
      <c r="L366" s="6" t="s">
        <v>22</v>
      </c>
      <c r="M366" s="25">
        <v>1949624.06</v>
      </c>
      <c r="N366" s="25"/>
    </row>
    <row r="367" spans="1:14" ht="111" customHeight="1" outlineLevel="1" x14ac:dyDescent="0.2">
      <c r="A367" s="4" t="s">
        <v>91</v>
      </c>
      <c r="B367" s="22" t="s">
        <v>92</v>
      </c>
      <c r="C367" s="22"/>
      <c r="D367" s="5" t="s">
        <v>93</v>
      </c>
      <c r="E367" s="5" t="s">
        <v>414</v>
      </c>
      <c r="F367" s="13" t="s">
        <v>19</v>
      </c>
      <c r="G367" s="23">
        <v>73.7</v>
      </c>
      <c r="H367" s="23"/>
      <c r="I367" s="13" t="s">
        <v>95</v>
      </c>
      <c r="J367" s="24" t="s">
        <v>21</v>
      </c>
      <c r="K367" s="24"/>
      <c r="L367" s="6" t="s">
        <v>22</v>
      </c>
      <c r="M367" s="25">
        <v>1949697.76</v>
      </c>
      <c r="N367" s="25"/>
    </row>
    <row r="368" spans="1:14" ht="111" customHeight="1" outlineLevel="1" x14ac:dyDescent="0.2">
      <c r="A368" s="4" t="s">
        <v>91</v>
      </c>
      <c r="B368" s="22" t="s">
        <v>92</v>
      </c>
      <c r="C368" s="22"/>
      <c r="D368" s="5" t="s">
        <v>93</v>
      </c>
      <c r="E368" s="5" t="s">
        <v>415</v>
      </c>
      <c r="F368" s="13" t="s">
        <v>19</v>
      </c>
      <c r="G368" s="23">
        <v>27.6</v>
      </c>
      <c r="H368" s="23"/>
      <c r="I368" s="13" t="s">
        <v>95</v>
      </c>
      <c r="J368" s="24" t="s">
        <v>21</v>
      </c>
      <c r="K368" s="24"/>
      <c r="L368" s="6" t="s">
        <v>22</v>
      </c>
      <c r="M368" s="25">
        <v>1949725.36</v>
      </c>
      <c r="N368" s="25"/>
    </row>
    <row r="369" spans="1:14" ht="111" customHeight="1" outlineLevel="1" x14ac:dyDescent="0.2">
      <c r="A369" s="4" t="s">
        <v>91</v>
      </c>
      <c r="B369" s="22" t="s">
        <v>92</v>
      </c>
      <c r="C369" s="22"/>
      <c r="D369" s="5" t="s">
        <v>93</v>
      </c>
      <c r="E369" s="5" t="s">
        <v>416</v>
      </c>
      <c r="F369" s="13" t="s">
        <v>19</v>
      </c>
      <c r="G369" s="23">
        <v>166.2</v>
      </c>
      <c r="H369" s="23"/>
      <c r="I369" s="13" t="s">
        <v>95</v>
      </c>
      <c r="J369" s="24" t="s">
        <v>21</v>
      </c>
      <c r="K369" s="24"/>
      <c r="L369" s="6" t="s">
        <v>22</v>
      </c>
      <c r="M369" s="25">
        <v>1949891.56</v>
      </c>
      <c r="N369" s="25"/>
    </row>
    <row r="370" spans="1:14" ht="111" customHeight="1" outlineLevel="1" x14ac:dyDescent="0.2">
      <c r="A370" s="4" t="s">
        <v>91</v>
      </c>
      <c r="B370" s="22" t="s">
        <v>92</v>
      </c>
      <c r="C370" s="22"/>
      <c r="D370" s="5" t="s">
        <v>93</v>
      </c>
      <c r="E370" s="5" t="s">
        <v>417</v>
      </c>
      <c r="F370" s="13" t="s">
        <v>19</v>
      </c>
      <c r="G370" s="23">
        <v>96.8</v>
      </c>
      <c r="H370" s="23"/>
      <c r="I370" s="13" t="s">
        <v>95</v>
      </c>
      <c r="J370" s="24" t="s">
        <v>21</v>
      </c>
      <c r="K370" s="24"/>
      <c r="L370" s="6" t="s">
        <v>22</v>
      </c>
      <c r="M370" s="25">
        <v>1949988.36</v>
      </c>
      <c r="N370" s="25"/>
    </row>
    <row r="371" spans="1:14" ht="111" customHeight="1" outlineLevel="1" x14ac:dyDescent="0.2">
      <c r="A371" s="4" t="s">
        <v>91</v>
      </c>
      <c r="B371" s="22" t="s">
        <v>92</v>
      </c>
      <c r="C371" s="22"/>
      <c r="D371" s="5" t="s">
        <v>93</v>
      </c>
      <c r="E371" s="5" t="s">
        <v>418</v>
      </c>
      <c r="F371" s="13" t="s">
        <v>19</v>
      </c>
      <c r="G371" s="23">
        <v>112.5</v>
      </c>
      <c r="H371" s="23"/>
      <c r="I371" s="13" t="s">
        <v>95</v>
      </c>
      <c r="J371" s="24" t="s">
        <v>21</v>
      </c>
      <c r="K371" s="24"/>
      <c r="L371" s="6" t="s">
        <v>22</v>
      </c>
      <c r="M371" s="25">
        <v>1950100.86</v>
      </c>
      <c r="N371" s="25"/>
    </row>
    <row r="372" spans="1:14" ht="111" customHeight="1" outlineLevel="1" x14ac:dyDescent="0.2">
      <c r="A372" s="4" t="s">
        <v>91</v>
      </c>
      <c r="B372" s="22" t="s">
        <v>92</v>
      </c>
      <c r="C372" s="22"/>
      <c r="D372" s="5" t="s">
        <v>93</v>
      </c>
      <c r="E372" s="5" t="s">
        <v>419</v>
      </c>
      <c r="F372" s="13" t="s">
        <v>19</v>
      </c>
      <c r="G372" s="23">
        <v>116.8</v>
      </c>
      <c r="H372" s="23"/>
      <c r="I372" s="13" t="s">
        <v>95</v>
      </c>
      <c r="J372" s="24" t="s">
        <v>21</v>
      </c>
      <c r="K372" s="24"/>
      <c r="L372" s="6" t="s">
        <v>22</v>
      </c>
      <c r="M372" s="25">
        <v>1950217.66</v>
      </c>
      <c r="N372" s="25"/>
    </row>
    <row r="373" spans="1:14" ht="111" customHeight="1" outlineLevel="1" x14ac:dyDescent="0.2">
      <c r="A373" s="4" t="s">
        <v>91</v>
      </c>
      <c r="B373" s="22" t="s">
        <v>92</v>
      </c>
      <c r="C373" s="22"/>
      <c r="D373" s="5" t="s">
        <v>93</v>
      </c>
      <c r="E373" s="5" t="s">
        <v>420</v>
      </c>
      <c r="F373" s="13" t="s">
        <v>19</v>
      </c>
      <c r="G373" s="23">
        <v>987</v>
      </c>
      <c r="H373" s="23"/>
      <c r="I373" s="13" t="s">
        <v>95</v>
      </c>
      <c r="J373" s="24" t="s">
        <v>21</v>
      </c>
      <c r="K373" s="24"/>
      <c r="L373" s="6" t="s">
        <v>22</v>
      </c>
      <c r="M373" s="25">
        <v>1951204.66</v>
      </c>
      <c r="N373" s="25"/>
    </row>
    <row r="374" spans="1:14" ht="88.95" customHeight="1" outlineLevel="1" x14ac:dyDescent="0.2">
      <c r="A374" s="4" t="s">
        <v>91</v>
      </c>
      <c r="B374" s="22" t="s">
        <v>92</v>
      </c>
      <c r="C374" s="22"/>
      <c r="D374" s="5" t="s">
        <v>93</v>
      </c>
      <c r="E374" s="5" t="s">
        <v>421</v>
      </c>
      <c r="F374" s="13" t="s">
        <v>19</v>
      </c>
      <c r="G374" s="23">
        <v>423.44</v>
      </c>
      <c r="H374" s="23"/>
      <c r="I374" s="13" t="s">
        <v>95</v>
      </c>
      <c r="J374" s="24" t="s">
        <v>21</v>
      </c>
      <c r="K374" s="24"/>
      <c r="L374" s="6" t="s">
        <v>22</v>
      </c>
      <c r="M374" s="25">
        <v>1951628.1</v>
      </c>
      <c r="N374" s="25"/>
    </row>
    <row r="375" spans="1:14" ht="88.95" customHeight="1" outlineLevel="1" x14ac:dyDescent="0.2">
      <c r="A375" s="4" t="s">
        <v>91</v>
      </c>
      <c r="B375" s="22" t="s">
        <v>92</v>
      </c>
      <c r="C375" s="22"/>
      <c r="D375" s="5" t="s">
        <v>93</v>
      </c>
      <c r="E375" s="5" t="s">
        <v>422</v>
      </c>
      <c r="F375" s="13" t="s">
        <v>19</v>
      </c>
      <c r="G375" s="28">
        <v>1665.2</v>
      </c>
      <c r="H375" s="28"/>
      <c r="I375" s="13" t="s">
        <v>95</v>
      </c>
      <c r="J375" s="24" t="s">
        <v>21</v>
      </c>
      <c r="K375" s="24"/>
      <c r="L375" s="6" t="s">
        <v>22</v>
      </c>
      <c r="M375" s="25">
        <v>1953293.3</v>
      </c>
      <c r="N375" s="25"/>
    </row>
    <row r="376" spans="1:14" ht="88.95" customHeight="1" outlineLevel="1" x14ac:dyDescent="0.2">
      <c r="A376" s="4" t="s">
        <v>91</v>
      </c>
      <c r="B376" s="22" t="s">
        <v>92</v>
      </c>
      <c r="C376" s="22"/>
      <c r="D376" s="5" t="s">
        <v>93</v>
      </c>
      <c r="E376" s="5" t="s">
        <v>423</v>
      </c>
      <c r="F376" s="13" t="s">
        <v>19</v>
      </c>
      <c r="G376" s="28">
        <v>1015.9</v>
      </c>
      <c r="H376" s="28"/>
      <c r="I376" s="13" t="s">
        <v>95</v>
      </c>
      <c r="J376" s="24" t="s">
        <v>21</v>
      </c>
      <c r="K376" s="24"/>
      <c r="L376" s="6" t="s">
        <v>22</v>
      </c>
      <c r="M376" s="25">
        <v>1954309.2</v>
      </c>
      <c r="N376" s="25"/>
    </row>
    <row r="377" spans="1:14" ht="88.95" customHeight="1" outlineLevel="1" x14ac:dyDescent="0.2">
      <c r="A377" s="4" t="s">
        <v>91</v>
      </c>
      <c r="B377" s="22" t="s">
        <v>92</v>
      </c>
      <c r="C377" s="22"/>
      <c r="D377" s="5" t="s">
        <v>93</v>
      </c>
      <c r="E377" s="5" t="s">
        <v>424</v>
      </c>
      <c r="F377" s="13" t="s">
        <v>19</v>
      </c>
      <c r="G377" s="28">
        <v>1059.1400000000001</v>
      </c>
      <c r="H377" s="28"/>
      <c r="I377" s="13" t="s">
        <v>95</v>
      </c>
      <c r="J377" s="24" t="s">
        <v>21</v>
      </c>
      <c r="K377" s="24"/>
      <c r="L377" s="6" t="s">
        <v>22</v>
      </c>
      <c r="M377" s="25">
        <v>1955368.34</v>
      </c>
      <c r="N377" s="25"/>
    </row>
    <row r="378" spans="1:14" ht="88.95" customHeight="1" outlineLevel="1" x14ac:dyDescent="0.2">
      <c r="A378" s="4" t="s">
        <v>91</v>
      </c>
      <c r="B378" s="22" t="s">
        <v>92</v>
      </c>
      <c r="C378" s="22"/>
      <c r="D378" s="5" t="s">
        <v>93</v>
      </c>
      <c r="E378" s="5" t="s">
        <v>425</v>
      </c>
      <c r="F378" s="13" t="s">
        <v>19</v>
      </c>
      <c r="G378" s="28">
        <v>1121.98</v>
      </c>
      <c r="H378" s="28"/>
      <c r="I378" s="13" t="s">
        <v>95</v>
      </c>
      <c r="J378" s="24" t="s">
        <v>21</v>
      </c>
      <c r="K378" s="24"/>
      <c r="L378" s="6" t="s">
        <v>22</v>
      </c>
      <c r="M378" s="25">
        <v>1956490.32</v>
      </c>
      <c r="N378" s="25"/>
    </row>
    <row r="379" spans="1:14" ht="88.95" customHeight="1" outlineLevel="1" x14ac:dyDescent="0.2">
      <c r="A379" s="4" t="s">
        <v>91</v>
      </c>
      <c r="B379" s="22" t="s">
        <v>92</v>
      </c>
      <c r="C379" s="22"/>
      <c r="D379" s="5" t="s">
        <v>93</v>
      </c>
      <c r="E379" s="5" t="s">
        <v>426</v>
      </c>
      <c r="F379" s="13" t="s">
        <v>19</v>
      </c>
      <c r="G379" s="28">
        <v>5880</v>
      </c>
      <c r="H379" s="28"/>
      <c r="I379" s="13" t="s">
        <v>95</v>
      </c>
      <c r="J379" s="24" t="s">
        <v>21</v>
      </c>
      <c r="K379" s="24"/>
      <c r="L379" s="6" t="s">
        <v>22</v>
      </c>
      <c r="M379" s="25">
        <v>1962370.32</v>
      </c>
      <c r="N379" s="25"/>
    </row>
    <row r="380" spans="1:14" ht="88.95" customHeight="1" outlineLevel="1" x14ac:dyDescent="0.2">
      <c r="A380" s="4" t="s">
        <v>91</v>
      </c>
      <c r="B380" s="22" t="s">
        <v>92</v>
      </c>
      <c r="C380" s="22"/>
      <c r="D380" s="5" t="s">
        <v>93</v>
      </c>
      <c r="E380" s="5" t="s">
        <v>427</v>
      </c>
      <c r="F380" s="13" t="s">
        <v>19</v>
      </c>
      <c r="G380" s="23">
        <v>105.4</v>
      </c>
      <c r="H380" s="23"/>
      <c r="I380" s="13" t="s">
        <v>95</v>
      </c>
      <c r="J380" s="24" t="s">
        <v>21</v>
      </c>
      <c r="K380" s="24"/>
      <c r="L380" s="6" t="s">
        <v>22</v>
      </c>
      <c r="M380" s="25">
        <v>1962475.72</v>
      </c>
      <c r="N380" s="25"/>
    </row>
    <row r="381" spans="1:14" ht="111" customHeight="1" outlineLevel="1" x14ac:dyDescent="0.2">
      <c r="A381" s="4" t="s">
        <v>91</v>
      </c>
      <c r="B381" s="22" t="s">
        <v>92</v>
      </c>
      <c r="C381" s="22"/>
      <c r="D381" s="5" t="s">
        <v>93</v>
      </c>
      <c r="E381" s="5" t="s">
        <v>428</v>
      </c>
      <c r="F381" s="13" t="s">
        <v>19</v>
      </c>
      <c r="G381" s="23">
        <v>177.29</v>
      </c>
      <c r="H381" s="23"/>
      <c r="I381" s="13" t="s">
        <v>95</v>
      </c>
      <c r="J381" s="24" t="s">
        <v>21</v>
      </c>
      <c r="K381" s="24"/>
      <c r="L381" s="6" t="s">
        <v>22</v>
      </c>
      <c r="M381" s="25">
        <v>1962653.01</v>
      </c>
      <c r="N381" s="25"/>
    </row>
    <row r="382" spans="1:14" ht="111" customHeight="1" outlineLevel="1" x14ac:dyDescent="0.2">
      <c r="A382" s="4" t="s">
        <v>91</v>
      </c>
      <c r="B382" s="22" t="s">
        <v>92</v>
      </c>
      <c r="C382" s="22"/>
      <c r="D382" s="5" t="s">
        <v>93</v>
      </c>
      <c r="E382" s="5" t="s">
        <v>429</v>
      </c>
      <c r="F382" s="13" t="s">
        <v>19</v>
      </c>
      <c r="G382" s="23">
        <v>43.8</v>
      </c>
      <c r="H382" s="23"/>
      <c r="I382" s="13" t="s">
        <v>95</v>
      </c>
      <c r="J382" s="24" t="s">
        <v>21</v>
      </c>
      <c r="K382" s="24"/>
      <c r="L382" s="6" t="s">
        <v>22</v>
      </c>
      <c r="M382" s="25">
        <v>1962696.81</v>
      </c>
      <c r="N382" s="25"/>
    </row>
    <row r="383" spans="1:14" ht="111" customHeight="1" outlineLevel="1" x14ac:dyDescent="0.2">
      <c r="A383" s="4" t="s">
        <v>91</v>
      </c>
      <c r="B383" s="22" t="s">
        <v>92</v>
      </c>
      <c r="C383" s="22"/>
      <c r="D383" s="5" t="s">
        <v>93</v>
      </c>
      <c r="E383" s="5" t="s">
        <v>430</v>
      </c>
      <c r="F383" s="13" t="s">
        <v>19</v>
      </c>
      <c r="G383" s="23">
        <v>43.8</v>
      </c>
      <c r="H383" s="23"/>
      <c r="I383" s="13" t="s">
        <v>95</v>
      </c>
      <c r="J383" s="24" t="s">
        <v>21</v>
      </c>
      <c r="K383" s="24"/>
      <c r="L383" s="6" t="s">
        <v>22</v>
      </c>
      <c r="M383" s="25">
        <v>1962740.61</v>
      </c>
      <c r="N383" s="25"/>
    </row>
    <row r="384" spans="1:14" ht="111" customHeight="1" outlineLevel="1" x14ac:dyDescent="0.2">
      <c r="A384" s="4" t="s">
        <v>91</v>
      </c>
      <c r="B384" s="22" t="s">
        <v>92</v>
      </c>
      <c r="C384" s="22"/>
      <c r="D384" s="5" t="s">
        <v>93</v>
      </c>
      <c r="E384" s="5" t="s">
        <v>431</v>
      </c>
      <c r="F384" s="13" t="s">
        <v>19</v>
      </c>
      <c r="G384" s="23">
        <v>43.8</v>
      </c>
      <c r="H384" s="23"/>
      <c r="I384" s="13" t="s">
        <v>95</v>
      </c>
      <c r="J384" s="24" t="s">
        <v>21</v>
      </c>
      <c r="K384" s="24"/>
      <c r="L384" s="6" t="s">
        <v>22</v>
      </c>
      <c r="M384" s="25">
        <v>1962784.41</v>
      </c>
      <c r="N384" s="25"/>
    </row>
    <row r="385" spans="1:14" ht="88.95" customHeight="1" outlineLevel="1" x14ac:dyDescent="0.2">
      <c r="A385" s="4" t="s">
        <v>91</v>
      </c>
      <c r="B385" s="22" t="s">
        <v>92</v>
      </c>
      <c r="C385" s="22"/>
      <c r="D385" s="5" t="s">
        <v>93</v>
      </c>
      <c r="E385" s="5" t="s">
        <v>432</v>
      </c>
      <c r="F385" s="13" t="s">
        <v>19</v>
      </c>
      <c r="G385" s="28">
        <v>12647.29</v>
      </c>
      <c r="H385" s="28"/>
      <c r="I385" s="13" t="s">
        <v>95</v>
      </c>
      <c r="J385" s="24" t="s">
        <v>21</v>
      </c>
      <c r="K385" s="24"/>
      <c r="L385" s="6" t="s">
        <v>22</v>
      </c>
      <c r="M385" s="25">
        <v>1975431.7</v>
      </c>
      <c r="N385" s="25"/>
    </row>
    <row r="386" spans="1:14" ht="88.95" customHeight="1" outlineLevel="1" x14ac:dyDescent="0.2">
      <c r="A386" s="4" t="s">
        <v>91</v>
      </c>
      <c r="B386" s="22" t="s">
        <v>92</v>
      </c>
      <c r="C386" s="22"/>
      <c r="D386" s="5" t="s">
        <v>93</v>
      </c>
      <c r="E386" s="5" t="s">
        <v>433</v>
      </c>
      <c r="F386" s="13" t="s">
        <v>19</v>
      </c>
      <c r="G386" s="23">
        <v>101.2</v>
      </c>
      <c r="H386" s="23"/>
      <c r="I386" s="13" t="s">
        <v>95</v>
      </c>
      <c r="J386" s="24" t="s">
        <v>21</v>
      </c>
      <c r="K386" s="24"/>
      <c r="L386" s="6" t="s">
        <v>22</v>
      </c>
      <c r="M386" s="25">
        <v>1975532.9</v>
      </c>
      <c r="N386" s="25"/>
    </row>
    <row r="387" spans="1:14" ht="111" customHeight="1" outlineLevel="1" x14ac:dyDescent="0.2">
      <c r="A387" s="4" t="s">
        <v>91</v>
      </c>
      <c r="B387" s="22" t="s">
        <v>92</v>
      </c>
      <c r="C387" s="22"/>
      <c r="D387" s="5" t="s">
        <v>93</v>
      </c>
      <c r="E387" s="5" t="s">
        <v>434</v>
      </c>
      <c r="F387" s="13" t="s">
        <v>19</v>
      </c>
      <c r="G387" s="23">
        <v>109.7</v>
      </c>
      <c r="H387" s="23"/>
      <c r="I387" s="13" t="s">
        <v>95</v>
      </c>
      <c r="J387" s="24" t="s">
        <v>21</v>
      </c>
      <c r="K387" s="24"/>
      <c r="L387" s="6" t="s">
        <v>22</v>
      </c>
      <c r="M387" s="25">
        <v>1975642.6</v>
      </c>
      <c r="N387" s="25"/>
    </row>
    <row r="388" spans="1:14" ht="100.05" customHeight="1" outlineLevel="1" x14ac:dyDescent="0.2">
      <c r="A388" s="4" t="s">
        <v>91</v>
      </c>
      <c r="B388" s="22" t="s">
        <v>92</v>
      </c>
      <c r="C388" s="22"/>
      <c r="D388" s="5" t="s">
        <v>93</v>
      </c>
      <c r="E388" s="5" t="s">
        <v>435</v>
      </c>
      <c r="F388" s="13" t="s">
        <v>19</v>
      </c>
      <c r="G388" s="28">
        <v>180933.23</v>
      </c>
      <c r="H388" s="28"/>
      <c r="I388" s="13" t="s">
        <v>95</v>
      </c>
      <c r="J388" s="24" t="s">
        <v>21</v>
      </c>
      <c r="K388" s="24"/>
      <c r="L388" s="6" t="s">
        <v>22</v>
      </c>
      <c r="M388" s="25">
        <v>2156575.83</v>
      </c>
      <c r="N388" s="25"/>
    </row>
    <row r="389" spans="1:14" ht="88.95" customHeight="1" outlineLevel="1" x14ac:dyDescent="0.2">
      <c r="A389" s="4" t="s">
        <v>91</v>
      </c>
      <c r="B389" s="22" t="s">
        <v>92</v>
      </c>
      <c r="C389" s="22"/>
      <c r="D389" s="5" t="s">
        <v>93</v>
      </c>
      <c r="E389" s="5" t="s">
        <v>436</v>
      </c>
      <c r="F389" s="13" t="s">
        <v>19</v>
      </c>
      <c r="G389" s="23">
        <v>85.15</v>
      </c>
      <c r="H389" s="23"/>
      <c r="I389" s="13" t="s">
        <v>95</v>
      </c>
      <c r="J389" s="24" t="s">
        <v>21</v>
      </c>
      <c r="K389" s="24"/>
      <c r="L389" s="6" t="s">
        <v>22</v>
      </c>
      <c r="M389" s="25">
        <v>2156660.98</v>
      </c>
      <c r="N389" s="25"/>
    </row>
    <row r="390" spans="1:14" ht="88.95" customHeight="1" outlineLevel="1" x14ac:dyDescent="0.2">
      <c r="A390" s="4" t="s">
        <v>91</v>
      </c>
      <c r="B390" s="22" t="s">
        <v>92</v>
      </c>
      <c r="C390" s="22"/>
      <c r="D390" s="5" t="s">
        <v>93</v>
      </c>
      <c r="E390" s="5" t="s">
        <v>437</v>
      </c>
      <c r="F390" s="13" t="s">
        <v>19</v>
      </c>
      <c r="G390" s="23">
        <v>280.5</v>
      </c>
      <c r="H390" s="23"/>
      <c r="I390" s="13" t="s">
        <v>95</v>
      </c>
      <c r="J390" s="24" t="s">
        <v>21</v>
      </c>
      <c r="K390" s="24"/>
      <c r="L390" s="6" t="s">
        <v>22</v>
      </c>
      <c r="M390" s="25">
        <v>2156941.48</v>
      </c>
      <c r="N390" s="25"/>
    </row>
    <row r="391" spans="1:14" ht="88.95" customHeight="1" outlineLevel="1" x14ac:dyDescent="0.2">
      <c r="A391" s="4" t="s">
        <v>91</v>
      </c>
      <c r="B391" s="22" t="s">
        <v>92</v>
      </c>
      <c r="C391" s="22"/>
      <c r="D391" s="5" t="s">
        <v>93</v>
      </c>
      <c r="E391" s="5" t="s">
        <v>438</v>
      </c>
      <c r="F391" s="13" t="s">
        <v>19</v>
      </c>
      <c r="G391" s="23">
        <v>150</v>
      </c>
      <c r="H391" s="23"/>
      <c r="I391" s="13" t="s">
        <v>95</v>
      </c>
      <c r="J391" s="24" t="s">
        <v>21</v>
      </c>
      <c r="K391" s="24"/>
      <c r="L391" s="6" t="s">
        <v>22</v>
      </c>
      <c r="M391" s="25">
        <v>2157091.48</v>
      </c>
      <c r="N391" s="25"/>
    </row>
    <row r="392" spans="1:14" ht="88.95" customHeight="1" outlineLevel="1" x14ac:dyDescent="0.2">
      <c r="A392" s="4" t="s">
        <v>91</v>
      </c>
      <c r="B392" s="22" t="s">
        <v>92</v>
      </c>
      <c r="C392" s="22"/>
      <c r="D392" s="5" t="s">
        <v>93</v>
      </c>
      <c r="E392" s="5" t="s">
        <v>439</v>
      </c>
      <c r="F392" s="13" t="s">
        <v>19</v>
      </c>
      <c r="G392" s="23">
        <v>105</v>
      </c>
      <c r="H392" s="23"/>
      <c r="I392" s="13" t="s">
        <v>95</v>
      </c>
      <c r="J392" s="24" t="s">
        <v>21</v>
      </c>
      <c r="K392" s="24"/>
      <c r="L392" s="6" t="s">
        <v>22</v>
      </c>
      <c r="M392" s="25">
        <v>2157196.48</v>
      </c>
      <c r="N392" s="25"/>
    </row>
    <row r="393" spans="1:14" ht="88.95" customHeight="1" outlineLevel="1" x14ac:dyDescent="0.2">
      <c r="A393" s="4" t="s">
        <v>91</v>
      </c>
      <c r="B393" s="22" t="s">
        <v>92</v>
      </c>
      <c r="C393" s="22"/>
      <c r="D393" s="5" t="s">
        <v>93</v>
      </c>
      <c r="E393" s="5" t="s">
        <v>440</v>
      </c>
      <c r="F393" s="13" t="s">
        <v>19</v>
      </c>
      <c r="G393" s="28">
        <v>10500</v>
      </c>
      <c r="H393" s="28"/>
      <c r="I393" s="13" t="s">
        <v>95</v>
      </c>
      <c r="J393" s="24" t="s">
        <v>21</v>
      </c>
      <c r="K393" s="24"/>
      <c r="L393" s="6" t="s">
        <v>22</v>
      </c>
      <c r="M393" s="25">
        <v>2167696.48</v>
      </c>
      <c r="N393" s="25"/>
    </row>
    <row r="394" spans="1:14" ht="88.95" customHeight="1" outlineLevel="1" x14ac:dyDescent="0.2">
      <c r="A394" s="4" t="s">
        <v>91</v>
      </c>
      <c r="B394" s="22" t="s">
        <v>92</v>
      </c>
      <c r="C394" s="22"/>
      <c r="D394" s="5" t="s">
        <v>93</v>
      </c>
      <c r="E394" s="5" t="s">
        <v>441</v>
      </c>
      <c r="F394" s="13" t="s">
        <v>19</v>
      </c>
      <c r="G394" s="28">
        <v>10161.99</v>
      </c>
      <c r="H394" s="28"/>
      <c r="I394" s="13" t="s">
        <v>95</v>
      </c>
      <c r="J394" s="24" t="s">
        <v>21</v>
      </c>
      <c r="K394" s="24"/>
      <c r="L394" s="6" t="s">
        <v>22</v>
      </c>
      <c r="M394" s="25">
        <v>2177858.4700000002</v>
      </c>
      <c r="N394" s="25"/>
    </row>
    <row r="395" spans="1:14" ht="88.95" customHeight="1" outlineLevel="1" x14ac:dyDescent="0.2">
      <c r="A395" s="4" t="s">
        <v>91</v>
      </c>
      <c r="B395" s="22" t="s">
        <v>92</v>
      </c>
      <c r="C395" s="22"/>
      <c r="D395" s="5" t="s">
        <v>93</v>
      </c>
      <c r="E395" s="5" t="s">
        <v>442</v>
      </c>
      <c r="F395" s="13" t="s">
        <v>19</v>
      </c>
      <c r="G395" s="28">
        <v>9215</v>
      </c>
      <c r="H395" s="28"/>
      <c r="I395" s="13" t="s">
        <v>95</v>
      </c>
      <c r="J395" s="24" t="s">
        <v>21</v>
      </c>
      <c r="K395" s="24"/>
      <c r="L395" s="6" t="s">
        <v>22</v>
      </c>
      <c r="M395" s="25">
        <v>2187073.4700000002</v>
      </c>
      <c r="N395" s="25"/>
    </row>
    <row r="396" spans="1:14" ht="88.95" customHeight="1" outlineLevel="1" x14ac:dyDescent="0.2">
      <c r="A396" s="4" t="s">
        <v>91</v>
      </c>
      <c r="B396" s="22" t="s">
        <v>92</v>
      </c>
      <c r="C396" s="22"/>
      <c r="D396" s="5" t="s">
        <v>93</v>
      </c>
      <c r="E396" s="5" t="s">
        <v>443</v>
      </c>
      <c r="F396" s="13" t="s">
        <v>19</v>
      </c>
      <c r="G396" s="28">
        <v>10169</v>
      </c>
      <c r="H396" s="28"/>
      <c r="I396" s="13" t="s">
        <v>95</v>
      </c>
      <c r="J396" s="24" t="s">
        <v>21</v>
      </c>
      <c r="K396" s="24"/>
      <c r="L396" s="6" t="s">
        <v>22</v>
      </c>
      <c r="M396" s="25">
        <v>2197242.4700000002</v>
      </c>
      <c r="N396" s="25"/>
    </row>
    <row r="397" spans="1:14" ht="88.95" customHeight="1" outlineLevel="1" x14ac:dyDescent="0.2">
      <c r="A397" s="4" t="s">
        <v>91</v>
      </c>
      <c r="B397" s="22" t="s">
        <v>92</v>
      </c>
      <c r="C397" s="22"/>
      <c r="D397" s="5" t="s">
        <v>93</v>
      </c>
      <c r="E397" s="5" t="s">
        <v>444</v>
      </c>
      <c r="F397" s="13" t="s">
        <v>19</v>
      </c>
      <c r="G397" s="28">
        <v>4222</v>
      </c>
      <c r="H397" s="28"/>
      <c r="I397" s="13" t="s">
        <v>95</v>
      </c>
      <c r="J397" s="24" t="s">
        <v>21</v>
      </c>
      <c r="K397" s="24"/>
      <c r="L397" s="6" t="s">
        <v>22</v>
      </c>
      <c r="M397" s="25">
        <v>2201464.4700000002</v>
      </c>
      <c r="N397" s="25"/>
    </row>
    <row r="398" spans="1:14" ht="88.95" customHeight="1" outlineLevel="1" x14ac:dyDescent="0.2">
      <c r="A398" s="4" t="s">
        <v>91</v>
      </c>
      <c r="B398" s="22" t="s">
        <v>92</v>
      </c>
      <c r="C398" s="22"/>
      <c r="D398" s="5" t="s">
        <v>93</v>
      </c>
      <c r="E398" s="5" t="s">
        <v>445</v>
      </c>
      <c r="F398" s="13" t="s">
        <v>19</v>
      </c>
      <c r="G398" s="23">
        <v>144.33000000000001</v>
      </c>
      <c r="H398" s="23"/>
      <c r="I398" s="13" t="s">
        <v>95</v>
      </c>
      <c r="J398" s="24" t="s">
        <v>21</v>
      </c>
      <c r="K398" s="24"/>
      <c r="L398" s="6" t="s">
        <v>22</v>
      </c>
      <c r="M398" s="25">
        <v>2201608.7999999998</v>
      </c>
      <c r="N398" s="25"/>
    </row>
    <row r="399" spans="1:14" ht="88.95" customHeight="1" outlineLevel="1" x14ac:dyDescent="0.2">
      <c r="A399" s="4" t="s">
        <v>91</v>
      </c>
      <c r="B399" s="22" t="s">
        <v>92</v>
      </c>
      <c r="C399" s="22"/>
      <c r="D399" s="5" t="s">
        <v>93</v>
      </c>
      <c r="E399" s="5" t="s">
        <v>446</v>
      </c>
      <c r="F399" s="13" t="s">
        <v>19</v>
      </c>
      <c r="G399" s="23">
        <v>108.24</v>
      </c>
      <c r="H399" s="23"/>
      <c r="I399" s="13" t="s">
        <v>95</v>
      </c>
      <c r="J399" s="24" t="s">
        <v>21</v>
      </c>
      <c r="K399" s="24"/>
      <c r="L399" s="6" t="s">
        <v>22</v>
      </c>
      <c r="M399" s="25">
        <v>2201717.04</v>
      </c>
      <c r="N399" s="25"/>
    </row>
    <row r="400" spans="1:14" ht="88.95" customHeight="1" outlineLevel="1" x14ac:dyDescent="0.2">
      <c r="A400" s="4" t="s">
        <v>91</v>
      </c>
      <c r="B400" s="22" t="s">
        <v>92</v>
      </c>
      <c r="C400" s="22"/>
      <c r="D400" s="5" t="s">
        <v>93</v>
      </c>
      <c r="E400" s="5" t="s">
        <v>447</v>
      </c>
      <c r="F400" s="13" t="s">
        <v>19</v>
      </c>
      <c r="G400" s="23">
        <v>97.48</v>
      </c>
      <c r="H400" s="23"/>
      <c r="I400" s="13" t="s">
        <v>95</v>
      </c>
      <c r="J400" s="24" t="s">
        <v>21</v>
      </c>
      <c r="K400" s="24"/>
      <c r="L400" s="6" t="s">
        <v>22</v>
      </c>
      <c r="M400" s="25">
        <v>2201814.52</v>
      </c>
      <c r="N400" s="25"/>
    </row>
    <row r="401" spans="1:14" ht="88.95" customHeight="1" outlineLevel="1" x14ac:dyDescent="0.2">
      <c r="A401" s="4" t="s">
        <v>91</v>
      </c>
      <c r="B401" s="22" t="s">
        <v>92</v>
      </c>
      <c r="C401" s="22"/>
      <c r="D401" s="5" t="s">
        <v>93</v>
      </c>
      <c r="E401" s="5" t="s">
        <v>448</v>
      </c>
      <c r="F401" s="13" t="s">
        <v>19</v>
      </c>
      <c r="G401" s="23">
        <v>324</v>
      </c>
      <c r="H401" s="23"/>
      <c r="I401" s="13" t="s">
        <v>95</v>
      </c>
      <c r="J401" s="24" t="s">
        <v>21</v>
      </c>
      <c r="K401" s="24"/>
      <c r="L401" s="6" t="s">
        <v>22</v>
      </c>
      <c r="M401" s="25">
        <v>2202138.52</v>
      </c>
      <c r="N401" s="25"/>
    </row>
    <row r="402" spans="1:14" ht="88.95" customHeight="1" outlineLevel="1" x14ac:dyDescent="0.2">
      <c r="A402" s="4" t="s">
        <v>91</v>
      </c>
      <c r="B402" s="22" t="s">
        <v>92</v>
      </c>
      <c r="C402" s="22"/>
      <c r="D402" s="5" t="s">
        <v>93</v>
      </c>
      <c r="E402" s="5" t="s">
        <v>449</v>
      </c>
      <c r="F402" s="13" t="s">
        <v>19</v>
      </c>
      <c r="G402" s="23">
        <v>142.5</v>
      </c>
      <c r="H402" s="23"/>
      <c r="I402" s="13" t="s">
        <v>95</v>
      </c>
      <c r="J402" s="24" t="s">
        <v>21</v>
      </c>
      <c r="K402" s="24"/>
      <c r="L402" s="6" t="s">
        <v>22</v>
      </c>
      <c r="M402" s="25">
        <v>2202281.02</v>
      </c>
      <c r="N402" s="25"/>
    </row>
    <row r="403" spans="1:14" ht="88.95" customHeight="1" outlineLevel="1" x14ac:dyDescent="0.2">
      <c r="A403" s="4" t="s">
        <v>91</v>
      </c>
      <c r="B403" s="22" t="s">
        <v>92</v>
      </c>
      <c r="C403" s="22"/>
      <c r="D403" s="5" t="s">
        <v>93</v>
      </c>
      <c r="E403" s="5" t="s">
        <v>450</v>
      </c>
      <c r="F403" s="13" t="s">
        <v>19</v>
      </c>
      <c r="G403" s="28">
        <v>18900</v>
      </c>
      <c r="H403" s="28"/>
      <c r="I403" s="13" t="s">
        <v>95</v>
      </c>
      <c r="J403" s="24" t="s">
        <v>21</v>
      </c>
      <c r="K403" s="24"/>
      <c r="L403" s="6" t="s">
        <v>22</v>
      </c>
      <c r="M403" s="25">
        <v>2221181.02</v>
      </c>
      <c r="N403" s="25"/>
    </row>
    <row r="404" spans="1:14" ht="88.95" customHeight="1" outlineLevel="1" x14ac:dyDescent="0.2">
      <c r="A404" s="4" t="s">
        <v>91</v>
      </c>
      <c r="B404" s="22" t="s">
        <v>92</v>
      </c>
      <c r="C404" s="22"/>
      <c r="D404" s="5" t="s">
        <v>93</v>
      </c>
      <c r="E404" s="5" t="s">
        <v>451</v>
      </c>
      <c r="F404" s="13" t="s">
        <v>19</v>
      </c>
      <c r="G404" s="23">
        <v>177.5</v>
      </c>
      <c r="H404" s="23"/>
      <c r="I404" s="13" t="s">
        <v>95</v>
      </c>
      <c r="J404" s="24" t="s">
        <v>21</v>
      </c>
      <c r="K404" s="24"/>
      <c r="L404" s="6" t="s">
        <v>22</v>
      </c>
      <c r="M404" s="25">
        <v>2221358.52</v>
      </c>
      <c r="N404" s="25"/>
    </row>
    <row r="405" spans="1:14" ht="88.95" customHeight="1" outlineLevel="1" x14ac:dyDescent="0.2">
      <c r="A405" s="4" t="s">
        <v>91</v>
      </c>
      <c r="B405" s="22" t="s">
        <v>92</v>
      </c>
      <c r="C405" s="22"/>
      <c r="D405" s="5" t="s">
        <v>93</v>
      </c>
      <c r="E405" s="5" t="s">
        <v>452</v>
      </c>
      <c r="F405" s="13" t="s">
        <v>19</v>
      </c>
      <c r="G405" s="23">
        <v>90.71</v>
      </c>
      <c r="H405" s="23"/>
      <c r="I405" s="13" t="s">
        <v>95</v>
      </c>
      <c r="J405" s="24" t="s">
        <v>21</v>
      </c>
      <c r="K405" s="24"/>
      <c r="L405" s="6" t="s">
        <v>22</v>
      </c>
      <c r="M405" s="25">
        <v>2221449.23</v>
      </c>
      <c r="N405" s="25"/>
    </row>
    <row r="406" spans="1:14" ht="88.95" customHeight="1" outlineLevel="1" x14ac:dyDescent="0.2">
      <c r="A406" s="4" t="s">
        <v>91</v>
      </c>
      <c r="B406" s="22" t="s">
        <v>92</v>
      </c>
      <c r="C406" s="22"/>
      <c r="D406" s="5" t="s">
        <v>93</v>
      </c>
      <c r="E406" s="5" t="s">
        <v>453</v>
      </c>
      <c r="F406" s="13" t="s">
        <v>19</v>
      </c>
      <c r="G406" s="23">
        <v>251.33</v>
      </c>
      <c r="H406" s="23"/>
      <c r="I406" s="13" t="s">
        <v>95</v>
      </c>
      <c r="J406" s="24" t="s">
        <v>21</v>
      </c>
      <c r="K406" s="24"/>
      <c r="L406" s="6" t="s">
        <v>22</v>
      </c>
      <c r="M406" s="25">
        <v>2221700.56</v>
      </c>
      <c r="N406" s="25"/>
    </row>
    <row r="407" spans="1:14" ht="88.95" customHeight="1" outlineLevel="1" x14ac:dyDescent="0.2">
      <c r="A407" s="4" t="s">
        <v>91</v>
      </c>
      <c r="B407" s="22" t="s">
        <v>92</v>
      </c>
      <c r="C407" s="22"/>
      <c r="D407" s="5" t="s">
        <v>93</v>
      </c>
      <c r="E407" s="5" t="s">
        <v>454</v>
      </c>
      <c r="F407" s="13" t="s">
        <v>19</v>
      </c>
      <c r="G407" s="23">
        <v>882</v>
      </c>
      <c r="H407" s="23"/>
      <c r="I407" s="13" t="s">
        <v>95</v>
      </c>
      <c r="J407" s="24" t="s">
        <v>21</v>
      </c>
      <c r="K407" s="24"/>
      <c r="L407" s="6" t="s">
        <v>22</v>
      </c>
      <c r="M407" s="25">
        <v>2222582.56</v>
      </c>
      <c r="N407" s="25"/>
    </row>
    <row r="408" spans="1:14" ht="88.95" customHeight="1" outlineLevel="1" x14ac:dyDescent="0.2">
      <c r="A408" s="4" t="s">
        <v>91</v>
      </c>
      <c r="B408" s="22" t="s">
        <v>92</v>
      </c>
      <c r="C408" s="22"/>
      <c r="D408" s="5" t="s">
        <v>93</v>
      </c>
      <c r="E408" s="5" t="s">
        <v>455</v>
      </c>
      <c r="F408" s="13" t="s">
        <v>19</v>
      </c>
      <c r="G408" s="23">
        <v>108.93</v>
      </c>
      <c r="H408" s="23"/>
      <c r="I408" s="13" t="s">
        <v>95</v>
      </c>
      <c r="J408" s="24" t="s">
        <v>21</v>
      </c>
      <c r="K408" s="24"/>
      <c r="L408" s="6" t="s">
        <v>22</v>
      </c>
      <c r="M408" s="25">
        <v>2222691.4900000002</v>
      </c>
      <c r="N408" s="25"/>
    </row>
    <row r="409" spans="1:14" ht="88.95" customHeight="1" outlineLevel="1" x14ac:dyDescent="0.2">
      <c r="A409" s="4" t="s">
        <v>91</v>
      </c>
      <c r="B409" s="22" t="s">
        <v>92</v>
      </c>
      <c r="C409" s="22"/>
      <c r="D409" s="5" t="s">
        <v>93</v>
      </c>
      <c r="E409" s="5" t="s">
        <v>456</v>
      </c>
      <c r="F409" s="13" t="s">
        <v>19</v>
      </c>
      <c r="G409" s="23">
        <v>585.54999999999995</v>
      </c>
      <c r="H409" s="23"/>
      <c r="I409" s="13" t="s">
        <v>95</v>
      </c>
      <c r="J409" s="24" t="s">
        <v>21</v>
      </c>
      <c r="K409" s="24"/>
      <c r="L409" s="6" t="s">
        <v>22</v>
      </c>
      <c r="M409" s="25">
        <v>2223277.04</v>
      </c>
      <c r="N409" s="25"/>
    </row>
    <row r="410" spans="1:14" ht="88.95" customHeight="1" outlineLevel="1" x14ac:dyDescent="0.2">
      <c r="A410" s="4" t="s">
        <v>91</v>
      </c>
      <c r="B410" s="22" t="s">
        <v>92</v>
      </c>
      <c r="C410" s="22"/>
      <c r="D410" s="5" t="s">
        <v>93</v>
      </c>
      <c r="E410" s="5" t="s">
        <v>457</v>
      </c>
      <c r="F410" s="13" t="s">
        <v>19</v>
      </c>
      <c r="G410" s="23">
        <v>138.07</v>
      </c>
      <c r="H410" s="23"/>
      <c r="I410" s="13" t="s">
        <v>95</v>
      </c>
      <c r="J410" s="24" t="s">
        <v>21</v>
      </c>
      <c r="K410" s="24"/>
      <c r="L410" s="6" t="s">
        <v>22</v>
      </c>
      <c r="M410" s="25">
        <v>2223415.11</v>
      </c>
      <c r="N410" s="25"/>
    </row>
    <row r="411" spans="1:14" ht="100.05" customHeight="1" outlineLevel="1" x14ac:dyDescent="0.2">
      <c r="A411" s="4" t="s">
        <v>91</v>
      </c>
      <c r="B411" s="22" t="s">
        <v>92</v>
      </c>
      <c r="C411" s="22"/>
      <c r="D411" s="5" t="s">
        <v>93</v>
      </c>
      <c r="E411" s="5" t="s">
        <v>458</v>
      </c>
      <c r="F411" s="13" t="s">
        <v>19</v>
      </c>
      <c r="G411" s="23">
        <v>147.02000000000001</v>
      </c>
      <c r="H411" s="23"/>
      <c r="I411" s="13" t="s">
        <v>95</v>
      </c>
      <c r="J411" s="24" t="s">
        <v>21</v>
      </c>
      <c r="K411" s="24"/>
      <c r="L411" s="6" t="s">
        <v>22</v>
      </c>
      <c r="M411" s="25">
        <v>2223562.13</v>
      </c>
      <c r="N411" s="25"/>
    </row>
    <row r="412" spans="1:14" ht="88.95" customHeight="1" outlineLevel="1" x14ac:dyDescent="0.2">
      <c r="A412" s="4" t="s">
        <v>91</v>
      </c>
      <c r="B412" s="22" t="s">
        <v>92</v>
      </c>
      <c r="C412" s="22"/>
      <c r="D412" s="5" t="s">
        <v>93</v>
      </c>
      <c r="E412" s="5" t="s">
        <v>459</v>
      </c>
      <c r="F412" s="13" t="s">
        <v>19</v>
      </c>
      <c r="G412" s="23">
        <v>651.61</v>
      </c>
      <c r="H412" s="23"/>
      <c r="I412" s="13" t="s">
        <v>95</v>
      </c>
      <c r="J412" s="24" t="s">
        <v>21</v>
      </c>
      <c r="K412" s="24"/>
      <c r="L412" s="6" t="s">
        <v>22</v>
      </c>
      <c r="M412" s="25">
        <v>2224213.7400000002</v>
      </c>
      <c r="N412" s="25"/>
    </row>
    <row r="413" spans="1:14" ht="88.95" customHeight="1" outlineLevel="1" x14ac:dyDescent="0.2">
      <c r="A413" s="4" t="s">
        <v>91</v>
      </c>
      <c r="B413" s="22" t="s">
        <v>92</v>
      </c>
      <c r="C413" s="22"/>
      <c r="D413" s="5" t="s">
        <v>93</v>
      </c>
      <c r="E413" s="5" t="s">
        <v>460</v>
      </c>
      <c r="F413" s="13" t="s">
        <v>19</v>
      </c>
      <c r="G413" s="23">
        <v>463.64</v>
      </c>
      <c r="H413" s="23"/>
      <c r="I413" s="13" t="s">
        <v>95</v>
      </c>
      <c r="J413" s="24" t="s">
        <v>21</v>
      </c>
      <c r="K413" s="24"/>
      <c r="L413" s="6" t="s">
        <v>22</v>
      </c>
      <c r="M413" s="25">
        <v>2224677.38</v>
      </c>
      <c r="N413" s="25"/>
    </row>
    <row r="414" spans="1:14" ht="88.95" customHeight="1" outlineLevel="1" x14ac:dyDescent="0.2">
      <c r="A414" s="4" t="s">
        <v>91</v>
      </c>
      <c r="B414" s="22" t="s">
        <v>92</v>
      </c>
      <c r="C414" s="22"/>
      <c r="D414" s="5" t="s">
        <v>93</v>
      </c>
      <c r="E414" s="5" t="s">
        <v>461</v>
      </c>
      <c r="F414" s="13" t="s">
        <v>19</v>
      </c>
      <c r="G414" s="23">
        <v>133.38</v>
      </c>
      <c r="H414" s="23"/>
      <c r="I414" s="13" t="s">
        <v>95</v>
      </c>
      <c r="J414" s="24" t="s">
        <v>21</v>
      </c>
      <c r="K414" s="24"/>
      <c r="L414" s="6" t="s">
        <v>22</v>
      </c>
      <c r="M414" s="25">
        <v>2224810.7599999998</v>
      </c>
      <c r="N414" s="25"/>
    </row>
    <row r="415" spans="1:14" ht="88.95" hidden="1" customHeight="1" outlineLevel="1" x14ac:dyDescent="0.2">
      <c r="A415" s="4" t="s">
        <v>462</v>
      </c>
      <c r="B415" s="22" t="s">
        <v>463</v>
      </c>
      <c r="C415" s="22"/>
      <c r="D415" s="5" t="s">
        <v>43</v>
      </c>
      <c r="E415" s="5" t="s">
        <v>464</v>
      </c>
      <c r="F415" s="13" t="s">
        <v>19</v>
      </c>
      <c r="G415" s="23">
        <v>295</v>
      </c>
      <c r="H415" s="23"/>
      <c r="I415" s="13" t="s">
        <v>465</v>
      </c>
      <c r="J415" s="24" t="s">
        <v>21</v>
      </c>
      <c r="K415" s="24"/>
      <c r="L415" s="6" t="s">
        <v>22</v>
      </c>
      <c r="M415" s="25">
        <v>2225105.7599999998</v>
      </c>
      <c r="N415" s="25"/>
    </row>
    <row r="416" spans="1:14" ht="88.95" hidden="1" customHeight="1" outlineLevel="1" x14ac:dyDescent="0.2">
      <c r="A416" s="4" t="s">
        <v>462</v>
      </c>
      <c r="B416" s="22" t="s">
        <v>463</v>
      </c>
      <c r="C416" s="22"/>
      <c r="D416" s="5" t="s">
        <v>43</v>
      </c>
      <c r="E416" s="5" t="s">
        <v>466</v>
      </c>
      <c r="F416" s="13" t="s">
        <v>19</v>
      </c>
      <c r="G416" s="23">
        <v>355</v>
      </c>
      <c r="H416" s="23"/>
      <c r="I416" s="13" t="s">
        <v>465</v>
      </c>
      <c r="J416" s="24" t="s">
        <v>21</v>
      </c>
      <c r="K416" s="24"/>
      <c r="L416" s="6" t="s">
        <v>22</v>
      </c>
      <c r="M416" s="25">
        <v>2225460.7599999998</v>
      </c>
      <c r="N416" s="25"/>
    </row>
    <row r="417" spans="1:14" ht="88.95" hidden="1" customHeight="1" outlineLevel="1" x14ac:dyDescent="0.2">
      <c r="A417" s="4" t="s">
        <v>462</v>
      </c>
      <c r="B417" s="22" t="s">
        <v>463</v>
      </c>
      <c r="C417" s="22"/>
      <c r="D417" s="5" t="s">
        <v>43</v>
      </c>
      <c r="E417" s="5" t="s">
        <v>467</v>
      </c>
      <c r="F417" s="13" t="s">
        <v>19</v>
      </c>
      <c r="G417" s="23">
        <v>869.5</v>
      </c>
      <c r="H417" s="23"/>
      <c r="I417" s="13" t="s">
        <v>465</v>
      </c>
      <c r="J417" s="24" t="s">
        <v>21</v>
      </c>
      <c r="K417" s="24"/>
      <c r="L417" s="6" t="s">
        <v>22</v>
      </c>
      <c r="M417" s="25">
        <v>2226330.2599999998</v>
      </c>
      <c r="N417" s="25"/>
    </row>
    <row r="418" spans="1:14" ht="88.95" hidden="1" customHeight="1" outlineLevel="1" x14ac:dyDescent="0.2">
      <c r="A418" s="4" t="s">
        <v>462</v>
      </c>
      <c r="B418" s="22" t="s">
        <v>463</v>
      </c>
      <c r="C418" s="22"/>
      <c r="D418" s="5" t="s">
        <v>43</v>
      </c>
      <c r="E418" s="5" t="s">
        <v>468</v>
      </c>
      <c r="F418" s="13" t="s">
        <v>19</v>
      </c>
      <c r="G418" s="23">
        <v>213</v>
      </c>
      <c r="H418" s="23"/>
      <c r="I418" s="13" t="s">
        <v>465</v>
      </c>
      <c r="J418" s="24" t="s">
        <v>21</v>
      </c>
      <c r="K418" s="24"/>
      <c r="L418" s="6" t="s">
        <v>22</v>
      </c>
      <c r="M418" s="25">
        <v>2226543.2599999998</v>
      </c>
      <c r="N418" s="25"/>
    </row>
    <row r="419" spans="1:14" ht="88.95" hidden="1" customHeight="1" outlineLevel="1" x14ac:dyDescent="0.2">
      <c r="A419" s="4" t="s">
        <v>462</v>
      </c>
      <c r="B419" s="22" t="s">
        <v>463</v>
      </c>
      <c r="C419" s="22"/>
      <c r="D419" s="5" t="s">
        <v>43</v>
      </c>
      <c r="E419" s="5" t="s">
        <v>469</v>
      </c>
      <c r="F419" s="13" t="s">
        <v>19</v>
      </c>
      <c r="G419" s="23">
        <v>400</v>
      </c>
      <c r="H419" s="23"/>
      <c r="I419" s="13" t="s">
        <v>465</v>
      </c>
      <c r="J419" s="24" t="s">
        <v>21</v>
      </c>
      <c r="K419" s="24"/>
      <c r="L419" s="6" t="s">
        <v>22</v>
      </c>
      <c r="M419" s="25">
        <v>2226943.2599999998</v>
      </c>
      <c r="N419" s="25"/>
    </row>
    <row r="420" spans="1:14" ht="88.95" hidden="1" customHeight="1" outlineLevel="1" x14ac:dyDescent="0.2">
      <c r="A420" s="4" t="s">
        <v>462</v>
      </c>
      <c r="B420" s="22" t="s">
        <v>463</v>
      </c>
      <c r="C420" s="22"/>
      <c r="D420" s="5" t="s">
        <v>43</v>
      </c>
      <c r="E420" s="5" t="s">
        <v>470</v>
      </c>
      <c r="F420" s="13" t="s">
        <v>19</v>
      </c>
      <c r="G420" s="23">
        <v>356</v>
      </c>
      <c r="H420" s="23"/>
      <c r="I420" s="13" t="s">
        <v>465</v>
      </c>
      <c r="J420" s="24" t="s">
        <v>21</v>
      </c>
      <c r="K420" s="24"/>
      <c r="L420" s="6" t="s">
        <v>22</v>
      </c>
      <c r="M420" s="25">
        <v>2227299.2599999998</v>
      </c>
      <c r="N420" s="25"/>
    </row>
    <row r="421" spans="1:14" ht="88.95" hidden="1" customHeight="1" outlineLevel="1" x14ac:dyDescent="0.2">
      <c r="A421" s="4" t="s">
        <v>462</v>
      </c>
      <c r="B421" s="22" t="s">
        <v>463</v>
      </c>
      <c r="C421" s="22"/>
      <c r="D421" s="5" t="s">
        <v>43</v>
      </c>
      <c r="E421" s="5" t="s">
        <v>471</v>
      </c>
      <c r="F421" s="13" t="s">
        <v>19</v>
      </c>
      <c r="G421" s="23">
        <v>89</v>
      </c>
      <c r="H421" s="23"/>
      <c r="I421" s="13" t="s">
        <v>465</v>
      </c>
      <c r="J421" s="24" t="s">
        <v>21</v>
      </c>
      <c r="K421" s="24"/>
      <c r="L421" s="6" t="s">
        <v>22</v>
      </c>
      <c r="M421" s="25">
        <v>2227388.2599999998</v>
      </c>
      <c r="N421" s="25"/>
    </row>
    <row r="422" spans="1:14" ht="88.95" hidden="1" customHeight="1" outlineLevel="1" x14ac:dyDescent="0.2">
      <c r="A422" s="4" t="s">
        <v>462</v>
      </c>
      <c r="B422" s="22" t="s">
        <v>463</v>
      </c>
      <c r="C422" s="22"/>
      <c r="D422" s="5" t="s">
        <v>43</v>
      </c>
      <c r="E422" s="5" t="s">
        <v>472</v>
      </c>
      <c r="F422" s="13" t="s">
        <v>19</v>
      </c>
      <c r="G422" s="23">
        <v>375</v>
      </c>
      <c r="H422" s="23"/>
      <c r="I422" s="13" t="s">
        <v>465</v>
      </c>
      <c r="J422" s="24" t="s">
        <v>21</v>
      </c>
      <c r="K422" s="24"/>
      <c r="L422" s="6" t="s">
        <v>22</v>
      </c>
      <c r="M422" s="25">
        <v>2227763.2599999998</v>
      </c>
      <c r="N422" s="25"/>
    </row>
    <row r="423" spans="1:14" ht="88.95" hidden="1" customHeight="1" outlineLevel="1" x14ac:dyDescent="0.2">
      <c r="A423" s="4" t="s">
        <v>462</v>
      </c>
      <c r="B423" s="22" t="s">
        <v>463</v>
      </c>
      <c r="C423" s="22"/>
      <c r="D423" s="5" t="s">
        <v>43</v>
      </c>
      <c r="E423" s="5" t="s">
        <v>473</v>
      </c>
      <c r="F423" s="13" t="s">
        <v>19</v>
      </c>
      <c r="G423" s="23">
        <v>365</v>
      </c>
      <c r="H423" s="23"/>
      <c r="I423" s="13" t="s">
        <v>465</v>
      </c>
      <c r="J423" s="24" t="s">
        <v>21</v>
      </c>
      <c r="K423" s="24"/>
      <c r="L423" s="6" t="s">
        <v>22</v>
      </c>
      <c r="M423" s="25">
        <v>2228128.2599999998</v>
      </c>
      <c r="N423" s="25"/>
    </row>
    <row r="424" spans="1:14" ht="111" hidden="1" customHeight="1" outlineLevel="1" x14ac:dyDescent="0.2">
      <c r="A424" s="4" t="s">
        <v>462</v>
      </c>
      <c r="B424" s="22" t="s">
        <v>463</v>
      </c>
      <c r="C424" s="22"/>
      <c r="D424" s="5" t="s">
        <v>43</v>
      </c>
      <c r="E424" s="5" t="s">
        <v>474</v>
      </c>
      <c r="F424" s="13" t="s">
        <v>19</v>
      </c>
      <c r="G424" s="23">
        <v>894.4</v>
      </c>
      <c r="H424" s="23"/>
      <c r="I424" s="13" t="s">
        <v>465</v>
      </c>
      <c r="J424" s="24" t="s">
        <v>21</v>
      </c>
      <c r="K424" s="24"/>
      <c r="L424" s="6" t="s">
        <v>22</v>
      </c>
      <c r="M424" s="25">
        <v>2229022.66</v>
      </c>
      <c r="N424" s="25"/>
    </row>
    <row r="425" spans="1:14" ht="111" hidden="1" customHeight="1" outlineLevel="1" x14ac:dyDescent="0.2">
      <c r="A425" s="4" t="s">
        <v>462</v>
      </c>
      <c r="B425" s="22" t="s">
        <v>463</v>
      </c>
      <c r="C425" s="22"/>
      <c r="D425" s="5" t="s">
        <v>43</v>
      </c>
      <c r="E425" s="5" t="s">
        <v>475</v>
      </c>
      <c r="F425" s="13" t="s">
        <v>19</v>
      </c>
      <c r="G425" s="28">
        <v>1036.44</v>
      </c>
      <c r="H425" s="28"/>
      <c r="I425" s="13" t="s">
        <v>465</v>
      </c>
      <c r="J425" s="24" t="s">
        <v>21</v>
      </c>
      <c r="K425" s="24"/>
      <c r="L425" s="6" t="s">
        <v>22</v>
      </c>
      <c r="M425" s="25">
        <v>2230059.1</v>
      </c>
      <c r="N425" s="25"/>
    </row>
    <row r="426" spans="1:14" ht="88.95" hidden="1" customHeight="1" outlineLevel="1" x14ac:dyDescent="0.2">
      <c r="A426" s="4" t="s">
        <v>462</v>
      </c>
      <c r="B426" s="22" t="s">
        <v>463</v>
      </c>
      <c r="C426" s="22"/>
      <c r="D426" s="5" t="s">
        <v>43</v>
      </c>
      <c r="E426" s="5" t="s">
        <v>476</v>
      </c>
      <c r="F426" s="13" t="s">
        <v>19</v>
      </c>
      <c r="G426" s="23">
        <v>319.17</v>
      </c>
      <c r="H426" s="23"/>
      <c r="I426" s="13" t="s">
        <v>465</v>
      </c>
      <c r="J426" s="24" t="s">
        <v>21</v>
      </c>
      <c r="K426" s="24"/>
      <c r="L426" s="6" t="s">
        <v>22</v>
      </c>
      <c r="M426" s="25">
        <v>2230378.27</v>
      </c>
      <c r="N426" s="25"/>
    </row>
    <row r="427" spans="1:14" ht="88.95" hidden="1" customHeight="1" outlineLevel="1" x14ac:dyDescent="0.2">
      <c r="A427" s="4" t="s">
        <v>462</v>
      </c>
      <c r="B427" s="22" t="s">
        <v>463</v>
      </c>
      <c r="C427" s="22"/>
      <c r="D427" s="5" t="s">
        <v>43</v>
      </c>
      <c r="E427" s="5" t="s">
        <v>477</v>
      </c>
      <c r="F427" s="13" t="s">
        <v>19</v>
      </c>
      <c r="G427" s="23">
        <v>24</v>
      </c>
      <c r="H427" s="23"/>
      <c r="I427" s="13" t="s">
        <v>465</v>
      </c>
      <c r="J427" s="24" t="s">
        <v>21</v>
      </c>
      <c r="K427" s="24"/>
      <c r="L427" s="6" t="s">
        <v>22</v>
      </c>
      <c r="M427" s="25">
        <v>2230402.27</v>
      </c>
      <c r="N427" s="25"/>
    </row>
    <row r="428" spans="1:14" ht="88.95" hidden="1" customHeight="1" outlineLevel="1" x14ac:dyDescent="0.2">
      <c r="A428" s="4" t="s">
        <v>462</v>
      </c>
      <c r="B428" s="22" t="s">
        <v>463</v>
      </c>
      <c r="C428" s="22"/>
      <c r="D428" s="5" t="s">
        <v>43</v>
      </c>
      <c r="E428" s="5" t="s">
        <v>478</v>
      </c>
      <c r="F428" s="13" t="s">
        <v>19</v>
      </c>
      <c r="G428" s="23">
        <v>618</v>
      </c>
      <c r="H428" s="23"/>
      <c r="I428" s="13" t="s">
        <v>465</v>
      </c>
      <c r="J428" s="24" t="s">
        <v>21</v>
      </c>
      <c r="K428" s="24"/>
      <c r="L428" s="6" t="s">
        <v>22</v>
      </c>
      <c r="M428" s="25">
        <v>2231020.27</v>
      </c>
      <c r="N428" s="25"/>
    </row>
    <row r="429" spans="1:14" ht="88.95" hidden="1" customHeight="1" outlineLevel="1" x14ac:dyDescent="0.2">
      <c r="A429" s="4" t="s">
        <v>462</v>
      </c>
      <c r="B429" s="22" t="s">
        <v>463</v>
      </c>
      <c r="C429" s="22"/>
      <c r="D429" s="5" t="s">
        <v>43</v>
      </c>
      <c r="E429" s="5" t="s">
        <v>479</v>
      </c>
      <c r="F429" s="13" t="s">
        <v>19</v>
      </c>
      <c r="G429" s="23">
        <v>752.5</v>
      </c>
      <c r="H429" s="23"/>
      <c r="I429" s="13" t="s">
        <v>465</v>
      </c>
      <c r="J429" s="24" t="s">
        <v>21</v>
      </c>
      <c r="K429" s="24"/>
      <c r="L429" s="6" t="s">
        <v>22</v>
      </c>
      <c r="M429" s="25">
        <v>2231772.77</v>
      </c>
      <c r="N429" s="25"/>
    </row>
    <row r="430" spans="1:14" ht="100.05" hidden="1" customHeight="1" outlineLevel="1" x14ac:dyDescent="0.2">
      <c r="A430" s="4" t="s">
        <v>462</v>
      </c>
      <c r="B430" s="22" t="s">
        <v>463</v>
      </c>
      <c r="C430" s="22"/>
      <c r="D430" s="5" t="s">
        <v>43</v>
      </c>
      <c r="E430" s="5" t="s">
        <v>480</v>
      </c>
      <c r="F430" s="13" t="s">
        <v>19</v>
      </c>
      <c r="G430" s="23">
        <v>121.67</v>
      </c>
      <c r="H430" s="23"/>
      <c r="I430" s="13" t="s">
        <v>465</v>
      </c>
      <c r="J430" s="24" t="s">
        <v>21</v>
      </c>
      <c r="K430" s="24"/>
      <c r="L430" s="6" t="s">
        <v>22</v>
      </c>
      <c r="M430" s="25">
        <v>2231894.44</v>
      </c>
      <c r="N430" s="25"/>
    </row>
    <row r="431" spans="1:14" ht="100.05" hidden="1" customHeight="1" outlineLevel="1" x14ac:dyDescent="0.2">
      <c r="A431" s="4" t="s">
        <v>462</v>
      </c>
      <c r="B431" s="22" t="s">
        <v>463</v>
      </c>
      <c r="C431" s="22"/>
      <c r="D431" s="5" t="s">
        <v>43</v>
      </c>
      <c r="E431" s="5" t="s">
        <v>481</v>
      </c>
      <c r="F431" s="13" t="s">
        <v>19</v>
      </c>
      <c r="G431" s="23">
        <v>421</v>
      </c>
      <c r="H431" s="23"/>
      <c r="I431" s="13" t="s">
        <v>465</v>
      </c>
      <c r="J431" s="24" t="s">
        <v>21</v>
      </c>
      <c r="K431" s="24"/>
      <c r="L431" s="6" t="s">
        <v>22</v>
      </c>
      <c r="M431" s="25">
        <v>2232315.44</v>
      </c>
      <c r="N431" s="25"/>
    </row>
    <row r="432" spans="1:14" ht="100.05" hidden="1" customHeight="1" outlineLevel="1" x14ac:dyDescent="0.2">
      <c r="A432" s="4" t="s">
        <v>462</v>
      </c>
      <c r="B432" s="22" t="s">
        <v>463</v>
      </c>
      <c r="C432" s="22"/>
      <c r="D432" s="5" t="s">
        <v>43</v>
      </c>
      <c r="E432" s="5" t="s">
        <v>482</v>
      </c>
      <c r="F432" s="13" t="s">
        <v>19</v>
      </c>
      <c r="G432" s="23">
        <v>38</v>
      </c>
      <c r="H432" s="23"/>
      <c r="I432" s="13" t="s">
        <v>465</v>
      </c>
      <c r="J432" s="24" t="s">
        <v>21</v>
      </c>
      <c r="K432" s="24"/>
      <c r="L432" s="6" t="s">
        <v>22</v>
      </c>
      <c r="M432" s="25">
        <v>2232353.44</v>
      </c>
      <c r="N432" s="25"/>
    </row>
    <row r="433" spans="1:14" ht="88.95" hidden="1" customHeight="1" outlineLevel="1" x14ac:dyDescent="0.2">
      <c r="A433" s="4" t="s">
        <v>462</v>
      </c>
      <c r="B433" s="22" t="s">
        <v>463</v>
      </c>
      <c r="C433" s="22"/>
      <c r="D433" s="5" t="s">
        <v>43</v>
      </c>
      <c r="E433" s="5" t="s">
        <v>483</v>
      </c>
      <c r="F433" s="13" t="s">
        <v>19</v>
      </c>
      <c r="G433" s="23">
        <v>114</v>
      </c>
      <c r="H433" s="23"/>
      <c r="I433" s="13" t="s">
        <v>465</v>
      </c>
      <c r="J433" s="24" t="s">
        <v>21</v>
      </c>
      <c r="K433" s="24"/>
      <c r="L433" s="6" t="s">
        <v>22</v>
      </c>
      <c r="M433" s="25">
        <v>2232467.44</v>
      </c>
      <c r="N433" s="25"/>
    </row>
    <row r="434" spans="1:14" ht="88.95" hidden="1" customHeight="1" outlineLevel="1" x14ac:dyDescent="0.2">
      <c r="A434" s="4" t="s">
        <v>462</v>
      </c>
      <c r="B434" s="22" t="s">
        <v>463</v>
      </c>
      <c r="C434" s="22"/>
      <c r="D434" s="5" t="s">
        <v>43</v>
      </c>
      <c r="E434" s="5" t="s">
        <v>484</v>
      </c>
      <c r="F434" s="13" t="s">
        <v>19</v>
      </c>
      <c r="G434" s="23">
        <v>114</v>
      </c>
      <c r="H434" s="23"/>
      <c r="I434" s="13" t="s">
        <v>465</v>
      </c>
      <c r="J434" s="24" t="s">
        <v>21</v>
      </c>
      <c r="K434" s="24"/>
      <c r="L434" s="6" t="s">
        <v>22</v>
      </c>
      <c r="M434" s="25">
        <v>2232581.44</v>
      </c>
      <c r="N434" s="25"/>
    </row>
    <row r="435" spans="1:14" ht="88.95" hidden="1" customHeight="1" outlineLevel="1" x14ac:dyDescent="0.2">
      <c r="A435" s="4" t="s">
        <v>462</v>
      </c>
      <c r="B435" s="22" t="s">
        <v>463</v>
      </c>
      <c r="C435" s="22"/>
      <c r="D435" s="5" t="s">
        <v>43</v>
      </c>
      <c r="E435" s="5" t="s">
        <v>485</v>
      </c>
      <c r="F435" s="13" t="s">
        <v>19</v>
      </c>
      <c r="G435" s="23">
        <v>376</v>
      </c>
      <c r="H435" s="23"/>
      <c r="I435" s="13" t="s">
        <v>465</v>
      </c>
      <c r="J435" s="24" t="s">
        <v>21</v>
      </c>
      <c r="K435" s="24"/>
      <c r="L435" s="6" t="s">
        <v>22</v>
      </c>
      <c r="M435" s="25">
        <v>2232957.44</v>
      </c>
      <c r="N435" s="25"/>
    </row>
    <row r="436" spans="1:14" ht="88.95" hidden="1" customHeight="1" outlineLevel="1" x14ac:dyDescent="0.2">
      <c r="A436" s="4" t="s">
        <v>462</v>
      </c>
      <c r="B436" s="22" t="s">
        <v>463</v>
      </c>
      <c r="C436" s="22"/>
      <c r="D436" s="5" t="s">
        <v>43</v>
      </c>
      <c r="E436" s="5" t="s">
        <v>486</v>
      </c>
      <c r="F436" s="13" t="s">
        <v>19</v>
      </c>
      <c r="G436" s="23">
        <v>452.66</v>
      </c>
      <c r="H436" s="23"/>
      <c r="I436" s="13" t="s">
        <v>465</v>
      </c>
      <c r="J436" s="24" t="s">
        <v>21</v>
      </c>
      <c r="K436" s="24"/>
      <c r="L436" s="6" t="s">
        <v>22</v>
      </c>
      <c r="M436" s="25">
        <v>2233410.1</v>
      </c>
      <c r="N436" s="25"/>
    </row>
    <row r="437" spans="1:14" ht="88.95" hidden="1" customHeight="1" outlineLevel="1" x14ac:dyDescent="0.2">
      <c r="A437" s="4" t="s">
        <v>462</v>
      </c>
      <c r="B437" s="22" t="s">
        <v>463</v>
      </c>
      <c r="C437" s="22"/>
      <c r="D437" s="5" t="s">
        <v>43</v>
      </c>
      <c r="E437" s="5" t="s">
        <v>487</v>
      </c>
      <c r="F437" s="13" t="s">
        <v>19</v>
      </c>
      <c r="G437" s="28">
        <v>1513.68</v>
      </c>
      <c r="H437" s="28"/>
      <c r="I437" s="13" t="s">
        <v>465</v>
      </c>
      <c r="J437" s="24" t="s">
        <v>21</v>
      </c>
      <c r="K437" s="24"/>
      <c r="L437" s="6" t="s">
        <v>22</v>
      </c>
      <c r="M437" s="25">
        <v>2234923.7799999998</v>
      </c>
      <c r="N437" s="25"/>
    </row>
    <row r="438" spans="1:14" ht="88.95" hidden="1" customHeight="1" outlineLevel="1" x14ac:dyDescent="0.2">
      <c r="A438" s="4" t="s">
        <v>462</v>
      </c>
      <c r="B438" s="22" t="s">
        <v>463</v>
      </c>
      <c r="C438" s="22"/>
      <c r="D438" s="5" t="s">
        <v>43</v>
      </c>
      <c r="E438" s="5" t="s">
        <v>488</v>
      </c>
      <c r="F438" s="13" t="s">
        <v>19</v>
      </c>
      <c r="G438" s="23">
        <v>140</v>
      </c>
      <c r="H438" s="23"/>
      <c r="I438" s="13" t="s">
        <v>465</v>
      </c>
      <c r="J438" s="24" t="s">
        <v>21</v>
      </c>
      <c r="K438" s="24"/>
      <c r="L438" s="6" t="s">
        <v>22</v>
      </c>
      <c r="M438" s="25">
        <v>2235063.7799999998</v>
      </c>
      <c r="N438" s="25"/>
    </row>
    <row r="439" spans="1:14" ht="88.95" hidden="1" customHeight="1" outlineLevel="1" x14ac:dyDescent="0.2">
      <c r="A439" s="4" t="s">
        <v>462</v>
      </c>
      <c r="B439" s="22" t="s">
        <v>463</v>
      </c>
      <c r="C439" s="22"/>
      <c r="D439" s="5" t="s">
        <v>43</v>
      </c>
      <c r="E439" s="5" t="s">
        <v>489</v>
      </c>
      <c r="F439" s="13" t="s">
        <v>19</v>
      </c>
      <c r="G439" s="23">
        <v>65.84</v>
      </c>
      <c r="H439" s="23"/>
      <c r="I439" s="13" t="s">
        <v>465</v>
      </c>
      <c r="J439" s="24" t="s">
        <v>21</v>
      </c>
      <c r="K439" s="24"/>
      <c r="L439" s="6" t="s">
        <v>22</v>
      </c>
      <c r="M439" s="25">
        <v>2235129.62</v>
      </c>
      <c r="N439" s="25"/>
    </row>
    <row r="440" spans="1:14" ht="88.95" hidden="1" customHeight="1" outlineLevel="1" x14ac:dyDescent="0.2">
      <c r="A440" s="4" t="s">
        <v>462</v>
      </c>
      <c r="B440" s="22" t="s">
        <v>463</v>
      </c>
      <c r="C440" s="22"/>
      <c r="D440" s="5" t="s">
        <v>43</v>
      </c>
      <c r="E440" s="5" t="s">
        <v>490</v>
      </c>
      <c r="F440" s="13" t="s">
        <v>19</v>
      </c>
      <c r="G440" s="23">
        <v>298</v>
      </c>
      <c r="H440" s="23"/>
      <c r="I440" s="13" t="s">
        <v>465</v>
      </c>
      <c r="J440" s="24" t="s">
        <v>21</v>
      </c>
      <c r="K440" s="24"/>
      <c r="L440" s="6" t="s">
        <v>22</v>
      </c>
      <c r="M440" s="25">
        <v>2235427.62</v>
      </c>
      <c r="N440" s="25"/>
    </row>
    <row r="441" spans="1:14" ht="100.05" hidden="1" customHeight="1" outlineLevel="1" x14ac:dyDescent="0.2">
      <c r="A441" s="4" t="s">
        <v>462</v>
      </c>
      <c r="B441" s="22" t="s">
        <v>463</v>
      </c>
      <c r="C441" s="22"/>
      <c r="D441" s="5" t="s">
        <v>43</v>
      </c>
      <c r="E441" s="5" t="s">
        <v>491</v>
      </c>
      <c r="F441" s="13" t="s">
        <v>19</v>
      </c>
      <c r="G441" s="23">
        <v>153.9</v>
      </c>
      <c r="H441" s="23"/>
      <c r="I441" s="13" t="s">
        <v>465</v>
      </c>
      <c r="J441" s="24" t="s">
        <v>21</v>
      </c>
      <c r="K441" s="24"/>
      <c r="L441" s="6" t="s">
        <v>22</v>
      </c>
      <c r="M441" s="25">
        <v>2235581.52</v>
      </c>
      <c r="N441" s="25"/>
    </row>
    <row r="442" spans="1:14" ht="88.95" hidden="1" customHeight="1" outlineLevel="1" x14ac:dyDescent="0.2">
      <c r="A442" s="4" t="s">
        <v>462</v>
      </c>
      <c r="B442" s="22" t="s">
        <v>463</v>
      </c>
      <c r="C442" s="22"/>
      <c r="D442" s="5" t="s">
        <v>43</v>
      </c>
      <c r="E442" s="5" t="s">
        <v>492</v>
      </c>
      <c r="F442" s="13" t="s">
        <v>19</v>
      </c>
      <c r="G442" s="23">
        <v>76</v>
      </c>
      <c r="H442" s="23"/>
      <c r="I442" s="13" t="s">
        <v>465</v>
      </c>
      <c r="J442" s="24" t="s">
        <v>21</v>
      </c>
      <c r="K442" s="24"/>
      <c r="L442" s="6" t="s">
        <v>22</v>
      </c>
      <c r="M442" s="25">
        <v>2235657.52</v>
      </c>
      <c r="N442" s="25"/>
    </row>
    <row r="443" spans="1:14" ht="88.95" hidden="1" customHeight="1" outlineLevel="1" x14ac:dyDescent="0.2">
      <c r="A443" s="4" t="s">
        <v>462</v>
      </c>
      <c r="B443" s="22" t="s">
        <v>463</v>
      </c>
      <c r="C443" s="22"/>
      <c r="D443" s="5" t="s">
        <v>43</v>
      </c>
      <c r="E443" s="5" t="s">
        <v>493</v>
      </c>
      <c r="F443" s="13" t="s">
        <v>19</v>
      </c>
      <c r="G443" s="23">
        <v>182</v>
      </c>
      <c r="H443" s="23"/>
      <c r="I443" s="13" t="s">
        <v>465</v>
      </c>
      <c r="J443" s="24" t="s">
        <v>21</v>
      </c>
      <c r="K443" s="24"/>
      <c r="L443" s="6" t="s">
        <v>22</v>
      </c>
      <c r="M443" s="25">
        <v>2235839.52</v>
      </c>
      <c r="N443" s="25"/>
    </row>
    <row r="444" spans="1:14" ht="88.95" hidden="1" customHeight="1" outlineLevel="1" x14ac:dyDescent="0.2">
      <c r="A444" s="4" t="s">
        <v>462</v>
      </c>
      <c r="B444" s="22" t="s">
        <v>463</v>
      </c>
      <c r="C444" s="22"/>
      <c r="D444" s="5" t="s">
        <v>43</v>
      </c>
      <c r="E444" s="5" t="s">
        <v>494</v>
      </c>
      <c r="F444" s="13" t="s">
        <v>19</v>
      </c>
      <c r="G444" s="23">
        <v>89</v>
      </c>
      <c r="H444" s="23"/>
      <c r="I444" s="13" t="s">
        <v>465</v>
      </c>
      <c r="J444" s="24" t="s">
        <v>21</v>
      </c>
      <c r="K444" s="24"/>
      <c r="L444" s="6" t="s">
        <v>22</v>
      </c>
      <c r="M444" s="25">
        <v>2235928.52</v>
      </c>
      <c r="N444" s="25"/>
    </row>
    <row r="445" spans="1:14" ht="88.95" hidden="1" customHeight="1" outlineLevel="1" x14ac:dyDescent="0.2">
      <c r="A445" s="4" t="s">
        <v>462</v>
      </c>
      <c r="B445" s="22" t="s">
        <v>463</v>
      </c>
      <c r="C445" s="22"/>
      <c r="D445" s="5" t="s">
        <v>43</v>
      </c>
      <c r="E445" s="5" t="s">
        <v>495</v>
      </c>
      <c r="F445" s="13" t="s">
        <v>19</v>
      </c>
      <c r="G445" s="23">
        <v>231.3</v>
      </c>
      <c r="H445" s="23"/>
      <c r="I445" s="13" t="s">
        <v>465</v>
      </c>
      <c r="J445" s="24" t="s">
        <v>21</v>
      </c>
      <c r="K445" s="24"/>
      <c r="L445" s="6" t="s">
        <v>22</v>
      </c>
      <c r="M445" s="25">
        <v>2236159.8199999998</v>
      </c>
      <c r="N445" s="25"/>
    </row>
    <row r="446" spans="1:14" ht="88.95" hidden="1" customHeight="1" outlineLevel="1" x14ac:dyDescent="0.2">
      <c r="A446" s="4" t="s">
        <v>462</v>
      </c>
      <c r="B446" s="22" t="s">
        <v>463</v>
      </c>
      <c r="C446" s="22"/>
      <c r="D446" s="5" t="s">
        <v>43</v>
      </c>
      <c r="E446" s="5" t="s">
        <v>496</v>
      </c>
      <c r="F446" s="13" t="s">
        <v>19</v>
      </c>
      <c r="G446" s="23">
        <v>46.26</v>
      </c>
      <c r="H446" s="23"/>
      <c r="I446" s="13" t="s">
        <v>465</v>
      </c>
      <c r="J446" s="24" t="s">
        <v>21</v>
      </c>
      <c r="K446" s="24"/>
      <c r="L446" s="6" t="s">
        <v>22</v>
      </c>
      <c r="M446" s="25">
        <v>2236206.0800000001</v>
      </c>
      <c r="N446" s="25"/>
    </row>
    <row r="447" spans="1:14" ht="88.95" hidden="1" customHeight="1" outlineLevel="1" x14ac:dyDescent="0.2">
      <c r="A447" s="4" t="s">
        <v>462</v>
      </c>
      <c r="B447" s="22" t="s">
        <v>463</v>
      </c>
      <c r="C447" s="22"/>
      <c r="D447" s="5" t="s">
        <v>43</v>
      </c>
      <c r="E447" s="5" t="s">
        <v>497</v>
      </c>
      <c r="F447" s="13" t="s">
        <v>19</v>
      </c>
      <c r="G447" s="23">
        <v>18.5</v>
      </c>
      <c r="H447" s="23"/>
      <c r="I447" s="13" t="s">
        <v>465</v>
      </c>
      <c r="J447" s="24" t="s">
        <v>21</v>
      </c>
      <c r="K447" s="24"/>
      <c r="L447" s="6" t="s">
        <v>22</v>
      </c>
      <c r="M447" s="25">
        <v>2236224.58</v>
      </c>
      <c r="N447" s="25"/>
    </row>
    <row r="448" spans="1:14" ht="88.95" hidden="1" customHeight="1" outlineLevel="1" x14ac:dyDescent="0.2">
      <c r="A448" s="4" t="s">
        <v>462</v>
      </c>
      <c r="B448" s="22" t="s">
        <v>463</v>
      </c>
      <c r="C448" s="22"/>
      <c r="D448" s="5" t="s">
        <v>43</v>
      </c>
      <c r="E448" s="5" t="s">
        <v>498</v>
      </c>
      <c r="F448" s="13" t="s">
        <v>19</v>
      </c>
      <c r="G448" s="23">
        <v>351.5</v>
      </c>
      <c r="H448" s="23"/>
      <c r="I448" s="13" t="s">
        <v>465</v>
      </c>
      <c r="J448" s="24" t="s">
        <v>21</v>
      </c>
      <c r="K448" s="24"/>
      <c r="L448" s="6" t="s">
        <v>22</v>
      </c>
      <c r="M448" s="25">
        <v>2236576.08</v>
      </c>
      <c r="N448" s="25"/>
    </row>
    <row r="449" spans="1:14" ht="88.95" hidden="1" customHeight="1" outlineLevel="1" x14ac:dyDescent="0.2">
      <c r="A449" s="4" t="s">
        <v>462</v>
      </c>
      <c r="B449" s="22" t="s">
        <v>463</v>
      </c>
      <c r="C449" s="22"/>
      <c r="D449" s="5" t="s">
        <v>43</v>
      </c>
      <c r="E449" s="5" t="s">
        <v>499</v>
      </c>
      <c r="F449" s="13" t="s">
        <v>19</v>
      </c>
      <c r="G449" s="28">
        <v>1131</v>
      </c>
      <c r="H449" s="28"/>
      <c r="I449" s="13" t="s">
        <v>465</v>
      </c>
      <c r="J449" s="24" t="s">
        <v>21</v>
      </c>
      <c r="K449" s="24"/>
      <c r="L449" s="6" t="s">
        <v>22</v>
      </c>
      <c r="M449" s="25">
        <v>2237707.08</v>
      </c>
      <c r="N449" s="25"/>
    </row>
    <row r="450" spans="1:14" ht="88.95" hidden="1" customHeight="1" outlineLevel="1" x14ac:dyDescent="0.2">
      <c r="A450" s="4" t="s">
        <v>462</v>
      </c>
      <c r="B450" s="22" t="s">
        <v>463</v>
      </c>
      <c r="C450" s="22"/>
      <c r="D450" s="5" t="s">
        <v>43</v>
      </c>
      <c r="E450" s="5" t="s">
        <v>500</v>
      </c>
      <c r="F450" s="13" t="s">
        <v>19</v>
      </c>
      <c r="G450" s="23">
        <v>142.5</v>
      </c>
      <c r="H450" s="23"/>
      <c r="I450" s="13" t="s">
        <v>465</v>
      </c>
      <c r="J450" s="24" t="s">
        <v>21</v>
      </c>
      <c r="K450" s="24"/>
      <c r="L450" s="6" t="s">
        <v>22</v>
      </c>
      <c r="M450" s="25">
        <v>2237849.58</v>
      </c>
      <c r="N450" s="25"/>
    </row>
    <row r="451" spans="1:14" ht="88.95" hidden="1" customHeight="1" outlineLevel="1" x14ac:dyDescent="0.2">
      <c r="A451" s="4" t="s">
        <v>462</v>
      </c>
      <c r="B451" s="22" t="s">
        <v>463</v>
      </c>
      <c r="C451" s="22"/>
      <c r="D451" s="5" t="s">
        <v>43</v>
      </c>
      <c r="E451" s="5" t="s">
        <v>501</v>
      </c>
      <c r="F451" s="13" t="s">
        <v>19</v>
      </c>
      <c r="G451" s="23">
        <v>456</v>
      </c>
      <c r="H451" s="23"/>
      <c r="I451" s="13" t="s">
        <v>465</v>
      </c>
      <c r="J451" s="24" t="s">
        <v>21</v>
      </c>
      <c r="K451" s="24"/>
      <c r="L451" s="6" t="s">
        <v>22</v>
      </c>
      <c r="M451" s="25">
        <v>2238305.58</v>
      </c>
      <c r="N451" s="25"/>
    </row>
    <row r="452" spans="1:14" ht="88.95" hidden="1" customHeight="1" outlineLevel="1" x14ac:dyDescent="0.2">
      <c r="A452" s="4" t="s">
        <v>462</v>
      </c>
      <c r="B452" s="22" t="s">
        <v>463</v>
      </c>
      <c r="C452" s="22"/>
      <c r="D452" s="5" t="s">
        <v>43</v>
      </c>
      <c r="E452" s="5" t="s">
        <v>502</v>
      </c>
      <c r="F452" s="13" t="s">
        <v>19</v>
      </c>
      <c r="G452" s="28">
        <v>1392</v>
      </c>
      <c r="H452" s="28"/>
      <c r="I452" s="13" t="s">
        <v>465</v>
      </c>
      <c r="J452" s="24" t="s">
        <v>21</v>
      </c>
      <c r="K452" s="24"/>
      <c r="L452" s="6" t="s">
        <v>22</v>
      </c>
      <c r="M452" s="25">
        <v>2239697.58</v>
      </c>
      <c r="N452" s="25"/>
    </row>
    <row r="453" spans="1:14" ht="88.95" hidden="1" customHeight="1" outlineLevel="1" x14ac:dyDescent="0.2">
      <c r="A453" s="4" t="s">
        <v>462</v>
      </c>
      <c r="B453" s="22" t="s">
        <v>463</v>
      </c>
      <c r="C453" s="22"/>
      <c r="D453" s="5" t="s">
        <v>43</v>
      </c>
      <c r="E453" s="5" t="s">
        <v>503</v>
      </c>
      <c r="F453" s="13" t="s">
        <v>19</v>
      </c>
      <c r="G453" s="23">
        <v>56.67</v>
      </c>
      <c r="H453" s="23"/>
      <c r="I453" s="13" t="s">
        <v>465</v>
      </c>
      <c r="J453" s="24" t="s">
        <v>21</v>
      </c>
      <c r="K453" s="24"/>
      <c r="L453" s="6" t="s">
        <v>22</v>
      </c>
      <c r="M453" s="25">
        <v>2239754.25</v>
      </c>
      <c r="N453" s="25"/>
    </row>
    <row r="454" spans="1:14" ht="88.95" hidden="1" customHeight="1" outlineLevel="1" x14ac:dyDescent="0.2">
      <c r="A454" s="4" t="s">
        <v>462</v>
      </c>
      <c r="B454" s="22" t="s">
        <v>463</v>
      </c>
      <c r="C454" s="22"/>
      <c r="D454" s="5" t="s">
        <v>43</v>
      </c>
      <c r="E454" s="5" t="s">
        <v>504</v>
      </c>
      <c r="F454" s="13" t="s">
        <v>19</v>
      </c>
      <c r="G454" s="23">
        <v>170.01</v>
      </c>
      <c r="H454" s="23"/>
      <c r="I454" s="13" t="s">
        <v>465</v>
      </c>
      <c r="J454" s="24" t="s">
        <v>21</v>
      </c>
      <c r="K454" s="24"/>
      <c r="L454" s="6" t="s">
        <v>22</v>
      </c>
      <c r="M454" s="25">
        <v>2239924.2599999998</v>
      </c>
      <c r="N454" s="25"/>
    </row>
    <row r="455" spans="1:14" ht="88.95" hidden="1" customHeight="1" outlineLevel="1" x14ac:dyDescent="0.2">
      <c r="A455" s="4" t="s">
        <v>462</v>
      </c>
      <c r="B455" s="22" t="s">
        <v>463</v>
      </c>
      <c r="C455" s="22"/>
      <c r="D455" s="5" t="s">
        <v>43</v>
      </c>
      <c r="E455" s="5" t="s">
        <v>505</v>
      </c>
      <c r="F455" s="13" t="s">
        <v>19</v>
      </c>
      <c r="G455" s="23">
        <v>840</v>
      </c>
      <c r="H455" s="23"/>
      <c r="I455" s="13" t="s">
        <v>465</v>
      </c>
      <c r="J455" s="24" t="s">
        <v>21</v>
      </c>
      <c r="K455" s="24"/>
      <c r="L455" s="6" t="s">
        <v>22</v>
      </c>
      <c r="M455" s="25">
        <v>2240764.2599999998</v>
      </c>
      <c r="N455" s="25"/>
    </row>
    <row r="456" spans="1:14" ht="88.95" hidden="1" customHeight="1" outlineLevel="1" x14ac:dyDescent="0.2">
      <c r="A456" s="4" t="s">
        <v>462</v>
      </c>
      <c r="B456" s="22" t="s">
        <v>463</v>
      </c>
      <c r="C456" s="22"/>
      <c r="D456" s="5" t="s">
        <v>43</v>
      </c>
      <c r="E456" s="5" t="s">
        <v>506</v>
      </c>
      <c r="F456" s="13" t="s">
        <v>19</v>
      </c>
      <c r="G456" s="23">
        <v>108.32</v>
      </c>
      <c r="H456" s="23"/>
      <c r="I456" s="13" t="s">
        <v>465</v>
      </c>
      <c r="J456" s="24" t="s">
        <v>21</v>
      </c>
      <c r="K456" s="24"/>
      <c r="L456" s="6" t="s">
        <v>22</v>
      </c>
      <c r="M456" s="25">
        <v>2240872.58</v>
      </c>
      <c r="N456" s="25"/>
    </row>
    <row r="457" spans="1:14" ht="88.95" hidden="1" customHeight="1" outlineLevel="1" x14ac:dyDescent="0.2">
      <c r="A457" s="4" t="s">
        <v>462</v>
      </c>
      <c r="B457" s="22" t="s">
        <v>463</v>
      </c>
      <c r="C457" s="22"/>
      <c r="D457" s="5" t="s">
        <v>43</v>
      </c>
      <c r="E457" s="5" t="s">
        <v>507</v>
      </c>
      <c r="F457" s="13" t="s">
        <v>19</v>
      </c>
      <c r="G457" s="23">
        <v>110.01</v>
      </c>
      <c r="H457" s="23"/>
      <c r="I457" s="13" t="s">
        <v>465</v>
      </c>
      <c r="J457" s="24" t="s">
        <v>21</v>
      </c>
      <c r="K457" s="24"/>
      <c r="L457" s="6" t="s">
        <v>22</v>
      </c>
      <c r="M457" s="25">
        <v>2240982.59</v>
      </c>
      <c r="N457" s="25"/>
    </row>
    <row r="458" spans="1:14" ht="88.95" hidden="1" customHeight="1" outlineLevel="1" x14ac:dyDescent="0.2">
      <c r="A458" s="4" t="s">
        <v>462</v>
      </c>
      <c r="B458" s="22" t="s">
        <v>463</v>
      </c>
      <c r="C458" s="22"/>
      <c r="D458" s="5" t="s">
        <v>43</v>
      </c>
      <c r="E458" s="5" t="s">
        <v>508</v>
      </c>
      <c r="F458" s="13" t="s">
        <v>19</v>
      </c>
      <c r="G458" s="23">
        <v>585</v>
      </c>
      <c r="H458" s="23"/>
      <c r="I458" s="13" t="s">
        <v>465</v>
      </c>
      <c r="J458" s="24" t="s">
        <v>21</v>
      </c>
      <c r="K458" s="24"/>
      <c r="L458" s="6" t="s">
        <v>22</v>
      </c>
      <c r="M458" s="25">
        <v>2241567.59</v>
      </c>
      <c r="N458" s="25"/>
    </row>
    <row r="459" spans="1:14" ht="88.95" hidden="1" customHeight="1" outlineLevel="1" x14ac:dyDescent="0.2">
      <c r="A459" s="4" t="s">
        <v>462</v>
      </c>
      <c r="B459" s="22" t="s">
        <v>463</v>
      </c>
      <c r="C459" s="22"/>
      <c r="D459" s="5" t="s">
        <v>43</v>
      </c>
      <c r="E459" s="5" t="s">
        <v>509</v>
      </c>
      <c r="F459" s="13" t="s">
        <v>19</v>
      </c>
      <c r="G459" s="28">
        <v>1763.33</v>
      </c>
      <c r="H459" s="28"/>
      <c r="I459" s="13" t="s">
        <v>465</v>
      </c>
      <c r="J459" s="24" t="s">
        <v>21</v>
      </c>
      <c r="K459" s="24"/>
      <c r="L459" s="6" t="s">
        <v>22</v>
      </c>
      <c r="M459" s="25">
        <v>2243330.92</v>
      </c>
      <c r="N459" s="25"/>
    </row>
    <row r="460" spans="1:14" ht="88.95" hidden="1" customHeight="1" outlineLevel="1" x14ac:dyDescent="0.2">
      <c r="A460" s="4" t="s">
        <v>462</v>
      </c>
      <c r="B460" s="22" t="s">
        <v>463</v>
      </c>
      <c r="C460" s="22"/>
      <c r="D460" s="5" t="s">
        <v>43</v>
      </c>
      <c r="E460" s="5" t="s">
        <v>510</v>
      </c>
      <c r="F460" s="13" t="s">
        <v>19</v>
      </c>
      <c r="G460" s="23">
        <v>843.18</v>
      </c>
      <c r="H460" s="23"/>
      <c r="I460" s="13" t="s">
        <v>465</v>
      </c>
      <c r="J460" s="24" t="s">
        <v>21</v>
      </c>
      <c r="K460" s="24"/>
      <c r="L460" s="6" t="s">
        <v>22</v>
      </c>
      <c r="M460" s="25">
        <v>2244174.1</v>
      </c>
      <c r="N460" s="25"/>
    </row>
    <row r="461" spans="1:14" ht="88.95" hidden="1" customHeight="1" outlineLevel="1" x14ac:dyDescent="0.2">
      <c r="A461" s="4" t="s">
        <v>462</v>
      </c>
      <c r="B461" s="22" t="s">
        <v>463</v>
      </c>
      <c r="C461" s="22"/>
      <c r="D461" s="5" t="s">
        <v>43</v>
      </c>
      <c r="E461" s="5" t="s">
        <v>511</v>
      </c>
      <c r="F461" s="13" t="s">
        <v>19</v>
      </c>
      <c r="G461" s="23">
        <v>27.5</v>
      </c>
      <c r="H461" s="23"/>
      <c r="I461" s="13" t="s">
        <v>465</v>
      </c>
      <c r="J461" s="24" t="s">
        <v>21</v>
      </c>
      <c r="K461" s="24"/>
      <c r="L461" s="6" t="s">
        <v>22</v>
      </c>
      <c r="M461" s="25">
        <v>2244201.6</v>
      </c>
      <c r="N461" s="25"/>
    </row>
    <row r="462" spans="1:14" ht="88.95" hidden="1" customHeight="1" outlineLevel="1" x14ac:dyDescent="0.2">
      <c r="A462" s="4" t="s">
        <v>462</v>
      </c>
      <c r="B462" s="22" t="s">
        <v>463</v>
      </c>
      <c r="C462" s="22"/>
      <c r="D462" s="5" t="s">
        <v>43</v>
      </c>
      <c r="E462" s="5" t="s">
        <v>512</v>
      </c>
      <c r="F462" s="13" t="s">
        <v>19</v>
      </c>
      <c r="G462" s="28">
        <v>1379.97</v>
      </c>
      <c r="H462" s="28"/>
      <c r="I462" s="13" t="s">
        <v>465</v>
      </c>
      <c r="J462" s="24" t="s">
        <v>21</v>
      </c>
      <c r="K462" s="24"/>
      <c r="L462" s="6" t="s">
        <v>22</v>
      </c>
      <c r="M462" s="25">
        <v>2245581.5699999998</v>
      </c>
      <c r="N462" s="25"/>
    </row>
    <row r="463" spans="1:14" ht="88.95" hidden="1" customHeight="1" outlineLevel="1" x14ac:dyDescent="0.2">
      <c r="A463" s="4" t="s">
        <v>462</v>
      </c>
      <c r="B463" s="22" t="s">
        <v>463</v>
      </c>
      <c r="C463" s="22"/>
      <c r="D463" s="5" t="s">
        <v>43</v>
      </c>
      <c r="E463" s="5" t="s">
        <v>513</v>
      </c>
      <c r="F463" s="13" t="s">
        <v>19</v>
      </c>
      <c r="G463" s="23">
        <v>360</v>
      </c>
      <c r="H463" s="23"/>
      <c r="I463" s="13" t="s">
        <v>465</v>
      </c>
      <c r="J463" s="24" t="s">
        <v>21</v>
      </c>
      <c r="K463" s="24"/>
      <c r="L463" s="6" t="s">
        <v>22</v>
      </c>
      <c r="M463" s="25">
        <v>2245941.5699999998</v>
      </c>
      <c r="N463" s="25"/>
    </row>
    <row r="464" spans="1:14" ht="88.95" hidden="1" customHeight="1" outlineLevel="1" x14ac:dyDescent="0.2">
      <c r="A464" s="4" t="s">
        <v>462</v>
      </c>
      <c r="B464" s="22" t="s">
        <v>463</v>
      </c>
      <c r="C464" s="22"/>
      <c r="D464" s="5" t="s">
        <v>43</v>
      </c>
      <c r="E464" s="5" t="s">
        <v>514</v>
      </c>
      <c r="F464" s="13" t="s">
        <v>19</v>
      </c>
      <c r="G464" s="23">
        <v>62</v>
      </c>
      <c r="H464" s="23"/>
      <c r="I464" s="13" t="s">
        <v>465</v>
      </c>
      <c r="J464" s="24" t="s">
        <v>21</v>
      </c>
      <c r="K464" s="24"/>
      <c r="L464" s="6" t="s">
        <v>22</v>
      </c>
      <c r="M464" s="25">
        <v>2246003.5699999998</v>
      </c>
      <c r="N464" s="25"/>
    </row>
    <row r="465" spans="1:14" ht="88.95" hidden="1" customHeight="1" outlineLevel="1" x14ac:dyDescent="0.2">
      <c r="A465" s="4" t="s">
        <v>462</v>
      </c>
      <c r="B465" s="22" t="s">
        <v>463</v>
      </c>
      <c r="C465" s="22"/>
      <c r="D465" s="5" t="s">
        <v>43</v>
      </c>
      <c r="E465" s="5" t="s">
        <v>515</v>
      </c>
      <c r="F465" s="13" t="s">
        <v>19</v>
      </c>
      <c r="G465" s="23">
        <v>106</v>
      </c>
      <c r="H465" s="23"/>
      <c r="I465" s="13" t="s">
        <v>465</v>
      </c>
      <c r="J465" s="24" t="s">
        <v>21</v>
      </c>
      <c r="K465" s="24"/>
      <c r="L465" s="6" t="s">
        <v>22</v>
      </c>
      <c r="M465" s="25">
        <v>2246109.5699999998</v>
      </c>
      <c r="N465" s="25"/>
    </row>
    <row r="466" spans="1:14" ht="88.95" hidden="1" customHeight="1" outlineLevel="1" x14ac:dyDescent="0.2">
      <c r="A466" s="4" t="s">
        <v>462</v>
      </c>
      <c r="B466" s="22" t="s">
        <v>463</v>
      </c>
      <c r="C466" s="22"/>
      <c r="D466" s="5" t="s">
        <v>43</v>
      </c>
      <c r="E466" s="5" t="s">
        <v>516</v>
      </c>
      <c r="F466" s="13" t="s">
        <v>19</v>
      </c>
      <c r="G466" s="23">
        <v>116</v>
      </c>
      <c r="H466" s="23"/>
      <c r="I466" s="13" t="s">
        <v>465</v>
      </c>
      <c r="J466" s="24" t="s">
        <v>21</v>
      </c>
      <c r="K466" s="24"/>
      <c r="L466" s="6" t="s">
        <v>22</v>
      </c>
      <c r="M466" s="25">
        <v>2246225.5699999998</v>
      </c>
      <c r="N466" s="25"/>
    </row>
    <row r="467" spans="1:14" ht="100.05" hidden="1" customHeight="1" outlineLevel="1" x14ac:dyDescent="0.2">
      <c r="A467" s="4" t="s">
        <v>462</v>
      </c>
      <c r="B467" s="22" t="s">
        <v>463</v>
      </c>
      <c r="C467" s="22"/>
      <c r="D467" s="5" t="s">
        <v>43</v>
      </c>
      <c r="E467" s="5" t="s">
        <v>517</v>
      </c>
      <c r="F467" s="13" t="s">
        <v>19</v>
      </c>
      <c r="G467" s="23">
        <v>51.3</v>
      </c>
      <c r="H467" s="23"/>
      <c r="I467" s="13" t="s">
        <v>465</v>
      </c>
      <c r="J467" s="24" t="s">
        <v>21</v>
      </c>
      <c r="K467" s="24"/>
      <c r="L467" s="6" t="s">
        <v>22</v>
      </c>
      <c r="M467" s="25">
        <v>2246276.87</v>
      </c>
      <c r="N467" s="25"/>
    </row>
    <row r="468" spans="1:14" ht="100.05" hidden="1" customHeight="1" outlineLevel="1" x14ac:dyDescent="0.2">
      <c r="A468" s="4" t="s">
        <v>462</v>
      </c>
      <c r="B468" s="22" t="s">
        <v>463</v>
      </c>
      <c r="C468" s="22"/>
      <c r="D468" s="5" t="s">
        <v>43</v>
      </c>
      <c r="E468" s="5" t="s">
        <v>518</v>
      </c>
      <c r="F468" s="13" t="s">
        <v>19</v>
      </c>
      <c r="G468" s="23">
        <v>757.51</v>
      </c>
      <c r="H468" s="23"/>
      <c r="I468" s="13" t="s">
        <v>465</v>
      </c>
      <c r="J468" s="24" t="s">
        <v>21</v>
      </c>
      <c r="K468" s="24"/>
      <c r="L468" s="6" t="s">
        <v>22</v>
      </c>
      <c r="M468" s="25">
        <v>2247034.38</v>
      </c>
      <c r="N468" s="25"/>
    </row>
    <row r="469" spans="1:14" ht="88.95" hidden="1" customHeight="1" outlineLevel="1" x14ac:dyDescent="0.2">
      <c r="A469" s="4" t="s">
        <v>462</v>
      </c>
      <c r="B469" s="22" t="s">
        <v>463</v>
      </c>
      <c r="C469" s="22"/>
      <c r="D469" s="5" t="s">
        <v>43</v>
      </c>
      <c r="E469" s="5" t="s">
        <v>519</v>
      </c>
      <c r="F469" s="13" t="s">
        <v>19</v>
      </c>
      <c r="G469" s="23">
        <v>144</v>
      </c>
      <c r="H469" s="23"/>
      <c r="I469" s="13" t="s">
        <v>465</v>
      </c>
      <c r="J469" s="24" t="s">
        <v>21</v>
      </c>
      <c r="K469" s="24"/>
      <c r="L469" s="6" t="s">
        <v>22</v>
      </c>
      <c r="M469" s="25">
        <v>2247178.38</v>
      </c>
      <c r="N469" s="25"/>
    </row>
    <row r="470" spans="1:14" ht="88.95" hidden="1" customHeight="1" outlineLevel="1" x14ac:dyDescent="0.2">
      <c r="A470" s="4" t="s">
        <v>462</v>
      </c>
      <c r="B470" s="22" t="s">
        <v>463</v>
      </c>
      <c r="C470" s="22"/>
      <c r="D470" s="5" t="s">
        <v>43</v>
      </c>
      <c r="E470" s="5" t="s">
        <v>520</v>
      </c>
      <c r="F470" s="13" t="s">
        <v>19</v>
      </c>
      <c r="G470" s="23">
        <v>299.16000000000003</v>
      </c>
      <c r="H470" s="23"/>
      <c r="I470" s="13" t="s">
        <v>465</v>
      </c>
      <c r="J470" s="24" t="s">
        <v>21</v>
      </c>
      <c r="K470" s="24"/>
      <c r="L470" s="6" t="s">
        <v>22</v>
      </c>
      <c r="M470" s="25">
        <v>2247477.54</v>
      </c>
      <c r="N470" s="25"/>
    </row>
    <row r="471" spans="1:14" ht="88.95" hidden="1" customHeight="1" outlineLevel="1" x14ac:dyDescent="0.2">
      <c r="A471" s="4" t="s">
        <v>462</v>
      </c>
      <c r="B471" s="22" t="s">
        <v>463</v>
      </c>
      <c r="C471" s="22"/>
      <c r="D471" s="5" t="s">
        <v>43</v>
      </c>
      <c r="E471" s="5" t="s">
        <v>521</v>
      </c>
      <c r="F471" s="13" t="s">
        <v>19</v>
      </c>
      <c r="G471" s="28">
        <v>1521.9</v>
      </c>
      <c r="H471" s="28"/>
      <c r="I471" s="13" t="s">
        <v>465</v>
      </c>
      <c r="J471" s="24" t="s">
        <v>21</v>
      </c>
      <c r="K471" s="24"/>
      <c r="L471" s="6" t="s">
        <v>22</v>
      </c>
      <c r="M471" s="25">
        <v>2248999.44</v>
      </c>
      <c r="N471" s="25"/>
    </row>
    <row r="472" spans="1:14" ht="88.95" hidden="1" customHeight="1" outlineLevel="1" x14ac:dyDescent="0.2">
      <c r="A472" s="4" t="s">
        <v>462</v>
      </c>
      <c r="B472" s="22" t="s">
        <v>463</v>
      </c>
      <c r="C472" s="22"/>
      <c r="D472" s="5" t="s">
        <v>43</v>
      </c>
      <c r="E472" s="5" t="s">
        <v>522</v>
      </c>
      <c r="F472" s="13" t="s">
        <v>19</v>
      </c>
      <c r="G472" s="23">
        <v>213.28</v>
      </c>
      <c r="H472" s="23"/>
      <c r="I472" s="13" t="s">
        <v>465</v>
      </c>
      <c r="J472" s="24" t="s">
        <v>21</v>
      </c>
      <c r="K472" s="24"/>
      <c r="L472" s="6" t="s">
        <v>22</v>
      </c>
      <c r="M472" s="25">
        <v>2249212.7200000002</v>
      </c>
      <c r="N472" s="25"/>
    </row>
    <row r="473" spans="1:14" ht="88.95" hidden="1" customHeight="1" outlineLevel="1" x14ac:dyDescent="0.2">
      <c r="A473" s="4" t="s">
        <v>462</v>
      </c>
      <c r="B473" s="22" t="s">
        <v>463</v>
      </c>
      <c r="C473" s="22"/>
      <c r="D473" s="5" t="s">
        <v>43</v>
      </c>
      <c r="E473" s="5" t="s">
        <v>523</v>
      </c>
      <c r="F473" s="13" t="s">
        <v>19</v>
      </c>
      <c r="G473" s="23">
        <v>192</v>
      </c>
      <c r="H473" s="23"/>
      <c r="I473" s="13" t="s">
        <v>465</v>
      </c>
      <c r="J473" s="24" t="s">
        <v>21</v>
      </c>
      <c r="K473" s="24"/>
      <c r="L473" s="6" t="s">
        <v>22</v>
      </c>
      <c r="M473" s="25">
        <v>2249404.7200000002</v>
      </c>
      <c r="N473" s="25"/>
    </row>
    <row r="474" spans="1:14" ht="88.95" hidden="1" customHeight="1" outlineLevel="1" x14ac:dyDescent="0.2">
      <c r="A474" s="4" t="s">
        <v>462</v>
      </c>
      <c r="B474" s="22" t="s">
        <v>463</v>
      </c>
      <c r="C474" s="22"/>
      <c r="D474" s="5" t="s">
        <v>43</v>
      </c>
      <c r="E474" s="5" t="s">
        <v>524</v>
      </c>
      <c r="F474" s="13" t="s">
        <v>19</v>
      </c>
      <c r="G474" s="23">
        <v>288</v>
      </c>
      <c r="H474" s="23"/>
      <c r="I474" s="13" t="s">
        <v>465</v>
      </c>
      <c r="J474" s="24" t="s">
        <v>21</v>
      </c>
      <c r="K474" s="24"/>
      <c r="L474" s="6" t="s">
        <v>22</v>
      </c>
      <c r="M474" s="25">
        <v>2249692.7200000002</v>
      </c>
      <c r="N474" s="25"/>
    </row>
    <row r="475" spans="1:14" ht="88.95" hidden="1" customHeight="1" outlineLevel="1" x14ac:dyDescent="0.2">
      <c r="A475" s="4" t="s">
        <v>462</v>
      </c>
      <c r="B475" s="22" t="s">
        <v>463</v>
      </c>
      <c r="C475" s="22"/>
      <c r="D475" s="5" t="s">
        <v>43</v>
      </c>
      <c r="E475" s="5" t="s">
        <v>525</v>
      </c>
      <c r="F475" s="13" t="s">
        <v>19</v>
      </c>
      <c r="G475" s="23">
        <v>75.83</v>
      </c>
      <c r="H475" s="23"/>
      <c r="I475" s="13" t="s">
        <v>465</v>
      </c>
      <c r="J475" s="24" t="s">
        <v>21</v>
      </c>
      <c r="K475" s="24"/>
      <c r="L475" s="6" t="s">
        <v>22</v>
      </c>
      <c r="M475" s="25">
        <v>2249768.5499999998</v>
      </c>
      <c r="N475" s="25"/>
    </row>
    <row r="476" spans="1:14" ht="88.95" hidden="1" customHeight="1" outlineLevel="1" x14ac:dyDescent="0.2">
      <c r="A476" s="4" t="s">
        <v>462</v>
      </c>
      <c r="B476" s="22" t="s">
        <v>463</v>
      </c>
      <c r="C476" s="22"/>
      <c r="D476" s="5" t="s">
        <v>43</v>
      </c>
      <c r="E476" s="5" t="s">
        <v>526</v>
      </c>
      <c r="F476" s="13" t="s">
        <v>19</v>
      </c>
      <c r="G476" s="23">
        <v>672</v>
      </c>
      <c r="H476" s="23"/>
      <c r="I476" s="13" t="s">
        <v>465</v>
      </c>
      <c r="J476" s="24" t="s">
        <v>21</v>
      </c>
      <c r="K476" s="24"/>
      <c r="L476" s="6" t="s">
        <v>22</v>
      </c>
      <c r="M476" s="25">
        <v>2250440.5499999998</v>
      </c>
      <c r="N476" s="25"/>
    </row>
    <row r="477" spans="1:14" ht="88.95" hidden="1" customHeight="1" outlineLevel="1" x14ac:dyDescent="0.2">
      <c r="A477" s="4" t="s">
        <v>462</v>
      </c>
      <c r="B477" s="22" t="s">
        <v>463</v>
      </c>
      <c r="C477" s="22"/>
      <c r="D477" s="5" t="s">
        <v>43</v>
      </c>
      <c r="E477" s="5" t="s">
        <v>527</v>
      </c>
      <c r="F477" s="13" t="s">
        <v>19</v>
      </c>
      <c r="G477" s="28">
        <v>1755</v>
      </c>
      <c r="H477" s="28"/>
      <c r="I477" s="13" t="s">
        <v>465</v>
      </c>
      <c r="J477" s="24" t="s">
        <v>21</v>
      </c>
      <c r="K477" s="24"/>
      <c r="L477" s="6" t="s">
        <v>22</v>
      </c>
      <c r="M477" s="25">
        <v>2252195.5499999998</v>
      </c>
      <c r="N477" s="25"/>
    </row>
    <row r="478" spans="1:14" ht="88.95" hidden="1" customHeight="1" outlineLevel="1" x14ac:dyDescent="0.2">
      <c r="A478" s="4" t="s">
        <v>462</v>
      </c>
      <c r="B478" s="22" t="s">
        <v>463</v>
      </c>
      <c r="C478" s="22"/>
      <c r="D478" s="5" t="s">
        <v>43</v>
      </c>
      <c r="E478" s="5" t="s">
        <v>528</v>
      </c>
      <c r="F478" s="13" t="s">
        <v>19</v>
      </c>
      <c r="G478" s="23">
        <v>93</v>
      </c>
      <c r="H478" s="23"/>
      <c r="I478" s="13" t="s">
        <v>465</v>
      </c>
      <c r="J478" s="24" t="s">
        <v>21</v>
      </c>
      <c r="K478" s="24"/>
      <c r="L478" s="6" t="s">
        <v>22</v>
      </c>
      <c r="M478" s="25">
        <v>2252288.5499999998</v>
      </c>
      <c r="N478" s="25"/>
    </row>
    <row r="479" spans="1:14" ht="88.95" hidden="1" customHeight="1" outlineLevel="1" x14ac:dyDescent="0.2">
      <c r="A479" s="4" t="s">
        <v>462</v>
      </c>
      <c r="B479" s="22" t="s">
        <v>463</v>
      </c>
      <c r="C479" s="22"/>
      <c r="D479" s="5" t="s">
        <v>43</v>
      </c>
      <c r="E479" s="5" t="s">
        <v>529</v>
      </c>
      <c r="F479" s="13" t="s">
        <v>19</v>
      </c>
      <c r="G479" s="23">
        <v>849.23</v>
      </c>
      <c r="H479" s="23"/>
      <c r="I479" s="13" t="s">
        <v>465</v>
      </c>
      <c r="J479" s="24" t="s">
        <v>21</v>
      </c>
      <c r="K479" s="24"/>
      <c r="L479" s="6" t="s">
        <v>22</v>
      </c>
      <c r="M479" s="25">
        <v>2253137.7799999998</v>
      </c>
      <c r="N479" s="25"/>
    </row>
    <row r="480" spans="1:14" ht="88.95" hidden="1" customHeight="1" outlineLevel="1" x14ac:dyDescent="0.2">
      <c r="A480" s="4" t="s">
        <v>462</v>
      </c>
      <c r="B480" s="22" t="s">
        <v>463</v>
      </c>
      <c r="C480" s="22"/>
      <c r="D480" s="5" t="s">
        <v>43</v>
      </c>
      <c r="E480" s="5" t="s">
        <v>530</v>
      </c>
      <c r="F480" s="13" t="s">
        <v>19</v>
      </c>
      <c r="G480" s="23">
        <v>162.5</v>
      </c>
      <c r="H480" s="23"/>
      <c r="I480" s="13" t="s">
        <v>465</v>
      </c>
      <c r="J480" s="24" t="s">
        <v>21</v>
      </c>
      <c r="K480" s="24"/>
      <c r="L480" s="6" t="s">
        <v>22</v>
      </c>
      <c r="M480" s="25">
        <v>2253300.2799999998</v>
      </c>
      <c r="N480" s="25"/>
    </row>
    <row r="481" spans="1:14" ht="88.95" hidden="1" customHeight="1" outlineLevel="1" x14ac:dyDescent="0.2">
      <c r="A481" s="4" t="s">
        <v>462</v>
      </c>
      <c r="B481" s="22" t="s">
        <v>463</v>
      </c>
      <c r="C481" s="22"/>
      <c r="D481" s="5" t="s">
        <v>43</v>
      </c>
      <c r="E481" s="5" t="s">
        <v>531</v>
      </c>
      <c r="F481" s="13" t="s">
        <v>19</v>
      </c>
      <c r="G481" s="23">
        <v>277</v>
      </c>
      <c r="H481" s="23"/>
      <c r="I481" s="13" t="s">
        <v>465</v>
      </c>
      <c r="J481" s="24" t="s">
        <v>21</v>
      </c>
      <c r="K481" s="24"/>
      <c r="L481" s="6" t="s">
        <v>22</v>
      </c>
      <c r="M481" s="25">
        <v>2253577.2799999998</v>
      </c>
      <c r="N481" s="25"/>
    </row>
    <row r="482" spans="1:14" ht="88.95" hidden="1" customHeight="1" outlineLevel="1" x14ac:dyDescent="0.2">
      <c r="A482" s="4" t="s">
        <v>462</v>
      </c>
      <c r="B482" s="22" t="s">
        <v>463</v>
      </c>
      <c r="C482" s="22"/>
      <c r="D482" s="5" t="s">
        <v>43</v>
      </c>
      <c r="E482" s="5" t="s">
        <v>532</v>
      </c>
      <c r="F482" s="13" t="s">
        <v>19</v>
      </c>
      <c r="G482" s="23">
        <v>222.22</v>
      </c>
      <c r="H482" s="23"/>
      <c r="I482" s="13" t="s">
        <v>465</v>
      </c>
      <c r="J482" s="24" t="s">
        <v>21</v>
      </c>
      <c r="K482" s="24"/>
      <c r="L482" s="6" t="s">
        <v>22</v>
      </c>
      <c r="M482" s="25">
        <v>2253799.5</v>
      </c>
      <c r="N482" s="25"/>
    </row>
    <row r="483" spans="1:14" ht="88.95" hidden="1" customHeight="1" outlineLevel="1" x14ac:dyDescent="0.2">
      <c r="A483" s="4" t="s">
        <v>462</v>
      </c>
      <c r="B483" s="22" t="s">
        <v>463</v>
      </c>
      <c r="C483" s="22"/>
      <c r="D483" s="5" t="s">
        <v>43</v>
      </c>
      <c r="E483" s="5" t="s">
        <v>533</v>
      </c>
      <c r="F483" s="13" t="s">
        <v>19</v>
      </c>
      <c r="G483" s="28">
        <v>1095.2</v>
      </c>
      <c r="H483" s="28"/>
      <c r="I483" s="13" t="s">
        <v>465</v>
      </c>
      <c r="J483" s="24" t="s">
        <v>21</v>
      </c>
      <c r="K483" s="24"/>
      <c r="L483" s="6" t="s">
        <v>22</v>
      </c>
      <c r="M483" s="25">
        <v>2254894.7000000002</v>
      </c>
      <c r="N483" s="25"/>
    </row>
    <row r="484" spans="1:14" ht="88.95" hidden="1" customHeight="1" outlineLevel="1" x14ac:dyDescent="0.2">
      <c r="A484" s="4" t="s">
        <v>462</v>
      </c>
      <c r="B484" s="22" t="s">
        <v>463</v>
      </c>
      <c r="C484" s="22"/>
      <c r="D484" s="5" t="s">
        <v>43</v>
      </c>
      <c r="E484" s="5" t="s">
        <v>534</v>
      </c>
      <c r="F484" s="13" t="s">
        <v>19</v>
      </c>
      <c r="G484" s="23">
        <v>120</v>
      </c>
      <c r="H484" s="23"/>
      <c r="I484" s="13" t="s">
        <v>465</v>
      </c>
      <c r="J484" s="24" t="s">
        <v>21</v>
      </c>
      <c r="K484" s="24"/>
      <c r="L484" s="6" t="s">
        <v>22</v>
      </c>
      <c r="M484" s="25">
        <v>2255014.7000000002</v>
      </c>
      <c r="N484" s="25"/>
    </row>
    <row r="485" spans="1:14" ht="88.95" hidden="1" customHeight="1" outlineLevel="1" x14ac:dyDescent="0.2">
      <c r="A485" s="4" t="s">
        <v>462</v>
      </c>
      <c r="B485" s="22" t="s">
        <v>463</v>
      </c>
      <c r="C485" s="22"/>
      <c r="D485" s="5" t="s">
        <v>43</v>
      </c>
      <c r="E485" s="5" t="s">
        <v>535</v>
      </c>
      <c r="F485" s="13" t="s">
        <v>19</v>
      </c>
      <c r="G485" s="23">
        <v>160</v>
      </c>
      <c r="H485" s="23"/>
      <c r="I485" s="13" t="s">
        <v>465</v>
      </c>
      <c r="J485" s="24" t="s">
        <v>21</v>
      </c>
      <c r="K485" s="24"/>
      <c r="L485" s="6" t="s">
        <v>22</v>
      </c>
      <c r="M485" s="25">
        <v>2255174.7000000002</v>
      </c>
      <c r="N485" s="25"/>
    </row>
    <row r="486" spans="1:14" ht="88.95" hidden="1" customHeight="1" outlineLevel="1" x14ac:dyDescent="0.2">
      <c r="A486" s="4" t="s">
        <v>462</v>
      </c>
      <c r="B486" s="22" t="s">
        <v>463</v>
      </c>
      <c r="C486" s="22"/>
      <c r="D486" s="5" t="s">
        <v>43</v>
      </c>
      <c r="E486" s="5" t="s">
        <v>536</v>
      </c>
      <c r="F486" s="13" t="s">
        <v>19</v>
      </c>
      <c r="G486" s="23">
        <v>38</v>
      </c>
      <c r="H486" s="23"/>
      <c r="I486" s="13" t="s">
        <v>465</v>
      </c>
      <c r="J486" s="24" t="s">
        <v>21</v>
      </c>
      <c r="K486" s="24"/>
      <c r="L486" s="6" t="s">
        <v>22</v>
      </c>
      <c r="M486" s="25">
        <v>2255212.7000000002</v>
      </c>
      <c r="N486" s="25"/>
    </row>
    <row r="487" spans="1:14" ht="88.95" hidden="1" customHeight="1" outlineLevel="1" x14ac:dyDescent="0.2">
      <c r="A487" s="4" t="s">
        <v>462</v>
      </c>
      <c r="B487" s="22" t="s">
        <v>463</v>
      </c>
      <c r="C487" s="22"/>
      <c r="D487" s="5" t="s">
        <v>43</v>
      </c>
      <c r="E487" s="5" t="s">
        <v>537</v>
      </c>
      <c r="F487" s="13" t="s">
        <v>19</v>
      </c>
      <c r="G487" s="23">
        <v>819.5</v>
      </c>
      <c r="H487" s="23"/>
      <c r="I487" s="13" t="s">
        <v>465</v>
      </c>
      <c r="J487" s="24" t="s">
        <v>21</v>
      </c>
      <c r="K487" s="24"/>
      <c r="L487" s="6" t="s">
        <v>22</v>
      </c>
      <c r="M487" s="25">
        <v>2256032.2000000002</v>
      </c>
      <c r="N487" s="25"/>
    </row>
    <row r="488" spans="1:14" ht="88.95" hidden="1" customHeight="1" outlineLevel="1" x14ac:dyDescent="0.2">
      <c r="A488" s="4" t="s">
        <v>462</v>
      </c>
      <c r="B488" s="22" t="s">
        <v>463</v>
      </c>
      <c r="C488" s="22"/>
      <c r="D488" s="5" t="s">
        <v>43</v>
      </c>
      <c r="E488" s="5" t="s">
        <v>538</v>
      </c>
      <c r="F488" s="13" t="s">
        <v>19</v>
      </c>
      <c r="G488" s="23">
        <v>150</v>
      </c>
      <c r="H488" s="23"/>
      <c r="I488" s="13" t="s">
        <v>465</v>
      </c>
      <c r="J488" s="24" t="s">
        <v>21</v>
      </c>
      <c r="K488" s="24"/>
      <c r="L488" s="6" t="s">
        <v>22</v>
      </c>
      <c r="M488" s="25">
        <v>2256182.2000000002</v>
      </c>
      <c r="N488" s="25"/>
    </row>
    <row r="489" spans="1:14" ht="88.95" hidden="1" customHeight="1" outlineLevel="1" x14ac:dyDescent="0.2">
      <c r="A489" s="4" t="s">
        <v>462</v>
      </c>
      <c r="B489" s="22" t="s">
        <v>463</v>
      </c>
      <c r="C489" s="22"/>
      <c r="D489" s="5" t="s">
        <v>43</v>
      </c>
      <c r="E489" s="5" t="s">
        <v>539</v>
      </c>
      <c r="F489" s="13" t="s">
        <v>19</v>
      </c>
      <c r="G489" s="23">
        <v>140.84</v>
      </c>
      <c r="H489" s="23"/>
      <c r="I489" s="13" t="s">
        <v>465</v>
      </c>
      <c r="J489" s="24" t="s">
        <v>21</v>
      </c>
      <c r="K489" s="24"/>
      <c r="L489" s="6" t="s">
        <v>22</v>
      </c>
      <c r="M489" s="25">
        <v>2256323.04</v>
      </c>
      <c r="N489" s="25"/>
    </row>
    <row r="490" spans="1:14" ht="88.95" hidden="1" customHeight="1" outlineLevel="1" x14ac:dyDescent="0.2">
      <c r="A490" s="4" t="s">
        <v>462</v>
      </c>
      <c r="B490" s="22" t="s">
        <v>463</v>
      </c>
      <c r="C490" s="22"/>
      <c r="D490" s="5" t="s">
        <v>43</v>
      </c>
      <c r="E490" s="5" t="s">
        <v>540</v>
      </c>
      <c r="F490" s="13" t="s">
        <v>19</v>
      </c>
      <c r="G490" s="28">
        <v>1322</v>
      </c>
      <c r="H490" s="28"/>
      <c r="I490" s="13" t="s">
        <v>465</v>
      </c>
      <c r="J490" s="24" t="s">
        <v>21</v>
      </c>
      <c r="K490" s="24"/>
      <c r="L490" s="6" t="s">
        <v>22</v>
      </c>
      <c r="M490" s="25">
        <v>2257645.04</v>
      </c>
      <c r="N490" s="25"/>
    </row>
    <row r="491" spans="1:14" ht="88.95" hidden="1" customHeight="1" outlineLevel="1" x14ac:dyDescent="0.2">
      <c r="A491" s="4" t="s">
        <v>462</v>
      </c>
      <c r="B491" s="22" t="s">
        <v>463</v>
      </c>
      <c r="C491" s="22"/>
      <c r="D491" s="5" t="s">
        <v>43</v>
      </c>
      <c r="E491" s="5" t="s">
        <v>541</v>
      </c>
      <c r="F491" s="13" t="s">
        <v>19</v>
      </c>
      <c r="G491" s="23">
        <v>550</v>
      </c>
      <c r="H491" s="23"/>
      <c r="I491" s="13" t="s">
        <v>465</v>
      </c>
      <c r="J491" s="24" t="s">
        <v>21</v>
      </c>
      <c r="K491" s="24"/>
      <c r="L491" s="6" t="s">
        <v>22</v>
      </c>
      <c r="M491" s="25">
        <v>2258195.04</v>
      </c>
      <c r="N491" s="25"/>
    </row>
    <row r="492" spans="1:14" ht="88.95" hidden="1" customHeight="1" outlineLevel="1" x14ac:dyDescent="0.2">
      <c r="A492" s="4" t="s">
        <v>462</v>
      </c>
      <c r="B492" s="22" t="s">
        <v>463</v>
      </c>
      <c r="C492" s="22"/>
      <c r="D492" s="5" t="s">
        <v>43</v>
      </c>
      <c r="E492" s="5" t="s">
        <v>542</v>
      </c>
      <c r="F492" s="13" t="s">
        <v>19</v>
      </c>
      <c r="G492" s="23">
        <v>41.5</v>
      </c>
      <c r="H492" s="23"/>
      <c r="I492" s="13" t="s">
        <v>465</v>
      </c>
      <c r="J492" s="24" t="s">
        <v>21</v>
      </c>
      <c r="K492" s="24"/>
      <c r="L492" s="6" t="s">
        <v>22</v>
      </c>
      <c r="M492" s="25">
        <v>2258236.54</v>
      </c>
      <c r="N492" s="25"/>
    </row>
    <row r="493" spans="1:14" ht="88.95" hidden="1" customHeight="1" outlineLevel="1" x14ac:dyDescent="0.2">
      <c r="A493" s="4" t="s">
        <v>462</v>
      </c>
      <c r="B493" s="22" t="s">
        <v>463</v>
      </c>
      <c r="C493" s="22"/>
      <c r="D493" s="5" t="s">
        <v>43</v>
      </c>
      <c r="E493" s="5" t="s">
        <v>543</v>
      </c>
      <c r="F493" s="13" t="s">
        <v>19</v>
      </c>
      <c r="G493" s="23">
        <v>395</v>
      </c>
      <c r="H493" s="23"/>
      <c r="I493" s="13" t="s">
        <v>465</v>
      </c>
      <c r="J493" s="24" t="s">
        <v>21</v>
      </c>
      <c r="K493" s="24"/>
      <c r="L493" s="6" t="s">
        <v>22</v>
      </c>
      <c r="M493" s="25">
        <v>2258631.54</v>
      </c>
      <c r="N493" s="25"/>
    </row>
    <row r="494" spans="1:14" ht="100.05" hidden="1" customHeight="1" outlineLevel="1" x14ac:dyDescent="0.2">
      <c r="A494" s="4" t="s">
        <v>462</v>
      </c>
      <c r="B494" s="22" t="s">
        <v>463</v>
      </c>
      <c r="C494" s="22"/>
      <c r="D494" s="5" t="s">
        <v>43</v>
      </c>
      <c r="E494" s="5" t="s">
        <v>544</v>
      </c>
      <c r="F494" s="13" t="s">
        <v>19</v>
      </c>
      <c r="G494" s="23">
        <v>79.17</v>
      </c>
      <c r="H494" s="23"/>
      <c r="I494" s="13" t="s">
        <v>465</v>
      </c>
      <c r="J494" s="24" t="s">
        <v>21</v>
      </c>
      <c r="K494" s="24"/>
      <c r="L494" s="6" t="s">
        <v>22</v>
      </c>
      <c r="M494" s="25">
        <v>2258710.71</v>
      </c>
      <c r="N494" s="25"/>
    </row>
    <row r="495" spans="1:14" ht="100.05" hidden="1" customHeight="1" outlineLevel="1" x14ac:dyDescent="0.2">
      <c r="A495" s="4" t="s">
        <v>462</v>
      </c>
      <c r="B495" s="22" t="s">
        <v>463</v>
      </c>
      <c r="C495" s="22"/>
      <c r="D495" s="5" t="s">
        <v>43</v>
      </c>
      <c r="E495" s="5" t="s">
        <v>545</v>
      </c>
      <c r="F495" s="13" t="s">
        <v>19</v>
      </c>
      <c r="G495" s="23">
        <v>107</v>
      </c>
      <c r="H495" s="23"/>
      <c r="I495" s="13" t="s">
        <v>465</v>
      </c>
      <c r="J495" s="24" t="s">
        <v>21</v>
      </c>
      <c r="K495" s="24"/>
      <c r="L495" s="6" t="s">
        <v>22</v>
      </c>
      <c r="M495" s="25">
        <v>2258817.71</v>
      </c>
      <c r="N495" s="25"/>
    </row>
    <row r="496" spans="1:14" ht="100.05" hidden="1" customHeight="1" outlineLevel="1" x14ac:dyDescent="0.2">
      <c r="A496" s="4" t="s">
        <v>462</v>
      </c>
      <c r="B496" s="22" t="s">
        <v>463</v>
      </c>
      <c r="C496" s="22"/>
      <c r="D496" s="5" t="s">
        <v>43</v>
      </c>
      <c r="E496" s="5" t="s">
        <v>546</v>
      </c>
      <c r="F496" s="13" t="s">
        <v>19</v>
      </c>
      <c r="G496" s="28">
        <v>2140</v>
      </c>
      <c r="H496" s="28"/>
      <c r="I496" s="13" t="s">
        <v>465</v>
      </c>
      <c r="J496" s="24" t="s">
        <v>21</v>
      </c>
      <c r="K496" s="24"/>
      <c r="L496" s="6" t="s">
        <v>22</v>
      </c>
      <c r="M496" s="25">
        <v>2260957.71</v>
      </c>
      <c r="N496" s="25"/>
    </row>
    <row r="497" spans="1:14" ht="100.05" hidden="1" customHeight="1" outlineLevel="1" x14ac:dyDescent="0.2">
      <c r="A497" s="4" t="s">
        <v>462</v>
      </c>
      <c r="B497" s="22" t="s">
        <v>463</v>
      </c>
      <c r="C497" s="22"/>
      <c r="D497" s="5" t="s">
        <v>43</v>
      </c>
      <c r="E497" s="5" t="s">
        <v>547</v>
      </c>
      <c r="F497" s="13" t="s">
        <v>19</v>
      </c>
      <c r="G497" s="28">
        <v>3333.5</v>
      </c>
      <c r="H497" s="28"/>
      <c r="I497" s="13" t="s">
        <v>465</v>
      </c>
      <c r="J497" s="24" t="s">
        <v>21</v>
      </c>
      <c r="K497" s="24"/>
      <c r="L497" s="6" t="s">
        <v>22</v>
      </c>
      <c r="M497" s="25">
        <v>2264291.21</v>
      </c>
      <c r="N497" s="25"/>
    </row>
    <row r="498" spans="1:14" ht="100.05" hidden="1" customHeight="1" outlineLevel="1" x14ac:dyDescent="0.2">
      <c r="A498" s="4" t="s">
        <v>462</v>
      </c>
      <c r="B498" s="22" t="s">
        <v>463</v>
      </c>
      <c r="C498" s="22"/>
      <c r="D498" s="5" t="s">
        <v>43</v>
      </c>
      <c r="E498" s="5" t="s">
        <v>548</v>
      </c>
      <c r="F498" s="13" t="s">
        <v>19</v>
      </c>
      <c r="G498" s="28">
        <v>1191</v>
      </c>
      <c r="H498" s="28"/>
      <c r="I498" s="13" t="s">
        <v>465</v>
      </c>
      <c r="J498" s="24" t="s">
        <v>21</v>
      </c>
      <c r="K498" s="24"/>
      <c r="L498" s="6" t="s">
        <v>22</v>
      </c>
      <c r="M498" s="25">
        <v>2265482.21</v>
      </c>
      <c r="N498" s="25"/>
    </row>
    <row r="499" spans="1:14" ht="100.05" hidden="1" customHeight="1" outlineLevel="1" x14ac:dyDescent="0.2">
      <c r="A499" s="4" t="s">
        <v>462</v>
      </c>
      <c r="B499" s="22" t="s">
        <v>463</v>
      </c>
      <c r="C499" s="22"/>
      <c r="D499" s="5" t="s">
        <v>43</v>
      </c>
      <c r="E499" s="5" t="s">
        <v>549</v>
      </c>
      <c r="F499" s="13" t="s">
        <v>19</v>
      </c>
      <c r="G499" s="28">
        <v>1666.75</v>
      </c>
      <c r="H499" s="28"/>
      <c r="I499" s="13" t="s">
        <v>465</v>
      </c>
      <c r="J499" s="24" t="s">
        <v>21</v>
      </c>
      <c r="K499" s="24"/>
      <c r="L499" s="6" t="s">
        <v>22</v>
      </c>
      <c r="M499" s="25">
        <v>2267148.96</v>
      </c>
      <c r="N499" s="25"/>
    </row>
    <row r="500" spans="1:14" ht="88.95" hidden="1" customHeight="1" outlineLevel="1" x14ac:dyDescent="0.2">
      <c r="A500" s="4" t="s">
        <v>462</v>
      </c>
      <c r="B500" s="22" t="s">
        <v>463</v>
      </c>
      <c r="C500" s="22"/>
      <c r="D500" s="5" t="s">
        <v>43</v>
      </c>
      <c r="E500" s="5" t="s">
        <v>550</v>
      </c>
      <c r="F500" s="13" t="s">
        <v>19</v>
      </c>
      <c r="G500" s="23">
        <v>190</v>
      </c>
      <c r="H500" s="23"/>
      <c r="I500" s="13" t="s">
        <v>465</v>
      </c>
      <c r="J500" s="24" t="s">
        <v>21</v>
      </c>
      <c r="K500" s="24"/>
      <c r="L500" s="6" t="s">
        <v>22</v>
      </c>
      <c r="M500" s="25">
        <v>2267338.96</v>
      </c>
      <c r="N500" s="25"/>
    </row>
    <row r="501" spans="1:14" ht="88.95" hidden="1" customHeight="1" outlineLevel="1" x14ac:dyDescent="0.2">
      <c r="A501" s="4" t="s">
        <v>462</v>
      </c>
      <c r="B501" s="22" t="s">
        <v>463</v>
      </c>
      <c r="C501" s="22"/>
      <c r="D501" s="5" t="s">
        <v>43</v>
      </c>
      <c r="E501" s="5" t="s">
        <v>551</v>
      </c>
      <c r="F501" s="13" t="s">
        <v>19</v>
      </c>
      <c r="G501" s="23">
        <v>60</v>
      </c>
      <c r="H501" s="23"/>
      <c r="I501" s="13" t="s">
        <v>465</v>
      </c>
      <c r="J501" s="24" t="s">
        <v>21</v>
      </c>
      <c r="K501" s="24"/>
      <c r="L501" s="6" t="s">
        <v>22</v>
      </c>
      <c r="M501" s="25">
        <v>2267398.96</v>
      </c>
      <c r="N501" s="25"/>
    </row>
    <row r="502" spans="1:14" ht="88.95" hidden="1" customHeight="1" outlineLevel="1" x14ac:dyDescent="0.2">
      <c r="A502" s="4" t="s">
        <v>462</v>
      </c>
      <c r="B502" s="22" t="s">
        <v>463</v>
      </c>
      <c r="C502" s="22"/>
      <c r="D502" s="5" t="s">
        <v>43</v>
      </c>
      <c r="E502" s="5" t="s">
        <v>552</v>
      </c>
      <c r="F502" s="13" t="s">
        <v>19</v>
      </c>
      <c r="G502" s="23">
        <v>81.67</v>
      </c>
      <c r="H502" s="23"/>
      <c r="I502" s="13" t="s">
        <v>465</v>
      </c>
      <c r="J502" s="24" t="s">
        <v>21</v>
      </c>
      <c r="K502" s="24"/>
      <c r="L502" s="6" t="s">
        <v>22</v>
      </c>
      <c r="M502" s="25">
        <v>2267480.63</v>
      </c>
      <c r="N502" s="25"/>
    </row>
    <row r="503" spans="1:14" ht="88.95" hidden="1" customHeight="1" outlineLevel="1" x14ac:dyDescent="0.2">
      <c r="A503" s="4" t="s">
        <v>462</v>
      </c>
      <c r="B503" s="22" t="s">
        <v>463</v>
      </c>
      <c r="C503" s="22"/>
      <c r="D503" s="5" t="s">
        <v>43</v>
      </c>
      <c r="E503" s="5" t="s">
        <v>553</v>
      </c>
      <c r="F503" s="13" t="s">
        <v>19</v>
      </c>
      <c r="G503" s="23">
        <v>106.67</v>
      </c>
      <c r="H503" s="23"/>
      <c r="I503" s="13" t="s">
        <v>465</v>
      </c>
      <c r="J503" s="24" t="s">
        <v>21</v>
      </c>
      <c r="K503" s="24"/>
      <c r="L503" s="6" t="s">
        <v>22</v>
      </c>
      <c r="M503" s="25">
        <v>2267587.2999999998</v>
      </c>
      <c r="N503" s="25"/>
    </row>
    <row r="504" spans="1:14" ht="88.95" hidden="1" customHeight="1" outlineLevel="1" x14ac:dyDescent="0.2">
      <c r="A504" s="4" t="s">
        <v>462</v>
      </c>
      <c r="B504" s="22" t="s">
        <v>463</v>
      </c>
      <c r="C504" s="22"/>
      <c r="D504" s="5" t="s">
        <v>43</v>
      </c>
      <c r="E504" s="5" t="s">
        <v>554</v>
      </c>
      <c r="F504" s="13" t="s">
        <v>19</v>
      </c>
      <c r="G504" s="23">
        <v>208</v>
      </c>
      <c r="H504" s="23"/>
      <c r="I504" s="13" t="s">
        <v>465</v>
      </c>
      <c r="J504" s="24" t="s">
        <v>21</v>
      </c>
      <c r="K504" s="24"/>
      <c r="L504" s="6" t="s">
        <v>22</v>
      </c>
      <c r="M504" s="25">
        <v>2267795.2999999998</v>
      </c>
      <c r="N504" s="25"/>
    </row>
    <row r="505" spans="1:14" ht="88.95" hidden="1" customHeight="1" outlineLevel="1" x14ac:dyDescent="0.2">
      <c r="A505" s="4" t="s">
        <v>462</v>
      </c>
      <c r="B505" s="22" t="s">
        <v>463</v>
      </c>
      <c r="C505" s="22"/>
      <c r="D505" s="5" t="s">
        <v>43</v>
      </c>
      <c r="E505" s="5" t="s">
        <v>555</v>
      </c>
      <c r="F505" s="13" t="s">
        <v>19</v>
      </c>
      <c r="G505" s="23">
        <v>80</v>
      </c>
      <c r="H505" s="23"/>
      <c r="I505" s="13" t="s">
        <v>465</v>
      </c>
      <c r="J505" s="24" t="s">
        <v>21</v>
      </c>
      <c r="K505" s="24"/>
      <c r="L505" s="6" t="s">
        <v>22</v>
      </c>
      <c r="M505" s="25">
        <v>2267875.2999999998</v>
      </c>
      <c r="N505" s="25"/>
    </row>
    <row r="506" spans="1:14" ht="88.95" hidden="1" customHeight="1" outlineLevel="1" x14ac:dyDescent="0.2">
      <c r="A506" s="4" t="s">
        <v>462</v>
      </c>
      <c r="B506" s="22" t="s">
        <v>463</v>
      </c>
      <c r="C506" s="22"/>
      <c r="D506" s="5" t="s">
        <v>43</v>
      </c>
      <c r="E506" s="5" t="s">
        <v>556</v>
      </c>
      <c r="F506" s="13" t="s">
        <v>19</v>
      </c>
      <c r="G506" s="23">
        <v>100</v>
      </c>
      <c r="H506" s="23"/>
      <c r="I506" s="13" t="s">
        <v>465</v>
      </c>
      <c r="J506" s="24" t="s">
        <v>21</v>
      </c>
      <c r="K506" s="24"/>
      <c r="L506" s="6" t="s">
        <v>22</v>
      </c>
      <c r="M506" s="25">
        <v>2267975.2999999998</v>
      </c>
      <c r="N506" s="25"/>
    </row>
    <row r="507" spans="1:14" ht="88.95" hidden="1" customHeight="1" outlineLevel="1" x14ac:dyDescent="0.2">
      <c r="A507" s="4" t="s">
        <v>462</v>
      </c>
      <c r="B507" s="22" t="s">
        <v>463</v>
      </c>
      <c r="C507" s="22"/>
      <c r="D507" s="5" t="s">
        <v>43</v>
      </c>
      <c r="E507" s="5" t="s">
        <v>557</v>
      </c>
      <c r="F507" s="13" t="s">
        <v>19</v>
      </c>
      <c r="G507" s="23">
        <v>21.66</v>
      </c>
      <c r="H507" s="23"/>
      <c r="I507" s="13" t="s">
        <v>465</v>
      </c>
      <c r="J507" s="24" t="s">
        <v>21</v>
      </c>
      <c r="K507" s="24"/>
      <c r="L507" s="6" t="s">
        <v>22</v>
      </c>
      <c r="M507" s="25">
        <v>2267996.96</v>
      </c>
      <c r="N507" s="25"/>
    </row>
    <row r="508" spans="1:14" ht="88.95" hidden="1" customHeight="1" outlineLevel="1" x14ac:dyDescent="0.2">
      <c r="A508" s="4" t="s">
        <v>462</v>
      </c>
      <c r="B508" s="22" t="s">
        <v>463</v>
      </c>
      <c r="C508" s="22"/>
      <c r="D508" s="5" t="s">
        <v>43</v>
      </c>
      <c r="E508" s="5" t="s">
        <v>558</v>
      </c>
      <c r="F508" s="13" t="s">
        <v>19</v>
      </c>
      <c r="G508" s="23">
        <v>32.4</v>
      </c>
      <c r="H508" s="23"/>
      <c r="I508" s="13" t="s">
        <v>465</v>
      </c>
      <c r="J508" s="24" t="s">
        <v>21</v>
      </c>
      <c r="K508" s="24"/>
      <c r="L508" s="6" t="s">
        <v>22</v>
      </c>
      <c r="M508" s="25">
        <v>2268029.36</v>
      </c>
      <c r="N508" s="25"/>
    </row>
    <row r="509" spans="1:14" ht="88.95" hidden="1" customHeight="1" outlineLevel="1" x14ac:dyDescent="0.2">
      <c r="A509" s="4" t="s">
        <v>462</v>
      </c>
      <c r="B509" s="22" t="s">
        <v>463</v>
      </c>
      <c r="C509" s="22"/>
      <c r="D509" s="5" t="s">
        <v>43</v>
      </c>
      <c r="E509" s="5" t="s">
        <v>559</v>
      </c>
      <c r="F509" s="13" t="s">
        <v>19</v>
      </c>
      <c r="G509" s="23">
        <v>72.5</v>
      </c>
      <c r="H509" s="23"/>
      <c r="I509" s="13" t="s">
        <v>465</v>
      </c>
      <c r="J509" s="24" t="s">
        <v>21</v>
      </c>
      <c r="K509" s="24"/>
      <c r="L509" s="6" t="s">
        <v>22</v>
      </c>
      <c r="M509" s="25">
        <v>2268101.86</v>
      </c>
      <c r="N509" s="25"/>
    </row>
    <row r="510" spans="1:14" ht="88.95" hidden="1" customHeight="1" outlineLevel="1" x14ac:dyDescent="0.2">
      <c r="A510" s="4" t="s">
        <v>462</v>
      </c>
      <c r="B510" s="22" t="s">
        <v>463</v>
      </c>
      <c r="C510" s="22"/>
      <c r="D510" s="5" t="s">
        <v>43</v>
      </c>
      <c r="E510" s="5" t="s">
        <v>560</v>
      </c>
      <c r="F510" s="13" t="s">
        <v>19</v>
      </c>
      <c r="G510" s="23">
        <v>76</v>
      </c>
      <c r="H510" s="23"/>
      <c r="I510" s="13" t="s">
        <v>465</v>
      </c>
      <c r="J510" s="24" t="s">
        <v>21</v>
      </c>
      <c r="K510" s="24"/>
      <c r="L510" s="6" t="s">
        <v>22</v>
      </c>
      <c r="M510" s="25">
        <v>2268177.86</v>
      </c>
      <c r="N510" s="25"/>
    </row>
    <row r="511" spans="1:14" ht="100.05" hidden="1" customHeight="1" outlineLevel="1" x14ac:dyDescent="0.2">
      <c r="A511" s="4" t="s">
        <v>462</v>
      </c>
      <c r="B511" s="22" t="s">
        <v>561</v>
      </c>
      <c r="C511" s="22"/>
      <c r="D511" s="5" t="s">
        <v>17</v>
      </c>
      <c r="E511" s="5" t="s">
        <v>562</v>
      </c>
      <c r="F511" s="13" t="s">
        <v>19</v>
      </c>
      <c r="G511" s="28">
        <v>2500</v>
      </c>
      <c r="H511" s="28"/>
      <c r="I511" s="13" t="s">
        <v>20</v>
      </c>
      <c r="J511" s="24" t="s">
        <v>21</v>
      </c>
      <c r="K511" s="24"/>
      <c r="L511" s="6" t="s">
        <v>22</v>
      </c>
      <c r="M511" s="25">
        <v>2270677.86</v>
      </c>
      <c r="N511" s="25"/>
    </row>
    <row r="512" spans="1:14" ht="100.05" hidden="1" customHeight="1" outlineLevel="1" x14ac:dyDescent="0.2">
      <c r="A512" s="4" t="s">
        <v>563</v>
      </c>
      <c r="B512" s="22" t="s">
        <v>564</v>
      </c>
      <c r="C512" s="22"/>
      <c r="D512" s="5" t="s">
        <v>17</v>
      </c>
      <c r="E512" s="5" t="s">
        <v>565</v>
      </c>
      <c r="F512" s="13" t="s">
        <v>19</v>
      </c>
      <c r="G512" s="23">
        <v>833.33</v>
      </c>
      <c r="H512" s="23"/>
      <c r="I512" s="13" t="s">
        <v>20</v>
      </c>
      <c r="J512" s="24" t="s">
        <v>21</v>
      </c>
      <c r="K512" s="24"/>
      <c r="L512" s="6" t="s">
        <v>22</v>
      </c>
      <c r="M512" s="25">
        <v>2271511.19</v>
      </c>
      <c r="N512" s="25"/>
    </row>
    <row r="513" spans="1:14" ht="100.05" hidden="1" customHeight="1" outlineLevel="1" x14ac:dyDescent="0.2">
      <c r="A513" s="4" t="s">
        <v>563</v>
      </c>
      <c r="B513" s="22" t="s">
        <v>566</v>
      </c>
      <c r="C513" s="22"/>
      <c r="D513" s="5" t="s">
        <v>17</v>
      </c>
      <c r="E513" s="5" t="s">
        <v>567</v>
      </c>
      <c r="F513" s="13" t="s">
        <v>19</v>
      </c>
      <c r="G513" s="28">
        <v>8250</v>
      </c>
      <c r="H513" s="28"/>
      <c r="I513" s="13" t="s">
        <v>20</v>
      </c>
      <c r="J513" s="24" t="s">
        <v>21</v>
      </c>
      <c r="K513" s="24"/>
      <c r="L513" s="6" t="s">
        <v>22</v>
      </c>
      <c r="M513" s="25">
        <v>2279761.19</v>
      </c>
      <c r="N513" s="25"/>
    </row>
    <row r="514" spans="1:14" ht="88.95" hidden="1" customHeight="1" outlineLevel="1" x14ac:dyDescent="0.2">
      <c r="A514" s="4" t="s">
        <v>568</v>
      </c>
      <c r="B514" s="22" t="s">
        <v>569</v>
      </c>
      <c r="C514" s="22"/>
      <c r="D514" s="5" t="s">
        <v>43</v>
      </c>
      <c r="E514" s="5" t="s">
        <v>570</v>
      </c>
      <c r="F514" s="13" t="s">
        <v>19</v>
      </c>
      <c r="G514" s="28">
        <v>4031</v>
      </c>
      <c r="H514" s="28"/>
      <c r="I514" s="13" t="s">
        <v>20</v>
      </c>
      <c r="J514" s="24" t="s">
        <v>21</v>
      </c>
      <c r="K514" s="24"/>
      <c r="L514" s="6" t="s">
        <v>22</v>
      </c>
      <c r="M514" s="25">
        <v>2283792.19</v>
      </c>
      <c r="N514" s="25"/>
    </row>
    <row r="515" spans="1:14" ht="88.95" hidden="1" customHeight="1" outlineLevel="1" x14ac:dyDescent="0.2">
      <c r="A515" s="4" t="s">
        <v>568</v>
      </c>
      <c r="B515" s="22" t="s">
        <v>569</v>
      </c>
      <c r="C515" s="22"/>
      <c r="D515" s="5" t="s">
        <v>43</v>
      </c>
      <c r="E515" s="5" t="s">
        <v>570</v>
      </c>
      <c r="F515" s="13" t="s">
        <v>19</v>
      </c>
      <c r="G515" s="28">
        <v>2068</v>
      </c>
      <c r="H515" s="28"/>
      <c r="I515" s="13" t="s">
        <v>20</v>
      </c>
      <c r="J515" s="24" t="s">
        <v>21</v>
      </c>
      <c r="K515" s="24"/>
      <c r="L515" s="6" t="s">
        <v>22</v>
      </c>
      <c r="M515" s="25">
        <v>2285860.19</v>
      </c>
      <c r="N515" s="25"/>
    </row>
    <row r="516" spans="1:14" ht="88.95" customHeight="1" outlineLevel="1" x14ac:dyDescent="0.2">
      <c r="A516" s="4" t="s">
        <v>571</v>
      </c>
      <c r="B516" s="22" t="s">
        <v>572</v>
      </c>
      <c r="C516" s="22"/>
      <c r="D516" s="5" t="s">
        <v>93</v>
      </c>
      <c r="E516" s="5" t="s">
        <v>371</v>
      </c>
      <c r="F516" s="13" t="s">
        <v>19</v>
      </c>
      <c r="G516" s="28">
        <v>3889.22</v>
      </c>
      <c r="H516" s="28"/>
      <c r="I516" s="13" t="s">
        <v>95</v>
      </c>
      <c r="J516" s="24" t="s">
        <v>21</v>
      </c>
      <c r="K516" s="24"/>
      <c r="L516" s="6" t="s">
        <v>22</v>
      </c>
      <c r="M516" s="25">
        <v>2289749.41</v>
      </c>
      <c r="N516" s="25"/>
    </row>
    <row r="517" spans="1:14" ht="88.95" customHeight="1" outlineLevel="1" x14ac:dyDescent="0.2">
      <c r="A517" s="4" t="s">
        <v>571</v>
      </c>
      <c r="B517" s="22" t="s">
        <v>572</v>
      </c>
      <c r="C517" s="22"/>
      <c r="D517" s="5" t="s">
        <v>93</v>
      </c>
      <c r="E517" s="5" t="s">
        <v>372</v>
      </c>
      <c r="F517" s="13" t="s">
        <v>19</v>
      </c>
      <c r="G517" s="28">
        <v>5185.63</v>
      </c>
      <c r="H517" s="28"/>
      <c r="I517" s="13" t="s">
        <v>95</v>
      </c>
      <c r="J517" s="24" t="s">
        <v>21</v>
      </c>
      <c r="K517" s="24"/>
      <c r="L517" s="6" t="s">
        <v>22</v>
      </c>
      <c r="M517" s="25">
        <v>2294935.04</v>
      </c>
      <c r="N517" s="25"/>
    </row>
    <row r="518" spans="1:14" ht="88.95" customHeight="1" outlineLevel="1" x14ac:dyDescent="0.2">
      <c r="A518" s="4" t="s">
        <v>571</v>
      </c>
      <c r="B518" s="22" t="s">
        <v>573</v>
      </c>
      <c r="C518" s="22"/>
      <c r="D518" s="5" t="s">
        <v>93</v>
      </c>
      <c r="E518" s="5" t="s">
        <v>372</v>
      </c>
      <c r="F518" s="13" t="s">
        <v>19</v>
      </c>
      <c r="G518" s="23">
        <v>0.01</v>
      </c>
      <c r="H518" s="23"/>
      <c r="I518" s="13" t="s">
        <v>95</v>
      </c>
      <c r="J518" s="24" t="s">
        <v>21</v>
      </c>
      <c r="K518" s="24"/>
      <c r="L518" s="6" t="s">
        <v>22</v>
      </c>
      <c r="M518" s="25">
        <v>2294935.0499999998</v>
      </c>
      <c r="N518" s="25"/>
    </row>
    <row r="519" spans="1:14" ht="67.05" hidden="1" customHeight="1" outlineLevel="1" x14ac:dyDescent="0.2">
      <c r="A519" s="4" t="s">
        <v>571</v>
      </c>
      <c r="B519" s="22" t="s">
        <v>574</v>
      </c>
      <c r="C519" s="22"/>
      <c r="D519" s="5" t="s">
        <v>575</v>
      </c>
      <c r="E519" s="5" t="s">
        <v>576</v>
      </c>
      <c r="F519" s="13" t="s">
        <v>577</v>
      </c>
      <c r="G519" s="26" t="s">
        <v>21</v>
      </c>
      <c r="H519" s="26"/>
      <c r="I519" s="13" t="s">
        <v>19</v>
      </c>
      <c r="J519" s="25">
        <v>2300703.5499999998</v>
      </c>
      <c r="K519" s="25"/>
      <c r="L519" s="6" t="s">
        <v>22</v>
      </c>
      <c r="M519" s="27">
        <v>-5768.5</v>
      </c>
      <c r="N519" s="27"/>
    </row>
    <row r="520" spans="1:14" ht="88.95" hidden="1" customHeight="1" outlineLevel="1" x14ac:dyDescent="0.2">
      <c r="A520" s="4" t="s">
        <v>571</v>
      </c>
      <c r="B520" s="22" t="s">
        <v>578</v>
      </c>
      <c r="C520" s="22"/>
      <c r="D520" s="5" t="s">
        <v>43</v>
      </c>
      <c r="E520" s="5" t="s">
        <v>579</v>
      </c>
      <c r="F520" s="13" t="s">
        <v>19</v>
      </c>
      <c r="G520" s="28">
        <v>5768.5</v>
      </c>
      <c r="H520" s="28"/>
      <c r="I520" s="13" t="s">
        <v>20</v>
      </c>
      <c r="J520" s="24" t="s">
        <v>21</v>
      </c>
      <c r="K520" s="24"/>
      <c r="L520" s="7"/>
      <c r="M520" s="8"/>
      <c r="N520" s="9"/>
    </row>
    <row r="521" spans="1:14" ht="13.05" hidden="1" customHeight="1" x14ac:dyDescent="0.2">
      <c r="A521" s="29" t="s">
        <v>580</v>
      </c>
      <c r="B521" s="29"/>
      <c r="C521" s="29"/>
      <c r="D521" s="29"/>
      <c r="E521" s="29"/>
      <c r="F521" s="30">
        <v>2300703.5499999998</v>
      </c>
      <c r="G521" s="30"/>
      <c r="H521" s="30"/>
      <c r="I521" s="30">
        <v>2300703.5499999998</v>
      </c>
      <c r="J521" s="30"/>
      <c r="K521" s="30"/>
      <c r="L521" s="10"/>
      <c r="M521" s="31">
        <v>0</v>
      </c>
      <c r="N521" s="31"/>
    </row>
  </sheetData>
  <autoFilter ref="A12:N521" xr:uid="{1D1C5DB3-ECCB-4069-93B9-B1F7CB12FDAF}">
    <filterColumn colId="8">
      <filters>
        <filter val="205"/>
      </filters>
    </filterColumn>
    <filterColumn colId="12" showButton="0"/>
  </autoFilter>
  <mergeCells count="2051">
    <mergeCell ref="A1:M1"/>
    <mergeCell ref="A2:M2"/>
    <mergeCell ref="A4:B4"/>
    <mergeCell ref="C4:M4"/>
    <mergeCell ref="A6:B6"/>
    <mergeCell ref="C6:M6"/>
    <mergeCell ref="A8:A10"/>
    <mergeCell ref="B8:C10"/>
    <mergeCell ref="D8:D10"/>
    <mergeCell ref="E8:E10"/>
    <mergeCell ref="F8:H8"/>
    <mergeCell ref="I8:K8"/>
    <mergeCell ref="L8:N10"/>
    <mergeCell ref="G10:H10"/>
    <mergeCell ref="J10:K10"/>
    <mergeCell ref="M12:N12"/>
    <mergeCell ref="B13:C13"/>
    <mergeCell ref="G13:H13"/>
    <mergeCell ref="J13:K13"/>
    <mergeCell ref="M13:N13"/>
    <mergeCell ref="B14:C14"/>
    <mergeCell ref="G14:H14"/>
    <mergeCell ref="J14:K14"/>
    <mergeCell ref="M14:N14"/>
    <mergeCell ref="B15:C15"/>
    <mergeCell ref="G15:H15"/>
    <mergeCell ref="J15:K15"/>
    <mergeCell ref="M15:N15"/>
    <mergeCell ref="B16:C16"/>
    <mergeCell ref="G16:H16"/>
    <mergeCell ref="J16:K16"/>
    <mergeCell ref="M16:N16"/>
    <mergeCell ref="B17:C17"/>
    <mergeCell ref="G17:H17"/>
    <mergeCell ref="J17:K17"/>
    <mergeCell ref="M17:N17"/>
    <mergeCell ref="B18:C18"/>
    <mergeCell ref="G18:H18"/>
    <mergeCell ref="J18:K18"/>
    <mergeCell ref="M18:N18"/>
    <mergeCell ref="B19:C19"/>
    <mergeCell ref="G19:H19"/>
    <mergeCell ref="J19:K19"/>
    <mergeCell ref="M19:N19"/>
    <mergeCell ref="B20:C20"/>
    <mergeCell ref="G20:H20"/>
    <mergeCell ref="J20:K20"/>
    <mergeCell ref="M20:N20"/>
    <mergeCell ref="B21:C21"/>
    <mergeCell ref="G21:H21"/>
    <mergeCell ref="J21:K21"/>
    <mergeCell ref="M21:N21"/>
    <mergeCell ref="B22:C22"/>
    <mergeCell ref="G22:H22"/>
    <mergeCell ref="J22:K22"/>
    <mergeCell ref="M22:N22"/>
    <mergeCell ref="B23:C23"/>
    <mergeCell ref="G23:H23"/>
    <mergeCell ref="J23:K23"/>
    <mergeCell ref="M23:N23"/>
    <mergeCell ref="B24:C24"/>
    <mergeCell ref="G24:H24"/>
    <mergeCell ref="J24:K24"/>
    <mergeCell ref="M24:N24"/>
    <mergeCell ref="B25:C25"/>
    <mergeCell ref="G25:H25"/>
    <mergeCell ref="J25:K25"/>
    <mergeCell ref="M25:N25"/>
    <mergeCell ref="B26:C26"/>
    <mergeCell ref="G26:H26"/>
    <mergeCell ref="J26:K26"/>
    <mergeCell ref="M26:N26"/>
    <mergeCell ref="B27:C27"/>
    <mergeCell ref="G27:H27"/>
    <mergeCell ref="J27:K27"/>
    <mergeCell ref="M27:N27"/>
    <mergeCell ref="B28:C28"/>
    <mergeCell ref="G28:H28"/>
    <mergeCell ref="J28:K28"/>
    <mergeCell ref="M28:N28"/>
    <mergeCell ref="B29:C29"/>
    <mergeCell ref="G29:H29"/>
    <mergeCell ref="J29:K29"/>
    <mergeCell ref="M29:N29"/>
    <mergeCell ref="B30:C30"/>
    <mergeCell ref="G30:H30"/>
    <mergeCell ref="J30:K30"/>
    <mergeCell ref="M30:N30"/>
    <mergeCell ref="B31:C31"/>
    <mergeCell ref="G31:H31"/>
    <mergeCell ref="J31:K31"/>
    <mergeCell ref="M31:N31"/>
    <mergeCell ref="B32:C32"/>
    <mergeCell ref="G32:H32"/>
    <mergeCell ref="J32:K32"/>
    <mergeCell ref="M32:N32"/>
    <mergeCell ref="B33:C33"/>
    <mergeCell ref="G33:H33"/>
    <mergeCell ref="J33:K33"/>
    <mergeCell ref="M33:N33"/>
    <mergeCell ref="B34:C34"/>
    <mergeCell ref="G34:H34"/>
    <mergeCell ref="J34:K34"/>
    <mergeCell ref="M34:N34"/>
    <mergeCell ref="B35:C35"/>
    <mergeCell ref="G35:H35"/>
    <mergeCell ref="J35:K35"/>
    <mergeCell ref="M35:N35"/>
    <mergeCell ref="B36:C36"/>
    <mergeCell ref="G36:H36"/>
    <mergeCell ref="J36:K36"/>
    <mergeCell ref="M36:N36"/>
    <mergeCell ref="B37:C37"/>
    <mergeCell ref="G37:H37"/>
    <mergeCell ref="J37:K37"/>
    <mergeCell ref="M37:N37"/>
    <mergeCell ref="B38:C38"/>
    <mergeCell ref="G38:H38"/>
    <mergeCell ref="J38:K38"/>
    <mergeCell ref="M38:N38"/>
    <mergeCell ref="B39:C39"/>
    <mergeCell ref="G39:H39"/>
    <mergeCell ref="J39:K39"/>
    <mergeCell ref="M39:N39"/>
    <mergeCell ref="B40:C40"/>
    <mergeCell ref="G40:H40"/>
    <mergeCell ref="J40:K40"/>
    <mergeCell ref="M40:N40"/>
    <mergeCell ref="B41:C41"/>
    <mergeCell ref="G41:H41"/>
    <mergeCell ref="J41:K41"/>
    <mergeCell ref="M41:N41"/>
    <mergeCell ref="B42:C42"/>
    <mergeCell ref="G42:H42"/>
    <mergeCell ref="J42:K42"/>
    <mergeCell ref="M42:N42"/>
    <mergeCell ref="B43:C43"/>
    <mergeCell ref="G43:H43"/>
    <mergeCell ref="J43:K43"/>
    <mergeCell ref="M43:N43"/>
    <mergeCell ref="B44:C44"/>
    <mergeCell ref="G44:H44"/>
    <mergeCell ref="J44:K44"/>
    <mergeCell ref="M44:N44"/>
    <mergeCell ref="B45:C45"/>
    <mergeCell ref="G45:H45"/>
    <mergeCell ref="J45:K45"/>
    <mergeCell ref="M45:N45"/>
    <mergeCell ref="B46:C46"/>
    <mergeCell ref="G46:H46"/>
    <mergeCell ref="J46:K46"/>
    <mergeCell ref="M46:N46"/>
    <mergeCell ref="B47:C47"/>
    <mergeCell ref="G47:H47"/>
    <mergeCell ref="J47:K47"/>
    <mergeCell ref="M47:N47"/>
    <mergeCell ref="B48:C48"/>
    <mergeCell ref="G48:H48"/>
    <mergeCell ref="J48:K48"/>
    <mergeCell ref="M48:N48"/>
    <mergeCell ref="B49:C49"/>
    <mergeCell ref="G49:H49"/>
    <mergeCell ref="J49:K49"/>
    <mergeCell ref="M49:N49"/>
    <mergeCell ref="B50:C50"/>
    <mergeCell ref="G50:H50"/>
    <mergeCell ref="J50:K50"/>
    <mergeCell ref="M50:N50"/>
    <mergeCell ref="B51:C51"/>
    <mergeCell ref="G51:H51"/>
    <mergeCell ref="J51:K51"/>
    <mergeCell ref="M51:N51"/>
    <mergeCell ref="B52:C52"/>
    <mergeCell ref="G52:H52"/>
    <mergeCell ref="J52:K52"/>
    <mergeCell ref="M52:N52"/>
    <mergeCell ref="B53:C53"/>
    <mergeCell ref="G53:H53"/>
    <mergeCell ref="J53:K53"/>
    <mergeCell ref="M53:N53"/>
    <mergeCell ref="B54:C54"/>
    <mergeCell ref="G54:H54"/>
    <mergeCell ref="J54:K54"/>
    <mergeCell ref="M54:N54"/>
    <mergeCell ref="B55:C55"/>
    <mergeCell ref="G55:H55"/>
    <mergeCell ref="J55:K55"/>
    <mergeCell ref="M55:N55"/>
    <mergeCell ref="B56:C56"/>
    <mergeCell ref="G56:H56"/>
    <mergeCell ref="J56:K56"/>
    <mergeCell ref="M56:N56"/>
    <mergeCell ref="B57:C57"/>
    <mergeCell ref="G57:H57"/>
    <mergeCell ref="J57:K57"/>
    <mergeCell ref="M57:N57"/>
    <mergeCell ref="B58:C58"/>
    <mergeCell ref="G58:H58"/>
    <mergeCell ref="J58:K58"/>
    <mergeCell ref="M58:N58"/>
    <mergeCell ref="B59:C59"/>
    <mergeCell ref="G59:H59"/>
    <mergeCell ref="J59:K59"/>
    <mergeCell ref="M59:N59"/>
    <mergeCell ref="B60:C60"/>
    <mergeCell ref="G60:H60"/>
    <mergeCell ref="J60:K60"/>
    <mergeCell ref="M60:N60"/>
    <mergeCell ref="B61:C61"/>
    <mergeCell ref="G61:H61"/>
    <mergeCell ref="J61:K61"/>
    <mergeCell ref="M61:N61"/>
    <mergeCell ref="B62:C62"/>
    <mergeCell ref="G62:H62"/>
    <mergeCell ref="J62:K62"/>
    <mergeCell ref="M62:N62"/>
    <mergeCell ref="B63:C63"/>
    <mergeCell ref="G63:H63"/>
    <mergeCell ref="J63:K63"/>
    <mergeCell ref="M63:N63"/>
    <mergeCell ref="B64:C64"/>
    <mergeCell ref="G64:H64"/>
    <mergeCell ref="J64:K64"/>
    <mergeCell ref="M64:N64"/>
    <mergeCell ref="B65:C65"/>
    <mergeCell ref="G65:H65"/>
    <mergeCell ref="J65:K65"/>
    <mergeCell ref="M65:N65"/>
    <mergeCell ref="B66:C66"/>
    <mergeCell ref="G66:H66"/>
    <mergeCell ref="J66:K66"/>
    <mergeCell ref="M66:N66"/>
    <mergeCell ref="B67:C67"/>
    <mergeCell ref="G67:H67"/>
    <mergeCell ref="J67:K67"/>
    <mergeCell ref="M67:N67"/>
    <mergeCell ref="B68:C68"/>
    <mergeCell ref="G68:H68"/>
    <mergeCell ref="J68:K68"/>
    <mergeCell ref="M68:N68"/>
    <mergeCell ref="B69:C69"/>
    <mergeCell ref="G69:H69"/>
    <mergeCell ref="J69:K69"/>
    <mergeCell ref="M69:N69"/>
    <mergeCell ref="B70:C70"/>
    <mergeCell ref="G70:H70"/>
    <mergeCell ref="J70:K70"/>
    <mergeCell ref="M70:N70"/>
    <mergeCell ref="B71:C71"/>
    <mergeCell ref="G71:H71"/>
    <mergeCell ref="J71:K71"/>
    <mergeCell ref="M71:N71"/>
    <mergeCell ref="B72:C72"/>
    <mergeCell ref="G72:H72"/>
    <mergeCell ref="J72:K72"/>
    <mergeCell ref="M72:N72"/>
    <mergeCell ref="B73:C73"/>
    <mergeCell ref="G73:H73"/>
    <mergeCell ref="J73:K73"/>
    <mergeCell ref="M73:N73"/>
    <mergeCell ref="B74:C74"/>
    <mergeCell ref="G74:H74"/>
    <mergeCell ref="J74:K74"/>
    <mergeCell ref="M74:N74"/>
    <mergeCell ref="B75:C75"/>
    <mergeCell ref="G75:H75"/>
    <mergeCell ref="J75:K75"/>
    <mergeCell ref="M75:N75"/>
    <mergeCell ref="B76:C76"/>
    <mergeCell ref="G76:H76"/>
    <mergeCell ref="J76:K76"/>
    <mergeCell ref="M76:N76"/>
    <mergeCell ref="B77:C77"/>
    <mergeCell ref="G77:H77"/>
    <mergeCell ref="J77:K77"/>
    <mergeCell ref="M77:N77"/>
    <mergeCell ref="B78:C78"/>
    <mergeCell ref="G78:H78"/>
    <mergeCell ref="J78:K78"/>
    <mergeCell ref="M78:N78"/>
    <mergeCell ref="B79:C79"/>
    <mergeCell ref="G79:H79"/>
    <mergeCell ref="J79:K79"/>
    <mergeCell ref="M79:N79"/>
    <mergeCell ref="B80:C80"/>
    <mergeCell ref="G80:H80"/>
    <mergeCell ref="J80:K80"/>
    <mergeCell ref="M80:N80"/>
    <mergeCell ref="B81:C81"/>
    <mergeCell ref="G81:H81"/>
    <mergeCell ref="J81:K81"/>
    <mergeCell ref="M81:N81"/>
    <mergeCell ref="B82:C82"/>
    <mergeCell ref="G82:H82"/>
    <mergeCell ref="J82:K82"/>
    <mergeCell ref="M82:N82"/>
    <mergeCell ref="B83:C83"/>
    <mergeCell ref="G83:H83"/>
    <mergeCell ref="J83:K83"/>
    <mergeCell ref="M83:N83"/>
    <mergeCell ref="B84:C84"/>
    <mergeCell ref="G84:H84"/>
    <mergeCell ref="J84:K84"/>
    <mergeCell ref="M84:N84"/>
    <mergeCell ref="B85:C85"/>
    <mergeCell ref="G85:H85"/>
    <mergeCell ref="J85:K85"/>
    <mergeCell ref="M85:N85"/>
    <mergeCell ref="B86:C86"/>
    <mergeCell ref="G86:H86"/>
    <mergeCell ref="J86:K86"/>
    <mergeCell ref="M86:N86"/>
    <mergeCell ref="B87:C87"/>
    <mergeCell ref="G87:H87"/>
    <mergeCell ref="J87:K87"/>
    <mergeCell ref="M87:N87"/>
    <mergeCell ref="B88:C88"/>
    <mergeCell ref="G88:H88"/>
    <mergeCell ref="J88:K88"/>
    <mergeCell ref="M88:N88"/>
    <mergeCell ref="B89:C89"/>
    <mergeCell ref="G89:H89"/>
    <mergeCell ref="J89:K89"/>
    <mergeCell ref="M89:N89"/>
    <mergeCell ref="B90:C90"/>
    <mergeCell ref="G90:H90"/>
    <mergeCell ref="J90:K90"/>
    <mergeCell ref="M90:N90"/>
    <mergeCell ref="B91:C91"/>
    <mergeCell ref="G91:H91"/>
    <mergeCell ref="J91:K91"/>
    <mergeCell ref="M91:N91"/>
    <mergeCell ref="B92:C92"/>
    <mergeCell ref="G92:H92"/>
    <mergeCell ref="J92:K92"/>
    <mergeCell ref="M92:N92"/>
    <mergeCell ref="B93:C93"/>
    <mergeCell ref="G93:H93"/>
    <mergeCell ref="J93:K93"/>
    <mergeCell ref="M93:N93"/>
    <mergeCell ref="B94:C94"/>
    <mergeCell ref="G94:H94"/>
    <mergeCell ref="J94:K94"/>
    <mergeCell ref="M94:N94"/>
    <mergeCell ref="B95:C95"/>
    <mergeCell ref="G95:H95"/>
    <mergeCell ref="J95:K95"/>
    <mergeCell ref="M95:N95"/>
    <mergeCell ref="B96:C96"/>
    <mergeCell ref="G96:H96"/>
    <mergeCell ref="J96:K96"/>
    <mergeCell ref="M96:N96"/>
    <mergeCell ref="B97:C97"/>
    <mergeCell ref="G97:H97"/>
    <mergeCell ref="J97:K97"/>
    <mergeCell ref="M97:N97"/>
    <mergeCell ref="B98:C98"/>
    <mergeCell ref="G98:H98"/>
    <mergeCell ref="J98:K98"/>
    <mergeCell ref="M98:N98"/>
    <mergeCell ref="B99:C99"/>
    <mergeCell ref="G99:H99"/>
    <mergeCell ref="J99:K99"/>
    <mergeCell ref="M99:N99"/>
    <mergeCell ref="B100:C100"/>
    <mergeCell ref="G100:H100"/>
    <mergeCell ref="J100:K100"/>
    <mergeCell ref="M100:N100"/>
    <mergeCell ref="B101:C101"/>
    <mergeCell ref="G101:H101"/>
    <mergeCell ref="J101:K101"/>
    <mergeCell ref="M101:N101"/>
    <mergeCell ref="B102:C102"/>
    <mergeCell ref="G102:H102"/>
    <mergeCell ref="J102:K102"/>
    <mergeCell ref="M102:N102"/>
    <mergeCell ref="B103:C103"/>
    <mergeCell ref="G103:H103"/>
    <mergeCell ref="J103:K103"/>
    <mergeCell ref="M103:N103"/>
    <mergeCell ref="B104:C104"/>
    <mergeCell ref="G104:H104"/>
    <mergeCell ref="J104:K104"/>
    <mergeCell ref="M104:N104"/>
    <mergeCell ref="B105:C105"/>
    <mergeCell ref="G105:H105"/>
    <mergeCell ref="J105:K105"/>
    <mergeCell ref="M105:N105"/>
    <mergeCell ref="B106:C106"/>
    <mergeCell ref="G106:H106"/>
    <mergeCell ref="J106:K106"/>
    <mergeCell ref="M106:N106"/>
    <mergeCell ref="B107:C107"/>
    <mergeCell ref="G107:H107"/>
    <mergeCell ref="J107:K107"/>
    <mergeCell ref="M107:N107"/>
    <mergeCell ref="B108:C108"/>
    <mergeCell ref="G108:H108"/>
    <mergeCell ref="J108:K108"/>
    <mergeCell ref="M108:N108"/>
    <mergeCell ref="B109:C109"/>
    <mergeCell ref="G109:H109"/>
    <mergeCell ref="J109:K109"/>
    <mergeCell ref="M109:N109"/>
    <mergeCell ref="B110:C110"/>
    <mergeCell ref="G110:H110"/>
    <mergeCell ref="J110:K110"/>
    <mergeCell ref="M110:N110"/>
    <mergeCell ref="B111:C111"/>
    <mergeCell ref="G111:H111"/>
    <mergeCell ref="J111:K111"/>
    <mergeCell ref="M111:N111"/>
    <mergeCell ref="B112:C112"/>
    <mergeCell ref="G112:H112"/>
    <mergeCell ref="J112:K112"/>
    <mergeCell ref="M112:N112"/>
    <mergeCell ref="B113:C113"/>
    <mergeCell ref="G113:H113"/>
    <mergeCell ref="J113:K113"/>
    <mergeCell ref="M113:N113"/>
    <mergeCell ref="B114:C114"/>
    <mergeCell ref="G114:H114"/>
    <mergeCell ref="J114:K114"/>
    <mergeCell ref="M114:N114"/>
    <mergeCell ref="B115:C115"/>
    <mergeCell ref="G115:H115"/>
    <mergeCell ref="J115:K115"/>
    <mergeCell ref="M115:N115"/>
    <mergeCell ref="B116:C116"/>
    <mergeCell ref="G116:H116"/>
    <mergeCell ref="J116:K116"/>
    <mergeCell ref="M116:N116"/>
    <mergeCell ref="B117:C117"/>
    <mergeCell ref="G117:H117"/>
    <mergeCell ref="J117:K117"/>
    <mergeCell ref="M117:N117"/>
    <mergeCell ref="B118:C118"/>
    <mergeCell ref="G118:H118"/>
    <mergeCell ref="J118:K118"/>
    <mergeCell ref="M118:N118"/>
    <mergeCell ref="B119:C119"/>
    <mergeCell ref="G119:H119"/>
    <mergeCell ref="J119:K119"/>
    <mergeCell ref="M119:N119"/>
    <mergeCell ref="B120:C120"/>
    <mergeCell ref="G120:H120"/>
    <mergeCell ref="J120:K120"/>
    <mergeCell ref="M120:N120"/>
    <mergeCell ref="B121:C121"/>
    <mergeCell ref="G121:H121"/>
    <mergeCell ref="J121:K121"/>
    <mergeCell ref="M121:N121"/>
    <mergeCell ref="B122:C122"/>
    <mergeCell ref="G122:H122"/>
    <mergeCell ref="J122:K122"/>
    <mergeCell ref="M122:N122"/>
    <mergeCell ref="B123:C123"/>
    <mergeCell ref="G123:H123"/>
    <mergeCell ref="J123:K123"/>
    <mergeCell ref="M123:N123"/>
    <mergeCell ref="B124:C124"/>
    <mergeCell ref="G124:H124"/>
    <mergeCell ref="J124:K124"/>
    <mergeCell ref="M124:N124"/>
    <mergeCell ref="B125:C125"/>
    <mergeCell ref="G125:H125"/>
    <mergeCell ref="J125:K125"/>
    <mergeCell ref="M125:N125"/>
    <mergeCell ref="B126:C126"/>
    <mergeCell ref="G126:H126"/>
    <mergeCell ref="J126:K126"/>
    <mergeCell ref="M126:N126"/>
    <mergeCell ref="B127:C127"/>
    <mergeCell ref="G127:H127"/>
    <mergeCell ref="J127:K127"/>
    <mergeCell ref="M127:N127"/>
    <mergeCell ref="B128:C128"/>
    <mergeCell ref="G128:H128"/>
    <mergeCell ref="J128:K128"/>
    <mergeCell ref="M128:N128"/>
    <mergeCell ref="B129:C129"/>
    <mergeCell ref="G129:H129"/>
    <mergeCell ref="J129:K129"/>
    <mergeCell ref="M129:N129"/>
    <mergeCell ref="B130:C130"/>
    <mergeCell ref="G130:H130"/>
    <mergeCell ref="J130:K130"/>
    <mergeCell ref="M130:N130"/>
    <mergeCell ref="B131:C131"/>
    <mergeCell ref="G131:H131"/>
    <mergeCell ref="J131:K131"/>
    <mergeCell ref="M131:N131"/>
    <mergeCell ref="B132:C132"/>
    <mergeCell ref="G132:H132"/>
    <mergeCell ref="J132:K132"/>
    <mergeCell ref="M132:N132"/>
    <mergeCell ref="B133:C133"/>
    <mergeCell ref="G133:H133"/>
    <mergeCell ref="J133:K133"/>
    <mergeCell ref="M133:N133"/>
    <mergeCell ref="B134:C134"/>
    <mergeCell ref="G134:H134"/>
    <mergeCell ref="J134:K134"/>
    <mergeCell ref="M134:N134"/>
    <mergeCell ref="B135:C135"/>
    <mergeCell ref="G135:H135"/>
    <mergeCell ref="J135:K135"/>
    <mergeCell ref="M135:N135"/>
    <mergeCell ref="B136:C136"/>
    <mergeCell ref="G136:H136"/>
    <mergeCell ref="J136:K136"/>
    <mergeCell ref="M136:N136"/>
    <mergeCell ref="B137:C137"/>
    <mergeCell ref="G137:H137"/>
    <mergeCell ref="J137:K137"/>
    <mergeCell ref="M137:N137"/>
    <mergeCell ref="B138:C138"/>
    <mergeCell ref="G138:H138"/>
    <mergeCell ref="J138:K138"/>
    <mergeCell ref="M138:N138"/>
    <mergeCell ref="B139:C139"/>
    <mergeCell ref="G139:H139"/>
    <mergeCell ref="J139:K139"/>
    <mergeCell ref="M139:N139"/>
    <mergeCell ref="B140:C140"/>
    <mergeCell ref="G140:H140"/>
    <mergeCell ref="J140:K140"/>
    <mergeCell ref="M140:N140"/>
    <mergeCell ref="B141:C141"/>
    <mergeCell ref="G141:H141"/>
    <mergeCell ref="J141:K141"/>
    <mergeCell ref="M141:N141"/>
    <mergeCell ref="B142:C142"/>
    <mergeCell ref="G142:H142"/>
    <mergeCell ref="J142:K142"/>
    <mergeCell ref="M142:N142"/>
    <mergeCell ref="B143:C143"/>
    <mergeCell ref="G143:H143"/>
    <mergeCell ref="J143:K143"/>
    <mergeCell ref="M143:N143"/>
    <mergeCell ref="B144:C144"/>
    <mergeCell ref="G144:H144"/>
    <mergeCell ref="J144:K144"/>
    <mergeCell ref="M144:N144"/>
    <mergeCell ref="B145:C145"/>
    <mergeCell ref="G145:H145"/>
    <mergeCell ref="J145:K145"/>
    <mergeCell ref="M145:N145"/>
    <mergeCell ref="B146:C146"/>
    <mergeCell ref="G146:H146"/>
    <mergeCell ref="J146:K146"/>
    <mergeCell ref="M146:N146"/>
    <mergeCell ref="B147:C147"/>
    <mergeCell ref="G147:H147"/>
    <mergeCell ref="J147:K147"/>
    <mergeCell ref="M147:N147"/>
    <mergeCell ref="B148:C148"/>
    <mergeCell ref="G148:H148"/>
    <mergeCell ref="J148:K148"/>
    <mergeCell ref="M148:N148"/>
    <mergeCell ref="B149:C149"/>
    <mergeCell ref="G149:H149"/>
    <mergeCell ref="J149:K149"/>
    <mergeCell ref="M149:N149"/>
    <mergeCell ref="B150:C150"/>
    <mergeCell ref="G150:H150"/>
    <mergeCell ref="J150:K150"/>
    <mergeCell ref="M150:N150"/>
    <mergeCell ref="B151:C151"/>
    <mergeCell ref="G151:H151"/>
    <mergeCell ref="J151:K151"/>
    <mergeCell ref="M151:N151"/>
    <mergeCell ref="B152:C152"/>
    <mergeCell ref="G152:H152"/>
    <mergeCell ref="J152:K152"/>
    <mergeCell ref="M152:N152"/>
    <mergeCell ref="B153:C153"/>
    <mergeCell ref="G153:H153"/>
    <mergeCell ref="J153:K153"/>
    <mergeCell ref="M153:N153"/>
    <mergeCell ref="B154:C154"/>
    <mergeCell ref="G154:H154"/>
    <mergeCell ref="J154:K154"/>
    <mergeCell ref="M154:N154"/>
    <mergeCell ref="B155:C155"/>
    <mergeCell ref="G155:H155"/>
    <mergeCell ref="J155:K155"/>
    <mergeCell ref="M155:N155"/>
    <mergeCell ref="B156:C156"/>
    <mergeCell ref="G156:H156"/>
    <mergeCell ref="J156:K156"/>
    <mergeCell ref="M156:N156"/>
    <mergeCell ref="B157:C157"/>
    <mergeCell ref="G157:H157"/>
    <mergeCell ref="J157:K157"/>
    <mergeCell ref="M157:N157"/>
    <mergeCell ref="B158:C158"/>
    <mergeCell ref="G158:H158"/>
    <mergeCell ref="J158:K158"/>
    <mergeCell ref="M158:N158"/>
    <mergeCell ref="B159:C159"/>
    <mergeCell ref="G159:H159"/>
    <mergeCell ref="J159:K159"/>
    <mergeCell ref="M159:N159"/>
    <mergeCell ref="B160:C160"/>
    <mergeCell ref="G160:H160"/>
    <mergeCell ref="J160:K160"/>
    <mergeCell ref="M160:N160"/>
    <mergeCell ref="B161:C161"/>
    <mergeCell ref="G161:H161"/>
    <mergeCell ref="J161:K161"/>
    <mergeCell ref="M161:N161"/>
    <mergeCell ref="B162:C162"/>
    <mergeCell ref="G162:H162"/>
    <mergeCell ref="J162:K162"/>
    <mergeCell ref="M162:N162"/>
    <mergeCell ref="B163:C163"/>
    <mergeCell ref="G163:H163"/>
    <mergeCell ref="J163:K163"/>
    <mergeCell ref="M163:N163"/>
    <mergeCell ref="B164:C164"/>
    <mergeCell ref="G164:H164"/>
    <mergeCell ref="J164:K164"/>
    <mergeCell ref="M164:N164"/>
    <mergeCell ref="B165:C165"/>
    <mergeCell ref="G165:H165"/>
    <mergeCell ref="J165:K165"/>
    <mergeCell ref="M165:N165"/>
    <mergeCell ref="B166:C166"/>
    <mergeCell ref="G166:H166"/>
    <mergeCell ref="J166:K166"/>
    <mergeCell ref="M166:N166"/>
    <mergeCell ref="B167:C167"/>
    <mergeCell ref="G167:H167"/>
    <mergeCell ref="J167:K167"/>
    <mergeCell ref="M167:N167"/>
    <mergeCell ref="B168:C168"/>
    <mergeCell ref="G168:H168"/>
    <mergeCell ref="J168:K168"/>
    <mergeCell ref="M168:N168"/>
    <mergeCell ref="B169:C169"/>
    <mergeCell ref="G169:H169"/>
    <mergeCell ref="J169:K169"/>
    <mergeCell ref="M169:N169"/>
    <mergeCell ref="B170:C170"/>
    <mergeCell ref="G170:H170"/>
    <mergeCell ref="J170:K170"/>
    <mergeCell ref="M170:N170"/>
    <mergeCell ref="B171:C171"/>
    <mergeCell ref="G171:H171"/>
    <mergeCell ref="J171:K171"/>
    <mergeCell ref="M171:N171"/>
    <mergeCell ref="B172:C172"/>
    <mergeCell ref="G172:H172"/>
    <mergeCell ref="J172:K172"/>
    <mergeCell ref="M172:N172"/>
    <mergeCell ref="B173:C173"/>
    <mergeCell ref="G173:H173"/>
    <mergeCell ref="J173:K173"/>
    <mergeCell ref="M173:N173"/>
    <mergeCell ref="B174:C174"/>
    <mergeCell ref="G174:H174"/>
    <mergeCell ref="J174:K174"/>
    <mergeCell ref="M174:N174"/>
    <mergeCell ref="B175:C175"/>
    <mergeCell ref="G175:H175"/>
    <mergeCell ref="J175:K175"/>
    <mergeCell ref="M175:N175"/>
    <mergeCell ref="B176:C176"/>
    <mergeCell ref="G176:H176"/>
    <mergeCell ref="J176:K176"/>
    <mergeCell ref="M176:N176"/>
    <mergeCell ref="B177:C177"/>
    <mergeCell ref="G177:H177"/>
    <mergeCell ref="J177:K177"/>
    <mergeCell ref="M177:N177"/>
    <mergeCell ref="B178:C178"/>
    <mergeCell ref="G178:H178"/>
    <mergeCell ref="J178:K178"/>
    <mergeCell ref="M178:N178"/>
    <mergeCell ref="B179:C179"/>
    <mergeCell ref="G179:H179"/>
    <mergeCell ref="J179:K179"/>
    <mergeCell ref="M179:N179"/>
    <mergeCell ref="B180:C180"/>
    <mergeCell ref="G180:H180"/>
    <mergeCell ref="J180:K180"/>
    <mergeCell ref="M180:N180"/>
    <mergeCell ref="B181:C181"/>
    <mergeCell ref="G181:H181"/>
    <mergeCell ref="J181:K181"/>
    <mergeCell ref="M181:N181"/>
    <mergeCell ref="B182:C182"/>
    <mergeCell ref="G182:H182"/>
    <mergeCell ref="J182:K182"/>
    <mergeCell ref="M182:N182"/>
    <mergeCell ref="B183:C183"/>
    <mergeCell ref="G183:H183"/>
    <mergeCell ref="J183:K183"/>
    <mergeCell ref="M183:N183"/>
    <mergeCell ref="B184:C184"/>
    <mergeCell ref="G184:H184"/>
    <mergeCell ref="J184:K184"/>
    <mergeCell ref="M184:N184"/>
    <mergeCell ref="B185:C185"/>
    <mergeCell ref="G185:H185"/>
    <mergeCell ref="J185:K185"/>
    <mergeCell ref="M185:N185"/>
    <mergeCell ref="B186:C186"/>
    <mergeCell ref="G186:H186"/>
    <mergeCell ref="J186:K186"/>
    <mergeCell ref="M186:N186"/>
    <mergeCell ref="B187:C187"/>
    <mergeCell ref="G187:H187"/>
    <mergeCell ref="J187:K187"/>
    <mergeCell ref="M187:N187"/>
    <mergeCell ref="B188:C188"/>
    <mergeCell ref="G188:H188"/>
    <mergeCell ref="J188:K188"/>
    <mergeCell ref="M188:N188"/>
    <mergeCell ref="B189:C189"/>
    <mergeCell ref="G189:H189"/>
    <mergeCell ref="J189:K189"/>
    <mergeCell ref="M189:N189"/>
    <mergeCell ref="B190:C190"/>
    <mergeCell ref="G190:H190"/>
    <mergeCell ref="J190:K190"/>
    <mergeCell ref="M190:N190"/>
    <mergeCell ref="B191:C191"/>
    <mergeCell ref="G191:H191"/>
    <mergeCell ref="J191:K191"/>
    <mergeCell ref="M191:N191"/>
    <mergeCell ref="B192:C192"/>
    <mergeCell ref="G192:H192"/>
    <mergeCell ref="J192:K192"/>
    <mergeCell ref="M192:N192"/>
    <mergeCell ref="B193:C193"/>
    <mergeCell ref="G193:H193"/>
    <mergeCell ref="J193:K193"/>
    <mergeCell ref="M193:N193"/>
    <mergeCell ref="B194:C194"/>
    <mergeCell ref="G194:H194"/>
    <mergeCell ref="J194:K194"/>
    <mergeCell ref="M194:N194"/>
    <mergeCell ref="B195:C195"/>
    <mergeCell ref="G195:H195"/>
    <mergeCell ref="J195:K195"/>
    <mergeCell ref="M195:N195"/>
    <mergeCell ref="B196:C196"/>
    <mergeCell ref="G196:H196"/>
    <mergeCell ref="J196:K196"/>
    <mergeCell ref="M196:N196"/>
    <mergeCell ref="B197:C197"/>
    <mergeCell ref="G197:H197"/>
    <mergeCell ref="J197:K197"/>
    <mergeCell ref="M197:N197"/>
    <mergeCell ref="B198:C198"/>
    <mergeCell ref="G198:H198"/>
    <mergeCell ref="J198:K198"/>
    <mergeCell ref="M198:N198"/>
    <mergeCell ref="B199:C199"/>
    <mergeCell ref="G199:H199"/>
    <mergeCell ref="J199:K199"/>
    <mergeCell ref="M199:N199"/>
    <mergeCell ref="B200:C200"/>
    <mergeCell ref="G200:H200"/>
    <mergeCell ref="J200:K200"/>
    <mergeCell ref="M200:N200"/>
    <mergeCell ref="B201:C201"/>
    <mergeCell ref="G201:H201"/>
    <mergeCell ref="J201:K201"/>
    <mergeCell ref="M201:N201"/>
    <mergeCell ref="B202:C202"/>
    <mergeCell ref="G202:H202"/>
    <mergeCell ref="J202:K202"/>
    <mergeCell ref="M202:N202"/>
    <mergeCell ref="B203:C203"/>
    <mergeCell ref="G203:H203"/>
    <mergeCell ref="J203:K203"/>
    <mergeCell ref="M203:N203"/>
    <mergeCell ref="B204:C204"/>
    <mergeCell ref="G204:H204"/>
    <mergeCell ref="J204:K204"/>
    <mergeCell ref="M204:N204"/>
    <mergeCell ref="B205:C205"/>
    <mergeCell ref="G205:H205"/>
    <mergeCell ref="J205:K205"/>
    <mergeCell ref="M205:N205"/>
    <mergeCell ref="B206:C206"/>
    <mergeCell ref="G206:H206"/>
    <mergeCell ref="J206:K206"/>
    <mergeCell ref="M206:N206"/>
    <mergeCell ref="B207:C207"/>
    <mergeCell ref="G207:H207"/>
    <mergeCell ref="J207:K207"/>
    <mergeCell ref="M207:N207"/>
    <mergeCell ref="B208:C208"/>
    <mergeCell ref="G208:H208"/>
    <mergeCell ref="J208:K208"/>
    <mergeCell ref="M208:N208"/>
    <mergeCell ref="B209:C209"/>
    <mergeCell ref="G209:H209"/>
    <mergeCell ref="J209:K209"/>
    <mergeCell ref="M209:N209"/>
    <mergeCell ref="B210:C210"/>
    <mergeCell ref="G210:H210"/>
    <mergeCell ref="J210:K210"/>
    <mergeCell ref="M210:N210"/>
    <mergeCell ref="B211:C211"/>
    <mergeCell ref="G211:H211"/>
    <mergeCell ref="J211:K211"/>
    <mergeCell ref="M211:N211"/>
    <mergeCell ref="B212:C212"/>
    <mergeCell ref="G212:H212"/>
    <mergeCell ref="J212:K212"/>
    <mergeCell ref="M212:N212"/>
    <mergeCell ref="B213:C213"/>
    <mergeCell ref="G213:H213"/>
    <mergeCell ref="J213:K213"/>
    <mergeCell ref="M213:N213"/>
    <mergeCell ref="B214:C214"/>
    <mergeCell ref="G214:H214"/>
    <mergeCell ref="J214:K214"/>
    <mergeCell ref="M214:N214"/>
    <mergeCell ref="B215:C215"/>
    <mergeCell ref="G215:H215"/>
    <mergeCell ref="J215:K215"/>
    <mergeCell ref="M215:N215"/>
    <mergeCell ref="B216:C216"/>
    <mergeCell ref="G216:H216"/>
    <mergeCell ref="J216:K216"/>
    <mergeCell ref="M216:N216"/>
    <mergeCell ref="B217:C217"/>
    <mergeCell ref="G217:H217"/>
    <mergeCell ref="J217:K217"/>
    <mergeCell ref="M217:N217"/>
    <mergeCell ref="B218:C218"/>
    <mergeCell ref="G218:H218"/>
    <mergeCell ref="J218:K218"/>
    <mergeCell ref="M218:N218"/>
    <mergeCell ref="B219:C219"/>
    <mergeCell ref="G219:H219"/>
    <mergeCell ref="J219:K219"/>
    <mergeCell ref="M219:N219"/>
    <mergeCell ref="B220:C220"/>
    <mergeCell ref="G220:H220"/>
    <mergeCell ref="J220:K220"/>
    <mergeCell ref="M220:N220"/>
    <mergeCell ref="B221:C221"/>
    <mergeCell ref="G221:H221"/>
    <mergeCell ref="J221:K221"/>
    <mergeCell ref="M221:N221"/>
    <mergeCell ref="B222:C222"/>
    <mergeCell ref="G222:H222"/>
    <mergeCell ref="J222:K222"/>
    <mergeCell ref="M222:N222"/>
    <mergeCell ref="B223:C223"/>
    <mergeCell ref="G223:H223"/>
    <mergeCell ref="J223:K223"/>
    <mergeCell ref="M223:N223"/>
    <mergeCell ref="B224:C224"/>
    <mergeCell ref="G224:H224"/>
    <mergeCell ref="J224:K224"/>
    <mergeCell ref="M224:N224"/>
    <mergeCell ref="B225:C225"/>
    <mergeCell ref="G225:H225"/>
    <mergeCell ref="J225:K225"/>
    <mergeCell ref="M225:N225"/>
    <mergeCell ref="B226:C226"/>
    <mergeCell ref="G226:H226"/>
    <mergeCell ref="J226:K226"/>
    <mergeCell ref="M226:N226"/>
    <mergeCell ref="B227:C227"/>
    <mergeCell ref="G227:H227"/>
    <mergeCell ref="J227:K227"/>
    <mergeCell ref="M227:N227"/>
    <mergeCell ref="B228:C228"/>
    <mergeCell ref="G228:H228"/>
    <mergeCell ref="J228:K228"/>
    <mergeCell ref="M228:N228"/>
    <mergeCell ref="B229:C229"/>
    <mergeCell ref="G229:H229"/>
    <mergeCell ref="J229:K229"/>
    <mergeCell ref="M229:N229"/>
    <mergeCell ref="B230:C230"/>
    <mergeCell ref="G230:H230"/>
    <mergeCell ref="J230:K230"/>
    <mergeCell ref="M230:N230"/>
    <mergeCell ref="B231:C231"/>
    <mergeCell ref="G231:H231"/>
    <mergeCell ref="J231:K231"/>
    <mergeCell ref="M231:N231"/>
    <mergeCell ref="B232:C232"/>
    <mergeCell ref="G232:H232"/>
    <mergeCell ref="J232:K232"/>
    <mergeCell ref="M232:N232"/>
    <mergeCell ref="B233:C233"/>
    <mergeCell ref="G233:H233"/>
    <mergeCell ref="J233:K233"/>
    <mergeCell ref="M233:N233"/>
    <mergeCell ref="B234:C234"/>
    <mergeCell ref="G234:H234"/>
    <mergeCell ref="J234:K234"/>
    <mergeCell ref="M234:N234"/>
    <mergeCell ref="B235:C235"/>
    <mergeCell ref="G235:H235"/>
    <mergeCell ref="J235:K235"/>
    <mergeCell ref="M235:N235"/>
    <mergeCell ref="B236:C236"/>
    <mergeCell ref="G236:H236"/>
    <mergeCell ref="J236:K236"/>
    <mergeCell ref="M236:N236"/>
    <mergeCell ref="B237:C237"/>
    <mergeCell ref="G237:H237"/>
    <mergeCell ref="J237:K237"/>
    <mergeCell ref="M237:N237"/>
    <mergeCell ref="B238:C238"/>
    <mergeCell ref="G238:H238"/>
    <mergeCell ref="J238:K238"/>
    <mergeCell ref="M238:N238"/>
    <mergeCell ref="B239:C239"/>
    <mergeCell ref="G239:H239"/>
    <mergeCell ref="J239:K239"/>
    <mergeCell ref="M239:N239"/>
    <mergeCell ref="B240:C240"/>
    <mergeCell ref="G240:H240"/>
    <mergeCell ref="J240:K240"/>
    <mergeCell ref="M240:N240"/>
    <mergeCell ref="B241:C241"/>
    <mergeCell ref="G241:H241"/>
    <mergeCell ref="J241:K241"/>
    <mergeCell ref="M241:N241"/>
    <mergeCell ref="B242:C242"/>
    <mergeCell ref="G242:H242"/>
    <mergeCell ref="J242:K242"/>
    <mergeCell ref="M242:N242"/>
    <mergeCell ref="B243:C243"/>
    <mergeCell ref="G243:H243"/>
    <mergeCell ref="J243:K243"/>
    <mergeCell ref="M243:N243"/>
    <mergeCell ref="B244:C244"/>
    <mergeCell ref="G244:H244"/>
    <mergeCell ref="J244:K244"/>
    <mergeCell ref="M244:N244"/>
    <mergeCell ref="B245:C245"/>
    <mergeCell ref="G245:H245"/>
    <mergeCell ref="J245:K245"/>
    <mergeCell ref="M245:N245"/>
    <mergeCell ref="B246:C246"/>
    <mergeCell ref="G246:H246"/>
    <mergeCell ref="J246:K246"/>
    <mergeCell ref="M246:N246"/>
    <mergeCell ref="B247:C247"/>
    <mergeCell ref="G247:H247"/>
    <mergeCell ref="J247:K247"/>
    <mergeCell ref="M247:N247"/>
    <mergeCell ref="B248:C248"/>
    <mergeCell ref="G248:H248"/>
    <mergeCell ref="J248:K248"/>
    <mergeCell ref="M248:N248"/>
    <mergeCell ref="B249:C249"/>
    <mergeCell ref="G249:H249"/>
    <mergeCell ref="J249:K249"/>
    <mergeCell ref="M249:N249"/>
    <mergeCell ref="B250:C250"/>
    <mergeCell ref="G250:H250"/>
    <mergeCell ref="J250:K250"/>
    <mergeCell ref="M250:N250"/>
    <mergeCell ref="B251:C251"/>
    <mergeCell ref="G251:H251"/>
    <mergeCell ref="J251:K251"/>
    <mergeCell ref="M251:N251"/>
    <mergeCell ref="B252:C252"/>
    <mergeCell ref="G252:H252"/>
    <mergeCell ref="J252:K252"/>
    <mergeCell ref="M252:N252"/>
    <mergeCell ref="B253:C253"/>
    <mergeCell ref="G253:H253"/>
    <mergeCell ref="J253:K253"/>
    <mergeCell ref="M253:N253"/>
    <mergeCell ref="B254:C254"/>
    <mergeCell ref="G254:H254"/>
    <mergeCell ref="J254:K254"/>
    <mergeCell ref="M254:N254"/>
    <mergeCell ref="B255:C255"/>
    <mergeCell ref="G255:H255"/>
    <mergeCell ref="J255:K255"/>
    <mergeCell ref="M255:N255"/>
    <mergeCell ref="B256:C256"/>
    <mergeCell ref="G256:H256"/>
    <mergeCell ref="J256:K256"/>
    <mergeCell ref="M256:N256"/>
    <mergeCell ref="B257:C257"/>
    <mergeCell ref="G257:H257"/>
    <mergeCell ref="J257:K257"/>
    <mergeCell ref="M257:N257"/>
    <mergeCell ref="B258:C258"/>
    <mergeCell ref="G258:H258"/>
    <mergeCell ref="J258:K258"/>
    <mergeCell ref="M258:N258"/>
    <mergeCell ref="B259:C259"/>
    <mergeCell ref="G259:H259"/>
    <mergeCell ref="J259:K259"/>
    <mergeCell ref="M259:N259"/>
    <mergeCell ref="B260:C260"/>
    <mergeCell ref="G260:H260"/>
    <mergeCell ref="J260:K260"/>
    <mergeCell ref="M260:N260"/>
    <mergeCell ref="B261:C261"/>
    <mergeCell ref="G261:H261"/>
    <mergeCell ref="J261:K261"/>
    <mergeCell ref="M261:N261"/>
    <mergeCell ref="B262:C262"/>
    <mergeCell ref="G262:H262"/>
    <mergeCell ref="J262:K262"/>
    <mergeCell ref="M262:N262"/>
    <mergeCell ref="B263:C263"/>
    <mergeCell ref="G263:H263"/>
    <mergeCell ref="J263:K263"/>
    <mergeCell ref="M263:N263"/>
    <mergeCell ref="B264:C264"/>
    <mergeCell ref="G264:H264"/>
    <mergeCell ref="J264:K264"/>
    <mergeCell ref="M264:N264"/>
    <mergeCell ref="B265:C265"/>
    <mergeCell ref="G265:H265"/>
    <mergeCell ref="J265:K265"/>
    <mergeCell ref="M265:N265"/>
    <mergeCell ref="B266:C266"/>
    <mergeCell ref="G266:H266"/>
    <mergeCell ref="J266:K266"/>
    <mergeCell ref="M266:N266"/>
    <mergeCell ref="B267:C267"/>
    <mergeCell ref="G267:H267"/>
    <mergeCell ref="J267:K267"/>
    <mergeCell ref="M267:N267"/>
    <mergeCell ref="B268:C268"/>
    <mergeCell ref="G268:H268"/>
    <mergeCell ref="J268:K268"/>
    <mergeCell ref="M268:N268"/>
    <mergeCell ref="B269:C269"/>
    <mergeCell ref="G269:H269"/>
    <mergeCell ref="J269:K269"/>
    <mergeCell ref="M269:N269"/>
    <mergeCell ref="B270:C270"/>
    <mergeCell ref="G270:H270"/>
    <mergeCell ref="J270:K270"/>
    <mergeCell ref="M270:N270"/>
    <mergeCell ref="B271:C271"/>
    <mergeCell ref="G271:H271"/>
    <mergeCell ref="J271:K271"/>
    <mergeCell ref="M271:N271"/>
    <mergeCell ref="B272:C272"/>
    <mergeCell ref="G272:H272"/>
    <mergeCell ref="J272:K272"/>
    <mergeCell ref="M272:N272"/>
    <mergeCell ref="B273:C273"/>
    <mergeCell ref="G273:H273"/>
    <mergeCell ref="J273:K273"/>
    <mergeCell ref="M273:N273"/>
    <mergeCell ref="B274:C274"/>
    <mergeCell ref="G274:H274"/>
    <mergeCell ref="J274:K274"/>
    <mergeCell ref="M274:N274"/>
    <mergeCell ref="B275:C275"/>
    <mergeCell ref="G275:H275"/>
    <mergeCell ref="J275:K275"/>
    <mergeCell ref="M275:N275"/>
    <mergeCell ref="B276:C276"/>
    <mergeCell ref="G276:H276"/>
    <mergeCell ref="J276:K276"/>
    <mergeCell ref="M276:N276"/>
    <mergeCell ref="B277:C277"/>
    <mergeCell ref="G277:H277"/>
    <mergeCell ref="J277:K277"/>
    <mergeCell ref="M277:N277"/>
    <mergeCell ref="B278:C278"/>
    <mergeCell ref="G278:H278"/>
    <mergeCell ref="J278:K278"/>
    <mergeCell ref="M278:N278"/>
    <mergeCell ref="B279:C279"/>
    <mergeCell ref="G279:H279"/>
    <mergeCell ref="J279:K279"/>
    <mergeCell ref="M279:N279"/>
    <mergeCell ref="B280:C280"/>
    <mergeCell ref="G280:H280"/>
    <mergeCell ref="J280:K280"/>
    <mergeCell ref="M280:N280"/>
    <mergeCell ref="B281:C281"/>
    <mergeCell ref="G281:H281"/>
    <mergeCell ref="J281:K281"/>
    <mergeCell ref="M281:N281"/>
    <mergeCell ref="B282:C282"/>
    <mergeCell ref="G282:H282"/>
    <mergeCell ref="J282:K282"/>
    <mergeCell ref="M282:N282"/>
    <mergeCell ref="B283:C283"/>
    <mergeCell ref="G283:H283"/>
    <mergeCell ref="J283:K283"/>
    <mergeCell ref="M283:N283"/>
    <mergeCell ref="B284:C284"/>
    <mergeCell ref="G284:H284"/>
    <mergeCell ref="J284:K284"/>
    <mergeCell ref="M284:N284"/>
    <mergeCell ref="B285:C285"/>
    <mergeCell ref="G285:H285"/>
    <mergeCell ref="J285:K285"/>
    <mergeCell ref="M285:N285"/>
    <mergeCell ref="B286:C286"/>
    <mergeCell ref="G286:H286"/>
    <mergeCell ref="J286:K286"/>
    <mergeCell ref="M286:N286"/>
    <mergeCell ref="B287:C287"/>
    <mergeCell ref="G287:H287"/>
    <mergeCell ref="J287:K287"/>
    <mergeCell ref="M287:N287"/>
    <mergeCell ref="B288:C288"/>
    <mergeCell ref="G288:H288"/>
    <mergeCell ref="J288:K288"/>
    <mergeCell ref="M288:N288"/>
    <mergeCell ref="B289:C289"/>
    <mergeCell ref="G289:H289"/>
    <mergeCell ref="J289:K289"/>
    <mergeCell ref="M289:N289"/>
    <mergeCell ref="B290:C290"/>
    <mergeCell ref="G290:H290"/>
    <mergeCell ref="J290:K290"/>
    <mergeCell ref="M290:N290"/>
    <mergeCell ref="B291:C291"/>
    <mergeCell ref="G291:H291"/>
    <mergeCell ref="J291:K291"/>
    <mergeCell ref="M291:N291"/>
    <mergeCell ref="B292:C292"/>
    <mergeCell ref="G292:H292"/>
    <mergeCell ref="J292:K292"/>
    <mergeCell ref="M292:N292"/>
    <mergeCell ref="B293:C293"/>
    <mergeCell ref="G293:H293"/>
    <mergeCell ref="J293:K293"/>
    <mergeCell ref="M293:N293"/>
    <mergeCell ref="B294:C294"/>
    <mergeCell ref="G294:H294"/>
    <mergeCell ref="J294:K294"/>
    <mergeCell ref="M294:N294"/>
    <mergeCell ref="B295:C295"/>
    <mergeCell ref="G295:H295"/>
    <mergeCell ref="J295:K295"/>
    <mergeCell ref="M295:N295"/>
    <mergeCell ref="B296:C296"/>
    <mergeCell ref="G296:H296"/>
    <mergeCell ref="J296:K296"/>
    <mergeCell ref="M296:N296"/>
    <mergeCell ref="B297:C297"/>
    <mergeCell ref="G297:H297"/>
    <mergeCell ref="J297:K297"/>
    <mergeCell ref="M297:N297"/>
    <mergeCell ref="B298:C298"/>
    <mergeCell ref="G298:H298"/>
    <mergeCell ref="J298:K298"/>
    <mergeCell ref="M298:N298"/>
    <mergeCell ref="B299:C299"/>
    <mergeCell ref="G299:H299"/>
    <mergeCell ref="J299:K299"/>
    <mergeCell ref="M299:N299"/>
    <mergeCell ref="B300:C300"/>
    <mergeCell ref="G300:H300"/>
    <mergeCell ref="J300:K300"/>
    <mergeCell ref="M300:N300"/>
    <mergeCell ref="B301:C301"/>
    <mergeCell ref="G301:H301"/>
    <mergeCell ref="J301:K301"/>
    <mergeCell ref="M301:N301"/>
    <mergeCell ref="B302:C302"/>
    <mergeCell ref="G302:H302"/>
    <mergeCell ref="J302:K302"/>
    <mergeCell ref="M302:N302"/>
    <mergeCell ref="B303:C303"/>
    <mergeCell ref="G303:H303"/>
    <mergeCell ref="J303:K303"/>
    <mergeCell ref="M303:N303"/>
    <mergeCell ref="B304:C304"/>
    <mergeCell ref="G304:H304"/>
    <mergeCell ref="J304:K304"/>
    <mergeCell ref="M304:N304"/>
    <mergeCell ref="B305:C305"/>
    <mergeCell ref="G305:H305"/>
    <mergeCell ref="J305:K305"/>
    <mergeCell ref="M305:N305"/>
    <mergeCell ref="B306:C306"/>
    <mergeCell ref="G306:H306"/>
    <mergeCell ref="J306:K306"/>
    <mergeCell ref="M306:N306"/>
    <mergeCell ref="B307:C307"/>
    <mergeCell ref="G307:H307"/>
    <mergeCell ref="J307:K307"/>
    <mergeCell ref="M307:N307"/>
    <mergeCell ref="B308:C308"/>
    <mergeCell ref="G308:H308"/>
    <mergeCell ref="J308:K308"/>
    <mergeCell ref="M308:N308"/>
    <mergeCell ref="B309:C309"/>
    <mergeCell ref="G309:H309"/>
    <mergeCell ref="J309:K309"/>
    <mergeCell ref="M309:N309"/>
    <mergeCell ref="B310:C310"/>
    <mergeCell ref="G310:H310"/>
    <mergeCell ref="J310:K310"/>
    <mergeCell ref="M310:N310"/>
    <mergeCell ref="B311:C311"/>
    <mergeCell ref="G311:H311"/>
    <mergeCell ref="J311:K311"/>
    <mergeCell ref="M311:N311"/>
    <mergeCell ref="B312:C312"/>
    <mergeCell ref="G312:H312"/>
    <mergeCell ref="J312:K312"/>
    <mergeCell ref="M312:N312"/>
    <mergeCell ref="B313:C313"/>
    <mergeCell ref="G313:H313"/>
    <mergeCell ref="J313:K313"/>
    <mergeCell ref="M313:N313"/>
    <mergeCell ref="B314:C314"/>
    <mergeCell ref="G314:H314"/>
    <mergeCell ref="J314:K314"/>
    <mergeCell ref="M314:N314"/>
    <mergeCell ref="B315:C315"/>
    <mergeCell ref="G315:H315"/>
    <mergeCell ref="J315:K315"/>
    <mergeCell ref="M315:N315"/>
    <mergeCell ref="B316:C316"/>
    <mergeCell ref="G316:H316"/>
    <mergeCell ref="J316:K316"/>
    <mergeCell ref="M316:N316"/>
    <mergeCell ref="B317:C317"/>
    <mergeCell ref="G317:H317"/>
    <mergeCell ref="J317:K317"/>
    <mergeCell ref="M317:N317"/>
    <mergeCell ref="B318:C318"/>
    <mergeCell ref="G318:H318"/>
    <mergeCell ref="J318:K318"/>
    <mergeCell ref="M318:N318"/>
    <mergeCell ref="B319:C319"/>
    <mergeCell ref="G319:H319"/>
    <mergeCell ref="J319:K319"/>
    <mergeCell ref="M319:N319"/>
    <mergeCell ref="B320:C320"/>
    <mergeCell ref="G320:H320"/>
    <mergeCell ref="J320:K320"/>
    <mergeCell ref="M320:N320"/>
    <mergeCell ref="B321:C321"/>
    <mergeCell ref="G321:H321"/>
    <mergeCell ref="J321:K321"/>
    <mergeCell ref="M321:N321"/>
    <mergeCell ref="B322:C322"/>
    <mergeCell ref="G322:H322"/>
    <mergeCell ref="J322:K322"/>
    <mergeCell ref="M322:N322"/>
    <mergeCell ref="B323:C323"/>
    <mergeCell ref="G323:H323"/>
    <mergeCell ref="J323:K323"/>
    <mergeCell ref="M323:N323"/>
    <mergeCell ref="B324:C324"/>
    <mergeCell ref="G324:H324"/>
    <mergeCell ref="J324:K324"/>
    <mergeCell ref="M324:N324"/>
    <mergeCell ref="B325:C325"/>
    <mergeCell ref="G325:H325"/>
    <mergeCell ref="J325:K325"/>
    <mergeCell ref="M325:N325"/>
    <mergeCell ref="B326:C326"/>
    <mergeCell ref="G326:H326"/>
    <mergeCell ref="J326:K326"/>
    <mergeCell ref="M326:N326"/>
    <mergeCell ref="B327:C327"/>
    <mergeCell ref="G327:H327"/>
    <mergeCell ref="J327:K327"/>
    <mergeCell ref="M327:N327"/>
    <mergeCell ref="B328:C328"/>
    <mergeCell ref="G328:H328"/>
    <mergeCell ref="J328:K328"/>
    <mergeCell ref="M328:N328"/>
    <mergeCell ref="B329:C329"/>
    <mergeCell ref="G329:H329"/>
    <mergeCell ref="J329:K329"/>
    <mergeCell ref="M329:N329"/>
    <mergeCell ref="B330:C330"/>
    <mergeCell ref="G330:H330"/>
    <mergeCell ref="J330:K330"/>
    <mergeCell ref="M330:N330"/>
    <mergeCell ref="B331:C331"/>
    <mergeCell ref="G331:H331"/>
    <mergeCell ref="J331:K331"/>
    <mergeCell ref="M331:N331"/>
    <mergeCell ref="B332:C332"/>
    <mergeCell ref="G332:H332"/>
    <mergeCell ref="J332:K332"/>
    <mergeCell ref="M332:N332"/>
    <mergeCell ref="B333:C333"/>
    <mergeCell ref="G333:H333"/>
    <mergeCell ref="J333:K333"/>
    <mergeCell ref="M333:N333"/>
    <mergeCell ref="B334:C334"/>
    <mergeCell ref="G334:H334"/>
    <mergeCell ref="J334:K334"/>
    <mergeCell ref="M334:N334"/>
    <mergeCell ref="B335:C335"/>
    <mergeCell ref="G335:H335"/>
    <mergeCell ref="J335:K335"/>
    <mergeCell ref="M335:N335"/>
    <mergeCell ref="B336:C336"/>
    <mergeCell ref="G336:H336"/>
    <mergeCell ref="J336:K336"/>
    <mergeCell ref="M336:N336"/>
    <mergeCell ref="B337:C337"/>
    <mergeCell ref="G337:H337"/>
    <mergeCell ref="J337:K337"/>
    <mergeCell ref="M337:N337"/>
    <mergeCell ref="B338:C338"/>
    <mergeCell ref="G338:H338"/>
    <mergeCell ref="J338:K338"/>
    <mergeCell ref="M338:N338"/>
    <mergeCell ref="B339:C339"/>
    <mergeCell ref="G339:H339"/>
    <mergeCell ref="J339:K339"/>
    <mergeCell ref="M339:N339"/>
    <mergeCell ref="B340:C340"/>
    <mergeCell ref="G340:H340"/>
    <mergeCell ref="J340:K340"/>
    <mergeCell ref="M340:N340"/>
    <mergeCell ref="B341:C341"/>
    <mergeCell ref="G341:H341"/>
    <mergeCell ref="J341:K341"/>
    <mergeCell ref="M341:N341"/>
    <mergeCell ref="B342:C342"/>
    <mergeCell ref="G342:H342"/>
    <mergeCell ref="J342:K342"/>
    <mergeCell ref="M342:N342"/>
    <mergeCell ref="B343:C343"/>
    <mergeCell ref="G343:H343"/>
    <mergeCell ref="J343:K343"/>
    <mergeCell ref="M343:N343"/>
    <mergeCell ref="B344:C344"/>
    <mergeCell ref="G344:H344"/>
    <mergeCell ref="J344:K344"/>
    <mergeCell ref="M344:N344"/>
    <mergeCell ref="B345:C345"/>
    <mergeCell ref="G345:H345"/>
    <mergeCell ref="J345:K345"/>
    <mergeCell ref="M345:N345"/>
    <mergeCell ref="B346:C346"/>
    <mergeCell ref="G346:H346"/>
    <mergeCell ref="J346:K346"/>
    <mergeCell ref="M346:N346"/>
    <mergeCell ref="B347:C347"/>
    <mergeCell ref="G347:H347"/>
    <mergeCell ref="J347:K347"/>
    <mergeCell ref="M347:N347"/>
    <mergeCell ref="B348:C348"/>
    <mergeCell ref="G348:H348"/>
    <mergeCell ref="J348:K348"/>
    <mergeCell ref="M348:N348"/>
    <mergeCell ref="B349:C349"/>
    <mergeCell ref="G349:H349"/>
    <mergeCell ref="J349:K349"/>
    <mergeCell ref="M349:N349"/>
    <mergeCell ref="B350:C350"/>
    <mergeCell ref="G350:H350"/>
    <mergeCell ref="J350:K350"/>
    <mergeCell ref="M350:N350"/>
    <mergeCell ref="B351:C351"/>
    <mergeCell ref="G351:H351"/>
    <mergeCell ref="J351:K351"/>
    <mergeCell ref="M351:N351"/>
    <mergeCell ref="B352:C352"/>
    <mergeCell ref="G352:H352"/>
    <mergeCell ref="J352:K352"/>
    <mergeCell ref="M352:N352"/>
    <mergeCell ref="B353:C353"/>
    <mergeCell ref="G353:H353"/>
    <mergeCell ref="J353:K353"/>
    <mergeCell ref="M353:N353"/>
    <mergeCell ref="B354:C354"/>
    <mergeCell ref="G354:H354"/>
    <mergeCell ref="J354:K354"/>
    <mergeCell ref="M354:N354"/>
    <mergeCell ref="B355:C355"/>
    <mergeCell ref="G355:H355"/>
    <mergeCell ref="J355:K355"/>
    <mergeCell ref="M355:N355"/>
    <mergeCell ref="B356:C356"/>
    <mergeCell ref="G356:H356"/>
    <mergeCell ref="J356:K356"/>
    <mergeCell ref="M356:N356"/>
    <mergeCell ref="B357:C357"/>
    <mergeCell ref="G357:H357"/>
    <mergeCell ref="J357:K357"/>
    <mergeCell ref="M357:N357"/>
    <mergeCell ref="B358:C358"/>
    <mergeCell ref="G358:H358"/>
    <mergeCell ref="J358:K358"/>
    <mergeCell ref="M358:N358"/>
    <mergeCell ref="B359:C359"/>
    <mergeCell ref="G359:H359"/>
    <mergeCell ref="J359:K359"/>
    <mergeCell ref="M359:N359"/>
    <mergeCell ref="B360:C360"/>
    <mergeCell ref="G360:H360"/>
    <mergeCell ref="J360:K360"/>
    <mergeCell ref="M360:N360"/>
    <mergeCell ref="B361:C361"/>
    <mergeCell ref="G361:H361"/>
    <mergeCell ref="J361:K361"/>
    <mergeCell ref="M361:N361"/>
    <mergeCell ref="B362:C362"/>
    <mergeCell ref="G362:H362"/>
    <mergeCell ref="J362:K362"/>
    <mergeCell ref="M362:N362"/>
    <mergeCell ref="B363:C363"/>
    <mergeCell ref="G363:H363"/>
    <mergeCell ref="J363:K363"/>
    <mergeCell ref="M363:N363"/>
    <mergeCell ref="B364:C364"/>
    <mergeCell ref="G364:H364"/>
    <mergeCell ref="J364:K364"/>
    <mergeCell ref="M364:N364"/>
    <mergeCell ref="B365:C365"/>
    <mergeCell ref="G365:H365"/>
    <mergeCell ref="J365:K365"/>
    <mergeCell ref="M365:N365"/>
    <mergeCell ref="B366:C366"/>
    <mergeCell ref="G366:H366"/>
    <mergeCell ref="J366:K366"/>
    <mergeCell ref="M366:N366"/>
    <mergeCell ref="B367:C367"/>
    <mergeCell ref="G367:H367"/>
    <mergeCell ref="J367:K367"/>
    <mergeCell ref="M367:N367"/>
    <mergeCell ref="B368:C368"/>
    <mergeCell ref="G368:H368"/>
    <mergeCell ref="J368:K368"/>
    <mergeCell ref="M368:N368"/>
    <mergeCell ref="B369:C369"/>
    <mergeCell ref="G369:H369"/>
    <mergeCell ref="J369:K369"/>
    <mergeCell ref="M369:N369"/>
    <mergeCell ref="B370:C370"/>
    <mergeCell ref="G370:H370"/>
    <mergeCell ref="J370:K370"/>
    <mergeCell ref="M370:N370"/>
    <mergeCell ref="B371:C371"/>
    <mergeCell ref="G371:H371"/>
    <mergeCell ref="J371:K371"/>
    <mergeCell ref="M371:N371"/>
    <mergeCell ref="B372:C372"/>
    <mergeCell ref="G372:H372"/>
    <mergeCell ref="J372:K372"/>
    <mergeCell ref="M372:N372"/>
    <mergeCell ref="B373:C373"/>
    <mergeCell ref="G373:H373"/>
    <mergeCell ref="J373:K373"/>
    <mergeCell ref="M373:N373"/>
    <mergeCell ref="B374:C374"/>
    <mergeCell ref="G374:H374"/>
    <mergeCell ref="J374:K374"/>
    <mergeCell ref="M374:N374"/>
    <mergeCell ref="B375:C375"/>
    <mergeCell ref="G375:H375"/>
    <mergeCell ref="J375:K375"/>
    <mergeCell ref="M375:N375"/>
    <mergeCell ref="B376:C376"/>
    <mergeCell ref="G376:H376"/>
    <mergeCell ref="J376:K376"/>
    <mergeCell ref="M376:N376"/>
    <mergeCell ref="B377:C377"/>
    <mergeCell ref="G377:H377"/>
    <mergeCell ref="J377:K377"/>
    <mergeCell ref="M377:N377"/>
    <mergeCell ref="B378:C378"/>
    <mergeCell ref="G378:H378"/>
    <mergeCell ref="J378:K378"/>
    <mergeCell ref="M378:N378"/>
    <mergeCell ref="B379:C379"/>
    <mergeCell ref="G379:H379"/>
    <mergeCell ref="J379:K379"/>
    <mergeCell ref="M379:N379"/>
    <mergeCell ref="B380:C380"/>
    <mergeCell ref="G380:H380"/>
    <mergeCell ref="J380:K380"/>
    <mergeCell ref="M380:N380"/>
    <mergeCell ref="B381:C381"/>
    <mergeCell ref="G381:H381"/>
    <mergeCell ref="J381:K381"/>
    <mergeCell ref="M381:N381"/>
    <mergeCell ref="B382:C382"/>
    <mergeCell ref="G382:H382"/>
    <mergeCell ref="J382:K382"/>
    <mergeCell ref="M382:N382"/>
    <mergeCell ref="B383:C383"/>
    <mergeCell ref="G383:H383"/>
    <mergeCell ref="J383:K383"/>
    <mergeCell ref="M383:N383"/>
    <mergeCell ref="B384:C384"/>
    <mergeCell ref="G384:H384"/>
    <mergeCell ref="J384:K384"/>
    <mergeCell ref="M384:N384"/>
    <mergeCell ref="B385:C385"/>
    <mergeCell ref="G385:H385"/>
    <mergeCell ref="J385:K385"/>
    <mergeCell ref="M385:N385"/>
    <mergeCell ref="B386:C386"/>
    <mergeCell ref="G386:H386"/>
    <mergeCell ref="J386:K386"/>
    <mergeCell ref="M386:N386"/>
    <mergeCell ref="B387:C387"/>
    <mergeCell ref="G387:H387"/>
    <mergeCell ref="J387:K387"/>
    <mergeCell ref="M387:N387"/>
    <mergeCell ref="B388:C388"/>
    <mergeCell ref="G388:H388"/>
    <mergeCell ref="J388:K388"/>
    <mergeCell ref="M388:N388"/>
    <mergeCell ref="B389:C389"/>
    <mergeCell ref="G389:H389"/>
    <mergeCell ref="J389:K389"/>
    <mergeCell ref="M389:N389"/>
    <mergeCell ref="B390:C390"/>
    <mergeCell ref="G390:H390"/>
    <mergeCell ref="J390:K390"/>
    <mergeCell ref="M390:N390"/>
    <mergeCell ref="B391:C391"/>
    <mergeCell ref="G391:H391"/>
    <mergeCell ref="J391:K391"/>
    <mergeCell ref="M391:N391"/>
    <mergeCell ref="B392:C392"/>
    <mergeCell ref="G392:H392"/>
    <mergeCell ref="J392:K392"/>
    <mergeCell ref="M392:N392"/>
    <mergeCell ref="B393:C393"/>
    <mergeCell ref="G393:H393"/>
    <mergeCell ref="J393:K393"/>
    <mergeCell ref="M393:N393"/>
    <mergeCell ref="B394:C394"/>
    <mergeCell ref="G394:H394"/>
    <mergeCell ref="J394:K394"/>
    <mergeCell ref="M394:N394"/>
    <mergeCell ref="B395:C395"/>
    <mergeCell ref="G395:H395"/>
    <mergeCell ref="J395:K395"/>
    <mergeCell ref="M395:N395"/>
    <mergeCell ref="B396:C396"/>
    <mergeCell ref="G396:H396"/>
    <mergeCell ref="J396:K396"/>
    <mergeCell ref="M396:N396"/>
    <mergeCell ref="B397:C397"/>
    <mergeCell ref="G397:H397"/>
    <mergeCell ref="J397:K397"/>
    <mergeCell ref="M397:N397"/>
    <mergeCell ref="B398:C398"/>
    <mergeCell ref="G398:H398"/>
    <mergeCell ref="J398:K398"/>
    <mergeCell ref="M398:N398"/>
    <mergeCell ref="B399:C399"/>
    <mergeCell ref="G399:H399"/>
    <mergeCell ref="J399:K399"/>
    <mergeCell ref="M399:N399"/>
    <mergeCell ref="B400:C400"/>
    <mergeCell ref="G400:H400"/>
    <mergeCell ref="J400:K400"/>
    <mergeCell ref="M400:N400"/>
    <mergeCell ref="B401:C401"/>
    <mergeCell ref="G401:H401"/>
    <mergeCell ref="J401:K401"/>
    <mergeCell ref="M401:N401"/>
    <mergeCell ref="B402:C402"/>
    <mergeCell ref="G402:H402"/>
    <mergeCell ref="J402:K402"/>
    <mergeCell ref="M402:N402"/>
    <mergeCell ref="B403:C403"/>
    <mergeCell ref="G403:H403"/>
    <mergeCell ref="J403:K403"/>
    <mergeCell ref="M403:N403"/>
    <mergeCell ref="B404:C404"/>
    <mergeCell ref="G404:H404"/>
    <mergeCell ref="J404:K404"/>
    <mergeCell ref="M404:N404"/>
    <mergeCell ref="B405:C405"/>
    <mergeCell ref="G405:H405"/>
    <mergeCell ref="J405:K405"/>
    <mergeCell ref="M405:N405"/>
    <mergeCell ref="B406:C406"/>
    <mergeCell ref="G406:H406"/>
    <mergeCell ref="J406:K406"/>
    <mergeCell ref="M406:N406"/>
    <mergeCell ref="B407:C407"/>
    <mergeCell ref="G407:H407"/>
    <mergeCell ref="J407:K407"/>
    <mergeCell ref="M407:N407"/>
    <mergeCell ref="B408:C408"/>
    <mergeCell ref="G408:H408"/>
    <mergeCell ref="J408:K408"/>
    <mergeCell ref="M408:N408"/>
    <mergeCell ref="B409:C409"/>
    <mergeCell ref="G409:H409"/>
    <mergeCell ref="J409:K409"/>
    <mergeCell ref="M409:N409"/>
    <mergeCell ref="B410:C410"/>
    <mergeCell ref="G410:H410"/>
    <mergeCell ref="J410:K410"/>
    <mergeCell ref="M410:N410"/>
    <mergeCell ref="B411:C411"/>
    <mergeCell ref="G411:H411"/>
    <mergeCell ref="J411:K411"/>
    <mergeCell ref="M411:N411"/>
    <mergeCell ref="B412:C412"/>
    <mergeCell ref="G412:H412"/>
    <mergeCell ref="J412:K412"/>
    <mergeCell ref="M412:N412"/>
    <mergeCell ref="B413:C413"/>
    <mergeCell ref="G413:H413"/>
    <mergeCell ref="J413:K413"/>
    <mergeCell ref="M413:N413"/>
    <mergeCell ref="B414:C414"/>
    <mergeCell ref="G414:H414"/>
    <mergeCell ref="J414:K414"/>
    <mergeCell ref="M414:N414"/>
    <mergeCell ref="B415:C415"/>
    <mergeCell ref="G415:H415"/>
    <mergeCell ref="J415:K415"/>
    <mergeCell ref="M415:N415"/>
    <mergeCell ref="B416:C416"/>
    <mergeCell ref="G416:H416"/>
    <mergeCell ref="J416:K416"/>
    <mergeCell ref="M416:N416"/>
    <mergeCell ref="B417:C417"/>
    <mergeCell ref="G417:H417"/>
    <mergeCell ref="J417:K417"/>
    <mergeCell ref="M417:N417"/>
    <mergeCell ref="B418:C418"/>
    <mergeCell ref="G418:H418"/>
    <mergeCell ref="J418:K418"/>
    <mergeCell ref="M418:N418"/>
    <mergeCell ref="B419:C419"/>
    <mergeCell ref="G419:H419"/>
    <mergeCell ref="J419:K419"/>
    <mergeCell ref="M419:N419"/>
    <mergeCell ref="B420:C420"/>
    <mergeCell ref="G420:H420"/>
    <mergeCell ref="J420:K420"/>
    <mergeCell ref="M420:N420"/>
    <mergeCell ref="B421:C421"/>
    <mergeCell ref="G421:H421"/>
    <mergeCell ref="J421:K421"/>
    <mergeCell ref="M421:N421"/>
    <mergeCell ref="B422:C422"/>
    <mergeCell ref="G422:H422"/>
    <mergeCell ref="J422:K422"/>
    <mergeCell ref="M422:N422"/>
    <mergeCell ref="B423:C423"/>
    <mergeCell ref="G423:H423"/>
    <mergeCell ref="J423:K423"/>
    <mergeCell ref="M423:N423"/>
    <mergeCell ref="B424:C424"/>
    <mergeCell ref="G424:H424"/>
    <mergeCell ref="J424:K424"/>
    <mergeCell ref="M424:N424"/>
    <mergeCell ref="B425:C425"/>
    <mergeCell ref="G425:H425"/>
    <mergeCell ref="J425:K425"/>
    <mergeCell ref="M425:N425"/>
    <mergeCell ref="B426:C426"/>
    <mergeCell ref="G426:H426"/>
    <mergeCell ref="J426:K426"/>
    <mergeCell ref="M426:N426"/>
    <mergeCell ref="B427:C427"/>
    <mergeCell ref="G427:H427"/>
    <mergeCell ref="J427:K427"/>
    <mergeCell ref="M427:N427"/>
    <mergeCell ref="B428:C428"/>
    <mergeCell ref="G428:H428"/>
    <mergeCell ref="J428:K428"/>
    <mergeCell ref="M428:N428"/>
    <mergeCell ref="B429:C429"/>
    <mergeCell ref="G429:H429"/>
    <mergeCell ref="J429:K429"/>
    <mergeCell ref="M429:N429"/>
    <mergeCell ref="B430:C430"/>
    <mergeCell ref="G430:H430"/>
    <mergeCell ref="J430:K430"/>
    <mergeCell ref="M430:N430"/>
    <mergeCell ref="B431:C431"/>
    <mergeCell ref="G431:H431"/>
    <mergeCell ref="J431:K431"/>
    <mergeCell ref="M431:N431"/>
    <mergeCell ref="B432:C432"/>
    <mergeCell ref="G432:H432"/>
    <mergeCell ref="J432:K432"/>
    <mergeCell ref="M432:N432"/>
    <mergeCell ref="B433:C433"/>
    <mergeCell ref="G433:H433"/>
    <mergeCell ref="J433:K433"/>
    <mergeCell ref="M433:N433"/>
    <mergeCell ref="B434:C434"/>
    <mergeCell ref="G434:H434"/>
    <mergeCell ref="J434:K434"/>
    <mergeCell ref="M434:N434"/>
    <mergeCell ref="B435:C435"/>
    <mergeCell ref="G435:H435"/>
    <mergeCell ref="J435:K435"/>
    <mergeCell ref="M435:N435"/>
    <mergeCell ref="B436:C436"/>
    <mergeCell ref="G436:H436"/>
    <mergeCell ref="J436:K436"/>
    <mergeCell ref="M436:N436"/>
    <mergeCell ref="B437:C437"/>
    <mergeCell ref="G437:H437"/>
    <mergeCell ref="J437:K437"/>
    <mergeCell ref="M437:N437"/>
    <mergeCell ref="B438:C438"/>
    <mergeCell ref="G438:H438"/>
    <mergeCell ref="J438:K438"/>
    <mergeCell ref="M438:N438"/>
    <mergeCell ref="B439:C439"/>
    <mergeCell ref="G439:H439"/>
    <mergeCell ref="J439:K439"/>
    <mergeCell ref="M439:N439"/>
    <mergeCell ref="B440:C440"/>
    <mergeCell ref="G440:H440"/>
    <mergeCell ref="J440:K440"/>
    <mergeCell ref="M440:N440"/>
    <mergeCell ref="B441:C441"/>
    <mergeCell ref="G441:H441"/>
    <mergeCell ref="J441:K441"/>
    <mergeCell ref="M441:N441"/>
    <mergeCell ref="B442:C442"/>
    <mergeCell ref="G442:H442"/>
    <mergeCell ref="J442:K442"/>
    <mergeCell ref="M442:N442"/>
    <mergeCell ref="B443:C443"/>
    <mergeCell ref="G443:H443"/>
    <mergeCell ref="J443:K443"/>
    <mergeCell ref="M443:N443"/>
    <mergeCell ref="B444:C444"/>
    <mergeCell ref="G444:H444"/>
    <mergeCell ref="J444:K444"/>
    <mergeCell ref="M444:N444"/>
    <mergeCell ref="B445:C445"/>
    <mergeCell ref="G445:H445"/>
    <mergeCell ref="J445:K445"/>
    <mergeCell ref="M445:N445"/>
    <mergeCell ref="B446:C446"/>
    <mergeCell ref="G446:H446"/>
    <mergeCell ref="J446:K446"/>
    <mergeCell ref="M446:N446"/>
    <mergeCell ref="B447:C447"/>
    <mergeCell ref="G447:H447"/>
    <mergeCell ref="J447:K447"/>
    <mergeCell ref="M447:N447"/>
    <mergeCell ref="B448:C448"/>
    <mergeCell ref="G448:H448"/>
    <mergeCell ref="J448:K448"/>
    <mergeCell ref="M448:N448"/>
    <mergeCell ref="B449:C449"/>
    <mergeCell ref="G449:H449"/>
    <mergeCell ref="J449:K449"/>
    <mergeCell ref="M449:N449"/>
    <mergeCell ref="B450:C450"/>
    <mergeCell ref="G450:H450"/>
    <mergeCell ref="J450:K450"/>
    <mergeCell ref="M450:N450"/>
    <mergeCell ref="B451:C451"/>
    <mergeCell ref="G451:H451"/>
    <mergeCell ref="J451:K451"/>
    <mergeCell ref="M451:N451"/>
    <mergeCell ref="B452:C452"/>
    <mergeCell ref="G452:H452"/>
    <mergeCell ref="J452:K452"/>
    <mergeCell ref="M452:N452"/>
    <mergeCell ref="B453:C453"/>
    <mergeCell ref="G453:H453"/>
    <mergeCell ref="J453:K453"/>
    <mergeCell ref="M453:N453"/>
    <mergeCell ref="B454:C454"/>
    <mergeCell ref="G454:H454"/>
    <mergeCell ref="J454:K454"/>
    <mergeCell ref="M454:N454"/>
    <mergeCell ref="B455:C455"/>
    <mergeCell ref="G455:H455"/>
    <mergeCell ref="J455:K455"/>
    <mergeCell ref="M455:N455"/>
    <mergeCell ref="B456:C456"/>
    <mergeCell ref="G456:H456"/>
    <mergeCell ref="J456:K456"/>
    <mergeCell ref="M456:N456"/>
    <mergeCell ref="B457:C457"/>
    <mergeCell ref="G457:H457"/>
    <mergeCell ref="J457:K457"/>
    <mergeCell ref="M457:N457"/>
    <mergeCell ref="B458:C458"/>
    <mergeCell ref="G458:H458"/>
    <mergeCell ref="J458:K458"/>
    <mergeCell ref="M458:N458"/>
    <mergeCell ref="B459:C459"/>
    <mergeCell ref="G459:H459"/>
    <mergeCell ref="J459:K459"/>
    <mergeCell ref="M459:N459"/>
    <mergeCell ref="B460:C460"/>
    <mergeCell ref="G460:H460"/>
    <mergeCell ref="J460:K460"/>
    <mergeCell ref="M460:N460"/>
    <mergeCell ref="B461:C461"/>
    <mergeCell ref="G461:H461"/>
    <mergeCell ref="J461:K461"/>
    <mergeCell ref="M461:N461"/>
    <mergeCell ref="B462:C462"/>
    <mergeCell ref="G462:H462"/>
    <mergeCell ref="J462:K462"/>
    <mergeCell ref="M462:N462"/>
    <mergeCell ref="B463:C463"/>
    <mergeCell ref="G463:H463"/>
    <mergeCell ref="J463:K463"/>
    <mergeCell ref="M463:N463"/>
    <mergeCell ref="B464:C464"/>
    <mergeCell ref="G464:H464"/>
    <mergeCell ref="J464:K464"/>
    <mergeCell ref="M464:N464"/>
    <mergeCell ref="B465:C465"/>
    <mergeCell ref="G465:H465"/>
    <mergeCell ref="J465:K465"/>
    <mergeCell ref="M465:N465"/>
    <mergeCell ref="B466:C466"/>
    <mergeCell ref="G466:H466"/>
    <mergeCell ref="J466:K466"/>
    <mergeCell ref="M466:N466"/>
    <mergeCell ref="B467:C467"/>
    <mergeCell ref="G467:H467"/>
    <mergeCell ref="J467:K467"/>
    <mergeCell ref="M467:N467"/>
    <mergeCell ref="B468:C468"/>
    <mergeCell ref="G468:H468"/>
    <mergeCell ref="J468:K468"/>
    <mergeCell ref="M468:N468"/>
    <mergeCell ref="B469:C469"/>
    <mergeCell ref="G469:H469"/>
    <mergeCell ref="J469:K469"/>
    <mergeCell ref="M469:N469"/>
    <mergeCell ref="B470:C470"/>
    <mergeCell ref="G470:H470"/>
    <mergeCell ref="J470:K470"/>
    <mergeCell ref="M470:N470"/>
    <mergeCell ref="B471:C471"/>
    <mergeCell ref="G471:H471"/>
    <mergeCell ref="J471:K471"/>
    <mergeCell ref="M471:N471"/>
    <mergeCell ref="B472:C472"/>
    <mergeCell ref="G472:H472"/>
    <mergeCell ref="J472:K472"/>
    <mergeCell ref="M472:N472"/>
    <mergeCell ref="B473:C473"/>
    <mergeCell ref="G473:H473"/>
    <mergeCell ref="J473:K473"/>
    <mergeCell ref="M473:N473"/>
    <mergeCell ref="B474:C474"/>
    <mergeCell ref="G474:H474"/>
    <mergeCell ref="J474:K474"/>
    <mergeCell ref="M474:N474"/>
    <mergeCell ref="B475:C475"/>
    <mergeCell ref="G475:H475"/>
    <mergeCell ref="J475:K475"/>
    <mergeCell ref="M475:N475"/>
    <mergeCell ref="B476:C476"/>
    <mergeCell ref="G476:H476"/>
    <mergeCell ref="J476:K476"/>
    <mergeCell ref="M476:N476"/>
    <mergeCell ref="B477:C477"/>
    <mergeCell ref="G477:H477"/>
    <mergeCell ref="J477:K477"/>
    <mergeCell ref="M477:N477"/>
    <mergeCell ref="B478:C478"/>
    <mergeCell ref="G478:H478"/>
    <mergeCell ref="J478:K478"/>
    <mergeCell ref="M478:N478"/>
    <mergeCell ref="B479:C479"/>
    <mergeCell ref="G479:H479"/>
    <mergeCell ref="J479:K479"/>
    <mergeCell ref="M479:N479"/>
    <mergeCell ref="B480:C480"/>
    <mergeCell ref="G480:H480"/>
    <mergeCell ref="J480:K480"/>
    <mergeCell ref="M480:N480"/>
    <mergeCell ref="B481:C481"/>
    <mergeCell ref="G481:H481"/>
    <mergeCell ref="J481:K481"/>
    <mergeCell ref="M481:N481"/>
    <mergeCell ref="B482:C482"/>
    <mergeCell ref="G482:H482"/>
    <mergeCell ref="J482:K482"/>
    <mergeCell ref="M482:N482"/>
    <mergeCell ref="B483:C483"/>
    <mergeCell ref="G483:H483"/>
    <mergeCell ref="J483:K483"/>
    <mergeCell ref="M483:N483"/>
    <mergeCell ref="B484:C484"/>
    <mergeCell ref="G484:H484"/>
    <mergeCell ref="J484:K484"/>
    <mergeCell ref="M484:N484"/>
    <mergeCell ref="B485:C485"/>
    <mergeCell ref="G485:H485"/>
    <mergeCell ref="J485:K485"/>
    <mergeCell ref="M485:N485"/>
    <mergeCell ref="B486:C486"/>
    <mergeCell ref="G486:H486"/>
    <mergeCell ref="J486:K486"/>
    <mergeCell ref="M486:N486"/>
    <mergeCell ref="B487:C487"/>
    <mergeCell ref="G487:H487"/>
    <mergeCell ref="J487:K487"/>
    <mergeCell ref="M487:N487"/>
    <mergeCell ref="B488:C488"/>
    <mergeCell ref="G488:H488"/>
    <mergeCell ref="J488:K488"/>
    <mergeCell ref="M488:N488"/>
    <mergeCell ref="B489:C489"/>
    <mergeCell ref="G489:H489"/>
    <mergeCell ref="J489:K489"/>
    <mergeCell ref="M489:N489"/>
    <mergeCell ref="B490:C490"/>
    <mergeCell ref="G490:H490"/>
    <mergeCell ref="J490:K490"/>
    <mergeCell ref="M490:N490"/>
    <mergeCell ref="B491:C491"/>
    <mergeCell ref="G491:H491"/>
    <mergeCell ref="J491:K491"/>
    <mergeCell ref="M491:N491"/>
    <mergeCell ref="B492:C492"/>
    <mergeCell ref="G492:H492"/>
    <mergeCell ref="J492:K492"/>
    <mergeCell ref="M492:N492"/>
    <mergeCell ref="B493:C493"/>
    <mergeCell ref="G493:H493"/>
    <mergeCell ref="J493:K493"/>
    <mergeCell ref="M493:N493"/>
    <mergeCell ref="B494:C494"/>
    <mergeCell ref="G494:H494"/>
    <mergeCell ref="J494:K494"/>
    <mergeCell ref="M494:N494"/>
    <mergeCell ref="B495:C495"/>
    <mergeCell ref="G495:H495"/>
    <mergeCell ref="J495:K495"/>
    <mergeCell ref="M495:N495"/>
    <mergeCell ref="B496:C496"/>
    <mergeCell ref="G496:H496"/>
    <mergeCell ref="J496:K496"/>
    <mergeCell ref="M496:N496"/>
    <mergeCell ref="B497:C497"/>
    <mergeCell ref="G497:H497"/>
    <mergeCell ref="J497:K497"/>
    <mergeCell ref="M497:N497"/>
    <mergeCell ref="B498:C498"/>
    <mergeCell ref="G498:H498"/>
    <mergeCell ref="J498:K498"/>
    <mergeCell ref="M498:N498"/>
    <mergeCell ref="B499:C499"/>
    <mergeCell ref="G499:H499"/>
    <mergeCell ref="J499:K499"/>
    <mergeCell ref="M499:N499"/>
    <mergeCell ref="B500:C500"/>
    <mergeCell ref="G500:H500"/>
    <mergeCell ref="J500:K500"/>
    <mergeCell ref="M500:N500"/>
    <mergeCell ref="B501:C501"/>
    <mergeCell ref="G501:H501"/>
    <mergeCell ref="J501:K501"/>
    <mergeCell ref="M501:N501"/>
    <mergeCell ref="B502:C502"/>
    <mergeCell ref="G502:H502"/>
    <mergeCell ref="J502:K502"/>
    <mergeCell ref="M502:N502"/>
    <mergeCell ref="B503:C503"/>
    <mergeCell ref="G503:H503"/>
    <mergeCell ref="J503:K503"/>
    <mergeCell ref="M503:N503"/>
    <mergeCell ref="B504:C504"/>
    <mergeCell ref="G504:H504"/>
    <mergeCell ref="J504:K504"/>
    <mergeCell ref="M504:N504"/>
    <mergeCell ref="B505:C505"/>
    <mergeCell ref="G505:H505"/>
    <mergeCell ref="J505:K505"/>
    <mergeCell ref="M505:N505"/>
    <mergeCell ref="B506:C506"/>
    <mergeCell ref="G506:H506"/>
    <mergeCell ref="J506:K506"/>
    <mergeCell ref="M506:N506"/>
    <mergeCell ref="B507:C507"/>
    <mergeCell ref="G507:H507"/>
    <mergeCell ref="J507:K507"/>
    <mergeCell ref="M507:N507"/>
    <mergeCell ref="G517:H517"/>
    <mergeCell ref="J517:K517"/>
    <mergeCell ref="M517:N517"/>
    <mergeCell ref="B508:C508"/>
    <mergeCell ref="G508:H508"/>
    <mergeCell ref="J508:K508"/>
    <mergeCell ref="M508:N508"/>
    <mergeCell ref="B509:C509"/>
    <mergeCell ref="G509:H509"/>
    <mergeCell ref="J509:K509"/>
    <mergeCell ref="M509:N509"/>
    <mergeCell ref="B510:C510"/>
    <mergeCell ref="G510:H510"/>
    <mergeCell ref="J510:K510"/>
    <mergeCell ref="M510:N510"/>
    <mergeCell ref="B511:C511"/>
    <mergeCell ref="G511:H511"/>
    <mergeCell ref="J511:K511"/>
    <mergeCell ref="M511:N511"/>
    <mergeCell ref="B512:C512"/>
    <mergeCell ref="G512:H512"/>
    <mergeCell ref="J512:K512"/>
    <mergeCell ref="M512:N512"/>
    <mergeCell ref="B518:C518"/>
    <mergeCell ref="G518:H518"/>
    <mergeCell ref="J518:K518"/>
    <mergeCell ref="M518:N518"/>
    <mergeCell ref="B519:C519"/>
    <mergeCell ref="G519:H519"/>
    <mergeCell ref="J519:K519"/>
    <mergeCell ref="M519:N519"/>
    <mergeCell ref="B520:C520"/>
    <mergeCell ref="G520:H520"/>
    <mergeCell ref="J520:K520"/>
    <mergeCell ref="A521:E521"/>
    <mergeCell ref="F521:H521"/>
    <mergeCell ref="I521:K521"/>
    <mergeCell ref="M521:N521"/>
    <mergeCell ref="B513:C513"/>
    <mergeCell ref="G513:H513"/>
    <mergeCell ref="J513:K513"/>
    <mergeCell ref="M513:N513"/>
    <mergeCell ref="B514:C514"/>
    <mergeCell ref="G514:H514"/>
    <mergeCell ref="J514:K514"/>
    <mergeCell ref="M514:N514"/>
    <mergeCell ref="B515:C515"/>
    <mergeCell ref="G515:H515"/>
    <mergeCell ref="J515:K515"/>
    <mergeCell ref="M515:N515"/>
    <mergeCell ref="B516:C516"/>
    <mergeCell ref="G516:H516"/>
    <mergeCell ref="J516:K516"/>
    <mergeCell ref="M516:N516"/>
    <mergeCell ref="B517:C517"/>
  </mergeCells>
  <pageMargins left="0.19685039370078741" right="0.19685039370078741" top="0.39370078740157483" bottom="0.39370078740157483" header="0" footer="0"/>
  <pageSetup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a.biehisheva</cp:lastModifiedBy>
  <dcterms:modified xsi:type="dcterms:W3CDTF">2025-05-16T13:58:18Z</dcterms:modified>
</cp:coreProperties>
</file>
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CFDD2B2E-B3B6-4DFC-8874-4C1A74BA553B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TDSheet!$A$10:$O$65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" i="1" l="1"/>
  <c r="K67" i="1"/>
  <c r="H67" i="1"/>
</calcChain>
</file>

<file path=xl/sharedStrings.xml><?xml version="1.0" encoding="utf-8"?>
<sst xmlns="http://schemas.openxmlformats.org/spreadsheetml/2006/main" count="451" uniqueCount="100">
  <si>
    <t>ТОВ "ІНДАСТРІАЛБУД"</t>
  </si>
  <si>
    <t>Картка рахунку 631 за Березень 2025 р. - Квітень 2025 р.</t>
  </si>
  <si>
    <t>Виведені дані:</t>
  </si>
  <si>
    <t>БО (дані бухгалтерського обліку)</t>
  </si>
  <si>
    <t>Відбір:</t>
  </si>
  <si>
    <t>Контрагенти Дорівнює "ПЕРША ПОКРІВЕЛЬНА ГІЛЬДІЯ ТОВ" и Договори Дорівнює "РАХУНКИ_МД ВООЗ ЕМС"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</si>
  <si>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</si>
  <si>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</si>
  <si>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</si>
  <si>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</si>
  <si>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</si>
  <si>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</si>
  <si>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</si>
  <si>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</si>
  <si>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</si>
  <si>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13.03.2025</t>
  </si>
  <si>
    <t>Списання з банківського рахунку 00000023648 від 13.03.2025 15:33:41
Оплата (аванс)</t>
  </si>
  <si>
    <t>ПЕРША ПОКРІВЕЛЬНА ГІЛЬДІЯ ТОВ
РАХУНКИ_МД ВООЗ ЕМС
Рахунок на оплату постачальника ІБ00-000840 від 10.03.2025 20:00:04</t>
  </si>
  <si>
    <t>ОТП_ТОВ "ІНДАСТРІАЛБУД" UA973005280000026004000010559
Услуги сторонних организаций</t>
  </si>
  <si>
    <t>631</t>
  </si>
  <si>
    <t>311</t>
  </si>
  <si>
    <t xml:space="preserve"> </t>
  </si>
  <si>
    <t>Д</t>
  </si>
  <si>
    <t>Надходження товарів і послуг ІБ00-001370 від 13.03.2025 18:55:31
Услуги (Зачет аванса поставщику)</t>
  </si>
  <si>
    <t>Обл. НДС
Виробничий (Цех МД ВООЗ ЕМС)
Цех МД ВООЗ ЕМС
Прямі виробничі витрати на придбання робіт, послуг</t>
  </si>
  <si>
    <t>231</t>
  </si>
  <si>
    <t>Надходження товарів і послуг ІБ00-001370 від 13.03.2025 18:55:31
НДС - налоговый кредит (услуги), второе событие (Зачет аванса поставщику)</t>
  </si>
  <si>
    <t>6441</t>
  </si>
  <si>
    <t>19.03.2025</t>
  </si>
  <si>
    <t>Надходження товарів і послуг ІБ00-001118 від 19.03.2025 14:07:22
Оприходованы ТМЦ</t>
  </si>
  <si>
    <t>Обл. НДС
Профнастил ПС-10
Надходження товарів і послуг ІБ00-001118 від 19.03.2025 14:07:22
Цех_ВООЗ (ЕМС)</t>
  </si>
  <si>
    <t>ПЕРША ПОКРІВЕЛЬНА ГІЛЬДІЯ ТОВ
РАХУНКИ_МД ВООЗ ЕМС
Рахунок на оплату постачальника ІБ00-001014 від 18.03.2025 23:12:51</t>
  </si>
  <si>
    <t>205</t>
  </si>
  <si>
    <t>К</t>
  </si>
  <si>
    <t>Надходження товарів і послуг ІБ00-001118 від 19.03.2025 14:07:22
НДС - налоговый кредит (товары), первое событие</t>
  </si>
  <si>
    <t>6442</t>
  </si>
  <si>
    <t>27.03.2025</t>
  </si>
  <si>
    <t>Списання з банківського рахунку 00000024429 від 27.03.2025 14:29:59
Оплата (аванс)</t>
  </si>
  <si>
    <t>ОТП_ТОВ "ІНДАСТРІАЛБУД" UA973005280000026004000010559
Строительные материалы</t>
  </si>
  <si>
    <t>31.03.2025</t>
  </si>
  <si>
    <t>Надходження товарів і послуг ІБ00-001304 від 31.03.2025 20:59:59
Оприходованы ТМЦ (Зачет аванса поставщику)</t>
  </si>
  <si>
    <t>Обл. НДС
Профнастил ПК-18
Надходження товарів і послуг ІБ00-001304 від 31.03.2025 20:59:59
Цех_ВООЗ (ЕМС)</t>
  </si>
  <si>
    <t>Надходження товарів і послуг ІБ00-001304 від 31.03.2025 20:59:59
НДС - налоговый кредит (товары), второе событие (Зачет аванса поставщику)</t>
  </si>
  <si>
    <t>Обл. НДС
Профнастил ПС-10
Надходження товарів і послуг ІБ00-001304 від 31.03.2025 20:59:59
Цех_ВООЗ (ЕМС)</t>
  </si>
  <si>
    <t>Обл. НДС
Лист рівний
Надходження товарів і послуг ІБ00-001304 від 31.03.2025 20:59:59
Цех_ВООЗ (ЕМС)</t>
  </si>
  <si>
    <t>Надходження товарів і послуг ІБ00-001371 від 31.03.2025 20:59:59
Услуги</t>
  </si>
  <si>
    <t>ПЕРША ПОКРІВЕЛЬНА ГІЛЬДІЯ ТОВ
РАХУНКИ_МД ВООЗ ЕМС
Рахунок на оплату постачальника ІБ00-001086 від 12.03.2025 18:45:48</t>
  </si>
  <si>
    <t>Надходження товарів і послуг ІБ00-001371 від 31.03.2025 20:59:59
НДС - налоговый кредит (услуги), первое событие</t>
  </si>
  <si>
    <t>Надходження товарів і послуг ІБ00-001372 від 31.03.2025 20:59:59
Услуги</t>
  </si>
  <si>
    <t>ПЕРША ПОКРІВЕЛЬНА ГІЛЬДІЯ ТОВ
РАХУНКИ_МД ВООЗ ЕМС
Рахунок на оплату постачальника ІБ00-001087 від 12.03.2025 18:45:49</t>
  </si>
  <si>
    <t>Надходження товарів і послуг ІБ00-001372 від 31.03.2025 20:59:59
НДС - налоговый кредит (услуги), первое событие</t>
  </si>
  <si>
    <t>Надходження товарів і послуг ІБ00-001373 від 31.03.2025 20:59:59
Услуги</t>
  </si>
  <si>
    <t>ПЕРША ПОКРІВЕЛЬНА ГІЛЬДІЯ ТОВ
РАХУНКИ_МД ВООЗ ЕМС
Рахунок на оплату постачальника ІБ00-001088 від 27.03.2025 19:00:08</t>
  </si>
  <si>
    <t>Надходження товарів і послуг ІБ00-001373 від 31.03.2025 20:59:59
НДС - налоговый кредит (услуги), первое событие</t>
  </si>
  <si>
    <t>Надходження товарів і послуг ІБ00-001374 від 31.03.2025 20:59:59
Услуги</t>
  </si>
  <si>
    <t>Надходження товарів і послуг ІБ00-001374 від 31.03.2025 20:59:59
НДС - налоговый кредит (услуги), первое событие</t>
  </si>
  <si>
    <t>09.04.2025</t>
  </si>
  <si>
    <t>Списання з банківського рахунку 00000025010 від 09.04.2025 14:55:28
Оплата (аванс)</t>
  </si>
  <si>
    <t>ПЕРША ПОКРІВЕЛЬНА ГІЛЬДІЯ ТОВ
РАХУНКИ_МД ВООЗ ЕМС
Рахунок на оплату постачальника ІБ00-001221 від 04.04.2025 23:24:51</t>
  </si>
  <si>
    <t>Списання з банківського рахунку 00000025013 від 09.04.2025 15:02:54
Оплата (аванс)</t>
  </si>
  <si>
    <t>ПЕРША ПОКРІВЕЛЬНА ГІЛЬДІЯ ТОВ
РАХУНКИ_МД ВООЗ ЕМС
Рахунок на оплату постачальника ІБ00-001226 від 07.04.2025 20:00:22</t>
  </si>
  <si>
    <t>Списання з банківського рахунку 00000025046 від 09.04.2025 16:14:04
Оплата</t>
  </si>
  <si>
    <t>Списання з банківського рахунку 00000025047 від 09.04.2025 16:16:25
Оплата</t>
  </si>
  <si>
    <t>10.04.2025</t>
  </si>
  <si>
    <t>Надходження товарів і послуг ІБ00-001641 від 10.04.2025 22:57:01
Оприходованы ТМЦ (Зачет аванса поставщику)</t>
  </si>
  <si>
    <t>Обл. НДС
Профнастил ПК-18
Надходження товарів і послуг ІБ00-001641 від 10.04.2025 22:57:01
Цех_ВООЗ (ЕМС)</t>
  </si>
  <si>
    <t>Надходження товарів і послуг ІБ00-001641 від 10.04.2025 22:57:01
НДС - налоговый кредит (товары), второе событие (Зачет аванса поставщику)</t>
  </si>
  <si>
    <t>Обл. НДС
Профіль ПС-10 поліестер трапецієпод. РЕ 45*9003*АМ
Надходження товарів і послуг ІБ00-001641 від 10.04.2025 22:57:01
Цех_ВООЗ (ЕМС)</t>
  </si>
  <si>
    <t>Надходження товарів і послуг ІБ00-001641 від 10.04.2025 22:57:01
НДС - налоговый кредит (товары) (Зачет аванса поставщику)</t>
  </si>
  <si>
    <t>Надходження товарів і послуг ІБ00-001641 від 10.04.2025 22:57:01
НДС - налоговый кредит (товары), друга подія</t>
  </si>
  <si>
    <t>Надходження товарів і послуг ІБ00-001641 від 10.04.2025 22:57:01
НДС - налоговый кредит (товары), друга подія (Зачет аванса поставщику)</t>
  </si>
  <si>
    <t>Надходження товарів і послуг ІБ00-001641 від 10.04.2025 22:57:01
Оприходованы ТМЦ</t>
  </si>
  <si>
    <t>Обл. НДС
Лист рівний
Надходження товарів і послуг ІБ00-001641 від 10.04.2025 22:57:01
Цех_ВООЗ (ЕМС)</t>
  </si>
  <si>
    <t>Надходження товарів і послуг ІБ00-001641 від 10.04.2025 22:57:01
НДС - налоговый кредит (товары), первое событие</t>
  </si>
  <si>
    <t>Надходження товарів і послуг ІБ00-001645 від 10.04.2025 22:57:03
Оприходованы ТМЦ (Зачет аванса поставщику)</t>
  </si>
  <si>
    <t>Обл. НДС
Профнастил ПС-10
Надходження товарів і послуг ІБ00-001645 від 10.04.2025 22:57:03
Цех_ВООЗ (ЕМС)</t>
  </si>
  <si>
    <t>Надходження товарів і послуг ІБ00-001645 від 10.04.2025 22:57:03
НДС - налоговый кредит (товары), второе событие (Зачет аванса поставщику)</t>
  </si>
  <si>
    <t>16.04.2025</t>
  </si>
  <si>
    <t>Надходження товарів і послуг ІБ00-002039 від 16.04.2025 17:38:59
Услуги</t>
  </si>
  <si>
    <t>ПЕРША ПОКРІВЕЛЬНА ГІЛЬДІЯ ТОВ
РАХУНКИ_МД ВООЗ ЕМС
Рахунок на оплату постачальника ІБ00-001649 від 08.04.2025 23:12:08</t>
  </si>
  <si>
    <t>Надходження товарів і послуг ІБ00-002039 від 16.04.2025 17:38:59
НДС - налоговый кредит (услуги), первое событие</t>
  </si>
  <si>
    <t>Надходження товарів і послуг ІБ00-002041 від 16.04.2025 17:39:00
Услуги</t>
  </si>
  <si>
    <t>ПЕРША ПОКРІВЕЛЬНА ГІЛЬДІЯ ТОВ
РАХУНКИ_МД ВООЗ ЕМС
Рахунок на оплату постачальника ІБ00-001650 від 09.04.2025 00:00:00</t>
  </si>
  <si>
    <t>Надходження товарів і послуг ІБ00-002041 від 16.04.2025 17:39:00
НДС - налоговый кредит (услуги), первое событие</t>
  </si>
  <si>
    <t>Надходження товарів і послуг ІБ00-002048 від 16.04.2025 17:39:01
Услуги (Зачет аванса поставщику)</t>
  </si>
  <si>
    <t>Надходження товарів і послуг ІБ00-002048 від 16.04.2025 17:39:01
НДС - налоговый кредит (услуги), второе событие (Зачет аванса поставщику)</t>
  </si>
  <si>
    <t>28.04.2025</t>
  </si>
  <si>
    <t>Списання з банківського рахунку 00000025943 від 28.04.2025 17:03:26
Оплата</t>
  </si>
  <si>
    <t>Списання з банківського рахунку 00000025944 від 28.04.2025 17:05:23
Оплата</t>
  </si>
  <si>
    <t>29.04.2025</t>
  </si>
  <si>
    <t>Надходження товарів і послуг ІБ00-002037 від 29.04.2025 18:09:44
Услуги</t>
  </si>
  <si>
    <t>ПЕРША ПОКРІВЕЛЬНА ГІЛЬДІЯ ТОВ
РАХУНКИ_МД ВООЗ ЕМС
Рахунок на оплату постачальника ІБ00-001648 від 29.04.2025 00:00:00</t>
  </si>
  <si>
    <t>Надходження товарів і послуг ІБ00-002037 від 29.04.2025 18:09:44
НДС - налоговый кредит (услуги), первое событие</t>
  </si>
  <si>
    <t>30.04.2025</t>
  </si>
  <si>
    <t>Надходження товарів і послуг ІБ00-002043 від 30.04.2025 23:59:59
Услуги</t>
  </si>
  <si>
    <t>ПЕРША ПОКРІВЕЛЬНА ГІЛЬДІЯ ТОВ
РАХУНКИ_МД ВООЗ ЕМС
Рахунок на оплату постачальника ІБ00-001651 від 30.04.2025 23:59:59</t>
  </si>
  <si>
    <t>Надходження товарів і послуг ІБ00-002043 від 30.04.2025 23:59:59
НДС - налоговый кредит (услуги), первое событие</t>
  </si>
  <si>
    <t>Обороти за період та сальдо на кінець</t>
  </si>
  <si>
    <t>оплата</t>
  </si>
  <si>
    <t>товари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</si>
</sst>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5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0" fontId="3" fillId="0" borderId="0" xfId="0" applyFont="1"/>
    <xf numFmtId="0" fontId="4" fillId="3" borderId="12" xfId="0" applyFont="1" applyFill="1" applyBorder="1" applyAlignment="1">
      <alignment vertical="top"/>
    </xf>
    <xf numFmtId="43" fontId="0" fillId="0" borderId="0" xfId="1" applyFont="1" applyAlignment="1">
      <alignment horizontal="left"/>
    </xf>
    <xf numFmtId="0" fontId="3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67"/>
  <sheetViews>
    <sheetView tabSelected="1" workbookViewId="0">
      <selection activeCell="P8" sqref="P8"/>
    </sheetView>
  </sheetViews>
  <sheetFormatPr defaultColWidth="10.42578125" defaultRowHeight="10.199999999999999" outlineLevelRow="1" x14ac:dyDescent="0.2"/>
  <cols>
    <col min="1" max="1" width="11.7109375" style="1" customWidth="1"/>
    <col min="2" max="2" width="7" style="1" customWidth="1"/>
    <col min="3" max="3" width="20.42578125" style="1" customWidth="1"/>
    <col min="4" max="5" width="40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6" ht="13.2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6" ht="15.6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s="1" customFormat="1" x14ac:dyDescent="0.2">
      <c r="O3" s="1">
        <v>439161.83000000007</v>
      </c>
      <c r="P3" s="40" t="s">
        <v>98</v>
      </c>
    </row>
    <row r="4" spans="1:16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  <c r="O4">
        <v>516308.6</v>
      </c>
      <c r="P4" s="37" t="s">
        <v>99</v>
      </c>
    </row>
    <row r="5" spans="1:16" s="1" customFormat="1" x14ac:dyDescent="0.2">
      <c r="O5" s="1">
        <f>O3-O4</f>
        <v>-77146.769999999902</v>
      </c>
    </row>
    <row r="6" spans="1:16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6" s="1" customFormat="1" x14ac:dyDescent="0.2"/>
    <row r="8" spans="1:16" ht="13.2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6" ht="13.2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6" ht="13.2" x14ac:dyDescent="0.2">
      <c r="A10" s="38" t="s">
        <v>14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4"/>
      <c r="M10" s="26">
        <v>0</v>
      </c>
      <c r="N10" s="26"/>
      <c r="O10" s="37"/>
    </row>
    <row r="11" spans="1:16" ht="40.799999999999997" outlineLevel="1" x14ac:dyDescent="0.2">
      <c r="A11" s="5" t="s">
        <v>15</v>
      </c>
      <c r="B11" s="27" t="s">
        <v>16</v>
      </c>
      <c r="C11" s="27"/>
      <c r="D11" s="6" t="s">
        <v>17</v>
      </c>
      <c r="E11" s="6" t="s">
        <v>18</v>
      </c>
      <c r="F11" s="5" t="s">
        <v>19</v>
      </c>
      <c r="G11" s="28">
        <v>9110.2000000000007</v>
      </c>
      <c r="H11" s="28"/>
      <c r="I11" s="5" t="s">
        <v>20</v>
      </c>
      <c r="J11" s="29" t="s">
        <v>21</v>
      </c>
      <c r="K11" s="29"/>
      <c r="L11" s="7" t="s">
        <v>22</v>
      </c>
      <c r="M11" s="30">
        <v>9110.2000000000007</v>
      </c>
      <c r="N11" s="30"/>
      <c r="O11" s="37"/>
    </row>
    <row r="12" spans="1:16" ht="51" outlineLevel="1" x14ac:dyDescent="0.2">
      <c r="A12" s="5" t="s">
        <v>15</v>
      </c>
      <c r="B12" s="27" t="s">
        <v>23</v>
      </c>
      <c r="C12" s="27"/>
      <c r="D12" s="6" t="s">
        <v>24</v>
      </c>
      <c r="E12" s="6" t="s">
        <v>17</v>
      </c>
      <c r="F12" s="5" t="s">
        <v>25</v>
      </c>
      <c r="G12" s="31" t="s">
        <v>21</v>
      </c>
      <c r="H12" s="31"/>
      <c r="I12" s="5" t="s">
        <v>19</v>
      </c>
      <c r="J12" s="30">
        <v>5351.5</v>
      </c>
      <c r="K12" s="30"/>
      <c r="L12" s="7" t="s">
        <v>22</v>
      </c>
      <c r="M12" s="30">
        <v>3758.7</v>
      </c>
      <c r="N12" s="30"/>
      <c r="O12" s="37"/>
    </row>
    <row r="13" spans="1:16" ht="40.799999999999997" outlineLevel="1" x14ac:dyDescent="0.2">
      <c r="A13" s="5" t="s">
        <v>15</v>
      </c>
      <c r="B13" s="27" t="s">
        <v>26</v>
      </c>
      <c r="C13" s="27"/>
      <c r="D13" s="6" t="s">
        <v>17</v>
      </c>
      <c r="E13" s="6" t="s">
        <v>17</v>
      </c>
      <c r="F13" s="5" t="s">
        <v>27</v>
      </c>
      <c r="G13" s="31" t="s">
        <v>21</v>
      </c>
      <c r="H13" s="31"/>
      <c r="I13" s="5" t="s">
        <v>19</v>
      </c>
      <c r="J13" s="30">
        <v>1070.3</v>
      </c>
      <c r="K13" s="30"/>
      <c r="L13" s="7" t="s">
        <v>22</v>
      </c>
      <c r="M13" s="30">
        <v>2688.4</v>
      </c>
      <c r="N13" s="30"/>
      <c r="O13" s="37"/>
    </row>
    <row r="14" spans="1:16" ht="51" outlineLevel="1" x14ac:dyDescent="0.2">
      <c r="A14" s="5" t="s">
        <v>15</v>
      </c>
      <c r="B14" s="27" t="s">
        <v>23</v>
      </c>
      <c r="C14" s="27"/>
      <c r="D14" s="6" t="s">
        <v>24</v>
      </c>
      <c r="E14" s="6" t="s">
        <v>17</v>
      </c>
      <c r="F14" s="5" t="s">
        <v>25</v>
      </c>
      <c r="G14" s="31" t="s">
        <v>21</v>
      </c>
      <c r="H14" s="31"/>
      <c r="I14" s="5" t="s">
        <v>19</v>
      </c>
      <c r="J14" s="30">
        <v>2240.33</v>
      </c>
      <c r="K14" s="30"/>
      <c r="L14" s="7" t="s">
        <v>22</v>
      </c>
      <c r="M14" s="32">
        <v>448.07</v>
      </c>
      <c r="N14" s="32"/>
      <c r="O14" s="37"/>
    </row>
    <row r="15" spans="1:16" ht="40.799999999999997" outlineLevel="1" x14ac:dyDescent="0.2">
      <c r="A15" s="5" t="s">
        <v>15</v>
      </c>
      <c r="B15" s="27" t="s">
        <v>26</v>
      </c>
      <c r="C15" s="27"/>
      <c r="D15" s="6" t="s">
        <v>17</v>
      </c>
      <c r="E15" s="6" t="s">
        <v>17</v>
      </c>
      <c r="F15" s="5" t="s">
        <v>27</v>
      </c>
      <c r="G15" s="31" t="s">
        <v>21</v>
      </c>
      <c r="H15" s="31"/>
      <c r="I15" s="5" t="s">
        <v>19</v>
      </c>
      <c r="J15" s="32">
        <v>448.07</v>
      </c>
      <c r="K15" s="32"/>
      <c r="L15" s="8"/>
      <c r="M15" s="9"/>
      <c r="N15" s="10"/>
      <c r="O15" s="37"/>
    </row>
    <row r="16" spans="1:16" ht="51" outlineLevel="1" x14ac:dyDescent="0.2">
      <c r="A16" s="5" t="s">
        <v>28</v>
      </c>
      <c r="B16" s="27" t="s">
        <v>29</v>
      </c>
      <c r="C16" s="27"/>
      <c r="D16" s="6" t="s">
        <v>30</v>
      </c>
      <c r="E16" s="6" t="s">
        <v>31</v>
      </c>
      <c r="F16" s="5" t="s">
        <v>32</v>
      </c>
      <c r="G16" s="31" t="s">
        <v>21</v>
      </c>
      <c r="H16" s="31"/>
      <c r="I16" s="5" t="s">
        <v>19</v>
      </c>
      <c r="J16" s="30">
        <v>38451.120000000003</v>
      </c>
      <c r="K16" s="30"/>
      <c r="L16" s="7" t="s">
        <v>33</v>
      </c>
      <c r="M16" s="30">
        <v>38451.120000000003</v>
      </c>
      <c r="N16" s="30"/>
      <c r="O16" s="37"/>
    </row>
    <row r="17" spans="1:15" ht="40.799999999999997" outlineLevel="1" x14ac:dyDescent="0.2">
      <c r="A17" s="5" t="s">
        <v>28</v>
      </c>
      <c r="B17" s="27" t="s">
        <v>34</v>
      </c>
      <c r="C17" s="27"/>
      <c r="D17" s="6" t="s">
        <v>31</v>
      </c>
      <c r="E17" s="6" t="s">
        <v>31</v>
      </c>
      <c r="F17" s="5" t="s">
        <v>35</v>
      </c>
      <c r="G17" s="31" t="s">
        <v>21</v>
      </c>
      <c r="H17" s="31"/>
      <c r="I17" s="5" t="s">
        <v>19</v>
      </c>
      <c r="J17" s="30">
        <v>7690.22</v>
      </c>
      <c r="K17" s="30"/>
      <c r="L17" s="7" t="s">
        <v>33</v>
      </c>
      <c r="M17" s="30">
        <v>46141.34</v>
      </c>
      <c r="N17" s="30"/>
    </row>
    <row r="18" spans="1:15" ht="40.799999999999997" outlineLevel="1" x14ac:dyDescent="0.2">
      <c r="A18" s="5" t="s">
        <v>36</v>
      </c>
      <c r="B18" s="27" t="s">
        <v>37</v>
      </c>
      <c r="C18" s="27"/>
      <c r="D18" s="6" t="s">
        <v>31</v>
      </c>
      <c r="E18" s="6" t="s">
        <v>38</v>
      </c>
      <c r="F18" s="5" t="s">
        <v>19</v>
      </c>
      <c r="G18" s="28">
        <v>176243.53</v>
      </c>
      <c r="H18" s="28"/>
      <c r="I18" s="5" t="s">
        <v>20</v>
      </c>
      <c r="J18" s="29" t="s">
        <v>21</v>
      </c>
      <c r="K18" s="29"/>
      <c r="L18" s="7" t="s">
        <v>22</v>
      </c>
      <c r="M18" s="30">
        <v>130102.19</v>
      </c>
      <c r="N18" s="30"/>
      <c r="O18" s="37"/>
    </row>
    <row r="19" spans="1:15" ht="51" outlineLevel="1" x14ac:dyDescent="0.2">
      <c r="A19" s="5" t="s">
        <v>39</v>
      </c>
      <c r="B19" s="27" t="s">
        <v>40</v>
      </c>
      <c r="C19" s="27"/>
      <c r="D19" s="6" t="s">
        <v>41</v>
      </c>
      <c r="E19" s="6" t="s">
        <v>31</v>
      </c>
      <c r="F19" s="5" t="s">
        <v>32</v>
      </c>
      <c r="G19" s="31" t="s">
        <v>21</v>
      </c>
      <c r="H19" s="31"/>
      <c r="I19" s="5" t="s">
        <v>19</v>
      </c>
      <c r="J19" s="30">
        <v>50492.28</v>
      </c>
      <c r="K19" s="30"/>
      <c r="L19" s="7" t="s">
        <v>22</v>
      </c>
      <c r="M19" s="30">
        <v>79609.91</v>
      </c>
      <c r="N19" s="30"/>
      <c r="O19" s="37"/>
    </row>
    <row r="20" spans="1:15" ht="40.799999999999997" outlineLevel="1" x14ac:dyDescent="0.2">
      <c r="A20" s="5" t="s">
        <v>39</v>
      </c>
      <c r="B20" s="27" t="s">
        <v>42</v>
      </c>
      <c r="C20" s="27"/>
      <c r="D20" s="6" t="s">
        <v>31</v>
      </c>
      <c r="E20" s="6" t="s">
        <v>31</v>
      </c>
      <c r="F20" s="5" t="s">
        <v>27</v>
      </c>
      <c r="G20" s="31" t="s">
        <v>21</v>
      </c>
      <c r="H20" s="31"/>
      <c r="I20" s="5" t="s">
        <v>19</v>
      </c>
      <c r="J20" s="30">
        <v>10098.459999999999</v>
      </c>
      <c r="K20" s="30"/>
      <c r="L20" s="7" t="s">
        <v>22</v>
      </c>
      <c r="M20" s="30">
        <v>69511.45</v>
      </c>
      <c r="N20" s="30"/>
    </row>
    <row r="21" spans="1:15" ht="51" outlineLevel="1" x14ac:dyDescent="0.2">
      <c r="A21" s="5" t="s">
        <v>39</v>
      </c>
      <c r="B21" s="27" t="s">
        <v>40</v>
      </c>
      <c r="C21" s="27"/>
      <c r="D21" s="6" t="s">
        <v>43</v>
      </c>
      <c r="E21" s="6" t="s">
        <v>31</v>
      </c>
      <c r="F21" s="5" t="s">
        <v>32</v>
      </c>
      <c r="G21" s="31" t="s">
        <v>21</v>
      </c>
      <c r="H21" s="31"/>
      <c r="I21" s="5" t="s">
        <v>19</v>
      </c>
      <c r="J21" s="30">
        <v>60120.45</v>
      </c>
      <c r="K21" s="30"/>
      <c r="L21" s="7" t="s">
        <v>22</v>
      </c>
      <c r="M21" s="30">
        <v>9391</v>
      </c>
      <c r="N21" s="30"/>
      <c r="O21" s="37"/>
    </row>
    <row r="22" spans="1:15" ht="40.799999999999997" outlineLevel="1" x14ac:dyDescent="0.2">
      <c r="A22" s="5" t="s">
        <v>39</v>
      </c>
      <c r="B22" s="27" t="s">
        <v>42</v>
      </c>
      <c r="C22" s="27"/>
      <c r="D22" s="6" t="s">
        <v>31</v>
      </c>
      <c r="E22" s="6" t="s">
        <v>31</v>
      </c>
      <c r="F22" s="5" t="s">
        <v>27</v>
      </c>
      <c r="G22" s="31" t="s">
        <v>21</v>
      </c>
      <c r="H22" s="31"/>
      <c r="I22" s="5" t="s">
        <v>19</v>
      </c>
      <c r="J22" s="30">
        <v>12024.09</v>
      </c>
      <c r="K22" s="30"/>
      <c r="L22" s="7" t="s">
        <v>33</v>
      </c>
      <c r="M22" s="30">
        <v>2633.09</v>
      </c>
      <c r="N22" s="30"/>
    </row>
    <row r="23" spans="1:15" ht="51" outlineLevel="1" x14ac:dyDescent="0.2">
      <c r="A23" s="5" t="s">
        <v>39</v>
      </c>
      <c r="B23" s="27" t="s">
        <v>40</v>
      </c>
      <c r="C23" s="27"/>
      <c r="D23" s="6" t="s">
        <v>44</v>
      </c>
      <c r="E23" s="6" t="s">
        <v>31</v>
      </c>
      <c r="F23" s="5" t="s">
        <v>32</v>
      </c>
      <c r="G23" s="31" t="s">
        <v>21</v>
      </c>
      <c r="H23" s="31"/>
      <c r="I23" s="5" t="s">
        <v>19</v>
      </c>
      <c r="J23" s="30">
        <v>33920</v>
      </c>
      <c r="K23" s="30"/>
      <c r="L23" s="7" t="s">
        <v>33</v>
      </c>
      <c r="M23" s="30">
        <v>36553.089999999997</v>
      </c>
      <c r="N23" s="30"/>
      <c r="O23" s="37"/>
    </row>
    <row r="24" spans="1:15" ht="40.799999999999997" outlineLevel="1" x14ac:dyDescent="0.2">
      <c r="A24" s="5" t="s">
        <v>39</v>
      </c>
      <c r="B24" s="27" t="s">
        <v>42</v>
      </c>
      <c r="C24" s="27"/>
      <c r="D24" s="6" t="s">
        <v>31</v>
      </c>
      <c r="E24" s="6" t="s">
        <v>31</v>
      </c>
      <c r="F24" s="5" t="s">
        <v>27</v>
      </c>
      <c r="G24" s="31" t="s">
        <v>21</v>
      </c>
      <c r="H24" s="31"/>
      <c r="I24" s="5" t="s">
        <v>19</v>
      </c>
      <c r="J24" s="30">
        <v>6784</v>
      </c>
      <c r="K24" s="30"/>
      <c r="L24" s="7" t="s">
        <v>33</v>
      </c>
      <c r="M24" s="30">
        <v>43337.09</v>
      </c>
      <c r="N24" s="30"/>
    </row>
    <row r="25" spans="1:15" ht="51" outlineLevel="1" x14ac:dyDescent="0.2">
      <c r="A25" s="5" t="s">
        <v>39</v>
      </c>
      <c r="B25" s="27" t="s">
        <v>45</v>
      </c>
      <c r="C25" s="27"/>
      <c r="D25" s="6" t="s">
        <v>24</v>
      </c>
      <c r="E25" s="6" t="s">
        <v>46</v>
      </c>
      <c r="F25" s="5" t="s">
        <v>25</v>
      </c>
      <c r="G25" s="31" t="s">
        <v>21</v>
      </c>
      <c r="H25" s="31"/>
      <c r="I25" s="5" t="s">
        <v>19</v>
      </c>
      <c r="J25" s="30">
        <v>8696.67</v>
      </c>
      <c r="K25" s="30"/>
      <c r="L25" s="7" t="s">
        <v>33</v>
      </c>
      <c r="M25" s="30">
        <v>52033.760000000002</v>
      </c>
      <c r="N25" s="30"/>
    </row>
    <row r="26" spans="1:15" ht="40.799999999999997" outlineLevel="1" x14ac:dyDescent="0.2">
      <c r="A26" s="5" t="s">
        <v>39</v>
      </c>
      <c r="B26" s="27" t="s">
        <v>47</v>
      </c>
      <c r="C26" s="27"/>
      <c r="D26" s="6" t="s">
        <v>46</v>
      </c>
      <c r="E26" s="6" t="s">
        <v>46</v>
      </c>
      <c r="F26" s="5" t="s">
        <v>35</v>
      </c>
      <c r="G26" s="31" t="s">
        <v>21</v>
      </c>
      <c r="H26" s="31"/>
      <c r="I26" s="5" t="s">
        <v>19</v>
      </c>
      <c r="J26" s="30">
        <v>1739.33</v>
      </c>
      <c r="K26" s="30"/>
      <c r="L26" s="7" t="s">
        <v>33</v>
      </c>
      <c r="M26" s="30">
        <v>53773.09</v>
      </c>
      <c r="N26" s="30"/>
    </row>
    <row r="27" spans="1:15" ht="51" outlineLevel="1" x14ac:dyDescent="0.2">
      <c r="A27" s="5" t="s">
        <v>39</v>
      </c>
      <c r="B27" s="27" t="s">
        <v>48</v>
      </c>
      <c r="C27" s="27"/>
      <c r="D27" s="6" t="s">
        <v>24</v>
      </c>
      <c r="E27" s="6" t="s">
        <v>49</v>
      </c>
      <c r="F27" s="5" t="s">
        <v>25</v>
      </c>
      <c r="G27" s="31" t="s">
        <v>21</v>
      </c>
      <c r="H27" s="31"/>
      <c r="I27" s="5" t="s">
        <v>19</v>
      </c>
      <c r="J27" s="30">
        <v>7019.5</v>
      </c>
      <c r="K27" s="30"/>
      <c r="L27" s="7" t="s">
        <v>33</v>
      </c>
      <c r="M27" s="30">
        <v>60792.59</v>
      </c>
      <c r="N27" s="30"/>
    </row>
    <row r="28" spans="1:15" ht="40.799999999999997" outlineLevel="1" x14ac:dyDescent="0.2">
      <c r="A28" s="5" t="s">
        <v>39</v>
      </c>
      <c r="B28" s="27" t="s">
        <v>50</v>
      </c>
      <c r="C28" s="27"/>
      <c r="D28" s="6" t="s">
        <v>49</v>
      </c>
      <c r="E28" s="6" t="s">
        <v>49</v>
      </c>
      <c r="F28" s="5" t="s">
        <v>35</v>
      </c>
      <c r="G28" s="31" t="s">
        <v>21</v>
      </c>
      <c r="H28" s="31"/>
      <c r="I28" s="5" t="s">
        <v>19</v>
      </c>
      <c r="J28" s="30">
        <v>1403.9</v>
      </c>
      <c r="K28" s="30"/>
      <c r="L28" s="7" t="s">
        <v>33</v>
      </c>
      <c r="M28" s="30">
        <v>62196.49</v>
      </c>
      <c r="N28" s="30"/>
    </row>
    <row r="29" spans="1:15" ht="51" outlineLevel="1" x14ac:dyDescent="0.2">
      <c r="A29" s="5" t="s">
        <v>39</v>
      </c>
      <c r="B29" s="27" t="s">
        <v>51</v>
      </c>
      <c r="C29" s="27"/>
      <c r="D29" s="6" t="s">
        <v>24</v>
      </c>
      <c r="E29" s="6" t="s">
        <v>52</v>
      </c>
      <c r="F29" s="5" t="s">
        <v>25</v>
      </c>
      <c r="G29" s="31" t="s">
        <v>21</v>
      </c>
      <c r="H29" s="31"/>
      <c r="I29" s="5" t="s">
        <v>19</v>
      </c>
      <c r="J29" s="32">
        <v>695</v>
      </c>
      <c r="K29" s="32"/>
      <c r="L29" s="7" t="s">
        <v>33</v>
      </c>
      <c r="M29" s="30">
        <v>62891.49</v>
      </c>
      <c r="N29" s="30"/>
    </row>
    <row r="30" spans="1:15" ht="40.799999999999997" outlineLevel="1" x14ac:dyDescent="0.2">
      <c r="A30" s="5" t="s">
        <v>39</v>
      </c>
      <c r="B30" s="27" t="s">
        <v>53</v>
      </c>
      <c r="C30" s="27"/>
      <c r="D30" s="6" t="s">
        <v>52</v>
      </c>
      <c r="E30" s="6" t="s">
        <v>52</v>
      </c>
      <c r="F30" s="5" t="s">
        <v>35</v>
      </c>
      <c r="G30" s="31" t="s">
        <v>21</v>
      </c>
      <c r="H30" s="31"/>
      <c r="I30" s="5" t="s">
        <v>19</v>
      </c>
      <c r="J30" s="32">
        <v>139</v>
      </c>
      <c r="K30" s="32"/>
      <c r="L30" s="7" t="s">
        <v>33</v>
      </c>
      <c r="M30" s="30">
        <v>63030.49</v>
      </c>
      <c r="N30" s="30"/>
    </row>
    <row r="31" spans="1:15" ht="51" outlineLevel="1" x14ac:dyDescent="0.2">
      <c r="A31" s="5" t="s">
        <v>39</v>
      </c>
      <c r="B31" s="27" t="s">
        <v>54</v>
      </c>
      <c r="C31" s="27"/>
      <c r="D31" s="6" t="s">
        <v>24</v>
      </c>
      <c r="E31" s="6" t="s">
        <v>31</v>
      </c>
      <c r="F31" s="5" t="s">
        <v>25</v>
      </c>
      <c r="G31" s="31" t="s">
        <v>21</v>
      </c>
      <c r="H31" s="31"/>
      <c r="I31" s="5" t="s">
        <v>19</v>
      </c>
      <c r="J31" s="32">
        <v>603.16999999999996</v>
      </c>
      <c r="K31" s="32"/>
      <c r="L31" s="7" t="s">
        <v>33</v>
      </c>
      <c r="M31" s="30">
        <v>63633.66</v>
      </c>
      <c r="N31" s="30"/>
    </row>
    <row r="32" spans="1:15" ht="40.799999999999997" outlineLevel="1" x14ac:dyDescent="0.2">
      <c r="A32" s="5" t="s">
        <v>39</v>
      </c>
      <c r="B32" s="27" t="s">
        <v>55</v>
      </c>
      <c r="C32" s="27"/>
      <c r="D32" s="6" t="s">
        <v>31</v>
      </c>
      <c r="E32" s="6" t="s">
        <v>31</v>
      </c>
      <c r="F32" s="5" t="s">
        <v>35</v>
      </c>
      <c r="G32" s="31" t="s">
        <v>21</v>
      </c>
      <c r="H32" s="31"/>
      <c r="I32" s="5" t="s">
        <v>19</v>
      </c>
      <c r="J32" s="32">
        <v>120.63</v>
      </c>
      <c r="K32" s="32"/>
      <c r="L32" s="7" t="s">
        <v>33</v>
      </c>
      <c r="M32" s="30">
        <v>63754.29</v>
      </c>
      <c r="N32" s="30"/>
    </row>
    <row r="33" spans="1:15" ht="40.799999999999997" outlineLevel="1" x14ac:dyDescent="0.2">
      <c r="A33" s="5" t="s">
        <v>56</v>
      </c>
      <c r="B33" s="27" t="s">
        <v>57</v>
      </c>
      <c r="C33" s="27"/>
      <c r="D33" s="6" t="s">
        <v>58</v>
      </c>
      <c r="E33" s="6" t="s">
        <v>38</v>
      </c>
      <c r="F33" s="5" t="s">
        <v>19</v>
      </c>
      <c r="G33" s="28">
        <v>178741.44</v>
      </c>
      <c r="H33" s="28"/>
      <c r="I33" s="5" t="s">
        <v>20</v>
      </c>
      <c r="J33" s="29" t="s">
        <v>21</v>
      </c>
      <c r="K33" s="29"/>
      <c r="L33" s="7" t="s">
        <v>22</v>
      </c>
      <c r="M33" s="30">
        <v>114987.15</v>
      </c>
      <c r="N33" s="30"/>
      <c r="O33" s="37"/>
    </row>
    <row r="34" spans="1:15" ht="40.799999999999997" outlineLevel="1" x14ac:dyDescent="0.2">
      <c r="A34" s="5" t="s">
        <v>56</v>
      </c>
      <c r="B34" s="27" t="s">
        <v>59</v>
      </c>
      <c r="C34" s="27"/>
      <c r="D34" s="6" t="s">
        <v>60</v>
      </c>
      <c r="E34" s="6" t="s">
        <v>38</v>
      </c>
      <c r="F34" s="5" t="s">
        <v>19</v>
      </c>
      <c r="G34" s="28">
        <v>11312.38</v>
      </c>
      <c r="H34" s="28"/>
      <c r="I34" s="5" t="s">
        <v>20</v>
      </c>
      <c r="J34" s="29" t="s">
        <v>21</v>
      </c>
      <c r="K34" s="29"/>
      <c r="L34" s="7" t="s">
        <v>22</v>
      </c>
      <c r="M34" s="30">
        <v>126299.53</v>
      </c>
      <c r="N34" s="30"/>
      <c r="O34" s="37"/>
    </row>
    <row r="35" spans="1:15" ht="40.799999999999997" outlineLevel="1" x14ac:dyDescent="0.2">
      <c r="A35" s="5" t="s">
        <v>56</v>
      </c>
      <c r="B35" s="27" t="s">
        <v>61</v>
      </c>
      <c r="C35" s="27"/>
      <c r="D35" s="6" t="s">
        <v>46</v>
      </c>
      <c r="E35" s="6" t="s">
        <v>18</v>
      </c>
      <c r="F35" s="5" t="s">
        <v>19</v>
      </c>
      <c r="G35" s="28">
        <v>10436</v>
      </c>
      <c r="H35" s="28"/>
      <c r="I35" s="5" t="s">
        <v>20</v>
      </c>
      <c r="J35" s="29" t="s">
        <v>21</v>
      </c>
      <c r="K35" s="29"/>
      <c r="L35" s="7" t="s">
        <v>22</v>
      </c>
      <c r="M35" s="30">
        <v>136735.53</v>
      </c>
      <c r="N35" s="30"/>
      <c r="O35" s="37"/>
    </row>
    <row r="36" spans="1:15" ht="40.799999999999997" outlineLevel="1" x14ac:dyDescent="0.2">
      <c r="A36" s="5" t="s">
        <v>56</v>
      </c>
      <c r="B36" s="27" t="s">
        <v>62</v>
      </c>
      <c r="C36" s="27"/>
      <c r="D36" s="6" t="s">
        <v>49</v>
      </c>
      <c r="E36" s="6" t="s">
        <v>18</v>
      </c>
      <c r="F36" s="5" t="s">
        <v>19</v>
      </c>
      <c r="G36" s="28">
        <v>8423.4</v>
      </c>
      <c r="H36" s="28"/>
      <c r="I36" s="5" t="s">
        <v>20</v>
      </c>
      <c r="J36" s="29" t="s">
        <v>21</v>
      </c>
      <c r="K36" s="29"/>
      <c r="L36" s="7" t="s">
        <v>22</v>
      </c>
      <c r="M36" s="30">
        <v>145158.93</v>
      </c>
      <c r="N36" s="30"/>
      <c r="O36" s="37"/>
    </row>
    <row r="37" spans="1:15" ht="51" outlineLevel="1" x14ac:dyDescent="0.2">
      <c r="A37" s="5" t="s">
        <v>63</v>
      </c>
      <c r="B37" s="27" t="s">
        <v>64</v>
      </c>
      <c r="C37" s="27"/>
      <c r="D37" s="6" t="s">
        <v>65</v>
      </c>
      <c r="E37" s="6" t="s">
        <v>58</v>
      </c>
      <c r="F37" s="5" t="s">
        <v>32</v>
      </c>
      <c r="G37" s="31" t="s">
        <v>21</v>
      </c>
      <c r="H37" s="31"/>
      <c r="I37" s="5" t="s">
        <v>19</v>
      </c>
      <c r="J37" s="30">
        <v>51655.7</v>
      </c>
      <c r="K37" s="30"/>
      <c r="L37" s="7" t="s">
        <v>22</v>
      </c>
      <c r="M37" s="30">
        <v>93503.23</v>
      </c>
      <c r="N37" s="30"/>
      <c r="O37" s="37"/>
    </row>
    <row r="38" spans="1:15" ht="40.799999999999997" outlineLevel="1" x14ac:dyDescent="0.2">
      <c r="A38" s="5" t="s">
        <v>63</v>
      </c>
      <c r="B38" s="27" t="s">
        <v>66</v>
      </c>
      <c r="C38" s="27"/>
      <c r="D38" s="6" t="s">
        <v>58</v>
      </c>
      <c r="E38" s="6" t="s">
        <v>58</v>
      </c>
      <c r="F38" s="5" t="s">
        <v>27</v>
      </c>
      <c r="G38" s="31" t="s">
        <v>21</v>
      </c>
      <c r="H38" s="31"/>
      <c r="I38" s="5" t="s">
        <v>19</v>
      </c>
      <c r="J38" s="30">
        <v>10331.14</v>
      </c>
      <c r="K38" s="30"/>
      <c r="L38" s="7" t="s">
        <v>22</v>
      </c>
      <c r="M38" s="30">
        <v>83172.09</v>
      </c>
      <c r="N38" s="30"/>
    </row>
    <row r="39" spans="1:15" ht="61.2" outlineLevel="1" x14ac:dyDescent="0.2">
      <c r="A39" s="5" t="s">
        <v>63</v>
      </c>
      <c r="B39" s="27" t="s">
        <v>64</v>
      </c>
      <c r="C39" s="27"/>
      <c r="D39" s="6" t="s">
        <v>67</v>
      </c>
      <c r="E39" s="6" t="s">
        <v>58</v>
      </c>
      <c r="F39" s="5" t="s">
        <v>32</v>
      </c>
      <c r="G39" s="31" t="s">
        <v>21</v>
      </c>
      <c r="H39" s="31"/>
      <c r="I39" s="5" t="s">
        <v>19</v>
      </c>
      <c r="J39" s="30">
        <v>106011.64</v>
      </c>
      <c r="K39" s="30"/>
      <c r="L39" s="7" t="s">
        <v>33</v>
      </c>
      <c r="M39" s="30">
        <v>22839.55</v>
      </c>
      <c r="N39" s="30"/>
      <c r="O39" s="37"/>
    </row>
    <row r="40" spans="1:15" ht="40.799999999999997" outlineLevel="1" x14ac:dyDescent="0.2">
      <c r="A40" s="5" t="s">
        <v>63</v>
      </c>
      <c r="B40" s="27" t="s">
        <v>68</v>
      </c>
      <c r="C40" s="27"/>
      <c r="D40" s="6" t="s">
        <v>58</v>
      </c>
      <c r="E40" s="6" t="s">
        <v>58</v>
      </c>
      <c r="F40" s="5" t="s">
        <v>35</v>
      </c>
      <c r="G40" s="31" t="s">
        <v>21</v>
      </c>
      <c r="H40" s="31"/>
      <c r="I40" s="5" t="s">
        <v>19</v>
      </c>
      <c r="J40" s="30">
        <v>1743.23</v>
      </c>
      <c r="K40" s="30"/>
      <c r="L40" s="7" t="s">
        <v>33</v>
      </c>
      <c r="M40" s="30">
        <v>24582.78</v>
      </c>
      <c r="N40" s="30"/>
    </row>
    <row r="41" spans="1:15" ht="40.799999999999997" outlineLevel="1" x14ac:dyDescent="0.2">
      <c r="A41" s="5" t="s">
        <v>63</v>
      </c>
      <c r="B41" s="27" t="s">
        <v>69</v>
      </c>
      <c r="C41" s="27"/>
      <c r="D41" s="6" t="s">
        <v>58</v>
      </c>
      <c r="E41" s="6" t="s">
        <v>58</v>
      </c>
      <c r="F41" s="5" t="s">
        <v>27</v>
      </c>
      <c r="G41" s="31" t="s">
        <v>21</v>
      </c>
      <c r="H41" s="31"/>
      <c r="I41" s="5" t="s">
        <v>19</v>
      </c>
      <c r="J41" s="30">
        <v>10459.370000000001</v>
      </c>
      <c r="K41" s="30"/>
      <c r="L41" s="7" t="s">
        <v>33</v>
      </c>
      <c r="M41" s="30">
        <v>35042.15</v>
      </c>
      <c r="N41" s="30"/>
    </row>
    <row r="42" spans="1:15" ht="40.799999999999997" outlineLevel="1" x14ac:dyDescent="0.2">
      <c r="A42" s="5" t="s">
        <v>63</v>
      </c>
      <c r="B42" s="27" t="s">
        <v>70</v>
      </c>
      <c r="C42" s="27"/>
      <c r="D42" s="6" t="s">
        <v>58</v>
      </c>
      <c r="E42" s="6" t="s">
        <v>58</v>
      </c>
      <c r="F42" s="5" t="s">
        <v>27</v>
      </c>
      <c r="G42" s="31" t="s">
        <v>21</v>
      </c>
      <c r="H42" s="31"/>
      <c r="I42" s="5" t="s">
        <v>19</v>
      </c>
      <c r="J42" s="30">
        <v>8999.73</v>
      </c>
      <c r="K42" s="30"/>
      <c r="L42" s="7" t="s">
        <v>33</v>
      </c>
      <c r="M42" s="30">
        <v>44041.88</v>
      </c>
      <c r="N42" s="30"/>
    </row>
    <row r="43" spans="1:15" ht="51" outlineLevel="1" x14ac:dyDescent="0.2">
      <c r="A43" s="5" t="s">
        <v>63</v>
      </c>
      <c r="B43" s="27" t="s">
        <v>71</v>
      </c>
      <c r="C43" s="27"/>
      <c r="D43" s="6" t="s">
        <v>72</v>
      </c>
      <c r="E43" s="6" t="s">
        <v>58</v>
      </c>
      <c r="F43" s="5" t="s">
        <v>32</v>
      </c>
      <c r="G43" s="31" t="s">
        <v>21</v>
      </c>
      <c r="H43" s="31"/>
      <c r="I43" s="5" t="s">
        <v>19</v>
      </c>
      <c r="J43" s="30">
        <v>28521.66</v>
      </c>
      <c r="K43" s="30"/>
      <c r="L43" s="7" t="s">
        <v>33</v>
      </c>
      <c r="M43" s="30">
        <v>72563.539999999994</v>
      </c>
      <c r="N43" s="30"/>
      <c r="O43" s="37"/>
    </row>
    <row r="44" spans="1:15" ht="40.799999999999997" outlineLevel="1" x14ac:dyDescent="0.2">
      <c r="A44" s="5" t="s">
        <v>63</v>
      </c>
      <c r="B44" s="27" t="s">
        <v>73</v>
      </c>
      <c r="C44" s="27"/>
      <c r="D44" s="6" t="s">
        <v>58</v>
      </c>
      <c r="E44" s="6" t="s">
        <v>58</v>
      </c>
      <c r="F44" s="5" t="s">
        <v>35</v>
      </c>
      <c r="G44" s="31" t="s">
        <v>21</v>
      </c>
      <c r="H44" s="31"/>
      <c r="I44" s="5" t="s">
        <v>19</v>
      </c>
      <c r="J44" s="30">
        <v>5704.33</v>
      </c>
      <c r="K44" s="30"/>
      <c r="L44" s="7" t="s">
        <v>33</v>
      </c>
      <c r="M44" s="30">
        <v>78267.87</v>
      </c>
      <c r="N44" s="30"/>
    </row>
    <row r="45" spans="1:15" ht="51" outlineLevel="1" x14ac:dyDescent="0.2">
      <c r="A45" s="5" t="s">
        <v>63</v>
      </c>
      <c r="B45" s="27" t="s">
        <v>74</v>
      </c>
      <c r="C45" s="27"/>
      <c r="D45" s="6" t="s">
        <v>75</v>
      </c>
      <c r="E45" s="6" t="s">
        <v>60</v>
      </c>
      <c r="F45" s="5" t="s">
        <v>32</v>
      </c>
      <c r="G45" s="31" t="s">
        <v>21</v>
      </c>
      <c r="H45" s="31"/>
      <c r="I45" s="5" t="s">
        <v>19</v>
      </c>
      <c r="J45" s="30">
        <v>8557.4</v>
      </c>
      <c r="K45" s="30"/>
      <c r="L45" s="7" t="s">
        <v>33</v>
      </c>
      <c r="M45" s="30">
        <v>86825.27</v>
      </c>
      <c r="N45" s="30"/>
      <c r="O45" s="37"/>
    </row>
    <row r="46" spans="1:15" ht="40.799999999999997" outlineLevel="1" x14ac:dyDescent="0.2">
      <c r="A46" s="5" t="s">
        <v>63</v>
      </c>
      <c r="B46" s="27" t="s">
        <v>76</v>
      </c>
      <c r="C46" s="27"/>
      <c r="D46" s="6" t="s">
        <v>60</v>
      </c>
      <c r="E46" s="6" t="s">
        <v>60</v>
      </c>
      <c r="F46" s="5" t="s">
        <v>27</v>
      </c>
      <c r="G46" s="31" t="s">
        <v>21</v>
      </c>
      <c r="H46" s="31"/>
      <c r="I46" s="5" t="s">
        <v>19</v>
      </c>
      <c r="J46" s="30">
        <v>1711.48</v>
      </c>
      <c r="K46" s="30"/>
      <c r="L46" s="7" t="s">
        <v>33</v>
      </c>
      <c r="M46" s="30">
        <v>88536.75</v>
      </c>
      <c r="N46" s="30"/>
    </row>
    <row r="47" spans="1:15" ht="51" outlineLevel="1" x14ac:dyDescent="0.2">
      <c r="A47" s="5" t="s">
        <v>77</v>
      </c>
      <c r="B47" s="27" t="s">
        <v>78</v>
      </c>
      <c r="C47" s="27"/>
      <c r="D47" s="6" t="s">
        <v>24</v>
      </c>
      <c r="E47" s="6" t="s">
        <v>79</v>
      </c>
      <c r="F47" s="5" t="s">
        <v>25</v>
      </c>
      <c r="G47" s="31" t="s">
        <v>21</v>
      </c>
      <c r="H47" s="31"/>
      <c r="I47" s="5" t="s">
        <v>19</v>
      </c>
      <c r="J47" s="30">
        <v>5351.5</v>
      </c>
      <c r="K47" s="30"/>
      <c r="L47" s="7" t="s">
        <v>33</v>
      </c>
      <c r="M47" s="30">
        <v>93888.25</v>
      </c>
      <c r="N47" s="30"/>
    </row>
    <row r="48" spans="1:15" ht="40.799999999999997" outlineLevel="1" x14ac:dyDescent="0.2">
      <c r="A48" s="5" t="s">
        <v>77</v>
      </c>
      <c r="B48" s="27" t="s">
        <v>80</v>
      </c>
      <c r="C48" s="27"/>
      <c r="D48" s="6" t="s">
        <v>79</v>
      </c>
      <c r="E48" s="6" t="s">
        <v>79</v>
      </c>
      <c r="F48" s="5" t="s">
        <v>35</v>
      </c>
      <c r="G48" s="31" t="s">
        <v>21</v>
      </c>
      <c r="H48" s="31"/>
      <c r="I48" s="5" t="s">
        <v>19</v>
      </c>
      <c r="J48" s="30">
        <v>1070.3</v>
      </c>
      <c r="K48" s="30"/>
      <c r="L48" s="7" t="s">
        <v>33</v>
      </c>
      <c r="M48" s="30">
        <v>94958.55</v>
      </c>
      <c r="N48" s="30"/>
    </row>
    <row r="49" spans="1:15" ht="51" outlineLevel="1" x14ac:dyDescent="0.2">
      <c r="A49" s="5" t="s">
        <v>77</v>
      </c>
      <c r="B49" s="27" t="s">
        <v>78</v>
      </c>
      <c r="C49" s="27"/>
      <c r="D49" s="6" t="s">
        <v>24</v>
      </c>
      <c r="E49" s="6" t="s">
        <v>79</v>
      </c>
      <c r="F49" s="5" t="s">
        <v>25</v>
      </c>
      <c r="G49" s="31" t="s">
        <v>21</v>
      </c>
      <c r="H49" s="31"/>
      <c r="I49" s="5" t="s">
        <v>19</v>
      </c>
      <c r="J49" s="30">
        <v>2240.33</v>
      </c>
      <c r="K49" s="30"/>
      <c r="L49" s="7" t="s">
        <v>33</v>
      </c>
      <c r="M49" s="30">
        <v>97198.88</v>
      </c>
      <c r="N49" s="30"/>
    </row>
    <row r="50" spans="1:15" ht="40.799999999999997" outlineLevel="1" x14ac:dyDescent="0.2">
      <c r="A50" s="5" t="s">
        <v>77</v>
      </c>
      <c r="B50" s="27" t="s">
        <v>80</v>
      </c>
      <c r="C50" s="27"/>
      <c r="D50" s="6" t="s">
        <v>79</v>
      </c>
      <c r="E50" s="6" t="s">
        <v>79</v>
      </c>
      <c r="F50" s="5" t="s">
        <v>35</v>
      </c>
      <c r="G50" s="31" t="s">
        <v>21</v>
      </c>
      <c r="H50" s="31"/>
      <c r="I50" s="5" t="s">
        <v>19</v>
      </c>
      <c r="J50" s="32">
        <v>448.07</v>
      </c>
      <c r="K50" s="32"/>
      <c r="L50" s="7" t="s">
        <v>33</v>
      </c>
      <c r="M50" s="30">
        <v>97646.95</v>
      </c>
      <c r="N50" s="30"/>
    </row>
    <row r="51" spans="1:15" ht="51" outlineLevel="1" x14ac:dyDescent="0.2">
      <c r="A51" s="5" t="s">
        <v>77</v>
      </c>
      <c r="B51" s="27" t="s">
        <v>81</v>
      </c>
      <c r="C51" s="27"/>
      <c r="D51" s="6" t="s">
        <v>24</v>
      </c>
      <c r="E51" s="6" t="s">
        <v>82</v>
      </c>
      <c r="F51" s="5" t="s">
        <v>25</v>
      </c>
      <c r="G51" s="31" t="s">
        <v>21</v>
      </c>
      <c r="H51" s="31"/>
      <c r="I51" s="5" t="s">
        <v>19</v>
      </c>
      <c r="J51" s="30">
        <v>5351.5</v>
      </c>
      <c r="K51" s="30"/>
      <c r="L51" s="7" t="s">
        <v>33</v>
      </c>
      <c r="M51" s="30">
        <v>102998.45</v>
      </c>
      <c r="N51" s="30"/>
    </row>
    <row r="52" spans="1:15" ht="40.799999999999997" outlineLevel="1" x14ac:dyDescent="0.2">
      <c r="A52" s="5" t="s">
        <v>77</v>
      </c>
      <c r="B52" s="27" t="s">
        <v>83</v>
      </c>
      <c r="C52" s="27"/>
      <c r="D52" s="6" t="s">
        <v>82</v>
      </c>
      <c r="E52" s="6" t="s">
        <v>82</v>
      </c>
      <c r="F52" s="5" t="s">
        <v>35</v>
      </c>
      <c r="G52" s="31" t="s">
        <v>21</v>
      </c>
      <c r="H52" s="31"/>
      <c r="I52" s="5" t="s">
        <v>19</v>
      </c>
      <c r="J52" s="30">
        <v>1070.3</v>
      </c>
      <c r="K52" s="30"/>
      <c r="L52" s="7" t="s">
        <v>33</v>
      </c>
      <c r="M52" s="30">
        <v>104068.75</v>
      </c>
      <c r="N52" s="30"/>
    </row>
    <row r="53" spans="1:15" ht="51" outlineLevel="1" x14ac:dyDescent="0.2">
      <c r="A53" s="5" t="s">
        <v>77</v>
      </c>
      <c r="B53" s="27" t="s">
        <v>81</v>
      </c>
      <c r="C53" s="27"/>
      <c r="D53" s="6" t="s">
        <v>24</v>
      </c>
      <c r="E53" s="6" t="s">
        <v>82</v>
      </c>
      <c r="F53" s="5" t="s">
        <v>25</v>
      </c>
      <c r="G53" s="31" t="s">
        <v>21</v>
      </c>
      <c r="H53" s="31"/>
      <c r="I53" s="5" t="s">
        <v>19</v>
      </c>
      <c r="J53" s="30">
        <v>2240.33</v>
      </c>
      <c r="K53" s="30"/>
      <c r="L53" s="7" t="s">
        <v>33</v>
      </c>
      <c r="M53" s="30">
        <v>106309.08</v>
      </c>
      <c r="N53" s="30"/>
    </row>
    <row r="54" spans="1:15" ht="40.799999999999997" outlineLevel="1" x14ac:dyDescent="0.2">
      <c r="A54" s="5" t="s">
        <v>77</v>
      </c>
      <c r="B54" s="27" t="s">
        <v>83</v>
      </c>
      <c r="C54" s="27"/>
      <c r="D54" s="6" t="s">
        <v>82</v>
      </c>
      <c r="E54" s="6" t="s">
        <v>82</v>
      </c>
      <c r="F54" s="5" t="s">
        <v>35</v>
      </c>
      <c r="G54" s="31" t="s">
        <v>21</v>
      </c>
      <c r="H54" s="31"/>
      <c r="I54" s="5" t="s">
        <v>19</v>
      </c>
      <c r="J54" s="32">
        <v>448.07</v>
      </c>
      <c r="K54" s="32"/>
      <c r="L54" s="7" t="s">
        <v>33</v>
      </c>
      <c r="M54" s="30">
        <v>106757.15</v>
      </c>
      <c r="N54" s="30"/>
    </row>
    <row r="55" spans="1:15" ht="51" outlineLevel="1" x14ac:dyDescent="0.2">
      <c r="A55" s="5" t="s">
        <v>77</v>
      </c>
      <c r="B55" s="27" t="s">
        <v>84</v>
      </c>
      <c r="C55" s="27"/>
      <c r="D55" s="6" t="s">
        <v>24</v>
      </c>
      <c r="E55" s="6" t="s">
        <v>60</v>
      </c>
      <c r="F55" s="5" t="s">
        <v>25</v>
      </c>
      <c r="G55" s="31" t="s">
        <v>21</v>
      </c>
      <c r="H55" s="31"/>
      <c r="I55" s="5" t="s">
        <v>19</v>
      </c>
      <c r="J55" s="32">
        <v>869.58</v>
      </c>
      <c r="K55" s="32"/>
      <c r="L55" s="7" t="s">
        <v>33</v>
      </c>
      <c r="M55" s="30">
        <v>107626.73</v>
      </c>
      <c r="N55" s="30"/>
    </row>
    <row r="56" spans="1:15" ht="40.799999999999997" outlineLevel="1" x14ac:dyDescent="0.2">
      <c r="A56" s="5" t="s">
        <v>77</v>
      </c>
      <c r="B56" s="27" t="s">
        <v>85</v>
      </c>
      <c r="C56" s="27"/>
      <c r="D56" s="6" t="s">
        <v>60</v>
      </c>
      <c r="E56" s="6" t="s">
        <v>60</v>
      </c>
      <c r="F56" s="5" t="s">
        <v>27</v>
      </c>
      <c r="G56" s="31" t="s">
        <v>21</v>
      </c>
      <c r="H56" s="31"/>
      <c r="I56" s="5" t="s">
        <v>19</v>
      </c>
      <c r="J56" s="32">
        <v>173.92</v>
      </c>
      <c r="K56" s="32"/>
      <c r="L56" s="7" t="s">
        <v>33</v>
      </c>
      <c r="M56" s="30">
        <v>107800.65</v>
      </c>
      <c r="N56" s="30"/>
    </row>
    <row r="57" spans="1:15" ht="40.799999999999997" outlineLevel="1" x14ac:dyDescent="0.2">
      <c r="A57" s="5" t="s">
        <v>86</v>
      </c>
      <c r="B57" s="27" t="s">
        <v>87</v>
      </c>
      <c r="C57" s="27"/>
      <c r="D57" s="6" t="s">
        <v>52</v>
      </c>
      <c r="E57" s="6" t="s">
        <v>18</v>
      </c>
      <c r="F57" s="5" t="s">
        <v>19</v>
      </c>
      <c r="G57" s="33">
        <v>834</v>
      </c>
      <c r="H57" s="33"/>
      <c r="I57" s="5" t="s">
        <v>20</v>
      </c>
      <c r="J57" s="29" t="s">
        <v>21</v>
      </c>
      <c r="K57" s="29"/>
      <c r="L57" s="7" t="s">
        <v>33</v>
      </c>
      <c r="M57" s="30">
        <v>106966.65</v>
      </c>
      <c r="N57" s="30"/>
      <c r="O57" s="37"/>
    </row>
    <row r="58" spans="1:15" ht="40.799999999999997" outlineLevel="1" x14ac:dyDescent="0.2">
      <c r="A58" s="5" t="s">
        <v>86</v>
      </c>
      <c r="B58" s="27" t="s">
        <v>88</v>
      </c>
      <c r="C58" s="27"/>
      <c r="D58" s="6" t="s">
        <v>31</v>
      </c>
      <c r="E58" s="6" t="s">
        <v>38</v>
      </c>
      <c r="F58" s="5" t="s">
        <v>19</v>
      </c>
      <c r="G58" s="28">
        <v>44060.88</v>
      </c>
      <c r="H58" s="28"/>
      <c r="I58" s="5" t="s">
        <v>20</v>
      </c>
      <c r="J58" s="29" t="s">
        <v>21</v>
      </c>
      <c r="K58" s="29"/>
      <c r="L58" s="7" t="s">
        <v>33</v>
      </c>
      <c r="M58" s="30">
        <v>62905.77</v>
      </c>
      <c r="N58" s="30"/>
      <c r="O58" s="37"/>
    </row>
    <row r="59" spans="1:15" ht="51" outlineLevel="1" x14ac:dyDescent="0.2">
      <c r="A59" s="5" t="s">
        <v>89</v>
      </c>
      <c r="B59" s="27" t="s">
        <v>90</v>
      </c>
      <c r="C59" s="27"/>
      <c r="D59" s="6" t="s">
        <v>24</v>
      </c>
      <c r="E59" s="6" t="s">
        <v>91</v>
      </c>
      <c r="F59" s="5" t="s">
        <v>25</v>
      </c>
      <c r="G59" s="31" t="s">
        <v>21</v>
      </c>
      <c r="H59" s="31"/>
      <c r="I59" s="5" t="s">
        <v>19</v>
      </c>
      <c r="J59" s="30">
        <v>4031</v>
      </c>
      <c r="K59" s="30"/>
      <c r="L59" s="7" t="s">
        <v>33</v>
      </c>
      <c r="M59" s="30">
        <v>66936.77</v>
      </c>
      <c r="N59" s="30"/>
    </row>
    <row r="60" spans="1:15" ht="40.799999999999997" outlineLevel="1" x14ac:dyDescent="0.2">
      <c r="A60" s="5" t="s">
        <v>89</v>
      </c>
      <c r="B60" s="27" t="s">
        <v>92</v>
      </c>
      <c r="C60" s="27"/>
      <c r="D60" s="6" t="s">
        <v>91</v>
      </c>
      <c r="E60" s="6" t="s">
        <v>91</v>
      </c>
      <c r="F60" s="5" t="s">
        <v>35</v>
      </c>
      <c r="G60" s="31" t="s">
        <v>21</v>
      </c>
      <c r="H60" s="31"/>
      <c r="I60" s="5" t="s">
        <v>19</v>
      </c>
      <c r="J60" s="32">
        <v>806.2</v>
      </c>
      <c r="K60" s="32"/>
      <c r="L60" s="7" t="s">
        <v>33</v>
      </c>
      <c r="M60" s="30">
        <v>67742.97</v>
      </c>
      <c r="N60" s="30"/>
    </row>
    <row r="61" spans="1:15" ht="51" outlineLevel="1" x14ac:dyDescent="0.2">
      <c r="A61" s="5" t="s">
        <v>89</v>
      </c>
      <c r="B61" s="27" t="s">
        <v>90</v>
      </c>
      <c r="C61" s="27"/>
      <c r="D61" s="6" t="s">
        <v>24</v>
      </c>
      <c r="E61" s="6" t="s">
        <v>91</v>
      </c>
      <c r="F61" s="5" t="s">
        <v>25</v>
      </c>
      <c r="G61" s="31" t="s">
        <v>21</v>
      </c>
      <c r="H61" s="31"/>
      <c r="I61" s="5" t="s">
        <v>19</v>
      </c>
      <c r="J61" s="30">
        <v>2068</v>
      </c>
      <c r="K61" s="30"/>
      <c r="L61" s="7" t="s">
        <v>33</v>
      </c>
      <c r="M61" s="30">
        <v>69810.97</v>
      </c>
      <c r="N61" s="30"/>
    </row>
    <row r="62" spans="1:15" ht="40.799999999999997" outlineLevel="1" x14ac:dyDescent="0.2">
      <c r="A62" s="5" t="s">
        <v>89</v>
      </c>
      <c r="B62" s="27" t="s">
        <v>92</v>
      </c>
      <c r="C62" s="27"/>
      <c r="D62" s="6" t="s">
        <v>91</v>
      </c>
      <c r="E62" s="6" t="s">
        <v>91</v>
      </c>
      <c r="F62" s="5" t="s">
        <v>35</v>
      </c>
      <c r="G62" s="31" t="s">
        <v>21</v>
      </c>
      <c r="H62" s="31"/>
      <c r="I62" s="5" t="s">
        <v>19</v>
      </c>
      <c r="J62" s="32">
        <v>413.6</v>
      </c>
      <c r="K62" s="32"/>
      <c r="L62" s="7" t="s">
        <v>33</v>
      </c>
      <c r="M62" s="30">
        <v>70224.570000000007</v>
      </c>
      <c r="N62" s="30"/>
    </row>
    <row r="63" spans="1:15" ht="51" outlineLevel="1" x14ac:dyDescent="0.2">
      <c r="A63" s="5" t="s">
        <v>93</v>
      </c>
      <c r="B63" s="27" t="s">
        <v>94</v>
      </c>
      <c r="C63" s="27"/>
      <c r="D63" s="6" t="s">
        <v>24</v>
      </c>
      <c r="E63" s="6" t="s">
        <v>95</v>
      </c>
      <c r="F63" s="5" t="s">
        <v>25</v>
      </c>
      <c r="G63" s="31" t="s">
        <v>21</v>
      </c>
      <c r="H63" s="31"/>
      <c r="I63" s="5" t="s">
        <v>19</v>
      </c>
      <c r="J63" s="30">
        <v>5768.5</v>
      </c>
      <c r="K63" s="30"/>
      <c r="L63" s="7" t="s">
        <v>33</v>
      </c>
      <c r="M63" s="30">
        <v>75993.070000000007</v>
      </c>
      <c r="N63" s="30"/>
    </row>
    <row r="64" spans="1:15" ht="40.799999999999997" outlineLevel="1" x14ac:dyDescent="0.2">
      <c r="A64" s="5" t="s">
        <v>93</v>
      </c>
      <c r="B64" s="27" t="s">
        <v>96</v>
      </c>
      <c r="C64" s="27"/>
      <c r="D64" s="6" t="s">
        <v>95</v>
      </c>
      <c r="E64" s="6" t="s">
        <v>95</v>
      </c>
      <c r="F64" s="5" t="s">
        <v>35</v>
      </c>
      <c r="G64" s="31" t="s">
        <v>21</v>
      </c>
      <c r="H64" s="31"/>
      <c r="I64" s="5" t="s">
        <v>19</v>
      </c>
      <c r="J64" s="30">
        <v>1153.7</v>
      </c>
      <c r="K64" s="30"/>
      <c r="L64" s="7" t="s">
        <v>33</v>
      </c>
      <c r="M64" s="30">
        <v>77146.77</v>
      </c>
      <c r="N64" s="30"/>
    </row>
    <row r="65" spans="1:14" ht="13.2" x14ac:dyDescent="0.2">
      <c r="A65" s="34" t="s">
        <v>97</v>
      </c>
      <c r="B65" s="34"/>
      <c r="C65" s="34"/>
      <c r="D65" s="34"/>
      <c r="E65" s="34"/>
      <c r="F65" s="35">
        <v>439161.83</v>
      </c>
      <c r="G65" s="35"/>
      <c r="H65" s="35"/>
      <c r="I65" s="35">
        <v>516308.6</v>
      </c>
      <c r="J65" s="35"/>
      <c r="K65" s="35"/>
      <c r="L65" s="11" t="s">
        <v>33</v>
      </c>
      <c r="M65" s="36">
        <v>77146.77</v>
      </c>
      <c r="N65" s="36"/>
    </row>
    <row r="67" spans="1:14" x14ac:dyDescent="0.2">
      <c r="H67" s="39">
        <f>SUBTOTAL(9,G11:H64)</f>
        <v>439161.83000000007</v>
      </c>
      <c r="K67" s="39">
        <f>SUBTOTAL(9,J11:K64)</f>
        <v>516308.6</v>
      </c>
    </row>
  </sheetData>
  <autoFilter ref="A10:O65" xr:uid="{579FEF29-B196-45A3-B192-D4B28FB56829}">
    <filterColumn colId="12" showButton="0"/>
  </autoFilter>
  <mergeCells count="235">
    <mergeCell ref="B64:C64"/>
    <mergeCell ref="G64:H64"/>
    <mergeCell ref="J64:K64"/>
    <mergeCell ref="M64:N64"/>
    <mergeCell ref="A65:E65"/>
    <mergeCell ref="F65:H65"/>
    <mergeCell ref="I65:K65"/>
    <mergeCell ref="M65:N65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2025-05-16T11:54:51Z</dcterms:modified>
</cp:coreProperties>
</file>
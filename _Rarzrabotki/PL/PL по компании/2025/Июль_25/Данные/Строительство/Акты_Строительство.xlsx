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ль_25\Данные\Строительство\"/>
    </mc:Choice>
  </mc:AlternateContent>
  <xr:revisionPtr revIDLastSave="0" documentId="13_ncr:1_{2F198629-0A2E-4611-96AE-A7118D09BD4E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6" i="1" l="1"/>
  <c r="D85" i="1"/>
  <c r="D84" i="1"/>
  <c r="D83" i="1"/>
  <c r="D82" i="1"/>
  <c r="D81" i="1"/>
  <c r="D78" i="1"/>
</calcChain>
</file>

<file path=xl/sharedStrings.xml><?xml version="1.0" encoding="utf-8"?>
<sst xmlns="http://schemas.openxmlformats.org/spreadsheetml/2006/main" count="621" uniqueCount="248">
  <si>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</si>
  <si>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</si>
  <si>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</si>
  <si>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</si>
  <si>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</si>
  <si>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</si>
  <si>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</si>
  <si>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</si>
  <si>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</si>
  <si>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01.07.2025 14:41:43</t>
  </si>
  <si>
    <t>ІБ00-000420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</si>
  <si>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</si>
  <si>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</si>
  <si>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</si>
  <si>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</si>
  <si>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</si>
  <si>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 xml:space="preserve"> Акт 18/1.14-КМ (Котельня)</t>
  </si>
  <si>
    <t>01.07.2025 21:32:49</t>
  </si>
  <si>
    <t>ІБ00-000399</t>
  </si>
  <si>
    <t>КАТЕРИНОПІЛЬСЬКИЙ ЕЛЕВАТОР ТОВ</t>
  </si>
  <si>
    <t>Виробничий (Катеринопіль МХП)</t>
  </si>
  <si>
    <t>Акт 13</t>
  </si>
  <si>
    <t>02.07.2025 15:46:53</t>
  </si>
  <si>
    <t>ІБ00-000367</t>
  </si>
  <si>
    <t>РЕТАЛ УКРАЇНА ТОВ</t>
  </si>
  <si>
    <t>Виробничий (Ретал ГПУ)</t>
  </si>
  <si>
    <t>Акт № 7 (Ду 2)  Договір підряду №28/07/22 від 28.07.2022  Счёт под оплату</t>
  </si>
  <si>
    <t>03.07.2025 14:49:16</t>
  </si>
  <si>
    <t>ІБ00-000349</t>
  </si>
  <si>
    <t>Акт 19/1.3-ТХ (Цех екстракції поз. 3 ГБ)</t>
  </si>
  <si>
    <t>03.07.2025 14:50:26</t>
  </si>
  <si>
    <t>ІБ00-000350</t>
  </si>
  <si>
    <t>Акт 56/1.3-КМ(Цех екстракції поз. 3 ГБ)</t>
  </si>
  <si>
    <t>03.07.2025 14:51:06</t>
  </si>
  <si>
    <t>ІБ00-000351</t>
  </si>
  <si>
    <t xml:space="preserve"> Акт 12/1.10-КБ</t>
  </si>
  <si>
    <t>03.07.2025 14:51:34</t>
  </si>
  <si>
    <t>ІБ00-000352</t>
  </si>
  <si>
    <t xml:space="preserve"> Акт 12/1.1-КБ (АПК)</t>
  </si>
  <si>
    <t>03.07.2025 14:53:26</t>
  </si>
  <si>
    <t>ІБ00-000353</t>
  </si>
  <si>
    <t xml:space="preserve"> Акт 1/1.12-КМ меляса</t>
  </si>
  <si>
    <t>03.07.2025 14:54:30</t>
  </si>
  <si>
    <t>ІБ00-000354</t>
  </si>
  <si>
    <t xml:space="preserve"> Акт 10/1.14-АР (Котельня)</t>
  </si>
  <si>
    <t>03.07.2025 14:55:08</t>
  </si>
  <si>
    <t>ІБ00-000355</t>
  </si>
  <si>
    <t xml:space="preserve"> Акт 8/1.9-КМ (СПК)</t>
  </si>
  <si>
    <t>03.07.2025 14:55:46</t>
  </si>
  <si>
    <t>ІБ00-000356</t>
  </si>
  <si>
    <t xml:space="preserve"> Акт 16/1.9-ЗБ</t>
  </si>
  <si>
    <t>03.07.2025 14:56:19</t>
  </si>
  <si>
    <t>ІБ00-000357</t>
  </si>
  <si>
    <t>Акт 30/1.3-КБ(Цех екстракції поз. 3 ГБ)</t>
  </si>
  <si>
    <t>03.07.2025 14:57:42</t>
  </si>
  <si>
    <t>ІБ00-000358</t>
  </si>
  <si>
    <t>Акт 12/1.16-КБ (Насосна пожежогасіння поз.7 по ГП)</t>
  </si>
  <si>
    <t>03.07.2025 14:58:43</t>
  </si>
  <si>
    <t>ІБ00-000359</t>
  </si>
  <si>
    <t xml:space="preserve"> Акт 13/1.26_Б</t>
  </si>
  <si>
    <t>03.07.2025 14:59:49</t>
  </si>
  <si>
    <t>ІБ00-000360</t>
  </si>
  <si>
    <t xml:space="preserve"> Акт 14/1.26_Б</t>
  </si>
  <si>
    <t>03.07.2025 16:34:59</t>
  </si>
  <si>
    <t>ІБ00-000342</t>
  </si>
  <si>
    <t>Акт 18/1.3-ТХ (Цех екстракції поз. 3 ГБ)</t>
  </si>
  <si>
    <t>03.07.2025 23:00:07</t>
  </si>
  <si>
    <t>ІБ00-000398</t>
  </si>
  <si>
    <t>Акт 4 № 09/05/2025ВО від 09.05.2025</t>
  </si>
  <si>
    <t>04.07.2025 12:02:51</t>
  </si>
  <si>
    <t>ІБ00-000368</t>
  </si>
  <si>
    <t>Акт 3 (Охолодження макухи)</t>
  </si>
  <si>
    <t>07.07.2025 09:41:05</t>
  </si>
  <si>
    <t>ІБ00-000377</t>
  </si>
  <si>
    <t>НІЖИНСЬКИЙ ЖИРКОМБІНАТ ПрАТ</t>
  </si>
  <si>
    <t>Виробничий (Ніжин-4)</t>
  </si>
  <si>
    <t>Акт 2</t>
  </si>
  <si>
    <t>07.07.2025 09:41:55</t>
  </si>
  <si>
    <t>ІБ00-000378</t>
  </si>
  <si>
    <t>Акт 3</t>
  </si>
  <si>
    <t>07.07.2025 09:43:14</t>
  </si>
  <si>
    <t>ІБ00-000379</t>
  </si>
  <si>
    <t>Акт 4</t>
  </si>
  <si>
    <t>07.07.2025 09:43:37</t>
  </si>
  <si>
    <t>ІБ00-000380</t>
  </si>
  <si>
    <t>Акт 5</t>
  </si>
  <si>
    <t>07.07.2025 21:33:19</t>
  </si>
  <si>
    <t>ІБ00-000414</t>
  </si>
  <si>
    <t>Акт 3 ДУ 2 від 24.03.2025 (насосна,градирня)</t>
  </si>
  <si>
    <t>08.07.2025 15:40:46</t>
  </si>
  <si>
    <t>ІБ00-000369</t>
  </si>
  <si>
    <t xml:space="preserve"> Акт 9/1.9-КМ (СПК)</t>
  </si>
  <si>
    <t>08.07.2025 15:41:48</t>
  </si>
  <si>
    <t>ІБ00-000370</t>
  </si>
  <si>
    <t xml:space="preserve"> Акт 17/1.9-ЗБ</t>
  </si>
  <si>
    <t>08.07.2025 15:42:32</t>
  </si>
  <si>
    <t>ІБ00-000371</t>
  </si>
  <si>
    <t xml:space="preserve"> Акт 2/1.12-КМ меляса</t>
  </si>
  <si>
    <t>08.07.2025 15:43:02</t>
  </si>
  <si>
    <t>ІБ00-000372</t>
  </si>
  <si>
    <t>Акт 57/1.3-КМ(Цех екстракції поз. 3 ГБ)</t>
  </si>
  <si>
    <t>08.07.2025 15:44:34</t>
  </si>
  <si>
    <t>ІБ00-000373</t>
  </si>
  <si>
    <t xml:space="preserve"> Акт 13/1.1-КБ (АПК)</t>
  </si>
  <si>
    <t>08.07.2025 15:46:08</t>
  </si>
  <si>
    <t>ІБ00-000374</t>
  </si>
  <si>
    <t xml:space="preserve"> Акт 23/1.9-КБ (СПК)</t>
  </si>
  <si>
    <t>08.07.2025 15:49:28</t>
  </si>
  <si>
    <t>ІБ00-000375</t>
  </si>
  <si>
    <t>Акт 13/1.16-КБ (Насосна пожежогасіння поз.7 по ГП)</t>
  </si>
  <si>
    <t>08.07.2025 15:49:32</t>
  </si>
  <si>
    <t>ІБ00-000361</t>
  </si>
  <si>
    <t>Акт 20/1.3-ТХ (Цех екстракції поз. 3 ГБ)</t>
  </si>
  <si>
    <t>09.07.2025 17:59:47</t>
  </si>
  <si>
    <t>ІБ00-000391</t>
  </si>
  <si>
    <t>Акт 2 (Транспортна галерея)</t>
  </si>
  <si>
    <t>14.07.2025 07:52:37</t>
  </si>
  <si>
    <t>ІБ00-000383</t>
  </si>
  <si>
    <t xml:space="preserve"> Акт 24/1.9-КБ (СПК)</t>
  </si>
  <si>
    <t>14.07.2025 07:53:08</t>
  </si>
  <si>
    <t>ІБ00-000384</t>
  </si>
  <si>
    <t xml:space="preserve"> Акт 13/1.10-КБ</t>
  </si>
  <si>
    <t>14.07.2025 07:55:01</t>
  </si>
  <si>
    <t>ІБ00-000386</t>
  </si>
  <si>
    <t xml:space="preserve"> Акт 11/1.14-АР (Котельня)</t>
  </si>
  <si>
    <t>14.07.2025 07:55:41</t>
  </si>
  <si>
    <t>ІБ00-000387</t>
  </si>
  <si>
    <t>Акт 14/1.16-КБ (Насосна пожежогасіння поз.7 по ГП)</t>
  </si>
  <si>
    <t>14.07.2025 07:56:38</t>
  </si>
  <si>
    <t>ІБ00-000388</t>
  </si>
  <si>
    <t xml:space="preserve"> Акт 10/1.9-КМ (СПК)</t>
  </si>
  <si>
    <t>14.07.2025 07:58:30</t>
  </si>
  <si>
    <t>ІБ00-000389</t>
  </si>
  <si>
    <t>Акт 58/1.3-КМ(Цех екстракції поз. 3 ГБ)</t>
  </si>
  <si>
    <t>14.07.2025 08:02:42</t>
  </si>
  <si>
    <t>ІБ00-000390</t>
  </si>
  <si>
    <t xml:space="preserve"> Акт 14/1.1-КБ (АПК)</t>
  </si>
  <si>
    <t>14.07.2025 09:49:06</t>
  </si>
  <si>
    <t>ІБ00-000392</t>
  </si>
  <si>
    <t>Акт 22/1.3-ТХ (Цех екстракції поз. 3 ГБ)</t>
  </si>
  <si>
    <t>15.07.2025 18:50:19</t>
  </si>
  <si>
    <t>ІБ00-000400</t>
  </si>
  <si>
    <t>Акт 5 № 09/05/2025ВО від 09.05.2025</t>
  </si>
  <si>
    <t>15.07.2025 18:50:42</t>
  </si>
  <si>
    <t>ІБ00-000415</t>
  </si>
  <si>
    <t>Акт 14</t>
  </si>
  <si>
    <t>24.07.2025 07:54:19</t>
  </si>
  <si>
    <t>ІБ00-000385</t>
  </si>
  <si>
    <t xml:space="preserve"> Акт 1/1.10-ЗБ</t>
  </si>
  <si>
    <t>24.07.2025 09:49:49</t>
  </si>
  <si>
    <t>ІБ00-000393</t>
  </si>
  <si>
    <t>Акт 23/1.3-ТХ (Цех екстракції поз. 3 ГБ)</t>
  </si>
  <si>
    <t>24.07.2025 12:43:33</t>
  </si>
  <si>
    <t>ІБ00-000402</t>
  </si>
  <si>
    <t xml:space="preserve"> Акт 11/1.9-КМ (СПК)</t>
  </si>
  <si>
    <t>24.07.2025 12:44:11</t>
  </si>
  <si>
    <t>ІБ00-000403</t>
  </si>
  <si>
    <t xml:space="preserve"> Акт 12/1.14-АР (Котельня)</t>
  </si>
  <si>
    <t>24.07.2025 12:44:55</t>
  </si>
  <si>
    <t>ІБ00-000404</t>
  </si>
  <si>
    <t>Акт 19/1.4-КБ (резервуар для зберігання розчинника)</t>
  </si>
  <si>
    <t>24.07.2025 12:45:26</t>
  </si>
  <si>
    <t>ІБ00-000405</t>
  </si>
  <si>
    <t xml:space="preserve"> Акт 14/1.10-КБ</t>
  </si>
  <si>
    <t>24.07.2025 12:45:54</t>
  </si>
  <si>
    <t>ІБ00-000406</t>
  </si>
  <si>
    <t>Акт 59/1.3-КМ(Цех екстракції поз. 3 ГБ)</t>
  </si>
  <si>
    <t>24.07.2025 12:46:27</t>
  </si>
  <si>
    <t>ІБ00-000407</t>
  </si>
  <si>
    <t xml:space="preserve"> Акт 25/1.9-КБ (СПК)</t>
  </si>
  <si>
    <t>24.07.2025 14:26:42</t>
  </si>
  <si>
    <t>ІБ00-000409</t>
  </si>
  <si>
    <t xml:space="preserve"> Акт 15/1.1-КБ (АПК) (печатка Глобине)</t>
  </si>
  <si>
    <t>24.07.2025 14:28:39</t>
  </si>
  <si>
    <t>ІБ00-000411</t>
  </si>
  <si>
    <t xml:space="preserve"> Акт 1/1.1-АР</t>
  </si>
  <si>
    <t>24.07.2025 15:53:19</t>
  </si>
  <si>
    <t>ІБ00-000376</t>
  </si>
  <si>
    <t>Акт 21/1.3-ТХ (Цех екстракції поз. 3 ГБ)</t>
  </si>
  <si>
    <t>25.07.2025 22:43:06</t>
  </si>
  <si>
    <t>ІБ00-000430</t>
  </si>
  <si>
    <t>Акт 6 № 09/05/2025ВО від 09.05.2025</t>
  </si>
  <si>
    <t>25.07.2025 22:59:05</t>
  </si>
  <si>
    <t>ІБ00-000444</t>
  </si>
  <si>
    <t>Акт 15</t>
  </si>
  <si>
    <t>29.07.2025 14:37:47</t>
  </si>
  <si>
    <t>ІБ00-000416</t>
  </si>
  <si>
    <t xml:space="preserve"> Акт 2/1.1-АР</t>
  </si>
  <si>
    <t>29.07.2025 14:39:07</t>
  </si>
  <si>
    <t>ІБ00-000417</t>
  </si>
  <si>
    <t>Акт 2/1.5-АР (насосна,градирня)</t>
  </si>
  <si>
    <t>29.07.2025 14:39:56</t>
  </si>
  <si>
    <t>ІБ00-000418</t>
  </si>
  <si>
    <t>Акт 60/1.3-КМ(Цех екстракції поз. 3 ГБ)</t>
  </si>
  <si>
    <t>29.07.2025 14:42:20</t>
  </si>
  <si>
    <t>ІБ00-000421</t>
  </si>
  <si>
    <t xml:space="preserve"> Акт 16/1.1-КБ (АПК)</t>
  </si>
  <si>
    <t>29.07.2025 14:43:03</t>
  </si>
  <si>
    <t>ІБ00-000422</t>
  </si>
  <si>
    <t xml:space="preserve"> Акт 13/1.14-АР (Котельня)</t>
  </si>
  <si>
    <t>29.07.2025 14:43:43</t>
  </si>
  <si>
    <t>ІБ00-000423</t>
  </si>
  <si>
    <t xml:space="preserve"> Акт 18/1.9-ЗБ</t>
  </si>
  <si>
    <t>29.07.2025 14:44:17</t>
  </si>
  <si>
    <t>ІБ00-000424</t>
  </si>
  <si>
    <t xml:space="preserve"> Акт 26/1.9-КБ (СПК)</t>
  </si>
  <si>
    <t>29.07.2025 14:44:55</t>
  </si>
  <si>
    <t>ІБ00-000425</t>
  </si>
  <si>
    <t xml:space="preserve"> Акт 12/1.9-КМ (СПК)</t>
  </si>
  <si>
    <t>29.07.2025 14:45:56</t>
  </si>
  <si>
    <t>ІБ00-000426</t>
  </si>
  <si>
    <t xml:space="preserve"> Акт 2/1.10-ЗБ</t>
  </si>
  <si>
    <t>29.07.2025 14:46:32</t>
  </si>
  <si>
    <t>ІБ00-000427</t>
  </si>
  <si>
    <t xml:space="preserve"> Акт 15/1.10-КБ</t>
  </si>
  <si>
    <t>29.07.2025 14:47:56</t>
  </si>
  <si>
    <t>ІБ00-000428</t>
  </si>
  <si>
    <t xml:space="preserve"> Акт 23/1.14-КБ (Котельня)</t>
  </si>
  <si>
    <t>29.07.2025 14:48:51</t>
  </si>
  <si>
    <t>ІБ00-000429</t>
  </si>
  <si>
    <t>Акт 15/1.16-КБ (Насосна пожежогасіння поз.7 по ГП)</t>
  </si>
  <si>
    <t>31.07.2025 09:57:19</t>
  </si>
  <si>
    <t>ІБ00-000394</t>
  </si>
  <si>
    <t>Акт 1/1.5-ТХ (Насосна пожежогасіння поз.7 по ГП)</t>
  </si>
  <si>
    <t>31.07.2025 12:41:21</t>
  </si>
  <si>
    <t>ІБ00-000401</t>
  </si>
  <si>
    <t>Акт 24/1.3-ТХ (Цех екстракції поз. 3 ГБ)</t>
  </si>
  <si>
    <t>31.07.2025 14:27:33</t>
  </si>
  <si>
    <t>ІБ00-000410</t>
  </si>
  <si>
    <t>Акт 25/1.3-ТХ (Цех екстракції поз. 3 ГБ)</t>
  </si>
  <si>
    <t>31.07.2025 14:40:31</t>
  </si>
  <si>
    <t>ІБ00-000419</t>
  </si>
  <si>
    <t>Акт 26/1.3-ТХ (Цех екстракції поз. 3 ГБ)</t>
  </si>
  <si>
    <t>31.07.2025 21:00:00</t>
  </si>
  <si>
    <t>ІБ00-000446</t>
  </si>
  <si>
    <t>Акт 6  (Стіл 246 733,90)</t>
  </si>
  <si>
    <t>31.07.2025 21:10:00</t>
  </si>
  <si>
    <t>ІБ00-000447</t>
  </si>
  <si>
    <t>Акт 7</t>
  </si>
  <si>
    <t>31.07.2025 21:15:00</t>
  </si>
  <si>
    <t>ІБ00-000448</t>
  </si>
  <si>
    <t>Акт 8</t>
  </si>
  <si>
    <t>31.07.2025 21:20:00</t>
  </si>
  <si>
    <t>ІБ00-000449</t>
  </si>
  <si>
    <t>Акт 9</t>
  </si>
  <si>
    <t>31.07.2025 21:25:00</t>
  </si>
  <si>
    <t>ІБ00-000450</t>
  </si>
  <si>
    <t>Акт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</si>
</sst>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1" fillId="0" borderId="0" xfId="0" applyNumberFormat="1" applyFont="1"/>
  </cellXfs>
  <cellStyles count="2">
    <cellStyle name="Обычный" xfId="0" builtinId="0"/>
    <cellStyle name="Обычный_Sheet1" xfId="1" xr:uid="{0C4F8EA1-A412-4EC7-8C34-FEF724935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72" workbookViewId="0">
      <selection activeCell="D81" sqref="D81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3" bestFit="1" customWidth="1"/>
    <col min="4" max="4" width="12.33203125" bestFit="1" customWidth="1"/>
    <col min="5" max="5" width="7.6640625" bestFit="1" customWidth="1"/>
    <col min="6" max="6" width="22.6640625" bestFit="1" customWidth="1"/>
    <col min="7" max="7" width="16.6640625" bestFit="1" customWidth="1"/>
    <col min="8" max="8" width="14.5546875" bestFit="1" customWidth="1"/>
    <col min="9" max="9" width="5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30545.64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590552.31999999995</v>
      </c>
      <c r="E3" s="2" t="s">
        <v>12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3">
      <c r="A4" s="2" t="s">
        <v>22</v>
      </c>
      <c r="B4" s="2" t="s">
        <v>23</v>
      </c>
      <c r="C4" s="2" t="s">
        <v>24</v>
      </c>
      <c r="D4" s="3">
        <v>180000</v>
      </c>
      <c r="E4" s="2" t="s">
        <v>12</v>
      </c>
      <c r="F4" s="2" t="s">
        <v>25</v>
      </c>
      <c r="G4" s="2" t="s">
        <v>14</v>
      </c>
      <c r="H4" s="2" t="s">
        <v>15</v>
      </c>
      <c r="I4" s="2" t="s">
        <v>26</v>
      </c>
    </row>
    <row r="5" spans="1:9" x14ac:dyDescent="0.3">
      <c r="A5" s="2" t="s">
        <v>27</v>
      </c>
      <c r="B5" s="2" t="s">
        <v>28</v>
      </c>
      <c r="C5" s="2" t="s">
        <v>11</v>
      </c>
      <c r="D5" s="3">
        <v>1916427.96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29</v>
      </c>
    </row>
    <row r="6" spans="1:9" x14ac:dyDescent="0.3">
      <c r="A6" s="2" t="s">
        <v>30</v>
      </c>
      <c r="B6" s="2" t="s">
        <v>31</v>
      </c>
      <c r="C6" s="2" t="s">
        <v>11</v>
      </c>
      <c r="D6" s="3">
        <v>194967.96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32</v>
      </c>
    </row>
    <row r="7" spans="1:9" x14ac:dyDescent="0.3">
      <c r="A7" s="2" t="s">
        <v>33</v>
      </c>
      <c r="B7" s="2" t="s">
        <v>34</v>
      </c>
      <c r="C7" s="2" t="s">
        <v>11</v>
      </c>
      <c r="D7" s="3">
        <v>462630.06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35</v>
      </c>
    </row>
    <row r="8" spans="1:9" x14ac:dyDescent="0.3">
      <c r="A8" s="2" t="s">
        <v>36</v>
      </c>
      <c r="B8" s="2" t="s">
        <v>37</v>
      </c>
      <c r="C8" s="2" t="s">
        <v>11</v>
      </c>
      <c r="D8" s="3">
        <v>185538.29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38</v>
      </c>
    </row>
    <row r="9" spans="1:9" x14ac:dyDescent="0.3">
      <c r="A9" s="2" t="s">
        <v>39</v>
      </c>
      <c r="B9" s="2" t="s">
        <v>40</v>
      </c>
      <c r="C9" s="2" t="s">
        <v>11</v>
      </c>
      <c r="D9" s="3">
        <v>713254.69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41</v>
      </c>
    </row>
    <row r="10" spans="1:9" x14ac:dyDescent="0.3">
      <c r="A10" s="2" t="s">
        <v>42</v>
      </c>
      <c r="B10" s="2" t="s">
        <v>43</v>
      </c>
      <c r="C10" s="2" t="s">
        <v>11</v>
      </c>
      <c r="D10" s="3">
        <v>104054.18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44</v>
      </c>
    </row>
    <row r="11" spans="1:9" x14ac:dyDescent="0.3">
      <c r="A11" s="2" t="s">
        <v>45</v>
      </c>
      <c r="B11" s="2" t="s">
        <v>46</v>
      </c>
      <c r="C11" s="2" t="s">
        <v>11</v>
      </c>
      <c r="D11" s="3">
        <v>488846.54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47</v>
      </c>
    </row>
    <row r="12" spans="1:9" x14ac:dyDescent="0.3">
      <c r="A12" s="2" t="s">
        <v>48</v>
      </c>
      <c r="B12" s="2" t="s">
        <v>49</v>
      </c>
      <c r="C12" s="2" t="s">
        <v>11</v>
      </c>
      <c r="D12" s="3">
        <v>2742717.2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50</v>
      </c>
    </row>
    <row r="13" spans="1:9" x14ac:dyDescent="0.3">
      <c r="A13" s="2" t="s">
        <v>51</v>
      </c>
      <c r="B13" s="2" t="s">
        <v>52</v>
      </c>
      <c r="C13" s="2" t="s">
        <v>11</v>
      </c>
      <c r="D13" s="3">
        <v>44988.07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53</v>
      </c>
    </row>
    <row r="14" spans="1:9" x14ac:dyDescent="0.3">
      <c r="A14" s="2" t="s">
        <v>54</v>
      </c>
      <c r="B14" s="2" t="s">
        <v>55</v>
      </c>
      <c r="C14" s="2" t="s">
        <v>11</v>
      </c>
      <c r="D14" s="3">
        <v>102061.55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56</v>
      </c>
    </row>
    <row r="15" spans="1:9" x14ac:dyDescent="0.3">
      <c r="A15" s="2" t="s">
        <v>57</v>
      </c>
      <c r="B15" s="2" t="s">
        <v>58</v>
      </c>
      <c r="C15" s="2" t="s">
        <v>11</v>
      </c>
      <c r="D15" s="3">
        <v>272365.90999999997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59</v>
      </c>
    </row>
    <row r="16" spans="1:9" x14ac:dyDescent="0.3">
      <c r="A16" s="2" t="s">
        <v>60</v>
      </c>
      <c r="B16" s="2" t="s">
        <v>61</v>
      </c>
      <c r="C16" s="2" t="s">
        <v>11</v>
      </c>
      <c r="D16" s="3">
        <v>50118</v>
      </c>
      <c r="E16" s="2" t="s">
        <v>12</v>
      </c>
      <c r="F16" s="2" t="s">
        <v>13</v>
      </c>
      <c r="G16" s="2" t="s">
        <v>14</v>
      </c>
      <c r="H16" s="2" t="s">
        <v>15</v>
      </c>
      <c r="I16" s="2" t="s">
        <v>62</v>
      </c>
    </row>
    <row r="17" spans="1:9" x14ac:dyDescent="0.3">
      <c r="A17" s="2" t="s">
        <v>63</v>
      </c>
      <c r="B17" s="2" t="s">
        <v>64</v>
      </c>
      <c r="C17" s="2" t="s">
        <v>11</v>
      </c>
      <c r="D17" s="3">
        <v>2120164.69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65</v>
      </c>
    </row>
    <row r="18" spans="1:9" x14ac:dyDescent="0.3">
      <c r="A18" s="2" t="s">
        <v>66</v>
      </c>
      <c r="B18" s="2" t="s">
        <v>67</v>
      </c>
      <c r="C18" s="2" t="s">
        <v>19</v>
      </c>
      <c r="D18" s="3">
        <v>592052.82999999996</v>
      </c>
      <c r="E18" s="2" t="s">
        <v>12</v>
      </c>
      <c r="F18" s="2" t="s">
        <v>20</v>
      </c>
      <c r="G18" s="2" t="s">
        <v>14</v>
      </c>
      <c r="H18" s="2" t="s">
        <v>15</v>
      </c>
      <c r="I18" s="2" t="s">
        <v>68</v>
      </c>
    </row>
    <row r="19" spans="1:9" x14ac:dyDescent="0.3">
      <c r="A19" s="2" t="s">
        <v>69</v>
      </c>
      <c r="B19" s="2" t="s">
        <v>70</v>
      </c>
      <c r="C19" s="2" t="s">
        <v>19</v>
      </c>
      <c r="D19" s="3">
        <v>220712.48</v>
      </c>
      <c r="E19" s="2" t="s">
        <v>12</v>
      </c>
      <c r="F19" s="2" t="s">
        <v>20</v>
      </c>
      <c r="G19" s="2" t="s">
        <v>14</v>
      </c>
      <c r="H19" s="2" t="s">
        <v>15</v>
      </c>
      <c r="I19" s="2" t="s">
        <v>71</v>
      </c>
    </row>
    <row r="20" spans="1:9" x14ac:dyDescent="0.3">
      <c r="A20" s="2" t="s">
        <v>72</v>
      </c>
      <c r="B20" s="2" t="s">
        <v>73</v>
      </c>
      <c r="C20" s="2" t="s">
        <v>74</v>
      </c>
      <c r="D20" s="3">
        <v>274858.59999999998</v>
      </c>
      <c r="E20" s="2" t="s">
        <v>12</v>
      </c>
      <c r="F20" s="2" t="s">
        <v>75</v>
      </c>
      <c r="G20" s="2" t="s">
        <v>14</v>
      </c>
      <c r="H20" s="2" t="s">
        <v>15</v>
      </c>
      <c r="I20" s="2" t="s">
        <v>76</v>
      </c>
    </row>
    <row r="21" spans="1:9" x14ac:dyDescent="0.3">
      <c r="A21" s="2" t="s">
        <v>77</v>
      </c>
      <c r="B21" s="2" t="s">
        <v>78</v>
      </c>
      <c r="C21" s="2" t="s">
        <v>74</v>
      </c>
      <c r="D21" s="3">
        <v>69784</v>
      </c>
      <c r="E21" s="2" t="s">
        <v>12</v>
      </c>
      <c r="F21" s="2" t="s">
        <v>75</v>
      </c>
      <c r="G21" s="2" t="s">
        <v>14</v>
      </c>
      <c r="H21" s="2" t="s">
        <v>15</v>
      </c>
      <c r="I21" s="2" t="s">
        <v>79</v>
      </c>
    </row>
    <row r="22" spans="1:9" x14ac:dyDescent="0.3">
      <c r="A22" s="2" t="s">
        <v>80</v>
      </c>
      <c r="B22" s="2" t="s">
        <v>81</v>
      </c>
      <c r="C22" s="2" t="s">
        <v>74</v>
      </c>
      <c r="D22" s="3">
        <v>73933.399999999994</v>
      </c>
      <c r="E22" s="2" t="s">
        <v>12</v>
      </c>
      <c r="F22" s="2" t="s">
        <v>75</v>
      </c>
      <c r="G22" s="2" t="s">
        <v>14</v>
      </c>
      <c r="H22" s="2" t="s">
        <v>15</v>
      </c>
      <c r="I22" s="2" t="s">
        <v>82</v>
      </c>
    </row>
    <row r="23" spans="1:9" x14ac:dyDescent="0.3">
      <c r="A23" s="2" t="s">
        <v>83</v>
      </c>
      <c r="B23" s="2" t="s">
        <v>84</v>
      </c>
      <c r="C23" s="2" t="s">
        <v>74</v>
      </c>
      <c r="D23" s="3">
        <v>503932</v>
      </c>
      <c r="E23" s="2" t="s">
        <v>12</v>
      </c>
      <c r="F23" s="2" t="s">
        <v>75</v>
      </c>
      <c r="G23" s="2" t="s">
        <v>14</v>
      </c>
      <c r="H23" s="2" t="s">
        <v>15</v>
      </c>
      <c r="I23" s="2" t="s">
        <v>85</v>
      </c>
    </row>
    <row r="24" spans="1:9" x14ac:dyDescent="0.3">
      <c r="A24" s="2" t="s">
        <v>86</v>
      </c>
      <c r="B24" s="2" t="s">
        <v>87</v>
      </c>
      <c r="C24" s="2" t="s">
        <v>19</v>
      </c>
      <c r="D24" s="3">
        <v>78461.3</v>
      </c>
      <c r="E24" s="2" t="s">
        <v>12</v>
      </c>
      <c r="F24" s="2" t="s">
        <v>20</v>
      </c>
      <c r="G24" s="2" t="s">
        <v>14</v>
      </c>
      <c r="H24" s="2" t="s">
        <v>15</v>
      </c>
      <c r="I24" s="2" t="s">
        <v>88</v>
      </c>
    </row>
    <row r="25" spans="1:9" x14ac:dyDescent="0.3">
      <c r="A25" s="2" t="s">
        <v>89</v>
      </c>
      <c r="B25" s="2" t="s">
        <v>90</v>
      </c>
      <c r="C25" s="2" t="s">
        <v>11</v>
      </c>
      <c r="D25" s="3">
        <v>47444.36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91</v>
      </c>
    </row>
    <row r="26" spans="1:9" x14ac:dyDescent="0.3">
      <c r="A26" s="2" t="s">
        <v>92</v>
      </c>
      <c r="B26" s="2" t="s">
        <v>93</v>
      </c>
      <c r="C26" s="2" t="s">
        <v>11</v>
      </c>
      <c r="D26" s="3">
        <v>586466.72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94</v>
      </c>
    </row>
    <row r="27" spans="1:9" x14ac:dyDescent="0.3">
      <c r="A27" s="2" t="s">
        <v>95</v>
      </c>
      <c r="B27" s="2" t="s">
        <v>96</v>
      </c>
      <c r="C27" s="2" t="s">
        <v>11</v>
      </c>
      <c r="D27" s="3">
        <v>35058.519999999997</v>
      </c>
      <c r="E27" s="2" t="s">
        <v>12</v>
      </c>
      <c r="F27" s="2" t="s">
        <v>13</v>
      </c>
      <c r="G27" s="2" t="s">
        <v>14</v>
      </c>
      <c r="H27" s="2" t="s">
        <v>15</v>
      </c>
      <c r="I27" s="2" t="s">
        <v>97</v>
      </c>
    </row>
    <row r="28" spans="1:9" x14ac:dyDescent="0.3">
      <c r="A28" s="2" t="s">
        <v>98</v>
      </c>
      <c r="B28" s="2" t="s">
        <v>99</v>
      </c>
      <c r="C28" s="2" t="s">
        <v>11</v>
      </c>
      <c r="D28" s="3">
        <v>210479.98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100</v>
      </c>
    </row>
    <row r="29" spans="1:9" x14ac:dyDescent="0.3">
      <c r="A29" s="2" t="s">
        <v>101</v>
      </c>
      <c r="B29" s="2" t="s">
        <v>102</v>
      </c>
      <c r="C29" s="2" t="s">
        <v>11</v>
      </c>
      <c r="D29" s="3">
        <v>242133.48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103</v>
      </c>
    </row>
    <row r="30" spans="1:9" x14ac:dyDescent="0.3">
      <c r="A30" s="2" t="s">
        <v>104</v>
      </c>
      <c r="B30" s="2" t="s">
        <v>105</v>
      </c>
      <c r="C30" s="2" t="s">
        <v>11</v>
      </c>
      <c r="D30" s="3">
        <v>26887.279999999999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106</v>
      </c>
    </row>
    <row r="31" spans="1:9" x14ac:dyDescent="0.3">
      <c r="A31" s="2" t="s">
        <v>107</v>
      </c>
      <c r="B31" s="2" t="s">
        <v>108</v>
      </c>
      <c r="C31" s="2" t="s">
        <v>11</v>
      </c>
      <c r="D31" s="3">
        <v>1092592.06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109</v>
      </c>
    </row>
    <row r="32" spans="1:9" x14ac:dyDescent="0.3">
      <c r="A32" s="2" t="s">
        <v>110</v>
      </c>
      <c r="B32" s="2" t="s">
        <v>111</v>
      </c>
      <c r="C32" s="2" t="s">
        <v>11</v>
      </c>
      <c r="D32" s="3">
        <v>6413031.6399999997</v>
      </c>
      <c r="E32" s="2" t="s">
        <v>12</v>
      </c>
      <c r="F32" s="2" t="s">
        <v>13</v>
      </c>
      <c r="G32" s="2" t="s">
        <v>14</v>
      </c>
      <c r="H32" s="2" t="s">
        <v>15</v>
      </c>
      <c r="I32" s="2" t="s">
        <v>112</v>
      </c>
    </row>
    <row r="33" spans="1:9" x14ac:dyDescent="0.3">
      <c r="A33" s="2" t="s">
        <v>113</v>
      </c>
      <c r="B33" s="2" t="s">
        <v>114</v>
      </c>
      <c r="C33" s="2" t="s">
        <v>19</v>
      </c>
      <c r="D33" s="3">
        <v>981130.54</v>
      </c>
      <c r="E33" s="2" t="s">
        <v>12</v>
      </c>
      <c r="F33" s="2" t="s">
        <v>20</v>
      </c>
      <c r="G33" s="2" t="s">
        <v>14</v>
      </c>
      <c r="H33" s="2" t="s">
        <v>15</v>
      </c>
      <c r="I33" s="2" t="s">
        <v>115</v>
      </c>
    </row>
    <row r="34" spans="1:9" x14ac:dyDescent="0.3">
      <c r="A34" s="2" t="s">
        <v>116</v>
      </c>
      <c r="B34" s="2" t="s">
        <v>117</v>
      </c>
      <c r="C34" s="2" t="s">
        <v>11</v>
      </c>
      <c r="D34" s="3">
        <v>130913.63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118</v>
      </c>
    </row>
    <row r="35" spans="1:9" x14ac:dyDescent="0.3">
      <c r="A35" s="2" t="s">
        <v>119</v>
      </c>
      <c r="B35" s="2" t="s">
        <v>120</v>
      </c>
      <c r="C35" s="2" t="s">
        <v>11</v>
      </c>
      <c r="D35" s="3">
        <v>65415.18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121</v>
      </c>
    </row>
    <row r="36" spans="1:9" x14ac:dyDescent="0.3">
      <c r="A36" s="2" t="s">
        <v>122</v>
      </c>
      <c r="B36" s="2" t="s">
        <v>123</v>
      </c>
      <c r="C36" s="2" t="s">
        <v>11</v>
      </c>
      <c r="D36" s="3">
        <v>55800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124</v>
      </c>
    </row>
    <row r="37" spans="1:9" x14ac:dyDescent="0.3">
      <c r="A37" s="2" t="s">
        <v>125</v>
      </c>
      <c r="B37" s="2" t="s">
        <v>126</v>
      </c>
      <c r="C37" s="2" t="s">
        <v>11</v>
      </c>
      <c r="D37" s="3">
        <v>117435.42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127</v>
      </c>
    </row>
    <row r="38" spans="1:9" x14ac:dyDescent="0.3">
      <c r="A38" s="2" t="s">
        <v>128</v>
      </c>
      <c r="B38" s="2" t="s">
        <v>129</v>
      </c>
      <c r="C38" s="2" t="s">
        <v>11</v>
      </c>
      <c r="D38" s="3">
        <v>27318.43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130</v>
      </c>
    </row>
    <row r="39" spans="1:9" x14ac:dyDescent="0.3">
      <c r="A39" s="2" t="s">
        <v>131</v>
      </c>
      <c r="B39" s="2" t="s">
        <v>132</v>
      </c>
      <c r="C39" s="2" t="s">
        <v>11</v>
      </c>
      <c r="D39" s="3">
        <v>611294.44999999995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133</v>
      </c>
    </row>
    <row r="40" spans="1:9" x14ac:dyDescent="0.3">
      <c r="A40" s="2" t="s">
        <v>134</v>
      </c>
      <c r="B40" s="2" t="s">
        <v>135</v>
      </c>
      <c r="C40" s="2" t="s">
        <v>11</v>
      </c>
      <c r="D40" s="3">
        <v>423298.33</v>
      </c>
      <c r="E40" s="2" t="s">
        <v>12</v>
      </c>
      <c r="F40" s="2" t="s">
        <v>13</v>
      </c>
      <c r="G40" s="2" t="s">
        <v>14</v>
      </c>
      <c r="H40" s="2" t="s">
        <v>15</v>
      </c>
      <c r="I40" s="2" t="s">
        <v>136</v>
      </c>
    </row>
    <row r="41" spans="1:9" x14ac:dyDescent="0.3">
      <c r="A41" s="2" t="s">
        <v>137</v>
      </c>
      <c r="B41" s="2" t="s">
        <v>138</v>
      </c>
      <c r="C41" s="2" t="s">
        <v>11</v>
      </c>
      <c r="D41" s="3">
        <v>9131776.1500000004</v>
      </c>
      <c r="E41" s="2" t="s">
        <v>12</v>
      </c>
      <c r="F41" s="2" t="s">
        <v>13</v>
      </c>
      <c r="G41" s="2" t="s">
        <v>14</v>
      </c>
      <c r="H41" s="2" t="s">
        <v>15</v>
      </c>
      <c r="I41" s="2" t="s">
        <v>139</v>
      </c>
    </row>
    <row r="42" spans="1:9" x14ac:dyDescent="0.3">
      <c r="A42" s="2" t="s">
        <v>140</v>
      </c>
      <c r="B42" s="2" t="s">
        <v>141</v>
      </c>
      <c r="C42" s="2" t="s">
        <v>19</v>
      </c>
      <c r="D42" s="3">
        <v>74691.64</v>
      </c>
      <c r="E42" s="2" t="s">
        <v>12</v>
      </c>
      <c r="F42" s="2" t="s">
        <v>20</v>
      </c>
      <c r="G42" s="2" t="s">
        <v>14</v>
      </c>
      <c r="H42" s="2" t="s">
        <v>15</v>
      </c>
      <c r="I42" s="2" t="s">
        <v>142</v>
      </c>
    </row>
    <row r="43" spans="1:9" x14ac:dyDescent="0.3">
      <c r="A43" s="2" t="s">
        <v>143</v>
      </c>
      <c r="B43" s="2" t="s">
        <v>144</v>
      </c>
      <c r="C43" s="2" t="s">
        <v>19</v>
      </c>
      <c r="D43" s="3">
        <v>178374.83</v>
      </c>
      <c r="E43" s="2" t="s">
        <v>12</v>
      </c>
      <c r="F43" s="2" t="s">
        <v>20</v>
      </c>
      <c r="G43" s="2" t="s">
        <v>14</v>
      </c>
      <c r="H43" s="2" t="s">
        <v>15</v>
      </c>
      <c r="I43" s="2" t="s">
        <v>145</v>
      </c>
    </row>
    <row r="44" spans="1:9" x14ac:dyDescent="0.3">
      <c r="A44" s="2" t="s">
        <v>146</v>
      </c>
      <c r="B44" s="2" t="s">
        <v>147</v>
      </c>
      <c r="C44" s="2" t="s">
        <v>11</v>
      </c>
      <c r="D44" s="3">
        <v>3739912.48</v>
      </c>
      <c r="E44" s="2" t="s">
        <v>12</v>
      </c>
      <c r="F44" s="2" t="s">
        <v>13</v>
      </c>
      <c r="G44" s="2" t="s">
        <v>14</v>
      </c>
      <c r="H44" s="2" t="s">
        <v>15</v>
      </c>
      <c r="I44" s="2" t="s">
        <v>148</v>
      </c>
    </row>
    <row r="45" spans="1:9" x14ac:dyDescent="0.3">
      <c r="A45" s="2" t="s">
        <v>149</v>
      </c>
      <c r="B45" s="2" t="s">
        <v>150</v>
      </c>
      <c r="C45" s="2" t="s">
        <v>11</v>
      </c>
      <c r="D45" s="3">
        <v>219293.4</v>
      </c>
      <c r="E45" s="2" t="s">
        <v>12</v>
      </c>
      <c r="F45" s="2" t="s">
        <v>13</v>
      </c>
      <c r="G45" s="2" t="s">
        <v>14</v>
      </c>
      <c r="H45" s="2" t="s">
        <v>15</v>
      </c>
      <c r="I45" s="2" t="s">
        <v>151</v>
      </c>
    </row>
    <row r="46" spans="1:9" x14ac:dyDescent="0.3">
      <c r="A46" s="2" t="s">
        <v>152</v>
      </c>
      <c r="B46" s="2" t="s">
        <v>153</v>
      </c>
      <c r="C46" s="2" t="s">
        <v>11</v>
      </c>
      <c r="D46" s="3">
        <v>965328.5</v>
      </c>
      <c r="E46" s="2" t="s">
        <v>12</v>
      </c>
      <c r="F46" s="2" t="s">
        <v>13</v>
      </c>
      <c r="G46" s="2" t="s">
        <v>14</v>
      </c>
      <c r="H46" s="2" t="s">
        <v>15</v>
      </c>
      <c r="I46" s="2" t="s">
        <v>154</v>
      </c>
    </row>
    <row r="47" spans="1:9" x14ac:dyDescent="0.3">
      <c r="A47" s="2" t="s">
        <v>155</v>
      </c>
      <c r="B47" s="2" t="s">
        <v>156</v>
      </c>
      <c r="C47" s="2" t="s">
        <v>11</v>
      </c>
      <c r="D47" s="3">
        <v>415800</v>
      </c>
      <c r="E47" s="2" t="s">
        <v>12</v>
      </c>
      <c r="F47" s="2" t="s">
        <v>13</v>
      </c>
      <c r="G47" s="2" t="s">
        <v>14</v>
      </c>
      <c r="H47" s="2" t="s">
        <v>15</v>
      </c>
      <c r="I47" s="2" t="s">
        <v>157</v>
      </c>
    </row>
    <row r="48" spans="1:9" x14ac:dyDescent="0.3">
      <c r="A48" s="2" t="s">
        <v>158</v>
      </c>
      <c r="B48" s="2" t="s">
        <v>159</v>
      </c>
      <c r="C48" s="2" t="s">
        <v>11</v>
      </c>
      <c r="D48" s="3">
        <v>169594.26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160</v>
      </c>
    </row>
    <row r="49" spans="1:9" x14ac:dyDescent="0.3">
      <c r="A49" s="2" t="s">
        <v>161</v>
      </c>
      <c r="B49" s="2" t="s">
        <v>162</v>
      </c>
      <c r="C49" s="2" t="s">
        <v>11</v>
      </c>
      <c r="D49" s="3">
        <v>36233.120000000003</v>
      </c>
      <c r="E49" s="2" t="s">
        <v>12</v>
      </c>
      <c r="F49" s="2" t="s">
        <v>13</v>
      </c>
      <c r="G49" s="2" t="s">
        <v>14</v>
      </c>
      <c r="H49" s="2" t="s">
        <v>15</v>
      </c>
      <c r="I49" s="2" t="s">
        <v>163</v>
      </c>
    </row>
    <row r="50" spans="1:9" x14ac:dyDescent="0.3">
      <c r="A50" s="2" t="s">
        <v>164</v>
      </c>
      <c r="B50" s="2" t="s">
        <v>165</v>
      </c>
      <c r="C50" s="2" t="s">
        <v>11</v>
      </c>
      <c r="D50" s="3">
        <v>241745.76</v>
      </c>
      <c r="E50" s="2" t="s">
        <v>12</v>
      </c>
      <c r="F50" s="2" t="s">
        <v>13</v>
      </c>
      <c r="G50" s="2" t="s">
        <v>14</v>
      </c>
      <c r="H50" s="2" t="s">
        <v>15</v>
      </c>
      <c r="I50" s="2" t="s">
        <v>166</v>
      </c>
    </row>
    <row r="51" spans="1:9" x14ac:dyDescent="0.3">
      <c r="A51" s="2" t="s">
        <v>167</v>
      </c>
      <c r="B51" s="2" t="s">
        <v>168</v>
      </c>
      <c r="C51" s="2" t="s">
        <v>11</v>
      </c>
      <c r="D51" s="3">
        <v>1472505.55</v>
      </c>
      <c r="E51" s="2" t="s">
        <v>12</v>
      </c>
      <c r="F51" s="2" t="s">
        <v>13</v>
      </c>
      <c r="G51" s="2" t="s">
        <v>14</v>
      </c>
      <c r="H51" s="2" t="s">
        <v>15</v>
      </c>
      <c r="I51" s="2" t="s">
        <v>169</v>
      </c>
    </row>
    <row r="52" spans="1:9" x14ac:dyDescent="0.3">
      <c r="A52" s="2" t="s">
        <v>170</v>
      </c>
      <c r="B52" s="2" t="s">
        <v>171</v>
      </c>
      <c r="C52" s="2" t="s">
        <v>11</v>
      </c>
      <c r="D52" s="3">
        <v>198869.47</v>
      </c>
      <c r="E52" s="2" t="s">
        <v>12</v>
      </c>
      <c r="F52" s="2" t="s">
        <v>13</v>
      </c>
      <c r="G52" s="2" t="s">
        <v>14</v>
      </c>
      <c r="H52" s="2" t="s">
        <v>15</v>
      </c>
      <c r="I52" s="2" t="s">
        <v>172</v>
      </c>
    </row>
    <row r="53" spans="1:9" x14ac:dyDescent="0.3">
      <c r="A53" s="2" t="s">
        <v>173</v>
      </c>
      <c r="B53" s="2" t="s">
        <v>174</v>
      </c>
      <c r="C53" s="2" t="s">
        <v>11</v>
      </c>
      <c r="D53" s="3">
        <v>466812</v>
      </c>
      <c r="E53" s="2" t="s">
        <v>12</v>
      </c>
      <c r="F53" s="2" t="s">
        <v>13</v>
      </c>
      <c r="G53" s="2" t="s">
        <v>14</v>
      </c>
      <c r="H53" s="2" t="s">
        <v>15</v>
      </c>
      <c r="I53" s="2" t="s">
        <v>175</v>
      </c>
    </row>
    <row r="54" spans="1:9" x14ac:dyDescent="0.3">
      <c r="A54" s="2" t="s">
        <v>176</v>
      </c>
      <c r="B54" s="2" t="s">
        <v>177</v>
      </c>
      <c r="C54" s="2" t="s">
        <v>11</v>
      </c>
      <c r="D54" s="3">
        <v>435555.2</v>
      </c>
      <c r="E54" s="2" t="s">
        <v>12</v>
      </c>
      <c r="F54" s="2" t="s">
        <v>13</v>
      </c>
      <c r="G54" s="2" t="s">
        <v>14</v>
      </c>
      <c r="H54" s="2" t="s">
        <v>15</v>
      </c>
      <c r="I54" s="2" t="s">
        <v>178</v>
      </c>
    </row>
    <row r="55" spans="1:9" x14ac:dyDescent="0.3">
      <c r="A55" s="2" t="s">
        <v>179</v>
      </c>
      <c r="B55" s="2" t="s">
        <v>180</v>
      </c>
      <c r="C55" s="2" t="s">
        <v>19</v>
      </c>
      <c r="D55" s="3">
        <v>44743</v>
      </c>
      <c r="E55" s="2" t="s">
        <v>12</v>
      </c>
      <c r="F55" s="2" t="s">
        <v>20</v>
      </c>
      <c r="G55" s="2" t="s">
        <v>14</v>
      </c>
      <c r="H55" s="2" t="s">
        <v>15</v>
      </c>
      <c r="I55" s="2" t="s">
        <v>181</v>
      </c>
    </row>
    <row r="56" spans="1:9" x14ac:dyDescent="0.3">
      <c r="A56" s="2" t="s">
        <v>182</v>
      </c>
      <c r="B56" s="2" t="s">
        <v>183</v>
      </c>
      <c r="C56" s="2" t="s">
        <v>19</v>
      </c>
      <c r="D56" s="3">
        <v>183609.66</v>
      </c>
      <c r="E56" s="2" t="s">
        <v>12</v>
      </c>
      <c r="F56" s="2" t="s">
        <v>20</v>
      </c>
      <c r="G56" s="2" t="s">
        <v>14</v>
      </c>
      <c r="H56" s="2" t="s">
        <v>15</v>
      </c>
      <c r="I56" s="2" t="s">
        <v>184</v>
      </c>
    </row>
    <row r="57" spans="1:9" x14ac:dyDescent="0.3">
      <c r="A57" s="2" t="s">
        <v>185</v>
      </c>
      <c r="B57" s="2" t="s">
        <v>186</v>
      </c>
      <c r="C57" s="2" t="s">
        <v>11</v>
      </c>
      <c r="D57" s="3">
        <v>154825.98000000001</v>
      </c>
      <c r="E57" s="2" t="s">
        <v>12</v>
      </c>
      <c r="F57" s="2" t="s">
        <v>13</v>
      </c>
      <c r="G57" s="2" t="s">
        <v>14</v>
      </c>
      <c r="H57" s="2" t="s">
        <v>15</v>
      </c>
      <c r="I57" s="2" t="s">
        <v>187</v>
      </c>
    </row>
    <row r="58" spans="1:9" x14ac:dyDescent="0.3">
      <c r="A58" s="2" t="s">
        <v>188</v>
      </c>
      <c r="B58" s="2" t="s">
        <v>189</v>
      </c>
      <c r="C58" s="2" t="s">
        <v>11</v>
      </c>
      <c r="D58" s="3">
        <v>101459.59</v>
      </c>
      <c r="E58" s="2" t="s">
        <v>12</v>
      </c>
      <c r="F58" s="2" t="s">
        <v>13</v>
      </c>
      <c r="G58" s="2" t="s">
        <v>14</v>
      </c>
      <c r="H58" s="2" t="s">
        <v>15</v>
      </c>
      <c r="I58" s="2" t="s">
        <v>190</v>
      </c>
    </row>
    <row r="59" spans="1:9" x14ac:dyDescent="0.3">
      <c r="A59" s="2" t="s">
        <v>191</v>
      </c>
      <c r="B59" s="2" t="s">
        <v>192</v>
      </c>
      <c r="C59" s="2" t="s">
        <v>11</v>
      </c>
      <c r="D59" s="3">
        <v>3127465.86</v>
      </c>
      <c r="E59" s="2" t="s">
        <v>12</v>
      </c>
      <c r="F59" s="2" t="s">
        <v>13</v>
      </c>
      <c r="G59" s="2" t="s">
        <v>14</v>
      </c>
      <c r="H59" s="2" t="s">
        <v>15</v>
      </c>
      <c r="I59" s="2" t="s">
        <v>193</v>
      </c>
    </row>
    <row r="60" spans="1:9" x14ac:dyDescent="0.3">
      <c r="A60" s="2" t="s">
        <v>194</v>
      </c>
      <c r="B60" s="2" t="s">
        <v>195</v>
      </c>
      <c r="C60" s="2" t="s">
        <v>11</v>
      </c>
      <c r="D60" s="3">
        <v>524485.26</v>
      </c>
      <c r="E60" s="2" t="s">
        <v>12</v>
      </c>
      <c r="F60" s="2" t="s">
        <v>13</v>
      </c>
      <c r="G60" s="2" t="s">
        <v>14</v>
      </c>
      <c r="H60" s="2" t="s">
        <v>15</v>
      </c>
      <c r="I60" s="2" t="s">
        <v>196</v>
      </c>
    </row>
    <row r="61" spans="1:9" x14ac:dyDescent="0.3">
      <c r="A61" s="2" t="s">
        <v>197</v>
      </c>
      <c r="B61" s="2" t="s">
        <v>198</v>
      </c>
      <c r="C61" s="2" t="s">
        <v>11</v>
      </c>
      <c r="D61" s="3">
        <v>627930.69999999995</v>
      </c>
      <c r="E61" s="2" t="s">
        <v>12</v>
      </c>
      <c r="F61" s="2" t="s">
        <v>13</v>
      </c>
      <c r="G61" s="2" t="s">
        <v>14</v>
      </c>
      <c r="H61" s="2" t="s">
        <v>15</v>
      </c>
      <c r="I61" s="2" t="s">
        <v>199</v>
      </c>
    </row>
    <row r="62" spans="1:9" x14ac:dyDescent="0.3">
      <c r="A62" s="2" t="s">
        <v>200</v>
      </c>
      <c r="B62" s="2" t="s">
        <v>201</v>
      </c>
      <c r="C62" s="2" t="s">
        <v>11</v>
      </c>
      <c r="D62" s="3">
        <v>1867227.26</v>
      </c>
      <c r="E62" s="2" t="s">
        <v>12</v>
      </c>
      <c r="F62" s="2" t="s">
        <v>13</v>
      </c>
      <c r="G62" s="2" t="s">
        <v>14</v>
      </c>
      <c r="H62" s="2" t="s">
        <v>15</v>
      </c>
      <c r="I62" s="2" t="s">
        <v>202</v>
      </c>
    </row>
    <row r="63" spans="1:9" x14ac:dyDescent="0.3">
      <c r="A63" s="2" t="s">
        <v>203</v>
      </c>
      <c r="B63" s="2" t="s">
        <v>204</v>
      </c>
      <c r="C63" s="2" t="s">
        <v>11</v>
      </c>
      <c r="D63" s="3">
        <v>34634.65</v>
      </c>
      <c r="E63" s="2" t="s">
        <v>12</v>
      </c>
      <c r="F63" s="2" t="s">
        <v>13</v>
      </c>
      <c r="G63" s="2" t="s">
        <v>14</v>
      </c>
      <c r="H63" s="2" t="s">
        <v>15</v>
      </c>
      <c r="I63" s="2" t="s">
        <v>205</v>
      </c>
    </row>
    <row r="64" spans="1:9" x14ac:dyDescent="0.3">
      <c r="A64" s="2" t="s">
        <v>206</v>
      </c>
      <c r="B64" s="2" t="s">
        <v>207</v>
      </c>
      <c r="C64" s="2" t="s">
        <v>11</v>
      </c>
      <c r="D64" s="3">
        <v>1009021.15</v>
      </c>
      <c r="E64" s="2" t="s">
        <v>12</v>
      </c>
      <c r="F64" s="2" t="s">
        <v>13</v>
      </c>
      <c r="G64" s="2" t="s">
        <v>14</v>
      </c>
      <c r="H64" s="2" t="s">
        <v>15</v>
      </c>
      <c r="I64" s="2" t="s">
        <v>208</v>
      </c>
    </row>
    <row r="65" spans="1:9" x14ac:dyDescent="0.3">
      <c r="A65" s="2" t="s">
        <v>209</v>
      </c>
      <c r="B65" s="2" t="s">
        <v>210</v>
      </c>
      <c r="C65" s="2" t="s">
        <v>11</v>
      </c>
      <c r="D65" s="3">
        <v>2615019.23</v>
      </c>
      <c r="E65" s="2" t="s">
        <v>12</v>
      </c>
      <c r="F65" s="2" t="s">
        <v>13</v>
      </c>
      <c r="G65" s="2" t="s">
        <v>14</v>
      </c>
      <c r="H65" s="2" t="s">
        <v>15</v>
      </c>
      <c r="I65" s="2" t="s">
        <v>211</v>
      </c>
    </row>
    <row r="66" spans="1:9" x14ac:dyDescent="0.3">
      <c r="A66" s="2" t="s">
        <v>212</v>
      </c>
      <c r="B66" s="2" t="s">
        <v>213</v>
      </c>
      <c r="C66" s="2" t="s">
        <v>11</v>
      </c>
      <c r="D66" s="3">
        <v>36677.919999999998</v>
      </c>
      <c r="E66" s="2" t="s">
        <v>12</v>
      </c>
      <c r="F66" s="2" t="s">
        <v>13</v>
      </c>
      <c r="G66" s="2" t="s">
        <v>14</v>
      </c>
      <c r="H66" s="2" t="s">
        <v>15</v>
      </c>
      <c r="I66" s="2" t="s">
        <v>214</v>
      </c>
    </row>
    <row r="67" spans="1:9" x14ac:dyDescent="0.3">
      <c r="A67" s="2" t="s">
        <v>215</v>
      </c>
      <c r="B67" s="2" t="s">
        <v>216</v>
      </c>
      <c r="C67" s="2" t="s">
        <v>11</v>
      </c>
      <c r="D67" s="3">
        <v>241864.88</v>
      </c>
      <c r="E67" s="2" t="s">
        <v>12</v>
      </c>
      <c r="F67" s="2" t="s">
        <v>13</v>
      </c>
      <c r="G67" s="2" t="s">
        <v>14</v>
      </c>
      <c r="H67" s="2" t="s">
        <v>15</v>
      </c>
      <c r="I67" s="2" t="s">
        <v>217</v>
      </c>
    </row>
    <row r="68" spans="1:9" x14ac:dyDescent="0.3">
      <c r="A68" s="2" t="s">
        <v>218</v>
      </c>
      <c r="B68" s="2" t="s">
        <v>219</v>
      </c>
      <c r="C68" s="2" t="s">
        <v>11</v>
      </c>
      <c r="D68" s="3">
        <v>252290.86</v>
      </c>
      <c r="E68" s="2" t="s">
        <v>12</v>
      </c>
      <c r="F68" s="2" t="s">
        <v>13</v>
      </c>
      <c r="G68" s="2" t="s">
        <v>14</v>
      </c>
      <c r="H68" s="2" t="s">
        <v>15</v>
      </c>
      <c r="I68" s="2" t="s">
        <v>220</v>
      </c>
    </row>
    <row r="69" spans="1:9" x14ac:dyDescent="0.3">
      <c r="A69" s="2" t="s">
        <v>221</v>
      </c>
      <c r="B69" s="2" t="s">
        <v>222</v>
      </c>
      <c r="C69" s="2" t="s">
        <v>11</v>
      </c>
      <c r="D69" s="3">
        <v>1584562.54</v>
      </c>
      <c r="E69" s="2" t="s">
        <v>12</v>
      </c>
      <c r="F69" s="2" t="s">
        <v>13</v>
      </c>
      <c r="G69" s="2" t="s">
        <v>14</v>
      </c>
      <c r="H69" s="2" t="s">
        <v>15</v>
      </c>
      <c r="I69" s="2" t="s">
        <v>223</v>
      </c>
    </row>
    <row r="70" spans="1:9" x14ac:dyDescent="0.3">
      <c r="A70" s="2" t="s">
        <v>224</v>
      </c>
      <c r="B70" s="2" t="s">
        <v>225</v>
      </c>
      <c r="C70" s="2" t="s">
        <v>11</v>
      </c>
      <c r="D70" s="3">
        <v>525849.01</v>
      </c>
      <c r="E70" s="2" t="s">
        <v>12</v>
      </c>
      <c r="F70" s="2" t="s">
        <v>13</v>
      </c>
      <c r="G70" s="2" t="s">
        <v>14</v>
      </c>
      <c r="H70" s="2" t="s">
        <v>15</v>
      </c>
      <c r="I70" s="2" t="s">
        <v>226</v>
      </c>
    </row>
    <row r="71" spans="1:9" x14ac:dyDescent="0.3">
      <c r="A71" s="2" t="s">
        <v>227</v>
      </c>
      <c r="B71" s="2" t="s">
        <v>228</v>
      </c>
      <c r="C71" s="2" t="s">
        <v>11</v>
      </c>
      <c r="D71" s="3">
        <v>162600.4</v>
      </c>
      <c r="E71" s="2" t="s">
        <v>12</v>
      </c>
      <c r="F71" s="2" t="s">
        <v>13</v>
      </c>
      <c r="G71" s="2" t="s">
        <v>14</v>
      </c>
      <c r="H71" s="2" t="s">
        <v>15</v>
      </c>
      <c r="I71" s="2" t="s">
        <v>229</v>
      </c>
    </row>
    <row r="72" spans="1:9" x14ac:dyDescent="0.3">
      <c r="A72" s="2" t="s">
        <v>230</v>
      </c>
      <c r="B72" s="2" t="s">
        <v>231</v>
      </c>
      <c r="C72" s="2" t="s">
        <v>11</v>
      </c>
      <c r="D72" s="3">
        <v>713551.09</v>
      </c>
      <c r="E72" s="2" t="s">
        <v>12</v>
      </c>
      <c r="F72" s="2" t="s">
        <v>13</v>
      </c>
      <c r="G72" s="2" t="s">
        <v>14</v>
      </c>
      <c r="H72" s="2" t="s">
        <v>15</v>
      </c>
      <c r="I72" s="2" t="s">
        <v>232</v>
      </c>
    </row>
    <row r="73" spans="1:9" x14ac:dyDescent="0.3">
      <c r="A73" s="2" t="s">
        <v>233</v>
      </c>
      <c r="B73" s="2" t="s">
        <v>234</v>
      </c>
      <c r="C73" s="2" t="s">
        <v>74</v>
      </c>
      <c r="D73" s="3">
        <v>468234</v>
      </c>
      <c r="E73" s="2" t="s">
        <v>12</v>
      </c>
      <c r="F73" s="2" t="s">
        <v>75</v>
      </c>
      <c r="G73" s="2" t="s">
        <v>14</v>
      </c>
      <c r="H73" s="2" t="s">
        <v>15</v>
      </c>
      <c r="I73" s="2" t="s">
        <v>235</v>
      </c>
    </row>
    <row r="74" spans="1:9" x14ac:dyDescent="0.3">
      <c r="A74" s="2" t="s">
        <v>236</v>
      </c>
      <c r="B74" s="2" t="s">
        <v>237</v>
      </c>
      <c r="C74" s="2" t="s">
        <v>74</v>
      </c>
      <c r="D74" s="3">
        <v>9400</v>
      </c>
      <c r="E74" s="2" t="s">
        <v>12</v>
      </c>
      <c r="F74" s="2" t="s">
        <v>75</v>
      </c>
      <c r="G74" s="2" t="s">
        <v>14</v>
      </c>
      <c r="H74" s="2" t="s">
        <v>15</v>
      </c>
      <c r="I74" s="2" t="s">
        <v>238</v>
      </c>
    </row>
    <row r="75" spans="1:9" x14ac:dyDescent="0.3">
      <c r="A75" s="2" t="s">
        <v>239</v>
      </c>
      <c r="B75" s="2" t="s">
        <v>240</v>
      </c>
      <c r="C75" s="2" t="s">
        <v>74</v>
      </c>
      <c r="D75" s="3">
        <v>344866.8</v>
      </c>
      <c r="E75" s="2" t="s">
        <v>12</v>
      </c>
      <c r="F75" s="2" t="s">
        <v>75</v>
      </c>
      <c r="G75" s="2" t="s">
        <v>14</v>
      </c>
      <c r="H75" s="2" t="s">
        <v>15</v>
      </c>
      <c r="I75" s="2" t="s">
        <v>241</v>
      </c>
    </row>
    <row r="76" spans="1:9" x14ac:dyDescent="0.3">
      <c r="A76" s="2" t="s">
        <v>242</v>
      </c>
      <c r="B76" s="2" t="s">
        <v>243</v>
      </c>
      <c r="C76" s="2" t="s">
        <v>74</v>
      </c>
      <c r="D76" s="3">
        <v>99484.74</v>
      </c>
      <c r="E76" s="2" t="s">
        <v>12</v>
      </c>
      <c r="F76" s="2" t="s">
        <v>75</v>
      </c>
      <c r="G76" s="2" t="s">
        <v>14</v>
      </c>
      <c r="H76" s="2" t="s">
        <v>15</v>
      </c>
      <c r="I76" s="2" t="s">
        <v>244</v>
      </c>
    </row>
    <row r="77" spans="1:9" x14ac:dyDescent="0.3">
      <c r="A77" s="2" t="s">
        <v>245</v>
      </c>
      <c r="B77" s="2" t="s">
        <v>246</v>
      </c>
      <c r="C77" s="2" t="s">
        <v>74</v>
      </c>
      <c r="D77" s="3">
        <v>852765.4</v>
      </c>
      <c r="E77" s="2" t="s">
        <v>12</v>
      </c>
      <c r="F77" s="2" t="s">
        <v>75</v>
      </c>
      <c r="G77" s="2" t="s">
        <v>14</v>
      </c>
      <c r="H77" s="2" t="s">
        <v>15</v>
      </c>
      <c r="I77" s="2" t="s">
        <v>247</v>
      </c>
    </row>
    <row r="78" spans="1:9" x14ac:dyDescent="0.3">
      <c r="D78" s="5">
        <f>SUM(D2:D77)</f>
        <v>56408730.029999971</v>
      </c>
    </row>
    <row r="81" spans="4:6" x14ac:dyDescent="0.3">
      <c r="D81" s="4">
        <f>SUMIF(F2:F77,F81,D2:D77)</f>
        <v>50587142.489999987</v>
      </c>
      <c r="F81" t="s">
        <v>13</v>
      </c>
    </row>
    <row r="82" spans="4:6" x14ac:dyDescent="0.3">
      <c r="D82" s="4">
        <f>SUMIF(F2:F77,F82,D2:D77)</f>
        <v>2944328.6</v>
      </c>
      <c r="F82" t="s">
        <v>20</v>
      </c>
    </row>
    <row r="83" spans="4:6" x14ac:dyDescent="0.3">
      <c r="D83" s="4">
        <f>SUMIF(F2:F77,F83,D2:D77)</f>
        <v>2697258.94</v>
      </c>
      <c r="F83" t="s">
        <v>75</v>
      </c>
    </row>
    <row r="84" spans="4:6" x14ac:dyDescent="0.3">
      <c r="D84" s="4">
        <f>SUMIF(F2:F77,F84,D2:D77)</f>
        <v>180000</v>
      </c>
      <c r="F84" t="s">
        <v>25</v>
      </c>
    </row>
    <row r="85" spans="4:6" x14ac:dyDescent="0.3">
      <c r="D85" s="5">
        <f>SUM(D81:D84)</f>
        <v>56408730.029999986</v>
      </c>
    </row>
    <row r="86" spans="4:6" x14ac:dyDescent="0.3">
      <c r="D86" s="4">
        <f>D85-D78</f>
        <v>0</v>
      </c>
    </row>
  </sheetData>
  <autoFilter ref="A1:I77" xr:uid="{C399745B-B5A1-4135-AE29-30E62AADDF29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2025-08-19T14:26:09Z</dcterms:modified>
</cp:coreProperties>
</file>
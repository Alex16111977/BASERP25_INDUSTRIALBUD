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ль_25\Данные\Производство\"/>
    </mc:Choice>
  </mc:AlternateContent>
  <xr:revisionPtr revIDLastSave="0" documentId="13_ncr:1_{CDCFF9D9-EF4D-4606-9ADF-0C63F2CB8A42}" xr6:coauthVersionLast="45" xr6:coauthVersionMax="47" xr10:uidLastSave="{00000000-0000-0000-0000-000000000000}"/>
  <bookViews>
    <workbookView xWindow="-120" yWindow="-120" windowWidth="29040" windowHeight="15990" tabRatio="183" xr2:uid="{00000000-000D-0000-FFFF-FFFF00000000}"/>
  </bookViews>
  <sheets>
    <sheet name="Sheet1 (2)" sheetId="2" r:id="rId1"/>
  </sheets>
  <definedNames>
    <definedName name="_xlnm._FilterDatabase" localSheetId="0" hidden="1">'Sheet1 (2)'!$A$11:$P$40</definedName>
    <definedName name="Agreement" localSheetId="0">'Sheet1 (2)'!$A$9</definedName>
    <definedName name="Agreement">#REF!</definedName>
    <definedName name="BODY" localSheetId="0">'Sheet1 (2)'!#REF!</definedName>
    <definedName name="BODY">#REF!</definedName>
    <definedName name="CompanyName" localSheetId="0">'Sheet1 (2)'!$A$5</definedName>
    <definedName name="CompanyName">#REF!</definedName>
    <definedName name="CompanyName2" localSheetId="0">'Sheet1 (2)'!$A$47</definedName>
    <definedName name="CompanyName2">#REF!</definedName>
    <definedName name="Counter" localSheetId="0">'Sheet1 (2)'!#REF!</definedName>
    <definedName name="Counter">#REF!</definedName>
    <definedName name="CustName" localSheetId="0">'Sheet1 (2)'!$A$7</definedName>
    <definedName name="CustName">#REF!</definedName>
    <definedName name="Description" localSheetId="0">'Sheet1 (2)'!#REF!</definedName>
    <definedName name="Description">#REF!</definedName>
    <definedName name="Direction" localSheetId="0">'Sheet1 (2)'!#REF!</definedName>
    <definedName name="Direction">#REF!</definedName>
    <definedName name="ExecutorAddress" localSheetId="0">'Sheet1 (2)'!$A$49</definedName>
    <definedName name="ExecutorAddress">#REF!</definedName>
    <definedName name="ExecutorContactCenter" localSheetId="0">'Sheet1 (2)'!$A$50</definedName>
    <definedName name="ExecutorContactCenter">#REF!</definedName>
    <definedName name="ExecutorEDRPOU" localSheetId="0">'Sheet1 (2)'!$A$48</definedName>
    <definedName name="ExecutorEDRPOU">#REF!</definedName>
    <definedName name="ExecutorName" localSheetId="0">'Sheet1 (2)'!$D$45</definedName>
    <definedName name="ExecutorName">#REF!</definedName>
    <definedName name="LineAmount" localSheetId="0">'Sheet1 (2)'!#REF!</definedName>
    <definedName name="LineAmount">#REF!</definedName>
    <definedName name="NumberDateTxt" localSheetId="0">'Sheet1 (2)'!$A$3</definedName>
    <definedName name="NumberDateTxt">#REF!</definedName>
    <definedName name="PackageValue" localSheetId="0">'Sheet1 (2)'!#REF!</definedName>
    <definedName name="PackageValue">#REF!</definedName>
    <definedName name="PAGEFOOTER" localSheetId="0">'Sheet1 (2)'!$40:$40</definedName>
    <definedName name="PAGEFOOTER">#REF!</definedName>
    <definedName name="PAGEHEADER" localSheetId="0">'Sheet1 (2)'!$11:$11</definedName>
    <definedName name="PAGEHEADER">#REF!</definedName>
    <definedName name="Receiver" localSheetId="0">'Sheet1 (2)'!#REF!</definedName>
    <definedName name="Receiver">#REF!</definedName>
    <definedName name="ReceiverContact" localSheetId="0">'Sheet1 (2)'!#REF!</definedName>
    <definedName name="ReceiverContact">#REF!</definedName>
    <definedName name="REPORTFOOTER" localSheetId="0">'Sheet1 (2)'!$41:$50</definedName>
    <definedName name="REPORTFOOTER">#REF!</definedName>
    <definedName name="REPORTHEADER" localSheetId="0">'Sheet1 (2)'!$1:$10</definedName>
    <definedName name="REPORTHEADER">#REF!</definedName>
    <definedName name="SeatCount" localSheetId="0">'Sheet1 (2)'!#REF!</definedName>
    <definedName name="SeatCount">#REF!</definedName>
    <definedName name="Sender" localSheetId="0">'Sheet1 (2)'!#REF!</definedName>
    <definedName name="Sender">#REF!</definedName>
    <definedName name="SenderContact" localSheetId="0">'Sheet1 (2)'!#REF!</definedName>
    <definedName name="SenderContact">#REF!</definedName>
    <definedName name="ShipmentDate" localSheetId="0">'Sheet1 (2)'!#REF!</definedName>
    <definedName name="ShipmentDate">#REF!</definedName>
    <definedName name="ShipmentOrder" localSheetId="0">'Sheet1 (2)'!#REF!</definedName>
    <definedName name="ShipmentOrder">#REF!</definedName>
    <definedName name="TotalAmount" localSheetId="0">'Sheet1 (2)'!$M$40</definedName>
    <definedName name="TotalAmount">#REF!</definedName>
    <definedName name="TotalPackageValue" localSheetId="0">'Sheet1 (2)'!$L$40</definedName>
    <definedName name="TotalPackageValue">#REF!</definedName>
    <definedName name="TotalSeatCount" localSheetId="0">'Sheet1 (2)'!$K$40</definedName>
    <definedName name="TotalSeatCount">#REF!</definedName>
    <definedName name="TotalWeight" localSheetId="0">'Sheet1 (2)'!$J$40</definedName>
    <definedName name="TotalWeight">#REF!</definedName>
    <definedName name="Weight" localSheetId="0">'Sheet1 (2)'!#REF!</definedName>
    <definedName name="We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0" i="2" l="1"/>
  <c r="L40" i="2"/>
  <c r="K40" i="2"/>
  <c r="J40" i="2"/>
</calcChain>
</file>

<file path=xl/sharedStrings.xml><?xml version="1.0" encoding="utf-8"?>
<sst xmlns="http://schemas.openxmlformats.org/spreadsheetml/2006/main" count="337" uniqueCount="160">
  <si>
    <t>СПЕЦИФІКАЦІЯ</t>
  </si>
  <si>
    <t>до акту наданих послуг № НП-015140389 від 31 липня 2025</t>
  </si>
  <si>
    <t>Виконавець: Товариство з обмеженою відповідальністю "Нова Пошта"</t>
  </si>
  <si>
    <t>Замовник: ТОВАРИСТВО З ОБМЕЖЕНОЮ ВІДПОВІДАЛЬНІСТЮ "ІНДАСТРІАЛБУД"</t>
  </si>
  <si>
    <t>Підстава: договір № 208158 від 28.03.2018</t>
  </si>
  <si>
    <t>№ з/п</t>
  </si>
  <si>
    <t>Документ ЕН</t>
  </si>
  <si>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</si>
  <si>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</si>
  <si>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</si>
  <si>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</si>
  <si>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</si>
  <si>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</si>
  <si>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</si>
  <si>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</si>
  <si>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</si>
  <si>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</si>
  <si>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</si>
  <si>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Документи</t>
  </si>
  <si>
    <t>02.07.2025</t>
  </si>
  <si>
    <t>59001416774983</t>
  </si>
  <si>
    <t>17.07.2025</t>
  </si>
  <si>
    <t>Щасливе - Біла Церква</t>
  </si>
  <si>
    <t>ТОВ "РУФ-СТАР" с. Щасливе, Відділення №1: вул. Перспективна, 2</t>
  </si>
  <si>
    <t>Кухар Віктор Іванович 380983221894</t>
  </si>
  <si>
    <t>ТОВ "ІНДАСТРІАЛБУД" м. Біла Церква, вул. Мережна, 6</t>
  </si>
  <si>
    <t>Бреус Віталій Григорович 380675002415</t>
  </si>
  <si>
    <t>лакофарбові матеріали</t>
  </si>
  <si>
    <t>20451200186172</t>
  </si>
  <si>
    <t>07.07.2025</t>
  </si>
  <si>
    <t>Піщане - Біла Церква</t>
  </si>
  <si>
    <t>ПП "ТУЛ ТЕХНОЛОДЖИ" с. Піщане (Полтавська обл.), Відділення №1: вул. Київська, 101 А</t>
  </si>
  <si>
    <t>Бульба Віктор Михайлович 380966895133</t>
  </si>
  <si>
    <t>Дріт</t>
  </si>
  <si>
    <t>20451195654319</t>
  </si>
  <si>
    <t>Київ - Біла Церква</t>
  </si>
  <si>
    <t>ТОВ "ТЕПЛОКЕРАМІК" м. Київ, вул. Малинська, 3</t>
  </si>
  <si>
    <t>Глушенко Олег Миколайович 380958704869</t>
  </si>
  <si>
    <t>Обігрівач</t>
  </si>
  <si>
    <t>29.07.2025</t>
  </si>
  <si>
    <t>Інструменти</t>
  </si>
  <si>
    <t>08.07.2025</t>
  </si>
  <si>
    <t>59001413091140</t>
  </si>
  <si>
    <t>11.07.2025</t>
  </si>
  <si>
    <t>Харків - Біла Церква</t>
  </si>
  <si>
    <t>БЕРЕЖНИЙ ОЛЕКСАНДР СЕРГІЙОВИЧ ФОП м. Харків, Відділення №140: провул. Пискунівський, 4</t>
  </si>
  <si>
    <t>Бережний Олександр Сергійович 380737223707</t>
  </si>
  <si>
    <t>меблева фурнітура</t>
  </si>
  <si>
    <t>20451208298446</t>
  </si>
  <si>
    <t>19.07.2025</t>
  </si>
  <si>
    <t>Вишневе - Біла Церква</t>
  </si>
  <si>
    <t>МЕЛЬНИК ВОЛОДИМИР ОЛЕКСІЙОВИЧ ФОП м. Вишневе, Відділення №1: вул. Київська, 4</t>
  </si>
  <si>
    <t>Мельник Володимир Олексійович 380503357621</t>
  </si>
  <si>
    <t>Сантехнічні матеріали</t>
  </si>
  <si>
    <t>59001406681434</t>
  </si>
  <si>
    <t>01.07.2025</t>
  </si>
  <si>
    <t>20451209129126</t>
  </si>
  <si>
    <t>Одеса - Біла Церква</t>
  </si>
  <si>
    <t>СОІНОВА ЕЛНАРА ФОП м. Одеса, Відділення №68 (до 1100 кг): вул. Радісна, 2/4 (заїзд з вул. Ріхтера)</t>
  </si>
  <si>
    <t>Соінова Елнара Відсутнє 380949488555</t>
  </si>
  <si>
    <t>Душ піддон</t>
  </si>
  <si>
    <t>28.07.2025</t>
  </si>
  <si>
    <t>59001406753156</t>
  </si>
  <si>
    <t>Чернігів - Біла Церква</t>
  </si>
  <si>
    <t>ТОВ "ЗАВОД "СИМВОЛ" м. Чернігів, Відділення №26: вул. Дрозда, 7</t>
  </si>
  <si>
    <t>Лавриновський Пилип Олександрович 380977848835</t>
  </si>
  <si>
    <t>Металеві вироби (металоконструкції, метал)</t>
  </si>
  <si>
    <t>20451208306884</t>
  </si>
  <si>
    <t>18.07.2025</t>
  </si>
  <si>
    <t>59001410882501</t>
  </si>
  <si>
    <t>Рівне - Біла Церква</t>
  </si>
  <si>
    <t>Приватна особа м. Рівне, Відділення №18: вул. Володимира Стельмаха, 9Б</t>
  </si>
  <si>
    <t>Іскрицький Денис Русланович 380968621065</t>
  </si>
  <si>
    <t>25.07.2025</t>
  </si>
  <si>
    <t>09.07.2025</t>
  </si>
  <si>
    <t>03.07.2025</t>
  </si>
  <si>
    <t>14.07.2025</t>
  </si>
  <si>
    <t>04.07.2025</t>
  </si>
  <si>
    <t>21.07.2025</t>
  </si>
  <si>
    <t>59001408202814</t>
  </si>
  <si>
    <t>Козелець - Біла Церква</t>
  </si>
  <si>
    <t>Приватна особа смт Козелець, Відділення №1: вул. Івана Котляревського, 14</t>
  </si>
  <si>
    <t>Нечваль Ірина Вікторівна 380937128831</t>
  </si>
  <si>
    <t>59001407296972</t>
  </si>
  <si>
    <t>Приватна особа м. Київ, Відділення №12: вул. Родини Бунге, 8</t>
  </si>
  <si>
    <t>Гусак Ігор Олександрович 380683813032</t>
  </si>
  <si>
    <t>20451213322679</t>
  </si>
  <si>
    <t>ТОВ "РУФ-СТАР" м. Київ, Відділення №100 (до 30 кг на одне місце): вул. Інженерна, 1 (маг. "Сільпо")</t>
  </si>
  <si>
    <t>Кухар Віктор Іванович 380634104144</t>
  </si>
  <si>
    <t>20451196890996</t>
  </si>
  <si>
    <t>ТОВ "ФДМ БУД" м. Київ, Відділення №333 (до 30 кг): вул. Мрії, 13а</t>
  </si>
  <si>
    <t>Костюк Роман Анатолійович 380953849145</t>
  </si>
  <si>
    <t>20451197496529</t>
  </si>
  <si>
    <t>59001411650200</t>
  </si>
  <si>
    <t>ТОВ "КОМЕРЦІЙНА ПІДЛОГА" м. Київ, Відділення №45 (до 30 кг на одне місце): вул. Вінстона Черчилля, 14</t>
  </si>
  <si>
    <t>Гамерський Богдан Ігорович 380673829196</t>
  </si>
  <si>
    <t>20400467722834</t>
  </si>
  <si>
    <t>Дніпро - Біла Церква</t>
  </si>
  <si>
    <t>ТОВ "ПЛАТІНУМ ЕЛЕКТРИК" м. Дніпро, Поштомат "Нова Пошта" №30960: вул. Любарського, 143 (ТОВ "Платінум Електрик")</t>
  </si>
  <si>
    <t>Шаталова Карина Петрівна 380686900966</t>
  </si>
  <si>
    <t>59001408096438</t>
  </si>
  <si>
    <t>ТОВ "МЕТАЛ ХОЛДІНГ ТРЕЙД" м. Київ, проїзд Саперно-Слобідський, 4, офіс</t>
  </si>
  <si>
    <t>Кечко Ірина Анатоліївна 380502658449</t>
  </si>
  <si>
    <t>20451203675130</t>
  </si>
  <si>
    <t>ТОВ "ВЕНТ АЛЬЯНС" м. Київ, вул. Макіївська, 8</t>
  </si>
  <si>
    <t>Курінський Ігор Володимирович 380960080554</t>
  </si>
  <si>
    <t>Вентиляційне обладнання</t>
  </si>
  <si>
    <t>20400466472277</t>
  </si>
  <si>
    <t>ТОВ "ВОРЛДВАЙД МАНУФАКЧУРІНГ, І.Д." м. Київ, вул. Соборна, 114</t>
  </si>
  <si>
    <t>Порохницький Олександр Євгенійович 380444902114</t>
  </si>
  <si>
    <t>ТОВ "ІНДАСТРІАЛБУД" м. Біла Церква, вул. Мережна, 6,  Біла Церква, вул. Мережна 6</t>
  </si>
  <si>
    <t>Бреус Віталій Отримувач 380675002415</t>
  </si>
  <si>
    <t>Техніка</t>
  </si>
  <si>
    <t>20451214878149</t>
  </si>
  <si>
    <t>ТОВ"ПРОФІЛЬ ЦЕНТР" м. Київ, вул. Ремонтна, 9</t>
  </si>
  <si>
    <t>Лавріненко Юлія Миколаївна 380975726670</t>
  </si>
  <si>
    <t>Бреус Віталій Відсутнє 380675002415</t>
  </si>
  <si>
    <t>Профіль</t>
  </si>
  <si>
    <t>20451214650526</t>
  </si>
  <si>
    <t>Палети</t>
  </si>
  <si>
    <t>Запчастини</t>
  </si>
  <si>
    <t>20451200226261</t>
  </si>
  <si>
    <t>ПП "ТУЛ ТЕХНОЛОДЖИ" м. Київ, просп. Курбаса Леся (50-річчя Жовтня), 2б</t>
  </si>
  <si>
    <t>20451213359999</t>
  </si>
  <si>
    <t>ТОВ "ПОЖЕЖНА БЕЗПЕКА УКРАЇНИ" м. Київ, Відділення №148: вул. Балабуєва Петра Авіаконструктора (ран. вул.Екскаваторна), 37А</t>
  </si>
  <si>
    <t>Зеленська Марія Олександрівна 380503257835</t>
  </si>
  <si>
    <t>Пред Ста Вник 380675002415</t>
  </si>
  <si>
    <t>Протипожежне обладнення</t>
  </si>
  <si>
    <t>20451214553947</t>
  </si>
  <si>
    <t>ТОВ "АВЕАЛЬ" м. Київ, Бізнес-відділення №373: вул. Каунаська, 27</t>
  </si>
  <si>
    <t>Корчинський Сергій Іванович 380952869965</t>
  </si>
  <si>
    <t>20451205274877</t>
  </si>
  <si>
    <t>Калинівка - Біла Церква</t>
  </si>
  <si>
    <t>ТАРАСОВ ГЕННАДІЙ МИХАЙЛОВИЧ ФОП м. Калинівка (Вінницька обл., Калинівський р-н), Відділення №1: вул. Незалежності, 1Б</t>
  </si>
  <si>
    <t>Кузьменко Павло Миколайович 380968090517</t>
  </si>
  <si>
    <t>Сантехніка</t>
  </si>
  <si>
    <t>20451208473031</t>
  </si>
  <si>
    <t>20451209731734</t>
  </si>
  <si>
    <t>Разом</t>
  </si>
  <si>
    <t>Від Виконавця:</t>
  </si>
  <si>
    <t>Бухгалтер</t>
  </si>
  <si>
    <t>Бурцева Інга Іванівна</t>
  </si>
  <si>
    <t>Товариство з обмеженою відповідальністю "Нова Пошта"</t>
  </si>
  <si>
    <t>ЄДРПОУ: 31316718</t>
  </si>
  <si>
    <t>Адреса: 03026 Київська,Київська м.р., Київ,Столичне шосе,103,корпус 1,поверх 9</t>
  </si>
  <si>
    <t>контакт-центр 0-800-500-609</t>
  </si>
  <si>
    <t>ЦФО</t>
  </si>
  <si>
    <t>Статья</t>
  </si>
  <si>
    <t>Курьерские и почтовые</t>
  </si>
  <si>
    <t>ЦО Производство</t>
  </si>
  <si>
    <t>Строительные материалы</t>
  </si>
  <si>
    <t>Объект</t>
  </si>
  <si>
    <t>МХП Катеринопіль</t>
  </si>
  <si>
    <t>МД Червоний Хрест</t>
  </si>
  <si>
    <t>IRS</t>
  </si>
  <si>
    <t>МШП</t>
  </si>
  <si>
    <t>МД Укрнафта 3*4</t>
  </si>
  <si>
    <t>МД Франківськ</t>
  </si>
  <si>
    <t>МД ООН 2025</t>
  </si>
  <si>
    <t>Головний офіс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</si>
</sst>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  <family val="2"/>
    </font>
    <font>
      <sz val="10"/>
      <name val="Arial"/>
      <family val="2"/>
    </font>
    <font>
      <sz val="5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8"/>
      <color indexed="24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23">
    <xf numFmtId="0" fontId="0" fillId="0" borderId="0" xfId="0" applyNumberFormat="1" applyFont="1" applyFill="1" applyBorder="1"/>
    <xf numFmtId="0" fontId="0" fillId="0" borderId="1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right" vertical="top"/>
    </xf>
    <xf numFmtId="1" fontId="2" fillId="0" borderId="2" xfId="0" applyNumberFormat="1" applyFont="1" applyFill="1" applyBorder="1" applyAlignment="1">
      <alignment horizontal="right" vertical="top"/>
    </xf>
    <xf numFmtId="0" fontId="1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 vertical="top"/>
    </xf>
    <xf numFmtId="0" fontId="6" fillId="2" borderId="3" xfId="0" applyNumberFormat="1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center" vertical="top" wrapText="1"/>
    </xf>
    <xf numFmtId="0" fontId="6" fillId="2" borderId="3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4" fontId="7" fillId="2" borderId="3" xfId="0" applyNumberFormat="1" applyFont="1" applyFill="1" applyBorder="1"/>
    <xf numFmtId="0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6B11-B800-405D-908B-E9C9B6E22CAE}">
  <sheetPr filterMode="1">
    <outlinePr summaryBelow="0" summaryRight="0"/>
    <pageSetUpPr autoPageBreaks="0"/>
  </sheetPr>
  <dimension ref="A1:P50"/>
  <sheetViews>
    <sheetView tabSelected="1" topLeftCell="D4" zoomScale="130" zoomScaleNormal="130" workbookViewId="0">
      <pane ySplit="8" topLeftCell="A12" activePane="bottomLeft" state="frozen"/>
      <selection activeCell="C4" sqref="C4"/>
      <selection pane="bottomLeft" activeCell="M54" sqref="M54"/>
    </sheetView>
  </sheetViews>
  <sheetFormatPr defaultColWidth="10.6640625" defaultRowHeight="11.25" x14ac:dyDescent="0.2"/>
  <cols>
    <col min="1" max="1" width="4.1640625" style="11" customWidth="1"/>
    <col min="2" max="2" width="11.33203125" style="11" customWidth="1"/>
    <col min="3" max="3" width="7" style="11" customWidth="1"/>
    <col min="4" max="4" width="10.83203125" style="11" customWidth="1"/>
    <col min="5" max="5" width="26.83203125" style="11" customWidth="1"/>
    <col min="6" max="6" width="17.83203125" style="11" customWidth="1"/>
    <col min="7" max="7" width="28" style="11" customWidth="1"/>
    <col min="8" max="8" width="17.83203125" style="11" customWidth="1"/>
    <col min="9" max="9" width="16.6640625" style="11" customWidth="1"/>
    <col min="10" max="10" width="8.1640625" style="11" customWidth="1"/>
    <col min="11" max="11" width="9.83203125" style="11" customWidth="1"/>
    <col min="12" max="12" width="10.33203125" style="11" customWidth="1"/>
    <col min="13" max="13" width="10.1640625" style="11" customWidth="1"/>
    <col min="14" max="15" width="13.6640625" style="12" customWidth="1"/>
    <col min="16" max="16" width="15.83203125" style="12" bestFit="1" customWidth="1"/>
    <col min="17" max="16384" width="10.6640625" style="10"/>
  </cols>
  <sheetData>
    <row r="1" spans="1:16" ht="18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6" ht="8.2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3"/>
      <c r="O2" s="13"/>
      <c r="P2" s="13"/>
    </row>
    <row r="3" spans="1:16" ht="13.35" customHeight="1" x14ac:dyDescent="0.2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6" ht="12.75" hidden="1" x14ac:dyDescent="0.2">
      <c r="A4" s="5"/>
    </row>
    <row r="5" spans="1:16" hidden="1" x14ac:dyDescent="0.2">
      <c r="A5" s="21" t="s">
        <v>2</v>
      </c>
      <c r="B5" s="22"/>
      <c r="C5" s="22"/>
      <c r="D5" s="22"/>
      <c r="E5" s="22"/>
      <c r="F5" s="22"/>
      <c r="G5" s="22"/>
      <c r="H5" s="22"/>
      <c r="I5" s="22"/>
      <c r="J5" s="22"/>
    </row>
    <row r="6" spans="1:16" s="11" customFormat="1" ht="12.6" hidden="1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N6" s="12"/>
      <c r="O6" s="12"/>
      <c r="P6" s="12"/>
    </row>
    <row r="7" spans="1:16" s="11" customFormat="1" ht="12" hidden="1" customHeight="1" x14ac:dyDescent="0.2">
      <c r="A7" s="21" t="s">
        <v>3</v>
      </c>
      <c r="B7" s="22"/>
      <c r="C7" s="22"/>
      <c r="D7" s="22"/>
      <c r="E7" s="22"/>
      <c r="F7" s="22"/>
      <c r="G7" s="22"/>
      <c r="H7" s="22"/>
      <c r="I7" s="22"/>
      <c r="J7" s="22"/>
      <c r="N7" s="12"/>
      <c r="O7" s="12"/>
      <c r="P7" s="12"/>
    </row>
    <row r="8" spans="1:16" s="11" customFormat="1" ht="12.6" hidden="1" customHeigh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N8" s="12"/>
      <c r="O8" s="12"/>
      <c r="P8" s="12"/>
    </row>
    <row r="9" spans="1:16" s="11" customFormat="1" ht="12" hidden="1" customHeight="1" x14ac:dyDescent="0.2">
      <c r="A9" s="18" t="s">
        <v>4</v>
      </c>
      <c r="B9" s="18"/>
      <c r="C9" s="18"/>
      <c r="D9" s="18"/>
      <c r="E9" s="18"/>
      <c r="F9" s="18"/>
      <c r="G9" s="18"/>
      <c r="H9" s="18"/>
      <c r="I9" s="18"/>
      <c r="J9" s="18"/>
      <c r="N9" s="12"/>
      <c r="O9" s="12"/>
      <c r="P9" s="12"/>
    </row>
    <row r="10" spans="1:16" s="11" customFormat="1" ht="11.25" customHeight="1" x14ac:dyDescent="0.2">
      <c r="N10" s="12"/>
      <c r="O10" s="12"/>
      <c r="P10" s="12"/>
    </row>
    <row r="11" spans="1:16" ht="27" customHeight="1" x14ac:dyDescent="0.2">
      <c r="A11" s="7" t="s">
        <v>5</v>
      </c>
      <c r="B11" s="7" t="s">
        <v>6</v>
      </c>
      <c r="C11" s="7" t="s">
        <v>7</v>
      </c>
      <c r="D11" s="7" t="s">
        <v>8</v>
      </c>
      <c r="E11" s="7" t="s">
        <v>9</v>
      </c>
      <c r="F11" s="7" t="s">
        <v>10</v>
      </c>
      <c r="G11" s="7" t="s">
        <v>11</v>
      </c>
      <c r="H11" s="7" t="s">
        <v>12</v>
      </c>
      <c r="I11" s="7" t="s">
        <v>13</v>
      </c>
      <c r="J11" s="7" t="s">
        <v>14</v>
      </c>
      <c r="K11" s="7" t="s">
        <v>15</v>
      </c>
      <c r="L11" s="7" t="s">
        <v>16</v>
      </c>
      <c r="M11" s="7" t="s">
        <v>17</v>
      </c>
      <c r="N11" s="14" t="s">
        <v>146</v>
      </c>
      <c r="O11" s="14" t="s">
        <v>151</v>
      </c>
      <c r="P11" s="14" t="s">
        <v>147</v>
      </c>
    </row>
    <row r="12" spans="1:16" ht="27" hidden="1" customHeight="1" x14ac:dyDescent="0.2">
      <c r="A12" s="8">
        <v>5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3">
        <v>20</v>
      </c>
      <c r="K12" s="4">
        <v>2</v>
      </c>
      <c r="L12" s="3">
        <v>7900</v>
      </c>
      <c r="M12" s="3">
        <v>404.5</v>
      </c>
      <c r="N12" s="15" t="s">
        <v>149</v>
      </c>
      <c r="O12" s="15" t="s">
        <v>158</v>
      </c>
      <c r="P12" s="15" t="s">
        <v>150</v>
      </c>
    </row>
    <row r="13" spans="1:16" ht="27" customHeight="1" x14ac:dyDescent="0.2">
      <c r="A13" s="8">
        <v>6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25</v>
      </c>
      <c r="H13" s="2" t="s">
        <v>26</v>
      </c>
      <c r="I13" s="2" t="s">
        <v>33</v>
      </c>
      <c r="J13" s="3">
        <v>75</v>
      </c>
      <c r="K13" s="4">
        <v>1</v>
      </c>
      <c r="L13" s="3">
        <v>5000</v>
      </c>
      <c r="M13" s="3">
        <v>1020</v>
      </c>
      <c r="N13" s="15" t="s">
        <v>149</v>
      </c>
      <c r="O13" s="15" t="s">
        <v>152</v>
      </c>
      <c r="P13" s="15" t="s">
        <v>155</v>
      </c>
    </row>
    <row r="14" spans="1:16" ht="27" hidden="1" customHeight="1" x14ac:dyDescent="0.2">
      <c r="A14" s="8">
        <v>7</v>
      </c>
      <c r="B14" s="2" t="s">
        <v>34</v>
      </c>
      <c r="C14" s="2" t="s">
        <v>19</v>
      </c>
      <c r="D14" s="2" t="s">
        <v>35</v>
      </c>
      <c r="E14" s="2" t="s">
        <v>36</v>
      </c>
      <c r="F14" s="2" t="s">
        <v>37</v>
      </c>
      <c r="G14" s="2" t="s">
        <v>25</v>
      </c>
      <c r="H14" s="2" t="s">
        <v>26</v>
      </c>
      <c r="I14" s="2" t="s">
        <v>38</v>
      </c>
      <c r="J14" s="3">
        <v>96</v>
      </c>
      <c r="K14" s="4">
        <v>8</v>
      </c>
      <c r="L14" s="3">
        <v>12391.68</v>
      </c>
      <c r="M14" s="3">
        <v>1831.96</v>
      </c>
      <c r="N14" s="15" t="s">
        <v>149</v>
      </c>
      <c r="O14" s="15" t="s">
        <v>153</v>
      </c>
      <c r="P14" s="15" t="s">
        <v>150</v>
      </c>
    </row>
    <row r="15" spans="1:16" ht="27" hidden="1" customHeight="1" x14ac:dyDescent="0.2">
      <c r="A15" s="8">
        <v>15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46</v>
      </c>
      <c r="G15" s="2" t="s">
        <v>25</v>
      </c>
      <c r="H15" s="2" t="s">
        <v>26</v>
      </c>
      <c r="I15" s="2" t="s">
        <v>47</v>
      </c>
      <c r="J15" s="3">
        <v>80</v>
      </c>
      <c r="K15" s="4">
        <v>1</v>
      </c>
      <c r="L15" s="3">
        <v>12512</v>
      </c>
      <c r="M15" s="3">
        <v>1152.56</v>
      </c>
      <c r="N15" s="15" t="s">
        <v>149</v>
      </c>
      <c r="O15" s="15" t="s">
        <v>154</v>
      </c>
      <c r="P15" s="15" t="s">
        <v>150</v>
      </c>
    </row>
    <row r="16" spans="1:16" ht="27" hidden="1" customHeight="1" x14ac:dyDescent="0.2">
      <c r="A16" s="8">
        <v>16</v>
      </c>
      <c r="B16" s="2" t="s">
        <v>48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25</v>
      </c>
      <c r="H16" s="2" t="s">
        <v>26</v>
      </c>
      <c r="I16" s="2" t="s">
        <v>53</v>
      </c>
      <c r="J16" s="3">
        <v>8</v>
      </c>
      <c r="K16" s="4">
        <v>1</v>
      </c>
      <c r="L16" s="3">
        <v>760</v>
      </c>
      <c r="M16" s="3">
        <v>428.8</v>
      </c>
      <c r="N16" s="15" t="s">
        <v>149</v>
      </c>
      <c r="O16" s="15" t="s">
        <v>153</v>
      </c>
      <c r="P16" s="15" t="s">
        <v>150</v>
      </c>
    </row>
    <row r="17" spans="1:16" ht="27" hidden="1" customHeight="1" x14ac:dyDescent="0.2">
      <c r="A17" s="8">
        <v>17</v>
      </c>
      <c r="B17" s="2" t="s">
        <v>54</v>
      </c>
      <c r="C17" s="2" t="s">
        <v>55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3">
        <v>144</v>
      </c>
      <c r="K17" s="4">
        <v>1</v>
      </c>
      <c r="L17" s="3">
        <v>35000</v>
      </c>
      <c r="M17" s="3">
        <v>1867</v>
      </c>
      <c r="N17" s="15" t="s">
        <v>149</v>
      </c>
      <c r="O17" s="15" t="s">
        <v>158</v>
      </c>
      <c r="P17" s="15" t="s">
        <v>150</v>
      </c>
    </row>
    <row r="18" spans="1:16" ht="27" hidden="1" customHeight="1" x14ac:dyDescent="0.2">
      <c r="A18" s="8">
        <v>18</v>
      </c>
      <c r="B18" s="2" t="s">
        <v>56</v>
      </c>
      <c r="C18" s="2" t="s">
        <v>49</v>
      </c>
      <c r="D18" s="2" t="s">
        <v>57</v>
      </c>
      <c r="E18" s="2" t="s">
        <v>58</v>
      </c>
      <c r="F18" s="2" t="s">
        <v>59</v>
      </c>
      <c r="G18" s="2" t="s">
        <v>25</v>
      </c>
      <c r="H18" s="2" t="s">
        <v>26</v>
      </c>
      <c r="I18" s="2" t="s">
        <v>60</v>
      </c>
      <c r="J18" s="3">
        <v>42.88</v>
      </c>
      <c r="K18" s="4">
        <v>1</v>
      </c>
      <c r="L18" s="3">
        <v>5945</v>
      </c>
      <c r="M18" s="3">
        <v>776.73</v>
      </c>
      <c r="N18" s="15" t="s">
        <v>149</v>
      </c>
      <c r="O18" s="15" t="s">
        <v>153</v>
      </c>
      <c r="P18" s="15" t="s">
        <v>150</v>
      </c>
    </row>
    <row r="19" spans="1:16" ht="27" hidden="1" customHeight="1" x14ac:dyDescent="0.2">
      <c r="A19" s="8">
        <v>20</v>
      </c>
      <c r="B19" s="2" t="s">
        <v>62</v>
      </c>
      <c r="C19" s="2" t="s">
        <v>55</v>
      </c>
      <c r="D19" s="2" t="s">
        <v>63</v>
      </c>
      <c r="E19" s="2" t="s">
        <v>64</v>
      </c>
      <c r="F19" s="2" t="s">
        <v>65</v>
      </c>
      <c r="G19" s="2" t="s">
        <v>25</v>
      </c>
      <c r="H19" s="2" t="s">
        <v>26</v>
      </c>
      <c r="I19" s="2" t="s">
        <v>66</v>
      </c>
      <c r="J19" s="3">
        <v>150</v>
      </c>
      <c r="K19" s="4">
        <v>1</v>
      </c>
      <c r="L19" s="3">
        <v>24000</v>
      </c>
      <c r="M19" s="3">
        <v>1905</v>
      </c>
      <c r="N19" s="15" t="s">
        <v>149</v>
      </c>
      <c r="O19" s="15" t="s">
        <v>158</v>
      </c>
      <c r="P19" s="15" t="s">
        <v>150</v>
      </c>
    </row>
    <row r="20" spans="1:16" ht="27" customHeight="1" x14ac:dyDescent="0.2">
      <c r="A20" s="8">
        <v>31</v>
      </c>
      <c r="B20" s="2" t="s">
        <v>67</v>
      </c>
      <c r="C20" s="2" t="s">
        <v>68</v>
      </c>
      <c r="D20" s="2" t="s">
        <v>30</v>
      </c>
      <c r="E20" s="2" t="s">
        <v>31</v>
      </c>
      <c r="F20" s="2" t="s">
        <v>32</v>
      </c>
      <c r="G20" s="2" t="s">
        <v>25</v>
      </c>
      <c r="H20" s="2" t="s">
        <v>26</v>
      </c>
      <c r="I20" s="2" t="s">
        <v>33</v>
      </c>
      <c r="J20" s="3">
        <v>65</v>
      </c>
      <c r="K20" s="4">
        <v>1</v>
      </c>
      <c r="L20" s="3">
        <v>8000</v>
      </c>
      <c r="M20" s="3">
        <v>895</v>
      </c>
      <c r="N20" s="15" t="s">
        <v>149</v>
      </c>
      <c r="O20" s="15" t="s">
        <v>152</v>
      </c>
      <c r="P20" s="15" t="s">
        <v>155</v>
      </c>
    </row>
    <row r="21" spans="1:16" ht="27" hidden="1" customHeight="1" x14ac:dyDescent="0.2">
      <c r="A21" s="8">
        <v>32</v>
      </c>
      <c r="B21" s="2" t="s">
        <v>69</v>
      </c>
      <c r="C21" s="2" t="s">
        <v>41</v>
      </c>
      <c r="D21" s="2" t="s">
        <v>70</v>
      </c>
      <c r="E21" s="2" t="s">
        <v>71</v>
      </c>
      <c r="F21" s="2" t="s">
        <v>72</v>
      </c>
      <c r="G21" s="2" t="s">
        <v>25</v>
      </c>
      <c r="H21" s="2" t="s">
        <v>26</v>
      </c>
      <c r="I21" s="2" t="s">
        <v>40</v>
      </c>
      <c r="J21" s="3">
        <v>144</v>
      </c>
      <c r="K21" s="4">
        <v>1</v>
      </c>
      <c r="L21" s="3">
        <v>5000</v>
      </c>
      <c r="M21" s="3">
        <v>1961</v>
      </c>
      <c r="N21" s="15" t="s">
        <v>149</v>
      </c>
      <c r="O21" s="15" t="s">
        <v>153</v>
      </c>
      <c r="P21" s="15" t="s">
        <v>150</v>
      </c>
    </row>
    <row r="22" spans="1:16" ht="27" hidden="1" customHeight="1" x14ac:dyDescent="0.2">
      <c r="A22" s="8">
        <v>75</v>
      </c>
      <c r="B22" s="2" t="s">
        <v>79</v>
      </c>
      <c r="C22" s="2" t="s">
        <v>75</v>
      </c>
      <c r="D22" s="2" t="s">
        <v>80</v>
      </c>
      <c r="E22" s="2" t="s">
        <v>81</v>
      </c>
      <c r="F22" s="2" t="s">
        <v>82</v>
      </c>
      <c r="G22" s="2" t="s">
        <v>25</v>
      </c>
      <c r="H22" s="2" t="s">
        <v>26</v>
      </c>
      <c r="I22" s="2" t="s">
        <v>18</v>
      </c>
      <c r="J22" s="3">
        <v>0.1</v>
      </c>
      <c r="K22" s="4">
        <v>1</v>
      </c>
      <c r="L22" s="3">
        <v>200</v>
      </c>
      <c r="M22" s="3">
        <v>100</v>
      </c>
      <c r="N22" s="15" t="s">
        <v>149</v>
      </c>
      <c r="O22" s="15" t="s">
        <v>153</v>
      </c>
      <c r="P22" s="15" t="s">
        <v>148</v>
      </c>
    </row>
    <row r="23" spans="1:16" ht="27" hidden="1" customHeight="1" x14ac:dyDescent="0.2">
      <c r="A23" s="8">
        <v>76</v>
      </c>
      <c r="B23" s="2" t="s">
        <v>83</v>
      </c>
      <c r="C23" s="2" t="s">
        <v>19</v>
      </c>
      <c r="D23" s="2" t="s">
        <v>35</v>
      </c>
      <c r="E23" s="2" t="s">
        <v>84</v>
      </c>
      <c r="F23" s="2" t="s">
        <v>85</v>
      </c>
      <c r="G23" s="2" t="s">
        <v>25</v>
      </c>
      <c r="H23" s="2" t="s">
        <v>26</v>
      </c>
      <c r="I23" s="2" t="s">
        <v>18</v>
      </c>
      <c r="J23" s="3">
        <v>1</v>
      </c>
      <c r="K23" s="4">
        <v>1</v>
      </c>
      <c r="L23" s="3">
        <v>1</v>
      </c>
      <c r="M23" s="3">
        <v>100</v>
      </c>
      <c r="N23" s="15" t="s">
        <v>149</v>
      </c>
      <c r="O23" s="15" t="s">
        <v>156</v>
      </c>
      <c r="P23" s="15" t="s">
        <v>148</v>
      </c>
    </row>
    <row r="24" spans="1:16" ht="27" hidden="1" customHeight="1" x14ac:dyDescent="0.2">
      <c r="A24" s="8">
        <v>77</v>
      </c>
      <c r="B24" s="2" t="s">
        <v>86</v>
      </c>
      <c r="C24" s="2" t="s">
        <v>39</v>
      </c>
      <c r="D24" s="2" t="s">
        <v>35</v>
      </c>
      <c r="E24" s="2" t="s">
        <v>87</v>
      </c>
      <c r="F24" s="2" t="s">
        <v>88</v>
      </c>
      <c r="G24" s="2" t="s">
        <v>25</v>
      </c>
      <c r="H24" s="2" t="s">
        <v>26</v>
      </c>
      <c r="I24" s="2" t="s">
        <v>18</v>
      </c>
      <c r="J24" s="3">
        <v>0.5</v>
      </c>
      <c r="K24" s="4">
        <v>1</v>
      </c>
      <c r="L24" s="3">
        <v>200</v>
      </c>
      <c r="M24" s="3">
        <v>100</v>
      </c>
      <c r="N24" s="15" t="s">
        <v>149</v>
      </c>
      <c r="O24" s="15" t="s">
        <v>153</v>
      </c>
      <c r="P24" s="15" t="s">
        <v>148</v>
      </c>
    </row>
    <row r="25" spans="1:16" ht="27" hidden="1" customHeight="1" x14ac:dyDescent="0.2">
      <c r="A25" s="8">
        <v>80</v>
      </c>
      <c r="B25" s="2" t="s">
        <v>89</v>
      </c>
      <c r="C25" s="2" t="s">
        <v>55</v>
      </c>
      <c r="D25" s="2" t="s">
        <v>35</v>
      </c>
      <c r="E25" s="2" t="s">
        <v>90</v>
      </c>
      <c r="F25" s="2" t="s">
        <v>91</v>
      </c>
      <c r="G25" s="2" t="s">
        <v>25</v>
      </c>
      <c r="H25" s="2" t="s">
        <v>26</v>
      </c>
      <c r="I25" s="2" t="s">
        <v>18</v>
      </c>
      <c r="J25" s="3">
        <v>1</v>
      </c>
      <c r="K25" s="4">
        <v>1</v>
      </c>
      <c r="L25" s="3">
        <v>200</v>
      </c>
      <c r="M25" s="3">
        <v>100</v>
      </c>
      <c r="N25" s="15" t="s">
        <v>149</v>
      </c>
      <c r="O25" s="15" t="s">
        <v>157</v>
      </c>
      <c r="P25" s="15" t="s">
        <v>148</v>
      </c>
    </row>
    <row r="26" spans="1:16" ht="27" hidden="1" customHeight="1" x14ac:dyDescent="0.2">
      <c r="A26" s="8">
        <v>81</v>
      </c>
      <c r="B26" s="2" t="s">
        <v>92</v>
      </c>
      <c r="C26" s="2" t="s">
        <v>77</v>
      </c>
      <c r="D26" s="2" t="s">
        <v>35</v>
      </c>
      <c r="E26" s="2" t="s">
        <v>87</v>
      </c>
      <c r="F26" s="2" t="s">
        <v>88</v>
      </c>
      <c r="G26" s="2" t="s">
        <v>25</v>
      </c>
      <c r="H26" s="2" t="s">
        <v>26</v>
      </c>
      <c r="I26" s="2" t="s">
        <v>18</v>
      </c>
      <c r="J26" s="3">
        <v>0.5</v>
      </c>
      <c r="K26" s="4">
        <v>1</v>
      </c>
      <c r="L26" s="3">
        <v>200</v>
      </c>
      <c r="M26" s="3">
        <v>100</v>
      </c>
      <c r="N26" s="15" t="s">
        <v>149</v>
      </c>
      <c r="O26" s="15" t="s">
        <v>158</v>
      </c>
      <c r="P26" s="15" t="s">
        <v>148</v>
      </c>
    </row>
    <row r="27" spans="1:16" ht="27" hidden="1" customHeight="1" x14ac:dyDescent="0.2">
      <c r="A27" s="8">
        <v>82</v>
      </c>
      <c r="B27" s="2" t="s">
        <v>93</v>
      </c>
      <c r="C27" s="2" t="s">
        <v>74</v>
      </c>
      <c r="D27" s="2" t="s">
        <v>35</v>
      </c>
      <c r="E27" s="2" t="s">
        <v>94</v>
      </c>
      <c r="F27" s="2" t="s">
        <v>95</v>
      </c>
      <c r="G27" s="2" t="s">
        <v>25</v>
      </c>
      <c r="H27" s="2" t="s">
        <v>26</v>
      </c>
      <c r="I27" s="2" t="s">
        <v>18</v>
      </c>
      <c r="J27" s="3">
        <v>1</v>
      </c>
      <c r="K27" s="4">
        <v>1</v>
      </c>
      <c r="L27" s="3">
        <v>10</v>
      </c>
      <c r="M27" s="3">
        <v>100</v>
      </c>
      <c r="N27" s="15" t="s">
        <v>149</v>
      </c>
      <c r="O27" s="15" t="s">
        <v>153</v>
      </c>
      <c r="P27" s="15" t="s">
        <v>148</v>
      </c>
    </row>
    <row r="28" spans="1:16" ht="27" hidden="1" customHeight="1" x14ac:dyDescent="0.2">
      <c r="A28" s="8">
        <v>83</v>
      </c>
      <c r="B28" s="2" t="s">
        <v>96</v>
      </c>
      <c r="C28" s="2" t="s">
        <v>68</v>
      </c>
      <c r="D28" s="2" t="s">
        <v>97</v>
      </c>
      <c r="E28" s="2" t="s">
        <v>98</v>
      </c>
      <c r="F28" s="2" t="s">
        <v>99</v>
      </c>
      <c r="G28" s="2" t="s">
        <v>25</v>
      </c>
      <c r="H28" s="2" t="s">
        <v>26</v>
      </c>
      <c r="I28" s="2" t="s">
        <v>18</v>
      </c>
      <c r="J28" s="3">
        <v>0.15</v>
      </c>
      <c r="K28" s="4">
        <v>1</v>
      </c>
      <c r="L28" s="3">
        <v>50</v>
      </c>
      <c r="M28" s="3">
        <v>100</v>
      </c>
      <c r="N28" s="15" t="s">
        <v>149</v>
      </c>
      <c r="O28" s="15" t="s">
        <v>154</v>
      </c>
      <c r="P28" s="15" t="s">
        <v>148</v>
      </c>
    </row>
    <row r="29" spans="1:16" ht="27" hidden="1" customHeight="1" x14ac:dyDescent="0.2">
      <c r="A29" s="8">
        <v>86</v>
      </c>
      <c r="B29" s="2" t="s">
        <v>100</v>
      </c>
      <c r="C29" s="2" t="s">
        <v>75</v>
      </c>
      <c r="D29" s="2" t="s">
        <v>35</v>
      </c>
      <c r="E29" s="2" t="s">
        <v>101</v>
      </c>
      <c r="F29" s="2" t="s">
        <v>102</v>
      </c>
      <c r="G29" s="2" t="s">
        <v>25</v>
      </c>
      <c r="H29" s="2" t="s">
        <v>26</v>
      </c>
      <c r="I29" s="2" t="s">
        <v>66</v>
      </c>
      <c r="J29" s="3">
        <v>30</v>
      </c>
      <c r="K29" s="4">
        <v>1</v>
      </c>
      <c r="L29" s="3">
        <v>500</v>
      </c>
      <c r="M29" s="3">
        <v>280</v>
      </c>
      <c r="N29" s="15" t="s">
        <v>149</v>
      </c>
      <c r="O29" s="15" t="s">
        <v>157</v>
      </c>
      <c r="P29" s="15" t="s">
        <v>150</v>
      </c>
    </row>
    <row r="30" spans="1:16" ht="27" hidden="1" customHeight="1" x14ac:dyDescent="0.2">
      <c r="A30" s="8">
        <v>91</v>
      </c>
      <c r="B30" s="2" t="s">
        <v>103</v>
      </c>
      <c r="C30" s="2" t="s">
        <v>43</v>
      </c>
      <c r="D30" s="2" t="s">
        <v>35</v>
      </c>
      <c r="E30" s="2" t="s">
        <v>104</v>
      </c>
      <c r="F30" s="2" t="s">
        <v>105</v>
      </c>
      <c r="G30" s="2" t="s">
        <v>25</v>
      </c>
      <c r="H30" s="2" t="s">
        <v>26</v>
      </c>
      <c r="I30" s="2" t="s">
        <v>106</v>
      </c>
      <c r="J30" s="3">
        <v>6</v>
      </c>
      <c r="K30" s="4">
        <v>1</v>
      </c>
      <c r="L30" s="3">
        <v>2140</v>
      </c>
      <c r="M30" s="3">
        <v>190.7</v>
      </c>
      <c r="N30" s="15" t="s">
        <v>149</v>
      </c>
      <c r="O30" s="15" t="s">
        <v>153</v>
      </c>
      <c r="P30" s="15" t="s">
        <v>150</v>
      </c>
    </row>
    <row r="31" spans="1:16" ht="27" hidden="1" customHeight="1" x14ac:dyDescent="0.2">
      <c r="A31" s="8">
        <v>92</v>
      </c>
      <c r="B31" s="2" t="s">
        <v>107</v>
      </c>
      <c r="C31" s="2" t="s">
        <v>43</v>
      </c>
      <c r="D31" s="2" t="s">
        <v>35</v>
      </c>
      <c r="E31" s="2" t="s">
        <v>108</v>
      </c>
      <c r="F31" s="2" t="s">
        <v>109</v>
      </c>
      <c r="G31" s="2" t="s">
        <v>110</v>
      </c>
      <c r="H31" s="2" t="s">
        <v>111</v>
      </c>
      <c r="I31" s="2" t="s">
        <v>112</v>
      </c>
      <c r="J31" s="3">
        <v>2.66</v>
      </c>
      <c r="K31" s="4">
        <v>1</v>
      </c>
      <c r="L31" s="3">
        <v>1140</v>
      </c>
      <c r="M31" s="3">
        <v>150.69999999999999</v>
      </c>
      <c r="N31" s="15" t="s">
        <v>149</v>
      </c>
      <c r="O31" s="15" t="s">
        <v>159</v>
      </c>
      <c r="P31" s="15" t="s">
        <v>150</v>
      </c>
    </row>
    <row r="32" spans="1:16" ht="27" hidden="1" customHeight="1" x14ac:dyDescent="0.2">
      <c r="A32" s="8">
        <v>98</v>
      </c>
      <c r="B32" s="2" t="s">
        <v>113</v>
      </c>
      <c r="C32" s="2" t="s">
        <v>61</v>
      </c>
      <c r="D32" s="2" t="s">
        <v>35</v>
      </c>
      <c r="E32" s="2" t="s">
        <v>114</v>
      </c>
      <c r="F32" s="2" t="s">
        <v>115</v>
      </c>
      <c r="G32" s="2" t="s">
        <v>25</v>
      </c>
      <c r="H32" s="2" t="s">
        <v>116</v>
      </c>
      <c r="I32" s="2" t="s">
        <v>117</v>
      </c>
      <c r="J32" s="3">
        <v>4.95</v>
      </c>
      <c r="K32" s="4">
        <v>1</v>
      </c>
      <c r="L32" s="3">
        <v>3500</v>
      </c>
      <c r="M32" s="3">
        <v>247.5</v>
      </c>
      <c r="N32" s="15" t="s">
        <v>149</v>
      </c>
      <c r="O32" s="15" t="s">
        <v>157</v>
      </c>
      <c r="P32" s="15" t="s">
        <v>150</v>
      </c>
    </row>
    <row r="33" spans="1:16" ht="27" hidden="1" customHeight="1" x14ac:dyDescent="0.2">
      <c r="A33" s="8">
        <v>99</v>
      </c>
      <c r="B33" s="2" t="s">
        <v>118</v>
      </c>
      <c r="C33" s="2" t="s">
        <v>61</v>
      </c>
      <c r="D33" s="2" t="s">
        <v>35</v>
      </c>
      <c r="E33" s="2" t="s">
        <v>104</v>
      </c>
      <c r="F33" s="2" t="s">
        <v>105</v>
      </c>
      <c r="G33" s="2" t="s">
        <v>25</v>
      </c>
      <c r="H33" s="2" t="s">
        <v>26</v>
      </c>
      <c r="I33" s="2" t="s">
        <v>106</v>
      </c>
      <c r="J33" s="3">
        <v>4</v>
      </c>
      <c r="K33" s="4">
        <v>1</v>
      </c>
      <c r="L33" s="3">
        <v>200</v>
      </c>
      <c r="M33" s="3">
        <v>180</v>
      </c>
      <c r="N33" s="15" t="s">
        <v>149</v>
      </c>
      <c r="O33" s="15" t="s">
        <v>154</v>
      </c>
      <c r="P33" s="15" t="s">
        <v>150</v>
      </c>
    </row>
    <row r="34" spans="1:16" ht="27" hidden="1" customHeight="1" x14ac:dyDescent="0.2">
      <c r="A34" s="8">
        <v>184</v>
      </c>
      <c r="B34" s="2" t="s">
        <v>121</v>
      </c>
      <c r="C34" s="2" t="s">
        <v>29</v>
      </c>
      <c r="D34" s="2" t="s">
        <v>35</v>
      </c>
      <c r="E34" s="2" t="s">
        <v>122</v>
      </c>
      <c r="F34" s="2" t="s">
        <v>32</v>
      </c>
      <c r="G34" s="2" t="s">
        <v>25</v>
      </c>
      <c r="H34" s="2" t="s">
        <v>26</v>
      </c>
      <c r="I34" s="2" t="s">
        <v>120</v>
      </c>
      <c r="J34" s="3">
        <v>100</v>
      </c>
      <c r="K34" s="4">
        <v>4</v>
      </c>
      <c r="L34" s="3">
        <v>12000</v>
      </c>
      <c r="M34" s="3">
        <v>940</v>
      </c>
      <c r="N34" s="15" t="s">
        <v>149</v>
      </c>
      <c r="O34" s="15" t="s">
        <v>157</v>
      </c>
      <c r="P34" s="15" t="s">
        <v>150</v>
      </c>
    </row>
    <row r="35" spans="1:16" ht="27" hidden="1" customHeight="1" x14ac:dyDescent="0.2">
      <c r="A35" s="8">
        <v>191</v>
      </c>
      <c r="B35" s="2" t="s">
        <v>123</v>
      </c>
      <c r="C35" s="2" t="s">
        <v>73</v>
      </c>
      <c r="D35" s="2" t="s">
        <v>35</v>
      </c>
      <c r="E35" s="2" t="s">
        <v>124</v>
      </c>
      <c r="F35" s="2" t="s">
        <v>125</v>
      </c>
      <c r="G35" s="2" t="s">
        <v>25</v>
      </c>
      <c r="H35" s="2" t="s">
        <v>126</v>
      </c>
      <c r="I35" s="2" t="s">
        <v>127</v>
      </c>
      <c r="J35" s="3">
        <v>79</v>
      </c>
      <c r="K35" s="4">
        <v>5</v>
      </c>
      <c r="L35" s="3">
        <v>9600</v>
      </c>
      <c r="M35" s="3">
        <v>918</v>
      </c>
      <c r="N35" s="15" t="s">
        <v>149</v>
      </c>
      <c r="O35" s="15" t="s">
        <v>154</v>
      </c>
      <c r="P35" s="15" t="s">
        <v>150</v>
      </c>
    </row>
    <row r="36" spans="1:16" ht="27" hidden="1" customHeight="1" x14ac:dyDescent="0.2">
      <c r="A36" s="8">
        <v>194</v>
      </c>
      <c r="B36" s="2" t="s">
        <v>128</v>
      </c>
      <c r="C36" s="2" t="s">
        <v>61</v>
      </c>
      <c r="D36" s="2" t="s">
        <v>35</v>
      </c>
      <c r="E36" s="2" t="s">
        <v>129</v>
      </c>
      <c r="F36" s="2" t="s">
        <v>130</v>
      </c>
      <c r="G36" s="2" t="s">
        <v>25</v>
      </c>
      <c r="H36" s="2" t="s">
        <v>26</v>
      </c>
      <c r="I36" s="2" t="s">
        <v>53</v>
      </c>
      <c r="J36" s="3">
        <v>65.17</v>
      </c>
      <c r="K36" s="4">
        <v>3</v>
      </c>
      <c r="L36" s="3">
        <v>8666</v>
      </c>
      <c r="M36" s="3">
        <v>643.33000000000004</v>
      </c>
      <c r="N36" s="15" t="s">
        <v>149</v>
      </c>
      <c r="O36" s="15" t="s">
        <v>157</v>
      </c>
      <c r="P36" s="15" t="s">
        <v>150</v>
      </c>
    </row>
    <row r="37" spans="1:16" ht="27" hidden="1" customHeight="1" x14ac:dyDescent="0.2">
      <c r="A37" s="8">
        <v>195</v>
      </c>
      <c r="B37" s="2" t="s">
        <v>131</v>
      </c>
      <c r="C37" s="2" t="s">
        <v>76</v>
      </c>
      <c r="D37" s="2" t="s">
        <v>132</v>
      </c>
      <c r="E37" s="2" t="s">
        <v>133</v>
      </c>
      <c r="F37" s="2" t="s">
        <v>134</v>
      </c>
      <c r="G37" s="2" t="s">
        <v>25</v>
      </c>
      <c r="H37" s="2" t="s">
        <v>26</v>
      </c>
      <c r="I37" s="2" t="s">
        <v>135</v>
      </c>
      <c r="J37" s="3">
        <v>35</v>
      </c>
      <c r="K37" s="4">
        <v>9</v>
      </c>
      <c r="L37" s="3">
        <v>15000</v>
      </c>
      <c r="M37" s="3">
        <v>1185</v>
      </c>
      <c r="N37" s="15" t="s">
        <v>149</v>
      </c>
      <c r="O37" s="15" t="s">
        <v>158</v>
      </c>
      <c r="P37" s="15" t="s">
        <v>150</v>
      </c>
    </row>
    <row r="38" spans="1:16" ht="27" hidden="1" customHeight="1" x14ac:dyDescent="0.2">
      <c r="A38" s="8">
        <v>197</v>
      </c>
      <c r="B38" s="2" t="s">
        <v>136</v>
      </c>
      <c r="C38" s="2" t="s">
        <v>68</v>
      </c>
      <c r="D38" s="2" t="s">
        <v>132</v>
      </c>
      <c r="E38" s="2" t="s">
        <v>133</v>
      </c>
      <c r="F38" s="2" t="s">
        <v>134</v>
      </c>
      <c r="G38" s="2" t="s">
        <v>25</v>
      </c>
      <c r="H38" s="2" t="s">
        <v>26</v>
      </c>
      <c r="I38" s="2" t="s">
        <v>135</v>
      </c>
      <c r="J38" s="3">
        <v>35</v>
      </c>
      <c r="K38" s="4">
        <v>9</v>
      </c>
      <c r="L38" s="3">
        <v>15000</v>
      </c>
      <c r="M38" s="3">
        <v>1185</v>
      </c>
      <c r="N38" s="15" t="s">
        <v>149</v>
      </c>
      <c r="O38" s="15" t="s">
        <v>158</v>
      </c>
      <c r="P38" s="15" t="s">
        <v>150</v>
      </c>
    </row>
    <row r="39" spans="1:16" ht="27" hidden="1" customHeight="1" x14ac:dyDescent="0.2">
      <c r="A39" s="8">
        <v>204</v>
      </c>
      <c r="B39" s="2" t="s">
        <v>137</v>
      </c>
      <c r="C39" s="2" t="s">
        <v>78</v>
      </c>
      <c r="D39" s="2" t="s">
        <v>35</v>
      </c>
      <c r="E39" s="2" t="s">
        <v>36</v>
      </c>
      <c r="F39" s="2" t="s">
        <v>37</v>
      </c>
      <c r="G39" s="2" t="s">
        <v>25</v>
      </c>
      <c r="H39" s="2" t="s">
        <v>26</v>
      </c>
      <c r="I39" s="2" t="s">
        <v>119</v>
      </c>
      <c r="J39" s="3">
        <v>500</v>
      </c>
      <c r="K39" s="4">
        <v>1</v>
      </c>
      <c r="L39" s="3">
        <v>51115.68</v>
      </c>
      <c r="M39" s="3">
        <v>2255.58</v>
      </c>
      <c r="N39" s="15" t="s">
        <v>149</v>
      </c>
      <c r="O39" s="15" t="s">
        <v>154</v>
      </c>
      <c r="P39" s="15" t="s">
        <v>150</v>
      </c>
    </row>
    <row r="40" spans="1:16" ht="13.35" hidden="1" customHeight="1" x14ac:dyDescent="0.2">
      <c r="A40" s="9" t="s">
        <v>138</v>
      </c>
      <c r="B40" s="9"/>
      <c r="C40" s="9"/>
      <c r="D40" s="9"/>
      <c r="E40" s="9"/>
      <c r="F40" s="9"/>
      <c r="G40" s="9"/>
      <c r="H40" s="9"/>
      <c r="I40" s="9"/>
      <c r="J40" s="17">
        <f>SUM(J12:J39)</f>
        <v>1690.91</v>
      </c>
      <c r="K40" s="17">
        <f t="shared" ref="K40:M40" si="0">SUM(K12:K39)</f>
        <v>61</v>
      </c>
      <c r="L40" s="17">
        <f t="shared" si="0"/>
        <v>236231.36</v>
      </c>
      <c r="M40" s="17">
        <f t="shared" si="0"/>
        <v>21118.36</v>
      </c>
      <c r="N40" s="16"/>
      <c r="O40" s="16"/>
      <c r="P40" s="16"/>
    </row>
    <row r="42" spans="1:16" ht="13.35" customHeight="1" x14ac:dyDescent="0.2">
      <c r="A42" s="11" t="s">
        <v>139</v>
      </c>
    </row>
    <row r="43" spans="1:16" ht="13.35" customHeight="1" x14ac:dyDescent="0.2">
      <c r="A43" s="11" t="s">
        <v>140</v>
      </c>
    </row>
    <row r="45" spans="1:16" ht="11.85" customHeight="1" x14ac:dyDescent="0.2">
      <c r="A45" s="1"/>
      <c r="B45" s="1"/>
      <c r="C45" s="1"/>
      <c r="D45" s="18" t="s">
        <v>141</v>
      </c>
      <c r="E45" s="18"/>
    </row>
    <row r="47" spans="1:16" s="11" customFormat="1" ht="12.6" customHeight="1" x14ac:dyDescent="0.2">
      <c r="A47" s="11" t="s">
        <v>142</v>
      </c>
      <c r="N47" s="12"/>
      <c r="O47" s="12"/>
      <c r="P47" s="12"/>
    </row>
    <row r="48" spans="1:16" s="11" customFormat="1" ht="12.6" customHeight="1" x14ac:dyDescent="0.2">
      <c r="A48" s="11" t="s">
        <v>143</v>
      </c>
      <c r="N48" s="12"/>
      <c r="O48" s="12"/>
      <c r="P48" s="12"/>
    </row>
    <row r="49" spans="1:16" s="11" customFormat="1" ht="12.6" customHeight="1" x14ac:dyDescent="0.2">
      <c r="A49" s="18" t="s">
        <v>144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2"/>
      <c r="O49" s="12"/>
      <c r="P49" s="12"/>
    </row>
    <row r="50" spans="1:16" x14ac:dyDescent="0.2">
      <c r="A50" s="11" t="s">
        <v>145</v>
      </c>
    </row>
  </sheetData>
  <autoFilter ref="A11:P40" xr:uid="{F9FCBB8B-66E9-411A-994B-9A7576AA7AE9}">
    <filterColumn colId="14">
      <filters>
        <filter val="МХП Катеринопіль"/>
      </filters>
    </filterColumn>
  </autoFilter>
  <mergeCells count="7">
    <mergeCell ref="A49:M49"/>
    <mergeCell ref="A1:M1"/>
    <mergeCell ref="A3:M3"/>
    <mergeCell ref="A5:J6"/>
    <mergeCell ref="A7:J8"/>
    <mergeCell ref="A9:J9"/>
    <mergeCell ref="D45:E45"/>
  </mergeCells>
  <pageMargins left="0.23622047244094491" right="0.23622047244094491" top="0.19685039370078741" bottom="0.74803149606299213" header="3.937007874015748E-2" footer="3.937007874015748E-2"/>
  <pageSetup paperSize="9" fitToHeight="0" orientation="landscape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155FF087646B26748F8ADFEA557" ma:contentTypeVersion="6" ma:contentTypeDescription="Create a new document." ma:contentTypeScope="" ma:versionID="da93d305c8f4e73edfdcd283385a4e57">
  <xsd:schema xmlns:xsd="http://www.w3.org/2001/XMLSchema" xmlns:xs="http://www.w3.org/2001/XMLSchema" xmlns:p="http://schemas.microsoft.com/office/2006/metadata/properties" xmlns:ns2="54a6b218-bbd4-4f7c-a6b7-a9c81ddcb214" targetNamespace="http://schemas.microsoft.com/office/2006/metadata/properties" ma:root="true" ma:fieldsID="485f59923a081aa5e550f35aa2fc692d" ns2:_="">
    <xsd:import namespace="54a6b218-bbd4-4f7c-a6b7-a9c81ddc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6b218-bbd4-4f7c-a6b7-a9c81ddcb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9B52EC-42B0-4331-BFEA-9A2CFBAA16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7496F-ADDB-435A-8196-3AFFD18E3C7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4a6b218-bbd4-4f7c-a6b7-a9c81ddcb214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97D51D7-D38B-432B-8AC9-06A3E6EDB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6b218-bbd4-4f7c-a6b7-a9c81ddc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17</vt:i4>
      </vt:variant>
    </vt:vector>
  </HeadingPairs>
  <TitlesOfParts>
    <vt:vector size="18" baseType="lpstr">
      <vt:lpstr>Sheet1 (2)</vt:lpstr>
      <vt:lpstr>'Sheet1 (2)'!Agreement</vt:lpstr>
      <vt:lpstr>'Sheet1 (2)'!CompanyName</vt:lpstr>
      <vt:lpstr>'Sheet1 (2)'!CompanyName2</vt:lpstr>
      <vt:lpstr>'Sheet1 (2)'!CustName</vt:lpstr>
      <vt:lpstr>'Sheet1 (2)'!ExecutorAddress</vt:lpstr>
      <vt:lpstr>'Sheet1 (2)'!ExecutorContactCenter</vt:lpstr>
      <vt:lpstr>'Sheet1 (2)'!ExecutorEDRPOU</vt:lpstr>
      <vt:lpstr>'Sheet1 (2)'!ExecutorName</vt:lpstr>
      <vt:lpstr>'Sheet1 (2)'!NumberDateTxt</vt:lpstr>
      <vt:lpstr>'Sheet1 (2)'!PAGEFOOTER</vt:lpstr>
      <vt:lpstr>'Sheet1 (2)'!PAGEHEADER</vt:lpstr>
      <vt:lpstr>'Sheet1 (2)'!REPORTFOOTER</vt:lpstr>
      <vt:lpstr>'Sheet1 (2)'!REPORTHEADER</vt:lpstr>
      <vt:lpstr>'Sheet1 (2)'!TotalAmount</vt:lpstr>
      <vt:lpstr>'Sheet1 (2)'!TotalPackageValue</vt:lpstr>
      <vt:lpstr>'Sheet1 (2)'!TotalSeatCount</vt:lpstr>
      <vt:lpstr>'Sheet1 (2)'!TotalWeight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Chastkov (OntargIT)</dc:creator>
  <cp:keywords/>
  <dc:description/>
  <cp:lastModifiedBy>cfo</cp:lastModifiedBy>
  <cp:revision>1</cp:revision>
  <cp:lastPrinted>2018-07-23T07:47:11Z</cp:lastPrinted>
  <dcterms:created xsi:type="dcterms:W3CDTF">2018-07-17T06:37:41Z</dcterms:created>
  <dcterms:modified xsi:type="dcterms:W3CDTF">2025-09-09T15:49:34Z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0x010100D7DE9155FF087646B26748F8ADFEA557</vt:lpwstr>
  </property>
</Properties>
</file>
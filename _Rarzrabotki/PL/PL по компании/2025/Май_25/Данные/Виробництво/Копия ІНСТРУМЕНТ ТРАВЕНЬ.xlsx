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public\Фінансовий відділ\! PnL\PL по компании\2025\Май_25\Данные\Виробництво\"/>
    </mc:Choice>
  </mc:AlternateContent>
  <xr:revisionPtr revIDLastSave="0" documentId="8_{855CC319-3A54-47CC-9EBA-7458E98CEB42}" xr6:coauthVersionLast="45" xr6:coauthVersionMax="45" xr10:uidLastSave="{00000000-0000-0000-0000-000000000000}"/>
  <bookViews>
    <workbookView xWindow="-108" yWindow="-108" windowWidth="23256" windowHeight="12600" firstSheet="1" activeTab="1" xr2:uid="{00000000-000D-0000-FFFF-FFFF00000000}"/>
  </bookViews>
  <sheets>
    <sheet name="Лист1" sheetId="1" state="hidden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4" i="2" l="1"/>
  <c r="E23" i="2"/>
  <c r="E21" i="2"/>
  <c r="E19" i="2"/>
  <c r="E18" i="2"/>
  <c r="E25" i="2" l="1"/>
  <c r="D8" i="1"/>
</calcChain>
</file>

<file path=xl/sharedStrings.xml><?xml version="1.0" encoding="utf-8"?>
<sst xmlns="http://schemas.openxmlformats.org/spreadsheetml/2006/main" count="38" uniqueCount="27">
  <si>
    <t>назва інструменту</t>
  </si>
  <si>
    <t>к-сть</t>
  </si>
  <si>
    <t>ціна за шт</t>
  </si>
  <si>
    <t>Ударна дрель метабо</t>
  </si>
  <si>
    <t>Аргонодуговий інверторний випрямляч «Патон» StandardTIG-200 WA</t>
  </si>
  <si>
    <t>Всього грн з пдв</t>
  </si>
  <si>
    <t>Стрем'янка алюмінієва Maксі 6 сходинок</t>
  </si>
  <si>
    <t>Стрем'янка алюмінієва Maксі 4 сходинок</t>
  </si>
  <si>
    <t xml:space="preserve">Всього </t>
  </si>
  <si>
    <t>Списано  ОЗ  Квітень 2025</t>
  </si>
  <si>
    <t>кшм  125Д</t>
  </si>
  <si>
    <t>Стремянка</t>
  </si>
  <si>
    <t>Дриль-шурупокрут</t>
  </si>
  <si>
    <t>Дриль  мережна</t>
  </si>
  <si>
    <t>План  списання Травень 2025 (Не підлягає  ремонту)</t>
  </si>
  <si>
    <t>кшм  230Д</t>
  </si>
  <si>
    <t>Зварювальний апарат</t>
  </si>
  <si>
    <t>к-сть для купівля</t>
  </si>
  <si>
    <t>Кількість  шт</t>
  </si>
  <si>
    <t>Найменування Інструменту для купівлі</t>
  </si>
  <si>
    <t>Загальна сума, грн</t>
  </si>
  <si>
    <t>Загальна кількість по списанню  2-х місяців</t>
  </si>
  <si>
    <t>Коментарі</t>
  </si>
  <si>
    <t>Списали 1 шт, друга потрібна з  більшою  потужністю, так як які є  в наявності не витримують</t>
  </si>
  <si>
    <t>Списали 2 шт, ще додаткові потрібені по причині  додаткових  монтажних бригад</t>
  </si>
  <si>
    <t>Списали 1 шт, ще додаткові потрібені по причині  додаткових  монтажних бригад</t>
  </si>
  <si>
    <t>Списали  7 шт, в резерві було 4 шт, які вже в роботі, купуємо  мінімум 5 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</si>
</sst>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/>
    </xf>
    <xf numFmtId="0" fontId="0" fillId="0" borderId="1" xfId="0" applyBorder="1" applyAlignment="1">
      <alignment horizontal="left" wrapText="1"/>
    </xf>
    <xf numFmtId="0" fontId="1" fillId="2" borderId="10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wrapText="1"/>
    </xf>
    <xf numFmtId="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sqref="A1:D7"/>
    </sheetView>
  </sheetViews>
  <sheetFormatPr defaultRowHeight="14.4" x14ac:dyDescent="0.3"/>
  <cols>
    <col min="1" max="1" width="24.21875" customWidth="1"/>
    <col min="3" max="3" width="11" customWidth="1"/>
    <col min="4" max="4" width="21.5546875" customWidth="1"/>
  </cols>
  <sheetData>
    <row r="1" spans="1:4" x14ac:dyDescent="0.3">
      <c r="A1" s="3" t="s">
        <v>0</v>
      </c>
      <c r="B1" s="4" t="s">
        <v>1</v>
      </c>
      <c r="C1" s="4" t="s">
        <v>2</v>
      </c>
      <c r="D1" s="5" t="s">
        <v>5</v>
      </c>
    </row>
    <row r="2" spans="1:4" x14ac:dyDescent="0.3">
      <c r="A2" s="6" t="s">
        <v>3</v>
      </c>
      <c r="B2" s="1">
        <v>2</v>
      </c>
      <c r="C2" s="1">
        <v>6689.16</v>
      </c>
      <c r="D2" s="7">
        <v>13378.32</v>
      </c>
    </row>
    <row r="3" spans="1:4" x14ac:dyDescent="0.3">
      <c r="A3" s="30" t="s">
        <v>4</v>
      </c>
      <c r="B3" s="31">
        <v>2</v>
      </c>
      <c r="C3" s="31">
        <v>11494</v>
      </c>
      <c r="D3" s="32">
        <v>22988</v>
      </c>
    </row>
    <row r="4" spans="1:4" x14ac:dyDescent="0.3">
      <c r="A4" s="30"/>
      <c r="B4" s="31"/>
      <c r="C4" s="31"/>
      <c r="D4" s="32"/>
    </row>
    <row r="5" spans="1:4" x14ac:dyDescent="0.3">
      <c r="A5" s="30" t="s">
        <v>6</v>
      </c>
      <c r="B5" s="31">
        <v>2</v>
      </c>
      <c r="C5" s="31">
        <v>2799</v>
      </c>
      <c r="D5" s="32">
        <v>5598</v>
      </c>
    </row>
    <row r="6" spans="1:4" x14ac:dyDescent="0.3">
      <c r="A6" s="30"/>
      <c r="B6" s="31"/>
      <c r="C6" s="31"/>
      <c r="D6" s="32"/>
    </row>
    <row r="7" spans="1:4" ht="29.4" thickBot="1" x14ac:dyDescent="0.35">
      <c r="A7" s="9" t="s">
        <v>7</v>
      </c>
      <c r="B7" s="10">
        <v>4</v>
      </c>
      <c r="C7" s="10">
        <v>2222</v>
      </c>
      <c r="D7" s="11">
        <v>8888</v>
      </c>
    </row>
    <row r="8" spans="1:4" x14ac:dyDescent="0.3">
      <c r="A8" s="8"/>
      <c r="C8" t="s">
        <v>8</v>
      </c>
      <c r="D8">
        <f>SUM(D2:D7)</f>
        <v>50852.32</v>
      </c>
    </row>
  </sheetData>
  <mergeCells count="8">
    <mergeCell ref="A3:A4"/>
    <mergeCell ref="B3:B4"/>
    <mergeCell ref="C3:C4"/>
    <mergeCell ref="D3:D4"/>
    <mergeCell ref="A5:A6"/>
    <mergeCell ref="B5:B6"/>
    <mergeCell ref="C5:C6"/>
    <mergeCell ref="D5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25"/>
  <sheetViews>
    <sheetView tabSelected="1" zoomScale="90" zoomScaleNormal="90" workbookViewId="0">
      <selection activeCell="E12" sqref="E12"/>
    </sheetView>
  </sheetViews>
  <sheetFormatPr defaultRowHeight="14.4" x14ac:dyDescent="0.3"/>
  <cols>
    <col min="1" max="1" width="46.5546875" style="17" bestFit="1" customWidth="1"/>
    <col min="2" max="2" width="46.5546875" style="12" customWidth="1"/>
    <col min="3" max="3" width="15.88671875" style="12" bestFit="1" customWidth="1"/>
    <col min="4" max="4" width="13.77734375" style="12" customWidth="1"/>
    <col min="5" max="5" width="15.109375" style="12" bestFit="1" customWidth="1"/>
    <col min="6" max="6" width="26.44140625" customWidth="1"/>
  </cols>
  <sheetData>
    <row r="2" spans="1:2" x14ac:dyDescent="0.3">
      <c r="A2" s="22" t="s">
        <v>9</v>
      </c>
      <c r="B2" s="23" t="s">
        <v>18</v>
      </c>
    </row>
    <row r="3" spans="1:2" x14ac:dyDescent="0.3">
      <c r="A3" s="16" t="s">
        <v>10</v>
      </c>
      <c r="B3" s="28">
        <v>1</v>
      </c>
    </row>
    <row r="4" spans="1:2" x14ac:dyDescent="0.3">
      <c r="A4" s="16" t="s">
        <v>11</v>
      </c>
      <c r="B4" s="28">
        <v>2</v>
      </c>
    </row>
    <row r="5" spans="1:2" x14ac:dyDescent="0.3">
      <c r="A5" s="16" t="s">
        <v>12</v>
      </c>
      <c r="B5" s="28">
        <v>3</v>
      </c>
    </row>
    <row r="6" spans="1:2" x14ac:dyDescent="0.3">
      <c r="A6" s="16" t="s">
        <v>13</v>
      </c>
      <c r="B6" s="28">
        <v>1</v>
      </c>
    </row>
    <row r="7" spans="1:2" x14ac:dyDescent="0.3">
      <c r="A7" s="16"/>
      <c r="B7" s="28"/>
    </row>
    <row r="8" spans="1:2" x14ac:dyDescent="0.3">
      <c r="A8" s="16"/>
      <c r="B8" s="28"/>
    </row>
    <row r="9" spans="1:2" x14ac:dyDescent="0.3">
      <c r="A9" s="22" t="s">
        <v>14</v>
      </c>
      <c r="B9" s="29" t="s">
        <v>18</v>
      </c>
    </row>
    <row r="10" spans="1:2" x14ac:dyDescent="0.3">
      <c r="A10" s="16" t="s">
        <v>10</v>
      </c>
      <c r="B10" s="28">
        <v>1</v>
      </c>
    </row>
    <row r="11" spans="1:2" x14ac:dyDescent="0.3">
      <c r="A11" s="16" t="s">
        <v>15</v>
      </c>
      <c r="B11" s="28">
        <v>1</v>
      </c>
    </row>
    <row r="12" spans="1:2" x14ac:dyDescent="0.3">
      <c r="A12" s="16" t="s">
        <v>16</v>
      </c>
      <c r="B12" s="28">
        <v>1</v>
      </c>
    </row>
    <row r="13" spans="1:2" x14ac:dyDescent="0.3">
      <c r="A13" s="16" t="s">
        <v>12</v>
      </c>
      <c r="B13" s="28">
        <v>4</v>
      </c>
    </row>
    <row r="14" spans="1:2" x14ac:dyDescent="0.3">
      <c r="A14" s="16" t="s">
        <v>11</v>
      </c>
      <c r="B14" s="28">
        <v>2</v>
      </c>
    </row>
    <row r="16" spans="1:2" ht="15" thickBot="1" x14ac:dyDescent="0.35"/>
    <row r="17" spans="1:6" x14ac:dyDescent="0.3">
      <c r="A17" s="18" t="s">
        <v>19</v>
      </c>
      <c r="B17" s="20" t="s">
        <v>21</v>
      </c>
      <c r="C17" s="21" t="s">
        <v>17</v>
      </c>
      <c r="D17" s="21" t="s">
        <v>2</v>
      </c>
      <c r="E17" s="23" t="s">
        <v>5</v>
      </c>
      <c r="F17" s="23" t="s">
        <v>22</v>
      </c>
    </row>
    <row r="18" spans="1:6" ht="57.6" x14ac:dyDescent="0.3">
      <c r="A18" s="16" t="s">
        <v>3</v>
      </c>
      <c r="B18" s="13">
        <v>1</v>
      </c>
      <c r="C18" s="2">
        <v>2</v>
      </c>
      <c r="D18" s="27">
        <v>6689.16</v>
      </c>
      <c r="E18" s="27">
        <f>D18*C18</f>
        <v>13378.32</v>
      </c>
      <c r="F18" s="14" t="s">
        <v>23</v>
      </c>
    </row>
    <row r="19" spans="1:6" x14ac:dyDescent="0.3">
      <c r="A19" s="35" t="s">
        <v>4</v>
      </c>
      <c r="B19" s="37">
        <v>1</v>
      </c>
      <c r="C19" s="31">
        <v>2</v>
      </c>
      <c r="D19" s="36">
        <v>11494</v>
      </c>
      <c r="E19" s="36">
        <f>D19*C19</f>
        <v>22988</v>
      </c>
      <c r="F19" s="34" t="s">
        <v>25</v>
      </c>
    </row>
    <row r="20" spans="1:6" x14ac:dyDescent="0.3">
      <c r="A20" s="35"/>
      <c r="B20" s="37"/>
      <c r="C20" s="31"/>
      <c r="D20" s="36"/>
      <c r="E20" s="36"/>
      <c r="F20" s="34"/>
    </row>
    <row r="21" spans="1:6" x14ac:dyDescent="0.3">
      <c r="A21" s="35" t="s">
        <v>6</v>
      </c>
      <c r="B21" s="37">
        <v>2</v>
      </c>
      <c r="C21" s="31">
        <v>2</v>
      </c>
      <c r="D21" s="36">
        <v>2799</v>
      </c>
      <c r="E21" s="36">
        <f>D21*C21</f>
        <v>5598</v>
      </c>
      <c r="F21" s="31"/>
    </row>
    <row r="22" spans="1:6" x14ac:dyDescent="0.3">
      <c r="A22" s="35"/>
      <c r="B22" s="37"/>
      <c r="C22" s="31"/>
      <c r="D22" s="36"/>
      <c r="E22" s="36"/>
      <c r="F22" s="31"/>
    </row>
    <row r="23" spans="1:6" ht="57.6" x14ac:dyDescent="0.3">
      <c r="A23" s="19" t="s">
        <v>7</v>
      </c>
      <c r="B23" s="15">
        <v>2</v>
      </c>
      <c r="C23" s="2">
        <v>4</v>
      </c>
      <c r="D23" s="27">
        <v>2222</v>
      </c>
      <c r="E23" s="27">
        <f>D23*C23</f>
        <v>8888</v>
      </c>
      <c r="F23" s="24" t="s">
        <v>24</v>
      </c>
    </row>
    <row r="24" spans="1:6" ht="43.2" x14ac:dyDescent="0.3">
      <c r="A24" s="16" t="s">
        <v>12</v>
      </c>
      <c r="B24" s="26">
        <v>7</v>
      </c>
      <c r="C24" s="2">
        <v>5</v>
      </c>
      <c r="D24" s="27">
        <v>6800</v>
      </c>
      <c r="E24" s="27">
        <f>D24*C24</f>
        <v>34000</v>
      </c>
      <c r="F24" s="24" t="s">
        <v>26</v>
      </c>
    </row>
    <row r="25" spans="1:6" x14ac:dyDescent="0.3">
      <c r="A25" s="33" t="s">
        <v>20</v>
      </c>
      <c r="B25" s="33"/>
      <c r="C25" s="33"/>
      <c r="D25" s="33"/>
      <c r="E25" s="25">
        <f>SUM(E18:E24)</f>
        <v>84852.32</v>
      </c>
    </row>
  </sheetData>
  <mergeCells count="13">
    <mergeCell ref="A25:D25"/>
    <mergeCell ref="F19:F20"/>
    <mergeCell ref="F21:F22"/>
    <mergeCell ref="A19:A20"/>
    <mergeCell ref="C19:C20"/>
    <mergeCell ref="D19:D20"/>
    <mergeCell ref="E19:E20"/>
    <mergeCell ref="A21:A22"/>
    <mergeCell ref="C21:C22"/>
    <mergeCell ref="D21:D22"/>
    <mergeCell ref="E21:E22"/>
    <mergeCell ref="B19:B20"/>
    <mergeCell ref="B21:B2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Iryna 🐱‍💻</dc:creator>
  <cp:lastModifiedBy>a.biehisheva</cp:lastModifiedBy>
  <dcterms:created xsi:type="dcterms:W3CDTF">2015-06-05T18:19:34Z</dcterms:created>
  <dcterms:modified xsi:type="dcterms:W3CDTF">2025-06-26T14:38:09Z</dcterms:modified>
</cp:coreProperties>
</file>